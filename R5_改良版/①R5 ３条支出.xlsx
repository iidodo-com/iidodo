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drawings/drawing4.xml" ContentType="application/vnd.openxmlformats-officedocument.drawing+xml"/>
  <Override PartName="/xl/comments6.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I:\経理係フォルダ\☆決算事務\０５年度決算\06 R5決算 消費税計算\02 繰入金計算\令和５年度決算用\"/>
    </mc:Choice>
  </mc:AlternateContent>
  <bookViews>
    <workbookView xWindow="0" yWindow="0" windowWidth="28800" windowHeight="12360" tabRatio="743" activeTab="3"/>
  </bookViews>
  <sheets>
    <sheet name="年度" sheetId="31" r:id="rId1"/>
    <sheet name="全伝票" sheetId="20" r:id="rId2"/>
    <sheet name="災害伝票" sheetId="32" r:id="rId3"/>
    <sheet name="3条支出" sheetId="1" r:id="rId4"/>
    <sheet name="管" sheetId="2" r:id="rId5"/>
    <sheet name="水質" sheetId="3" r:id="rId6"/>
    <sheet name="ポ" sheetId="4" r:id="rId7"/>
    <sheet name="処" sheetId="5" r:id="rId8"/>
    <sheet name="受工" sheetId="6" r:id="rId9"/>
    <sheet name="普及" sheetId="7" r:id="rId10"/>
    <sheet name="貸付" sheetId="8" r:id="rId11"/>
    <sheet name="業務" sheetId="9" r:id="rId12"/>
    <sheet name="総係" sheetId="10" r:id="rId13"/>
    <sheet name="特環" sheetId="11" r:id="rId14"/>
    <sheet name="農集" sheetId="12" r:id="rId15"/>
    <sheet name="浄化" sheetId="13" r:id="rId16"/>
    <sheet name="災" sheetId="14" r:id="rId17"/>
    <sheet name="減価" sheetId="15" r:id="rId18"/>
    <sheet name="減耗" sheetId="16" r:id="rId19"/>
    <sheet name="営外" sheetId="17" r:id="rId20"/>
    <sheet name="特損" sheetId="18" r:id="rId21"/>
    <sheet name="3条支出(共通按分後)" sheetId="26" r:id="rId22"/>
    <sheet name="総係(共通按分後)" sheetId="27" r:id="rId23"/>
    <sheet name="特環(共通按分後)" sheetId="28" r:id="rId24"/>
    <sheet name="農集(共通按分後)" sheetId="29" r:id="rId25"/>
    <sheet name="浄化(共通按分後)" sheetId="30" r:id="rId26"/>
  </sheets>
  <externalReferences>
    <externalReference r:id="rId27"/>
    <externalReference r:id="rId28"/>
    <externalReference r:id="rId29"/>
  </externalReferences>
  <definedNames>
    <definedName name="_xlnm._FilterDatabase" localSheetId="2" hidden="1">災害伝票!$A$15:$AT$183</definedName>
    <definedName name="_xlnm._FilterDatabase" localSheetId="1" hidden="1">全伝票!$A$2:$Q$1642</definedName>
    <definedName name="_xlnm.Print_Area" localSheetId="3">'3条支出'!$D$1:$T$79</definedName>
    <definedName name="_xlnm.Print_Area" localSheetId="21">'3条支出(共通按分後)'!$D$1:$T$45</definedName>
    <definedName name="_xlnm.Print_Area" localSheetId="6">ポ!$D$1:$T$38</definedName>
    <definedName name="_xlnm.Print_Area" localSheetId="19">営外!$D$1:$T$40</definedName>
    <definedName name="_xlnm.Print_Area" localSheetId="4">管!$D$1:$T$38</definedName>
    <definedName name="_xlnm.Print_Area" localSheetId="11">業務!$D$1:$T$38</definedName>
    <definedName name="_xlnm.Print_Area" localSheetId="17">減価!$D$1:$T$40</definedName>
    <definedName name="_xlnm.Print_Area" localSheetId="18">減耗!$D$1:$T$40</definedName>
    <definedName name="_xlnm.Print_Area" localSheetId="16">災!$D$1:$T$40</definedName>
    <definedName name="_xlnm.Print_Area" localSheetId="8">受工!$D$1:$T$38</definedName>
    <definedName name="_xlnm.Print_Area" localSheetId="7">処!$D$1:$T$38</definedName>
    <definedName name="_xlnm.Print_Area" localSheetId="15">浄化!$D$1:$T$39</definedName>
    <definedName name="_xlnm.Print_Area" localSheetId="25">'浄化(共通按分後)'!$D$1:$T$39</definedName>
    <definedName name="_xlnm.Print_Area" localSheetId="5">水質!$D$1:$T$38</definedName>
    <definedName name="_xlnm.Print_Area" localSheetId="12">総係!$D$1:$T$39</definedName>
    <definedName name="_xlnm.Print_Area" localSheetId="22">'総係(共通按分後)'!$D$1:$T$39</definedName>
    <definedName name="_xlnm.Print_Area" localSheetId="10">貸付!$D$1:$T$38</definedName>
    <definedName name="_xlnm.Print_Area" localSheetId="13">特環!$D$1:$T$39</definedName>
    <definedName name="_xlnm.Print_Area" localSheetId="23">'特環(共通按分後)'!$D$1:$T$39</definedName>
    <definedName name="_xlnm.Print_Area" localSheetId="20">特損!$D$1:$T$42</definedName>
    <definedName name="_xlnm.Print_Area" localSheetId="14">農集!$D$1:$T$39</definedName>
    <definedName name="_xlnm.Print_Area" localSheetId="24">'農集(共通按分後)'!$D$1:$T$39</definedName>
    <definedName name="_xlnm.Print_Area" localSheetId="9">普及!$D$1:$T$38</definedName>
  </definedNames>
  <calcPr calcId="162913" fullCalcOnLoad="1"/>
</workbook>
</file>

<file path=xl/calcChain.xml><?xml version="1.0" encoding="utf-8"?>
<calcChain xmlns="http://schemas.openxmlformats.org/spreadsheetml/2006/main">
  <c r="E45" i="1" l="1"/>
  <c r="T19" i="17" l="1"/>
  <c r="E10" i="18" l="1"/>
  <c r="E9" i="18"/>
  <c r="E30" i="11" l="1"/>
  <c r="M20" i="17" l="1"/>
  <c r="Y30" i="30" l="1"/>
  <c r="X30" i="30"/>
  <c r="W30" i="30"/>
  <c r="V30" i="30"/>
  <c r="U30" i="30"/>
  <c r="S30" i="30"/>
  <c r="T30" i="30" s="1"/>
  <c r="K29" i="30"/>
  <c r="K30" i="30"/>
  <c r="K31" i="30"/>
  <c r="Y30" i="29"/>
  <c r="X30" i="29"/>
  <c r="W30" i="29"/>
  <c r="V30" i="29"/>
  <c r="U30" i="29"/>
  <c r="S30" i="29"/>
  <c r="K29" i="29"/>
  <c r="K30" i="29"/>
  <c r="K31" i="29"/>
  <c r="K32" i="29"/>
  <c r="Y30" i="28"/>
  <c r="X30" i="28"/>
  <c r="W30" i="28"/>
  <c r="V30" i="28"/>
  <c r="U30" i="28"/>
  <c r="S30" i="28"/>
  <c r="T30" i="28" s="1"/>
  <c r="K30" i="28"/>
  <c r="M30" i="11"/>
  <c r="L30" i="11"/>
  <c r="J30" i="11"/>
  <c r="R30" i="11" s="1"/>
  <c r="Y30" i="11" s="1"/>
  <c r="I30" i="11"/>
  <c r="Q30" i="11" s="1"/>
  <c r="X30" i="11" s="1"/>
  <c r="H30" i="11"/>
  <c r="P30" i="11" s="1"/>
  <c r="W30" i="11" s="1"/>
  <c r="G30" i="11"/>
  <c r="O30" i="11" s="1"/>
  <c r="V30" i="11" s="1"/>
  <c r="F30" i="11"/>
  <c r="N30" i="11" s="1"/>
  <c r="M30" i="12"/>
  <c r="L30" i="12"/>
  <c r="J30" i="12"/>
  <c r="R30" i="12" s="1"/>
  <c r="Y30" i="12" s="1"/>
  <c r="I30" i="12"/>
  <c r="Q30" i="12" s="1"/>
  <c r="X30" i="12" s="1"/>
  <c r="H30" i="12"/>
  <c r="P30" i="12" s="1"/>
  <c r="W30" i="12" s="1"/>
  <c r="G30" i="12"/>
  <c r="O30" i="12" s="1"/>
  <c r="V30" i="12" s="1"/>
  <c r="F30" i="12"/>
  <c r="N30" i="12" s="1"/>
  <c r="E30" i="12"/>
  <c r="M30" i="13"/>
  <c r="L30" i="13"/>
  <c r="J30" i="13"/>
  <c r="R30" i="13" s="1"/>
  <c r="Y30" i="13" s="1"/>
  <c r="I30" i="13"/>
  <c r="Q30" i="13" s="1"/>
  <c r="X30" i="13" s="1"/>
  <c r="H30" i="13"/>
  <c r="P30" i="13" s="1"/>
  <c r="W30" i="13" s="1"/>
  <c r="G30" i="13"/>
  <c r="O30" i="13" s="1"/>
  <c r="V30" i="13" s="1"/>
  <c r="F30" i="13"/>
  <c r="N30" i="13" s="1"/>
  <c r="E30" i="13"/>
  <c r="T30" i="29" l="1"/>
  <c r="U30" i="11"/>
  <c r="S30" i="11"/>
  <c r="T30" i="11" s="1"/>
  <c r="K30" i="11"/>
  <c r="U30" i="12"/>
  <c r="S30" i="12"/>
  <c r="T30" i="12" s="1"/>
  <c r="K30" i="12"/>
  <c r="U30" i="13"/>
  <c r="S30" i="13"/>
  <c r="T30" i="13" s="1"/>
  <c r="K30" i="13"/>
  <c r="M30" i="10"/>
  <c r="M30" i="27" s="1"/>
  <c r="L30" i="10"/>
  <c r="L30" i="27" s="1"/>
  <c r="J30" i="10"/>
  <c r="I30" i="10"/>
  <c r="H30" i="10"/>
  <c r="G30" i="10"/>
  <c r="F30" i="10"/>
  <c r="E30" i="10"/>
  <c r="E30" i="27" s="1"/>
  <c r="O30" i="10" l="1"/>
  <c r="G30" i="27"/>
  <c r="P30" i="10"/>
  <c r="H30" i="27"/>
  <c r="Q30" i="10"/>
  <c r="I30" i="27"/>
  <c r="N30" i="10"/>
  <c r="N30" i="27" s="1"/>
  <c r="F30" i="27"/>
  <c r="R30" i="10"/>
  <c r="J30" i="27"/>
  <c r="K30" i="10"/>
  <c r="K30" i="27" s="1"/>
  <c r="S30" i="10" l="1"/>
  <c r="T30" i="10" s="1"/>
  <c r="T30" i="27" s="1"/>
  <c r="U30" i="10"/>
  <c r="U30" i="27"/>
  <c r="W30" i="10"/>
  <c r="P30" i="27"/>
  <c r="W30" i="27" s="1"/>
  <c r="Y30" i="10"/>
  <c r="R30" i="27"/>
  <c r="Y30" i="27" s="1"/>
  <c r="X30" i="10"/>
  <c r="Q30" i="27"/>
  <c r="X30" i="27" s="1"/>
  <c r="V30" i="10"/>
  <c r="O30" i="27"/>
  <c r="V30" i="27" s="1"/>
  <c r="S30" i="27" l="1"/>
  <c r="E32" i="18"/>
  <c r="E39" i="17" l="1"/>
  <c r="P7" i="18" l="1"/>
  <c r="P11" i="18"/>
  <c r="E28" i="18" l="1"/>
  <c r="AZ8" i="32" l="1"/>
  <c r="E67" i="1" l="1"/>
  <c r="L67" i="1"/>
  <c r="L57" i="1"/>
  <c r="L56" i="1"/>
  <c r="L54" i="1"/>
  <c r="E36" i="10" l="1"/>
  <c r="BI9" i="32" l="1"/>
  <c r="BH9" i="32"/>
  <c r="BG9" i="32"/>
  <c r="BF9" i="32"/>
  <c r="BE9" i="32" s="1"/>
  <c r="BI8" i="32"/>
  <c r="BH8" i="32"/>
  <c r="BG8" i="32"/>
  <c r="BF8" i="32"/>
  <c r="BE8" i="32" s="1"/>
  <c r="BI7" i="32"/>
  <c r="BH7" i="32"/>
  <c r="BG7" i="32"/>
  <c r="BF7" i="32"/>
  <c r="BE7" i="32" s="1"/>
  <c r="BI6" i="32"/>
  <c r="BH6" i="32"/>
  <c r="BG6" i="32"/>
  <c r="BF6" i="32"/>
  <c r="BE6" i="32" s="1"/>
  <c r="BI5" i="32"/>
  <c r="BH5" i="32"/>
  <c r="BG5" i="32"/>
  <c r="BF5" i="32"/>
  <c r="BE5" i="32" s="1"/>
  <c r="BI4" i="32"/>
  <c r="BH4" i="32"/>
  <c r="BG4" i="32"/>
  <c r="BF4" i="32"/>
  <c r="BE4" i="32" s="1"/>
  <c r="BD9" i="32"/>
  <c r="BD8" i="32"/>
  <c r="BD7" i="32"/>
  <c r="BD6" i="32"/>
  <c r="BD5" i="32"/>
  <c r="BD4" i="32"/>
  <c r="BC9" i="32"/>
  <c r="BC8" i="32"/>
  <c r="BC7" i="32"/>
  <c r="BC6" i="32"/>
  <c r="BC5" i="32"/>
  <c r="BC4" i="32"/>
  <c r="BA9" i="32"/>
  <c r="AZ9" i="32"/>
  <c r="AY9" i="32"/>
  <c r="AX9" i="32"/>
  <c r="AW9" i="32"/>
  <c r="AV9" i="32"/>
  <c r="BA8" i="32"/>
  <c r="AY8" i="32"/>
  <c r="AX8" i="32"/>
  <c r="AW8" i="32"/>
  <c r="AV8" i="32"/>
  <c r="BA7" i="32"/>
  <c r="AZ7" i="32"/>
  <c r="AY7" i="32"/>
  <c r="AX7" i="32"/>
  <c r="AW7" i="32"/>
  <c r="AV7" i="32"/>
  <c r="BA6" i="32"/>
  <c r="AZ6" i="32"/>
  <c r="AY6" i="32"/>
  <c r="AX6" i="32"/>
  <c r="AW6" i="32"/>
  <c r="AV6" i="32"/>
  <c r="BA5" i="32"/>
  <c r="AZ5" i="32"/>
  <c r="AY5" i="32"/>
  <c r="AX5" i="32"/>
  <c r="AW5" i="32"/>
  <c r="AV5" i="32"/>
  <c r="BA4" i="32"/>
  <c r="AZ4" i="32"/>
  <c r="AY4" i="32"/>
  <c r="AX4" i="32"/>
  <c r="AW4" i="32"/>
  <c r="AV4" i="32"/>
  <c r="AU9" i="32"/>
  <c r="AU8" i="32"/>
  <c r="AU7" i="32"/>
  <c r="AU6" i="32"/>
  <c r="AU5" i="32"/>
  <c r="AU4" i="32"/>
  <c r="Y9" i="32"/>
  <c r="Y8" i="32"/>
  <c r="Y7" i="32"/>
  <c r="Y6" i="32"/>
  <c r="Y5" i="32"/>
  <c r="Y4" i="32"/>
  <c r="M10" i="13" l="1"/>
  <c r="M5" i="13"/>
  <c r="J10" i="13"/>
  <c r="J5" i="13"/>
  <c r="H10" i="13"/>
  <c r="H5" i="13"/>
  <c r="M10" i="12"/>
  <c r="M5" i="12"/>
  <c r="J10" i="12"/>
  <c r="J5" i="12"/>
  <c r="H10" i="12"/>
  <c r="H5" i="12"/>
  <c r="M10" i="11"/>
  <c r="M5" i="11"/>
  <c r="J10" i="11"/>
  <c r="J5" i="11"/>
  <c r="H10" i="11"/>
  <c r="H5" i="11"/>
  <c r="M10" i="10"/>
  <c r="M5" i="10"/>
  <c r="J10" i="10"/>
  <c r="J5" i="10"/>
  <c r="H10" i="10"/>
  <c r="H5" i="10"/>
  <c r="M10" i="9"/>
  <c r="M5" i="9"/>
  <c r="J10" i="9"/>
  <c r="J5" i="9"/>
  <c r="H10" i="9"/>
  <c r="H5" i="9"/>
  <c r="M10" i="8"/>
  <c r="M5" i="8"/>
  <c r="J10" i="8"/>
  <c r="J5" i="8"/>
  <c r="H10" i="8"/>
  <c r="H5" i="8"/>
  <c r="M10" i="7"/>
  <c r="M5" i="7"/>
  <c r="J10" i="7"/>
  <c r="J5" i="7"/>
  <c r="H10" i="7"/>
  <c r="H5" i="7"/>
  <c r="M10" i="6"/>
  <c r="M5" i="6"/>
  <c r="J10" i="6"/>
  <c r="J5" i="6"/>
  <c r="H10" i="6"/>
  <c r="H5" i="6"/>
  <c r="M10" i="5"/>
  <c r="M5" i="5"/>
  <c r="J10" i="5"/>
  <c r="J5" i="5"/>
  <c r="H10" i="5"/>
  <c r="H5" i="5"/>
  <c r="M10" i="4"/>
  <c r="M5" i="4"/>
  <c r="J10" i="4"/>
  <c r="J5" i="4"/>
  <c r="H10" i="4"/>
  <c r="H5" i="4"/>
  <c r="M10" i="3"/>
  <c r="M5" i="3"/>
  <c r="J10" i="3"/>
  <c r="J5" i="3"/>
  <c r="H10" i="3"/>
  <c r="H5" i="3"/>
  <c r="M10" i="2"/>
  <c r="M5" i="2"/>
  <c r="J10" i="2"/>
  <c r="J5" i="2"/>
  <c r="H10" i="2"/>
  <c r="H5" i="2"/>
  <c r="X5" i="28" l="1"/>
  <c r="X6" i="28"/>
  <c r="X7" i="28"/>
  <c r="X8" i="28"/>
  <c r="X9" i="28"/>
  <c r="X10" i="28"/>
  <c r="X11" i="28"/>
  <c r="X12" i="28"/>
  <c r="X13" i="28"/>
  <c r="X14" i="28"/>
  <c r="X15" i="28"/>
  <c r="X16" i="28"/>
  <c r="X17" i="28"/>
  <c r="X18" i="28"/>
  <c r="X19" i="28"/>
  <c r="X20" i="28"/>
  <c r="X21" i="28"/>
  <c r="X22" i="28"/>
  <c r="X23" i="28"/>
  <c r="X24" i="28"/>
  <c r="X25" i="28"/>
  <c r="X26" i="28"/>
  <c r="X27" i="28"/>
  <c r="X28" i="28"/>
  <c r="X29" i="28"/>
  <c r="X31" i="28"/>
  <c r="X32" i="28"/>
  <c r="X33" i="28"/>
  <c r="X34" i="28"/>
  <c r="X35" i="28"/>
  <c r="X36" i="28"/>
  <c r="X5" i="29"/>
  <c r="X6" i="29"/>
  <c r="X7" i="29"/>
  <c r="X8" i="29"/>
  <c r="X9" i="29"/>
  <c r="X10" i="29"/>
  <c r="X11" i="29"/>
  <c r="X12" i="29"/>
  <c r="X13" i="29"/>
  <c r="X14" i="29"/>
  <c r="X15" i="29"/>
  <c r="X16" i="29"/>
  <c r="X17" i="29"/>
  <c r="X18" i="29"/>
  <c r="X19" i="29"/>
  <c r="X20" i="29"/>
  <c r="X21" i="29"/>
  <c r="X22" i="29"/>
  <c r="X23" i="29"/>
  <c r="X24" i="29"/>
  <c r="X25" i="29"/>
  <c r="X26" i="29"/>
  <c r="X27" i="29"/>
  <c r="X28" i="29"/>
  <c r="X29" i="29"/>
  <c r="X31" i="29"/>
  <c r="X32" i="29"/>
  <c r="X33" i="29"/>
  <c r="X34" i="29"/>
  <c r="X35" i="29"/>
  <c r="X36" i="29"/>
  <c r="X5" i="30"/>
  <c r="X6" i="30"/>
  <c r="X7" i="30"/>
  <c r="X8" i="30"/>
  <c r="X9" i="30"/>
  <c r="X10" i="30"/>
  <c r="X11" i="30"/>
  <c r="X12" i="30"/>
  <c r="X13" i="30"/>
  <c r="X14" i="30"/>
  <c r="X15" i="30"/>
  <c r="X16" i="30"/>
  <c r="X17" i="30"/>
  <c r="X18" i="30"/>
  <c r="X19" i="30"/>
  <c r="X20" i="30"/>
  <c r="X21" i="30"/>
  <c r="X22" i="30"/>
  <c r="X23" i="30"/>
  <c r="X24" i="30"/>
  <c r="X25" i="30"/>
  <c r="X26" i="30"/>
  <c r="X27" i="30"/>
  <c r="X28" i="30"/>
  <c r="X29" i="30"/>
  <c r="X31" i="30"/>
  <c r="X32" i="30"/>
  <c r="X33" i="30"/>
  <c r="X34" i="30"/>
  <c r="X35" i="30"/>
  <c r="X36" i="30"/>
  <c r="Q37" i="28"/>
  <c r="Q15" i="26" s="1"/>
  <c r="Q38" i="28" s="1"/>
  <c r="Q39" i="28" s="1"/>
  <c r="AC30" i="28" s="1"/>
  <c r="Q37" i="29"/>
  <c r="Q16" i="26" s="1"/>
  <c r="Q38" i="29" s="1"/>
  <c r="Q39" i="29" s="1"/>
  <c r="AC9" i="29" s="1"/>
  <c r="Q37" i="30"/>
  <c r="Q17" i="26" s="1"/>
  <c r="I37" i="28"/>
  <c r="I38" i="28" s="1"/>
  <c r="I39" i="28" s="1"/>
  <c r="I37" i="29"/>
  <c r="I38" i="29" s="1"/>
  <c r="I39" i="29" s="1"/>
  <c r="I37" i="30"/>
  <c r="I38" i="30" s="1"/>
  <c r="I39" i="30" s="1"/>
  <c r="X20" i="17"/>
  <c r="X15" i="18"/>
  <c r="X18" i="18"/>
  <c r="X27" i="18"/>
  <c r="Q20" i="17"/>
  <c r="Q7" i="18"/>
  <c r="X7" i="18" s="1"/>
  <c r="Q8" i="18"/>
  <c r="X8" i="18" s="1"/>
  <c r="Q11" i="18"/>
  <c r="X11" i="18" s="1"/>
  <c r="Q15" i="18"/>
  <c r="Q16" i="18"/>
  <c r="X16" i="18" s="1"/>
  <c r="Q17" i="18"/>
  <c r="X17" i="18" s="1"/>
  <c r="Q18" i="18"/>
  <c r="Q19" i="18"/>
  <c r="X19" i="18" s="1"/>
  <c r="Q20" i="18"/>
  <c r="X20" i="18" s="1"/>
  <c r="Q21" i="18"/>
  <c r="X21" i="18" s="1"/>
  <c r="Q22" i="18"/>
  <c r="X22" i="18" s="1"/>
  <c r="Q23" i="18"/>
  <c r="X23" i="18" s="1"/>
  <c r="Q24" i="18"/>
  <c r="X24" i="18" s="1"/>
  <c r="Q25" i="18"/>
  <c r="X25" i="18" s="1"/>
  <c r="Q26" i="18"/>
  <c r="X26" i="18" s="1"/>
  <c r="Q27" i="18"/>
  <c r="Q28" i="18"/>
  <c r="X28" i="18" s="1"/>
  <c r="Q29" i="18"/>
  <c r="X29" i="18" s="1"/>
  <c r="Q31" i="18"/>
  <c r="I5" i="15"/>
  <c r="Q5" i="15" s="1"/>
  <c r="X5" i="15" s="1"/>
  <c r="I6" i="15"/>
  <c r="Q6" i="15" s="1"/>
  <c r="X6" i="15" s="1"/>
  <c r="I7" i="15"/>
  <c r="Q7" i="15" s="1"/>
  <c r="X7" i="15" s="1"/>
  <c r="I8" i="15"/>
  <c r="I9" i="15"/>
  <c r="Q9" i="15" s="1"/>
  <c r="X9" i="15" s="1"/>
  <c r="I10" i="15"/>
  <c r="Q10" i="15" s="1"/>
  <c r="X10" i="15" s="1"/>
  <c r="I11" i="15"/>
  <c r="Q11" i="15" s="1"/>
  <c r="X11" i="15" s="1"/>
  <c r="I12" i="15"/>
  <c r="Q12" i="15" s="1"/>
  <c r="X12" i="15" s="1"/>
  <c r="I13" i="15"/>
  <c r="Q13" i="15" s="1"/>
  <c r="X13" i="15" s="1"/>
  <c r="I14" i="15"/>
  <c r="Q14" i="15" s="1"/>
  <c r="X14" i="15" s="1"/>
  <c r="I5" i="16"/>
  <c r="Q5" i="16" s="1"/>
  <c r="I7" i="16"/>
  <c r="Q7" i="16" s="1"/>
  <c r="X7" i="16" s="1"/>
  <c r="I6" i="17"/>
  <c r="Q6" i="17" s="1"/>
  <c r="I7" i="17"/>
  <c r="Q7" i="17" s="1"/>
  <c r="X7" i="17" s="1"/>
  <c r="I8" i="17"/>
  <c r="Q8" i="17" s="1"/>
  <c r="X8" i="17" s="1"/>
  <c r="I9" i="17"/>
  <c r="I10" i="17"/>
  <c r="Q10" i="17" s="1"/>
  <c r="X10" i="17" s="1"/>
  <c r="I11" i="17"/>
  <c r="Q11" i="17" s="1"/>
  <c r="X11" i="17" s="1"/>
  <c r="I12" i="17"/>
  <c r="Q12" i="17" s="1"/>
  <c r="X12" i="17" s="1"/>
  <c r="I15" i="17"/>
  <c r="I16" i="17"/>
  <c r="Q16" i="17" s="1"/>
  <c r="X16" i="17" s="1"/>
  <c r="I5" i="18"/>
  <c r="I6" i="18" s="1"/>
  <c r="Q6" i="18" s="1"/>
  <c r="X6" i="18" s="1"/>
  <c r="I14" i="18"/>
  <c r="I30" i="18" s="1"/>
  <c r="I32" i="18"/>
  <c r="I30" i="26" s="1"/>
  <c r="I34" i="18"/>
  <c r="Q34" i="18" s="1"/>
  <c r="I5" i="14"/>
  <c r="Q5" i="14" s="1"/>
  <c r="X5" i="14" s="1"/>
  <c r="I6" i="14"/>
  <c r="I7" i="14"/>
  <c r="Q7" i="14" s="1"/>
  <c r="X7" i="14" s="1"/>
  <c r="I8" i="14"/>
  <c r="Q8" i="14" s="1"/>
  <c r="X8" i="14" s="1"/>
  <c r="I9" i="14"/>
  <c r="Q9" i="14" s="1"/>
  <c r="X9" i="14" s="1"/>
  <c r="I10" i="14"/>
  <c r="Q10" i="14" s="1"/>
  <c r="X10" i="14" s="1"/>
  <c r="I11" i="14"/>
  <c r="Q11" i="14" s="1"/>
  <c r="X11" i="14" s="1"/>
  <c r="I12" i="14"/>
  <c r="Q12" i="14" s="1"/>
  <c r="X12" i="14" s="1"/>
  <c r="I13" i="14"/>
  <c r="Q13" i="14" s="1"/>
  <c r="X13" i="14" s="1"/>
  <c r="I14" i="14"/>
  <c r="Q14" i="14" s="1"/>
  <c r="X14" i="14" s="1"/>
  <c r="I15" i="14"/>
  <c r="Q15" i="14" s="1"/>
  <c r="X15" i="14" s="1"/>
  <c r="I16" i="14"/>
  <c r="Q16" i="14" s="1"/>
  <c r="X16" i="14" s="1"/>
  <c r="I17" i="14"/>
  <c r="Q17" i="14" s="1"/>
  <c r="X17" i="14" s="1"/>
  <c r="I18" i="14"/>
  <c r="Q18" i="14" s="1"/>
  <c r="X18" i="14" s="1"/>
  <c r="I19" i="14"/>
  <c r="Q19" i="14" s="1"/>
  <c r="X19" i="14" s="1"/>
  <c r="I20" i="14"/>
  <c r="Q20" i="14" s="1"/>
  <c r="X20" i="14" s="1"/>
  <c r="I21" i="14"/>
  <c r="Q21" i="14" s="1"/>
  <c r="X21" i="14" s="1"/>
  <c r="I22" i="14"/>
  <c r="Q22" i="14" s="1"/>
  <c r="X22" i="14" s="1"/>
  <c r="I23" i="14"/>
  <c r="Q23" i="14" s="1"/>
  <c r="X23" i="14" s="1"/>
  <c r="I24" i="14"/>
  <c r="Q24" i="14" s="1"/>
  <c r="X24" i="14" s="1"/>
  <c r="I25" i="14"/>
  <c r="Q25" i="14" s="1"/>
  <c r="X25" i="14" s="1"/>
  <c r="I26" i="14"/>
  <c r="Q26" i="14" s="1"/>
  <c r="X26" i="14" s="1"/>
  <c r="I27" i="14"/>
  <c r="Q27" i="14" s="1"/>
  <c r="X27" i="14" s="1"/>
  <c r="I28" i="14"/>
  <c r="Q28" i="14" s="1"/>
  <c r="X28" i="14" s="1"/>
  <c r="I29" i="14"/>
  <c r="Q29" i="14" s="1"/>
  <c r="X29" i="14" s="1"/>
  <c r="I30" i="14"/>
  <c r="Q30" i="14" s="1"/>
  <c r="X30" i="14" s="1"/>
  <c r="I31" i="14"/>
  <c r="Q31" i="14" s="1"/>
  <c r="X31" i="14" s="1"/>
  <c r="I32" i="14"/>
  <c r="Q32" i="14" s="1"/>
  <c r="X32" i="14" s="1"/>
  <c r="I33" i="14"/>
  <c r="Q33" i="14" s="1"/>
  <c r="X33" i="14" s="1"/>
  <c r="I34" i="14"/>
  <c r="Q34" i="14" s="1"/>
  <c r="X34" i="14" s="1"/>
  <c r="I35" i="14"/>
  <c r="Q35" i="14" s="1"/>
  <c r="X35" i="14" s="1"/>
  <c r="I35" i="3"/>
  <c r="Q35" i="3" s="1"/>
  <c r="X35" i="3" s="1"/>
  <c r="I34" i="3"/>
  <c r="Q34" i="3" s="1"/>
  <c r="X34" i="3" s="1"/>
  <c r="I33" i="3"/>
  <c r="Q33" i="3" s="1"/>
  <c r="X33" i="3" s="1"/>
  <c r="I32" i="3"/>
  <c r="Q32" i="3" s="1"/>
  <c r="X32" i="3" s="1"/>
  <c r="I31" i="3"/>
  <c r="Q31" i="3" s="1"/>
  <c r="X31" i="3" s="1"/>
  <c r="I30" i="3"/>
  <c r="Q30" i="3" s="1"/>
  <c r="X30" i="3" s="1"/>
  <c r="I29" i="3"/>
  <c r="Q29" i="3" s="1"/>
  <c r="X29" i="3" s="1"/>
  <c r="I28" i="3"/>
  <c r="Q28" i="3" s="1"/>
  <c r="X28" i="3" s="1"/>
  <c r="I27" i="3"/>
  <c r="Q27" i="3" s="1"/>
  <c r="X27" i="3" s="1"/>
  <c r="I26" i="3"/>
  <c r="Q26" i="3" s="1"/>
  <c r="X26" i="3" s="1"/>
  <c r="I25" i="3"/>
  <c r="Q25" i="3" s="1"/>
  <c r="X25" i="3" s="1"/>
  <c r="I24" i="3"/>
  <c r="Q24" i="3" s="1"/>
  <c r="X24" i="3" s="1"/>
  <c r="I23" i="3"/>
  <c r="Q23" i="3" s="1"/>
  <c r="X23" i="3" s="1"/>
  <c r="I22" i="3"/>
  <c r="Q22" i="3" s="1"/>
  <c r="X22" i="3" s="1"/>
  <c r="I21" i="3"/>
  <c r="Q21" i="3" s="1"/>
  <c r="X21" i="3" s="1"/>
  <c r="I20" i="3"/>
  <c r="Q20" i="3" s="1"/>
  <c r="X20" i="3" s="1"/>
  <c r="I19" i="3"/>
  <c r="Q19" i="3" s="1"/>
  <c r="X19" i="3" s="1"/>
  <c r="I18" i="3"/>
  <c r="Q18" i="3" s="1"/>
  <c r="X18" i="3" s="1"/>
  <c r="I17" i="3"/>
  <c r="Q17" i="3" s="1"/>
  <c r="X17" i="3" s="1"/>
  <c r="I16" i="3"/>
  <c r="Q16" i="3" s="1"/>
  <c r="X16" i="3" s="1"/>
  <c r="I15" i="3"/>
  <c r="Q15" i="3" s="1"/>
  <c r="X15" i="3" s="1"/>
  <c r="I14" i="3"/>
  <c r="Q14" i="3" s="1"/>
  <c r="X14" i="3" s="1"/>
  <c r="I13" i="3"/>
  <c r="Q13" i="3" s="1"/>
  <c r="X13" i="3" s="1"/>
  <c r="I12" i="3"/>
  <c r="Q12" i="3" s="1"/>
  <c r="X12" i="3" s="1"/>
  <c r="I11" i="3"/>
  <c r="Q11" i="3" s="1"/>
  <c r="X11" i="3" s="1"/>
  <c r="I10" i="3"/>
  <c r="Q10" i="3" s="1"/>
  <c r="X10" i="3" s="1"/>
  <c r="I9" i="3"/>
  <c r="Q9" i="3" s="1"/>
  <c r="X9" i="3" s="1"/>
  <c r="I8" i="3"/>
  <c r="Q8" i="3" s="1"/>
  <c r="X8" i="3" s="1"/>
  <c r="I7" i="3"/>
  <c r="Q7" i="3" s="1"/>
  <c r="X7" i="3" s="1"/>
  <c r="I6" i="3"/>
  <c r="Q6" i="3" s="1"/>
  <c r="X6" i="3" s="1"/>
  <c r="I5" i="3"/>
  <c r="Q5" i="3" s="1"/>
  <c r="X5" i="3" s="1"/>
  <c r="I35" i="4"/>
  <c r="Q35" i="4" s="1"/>
  <c r="X35" i="4" s="1"/>
  <c r="I34" i="4"/>
  <c r="Q34" i="4" s="1"/>
  <c r="X34" i="4" s="1"/>
  <c r="I33" i="4"/>
  <c r="Q33" i="4" s="1"/>
  <c r="X33" i="4" s="1"/>
  <c r="I32" i="4"/>
  <c r="Q32" i="4" s="1"/>
  <c r="X32" i="4" s="1"/>
  <c r="I31" i="4"/>
  <c r="Q31" i="4" s="1"/>
  <c r="X31" i="4" s="1"/>
  <c r="I30" i="4"/>
  <c r="Q30" i="4" s="1"/>
  <c r="X30" i="4" s="1"/>
  <c r="I29" i="4"/>
  <c r="Q29" i="4" s="1"/>
  <c r="X29" i="4" s="1"/>
  <c r="I28" i="4"/>
  <c r="Q28" i="4" s="1"/>
  <c r="X28" i="4" s="1"/>
  <c r="I27" i="4"/>
  <c r="Q27" i="4" s="1"/>
  <c r="X27" i="4" s="1"/>
  <c r="I26" i="4"/>
  <c r="Q26" i="4" s="1"/>
  <c r="X26" i="4" s="1"/>
  <c r="I25" i="4"/>
  <c r="Q25" i="4" s="1"/>
  <c r="X25" i="4" s="1"/>
  <c r="I24" i="4"/>
  <c r="Q24" i="4" s="1"/>
  <c r="X24" i="4" s="1"/>
  <c r="I23" i="4"/>
  <c r="Q23" i="4" s="1"/>
  <c r="X23" i="4" s="1"/>
  <c r="I22" i="4"/>
  <c r="Q22" i="4" s="1"/>
  <c r="X22" i="4" s="1"/>
  <c r="I21" i="4"/>
  <c r="Q21" i="4" s="1"/>
  <c r="X21" i="4" s="1"/>
  <c r="I20" i="4"/>
  <c r="Q20" i="4" s="1"/>
  <c r="X20" i="4" s="1"/>
  <c r="I19" i="4"/>
  <c r="Q19" i="4" s="1"/>
  <c r="X19" i="4" s="1"/>
  <c r="I18" i="4"/>
  <c r="Q18" i="4" s="1"/>
  <c r="X18" i="4" s="1"/>
  <c r="I17" i="4"/>
  <c r="Q17" i="4" s="1"/>
  <c r="X17" i="4" s="1"/>
  <c r="I16" i="4"/>
  <c r="Q16" i="4" s="1"/>
  <c r="X16" i="4" s="1"/>
  <c r="I15" i="4"/>
  <c r="Q15" i="4" s="1"/>
  <c r="X15" i="4" s="1"/>
  <c r="I14" i="4"/>
  <c r="Q14" i="4" s="1"/>
  <c r="X14" i="4" s="1"/>
  <c r="I13" i="4"/>
  <c r="Q13" i="4" s="1"/>
  <c r="X13" i="4" s="1"/>
  <c r="I12" i="4"/>
  <c r="Q12" i="4" s="1"/>
  <c r="X12" i="4" s="1"/>
  <c r="I11" i="4"/>
  <c r="Q11" i="4" s="1"/>
  <c r="X11" i="4" s="1"/>
  <c r="I10" i="4"/>
  <c r="Q10" i="4" s="1"/>
  <c r="X10" i="4" s="1"/>
  <c r="I9" i="4"/>
  <c r="Q9" i="4" s="1"/>
  <c r="X9" i="4" s="1"/>
  <c r="I8" i="4"/>
  <c r="Q8" i="4" s="1"/>
  <c r="X8" i="4" s="1"/>
  <c r="I7" i="4"/>
  <c r="Q7" i="4" s="1"/>
  <c r="X7" i="4" s="1"/>
  <c r="I6" i="4"/>
  <c r="Q6" i="4" s="1"/>
  <c r="X6" i="4" s="1"/>
  <c r="I5" i="4"/>
  <c r="Q5" i="4" s="1"/>
  <c r="X5" i="4" s="1"/>
  <c r="I35" i="5"/>
  <c r="Q35" i="5" s="1"/>
  <c r="X35" i="5" s="1"/>
  <c r="I34" i="5"/>
  <c r="Q34" i="5" s="1"/>
  <c r="X34" i="5" s="1"/>
  <c r="I33" i="5"/>
  <c r="Q33" i="5" s="1"/>
  <c r="X33" i="5" s="1"/>
  <c r="I32" i="5"/>
  <c r="Q32" i="5" s="1"/>
  <c r="X32" i="5" s="1"/>
  <c r="I31" i="5"/>
  <c r="Q31" i="5" s="1"/>
  <c r="X31" i="5" s="1"/>
  <c r="I30" i="5"/>
  <c r="Q30" i="5" s="1"/>
  <c r="X30" i="5" s="1"/>
  <c r="I29" i="5"/>
  <c r="Q29" i="5" s="1"/>
  <c r="X29" i="5" s="1"/>
  <c r="I28" i="5"/>
  <c r="Q28" i="5" s="1"/>
  <c r="X28" i="5" s="1"/>
  <c r="I27" i="5"/>
  <c r="Q27" i="5" s="1"/>
  <c r="X27" i="5" s="1"/>
  <c r="I26" i="5"/>
  <c r="Q26" i="5" s="1"/>
  <c r="X26" i="5" s="1"/>
  <c r="I25" i="5"/>
  <c r="Q25" i="5" s="1"/>
  <c r="X25" i="5" s="1"/>
  <c r="I24" i="5"/>
  <c r="Q24" i="5" s="1"/>
  <c r="X24" i="5" s="1"/>
  <c r="I23" i="5"/>
  <c r="Q23" i="5" s="1"/>
  <c r="X23" i="5" s="1"/>
  <c r="I22" i="5"/>
  <c r="Q22" i="5" s="1"/>
  <c r="X22" i="5" s="1"/>
  <c r="I21" i="5"/>
  <c r="Q21" i="5" s="1"/>
  <c r="X21" i="5" s="1"/>
  <c r="I20" i="5"/>
  <c r="Q20" i="5" s="1"/>
  <c r="X20" i="5" s="1"/>
  <c r="I19" i="5"/>
  <c r="Q19" i="5" s="1"/>
  <c r="X19" i="5" s="1"/>
  <c r="I18" i="5"/>
  <c r="Q18" i="5" s="1"/>
  <c r="X18" i="5" s="1"/>
  <c r="I17" i="5"/>
  <c r="Q17" i="5" s="1"/>
  <c r="X17" i="5" s="1"/>
  <c r="I16" i="5"/>
  <c r="Q16" i="5" s="1"/>
  <c r="X16" i="5" s="1"/>
  <c r="I15" i="5"/>
  <c r="Q15" i="5" s="1"/>
  <c r="X15" i="5" s="1"/>
  <c r="I14" i="5"/>
  <c r="Q14" i="5" s="1"/>
  <c r="X14" i="5" s="1"/>
  <c r="I13" i="5"/>
  <c r="Q13" i="5" s="1"/>
  <c r="X13" i="5" s="1"/>
  <c r="I12" i="5"/>
  <c r="Q12" i="5" s="1"/>
  <c r="X12" i="5" s="1"/>
  <c r="I11" i="5"/>
  <c r="Q11" i="5" s="1"/>
  <c r="X11" i="5" s="1"/>
  <c r="I10" i="5"/>
  <c r="Q10" i="5" s="1"/>
  <c r="X10" i="5" s="1"/>
  <c r="I9" i="5"/>
  <c r="Q9" i="5" s="1"/>
  <c r="X9" i="5" s="1"/>
  <c r="I8" i="5"/>
  <c r="Q8" i="5" s="1"/>
  <c r="X8" i="5" s="1"/>
  <c r="I7" i="5"/>
  <c r="Q7" i="5" s="1"/>
  <c r="X7" i="5" s="1"/>
  <c r="I6" i="5"/>
  <c r="Q6" i="5" s="1"/>
  <c r="X6" i="5" s="1"/>
  <c r="I5" i="5"/>
  <c r="Q5" i="5" s="1"/>
  <c r="X5" i="5" s="1"/>
  <c r="I35" i="6"/>
  <c r="Q35" i="6" s="1"/>
  <c r="X35" i="6" s="1"/>
  <c r="I34" i="6"/>
  <c r="Q34" i="6" s="1"/>
  <c r="X34" i="6" s="1"/>
  <c r="I33" i="6"/>
  <c r="Q33" i="6" s="1"/>
  <c r="X33" i="6" s="1"/>
  <c r="I32" i="6"/>
  <c r="Q32" i="6" s="1"/>
  <c r="X32" i="6" s="1"/>
  <c r="I31" i="6"/>
  <c r="Q31" i="6" s="1"/>
  <c r="X31" i="6" s="1"/>
  <c r="I30" i="6"/>
  <c r="Q30" i="6" s="1"/>
  <c r="X30" i="6" s="1"/>
  <c r="I29" i="6"/>
  <c r="Q29" i="6" s="1"/>
  <c r="X29" i="6" s="1"/>
  <c r="I28" i="6"/>
  <c r="Q28" i="6" s="1"/>
  <c r="X28" i="6" s="1"/>
  <c r="I27" i="6"/>
  <c r="Q27" i="6" s="1"/>
  <c r="X27" i="6" s="1"/>
  <c r="I26" i="6"/>
  <c r="Q26" i="6" s="1"/>
  <c r="X26" i="6" s="1"/>
  <c r="I25" i="6"/>
  <c r="Q25" i="6" s="1"/>
  <c r="X25" i="6" s="1"/>
  <c r="I24" i="6"/>
  <c r="Q24" i="6" s="1"/>
  <c r="X24" i="6" s="1"/>
  <c r="I23" i="6"/>
  <c r="Q23" i="6" s="1"/>
  <c r="X23" i="6" s="1"/>
  <c r="I22" i="6"/>
  <c r="Q22" i="6" s="1"/>
  <c r="X22" i="6" s="1"/>
  <c r="I21" i="6"/>
  <c r="Q21" i="6" s="1"/>
  <c r="X21" i="6" s="1"/>
  <c r="I20" i="6"/>
  <c r="Q20" i="6" s="1"/>
  <c r="X20" i="6" s="1"/>
  <c r="I19" i="6"/>
  <c r="Q19" i="6" s="1"/>
  <c r="X19" i="6" s="1"/>
  <c r="I18" i="6"/>
  <c r="Q18" i="6" s="1"/>
  <c r="X18" i="6" s="1"/>
  <c r="I17" i="6"/>
  <c r="Q17" i="6" s="1"/>
  <c r="X17" i="6" s="1"/>
  <c r="I16" i="6"/>
  <c r="Q16" i="6" s="1"/>
  <c r="X16" i="6" s="1"/>
  <c r="I15" i="6"/>
  <c r="Q15" i="6" s="1"/>
  <c r="X15" i="6" s="1"/>
  <c r="I14" i="6"/>
  <c r="Q14" i="6" s="1"/>
  <c r="X14" i="6" s="1"/>
  <c r="I13" i="6"/>
  <c r="Q13" i="6" s="1"/>
  <c r="X13" i="6" s="1"/>
  <c r="I12" i="6"/>
  <c r="Q12" i="6" s="1"/>
  <c r="X12" i="6" s="1"/>
  <c r="I11" i="6"/>
  <c r="Q11" i="6" s="1"/>
  <c r="X11" i="6" s="1"/>
  <c r="I10" i="6"/>
  <c r="Q10" i="6" s="1"/>
  <c r="X10" i="6" s="1"/>
  <c r="I9" i="6"/>
  <c r="Q9" i="6" s="1"/>
  <c r="X9" i="6" s="1"/>
  <c r="I8" i="6"/>
  <c r="Q8" i="6" s="1"/>
  <c r="X8" i="6" s="1"/>
  <c r="I7" i="6"/>
  <c r="Q7" i="6" s="1"/>
  <c r="X7" i="6" s="1"/>
  <c r="I6" i="6"/>
  <c r="Q6" i="6" s="1"/>
  <c r="X6" i="6" s="1"/>
  <c r="I5" i="6"/>
  <c r="Q5" i="6" s="1"/>
  <c r="X5" i="6" s="1"/>
  <c r="I35" i="7"/>
  <c r="Q35" i="7" s="1"/>
  <c r="X35" i="7" s="1"/>
  <c r="I34" i="7"/>
  <c r="Q34" i="7" s="1"/>
  <c r="X34" i="7" s="1"/>
  <c r="I33" i="7"/>
  <c r="Q33" i="7" s="1"/>
  <c r="X33" i="7" s="1"/>
  <c r="I32" i="7"/>
  <c r="Q32" i="7" s="1"/>
  <c r="X32" i="7" s="1"/>
  <c r="I31" i="7"/>
  <c r="Q31" i="7" s="1"/>
  <c r="X31" i="7" s="1"/>
  <c r="I30" i="7"/>
  <c r="Q30" i="7" s="1"/>
  <c r="X30" i="7" s="1"/>
  <c r="I29" i="7"/>
  <c r="Q29" i="7" s="1"/>
  <c r="X29" i="7" s="1"/>
  <c r="I28" i="7"/>
  <c r="Q28" i="7" s="1"/>
  <c r="X28" i="7" s="1"/>
  <c r="I27" i="7"/>
  <c r="Q27" i="7" s="1"/>
  <c r="X27" i="7" s="1"/>
  <c r="I26" i="7"/>
  <c r="Q26" i="7" s="1"/>
  <c r="X26" i="7" s="1"/>
  <c r="I25" i="7"/>
  <c r="Q25" i="7" s="1"/>
  <c r="X25" i="7" s="1"/>
  <c r="I24" i="7"/>
  <c r="Q24" i="7" s="1"/>
  <c r="X24" i="7" s="1"/>
  <c r="I23" i="7"/>
  <c r="Q23" i="7" s="1"/>
  <c r="X23" i="7" s="1"/>
  <c r="I22" i="7"/>
  <c r="Q22" i="7" s="1"/>
  <c r="X22" i="7" s="1"/>
  <c r="I21" i="7"/>
  <c r="Q21" i="7" s="1"/>
  <c r="X21" i="7" s="1"/>
  <c r="I20" i="7"/>
  <c r="Q20" i="7" s="1"/>
  <c r="X20" i="7" s="1"/>
  <c r="I19" i="7"/>
  <c r="Q19" i="7" s="1"/>
  <c r="X19" i="7" s="1"/>
  <c r="I18" i="7"/>
  <c r="Q18" i="7" s="1"/>
  <c r="X18" i="7" s="1"/>
  <c r="I17" i="7"/>
  <c r="Q17" i="7" s="1"/>
  <c r="X17" i="7" s="1"/>
  <c r="I16" i="7"/>
  <c r="Q16" i="7" s="1"/>
  <c r="X16" i="7" s="1"/>
  <c r="I15" i="7"/>
  <c r="Q15" i="7" s="1"/>
  <c r="X15" i="7" s="1"/>
  <c r="I14" i="7"/>
  <c r="Q14" i="7" s="1"/>
  <c r="X14" i="7" s="1"/>
  <c r="I13" i="7"/>
  <c r="Q13" i="7" s="1"/>
  <c r="X13" i="7" s="1"/>
  <c r="I12" i="7"/>
  <c r="Q12" i="7" s="1"/>
  <c r="X12" i="7" s="1"/>
  <c r="I11" i="7"/>
  <c r="Q11" i="7" s="1"/>
  <c r="X11" i="7" s="1"/>
  <c r="I10" i="7"/>
  <c r="Q10" i="7" s="1"/>
  <c r="X10" i="7" s="1"/>
  <c r="I9" i="7"/>
  <c r="Q9" i="7" s="1"/>
  <c r="X9" i="7" s="1"/>
  <c r="I8" i="7"/>
  <c r="Q8" i="7" s="1"/>
  <c r="X8" i="7" s="1"/>
  <c r="I7" i="7"/>
  <c r="Q7" i="7" s="1"/>
  <c r="X7" i="7" s="1"/>
  <c r="I6" i="7"/>
  <c r="Q6" i="7" s="1"/>
  <c r="X6" i="7" s="1"/>
  <c r="I5" i="7"/>
  <c r="Q5" i="7" s="1"/>
  <c r="X5" i="7" s="1"/>
  <c r="I35" i="8"/>
  <c r="Q35" i="8" s="1"/>
  <c r="X35" i="8" s="1"/>
  <c r="I34" i="8"/>
  <c r="Q34" i="8" s="1"/>
  <c r="X34" i="8" s="1"/>
  <c r="I33" i="8"/>
  <c r="Q33" i="8" s="1"/>
  <c r="X33" i="8" s="1"/>
  <c r="I32" i="8"/>
  <c r="Q32" i="8" s="1"/>
  <c r="X32" i="8" s="1"/>
  <c r="I31" i="8"/>
  <c r="Q31" i="8" s="1"/>
  <c r="X31" i="8" s="1"/>
  <c r="I30" i="8"/>
  <c r="Q30" i="8" s="1"/>
  <c r="X30" i="8" s="1"/>
  <c r="I29" i="8"/>
  <c r="Q29" i="8" s="1"/>
  <c r="X29" i="8" s="1"/>
  <c r="I28" i="8"/>
  <c r="Q28" i="8" s="1"/>
  <c r="X28" i="8" s="1"/>
  <c r="I27" i="8"/>
  <c r="Q27" i="8" s="1"/>
  <c r="X27" i="8" s="1"/>
  <c r="I26" i="8"/>
  <c r="Q26" i="8" s="1"/>
  <c r="X26" i="8" s="1"/>
  <c r="I25" i="8"/>
  <c r="Q25" i="8" s="1"/>
  <c r="X25" i="8" s="1"/>
  <c r="I24" i="8"/>
  <c r="Q24" i="8" s="1"/>
  <c r="X24" i="8" s="1"/>
  <c r="I23" i="8"/>
  <c r="Q23" i="8" s="1"/>
  <c r="X23" i="8" s="1"/>
  <c r="I22" i="8"/>
  <c r="Q22" i="8" s="1"/>
  <c r="X22" i="8" s="1"/>
  <c r="I21" i="8"/>
  <c r="Q21" i="8" s="1"/>
  <c r="X21" i="8" s="1"/>
  <c r="I20" i="8"/>
  <c r="Q20" i="8" s="1"/>
  <c r="X20" i="8" s="1"/>
  <c r="I19" i="8"/>
  <c r="Q19" i="8" s="1"/>
  <c r="X19" i="8" s="1"/>
  <c r="I18" i="8"/>
  <c r="Q18" i="8" s="1"/>
  <c r="X18" i="8" s="1"/>
  <c r="I17" i="8"/>
  <c r="Q17" i="8" s="1"/>
  <c r="X17" i="8" s="1"/>
  <c r="I16" i="8"/>
  <c r="Q16" i="8" s="1"/>
  <c r="X16" i="8" s="1"/>
  <c r="I15" i="8"/>
  <c r="Q15" i="8" s="1"/>
  <c r="X15" i="8" s="1"/>
  <c r="I14" i="8"/>
  <c r="Q14" i="8" s="1"/>
  <c r="X14" i="8" s="1"/>
  <c r="I13" i="8"/>
  <c r="Q13" i="8" s="1"/>
  <c r="X13" i="8" s="1"/>
  <c r="I12" i="8"/>
  <c r="Q12" i="8" s="1"/>
  <c r="X12" i="8" s="1"/>
  <c r="I11" i="8"/>
  <c r="Q11" i="8" s="1"/>
  <c r="X11" i="8" s="1"/>
  <c r="I10" i="8"/>
  <c r="Q10" i="8" s="1"/>
  <c r="X10" i="8" s="1"/>
  <c r="I9" i="8"/>
  <c r="Q9" i="8" s="1"/>
  <c r="X9" i="8" s="1"/>
  <c r="I8" i="8"/>
  <c r="Q8" i="8" s="1"/>
  <c r="X8" i="8" s="1"/>
  <c r="I7" i="8"/>
  <c r="Q7" i="8" s="1"/>
  <c r="X7" i="8" s="1"/>
  <c r="I6" i="8"/>
  <c r="Q6" i="8" s="1"/>
  <c r="X6" i="8" s="1"/>
  <c r="I5" i="8"/>
  <c r="Q5" i="8" s="1"/>
  <c r="X5" i="8" s="1"/>
  <c r="I35" i="9"/>
  <c r="Q35" i="9" s="1"/>
  <c r="X35" i="9" s="1"/>
  <c r="I34" i="9"/>
  <c r="Q34" i="9" s="1"/>
  <c r="X34" i="9" s="1"/>
  <c r="I33" i="9"/>
  <c r="Q33" i="9" s="1"/>
  <c r="X33" i="9" s="1"/>
  <c r="I32" i="9"/>
  <c r="Q32" i="9" s="1"/>
  <c r="X32" i="9" s="1"/>
  <c r="I31" i="9"/>
  <c r="Q31" i="9" s="1"/>
  <c r="X31" i="9" s="1"/>
  <c r="I30" i="9"/>
  <c r="Q30" i="9" s="1"/>
  <c r="X30" i="9" s="1"/>
  <c r="I29" i="9"/>
  <c r="Q29" i="9" s="1"/>
  <c r="X29" i="9" s="1"/>
  <c r="I28" i="9"/>
  <c r="Q28" i="9" s="1"/>
  <c r="X28" i="9" s="1"/>
  <c r="I27" i="9"/>
  <c r="Q27" i="9" s="1"/>
  <c r="X27" i="9" s="1"/>
  <c r="I26" i="9"/>
  <c r="Q26" i="9" s="1"/>
  <c r="X26" i="9" s="1"/>
  <c r="I25" i="9"/>
  <c r="Q25" i="9" s="1"/>
  <c r="X25" i="9" s="1"/>
  <c r="I24" i="9"/>
  <c r="Q24" i="9" s="1"/>
  <c r="X24" i="9" s="1"/>
  <c r="I23" i="9"/>
  <c r="Q23" i="9" s="1"/>
  <c r="X23" i="9" s="1"/>
  <c r="I22" i="9"/>
  <c r="Q22" i="9" s="1"/>
  <c r="X22" i="9" s="1"/>
  <c r="I21" i="9"/>
  <c r="Q21" i="9" s="1"/>
  <c r="X21" i="9" s="1"/>
  <c r="I20" i="9"/>
  <c r="Q20" i="9" s="1"/>
  <c r="X20" i="9" s="1"/>
  <c r="I19" i="9"/>
  <c r="Q19" i="9" s="1"/>
  <c r="X19" i="9" s="1"/>
  <c r="I18" i="9"/>
  <c r="Q18" i="9" s="1"/>
  <c r="X18" i="9" s="1"/>
  <c r="I17" i="9"/>
  <c r="Q17" i="9" s="1"/>
  <c r="X17" i="9" s="1"/>
  <c r="I16" i="9"/>
  <c r="Q16" i="9" s="1"/>
  <c r="X16" i="9" s="1"/>
  <c r="I15" i="9"/>
  <c r="Q15" i="9" s="1"/>
  <c r="X15" i="9" s="1"/>
  <c r="I14" i="9"/>
  <c r="Q14" i="9" s="1"/>
  <c r="X14" i="9" s="1"/>
  <c r="I13" i="9"/>
  <c r="Q13" i="9" s="1"/>
  <c r="X13" i="9" s="1"/>
  <c r="I12" i="9"/>
  <c r="Q12" i="9" s="1"/>
  <c r="X12" i="9" s="1"/>
  <c r="I11" i="9"/>
  <c r="Q11" i="9" s="1"/>
  <c r="X11" i="9" s="1"/>
  <c r="I10" i="9"/>
  <c r="Q10" i="9" s="1"/>
  <c r="X10" i="9" s="1"/>
  <c r="I9" i="9"/>
  <c r="Q9" i="9" s="1"/>
  <c r="X9" i="9" s="1"/>
  <c r="I8" i="9"/>
  <c r="Q8" i="9" s="1"/>
  <c r="X8" i="9" s="1"/>
  <c r="I7" i="9"/>
  <c r="Q7" i="9" s="1"/>
  <c r="X7" i="9" s="1"/>
  <c r="I6" i="9"/>
  <c r="Q6" i="9" s="1"/>
  <c r="X6" i="9" s="1"/>
  <c r="I5" i="9"/>
  <c r="Q5" i="9" s="1"/>
  <c r="X5" i="9" s="1"/>
  <c r="I36" i="10"/>
  <c r="Q36" i="10" s="1"/>
  <c r="I35" i="10"/>
  <c r="Q35" i="10" s="1"/>
  <c r="I34" i="10"/>
  <c r="I33" i="10"/>
  <c r="I32" i="10"/>
  <c r="I31" i="10"/>
  <c r="I29" i="10"/>
  <c r="I28" i="10"/>
  <c r="I27" i="10"/>
  <c r="I26" i="10"/>
  <c r="I25" i="10"/>
  <c r="I24" i="10"/>
  <c r="I23" i="10"/>
  <c r="I22" i="10"/>
  <c r="I21" i="10"/>
  <c r="I20" i="10"/>
  <c r="I19" i="10"/>
  <c r="I18" i="10"/>
  <c r="I17" i="10"/>
  <c r="I16" i="10"/>
  <c r="I15" i="10"/>
  <c r="I14" i="10"/>
  <c r="I13" i="10"/>
  <c r="I12" i="10"/>
  <c r="I11" i="10"/>
  <c r="I10" i="10"/>
  <c r="I9" i="10"/>
  <c r="I8" i="10"/>
  <c r="I7" i="10"/>
  <c r="I6" i="10"/>
  <c r="I5" i="10"/>
  <c r="I36" i="11"/>
  <c r="Q36" i="11" s="1"/>
  <c r="X36" i="11" s="1"/>
  <c r="I35" i="11"/>
  <c r="Q35" i="11" s="1"/>
  <c r="X35" i="11" s="1"/>
  <c r="I34" i="11"/>
  <c r="Q34" i="11" s="1"/>
  <c r="X34" i="11" s="1"/>
  <c r="I33" i="11"/>
  <c r="Q33" i="11" s="1"/>
  <c r="X33" i="11" s="1"/>
  <c r="I32" i="11"/>
  <c r="Q32" i="11" s="1"/>
  <c r="X32" i="11" s="1"/>
  <c r="I31" i="11"/>
  <c r="Q31" i="11" s="1"/>
  <c r="X31" i="11" s="1"/>
  <c r="I29" i="11"/>
  <c r="Q29" i="11" s="1"/>
  <c r="X29" i="11" s="1"/>
  <c r="I28" i="11"/>
  <c r="Q28" i="11" s="1"/>
  <c r="X28" i="11" s="1"/>
  <c r="I27" i="11"/>
  <c r="Q27" i="11" s="1"/>
  <c r="X27" i="11" s="1"/>
  <c r="I26" i="11"/>
  <c r="Q26" i="11" s="1"/>
  <c r="X26" i="11" s="1"/>
  <c r="I25" i="11"/>
  <c r="Q25" i="11" s="1"/>
  <c r="X25" i="11" s="1"/>
  <c r="I24" i="11"/>
  <c r="Q24" i="11" s="1"/>
  <c r="X24" i="11" s="1"/>
  <c r="I23" i="11"/>
  <c r="Q23" i="11" s="1"/>
  <c r="X23" i="11" s="1"/>
  <c r="I22" i="11"/>
  <c r="Q22" i="11" s="1"/>
  <c r="X22" i="11" s="1"/>
  <c r="I21" i="11"/>
  <c r="Q21" i="11" s="1"/>
  <c r="X21" i="11" s="1"/>
  <c r="I20" i="11"/>
  <c r="Q20" i="11" s="1"/>
  <c r="X20" i="11" s="1"/>
  <c r="I19" i="11"/>
  <c r="Q19" i="11" s="1"/>
  <c r="X19" i="11" s="1"/>
  <c r="I18" i="11"/>
  <c r="Q18" i="11" s="1"/>
  <c r="X18" i="11" s="1"/>
  <c r="I17" i="11"/>
  <c r="Q17" i="11" s="1"/>
  <c r="X17" i="11" s="1"/>
  <c r="I16" i="11"/>
  <c r="Q16" i="11" s="1"/>
  <c r="X16" i="11" s="1"/>
  <c r="I15" i="11"/>
  <c r="Q15" i="11" s="1"/>
  <c r="X15" i="11" s="1"/>
  <c r="I14" i="11"/>
  <c r="Q14" i="11" s="1"/>
  <c r="X14" i="11" s="1"/>
  <c r="I13" i="11"/>
  <c r="Q13" i="11" s="1"/>
  <c r="X13" i="11" s="1"/>
  <c r="I12" i="11"/>
  <c r="Q12" i="11" s="1"/>
  <c r="X12" i="11" s="1"/>
  <c r="I11" i="11"/>
  <c r="Q11" i="11" s="1"/>
  <c r="X11" i="11" s="1"/>
  <c r="I10" i="11"/>
  <c r="Q10" i="11" s="1"/>
  <c r="X10" i="11" s="1"/>
  <c r="I9" i="11"/>
  <c r="Q9" i="11" s="1"/>
  <c r="X9" i="11" s="1"/>
  <c r="I8" i="11"/>
  <c r="Q8" i="11" s="1"/>
  <c r="X8" i="11" s="1"/>
  <c r="I7" i="11"/>
  <c r="Q7" i="11" s="1"/>
  <c r="X7" i="11" s="1"/>
  <c r="I6" i="11"/>
  <c r="Q6" i="11" s="1"/>
  <c r="X6" i="11" s="1"/>
  <c r="I5" i="11"/>
  <c r="Q5" i="11" s="1"/>
  <c r="X5" i="11" s="1"/>
  <c r="I36" i="12"/>
  <c r="Q36" i="12" s="1"/>
  <c r="X36" i="12" s="1"/>
  <c r="I35" i="12"/>
  <c r="Q35" i="12" s="1"/>
  <c r="X35" i="12" s="1"/>
  <c r="I34" i="12"/>
  <c r="Q34" i="12" s="1"/>
  <c r="X34" i="12" s="1"/>
  <c r="I33" i="12"/>
  <c r="Q33" i="12" s="1"/>
  <c r="X33" i="12" s="1"/>
  <c r="I32" i="12"/>
  <c r="Q32" i="12" s="1"/>
  <c r="X32" i="12" s="1"/>
  <c r="I31" i="12"/>
  <c r="Q31" i="12" s="1"/>
  <c r="X31" i="12" s="1"/>
  <c r="I29" i="12"/>
  <c r="Q29" i="12" s="1"/>
  <c r="X29" i="12" s="1"/>
  <c r="I28" i="12"/>
  <c r="Q28" i="12" s="1"/>
  <c r="X28" i="12" s="1"/>
  <c r="I27" i="12"/>
  <c r="Q27" i="12" s="1"/>
  <c r="X27" i="12" s="1"/>
  <c r="I26" i="12"/>
  <c r="Q26" i="12" s="1"/>
  <c r="X26" i="12" s="1"/>
  <c r="I25" i="12"/>
  <c r="Q25" i="12" s="1"/>
  <c r="X25" i="12" s="1"/>
  <c r="I24" i="12"/>
  <c r="Q24" i="12" s="1"/>
  <c r="X24" i="12" s="1"/>
  <c r="I23" i="12"/>
  <c r="Q23" i="12" s="1"/>
  <c r="X23" i="12" s="1"/>
  <c r="I22" i="12"/>
  <c r="Q22" i="12" s="1"/>
  <c r="X22" i="12" s="1"/>
  <c r="I21" i="12"/>
  <c r="Q21" i="12" s="1"/>
  <c r="X21" i="12" s="1"/>
  <c r="I20" i="12"/>
  <c r="Q20" i="12" s="1"/>
  <c r="X20" i="12" s="1"/>
  <c r="I19" i="12"/>
  <c r="Q19" i="12" s="1"/>
  <c r="X19" i="12" s="1"/>
  <c r="I18" i="12"/>
  <c r="Q18" i="12" s="1"/>
  <c r="X18" i="12" s="1"/>
  <c r="I17" i="12"/>
  <c r="Q17" i="12" s="1"/>
  <c r="X17" i="12" s="1"/>
  <c r="I16" i="12"/>
  <c r="Q16" i="12" s="1"/>
  <c r="X16" i="12" s="1"/>
  <c r="I15" i="12"/>
  <c r="Q15" i="12" s="1"/>
  <c r="X15" i="12" s="1"/>
  <c r="I14" i="12"/>
  <c r="Q14" i="12" s="1"/>
  <c r="X14" i="12" s="1"/>
  <c r="I13" i="12"/>
  <c r="Q13" i="12" s="1"/>
  <c r="X13" i="12" s="1"/>
  <c r="I12" i="12"/>
  <c r="Q12" i="12" s="1"/>
  <c r="X12" i="12" s="1"/>
  <c r="I11" i="12"/>
  <c r="Q11" i="12" s="1"/>
  <c r="X11" i="12" s="1"/>
  <c r="I10" i="12"/>
  <c r="Q10" i="12" s="1"/>
  <c r="X10" i="12" s="1"/>
  <c r="I9" i="12"/>
  <c r="Q9" i="12" s="1"/>
  <c r="X9" i="12" s="1"/>
  <c r="I8" i="12"/>
  <c r="Q8" i="12" s="1"/>
  <c r="X8" i="12" s="1"/>
  <c r="I7" i="12"/>
  <c r="Q7" i="12" s="1"/>
  <c r="X7" i="12" s="1"/>
  <c r="I6" i="12"/>
  <c r="Q6" i="12" s="1"/>
  <c r="X6" i="12" s="1"/>
  <c r="I5" i="12"/>
  <c r="Q5" i="12" s="1"/>
  <c r="X5" i="12" s="1"/>
  <c r="I36" i="13"/>
  <c r="Q36" i="13" s="1"/>
  <c r="X36" i="13" s="1"/>
  <c r="I35" i="13"/>
  <c r="Q35" i="13" s="1"/>
  <c r="X35" i="13" s="1"/>
  <c r="I34" i="13"/>
  <c r="Q34" i="13" s="1"/>
  <c r="X34" i="13" s="1"/>
  <c r="I33" i="13"/>
  <c r="Q33" i="13" s="1"/>
  <c r="X33" i="13" s="1"/>
  <c r="I32" i="13"/>
  <c r="Q32" i="13" s="1"/>
  <c r="X32" i="13" s="1"/>
  <c r="I31" i="13"/>
  <c r="Q31" i="13" s="1"/>
  <c r="X31" i="13" s="1"/>
  <c r="I29" i="13"/>
  <c r="Q29" i="13" s="1"/>
  <c r="X29" i="13" s="1"/>
  <c r="I28" i="13"/>
  <c r="Q28" i="13" s="1"/>
  <c r="X28" i="13" s="1"/>
  <c r="I27" i="13"/>
  <c r="Q27" i="13" s="1"/>
  <c r="X27" i="13" s="1"/>
  <c r="I26" i="13"/>
  <c r="Q26" i="13" s="1"/>
  <c r="X26" i="13" s="1"/>
  <c r="I25" i="13"/>
  <c r="Q25" i="13" s="1"/>
  <c r="X25" i="13" s="1"/>
  <c r="I24" i="13"/>
  <c r="Q24" i="13" s="1"/>
  <c r="X24" i="13" s="1"/>
  <c r="I23" i="13"/>
  <c r="Q23" i="13" s="1"/>
  <c r="X23" i="13" s="1"/>
  <c r="I22" i="13"/>
  <c r="Q22" i="13" s="1"/>
  <c r="X22" i="13" s="1"/>
  <c r="I21" i="13"/>
  <c r="Q21" i="13" s="1"/>
  <c r="X21" i="13" s="1"/>
  <c r="I20" i="13"/>
  <c r="Q20" i="13" s="1"/>
  <c r="X20" i="13" s="1"/>
  <c r="I19" i="13"/>
  <c r="Q19" i="13" s="1"/>
  <c r="X19" i="13" s="1"/>
  <c r="I18" i="13"/>
  <c r="Q18" i="13" s="1"/>
  <c r="X18" i="13" s="1"/>
  <c r="I17" i="13"/>
  <c r="Q17" i="13" s="1"/>
  <c r="X17" i="13" s="1"/>
  <c r="I16" i="13"/>
  <c r="Q16" i="13" s="1"/>
  <c r="X16" i="13" s="1"/>
  <c r="I15" i="13"/>
  <c r="Q15" i="13" s="1"/>
  <c r="X15" i="13" s="1"/>
  <c r="I14" i="13"/>
  <c r="Q14" i="13" s="1"/>
  <c r="X14" i="13" s="1"/>
  <c r="I13" i="13"/>
  <c r="Q13" i="13" s="1"/>
  <c r="X13" i="13" s="1"/>
  <c r="I12" i="13"/>
  <c r="Q12" i="13" s="1"/>
  <c r="X12" i="13" s="1"/>
  <c r="I11" i="13"/>
  <c r="Q11" i="13" s="1"/>
  <c r="X11" i="13" s="1"/>
  <c r="I10" i="13"/>
  <c r="Q10" i="13" s="1"/>
  <c r="X10" i="13" s="1"/>
  <c r="I9" i="13"/>
  <c r="Q9" i="13" s="1"/>
  <c r="X9" i="13" s="1"/>
  <c r="I8" i="13"/>
  <c r="Q8" i="13" s="1"/>
  <c r="X8" i="13" s="1"/>
  <c r="I7" i="13"/>
  <c r="Q7" i="13" s="1"/>
  <c r="X7" i="13" s="1"/>
  <c r="I6" i="13"/>
  <c r="Q6" i="13" s="1"/>
  <c r="X6" i="13" s="1"/>
  <c r="I5" i="13"/>
  <c r="Q5" i="13" s="1"/>
  <c r="X5" i="13" s="1"/>
  <c r="I35" i="2"/>
  <c r="Q35" i="2" s="1"/>
  <c r="X35" i="2" s="1"/>
  <c r="I34" i="2"/>
  <c r="Q34" i="2" s="1"/>
  <c r="X34" i="2" s="1"/>
  <c r="I33" i="2"/>
  <c r="Q33" i="2" s="1"/>
  <c r="X33" i="2" s="1"/>
  <c r="I32" i="2"/>
  <c r="Q32" i="2" s="1"/>
  <c r="X32" i="2" s="1"/>
  <c r="I31" i="2"/>
  <c r="Q31" i="2" s="1"/>
  <c r="X31" i="2" s="1"/>
  <c r="I30" i="2"/>
  <c r="Q30" i="2" s="1"/>
  <c r="X30" i="2" s="1"/>
  <c r="I29" i="2"/>
  <c r="Q29" i="2" s="1"/>
  <c r="X29" i="2" s="1"/>
  <c r="I28" i="2"/>
  <c r="Q28" i="2" s="1"/>
  <c r="X28" i="2" s="1"/>
  <c r="I27" i="2"/>
  <c r="Q27" i="2" s="1"/>
  <c r="X27" i="2" s="1"/>
  <c r="I26" i="2"/>
  <c r="Q26" i="2" s="1"/>
  <c r="X26" i="2" s="1"/>
  <c r="I25" i="2"/>
  <c r="Q25" i="2" s="1"/>
  <c r="X25" i="2" s="1"/>
  <c r="I24" i="2"/>
  <c r="Q24" i="2" s="1"/>
  <c r="X24" i="2" s="1"/>
  <c r="I23" i="2"/>
  <c r="Q23" i="2" s="1"/>
  <c r="X23" i="2" s="1"/>
  <c r="I22" i="2"/>
  <c r="Q22" i="2" s="1"/>
  <c r="X22" i="2" s="1"/>
  <c r="I21" i="2"/>
  <c r="Q21" i="2" s="1"/>
  <c r="X21" i="2" s="1"/>
  <c r="I20" i="2"/>
  <c r="Q20" i="2" s="1"/>
  <c r="X20" i="2" s="1"/>
  <c r="I19" i="2"/>
  <c r="Q19" i="2" s="1"/>
  <c r="X19" i="2" s="1"/>
  <c r="I18" i="2"/>
  <c r="Q18" i="2" s="1"/>
  <c r="X18" i="2" s="1"/>
  <c r="I17" i="2"/>
  <c r="Q17" i="2" s="1"/>
  <c r="X17" i="2" s="1"/>
  <c r="I16" i="2"/>
  <c r="Q16" i="2" s="1"/>
  <c r="X16" i="2" s="1"/>
  <c r="I15" i="2"/>
  <c r="Q15" i="2" s="1"/>
  <c r="X15" i="2" s="1"/>
  <c r="I14" i="2"/>
  <c r="Q14" i="2" s="1"/>
  <c r="X14" i="2" s="1"/>
  <c r="I13" i="2"/>
  <c r="Q13" i="2" s="1"/>
  <c r="X13" i="2" s="1"/>
  <c r="I12" i="2"/>
  <c r="Q12" i="2" s="1"/>
  <c r="X12" i="2" s="1"/>
  <c r="I11" i="2"/>
  <c r="Q11" i="2" s="1"/>
  <c r="X11" i="2" s="1"/>
  <c r="I10" i="2"/>
  <c r="Q10" i="2" s="1"/>
  <c r="X10" i="2" s="1"/>
  <c r="I9" i="2"/>
  <c r="Q9" i="2" s="1"/>
  <c r="X9" i="2" s="1"/>
  <c r="I8" i="2"/>
  <c r="Q8" i="2" s="1"/>
  <c r="X8" i="2" s="1"/>
  <c r="I7" i="2"/>
  <c r="Q7" i="2" s="1"/>
  <c r="X7" i="2" s="1"/>
  <c r="I6" i="2"/>
  <c r="Q6" i="2" s="1"/>
  <c r="X6" i="2" s="1"/>
  <c r="I5" i="2"/>
  <c r="Q5" i="2" s="1"/>
  <c r="X5" i="2" s="1"/>
  <c r="AC28" i="29" l="1"/>
  <c r="AC20" i="29"/>
  <c r="AC12" i="29"/>
  <c r="AC34" i="29"/>
  <c r="AC25" i="29"/>
  <c r="AC17" i="29"/>
  <c r="AC6" i="29"/>
  <c r="AC30" i="29"/>
  <c r="AC33" i="29"/>
  <c r="AC24" i="29"/>
  <c r="AC16" i="29"/>
  <c r="AC8" i="29"/>
  <c r="AC29" i="29"/>
  <c r="AC21" i="29"/>
  <c r="AC13" i="29"/>
  <c r="AC5" i="29"/>
  <c r="I16" i="26"/>
  <c r="I17" i="26"/>
  <c r="AC5" i="28"/>
  <c r="I15" i="26"/>
  <c r="AC33" i="28"/>
  <c r="AC28" i="28"/>
  <c r="AC24" i="28"/>
  <c r="AC20" i="28"/>
  <c r="AC16" i="28"/>
  <c r="AC8" i="28"/>
  <c r="AC36" i="28"/>
  <c r="AC32" i="28"/>
  <c r="AC27" i="28"/>
  <c r="AC23" i="28"/>
  <c r="AC19" i="28"/>
  <c r="AC15" i="28"/>
  <c r="AC7" i="28"/>
  <c r="AC36" i="29"/>
  <c r="AC32" i="29"/>
  <c r="AC27" i="29"/>
  <c r="AC23" i="29"/>
  <c r="AC19" i="29"/>
  <c r="AC15" i="29"/>
  <c r="AC11" i="29"/>
  <c r="AC7" i="29"/>
  <c r="AC35" i="28"/>
  <c r="AC31" i="28"/>
  <c r="AC26" i="28"/>
  <c r="AC22" i="28"/>
  <c r="AC18" i="28"/>
  <c r="AC14" i="28"/>
  <c r="AC10" i="28"/>
  <c r="AC6" i="28"/>
  <c r="AC12" i="28"/>
  <c r="AC11" i="28"/>
  <c r="AC35" i="29"/>
  <c r="AC31" i="29"/>
  <c r="AC26" i="29"/>
  <c r="AC22" i="29"/>
  <c r="AC18" i="29"/>
  <c r="AC14" i="29"/>
  <c r="AC10" i="29"/>
  <c r="AC34" i="28"/>
  <c r="AC29" i="28"/>
  <c r="AC25" i="28"/>
  <c r="AC21" i="28"/>
  <c r="AC17" i="28"/>
  <c r="AC13" i="28"/>
  <c r="AC9" i="28"/>
  <c r="I9" i="27"/>
  <c r="I13" i="27"/>
  <c r="I21" i="27"/>
  <c r="I29" i="27"/>
  <c r="I5" i="27"/>
  <c r="I17" i="27"/>
  <c r="I25" i="27"/>
  <c r="Q36" i="27"/>
  <c r="X36" i="10"/>
  <c r="Q35" i="27"/>
  <c r="X35" i="10"/>
  <c r="Q5" i="10"/>
  <c r="Q9" i="10"/>
  <c r="Q13" i="10"/>
  <c r="Q17" i="10"/>
  <c r="Q21" i="10"/>
  <c r="Q25" i="10"/>
  <c r="Q29" i="10"/>
  <c r="I6" i="27"/>
  <c r="I10" i="27"/>
  <c r="I14" i="27"/>
  <c r="I18" i="27"/>
  <c r="I22" i="27"/>
  <c r="I26" i="27"/>
  <c r="I31" i="27"/>
  <c r="I35" i="27"/>
  <c r="Q6" i="10"/>
  <c r="Q10" i="10"/>
  <c r="Q14" i="10"/>
  <c r="Q18" i="10"/>
  <c r="Q22" i="10"/>
  <c r="Q26" i="10"/>
  <c r="Q31" i="10"/>
  <c r="I7" i="27"/>
  <c r="I11" i="27"/>
  <c r="I15" i="27"/>
  <c r="I19" i="27"/>
  <c r="I23" i="27"/>
  <c r="I27" i="27"/>
  <c r="I32" i="27"/>
  <c r="I36" i="27"/>
  <c r="Q7" i="10"/>
  <c r="Q11" i="10"/>
  <c r="Q15" i="10"/>
  <c r="Q19" i="10"/>
  <c r="Q23" i="10"/>
  <c r="Q27" i="10"/>
  <c r="Q32" i="10"/>
  <c r="I8" i="27"/>
  <c r="I12" i="27"/>
  <c r="I16" i="27"/>
  <c r="I20" i="27"/>
  <c r="I24" i="27"/>
  <c r="I28" i="27"/>
  <c r="I33" i="27"/>
  <c r="Q8" i="10"/>
  <c r="Q12" i="10"/>
  <c r="Q16" i="10"/>
  <c r="Q20" i="10"/>
  <c r="Q24" i="10"/>
  <c r="Q28" i="10"/>
  <c r="Q33" i="10"/>
  <c r="X5" i="16"/>
  <c r="Q36" i="16"/>
  <c r="Q20" i="26" s="1"/>
  <c r="Q31" i="26"/>
  <c r="X34" i="18"/>
  <c r="X6" i="17"/>
  <c r="I14" i="17"/>
  <c r="I24" i="26" s="1"/>
  <c r="I36" i="16"/>
  <c r="I20" i="1" s="1"/>
  <c r="Q32" i="18"/>
  <c r="I29" i="26"/>
  <c r="I36" i="14"/>
  <c r="I18" i="1" s="1"/>
  <c r="Q18" i="1" s="1"/>
  <c r="I36" i="15"/>
  <c r="I19" i="1" s="1"/>
  <c r="Q19" i="1" s="1"/>
  <c r="I28" i="26"/>
  <c r="Q14" i="18"/>
  <c r="Q8" i="15"/>
  <c r="I31" i="26"/>
  <c r="I5" i="17"/>
  <c r="I23" i="1" s="1"/>
  <c r="Q6" i="14"/>
  <c r="Q5" i="18"/>
  <c r="Q12" i="18" s="1"/>
  <c r="Q15" i="17"/>
  <c r="Q9" i="17"/>
  <c r="X9" i="17" s="1"/>
  <c r="Q37" i="13"/>
  <c r="I37" i="13"/>
  <c r="I38" i="13" s="1"/>
  <c r="I39" i="13" s="1"/>
  <c r="Q37" i="12"/>
  <c r="I37" i="12"/>
  <c r="I38" i="12" s="1"/>
  <c r="I39" i="12" s="1"/>
  <c r="I37" i="11"/>
  <c r="I38" i="11" s="1"/>
  <c r="I39" i="11" s="1"/>
  <c r="I34" i="27"/>
  <c r="Q37" i="11"/>
  <c r="Q34" i="10"/>
  <c r="I37" i="10"/>
  <c r="I38" i="10" s="1"/>
  <c r="I39" i="10" s="1"/>
  <c r="Q36" i="9"/>
  <c r="Q13" i="26" s="1"/>
  <c r="I36" i="9"/>
  <c r="I13" i="1" s="1"/>
  <c r="Q13" i="1" s="1"/>
  <c r="Q37" i="9" s="1"/>
  <c r="Q36" i="8"/>
  <c r="Q12" i="26" s="1"/>
  <c r="I36" i="8"/>
  <c r="I12" i="1" s="1"/>
  <c r="I36" i="7"/>
  <c r="I11" i="1" s="1"/>
  <c r="Q36" i="7"/>
  <c r="Q11" i="26" s="1"/>
  <c r="Q36" i="6"/>
  <c r="Q10" i="26" s="1"/>
  <c r="I36" i="6"/>
  <c r="I10" i="1" s="1"/>
  <c r="Q10" i="1" s="1"/>
  <c r="Q36" i="5"/>
  <c r="Q9" i="26" s="1"/>
  <c r="I36" i="5"/>
  <c r="I9" i="1" s="1"/>
  <c r="Q9" i="1" s="1"/>
  <c r="Q37" i="5" s="1"/>
  <c r="I36" i="4"/>
  <c r="I8" i="1" s="1"/>
  <c r="Q8" i="1" s="1"/>
  <c r="Q36" i="4"/>
  <c r="Q8" i="26" s="1"/>
  <c r="I36" i="3"/>
  <c r="I7" i="1" s="1"/>
  <c r="Q36" i="3"/>
  <c r="Q7" i="26" s="1"/>
  <c r="Q36" i="2"/>
  <c r="Q6" i="26" s="1"/>
  <c r="I36" i="2"/>
  <c r="I6" i="1" s="1"/>
  <c r="I12" i="18"/>
  <c r="I38" i="18"/>
  <c r="I39" i="18" s="1"/>
  <c r="I40" i="18" s="1"/>
  <c r="I28" i="1"/>
  <c r="Q28" i="1" s="1"/>
  <c r="I29" i="1"/>
  <c r="I30" i="1"/>
  <c r="Q30" i="1" s="1"/>
  <c r="X30" i="1" s="1"/>
  <c r="I31" i="1"/>
  <c r="I89" i="1"/>
  <c r="I102" i="1"/>
  <c r="I106" i="1"/>
  <c r="Q38" i="9" l="1"/>
  <c r="AC16" i="9" s="1"/>
  <c r="I92" i="1"/>
  <c r="I88" i="1"/>
  <c r="I103" i="1"/>
  <c r="I91" i="1"/>
  <c r="I90" i="1"/>
  <c r="I105" i="1"/>
  <c r="I101" i="1"/>
  <c r="I93" i="1"/>
  <c r="I104" i="1"/>
  <c r="Q38" i="5"/>
  <c r="AC16" i="5" s="1"/>
  <c r="I17" i="1"/>
  <c r="Q17" i="1" s="1"/>
  <c r="Q38" i="13" s="1"/>
  <c r="Q39" i="13" s="1"/>
  <c r="AC30" i="13" s="1"/>
  <c r="I16" i="1"/>
  <c r="Q16" i="1" s="1"/>
  <c r="Q38" i="12" s="1"/>
  <c r="Q39" i="12" s="1"/>
  <c r="AC13" i="12" s="1"/>
  <c r="I15" i="1"/>
  <c r="Q15" i="1" s="1"/>
  <c r="Q38" i="11" s="1"/>
  <c r="Q39" i="11" s="1"/>
  <c r="I27" i="26"/>
  <c r="I24" i="1"/>
  <c r="Q24" i="1" s="1"/>
  <c r="X24" i="1" s="1"/>
  <c r="I37" i="27"/>
  <c r="I38" i="27" s="1"/>
  <c r="I39" i="27" s="1"/>
  <c r="Q37" i="14"/>
  <c r="X18" i="1"/>
  <c r="X19" i="1"/>
  <c r="Q37" i="15"/>
  <c r="Q36" i="14"/>
  <c r="X6" i="14"/>
  <c r="Q30" i="18"/>
  <c r="Q29" i="26"/>
  <c r="X29" i="26" s="1"/>
  <c r="I37" i="14"/>
  <c r="I38" i="14" s="1"/>
  <c r="I18" i="26"/>
  <c r="Q5" i="17"/>
  <c r="X20" i="10"/>
  <c r="Q20" i="27"/>
  <c r="X20" i="27" s="1"/>
  <c r="Q27" i="27"/>
  <c r="X27" i="27" s="1"/>
  <c r="X27" i="10"/>
  <c r="Q11" i="27"/>
  <c r="X11" i="27" s="1"/>
  <c r="X11" i="10"/>
  <c r="Q22" i="27"/>
  <c r="X22" i="27" s="1"/>
  <c r="X22" i="10"/>
  <c r="Q6" i="27"/>
  <c r="X6" i="27" s="1"/>
  <c r="X6" i="10"/>
  <c r="Q17" i="27"/>
  <c r="X17" i="27" s="1"/>
  <c r="X17" i="10"/>
  <c r="I36" i="17"/>
  <c r="I37" i="17" s="1"/>
  <c r="I38" i="17" s="1"/>
  <c r="I23" i="26"/>
  <c r="I22" i="26" s="1"/>
  <c r="X33" i="10"/>
  <c r="Q33" i="27"/>
  <c r="X33" i="27" s="1"/>
  <c r="X16" i="10"/>
  <c r="Q16" i="27"/>
  <c r="X16" i="27" s="1"/>
  <c r="Q23" i="27"/>
  <c r="X23" i="27" s="1"/>
  <c r="X23" i="10"/>
  <c r="Q7" i="27"/>
  <c r="X7" i="27" s="1"/>
  <c r="X7" i="10"/>
  <c r="Q18" i="27"/>
  <c r="X18" i="27" s="1"/>
  <c r="X18" i="10"/>
  <c r="Q29" i="27"/>
  <c r="X29" i="27" s="1"/>
  <c r="X29" i="10"/>
  <c r="Q13" i="27"/>
  <c r="X13" i="27" s="1"/>
  <c r="X13" i="10"/>
  <c r="X35" i="27"/>
  <c r="Q14" i="17"/>
  <c r="Q24" i="26" s="1"/>
  <c r="X24" i="26" s="1"/>
  <c r="X15" i="17"/>
  <c r="Q30" i="26"/>
  <c r="X30" i="26" s="1"/>
  <c r="X32" i="18"/>
  <c r="X31" i="26"/>
  <c r="X28" i="10"/>
  <c r="Q28" i="27"/>
  <c r="X28" i="27" s="1"/>
  <c r="X12" i="10"/>
  <c r="Q12" i="27"/>
  <c r="X12" i="27" s="1"/>
  <c r="Q19" i="27"/>
  <c r="X19" i="27" s="1"/>
  <c r="X19" i="10"/>
  <c r="Q31" i="27"/>
  <c r="X31" i="27" s="1"/>
  <c r="X31" i="10"/>
  <c r="Q14" i="27"/>
  <c r="X14" i="27" s="1"/>
  <c r="X14" i="10"/>
  <c r="Q25" i="27"/>
  <c r="X25" i="27" s="1"/>
  <c r="X25" i="10"/>
  <c r="Q9" i="27"/>
  <c r="X9" i="27" s="1"/>
  <c r="X9" i="10"/>
  <c r="Q38" i="18"/>
  <c r="Q28" i="26"/>
  <c r="X28" i="26" s="1"/>
  <c r="Q36" i="15"/>
  <c r="Q19" i="26" s="1"/>
  <c r="X8" i="15"/>
  <c r="I37" i="15"/>
  <c r="I38" i="15" s="1"/>
  <c r="I19" i="26"/>
  <c r="I37" i="16"/>
  <c r="I38" i="16" s="1"/>
  <c r="I20" i="26"/>
  <c r="X20" i="26" s="1"/>
  <c r="X24" i="10"/>
  <c r="Q24" i="27"/>
  <c r="X24" i="27" s="1"/>
  <c r="X8" i="10"/>
  <c r="Q8" i="27"/>
  <c r="X8" i="27" s="1"/>
  <c r="Q32" i="27"/>
  <c r="X32" i="27" s="1"/>
  <c r="X32" i="10"/>
  <c r="Q15" i="27"/>
  <c r="X15" i="27" s="1"/>
  <c r="X15" i="10"/>
  <c r="Q26" i="27"/>
  <c r="X26" i="27" s="1"/>
  <c r="X26" i="10"/>
  <c r="Q10" i="27"/>
  <c r="X10" i="27" s="1"/>
  <c r="X10" i="10"/>
  <c r="Q21" i="27"/>
  <c r="X21" i="27" s="1"/>
  <c r="X21" i="10"/>
  <c r="Q5" i="27"/>
  <c r="X5" i="27" s="1"/>
  <c r="X5" i="10"/>
  <c r="X36" i="27"/>
  <c r="AC18" i="11"/>
  <c r="I14" i="1"/>
  <c r="Q14" i="1" s="1"/>
  <c r="X14" i="1" s="1"/>
  <c r="X34" i="10"/>
  <c r="Q34" i="27"/>
  <c r="Q37" i="10"/>
  <c r="AC12" i="9"/>
  <c r="AC28" i="9"/>
  <c r="AC7" i="9"/>
  <c r="AC27" i="9"/>
  <c r="AC13" i="9"/>
  <c r="AC21" i="9"/>
  <c r="AC29" i="9"/>
  <c r="AC11" i="9"/>
  <c r="AC23" i="9"/>
  <c r="AC10" i="9"/>
  <c r="AC18" i="9"/>
  <c r="AC26" i="9"/>
  <c r="AC34" i="9"/>
  <c r="I37" i="9"/>
  <c r="I38" i="9" s="1"/>
  <c r="I13" i="26"/>
  <c r="X13" i="26" s="1"/>
  <c r="X13" i="1"/>
  <c r="Q12" i="1"/>
  <c r="I37" i="8"/>
  <c r="I38" i="8" s="1"/>
  <c r="I12" i="26"/>
  <c r="X12" i="26" s="1"/>
  <c r="Q11" i="1"/>
  <c r="I37" i="7"/>
  <c r="I38" i="7" s="1"/>
  <c r="I11" i="26"/>
  <c r="X11" i="26" s="1"/>
  <c r="X10" i="1"/>
  <c r="Q37" i="6"/>
  <c r="Q38" i="6" s="1"/>
  <c r="I37" i="6"/>
  <c r="I38" i="6" s="1"/>
  <c r="I10" i="26"/>
  <c r="X10" i="26" s="1"/>
  <c r="X9" i="1"/>
  <c r="I37" i="5"/>
  <c r="I38" i="5" s="1"/>
  <c r="I9" i="26"/>
  <c r="X9" i="26" s="1"/>
  <c r="X8" i="1"/>
  <c r="Q37" i="4"/>
  <c r="Q38" i="4" s="1"/>
  <c r="I37" i="4"/>
  <c r="I38" i="4" s="1"/>
  <c r="I8" i="26"/>
  <c r="X8" i="26" s="1"/>
  <c r="Q7" i="1"/>
  <c r="I37" i="3"/>
  <c r="I38" i="3" s="1"/>
  <c r="I7" i="26"/>
  <c r="X7" i="26" s="1"/>
  <c r="I37" i="2"/>
  <c r="I38" i="2" s="1"/>
  <c r="I6" i="26"/>
  <c r="X6" i="26" s="1"/>
  <c r="X28" i="1"/>
  <c r="Q29" i="1"/>
  <c r="X29" i="1" s="1"/>
  <c r="Q23" i="1"/>
  <c r="Q20" i="1"/>
  <c r="I27" i="1"/>
  <c r="Q31" i="1"/>
  <c r="X31" i="1" s="1"/>
  <c r="Q6" i="1"/>
  <c r="Q37" i="2" s="1"/>
  <c r="Q38" i="2" s="1"/>
  <c r="D1" i="1"/>
  <c r="AC8" i="5" l="1"/>
  <c r="AC30" i="9"/>
  <c r="AC14" i="9"/>
  <c r="AC15" i="9"/>
  <c r="AC25" i="9"/>
  <c r="AC9" i="9"/>
  <c r="AC19" i="9"/>
  <c r="AC24" i="9"/>
  <c r="AC8" i="9"/>
  <c r="AC5" i="9"/>
  <c r="AC20" i="9"/>
  <c r="AC31" i="9"/>
  <c r="AC22" i="9"/>
  <c r="AC6" i="9"/>
  <c r="AC33" i="9"/>
  <c r="AC17" i="9"/>
  <c r="AC35" i="9"/>
  <c r="AC32" i="9"/>
  <c r="AC12" i="12"/>
  <c r="AC11" i="12"/>
  <c r="AC5" i="11"/>
  <c r="AC30" i="11"/>
  <c r="AC10" i="12"/>
  <c r="AC17" i="12"/>
  <c r="AC30" i="12"/>
  <c r="AC25" i="5"/>
  <c r="AC29" i="5"/>
  <c r="AC12" i="5"/>
  <c r="AC14" i="5"/>
  <c r="AC23" i="5"/>
  <c r="AC10" i="5"/>
  <c r="AC15" i="5"/>
  <c r="AC30" i="5"/>
  <c r="AC27" i="5"/>
  <c r="AC13" i="5"/>
  <c r="AC28" i="5"/>
  <c r="AC26" i="5"/>
  <c r="AC19" i="5"/>
  <c r="AC9" i="5"/>
  <c r="AC24" i="5"/>
  <c r="AC22" i="5"/>
  <c r="AC6" i="5"/>
  <c r="AC7" i="5"/>
  <c r="AC21" i="5"/>
  <c r="AC5" i="5"/>
  <c r="AC11" i="5"/>
  <c r="AC20" i="5"/>
  <c r="AC34" i="5"/>
  <c r="AC18" i="5"/>
  <c r="AC35" i="5"/>
  <c r="AC33" i="5"/>
  <c r="AC17" i="5"/>
  <c r="AC31" i="5"/>
  <c r="AC32" i="5"/>
  <c r="AC20" i="11"/>
  <c r="Q38" i="30"/>
  <c r="Q39" i="30" s="1"/>
  <c r="AC8" i="12"/>
  <c r="AC7" i="12"/>
  <c r="AC6" i="12"/>
  <c r="AC9" i="12"/>
  <c r="AC33" i="12"/>
  <c r="AC27" i="12"/>
  <c r="AC26" i="12"/>
  <c r="AC29" i="12"/>
  <c r="I14" i="26"/>
  <c r="I5" i="26" s="1"/>
  <c r="I41" i="26" s="1"/>
  <c r="I42" i="26" s="1"/>
  <c r="Q42" i="26" s="1"/>
  <c r="AC28" i="12"/>
  <c r="AC23" i="12"/>
  <c r="AC22" i="12"/>
  <c r="AC25" i="12"/>
  <c r="I107" i="1"/>
  <c r="I94" i="1"/>
  <c r="AC36" i="11"/>
  <c r="AC34" i="11"/>
  <c r="AC19" i="11"/>
  <c r="AC17" i="11"/>
  <c r="AC35" i="11"/>
  <c r="AC33" i="11"/>
  <c r="AC15" i="11"/>
  <c r="AC28" i="11"/>
  <c r="AC12" i="11"/>
  <c r="AC27" i="11"/>
  <c r="AC11" i="11"/>
  <c r="AC26" i="11"/>
  <c r="AC10" i="11"/>
  <c r="AC25" i="11"/>
  <c r="AC9" i="11"/>
  <c r="AC24" i="12"/>
  <c r="AC36" i="12"/>
  <c r="AC19" i="12"/>
  <c r="AC35" i="12"/>
  <c r="AC18" i="12"/>
  <c r="AC16" i="12"/>
  <c r="AC21" i="12"/>
  <c r="AC5" i="12"/>
  <c r="AC16" i="11"/>
  <c r="AC32" i="11"/>
  <c r="AC31" i="11"/>
  <c r="AC14" i="11"/>
  <c r="AC29" i="11"/>
  <c r="AC13" i="11"/>
  <c r="AC24" i="11"/>
  <c r="AC8" i="11"/>
  <c r="AC23" i="11"/>
  <c r="AC7" i="11"/>
  <c r="AC22" i="11"/>
  <c r="AC6" i="11"/>
  <c r="AC21" i="11"/>
  <c r="AC20" i="12"/>
  <c r="AC32" i="12"/>
  <c r="AC15" i="12"/>
  <c r="AC31" i="12"/>
  <c r="AC14" i="12"/>
  <c r="AC34" i="12"/>
  <c r="I22" i="1"/>
  <c r="I5" i="1"/>
  <c r="X19" i="26"/>
  <c r="Q27" i="26"/>
  <c r="X27" i="26" s="1"/>
  <c r="Q38" i="15"/>
  <c r="Q38" i="10"/>
  <c r="Q39" i="10" s="1"/>
  <c r="AC30" i="10" s="1"/>
  <c r="Q36" i="17"/>
  <c r="Q23" i="26"/>
  <c r="X20" i="1"/>
  <c r="Q37" i="16"/>
  <c r="Q38" i="16" s="1"/>
  <c r="Q27" i="1"/>
  <c r="Q38" i="14"/>
  <c r="Q18" i="26"/>
  <c r="X18" i="26" s="1"/>
  <c r="AC5" i="13"/>
  <c r="AC9" i="13"/>
  <c r="AC13" i="13"/>
  <c r="AC17" i="13"/>
  <c r="AC21" i="13"/>
  <c r="AC25" i="13"/>
  <c r="AC29" i="13"/>
  <c r="AC34" i="13"/>
  <c r="AC12" i="13"/>
  <c r="AC20" i="13"/>
  <c r="AC28" i="13"/>
  <c r="AC6" i="13"/>
  <c r="AC10" i="13"/>
  <c r="AC14" i="13"/>
  <c r="AC18" i="13"/>
  <c r="AC22" i="13"/>
  <c r="AC26" i="13"/>
  <c r="AC31" i="13"/>
  <c r="AC35" i="13"/>
  <c r="AC8" i="13"/>
  <c r="AC16" i="13"/>
  <c r="AC24" i="13"/>
  <c r="AC33" i="13"/>
  <c r="AC7" i="13"/>
  <c r="AC11" i="13"/>
  <c r="AC15" i="13"/>
  <c r="AC19" i="13"/>
  <c r="AC23" i="13"/>
  <c r="AC27" i="13"/>
  <c r="AC32" i="13"/>
  <c r="AC36" i="13"/>
  <c r="X34" i="27"/>
  <c r="Q37" i="27"/>
  <c r="Q14" i="26" s="1"/>
  <c r="X12" i="1"/>
  <c r="Q37" i="8"/>
  <c r="Q38" i="8" s="1"/>
  <c r="X11" i="1"/>
  <c r="Q37" i="7"/>
  <c r="Q38" i="7" s="1"/>
  <c r="AC7" i="6"/>
  <c r="AC11" i="6"/>
  <c r="AC15" i="6"/>
  <c r="AC19" i="6"/>
  <c r="AC23" i="6"/>
  <c r="AC27" i="6"/>
  <c r="AC31" i="6"/>
  <c r="AC35" i="6"/>
  <c r="AC8" i="6"/>
  <c r="AC12" i="6"/>
  <c r="AC16" i="6"/>
  <c r="AC20" i="6"/>
  <c r="AC24" i="6"/>
  <c r="AC28" i="6"/>
  <c r="AC32" i="6"/>
  <c r="AC5" i="6"/>
  <c r="AC9" i="6"/>
  <c r="AC13" i="6"/>
  <c r="AC17" i="6"/>
  <c r="AC21" i="6"/>
  <c r="AC25" i="6"/>
  <c r="AC29" i="6"/>
  <c r="AC33" i="6"/>
  <c r="AC6" i="6"/>
  <c r="AC10" i="6"/>
  <c r="AC14" i="6"/>
  <c r="AC18" i="6"/>
  <c r="AC22" i="6"/>
  <c r="AC26" i="6"/>
  <c r="AC30" i="6"/>
  <c r="AC34" i="6"/>
  <c r="AC5" i="4"/>
  <c r="AC9" i="4"/>
  <c r="AC13" i="4"/>
  <c r="AC17" i="4"/>
  <c r="AC21" i="4"/>
  <c r="AC25" i="4"/>
  <c r="AC29" i="4"/>
  <c r="AC33" i="4"/>
  <c r="AC6" i="4"/>
  <c r="AC10" i="4"/>
  <c r="AC14" i="4"/>
  <c r="AC18" i="4"/>
  <c r="AC22" i="4"/>
  <c r="AC26" i="4"/>
  <c r="AC30" i="4"/>
  <c r="AC34" i="4"/>
  <c r="AC7" i="4"/>
  <c r="AC11" i="4"/>
  <c r="AC15" i="4"/>
  <c r="AC19" i="4"/>
  <c r="AC23" i="4"/>
  <c r="AC27" i="4"/>
  <c r="AC31" i="4"/>
  <c r="AC35" i="4"/>
  <c r="AC8" i="4"/>
  <c r="AC12" i="4"/>
  <c r="AC16" i="4"/>
  <c r="AC20" i="4"/>
  <c r="AC24" i="4"/>
  <c r="AC28" i="4"/>
  <c r="AC32" i="4"/>
  <c r="X7" i="1"/>
  <c r="Q37" i="3"/>
  <c r="Q38" i="3" s="1"/>
  <c r="AC6" i="2"/>
  <c r="AC10" i="2"/>
  <c r="AC14" i="2"/>
  <c r="AC18" i="2"/>
  <c r="AC22" i="2"/>
  <c r="AC26" i="2"/>
  <c r="AC30" i="2"/>
  <c r="AC34" i="2"/>
  <c r="AC5" i="2"/>
  <c r="AC9" i="2"/>
  <c r="AC17" i="2"/>
  <c r="AC21" i="2"/>
  <c r="AC25" i="2"/>
  <c r="AC33" i="2"/>
  <c r="AC7" i="2"/>
  <c r="AC11" i="2"/>
  <c r="AC15" i="2"/>
  <c r="AC19" i="2"/>
  <c r="AC23" i="2"/>
  <c r="AC27" i="2"/>
  <c r="AC31" i="2"/>
  <c r="AC35" i="2"/>
  <c r="AC8" i="2"/>
  <c r="AC12" i="2"/>
  <c r="AC16" i="2"/>
  <c r="AC20" i="2"/>
  <c r="AC24" i="2"/>
  <c r="AC28" i="2"/>
  <c r="AC32" i="2"/>
  <c r="AC13" i="2"/>
  <c r="AC29" i="2"/>
  <c r="Q22" i="1"/>
  <c r="X23" i="1"/>
  <c r="X6" i="1"/>
  <c r="Q5" i="1"/>
  <c r="AC15" i="30" l="1"/>
  <c r="AC30" i="30"/>
  <c r="AC18" i="30"/>
  <c r="AC34" i="30"/>
  <c r="AC11" i="30"/>
  <c r="AC13" i="30"/>
  <c r="AC28" i="30"/>
  <c r="AC29" i="30"/>
  <c r="AC9" i="30"/>
  <c r="AC24" i="30"/>
  <c r="AC10" i="30"/>
  <c r="AC7" i="30"/>
  <c r="AC25" i="30"/>
  <c r="AC22" i="30"/>
  <c r="AC12" i="30"/>
  <c r="AC27" i="30"/>
  <c r="AC21" i="30"/>
  <c r="AC14" i="30"/>
  <c r="AC8" i="30"/>
  <c r="AC23" i="30"/>
  <c r="AC5" i="30"/>
  <c r="AC6" i="30"/>
  <c r="AC20" i="30"/>
  <c r="AC35" i="30"/>
  <c r="AC36" i="30"/>
  <c r="AC19" i="30"/>
  <c r="AC17" i="30"/>
  <c r="AC31" i="30"/>
  <c r="AC33" i="30"/>
  <c r="AC16" i="30"/>
  <c r="AC26" i="30"/>
  <c r="AC32" i="30"/>
  <c r="I41" i="1"/>
  <c r="Q41" i="1"/>
  <c r="X22" i="1"/>
  <c r="Q37" i="17"/>
  <c r="Q38" i="17" s="1"/>
  <c r="AC8" i="14"/>
  <c r="AC12" i="14"/>
  <c r="AC16" i="14"/>
  <c r="AC20" i="14"/>
  <c r="AC24" i="14"/>
  <c r="AC28" i="14"/>
  <c r="AC32" i="14"/>
  <c r="AC5" i="14"/>
  <c r="AC9" i="14"/>
  <c r="AC13" i="14"/>
  <c r="AC17" i="14"/>
  <c r="AC21" i="14"/>
  <c r="AC25" i="14"/>
  <c r="AC29" i="14"/>
  <c r="AC33" i="14"/>
  <c r="AC6" i="14"/>
  <c r="AC10" i="14"/>
  <c r="AC14" i="14"/>
  <c r="AC18" i="14"/>
  <c r="AC22" i="14"/>
  <c r="AC26" i="14"/>
  <c r="AC30" i="14"/>
  <c r="AC34" i="14"/>
  <c r="AC7" i="14"/>
  <c r="AC11" i="14"/>
  <c r="AC15" i="14"/>
  <c r="AC19" i="14"/>
  <c r="AC23" i="14"/>
  <c r="AC27" i="14"/>
  <c r="AC31" i="14"/>
  <c r="AC35" i="14"/>
  <c r="X27" i="1"/>
  <c r="Q39" i="18"/>
  <c r="Q40" i="18" s="1"/>
  <c r="AC5" i="16"/>
  <c r="AC7" i="16"/>
  <c r="AC7" i="15"/>
  <c r="AC11" i="15"/>
  <c r="AC8" i="15"/>
  <c r="AC12" i="15"/>
  <c r="AC5" i="15"/>
  <c r="AC9" i="15"/>
  <c r="AC13" i="15"/>
  <c r="AC6" i="15"/>
  <c r="AC10" i="15"/>
  <c r="AC14" i="15"/>
  <c r="Q22" i="26"/>
  <c r="X22" i="26" s="1"/>
  <c r="X23" i="26"/>
  <c r="Q38" i="27"/>
  <c r="Q39" i="27" s="1"/>
  <c r="AC30" i="27" s="1"/>
  <c r="Q5" i="26"/>
  <c r="X14" i="26"/>
  <c r="AC7" i="10"/>
  <c r="AC11" i="10"/>
  <c r="AC15" i="10"/>
  <c r="AC19" i="10"/>
  <c r="AC23" i="10"/>
  <c r="AC27" i="10"/>
  <c r="AC32" i="10"/>
  <c r="AC36" i="10"/>
  <c r="AC31" i="10"/>
  <c r="AC8" i="10"/>
  <c r="AC12" i="10"/>
  <c r="AC16" i="10"/>
  <c r="AC20" i="10"/>
  <c r="AC24" i="10"/>
  <c r="AC28" i="10"/>
  <c r="AC33" i="10"/>
  <c r="AC5" i="10"/>
  <c r="AC9" i="10"/>
  <c r="AC13" i="10"/>
  <c r="AC17" i="10"/>
  <c r="AC21" i="10"/>
  <c r="AC25" i="10"/>
  <c r="AC29" i="10"/>
  <c r="AC34" i="10"/>
  <c r="AC6" i="10"/>
  <c r="AC10" i="10"/>
  <c r="AC14" i="10"/>
  <c r="AC18" i="10"/>
  <c r="AC22" i="10"/>
  <c r="AC26" i="10"/>
  <c r="AC35" i="10"/>
  <c r="AC5" i="8"/>
  <c r="AC9" i="8"/>
  <c r="AC13" i="8"/>
  <c r="AC17" i="8"/>
  <c r="AC21" i="8"/>
  <c r="AC25" i="8"/>
  <c r="AC29" i="8"/>
  <c r="AC33" i="8"/>
  <c r="AC6" i="8"/>
  <c r="AC10" i="8"/>
  <c r="AC14" i="8"/>
  <c r="AC18" i="8"/>
  <c r="AC22" i="8"/>
  <c r="AC26" i="8"/>
  <c r="AC30" i="8"/>
  <c r="AC34" i="8"/>
  <c r="AC7" i="8"/>
  <c r="AC11" i="8"/>
  <c r="AC15" i="8"/>
  <c r="AC19" i="8"/>
  <c r="AC23" i="8"/>
  <c r="AC27" i="8"/>
  <c r="AC31" i="8"/>
  <c r="AC35" i="8"/>
  <c r="AC8" i="8"/>
  <c r="AC12" i="8"/>
  <c r="AC16" i="8"/>
  <c r="AC20" i="8"/>
  <c r="AC24" i="8"/>
  <c r="AC28" i="8"/>
  <c r="AC32" i="8"/>
  <c r="AC6" i="7"/>
  <c r="AC10" i="7"/>
  <c r="AC14" i="7"/>
  <c r="AC18" i="7"/>
  <c r="AC22" i="7"/>
  <c r="AC26" i="7"/>
  <c r="AC30" i="7"/>
  <c r="AC34" i="7"/>
  <c r="AC5" i="7"/>
  <c r="AC17" i="7"/>
  <c r="AC25" i="7"/>
  <c r="AC33" i="7"/>
  <c r="AC7" i="7"/>
  <c r="AC11" i="7"/>
  <c r="AC15" i="7"/>
  <c r="AC19" i="7"/>
  <c r="AC23" i="7"/>
  <c r="AC27" i="7"/>
  <c r="AC31" i="7"/>
  <c r="AC35" i="7"/>
  <c r="AC9" i="7"/>
  <c r="AC21" i="7"/>
  <c r="AC29" i="7"/>
  <c r="AC8" i="7"/>
  <c r="AC12" i="7"/>
  <c r="AC16" i="7"/>
  <c r="AC20" i="7"/>
  <c r="AC24" i="7"/>
  <c r="AC28" i="7"/>
  <c r="AC32" i="7"/>
  <c r="AC13" i="7"/>
  <c r="I43" i="26"/>
  <c r="I46" i="26"/>
  <c r="AC6" i="3"/>
  <c r="AC10" i="3"/>
  <c r="AC14" i="3"/>
  <c r="AC18" i="3"/>
  <c r="AC22" i="3"/>
  <c r="AC26" i="3"/>
  <c r="AC30" i="3"/>
  <c r="AC34" i="3"/>
  <c r="AC7" i="3"/>
  <c r="AC11" i="3"/>
  <c r="AC15" i="3"/>
  <c r="AC19" i="3"/>
  <c r="AC23" i="3"/>
  <c r="AC27" i="3"/>
  <c r="AC31" i="3"/>
  <c r="AC35" i="3"/>
  <c r="AC8" i="3"/>
  <c r="AC12" i="3"/>
  <c r="AC16" i="3"/>
  <c r="AC20" i="3"/>
  <c r="AC24" i="3"/>
  <c r="AC28" i="3"/>
  <c r="AC32" i="3"/>
  <c r="AC5" i="3"/>
  <c r="AC9" i="3"/>
  <c r="AC13" i="3"/>
  <c r="AC17" i="3"/>
  <c r="AC21" i="3"/>
  <c r="AC25" i="3"/>
  <c r="AC29" i="3"/>
  <c r="AC33" i="3"/>
  <c r="I42" i="1" l="1"/>
  <c r="I43" i="1" s="1"/>
  <c r="AC6" i="18"/>
  <c r="AC15" i="18"/>
  <c r="AC19" i="18"/>
  <c r="AC23" i="18"/>
  <c r="AC27" i="18"/>
  <c r="AC34" i="18"/>
  <c r="AC7" i="18"/>
  <c r="AC16" i="18"/>
  <c r="AC20" i="18"/>
  <c r="AC24" i="18"/>
  <c r="AC28" i="18"/>
  <c r="AC8" i="18"/>
  <c r="AC17" i="18"/>
  <c r="AC21" i="18"/>
  <c r="AC25" i="18"/>
  <c r="AC29" i="18"/>
  <c r="AC11" i="18"/>
  <c r="AC18" i="18"/>
  <c r="AC22" i="18"/>
  <c r="AC26" i="18"/>
  <c r="AC32" i="18"/>
  <c r="AC8" i="17"/>
  <c r="AC12" i="17"/>
  <c r="AC9" i="17"/>
  <c r="AC15" i="17"/>
  <c r="AC6" i="17"/>
  <c r="AC10" i="17"/>
  <c r="AC16" i="17"/>
  <c r="AC7" i="17"/>
  <c r="AC11" i="17"/>
  <c r="AC20" i="17"/>
  <c r="Q41" i="26"/>
  <c r="AC8" i="27"/>
  <c r="AC12" i="27"/>
  <c r="AC16" i="27"/>
  <c r="AC20" i="27"/>
  <c r="AC24" i="27"/>
  <c r="AC28" i="27"/>
  <c r="AC33" i="27"/>
  <c r="AC5" i="27"/>
  <c r="AC9" i="27"/>
  <c r="AC13" i="27"/>
  <c r="AC17" i="27"/>
  <c r="AC21" i="27"/>
  <c r="AC25" i="27"/>
  <c r="AC29" i="27"/>
  <c r="AC34" i="27"/>
  <c r="AC6" i="27"/>
  <c r="AC10" i="27"/>
  <c r="AC14" i="27"/>
  <c r="AC18" i="27"/>
  <c r="AC22" i="27"/>
  <c r="AC26" i="27"/>
  <c r="AC31" i="27"/>
  <c r="AC35" i="27"/>
  <c r="AC7" i="27"/>
  <c r="AC11" i="27"/>
  <c r="AC15" i="27"/>
  <c r="AC19" i="27"/>
  <c r="AC23" i="27"/>
  <c r="AC27" i="27"/>
  <c r="AC32" i="27"/>
  <c r="AC36" i="27"/>
  <c r="J106" i="1"/>
  <c r="H106" i="1"/>
  <c r="G106" i="1"/>
  <c r="J93" i="1"/>
  <c r="H93" i="1"/>
  <c r="G93" i="1"/>
  <c r="J104" i="1"/>
  <c r="H104" i="1"/>
  <c r="G104" i="1"/>
  <c r="J91" i="1"/>
  <c r="H91" i="1"/>
  <c r="G91" i="1"/>
  <c r="J103" i="1"/>
  <c r="H103" i="1"/>
  <c r="G103" i="1"/>
  <c r="J90" i="1"/>
  <c r="H90" i="1"/>
  <c r="G90" i="1"/>
  <c r="J102" i="1"/>
  <c r="H102" i="1"/>
  <c r="G102" i="1"/>
  <c r="BJ5" i="32"/>
  <c r="E102" i="1" s="1"/>
  <c r="J89" i="1"/>
  <c r="H89" i="1"/>
  <c r="G89" i="1"/>
  <c r="Y10" i="32"/>
  <c r="Q42" i="1" l="1"/>
  <c r="Q43" i="1" s="1"/>
  <c r="AC8" i="1" s="1"/>
  <c r="Q43" i="26"/>
  <c r="Q46" i="26"/>
  <c r="BJ9" i="32"/>
  <c r="E106" i="1" s="1"/>
  <c r="BB7" i="32"/>
  <c r="BB5" i="32"/>
  <c r="E89" i="1" s="1"/>
  <c r="BJ7" i="32"/>
  <c r="E104" i="1" s="1"/>
  <c r="BB9" i="32"/>
  <c r="E93" i="1" s="1"/>
  <c r="F89" i="1"/>
  <c r="K89" i="1" s="1"/>
  <c r="F91" i="1"/>
  <c r="F93" i="1"/>
  <c r="F102" i="1"/>
  <c r="K102" i="1" s="1"/>
  <c r="F104" i="1"/>
  <c r="F106" i="1"/>
  <c r="BB6" i="32"/>
  <c r="E90" i="1" s="1"/>
  <c r="BJ6" i="32"/>
  <c r="E103" i="1" s="1"/>
  <c r="F90" i="1"/>
  <c r="K90" i="1" s="1"/>
  <c r="F103" i="1"/>
  <c r="K103" i="1" s="1"/>
  <c r="H105" i="1"/>
  <c r="F105" i="1"/>
  <c r="J92" i="1"/>
  <c r="G92" i="1"/>
  <c r="J105" i="1"/>
  <c r="G105" i="1"/>
  <c r="H92" i="1"/>
  <c r="F92" i="1"/>
  <c r="F101" i="1"/>
  <c r="J88" i="1"/>
  <c r="J101" i="1"/>
  <c r="G101" i="1"/>
  <c r="H88" i="1"/>
  <c r="F88" i="1"/>
  <c r="H101" i="1"/>
  <c r="G88" i="1"/>
  <c r="G94" i="1" s="1"/>
  <c r="AC23" i="1" l="1"/>
  <c r="AC11" i="1"/>
  <c r="AC6" i="1"/>
  <c r="AC28" i="1"/>
  <c r="AC22" i="1"/>
  <c r="K104" i="1"/>
  <c r="K93" i="1"/>
  <c r="K106" i="1"/>
  <c r="K91" i="1"/>
  <c r="AC29" i="1"/>
  <c r="AC24" i="1"/>
  <c r="AC31" i="1"/>
  <c r="AC12" i="1"/>
  <c r="AC9" i="1"/>
  <c r="AC30" i="1"/>
  <c r="AC14" i="1"/>
  <c r="AC13" i="1"/>
  <c r="AC19" i="1"/>
  <c r="AC20" i="1"/>
  <c r="AC10" i="1"/>
  <c r="AC18" i="1"/>
  <c r="AC7" i="1"/>
  <c r="AC7" i="26"/>
  <c r="AC30" i="26"/>
  <c r="AC23" i="26"/>
  <c r="AC12" i="26"/>
  <c r="AC31" i="26"/>
  <c r="AC14" i="26"/>
  <c r="AC10" i="26"/>
  <c r="AC29" i="26"/>
  <c r="AC18" i="26"/>
  <c r="AC8" i="26"/>
  <c r="AC20" i="26"/>
  <c r="AC13" i="26"/>
  <c r="AC6" i="26"/>
  <c r="AC22" i="26"/>
  <c r="AC11" i="26"/>
  <c r="AC24" i="26"/>
  <c r="AC19" i="26"/>
  <c r="AC9" i="26"/>
  <c r="AC28" i="26"/>
  <c r="G107" i="1"/>
  <c r="H107" i="1"/>
  <c r="J107" i="1"/>
  <c r="BK5" i="32"/>
  <c r="J94" i="1"/>
  <c r="BK9" i="32"/>
  <c r="H94" i="1"/>
  <c r="K92" i="1"/>
  <c r="E91" i="1"/>
  <c r="BK7" i="32"/>
  <c r="F94" i="1"/>
  <c r="K105" i="1"/>
  <c r="K101" i="1"/>
  <c r="BK6" i="32"/>
  <c r="F107" i="1"/>
  <c r="K88" i="1"/>
  <c r="BB4" i="32"/>
  <c r="BB8" i="32"/>
  <c r="E92" i="1" s="1"/>
  <c r="BJ8" i="32"/>
  <c r="E105" i="1" s="1"/>
  <c r="BJ4" i="32"/>
  <c r="E101" i="1" s="1"/>
  <c r="K94" i="1" l="1"/>
  <c r="K107" i="1"/>
  <c r="BK4" i="32"/>
  <c r="E88" i="1"/>
  <c r="E107" i="1"/>
  <c r="BK8" i="32"/>
  <c r="E94" i="1" l="1"/>
  <c r="S36" i="30"/>
  <c r="T36" i="30" s="1"/>
  <c r="S35" i="30"/>
  <c r="T35" i="30" s="1"/>
  <c r="S34" i="30"/>
  <c r="T34" i="30" s="1"/>
  <c r="S33" i="30"/>
  <c r="T33" i="30" s="1"/>
  <c r="S32" i="30"/>
  <c r="T32" i="30" s="1"/>
  <c r="S31" i="30"/>
  <c r="T31" i="30" s="1"/>
  <c r="S29" i="30"/>
  <c r="T29" i="30" s="1"/>
  <c r="S28" i="30"/>
  <c r="T28" i="30" s="1"/>
  <c r="S27" i="30"/>
  <c r="T27" i="30" s="1"/>
  <c r="S26" i="30"/>
  <c r="T26" i="30" s="1"/>
  <c r="S25" i="30"/>
  <c r="T25" i="30" s="1"/>
  <c r="S24" i="30"/>
  <c r="T24" i="30" s="1"/>
  <c r="S23" i="30"/>
  <c r="T23" i="30" s="1"/>
  <c r="S22" i="30"/>
  <c r="T22" i="30" s="1"/>
  <c r="S21" i="30"/>
  <c r="T21" i="30" s="1"/>
  <c r="S20" i="30"/>
  <c r="T20" i="30" s="1"/>
  <c r="S19" i="30"/>
  <c r="T19" i="30" s="1"/>
  <c r="S18" i="30"/>
  <c r="T18" i="30" s="1"/>
  <c r="S17" i="30"/>
  <c r="T17" i="30" s="1"/>
  <c r="S16" i="30"/>
  <c r="T16" i="30" s="1"/>
  <c r="S15" i="30"/>
  <c r="T15" i="30" s="1"/>
  <c r="S14" i="30"/>
  <c r="T14" i="30" s="1"/>
  <c r="S13" i="30"/>
  <c r="T13" i="30" s="1"/>
  <c r="S12" i="30"/>
  <c r="T12" i="30" s="1"/>
  <c r="S11" i="30"/>
  <c r="T11" i="30" s="1"/>
  <c r="S10" i="30"/>
  <c r="T10" i="30" s="1"/>
  <c r="S9" i="30"/>
  <c r="T9" i="30" s="1"/>
  <c r="S8" i="30"/>
  <c r="T8" i="30" s="1"/>
  <c r="S7" i="30"/>
  <c r="T7" i="30" s="1"/>
  <c r="S6" i="30"/>
  <c r="T6" i="30" s="1"/>
  <c r="S5" i="30"/>
  <c r="T5" i="30" s="1"/>
  <c r="K36" i="30"/>
  <c r="K35" i="30"/>
  <c r="K34" i="30"/>
  <c r="K33" i="30"/>
  <c r="K32" i="30"/>
  <c r="K28" i="30"/>
  <c r="K27" i="30"/>
  <c r="K26" i="30"/>
  <c r="K25" i="30"/>
  <c r="K24" i="30"/>
  <c r="K23" i="30"/>
  <c r="K22" i="30"/>
  <c r="K21" i="30"/>
  <c r="K20" i="30"/>
  <c r="K19" i="30"/>
  <c r="K18" i="30"/>
  <c r="K17" i="30"/>
  <c r="K16" i="30"/>
  <c r="K15" i="30"/>
  <c r="K14" i="30"/>
  <c r="K13" i="30"/>
  <c r="K12" i="30"/>
  <c r="K11" i="30"/>
  <c r="K10" i="30"/>
  <c r="K9" i="30"/>
  <c r="K8" i="30"/>
  <c r="K7" i="30"/>
  <c r="K6" i="30"/>
  <c r="K5" i="30"/>
  <c r="R37" i="29"/>
  <c r="P37" i="29"/>
  <c r="O37" i="29"/>
  <c r="N37" i="29"/>
  <c r="M37" i="29"/>
  <c r="M38" i="29" s="1"/>
  <c r="L37" i="29"/>
  <c r="L38" i="29" s="1"/>
  <c r="J37" i="29"/>
  <c r="J38" i="29" s="1"/>
  <c r="H37" i="29"/>
  <c r="H38" i="29" s="1"/>
  <c r="G37" i="29"/>
  <c r="G38" i="29" s="1"/>
  <c r="F37" i="29"/>
  <c r="F38" i="29" s="1"/>
  <c r="E37" i="29"/>
  <c r="E38" i="29" s="1"/>
  <c r="S36" i="29"/>
  <c r="T36" i="29" s="1"/>
  <c r="S35" i="29"/>
  <c r="T35" i="29" s="1"/>
  <c r="S34" i="29"/>
  <c r="T34" i="29" s="1"/>
  <c r="S33" i="29"/>
  <c r="T33" i="29" s="1"/>
  <c r="S32" i="29"/>
  <c r="T32" i="29" s="1"/>
  <c r="S31" i="29"/>
  <c r="T31" i="29" s="1"/>
  <c r="S29" i="29"/>
  <c r="T29" i="29" s="1"/>
  <c r="S28" i="29"/>
  <c r="T28" i="29" s="1"/>
  <c r="S27" i="29"/>
  <c r="T27" i="29" s="1"/>
  <c r="S26" i="29"/>
  <c r="T26" i="29" s="1"/>
  <c r="S25" i="29"/>
  <c r="T25" i="29" s="1"/>
  <c r="S24" i="29"/>
  <c r="T24" i="29" s="1"/>
  <c r="S23" i="29"/>
  <c r="T23" i="29" s="1"/>
  <c r="S22" i="29"/>
  <c r="T22" i="29" s="1"/>
  <c r="S21" i="29"/>
  <c r="T21" i="29" s="1"/>
  <c r="S20" i="29"/>
  <c r="T20" i="29" s="1"/>
  <c r="S19" i="29"/>
  <c r="T19" i="29" s="1"/>
  <c r="S18" i="29"/>
  <c r="T18" i="29" s="1"/>
  <c r="S17" i="29"/>
  <c r="T17" i="29" s="1"/>
  <c r="S16" i="29"/>
  <c r="T16" i="29" s="1"/>
  <c r="S15" i="29"/>
  <c r="T15" i="29" s="1"/>
  <c r="S14" i="29"/>
  <c r="T14" i="29" s="1"/>
  <c r="S13" i="29"/>
  <c r="T13" i="29" s="1"/>
  <c r="S12" i="29"/>
  <c r="T12" i="29" s="1"/>
  <c r="S11" i="29"/>
  <c r="T11" i="29" s="1"/>
  <c r="S10" i="29"/>
  <c r="T10" i="29" s="1"/>
  <c r="S9" i="29"/>
  <c r="T9" i="29" s="1"/>
  <c r="S8" i="29"/>
  <c r="T8" i="29" s="1"/>
  <c r="S7" i="29"/>
  <c r="T7" i="29" s="1"/>
  <c r="S6" i="29"/>
  <c r="T6" i="29" s="1"/>
  <c r="S5" i="29"/>
  <c r="T5" i="29" s="1"/>
  <c r="R37" i="28"/>
  <c r="P37" i="28"/>
  <c r="O37" i="28"/>
  <c r="N37" i="28"/>
  <c r="M37" i="28"/>
  <c r="M38" i="28" s="1"/>
  <c r="L37" i="28"/>
  <c r="L38" i="28" s="1"/>
  <c r="J37" i="28"/>
  <c r="J38" i="28" s="1"/>
  <c r="H37" i="28"/>
  <c r="H38" i="28" s="1"/>
  <c r="G37" i="28"/>
  <c r="G38" i="28" s="1"/>
  <c r="F37" i="28"/>
  <c r="F38" i="28" s="1"/>
  <c r="E37" i="28"/>
  <c r="E38" i="28" s="1"/>
  <c r="S36" i="28"/>
  <c r="T36" i="28" s="1"/>
  <c r="S35" i="28"/>
  <c r="T35" i="28" s="1"/>
  <c r="S34" i="28"/>
  <c r="T34" i="28" s="1"/>
  <c r="S33" i="28"/>
  <c r="T33" i="28" s="1"/>
  <c r="S32" i="28"/>
  <c r="T32" i="28" s="1"/>
  <c r="S31" i="28"/>
  <c r="T31" i="28" s="1"/>
  <c r="S29" i="28"/>
  <c r="T29" i="28" s="1"/>
  <c r="S28" i="28"/>
  <c r="T28" i="28" s="1"/>
  <c r="S27" i="28"/>
  <c r="T27" i="28" s="1"/>
  <c r="S26" i="28"/>
  <c r="T26" i="28" s="1"/>
  <c r="S25" i="28"/>
  <c r="T25" i="28" s="1"/>
  <c r="S24" i="28"/>
  <c r="T24" i="28" s="1"/>
  <c r="S23" i="28"/>
  <c r="T23" i="28" s="1"/>
  <c r="S22" i="28"/>
  <c r="T22" i="28" s="1"/>
  <c r="S21" i="28"/>
  <c r="T21" i="28" s="1"/>
  <c r="S20" i="28"/>
  <c r="T20" i="28" s="1"/>
  <c r="S19" i="28"/>
  <c r="T19" i="28" s="1"/>
  <c r="S18" i="28"/>
  <c r="T18" i="28" s="1"/>
  <c r="S17" i="28"/>
  <c r="T17" i="28" s="1"/>
  <c r="S16" i="28"/>
  <c r="T16" i="28" s="1"/>
  <c r="S15" i="28"/>
  <c r="T15" i="28" s="1"/>
  <c r="S14" i="28"/>
  <c r="T14" i="28" s="1"/>
  <c r="S13" i="28"/>
  <c r="T13" i="28" s="1"/>
  <c r="S12" i="28"/>
  <c r="T12" i="28" s="1"/>
  <c r="S11" i="28"/>
  <c r="T11" i="28" s="1"/>
  <c r="S10" i="28"/>
  <c r="T10" i="28" s="1"/>
  <c r="S9" i="28"/>
  <c r="T9" i="28" s="1"/>
  <c r="S8" i="28"/>
  <c r="T8" i="28" s="1"/>
  <c r="S7" i="28"/>
  <c r="T7" i="28" s="1"/>
  <c r="S6" i="28"/>
  <c r="T6" i="28" s="1"/>
  <c r="S5" i="28"/>
  <c r="K36" i="28"/>
  <c r="K35" i="28"/>
  <c r="K34" i="28"/>
  <c r="K33" i="28"/>
  <c r="K32" i="28"/>
  <c r="K31" i="28"/>
  <c r="K29" i="28"/>
  <c r="K28" i="28"/>
  <c r="K27" i="28"/>
  <c r="K26" i="28"/>
  <c r="K25" i="28"/>
  <c r="K24" i="28"/>
  <c r="K23" i="28"/>
  <c r="K22" i="28"/>
  <c r="K21" i="28"/>
  <c r="K20" i="28"/>
  <c r="K19" i="28"/>
  <c r="K18" i="28"/>
  <c r="K17" i="28"/>
  <c r="K16" i="28"/>
  <c r="K15" i="28"/>
  <c r="K14" i="28"/>
  <c r="K13" i="28"/>
  <c r="K12" i="28"/>
  <c r="K11" i="28"/>
  <c r="K10" i="28"/>
  <c r="K9" i="28"/>
  <c r="K8" i="28"/>
  <c r="K7" i="28"/>
  <c r="K6" i="28"/>
  <c r="K5" i="28"/>
  <c r="K36" i="29"/>
  <c r="K35" i="29"/>
  <c r="K34" i="29"/>
  <c r="K33" i="29"/>
  <c r="K28" i="29"/>
  <c r="K27" i="29"/>
  <c r="K26" i="29"/>
  <c r="K25" i="29"/>
  <c r="K24" i="29"/>
  <c r="K23" i="29"/>
  <c r="K22" i="29"/>
  <c r="K21" i="29"/>
  <c r="K20" i="29"/>
  <c r="K19" i="29"/>
  <c r="K18" i="29"/>
  <c r="K17" i="29"/>
  <c r="K16" i="29"/>
  <c r="K15" i="29"/>
  <c r="K14" i="29"/>
  <c r="K13" i="29"/>
  <c r="K12" i="29"/>
  <c r="K11" i="29"/>
  <c r="K10" i="29"/>
  <c r="K9" i="29"/>
  <c r="K8" i="29"/>
  <c r="K7" i="29"/>
  <c r="K6" i="29"/>
  <c r="K5" i="29"/>
  <c r="K37" i="29" l="1"/>
  <c r="K37" i="28"/>
  <c r="S37" i="28"/>
  <c r="T5" i="28"/>
  <c r="T37" i="28" s="1"/>
  <c r="S37" i="29"/>
  <c r="T37" i="29"/>
  <c r="K38" i="29"/>
  <c r="K38" i="28"/>
  <c r="U5" i="28" l="1"/>
  <c r="U6" i="28"/>
  <c r="U7" i="28"/>
  <c r="U8" i="28"/>
  <c r="U9" i="28"/>
  <c r="U10" i="28"/>
  <c r="U11" i="28"/>
  <c r="U12" i="28"/>
  <c r="U13" i="28"/>
  <c r="U14" i="28"/>
  <c r="U15" i="28"/>
  <c r="U16" i="28"/>
  <c r="U17" i="28"/>
  <c r="U18" i="28"/>
  <c r="U19" i="28"/>
  <c r="U20" i="28"/>
  <c r="U21" i="28"/>
  <c r="U22" i="28"/>
  <c r="U23" i="28"/>
  <c r="U24" i="28"/>
  <c r="U25" i="28"/>
  <c r="U26" i="28"/>
  <c r="U27" i="28"/>
  <c r="U28" i="28"/>
  <c r="U29" i="28"/>
  <c r="U31" i="28"/>
  <c r="U32" i="28"/>
  <c r="U33" i="28"/>
  <c r="U34" i="28"/>
  <c r="U35" i="28"/>
  <c r="U36" i="28"/>
  <c r="U37" i="28"/>
  <c r="U38" i="28" l="1"/>
  <c r="S15" i="26" l="1"/>
  <c r="S38" i="28" s="1"/>
  <c r="R15" i="26"/>
  <c r="R38" i="28" s="1"/>
  <c r="P15" i="26"/>
  <c r="P38" i="28" s="1"/>
  <c r="O15" i="26"/>
  <c r="O38" i="28" s="1"/>
  <c r="N15" i="26"/>
  <c r="N38" i="28" s="1"/>
  <c r="U41" i="30" l="1"/>
  <c r="Y40" i="30"/>
  <c r="W40" i="30"/>
  <c r="V40" i="30"/>
  <c r="U40" i="30"/>
  <c r="Y36" i="30"/>
  <c r="W36" i="30"/>
  <c r="V36" i="30"/>
  <c r="Y35" i="30"/>
  <c r="W35" i="30"/>
  <c r="V35" i="30"/>
  <c r="Y34" i="30"/>
  <c r="W34" i="30"/>
  <c r="V34" i="30"/>
  <c r="W33" i="30"/>
  <c r="Y33" i="30"/>
  <c r="V33" i="30"/>
  <c r="W32" i="30"/>
  <c r="U32" i="30"/>
  <c r="Y32" i="30"/>
  <c r="V32" i="30"/>
  <c r="W31" i="30"/>
  <c r="U31" i="30"/>
  <c r="Y31" i="30"/>
  <c r="V31" i="30"/>
  <c r="U29" i="30"/>
  <c r="W29" i="30"/>
  <c r="Y29" i="30"/>
  <c r="V29" i="30"/>
  <c r="W28" i="30"/>
  <c r="U28" i="30"/>
  <c r="Y28" i="30"/>
  <c r="V28" i="30"/>
  <c r="W27" i="30"/>
  <c r="U27" i="30"/>
  <c r="Y27" i="30"/>
  <c r="V27" i="30"/>
  <c r="W26" i="30"/>
  <c r="U26" i="30"/>
  <c r="Y26" i="30"/>
  <c r="V26" i="30"/>
  <c r="W25" i="30"/>
  <c r="U25" i="30"/>
  <c r="Y25" i="30"/>
  <c r="V25" i="30"/>
  <c r="W24" i="30"/>
  <c r="U24" i="30"/>
  <c r="Y24" i="30"/>
  <c r="V24" i="30"/>
  <c r="W23" i="30"/>
  <c r="U23" i="30"/>
  <c r="Y23" i="30"/>
  <c r="V23" i="30"/>
  <c r="U22" i="30"/>
  <c r="W22" i="30"/>
  <c r="Y22" i="30"/>
  <c r="V22" i="30"/>
  <c r="U21" i="30"/>
  <c r="W21" i="30"/>
  <c r="Y21" i="30"/>
  <c r="V21" i="30"/>
  <c r="U20" i="30"/>
  <c r="W20" i="30"/>
  <c r="Y20" i="30"/>
  <c r="V20" i="30"/>
  <c r="Y19" i="30"/>
  <c r="W19" i="30"/>
  <c r="V19" i="30"/>
  <c r="Y18" i="30"/>
  <c r="V18" i="30"/>
  <c r="W18" i="30"/>
  <c r="Y17" i="30"/>
  <c r="V17" i="30"/>
  <c r="W17" i="30"/>
  <c r="Y16" i="30"/>
  <c r="V16" i="30"/>
  <c r="W16" i="30"/>
  <c r="Y15" i="30"/>
  <c r="V15" i="30"/>
  <c r="W15" i="30"/>
  <c r="Y14" i="30"/>
  <c r="W14" i="30"/>
  <c r="V14" i="30"/>
  <c r="Y13" i="30"/>
  <c r="W13" i="30"/>
  <c r="V13" i="30"/>
  <c r="Y12" i="30"/>
  <c r="W12" i="30"/>
  <c r="V12" i="30"/>
  <c r="Y11" i="30"/>
  <c r="W11" i="30"/>
  <c r="V11" i="30"/>
  <c r="Y10" i="30"/>
  <c r="W10" i="30"/>
  <c r="V10" i="30"/>
  <c r="W9" i="30"/>
  <c r="Y9" i="30"/>
  <c r="V9" i="30"/>
  <c r="W8" i="30"/>
  <c r="U8" i="30"/>
  <c r="Y8" i="30"/>
  <c r="V8" i="30"/>
  <c r="W7" i="30"/>
  <c r="U7" i="30"/>
  <c r="Y7" i="30"/>
  <c r="V7" i="30"/>
  <c r="W6" i="30"/>
  <c r="U6" i="30"/>
  <c r="Y6" i="30"/>
  <c r="V6" i="30"/>
  <c r="M37" i="30"/>
  <c r="M38" i="30" s="1"/>
  <c r="M39" i="30" s="1"/>
  <c r="L37" i="30"/>
  <c r="L38" i="30" s="1"/>
  <c r="L39" i="30" s="1"/>
  <c r="J37" i="30"/>
  <c r="J38" i="30" s="1"/>
  <c r="J39" i="30" s="1"/>
  <c r="Y39" i="30" s="1"/>
  <c r="H37" i="30"/>
  <c r="H38" i="30" s="1"/>
  <c r="H39" i="30" s="1"/>
  <c r="W39" i="30" s="1"/>
  <c r="G37" i="30"/>
  <c r="G38" i="30" s="1"/>
  <c r="G39" i="30" s="1"/>
  <c r="V39" i="30" s="1"/>
  <c r="F37" i="30"/>
  <c r="F17" i="26" s="1"/>
  <c r="E37" i="30"/>
  <c r="E38" i="30" s="1"/>
  <c r="E39" i="30" s="1"/>
  <c r="D1" i="30"/>
  <c r="U41" i="29"/>
  <c r="Y40" i="29"/>
  <c r="W40" i="29"/>
  <c r="V40" i="29"/>
  <c r="U40" i="29"/>
  <c r="W36" i="29"/>
  <c r="U36" i="29"/>
  <c r="Y36" i="29"/>
  <c r="V36" i="29"/>
  <c r="W35" i="29"/>
  <c r="U35" i="29"/>
  <c r="Y35" i="29"/>
  <c r="V35" i="29"/>
  <c r="U34" i="29"/>
  <c r="W34" i="29"/>
  <c r="Y34" i="29"/>
  <c r="V34" i="29"/>
  <c r="Y33" i="29"/>
  <c r="V33" i="29"/>
  <c r="W33" i="29"/>
  <c r="Y32" i="29"/>
  <c r="V32" i="29"/>
  <c r="W32" i="29"/>
  <c r="Y31" i="29"/>
  <c r="V31" i="29"/>
  <c r="W31" i="29"/>
  <c r="Y29" i="29"/>
  <c r="W29" i="29"/>
  <c r="V29" i="29"/>
  <c r="Y28" i="29"/>
  <c r="W28" i="29"/>
  <c r="V28" i="29"/>
  <c r="Y27" i="29"/>
  <c r="W27" i="29"/>
  <c r="V27" i="29"/>
  <c r="Y26" i="29"/>
  <c r="W26" i="29"/>
  <c r="V26" i="29"/>
  <c r="Y25" i="29"/>
  <c r="W25" i="29"/>
  <c r="V25" i="29"/>
  <c r="W24" i="29"/>
  <c r="Y24" i="29"/>
  <c r="V24" i="29"/>
  <c r="W23" i="29"/>
  <c r="U23" i="29"/>
  <c r="Y23" i="29"/>
  <c r="V23" i="29"/>
  <c r="W22" i="29"/>
  <c r="U22" i="29"/>
  <c r="Y22" i="29"/>
  <c r="V22" i="29"/>
  <c r="W21" i="29"/>
  <c r="U21" i="29"/>
  <c r="Y21" i="29"/>
  <c r="V21" i="29"/>
  <c r="W20" i="29"/>
  <c r="U20" i="29"/>
  <c r="Y20" i="29"/>
  <c r="V20" i="29"/>
  <c r="W19" i="29"/>
  <c r="U19" i="29"/>
  <c r="Y19" i="29"/>
  <c r="V19" i="29"/>
  <c r="W18" i="29"/>
  <c r="U18" i="29"/>
  <c r="Y18" i="29"/>
  <c r="V18" i="29"/>
  <c r="W17" i="29"/>
  <c r="U17" i="29"/>
  <c r="Y17" i="29"/>
  <c r="V17" i="29"/>
  <c r="W16" i="29"/>
  <c r="U16" i="29"/>
  <c r="Y16" i="29"/>
  <c r="V16" i="29"/>
  <c r="W15" i="29"/>
  <c r="U15" i="29"/>
  <c r="Y15" i="29"/>
  <c r="V15" i="29"/>
  <c r="U14" i="29"/>
  <c r="W14" i="29"/>
  <c r="Y14" i="29"/>
  <c r="V14" i="29"/>
  <c r="U13" i="29"/>
  <c r="W13" i="29"/>
  <c r="Y13" i="29"/>
  <c r="V13" i="29"/>
  <c r="U12" i="29"/>
  <c r="W12" i="29"/>
  <c r="Y12" i="29"/>
  <c r="V12" i="29"/>
  <c r="W11" i="29"/>
  <c r="U11" i="29"/>
  <c r="Y11" i="29"/>
  <c r="V11" i="29"/>
  <c r="W10" i="29"/>
  <c r="U10" i="29"/>
  <c r="Y10" i="29"/>
  <c r="V10" i="29"/>
  <c r="W9" i="29"/>
  <c r="U9" i="29"/>
  <c r="Y9" i="29"/>
  <c r="V9" i="29"/>
  <c r="W8" i="29"/>
  <c r="U8" i="29"/>
  <c r="Y8" i="29"/>
  <c r="V8" i="29"/>
  <c r="W7" i="29"/>
  <c r="U7" i="29"/>
  <c r="Y7" i="29"/>
  <c r="V7" i="29"/>
  <c r="W6" i="29"/>
  <c r="U6" i="29"/>
  <c r="Y6" i="29"/>
  <c r="V6" i="29"/>
  <c r="P16" i="26"/>
  <c r="P38" i="29" s="1"/>
  <c r="M39" i="29"/>
  <c r="L39" i="29"/>
  <c r="J39" i="29"/>
  <c r="Y39" i="29" s="1"/>
  <c r="H39" i="29"/>
  <c r="W39" i="29" s="1"/>
  <c r="G39" i="29"/>
  <c r="V39" i="29" s="1"/>
  <c r="E39" i="29"/>
  <c r="D1" i="29"/>
  <c r="U41" i="28"/>
  <c r="Y40" i="28"/>
  <c r="W40" i="28"/>
  <c r="V40" i="28"/>
  <c r="U40" i="28"/>
  <c r="W36" i="28"/>
  <c r="Y36" i="28"/>
  <c r="V36" i="28"/>
  <c r="W35" i="28"/>
  <c r="Y35" i="28"/>
  <c r="V35" i="28"/>
  <c r="W34" i="28"/>
  <c r="Y34" i="28"/>
  <c r="V34" i="28"/>
  <c r="W33" i="28"/>
  <c r="Y33" i="28"/>
  <c r="V33" i="28"/>
  <c r="W32" i="28"/>
  <c r="Y32" i="28"/>
  <c r="V32" i="28"/>
  <c r="W31" i="28"/>
  <c r="Y31" i="28"/>
  <c r="V31" i="28"/>
  <c r="W29" i="28"/>
  <c r="Y29" i="28"/>
  <c r="V29" i="28"/>
  <c r="W28" i="28"/>
  <c r="Y28" i="28"/>
  <c r="V28" i="28"/>
  <c r="W27" i="28"/>
  <c r="Y27" i="28"/>
  <c r="V27" i="28"/>
  <c r="W26" i="28"/>
  <c r="Y26" i="28"/>
  <c r="V26" i="28"/>
  <c r="W25" i="28"/>
  <c r="Y25" i="28"/>
  <c r="V25" i="28"/>
  <c r="W24" i="28"/>
  <c r="Y24" i="28"/>
  <c r="V24" i="28"/>
  <c r="W23" i="28"/>
  <c r="Y23" i="28"/>
  <c r="V23" i="28"/>
  <c r="W22" i="28"/>
  <c r="Y22" i="28"/>
  <c r="V22" i="28"/>
  <c r="W21" i="28"/>
  <c r="Y21" i="28"/>
  <c r="V21" i="28"/>
  <c r="W20" i="28"/>
  <c r="Y20" i="28"/>
  <c r="V20" i="28"/>
  <c r="W19" i="28"/>
  <c r="Y19" i="28"/>
  <c r="V19" i="28"/>
  <c r="W18" i="28"/>
  <c r="Y18" i="28"/>
  <c r="V18" i="28"/>
  <c r="W17" i="28"/>
  <c r="Y17" i="28"/>
  <c r="V17" i="28"/>
  <c r="W16" i="28"/>
  <c r="Y16" i="28"/>
  <c r="V16" i="28"/>
  <c r="W15" i="28"/>
  <c r="Y15" i="28"/>
  <c r="V15" i="28"/>
  <c r="W14" i="28"/>
  <c r="Y14" i="28"/>
  <c r="V14" i="28"/>
  <c r="W13" i="28"/>
  <c r="Y13" i="28"/>
  <c r="V13" i="28"/>
  <c r="W12" i="28"/>
  <c r="Y12" i="28"/>
  <c r="V12" i="28"/>
  <c r="W11" i="28"/>
  <c r="Y11" i="28"/>
  <c r="V11" i="28"/>
  <c r="W10" i="28"/>
  <c r="Y10" i="28"/>
  <c r="V10" i="28"/>
  <c r="W9" i="28"/>
  <c r="Y9" i="28"/>
  <c r="V9" i="28"/>
  <c r="W8" i="28"/>
  <c r="Y8" i="28"/>
  <c r="V8" i="28"/>
  <c r="W7" i="28"/>
  <c r="Y7" i="28"/>
  <c r="V7" i="28"/>
  <c r="Y6" i="28"/>
  <c r="W6" i="28"/>
  <c r="V6" i="28"/>
  <c r="M39" i="28"/>
  <c r="L39" i="28"/>
  <c r="H39" i="28"/>
  <c r="W39" i="28" s="1"/>
  <c r="D1" i="28"/>
  <c r="U41" i="27"/>
  <c r="Y40" i="27"/>
  <c r="W40" i="27"/>
  <c r="V40" i="27"/>
  <c r="U40" i="27"/>
  <c r="D1" i="27"/>
  <c r="U40" i="26"/>
  <c r="Y39" i="26"/>
  <c r="W39" i="26"/>
  <c r="V39" i="26"/>
  <c r="U39" i="26"/>
  <c r="Y38" i="26"/>
  <c r="W38" i="26"/>
  <c r="V38" i="26"/>
  <c r="U38" i="26"/>
  <c r="V37" i="26"/>
  <c r="U37" i="26"/>
  <c r="Y36" i="26"/>
  <c r="V36" i="26"/>
  <c r="U36" i="26"/>
  <c r="J17" i="26"/>
  <c r="H17" i="26"/>
  <c r="E17" i="26"/>
  <c r="M16" i="26"/>
  <c r="L16" i="26"/>
  <c r="J16" i="26"/>
  <c r="H16" i="26"/>
  <c r="G16" i="26"/>
  <c r="F16" i="26"/>
  <c r="E16" i="26"/>
  <c r="M15" i="26"/>
  <c r="L15" i="26"/>
  <c r="H15" i="26"/>
  <c r="F15" i="26"/>
  <c r="L17" i="26" l="1"/>
  <c r="AB40" i="28"/>
  <c r="AB40" i="29"/>
  <c r="G17" i="26"/>
  <c r="M17" i="26"/>
  <c r="AB40" i="30"/>
  <c r="AB40" i="27"/>
  <c r="AB36" i="26"/>
  <c r="AB38" i="26"/>
  <c r="AB39" i="26"/>
  <c r="V5" i="28"/>
  <c r="Y5" i="28"/>
  <c r="U37" i="29"/>
  <c r="U5" i="29"/>
  <c r="W5" i="29"/>
  <c r="U9" i="30"/>
  <c r="U10" i="30"/>
  <c r="U12" i="30"/>
  <c r="U14" i="30"/>
  <c r="U15" i="30"/>
  <c r="U17" i="30"/>
  <c r="U19" i="30"/>
  <c r="U11" i="30"/>
  <c r="U13" i="30"/>
  <c r="U16" i="30"/>
  <c r="U18" i="30"/>
  <c r="F38" i="30"/>
  <c r="U37" i="30"/>
  <c r="N37" i="30"/>
  <c r="N17" i="26" s="1"/>
  <c r="P37" i="30"/>
  <c r="P17" i="26" s="1"/>
  <c r="U5" i="30"/>
  <c r="W5" i="30"/>
  <c r="U35" i="30"/>
  <c r="U33" i="30"/>
  <c r="U34" i="30"/>
  <c r="U36" i="30"/>
  <c r="R37" i="30" l="1"/>
  <c r="R17" i="26" s="1"/>
  <c r="Y5" i="30"/>
  <c r="O37" i="30"/>
  <c r="O17" i="26" s="1"/>
  <c r="V5" i="30"/>
  <c r="U31" i="29"/>
  <c r="U28" i="29"/>
  <c r="U26" i="29"/>
  <c r="U24" i="29"/>
  <c r="R16" i="26"/>
  <c r="R38" i="29" s="1"/>
  <c r="Y5" i="29"/>
  <c r="K16" i="26"/>
  <c r="F39" i="29"/>
  <c r="U39" i="29" s="1"/>
  <c r="AB39" i="29" s="1"/>
  <c r="U38" i="29"/>
  <c r="N39" i="28"/>
  <c r="Z30" i="28" s="1"/>
  <c r="G39" i="28"/>
  <c r="V39" i="28" s="1"/>
  <c r="G15" i="26"/>
  <c r="K15" i="26"/>
  <c r="F39" i="28"/>
  <c r="U39" i="28" s="1"/>
  <c r="K37" i="30"/>
  <c r="K17" i="26" s="1"/>
  <c r="K38" i="30"/>
  <c r="F39" i="30"/>
  <c r="U39" i="30" s="1"/>
  <c r="AB39" i="30" s="1"/>
  <c r="U38" i="30"/>
  <c r="U33" i="29"/>
  <c r="U32" i="29"/>
  <c r="U29" i="29"/>
  <c r="U27" i="29"/>
  <c r="U25" i="29"/>
  <c r="N16" i="26"/>
  <c r="N38" i="29" s="1"/>
  <c r="O16" i="26"/>
  <c r="O38" i="29" s="1"/>
  <c r="V5" i="29"/>
  <c r="P39" i="28"/>
  <c r="AB30" i="28" s="1"/>
  <c r="W5" i="28"/>
  <c r="J39" i="28"/>
  <c r="Y39" i="28" s="1"/>
  <c r="J15" i="26"/>
  <c r="E39" i="28"/>
  <c r="E15" i="26"/>
  <c r="K39" i="29" l="1"/>
  <c r="AB36" i="28"/>
  <c r="AB35" i="28"/>
  <c r="AB34" i="28"/>
  <c r="AB33" i="28"/>
  <c r="AB32" i="28"/>
  <c r="AB31" i="28"/>
  <c r="AB29" i="28"/>
  <c r="AB28" i="28"/>
  <c r="AB27" i="28"/>
  <c r="AB26" i="28"/>
  <c r="AB25" i="28"/>
  <c r="AB24" i="28"/>
  <c r="AB23" i="28"/>
  <c r="AB22" i="28"/>
  <c r="AB21" i="28"/>
  <c r="AB20" i="28"/>
  <c r="AB19" i="28"/>
  <c r="AB18" i="28"/>
  <c r="AB17" i="28"/>
  <c r="AB16" i="28"/>
  <c r="AB15" i="28"/>
  <c r="AB14" i="28"/>
  <c r="AB13" i="28"/>
  <c r="AB12" i="28"/>
  <c r="AB11" i="28"/>
  <c r="AB10" i="28"/>
  <c r="AB9" i="28"/>
  <c r="AB8" i="28"/>
  <c r="AB7" i="28"/>
  <c r="AB6" i="28"/>
  <c r="AB5" i="28"/>
  <c r="K39" i="30"/>
  <c r="K39" i="28"/>
  <c r="Z36" i="28"/>
  <c r="Z35" i="28"/>
  <c r="Z34" i="28"/>
  <c r="Z33" i="28"/>
  <c r="Z32" i="28"/>
  <c r="Z31" i="28"/>
  <c r="Z29" i="28"/>
  <c r="Z28" i="28"/>
  <c r="Z27" i="28"/>
  <c r="Z26" i="28"/>
  <c r="Z25" i="28"/>
  <c r="Z24" i="28"/>
  <c r="Z23" i="28"/>
  <c r="Z22" i="28"/>
  <c r="Z21" i="28"/>
  <c r="Z20" i="28"/>
  <c r="Z19" i="28"/>
  <c r="Z18" i="28"/>
  <c r="Z5" i="28"/>
  <c r="Z17" i="28"/>
  <c r="Z16" i="28"/>
  <c r="Z15" i="28"/>
  <c r="Z14" i="28"/>
  <c r="Z13" i="28"/>
  <c r="Z12" i="28"/>
  <c r="Z11" i="28"/>
  <c r="Z10" i="28"/>
  <c r="Z9" i="28"/>
  <c r="Z8" i="28"/>
  <c r="Z7" i="28"/>
  <c r="Z6" i="28"/>
  <c r="AB39" i="28"/>
  <c r="S37" i="30"/>
  <c r="S17" i="26" s="1"/>
  <c r="T17" i="26" s="1"/>
  <c r="T37" i="30"/>
  <c r="S16" i="26"/>
  <c r="T16" i="26" l="1"/>
  <c r="S38" i="29"/>
  <c r="O39" i="28"/>
  <c r="AA30" i="28" s="1"/>
  <c r="R39" i="28"/>
  <c r="AD30" i="28" s="1"/>
  <c r="T38" i="29" l="1"/>
  <c r="AD36" i="28"/>
  <c r="AD35" i="28"/>
  <c r="AD34" i="28"/>
  <c r="AD33" i="28"/>
  <c r="AD32" i="28"/>
  <c r="AD31" i="28"/>
  <c r="AD29" i="28"/>
  <c r="AD28" i="28"/>
  <c r="AD27" i="28"/>
  <c r="AD26" i="28"/>
  <c r="AD25" i="28"/>
  <c r="AD24" i="28"/>
  <c r="AD23" i="28"/>
  <c r="AD22" i="28"/>
  <c r="AD21" i="28"/>
  <c r="AD20" i="28"/>
  <c r="AD19" i="28"/>
  <c r="AD18" i="28"/>
  <c r="AD17" i="28"/>
  <c r="AD16" i="28"/>
  <c r="AD15" i="28"/>
  <c r="AD14" i="28"/>
  <c r="AD13" i="28"/>
  <c r="AD12" i="28"/>
  <c r="AD11" i="28"/>
  <c r="AD10" i="28"/>
  <c r="AD9" i="28"/>
  <c r="AD8" i="28"/>
  <c r="AD7" i="28"/>
  <c r="AD6" i="28"/>
  <c r="AD5" i="28"/>
  <c r="AA36" i="28"/>
  <c r="AA35" i="28"/>
  <c r="AA34" i="28"/>
  <c r="AA33" i="28"/>
  <c r="AA32" i="28"/>
  <c r="AA31" i="28"/>
  <c r="AA29" i="28"/>
  <c r="AA28" i="28"/>
  <c r="AA27" i="28"/>
  <c r="AA26" i="28"/>
  <c r="AA25" i="28"/>
  <c r="AA24" i="28"/>
  <c r="AA23" i="28"/>
  <c r="AA22" i="28"/>
  <c r="AA21" i="28"/>
  <c r="AA20" i="28"/>
  <c r="AA19" i="28"/>
  <c r="AA18" i="28"/>
  <c r="AA17" i="28"/>
  <c r="AA16" i="28"/>
  <c r="AA15" i="28"/>
  <c r="AA14" i="28"/>
  <c r="AA13" i="28"/>
  <c r="AA12" i="28"/>
  <c r="AA11" i="28"/>
  <c r="AA10" i="28"/>
  <c r="AA9" i="28"/>
  <c r="AA8" i="28"/>
  <c r="AA7" i="28"/>
  <c r="AA6" i="28"/>
  <c r="AA5" i="28"/>
  <c r="S39" i="28"/>
  <c r="T15" i="26"/>
  <c r="T38" i="28" s="1"/>
  <c r="T39" i="28" l="1"/>
  <c r="D1" i="3" l="1"/>
  <c r="D1" i="4"/>
  <c r="D1" i="5"/>
  <c r="D1" i="6"/>
  <c r="D1" i="7"/>
  <c r="D1" i="8"/>
  <c r="D1" i="9"/>
  <c r="D1" i="10"/>
  <c r="D1" i="11"/>
  <c r="D1" i="12"/>
  <c r="D1" i="13"/>
  <c r="D1" i="14"/>
  <c r="D1" i="15"/>
  <c r="D1" i="16"/>
  <c r="D1" i="17"/>
  <c r="D1" i="18"/>
  <c r="D1" i="2"/>
  <c r="K11" i="18" l="1"/>
  <c r="K8" i="18"/>
  <c r="K7" i="18"/>
  <c r="E7" i="18" s="1"/>
  <c r="K20" i="17"/>
  <c r="E5" i="18" l="1"/>
  <c r="F5" i="18"/>
  <c r="N5" i="18" s="1"/>
  <c r="G5" i="18"/>
  <c r="O5" i="18" s="1"/>
  <c r="O28" i="26" s="1"/>
  <c r="H5" i="18"/>
  <c r="P5" i="18" s="1"/>
  <c r="J5" i="18"/>
  <c r="L5" i="18"/>
  <c r="M5" i="18"/>
  <c r="N7" i="18"/>
  <c r="U7" i="18" s="1"/>
  <c r="O7" i="18"/>
  <c r="V7" i="18" s="1"/>
  <c r="R7" i="18"/>
  <c r="Y7" i="18" s="1"/>
  <c r="E8" i="18"/>
  <c r="N8" i="18"/>
  <c r="O8" i="18"/>
  <c r="P8" i="18"/>
  <c r="W8" i="18" s="1"/>
  <c r="R8" i="18"/>
  <c r="Y8" i="18" s="1"/>
  <c r="U8" i="18"/>
  <c r="E11" i="18"/>
  <c r="N11" i="18"/>
  <c r="U11" i="18" s="1"/>
  <c r="O11" i="18"/>
  <c r="V11" i="18" s="1"/>
  <c r="R11" i="18"/>
  <c r="Y11" i="18" s="1"/>
  <c r="E14" i="18"/>
  <c r="E29" i="26" s="1"/>
  <c r="F14" i="18"/>
  <c r="F29" i="26" s="1"/>
  <c r="G14" i="18"/>
  <c r="O14" i="18" s="1"/>
  <c r="O29" i="26" s="1"/>
  <c r="H14" i="18"/>
  <c r="H29" i="26" s="1"/>
  <c r="J14" i="18"/>
  <c r="L14" i="18"/>
  <c r="M14" i="18"/>
  <c r="M29" i="1" s="1"/>
  <c r="K15" i="18"/>
  <c r="E15" i="18" s="1"/>
  <c r="N15" i="18"/>
  <c r="O15" i="18"/>
  <c r="P15" i="18"/>
  <c r="W15" i="18" s="1"/>
  <c r="R15" i="18"/>
  <c r="Y15" i="18" s="1"/>
  <c r="U15" i="18"/>
  <c r="K16" i="18"/>
  <c r="E16" i="18" s="1"/>
  <c r="N16" i="18"/>
  <c r="U16" i="18" s="1"/>
  <c r="O16" i="18"/>
  <c r="V16" i="18" s="1"/>
  <c r="P16" i="18"/>
  <c r="R16" i="18"/>
  <c r="Y16" i="18" s="1"/>
  <c r="K17" i="18"/>
  <c r="E17" i="18" s="1"/>
  <c r="N17" i="18"/>
  <c r="O17" i="18"/>
  <c r="P17" i="18"/>
  <c r="W17" i="18" s="1"/>
  <c r="R17" i="18"/>
  <c r="Y17" i="18" s="1"/>
  <c r="U17" i="18"/>
  <c r="K18" i="18"/>
  <c r="E18" i="18" s="1"/>
  <c r="N18" i="18"/>
  <c r="U18" i="18" s="1"/>
  <c r="O18" i="18"/>
  <c r="V18" i="18" s="1"/>
  <c r="P18" i="18"/>
  <c r="R18" i="18"/>
  <c r="Y18" i="18" s="1"/>
  <c r="K19" i="18"/>
  <c r="E19" i="18" s="1"/>
  <c r="N19" i="18"/>
  <c r="O19" i="18"/>
  <c r="P19" i="18"/>
  <c r="W19" i="18" s="1"/>
  <c r="R19" i="18"/>
  <c r="Y19" i="18" s="1"/>
  <c r="U19" i="18"/>
  <c r="K20" i="18"/>
  <c r="E20" i="18" s="1"/>
  <c r="N20" i="18"/>
  <c r="U20" i="18" s="1"/>
  <c r="O20" i="18"/>
  <c r="V20" i="18" s="1"/>
  <c r="P20" i="18"/>
  <c r="R20" i="18"/>
  <c r="Y20" i="18" s="1"/>
  <c r="K21" i="18"/>
  <c r="E21" i="18" s="1"/>
  <c r="N21" i="18"/>
  <c r="O21" i="18"/>
  <c r="P21" i="18"/>
  <c r="W21" i="18" s="1"/>
  <c r="R21" i="18"/>
  <c r="Y21" i="18" s="1"/>
  <c r="U21" i="18"/>
  <c r="K22" i="18"/>
  <c r="E22" i="18" s="1"/>
  <c r="N22" i="18"/>
  <c r="U22" i="18" s="1"/>
  <c r="O22" i="18"/>
  <c r="V22" i="18" s="1"/>
  <c r="P22" i="18"/>
  <c r="R22" i="18"/>
  <c r="Y22" i="18" s="1"/>
  <c r="K23" i="18"/>
  <c r="E23" i="18" s="1"/>
  <c r="N23" i="18"/>
  <c r="O23" i="18"/>
  <c r="P23" i="18"/>
  <c r="W23" i="18" s="1"/>
  <c r="R23" i="18"/>
  <c r="Y23" i="18" s="1"/>
  <c r="U23" i="18"/>
  <c r="K24" i="18"/>
  <c r="E24" i="18" s="1"/>
  <c r="N24" i="18"/>
  <c r="U24" i="18" s="1"/>
  <c r="O24" i="18"/>
  <c r="V24" i="18" s="1"/>
  <c r="P24" i="18"/>
  <c r="R24" i="18"/>
  <c r="Y24" i="18" s="1"/>
  <c r="K25" i="18"/>
  <c r="E25" i="18" s="1"/>
  <c r="N25" i="18"/>
  <c r="O25" i="18"/>
  <c r="P25" i="18"/>
  <c r="W25" i="18" s="1"/>
  <c r="R25" i="18"/>
  <c r="Y25" i="18" s="1"/>
  <c r="U25" i="18"/>
  <c r="K26" i="18"/>
  <c r="E26" i="18" s="1"/>
  <c r="N26" i="18"/>
  <c r="U26" i="18" s="1"/>
  <c r="O26" i="18"/>
  <c r="V26" i="18" s="1"/>
  <c r="P26" i="18"/>
  <c r="R26" i="18"/>
  <c r="Y26" i="18" s="1"/>
  <c r="K27" i="18"/>
  <c r="E27" i="18" s="1"/>
  <c r="N27" i="18"/>
  <c r="O27" i="18"/>
  <c r="P27" i="18"/>
  <c r="W27" i="18" s="1"/>
  <c r="R27" i="18"/>
  <c r="Y27" i="18" s="1"/>
  <c r="U27" i="18"/>
  <c r="K28" i="18"/>
  <c r="N28" i="18"/>
  <c r="U28" i="18" s="1"/>
  <c r="O28" i="18"/>
  <c r="V28" i="18" s="1"/>
  <c r="P28" i="18"/>
  <c r="R28" i="18"/>
  <c r="Y28" i="18" s="1"/>
  <c r="K29" i="18"/>
  <c r="E29" i="18" s="1"/>
  <c r="N29" i="18"/>
  <c r="O29" i="18"/>
  <c r="P29" i="18"/>
  <c r="W29" i="18" s="1"/>
  <c r="R29" i="18"/>
  <c r="Y29" i="18" s="1"/>
  <c r="U29" i="18"/>
  <c r="N31" i="18"/>
  <c r="O31" i="18"/>
  <c r="P31" i="18"/>
  <c r="R31" i="18"/>
  <c r="E30" i="26"/>
  <c r="F32" i="18"/>
  <c r="F30" i="26" s="1"/>
  <c r="G32" i="18"/>
  <c r="G30" i="26" s="1"/>
  <c r="H32" i="18"/>
  <c r="J32" i="18"/>
  <c r="J30" i="1" s="1"/>
  <c r="R30" i="1" s="1"/>
  <c r="L32" i="18"/>
  <c r="L30" i="26" s="1"/>
  <c r="M32" i="18"/>
  <c r="M30" i="26" s="1"/>
  <c r="E34" i="18"/>
  <c r="E31" i="26" s="1"/>
  <c r="F34" i="18"/>
  <c r="N34" i="18" s="1"/>
  <c r="G34" i="18"/>
  <c r="O34" i="18" s="1"/>
  <c r="H34" i="18"/>
  <c r="H31" i="1" s="1"/>
  <c r="P31" i="1" s="1"/>
  <c r="W31" i="1" s="1"/>
  <c r="J34" i="18"/>
  <c r="L34" i="18"/>
  <c r="L31" i="1" s="1"/>
  <c r="M34" i="18"/>
  <c r="M31" i="1" s="1"/>
  <c r="U41" i="18"/>
  <c r="V41" i="18"/>
  <c r="W41" i="18"/>
  <c r="Y41" i="18"/>
  <c r="U42" i="18"/>
  <c r="E6" i="17"/>
  <c r="F6" i="17"/>
  <c r="N6" i="17" s="1"/>
  <c r="U6" i="17" s="1"/>
  <c r="G6" i="17"/>
  <c r="O6" i="17" s="1"/>
  <c r="H6" i="17"/>
  <c r="P6" i="17" s="1"/>
  <c r="W6" i="17" s="1"/>
  <c r="J6" i="17"/>
  <c r="R6" i="17" s="1"/>
  <c r="L6" i="17"/>
  <c r="M6" i="17"/>
  <c r="E7" i="17"/>
  <c r="F7" i="17"/>
  <c r="N7" i="17" s="1"/>
  <c r="U7" i="17" s="1"/>
  <c r="G7" i="17"/>
  <c r="O7" i="17" s="1"/>
  <c r="V7" i="17" s="1"/>
  <c r="H7" i="17"/>
  <c r="J7" i="17"/>
  <c r="R7" i="17" s="1"/>
  <c r="L7" i="17"/>
  <c r="M7" i="17"/>
  <c r="P7" i="17"/>
  <c r="E8" i="17"/>
  <c r="F8" i="17"/>
  <c r="N8" i="17" s="1"/>
  <c r="U8" i="17" s="1"/>
  <c r="G8" i="17"/>
  <c r="O8" i="17" s="1"/>
  <c r="H8" i="17"/>
  <c r="P8" i="17" s="1"/>
  <c r="J8" i="17"/>
  <c r="R8" i="17" s="1"/>
  <c r="Y8" i="17" s="1"/>
  <c r="L8" i="17"/>
  <c r="M8" i="17"/>
  <c r="E9" i="17"/>
  <c r="F9" i="17"/>
  <c r="G9" i="17"/>
  <c r="H9" i="17"/>
  <c r="J9" i="17"/>
  <c r="L9" i="17"/>
  <c r="M9" i="17"/>
  <c r="E10" i="17"/>
  <c r="F10" i="17"/>
  <c r="N10" i="17" s="1"/>
  <c r="U10" i="17" s="1"/>
  <c r="G10" i="17"/>
  <c r="H10" i="17"/>
  <c r="P10" i="17" s="1"/>
  <c r="J10" i="17"/>
  <c r="R10" i="17" s="1"/>
  <c r="Y10" i="17" s="1"/>
  <c r="L10" i="17"/>
  <c r="M10" i="17"/>
  <c r="E11" i="17"/>
  <c r="F11" i="17"/>
  <c r="N11" i="17" s="1"/>
  <c r="U11" i="17" s="1"/>
  <c r="G11" i="17"/>
  <c r="H11" i="17"/>
  <c r="P11" i="17" s="1"/>
  <c r="W11" i="17" s="1"/>
  <c r="J11" i="17"/>
  <c r="R11" i="17" s="1"/>
  <c r="Y11" i="17" s="1"/>
  <c r="L11" i="17"/>
  <c r="M11" i="17"/>
  <c r="E12" i="17"/>
  <c r="F12" i="17"/>
  <c r="N12" i="17" s="1"/>
  <c r="U12" i="17" s="1"/>
  <c r="G12" i="17"/>
  <c r="O12" i="17" s="1"/>
  <c r="H12" i="17"/>
  <c r="P12" i="17" s="1"/>
  <c r="J12" i="17"/>
  <c r="R12" i="17" s="1"/>
  <c r="Y12" i="17" s="1"/>
  <c r="L12" i="17"/>
  <c r="M12" i="17"/>
  <c r="E15" i="17"/>
  <c r="F15" i="17"/>
  <c r="N15" i="17" s="1"/>
  <c r="U15" i="17" s="1"/>
  <c r="G15" i="17"/>
  <c r="O15" i="17" s="1"/>
  <c r="H15" i="17"/>
  <c r="P15" i="17" s="1"/>
  <c r="J15" i="17"/>
  <c r="R15" i="17" s="1"/>
  <c r="L15" i="17"/>
  <c r="M15" i="17"/>
  <c r="E16" i="17"/>
  <c r="F16" i="17"/>
  <c r="N16" i="17" s="1"/>
  <c r="U16" i="17" s="1"/>
  <c r="G16" i="17"/>
  <c r="O16" i="17" s="1"/>
  <c r="V16" i="17" s="1"/>
  <c r="H16" i="17"/>
  <c r="P16" i="17" s="1"/>
  <c r="J16" i="17"/>
  <c r="R16" i="17" s="1"/>
  <c r="L16" i="17"/>
  <c r="M16" i="17"/>
  <c r="N20" i="17"/>
  <c r="U20" i="17" s="1"/>
  <c r="O20" i="17"/>
  <c r="V20" i="17" s="1"/>
  <c r="P20" i="17"/>
  <c r="W20" i="17" s="1"/>
  <c r="R20" i="17"/>
  <c r="Y20" i="17" s="1"/>
  <c r="G45" i="1"/>
  <c r="U39" i="17"/>
  <c r="V39" i="17"/>
  <c r="W39" i="17"/>
  <c r="Y39" i="17"/>
  <c r="U40" i="17"/>
  <c r="E5" i="16"/>
  <c r="F5" i="16"/>
  <c r="N5" i="16" s="1"/>
  <c r="U5" i="16" s="1"/>
  <c r="G5" i="16"/>
  <c r="O5" i="16" s="1"/>
  <c r="H5" i="16"/>
  <c r="P5" i="16" s="1"/>
  <c r="J5" i="16"/>
  <c r="R5" i="16" s="1"/>
  <c r="Y5" i="16" s="1"/>
  <c r="L5" i="16"/>
  <c r="M5" i="16"/>
  <c r="E7" i="16"/>
  <c r="F7" i="16"/>
  <c r="N7" i="16" s="1"/>
  <c r="U7" i="16" s="1"/>
  <c r="G7" i="16"/>
  <c r="O7" i="16" s="1"/>
  <c r="H7" i="16"/>
  <c r="P7" i="16" s="1"/>
  <c r="J7" i="16"/>
  <c r="R7" i="16" s="1"/>
  <c r="Y7" i="16" s="1"/>
  <c r="L7" i="16"/>
  <c r="M7" i="16"/>
  <c r="U39" i="16"/>
  <c r="V39" i="16"/>
  <c r="W39" i="16"/>
  <c r="Y39" i="16"/>
  <c r="U40" i="16"/>
  <c r="E5" i="15"/>
  <c r="F5" i="15"/>
  <c r="N5" i="15" s="1"/>
  <c r="U5" i="15" s="1"/>
  <c r="G5" i="15"/>
  <c r="O5" i="15" s="1"/>
  <c r="V5" i="15" s="1"/>
  <c r="H5" i="15"/>
  <c r="P5" i="15" s="1"/>
  <c r="W5" i="15" s="1"/>
  <c r="J5" i="15"/>
  <c r="R5" i="15" s="1"/>
  <c r="L5" i="15"/>
  <c r="M5" i="15"/>
  <c r="E6" i="15"/>
  <c r="F6" i="15"/>
  <c r="N6" i="15" s="1"/>
  <c r="U6" i="15" s="1"/>
  <c r="G6" i="15"/>
  <c r="O6" i="15" s="1"/>
  <c r="H6" i="15"/>
  <c r="P6" i="15" s="1"/>
  <c r="W6" i="15" s="1"/>
  <c r="J6" i="15"/>
  <c r="R6" i="15" s="1"/>
  <c r="Y6" i="15" s="1"/>
  <c r="L6" i="15"/>
  <c r="M6" i="15"/>
  <c r="E7" i="15"/>
  <c r="F7" i="15"/>
  <c r="N7" i="15" s="1"/>
  <c r="U7" i="15" s="1"/>
  <c r="G7" i="15"/>
  <c r="O7" i="15" s="1"/>
  <c r="V7" i="15" s="1"/>
  <c r="H7" i="15"/>
  <c r="J7" i="15"/>
  <c r="R7" i="15" s="1"/>
  <c r="L7" i="15"/>
  <c r="M7" i="15"/>
  <c r="P7" i="15"/>
  <c r="E8" i="15"/>
  <c r="F8" i="15"/>
  <c r="N8" i="15" s="1"/>
  <c r="U8" i="15" s="1"/>
  <c r="G8" i="15"/>
  <c r="O8" i="15" s="1"/>
  <c r="H8" i="15"/>
  <c r="J8" i="15"/>
  <c r="L8" i="15"/>
  <c r="M8" i="15"/>
  <c r="P8" i="15"/>
  <c r="W8" i="15" s="1"/>
  <c r="R8" i="15"/>
  <c r="Y8" i="15" s="1"/>
  <c r="E9" i="15"/>
  <c r="F9" i="15"/>
  <c r="N9" i="15" s="1"/>
  <c r="U9" i="15" s="1"/>
  <c r="G9" i="15"/>
  <c r="O9" i="15" s="1"/>
  <c r="V9" i="15" s="1"/>
  <c r="H9" i="15"/>
  <c r="J9" i="15"/>
  <c r="R9" i="15" s="1"/>
  <c r="Y9" i="15" s="1"/>
  <c r="L9" i="15"/>
  <c r="M9" i="15"/>
  <c r="P9" i="15"/>
  <c r="W9" i="15" s="1"/>
  <c r="E10" i="15"/>
  <c r="F10" i="15"/>
  <c r="N10" i="15" s="1"/>
  <c r="U10" i="15" s="1"/>
  <c r="G10" i="15"/>
  <c r="H10" i="15"/>
  <c r="P10" i="15" s="1"/>
  <c r="W10" i="15" s="1"/>
  <c r="J10" i="15"/>
  <c r="R10" i="15" s="1"/>
  <c r="L10" i="15"/>
  <c r="M10" i="15"/>
  <c r="E11" i="15"/>
  <c r="F11" i="15"/>
  <c r="N11" i="15" s="1"/>
  <c r="U11" i="15" s="1"/>
  <c r="G11" i="15"/>
  <c r="O11" i="15" s="1"/>
  <c r="H11" i="15"/>
  <c r="P11" i="15" s="1"/>
  <c r="W11" i="15" s="1"/>
  <c r="J11" i="15"/>
  <c r="R11" i="15" s="1"/>
  <c r="Y11" i="15" s="1"/>
  <c r="L11" i="15"/>
  <c r="M11" i="15"/>
  <c r="E12" i="15"/>
  <c r="F12" i="15"/>
  <c r="N12" i="15" s="1"/>
  <c r="U12" i="15" s="1"/>
  <c r="G12" i="15"/>
  <c r="O12" i="15" s="1"/>
  <c r="V12" i="15" s="1"/>
  <c r="H12" i="15"/>
  <c r="P12" i="15" s="1"/>
  <c r="J12" i="15"/>
  <c r="R12" i="15" s="1"/>
  <c r="L12" i="15"/>
  <c r="M12" i="15"/>
  <c r="E13" i="15"/>
  <c r="F13" i="15"/>
  <c r="N13" i="15" s="1"/>
  <c r="U13" i="15" s="1"/>
  <c r="G13" i="15"/>
  <c r="O13" i="15" s="1"/>
  <c r="H13" i="15"/>
  <c r="J13" i="15"/>
  <c r="L13" i="15"/>
  <c r="M13" i="15"/>
  <c r="P13" i="15"/>
  <c r="W13" i="15" s="1"/>
  <c r="R13" i="15"/>
  <c r="Y13" i="15" s="1"/>
  <c r="E14" i="15"/>
  <c r="F14" i="15"/>
  <c r="N14" i="15" s="1"/>
  <c r="U14" i="15" s="1"/>
  <c r="G14" i="15"/>
  <c r="O14" i="15" s="1"/>
  <c r="V14" i="15" s="1"/>
  <c r="H14" i="15"/>
  <c r="P14" i="15" s="1"/>
  <c r="J14" i="15"/>
  <c r="R14" i="15" s="1"/>
  <c r="L14" i="15"/>
  <c r="M14" i="15"/>
  <c r="U39" i="15"/>
  <c r="V39" i="15"/>
  <c r="W39" i="15"/>
  <c r="Y39" i="15"/>
  <c r="U40" i="15"/>
  <c r="E5" i="14"/>
  <c r="F5" i="14"/>
  <c r="N5" i="14" s="1"/>
  <c r="G5" i="14"/>
  <c r="O5" i="14" s="1"/>
  <c r="V5" i="14" s="1"/>
  <c r="H5" i="14"/>
  <c r="P5" i="14" s="1"/>
  <c r="J5" i="14"/>
  <c r="R5" i="14" s="1"/>
  <c r="Y5" i="14" s="1"/>
  <c r="L5" i="14"/>
  <c r="M5" i="14"/>
  <c r="E6" i="14"/>
  <c r="F6" i="14"/>
  <c r="N6" i="14" s="1"/>
  <c r="U6" i="14" s="1"/>
  <c r="G6" i="14"/>
  <c r="H6" i="14"/>
  <c r="P6" i="14" s="1"/>
  <c r="W6" i="14" s="1"/>
  <c r="J6" i="14"/>
  <c r="R6" i="14" s="1"/>
  <c r="Y6" i="14" s="1"/>
  <c r="L6" i="14"/>
  <c r="M6" i="14"/>
  <c r="E7" i="14"/>
  <c r="F7" i="14"/>
  <c r="N7" i="14" s="1"/>
  <c r="G7" i="14"/>
  <c r="O7" i="14" s="1"/>
  <c r="V7" i="14" s="1"/>
  <c r="H7" i="14"/>
  <c r="P7" i="14" s="1"/>
  <c r="J7" i="14"/>
  <c r="R7" i="14" s="1"/>
  <c r="Y7" i="14" s="1"/>
  <c r="L7" i="14"/>
  <c r="M7" i="14"/>
  <c r="E8" i="14"/>
  <c r="F8" i="14"/>
  <c r="N8" i="14" s="1"/>
  <c r="U8" i="14" s="1"/>
  <c r="G8" i="14"/>
  <c r="H8" i="14"/>
  <c r="P8" i="14" s="1"/>
  <c r="W8" i="14" s="1"/>
  <c r="J8" i="14"/>
  <c r="R8" i="14" s="1"/>
  <c r="Y8" i="14" s="1"/>
  <c r="L8" i="14"/>
  <c r="M8" i="14"/>
  <c r="E9" i="14"/>
  <c r="F9" i="14"/>
  <c r="N9" i="14" s="1"/>
  <c r="G9" i="14"/>
  <c r="O9" i="14" s="1"/>
  <c r="V9" i="14" s="1"/>
  <c r="H9" i="14"/>
  <c r="P9" i="14" s="1"/>
  <c r="J9" i="14"/>
  <c r="R9" i="14" s="1"/>
  <c r="Y9" i="14" s="1"/>
  <c r="L9" i="14"/>
  <c r="M9" i="14"/>
  <c r="E10" i="14"/>
  <c r="F10" i="14"/>
  <c r="N10" i="14" s="1"/>
  <c r="U10" i="14" s="1"/>
  <c r="G10" i="14"/>
  <c r="H10" i="14"/>
  <c r="P10" i="14" s="1"/>
  <c r="W10" i="14" s="1"/>
  <c r="J10" i="14"/>
  <c r="R10" i="14" s="1"/>
  <c r="Y10" i="14" s="1"/>
  <c r="L10" i="14"/>
  <c r="M10" i="14"/>
  <c r="E11" i="14"/>
  <c r="F11" i="14"/>
  <c r="N11" i="14" s="1"/>
  <c r="G11" i="14"/>
  <c r="O11" i="14" s="1"/>
  <c r="V11" i="14" s="1"/>
  <c r="H11" i="14"/>
  <c r="P11" i="14" s="1"/>
  <c r="J11" i="14"/>
  <c r="R11" i="14" s="1"/>
  <c r="Y11" i="14" s="1"/>
  <c r="L11" i="14"/>
  <c r="M11" i="14"/>
  <c r="E12" i="14"/>
  <c r="F12" i="14"/>
  <c r="N12" i="14" s="1"/>
  <c r="U12" i="14" s="1"/>
  <c r="G12" i="14"/>
  <c r="H12" i="14"/>
  <c r="P12" i="14" s="1"/>
  <c r="W12" i="14" s="1"/>
  <c r="J12" i="14"/>
  <c r="R12" i="14" s="1"/>
  <c r="Y12" i="14" s="1"/>
  <c r="L12" i="14"/>
  <c r="M12" i="14"/>
  <c r="E13" i="14"/>
  <c r="F13" i="14"/>
  <c r="N13" i="14" s="1"/>
  <c r="G13" i="14"/>
  <c r="O13" i="14" s="1"/>
  <c r="V13" i="14" s="1"/>
  <c r="H13" i="14"/>
  <c r="P13" i="14" s="1"/>
  <c r="J13" i="14"/>
  <c r="R13" i="14" s="1"/>
  <c r="Y13" i="14" s="1"/>
  <c r="L13" i="14"/>
  <c r="M13" i="14"/>
  <c r="E14" i="14"/>
  <c r="F14" i="14"/>
  <c r="N14" i="14" s="1"/>
  <c r="U14" i="14" s="1"/>
  <c r="G14" i="14"/>
  <c r="H14" i="14"/>
  <c r="P14" i="14" s="1"/>
  <c r="W14" i="14" s="1"/>
  <c r="J14" i="14"/>
  <c r="R14" i="14" s="1"/>
  <c r="Y14" i="14" s="1"/>
  <c r="L14" i="14"/>
  <c r="M14" i="14"/>
  <c r="E15" i="14"/>
  <c r="F15" i="14"/>
  <c r="N15" i="14" s="1"/>
  <c r="G15" i="14"/>
  <c r="O15" i="14" s="1"/>
  <c r="V15" i="14" s="1"/>
  <c r="H15" i="14"/>
  <c r="P15" i="14" s="1"/>
  <c r="J15" i="14"/>
  <c r="R15" i="14" s="1"/>
  <c r="Y15" i="14" s="1"/>
  <c r="L15" i="14"/>
  <c r="M15" i="14"/>
  <c r="E16" i="14"/>
  <c r="F16" i="14"/>
  <c r="N16" i="14" s="1"/>
  <c r="U16" i="14" s="1"/>
  <c r="G16" i="14"/>
  <c r="H16" i="14"/>
  <c r="P16" i="14" s="1"/>
  <c r="W16" i="14" s="1"/>
  <c r="J16" i="14"/>
  <c r="R16" i="14" s="1"/>
  <c r="Y16" i="14" s="1"/>
  <c r="L16" i="14"/>
  <c r="M16" i="14"/>
  <c r="E17" i="14"/>
  <c r="F17" i="14"/>
  <c r="N17" i="14" s="1"/>
  <c r="G17" i="14"/>
  <c r="H17" i="14"/>
  <c r="P17" i="14" s="1"/>
  <c r="J17" i="14"/>
  <c r="R17" i="14" s="1"/>
  <c r="Y17" i="14" s="1"/>
  <c r="L17" i="14"/>
  <c r="M17" i="14"/>
  <c r="E18" i="14"/>
  <c r="F18" i="14"/>
  <c r="N18" i="14" s="1"/>
  <c r="U18" i="14" s="1"/>
  <c r="G18" i="14"/>
  <c r="H18" i="14"/>
  <c r="P18" i="14" s="1"/>
  <c r="W18" i="14" s="1"/>
  <c r="J18" i="14"/>
  <c r="R18" i="14" s="1"/>
  <c r="Y18" i="14" s="1"/>
  <c r="L18" i="14"/>
  <c r="M18" i="14"/>
  <c r="E19" i="14"/>
  <c r="F19" i="14"/>
  <c r="N19" i="14" s="1"/>
  <c r="G19" i="14"/>
  <c r="O19" i="14" s="1"/>
  <c r="V19" i="14" s="1"/>
  <c r="H19" i="14"/>
  <c r="P19" i="14" s="1"/>
  <c r="J19" i="14"/>
  <c r="R19" i="14" s="1"/>
  <c r="Y19" i="14" s="1"/>
  <c r="L19" i="14"/>
  <c r="M19" i="14"/>
  <c r="E20" i="14"/>
  <c r="F20" i="14"/>
  <c r="N20" i="14" s="1"/>
  <c r="U20" i="14" s="1"/>
  <c r="G20" i="14"/>
  <c r="H20" i="14"/>
  <c r="P20" i="14" s="1"/>
  <c r="W20" i="14" s="1"/>
  <c r="J20" i="14"/>
  <c r="R20" i="14" s="1"/>
  <c r="Y20" i="14" s="1"/>
  <c r="L20" i="14"/>
  <c r="M20" i="14"/>
  <c r="E21" i="14"/>
  <c r="F21" i="14"/>
  <c r="N21" i="14" s="1"/>
  <c r="U21" i="14" s="1"/>
  <c r="G21" i="14"/>
  <c r="O21" i="14" s="1"/>
  <c r="V21" i="14" s="1"/>
  <c r="H21" i="14"/>
  <c r="P21" i="14" s="1"/>
  <c r="J21" i="14"/>
  <c r="R21" i="14" s="1"/>
  <c r="Y21" i="14" s="1"/>
  <c r="L21" i="14"/>
  <c r="M21" i="14"/>
  <c r="W21" i="14"/>
  <c r="E22" i="14"/>
  <c r="F22" i="14"/>
  <c r="N22" i="14" s="1"/>
  <c r="U22" i="14" s="1"/>
  <c r="G22" i="14"/>
  <c r="H22" i="14"/>
  <c r="P22" i="14" s="1"/>
  <c r="W22" i="14" s="1"/>
  <c r="J22" i="14"/>
  <c r="R22" i="14" s="1"/>
  <c r="Y22" i="14" s="1"/>
  <c r="L22" i="14"/>
  <c r="M22" i="14"/>
  <c r="E23" i="14"/>
  <c r="F23" i="14"/>
  <c r="N23" i="14" s="1"/>
  <c r="G23" i="14"/>
  <c r="O23" i="14" s="1"/>
  <c r="H23" i="14"/>
  <c r="P23" i="14" s="1"/>
  <c r="W23" i="14" s="1"/>
  <c r="J23" i="14"/>
  <c r="R23" i="14" s="1"/>
  <c r="Y23" i="14" s="1"/>
  <c r="L23" i="14"/>
  <c r="M23" i="14"/>
  <c r="E24" i="14"/>
  <c r="F24" i="14"/>
  <c r="N24" i="14" s="1"/>
  <c r="U24" i="14" s="1"/>
  <c r="G24" i="14"/>
  <c r="H24" i="14"/>
  <c r="P24" i="14" s="1"/>
  <c r="W24" i="14" s="1"/>
  <c r="J24" i="14"/>
  <c r="R24" i="14" s="1"/>
  <c r="L24" i="14"/>
  <c r="M24" i="14"/>
  <c r="E25" i="14"/>
  <c r="F25" i="14"/>
  <c r="N25" i="14" s="1"/>
  <c r="U25" i="14" s="1"/>
  <c r="G25" i="14"/>
  <c r="O25" i="14" s="1"/>
  <c r="H25" i="14"/>
  <c r="P25" i="14" s="1"/>
  <c r="J25" i="14"/>
  <c r="R25" i="14" s="1"/>
  <c r="Y25" i="14" s="1"/>
  <c r="L25" i="14"/>
  <c r="M25" i="14"/>
  <c r="E26" i="14"/>
  <c r="F26" i="14"/>
  <c r="N26" i="14" s="1"/>
  <c r="U26" i="14" s="1"/>
  <c r="G26" i="14"/>
  <c r="H26" i="14"/>
  <c r="P26" i="14" s="1"/>
  <c r="W26" i="14" s="1"/>
  <c r="J26" i="14"/>
  <c r="R26" i="14" s="1"/>
  <c r="Y26" i="14" s="1"/>
  <c r="L26" i="14"/>
  <c r="M26" i="14"/>
  <c r="E27" i="14"/>
  <c r="F27" i="14"/>
  <c r="N27" i="14" s="1"/>
  <c r="U27" i="14" s="1"/>
  <c r="G27" i="14"/>
  <c r="H27" i="14"/>
  <c r="P27" i="14" s="1"/>
  <c r="J27" i="14"/>
  <c r="R27" i="14" s="1"/>
  <c r="Y27" i="14" s="1"/>
  <c r="L27" i="14"/>
  <c r="M27" i="14"/>
  <c r="E28" i="14"/>
  <c r="F28" i="14"/>
  <c r="N28" i="14" s="1"/>
  <c r="U28" i="14" s="1"/>
  <c r="G28" i="14"/>
  <c r="H28" i="14"/>
  <c r="P28" i="14" s="1"/>
  <c r="W28" i="14" s="1"/>
  <c r="J28" i="14"/>
  <c r="R28" i="14" s="1"/>
  <c r="Y28" i="14" s="1"/>
  <c r="L28" i="14"/>
  <c r="M28" i="14"/>
  <c r="E29" i="14"/>
  <c r="F29" i="14"/>
  <c r="N29" i="14" s="1"/>
  <c r="U29" i="14" s="1"/>
  <c r="G29" i="14"/>
  <c r="O29" i="14" s="1"/>
  <c r="H29" i="14"/>
  <c r="P29" i="14" s="1"/>
  <c r="J29" i="14"/>
  <c r="R29" i="14" s="1"/>
  <c r="Y29" i="14" s="1"/>
  <c r="L29" i="14"/>
  <c r="M29" i="14"/>
  <c r="E30" i="14"/>
  <c r="F30" i="14"/>
  <c r="N30" i="14" s="1"/>
  <c r="U30" i="14" s="1"/>
  <c r="G30" i="14"/>
  <c r="H30" i="14"/>
  <c r="P30" i="14" s="1"/>
  <c r="W30" i="14" s="1"/>
  <c r="J30" i="14"/>
  <c r="R30" i="14" s="1"/>
  <c r="Y30" i="14" s="1"/>
  <c r="L30" i="14"/>
  <c r="M30" i="14"/>
  <c r="E31" i="14"/>
  <c r="F31" i="14"/>
  <c r="N31" i="14" s="1"/>
  <c r="U31" i="14" s="1"/>
  <c r="G31" i="14"/>
  <c r="H31" i="14"/>
  <c r="P31" i="14" s="1"/>
  <c r="J31" i="14"/>
  <c r="R31" i="14" s="1"/>
  <c r="Y31" i="14" s="1"/>
  <c r="L31" i="14"/>
  <c r="M31" i="14"/>
  <c r="E32" i="14"/>
  <c r="F32" i="14"/>
  <c r="N32" i="14" s="1"/>
  <c r="U32" i="14" s="1"/>
  <c r="G32" i="14"/>
  <c r="H32" i="14"/>
  <c r="P32" i="14" s="1"/>
  <c r="W32" i="14" s="1"/>
  <c r="J32" i="14"/>
  <c r="R32" i="14" s="1"/>
  <c r="Y32" i="14" s="1"/>
  <c r="L32" i="14"/>
  <c r="M32" i="14"/>
  <c r="E33" i="14"/>
  <c r="F33" i="14"/>
  <c r="N33" i="14" s="1"/>
  <c r="U33" i="14" s="1"/>
  <c r="G33" i="14"/>
  <c r="O33" i="14" s="1"/>
  <c r="H33" i="14"/>
  <c r="P33" i="14" s="1"/>
  <c r="J33" i="14"/>
  <c r="R33" i="14" s="1"/>
  <c r="Y33" i="14" s="1"/>
  <c r="L33" i="14"/>
  <c r="M33" i="14"/>
  <c r="E34" i="14"/>
  <c r="F34" i="14"/>
  <c r="N34" i="14" s="1"/>
  <c r="U34" i="14" s="1"/>
  <c r="G34" i="14"/>
  <c r="H34" i="14"/>
  <c r="P34" i="14" s="1"/>
  <c r="W34" i="14" s="1"/>
  <c r="J34" i="14"/>
  <c r="R34" i="14" s="1"/>
  <c r="Y34" i="14" s="1"/>
  <c r="L34" i="14"/>
  <c r="M34" i="14"/>
  <c r="E35" i="14"/>
  <c r="F35" i="14"/>
  <c r="N35" i="14" s="1"/>
  <c r="U35" i="14" s="1"/>
  <c r="G35" i="14"/>
  <c r="H35" i="14"/>
  <c r="P35" i="14" s="1"/>
  <c r="J35" i="14"/>
  <c r="R35" i="14" s="1"/>
  <c r="Y35" i="14" s="1"/>
  <c r="L35" i="14"/>
  <c r="M35" i="14"/>
  <c r="U39" i="14"/>
  <c r="V39" i="14"/>
  <c r="AB39" i="14" s="1"/>
  <c r="W39" i="14"/>
  <c r="Y39" i="14"/>
  <c r="U40" i="14"/>
  <c r="E5" i="13"/>
  <c r="F5" i="13"/>
  <c r="N5" i="13" s="1"/>
  <c r="U5" i="13" s="1"/>
  <c r="G5" i="13"/>
  <c r="O5" i="13" s="1"/>
  <c r="P5" i="13"/>
  <c r="R5" i="13"/>
  <c r="Y5" i="13" s="1"/>
  <c r="L5" i="13"/>
  <c r="E6" i="13"/>
  <c r="F6" i="13"/>
  <c r="N6" i="13" s="1"/>
  <c r="U6" i="13" s="1"/>
  <c r="G6" i="13"/>
  <c r="O6" i="13" s="1"/>
  <c r="V6" i="13" s="1"/>
  <c r="H6" i="13"/>
  <c r="J6" i="13"/>
  <c r="R6" i="13" s="1"/>
  <c r="Y6" i="13" s="1"/>
  <c r="L6" i="13"/>
  <c r="M6" i="13"/>
  <c r="P6" i="13"/>
  <c r="E7" i="13"/>
  <c r="F7" i="13"/>
  <c r="N7" i="13" s="1"/>
  <c r="U7" i="13" s="1"/>
  <c r="G7" i="13"/>
  <c r="O7" i="13" s="1"/>
  <c r="H7" i="13"/>
  <c r="J7" i="13"/>
  <c r="L7" i="13"/>
  <c r="M7" i="13"/>
  <c r="P7" i="13"/>
  <c r="R7" i="13"/>
  <c r="Y7" i="13" s="1"/>
  <c r="E8" i="13"/>
  <c r="F8" i="13"/>
  <c r="N8" i="13" s="1"/>
  <c r="U8" i="13" s="1"/>
  <c r="G8" i="13"/>
  <c r="O8" i="13" s="1"/>
  <c r="V8" i="13" s="1"/>
  <c r="H8" i="13"/>
  <c r="P8" i="13" s="1"/>
  <c r="J8" i="13"/>
  <c r="R8" i="13" s="1"/>
  <c r="Y8" i="13" s="1"/>
  <c r="L8" i="13"/>
  <c r="M8" i="13"/>
  <c r="E9" i="13"/>
  <c r="F9" i="13"/>
  <c r="N9" i="13" s="1"/>
  <c r="U9" i="13" s="1"/>
  <c r="G9" i="13"/>
  <c r="O9" i="13" s="1"/>
  <c r="H9" i="13"/>
  <c r="P9" i="13" s="1"/>
  <c r="J9" i="13"/>
  <c r="R9" i="13" s="1"/>
  <c r="Y9" i="13" s="1"/>
  <c r="L9" i="13"/>
  <c r="M9" i="13"/>
  <c r="E10" i="13"/>
  <c r="F10" i="13"/>
  <c r="N10" i="13" s="1"/>
  <c r="U10" i="13" s="1"/>
  <c r="G10" i="13"/>
  <c r="O10" i="13" s="1"/>
  <c r="V10" i="13" s="1"/>
  <c r="R10" i="13"/>
  <c r="Y10" i="13" s="1"/>
  <c r="L10" i="13"/>
  <c r="P10" i="13"/>
  <c r="E11" i="13"/>
  <c r="F11" i="13"/>
  <c r="N11" i="13" s="1"/>
  <c r="U11" i="13" s="1"/>
  <c r="G11" i="13"/>
  <c r="O11" i="13" s="1"/>
  <c r="H11" i="13"/>
  <c r="J11" i="13"/>
  <c r="L11" i="13"/>
  <c r="M11" i="13"/>
  <c r="P11" i="13"/>
  <c r="R11" i="13"/>
  <c r="Y11" i="13" s="1"/>
  <c r="E12" i="13"/>
  <c r="F12" i="13"/>
  <c r="N12" i="13" s="1"/>
  <c r="U12" i="13" s="1"/>
  <c r="G12" i="13"/>
  <c r="O12" i="13" s="1"/>
  <c r="V12" i="13" s="1"/>
  <c r="H12" i="13"/>
  <c r="P12" i="13" s="1"/>
  <c r="J12" i="13"/>
  <c r="R12" i="13" s="1"/>
  <c r="Y12" i="13" s="1"/>
  <c r="L12" i="13"/>
  <c r="M12" i="13"/>
  <c r="E13" i="13"/>
  <c r="F13" i="13"/>
  <c r="N13" i="13" s="1"/>
  <c r="U13" i="13" s="1"/>
  <c r="G13" i="13"/>
  <c r="O13" i="13" s="1"/>
  <c r="H13" i="13"/>
  <c r="P13" i="13" s="1"/>
  <c r="J13" i="13"/>
  <c r="R13" i="13" s="1"/>
  <c r="Y13" i="13" s="1"/>
  <c r="L13" i="13"/>
  <c r="M13" i="13"/>
  <c r="E14" i="13"/>
  <c r="F14" i="13"/>
  <c r="N14" i="13" s="1"/>
  <c r="U14" i="13" s="1"/>
  <c r="G14" i="13"/>
  <c r="O14" i="13" s="1"/>
  <c r="V14" i="13" s="1"/>
  <c r="H14" i="13"/>
  <c r="J14" i="13"/>
  <c r="R14" i="13" s="1"/>
  <c r="Y14" i="13" s="1"/>
  <c r="L14" i="13"/>
  <c r="M14" i="13"/>
  <c r="P14" i="13"/>
  <c r="E15" i="13"/>
  <c r="F15" i="13"/>
  <c r="N15" i="13" s="1"/>
  <c r="U15" i="13" s="1"/>
  <c r="G15" i="13"/>
  <c r="O15" i="13" s="1"/>
  <c r="H15" i="13"/>
  <c r="J15" i="13"/>
  <c r="L15" i="13"/>
  <c r="M15" i="13"/>
  <c r="P15" i="13"/>
  <c r="R15" i="13"/>
  <c r="Y15" i="13" s="1"/>
  <c r="E16" i="13"/>
  <c r="F16" i="13"/>
  <c r="N16" i="13" s="1"/>
  <c r="U16" i="13" s="1"/>
  <c r="G16" i="13"/>
  <c r="O16" i="13" s="1"/>
  <c r="V16" i="13" s="1"/>
  <c r="H16" i="13"/>
  <c r="P16" i="13" s="1"/>
  <c r="J16" i="13"/>
  <c r="R16" i="13" s="1"/>
  <c r="Y16" i="13" s="1"/>
  <c r="L16" i="13"/>
  <c r="M16" i="13"/>
  <c r="E17" i="13"/>
  <c r="F17" i="13"/>
  <c r="N17" i="13" s="1"/>
  <c r="U17" i="13" s="1"/>
  <c r="G17" i="13"/>
  <c r="O17" i="13" s="1"/>
  <c r="H17" i="13"/>
  <c r="P17" i="13" s="1"/>
  <c r="J17" i="13"/>
  <c r="R17" i="13" s="1"/>
  <c r="Y17" i="13" s="1"/>
  <c r="L17" i="13"/>
  <c r="M17" i="13"/>
  <c r="E18" i="13"/>
  <c r="F18" i="13"/>
  <c r="N18" i="13" s="1"/>
  <c r="U18" i="13" s="1"/>
  <c r="G18" i="13"/>
  <c r="O18" i="13" s="1"/>
  <c r="V18" i="13" s="1"/>
  <c r="H18" i="13"/>
  <c r="J18" i="13"/>
  <c r="R18" i="13" s="1"/>
  <c r="Y18" i="13" s="1"/>
  <c r="L18" i="13"/>
  <c r="M18" i="13"/>
  <c r="P18" i="13"/>
  <c r="E19" i="13"/>
  <c r="F19" i="13"/>
  <c r="N19" i="13" s="1"/>
  <c r="U19" i="13" s="1"/>
  <c r="G19" i="13"/>
  <c r="O19" i="13" s="1"/>
  <c r="H19" i="13"/>
  <c r="J19" i="13"/>
  <c r="L19" i="13"/>
  <c r="M19" i="13"/>
  <c r="P19" i="13"/>
  <c r="R19" i="13"/>
  <c r="Y19" i="13" s="1"/>
  <c r="E20" i="13"/>
  <c r="F20" i="13"/>
  <c r="N20" i="13" s="1"/>
  <c r="U20" i="13" s="1"/>
  <c r="G20" i="13"/>
  <c r="O20" i="13" s="1"/>
  <c r="V20" i="13" s="1"/>
  <c r="H20" i="13"/>
  <c r="P20" i="13" s="1"/>
  <c r="J20" i="13"/>
  <c r="R20" i="13" s="1"/>
  <c r="Y20" i="13" s="1"/>
  <c r="L20" i="13"/>
  <c r="M20" i="13"/>
  <c r="E21" i="13"/>
  <c r="F21" i="13"/>
  <c r="N21" i="13" s="1"/>
  <c r="U21" i="13" s="1"/>
  <c r="G21" i="13"/>
  <c r="O21" i="13" s="1"/>
  <c r="H21" i="13"/>
  <c r="P21" i="13" s="1"/>
  <c r="J21" i="13"/>
  <c r="R21" i="13" s="1"/>
  <c r="Y21" i="13" s="1"/>
  <c r="L21" i="13"/>
  <c r="M21" i="13"/>
  <c r="E22" i="13"/>
  <c r="F22" i="13"/>
  <c r="N22" i="13" s="1"/>
  <c r="U22" i="13" s="1"/>
  <c r="G22" i="13"/>
  <c r="O22" i="13" s="1"/>
  <c r="V22" i="13" s="1"/>
  <c r="H22" i="13"/>
  <c r="J22" i="13"/>
  <c r="R22" i="13" s="1"/>
  <c r="Y22" i="13" s="1"/>
  <c r="L22" i="13"/>
  <c r="M22" i="13"/>
  <c r="P22" i="13"/>
  <c r="E23" i="13"/>
  <c r="F23" i="13"/>
  <c r="N23" i="13" s="1"/>
  <c r="U23" i="13" s="1"/>
  <c r="G23" i="13"/>
  <c r="O23" i="13" s="1"/>
  <c r="H23" i="13"/>
  <c r="J23" i="13"/>
  <c r="L23" i="13"/>
  <c r="M23" i="13"/>
  <c r="P23" i="13"/>
  <c r="R23" i="13"/>
  <c r="Y23" i="13" s="1"/>
  <c r="E24" i="13"/>
  <c r="F24" i="13"/>
  <c r="N24" i="13" s="1"/>
  <c r="U24" i="13" s="1"/>
  <c r="G24" i="13"/>
  <c r="O24" i="13" s="1"/>
  <c r="V24" i="13" s="1"/>
  <c r="H24" i="13"/>
  <c r="P24" i="13" s="1"/>
  <c r="J24" i="13"/>
  <c r="R24" i="13" s="1"/>
  <c r="Y24" i="13" s="1"/>
  <c r="L24" i="13"/>
  <c r="M24" i="13"/>
  <c r="E25" i="13"/>
  <c r="F25" i="13"/>
  <c r="N25" i="13" s="1"/>
  <c r="U25" i="13" s="1"/>
  <c r="G25" i="13"/>
  <c r="O25" i="13" s="1"/>
  <c r="V25" i="13" s="1"/>
  <c r="H25" i="13"/>
  <c r="P25" i="13" s="1"/>
  <c r="W25" i="13" s="1"/>
  <c r="J25" i="13"/>
  <c r="R25" i="13" s="1"/>
  <c r="Y25" i="13" s="1"/>
  <c r="L25" i="13"/>
  <c r="M25" i="13"/>
  <c r="E26" i="13"/>
  <c r="F26" i="13"/>
  <c r="N26" i="13" s="1"/>
  <c r="U26" i="13" s="1"/>
  <c r="G26" i="13"/>
  <c r="O26" i="13" s="1"/>
  <c r="V26" i="13" s="1"/>
  <c r="H26" i="13"/>
  <c r="J26" i="13"/>
  <c r="R26" i="13" s="1"/>
  <c r="L26" i="13"/>
  <c r="M26" i="13"/>
  <c r="P26" i="13"/>
  <c r="E27" i="13"/>
  <c r="F27" i="13"/>
  <c r="N27" i="13" s="1"/>
  <c r="U27" i="13" s="1"/>
  <c r="G27" i="13"/>
  <c r="H27" i="13"/>
  <c r="P27" i="13" s="1"/>
  <c r="W27" i="13" s="1"/>
  <c r="J27" i="13"/>
  <c r="R27" i="13" s="1"/>
  <c r="Y27" i="13" s="1"/>
  <c r="L27" i="13"/>
  <c r="M27" i="13"/>
  <c r="E28" i="13"/>
  <c r="F28" i="13"/>
  <c r="N28" i="13" s="1"/>
  <c r="U28" i="13" s="1"/>
  <c r="G28" i="13"/>
  <c r="O28" i="13" s="1"/>
  <c r="V28" i="13" s="1"/>
  <c r="H28" i="13"/>
  <c r="J28" i="13"/>
  <c r="R28" i="13" s="1"/>
  <c r="L28" i="13"/>
  <c r="M28" i="13"/>
  <c r="P28" i="13"/>
  <c r="E29" i="13"/>
  <c r="F29" i="13"/>
  <c r="N29" i="13" s="1"/>
  <c r="U29" i="13" s="1"/>
  <c r="G29" i="13"/>
  <c r="H29" i="13"/>
  <c r="P29" i="13" s="1"/>
  <c r="W29" i="13" s="1"/>
  <c r="J29" i="13"/>
  <c r="R29" i="13" s="1"/>
  <c r="Y29" i="13" s="1"/>
  <c r="L29" i="13"/>
  <c r="M29" i="13"/>
  <c r="E31" i="13"/>
  <c r="F31" i="13"/>
  <c r="N31" i="13" s="1"/>
  <c r="U31" i="13" s="1"/>
  <c r="G31" i="13"/>
  <c r="O31" i="13" s="1"/>
  <c r="V31" i="13" s="1"/>
  <c r="H31" i="13"/>
  <c r="P31" i="13" s="1"/>
  <c r="J31" i="13"/>
  <c r="R31" i="13" s="1"/>
  <c r="L31" i="13"/>
  <c r="M31" i="13"/>
  <c r="E32" i="13"/>
  <c r="F32" i="13"/>
  <c r="N32" i="13" s="1"/>
  <c r="U32" i="13" s="1"/>
  <c r="G32" i="13"/>
  <c r="H32" i="13"/>
  <c r="P32" i="13" s="1"/>
  <c r="W32" i="13" s="1"/>
  <c r="J32" i="13"/>
  <c r="R32" i="13" s="1"/>
  <c r="Y32" i="13" s="1"/>
  <c r="L32" i="13"/>
  <c r="M32" i="13"/>
  <c r="E33" i="13"/>
  <c r="F33" i="13"/>
  <c r="N33" i="13" s="1"/>
  <c r="U33" i="13" s="1"/>
  <c r="G33" i="13"/>
  <c r="O33" i="13" s="1"/>
  <c r="V33" i="13" s="1"/>
  <c r="H33" i="13"/>
  <c r="P33" i="13" s="1"/>
  <c r="J33" i="13"/>
  <c r="R33" i="13" s="1"/>
  <c r="L33" i="13"/>
  <c r="M33" i="13"/>
  <c r="E34" i="13"/>
  <c r="F34" i="13"/>
  <c r="N34" i="13" s="1"/>
  <c r="U34" i="13" s="1"/>
  <c r="G34" i="13"/>
  <c r="H34" i="13"/>
  <c r="P34" i="13" s="1"/>
  <c r="W34" i="13" s="1"/>
  <c r="J34" i="13"/>
  <c r="R34" i="13" s="1"/>
  <c r="Y34" i="13" s="1"/>
  <c r="L34" i="13"/>
  <c r="M34" i="13"/>
  <c r="E35" i="13"/>
  <c r="F35" i="13"/>
  <c r="N35" i="13" s="1"/>
  <c r="U35" i="13" s="1"/>
  <c r="G35" i="13"/>
  <c r="O35" i="13" s="1"/>
  <c r="V35" i="13" s="1"/>
  <c r="H35" i="13"/>
  <c r="J35" i="13"/>
  <c r="R35" i="13" s="1"/>
  <c r="L35" i="13"/>
  <c r="M35" i="13"/>
  <c r="P35" i="13"/>
  <c r="E36" i="13"/>
  <c r="F36" i="13"/>
  <c r="N36" i="13" s="1"/>
  <c r="U36" i="13" s="1"/>
  <c r="G36" i="13"/>
  <c r="O36" i="13" s="1"/>
  <c r="H36" i="13"/>
  <c r="P36" i="13" s="1"/>
  <c r="J36" i="13"/>
  <c r="R36" i="13" s="1"/>
  <c r="Y36" i="13" s="1"/>
  <c r="L36" i="13"/>
  <c r="M36" i="13"/>
  <c r="U40" i="13"/>
  <c r="V40" i="13"/>
  <c r="W40" i="13"/>
  <c r="Y40" i="13"/>
  <c r="U41" i="13"/>
  <c r="E5" i="12"/>
  <c r="F5" i="12"/>
  <c r="N5" i="12" s="1"/>
  <c r="U5" i="12" s="1"/>
  <c r="G5" i="12"/>
  <c r="P5" i="12"/>
  <c r="R5" i="12"/>
  <c r="Y5" i="12" s="1"/>
  <c r="L5" i="12"/>
  <c r="E6" i="12"/>
  <c r="F6" i="12"/>
  <c r="N6" i="12" s="1"/>
  <c r="U6" i="12" s="1"/>
  <c r="G6" i="12"/>
  <c r="O6" i="12" s="1"/>
  <c r="H6" i="12"/>
  <c r="P6" i="12" s="1"/>
  <c r="J6" i="12"/>
  <c r="R6" i="12" s="1"/>
  <c r="Y6" i="12" s="1"/>
  <c r="L6" i="12"/>
  <c r="M6" i="12"/>
  <c r="E7" i="12"/>
  <c r="F7" i="12"/>
  <c r="N7" i="12" s="1"/>
  <c r="U7" i="12" s="1"/>
  <c r="G7" i="12"/>
  <c r="O7" i="12" s="1"/>
  <c r="V7" i="12" s="1"/>
  <c r="H7" i="12"/>
  <c r="P7" i="12" s="1"/>
  <c r="J7" i="12"/>
  <c r="R7" i="12" s="1"/>
  <c r="Y7" i="12" s="1"/>
  <c r="L7" i="12"/>
  <c r="M7" i="12"/>
  <c r="E8" i="12"/>
  <c r="F8" i="12"/>
  <c r="N8" i="12" s="1"/>
  <c r="U8" i="12" s="1"/>
  <c r="G8" i="12"/>
  <c r="O8" i="12" s="1"/>
  <c r="H8" i="12"/>
  <c r="P8" i="12" s="1"/>
  <c r="J8" i="12"/>
  <c r="R8" i="12" s="1"/>
  <c r="Y8" i="12" s="1"/>
  <c r="L8" i="12"/>
  <c r="M8" i="12"/>
  <c r="E9" i="12"/>
  <c r="F9" i="12"/>
  <c r="N9" i="12" s="1"/>
  <c r="U9" i="12" s="1"/>
  <c r="G9" i="12"/>
  <c r="O9" i="12" s="1"/>
  <c r="V9" i="12" s="1"/>
  <c r="H9" i="12"/>
  <c r="P9" i="12" s="1"/>
  <c r="J9" i="12"/>
  <c r="R9" i="12" s="1"/>
  <c r="Y9" i="12" s="1"/>
  <c r="L9" i="12"/>
  <c r="M9" i="12"/>
  <c r="E10" i="12"/>
  <c r="F10" i="12"/>
  <c r="N10" i="12" s="1"/>
  <c r="U10" i="12" s="1"/>
  <c r="G10" i="12"/>
  <c r="O10" i="12" s="1"/>
  <c r="P10" i="12"/>
  <c r="R10" i="12"/>
  <c r="Y10" i="12" s="1"/>
  <c r="L10" i="12"/>
  <c r="E11" i="12"/>
  <c r="F11" i="12"/>
  <c r="N11" i="12" s="1"/>
  <c r="U11" i="12" s="1"/>
  <c r="G11" i="12"/>
  <c r="O11" i="12" s="1"/>
  <c r="H11" i="12"/>
  <c r="P11" i="12" s="1"/>
  <c r="W11" i="12" s="1"/>
  <c r="J11" i="12"/>
  <c r="R11" i="12" s="1"/>
  <c r="Y11" i="12" s="1"/>
  <c r="L11" i="12"/>
  <c r="M11" i="12"/>
  <c r="E12" i="12"/>
  <c r="F12" i="12"/>
  <c r="N12" i="12" s="1"/>
  <c r="U12" i="12" s="1"/>
  <c r="G12" i="12"/>
  <c r="O12" i="12" s="1"/>
  <c r="V12" i="12" s="1"/>
  <c r="H12" i="12"/>
  <c r="P12" i="12" s="1"/>
  <c r="J12" i="12"/>
  <c r="R12" i="12" s="1"/>
  <c r="L12" i="12"/>
  <c r="M12" i="12"/>
  <c r="E13" i="12"/>
  <c r="F13" i="12"/>
  <c r="N13" i="12" s="1"/>
  <c r="U13" i="12" s="1"/>
  <c r="G13" i="12"/>
  <c r="H13" i="12"/>
  <c r="P13" i="12" s="1"/>
  <c r="W13" i="12" s="1"/>
  <c r="J13" i="12"/>
  <c r="R13" i="12" s="1"/>
  <c r="Y13" i="12" s="1"/>
  <c r="L13" i="12"/>
  <c r="M13" i="12"/>
  <c r="E14" i="12"/>
  <c r="F14" i="12"/>
  <c r="N14" i="12" s="1"/>
  <c r="U14" i="12" s="1"/>
  <c r="G14" i="12"/>
  <c r="O14" i="12" s="1"/>
  <c r="V14" i="12" s="1"/>
  <c r="H14" i="12"/>
  <c r="J14" i="12"/>
  <c r="R14" i="12" s="1"/>
  <c r="L14" i="12"/>
  <c r="M14" i="12"/>
  <c r="P14" i="12"/>
  <c r="E15" i="12"/>
  <c r="F15" i="12"/>
  <c r="N15" i="12" s="1"/>
  <c r="U15" i="12" s="1"/>
  <c r="G15" i="12"/>
  <c r="H15" i="12"/>
  <c r="P15" i="12" s="1"/>
  <c r="W15" i="12" s="1"/>
  <c r="J15" i="12"/>
  <c r="R15" i="12" s="1"/>
  <c r="Y15" i="12" s="1"/>
  <c r="L15" i="12"/>
  <c r="M15" i="12"/>
  <c r="E16" i="12"/>
  <c r="F16" i="12"/>
  <c r="N16" i="12" s="1"/>
  <c r="U16" i="12" s="1"/>
  <c r="G16" i="12"/>
  <c r="O16" i="12" s="1"/>
  <c r="V16" i="12" s="1"/>
  <c r="H16" i="12"/>
  <c r="J16" i="12"/>
  <c r="R16" i="12" s="1"/>
  <c r="L16" i="12"/>
  <c r="M16" i="12"/>
  <c r="P16" i="12"/>
  <c r="E17" i="12"/>
  <c r="F17" i="12"/>
  <c r="N17" i="12" s="1"/>
  <c r="U17" i="12" s="1"/>
  <c r="G17" i="12"/>
  <c r="H17" i="12"/>
  <c r="P17" i="12" s="1"/>
  <c r="W17" i="12" s="1"/>
  <c r="J17" i="12"/>
  <c r="R17" i="12" s="1"/>
  <c r="Y17" i="12" s="1"/>
  <c r="L17" i="12"/>
  <c r="M17" i="12"/>
  <c r="E18" i="12"/>
  <c r="F18" i="12"/>
  <c r="N18" i="12" s="1"/>
  <c r="U18" i="12" s="1"/>
  <c r="G18" i="12"/>
  <c r="O18" i="12" s="1"/>
  <c r="V18" i="12" s="1"/>
  <c r="H18" i="12"/>
  <c r="J18" i="12"/>
  <c r="R18" i="12" s="1"/>
  <c r="L18" i="12"/>
  <c r="M18" i="12"/>
  <c r="P18" i="12"/>
  <c r="E19" i="12"/>
  <c r="F19" i="12"/>
  <c r="N19" i="12" s="1"/>
  <c r="U19" i="12" s="1"/>
  <c r="G19" i="12"/>
  <c r="H19" i="12"/>
  <c r="P19" i="12" s="1"/>
  <c r="W19" i="12" s="1"/>
  <c r="J19" i="12"/>
  <c r="R19" i="12" s="1"/>
  <c r="Y19" i="12" s="1"/>
  <c r="L19" i="12"/>
  <c r="M19" i="12"/>
  <c r="E20" i="12"/>
  <c r="F20" i="12"/>
  <c r="N20" i="12" s="1"/>
  <c r="U20" i="12" s="1"/>
  <c r="G20" i="12"/>
  <c r="O20" i="12" s="1"/>
  <c r="V20" i="12" s="1"/>
  <c r="H20" i="12"/>
  <c r="P20" i="12" s="1"/>
  <c r="J20" i="12"/>
  <c r="R20" i="12" s="1"/>
  <c r="L20" i="12"/>
  <c r="M20" i="12"/>
  <c r="E21" i="12"/>
  <c r="F21" i="12"/>
  <c r="N21" i="12" s="1"/>
  <c r="U21" i="12" s="1"/>
  <c r="G21" i="12"/>
  <c r="H21" i="12"/>
  <c r="P21" i="12" s="1"/>
  <c r="W21" i="12" s="1"/>
  <c r="J21" i="12"/>
  <c r="R21" i="12" s="1"/>
  <c r="Y21" i="12" s="1"/>
  <c r="L21" i="12"/>
  <c r="M21" i="12"/>
  <c r="E22" i="12"/>
  <c r="F22" i="12"/>
  <c r="N22" i="12" s="1"/>
  <c r="U22" i="12" s="1"/>
  <c r="G22" i="12"/>
  <c r="O22" i="12" s="1"/>
  <c r="V22" i="12" s="1"/>
  <c r="H22" i="12"/>
  <c r="P22" i="12" s="1"/>
  <c r="J22" i="12"/>
  <c r="R22" i="12" s="1"/>
  <c r="L22" i="12"/>
  <c r="M22" i="12"/>
  <c r="E23" i="12"/>
  <c r="F23" i="12"/>
  <c r="N23" i="12" s="1"/>
  <c r="U23" i="12" s="1"/>
  <c r="G23" i="12"/>
  <c r="H23" i="12"/>
  <c r="P23" i="12" s="1"/>
  <c r="W23" i="12" s="1"/>
  <c r="J23" i="12"/>
  <c r="R23" i="12" s="1"/>
  <c r="Y23" i="12" s="1"/>
  <c r="L23" i="12"/>
  <c r="M23" i="12"/>
  <c r="E24" i="12"/>
  <c r="F24" i="12"/>
  <c r="N24" i="12" s="1"/>
  <c r="U24" i="12" s="1"/>
  <c r="G24" i="12"/>
  <c r="O24" i="12" s="1"/>
  <c r="V24" i="12" s="1"/>
  <c r="H24" i="12"/>
  <c r="P24" i="12" s="1"/>
  <c r="J24" i="12"/>
  <c r="R24" i="12" s="1"/>
  <c r="L24" i="12"/>
  <c r="M24" i="12"/>
  <c r="E25" i="12"/>
  <c r="F25" i="12"/>
  <c r="N25" i="12" s="1"/>
  <c r="U25" i="12" s="1"/>
  <c r="G25" i="12"/>
  <c r="H25" i="12"/>
  <c r="P25" i="12" s="1"/>
  <c r="J25" i="12"/>
  <c r="R25" i="12" s="1"/>
  <c r="Y25" i="12" s="1"/>
  <c r="L25" i="12"/>
  <c r="M25" i="12"/>
  <c r="E26" i="12"/>
  <c r="F26" i="12"/>
  <c r="N26" i="12" s="1"/>
  <c r="U26" i="12" s="1"/>
  <c r="G26" i="12"/>
  <c r="H26" i="12"/>
  <c r="P26" i="12" s="1"/>
  <c r="W26" i="12" s="1"/>
  <c r="J26" i="12"/>
  <c r="R26" i="12" s="1"/>
  <c r="Y26" i="12" s="1"/>
  <c r="L26" i="12"/>
  <c r="M26" i="12"/>
  <c r="E27" i="12"/>
  <c r="F27" i="12"/>
  <c r="N27" i="12" s="1"/>
  <c r="G27" i="12"/>
  <c r="H27" i="12"/>
  <c r="P27" i="12" s="1"/>
  <c r="J27" i="12"/>
  <c r="R27" i="12" s="1"/>
  <c r="Y27" i="12" s="1"/>
  <c r="L27" i="12"/>
  <c r="M27" i="12"/>
  <c r="E28" i="12"/>
  <c r="F28" i="12"/>
  <c r="N28" i="12" s="1"/>
  <c r="U28" i="12" s="1"/>
  <c r="G28" i="12"/>
  <c r="H28" i="12"/>
  <c r="P28" i="12" s="1"/>
  <c r="W28" i="12" s="1"/>
  <c r="J28" i="12"/>
  <c r="R28" i="12" s="1"/>
  <c r="Y28" i="12" s="1"/>
  <c r="L28" i="12"/>
  <c r="M28" i="12"/>
  <c r="E29" i="12"/>
  <c r="F29" i="12"/>
  <c r="N29" i="12" s="1"/>
  <c r="U29" i="12" s="1"/>
  <c r="G29" i="12"/>
  <c r="H29" i="12"/>
  <c r="P29" i="12" s="1"/>
  <c r="J29" i="12"/>
  <c r="R29" i="12" s="1"/>
  <c r="Y29" i="12" s="1"/>
  <c r="L29" i="12"/>
  <c r="M29" i="12"/>
  <c r="E31" i="12"/>
  <c r="F31" i="12"/>
  <c r="N31" i="12" s="1"/>
  <c r="U31" i="12" s="1"/>
  <c r="G31" i="12"/>
  <c r="H31" i="12"/>
  <c r="P31" i="12" s="1"/>
  <c r="W31" i="12" s="1"/>
  <c r="J31" i="12"/>
  <c r="R31" i="12" s="1"/>
  <c r="Y31" i="12" s="1"/>
  <c r="L31" i="12"/>
  <c r="M31" i="12"/>
  <c r="E32" i="12"/>
  <c r="F32" i="12"/>
  <c r="N32" i="12" s="1"/>
  <c r="U32" i="12" s="1"/>
  <c r="G32" i="12"/>
  <c r="O32" i="12" s="1"/>
  <c r="H32" i="12"/>
  <c r="P32" i="12" s="1"/>
  <c r="J32" i="12"/>
  <c r="R32" i="12" s="1"/>
  <c r="Y32" i="12" s="1"/>
  <c r="L32" i="12"/>
  <c r="M32" i="12"/>
  <c r="E33" i="12"/>
  <c r="F33" i="12"/>
  <c r="N33" i="12" s="1"/>
  <c r="U33" i="12" s="1"/>
  <c r="G33" i="12"/>
  <c r="H33" i="12"/>
  <c r="P33" i="12" s="1"/>
  <c r="W33" i="12" s="1"/>
  <c r="J33" i="12"/>
  <c r="R33" i="12" s="1"/>
  <c r="Y33" i="12" s="1"/>
  <c r="L33" i="12"/>
  <c r="M33" i="12"/>
  <c r="E34" i="12"/>
  <c r="F34" i="12"/>
  <c r="N34" i="12" s="1"/>
  <c r="U34" i="12" s="1"/>
  <c r="G34" i="12"/>
  <c r="H34" i="12"/>
  <c r="P34" i="12" s="1"/>
  <c r="J34" i="12"/>
  <c r="R34" i="12" s="1"/>
  <c r="Y34" i="12" s="1"/>
  <c r="L34" i="12"/>
  <c r="M34" i="12"/>
  <c r="E35" i="12"/>
  <c r="F35" i="12"/>
  <c r="N35" i="12" s="1"/>
  <c r="U35" i="12" s="1"/>
  <c r="G35" i="12"/>
  <c r="H35" i="12"/>
  <c r="P35" i="12" s="1"/>
  <c r="W35" i="12" s="1"/>
  <c r="J35" i="12"/>
  <c r="R35" i="12" s="1"/>
  <c r="Y35" i="12" s="1"/>
  <c r="L35" i="12"/>
  <c r="M35" i="12"/>
  <c r="E36" i="12"/>
  <c r="F36" i="12"/>
  <c r="N36" i="12" s="1"/>
  <c r="U36" i="12" s="1"/>
  <c r="G36" i="12"/>
  <c r="O36" i="12" s="1"/>
  <c r="H36" i="12"/>
  <c r="P36" i="12" s="1"/>
  <c r="J36" i="12"/>
  <c r="R36" i="12" s="1"/>
  <c r="Y36" i="12" s="1"/>
  <c r="L36" i="12"/>
  <c r="M36" i="12"/>
  <c r="U40" i="12"/>
  <c r="V40" i="12"/>
  <c r="W40" i="12"/>
  <c r="Y40" i="12"/>
  <c r="U41" i="12"/>
  <c r="E5" i="11"/>
  <c r="F5" i="11"/>
  <c r="N5" i="11" s="1"/>
  <c r="U5" i="11" s="1"/>
  <c r="G5" i="11"/>
  <c r="O5" i="11" s="1"/>
  <c r="P5" i="11"/>
  <c r="W5" i="11" s="1"/>
  <c r="R5" i="11"/>
  <c r="Y5" i="11" s="1"/>
  <c r="L5" i="11"/>
  <c r="E6" i="11"/>
  <c r="F6" i="11"/>
  <c r="N6" i="11" s="1"/>
  <c r="U6" i="11" s="1"/>
  <c r="G6" i="11"/>
  <c r="O6" i="11" s="1"/>
  <c r="V6" i="11" s="1"/>
  <c r="H6" i="11"/>
  <c r="J6" i="11"/>
  <c r="R6" i="11" s="1"/>
  <c r="L6" i="11"/>
  <c r="M6" i="11"/>
  <c r="P6" i="11"/>
  <c r="E7" i="11"/>
  <c r="F7" i="11"/>
  <c r="N7" i="11" s="1"/>
  <c r="U7" i="11" s="1"/>
  <c r="G7" i="11"/>
  <c r="O7" i="11" s="1"/>
  <c r="H7" i="11"/>
  <c r="P7" i="11" s="1"/>
  <c r="W7" i="11" s="1"/>
  <c r="J7" i="11"/>
  <c r="R7" i="11" s="1"/>
  <c r="Y7" i="11" s="1"/>
  <c r="L7" i="11"/>
  <c r="M7" i="11"/>
  <c r="E8" i="11"/>
  <c r="F8" i="11"/>
  <c r="N8" i="11" s="1"/>
  <c r="U8" i="11" s="1"/>
  <c r="G8" i="11"/>
  <c r="O8" i="11" s="1"/>
  <c r="V8" i="11" s="1"/>
  <c r="H8" i="11"/>
  <c r="P8" i="11" s="1"/>
  <c r="J8" i="11"/>
  <c r="R8" i="11" s="1"/>
  <c r="L8" i="11"/>
  <c r="M8" i="11"/>
  <c r="E9" i="11"/>
  <c r="F9" i="11"/>
  <c r="N9" i="11" s="1"/>
  <c r="U9" i="11" s="1"/>
  <c r="G9" i="11"/>
  <c r="O9" i="11" s="1"/>
  <c r="H9" i="11"/>
  <c r="P9" i="11" s="1"/>
  <c r="W9" i="11" s="1"/>
  <c r="J9" i="11"/>
  <c r="R9" i="11" s="1"/>
  <c r="Y9" i="11" s="1"/>
  <c r="L9" i="11"/>
  <c r="M9" i="11"/>
  <c r="E10" i="11"/>
  <c r="F10" i="11"/>
  <c r="N10" i="11" s="1"/>
  <c r="U10" i="11" s="1"/>
  <c r="G10" i="11"/>
  <c r="O10" i="11" s="1"/>
  <c r="V10" i="11" s="1"/>
  <c r="R10" i="11"/>
  <c r="L10" i="11"/>
  <c r="P10" i="11"/>
  <c r="E11" i="11"/>
  <c r="F11" i="11"/>
  <c r="N11" i="11" s="1"/>
  <c r="U11" i="11" s="1"/>
  <c r="G11" i="11"/>
  <c r="O11" i="11" s="1"/>
  <c r="H11" i="11"/>
  <c r="P11" i="11" s="1"/>
  <c r="W11" i="11" s="1"/>
  <c r="J11" i="11"/>
  <c r="R11" i="11" s="1"/>
  <c r="Y11" i="11" s="1"/>
  <c r="L11" i="11"/>
  <c r="M11" i="11"/>
  <c r="E12" i="11"/>
  <c r="F12" i="11"/>
  <c r="N12" i="11" s="1"/>
  <c r="U12" i="11" s="1"/>
  <c r="G12" i="11"/>
  <c r="O12" i="11" s="1"/>
  <c r="V12" i="11" s="1"/>
  <c r="H12" i="11"/>
  <c r="P12" i="11" s="1"/>
  <c r="J12" i="11"/>
  <c r="R12" i="11" s="1"/>
  <c r="L12" i="11"/>
  <c r="M12" i="11"/>
  <c r="E13" i="11"/>
  <c r="F13" i="11"/>
  <c r="N13" i="11" s="1"/>
  <c r="U13" i="11" s="1"/>
  <c r="G13" i="11"/>
  <c r="O13" i="11" s="1"/>
  <c r="H13" i="11"/>
  <c r="P13" i="11" s="1"/>
  <c r="W13" i="11" s="1"/>
  <c r="J13" i="11"/>
  <c r="R13" i="11" s="1"/>
  <c r="Y13" i="11" s="1"/>
  <c r="L13" i="11"/>
  <c r="M13" i="11"/>
  <c r="E14" i="11"/>
  <c r="F14" i="11"/>
  <c r="N14" i="11" s="1"/>
  <c r="U14" i="11" s="1"/>
  <c r="G14" i="11"/>
  <c r="O14" i="11" s="1"/>
  <c r="V14" i="11" s="1"/>
  <c r="H14" i="11"/>
  <c r="J14" i="11"/>
  <c r="R14" i="11" s="1"/>
  <c r="L14" i="11"/>
  <c r="M14" i="11"/>
  <c r="P14" i="11"/>
  <c r="E15" i="11"/>
  <c r="F15" i="11"/>
  <c r="N15" i="11" s="1"/>
  <c r="U15" i="11" s="1"/>
  <c r="G15" i="11"/>
  <c r="H15" i="11"/>
  <c r="P15" i="11" s="1"/>
  <c r="W15" i="11" s="1"/>
  <c r="J15" i="11"/>
  <c r="R15" i="11" s="1"/>
  <c r="Y15" i="11" s="1"/>
  <c r="L15" i="11"/>
  <c r="M15" i="11"/>
  <c r="E16" i="11"/>
  <c r="F16" i="11"/>
  <c r="N16" i="11" s="1"/>
  <c r="U16" i="11" s="1"/>
  <c r="G16" i="11"/>
  <c r="O16" i="11" s="1"/>
  <c r="V16" i="11" s="1"/>
  <c r="H16" i="11"/>
  <c r="P16" i="11" s="1"/>
  <c r="J16" i="11"/>
  <c r="R16" i="11" s="1"/>
  <c r="L16" i="11"/>
  <c r="M16" i="11"/>
  <c r="E17" i="11"/>
  <c r="F17" i="11"/>
  <c r="N17" i="11" s="1"/>
  <c r="U17" i="11" s="1"/>
  <c r="G17" i="11"/>
  <c r="H17" i="11"/>
  <c r="P17" i="11" s="1"/>
  <c r="W17" i="11" s="1"/>
  <c r="J17" i="11"/>
  <c r="R17" i="11" s="1"/>
  <c r="Y17" i="11" s="1"/>
  <c r="L17" i="11"/>
  <c r="M17" i="11"/>
  <c r="E18" i="11"/>
  <c r="F18" i="11"/>
  <c r="N18" i="11" s="1"/>
  <c r="G18" i="11"/>
  <c r="O18" i="11" s="1"/>
  <c r="H18" i="11"/>
  <c r="P18" i="11" s="1"/>
  <c r="J18" i="11"/>
  <c r="R18" i="11" s="1"/>
  <c r="Y18" i="11" s="1"/>
  <c r="L18" i="11"/>
  <c r="M18" i="11"/>
  <c r="E19" i="11"/>
  <c r="F19" i="11"/>
  <c r="N19" i="11" s="1"/>
  <c r="U19" i="11" s="1"/>
  <c r="G19" i="11"/>
  <c r="H19" i="11"/>
  <c r="P19" i="11" s="1"/>
  <c r="J19" i="11"/>
  <c r="R19" i="11" s="1"/>
  <c r="Y19" i="11" s="1"/>
  <c r="L19" i="11"/>
  <c r="M19" i="11"/>
  <c r="E20" i="11"/>
  <c r="F20" i="11"/>
  <c r="N20" i="11" s="1"/>
  <c r="U20" i="11" s="1"/>
  <c r="G20" i="11"/>
  <c r="H20" i="11"/>
  <c r="P20" i="11" s="1"/>
  <c r="J20" i="11"/>
  <c r="R20" i="11" s="1"/>
  <c r="Y20" i="11" s="1"/>
  <c r="L20" i="11"/>
  <c r="M20" i="11"/>
  <c r="E21" i="11"/>
  <c r="F21" i="11"/>
  <c r="N21" i="11" s="1"/>
  <c r="U21" i="11" s="1"/>
  <c r="G21" i="11"/>
  <c r="H21" i="11"/>
  <c r="P21" i="11" s="1"/>
  <c r="W21" i="11" s="1"/>
  <c r="J21" i="11"/>
  <c r="R21" i="11" s="1"/>
  <c r="Y21" i="11" s="1"/>
  <c r="L21" i="11"/>
  <c r="M21" i="11"/>
  <c r="E22" i="11"/>
  <c r="F22" i="11"/>
  <c r="N22" i="11" s="1"/>
  <c r="U22" i="11" s="1"/>
  <c r="G22" i="11"/>
  <c r="H22" i="11"/>
  <c r="P22" i="11" s="1"/>
  <c r="J22" i="11"/>
  <c r="R22" i="11" s="1"/>
  <c r="Y22" i="11" s="1"/>
  <c r="L22" i="11"/>
  <c r="M22" i="11"/>
  <c r="E23" i="11"/>
  <c r="F23" i="11"/>
  <c r="N23" i="11" s="1"/>
  <c r="U23" i="11" s="1"/>
  <c r="G23" i="11"/>
  <c r="H23" i="11"/>
  <c r="P23" i="11" s="1"/>
  <c r="W23" i="11" s="1"/>
  <c r="J23" i="11"/>
  <c r="R23" i="11" s="1"/>
  <c r="Y23" i="11" s="1"/>
  <c r="L23" i="11"/>
  <c r="M23" i="11"/>
  <c r="E24" i="11"/>
  <c r="F24" i="11"/>
  <c r="N24" i="11" s="1"/>
  <c r="U24" i="11" s="1"/>
  <c r="G24" i="11"/>
  <c r="H24" i="11"/>
  <c r="P24" i="11" s="1"/>
  <c r="J24" i="11"/>
  <c r="R24" i="11" s="1"/>
  <c r="Y24" i="11" s="1"/>
  <c r="L24" i="11"/>
  <c r="M24" i="11"/>
  <c r="E25" i="11"/>
  <c r="F25" i="11"/>
  <c r="N25" i="11" s="1"/>
  <c r="U25" i="11" s="1"/>
  <c r="G25" i="11"/>
  <c r="H25" i="11"/>
  <c r="P25" i="11" s="1"/>
  <c r="W25" i="11" s="1"/>
  <c r="J25" i="11"/>
  <c r="R25" i="11" s="1"/>
  <c r="Y25" i="11" s="1"/>
  <c r="L25" i="11"/>
  <c r="M25" i="11"/>
  <c r="E26" i="11"/>
  <c r="F26" i="11"/>
  <c r="N26" i="11" s="1"/>
  <c r="U26" i="11" s="1"/>
  <c r="G26" i="11"/>
  <c r="O26" i="11" s="1"/>
  <c r="H26" i="11"/>
  <c r="P26" i="11" s="1"/>
  <c r="J26" i="11"/>
  <c r="R26" i="11" s="1"/>
  <c r="Y26" i="11" s="1"/>
  <c r="L26" i="11"/>
  <c r="M26" i="11"/>
  <c r="E27" i="11"/>
  <c r="F27" i="11"/>
  <c r="N27" i="11" s="1"/>
  <c r="U27" i="11" s="1"/>
  <c r="G27" i="11"/>
  <c r="H27" i="11"/>
  <c r="P27" i="11" s="1"/>
  <c r="W27" i="11" s="1"/>
  <c r="J27" i="11"/>
  <c r="R27" i="11" s="1"/>
  <c r="Y27" i="11" s="1"/>
  <c r="L27" i="11"/>
  <c r="M27" i="11"/>
  <c r="E28" i="11"/>
  <c r="F28" i="11"/>
  <c r="N28" i="11" s="1"/>
  <c r="U28" i="11" s="1"/>
  <c r="G28" i="11"/>
  <c r="H28" i="11"/>
  <c r="P28" i="11" s="1"/>
  <c r="J28" i="11"/>
  <c r="R28" i="11" s="1"/>
  <c r="Y28" i="11" s="1"/>
  <c r="L28" i="11"/>
  <c r="M28" i="11"/>
  <c r="E29" i="11"/>
  <c r="F29" i="11"/>
  <c r="N29" i="11" s="1"/>
  <c r="U29" i="11" s="1"/>
  <c r="G29" i="11"/>
  <c r="H29" i="11"/>
  <c r="P29" i="11" s="1"/>
  <c r="W29" i="11" s="1"/>
  <c r="J29" i="11"/>
  <c r="R29" i="11" s="1"/>
  <c r="Y29" i="11" s="1"/>
  <c r="L29" i="11"/>
  <c r="M29" i="11"/>
  <c r="E31" i="11"/>
  <c r="F31" i="11"/>
  <c r="N31" i="11" s="1"/>
  <c r="G31" i="11"/>
  <c r="H31" i="11"/>
  <c r="P31" i="11" s="1"/>
  <c r="W31" i="11" s="1"/>
  <c r="J31" i="11"/>
  <c r="R31" i="11" s="1"/>
  <c r="Y31" i="11" s="1"/>
  <c r="L31" i="11"/>
  <c r="M31" i="11"/>
  <c r="E32" i="11"/>
  <c r="F32" i="11"/>
  <c r="N32" i="11" s="1"/>
  <c r="U32" i="11" s="1"/>
  <c r="G32" i="11"/>
  <c r="H32" i="11"/>
  <c r="P32" i="11" s="1"/>
  <c r="W32" i="11" s="1"/>
  <c r="J32" i="11"/>
  <c r="R32" i="11" s="1"/>
  <c r="Y32" i="11" s="1"/>
  <c r="L32" i="11"/>
  <c r="M32" i="11"/>
  <c r="E33" i="11"/>
  <c r="F33" i="11"/>
  <c r="N33" i="11" s="1"/>
  <c r="U33" i="11" s="1"/>
  <c r="G33" i="11"/>
  <c r="O33" i="11" s="1"/>
  <c r="V33" i="11" s="1"/>
  <c r="H33" i="11"/>
  <c r="P33" i="11" s="1"/>
  <c r="J33" i="11"/>
  <c r="R33" i="11" s="1"/>
  <c r="L33" i="11"/>
  <c r="M33" i="11"/>
  <c r="E34" i="11"/>
  <c r="F34" i="11"/>
  <c r="N34" i="11" s="1"/>
  <c r="U34" i="11" s="1"/>
  <c r="G34" i="11"/>
  <c r="O34" i="11" s="1"/>
  <c r="H34" i="11"/>
  <c r="P34" i="11" s="1"/>
  <c r="W34" i="11" s="1"/>
  <c r="J34" i="11"/>
  <c r="R34" i="11" s="1"/>
  <c r="Y34" i="11" s="1"/>
  <c r="L34" i="11"/>
  <c r="M34" i="11"/>
  <c r="E35" i="11"/>
  <c r="F35" i="11"/>
  <c r="N35" i="11" s="1"/>
  <c r="U35" i="11" s="1"/>
  <c r="G35" i="11"/>
  <c r="O35" i="11" s="1"/>
  <c r="V35" i="11" s="1"/>
  <c r="H35" i="11"/>
  <c r="P35" i="11" s="1"/>
  <c r="J35" i="11"/>
  <c r="R35" i="11" s="1"/>
  <c r="L35" i="11"/>
  <c r="M35" i="11"/>
  <c r="E36" i="11"/>
  <c r="F36" i="11"/>
  <c r="N36" i="11" s="1"/>
  <c r="U36" i="11" s="1"/>
  <c r="G36" i="11"/>
  <c r="H36" i="11"/>
  <c r="P36" i="11" s="1"/>
  <c r="W36" i="11" s="1"/>
  <c r="J36" i="11"/>
  <c r="R36" i="11" s="1"/>
  <c r="Y36" i="11" s="1"/>
  <c r="L36" i="11"/>
  <c r="M36" i="11"/>
  <c r="U40" i="11"/>
  <c r="V40" i="11"/>
  <c r="W40" i="11"/>
  <c r="Y40" i="11"/>
  <c r="U41" i="11"/>
  <c r="E5" i="10"/>
  <c r="F5" i="10"/>
  <c r="G5" i="10"/>
  <c r="H5" i="27"/>
  <c r="J5" i="27"/>
  <c r="L5" i="10"/>
  <c r="P5" i="10"/>
  <c r="R5" i="10"/>
  <c r="E6" i="10"/>
  <c r="F6" i="10"/>
  <c r="G6" i="10"/>
  <c r="H6" i="10"/>
  <c r="J6" i="10"/>
  <c r="L6" i="10"/>
  <c r="M6" i="10"/>
  <c r="E7" i="10"/>
  <c r="F7" i="10"/>
  <c r="G7" i="10"/>
  <c r="H7" i="10"/>
  <c r="J7" i="10"/>
  <c r="L7" i="10"/>
  <c r="M7" i="10"/>
  <c r="E8" i="10"/>
  <c r="F8" i="10"/>
  <c r="G8" i="10"/>
  <c r="H8" i="10"/>
  <c r="J8" i="10"/>
  <c r="L8" i="10"/>
  <c r="M8" i="10"/>
  <c r="E9" i="10"/>
  <c r="F9" i="10"/>
  <c r="G9" i="10"/>
  <c r="H9" i="10"/>
  <c r="J9" i="10"/>
  <c r="L9" i="10"/>
  <c r="M9" i="10"/>
  <c r="P9" i="10"/>
  <c r="R9" i="10"/>
  <c r="E10" i="10"/>
  <c r="F10" i="10"/>
  <c r="G10" i="10"/>
  <c r="H10" i="27"/>
  <c r="J10" i="27"/>
  <c r="L10" i="10"/>
  <c r="E11" i="10"/>
  <c r="F11" i="10"/>
  <c r="G11" i="10"/>
  <c r="H11" i="10"/>
  <c r="J11" i="10"/>
  <c r="L11" i="10"/>
  <c r="M11" i="10"/>
  <c r="P11" i="10"/>
  <c r="E12" i="10"/>
  <c r="F12" i="10"/>
  <c r="G12" i="10"/>
  <c r="H12" i="10"/>
  <c r="J12" i="10"/>
  <c r="L12" i="10"/>
  <c r="M12" i="10"/>
  <c r="P12" i="10"/>
  <c r="R12" i="10"/>
  <c r="E13" i="10"/>
  <c r="F13" i="10"/>
  <c r="G13" i="10"/>
  <c r="G13" i="27" s="1"/>
  <c r="H13" i="10"/>
  <c r="J13" i="10"/>
  <c r="L13" i="10"/>
  <c r="M13" i="10"/>
  <c r="E14" i="10"/>
  <c r="F14" i="10"/>
  <c r="G14" i="10"/>
  <c r="H14" i="10"/>
  <c r="J14" i="10"/>
  <c r="L14" i="10"/>
  <c r="M14" i="10"/>
  <c r="E15" i="10"/>
  <c r="F15" i="10"/>
  <c r="G15" i="10"/>
  <c r="H15" i="10"/>
  <c r="J15" i="10"/>
  <c r="L15" i="10"/>
  <c r="M15" i="10"/>
  <c r="P15" i="10"/>
  <c r="E16" i="10"/>
  <c r="F16" i="10"/>
  <c r="G16" i="10"/>
  <c r="H16" i="10"/>
  <c r="J16" i="10"/>
  <c r="J16" i="27" s="1"/>
  <c r="L16" i="10"/>
  <c r="M16" i="10"/>
  <c r="P16" i="10"/>
  <c r="R16" i="10"/>
  <c r="E17" i="10"/>
  <c r="F17" i="10"/>
  <c r="G17" i="10"/>
  <c r="H17" i="10"/>
  <c r="J17" i="10"/>
  <c r="L17" i="10"/>
  <c r="M17" i="10"/>
  <c r="E18" i="10"/>
  <c r="F18" i="10"/>
  <c r="G18" i="10"/>
  <c r="H18" i="10"/>
  <c r="J18" i="10"/>
  <c r="L18" i="10"/>
  <c r="M18" i="10"/>
  <c r="E19" i="10"/>
  <c r="F19" i="10"/>
  <c r="G19" i="10"/>
  <c r="H19" i="10"/>
  <c r="J19" i="10"/>
  <c r="L19" i="10"/>
  <c r="M19" i="10"/>
  <c r="P19" i="10"/>
  <c r="E20" i="10"/>
  <c r="F20" i="10"/>
  <c r="G20" i="10"/>
  <c r="H20" i="10"/>
  <c r="J20" i="10"/>
  <c r="L20" i="10"/>
  <c r="M20" i="10"/>
  <c r="P20" i="10"/>
  <c r="R20" i="10"/>
  <c r="E21" i="10"/>
  <c r="F21" i="10"/>
  <c r="G21" i="10"/>
  <c r="H21" i="10"/>
  <c r="J21" i="10"/>
  <c r="L21" i="10"/>
  <c r="M21" i="10"/>
  <c r="E22" i="10"/>
  <c r="F22" i="10"/>
  <c r="G22" i="10"/>
  <c r="H22" i="10"/>
  <c r="J22" i="10"/>
  <c r="L22" i="10"/>
  <c r="M22" i="10"/>
  <c r="E23" i="10"/>
  <c r="F23" i="10"/>
  <c r="G23" i="10"/>
  <c r="H23" i="10"/>
  <c r="J23" i="10"/>
  <c r="L23" i="10"/>
  <c r="M23" i="10"/>
  <c r="P23" i="10"/>
  <c r="E24" i="10"/>
  <c r="F24" i="10"/>
  <c r="G24" i="10"/>
  <c r="H24" i="10"/>
  <c r="J24" i="10"/>
  <c r="L24" i="10"/>
  <c r="M24" i="10"/>
  <c r="P24" i="10"/>
  <c r="R24" i="10"/>
  <c r="E25" i="10"/>
  <c r="F25" i="10"/>
  <c r="G25" i="10"/>
  <c r="H25" i="10"/>
  <c r="J25" i="10"/>
  <c r="L25" i="10"/>
  <c r="M25" i="10"/>
  <c r="E26" i="10"/>
  <c r="F26" i="10"/>
  <c r="G26" i="10"/>
  <c r="H26" i="10"/>
  <c r="J26" i="10"/>
  <c r="L26" i="10"/>
  <c r="M26" i="10"/>
  <c r="E27" i="10"/>
  <c r="F27" i="10"/>
  <c r="G27" i="10"/>
  <c r="H27" i="10"/>
  <c r="J27" i="10"/>
  <c r="L27" i="10"/>
  <c r="M27" i="10"/>
  <c r="P27" i="10"/>
  <c r="E28" i="10"/>
  <c r="F28" i="10"/>
  <c r="G28" i="10"/>
  <c r="H28" i="10"/>
  <c r="J28" i="10"/>
  <c r="L28" i="10"/>
  <c r="M28" i="10"/>
  <c r="P28" i="10"/>
  <c r="R28" i="10"/>
  <c r="E29" i="10"/>
  <c r="F29" i="10"/>
  <c r="G29" i="10"/>
  <c r="H29" i="10"/>
  <c r="J29" i="10"/>
  <c r="L29" i="10"/>
  <c r="M29" i="10"/>
  <c r="E31" i="10"/>
  <c r="F31" i="10"/>
  <c r="F31" i="27" s="1"/>
  <c r="G31" i="10"/>
  <c r="H31" i="10"/>
  <c r="J31" i="10"/>
  <c r="J31" i="27" s="1"/>
  <c r="L31" i="10"/>
  <c r="L31" i="27" s="1"/>
  <c r="M31" i="10"/>
  <c r="E32" i="10"/>
  <c r="F32" i="10"/>
  <c r="G32" i="10"/>
  <c r="H32" i="10"/>
  <c r="J32" i="10"/>
  <c r="L32" i="10"/>
  <c r="M32" i="10"/>
  <c r="P32" i="10"/>
  <c r="E33" i="10"/>
  <c r="F33" i="10"/>
  <c r="G33" i="10"/>
  <c r="H33" i="10"/>
  <c r="J33" i="10"/>
  <c r="L33" i="10"/>
  <c r="M33" i="10"/>
  <c r="P33" i="10"/>
  <c r="R33" i="10"/>
  <c r="E34" i="10"/>
  <c r="F34" i="10"/>
  <c r="G34" i="10"/>
  <c r="H34" i="10"/>
  <c r="J34" i="10"/>
  <c r="L34" i="10"/>
  <c r="M34" i="10"/>
  <c r="E35" i="10"/>
  <c r="F35" i="10"/>
  <c r="G35" i="10"/>
  <c r="H35" i="10"/>
  <c r="J35" i="10"/>
  <c r="L35" i="10"/>
  <c r="M35" i="10"/>
  <c r="F36" i="10"/>
  <c r="G36" i="10"/>
  <c r="H36" i="10"/>
  <c r="J36" i="10"/>
  <c r="L36" i="10"/>
  <c r="M36" i="10"/>
  <c r="U40" i="10"/>
  <c r="V40" i="10"/>
  <c r="W40" i="10"/>
  <c r="Y40" i="10"/>
  <c r="U41" i="10"/>
  <c r="E5" i="9"/>
  <c r="F5" i="9"/>
  <c r="N5" i="9" s="1"/>
  <c r="U5" i="9" s="1"/>
  <c r="G5" i="9"/>
  <c r="P5" i="9"/>
  <c r="R5" i="9"/>
  <c r="L5" i="9"/>
  <c r="E6" i="9"/>
  <c r="F6" i="9"/>
  <c r="N6" i="9" s="1"/>
  <c r="U6" i="9" s="1"/>
  <c r="G6" i="9"/>
  <c r="H6" i="9"/>
  <c r="P6" i="9" s="1"/>
  <c r="W6" i="9" s="1"/>
  <c r="J6" i="9"/>
  <c r="R6" i="9" s="1"/>
  <c r="Y6" i="9" s="1"/>
  <c r="L6" i="9"/>
  <c r="M6" i="9"/>
  <c r="E7" i="9"/>
  <c r="F7" i="9"/>
  <c r="N7" i="9" s="1"/>
  <c r="U7" i="9" s="1"/>
  <c r="G7" i="9"/>
  <c r="O7" i="9" s="1"/>
  <c r="V7" i="9" s="1"/>
  <c r="H7" i="9"/>
  <c r="P7" i="9" s="1"/>
  <c r="J7" i="9"/>
  <c r="R7" i="9" s="1"/>
  <c r="L7" i="9"/>
  <c r="M7" i="9"/>
  <c r="E8" i="9"/>
  <c r="F8" i="9"/>
  <c r="N8" i="9" s="1"/>
  <c r="U8" i="9" s="1"/>
  <c r="G8" i="9"/>
  <c r="O8" i="9" s="1"/>
  <c r="H8" i="9"/>
  <c r="P8" i="9" s="1"/>
  <c r="W8" i="9" s="1"/>
  <c r="J8" i="9"/>
  <c r="R8" i="9" s="1"/>
  <c r="Y8" i="9" s="1"/>
  <c r="L8" i="9"/>
  <c r="M8" i="9"/>
  <c r="E9" i="9"/>
  <c r="F9" i="9"/>
  <c r="N9" i="9" s="1"/>
  <c r="U9" i="9" s="1"/>
  <c r="G9" i="9"/>
  <c r="O9" i="9" s="1"/>
  <c r="V9" i="9" s="1"/>
  <c r="H9" i="9"/>
  <c r="P9" i="9" s="1"/>
  <c r="J9" i="9"/>
  <c r="R9" i="9" s="1"/>
  <c r="L9" i="9"/>
  <c r="M9" i="9"/>
  <c r="E10" i="9"/>
  <c r="F10" i="9"/>
  <c r="N10" i="9" s="1"/>
  <c r="U10" i="9" s="1"/>
  <c r="G10" i="9"/>
  <c r="P10" i="9"/>
  <c r="W10" i="9" s="1"/>
  <c r="R10" i="9"/>
  <c r="Y10" i="9" s="1"/>
  <c r="L10" i="9"/>
  <c r="E11" i="9"/>
  <c r="F11" i="9"/>
  <c r="N11" i="9" s="1"/>
  <c r="U11" i="9" s="1"/>
  <c r="G11" i="9"/>
  <c r="O11" i="9" s="1"/>
  <c r="V11" i="9" s="1"/>
  <c r="H11" i="9"/>
  <c r="P11" i="9" s="1"/>
  <c r="J11" i="9"/>
  <c r="R11" i="9" s="1"/>
  <c r="L11" i="9"/>
  <c r="M11" i="9"/>
  <c r="E12" i="9"/>
  <c r="F12" i="9"/>
  <c r="N12" i="9" s="1"/>
  <c r="U12" i="9" s="1"/>
  <c r="G12" i="9"/>
  <c r="H12" i="9"/>
  <c r="P12" i="9" s="1"/>
  <c r="W12" i="9" s="1"/>
  <c r="J12" i="9"/>
  <c r="R12" i="9" s="1"/>
  <c r="Y12" i="9" s="1"/>
  <c r="L12" i="9"/>
  <c r="M12" i="9"/>
  <c r="E13" i="9"/>
  <c r="F13" i="9"/>
  <c r="N13" i="9" s="1"/>
  <c r="U13" i="9" s="1"/>
  <c r="G13" i="9"/>
  <c r="O13" i="9" s="1"/>
  <c r="V13" i="9" s="1"/>
  <c r="H13" i="9"/>
  <c r="J13" i="9"/>
  <c r="R13" i="9" s="1"/>
  <c r="L13" i="9"/>
  <c r="M13" i="9"/>
  <c r="P13" i="9"/>
  <c r="E14" i="9"/>
  <c r="F14" i="9"/>
  <c r="N14" i="9" s="1"/>
  <c r="U14" i="9" s="1"/>
  <c r="G14" i="9"/>
  <c r="O14" i="9" s="1"/>
  <c r="H14" i="9"/>
  <c r="P14" i="9" s="1"/>
  <c r="W14" i="9" s="1"/>
  <c r="J14" i="9"/>
  <c r="R14" i="9" s="1"/>
  <c r="Y14" i="9" s="1"/>
  <c r="L14" i="9"/>
  <c r="M14" i="9"/>
  <c r="E15" i="9"/>
  <c r="F15" i="9"/>
  <c r="N15" i="9" s="1"/>
  <c r="U15" i="9" s="1"/>
  <c r="G15" i="9"/>
  <c r="O15" i="9" s="1"/>
  <c r="V15" i="9" s="1"/>
  <c r="H15" i="9"/>
  <c r="P15" i="9" s="1"/>
  <c r="J15" i="9"/>
  <c r="R15" i="9" s="1"/>
  <c r="L15" i="9"/>
  <c r="M15" i="9"/>
  <c r="E16" i="9"/>
  <c r="F16" i="9"/>
  <c r="N16" i="9" s="1"/>
  <c r="U16" i="9" s="1"/>
  <c r="G16" i="9"/>
  <c r="H16" i="9"/>
  <c r="P16" i="9" s="1"/>
  <c r="W16" i="9" s="1"/>
  <c r="J16" i="9"/>
  <c r="R16" i="9" s="1"/>
  <c r="Y16" i="9" s="1"/>
  <c r="L16" i="9"/>
  <c r="M16" i="9"/>
  <c r="E17" i="9"/>
  <c r="F17" i="9"/>
  <c r="N17" i="9" s="1"/>
  <c r="U17" i="9" s="1"/>
  <c r="G17" i="9"/>
  <c r="O17" i="9" s="1"/>
  <c r="V17" i="9" s="1"/>
  <c r="H17" i="9"/>
  <c r="P17" i="9" s="1"/>
  <c r="J17" i="9"/>
  <c r="R17" i="9" s="1"/>
  <c r="L17" i="9"/>
  <c r="M17" i="9"/>
  <c r="E18" i="9"/>
  <c r="F18" i="9"/>
  <c r="N18" i="9" s="1"/>
  <c r="U18" i="9" s="1"/>
  <c r="G18" i="9"/>
  <c r="O18" i="9" s="1"/>
  <c r="H18" i="9"/>
  <c r="P18" i="9" s="1"/>
  <c r="W18" i="9" s="1"/>
  <c r="J18" i="9"/>
  <c r="R18" i="9" s="1"/>
  <c r="Y18" i="9" s="1"/>
  <c r="L18" i="9"/>
  <c r="M18" i="9"/>
  <c r="E19" i="9"/>
  <c r="F19" i="9"/>
  <c r="N19" i="9" s="1"/>
  <c r="U19" i="9" s="1"/>
  <c r="G19" i="9"/>
  <c r="O19" i="9" s="1"/>
  <c r="V19" i="9" s="1"/>
  <c r="H19" i="9"/>
  <c r="P19" i="9" s="1"/>
  <c r="J19" i="9"/>
  <c r="R19" i="9" s="1"/>
  <c r="L19" i="9"/>
  <c r="M19" i="9"/>
  <c r="E20" i="9"/>
  <c r="F20" i="9"/>
  <c r="N20" i="9" s="1"/>
  <c r="U20" i="9" s="1"/>
  <c r="G20" i="9"/>
  <c r="H20" i="9"/>
  <c r="P20" i="9" s="1"/>
  <c r="W20" i="9" s="1"/>
  <c r="J20" i="9"/>
  <c r="R20" i="9" s="1"/>
  <c r="Y20" i="9" s="1"/>
  <c r="L20" i="9"/>
  <c r="M20" i="9"/>
  <c r="E21" i="9"/>
  <c r="F21" i="9"/>
  <c r="N21" i="9" s="1"/>
  <c r="U21" i="9" s="1"/>
  <c r="G21" i="9"/>
  <c r="O21" i="9" s="1"/>
  <c r="V21" i="9" s="1"/>
  <c r="H21" i="9"/>
  <c r="J21" i="9"/>
  <c r="R21" i="9" s="1"/>
  <c r="L21" i="9"/>
  <c r="M21" i="9"/>
  <c r="P21" i="9"/>
  <c r="E22" i="9"/>
  <c r="F22" i="9"/>
  <c r="N22" i="9" s="1"/>
  <c r="U22" i="9" s="1"/>
  <c r="G22" i="9"/>
  <c r="O22" i="9" s="1"/>
  <c r="H22" i="9"/>
  <c r="P22" i="9" s="1"/>
  <c r="W22" i="9" s="1"/>
  <c r="J22" i="9"/>
  <c r="R22" i="9" s="1"/>
  <c r="Y22" i="9" s="1"/>
  <c r="L22" i="9"/>
  <c r="M22" i="9"/>
  <c r="E23" i="9"/>
  <c r="F23" i="9"/>
  <c r="N23" i="9" s="1"/>
  <c r="U23" i="9" s="1"/>
  <c r="G23" i="9"/>
  <c r="O23" i="9" s="1"/>
  <c r="V23" i="9" s="1"/>
  <c r="H23" i="9"/>
  <c r="P23" i="9" s="1"/>
  <c r="J23" i="9"/>
  <c r="R23" i="9" s="1"/>
  <c r="L23" i="9"/>
  <c r="M23" i="9"/>
  <c r="E24" i="9"/>
  <c r="F24" i="9"/>
  <c r="N24" i="9" s="1"/>
  <c r="U24" i="9" s="1"/>
  <c r="G24" i="9"/>
  <c r="O24" i="9" s="1"/>
  <c r="H24" i="9"/>
  <c r="P24" i="9" s="1"/>
  <c r="W24" i="9" s="1"/>
  <c r="J24" i="9"/>
  <c r="R24" i="9" s="1"/>
  <c r="Y24" i="9" s="1"/>
  <c r="L24" i="9"/>
  <c r="M24" i="9"/>
  <c r="E25" i="9"/>
  <c r="F25" i="9"/>
  <c r="N25" i="9" s="1"/>
  <c r="U25" i="9" s="1"/>
  <c r="G25" i="9"/>
  <c r="O25" i="9" s="1"/>
  <c r="V25" i="9" s="1"/>
  <c r="H25" i="9"/>
  <c r="P25" i="9" s="1"/>
  <c r="J25" i="9"/>
  <c r="R25" i="9" s="1"/>
  <c r="L25" i="9"/>
  <c r="M25" i="9"/>
  <c r="E26" i="9"/>
  <c r="F26" i="9"/>
  <c r="N26" i="9" s="1"/>
  <c r="U26" i="9" s="1"/>
  <c r="G26" i="9"/>
  <c r="O26" i="9" s="1"/>
  <c r="H26" i="9"/>
  <c r="P26" i="9" s="1"/>
  <c r="W26" i="9" s="1"/>
  <c r="J26" i="9"/>
  <c r="R26" i="9" s="1"/>
  <c r="Y26" i="9" s="1"/>
  <c r="L26" i="9"/>
  <c r="M26" i="9"/>
  <c r="E27" i="9"/>
  <c r="F27" i="9"/>
  <c r="N27" i="9" s="1"/>
  <c r="U27" i="9" s="1"/>
  <c r="G27" i="9"/>
  <c r="O27" i="9" s="1"/>
  <c r="V27" i="9" s="1"/>
  <c r="H27" i="9"/>
  <c r="P27" i="9" s="1"/>
  <c r="J27" i="9"/>
  <c r="R27" i="9" s="1"/>
  <c r="L27" i="9"/>
  <c r="M27" i="9"/>
  <c r="E28" i="9"/>
  <c r="F28" i="9"/>
  <c r="N28" i="9" s="1"/>
  <c r="U28" i="9" s="1"/>
  <c r="G28" i="9"/>
  <c r="O28" i="9" s="1"/>
  <c r="H28" i="9"/>
  <c r="P28" i="9" s="1"/>
  <c r="W28" i="9" s="1"/>
  <c r="J28" i="9"/>
  <c r="R28" i="9" s="1"/>
  <c r="Y28" i="9" s="1"/>
  <c r="L28" i="9"/>
  <c r="M28" i="9"/>
  <c r="E29" i="9"/>
  <c r="F29" i="9"/>
  <c r="N29" i="9" s="1"/>
  <c r="U29" i="9" s="1"/>
  <c r="G29" i="9"/>
  <c r="O29" i="9" s="1"/>
  <c r="V29" i="9" s="1"/>
  <c r="H29" i="9"/>
  <c r="J29" i="9"/>
  <c r="R29" i="9" s="1"/>
  <c r="L29" i="9"/>
  <c r="M29" i="9"/>
  <c r="P29" i="9"/>
  <c r="E30" i="9"/>
  <c r="F30" i="9"/>
  <c r="N30" i="9" s="1"/>
  <c r="U30" i="9" s="1"/>
  <c r="G30" i="9"/>
  <c r="O30" i="9" s="1"/>
  <c r="H30" i="9"/>
  <c r="P30" i="9" s="1"/>
  <c r="W30" i="9" s="1"/>
  <c r="J30" i="9"/>
  <c r="R30" i="9" s="1"/>
  <c r="Y30" i="9" s="1"/>
  <c r="L30" i="9"/>
  <c r="M30" i="9"/>
  <c r="E31" i="9"/>
  <c r="F31" i="9"/>
  <c r="N31" i="9" s="1"/>
  <c r="U31" i="9" s="1"/>
  <c r="G31" i="9"/>
  <c r="O31" i="9" s="1"/>
  <c r="V31" i="9" s="1"/>
  <c r="H31" i="9"/>
  <c r="P31" i="9" s="1"/>
  <c r="J31" i="9"/>
  <c r="R31" i="9" s="1"/>
  <c r="L31" i="9"/>
  <c r="M31" i="9"/>
  <c r="E32" i="9"/>
  <c r="F32" i="9"/>
  <c r="N32" i="9" s="1"/>
  <c r="U32" i="9" s="1"/>
  <c r="G32" i="9"/>
  <c r="O32" i="9" s="1"/>
  <c r="H32" i="9"/>
  <c r="P32" i="9" s="1"/>
  <c r="W32" i="9" s="1"/>
  <c r="J32" i="9"/>
  <c r="R32" i="9" s="1"/>
  <c r="Y32" i="9" s="1"/>
  <c r="L32" i="9"/>
  <c r="M32" i="9"/>
  <c r="E33" i="9"/>
  <c r="F33" i="9"/>
  <c r="N33" i="9" s="1"/>
  <c r="U33" i="9" s="1"/>
  <c r="G33" i="9"/>
  <c r="O33" i="9" s="1"/>
  <c r="V33" i="9" s="1"/>
  <c r="H33" i="9"/>
  <c r="P33" i="9" s="1"/>
  <c r="J33" i="9"/>
  <c r="R33" i="9" s="1"/>
  <c r="L33" i="9"/>
  <c r="M33" i="9"/>
  <c r="E34" i="9"/>
  <c r="F34" i="9"/>
  <c r="N34" i="9" s="1"/>
  <c r="U34" i="9" s="1"/>
  <c r="G34" i="9"/>
  <c r="O34" i="9" s="1"/>
  <c r="H34" i="9"/>
  <c r="P34" i="9" s="1"/>
  <c r="W34" i="9" s="1"/>
  <c r="J34" i="9"/>
  <c r="R34" i="9" s="1"/>
  <c r="Y34" i="9" s="1"/>
  <c r="L34" i="9"/>
  <c r="M34" i="9"/>
  <c r="E35" i="9"/>
  <c r="F35" i="9"/>
  <c r="N35" i="9" s="1"/>
  <c r="U35" i="9" s="1"/>
  <c r="G35" i="9"/>
  <c r="O35" i="9" s="1"/>
  <c r="V35" i="9" s="1"/>
  <c r="H35" i="9"/>
  <c r="P35" i="9" s="1"/>
  <c r="J35" i="9"/>
  <c r="R35" i="9" s="1"/>
  <c r="L35" i="9"/>
  <c r="M35" i="9"/>
  <c r="U39" i="9"/>
  <c r="V39" i="9"/>
  <c r="W39" i="9"/>
  <c r="Y39" i="9"/>
  <c r="U40" i="9"/>
  <c r="E5" i="8"/>
  <c r="F5" i="8"/>
  <c r="N5" i="8" s="1"/>
  <c r="U5" i="8" s="1"/>
  <c r="G5" i="8"/>
  <c r="O5" i="8" s="1"/>
  <c r="P5" i="8"/>
  <c r="W5" i="8" s="1"/>
  <c r="R5" i="8"/>
  <c r="Y5" i="8" s="1"/>
  <c r="L5" i="8"/>
  <c r="E6" i="8"/>
  <c r="F6" i="8"/>
  <c r="N6" i="8" s="1"/>
  <c r="U6" i="8" s="1"/>
  <c r="G6" i="8"/>
  <c r="O6" i="8" s="1"/>
  <c r="H6" i="8"/>
  <c r="P6" i="8" s="1"/>
  <c r="J6" i="8"/>
  <c r="R6" i="8" s="1"/>
  <c r="Y6" i="8" s="1"/>
  <c r="L6" i="8"/>
  <c r="M6" i="8"/>
  <c r="E7" i="8"/>
  <c r="F7" i="8"/>
  <c r="N7" i="8" s="1"/>
  <c r="U7" i="8" s="1"/>
  <c r="G7" i="8"/>
  <c r="H7" i="8"/>
  <c r="P7" i="8" s="1"/>
  <c r="W7" i="8" s="1"/>
  <c r="J7" i="8"/>
  <c r="R7" i="8" s="1"/>
  <c r="Y7" i="8" s="1"/>
  <c r="L7" i="8"/>
  <c r="M7" i="8"/>
  <c r="E8" i="8"/>
  <c r="F8" i="8"/>
  <c r="N8" i="8" s="1"/>
  <c r="U8" i="8" s="1"/>
  <c r="G8" i="8"/>
  <c r="H8" i="8"/>
  <c r="P8" i="8" s="1"/>
  <c r="J8" i="8"/>
  <c r="R8" i="8" s="1"/>
  <c r="Y8" i="8" s="1"/>
  <c r="L8" i="8"/>
  <c r="M8" i="8"/>
  <c r="E9" i="8"/>
  <c r="F9" i="8"/>
  <c r="N9" i="8" s="1"/>
  <c r="U9" i="8" s="1"/>
  <c r="G9" i="8"/>
  <c r="H9" i="8"/>
  <c r="P9" i="8" s="1"/>
  <c r="W9" i="8" s="1"/>
  <c r="J9" i="8"/>
  <c r="R9" i="8" s="1"/>
  <c r="Y9" i="8" s="1"/>
  <c r="L9" i="8"/>
  <c r="M9" i="8"/>
  <c r="E10" i="8"/>
  <c r="F10" i="8"/>
  <c r="N10" i="8" s="1"/>
  <c r="U10" i="8" s="1"/>
  <c r="G10" i="8"/>
  <c r="O10" i="8" s="1"/>
  <c r="P10" i="8"/>
  <c r="R10" i="8"/>
  <c r="Y10" i="8" s="1"/>
  <c r="L10" i="8"/>
  <c r="E11" i="8"/>
  <c r="F11" i="8"/>
  <c r="N11" i="8" s="1"/>
  <c r="U11" i="8" s="1"/>
  <c r="G11" i="8"/>
  <c r="H11" i="8"/>
  <c r="P11" i="8" s="1"/>
  <c r="W11" i="8" s="1"/>
  <c r="J11" i="8"/>
  <c r="R11" i="8" s="1"/>
  <c r="Y11" i="8" s="1"/>
  <c r="L11" i="8"/>
  <c r="M11" i="8"/>
  <c r="E12" i="8"/>
  <c r="F12" i="8"/>
  <c r="N12" i="8" s="1"/>
  <c r="U12" i="8" s="1"/>
  <c r="G12" i="8"/>
  <c r="H12" i="8"/>
  <c r="P12" i="8" s="1"/>
  <c r="J12" i="8"/>
  <c r="R12" i="8" s="1"/>
  <c r="Y12" i="8" s="1"/>
  <c r="L12" i="8"/>
  <c r="M12" i="8"/>
  <c r="E13" i="8"/>
  <c r="F13" i="8"/>
  <c r="N13" i="8" s="1"/>
  <c r="U13" i="8" s="1"/>
  <c r="G13" i="8"/>
  <c r="H13" i="8"/>
  <c r="P13" i="8" s="1"/>
  <c r="W13" i="8" s="1"/>
  <c r="J13" i="8"/>
  <c r="R13" i="8" s="1"/>
  <c r="Y13" i="8" s="1"/>
  <c r="L13" i="8"/>
  <c r="M13" i="8"/>
  <c r="E14" i="8"/>
  <c r="F14" i="8"/>
  <c r="N14" i="8" s="1"/>
  <c r="U14" i="8" s="1"/>
  <c r="G14" i="8"/>
  <c r="O14" i="8" s="1"/>
  <c r="H14" i="8"/>
  <c r="P14" i="8" s="1"/>
  <c r="J14" i="8"/>
  <c r="R14" i="8" s="1"/>
  <c r="Y14" i="8" s="1"/>
  <c r="L14" i="8"/>
  <c r="M14" i="8"/>
  <c r="E15" i="8"/>
  <c r="F15" i="8"/>
  <c r="N15" i="8" s="1"/>
  <c r="U15" i="8" s="1"/>
  <c r="G15" i="8"/>
  <c r="H15" i="8"/>
  <c r="P15" i="8" s="1"/>
  <c r="W15" i="8" s="1"/>
  <c r="J15" i="8"/>
  <c r="R15" i="8" s="1"/>
  <c r="Y15" i="8" s="1"/>
  <c r="L15" i="8"/>
  <c r="M15" i="8"/>
  <c r="E16" i="8"/>
  <c r="F16" i="8"/>
  <c r="N16" i="8" s="1"/>
  <c r="U16" i="8" s="1"/>
  <c r="G16" i="8"/>
  <c r="H16" i="8"/>
  <c r="P16" i="8" s="1"/>
  <c r="J16" i="8"/>
  <c r="R16" i="8" s="1"/>
  <c r="Y16" i="8" s="1"/>
  <c r="L16" i="8"/>
  <c r="M16" i="8"/>
  <c r="E17" i="8"/>
  <c r="F17" i="8"/>
  <c r="N17" i="8" s="1"/>
  <c r="U17" i="8" s="1"/>
  <c r="G17" i="8"/>
  <c r="H17" i="8"/>
  <c r="P17" i="8" s="1"/>
  <c r="W17" i="8" s="1"/>
  <c r="J17" i="8"/>
  <c r="R17" i="8" s="1"/>
  <c r="Y17" i="8" s="1"/>
  <c r="L17" i="8"/>
  <c r="M17" i="8"/>
  <c r="E18" i="8"/>
  <c r="F18" i="8"/>
  <c r="N18" i="8" s="1"/>
  <c r="U18" i="8" s="1"/>
  <c r="G18" i="8"/>
  <c r="O18" i="8" s="1"/>
  <c r="H18" i="8"/>
  <c r="P18" i="8" s="1"/>
  <c r="J18" i="8"/>
  <c r="R18" i="8" s="1"/>
  <c r="Y18" i="8" s="1"/>
  <c r="L18" i="8"/>
  <c r="M18" i="8"/>
  <c r="E19" i="8"/>
  <c r="F19" i="8"/>
  <c r="N19" i="8" s="1"/>
  <c r="U19" i="8" s="1"/>
  <c r="G19" i="8"/>
  <c r="H19" i="8"/>
  <c r="P19" i="8" s="1"/>
  <c r="W19" i="8" s="1"/>
  <c r="J19" i="8"/>
  <c r="R19" i="8" s="1"/>
  <c r="Y19" i="8" s="1"/>
  <c r="L19" i="8"/>
  <c r="M19" i="8"/>
  <c r="E20" i="8"/>
  <c r="F20" i="8"/>
  <c r="N20" i="8" s="1"/>
  <c r="U20" i="8" s="1"/>
  <c r="G20" i="8"/>
  <c r="H20" i="8"/>
  <c r="P20" i="8" s="1"/>
  <c r="J20" i="8"/>
  <c r="R20" i="8" s="1"/>
  <c r="Y20" i="8" s="1"/>
  <c r="L20" i="8"/>
  <c r="M20" i="8"/>
  <c r="E21" i="8"/>
  <c r="F21" i="8"/>
  <c r="N21" i="8" s="1"/>
  <c r="U21" i="8" s="1"/>
  <c r="G21" i="8"/>
  <c r="H21" i="8"/>
  <c r="P21" i="8" s="1"/>
  <c r="W21" i="8" s="1"/>
  <c r="J21" i="8"/>
  <c r="R21" i="8" s="1"/>
  <c r="Y21" i="8" s="1"/>
  <c r="L21" i="8"/>
  <c r="M21" i="8"/>
  <c r="E22" i="8"/>
  <c r="F22" i="8"/>
  <c r="N22" i="8" s="1"/>
  <c r="U22" i="8" s="1"/>
  <c r="G22" i="8"/>
  <c r="O22" i="8" s="1"/>
  <c r="H22" i="8"/>
  <c r="P22" i="8" s="1"/>
  <c r="J22" i="8"/>
  <c r="R22" i="8" s="1"/>
  <c r="Y22" i="8" s="1"/>
  <c r="L22" i="8"/>
  <c r="M22" i="8"/>
  <c r="E23" i="8"/>
  <c r="F23" i="8"/>
  <c r="N23" i="8" s="1"/>
  <c r="U23" i="8" s="1"/>
  <c r="G23" i="8"/>
  <c r="H23" i="8"/>
  <c r="P23" i="8" s="1"/>
  <c r="W23" i="8" s="1"/>
  <c r="J23" i="8"/>
  <c r="R23" i="8" s="1"/>
  <c r="Y23" i="8" s="1"/>
  <c r="L23" i="8"/>
  <c r="M23" i="8"/>
  <c r="E24" i="8"/>
  <c r="F24" i="8"/>
  <c r="N24" i="8" s="1"/>
  <c r="U24" i="8" s="1"/>
  <c r="G24" i="8"/>
  <c r="O24" i="8" s="1"/>
  <c r="H24" i="8"/>
  <c r="P24" i="8" s="1"/>
  <c r="J24" i="8"/>
  <c r="R24" i="8" s="1"/>
  <c r="Y24" i="8" s="1"/>
  <c r="L24" i="8"/>
  <c r="M24" i="8"/>
  <c r="E25" i="8"/>
  <c r="F25" i="8"/>
  <c r="N25" i="8" s="1"/>
  <c r="U25" i="8" s="1"/>
  <c r="G25" i="8"/>
  <c r="H25" i="8"/>
  <c r="P25" i="8" s="1"/>
  <c r="W25" i="8" s="1"/>
  <c r="J25" i="8"/>
  <c r="R25" i="8" s="1"/>
  <c r="Y25" i="8" s="1"/>
  <c r="L25" i="8"/>
  <c r="M25" i="8"/>
  <c r="E26" i="8"/>
  <c r="F26" i="8"/>
  <c r="N26" i="8" s="1"/>
  <c r="U26" i="8" s="1"/>
  <c r="G26" i="8"/>
  <c r="H26" i="8"/>
  <c r="P26" i="8" s="1"/>
  <c r="J26" i="8"/>
  <c r="R26" i="8" s="1"/>
  <c r="Y26" i="8" s="1"/>
  <c r="L26" i="8"/>
  <c r="M26" i="8"/>
  <c r="E27" i="8"/>
  <c r="F27" i="8"/>
  <c r="N27" i="8" s="1"/>
  <c r="U27" i="8" s="1"/>
  <c r="G27" i="8"/>
  <c r="H27" i="8"/>
  <c r="P27" i="8" s="1"/>
  <c r="W27" i="8" s="1"/>
  <c r="J27" i="8"/>
  <c r="R27" i="8" s="1"/>
  <c r="Y27" i="8" s="1"/>
  <c r="L27" i="8"/>
  <c r="M27" i="8"/>
  <c r="E28" i="8"/>
  <c r="F28" i="8"/>
  <c r="N28" i="8" s="1"/>
  <c r="U28" i="8" s="1"/>
  <c r="G28" i="8"/>
  <c r="O28" i="8" s="1"/>
  <c r="H28" i="8"/>
  <c r="P28" i="8" s="1"/>
  <c r="W28" i="8" s="1"/>
  <c r="J28" i="8"/>
  <c r="R28" i="8" s="1"/>
  <c r="Y28" i="8" s="1"/>
  <c r="L28" i="8"/>
  <c r="M28" i="8"/>
  <c r="E29" i="8"/>
  <c r="F29" i="8"/>
  <c r="N29" i="8" s="1"/>
  <c r="U29" i="8" s="1"/>
  <c r="G29" i="8"/>
  <c r="O29" i="8" s="1"/>
  <c r="V29" i="8" s="1"/>
  <c r="H29" i="8"/>
  <c r="P29" i="8" s="1"/>
  <c r="J29" i="8"/>
  <c r="R29" i="8" s="1"/>
  <c r="L29" i="8"/>
  <c r="M29" i="8"/>
  <c r="E30" i="8"/>
  <c r="F30" i="8"/>
  <c r="N30" i="8" s="1"/>
  <c r="U30" i="8" s="1"/>
  <c r="G30" i="8"/>
  <c r="O30" i="8" s="1"/>
  <c r="H30" i="8"/>
  <c r="P30" i="8" s="1"/>
  <c r="W30" i="8" s="1"/>
  <c r="J30" i="8"/>
  <c r="R30" i="8" s="1"/>
  <c r="L30" i="8"/>
  <c r="M30" i="8"/>
  <c r="E31" i="8"/>
  <c r="F31" i="8"/>
  <c r="N31" i="8" s="1"/>
  <c r="U31" i="8" s="1"/>
  <c r="G31" i="8"/>
  <c r="O31" i="8" s="1"/>
  <c r="V31" i="8" s="1"/>
  <c r="H31" i="8"/>
  <c r="J31" i="8"/>
  <c r="R31" i="8" s="1"/>
  <c r="L31" i="8"/>
  <c r="M31" i="8"/>
  <c r="P31" i="8"/>
  <c r="E32" i="8"/>
  <c r="F32" i="8"/>
  <c r="N32" i="8" s="1"/>
  <c r="U32" i="8" s="1"/>
  <c r="G32" i="8"/>
  <c r="O32" i="8" s="1"/>
  <c r="H32" i="8"/>
  <c r="P32" i="8" s="1"/>
  <c r="W32" i="8" s="1"/>
  <c r="J32" i="8"/>
  <c r="R32" i="8" s="1"/>
  <c r="L32" i="8"/>
  <c r="M32" i="8"/>
  <c r="E33" i="8"/>
  <c r="F33" i="8"/>
  <c r="N33" i="8" s="1"/>
  <c r="U33" i="8" s="1"/>
  <c r="G33" i="8"/>
  <c r="O33" i="8" s="1"/>
  <c r="V33" i="8" s="1"/>
  <c r="H33" i="8"/>
  <c r="P33" i="8" s="1"/>
  <c r="J33" i="8"/>
  <c r="R33" i="8" s="1"/>
  <c r="L33" i="8"/>
  <c r="M33" i="8"/>
  <c r="E34" i="8"/>
  <c r="F34" i="8"/>
  <c r="N34" i="8" s="1"/>
  <c r="U34" i="8" s="1"/>
  <c r="G34" i="8"/>
  <c r="O34" i="8" s="1"/>
  <c r="H34" i="8"/>
  <c r="J34" i="8"/>
  <c r="R34" i="8" s="1"/>
  <c r="L34" i="8"/>
  <c r="M34" i="8"/>
  <c r="P34" i="8"/>
  <c r="W34" i="8" s="1"/>
  <c r="E35" i="8"/>
  <c r="F35" i="8"/>
  <c r="N35" i="8" s="1"/>
  <c r="U35" i="8" s="1"/>
  <c r="G35" i="8"/>
  <c r="H35" i="8"/>
  <c r="P35" i="8" s="1"/>
  <c r="W35" i="8" s="1"/>
  <c r="J35" i="8"/>
  <c r="R35" i="8" s="1"/>
  <c r="Y35" i="8" s="1"/>
  <c r="L35" i="8"/>
  <c r="M35" i="8"/>
  <c r="U39" i="8"/>
  <c r="V39" i="8"/>
  <c r="W39" i="8"/>
  <c r="Y39" i="8"/>
  <c r="U40" i="8"/>
  <c r="E5" i="7"/>
  <c r="F5" i="7"/>
  <c r="N5" i="7" s="1"/>
  <c r="U5" i="7" s="1"/>
  <c r="G5" i="7"/>
  <c r="O5" i="7" s="1"/>
  <c r="P5" i="7"/>
  <c r="W5" i="7" s="1"/>
  <c r="R5" i="7"/>
  <c r="L5" i="7"/>
  <c r="E6" i="7"/>
  <c r="F6" i="7"/>
  <c r="N6" i="7" s="1"/>
  <c r="U6" i="7" s="1"/>
  <c r="G6" i="7"/>
  <c r="O6" i="7" s="1"/>
  <c r="H6" i="7"/>
  <c r="P6" i="7" s="1"/>
  <c r="J6" i="7"/>
  <c r="R6" i="7" s="1"/>
  <c r="Y6" i="7" s="1"/>
  <c r="L6" i="7"/>
  <c r="M6" i="7"/>
  <c r="E7" i="7"/>
  <c r="F7" i="7"/>
  <c r="N7" i="7" s="1"/>
  <c r="U7" i="7" s="1"/>
  <c r="G7" i="7"/>
  <c r="H7" i="7"/>
  <c r="P7" i="7" s="1"/>
  <c r="W7" i="7" s="1"/>
  <c r="J7" i="7"/>
  <c r="R7" i="7" s="1"/>
  <c r="Y7" i="7" s="1"/>
  <c r="L7" i="7"/>
  <c r="M7" i="7"/>
  <c r="E8" i="7"/>
  <c r="F8" i="7"/>
  <c r="N8" i="7" s="1"/>
  <c r="U8" i="7" s="1"/>
  <c r="G8" i="7"/>
  <c r="O8" i="7" s="1"/>
  <c r="H8" i="7"/>
  <c r="P8" i="7" s="1"/>
  <c r="J8" i="7"/>
  <c r="L8" i="7"/>
  <c r="M8" i="7"/>
  <c r="E9" i="7"/>
  <c r="F9" i="7"/>
  <c r="N9" i="7" s="1"/>
  <c r="U9" i="7" s="1"/>
  <c r="G9" i="7"/>
  <c r="H9" i="7"/>
  <c r="P9" i="7" s="1"/>
  <c r="W9" i="7" s="1"/>
  <c r="J9" i="7"/>
  <c r="R9" i="7" s="1"/>
  <c r="Y9" i="7" s="1"/>
  <c r="L9" i="7"/>
  <c r="M9" i="7"/>
  <c r="E10" i="7"/>
  <c r="F10" i="7"/>
  <c r="N10" i="7" s="1"/>
  <c r="U10" i="7" s="1"/>
  <c r="G10" i="7"/>
  <c r="P10" i="7"/>
  <c r="R10" i="7"/>
  <c r="Y10" i="7" s="1"/>
  <c r="L10" i="7"/>
  <c r="E11" i="7"/>
  <c r="F11" i="7"/>
  <c r="N11" i="7" s="1"/>
  <c r="U11" i="7" s="1"/>
  <c r="G11" i="7"/>
  <c r="H11" i="7"/>
  <c r="P11" i="7" s="1"/>
  <c r="W11" i="7" s="1"/>
  <c r="J11" i="7"/>
  <c r="R11" i="7" s="1"/>
  <c r="Y11" i="7" s="1"/>
  <c r="L11" i="7"/>
  <c r="M11" i="7"/>
  <c r="E12" i="7"/>
  <c r="F12" i="7"/>
  <c r="N12" i="7" s="1"/>
  <c r="U12" i="7" s="1"/>
  <c r="G12" i="7"/>
  <c r="O12" i="7" s="1"/>
  <c r="H12" i="7"/>
  <c r="P12" i="7" s="1"/>
  <c r="J12" i="7"/>
  <c r="L12" i="7"/>
  <c r="M12" i="7"/>
  <c r="E13" i="7"/>
  <c r="F13" i="7"/>
  <c r="N13" i="7" s="1"/>
  <c r="U13" i="7" s="1"/>
  <c r="G13" i="7"/>
  <c r="H13" i="7"/>
  <c r="P13" i="7" s="1"/>
  <c r="W13" i="7" s="1"/>
  <c r="J13" i="7"/>
  <c r="R13" i="7" s="1"/>
  <c r="Y13" i="7" s="1"/>
  <c r="L13" i="7"/>
  <c r="M13" i="7"/>
  <c r="E14" i="7"/>
  <c r="F14" i="7"/>
  <c r="N14" i="7" s="1"/>
  <c r="U14" i="7" s="1"/>
  <c r="G14" i="7"/>
  <c r="O14" i="7" s="1"/>
  <c r="H14" i="7"/>
  <c r="P14" i="7" s="1"/>
  <c r="J14" i="7"/>
  <c r="R14" i="7" s="1"/>
  <c r="Y14" i="7" s="1"/>
  <c r="L14" i="7"/>
  <c r="M14" i="7"/>
  <c r="E15" i="7"/>
  <c r="F15" i="7"/>
  <c r="N15" i="7" s="1"/>
  <c r="U15" i="7" s="1"/>
  <c r="G15" i="7"/>
  <c r="H15" i="7"/>
  <c r="P15" i="7" s="1"/>
  <c r="W15" i="7" s="1"/>
  <c r="J15" i="7"/>
  <c r="R15" i="7" s="1"/>
  <c r="Y15" i="7" s="1"/>
  <c r="L15" i="7"/>
  <c r="M15" i="7"/>
  <c r="E16" i="7"/>
  <c r="F16" i="7"/>
  <c r="N16" i="7" s="1"/>
  <c r="U16" i="7" s="1"/>
  <c r="G16" i="7"/>
  <c r="O16" i="7" s="1"/>
  <c r="H16" i="7"/>
  <c r="P16" i="7" s="1"/>
  <c r="J16" i="7"/>
  <c r="L16" i="7"/>
  <c r="M16" i="7"/>
  <c r="E17" i="7"/>
  <c r="F17" i="7"/>
  <c r="N17" i="7" s="1"/>
  <c r="U17" i="7" s="1"/>
  <c r="G17" i="7"/>
  <c r="H17" i="7"/>
  <c r="P17" i="7" s="1"/>
  <c r="W17" i="7" s="1"/>
  <c r="J17" i="7"/>
  <c r="R17" i="7" s="1"/>
  <c r="Y17" i="7" s="1"/>
  <c r="L17" i="7"/>
  <c r="M17" i="7"/>
  <c r="E18" i="7"/>
  <c r="F18" i="7"/>
  <c r="N18" i="7" s="1"/>
  <c r="U18" i="7" s="1"/>
  <c r="G18" i="7"/>
  <c r="H18" i="7"/>
  <c r="P18" i="7" s="1"/>
  <c r="J18" i="7"/>
  <c r="R18" i="7" s="1"/>
  <c r="Y18" i="7" s="1"/>
  <c r="L18" i="7"/>
  <c r="M18" i="7"/>
  <c r="E19" i="7"/>
  <c r="F19" i="7"/>
  <c r="N19" i="7" s="1"/>
  <c r="U19" i="7" s="1"/>
  <c r="G19" i="7"/>
  <c r="H19" i="7"/>
  <c r="P19" i="7" s="1"/>
  <c r="W19" i="7" s="1"/>
  <c r="J19" i="7"/>
  <c r="R19" i="7" s="1"/>
  <c r="Y19" i="7" s="1"/>
  <c r="L19" i="7"/>
  <c r="M19" i="7"/>
  <c r="E20" i="7"/>
  <c r="F20" i="7"/>
  <c r="N20" i="7" s="1"/>
  <c r="U20" i="7" s="1"/>
  <c r="G20" i="7"/>
  <c r="O20" i="7" s="1"/>
  <c r="H20" i="7"/>
  <c r="P20" i="7" s="1"/>
  <c r="J20" i="7"/>
  <c r="L20" i="7"/>
  <c r="M20" i="7"/>
  <c r="E21" i="7"/>
  <c r="F21" i="7"/>
  <c r="N21" i="7" s="1"/>
  <c r="U21" i="7" s="1"/>
  <c r="G21" i="7"/>
  <c r="H21" i="7"/>
  <c r="P21" i="7" s="1"/>
  <c r="W21" i="7" s="1"/>
  <c r="J21" i="7"/>
  <c r="R21" i="7" s="1"/>
  <c r="Y21" i="7" s="1"/>
  <c r="L21" i="7"/>
  <c r="M21" i="7"/>
  <c r="E22" i="7"/>
  <c r="F22" i="7"/>
  <c r="N22" i="7" s="1"/>
  <c r="U22" i="7" s="1"/>
  <c r="G22" i="7"/>
  <c r="O22" i="7" s="1"/>
  <c r="H22" i="7"/>
  <c r="P22" i="7" s="1"/>
  <c r="J22" i="7"/>
  <c r="R22" i="7" s="1"/>
  <c r="Y22" i="7" s="1"/>
  <c r="L22" i="7"/>
  <c r="M22" i="7"/>
  <c r="E23" i="7"/>
  <c r="F23" i="7"/>
  <c r="N23" i="7" s="1"/>
  <c r="U23" i="7" s="1"/>
  <c r="G23" i="7"/>
  <c r="H23" i="7"/>
  <c r="P23" i="7" s="1"/>
  <c r="W23" i="7" s="1"/>
  <c r="J23" i="7"/>
  <c r="R23" i="7" s="1"/>
  <c r="Y23" i="7" s="1"/>
  <c r="L23" i="7"/>
  <c r="M23" i="7"/>
  <c r="E24" i="7"/>
  <c r="F24" i="7"/>
  <c r="N24" i="7" s="1"/>
  <c r="U24" i="7" s="1"/>
  <c r="G24" i="7"/>
  <c r="O24" i="7" s="1"/>
  <c r="H24" i="7"/>
  <c r="P24" i="7" s="1"/>
  <c r="J24" i="7"/>
  <c r="L24" i="7"/>
  <c r="M24" i="7"/>
  <c r="E25" i="7"/>
  <c r="F25" i="7"/>
  <c r="N25" i="7" s="1"/>
  <c r="U25" i="7" s="1"/>
  <c r="G25" i="7"/>
  <c r="H25" i="7"/>
  <c r="P25" i="7" s="1"/>
  <c r="W25" i="7" s="1"/>
  <c r="J25" i="7"/>
  <c r="R25" i="7" s="1"/>
  <c r="Y25" i="7" s="1"/>
  <c r="L25" i="7"/>
  <c r="M25" i="7"/>
  <c r="E26" i="7"/>
  <c r="F26" i="7"/>
  <c r="N26" i="7" s="1"/>
  <c r="U26" i="7" s="1"/>
  <c r="G26" i="7"/>
  <c r="H26" i="7"/>
  <c r="P26" i="7" s="1"/>
  <c r="J26" i="7"/>
  <c r="R26" i="7" s="1"/>
  <c r="Y26" i="7" s="1"/>
  <c r="L26" i="7"/>
  <c r="M26" i="7"/>
  <c r="E27" i="7"/>
  <c r="F27" i="7"/>
  <c r="N27" i="7" s="1"/>
  <c r="U27" i="7" s="1"/>
  <c r="G27" i="7"/>
  <c r="H27" i="7"/>
  <c r="P27" i="7" s="1"/>
  <c r="W27" i="7" s="1"/>
  <c r="J27" i="7"/>
  <c r="R27" i="7" s="1"/>
  <c r="Y27" i="7" s="1"/>
  <c r="L27" i="7"/>
  <c r="M27" i="7"/>
  <c r="E28" i="7"/>
  <c r="F28" i="7"/>
  <c r="N28" i="7" s="1"/>
  <c r="U28" i="7" s="1"/>
  <c r="G28" i="7"/>
  <c r="O28" i="7" s="1"/>
  <c r="H28" i="7"/>
  <c r="P28" i="7" s="1"/>
  <c r="J28" i="7"/>
  <c r="L28" i="7"/>
  <c r="M28" i="7"/>
  <c r="E29" i="7"/>
  <c r="F29" i="7"/>
  <c r="N29" i="7" s="1"/>
  <c r="U29" i="7" s="1"/>
  <c r="G29" i="7"/>
  <c r="H29" i="7"/>
  <c r="P29" i="7" s="1"/>
  <c r="W29" i="7" s="1"/>
  <c r="J29" i="7"/>
  <c r="R29" i="7" s="1"/>
  <c r="Y29" i="7" s="1"/>
  <c r="L29" i="7"/>
  <c r="M29" i="7"/>
  <c r="E30" i="7"/>
  <c r="F30" i="7"/>
  <c r="N30" i="7" s="1"/>
  <c r="U30" i="7" s="1"/>
  <c r="G30" i="7"/>
  <c r="O30" i="7" s="1"/>
  <c r="H30" i="7"/>
  <c r="P30" i="7" s="1"/>
  <c r="J30" i="7"/>
  <c r="R30" i="7" s="1"/>
  <c r="Y30" i="7" s="1"/>
  <c r="L30" i="7"/>
  <c r="M30" i="7"/>
  <c r="E31" i="7"/>
  <c r="F31" i="7"/>
  <c r="N31" i="7" s="1"/>
  <c r="U31" i="7" s="1"/>
  <c r="G31" i="7"/>
  <c r="H31" i="7"/>
  <c r="P31" i="7" s="1"/>
  <c r="W31" i="7" s="1"/>
  <c r="J31" i="7"/>
  <c r="R31" i="7" s="1"/>
  <c r="Y31" i="7" s="1"/>
  <c r="L31" i="7"/>
  <c r="M31" i="7"/>
  <c r="E32" i="7"/>
  <c r="F32" i="7"/>
  <c r="N32" i="7" s="1"/>
  <c r="U32" i="7" s="1"/>
  <c r="G32" i="7"/>
  <c r="O32" i="7" s="1"/>
  <c r="H32" i="7"/>
  <c r="P32" i="7" s="1"/>
  <c r="J32" i="7"/>
  <c r="L32" i="7"/>
  <c r="M32" i="7"/>
  <c r="E33" i="7"/>
  <c r="F33" i="7"/>
  <c r="N33" i="7" s="1"/>
  <c r="U33" i="7" s="1"/>
  <c r="G33" i="7"/>
  <c r="H33" i="7"/>
  <c r="P33" i="7" s="1"/>
  <c r="W33" i="7" s="1"/>
  <c r="J33" i="7"/>
  <c r="R33" i="7" s="1"/>
  <c r="Y33" i="7" s="1"/>
  <c r="L33" i="7"/>
  <c r="M33" i="7"/>
  <c r="E34" i="7"/>
  <c r="F34" i="7"/>
  <c r="N34" i="7" s="1"/>
  <c r="U34" i="7" s="1"/>
  <c r="G34" i="7"/>
  <c r="H34" i="7"/>
  <c r="P34" i="7" s="1"/>
  <c r="J34" i="7"/>
  <c r="R34" i="7" s="1"/>
  <c r="Y34" i="7" s="1"/>
  <c r="L34" i="7"/>
  <c r="M34" i="7"/>
  <c r="E35" i="7"/>
  <c r="F35" i="7"/>
  <c r="N35" i="7" s="1"/>
  <c r="U35" i="7" s="1"/>
  <c r="G35" i="7"/>
  <c r="H35" i="7"/>
  <c r="P35" i="7" s="1"/>
  <c r="W35" i="7" s="1"/>
  <c r="J35" i="7"/>
  <c r="R35" i="7" s="1"/>
  <c r="Y35" i="7" s="1"/>
  <c r="L35" i="7"/>
  <c r="M35" i="7"/>
  <c r="U39" i="7"/>
  <c r="V39" i="7"/>
  <c r="W39" i="7"/>
  <c r="Y39" i="7"/>
  <c r="U40" i="7"/>
  <c r="E5" i="6"/>
  <c r="F5" i="6"/>
  <c r="N5" i="6" s="1"/>
  <c r="U5" i="6" s="1"/>
  <c r="G5" i="6"/>
  <c r="O5" i="6" s="1"/>
  <c r="P5" i="6"/>
  <c r="W5" i="6" s="1"/>
  <c r="R5" i="6"/>
  <c r="L5" i="6"/>
  <c r="E6" i="6"/>
  <c r="F6" i="6"/>
  <c r="N6" i="6" s="1"/>
  <c r="G6" i="6"/>
  <c r="O6" i="6" s="1"/>
  <c r="V6" i="6" s="1"/>
  <c r="H6" i="6"/>
  <c r="P6" i="6" s="1"/>
  <c r="J6" i="6"/>
  <c r="R6" i="6" s="1"/>
  <c r="Y6" i="6" s="1"/>
  <c r="L6" i="6"/>
  <c r="M6" i="6"/>
  <c r="E7" i="6"/>
  <c r="F7" i="6"/>
  <c r="N7" i="6" s="1"/>
  <c r="U7" i="6" s="1"/>
  <c r="G7" i="6"/>
  <c r="H7" i="6"/>
  <c r="P7" i="6" s="1"/>
  <c r="W7" i="6" s="1"/>
  <c r="J7" i="6"/>
  <c r="R7" i="6" s="1"/>
  <c r="Y7" i="6" s="1"/>
  <c r="L7" i="6"/>
  <c r="M7" i="6"/>
  <c r="E8" i="6"/>
  <c r="F8" i="6"/>
  <c r="N8" i="6" s="1"/>
  <c r="G8" i="6"/>
  <c r="O8" i="6" s="1"/>
  <c r="V8" i="6" s="1"/>
  <c r="H8" i="6"/>
  <c r="P8" i="6" s="1"/>
  <c r="J8" i="6"/>
  <c r="R8" i="6" s="1"/>
  <c r="Y8" i="6" s="1"/>
  <c r="L8" i="6"/>
  <c r="M8" i="6"/>
  <c r="E9" i="6"/>
  <c r="F9" i="6"/>
  <c r="N9" i="6" s="1"/>
  <c r="U9" i="6" s="1"/>
  <c r="G9" i="6"/>
  <c r="H9" i="6"/>
  <c r="P9" i="6" s="1"/>
  <c r="W9" i="6" s="1"/>
  <c r="J9" i="6"/>
  <c r="R9" i="6" s="1"/>
  <c r="Y9" i="6" s="1"/>
  <c r="L9" i="6"/>
  <c r="M9" i="6"/>
  <c r="E10" i="6"/>
  <c r="F10" i="6"/>
  <c r="N10" i="6" s="1"/>
  <c r="G10" i="6"/>
  <c r="P10" i="6"/>
  <c r="R10" i="6"/>
  <c r="Y10" i="6" s="1"/>
  <c r="L10" i="6"/>
  <c r="E11" i="6"/>
  <c r="F11" i="6"/>
  <c r="N11" i="6" s="1"/>
  <c r="U11" i="6" s="1"/>
  <c r="G11" i="6"/>
  <c r="H11" i="6"/>
  <c r="P11" i="6" s="1"/>
  <c r="W11" i="6" s="1"/>
  <c r="J11" i="6"/>
  <c r="R11" i="6" s="1"/>
  <c r="Y11" i="6" s="1"/>
  <c r="L11" i="6"/>
  <c r="M11" i="6"/>
  <c r="E12" i="6"/>
  <c r="F12" i="6"/>
  <c r="N12" i="6" s="1"/>
  <c r="U12" i="6" s="1"/>
  <c r="G12" i="6"/>
  <c r="O12" i="6" s="1"/>
  <c r="H12" i="6"/>
  <c r="P12" i="6" s="1"/>
  <c r="J12" i="6"/>
  <c r="R12" i="6" s="1"/>
  <c r="Y12" i="6" s="1"/>
  <c r="L12" i="6"/>
  <c r="M12" i="6"/>
  <c r="E13" i="6"/>
  <c r="F13" i="6"/>
  <c r="N13" i="6" s="1"/>
  <c r="U13" i="6" s="1"/>
  <c r="G13" i="6"/>
  <c r="H13" i="6"/>
  <c r="P13" i="6" s="1"/>
  <c r="W13" i="6" s="1"/>
  <c r="J13" i="6"/>
  <c r="R13" i="6" s="1"/>
  <c r="Y13" i="6" s="1"/>
  <c r="L13" i="6"/>
  <c r="M13" i="6"/>
  <c r="E14" i="6"/>
  <c r="F14" i="6"/>
  <c r="N14" i="6" s="1"/>
  <c r="G14" i="6"/>
  <c r="O14" i="6" s="1"/>
  <c r="V14" i="6" s="1"/>
  <c r="H14" i="6"/>
  <c r="P14" i="6" s="1"/>
  <c r="J14" i="6"/>
  <c r="R14" i="6" s="1"/>
  <c r="Y14" i="6" s="1"/>
  <c r="L14" i="6"/>
  <c r="M14" i="6"/>
  <c r="E15" i="6"/>
  <c r="F15" i="6"/>
  <c r="N15" i="6" s="1"/>
  <c r="U15" i="6" s="1"/>
  <c r="G15" i="6"/>
  <c r="H15" i="6"/>
  <c r="P15" i="6" s="1"/>
  <c r="W15" i="6" s="1"/>
  <c r="J15" i="6"/>
  <c r="R15" i="6" s="1"/>
  <c r="Y15" i="6" s="1"/>
  <c r="L15" i="6"/>
  <c r="M15" i="6"/>
  <c r="E16" i="6"/>
  <c r="F16" i="6"/>
  <c r="N16" i="6" s="1"/>
  <c r="G16" i="6"/>
  <c r="O16" i="6" s="1"/>
  <c r="V16" i="6" s="1"/>
  <c r="H16" i="6"/>
  <c r="P16" i="6" s="1"/>
  <c r="J16" i="6"/>
  <c r="R16" i="6" s="1"/>
  <c r="Y16" i="6" s="1"/>
  <c r="L16" i="6"/>
  <c r="M16" i="6"/>
  <c r="E17" i="6"/>
  <c r="F17" i="6"/>
  <c r="N17" i="6" s="1"/>
  <c r="U17" i="6" s="1"/>
  <c r="G17" i="6"/>
  <c r="H17" i="6"/>
  <c r="P17" i="6" s="1"/>
  <c r="W17" i="6" s="1"/>
  <c r="J17" i="6"/>
  <c r="R17" i="6" s="1"/>
  <c r="Y17" i="6" s="1"/>
  <c r="L17" i="6"/>
  <c r="M17" i="6"/>
  <c r="E18" i="6"/>
  <c r="F18" i="6"/>
  <c r="N18" i="6" s="1"/>
  <c r="G18" i="6"/>
  <c r="H18" i="6"/>
  <c r="P18" i="6" s="1"/>
  <c r="J18" i="6"/>
  <c r="R18" i="6" s="1"/>
  <c r="Y18" i="6" s="1"/>
  <c r="L18" i="6"/>
  <c r="M18" i="6"/>
  <c r="E19" i="6"/>
  <c r="F19" i="6"/>
  <c r="N19" i="6" s="1"/>
  <c r="U19" i="6" s="1"/>
  <c r="G19" i="6"/>
  <c r="H19" i="6"/>
  <c r="P19" i="6" s="1"/>
  <c r="W19" i="6" s="1"/>
  <c r="J19" i="6"/>
  <c r="R19" i="6" s="1"/>
  <c r="Y19" i="6" s="1"/>
  <c r="L19" i="6"/>
  <c r="M19" i="6"/>
  <c r="E20" i="6"/>
  <c r="F20" i="6"/>
  <c r="N20" i="6" s="1"/>
  <c r="U20" i="6" s="1"/>
  <c r="G20" i="6"/>
  <c r="O20" i="6" s="1"/>
  <c r="H20" i="6"/>
  <c r="P20" i="6" s="1"/>
  <c r="J20" i="6"/>
  <c r="L20" i="6"/>
  <c r="M20" i="6"/>
  <c r="E21" i="6"/>
  <c r="F21" i="6"/>
  <c r="N21" i="6" s="1"/>
  <c r="U21" i="6" s="1"/>
  <c r="G21" i="6"/>
  <c r="H21" i="6"/>
  <c r="P21" i="6" s="1"/>
  <c r="W21" i="6" s="1"/>
  <c r="J21" i="6"/>
  <c r="R21" i="6" s="1"/>
  <c r="Y21" i="6" s="1"/>
  <c r="L21" i="6"/>
  <c r="M21" i="6"/>
  <c r="E22" i="6"/>
  <c r="F22" i="6"/>
  <c r="N22" i="6" s="1"/>
  <c r="U22" i="6" s="1"/>
  <c r="G22" i="6"/>
  <c r="O22" i="6" s="1"/>
  <c r="H22" i="6"/>
  <c r="P22" i="6" s="1"/>
  <c r="J22" i="6"/>
  <c r="R22" i="6" s="1"/>
  <c r="Y22" i="6" s="1"/>
  <c r="L22" i="6"/>
  <c r="M22" i="6"/>
  <c r="E23" i="6"/>
  <c r="F23" i="6"/>
  <c r="N23" i="6" s="1"/>
  <c r="U23" i="6" s="1"/>
  <c r="G23" i="6"/>
  <c r="H23" i="6"/>
  <c r="P23" i="6" s="1"/>
  <c r="W23" i="6" s="1"/>
  <c r="J23" i="6"/>
  <c r="R23" i="6" s="1"/>
  <c r="Y23" i="6" s="1"/>
  <c r="L23" i="6"/>
  <c r="M23" i="6"/>
  <c r="E24" i="6"/>
  <c r="F24" i="6"/>
  <c r="N24" i="6" s="1"/>
  <c r="U24" i="6" s="1"/>
  <c r="G24" i="6"/>
  <c r="O24" i="6" s="1"/>
  <c r="H24" i="6"/>
  <c r="P24" i="6" s="1"/>
  <c r="J24" i="6"/>
  <c r="L24" i="6"/>
  <c r="M24" i="6"/>
  <c r="E25" i="6"/>
  <c r="F25" i="6"/>
  <c r="N25" i="6" s="1"/>
  <c r="U25" i="6" s="1"/>
  <c r="G25" i="6"/>
  <c r="H25" i="6"/>
  <c r="P25" i="6" s="1"/>
  <c r="W25" i="6" s="1"/>
  <c r="J25" i="6"/>
  <c r="R25" i="6" s="1"/>
  <c r="Y25" i="6" s="1"/>
  <c r="L25" i="6"/>
  <c r="M25" i="6"/>
  <c r="E26" i="6"/>
  <c r="F26" i="6"/>
  <c r="N26" i="6" s="1"/>
  <c r="U26" i="6" s="1"/>
  <c r="G26" i="6"/>
  <c r="H26" i="6"/>
  <c r="P26" i="6" s="1"/>
  <c r="J26" i="6"/>
  <c r="R26" i="6" s="1"/>
  <c r="Y26" i="6" s="1"/>
  <c r="L26" i="6"/>
  <c r="M26" i="6"/>
  <c r="E27" i="6"/>
  <c r="F27" i="6"/>
  <c r="N27" i="6" s="1"/>
  <c r="U27" i="6" s="1"/>
  <c r="G27" i="6"/>
  <c r="H27" i="6"/>
  <c r="P27" i="6" s="1"/>
  <c r="W27" i="6" s="1"/>
  <c r="J27" i="6"/>
  <c r="R27" i="6" s="1"/>
  <c r="Y27" i="6" s="1"/>
  <c r="L27" i="6"/>
  <c r="M27" i="6"/>
  <c r="E28" i="6"/>
  <c r="F28" i="6"/>
  <c r="N28" i="6" s="1"/>
  <c r="G28" i="6"/>
  <c r="O28" i="6" s="1"/>
  <c r="V28" i="6" s="1"/>
  <c r="H28" i="6"/>
  <c r="P28" i="6" s="1"/>
  <c r="J28" i="6"/>
  <c r="R28" i="6" s="1"/>
  <c r="Y28" i="6" s="1"/>
  <c r="L28" i="6"/>
  <c r="M28" i="6"/>
  <c r="E29" i="6"/>
  <c r="F29" i="6"/>
  <c r="N29" i="6" s="1"/>
  <c r="U29" i="6" s="1"/>
  <c r="G29" i="6"/>
  <c r="H29" i="6"/>
  <c r="P29" i="6" s="1"/>
  <c r="W29" i="6" s="1"/>
  <c r="J29" i="6"/>
  <c r="R29" i="6" s="1"/>
  <c r="Y29" i="6" s="1"/>
  <c r="L29" i="6"/>
  <c r="M29" i="6"/>
  <c r="E30" i="6"/>
  <c r="F30" i="6"/>
  <c r="N30" i="6" s="1"/>
  <c r="G30" i="6"/>
  <c r="O30" i="6" s="1"/>
  <c r="V30" i="6" s="1"/>
  <c r="H30" i="6"/>
  <c r="P30" i="6" s="1"/>
  <c r="J30" i="6"/>
  <c r="R30" i="6" s="1"/>
  <c r="Y30" i="6" s="1"/>
  <c r="L30" i="6"/>
  <c r="M30" i="6"/>
  <c r="E31" i="6"/>
  <c r="F31" i="6"/>
  <c r="N31" i="6" s="1"/>
  <c r="U31" i="6" s="1"/>
  <c r="G31" i="6"/>
  <c r="H31" i="6"/>
  <c r="P31" i="6" s="1"/>
  <c r="W31" i="6" s="1"/>
  <c r="J31" i="6"/>
  <c r="R31" i="6" s="1"/>
  <c r="Y31" i="6" s="1"/>
  <c r="L31" i="6"/>
  <c r="M31" i="6"/>
  <c r="E32" i="6"/>
  <c r="F32" i="6"/>
  <c r="N32" i="6" s="1"/>
  <c r="G32" i="6"/>
  <c r="O32" i="6" s="1"/>
  <c r="V32" i="6" s="1"/>
  <c r="H32" i="6"/>
  <c r="P32" i="6" s="1"/>
  <c r="J32" i="6"/>
  <c r="R32" i="6" s="1"/>
  <c r="Y32" i="6" s="1"/>
  <c r="L32" i="6"/>
  <c r="M32" i="6"/>
  <c r="E33" i="6"/>
  <c r="F33" i="6"/>
  <c r="N33" i="6" s="1"/>
  <c r="U33" i="6" s="1"/>
  <c r="G33" i="6"/>
  <c r="H33" i="6"/>
  <c r="P33" i="6" s="1"/>
  <c r="W33" i="6" s="1"/>
  <c r="J33" i="6"/>
  <c r="R33" i="6" s="1"/>
  <c r="Y33" i="6" s="1"/>
  <c r="L33" i="6"/>
  <c r="M33" i="6"/>
  <c r="E34" i="6"/>
  <c r="F34" i="6"/>
  <c r="N34" i="6" s="1"/>
  <c r="G34" i="6"/>
  <c r="O34" i="6" s="1"/>
  <c r="V34" i="6" s="1"/>
  <c r="H34" i="6"/>
  <c r="P34" i="6" s="1"/>
  <c r="J34" i="6"/>
  <c r="R34" i="6" s="1"/>
  <c r="Y34" i="6" s="1"/>
  <c r="L34" i="6"/>
  <c r="M34" i="6"/>
  <c r="E35" i="6"/>
  <c r="F35" i="6"/>
  <c r="N35" i="6" s="1"/>
  <c r="U35" i="6" s="1"/>
  <c r="G35" i="6"/>
  <c r="H35" i="6"/>
  <c r="P35" i="6" s="1"/>
  <c r="W35" i="6" s="1"/>
  <c r="J35" i="6"/>
  <c r="R35" i="6" s="1"/>
  <c r="Y35" i="6" s="1"/>
  <c r="L35" i="6"/>
  <c r="M35" i="6"/>
  <c r="U39" i="6"/>
  <c r="V39" i="6"/>
  <c r="W39" i="6"/>
  <c r="Y39" i="6"/>
  <c r="U40" i="6"/>
  <c r="E5" i="5"/>
  <c r="F5" i="5"/>
  <c r="N5" i="5" s="1"/>
  <c r="U5" i="5" s="1"/>
  <c r="G5" i="5"/>
  <c r="O5" i="5" s="1"/>
  <c r="P5" i="5"/>
  <c r="W5" i="5" s="1"/>
  <c r="R5" i="5"/>
  <c r="Y5" i="5" s="1"/>
  <c r="L5" i="5"/>
  <c r="E6" i="5"/>
  <c r="F6" i="5"/>
  <c r="N6" i="5" s="1"/>
  <c r="G6" i="5"/>
  <c r="O6" i="5" s="1"/>
  <c r="V6" i="5" s="1"/>
  <c r="H6" i="5"/>
  <c r="P6" i="5" s="1"/>
  <c r="J6" i="5"/>
  <c r="L6" i="5"/>
  <c r="M6" i="5"/>
  <c r="E7" i="5"/>
  <c r="F7" i="5"/>
  <c r="N7" i="5" s="1"/>
  <c r="U7" i="5" s="1"/>
  <c r="G7" i="5"/>
  <c r="H7" i="5"/>
  <c r="P7" i="5" s="1"/>
  <c r="W7" i="5" s="1"/>
  <c r="J7" i="5"/>
  <c r="R7" i="5" s="1"/>
  <c r="Y7" i="5" s="1"/>
  <c r="L7" i="5"/>
  <c r="M7" i="5"/>
  <c r="E8" i="5"/>
  <c r="F8" i="5"/>
  <c r="N8" i="5" s="1"/>
  <c r="G8" i="5"/>
  <c r="O8" i="5" s="1"/>
  <c r="V8" i="5" s="1"/>
  <c r="H8" i="5"/>
  <c r="P8" i="5" s="1"/>
  <c r="J8" i="5"/>
  <c r="R8" i="5" s="1"/>
  <c r="Y8" i="5" s="1"/>
  <c r="L8" i="5"/>
  <c r="M8" i="5"/>
  <c r="E9" i="5"/>
  <c r="F9" i="5"/>
  <c r="N9" i="5" s="1"/>
  <c r="U9" i="5" s="1"/>
  <c r="G9" i="5"/>
  <c r="H9" i="5"/>
  <c r="P9" i="5" s="1"/>
  <c r="W9" i="5" s="1"/>
  <c r="J9" i="5"/>
  <c r="R9" i="5" s="1"/>
  <c r="Y9" i="5" s="1"/>
  <c r="L9" i="5"/>
  <c r="M9" i="5"/>
  <c r="E10" i="5"/>
  <c r="F10" i="5"/>
  <c r="N10" i="5" s="1"/>
  <c r="G10" i="5"/>
  <c r="O10" i="5" s="1"/>
  <c r="V10" i="5" s="1"/>
  <c r="P10" i="5"/>
  <c r="R10" i="5"/>
  <c r="Y10" i="5" s="1"/>
  <c r="L10" i="5"/>
  <c r="E11" i="5"/>
  <c r="F11" i="5"/>
  <c r="N11" i="5" s="1"/>
  <c r="U11" i="5" s="1"/>
  <c r="G11" i="5"/>
  <c r="H11" i="5"/>
  <c r="P11" i="5" s="1"/>
  <c r="W11" i="5" s="1"/>
  <c r="J11" i="5"/>
  <c r="R11" i="5" s="1"/>
  <c r="Y11" i="5" s="1"/>
  <c r="L11" i="5"/>
  <c r="M11" i="5"/>
  <c r="E12" i="5"/>
  <c r="F12" i="5"/>
  <c r="N12" i="5" s="1"/>
  <c r="G12" i="5"/>
  <c r="H12" i="5"/>
  <c r="P12" i="5" s="1"/>
  <c r="J12" i="5"/>
  <c r="R12" i="5" s="1"/>
  <c r="Y12" i="5" s="1"/>
  <c r="L12" i="5"/>
  <c r="M12" i="5"/>
  <c r="E13" i="5"/>
  <c r="F13" i="5"/>
  <c r="N13" i="5" s="1"/>
  <c r="U13" i="5" s="1"/>
  <c r="G13" i="5"/>
  <c r="H13" i="5"/>
  <c r="P13" i="5" s="1"/>
  <c r="W13" i="5" s="1"/>
  <c r="J13" i="5"/>
  <c r="R13" i="5" s="1"/>
  <c r="Y13" i="5" s="1"/>
  <c r="L13" i="5"/>
  <c r="M13" i="5"/>
  <c r="E14" i="5"/>
  <c r="F14" i="5"/>
  <c r="N14" i="5" s="1"/>
  <c r="G14" i="5"/>
  <c r="O14" i="5" s="1"/>
  <c r="V14" i="5" s="1"/>
  <c r="H14" i="5"/>
  <c r="P14" i="5" s="1"/>
  <c r="J14" i="5"/>
  <c r="R14" i="5" s="1"/>
  <c r="Y14" i="5" s="1"/>
  <c r="L14" i="5"/>
  <c r="M14" i="5"/>
  <c r="E15" i="5"/>
  <c r="F15" i="5"/>
  <c r="N15" i="5" s="1"/>
  <c r="U15" i="5" s="1"/>
  <c r="G15" i="5"/>
  <c r="H15" i="5"/>
  <c r="P15" i="5" s="1"/>
  <c r="W15" i="5" s="1"/>
  <c r="J15" i="5"/>
  <c r="R15" i="5" s="1"/>
  <c r="Y15" i="5" s="1"/>
  <c r="L15" i="5"/>
  <c r="M15" i="5"/>
  <c r="E16" i="5"/>
  <c r="F16" i="5"/>
  <c r="N16" i="5" s="1"/>
  <c r="G16" i="5"/>
  <c r="O16" i="5" s="1"/>
  <c r="V16" i="5" s="1"/>
  <c r="H16" i="5"/>
  <c r="P16" i="5" s="1"/>
  <c r="J16" i="5"/>
  <c r="R16" i="5" s="1"/>
  <c r="Y16" i="5" s="1"/>
  <c r="L16" i="5"/>
  <c r="M16" i="5"/>
  <c r="E17" i="5"/>
  <c r="F17" i="5"/>
  <c r="N17" i="5" s="1"/>
  <c r="U17" i="5" s="1"/>
  <c r="G17" i="5"/>
  <c r="H17" i="5"/>
  <c r="P17" i="5" s="1"/>
  <c r="W17" i="5" s="1"/>
  <c r="J17" i="5"/>
  <c r="R17" i="5" s="1"/>
  <c r="Y17" i="5" s="1"/>
  <c r="L17" i="5"/>
  <c r="M17" i="5"/>
  <c r="E18" i="5"/>
  <c r="F18" i="5"/>
  <c r="N18" i="5" s="1"/>
  <c r="G18" i="5"/>
  <c r="O18" i="5" s="1"/>
  <c r="V18" i="5" s="1"/>
  <c r="H18" i="5"/>
  <c r="P18" i="5" s="1"/>
  <c r="J18" i="5"/>
  <c r="R18" i="5" s="1"/>
  <c r="Y18" i="5" s="1"/>
  <c r="L18" i="5"/>
  <c r="M18" i="5"/>
  <c r="E19" i="5"/>
  <c r="F19" i="5"/>
  <c r="N19" i="5" s="1"/>
  <c r="U19" i="5" s="1"/>
  <c r="G19" i="5"/>
  <c r="H19" i="5"/>
  <c r="P19" i="5" s="1"/>
  <c r="W19" i="5" s="1"/>
  <c r="J19" i="5"/>
  <c r="R19" i="5" s="1"/>
  <c r="Y19" i="5" s="1"/>
  <c r="L19" i="5"/>
  <c r="M19" i="5"/>
  <c r="E20" i="5"/>
  <c r="F20" i="5"/>
  <c r="N20" i="5" s="1"/>
  <c r="G20" i="5"/>
  <c r="O20" i="5" s="1"/>
  <c r="V20" i="5" s="1"/>
  <c r="H20" i="5"/>
  <c r="P20" i="5" s="1"/>
  <c r="J20" i="5"/>
  <c r="R20" i="5" s="1"/>
  <c r="Y20" i="5" s="1"/>
  <c r="L20" i="5"/>
  <c r="M20" i="5"/>
  <c r="E21" i="5"/>
  <c r="F21" i="5"/>
  <c r="N21" i="5" s="1"/>
  <c r="U21" i="5" s="1"/>
  <c r="G21" i="5"/>
  <c r="H21" i="5"/>
  <c r="P21" i="5" s="1"/>
  <c r="W21" i="5" s="1"/>
  <c r="J21" i="5"/>
  <c r="R21" i="5" s="1"/>
  <c r="Y21" i="5" s="1"/>
  <c r="L21" i="5"/>
  <c r="M21" i="5"/>
  <c r="E22" i="5"/>
  <c r="F22" i="5"/>
  <c r="N22" i="5" s="1"/>
  <c r="G22" i="5"/>
  <c r="O22" i="5" s="1"/>
  <c r="V22" i="5" s="1"/>
  <c r="H22" i="5"/>
  <c r="P22" i="5" s="1"/>
  <c r="J22" i="5"/>
  <c r="L22" i="5"/>
  <c r="M22" i="5"/>
  <c r="E23" i="5"/>
  <c r="F23" i="5"/>
  <c r="N23" i="5" s="1"/>
  <c r="U23" i="5" s="1"/>
  <c r="G23" i="5"/>
  <c r="H23" i="5"/>
  <c r="P23" i="5" s="1"/>
  <c r="W23" i="5" s="1"/>
  <c r="J23" i="5"/>
  <c r="R23" i="5" s="1"/>
  <c r="Y23" i="5" s="1"/>
  <c r="L23" i="5"/>
  <c r="M23" i="5"/>
  <c r="E24" i="5"/>
  <c r="F24" i="5"/>
  <c r="N24" i="5" s="1"/>
  <c r="G24" i="5"/>
  <c r="O24" i="5" s="1"/>
  <c r="V24" i="5" s="1"/>
  <c r="H24" i="5"/>
  <c r="P24" i="5" s="1"/>
  <c r="J24" i="5"/>
  <c r="R24" i="5" s="1"/>
  <c r="Y24" i="5" s="1"/>
  <c r="L24" i="5"/>
  <c r="M24" i="5"/>
  <c r="E25" i="5"/>
  <c r="F25" i="5"/>
  <c r="N25" i="5" s="1"/>
  <c r="U25" i="5" s="1"/>
  <c r="G25" i="5"/>
  <c r="H25" i="5"/>
  <c r="P25" i="5" s="1"/>
  <c r="W25" i="5" s="1"/>
  <c r="J25" i="5"/>
  <c r="R25" i="5" s="1"/>
  <c r="Y25" i="5" s="1"/>
  <c r="L25" i="5"/>
  <c r="M25" i="5"/>
  <c r="E26" i="5"/>
  <c r="F26" i="5"/>
  <c r="N26" i="5" s="1"/>
  <c r="G26" i="5"/>
  <c r="O26" i="5" s="1"/>
  <c r="V26" i="5" s="1"/>
  <c r="H26" i="5"/>
  <c r="P26" i="5" s="1"/>
  <c r="J26" i="5"/>
  <c r="R26" i="5" s="1"/>
  <c r="Y26" i="5" s="1"/>
  <c r="L26" i="5"/>
  <c r="M26" i="5"/>
  <c r="E27" i="5"/>
  <c r="F27" i="5"/>
  <c r="N27" i="5" s="1"/>
  <c r="U27" i="5" s="1"/>
  <c r="G27" i="5"/>
  <c r="H27" i="5"/>
  <c r="P27" i="5" s="1"/>
  <c r="W27" i="5" s="1"/>
  <c r="J27" i="5"/>
  <c r="R27" i="5" s="1"/>
  <c r="Y27" i="5" s="1"/>
  <c r="L27" i="5"/>
  <c r="M27" i="5"/>
  <c r="E28" i="5"/>
  <c r="F28" i="5"/>
  <c r="N28" i="5" s="1"/>
  <c r="G28" i="5"/>
  <c r="O28" i="5" s="1"/>
  <c r="V28" i="5" s="1"/>
  <c r="H28" i="5"/>
  <c r="P28" i="5" s="1"/>
  <c r="J28" i="5"/>
  <c r="R28" i="5" s="1"/>
  <c r="Y28" i="5" s="1"/>
  <c r="L28" i="5"/>
  <c r="M28" i="5"/>
  <c r="E29" i="5"/>
  <c r="F29" i="5"/>
  <c r="N29" i="5" s="1"/>
  <c r="U29" i="5" s="1"/>
  <c r="G29" i="5"/>
  <c r="H29" i="5"/>
  <c r="P29" i="5" s="1"/>
  <c r="W29" i="5" s="1"/>
  <c r="J29" i="5"/>
  <c r="R29" i="5" s="1"/>
  <c r="Y29" i="5" s="1"/>
  <c r="L29" i="5"/>
  <c r="M29" i="5"/>
  <c r="E30" i="5"/>
  <c r="F30" i="5"/>
  <c r="N30" i="5" s="1"/>
  <c r="G30" i="5"/>
  <c r="O30" i="5" s="1"/>
  <c r="V30" i="5" s="1"/>
  <c r="H30" i="5"/>
  <c r="P30" i="5" s="1"/>
  <c r="J30" i="5"/>
  <c r="R30" i="5" s="1"/>
  <c r="Y30" i="5" s="1"/>
  <c r="L30" i="5"/>
  <c r="M30" i="5"/>
  <c r="E31" i="5"/>
  <c r="F31" i="5"/>
  <c r="N31" i="5" s="1"/>
  <c r="U31" i="5" s="1"/>
  <c r="G31" i="5"/>
  <c r="H31" i="5"/>
  <c r="P31" i="5" s="1"/>
  <c r="W31" i="5" s="1"/>
  <c r="J31" i="5"/>
  <c r="R31" i="5" s="1"/>
  <c r="Y31" i="5" s="1"/>
  <c r="L31" i="5"/>
  <c r="M31" i="5"/>
  <c r="E32" i="5"/>
  <c r="F32" i="5"/>
  <c r="N32" i="5" s="1"/>
  <c r="G32" i="5"/>
  <c r="O32" i="5" s="1"/>
  <c r="V32" i="5" s="1"/>
  <c r="H32" i="5"/>
  <c r="P32" i="5" s="1"/>
  <c r="J32" i="5"/>
  <c r="R32" i="5" s="1"/>
  <c r="Y32" i="5" s="1"/>
  <c r="L32" i="5"/>
  <c r="M32" i="5"/>
  <c r="E33" i="5"/>
  <c r="F33" i="5"/>
  <c r="N33" i="5" s="1"/>
  <c r="U33" i="5" s="1"/>
  <c r="G33" i="5"/>
  <c r="H33" i="5"/>
  <c r="P33" i="5" s="1"/>
  <c r="W33" i="5" s="1"/>
  <c r="J33" i="5"/>
  <c r="R33" i="5" s="1"/>
  <c r="Y33" i="5" s="1"/>
  <c r="L33" i="5"/>
  <c r="M33" i="5"/>
  <c r="E34" i="5"/>
  <c r="F34" i="5"/>
  <c r="N34" i="5" s="1"/>
  <c r="G34" i="5"/>
  <c r="O34" i="5" s="1"/>
  <c r="V34" i="5" s="1"/>
  <c r="H34" i="5"/>
  <c r="P34" i="5" s="1"/>
  <c r="W34" i="5" s="1"/>
  <c r="J34" i="5"/>
  <c r="R34" i="5" s="1"/>
  <c r="Y34" i="5" s="1"/>
  <c r="L34" i="5"/>
  <c r="M34" i="5"/>
  <c r="E35" i="5"/>
  <c r="F35" i="5"/>
  <c r="N35" i="5" s="1"/>
  <c r="U35" i="5" s="1"/>
  <c r="G35" i="5"/>
  <c r="H35" i="5"/>
  <c r="P35" i="5" s="1"/>
  <c r="W35" i="5" s="1"/>
  <c r="J35" i="5"/>
  <c r="R35" i="5" s="1"/>
  <c r="Y35" i="5" s="1"/>
  <c r="L35" i="5"/>
  <c r="M35" i="5"/>
  <c r="U39" i="5"/>
  <c r="V39" i="5"/>
  <c r="W39" i="5"/>
  <c r="Y39" i="5"/>
  <c r="U40" i="5"/>
  <c r="E5" i="4"/>
  <c r="F5" i="4"/>
  <c r="N5" i="4" s="1"/>
  <c r="U5" i="4" s="1"/>
  <c r="G5" i="4"/>
  <c r="O5" i="4" s="1"/>
  <c r="P5" i="4"/>
  <c r="W5" i="4" s="1"/>
  <c r="R5" i="4"/>
  <c r="Y5" i="4" s="1"/>
  <c r="L5" i="4"/>
  <c r="E6" i="4"/>
  <c r="F6" i="4"/>
  <c r="N6" i="4" s="1"/>
  <c r="U6" i="4" s="1"/>
  <c r="G6" i="4"/>
  <c r="H6" i="4"/>
  <c r="P6" i="4" s="1"/>
  <c r="W6" i="4" s="1"/>
  <c r="J6" i="4"/>
  <c r="R6" i="4" s="1"/>
  <c r="Y6" i="4" s="1"/>
  <c r="L6" i="4"/>
  <c r="M6" i="4"/>
  <c r="E7" i="4"/>
  <c r="F7" i="4"/>
  <c r="N7" i="4" s="1"/>
  <c r="U7" i="4" s="1"/>
  <c r="G7" i="4"/>
  <c r="H7" i="4"/>
  <c r="P7" i="4" s="1"/>
  <c r="W7" i="4" s="1"/>
  <c r="J7" i="4"/>
  <c r="R7" i="4" s="1"/>
  <c r="Y7" i="4" s="1"/>
  <c r="L7" i="4"/>
  <c r="M7" i="4"/>
  <c r="E8" i="4"/>
  <c r="F8" i="4"/>
  <c r="N8" i="4" s="1"/>
  <c r="U8" i="4" s="1"/>
  <c r="G8" i="4"/>
  <c r="O8" i="4" s="1"/>
  <c r="V8" i="4" s="1"/>
  <c r="H8" i="4"/>
  <c r="P8" i="4" s="1"/>
  <c r="W8" i="4" s="1"/>
  <c r="J8" i="4"/>
  <c r="R8" i="4" s="1"/>
  <c r="L8" i="4"/>
  <c r="M8" i="4"/>
  <c r="E9" i="4"/>
  <c r="F9" i="4"/>
  <c r="N9" i="4" s="1"/>
  <c r="U9" i="4" s="1"/>
  <c r="G9" i="4"/>
  <c r="H9" i="4"/>
  <c r="P9" i="4" s="1"/>
  <c r="W9" i="4" s="1"/>
  <c r="J9" i="4"/>
  <c r="R9" i="4" s="1"/>
  <c r="Y9" i="4" s="1"/>
  <c r="L9" i="4"/>
  <c r="M9" i="4"/>
  <c r="E10" i="4"/>
  <c r="F10" i="4"/>
  <c r="N10" i="4" s="1"/>
  <c r="U10" i="4" s="1"/>
  <c r="G10" i="4"/>
  <c r="O10" i="4" s="1"/>
  <c r="V10" i="4" s="1"/>
  <c r="P10" i="4"/>
  <c r="W10" i="4" s="1"/>
  <c r="R10" i="4"/>
  <c r="L10" i="4"/>
  <c r="E11" i="4"/>
  <c r="F11" i="4"/>
  <c r="N11" i="4" s="1"/>
  <c r="U11" i="4" s="1"/>
  <c r="G11" i="4"/>
  <c r="H11" i="4"/>
  <c r="P11" i="4" s="1"/>
  <c r="W11" i="4" s="1"/>
  <c r="J11" i="4"/>
  <c r="R11" i="4" s="1"/>
  <c r="Y11" i="4" s="1"/>
  <c r="L11" i="4"/>
  <c r="M11" i="4"/>
  <c r="E12" i="4"/>
  <c r="F12" i="4"/>
  <c r="N12" i="4" s="1"/>
  <c r="U12" i="4" s="1"/>
  <c r="G12" i="4"/>
  <c r="O12" i="4" s="1"/>
  <c r="V12" i="4" s="1"/>
  <c r="H12" i="4"/>
  <c r="P12" i="4" s="1"/>
  <c r="W12" i="4" s="1"/>
  <c r="J12" i="4"/>
  <c r="R12" i="4" s="1"/>
  <c r="L12" i="4"/>
  <c r="M12" i="4"/>
  <c r="E13" i="4"/>
  <c r="F13" i="4"/>
  <c r="N13" i="4" s="1"/>
  <c r="U13" i="4" s="1"/>
  <c r="G13" i="4"/>
  <c r="O13" i="4" s="1"/>
  <c r="H13" i="4"/>
  <c r="P13" i="4" s="1"/>
  <c r="J13" i="4"/>
  <c r="R13" i="4" s="1"/>
  <c r="Y13" i="4" s="1"/>
  <c r="L13" i="4"/>
  <c r="M13" i="4"/>
  <c r="E14" i="4"/>
  <c r="F14" i="4"/>
  <c r="N14" i="4" s="1"/>
  <c r="G14" i="4"/>
  <c r="O14" i="4" s="1"/>
  <c r="V14" i="4" s="1"/>
  <c r="H14" i="4"/>
  <c r="P14" i="4" s="1"/>
  <c r="J14" i="4"/>
  <c r="R14" i="4" s="1"/>
  <c r="Y14" i="4" s="1"/>
  <c r="L14" i="4"/>
  <c r="M14" i="4"/>
  <c r="E15" i="4"/>
  <c r="F15" i="4"/>
  <c r="N15" i="4" s="1"/>
  <c r="U15" i="4" s="1"/>
  <c r="G15" i="4"/>
  <c r="H15" i="4"/>
  <c r="P15" i="4" s="1"/>
  <c r="W15" i="4" s="1"/>
  <c r="J15" i="4"/>
  <c r="R15" i="4" s="1"/>
  <c r="L15" i="4"/>
  <c r="M15" i="4"/>
  <c r="E16" i="4"/>
  <c r="F16" i="4"/>
  <c r="N16" i="4" s="1"/>
  <c r="G16" i="4"/>
  <c r="O16" i="4" s="1"/>
  <c r="V16" i="4" s="1"/>
  <c r="H16" i="4"/>
  <c r="P16" i="4" s="1"/>
  <c r="J16" i="4"/>
  <c r="R16" i="4" s="1"/>
  <c r="Y16" i="4" s="1"/>
  <c r="L16" i="4"/>
  <c r="M16" i="4"/>
  <c r="E17" i="4"/>
  <c r="F17" i="4"/>
  <c r="N17" i="4" s="1"/>
  <c r="U17" i="4" s="1"/>
  <c r="G17" i="4"/>
  <c r="H17" i="4"/>
  <c r="P17" i="4" s="1"/>
  <c r="W17" i="4" s="1"/>
  <c r="J17" i="4"/>
  <c r="R17" i="4" s="1"/>
  <c r="Y17" i="4" s="1"/>
  <c r="L17" i="4"/>
  <c r="M17" i="4"/>
  <c r="E18" i="4"/>
  <c r="F18" i="4"/>
  <c r="N18" i="4" s="1"/>
  <c r="G18" i="4"/>
  <c r="H18" i="4"/>
  <c r="P18" i="4" s="1"/>
  <c r="J18" i="4"/>
  <c r="R18" i="4" s="1"/>
  <c r="Y18" i="4" s="1"/>
  <c r="L18" i="4"/>
  <c r="M18" i="4"/>
  <c r="E19" i="4"/>
  <c r="F19" i="4"/>
  <c r="N19" i="4" s="1"/>
  <c r="U19" i="4" s="1"/>
  <c r="G19" i="4"/>
  <c r="H19" i="4"/>
  <c r="P19" i="4" s="1"/>
  <c r="W19" i="4" s="1"/>
  <c r="J19" i="4"/>
  <c r="R19" i="4" s="1"/>
  <c r="Y19" i="4" s="1"/>
  <c r="L19" i="4"/>
  <c r="M19" i="4"/>
  <c r="E20" i="4"/>
  <c r="F20" i="4"/>
  <c r="N20" i="4" s="1"/>
  <c r="G20" i="4"/>
  <c r="H20" i="4"/>
  <c r="P20" i="4" s="1"/>
  <c r="J20" i="4"/>
  <c r="R20" i="4" s="1"/>
  <c r="Y20" i="4" s="1"/>
  <c r="L20" i="4"/>
  <c r="M20" i="4"/>
  <c r="E21" i="4"/>
  <c r="F21" i="4"/>
  <c r="N21" i="4" s="1"/>
  <c r="U21" i="4" s="1"/>
  <c r="G21" i="4"/>
  <c r="H21" i="4"/>
  <c r="P21" i="4" s="1"/>
  <c r="W21" i="4" s="1"/>
  <c r="J21" i="4"/>
  <c r="R21" i="4" s="1"/>
  <c r="Y21" i="4" s="1"/>
  <c r="L21" i="4"/>
  <c r="M21" i="4"/>
  <c r="E22" i="4"/>
  <c r="F22" i="4"/>
  <c r="N22" i="4" s="1"/>
  <c r="G22" i="4"/>
  <c r="O22" i="4" s="1"/>
  <c r="V22" i="4" s="1"/>
  <c r="H22" i="4"/>
  <c r="P22" i="4" s="1"/>
  <c r="J22" i="4"/>
  <c r="R22" i="4" s="1"/>
  <c r="Y22" i="4" s="1"/>
  <c r="L22" i="4"/>
  <c r="M22" i="4"/>
  <c r="E23" i="4"/>
  <c r="F23" i="4"/>
  <c r="N23" i="4" s="1"/>
  <c r="U23" i="4" s="1"/>
  <c r="G23" i="4"/>
  <c r="H23" i="4"/>
  <c r="P23" i="4" s="1"/>
  <c r="W23" i="4" s="1"/>
  <c r="J23" i="4"/>
  <c r="R23" i="4" s="1"/>
  <c r="Y23" i="4" s="1"/>
  <c r="L23" i="4"/>
  <c r="M23" i="4"/>
  <c r="E24" i="4"/>
  <c r="F24" i="4"/>
  <c r="N24" i="4" s="1"/>
  <c r="G24" i="4"/>
  <c r="O24" i="4" s="1"/>
  <c r="V24" i="4" s="1"/>
  <c r="H24" i="4"/>
  <c r="P24" i="4" s="1"/>
  <c r="J24" i="4"/>
  <c r="R24" i="4" s="1"/>
  <c r="Y24" i="4" s="1"/>
  <c r="L24" i="4"/>
  <c r="M24" i="4"/>
  <c r="E25" i="4"/>
  <c r="F25" i="4"/>
  <c r="N25" i="4" s="1"/>
  <c r="U25" i="4" s="1"/>
  <c r="G25" i="4"/>
  <c r="H25" i="4"/>
  <c r="P25" i="4" s="1"/>
  <c r="W25" i="4" s="1"/>
  <c r="J25" i="4"/>
  <c r="R25" i="4" s="1"/>
  <c r="Y25" i="4" s="1"/>
  <c r="L25" i="4"/>
  <c r="M25" i="4"/>
  <c r="E26" i="4"/>
  <c r="F26" i="4"/>
  <c r="N26" i="4" s="1"/>
  <c r="G26" i="4"/>
  <c r="H26" i="4"/>
  <c r="P26" i="4" s="1"/>
  <c r="J26" i="4"/>
  <c r="R26" i="4" s="1"/>
  <c r="Y26" i="4" s="1"/>
  <c r="L26" i="4"/>
  <c r="M26" i="4"/>
  <c r="E27" i="4"/>
  <c r="F27" i="4"/>
  <c r="N27" i="4" s="1"/>
  <c r="U27" i="4" s="1"/>
  <c r="G27" i="4"/>
  <c r="H27" i="4"/>
  <c r="P27" i="4" s="1"/>
  <c r="W27" i="4" s="1"/>
  <c r="J27" i="4"/>
  <c r="R27" i="4" s="1"/>
  <c r="Y27" i="4" s="1"/>
  <c r="L27" i="4"/>
  <c r="M27" i="4"/>
  <c r="E28" i="4"/>
  <c r="F28" i="4"/>
  <c r="N28" i="4" s="1"/>
  <c r="G28" i="4"/>
  <c r="H28" i="4"/>
  <c r="P28" i="4" s="1"/>
  <c r="J28" i="4"/>
  <c r="R28" i="4" s="1"/>
  <c r="Y28" i="4" s="1"/>
  <c r="L28" i="4"/>
  <c r="M28" i="4"/>
  <c r="E29" i="4"/>
  <c r="F29" i="4"/>
  <c r="N29" i="4" s="1"/>
  <c r="U29" i="4" s="1"/>
  <c r="G29" i="4"/>
  <c r="H29" i="4"/>
  <c r="P29" i="4" s="1"/>
  <c r="W29" i="4" s="1"/>
  <c r="J29" i="4"/>
  <c r="R29" i="4" s="1"/>
  <c r="Y29" i="4" s="1"/>
  <c r="L29" i="4"/>
  <c r="M29" i="4"/>
  <c r="E30" i="4"/>
  <c r="F30" i="4"/>
  <c r="N30" i="4" s="1"/>
  <c r="G30" i="4"/>
  <c r="O30" i="4" s="1"/>
  <c r="V30" i="4" s="1"/>
  <c r="H30" i="4"/>
  <c r="P30" i="4" s="1"/>
  <c r="J30" i="4"/>
  <c r="R30" i="4" s="1"/>
  <c r="Y30" i="4" s="1"/>
  <c r="L30" i="4"/>
  <c r="M30" i="4"/>
  <c r="E31" i="4"/>
  <c r="F31" i="4"/>
  <c r="N31" i="4" s="1"/>
  <c r="U31" i="4" s="1"/>
  <c r="G31" i="4"/>
  <c r="H31" i="4"/>
  <c r="P31" i="4" s="1"/>
  <c r="W31" i="4" s="1"/>
  <c r="J31" i="4"/>
  <c r="R31" i="4" s="1"/>
  <c r="Y31" i="4" s="1"/>
  <c r="L31" i="4"/>
  <c r="M31" i="4"/>
  <c r="E32" i="4"/>
  <c r="F32" i="4"/>
  <c r="N32" i="4" s="1"/>
  <c r="G32" i="4"/>
  <c r="O32" i="4" s="1"/>
  <c r="V32" i="4" s="1"/>
  <c r="H32" i="4"/>
  <c r="P32" i="4" s="1"/>
  <c r="J32" i="4"/>
  <c r="R32" i="4" s="1"/>
  <c r="Y32" i="4" s="1"/>
  <c r="L32" i="4"/>
  <c r="M32" i="4"/>
  <c r="E33" i="4"/>
  <c r="F33" i="4"/>
  <c r="N33" i="4" s="1"/>
  <c r="U33" i="4" s="1"/>
  <c r="G33" i="4"/>
  <c r="H33" i="4"/>
  <c r="P33" i="4" s="1"/>
  <c r="W33" i="4" s="1"/>
  <c r="J33" i="4"/>
  <c r="R33" i="4" s="1"/>
  <c r="Y33" i="4" s="1"/>
  <c r="L33" i="4"/>
  <c r="M33" i="4"/>
  <c r="E34" i="4"/>
  <c r="F34" i="4"/>
  <c r="N34" i="4" s="1"/>
  <c r="G34" i="4"/>
  <c r="H34" i="4"/>
  <c r="P34" i="4" s="1"/>
  <c r="J34" i="4"/>
  <c r="R34" i="4" s="1"/>
  <c r="Y34" i="4" s="1"/>
  <c r="L34" i="4"/>
  <c r="M34" i="4"/>
  <c r="E35" i="4"/>
  <c r="F35" i="4"/>
  <c r="N35" i="4" s="1"/>
  <c r="U35" i="4" s="1"/>
  <c r="G35" i="4"/>
  <c r="H35" i="4"/>
  <c r="P35" i="4" s="1"/>
  <c r="W35" i="4" s="1"/>
  <c r="J35" i="4"/>
  <c r="R35" i="4" s="1"/>
  <c r="Y35" i="4" s="1"/>
  <c r="L35" i="4"/>
  <c r="M35" i="4"/>
  <c r="U39" i="4"/>
  <c r="V39" i="4"/>
  <c r="W39" i="4"/>
  <c r="Y39" i="4"/>
  <c r="U40" i="4"/>
  <c r="E5" i="3"/>
  <c r="F5" i="3"/>
  <c r="N5" i="3" s="1"/>
  <c r="U5" i="3" s="1"/>
  <c r="G5" i="3"/>
  <c r="O5" i="3" s="1"/>
  <c r="P5" i="3"/>
  <c r="W5" i="3" s="1"/>
  <c r="R5" i="3"/>
  <c r="L5" i="3"/>
  <c r="E6" i="3"/>
  <c r="F6" i="3"/>
  <c r="N6" i="3" s="1"/>
  <c r="G6" i="3"/>
  <c r="H6" i="3"/>
  <c r="P6" i="3" s="1"/>
  <c r="J6" i="3"/>
  <c r="R6" i="3" s="1"/>
  <c r="Y6" i="3" s="1"/>
  <c r="L6" i="3"/>
  <c r="M6" i="3"/>
  <c r="E7" i="3"/>
  <c r="F7" i="3"/>
  <c r="N7" i="3" s="1"/>
  <c r="U7" i="3" s="1"/>
  <c r="G7" i="3"/>
  <c r="H7" i="3"/>
  <c r="P7" i="3" s="1"/>
  <c r="W7" i="3" s="1"/>
  <c r="J7" i="3"/>
  <c r="R7" i="3" s="1"/>
  <c r="Y7" i="3" s="1"/>
  <c r="L7" i="3"/>
  <c r="M7" i="3"/>
  <c r="E8" i="3"/>
  <c r="F8" i="3"/>
  <c r="N8" i="3" s="1"/>
  <c r="G8" i="3"/>
  <c r="O8" i="3" s="1"/>
  <c r="V8" i="3" s="1"/>
  <c r="H8" i="3"/>
  <c r="P8" i="3" s="1"/>
  <c r="J8" i="3"/>
  <c r="R8" i="3" s="1"/>
  <c r="Y8" i="3" s="1"/>
  <c r="L8" i="3"/>
  <c r="M8" i="3"/>
  <c r="E9" i="3"/>
  <c r="F9" i="3"/>
  <c r="N9" i="3" s="1"/>
  <c r="U9" i="3" s="1"/>
  <c r="G9" i="3"/>
  <c r="H9" i="3"/>
  <c r="P9" i="3" s="1"/>
  <c r="W9" i="3" s="1"/>
  <c r="J9" i="3"/>
  <c r="R9" i="3" s="1"/>
  <c r="Y9" i="3" s="1"/>
  <c r="L9" i="3"/>
  <c r="M9" i="3"/>
  <c r="E10" i="3"/>
  <c r="F10" i="3"/>
  <c r="N10" i="3" s="1"/>
  <c r="G10" i="3"/>
  <c r="O10" i="3" s="1"/>
  <c r="V10" i="3" s="1"/>
  <c r="P10" i="3"/>
  <c r="R10" i="3"/>
  <c r="Y10" i="3" s="1"/>
  <c r="L10" i="3"/>
  <c r="E11" i="3"/>
  <c r="F11" i="3"/>
  <c r="N11" i="3" s="1"/>
  <c r="U11" i="3" s="1"/>
  <c r="G11" i="3"/>
  <c r="H11" i="3"/>
  <c r="P11" i="3" s="1"/>
  <c r="W11" i="3" s="1"/>
  <c r="J11" i="3"/>
  <c r="R11" i="3" s="1"/>
  <c r="Y11" i="3" s="1"/>
  <c r="L11" i="3"/>
  <c r="M11" i="3"/>
  <c r="E12" i="3"/>
  <c r="F12" i="3"/>
  <c r="N12" i="3" s="1"/>
  <c r="G12" i="3"/>
  <c r="O12" i="3" s="1"/>
  <c r="V12" i="3" s="1"/>
  <c r="H12" i="3"/>
  <c r="P12" i="3" s="1"/>
  <c r="J12" i="3"/>
  <c r="R12" i="3" s="1"/>
  <c r="Y12" i="3" s="1"/>
  <c r="L12" i="3"/>
  <c r="M12" i="3"/>
  <c r="E13" i="3"/>
  <c r="F13" i="3"/>
  <c r="N13" i="3" s="1"/>
  <c r="U13" i="3" s="1"/>
  <c r="G13" i="3"/>
  <c r="H13" i="3"/>
  <c r="P13" i="3" s="1"/>
  <c r="W13" i="3" s="1"/>
  <c r="J13" i="3"/>
  <c r="R13" i="3" s="1"/>
  <c r="Y13" i="3" s="1"/>
  <c r="L13" i="3"/>
  <c r="M13" i="3"/>
  <c r="E14" i="3"/>
  <c r="F14" i="3"/>
  <c r="N14" i="3" s="1"/>
  <c r="G14" i="3"/>
  <c r="H14" i="3"/>
  <c r="P14" i="3" s="1"/>
  <c r="J14" i="3"/>
  <c r="R14" i="3" s="1"/>
  <c r="Y14" i="3" s="1"/>
  <c r="L14" i="3"/>
  <c r="M14" i="3"/>
  <c r="E15" i="3"/>
  <c r="F15" i="3"/>
  <c r="N15" i="3" s="1"/>
  <c r="U15" i="3" s="1"/>
  <c r="G15" i="3"/>
  <c r="H15" i="3"/>
  <c r="P15" i="3" s="1"/>
  <c r="W15" i="3" s="1"/>
  <c r="J15" i="3"/>
  <c r="R15" i="3" s="1"/>
  <c r="Y15" i="3" s="1"/>
  <c r="L15" i="3"/>
  <c r="M15" i="3"/>
  <c r="E16" i="3"/>
  <c r="F16" i="3"/>
  <c r="N16" i="3" s="1"/>
  <c r="G16" i="3"/>
  <c r="O16" i="3" s="1"/>
  <c r="V16" i="3" s="1"/>
  <c r="H16" i="3"/>
  <c r="P16" i="3" s="1"/>
  <c r="J16" i="3"/>
  <c r="R16" i="3" s="1"/>
  <c r="Y16" i="3" s="1"/>
  <c r="L16" i="3"/>
  <c r="M16" i="3"/>
  <c r="E17" i="3"/>
  <c r="F17" i="3"/>
  <c r="N17" i="3" s="1"/>
  <c r="U17" i="3" s="1"/>
  <c r="G17" i="3"/>
  <c r="H17" i="3"/>
  <c r="P17" i="3" s="1"/>
  <c r="W17" i="3" s="1"/>
  <c r="J17" i="3"/>
  <c r="R17" i="3" s="1"/>
  <c r="Y17" i="3" s="1"/>
  <c r="L17" i="3"/>
  <c r="M17" i="3"/>
  <c r="E18" i="3"/>
  <c r="F18" i="3"/>
  <c r="N18" i="3" s="1"/>
  <c r="G18" i="3"/>
  <c r="O18" i="3" s="1"/>
  <c r="V18" i="3" s="1"/>
  <c r="H18" i="3"/>
  <c r="P18" i="3" s="1"/>
  <c r="J18" i="3"/>
  <c r="R18" i="3" s="1"/>
  <c r="Y18" i="3" s="1"/>
  <c r="L18" i="3"/>
  <c r="M18" i="3"/>
  <c r="E19" i="3"/>
  <c r="F19" i="3"/>
  <c r="N19" i="3" s="1"/>
  <c r="U19" i="3" s="1"/>
  <c r="G19" i="3"/>
  <c r="H19" i="3"/>
  <c r="P19" i="3" s="1"/>
  <c r="W19" i="3" s="1"/>
  <c r="J19" i="3"/>
  <c r="R19" i="3" s="1"/>
  <c r="Y19" i="3" s="1"/>
  <c r="L19" i="3"/>
  <c r="M19" i="3"/>
  <c r="E20" i="3"/>
  <c r="F20" i="3"/>
  <c r="N20" i="3" s="1"/>
  <c r="G20" i="3"/>
  <c r="O20" i="3" s="1"/>
  <c r="V20" i="3" s="1"/>
  <c r="H20" i="3"/>
  <c r="P20" i="3" s="1"/>
  <c r="J20" i="3"/>
  <c r="R20" i="3" s="1"/>
  <c r="Y20" i="3" s="1"/>
  <c r="L20" i="3"/>
  <c r="M20" i="3"/>
  <c r="E21" i="3"/>
  <c r="F21" i="3"/>
  <c r="N21" i="3" s="1"/>
  <c r="U21" i="3" s="1"/>
  <c r="G21" i="3"/>
  <c r="H21" i="3"/>
  <c r="P21" i="3" s="1"/>
  <c r="W21" i="3" s="1"/>
  <c r="J21" i="3"/>
  <c r="R21" i="3" s="1"/>
  <c r="Y21" i="3" s="1"/>
  <c r="L21" i="3"/>
  <c r="M21" i="3"/>
  <c r="E22" i="3"/>
  <c r="F22" i="3"/>
  <c r="N22" i="3" s="1"/>
  <c r="G22" i="3"/>
  <c r="H22" i="3"/>
  <c r="P22" i="3" s="1"/>
  <c r="J22" i="3"/>
  <c r="R22" i="3" s="1"/>
  <c r="Y22" i="3" s="1"/>
  <c r="L22" i="3"/>
  <c r="M22" i="3"/>
  <c r="E23" i="3"/>
  <c r="F23" i="3"/>
  <c r="N23" i="3" s="1"/>
  <c r="U23" i="3" s="1"/>
  <c r="G23" i="3"/>
  <c r="H23" i="3"/>
  <c r="P23" i="3" s="1"/>
  <c r="W23" i="3" s="1"/>
  <c r="J23" i="3"/>
  <c r="R23" i="3" s="1"/>
  <c r="Y23" i="3" s="1"/>
  <c r="L23" i="3"/>
  <c r="M23" i="3"/>
  <c r="E24" i="3"/>
  <c r="F24" i="3"/>
  <c r="N24" i="3" s="1"/>
  <c r="G24" i="3"/>
  <c r="O24" i="3" s="1"/>
  <c r="V24" i="3" s="1"/>
  <c r="H24" i="3"/>
  <c r="P24" i="3" s="1"/>
  <c r="J24" i="3"/>
  <c r="R24" i="3" s="1"/>
  <c r="Y24" i="3" s="1"/>
  <c r="L24" i="3"/>
  <c r="M24" i="3"/>
  <c r="E25" i="3"/>
  <c r="F25" i="3"/>
  <c r="N25" i="3" s="1"/>
  <c r="U25" i="3" s="1"/>
  <c r="G25" i="3"/>
  <c r="H25" i="3"/>
  <c r="P25" i="3" s="1"/>
  <c r="W25" i="3" s="1"/>
  <c r="J25" i="3"/>
  <c r="R25" i="3" s="1"/>
  <c r="Y25" i="3" s="1"/>
  <c r="L25" i="3"/>
  <c r="M25" i="3"/>
  <c r="E26" i="3"/>
  <c r="F26" i="3"/>
  <c r="N26" i="3" s="1"/>
  <c r="G26" i="3"/>
  <c r="O26" i="3" s="1"/>
  <c r="V26" i="3" s="1"/>
  <c r="H26" i="3"/>
  <c r="P26" i="3" s="1"/>
  <c r="J26" i="3"/>
  <c r="R26" i="3" s="1"/>
  <c r="Y26" i="3" s="1"/>
  <c r="L26" i="3"/>
  <c r="M26" i="3"/>
  <c r="E27" i="3"/>
  <c r="F27" i="3"/>
  <c r="N27" i="3" s="1"/>
  <c r="U27" i="3" s="1"/>
  <c r="G27" i="3"/>
  <c r="H27" i="3"/>
  <c r="P27" i="3" s="1"/>
  <c r="W27" i="3" s="1"/>
  <c r="J27" i="3"/>
  <c r="R27" i="3" s="1"/>
  <c r="Y27" i="3" s="1"/>
  <c r="L27" i="3"/>
  <c r="M27" i="3"/>
  <c r="E28" i="3"/>
  <c r="F28" i="3"/>
  <c r="N28" i="3" s="1"/>
  <c r="G28" i="3"/>
  <c r="O28" i="3" s="1"/>
  <c r="V28" i="3" s="1"/>
  <c r="H28" i="3"/>
  <c r="P28" i="3" s="1"/>
  <c r="J28" i="3"/>
  <c r="R28" i="3" s="1"/>
  <c r="Y28" i="3" s="1"/>
  <c r="L28" i="3"/>
  <c r="M28" i="3"/>
  <c r="E29" i="3"/>
  <c r="F29" i="3"/>
  <c r="N29" i="3" s="1"/>
  <c r="U29" i="3" s="1"/>
  <c r="G29" i="3"/>
  <c r="H29" i="3"/>
  <c r="P29" i="3" s="1"/>
  <c r="W29" i="3" s="1"/>
  <c r="J29" i="3"/>
  <c r="R29" i="3" s="1"/>
  <c r="Y29" i="3" s="1"/>
  <c r="L29" i="3"/>
  <c r="M29" i="3"/>
  <c r="E30" i="3"/>
  <c r="F30" i="3"/>
  <c r="N30" i="3" s="1"/>
  <c r="G30" i="3"/>
  <c r="H30" i="3"/>
  <c r="P30" i="3" s="1"/>
  <c r="J30" i="3"/>
  <c r="R30" i="3" s="1"/>
  <c r="Y30" i="3" s="1"/>
  <c r="L30" i="3"/>
  <c r="M30" i="3"/>
  <c r="E31" i="3"/>
  <c r="F31" i="3"/>
  <c r="N31" i="3" s="1"/>
  <c r="U31" i="3" s="1"/>
  <c r="G31" i="3"/>
  <c r="H31" i="3"/>
  <c r="P31" i="3" s="1"/>
  <c r="W31" i="3" s="1"/>
  <c r="J31" i="3"/>
  <c r="R31" i="3" s="1"/>
  <c r="Y31" i="3" s="1"/>
  <c r="L31" i="3"/>
  <c r="M31" i="3"/>
  <c r="E32" i="3"/>
  <c r="F32" i="3"/>
  <c r="N32" i="3" s="1"/>
  <c r="G32" i="3"/>
  <c r="O32" i="3" s="1"/>
  <c r="V32" i="3" s="1"/>
  <c r="H32" i="3"/>
  <c r="P32" i="3" s="1"/>
  <c r="J32" i="3"/>
  <c r="R32" i="3" s="1"/>
  <c r="Y32" i="3" s="1"/>
  <c r="L32" i="3"/>
  <c r="M32" i="3"/>
  <c r="E33" i="3"/>
  <c r="F33" i="3"/>
  <c r="N33" i="3" s="1"/>
  <c r="U33" i="3" s="1"/>
  <c r="G33" i="3"/>
  <c r="H33" i="3"/>
  <c r="P33" i="3" s="1"/>
  <c r="W33" i="3" s="1"/>
  <c r="J33" i="3"/>
  <c r="R33" i="3" s="1"/>
  <c r="Y33" i="3" s="1"/>
  <c r="L33" i="3"/>
  <c r="M33" i="3"/>
  <c r="E34" i="3"/>
  <c r="F34" i="3"/>
  <c r="N34" i="3" s="1"/>
  <c r="G34" i="3"/>
  <c r="O34" i="3" s="1"/>
  <c r="V34" i="3" s="1"/>
  <c r="H34" i="3"/>
  <c r="P34" i="3" s="1"/>
  <c r="J34" i="3"/>
  <c r="R34" i="3" s="1"/>
  <c r="Y34" i="3" s="1"/>
  <c r="L34" i="3"/>
  <c r="M34" i="3"/>
  <c r="E35" i="3"/>
  <c r="F35" i="3"/>
  <c r="N35" i="3" s="1"/>
  <c r="U35" i="3" s="1"/>
  <c r="G35" i="3"/>
  <c r="H35" i="3"/>
  <c r="P35" i="3" s="1"/>
  <c r="W35" i="3" s="1"/>
  <c r="J35" i="3"/>
  <c r="R35" i="3" s="1"/>
  <c r="Y35" i="3" s="1"/>
  <c r="L35" i="3"/>
  <c r="M35" i="3"/>
  <c r="U39" i="3"/>
  <c r="V39" i="3"/>
  <c r="W39" i="3"/>
  <c r="Y39" i="3"/>
  <c r="U40" i="3"/>
  <c r="E5" i="2"/>
  <c r="F5" i="2"/>
  <c r="N5" i="2" s="1"/>
  <c r="U5" i="2" s="1"/>
  <c r="G5" i="2"/>
  <c r="O5" i="2" s="1"/>
  <c r="P5" i="2"/>
  <c r="W5" i="2" s="1"/>
  <c r="R5" i="2"/>
  <c r="L5" i="2"/>
  <c r="E6" i="2"/>
  <c r="F6" i="2"/>
  <c r="N6" i="2" s="1"/>
  <c r="G6" i="2"/>
  <c r="O6" i="2" s="1"/>
  <c r="V6" i="2" s="1"/>
  <c r="H6" i="2"/>
  <c r="P6" i="2" s="1"/>
  <c r="J6" i="2"/>
  <c r="R6" i="2" s="1"/>
  <c r="Y6" i="2" s="1"/>
  <c r="L6" i="2"/>
  <c r="M6" i="2"/>
  <c r="E7" i="2"/>
  <c r="F7" i="2"/>
  <c r="N7" i="2" s="1"/>
  <c r="U7" i="2" s="1"/>
  <c r="G7" i="2"/>
  <c r="H7" i="2"/>
  <c r="P7" i="2" s="1"/>
  <c r="W7" i="2" s="1"/>
  <c r="J7" i="2"/>
  <c r="R7" i="2" s="1"/>
  <c r="Y7" i="2" s="1"/>
  <c r="L7" i="2"/>
  <c r="M7" i="2"/>
  <c r="E8" i="2"/>
  <c r="F8" i="2"/>
  <c r="N8" i="2" s="1"/>
  <c r="G8" i="2"/>
  <c r="H8" i="2"/>
  <c r="P8" i="2" s="1"/>
  <c r="J8" i="2"/>
  <c r="R8" i="2" s="1"/>
  <c r="Y8" i="2" s="1"/>
  <c r="L8" i="2"/>
  <c r="M8" i="2"/>
  <c r="E9" i="2"/>
  <c r="F9" i="2"/>
  <c r="N9" i="2" s="1"/>
  <c r="U9" i="2" s="1"/>
  <c r="G9" i="2"/>
  <c r="H9" i="2"/>
  <c r="P9" i="2" s="1"/>
  <c r="W9" i="2" s="1"/>
  <c r="J9" i="2"/>
  <c r="R9" i="2" s="1"/>
  <c r="Y9" i="2" s="1"/>
  <c r="L9" i="2"/>
  <c r="M9" i="2"/>
  <c r="E10" i="2"/>
  <c r="F10" i="2"/>
  <c r="N10" i="2" s="1"/>
  <c r="G10" i="2"/>
  <c r="O10" i="2" s="1"/>
  <c r="V10" i="2" s="1"/>
  <c r="P10" i="2"/>
  <c r="R10" i="2"/>
  <c r="Y10" i="2" s="1"/>
  <c r="L10" i="2"/>
  <c r="E11" i="2"/>
  <c r="F11" i="2"/>
  <c r="N11" i="2" s="1"/>
  <c r="U11" i="2" s="1"/>
  <c r="G11" i="2"/>
  <c r="H11" i="2"/>
  <c r="P11" i="2" s="1"/>
  <c r="W11" i="2" s="1"/>
  <c r="J11" i="2"/>
  <c r="R11" i="2" s="1"/>
  <c r="Y11" i="2" s="1"/>
  <c r="L11" i="2"/>
  <c r="M11" i="2"/>
  <c r="E12" i="2"/>
  <c r="F12" i="2"/>
  <c r="N12" i="2" s="1"/>
  <c r="G12" i="2"/>
  <c r="O12" i="2" s="1"/>
  <c r="V12" i="2" s="1"/>
  <c r="H12" i="2"/>
  <c r="P12" i="2" s="1"/>
  <c r="J12" i="2"/>
  <c r="R12" i="2" s="1"/>
  <c r="Y12" i="2" s="1"/>
  <c r="L12" i="2"/>
  <c r="M12" i="2"/>
  <c r="E13" i="2"/>
  <c r="F13" i="2"/>
  <c r="N13" i="2" s="1"/>
  <c r="U13" i="2" s="1"/>
  <c r="G13" i="2"/>
  <c r="H13" i="2"/>
  <c r="P13" i="2" s="1"/>
  <c r="W13" i="2" s="1"/>
  <c r="J13" i="2"/>
  <c r="R13" i="2" s="1"/>
  <c r="Y13" i="2" s="1"/>
  <c r="L13" i="2"/>
  <c r="M13" i="2"/>
  <c r="E14" i="2"/>
  <c r="F14" i="2"/>
  <c r="N14" i="2" s="1"/>
  <c r="G14" i="2"/>
  <c r="O14" i="2" s="1"/>
  <c r="V14" i="2" s="1"/>
  <c r="H14" i="2"/>
  <c r="P14" i="2" s="1"/>
  <c r="J14" i="2"/>
  <c r="R14" i="2" s="1"/>
  <c r="Y14" i="2" s="1"/>
  <c r="L14" i="2"/>
  <c r="M14" i="2"/>
  <c r="E15" i="2"/>
  <c r="F15" i="2"/>
  <c r="N15" i="2" s="1"/>
  <c r="U15" i="2" s="1"/>
  <c r="G15" i="2"/>
  <c r="H15" i="2"/>
  <c r="P15" i="2" s="1"/>
  <c r="W15" i="2" s="1"/>
  <c r="J15" i="2"/>
  <c r="R15" i="2" s="1"/>
  <c r="Y15" i="2" s="1"/>
  <c r="L15" i="2"/>
  <c r="M15" i="2"/>
  <c r="E16" i="2"/>
  <c r="F16" i="2"/>
  <c r="N16" i="2" s="1"/>
  <c r="G16" i="2"/>
  <c r="H16" i="2"/>
  <c r="P16" i="2" s="1"/>
  <c r="J16" i="2"/>
  <c r="R16" i="2" s="1"/>
  <c r="Y16" i="2" s="1"/>
  <c r="L16" i="2"/>
  <c r="M16" i="2"/>
  <c r="E17" i="2"/>
  <c r="F17" i="2"/>
  <c r="N17" i="2" s="1"/>
  <c r="U17" i="2" s="1"/>
  <c r="G17" i="2"/>
  <c r="H17" i="2"/>
  <c r="P17" i="2" s="1"/>
  <c r="W17" i="2" s="1"/>
  <c r="J17" i="2"/>
  <c r="R17" i="2" s="1"/>
  <c r="Y17" i="2" s="1"/>
  <c r="L17" i="2"/>
  <c r="M17" i="2"/>
  <c r="E18" i="2"/>
  <c r="F18" i="2"/>
  <c r="N18" i="2" s="1"/>
  <c r="G18" i="2"/>
  <c r="O18" i="2" s="1"/>
  <c r="V18" i="2" s="1"/>
  <c r="H18" i="2"/>
  <c r="P18" i="2" s="1"/>
  <c r="J18" i="2"/>
  <c r="R18" i="2" s="1"/>
  <c r="Y18" i="2" s="1"/>
  <c r="L18" i="2"/>
  <c r="M18" i="2"/>
  <c r="E19" i="2"/>
  <c r="F19" i="2"/>
  <c r="N19" i="2" s="1"/>
  <c r="U19" i="2" s="1"/>
  <c r="G19" i="2"/>
  <c r="H19" i="2"/>
  <c r="J19" i="2"/>
  <c r="R19" i="2" s="1"/>
  <c r="Y19" i="2" s="1"/>
  <c r="L19" i="2"/>
  <c r="M19" i="2"/>
  <c r="E20" i="2"/>
  <c r="F20" i="2"/>
  <c r="N20" i="2" s="1"/>
  <c r="G20" i="2"/>
  <c r="O20" i="2" s="1"/>
  <c r="V20" i="2" s="1"/>
  <c r="H20" i="2"/>
  <c r="P20" i="2" s="1"/>
  <c r="J20" i="2"/>
  <c r="R20" i="2" s="1"/>
  <c r="Y20" i="2" s="1"/>
  <c r="L20" i="2"/>
  <c r="M20" i="2"/>
  <c r="E21" i="2"/>
  <c r="F21" i="2"/>
  <c r="N21" i="2" s="1"/>
  <c r="U21" i="2" s="1"/>
  <c r="G21" i="2"/>
  <c r="H21" i="2"/>
  <c r="P21" i="2" s="1"/>
  <c r="W21" i="2" s="1"/>
  <c r="J21" i="2"/>
  <c r="R21" i="2" s="1"/>
  <c r="Y21" i="2" s="1"/>
  <c r="L21" i="2"/>
  <c r="M21" i="2"/>
  <c r="E22" i="2"/>
  <c r="F22" i="2"/>
  <c r="N22" i="2" s="1"/>
  <c r="G22" i="2"/>
  <c r="H22" i="2"/>
  <c r="P22" i="2" s="1"/>
  <c r="J22" i="2"/>
  <c r="R22" i="2" s="1"/>
  <c r="Y22" i="2" s="1"/>
  <c r="L22" i="2"/>
  <c r="M22" i="2"/>
  <c r="E23" i="2"/>
  <c r="F23" i="2"/>
  <c r="N23" i="2" s="1"/>
  <c r="U23" i="2" s="1"/>
  <c r="G23" i="2"/>
  <c r="H23" i="2"/>
  <c r="P23" i="2" s="1"/>
  <c r="W23" i="2" s="1"/>
  <c r="J23" i="2"/>
  <c r="R23" i="2" s="1"/>
  <c r="Y23" i="2" s="1"/>
  <c r="L23" i="2"/>
  <c r="M23" i="2"/>
  <c r="E24" i="2"/>
  <c r="F24" i="2"/>
  <c r="N24" i="2" s="1"/>
  <c r="G24" i="2"/>
  <c r="H24" i="2"/>
  <c r="P24" i="2" s="1"/>
  <c r="J24" i="2"/>
  <c r="R24" i="2" s="1"/>
  <c r="Y24" i="2" s="1"/>
  <c r="L24" i="2"/>
  <c r="M24" i="2"/>
  <c r="E25" i="2"/>
  <c r="F25" i="2"/>
  <c r="N25" i="2" s="1"/>
  <c r="U25" i="2" s="1"/>
  <c r="G25" i="2"/>
  <c r="H25" i="2"/>
  <c r="P25" i="2" s="1"/>
  <c r="W25" i="2" s="1"/>
  <c r="J25" i="2"/>
  <c r="R25" i="2" s="1"/>
  <c r="Y25" i="2" s="1"/>
  <c r="L25" i="2"/>
  <c r="M25" i="2"/>
  <c r="E26" i="2"/>
  <c r="F26" i="2"/>
  <c r="N26" i="2" s="1"/>
  <c r="G26" i="2"/>
  <c r="O26" i="2" s="1"/>
  <c r="V26" i="2" s="1"/>
  <c r="H26" i="2"/>
  <c r="P26" i="2" s="1"/>
  <c r="J26" i="2"/>
  <c r="R26" i="2" s="1"/>
  <c r="Y26" i="2" s="1"/>
  <c r="L26" i="2"/>
  <c r="M26" i="2"/>
  <c r="E27" i="2"/>
  <c r="F27" i="2"/>
  <c r="N27" i="2" s="1"/>
  <c r="U27" i="2" s="1"/>
  <c r="G27" i="2"/>
  <c r="H27" i="2"/>
  <c r="P27" i="2" s="1"/>
  <c r="W27" i="2" s="1"/>
  <c r="J27" i="2"/>
  <c r="R27" i="2" s="1"/>
  <c r="Y27" i="2" s="1"/>
  <c r="L27" i="2"/>
  <c r="M27" i="2"/>
  <c r="E28" i="2"/>
  <c r="F28" i="2"/>
  <c r="N28" i="2" s="1"/>
  <c r="G28" i="2"/>
  <c r="O28" i="2" s="1"/>
  <c r="V28" i="2" s="1"/>
  <c r="H28" i="2"/>
  <c r="P28" i="2" s="1"/>
  <c r="J28" i="2"/>
  <c r="R28" i="2" s="1"/>
  <c r="Y28" i="2" s="1"/>
  <c r="L28" i="2"/>
  <c r="M28" i="2"/>
  <c r="E29" i="2"/>
  <c r="F29" i="2"/>
  <c r="N29" i="2" s="1"/>
  <c r="U29" i="2" s="1"/>
  <c r="G29" i="2"/>
  <c r="H29" i="2"/>
  <c r="P29" i="2" s="1"/>
  <c r="W29" i="2" s="1"/>
  <c r="J29" i="2"/>
  <c r="R29" i="2" s="1"/>
  <c r="Y29" i="2" s="1"/>
  <c r="L29" i="2"/>
  <c r="M29" i="2"/>
  <c r="E30" i="2"/>
  <c r="F30" i="2"/>
  <c r="N30" i="2" s="1"/>
  <c r="G30" i="2"/>
  <c r="O30" i="2" s="1"/>
  <c r="V30" i="2" s="1"/>
  <c r="H30" i="2"/>
  <c r="P30" i="2" s="1"/>
  <c r="J30" i="2"/>
  <c r="R30" i="2" s="1"/>
  <c r="Y30" i="2" s="1"/>
  <c r="L30" i="2"/>
  <c r="M30" i="2"/>
  <c r="E31" i="2"/>
  <c r="F31" i="2"/>
  <c r="N31" i="2" s="1"/>
  <c r="U31" i="2" s="1"/>
  <c r="G31" i="2"/>
  <c r="H31" i="2"/>
  <c r="P31" i="2" s="1"/>
  <c r="W31" i="2" s="1"/>
  <c r="J31" i="2"/>
  <c r="R31" i="2" s="1"/>
  <c r="Y31" i="2" s="1"/>
  <c r="L31" i="2"/>
  <c r="M31" i="2"/>
  <c r="E32" i="2"/>
  <c r="F32" i="2"/>
  <c r="N32" i="2" s="1"/>
  <c r="G32" i="2"/>
  <c r="H32" i="2"/>
  <c r="P32" i="2" s="1"/>
  <c r="J32" i="2"/>
  <c r="R32" i="2" s="1"/>
  <c r="Y32" i="2" s="1"/>
  <c r="L32" i="2"/>
  <c r="M32" i="2"/>
  <c r="E33" i="2"/>
  <c r="F33" i="2"/>
  <c r="N33" i="2" s="1"/>
  <c r="U33" i="2" s="1"/>
  <c r="G33" i="2"/>
  <c r="H33" i="2"/>
  <c r="P33" i="2" s="1"/>
  <c r="W33" i="2" s="1"/>
  <c r="J33" i="2"/>
  <c r="R33" i="2" s="1"/>
  <c r="Y33" i="2" s="1"/>
  <c r="L33" i="2"/>
  <c r="M33" i="2"/>
  <c r="E34" i="2"/>
  <c r="F34" i="2"/>
  <c r="N34" i="2" s="1"/>
  <c r="G34" i="2"/>
  <c r="O34" i="2" s="1"/>
  <c r="V34" i="2" s="1"/>
  <c r="H34" i="2"/>
  <c r="J34" i="2"/>
  <c r="R34" i="2" s="1"/>
  <c r="Y34" i="2" s="1"/>
  <c r="L34" i="2"/>
  <c r="M34" i="2"/>
  <c r="E35" i="2"/>
  <c r="F35" i="2"/>
  <c r="N35" i="2" s="1"/>
  <c r="U35" i="2" s="1"/>
  <c r="G35" i="2"/>
  <c r="H35" i="2"/>
  <c r="P35" i="2" s="1"/>
  <c r="W35" i="2" s="1"/>
  <c r="J35" i="2"/>
  <c r="R35" i="2" s="1"/>
  <c r="Y35" i="2" s="1"/>
  <c r="L35" i="2"/>
  <c r="M35" i="2"/>
  <c r="U39" i="2"/>
  <c r="V39" i="2"/>
  <c r="W39" i="2"/>
  <c r="Y39" i="2"/>
  <c r="U40" i="2"/>
  <c r="E28" i="1"/>
  <c r="F28" i="1"/>
  <c r="G28" i="1"/>
  <c r="O28" i="1" s="1"/>
  <c r="H28" i="1"/>
  <c r="J28" i="1"/>
  <c r="R28" i="1" s="1"/>
  <c r="L28" i="1"/>
  <c r="M28" i="1"/>
  <c r="E29" i="1"/>
  <c r="F29" i="1"/>
  <c r="N29" i="1" s="1"/>
  <c r="U29" i="1" s="1"/>
  <c r="G29" i="1"/>
  <c r="H29" i="1"/>
  <c r="P29" i="1" s="1"/>
  <c r="W29" i="1" s="1"/>
  <c r="J29" i="1"/>
  <c r="L29" i="1"/>
  <c r="E30" i="1"/>
  <c r="F30" i="1"/>
  <c r="N30" i="1" s="1"/>
  <c r="G30" i="1"/>
  <c r="O30" i="1" s="1"/>
  <c r="V30" i="1" s="1"/>
  <c r="H30" i="1"/>
  <c r="P30" i="1" s="1"/>
  <c r="W30" i="1" s="1"/>
  <c r="L30" i="1"/>
  <c r="M30" i="1"/>
  <c r="F31" i="1"/>
  <c r="N31" i="1" s="1"/>
  <c r="U31" i="1" s="1"/>
  <c r="J31" i="1"/>
  <c r="R31" i="1" s="1"/>
  <c r="Y31" i="1" s="1"/>
  <c r="U36" i="1"/>
  <c r="AB36" i="1" s="1"/>
  <c r="V36" i="1"/>
  <c r="Y36" i="1"/>
  <c r="U37" i="1"/>
  <c r="V37" i="1"/>
  <c r="U38" i="1"/>
  <c r="V38" i="1"/>
  <c r="W38" i="1"/>
  <c r="Y38" i="1"/>
  <c r="U39" i="1"/>
  <c r="V39" i="1"/>
  <c r="W39" i="1"/>
  <c r="Y39" i="1"/>
  <c r="U40" i="1"/>
  <c r="N69" i="1"/>
  <c r="O69" i="1"/>
  <c r="N73" i="1"/>
  <c r="O73" i="1"/>
  <c r="M9" i="27" l="1"/>
  <c r="G9" i="27"/>
  <c r="F8" i="27"/>
  <c r="J7" i="27"/>
  <c r="M32" i="27"/>
  <c r="G32" i="27"/>
  <c r="L28" i="27"/>
  <c r="F28" i="27"/>
  <c r="J24" i="27"/>
  <c r="J23" i="27"/>
  <c r="G21" i="27"/>
  <c r="H19" i="27"/>
  <c r="G18" i="27"/>
  <c r="L17" i="27"/>
  <c r="F17" i="27"/>
  <c r="L12" i="27"/>
  <c r="F12" i="27"/>
  <c r="L11" i="27"/>
  <c r="F11" i="27"/>
  <c r="M15" i="27"/>
  <c r="G15" i="27"/>
  <c r="J11" i="27"/>
  <c r="G10" i="27"/>
  <c r="F32" i="27"/>
  <c r="G36" i="27"/>
  <c r="H22" i="27"/>
  <c r="H20" i="27"/>
  <c r="H14" i="27"/>
  <c r="H6" i="27"/>
  <c r="P34" i="18"/>
  <c r="P31" i="26" s="1"/>
  <c r="G31" i="1"/>
  <c r="O31" i="1" s="1"/>
  <c r="V31" i="1" s="1"/>
  <c r="H29" i="27"/>
  <c r="J28" i="27"/>
  <c r="H23" i="27"/>
  <c r="G22" i="27"/>
  <c r="L21" i="27"/>
  <c r="F21" i="27"/>
  <c r="G20" i="27"/>
  <c r="F15" i="27"/>
  <c r="H9" i="27"/>
  <c r="M8" i="27"/>
  <c r="G8" i="27"/>
  <c r="L7" i="27"/>
  <c r="F7" i="27"/>
  <c r="P15" i="27"/>
  <c r="H15" i="27"/>
  <c r="G35" i="27"/>
  <c r="H36" i="27"/>
  <c r="J6" i="27"/>
  <c r="J20" i="27"/>
  <c r="J36" i="27"/>
  <c r="G33" i="27"/>
  <c r="L27" i="27"/>
  <c r="L6" i="27"/>
  <c r="L35" i="27"/>
  <c r="F35" i="27"/>
  <c r="H24" i="27"/>
  <c r="G19" i="27"/>
  <c r="L18" i="27"/>
  <c r="F18" i="27"/>
  <c r="J17" i="27"/>
  <c r="J12" i="27"/>
  <c r="J35" i="27"/>
  <c r="J33" i="27"/>
  <c r="P28" i="27"/>
  <c r="H28" i="27"/>
  <c r="P27" i="27"/>
  <c r="H27" i="27"/>
  <c r="G26" i="27"/>
  <c r="L25" i="27"/>
  <c r="F25" i="27"/>
  <c r="G24" i="27"/>
  <c r="G23" i="27"/>
  <c r="L22" i="27"/>
  <c r="F22" i="27"/>
  <c r="J21" i="27"/>
  <c r="L19" i="27"/>
  <c r="F19" i="27"/>
  <c r="J18" i="27"/>
  <c r="H17" i="27"/>
  <c r="H12" i="27"/>
  <c r="P11" i="27"/>
  <c r="H11" i="27"/>
  <c r="L36" i="27"/>
  <c r="F36" i="27"/>
  <c r="P33" i="27"/>
  <c r="H33" i="27"/>
  <c r="P32" i="27"/>
  <c r="H32" i="27"/>
  <c r="M31" i="27"/>
  <c r="G31" i="27"/>
  <c r="L29" i="27"/>
  <c r="F29" i="27"/>
  <c r="G28" i="27"/>
  <c r="G27" i="27"/>
  <c r="L26" i="27"/>
  <c r="F26" i="27"/>
  <c r="J25" i="27"/>
  <c r="F23" i="27"/>
  <c r="J22" i="27"/>
  <c r="H21" i="27"/>
  <c r="P16" i="27"/>
  <c r="H16" i="27"/>
  <c r="G14" i="27"/>
  <c r="L13" i="27"/>
  <c r="F13" i="27"/>
  <c r="G11" i="27"/>
  <c r="M6" i="27"/>
  <c r="P28" i="26"/>
  <c r="E14" i="17"/>
  <c r="P19" i="2"/>
  <c r="W19" i="2" s="1"/>
  <c r="J29" i="27"/>
  <c r="R29" i="10"/>
  <c r="Y29" i="10" s="1"/>
  <c r="R5" i="18"/>
  <c r="R28" i="26" s="1"/>
  <c r="J6" i="18"/>
  <c r="J12" i="18" s="1"/>
  <c r="P36" i="10"/>
  <c r="P36" i="27" s="1"/>
  <c r="W36" i="27" s="1"/>
  <c r="F27" i="27"/>
  <c r="J26" i="27"/>
  <c r="H25" i="27"/>
  <c r="G16" i="27"/>
  <c r="L14" i="27"/>
  <c r="F14" i="27"/>
  <c r="J13" i="27"/>
  <c r="F6" i="27"/>
  <c r="M27" i="27"/>
  <c r="M14" i="27"/>
  <c r="M19" i="27"/>
  <c r="M26" i="27"/>
  <c r="M23" i="27"/>
  <c r="M13" i="27"/>
  <c r="E31" i="1"/>
  <c r="E18" i="27"/>
  <c r="E36" i="27"/>
  <c r="E17" i="27"/>
  <c r="E12" i="27"/>
  <c r="M35" i="27"/>
  <c r="M21" i="27"/>
  <c r="M18" i="27"/>
  <c r="M36" i="27"/>
  <c r="M22" i="27"/>
  <c r="P19" i="27"/>
  <c r="W19" i="27" s="1"/>
  <c r="P23" i="27"/>
  <c r="E25" i="27"/>
  <c r="G5" i="27"/>
  <c r="O5" i="10"/>
  <c r="V5" i="10" s="1"/>
  <c r="O5" i="9"/>
  <c r="S5" i="9" s="1"/>
  <c r="O5" i="12"/>
  <c r="V5" i="12" s="1"/>
  <c r="H34" i="27"/>
  <c r="F34" i="27"/>
  <c r="L34" i="27"/>
  <c r="J34" i="27"/>
  <c r="L33" i="27"/>
  <c r="F33" i="27"/>
  <c r="J27" i="27"/>
  <c r="H26" i="27"/>
  <c r="G25" i="27"/>
  <c r="L16" i="27"/>
  <c r="F16" i="27"/>
  <c r="J14" i="27"/>
  <c r="H13" i="27"/>
  <c r="J9" i="27"/>
  <c r="H8" i="27"/>
  <c r="M7" i="27"/>
  <c r="G7" i="27"/>
  <c r="AB40" i="12"/>
  <c r="AB39" i="15"/>
  <c r="J32" i="27"/>
  <c r="H31" i="27"/>
  <c r="M29" i="27"/>
  <c r="G29" i="27"/>
  <c r="L20" i="27"/>
  <c r="F20" i="27"/>
  <c r="J15" i="27"/>
  <c r="L5" i="27"/>
  <c r="H35" i="27"/>
  <c r="G34" i="27"/>
  <c r="L24" i="27"/>
  <c r="F24" i="27"/>
  <c r="J19" i="27"/>
  <c r="H18" i="27"/>
  <c r="G17" i="27"/>
  <c r="G12" i="27"/>
  <c r="L10" i="27"/>
  <c r="F10" i="27"/>
  <c r="AB39" i="1"/>
  <c r="F30" i="18"/>
  <c r="S11" i="18"/>
  <c r="T11" i="18" s="1"/>
  <c r="O7" i="10"/>
  <c r="O7" i="27" s="1"/>
  <c r="V7" i="27" s="1"/>
  <c r="O31" i="10"/>
  <c r="V31" i="10" s="1"/>
  <c r="O14" i="10"/>
  <c r="O14" i="27" s="1"/>
  <c r="N14" i="18"/>
  <c r="N29" i="26" s="1"/>
  <c r="U29" i="26" s="1"/>
  <c r="N9" i="17"/>
  <c r="U9" i="17" s="1"/>
  <c r="O22" i="10"/>
  <c r="V22" i="10" s="1"/>
  <c r="N14" i="10"/>
  <c r="N14" i="27" s="1"/>
  <c r="U14" i="27" s="1"/>
  <c r="N7" i="10"/>
  <c r="U7" i="10" s="1"/>
  <c r="P14" i="18"/>
  <c r="P29" i="26" s="1"/>
  <c r="W29" i="26" s="1"/>
  <c r="N31" i="10"/>
  <c r="N31" i="27" s="1"/>
  <c r="U31" i="27" s="1"/>
  <c r="N22" i="10"/>
  <c r="U22" i="10" s="1"/>
  <c r="H30" i="18"/>
  <c r="L32" i="27"/>
  <c r="M28" i="27"/>
  <c r="L23" i="27"/>
  <c r="M20" i="27"/>
  <c r="L15" i="27"/>
  <c r="M11" i="27"/>
  <c r="L8" i="27"/>
  <c r="L9" i="27"/>
  <c r="M33" i="27"/>
  <c r="M24" i="27"/>
  <c r="M16" i="27"/>
  <c r="M10" i="27"/>
  <c r="M12" i="27"/>
  <c r="M5" i="27"/>
  <c r="M34" i="27"/>
  <c r="M25" i="27"/>
  <c r="M17" i="27"/>
  <c r="E34" i="27"/>
  <c r="E35" i="27"/>
  <c r="E33" i="27"/>
  <c r="E32" i="27"/>
  <c r="E29" i="27"/>
  <c r="E26" i="27"/>
  <c r="E24" i="27"/>
  <c r="E23" i="27"/>
  <c r="E21" i="27"/>
  <c r="E16" i="27"/>
  <c r="E15" i="27"/>
  <c r="E13" i="27"/>
  <c r="E10" i="27"/>
  <c r="E8" i="27"/>
  <c r="E6" i="27"/>
  <c r="E31" i="27"/>
  <c r="E28" i="27"/>
  <c r="E27" i="27"/>
  <c r="E22" i="27"/>
  <c r="E20" i="27"/>
  <c r="E19" i="27"/>
  <c r="E14" i="27"/>
  <c r="E11" i="27"/>
  <c r="E9" i="27"/>
  <c r="E7" i="27"/>
  <c r="E5" i="27"/>
  <c r="O35" i="10"/>
  <c r="V35" i="10" s="1"/>
  <c r="O26" i="10"/>
  <c r="V26" i="10" s="1"/>
  <c r="O18" i="10"/>
  <c r="O18" i="27" s="1"/>
  <c r="V18" i="27" s="1"/>
  <c r="O10" i="10"/>
  <c r="O10" i="27" s="1"/>
  <c r="N35" i="10"/>
  <c r="N35" i="27" s="1"/>
  <c r="R34" i="10"/>
  <c r="Y34" i="10" s="1"/>
  <c r="N26" i="10"/>
  <c r="U26" i="10" s="1"/>
  <c r="R25" i="10"/>
  <c r="Y25" i="10" s="1"/>
  <c r="N18" i="10"/>
  <c r="N18" i="27" s="1"/>
  <c r="R17" i="10"/>
  <c r="Y17" i="10" s="1"/>
  <c r="N10" i="10"/>
  <c r="U10" i="10" s="1"/>
  <c r="R7" i="10"/>
  <c r="Y7" i="10" s="1"/>
  <c r="F36" i="16"/>
  <c r="F20" i="1" s="1"/>
  <c r="N20" i="1" s="1"/>
  <c r="R21" i="10"/>
  <c r="Y21" i="10" s="1"/>
  <c r="R13" i="10"/>
  <c r="R13" i="27" s="1"/>
  <c r="R6" i="10"/>
  <c r="Y6" i="10" s="1"/>
  <c r="O31" i="26"/>
  <c r="V34" i="18"/>
  <c r="N34" i="10"/>
  <c r="U34" i="10" s="1"/>
  <c r="N29" i="10"/>
  <c r="N29" i="27" s="1"/>
  <c r="N25" i="10"/>
  <c r="U25" i="10" s="1"/>
  <c r="N21" i="10"/>
  <c r="N21" i="27" s="1"/>
  <c r="N17" i="10"/>
  <c r="U17" i="10" s="1"/>
  <c r="N13" i="10"/>
  <c r="N13" i="27" s="1"/>
  <c r="U13" i="27" s="1"/>
  <c r="P9" i="27"/>
  <c r="O8" i="10"/>
  <c r="O8" i="27" s="1"/>
  <c r="N6" i="10"/>
  <c r="U6" i="10" s="1"/>
  <c r="P24" i="27"/>
  <c r="P20" i="27"/>
  <c r="W20" i="27" s="1"/>
  <c r="P12" i="27"/>
  <c r="N8" i="10"/>
  <c r="N8" i="27" s="1"/>
  <c r="U8" i="27" s="1"/>
  <c r="P5" i="27"/>
  <c r="W5" i="27" s="1"/>
  <c r="O36" i="10"/>
  <c r="V36" i="10" s="1"/>
  <c r="O32" i="10"/>
  <c r="V32" i="10" s="1"/>
  <c r="O27" i="10"/>
  <c r="O23" i="10"/>
  <c r="V23" i="10" s="1"/>
  <c r="O19" i="10"/>
  <c r="V19" i="10" s="1"/>
  <c r="O15" i="10"/>
  <c r="V15" i="10" s="1"/>
  <c r="O11" i="10"/>
  <c r="O11" i="27" s="1"/>
  <c r="N36" i="10"/>
  <c r="U36" i="10" s="1"/>
  <c r="R35" i="10"/>
  <c r="Y35" i="10" s="1"/>
  <c r="P34" i="10"/>
  <c r="P34" i="27" s="1"/>
  <c r="W34" i="27" s="1"/>
  <c r="O33" i="10"/>
  <c r="V33" i="10" s="1"/>
  <c r="N32" i="10"/>
  <c r="U32" i="10" s="1"/>
  <c r="R31" i="10"/>
  <c r="R31" i="27" s="1"/>
  <c r="Y31" i="27" s="1"/>
  <c r="P29" i="10"/>
  <c r="P29" i="27" s="1"/>
  <c r="W29" i="27" s="1"/>
  <c r="O28" i="10"/>
  <c r="V28" i="10" s="1"/>
  <c r="N27" i="10"/>
  <c r="U27" i="10" s="1"/>
  <c r="R26" i="10"/>
  <c r="Y26" i="10" s="1"/>
  <c r="P25" i="10"/>
  <c r="P25" i="27" s="1"/>
  <c r="O24" i="10"/>
  <c r="V24" i="10" s="1"/>
  <c r="N23" i="10"/>
  <c r="N23" i="27" s="1"/>
  <c r="R22" i="10"/>
  <c r="Y22" i="10" s="1"/>
  <c r="P21" i="10"/>
  <c r="P21" i="27" s="1"/>
  <c r="O20" i="10"/>
  <c r="V20" i="10" s="1"/>
  <c r="N19" i="10"/>
  <c r="U19" i="10" s="1"/>
  <c r="R18" i="10"/>
  <c r="Y18" i="10" s="1"/>
  <c r="P17" i="10"/>
  <c r="P17" i="27" s="1"/>
  <c r="W17" i="27" s="1"/>
  <c r="O16" i="10"/>
  <c r="O16" i="27" s="1"/>
  <c r="N15" i="10"/>
  <c r="U15" i="10" s="1"/>
  <c r="R14" i="10"/>
  <c r="Y14" i="10" s="1"/>
  <c r="P13" i="10"/>
  <c r="P13" i="27" s="1"/>
  <c r="W13" i="27" s="1"/>
  <c r="O12" i="10"/>
  <c r="O12" i="27" s="1"/>
  <c r="N11" i="10"/>
  <c r="U11" i="10" s="1"/>
  <c r="R10" i="10"/>
  <c r="R10" i="27" s="1"/>
  <c r="Y10" i="27" s="1"/>
  <c r="G6" i="27"/>
  <c r="O6" i="10"/>
  <c r="O6" i="27" s="1"/>
  <c r="R36" i="10"/>
  <c r="Y36" i="10" s="1"/>
  <c r="P35" i="10"/>
  <c r="P35" i="27" s="1"/>
  <c r="O34" i="10"/>
  <c r="V34" i="10" s="1"/>
  <c r="N33" i="10"/>
  <c r="U33" i="10" s="1"/>
  <c r="R32" i="10"/>
  <c r="R32" i="27" s="1"/>
  <c r="P31" i="10"/>
  <c r="P31" i="27" s="1"/>
  <c r="O29" i="10"/>
  <c r="N28" i="10"/>
  <c r="U28" i="10" s="1"/>
  <c r="R27" i="10"/>
  <c r="Y27" i="10" s="1"/>
  <c r="P26" i="10"/>
  <c r="P26" i="27" s="1"/>
  <c r="O25" i="10"/>
  <c r="V25" i="10" s="1"/>
  <c r="N24" i="10"/>
  <c r="U24" i="10" s="1"/>
  <c r="R23" i="10"/>
  <c r="Y23" i="10" s="1"/>
  <c r="P22" i="10"/>
  <c r="P22" i="27" s="1"/>
  <c r="O21" i="10"/>
  <c r="V21" i="10" s="1"/>
  <c r="N20" i="10"/>
  <c r="N20" i="27" s="1"/>
  <c r="R19" i="10"/>
  <c r="Y19" i="10" s="1"/>
  <c r="P18" i="10"/>
  <c r="P18" i="27" s="1"/>
  <c r="O17" i="10"/>
  <c r="V17" i="10" s="1"/>
  <c r="N16" i="10"/>
  <c r="U16" i="10" s="1"/>
  <c r="R15" i="10"/>
  <c r="Y15" i="10" s="1"/>
  <c r="P14" i="10"/>
  <c r="P14" i="27" s="1"/>
  <c r="O13" i="10"/>
  <c r="V13" i="10" s="1"/>
  <c r="N12" i="10"/>
  <c r="U12" i="10" s="1"/>
  <c r="R11" i="10"/>
  <c r="R11" i="27" s="1"/>
  <c r="Y11" i="27" s="1"/>
  <c r="P10" i="10"/>
  <c r="P10" i="27" s="1"/>
  <c r="W10" i="27" s="1"/>
  <c r="O9" i="10"/>
  <c r="O9" i="27" s="1"/>
  <c r="P8" i="10"/>
  <c r="P8" i="27" s="1"/>
  <c r="H7" i="27"/>
  <c r="P7" i="10"/>
  <c r="P7" i="27" s="1"/>
  <c r="J8" i="27"/>
  <c r="R8" i="10"/>
  <c r="Y8" i="10" s="1"/>
  <c r="P6" i="10"/>
  <c r="P6" i="27" s="1"/>
  <c r="F9" i="27"/>
  <c r="N9" i="10"/>
  <c r="U9" i="10" s="1"/>
  <c r="F5" i="27"/>
  <c r="N5" i="10"/>
  <c r="U5" i="10" s="1"/>
  <c r="AB40" i="11"/>
  <c r="AB39" i="17"/>
  <c r="N32" i="18"/>
  <c r="N30" i="26" s="1"/>
  <c r="U30" i="26" s="1"/>
  <c r="N22" i="27"/>
  <c r="Y9" i="10"/>
  <c r="R9" i="27"/>
  <c r="Y5" i="10"/>
  <c r="R5" i="27"/>
  <c r="M38" i="18"/>
  <c r="M39" i="18" s="1"/>
  <c r="M40" i="18" s="1"/>
  <c r="M31" i="26"/>
  <c r="R34" i="18"/>
  <c r="R31" i="26" s="1"/>
  <c r="J31" i="26"/>
  <c r="G38" i="18"/>
  <c r="G39" i="18" s="1"/>
  <c r="G40" i="18" s="1"/>
  <c r="V40" i="18" s="1"/>
  <c r="G31" i="26"/>
  <c r="R32" i="18"/>
  <c r="J30" i="26"/>
  <c r="M30" i="18"/>
  <c r="M29" i="26"/>
  <c r="R14" i="18"/>
  <c r="R29" i="26" s="1"/>
  <c r="J29" i="26"/>
  <c r="G30" i="18"/>
  <c r="G29" i="26"/>
  <c r="V29" i="26" s="1"/>
  <c r="N28" i="26"/>
  <c r="L28" i="26"/>
  <c r="H28" i="26"/>
  <c r="F28" i="26"/>
  <c r="Y33" i="10"/>
  <c r="R33" i="27"/>
  <c r="Y28" i="10"/>
  <c r="R28" i="27"/>
  <c r="Y24" i="10"/>
  <c r="R24" i="27"/>
  <c r="Y20" i="10"/>
  <c r="R20" i="27"/>
  <c r="Y16" i="10"/>
  <c r="R16" i="27"/>
  <c r="Y16" i="27" s="1"/>
  <c r="Y12" i="10"/>
  <c r="R12" i="27"/>
  <c r="U34" i="18"/>
  <c r="N31" i="26"/>
  <c r="L38" i="18"/>
  <c r="L39" i="18" s="1"/>
  <c r="L40" i="18" s="1"/>
  <c r="L31" i="26"/>
  <c r="H38" i="18"/>
  <c r="H39" i="18" s="1"/>
  <c r="H40" i="18" s="1"/>
  <c r="W40" i="18" s="1"/>
  <c r="H31" i="26"/>
  <c r="W31" i="26" s="1"/>
  <c r="F38" i="18"/>
  <c r="F39" i="18" s="1"/>
  <c r="F40" i="18" s="1"/>
  <c r="F31" i="26"/>
  <c r="P32" i="18"/>
  <c r="H30" i="26"/>
  <c r="L30" i="18"/>
  <c r="L29" i="26"/>
  <c r="M28" i="26"/>
  <c r="J28" i="26"/>
  <c r="G28" i="26"/>
  <c r="E28" i="26"/>
  <c r="F37" i="13"/>
  <c r="F38" i="13" s="1"/>
  <c r="L6" i="18"/>
  <c r="L12" i="18" s="1"/>
  <c r="H6" i="18"/>
  <c r="F6" i="18"/>
  <c r="N6" i="18" s="1"/>
  <c r="N12" i="18" s="1"/>
  <c r="M6" i="18"/>
  <c r="M12" i="18" s="1"/>
  <c r="G6" i="18"/>
  <c r="O6" i="18" s="1"/>
  <c r="O12" i="18" s="1"/>
  <c r="S7" i="18"/>
  <c r="T7" i="18" s="1"/>
  <c r="L36" i="16"/>
  <c r="L20" i="26" s="1"/>
  <c r="H36" i="16"/>
  <c r="H20" i="1" s="1"/>
  <c r="P20" i="1" s="1"/>
  <c r="G36" i="15"/>
  <c r="G19" i="26" s="1"/>
  <c r="E36" i="15"/>
  <c r="E19" i="26" s="1"/>
  <c r="G36" i="16"/>
  <c r="G20" i="26" s="1"/>
  <c r="E38" i="18"/>
  <c r="E39" i="18" s="1"/>
  <c r="E40" i="18" s="1"/>
  <c r="M36" i="15"/>
  <c r="M19" i="26" s="1"/>
  <c r="M36" i="16"/>
  <c r="M20" i="26" s="1"/>
  <c r="K34" i="9"/>
  <c r="F36" i="9"/>
  <c r="U36" i="9" s="1"/>
  <c r="L37" i="12"/>
  <c r="L16" i="1" s="1"/>
  <c r="H37" i="13"/>
  <c r="H17" i="1" s="1"/>
  <c r="P17" i="1" s="1"/>
  <c r="P38" i="30" s="1"/>
  <c r="F36" i="15"/>
  <c r="L36" i="9"/>
  <c r="L13" i="26" s="1"/>
  <c r="M37" i="13"/>
  <c r="G37" i="13"/>
  <c r="E37" i="13"/>
  <c r="K19" i="13"/>
  <c r="H36" i="15"/>
  <c r="E36" i="7"/>
  <c r="E11" i="26" s="1"/>
  <c r="K26" i="9"/>
  <c r="G37" i="11"/>
  <c r="S28" i="18"/>
  <c r="S24" i="18"/>
  <c r="T24" i="18" s="1"/>
  <c r="S20" i="18"/>
  <c r="T20" i="18" s="1"/>
  <c r="S16" i="18"/>
  <c r="T16" i="18" s="1"/>
  <c r="S26" i="18"/>
  <c r="T26" i="18" s="1"/>
  <c r="S22" i="18"/>
  <c r="T22" i="18" s="1"/>
  <c r="S18" i="18"/>
  <c r="K26" i="6"/>
  <c r="K18" i="6"/>
  <c r="K33" i="14"/>
  <c r="E36" i="14"/>
  <c r="E18" i="26" s="1"/>
  <c r="K25" i="14"/>
  <c r="O26" i="6"/>
  <c r="S26" i="6" s="1"/>
  <c r="T26" i="6" s="1"/>
  <c r="K22" i="6"/>
  <c r="O18" i="6"/>
  <c r="V18" i="6" s="1"/>
  <c r="K20" i="7"/>
  <c r="K8" i="12"/>
  <c r="K36" i="13"/>
  <c r="K29" i="14"/>
  <c r="K19" i="14"/>
  <c r="K12" i="5"/>
  <c r="K30" i="9"/>
  <c r="K22" i="9"/>
  <c r="K14" i="9"/>
  <c r="J37" i="10"/>
  <c r="J14" i="1" s="1"/>
  <c r="R14" i="1" s="1"/>
  <c r="H36" i="2"/>
  <c r="O12" i="5"/>
  <c r="V12" i="5" s="1"/>
  <c r="M36" i="8"/>
  <c r="M12" i="26" s="1"/>
  <c r="T28" i="18"/>
  <c r="AB39" i="2"/>
  <c r="K18" i="2"/>
  <c r="AB39" i="3"/>
  <c r="K32" i="3"/>
  <c r="K16" i="3"/>
  <c r="K6" i="5"/>
  <c r="K28" i="7"/>
  <c r="K12" i="7"/>
  <c r="K18" i="9"/>
  <c r="AB40" i="10"/>
  <c r="K24" i="10"/>
  <c r="K8" i="10"/>
  <c r="M37" i="11"/>
  <c r="L37" i="11"/>
  <c r="S24" i="13"/>
  <c r="T24" i="13" s="1"/>
  <c r="S16" i="13"/>
  <c r="T16" i="13" s="1"/>
  <c r="K11" i="13"/>
  <c r="K12" i="17"/>
  <c r="P9" i="17"/>
  <c r="W9" i="17" s="1"/>
  <c r="K8" i="17"/>
  <c r="AB41" i="18"/>
  <c r="K10" i="2"/>
  <c r="K24" i="3"/>
  <c r="K8" i="3"/>
  <c r="AB39" i="4"/>
  <c r="F36" i="4"/>
  <c r="AB39" i="6"/>
  <c r="AB39" i="7"/>
  <c r="AB39" i="8"/>
  <c r="F36" i="8"/>
  <c r="AB39" i="9"/>
  <c r="AB40" i="13"/>
  <c r="S8" i="13"/>
  <c r="T8" i="13" s="1"/>
  <c r="L36" i="14"/>
  <c r="L18" i="26" s="1"/>
  <c r="AB39" i="16"/>
  <c r="K7" i="16"/>
  <c r="E36" i="16"/>
  <c r="E20" i="26" s="1"/>
  <c r="S20" i="17"/>
  <c r="E20" i="17"/>
  <c r="R9" i="17"/>
  <c r="Y9" i="17" s="1"/>
  <c r="S29" i="18"/>
  <c r="T29" i="18" s="1"/>
  <c r="S27" i="18"/>
  <c r="S25" i="18"/>
  <c r="T25" i="18" s="1"/>
  <c r="S23" i="18"/>
  <c r="S21" i="18"/>
  <c r="T21" i="18" s="1"/>
  <c r="S8" i="18"/>
  <c r="M36" i="2"/>
  <c r="K34" i="2"/>
  <c r="L36" i="3"/>
  <c r="M36" i="4"/>
  <c r="M8" i="26" s="1"/>
  <c r="K30" i="4"/>
  <c r="H36" i="5"/>
  <c r="H9" i="26" s="1"/>
  <c r="K26" i="2"/>
  <c r="K22" i="4"/>
  <c r="K10" i="6"/>
  <c r="K34" i="7"/>
  <c r="K26" i="7"/>
  <c r="K18" i="7"/>
  <c r="K10" i="7"/>
  <c r="K6" i="9"/>
  <c r="E37" i="10"/>
  <c r="K36" i="11"/>
  <c r="K32" i="11"/>
  <c r="S9" i="12"/>
  <c r="T9" i="12" s="1"/>
  <c r="S12" i="13"/>
  <c r="T12" i="13" s="1"/>
  <c r="G36" i="14"/>
  <c r="G18" i="26" s="1"/>
  <c r="S5" i="16"/>
  <c r="T5" i="16" s="1"/>
  <c r="K22" i="5"/>
  <c r="K20" i="5"/>
  <c r="O10" i="6"/>
  <c r="V10" i="6" s="1"/>
  <c r="O34" i="7"/>
  <c r="S34" i="7" s="1"/>
  <c r="T34" i="7" s="1"/>
  <c r="K32" i="7"/>
  <c r="K30" i="7"/>
  <c r="O26" i="7"/>
  <c r="S26" i="7" s="1"/>
  <c r="T26" i="7" s="1"/>
  <c r="K24" i="7"/>
  <c r="K22" i="7"/>
  <c r="O18" i="7"/>
  <c r="S18" i="7" s="1"/>
  <c r="T18" i="7" s="1"/>
  <c r="K16" i="7"/>
  <c r="K14" i="7"/>
  <c r="O10" i="7"/>
  <c r="S10" i="7" s="1"/>
  <c r="T10" i="7" s="1"/>
  <c r="K8" i="7"/>
  <c r="K6" i="7"/>
  <c r="O6" i="9"/>
  <c r="S6" i="9" s="1"/>
  <c r="T6" i="9" s="1"/>
  <c r="K33" i="10"/>
  <c r="K16" i="10"/>
  <c r="O36" i="11"/>
  <c r="V36" i="11" s="1"/>
  <c r="O32" i="11"/>
  <c r="S32" i="11" s="1"/>
  <c r="T32" i="11" s="1"/>
  <c r="K11" i="11"/>
  <c r="K7" i="11"/>
  <c r="S20" i="13"/>
  <c r="T20" i="13" s="1"/>
  <c r="L36" i="15"/>
  <c r="L19" i="26" s="1"/>
  <c r="K8" i="15"/>
  <c r="R36" i="16"/>
  <c r="R20" i="26" s="1"/>
  <c r="V5" i="16"/>
  <c r="K22" i="2"/>
  <c r="K34" i="4"/>
  <c r="K26" i="4"/>
  <c r="K18" i="4"/>
  <c r="K6" i="4"/>
  <c r="O6" i="4"/>
  <c r="V6" i="4" s="1"/>
  <c r="F36" i="2"/>
  <c r="F6" i="26" s="1"/>
  <c r="K30" i="2"/>
  <c r="O22" i="2"/>
  <c r="V22" i="2" s="1"/>
  <c r="K14" i="2"/>
  <c r="K6" i="2"/>
  <c r="F36" i="3"/>
  <c r="F7" i="26" s="1"/>
  <c r="M36" i="3"/>
  <c r="K28" i="3"/>
  <c r="K20" i="3"/>
  <c r="K12" i="3"/>
  <c r="O34" i="4"/>
  <c r="V34" i="4" s="1"/>
  <c r="O26" i="4"/>
  <c r="V26" i="4" s="1"/>
  <c r="O18" i="4"/>
  <c r="V18" i="4" s="1"/>
  <c r="K14" i="4"/>
  <c r="M36" i="5"/>
  <c r="M9" i="26" s="1"/>
  <c r="K28" i="5"/>
  <c r="R22" i="5"/>
  <c r="Y22" i="5" s="1"/>
  <c r="K16" i="5"/>
  <c r="K14" i="5"/>
  <c r="R6" i="5"/>
  <c r="Y6" i="5" s="1"/>
  <c r="H36" i="6"/>
  <c r="H10" i="26" s="1"/>
  <c r="M36" i="6"/>
  <c r="M10" i="26" s="1"/>
  <c r="K30" i="6"/>
  <c r="K28" i="6"/>
  <c r="K24" i="6"/>
  <c r="K20" i="6"/>
  <c r="H36" i="7"/>
  <c r="H11" i="26" s="1"/>
  <c r="L36" i="7"/>
  <c r="L11" i="26" s="1"/>
  <c r="K22" i="8"/>
  <c r="K14" i="8"/>
  <c r="K6" i="8"/>
  <c r="M36" i="9"/>
  <c r="M13" i="26" s="1"/>
  <c r="K32" i="9"/>
  <c r="K28" i="9"/>
  <c r="K24" i="9"/>
  <c r="K20" i="9"/>
  <c r="K16" i="9"/>
  <c r="K12" i="9"/>
  <c r="K10" i="9"/>
  <c r="K32" i="5"/>
  <c r="K24" i="5"/>
  <c r="K8" i="5"/>
  <c r="K34" i="6"/>
  <c r="K14" i="6"/>
  <c r="H36" i="8"/>
  <c r="H12" i="26" s="1"/>
  <c r="E36" i="8"/>
  <c r="E12" i="26" s="1"/>
  <c r="K26" i="8"/>
  <c r="K18" i="8"/>
  <c r="K10" i="8"/>
  <c r="O20" i="9"/>
  <c r="S20" i="9" s="1"/>
  <c r="T20" i="9" s="1"/>
  <c r="O16" i="9"/>
  <c r="V16" i="9" s="1"/>
  <c r="O12" i="9"/>
  <c r="S12" i="9" s="1"/>
  <c r="T12" i="9" s="1"/>
  <c r="O10" i="9"/>
  <c r="S10" i="9" s="1"/>
  <c r="T10" i="9" s="1"/>
  <c r="K31" i="11"/>
  <c r="K22" i="11"/>
  <c r="K27" i="12"/>
  <c r="S7" i="12"/>
  <c r="T7" i="12" s="1"/>
  <c r="K23" i="13"/>
  <c r="S22" i="13"/>
  <c r="T22" i="13" s="1"/>
  <c r="K15" i="13"/>
  <c r="S14" i="13"/>
  <c r="T14" i="13" s="1"/>
  <c r="K7" i="13"/>
  <c r="S6" i="13"/>
  <c r="T6" i="13" s="1"/>
  <c r="K15" i="14"/>
  <c r="K11" i="14"/>
  <c r="K6" i="15"/>
  <c r="K15" i="17"/>
  <c r="K6" i="17"/>
  <c r="K8" i="9"/>
  <c r="G37" i="10"/>
  <c r="K28" i="10"/>
  <c r="K20" i="10"/>
  <c r="K12" i="10"/>
  <c r="E37" i="11"/>
  <c r="K34" i="11"/>
  <c r="O31" i="11"/>
  <c r="S31" i="11" s="1"/>
  <c r="T31" i="11" s="1"/>
  <c r="K26" i="11"/>
  <c r="O22" i="11"/>
  <c r="S22" i="11" s="1"/>
  <c r="T22" i="11" s="1"/>
  <c r="K18" i="11"/>
  <c r="K13" i="11"/>
  <c r="K9" i="11"/>
  <c r="F37" i="12"/>
  <c r="F38" i="12" s="1"/>
  <c r="F39" i="12" s="1"/>
  <c r="K32" i="12"/>
  <c r="O27" i="12"/>
  <c r="V27" i="12" s="1"/>
  <c r="S18" i="13"/>
  <c r="T18" i="13" s="1"/>
  <c r="S10" i="13"/>
  <c r="T10" i="13" s="1"/>
  <c r="K23" i="14"/>
  <c r="K21" i="14"/>
  <c r="K7" i="14"/>
  <c r="K32" i="2"/>
  <c r="K24" i="2"/>
  <c r="K16" i="2"/>
  <c r="K8" i="2"/>
  <c r="K30" i="3"/>
  <c r="K22" i="3"/>
  <c r="K14" i="3"/>
  <c r="O32" i="2"/>
  <c r="V32" i="2" s="1"/>
  <c r="K28" i="2"/>
  <c r="O24" i="2"/>
  <c r="V24" i="2" s="1"/>
  <c r="K20" i="2"/>
  <c r="O16" i="2"/>
  <c r="V16" i="2" s="1"/>
  <c r="K12" i="2"/>
  <c r="O8" i="2"/>
  <c r="V8" i="2" s="1"/>
  <c r="H36" i="3"/>
  <c r="H7" i="26" s="1"/>
  <c r="K34" i="3"/>
  <c r="O30" i="3"/>
  <c r="V30" i="3" s="1"/>
  <c r="K26" i="3"/>
  <c r="O22" i="3"/>
  <c r="V22" i="3" s="1"/>
  <c r="K18" i="3"/>
  <c r="O14" i="3"/>
  <c r="V14" i="3" s="1"/>
  <c r="K6" i="3"/>
  <c r="K28" i="4"/>
  <c r="K20" i="4"/>
  <c r="S13" i="4"/>
  <c r="T13" i="4" s="1"/>
  <c r="S22" i="6"/>
  <c r="T22" i="6" s="1"/>
  <c r="M36" i="7"/>
  <c r="M11" i="26" s="1"/>
  <c r="K10" i="3"/>
  <c r="O6" i="3"/>
  <c r="V6" i="3" s="1"/>
  <c r="L36" i="4"/>
  <c r="L37" i="4" s="1"/>
  <c r="L38" i="4" s="1"/>
  <c r="K32" i="4"/>
  <c r="O28" i="4"/>
  <c r="V28" i="4" s="1"/>
  <c r="K24" i="4"/>
  <c r="O20" i="4"/>
  <c r="V20" i="4" s="1"/>
  <c r="K16" i="4"/>
  <c r="K12" i="4"/>
  <c r="K10" i="4"/>
  <c r="K8" i="4"/>
  <c r="F36" i="5"/>
  <c r="K34" i="5"/>
  <c r="K30" i="5"/>
  <c r="K26" i="5"/>
  <c r="K18" i="5"/>
  <c r="K10" i="5"/>
  <c r="F36" i="6"/>
  <c r="F10" i="26" s="1"/>
  <c r="K32" i="6"/>
  <c r="R24" i="6"/>
  <c r="Y24" i="6" s="1"/>
  <c r="R20" i="6"/>
  <c r="Y20" i="6" s="1"/>
  <c r="K16" i="6"/>
  <c r="K12" i="6"/>
  <c r="K8" i="6"/>
  <c r="K6" i="6"/>
  <c r="F36" i="7"/>
  <c r="R32" i="7"/>
  <c r="Y32" i="7" s="1"/>
  <c r="R28" i="7"/>
  <c r="Y28" i="7" s="1"/>
  <c r="R24" i="7"/>
  <c r="Y24" i="7" s="1"/>
  <c r="R20" i="7"/>
  <c r="Y20" i="7" s="1"/>
  <c r="R16" i="7"/>
  <c r="Y16" i="7" s="1"/>
  <c r="R12" i="7"/>
  <c r="Y12" i="7" s="1"/>
  <c r="R8" i="7"/>
  <c r="Y8" i="7" s="1"/>
  <c r="L36" i="8"/>
  <c r="L12" i="26" s="1"/>
  <c r="K34" i="8"/>
  <c r="K32" i="8"/>
  <c r="K30" i="8"/>
  <c r="K28" i="8"/>
  <c r="O26" i="8"/>
  <c r="S26" i="8" s="1"/>
  <c r="T26" i="8" s="1"/>
  <c r="K24" i="8"/>
  <c r="H36" i="9"/>
  <c r="H13" i="26" s="1"/>
  <c r="G36" i="9"/>
  <c r="G13" i="26" s="1"/>
  <c r="E36" i="9"/>
  <c r="E13" i="26" s="1"/>
  <c r="L37" i="10"/>
  <c r="H37" i="10"/>
  <c r="F37" i="10"/>
  <c r="F14" i="1" s="1"/>
  <c r="N14" i="1" s="1"/>
  <c r="M37" i="10"/>
  <c r="K35" i="10"/>
  <c r="K31" i="10"/>
  <c r="K26" i="10"/>
  <c r="K22" i="10"/>
  <c r="K18" i="10"/>
  <c r="K14" i="10"/>
  <c r="K10" i="10"/>
  <c r="K6" i="10"/>
  <c r="J37" i="11"/>
  <c r="K5" i="11"/>
  <c r="K36" i="12"/>
  <c r="S30" i="7"/>
  <c r="T30" i="7" s="1"/>
  <c r="S22" i="7"/>
  <c r="T22" i="7" s="1"/>
  <c r="S14" i="7"/>
  <c r="T14" i="7" s="1"/>
  <c r="S6" i="7"/>
  <c r="T6" i="7" s="1"/>
  <c r="K20" i="8"/>
  <c r="K16" i="8"/>
  <c r="K12" i="8"/>
  <c r="K8" i="8"/>
  <c r="K28" i="11"/>
  <c r="K24" i="11"/>
  <c r="K20" i="11"/>
  <c r="K15" i="11"/>
  <c r="J37" i="12"/>
  <c r="K34" i="12"/>
  <c r="M37" i="12"/>
  <c r="E37" i="12"/>
  <c r="E38" i="12" s="1"/>
  <c r="E39" i="12" s="1"/>
  <c r="K23" i="12"/>
  <c r="K19" i="12"/>
  <c r="K15" i="12"/>
  <c r="S10" i="12"/>
  <c r="T10" i="12" s="1"/>
  <c r="K10" i="12"/>
  <c r="S6" i="12"/>
  <c r="T6" i="12" s="1"/>
  <c r="K6" i="12"/>
  <c r="K34" i="13"/>
  <c r="K29" i="13"/>
  <c r="K25" i="13"/>
  <c r="S21" i="13"/>
  <c r="T21" i="13" s="1"/>
  <c r="K21" i="13"/>
  <c r="S17" i="13"/>
  <c r="T17" i="13" s="1"/>
  <c r="K17" i="13"/>
  <c r="S13" i="13"/>
  <c r="T13" i="13" s="1"/>
  <c r="K13" i="13"/>
  <c r="S9" i="13"/>
  <c r="T9" i="13" s="1"/>
  <c r="K9" i="13"/>
  <c r="S5" i="13"/>
  <c r="T5" i="13" s="1"/>
  <c r="K5" i="13"/>
  <c r="K17" i="14"/>
  <c r="S7" i="16"/>
  <c r="T7" i="16" s="1"/>
  <c r="K32" i="18"/>
  <c r="K29" i="12"/>
  <c r="K25" i="12"/>
  <c r="K21" i="12"/>
  <c r="K17" i="12"/>
  <c r="K13" i="12"/>
  <c r="S8" i="12"/>
  <c r="T8" i="12" s="1"/>
  <c r="S36" i="13"/>
  <c r="T36" i="13" s="1"/>
  <c r="K32" i="13"/>
  <c r="K27" i="13"/>
  <c r="S23" i="13"/>
  <c r="T23" i="13" s="1"/>
  <c r="S19" i="13"/>
  <c r="T19" i="13" s="1"/>
  <c r="S15" i="13"/>
  <c r="T15" i="13" s="1"/>
  <c r="S11" i="13"/>
  <c r="T11" i="13" s="1"/>
  <c r="S7" i="13"/>
  <c r="T7" i="13" s="1"/>
  <c r="K35" i="14"/>
  <c r="J36" i="14"/>
  <c r="J18" i="26" s="1"/>
  <c r="K31" i="14"/>
  <c r="K27" i="14"/>
  <c r="O17" i="14"/>
  <c r="V17" i="14" s="1"/>
  <c r="K13" i="14"/>
  <c r="K9" i="14"/>
  <c r="K5" i="14"/>
  <c r="K13" i="15"/>
  <c r="K11" i="15"/>
  <c r="K10" i="17"/>
  <c r="Y12" i="4"/>
  <c r="Y10" i="4"/>
  <c r="Y8" i="4"/>
  <c r="Y30" i="1"/>
  <c r="L27" i="1"/>
  <c r="L36" i="2"/>
  <c r="L6" i="1" s="1"/>
  <c r="K31" i="2"/>
  <c r="K27" i="2"/>
  <c r="K23" i="2"/>
  <c r="K19" i="2"/>
  <c r="K15" i="2"/>
  <c r="K11" i="2"/>
  <c r="K7" i="2"/>
  <c r="K33" i="3"/>
  <c r="K29" i="3"/>
  <c r="K25" i="3"/>
  <c r="K21" i="3"/>
  <c r="K17" i="3"/>
  <c r="K13" i="3"/>
  <c r="K9" i="3"/>
  <c r="K5" i="3"/>
  <c r="H36" i="4"/>
  <c r="H8" i="26" s="1"/>
  <c r="K35" i="4"/>
  <c r="K31" i="4"/>
  <c r="K27" i="4"/>
  <c r="K23" i="4"/>
  <c r="K19" i="4"/>
  <c r="K15" i="4"/>
  <c r="V13" i="4"/>
  <c r="K31" i="5"/>
  <c r="K27" i="5"/>
  <c r="K35" i="2"/>
  <c r="K33" i="2"/>
  <c r="K29" i="2"/>
  <c r="K25" i="2"/>
  <c r="K21" i="2"/>
  <c r="K17" i="2"/>
  <c r="K13" i="2"/>
  <c r="K9" i="2"/>
  <c r="K5" i="2"/>
  <c r="K35" i="3"/>
  <c r="K31" i="3"/>
  <c r="K27" i="3"/>
  <c r="K23" i="3"/>
  <c r="K19" i="3"/>
  <c r="K15" i="3"/>
  <c r="K11" i="3"/>
  <c r="K7" i="3"/>
  <c r="K33" i="4"/>
  <c r="K29" i="4"/>
  <c r="K25" i="4"/>
  <c r="K21" i="4"/>
  <c r="K17" i="4"/>
  <c r="K33" i="5"/>
  <c r="K29" i="5"/>
  <c r="Y34" i="8"/>
  <c r="Y32" i="8"/>
  <c r="Y30" i="8"/>
  <c r="U31" i="11"/>
  <c r="W19" i="11"/>
  <c r="P37" i="11"/>
  <c r="U18" i="11"/>
  <c r="N37" i="11"/>
  <c r="K25" i="5"/>
  <c r="K21" i="5"/>
  <c r="K17" i="5"/>
  <c r="K13" i="5"/>
  <c r="K9" i="5"/>
  <c r="K5" i="5"/>
  <c r="K35" i="6"/>
  <c r="K31" i="6"/>
  <c r="L36" i="6"/>
  <c r="L10" i="26" s="1"/>
  <c r="K27" i="6"/>
  <c r="K23" i="6"/>
  <c r="K19" i="6"/>
  <c r="K15" i="6"/>
  <c r="S12" i="6"/>
  <c r="T12" i="6" s="1"/>
  <c r="K11" i="6"/>
  <c r="K7" i="6"/>
  <c r="K35" i="7"/>
  <c r="K31" i="7"/>
  <c r="K27" i="7"/>
  <c r="K23" i="7"/>
  <c r="K19" i="7"/>
  <c r="K15" i="7"/>
  <c r="K11" i="7"/>
  <c r="K7" i="7"/>
  <c r="K35" i="8"/>
  <c r="S34" i="8"/>
  <c r="T34" i="8" s="1"/>
  <c r="K33" i="8"/>
  <c r="S32" i="8"/>
  <c r="T32" i="8" s="1"/>
  <c r="K31" i="8"/>
  <c r="S30" i="8"/>
  <c r="T30" i="8" s="1"/>
  <c r="K29" i="8"/>
  <c r="K27" i="8"/>
  <c r="S24" i="8"/>
  <c r="T24" i="8" s="1"/>
  <c r="K23" i="8"/>
  <c r="O20" i="8"/>
  <c r="S20" i="8" s="1"/>
  <c r="T20" i="8" s="1"/>
  <c r="K19" i="8"/>
  <c r="O16" i="8"/>
  <c r="S16" i="8" s="1"/>
  <c r="T16" i="8" s="1"/>
  <c r="K15" i="8"/>
  <c r="O12" i="8"/>
  <c r="S12" i="8" s="1"/>
  <c r="T12" i="8" s="1"/>
  <c r="K11" i="8"/>
  <c r="O8" i="8"/>
  <c r="S8" i="8" s="1"/>
  <c r="T8" i="8" s="1"/>
  <c r="K7" i="8"/>
  <c r="K36" i="10"/>
  <c r="K34" i="10"/>
  <c r="K32" i="10"/>
  <c r="K29" i="10"/>
  <c r="K27" i="10"/>
  <c r="K25" i="10"/>
  <c r="K23" i="10"/>
  <c r="K21" i="10"/>
  <c r="K19" i="10"/>
  <c r="K17" i="10"/>
  <c r="K15" i="10"/>
  <c r="K13" i="10"/>
  <c r="K11" i="10"/>
  <c r="K9" i="10"/>
  <c r="K7" i="10"/>
  <c r="K5" i="10"/>
  <c r="H37" i="11"/>
  <c r="F37" i="11"/>
  <c r="O28" i="11"/>
  <c r="S28" i="11" s="1"/>
  <c r="T28" i="11" s="1"/>
  <c r="K27" i="11"/>
  <c r="O24" i="11"/>
  <c r="S24" i="11" s="1"/>
  <c r="T24" i="11" s="1"/>
  <c r="K23" i="11"/>
  <c r="O20" i="11"/>
  <c r="S20" i="11" s="1"/>
  <c r="T20" i="11" s="1"/>
  <c r="K19" i="11"/>
  <c r="K16" i="11"/>
  <c r="O15" i="11"/>
  <c r="V15" i="11" s="1"/>
  <c r="K14" i="11"/>
  <c r="S13" i="11"/>
  <c r="T13" i="11" s="1"/>
  <c r="N36" i="14"/>
  <c r="N18" i="26" s="1"/>
  <c r="U23" i="14"/>
  <c r="K23" i="5"/>
  <c r="K19" i="5"/>
  <c r="K15" i="5"/>
  <c r="K11" i="5"/>
  <c r="K7" i="5"/>
  <c r="K33" i="6"/>
  <c r="K29" i="6"/>
  <c r="K25" i="6"/>
  <c r="K21" i="6"/>
  <c r="K17" i="6"/>
  <c r="K13" i="6"/>
  <c r="K9" i="6"/>
  <c r="K5" i="6"/>
  <c r="K33" i="7"/>
  <c r="K29" i="7"/>
  <c r="K25" i="7"/>
  <c r="K21" i="7"/>
  <c r="K17" i="7"/>
  <c r="K13" i="7"/>
  <c r="K9" i="7"/>
  <c r="K5" i="7"/>
  <c r="K25" i="8"/>
  <c r="S22" i="8"/>
  <c r="T22" i="8" s="1"/>
  <c r="K21" i="8"/>
  <c r="S18" i="8"/>
  <c r="T18" i="8" s="1"/>
  <c r="K17" i="8"/>
  <c r="S14" i="8"/>
  <c r="T14" i="8" s="1"/>
  <c r="K13" i="8"/>
  <c r="S10" i="8"/>
  <c r="T10" i="8" s="1"/>
  <c r="K9" i="8"/>
  <c r="S6" i="8"/>
  <c r="T6" i="8" s="1"/>
  <c r="K5" i="8"/>
  <c r="K35" i="9"/>
  <c r="S34" i="9"/>
  <c r="T34" i="9" s="1"/>
  <c r="K33" i="9"/>
  <c r="S32" i="9"/>
  <c r="T32" i="9" s="1"/>
  <c r="K31" i="9"/>
  <c r="S30" i="9"/>
  <c r="T30" i="9" s="1"/>
  <c r="K29" i="9"/>
  <c r="S28" i="9"/>
  <c r="T28" i="9" s="1"/>
  <c r="K27" i="9"/>
  <c r="S26" i="9"/>
  <c r="T26" i="9" s="1"/>
  <c r="K25" i="9"/>
  <c r="S24" i="9"/>
  <c r="T24" i="9" s="1"/>
  <c r="K23" i="9"/>
  <c r="S22" i="9"/>
  <c r="T22" i="9" s="1"/>
  <c r="K21" i="9"/>
  <c r="K19" i="9"/>
  <c r="S18" i="9"/>
  <c r="T18" i="9" s="1"/>
  <c r="K17" i="9"/>
  <c r="K15" i="9"/>
  <c r="S14" i="9"/>
  <c r="T14" i="9" s="1"/>
  <c r="K13" i="9"/>
  <c r="K11" i="9"/>
  <c r="K9" i="9"/>
  <c r="S8" i="9"/>
  <c r="T8" i="9" s="1"/>
  <c r="K7" i="9"/>
  <c r="K5" i="9"/>
  <c r="K35" i="11"/>
  <c r="S34" i="11"/>
  <c r="T34" i="11" s="1"/>
  <c r="K33" i="11"/>
  <c r="K29" i="11"/>
  <c r="S26" i="11"/>
  <c r="T26" i="11" s="1"/>
  <c r="K25" i="11"/>
  <c r="K21" i="11"/>
  <c r="S18" i="11"/>
  <c r="T18" i="11" s="1"/>
  <c r="K17" i="11"/>
  <c r="K12" i="11"/>
  <c r="U27" i="12"/>
  <c r="N37" i="12"/>
  <c r="P14" i="17"/>
  <c r="P24" i="26" s="1"/>
  <c r="W15" i="17"/>
  <c r="S11" i="11"/>
  <c r="T11" i="11" s="1"/>
  <c r="K10" i="11"/>
  <c r="S9" i="11"/>
  <c r="T9" i="11" s="1"/>
  <c r="K8" i="11"/>
  <c r="S7" i="11"/>
  <c r="T7" i="11" s="1"/>
  <c r="K6" i="11"/>
  <c r="S5" i="11"/>
  <c r="T5" i="11" s="1"/>
  <c r="S36" i="12"/>
  <c r="T36" i="12" s="1"/>
  <c r="K35" i="12"/>
  <c r="S32" i="12"/>
  <c r="T32" i="12" s="1"/>
  <c r="K31" i="12"/>
  <c r="K26" i="12"/>
  <c r="K5" i="12"/>
  <c r="S25" i="13"/>
  <c r="T25" i="13" s="1"/>
  <c r="S33" i="14"/>
  <c r="T33" i="14" s="1"/>
  <c r="K32" i="14"/>
  <c r="S29" i="14"/>
  <c r="T29" i="14" s="1"/>
  <c r="K28" i="14"/>
  <c r="S25" i="14"/>
  <c r="T25" i="14" s="1"/>
  <c r="K24" i="14"/>
  <c r="S23" i="14"/>
  <c r="T23" i="14" s="1"/>
  <c r="K18" i="14"/>
  <c r="K14" i="14"/>
  <c r="K10" i="14"/>
  <c r="K6" i="14"/>
  <c r="K14" i="15"/>
  <c r="S13" i="15"/>
  <c r="T13" i="15" s="1"/>
  <c r="K12" i="15"/>
  <c r="S11" i="15"/>
  <c r="T11" i="15" s="1"/>
  <c r="K10" i="15"/>
  <c r="S9" i="15"/>
  <c r="T9" i="15" s="1"/>
  <c r="K5" i="15"/>
  <c r="O36" i="16"/>
  <c r="O20" i="26" s="1"/>
  <c r="J36" i="16"/>
  <c r="J20" i="26" s="1"/>
  <c r="V7" i="16"/>
  <c r="K5" i="16"/>
  <c r="N14" i="17"/>
  <c r="N24" i="26" s="1"/>
  <c r="L14" i="17"/>
  <c r="J14" i="17"/>
  <c r="G14" i="17"/>
  <c r="O10" i="17"/>
  <c r="S10" i="17" s="1"/>
  <c r="T10" i="17" s="1"/>
  <c r="K9" i="17"/>
  <c r="K34" i="18"/>
  <c r="K31" i="26" s="1"/>
  <c r="O32" i="18"/>
  <c r="J30" i="18"/>
  <c r="K5" i="18"/>
  <c r="G37" i="12"/>
  <c r="O34" i="12"/>
  <c r="S34" i="12" s="1"/>
  <c r="T34" i="12" s="1"/>
  <c r="K33" i="12"/>
  <c r="O29" i="12"/>
  <c r="S29" i="12" s="1"/>
  <c r="T29" i="12" s="1"/>
  <c r="K28" i="12"/>
  <c r="O25" i="12"/>
  <c r="S25" i="12" s="1"/>
  <c r="T25" i="12" s="1"/>
  <c r="K24" i="12"/>
  <c r="O23" i="12"/>
  <c r="V23" i="12" s="1"/>
  <c r="K22" i="12"/>
  <c r="O21" i="12"/>
  <c r="V21" i="12" s="1"/>
  <c r="K20" i="12"/>
  <c r="O19" i="12"/>
  <c r="V19" i="12" s="1"/>
  <c r="K18" i="12"/>
  <c r="O17" i="12"/>
  <c r="V17" i="12" s="1"/>
  <c r="K16" i="12"/>
  <c r="O15" i="12"/>
  <c r="V15" i="12" s="1"/>
  <c r="K14" i="12"/>
  <c r="O13" i="12"/>
  <c r="V13" i="12" s="1"/>
  <c r="K12" i="12"/>
  <c r="S11" i="12"/>
  <c r="T11" i="12" s="1"/>
  <c r="K11" i="12"/>
  <c r="V10" i="12"/>
  <c r="K9" i="12"/>
  <c r="V8" i="12"/>
  <c r="K7" i="12"/>
  <c r="V6" i="12"/>
  <c r="J37" i="13"/>
  <c r="V36" i="13"/>
  <c r="L37" i="13"/>
  <c r="K35" i="13"/>
  <c r="O34" i="13"/>
  <c r="V34" i="13" s="1"/>
  <c r="K33" i="13"/>
  <c r="O32" i="13"/>
  <c r="V32" i="13" s="1"/>
  <c r="K31" i="13"/>
  <c r="O29" i="13"/>
  <c r="V29" i="13" s="1"/>
  <c r="K28" i="13"/>
  <c r="O27" i="13"/>
  <c r="V27" i="13" s="1"/>
  <c r="K26" i="13"/>
  <c r="K24" i="13"/>
  <c r="V23" i="13"/>
  <c r="K22" i="13"/>
  <c r="V21" i="13"/>
  <c r="K20" i="13"/>
  <c r="V19" i="13"/>
  <c r="K18" i="13"/>
  <c r="V17" i="13"/>
  <c r="K16" i="13"/>
  <c r="V15" i="13"/>
  <c r="K14" i="13"/>
  <c r="V13" i="13"/>
  <c r="K12" i="13"/>
  <c r="V11" i="13"/>
  <c r="K10" i="13"/>
  <c r="V9" i="13"/>
  <c r="K8" i="13"/>
  <c r="V7" i="13"/>
  <c r="K6" i="13"/>
  <c r="V5" i="13"/>
  <c r="F36" i="14"/>
  <c r="F18" i="26" s="1"/>
  <c r="O35" i="14"/>
  <c r="S35" i="14" s="1"/>
  <c r="T35" i="14" s="1"/>
  <c r="M36" i="14"/>
  <c r="M18" i="26" s="1"/>
  <c r="K34" i="14"/>
  <c r="O31" i="14"/>
  <c r="S31" i="14" s="1"/>
  <c r="T31" i="14" s="1"/>
  <c r="K30" i="14"/>
  <c r="O27" i="14"/>
  <c r="S27" i="14" s="1"/>
  <c r="T27" i="14" s="1"/>
  <c r="K26" i="14"/>
  <c r="K20" i="14"/>
  <c r="K16" i="14"/>
  <c r="K12" i="14"/>
  <c r="K8" i="14"/>
  <c r="K9" i="15"/>
  <c r="S8" i="15"/>
  <c r="T8" i="15" s="1"/>
  <c r="K7" i="15"/>
  <c r="S6" i="15"/>
  <c r="T6" i="15" s="1"/>
  <c r="K16" i="17"/>
  <c r="O14" i="17"/>
  <c r="O24" i="26" s="1"/>
  <c r="M14" i="17"/>
  <c r="H14" i="17"/>
  <c r="F14" i="17"/>
  <c r="S12" i="17"/>
  <c r="T12" i="17" s="1"/>
  <c r="K11" i="17"/>
  <c r="S8" i="17"/>
  <c r="T8" i="17" s="1"/>
  <c r="K7" i="17"/>
  <c r="K14" i="18"/>
  <c r="K30" i="18" s="1"/>
  <c r="S30" i="1"/>
  <c r="R29" i="1"/>
  <c r="Y29" i="1" s="1"/>
  <c r="O29" i="1"/>
  <c r="V28" i="1"/>
  <c r="U34" i="2"/>
  <c r="W30" i="2"/>
  <c r="U30" i="2"/>
  <c r="S30" i="2"/>
  <c r="W26" i="2"/>
  <c r="U26" i="2"/>
  <c r="S26" i="2"/>
  <c r="W22" i="2"/>
  <c r="U22" i="2"/>
  <c r="W18" i="2"/>
  <c r="U18" i="2"/>
  <c r="S18" i="2"/>
  <c r="W14" i="2"/>
  <c r="U14" i="2"/>
  <c r="S14" i="2"/>
  <c r="W10" i="2"/>
  <c r="U10" i="2"/>
  <c r="S10" i="2"/>
  <c r="W6" i="2"/>
  <c r="U6" i="2"/>
  <c r="S6" i="2"/>
  <c r="N36" i="2"/>
  <c r="N6" i="26" s="1"/>
  <c r="Y5" i="2"/>
  <c r="R36" i="2"/>
  <c r="R6" i="26" s="1"/>
  <c r="W32" i="3"/>
  <c r="U32" i="3"/>
  <c r="S32" i="3"/>
  <c r="W28" i="3"/>
  <c r="U28" i="3"/>
  <c r="S28" i="3"/>
  <c r="W24" i="3"/>
  <c r="U24" i="3"/>
  <c r="S24" i="3"/>
  <c r="W20" i="3"/>
  <c r="U20" i="3"/>
  <c r="S20" i="3"/>
  <c r="W16" i="3"/>
  <c r="U16" i="3"/>
  <c r="S16" i="3"/>
  <c r="W12" i="3"/>
  <c r="U12" i="3"/>
  <c r="S12" i="3"/>
  <c r="W8" i="3"/>
  <c r="U8" i="3"/>
  <c r="S8" i="3"/>
  <c r="W34" i="4"/>
  <c r="U34" i="4"/>
  <c r="W30" i="4"/>
  <c r="U30" i="4"/>
  <c r="S30" i="4"/>
  <c r="W26" i="4"/>
  <c r="U26" i="4"/>
  <c r="W22" i="4"/>
  <c r="U22" i="4"/>
  <c r="S22" i="4"/>
  <c r="W18" i="4"/>
  <c r="U18" i="4"/>
  <c r="W14" i="4"/>
  <c r="P36" i="4"/>
  <c r="P8" i="26" s="1"/>
  <c r="U14" i="4"/>
  <c r="S14" i="4"/>
  <c r="N36" i="4"/>
  <c r="N8" i="26" s="1"/>
  <c r="AB38" i="1"/>
  <c r="U30" i="1"/>
  <c r="Y28" i="1"/>
  <c r="M27" i="1"/>
  <c r="H27" i="1"/>
  <c r="P28" i="1"/>
  <c r="F27" i="1"/>
  <c r="N28" i="1"/>
  <c r="J27" i="1"/>
  <c r="W32" i="2"/>
  <c r="U32" i="2"/>
  <c r="W28" i="2"/>
  <c r="U28" i="2"/>
  <c r="S28" i="2"/>
  <c r="W24" i="2"/>
  <c r="U24" i="2"/>
  <c r="W20" i="2"/>
  <c r="U20" i="2"/>
  <c r="S20" i="2"/>
  <c r="W16" i="2"/>
  <c r="U16" i="2"/>
  <c r="W12" i="2"/>
  <c r="U12" i="2"/>
  <c r="S12" i="2"/>
  <c r="W8" i="2"/>
  <c r="U8" i="2"/>
  <c r="W34" i="3"/>
  <c r="U34" i="3"/>
  <c r="S34" i="3"/>
  <c r="W30" i="3"/>
  <c r="U30" i="3"/>
  <c r="W26" i="3"/>
  <c r="U26" i="3"/>
  <c r="S26" i="3"/>
  <c r="W22" i="3"/>
  <c r="U22" i="3"/>
  <c r="W18" i="3"/>
  <c r="U18" i="3"/>
  <c r="S18" i="3"/>
  <c r="W14" i="3"/>
  <c r="U14" i="3"/>
  <c r="W10" i="3"/>
  <c r="U10" i="3"/>
  <c r="S10" i="3"/>
  <c r="W6" i="3"/>
  <c r="P36" i="3"/>
  <c r="P7" i="26" s="1"/>
  <c r="U6" i="3"/>
  <c r="N36" i="3"/>
  <c r="N7" i="26" s="1"/>
  <c r="Y5" i="3"/>
  <c r="R36" i="3"/>
  <c r="R7" i="26" s="1"/>
  <c r="W32" i="4"/>
  <c r="U32" i="4"/>
  <c r="S32" i="4"/>
  <c r="W28" i="4"/>
  <c r="U28" i="4"/>
  <c r="W24" i="4"/>
  <c r="U24" i="4"/>
  <c r="S24" i="4"/>
  <c r="W20" i="4"/>
  <c r="U20" i="4"/>
  <c r="W16" i="4"/>
  <c r="U16" i="4"/>
  <c r="S16" i="4"/>
  <c r="Y15" i="4"/>
  <c r="R36" i="4"/>
  <c r="R8" i="26" s="1"/>
  <c r="J36" i="2"/>
  <c r="J6" i="26" s="1"/>
  <c r="G36" i="2"/>
  <c r="G6" i="26" s="1"/>
  <c r="E36" i="2"/>
  <c r="E6" i="26" s="1"/>
  <c r="O35" i="2"/>
  <c r="P34" i="2"/>
  <c r="O33" i="2"/>
  <c r="O31" i="2"/>
  <c r="O29" i="2"/>
  <c r="O27" i="2"/>
  <c r="O25" i="2"/>
  <c r="O23" i="2"/>
  <c r="O21" i="2"/>
  <c r="O19" i="2"/>
  <c r="O17" i="2"/>
  <c r="O15" i="2"/>
  <c r="O13" i="2"/>
  <c r="O11" i="2"/>
  <c r="O9" i="2"/>
  <c r="O7" i="2"/>
  <c r="J36" i="3"/>
  <c r="J7" i="26" s="1"/>
  <c r="G36" i="3"/>
  <c r="G7" i="26" s="1"/>
  <c r="E36" i="3"/>
  <c r="E7" i="26" s="1"/>
  <c r="O35" i="3"/>
  <c r="O33" i="3"/>
  <c r="O31" i="3"/>
  <c r="O29" i="3"/>
  <c r="O27" i="3"/>
  <c r="O25" i="3"/>
  <c r="O23" i="3"/>
  <c r="O21" i="3"/>
  <c r="O19" i="3"/>
  <c r="O17" i="3"/>
  <c r="O15" i="3"/>
  <c r="O13" i="3"/>
  <c r="O11" i="3"/>
  <c r="O9" i="3"/>
  <c r="O7" i="3"/>
  <c r="J36" i="4"/>
  <c r="J8" i="26" s="1"/>
  <c r="G36" i="4"/>
  <c r="G8" i="26" s="1"/>
  <c r="E36" i="4"/>
  <c r="E8" i="26" s="1"/>
  <c r="O35" i="4"/>
  <c r="O33" i="4"/>
  <c r="O31" i="4"/>
  <c r="O29" i="4"/>
  <c r="O27" i="4"/>
  <c r="O25" i="4"/>
  <c r="O23" i="4"/>
  <c r="O21" i="4"/>
  <c r="O19" i="4"/>
  <c r="O17" i="4"/>
  <c r="O15" i="4"/>
  <c r="W13" i="4"/>
  <c r="K13" i="4"/>
  <c r="K11" i="4"/>
  <c r="O11" i="4"/>
  <c r="K9" i="4"/>
  <c r="O9" i="4"/>
  <c r="K7" i="4"/>
  <c r="O7" i="4"/>
  <c r="K5" i="4"/>
  <c r="S34" i="5"/>
  <c r="W30" i="5"/>
  <c r="S30" i="5"/>
  <c r="U30" i="5"/>
  <c r="L36" i="5"/>
  <c r="L9" i="26" s="1"/>
  <c r="W26" i="5"/>
  <c r="S26" i="5"/>
  <c r="U26" i="5"/>
  <c r="W22" i="5"/>
  <c r="U22" i="5"/>
  <c r="W18" i="5"/>
  <c r="S18" i="5"/>
  <c r="U18" i="5"/>
  <c r="W14" i="5"/>
  <c r="S14" i="5"/>
  <c r="U14" i="5"/>
  <c r="W10" i="5"/>
  <c r="S10" i="5"/>
  <c r="U10" i="5"/>
  <c r="P36" i="5"/>
  <c r="P9" i="26" s="1"/>
  <c r="W6" i="5"/>
  <c r="N36" i="5"/>
  <c r="N9" i="26" s="1"/>
  <c r="U6" i="5"/>
  <c r="W32" i="6"/>
  <c r="S32" i="6"/>
  <c r="U32" i="6"/>
  <c r="W28" i="6"/>
  <c r="S28" i="6"/>
  <c r="U28" i="6"/>
  <c r="W24" i="6"/>
  <c r="W20" i="6"/>
  <c r="W16" i="6"/>
  <c r="S16" i="6"/>
  <c r="U16" i="6"/>
  <c r="W12" i="6"/>
  <c r="W8" i="6"/>
  <c r="S8" i="6"/>
  <c r="U8" i="6"/>
  <c r="W32" i="7"/>
  <c r="W28" i="7"/>
  <c r="W24" i="7"/>
  <c r="W20" i="7"/>
  <c r="W16" i="7"/>
  <c r="W12" i="7"/>
  <c r="W8" i="7"/>
  <c r="S33" i="8"/>
  <c r="Y33" i="8"/>
  <c r="S31" i="8"/>
  <c r="Y31" i="8"/>
  <c r="S29" i="8"/>
  <c r="Y29" i="8"/>
  <c r="R36" i="8"/>
  <c r="R12" i="26" s="1"/>
  <c r="S12" i="4"/>
  <c r="S10" i="4"/>
  <c r="S8" i="4"/>
  <c r="AB39" i="5"/>
  <c r="K35" i="5"/>
  <c r="O35" i="5"/>
  <c r="U34" i="5"/>
  <c r="W32" i="5"/>
  <c r="S32" i="5"/>
  <c r="U32" i="5"/>
  <c r="W28" i="5"/>
  <c r="S28" i="5"/>
  <c r="U28" i="5"/>
  <c r="W24" i="5"/>
  <c r="S24" i="5"/>
  <c r="U24" i="5"/>
  <c r="W20" i="5"/>
  <c r="S20" i="5"/>
  <c r="U20" i="5"/>
  <c r="W16" i="5"/>
  <c r="S16" i="5"/>
  <c r="U16" i="5"/>
  <c r="W12" i="5"/>
  <c r="U12" i="5"/>
  <c r="W8" i="5"/>
  <c r="S8" i="5"/>
  <c r="U8" i="5"/>
  <c r="W34" i="6"/>
  <c r="S34" i="6"/>
  <c r="U34" i="6"/>
  <c r="W30" i="6"/>
  <c r="S30" i="6"/>
  <c r="U30" i="6"/>
  <c r="W26" i="6"/>
  <c r="W22" i="6"/>
  <c r="W18" i="6"/>
  <c r="U18" i="6"/>
  <c r="W14" i="6"/>
  <c r="S14" i="6"/>
  <c r="U14" i="6"/>
  <c r="W10" i="6"/>
  <c r="U10" i="6"/>
  <c r="P36" i="6"/>
  <c r="P10" i="26" s="1"/>
  <c r="W6" i="6"/>
  <c r="S6" i="6"/>
  <c r="N36" i="6"/>
  <c r="N10" i="26" s="1"/>
  <c r="U6" i="6"/>
  <c r="Y5" i="6"/>
  <c r="W34" i="7"/>
  <c r="W30" i="7"/>
  <c r="W26" i="7"/>
  <c r="W22" i="7"/>
  <c r="W18" i="7"/>
  <c r="W14" i="7"/>
  <c r="W10" i="7"/>
  <c r="P36" i="7"/>
  <c r="P11" i="26" s="1"/>
  <c r="W6" i="7"/>
  <c r="Y5" i="7"/>
  <c r="S28" i="8"/>
  <c r="V28" i="8"/>
  <c r="W24" i="8"/>
  <c r="W20" i="8"/>
  <c r="W16" i="8"/>
  <c r="W12" i="8"/>
  <c r="W8" i="8"/>
  <c r="J36" i="5"/>
  <c r="J9" i="26" s="1"/>
  <c r="G36" i="5"/>
  <c r="G9" i="26" s="1"/>
  <c r="E36" i="5"/>
  <c r="E9" i="26" s="1"/>
  <c r="O33" i="5"/>
  <c r="O31" i="5"/>
  <c r="O29" i="5"/>
  <c r="O27" i="5"/>
  <c r="O25" i="5"/>
  <c r="O23" i="5"/>
  <c r="O21" i="5"/>
  <c r="O19" i="5"/>
  <c r="O17" i="5"/>
  <c r="O15" i="5"/>
  <c r="O13" i="5"/>
  <c r="O11" i="5"/>
  <c r="O9" i="5"/>
  <c r="O7" i="5"/>
  <c r="J36" i="6"/>
  <c r="J10" i="26" s="1"/>
  <c r="G36" i="6"/>
  <c r="G10" i="26" s="1"/>
  <c r="E36" i="6"/>
  <c r="E10" i="26" s="1"/>
  <c r="O35" i="6"/>
  <c r="O33" i="6"/>
  <c r="O31" i="6"/>
  <c r="O29" i="6"/>
  <c r="O27" i="6"/>
  <c r="O25" i="6"/>
  <c r="V24" i="6"/>
  <c r="O23" i="6"/>
  <c r="V22" i="6"/>
  <c r="O21" i="6"/>
  <c r="V20" i="6"/>
  <c r="O19" i="6"/>
  <c r="O17" i="6"/>
  <c r="O15" i="6"/>
  <c r="O13" i="6"/>
  <c r="V12" i="6"/>
  <c r="O11" i="6"/>
  <c r="O9" i="6"/>
  <c r="O7" i="6"/>
  <c r="N36" i="7"/>
  <c r="N11" i="26" s="1"/>
  <c r="J36" i="7"/>
  <c r="J11" i="26" s="1"/>
  <c r="G36" i="7"/>
  <c r="G11" i="26" s="1"/>
  <c r="O35" i="7"/>
  <c r="O33" i="7"/>
  <c r="V32" i="7"/>
  <c r="O31" i="7"/>
  <c r="V30" i="7"/>
  <c r="O29" i="7"/>
  <c r="V28" i="7"/>
  <c r="O27" i="7"/>
  <c r="O25" i="7"/>
  <c r="V24" i="7"/>
  <c r="O23" i="7"/>
  <c r="V22" i="7"/>
  <c r="O21" i="7"/>
  <c r="V20" i="7"/>
  <c r="O19" i="7"/>
  <c r="O17" i="7"/>
  <c r="V16" i="7"/>
  <c r="O15" i="7"/>
  <c r="V14" i="7"/>
  <c r="O13" i="7"/>
  <c r="V12" i="7"/>
  <c r="O11" i="7"/>
  <c r="O9" i="7"/>
  <c r="V8" i="7"/>
  <c r="O7" i="7"/>
  <c r="V6" i="7"/>
  <c r="P36" i="8"/>
  <c r="P12" i="26" s="1"/>
  <c r="N36" i="8"/>
  <c r="N12" i="26" s="1"/>
  <c r="J36" i="8"/>
  <c r="J12" i="26" s="1"/>
  <c r="G36" i="8"/>
  <c r="G12" i="26" s="1"/>
  <c r="O35" i="8"/>
  <c r="V34" i="8"/>
  <c r="W33" i="8"/>
  <c r="V32" i="8"/>
  <c r="W31" i="8"/>
  <c r="V30" i="8"/>
  <c r="W29" i="8"/>
  <c r="W26" i="8"/>
  <c r="W22" i="8"/>
  <c r="W18" i="8"/>
  <c r="W14" i="8"/>
  <c r="W10" i="8"/>
  <c r="W6" i="8"/>
  <c r="S35" i="9"/>
  <c r="Y35" i="9"/>
  <c r="S33" i="9"/>
  <c r="Y33" i="9"/>
  <c r="S31" i="9"/>
  <c r="Y31" i="9"/>
  <c r="S29" i="9"/>
  <c r="Y29" i="9"/>
  <c r="S27" i="9"/>
  <c r="Y27" i="9"/>
  <c r="S25" i="9"/>
  <c r="Y25" i="9"/>
  <c r="S23" i="9"/>
  <c r="Y23" i="9"/>
  <c r="S21" i="9"/>
  <c r="Y21" i="9"/>
  <c r="S19" i="9"/>
  <c r="Y19" i="9"/>
  <c r="S17" i="9"/>
  <c r="Y17" i="9"/>
  <c r="S15" i="9"/>
  <c r="Y15" i="9"/>
  <c r="S13" i="9"/>
  <c r="Y13" i="9"/>
  <c r="S11" i="9"/>
  <c r="Y11" i="9"/>
  <c r="S9" i="9"/>
  <c r="Y9" i="9"/>
  <c r="S7" i="9"/>
  <c r="Y7" i="9"/>
  <c r="Y5" i="9"/>
  <c r="R36" i="9"/>
  <c r="R13" i="26" s="1"/>
  <c r="S35" i="11"/>
  <c r="Y35" i="11"/>
  <c r="S33" i="11"/>
  <c r="Y33" i="11"/>
  <c r="R37" i="11"/>
  <c r="W33" i="10"/>
  <c r="W28" i="10"/>
  <c r="W24" i="10"/>
  <c r="W20" i="10"/>
  <c r="W16" i="10"/>
  <c r="W12" i="10"/>
  <c r="W35" i="11"/>
  <c r="V34" i="11"/>
  <c r="W33" i="11"/>
  <c r="W28" i="11"/>
  <c r="W24" i="11"/>
  <c r="W20" i="11"/>
  <c r="S16" i="11"/>
  <c r="Y16" i="11"/>
  <c r="S14" i="11"/>
  <c r="Y14" i="11"/>
  <c r="S12" i="11"/>
  <c r="Y12" i="11"/>
  <c r="S10" i="11"/>
  <c r="Y10" i="11"/>
  <c r="S8" i="11"/>
  <c r="Y8" i="11"/>
  <c r="S6" i="11"/>
  <c r="Y6" i="11"/>
  <c r="W36" i="12"/>
  <c r="W32" i="12"/>
  <c r="W27" i="12"/>
  <c r="O27" i="8"/>
  <c r="O25" i="8"/>
  <c r="V24" i="8"/>
  <c r="O23" i="8"/>
  <c r="V22" i="8"/>
  <c r="O21" i="8"/>
  <c r="O19" i="8"/>
  <c r="V18" i="8"/>
  <c r="O17" i="8"/>
  <c r="O15" i="8"/>
  <c r="V14" i="8"/>
  <c r="O13" i="8"/>
  <c r="O11" i="8"/>
  <c r="V10" i="8"/>
  <c r="O9" i="8"/>
  <c r="O7" i="8"/>
  <c r="V6" i="8"/>
  <c r="P36" i="9"/>
  <c r="P13" i="26" s="1"/>
  <c r="N36" i="9"/>
  <c r="N13" i="26" s="1"/>
  <c r="J36" i="9"/>
  <c r="J13" i="26" s="1"/>
  <c r="W35" i="9"/>
  <c r="V34" i="9"/>
  <c r="W33" i="9"/>
  <c r="V32" i="9"/>
  <c r="W31" i="9"/>
  <c r="V30" i="9"/>
  <c r="W29" i="9"/>
  <c r="V28" i="9"/>
  <c r="W27" i="9"/>
  <c r="V26" i="9"/>
  <c r="W25" i="9"/>
  <c r="V24" i="9"/>
  <c r="W23" i="9"/>
  <c r="V22" i="9"/>
  <c r="W21" i="9"/>
  <c r="W19" i="9"/>
  <c r="V18" i="9"/>
  <c r="W17" i="9"/>
  <c r="W15" i="9"/>
  <c r="V14" i="9"/>
  <c r="W13" i="9"/>
  <c r="W11" i="9"/>
  <c r="W9" i="9"/>
  <c r="V8" i="9"/>
  <c r="W7" i="9"/>
  <c r="W5" i="9"/>
  <c r="W32" i="10"/>
  <c r="W27" i="10"/>
  <c r="W23" i="10"/>
  <c r="W19" i="10"/>
  <c r="W15" i="10"/>
  <c r="W11" i="10"/>
  <c r="W9" i="10"/>
  <c r="W5" i="10"/>
  <c r="W26" i="11"/>
  <c r="W22" i="11"/>
  <c r="W18" i="11"/>
  <c r="W34" i="12"/>
  <c r="W29" i="12"/>
  <c r="W25" i="12"/>
  <c r="P37" i="12"/>
  <c r="S24" i="12"/>
  <c r="Y24" i="12"/>
  <c r="S22" i="12"/>
  <c r="Y22" i="12"/>
  <c r="S20" i="12"/>
  <c r="Y20" i="12"/>
  <c r="S18" i="12"/>
  <c r="Y18" i="12"/>
  <c r="S16" i="12"/>
  <c r="Y16" i="12"/>
  <c r="S14" i="12"/>
  <c r="Y14" i="12"/>
  <c r="S12" i="12"/>
  <c r="Y12" i="12"/>
  <c r="R37" i="12"/>
  <c r="W16" i="11"/>
  <c r="W14" i="11"/>
  <c r="V13" i="11"/>
  <c r="W12" i="11"/>
  <c r="V11" i="11"/>
  <c r="W10" i="11"/>
  <c r="V9" i="11"/>
  <c r="W8" i="11"/>
  <c r="V7" i="11"/>
  <c r="W6" i="11"/>
  <c r="V5" i="11"/>
  <c r="H37" i="12"/>
  <c r="V36" i="12"/>
  <c r="O35" i="12"/>
  <c r="O33" i="12"/>
  <c r="V32" i="12"/>
  <c r="O31" i="12"/>
  <c r="O28" i="12"/>
  <c r="O26" i="12"/>
  <c r="W24" i="12"/>
  <c r="W22" i="12"/>
  <c r="W20" i="12"/>
  <c r="W18" i="12"/>
  <c r="W16" i="12"/>
  <c r="W14" i="12"/>
  <c r="W12" i="12"/>
  <c r="V11" i="12"/>
  <c r="W10" i="12"/>
  <c r="W8" i="12"/>
  <c r="W6" i="12"/>
  <c r="S5" i="12"/>
  <c r="W33" i="14"/>
  <c r="W29" i="14"/>
  <c r="W25" i="14"/>
  <c r="P36" i="14"/>
  <c r="P18" i="26" s="1"/>
  <c r="Y24" i="14"/>
  <c r="R36" i="14"/>
  <c r="R18" i="26" s="1"/>
  <c r="O29" i="11"/>
  <c r="O27" i="11"/>
  <c r="V26" i="11"/>
  <c r="O25" i="11"/>
  <c r="O23" i="11"/>
  <c r="O21" i="11"/>
  <c r="O19" i="11"/>
  <c r="V18" i="11"/>
  <c r="O17" i="11"/>
  <c r="W9" i="12"/>
  <c r="W7" i="12"/>
  <c r="S35" i="13"/>
  <c r="Y35" i="13"/>
  <c r="S33" i="13"/>
  <c r="Y33" i="13"/>
  <c r="S31" i="13"/>
  <c r="Y31" i="13"/>
  <c r="S28" i="13"/>
  <c r="Y28" i="13"/>
  <c r="S26" i="13"/>
  <c r="Y26" i="13"/>
  <c r="R37" i="13"/>
  <c r="W35" i="14"/>
  <c r="W31" i="14"/>
  <c r="W27" i="14"/>
  <c r="W35" i="13"/>
  <c r="W33" i="13"/>
  <c r="W31" i="13"/>
  <c r="W28" i="13"/>
  <c r="W26" i="13"/>
  <c r="W24" i="13"/>
  <c r="W22" i="13"/>
  <c r="W20" i="13"/>
  <c r="W18" i="13"/>
  <c r="W16" i="13"/>
  <c r="W14" i="13"/>
  <c r="W12" i="13"/>
  <c r="W10" i="13"/>
  <c r="W8" i="13"/>
  <c r="W6" i="13"/>
  <c r="H36" i="14"/>
  <c r="H18" i="26" s="1"/>
  <c r="O34" i="14"/>
  <c r="V33" i="14"/>
  <c r="O32" i="14"/>
  <c r="O30" i="14"/>
  <c r="V29" i="14"/>
  <c r="O28" i="14"/>
  <c r="O26" i="14"/>
  <c r="V25" i="14"/>
  <c r="O24" i="14"/>
  <c r="V23" i="14"/>
  <c r="K22" i="14"/>
  <c r="O22" i="14"/>
  <c r="W19" i="14"/>
  <c r="U19" i="14"/>
  <c r="S19" i="14"/>
  <c r="W15" i="14"/>
  <c r="U15" i="14"/>
  <c r="S15" i="14"/>
  <c r="W11" i="14"/>
  <c r="U11" i="14"/>
  <c r="S11" i="14"/>
  <c r="W7" i="14"/>
  <c r="U7" i="14"/>
  <c r="S7" i="14"/>
  <c r="S14" i="15"/>
  <c r="Y14" i="15"/>
  <c r="S12" i="15"/>
  <c r="Y12" i="15"/>
  <c r="Y10" i="15"/>
  <c r="R36" i="15"/>
  <c r="R19" i="26" s="1"/>
  <c r="W5" i="12"/>
  <c r="P37" i="13"/>
  <c r="N37" i="13"/>
  <c r="W36" i="13"/>
  <c r="W23" i="13"/>
  <c r="W21" i="13"/>
  <c r="W19" i="13"/>
  <c r="W17" i="13"/>
  <c r="W15" i="13"/>
  <c r="W13" i="13"/>
  <c r="W11" i="13"/>
  <c r="W9" i="13"/>
  <c r="W7" i="13"/>
  <c r="W5" i="13"/>
  <c r="S21" i="14"/>
  <c r="W17" i="14"/>
  <c r="U17" i="14"/>
  <c r="W13" i="14"/>
  <c r="U13" i="14"/>
  <c r="S13" i="14"/>
  <c r="W9" i="14"/>
  <c r="U9" i="14"/>
  <c r="S9" i="14"/>
  <c r="W5" i="14"/>
  <c r="U5" i="14"/>
  <c r="S5" i="14"/>
  <c r="O20" i="14"/>
  <c r="O18" i="14"/>
  <c r="O16" i="14"/>
  <c r="O14" i="14"/>
  <c r="O12" i="14"/>
  <c r="O10" i="14"/>
  <c r="O8" i="14"/>
  <c r="O6" i="14"/>
  <c r="S5" i="15"/>
  <c r="Y5" i="15"/>
  <c r="W10" i="17"/>
  <c r="P36" i="15"/>
  <c r="P19" i="26" s="1"/>
  <c r="N36" i="15"/>
  <c r="N19" i="26" s="1"/>
  <c r="J36" i="15"/>
  <c r="J19" i="26" s="1"/>
  <c r="Y19" i="26" s="1"/>
  <c r="W14" i="15"/>
  <c r="V13" i="15"/>
  <c r="W12" i="15"/>
  <c r="V11" i="15"/>
  <c r="O10" i="15"/>
  <c r="S7" i="15"/>
  <c r="Y7" i="15"/>
  <c r="S16" i="17"/>
  <c r="Y16" i="17"/>
  <c r="R14" i="17"/>
  <c r="R24" i="26" s="1"/>
  <c r="W12" i="17"/>
  <c r="W8" i="17"/>
  <c r="V8" i="15"/>
  <c r="W7" i="15"/>
  <c r="V6" i="15"/>
  <c r="P36" i="16"/>
  <c r="P20" i="26" s="1"/>
  <c r="N36" i="16"/>
  <c r="N20" i="26" s="1"/>
  <c r="W7" i="16"/>
  <c r="W16" i="17"/>
  <c r="Y15" i="17"/>
  <c r="V15" i="17"/>
  <c r="S15" i="17"/>
  <c r="V12" i="17"/>
  <c r="O11" i="17"/>
  <c r="O9" i="17"/>
  <c r="V8" i="17"/>
  <c r="L5" i="17"/>
  <c r="L23" i="26" s="1"/>
  <c r="J5" i="17"/>
  <c r="J23" i="26" s="1"/>
  <c r="G5" i="17"/>
  <c r="G23" i="26" s="1"/>
  <c r="W5" i="16"/>
  <c r="S7" i="17"/>
  <c r="Y7" i="17"/>
  <c r="E5" i="17"/>
  <c r="E23" i="26" s="1"/>
  <c r="M5" i="17"/>
  <c r="M23" i="26" s="1"/>
  <c r="H5" i="17"/>
  <c r="H23" i="26" s="1"/>
  <c r="F5" i="17"/>
  <c r="F23" i="26" s="1"/>
  <c r="T27" i="18"/>
  <c r="T23" i="18"/>
  <c r="E30" i="18"/>
  <c r="S19" i="18"/>
  <c r="V19" i="18"/>
  <c r="S17" i="18"/>
  <c r="T17" i="18" s="1"/>
  <c r="V17" i="18"/>
  <c r="S15" i="18"/>
  <c r="V15" i="18"/>
  <c r="T8" i="18"/>
  <c r="W7" i="17"/>
  <c r="Y6" i="17"/>
  <c r="V6" i="17"/>
  <c r="S6" i="17"/>
  <c r="J38" i="18"/>
  <c r="J39" i="18" s="1"/>
  <c r="J40" i="18" s="1"/>
  <c r="O30" i="18"/>
  <c r="V29" i="18"/>
  <c r="W28" i="18"/>
  <c r="V27" i="18"/>
  <c r="W26" i="18"/>
  <c r="V25" i="18"/>
  <c r="W24" i="18"/>
  <c r="V23" i="18"/>
  <c r="W22" i="18"/>
  <c r="V21" i="18"/>
  <c r="W20" i="18"/>
  <c r="W18" i="18"/>
  <c r="T18" i="18"/>
  <c r="W16" i="18"/>
  <c r="W11" i="18"/>
  <c r="V8" i="18"/>
  <c r="W7" i="18"/>
  <c r="V9" i="27" l="1"/>
  <c r="Y24" i="27"/>
  <c r="O27" i="1"/>
  <c r="O39" i="18" s="1"/>
  <c r="S31" i="1"/>
  <c r="G27" i="1"/>
  <c r="V10" i="27"/>
  <c r="W14" i="27"/>
  <c r="W9" i="27"/>
  <c r="W34" i="18"/>
  <c r="W22" i="27"/>
  <c r="Y28" i="27"/>
  <c r="U21" i="27"/>
  <c r="W6" i="27"/>
  <c r="N5" i="17"/>
  <c r="N23" i="26" s="1"/>
  <c r="O26" i="27"/>
  <c r="V26" i="27" s="1"/>
  <c r="W23" i="27"/>
  <c r="V8" i="27"/>
  <c r="W15" i="27"/>
  <c r="Y20" i="27"/>
  <c r="E27" i="1"/>
  <c r="W31" i="10"/>
  <c r="F20" i="26"/>
  <c r="U20" i="26" s="1"/>
  <c r="T31" i="1"/>
  <c r="R26" i="27"/>
  <c r="Y26" i="27" s="1"/>
  <c r="V11" i="27"/>
  <c r="Y13" i="27"/>
  <c r="U13" i="10"/>
  <c r="N11" i="27"/>
  <c r="U11" i="27" s="1"/>
  <c r="W22" i="10"/>
  <c r="F37" i="16"/>
  <c r="F38" i="16" s="1"/>
  <c r="U36" i="16"/>
  <c r="W25" i="27"/>
  <c r="Y12" i="27"/>
  <c r="R6" i="27"/>
  <c r="Y6" i="27" s="1"/>
  <c r="N27" i="27"/>
  <c r="U27" i="27" s="1"/>
  <c r="U29" i="10"/>
  <c r="N19" i="27"/>
  <c r="U19" i="27" s="1"/>
  <c r="N32" i="27"/>
  <c r="U32" i="27" s="1"/>
  <c r="R18" i="27"/>
  <c r="Y18" i="27" s="1"/>
  <c r="S18" i="4"/>
  <c r="T18" i="4" s="1"/>
  <c r="W21" i="27"/>
  <c r="W12" i="27"/>
  <c r="V11" i="10"/>
  <c r="U29" i="27"/>
  <c r="W24" i="27"/>
  <c r="W28" i="27"/>
  <c r="W36" i="10"/>
  <c r="Y33" i="27"/>
  <c r="U18" i="27"/>
  <c r="U35" i="27"/>
  <c r="U38" i="18"/>
  <c r="P30" i="18"/>
  <c r="P38" i="18"/>
  <c r="R17" i="27"/>
  <c r="Y17" i="27" s="1"/>
  <c r="V14" i="27"/>
  <c r="W32" i="27"/>
  <c r="W27" i="27"/>
  <c r="W16" i="27"/>
  <c r="W33" i="27"/>
  <c r="W11" i="27"/>
  <c r="U23" i="27"/>
  <c r="U22" i="27"/>
  <c r="V20" i="26"/>
  <c r="W28" i="26"/>
  <c r="N26" i="27"/>
  <c r="U26" i="27" s="1"/>
  <c r="V7" i="10"/>
  <c r="U20" i="27"/>
  <c r="V16" i="27"/>
  <c r="S32" i="10"/>
  <c r="T32" i="10" s="1"/>
  <c r="W18" i="27"/>
  <c r="W31" i="27"/>
  <c r="H12" i="18"/>
  <c r="P6" i="18"/>
  <c r="P12" i="18" s="1"/>
  <c r="R38" i="18"/>
  <c r="S5" i="18"/>
  <c r="T5" i="18" s="1"/>
  <c r="U14" i="10"/>
  <c r="W14" i="10"/>
  <c r="N10" i="27"/>
  <c r="U10" i="27" s="1"/>
  <c r="R34" i="27"/>
  <c r="Y34" i="27" s="1"/>
  <c r="Y31" i="10"/>
  <c r="R35" i="27"/>
  <c r="Y35" i="27" s="1"/>
  <c r="S31" i="10"/>
  <c r="T31" i="10" s="1"/>
  <c r="S26" i="10"/>
  <c r="T26" i="10" s="1"/>
  <c r="S5" i="10"/>
  <c r="T5" i="10" s="1"/>
  <c r="R14" i="27"/>
  <c r="Y14" i="27" s="1"/>
  <c r="R22" i="27"/>
  <c r="Y22" i="27" s="1"/>
  <c r="U31" i="10"/>
  <c r="L38" i="12"/>
  <c r="L39" i="12" s="1"/>
  <c r="W10" i="10"/>
  <c r="W18" i="10"/>
  <c r="W26" i="10"/>
  <c r="W35" i="10"/>
  <c r="V18" i="10"/>
  <c r="N25" i="27"/>
  <c r="U25" i="27" s="1"/>
  <c r="V31" i="26"/>
  <c r="Y9" i="27"/>
  <c r="R29" i="27"/>
  <c r="Y29" i="27" s="1"/>
  <c r="W7" i="10"/>
  <c r="W6" i="10"/>
  <c r="N5" i="27"/>
  <c r="U5" i="27" s="1"/>
  <c r="Y10" i="10"/>
  <c r="U32" i="18"/>
  <c r="S29" i="10"/>
  <c r="T29" i="10" s="1"/>
  <c r="S35" i="10"/>
  <c r="T35" i="10" s="1"/>
  <c r="S16" i="10"/>
  <c r="T16" i="10" s="1"/>
  <c r="V10" i="7"/>
  <c r="S14" i="10"/>
  <c r="S14" i="27" s="1"/>
  <c r="V8" i="10"/>
  <c r="V29" i="10"/>
  <c r="V14" i="10"/>
  <c r="S10" i="10"/>
  <c r="T10" i="10" s="1"/>
  <c r="R7" i="27"/>
  <c r="Y7" i="27" s="1"/>
  <c r="W34" i="10"/>
  <c r="V10" i="10"/>
  <c r="S22" i="10"/>
  <c r="S22" i="27" s="1"/>
  <c r="J37" i="27"/>
  <c r="J38" i="27" s="1"/>
  <c r="J39" i="27" s="1"/>
  <c r="Y39" i="27" s="1"/>
  <c r="W8" i="27"/>
  <c r="V12" i="27"/>
  <c r="S27" i="10"/>
  <c r="T27" i="10" s="1"/>
  <c r="N38" i="18"/>
  <c r="Y34" i="18"/>
  <c r="S14" i="18"/>
  <c r="T14" i="18" s="1"/>
  <c r="E37" i="9"/>
  <c r="E38" i="9" s="1"/>
  <c r="S33" i="10"/>
  <c r="T33" i="10" s="1"/>
  <c r="Y13" i="10"/>
  <c r="U18" i="10"/>
  <c r="U35" i="10"/>
  <c r="V5" i="9"/>
  <c r="R30" i="18"/>
  <c r="S34" i="18"/>
  <c r="S31" i="26" s="1"/>
  <c r="T31" i="26" s="1"/>
  <c r="O27" i="27"/>
  <c r="V27" i="27" s="1"/>
  <c r="S36" i="11"/>
  <c r="T36" i="11" s="1"/>
  <c r="V6" i="10"/>
  <c r="N30" i="18"/>
  <c r="N7" i="27"/>
  <c r="U7" i="27" s="1"/>
  <c r="U8" i="10"/>
  <c r="V27" i="10"/>
  <c r="W26" i="27"/>
  <c r="W35" i="27"/>
  <c r="O35" i="27"/>
  <c r="V35" i="27" s="1"/>
  <c r="V26" i="8"/>
  <c r="S18" i="10"/>
  <c r="T18" i="10" s="1"/>
  <c r="S7" i="10"/>
  <c r="T7" i="10" s="1"/>
  <c r="T7" i="27" s="1"/>
  <c r="H37" i="27"/>
  <c r="H38" i="27" s="1"/>
  <c r="H39" i="27" s="1"/>
  <c r="W39" i="27" s="1"/>
  <c r="Y32" i="27"/>
  <c r="G37" i="27"/>
  <c r="G38" i="27" s="1"/>
  <c r="G39" i="27" s="1"/>
  <c r="V39" i="27" s="1"/>
  <c r="W10" i="26"/>
  <c r="Y7" i="26"/>
  <c r="K13" i="27"/>
  <c r="W25" i="10"/>
  <c r="S13" i="10"/>
  <c r="T13" i="10" s="1"/>
  <c r="W17" i="10"/>
  <c r="W13" i="10"/>
  <c r="W21" i="10"/>
  <c r="W29" i="10"/>
  <c r="S21" i="10"/>
  <c r="T21" i="10" s="1"/>
  <c r="O5" i="27"/>
  <c r="V5" i="27" s="1"/>
  <c r="S23" i="10"/>
  <c r="T23" i="10" s="1"/>
  <c r="S19" i="10"/>
  <c r="T19" i="10" s="1"/>
  <c r="R8" i="27"/>
  <c r="Y8" i="27" s="1"/>
  <c r="U21" i="10"/>
  <c r="U23" i="10"/>
  <c r="Y11" i="10"/>
  <c r="R19" i="27"/>
  <c r="Y19" i="27" s="1"/>
  <c r="O21" i="27"/>
  <c r="V21" i="27" s="1"/>
  <c r="S11" i="10"/>
  <c r="S11" i="27" s="1"/>
  <c r="S15" i="10"/>
  <c r="T15" i="10" s="1"/>
  <c r="N36" i="27"/>
  <c r="U36" i="27" s="1"/>
  <c r="R21" i="27"/>
  <c r="Y21" i="27" s="1"/>
  <c r="R25" i="27"/>
  <c r="Y25" i="27" s="1"/>
  <c r="O25" i="27"/>
  <c r="V25" i="27" s="1"/>
  <c r="R37" i="10"/>
  <c r="S36" i="10"/>
  <c r="T36" i="10" s="1"/>
  <c r="S25" i="10"/>
  <c r="T25" i="10" s="1"/>
  <c r="N15" i="27"/>
  <c r="U15" i="27" s="1"/>
  <c r="Y32" i="10"/>
  <c r="R15" i="27"/>
  <c r="Y15" i="27" s="1"/>
  <c r="R27" i="27"/>
  <c r="Y27" i="27" s="1"/>
  <c r="R23" i="27"/>
  <c r="Y23" i="27" s="1"/>
  <c r="R36" i="27"/>
  <c r="Y36" i="27" s="1"/>
  <c r="F37" i="27"/>
  <c r="F38" i="27" s="1"/>
  <c r="W7" i="27"/>
  <c r="E37" i="27"/>
  <c r="E14" i="26" s="1"/>
  <c r="L37" i="27"/>
  <c r="L38" i="27" s="1"/>
  <c r="L39" i="27" s="1"/>
  <c r="E37" i="8"/>
  <c r="E38" i="8" s="1"/>
  <c r="M37" i="27"/>
  <c r="M14" i="26" s="1"/>
  <c r="K36" i="27"/>
  <c r="S20" i="10"/>
  <c r="S20" i="27" s="1"/>
  <c r="S6" i="10"/>
  <c r="S6" i="27" s="1"/>
  <c r="O37" i="10"/>
  <c r="S9" i="10"/>
  <c r="T9" i="10" s="1"/>
  <c r="T9" i="27" s="1"/>
  <c r="S17" i="10"/>
  <c r="T17" i="10" s="1"/>
  <c r="M27" i="26"/>
  <c r="N6" i="27"/>
  <c r="U6" i="27" s="1"/>
  <c r="U20" i="10"/>
  <c r="N24" i="27"/>
  <c r="U24" i="27" s="1"/>
  <c r="V26" i="7"/>
  <c r="N37" i="10"/>
  <c r="V12" i="10"/>
  <c r="V16" i="10"/>
  <c r="S24" i="7"/>
  <c r="T24" i="7" s="1"/>
  <c r="S8" i="10"/>
  <c r="T8" i="10" s="1"/>
  <c r="S24" i="10"/>
  <c r="S24" i="27" s="1"/>
  <c r="S34" i="10"/>
  <c r="T34" i="10" s="1"/>
  <c r="N17" i="27"/>
  <c r="U17" i="27" s="1"/>
  <c r="N34" i="27"/>
  <c r="U34" i="27" s="1"/>
  <c r="O33" i="27"/>
  <c r="V33" i="27" s="1"/>
  <c r="P37" i="10"/>
  <c r="W8" i="10"/>
  <c r="U7" i="26"/>
  <c r="W8" i="26"/>
  <c r="S12" i="10"/>
  <c r="S12" i="27" s="1"/>
  <c r="S28" i="10"/>
  <c r="T28" i="10" s="1"/>
  <c r="N9" i="27"/>
  <c r="U9" i="27" s="1"/>
  <c r="V9" i="10"/>
  <c r="K34" i="27"/>
  <c r="V6" i="27"/>
  <c r="N12" i="27"/>
  <c r="U12" i="27" s="1"/>
  <c r="P37" i="27"/>
  <c r="P14" i="26" s="1"/>
  <c r="P38" i="27" s="1"/>
  <c r="P39" i="27" s="1"/>
  <c r="AB30" i="27" s="1"/>
  <c r="N16" i="27"/>
  <c r="U16" i="27" s="1"/>
  <c r="N28" i="27"/>
  <c r="U28" i="27" s="1"/>
  <c r="N33" i="27"/>
  <c r="U33" i="27" s="1"/>
  <c r="K15" i="27"/>
  <c r="K32" i="27"/>
  <c r="Y31" i="26"/>
  <c r="V6" i="18"/>
  <c r="O17" i="27"/>
  <c r="V17" i="27" s="1"/>
  <c r="O19" i="27"/>
  <c r="V19" i="27" s="1"/>
  <c r="O23" i="27"/>
  <c r="V23" i="27" s="1"/>
  <c r="O29" i="27"/>
  <c r="V29" i="27" s="1"/>
  <c r="Y18" i="26"/>
  <c r="Y12" i="26"/>
  <c r="Y13" i="26"/>
  <c r="K29" i="1"/>
  <c r="K29" i="26"/>
  <c r="H24" i="1"/>
  <c r="P24" i="1" s="1"/>
  <c r="W24" i="1" s="1"/>
  <c r="H24" i="26"/>
  <c r="W24" i="26" s="1"/>
  <c r="K28" i="26"/>
  <c r="J24" i="1"/>
  <c r="R24" i="1" s="1"/>
  <c r="Y24" i="1" s="1"/>
  <c r="J24" i="26"/>
  <c r="Y24" i="26" s="1"/>
  <c r="K5" i="27"/>
  <c r="K7" i="27"/>
  <c r="K9" i="27"/>
  <c r="K11" i="27"/>
  <c r="K17" i="27"/>
  <c r="K19" i="27"/>
  <c r="K21" i="27"/>
  <c r="K23" i="27"/>
  <c r="K25" i="27"/>
  <c r="K27" i="27"/>
  <c r="K29" i="27"/>
  <c r="K30" i="1"/>
  <c r="K30" i="26"/>
  <c r="F37" i="7"/>
  <c r="F38" i="7" s="1"/>
  <c r="U38" i="7" s="1"/>
  <c r="F11" i="26"/>
  <c r="U11" i="26" s="1"/>
  <c r="U10" i="26"/>
  <c r="U36" i="5"/>
  <c r="F9" i="26"/>
  <c r="U9" i="26" s="1"/>
  <c r="W7" i="26"/>
  <c r="K20" i="27"/>
  <c r="W12" i="26"/>
  <c r="W11" i="26"/>
  <c r="M37" i="3"/>
  <c r="M38" i="3" s="1"/>
  <c r="M7" i="26"/>
  <c r="U6" i="26"/>
  <c r="Y20" i="26"/>
  <c r="K33" i="27"/>
  <c r="L7" i="1"/>
  <c r="L7" i="26"/>
  <c r="M37" i="2"/>
  <c r="M38" i="2" s="1"/>
  <c r="M6" i="26"/>
  <c r="K24" i="27"/>
  <c r="H19" i="1"/>
  <c r="P19" i="1" s="1"/>
  <c r="W19" i="1" s="1"/>
  <c r="H19" i="26"/>
  <c r="W19" i="26" s="1"/>
  <c r="F19" i="1"/>
  <c r="N19" i="1" s="1"/>
  <c r="U19" i="1" s="1"/>
  <c r="F19" i="26"/>
  <c r="U19" i="26" s="1"/>
  <c r="E24" i="1"/>
  <c r="E24" i="26"/>
  <c r="E22" i="26" s="1"/>
  <c r="E27" i="26"/>
  <c r="V28" i="26"/>
  <c r="G27" i="26"/>
  <c r="Y28" i="26"/>
  <c r="J27" i="26"/>
  <c r="W32" i="18"/>
  <c r="P30" i="26"/>
  <c r="P27" i="26" s="1"/>
  <c r="O20" i="27"/>
  <c r="V20" i="27" s="1"/>
  <c r="O24" i="27"/>
  <c r="V24" i="27" s="1"/>
  <c r="O28" i="27"/>
  <c r="V28" i="27" s="1"/>
  <c r="F12" i="18"/>
  <c r="Y32" i="18"/>
  <c r="R30" i="26"/>
  <c r="R27" i="26" s="1"/>
  <c r="Y5" i="27"/>
  <c r="O13" i="27"/>
  <c r="V13" i="27" s="1"/>
  <c r="O15" i="27"/>
  <c r="V15" i="27" s="1"/>
  <c r="O32" i="27"/>
  <c r="V32" i="27" s="1"/>
  <c r="O36" i="27"/>
  <c r="V36" i="27" s="1"/>
  <c r="N22" i="26"/>
  <c r="U23" i="26"/>
  <c r="W18" i="26"/>
  <c r="Y8" i="26"/>
  <c r="Y6" i="26"/>
  <c r="F24" i="1"/>
  <c r="N24" i="1" s="1"/>
  <c r="U24" i="1" s="1"/>
  <c r="F24" i="26"/>
  <c r="U24" i="26" s="1"/>
  <c r="M24" i="1"/>
  <c r="M24" i="26"/>
  <c r="M22" i="26" s="1"/>
  <c r="V32" i="18"/>
  <c r="O30" i="26"/>
  <c r="G24" i="1"/>
  <c r="O24" i="1" s="1"/>
  <c r="V24" i="1" s="1"/>
  <c r="G24" i="26"/>
  <c r="V24" i="26" s="1"/>
  <c r="L24" i="1"/>
  <c r="L24" i="26"/>
  <c r="L22" i="26" s="1"/>
  <c r="U18" i="26"/>
  <c r="L37" i="2"/>
  <c r="L38" i="2" s="1"/>
  <c r="L6" i="26"/>
  <c r="K6" i="27"/>
  <c r="K10" i="27"/>
  <c r="K14" i="27"/>
  <c r="K18" i="27"/>
  <c r="K22" i="27"/>
  <c r="K26" i="27"/>
  <c r="K31" i="27"/>
  <c r="K35" i="27"/>
  <c r="W13" i="26"/>
  <c r="L8" i="1"/>
  <c r="L8" i="26"/>
  <c r="K12" i="27"/>
  <c r="K28" i="27"/>
  <c r="K16" i="27"/>
  <c r="W9" i="26"/>
  <c r="F12" i="1"/>
  <c r="F12" i="26"/>
  <c r="U12" i="26" s="1"/>
  <c r="F8" i="1"/>
  <c r="N8" i="1" s="1"/>
  <c r="N37" i="4" s="1"/>
  <c r="N38" i="4" s="1"/>
  <c r="F8" i="26"/>
  <c r="U8" i="26" s="1"/>
  <c r="K8" i="27"/>
  <c r="H37" i="15"/>
  <c r="H38" i="15" s="1"/>
  <c r="W38" i="15" s="1"/>
  <c r="H6" i="1"/>
  <c r="P6" i="1" s="1"/>
  <c r="W6" i="1" s="1"/>
  <c r="H6" i="26"/>
  <c r="F13" i="1"/>
  <c r="N13" i="1" s="1"/>
  <c r="N37" i="9" s="1"/>
  <c r="N38" i="9" s="1"/>
  <c r="F13" i="26"/>
  <c r="U13" i="26" s="1"/>
  <c r="U37" i="13"/>
  <c r="H37" i="16"/>
  <c r="H38" i="16" s="1"/>
  <c r="W38" i="16" s="1"/>
  <c r="H20" i="26"/>
  <c r="W20" i="26" s="1"/>
  <c r="G12" i="18"/>
  <c r="R6" i="18"/>
  <c r="R12" i="18" s="1"/>
  <c r="U31" i="26"/>
  <c r="O22" i="27"/>
  <c r="V22" i="27" s="1"/>
  <c r="O31" i="27"/>
  <c r="V31" i="27" s="1"/>
  <c r="F27" i="26"/>
  <c r="H27" i="26"/>
  <c r="L27" i="26"/>
  <c r="N27" i="26"/>
  <c r="U28" i="26"/>
  <c r="Y29" i="26"/>
  <c r="O34" i="27"/>
  <c r="V34" i="27" s="1"/>
  <c r="J38" i="10"/>
  <c r="J39" i="10" s="1"/>
  <c r="Y39" i="10" s="1"/>
  <c r="F17" i="1"/>
  <c r="N17" i="1" s="1"/>
  <c r="F39" i="13"/>
  <c r="U39" i="13" s="1"/>
  <c r="U38" i="13"/>
  <c r="K6" i="18"/>
  <c r="E6" i="18" s="1"/>
  <c r="E12" i="18" s="1"/>
  <c r="V20" i="11"/>
  <c r="E37" i="15"/>
  <c r="E38" i="15" s="1"/>
  <c r="L37" i="16"/>
  <c r="L38" i="16" s="1"/>
  <c r="L20" i="1"/>
  <c r="R5" i="17"/>
  <c r="V8" i="8"/>
  <c r="V12" i="8"/>
  <c r="V16" i="8"/>
  <c r="V20" i="8"/>
  <c r="S12" i="5"/>
  <c r="T12" i="5" s="1"/>
  <c r="K36" i="16"/>
  <c r="F37" i="15"/>
  <c r="F38" i="15" s="1"/>
  <c r="U38" i="15" s="1"/>
  <c r="U36" i="15"/>
  <c r="K14" i="17"/>
  <c r="T36" i="16"/>
  <c r="V10" i="17"/>
  <c r="S36" i="16"/>
  <c r="S20" i="26" s="1"/>
  <c r="T20" i="26" s="1"/>
  <c r="V35" i="14"/>
  <c r="V24" i="11"/>
  <c r="V28" i="11"/>
  <c r="V18" i="7"/>
  <c r="V34" i="7"/>
  <c r="V26" i="6"/>
  <c r="S6" i="3"/>
  <c r="T6" i="3" s="1"/>
  <c r="K36" i="15"/>
  <c r="E38" i="11"/>
  <c r="E39" i="11" s="1"/>
  <c r="F37" i="9"/>
  <c r="F38" i="9" s="1"/>
  <c r="U38" i="9" s="1"/>
  <c r="U36" i="8"/>
  <c r="K36" i="3"/>
  <c r="K36" i="6"/>
  <c r="N36" i="17"/>
  <c r="K36" i="14"/>
  <c r="V22" i="11"/>
  <c r="V10" i="9"/>
  <c r="S10" i="6"/>
  <c r="T10" i="6" s="1"/>
  <c r="S18" i="6"/>
  <c r="T18" i="6" s="1"/>
  <c r="S22" i="5"/>
  <c r="T22" i="5" s="1"/>
  <c r="R36" i="5"/>
  <c r="R9" i="26" s="1"/>
  <c r="Y9" i="26" s="1"/>
  <c r="S20" i="4"/>
  <c r="T20" i="4" s="1"/>
  <c r="S28" i="4"/>
  <c r="T28" i="4" s="1"/>
  <c r="L37" i="3"/>
  <c r="L38" i="3" s="1"/>
  <c r="S27" i="12"/>
  <c r="T27" i="12" s="1"/>
  <c r="S16" i="9"/>
  <c r="T16" i="9" s="1"/>
  <c r="E38" i="13"/>
  <c r="E39" i="13" s="1"/>
  <c r="S8" i="7"/>
  <c r="T8" i="7" s="1"/>
  <c r="S20" i="6"/>
  <c r="T20" i="6" s="1"/>
  <c r="F37" i="4"/>
  <c r="F38" i="4" s="1"/>
  <c r="U38" i="4" s="1"/>
  <c r="U36" i="4"/>
  <c r="E37" i="7"/>
  <c r="E38" i="7" s="1"/>
  <c r="E19" i="1"/>
  <c r="G37" i="16"/>
  <c r="G20" i="1"/>
  <c r="O20" i="1" s="1"/>
  <c r="G37" i="15"/>
  <c r="G19" i="1"/>
  <c r="O19" i="1" s="1"/>
  <c r="M7" i="1"/>
  <c r="M6" i="1"/>
  <c r="M37" i="16"/>
  <c r="M38" i="16" s="1"/>
  <c r="M20" i="1"/>
  <c r="M37" i="15"/>
  <c r="M38" i="15" s="1"/>
  <c r="M19" i="1"/>
  <c r="F38" i="10"/>
  <c r="U38" i="10" s="1"/>
  <c r="K37" i="11"/>
  <c r="K15" i="1" s="1"/>
  <c r="K36" i="7"/>
  <c r="E37" i="14"/>
  <c r="E38" i="14" s="1"/>
  <c r="S16" i="7"/>
  <c r="T16" i="7" s="1"/>
  <c r="S32" i="7"/>
  <c r="T32" i="7" s="1"/>
  <c r="K36" i="8"/>
  <c r="H38" i="13"/>
  <c r="R27" i="1"/>
  <c r="R39" i="18" s="1"/>
  <c r="K5" i="17"/>
  <c r="K23" i="1" s="1"/>
  <c r="K37" i="13"/>
  <c r="K17" i="1" s="1"/>
  <c r="P38" i="13"/>
  <c r="P39" i="13" s="1"/>
  <c r="AB30" i="13" s="1"/>
  <c r="P5" i="17"/>
  <c r="V25" i="12"/>
  <c r="V29" i="12"/>
  <c r="V34" i="12"/>
  <c r="K36" i="5"/>
  <c r="S6" i="4"/>
  <c r="T6" i="4" s="1"/>
  <c r="S8" i="2"/>
  <c r="T8" i="2" s="1"/>
  <c r="S16" i="2"/>
  <c r="T16" i="2" s="1"/>
  <c r="S24" i="2"/>
  <c r="T24" i="2" s="1"/>
  <c r="S32" i="2"/>
  <c r="T32" i="2" s="1"/>
  <c r="S34" i="4"/>
  <c r="T34" i="4" s="1"/>
  <c r="V31" i="11"/>
  <c r="K37" i="10"/>
  <c r="K14" i="1" s="1"/>
  <c r="S24" i="6"/>
  <c r="T24" i="6" s="1"/>
  <c r="H37" i="2"/>
  <c r="E11" i="1"/>
  <c r="Y14" i="1"/>
  <c r="R38" i="10"/>
  <c r="E17" i="1"/>
  <c r="M38" i="13"/>
  <c r="M39" i="13" s="1"/>
  <c r="M17" i="1"/>
  <c r="K36" i="4"/>
  <c r="U37" i="10"/>
  <c r="F37" i="8"/>
  <c r="F38" i="8" s="1"/>
  <c r="G38" i="13"/>
  <c r="G17" i="1"/>
  <c r="O17" i="1" s="1"/>
  <c r="O38" i="30" s="1"/>
  <c r="L37" i="9"/>
  <c r="L38" i="9" s="1"/>
  <c r="L13" i="1"/>
  <c r="G38" i="11"/>
  <c r="G15" i="1"/>
  <c r="O15" i="1" s="1"/>
  <c r="K36" i="9"/>
  <c r="E18" i="1"/>
  <c r="K37" i="12"/>
  <c r="K16" i="1" s="1"/>
  <c r="K36" i="2"/>
  <c r="M37" i="8"/>
  <c r="M38" i="8" s="1"/>
  <c r="M12" i="1"/>
  <c r="E16" i="1"/>
  <c r="E12" i="1"/>
  <c r="L37" i="14"/>
  <c r="L38" i="14" s="1"/>
  <c r="L18" i="1"/>
  <c r="L38" i="11"/>
  <c r="L39" i="11" s="1"/>
  <c r="L15" i="1"/>
  <c r="T20" i="17"/>
  <c r="S17" i="14"/>
  <c r="T17" i="14" s="1"/>
  <c r="V27" i="14"/>
  <c r="V31" i="14"/>
  <c r="V6" i="9"/>
  <c r="V12" i="9"/>
  <c r="V20" i="9"/>
  <c r="V32" i="11"/>
  <c r="R36" i="7"/>
  <c r="R11" i="26" s="1"/>
  <c r="Y11" i="26" s="1"/>
  <c r="R36" i="6"/>
  <c r="R10" i="26" s="1"/>
  <c r="Y10" i="26" s="1"/>
  <c r="S6" i="5"/>
  <c r="T6" i="5" s="1"/>
  <c r="S14" i="3"/>
  <c r="T14" i="3" s="1"/>
  <c r="S22" i="3"/>
  <c r="T22" i="3" s="1"/>
  <c r="S30" i="3"/>
  <c r="T30" i="3" s="1"/>
  <c r="S26" i="4"/>
  <c r="T26" i="4" s="1"/>
  <c r="S22" i="2"/>
  <c r="T22" i="2" s="1"/>
  <c r="S12" i="7"/>
  <c r="T12" i="7" s="1"/>
  <c r="S20" i="7"/>
  <c r="T20" i="7" s="1"/>
  <c r="S28" i="7"/>
  <c r="T28" i="7" s="1"/>
  <c r="E13" i="1"/>
  <c r="E15" i="1"/>
  <c r="E37" i="16"/>
  <c r="E38" i="16" s="1"/>
  <c r="E20" i="1"/>
  <c r="M38" i="11"/>
  <c r="M39" i="11" s="1"/>
  <c r="M15" i="1"/>
  <c r="G37" i="14"/>
  <c r="G18" i="1"/>
  <c r="O18" i="1" s="1"/>
  <c r="E38" i="10"/>
  <c r="E39" i="10" s="1"/>
  <c r="E14" i="1"/>
  <c r="H37" i="5"/>
  <c r="H9" i="1"/>
  <c r="P9" i="1" s="1"/>
  <c r="M37" i="4"/>
  <c r="M38" i="4" s="1"/>
  <c r="M8" i="1"/>
  <c r="L37" i="15"/>
  <c r="L38" i="15" s="1"/>
  <c r="L19" i="1"/>
  <c r="U37" i="12"/>
  <c r="F16" i="1"/>
  <c r="N16" i="1" s="1"/>
  <c r="N38" i="12" s="1"/>
  <c r="N39" i="12" s="1"/>
  <c r="Z30" i="12" s="1"/>
  <c r="O36" i="9"/>
  <c r="O13" i="26" s="1"/>
  <c r="V13" i="26" s="1"/>
  <c r="H37" i="8"/>
  <c r="H12" i="1"/>
  <c r="H37" i="7"/>
  <c r="H11" i="1"/>
  <c r="H37" i="6"/>
  <c r="H10" i="1"/>
  <c r="P10" i="1" s="1"/>
  <c r="P37" i="6" s="1"/>
  <c r="P38" i="6" s="1"/>
  <c r="M37" i="5"/>
  <c r="M38" i="5" s="1"/>
  <c r="M9" i="1"/>
  <c r="F37" i="3"/>
  <c r="F38" i="3" s="1"/>
  <c r="F7" i="1"/>
  <c r="U36" i="3"/>
  <c r="G38" i="10"/>
  <c r="G14" i="1"/>
  <c r="O14" i="1" s="1"/>
  <c r="M37" i="9"/>
  <c r="M38" i="9" s="1"/>
  <c r="M13" i="1"/>
  <c r="L37" i="7"/>
  <c r="L38" i="7" s="1"/>
  <c r="L11" i="1"/>
  <c r="M37" i="6"/>
  <c r="M38" i="6" s="1"/>
  <c r="M10" i="1"/>
  <c r="U36" i="2"/>
  <c r="F37" i="2"/>
  <c r="F38" i="2" s="1"/>
  <c r="F6" i="1"/>
  <c r="N6" i="1" s="1"/>
  <c r="N37" i="2" s="1"/>
  <c r="N38" i="2" s="1"/>
  <c r="J37" i="14"/>
  <c r="J18" i="1"/>
  <c r="R18" i="1" s="1"/>
  <c r="J38" i="11"/>
  <c r="J15" i="1"/>
  <c r="R15" i="1" s="1"/>
  <c r="L38" i="10"/>
  <c r="L39" i="10" s="1"/>
  <c r="L14" i="1"/>
  <c r="G37" i="9"/>
  <c r="G13" i="1"/>
  <c r="O13" i="1" s="1"/>
  <c r="L37" i="8"/>
  <c r="L38" i="8" s="1"/>
  <c r="L12" i="1"/>
  <c r="U36" i="7"/>
  <c r="F11" i="1"/>
  <c r="U36" i="6"/>
  <c r="F37" i="6"/>
  <c r="F38" i="6" s="1"/>
  <c r="F10" i="1"/>
  <c r="N10" i="1" s="1"/>
  <c r="U10" i="1" s="1"/>
  <c r="F37" i="5"/>
  <c r="F38" i="5" s="1"/>
  <c r="F9" i="1"/>
  <c r="N9" i="1" s="1"/>
  <c r="M38" i="12"/>
  <c r="M39" i="12" s="1"/>
  <c r="M16" i="1"/>
  <c r="J38" i="12"/>
  <c r="J16" i="1"/>
  <c r="R16" i="1" s="1"/>
  <c r="R39" i="29" s="1"/>
  <c r="AD30" i="29" s="1"/>
  <c r="M38" i="10"/>
  <c r="M39" i="10" s="1"/>
  <c r="M14" i="1"/>
  <c r="H38" i="10"/>
  <c r="H14" i="1"/>
  <c r="P14" i="1" s="1"/>
  <c r="W14" i="1" s="1"/>
  <c r="H37" i="9"/>
  <c r="H13" i="1"/>
  <c r="P13" i="1" s="1"/>
  <c r="M37" i="7"/>
  <c r="M38" i="7" s="1"/>
  <c r="M11" i="1"/>
  <c r="H37" i="3"/>
  <c r="H7" i="1"/>
  <c r="O5" i="17"/>
  <c r="M37" i="14"/>
  <c r="M38" i="14" s="1"/>
  <c r="M18" i="1"/>
  <c r="U36" i="14"/>
  <c r="F37" i="14"/>
  <c r="F38" i="14" s="1"/>
  <c r="F18" i="1"/>
  <c r="S27" i="13"/>
  <c r="T27" i="13" s="1"/>
  <c r="O37" i="13"/>
  <c r="S29" i="13"/>
  <c r="S32" i="13"/>
  <c r="T32" i="13" s="1"/>
  <c r="S34" i="13"/>
  <c r="L38" i="13"/>
  <c r="L39" i="13" s="1"/>
  <c r="L17" i="1"/>
  <c r="S13" i="12"/>
  <c r="T13" i="12" s="1"/>
  <c r="S15" i="12"/>
  <c r="T15" i="12" s="1"/>
  <c r="S17" i="12"/>
  <c r="T17" i="12" s="1"/>
  <c r="S19" i="12"/>
  <c r="T19" i="12" s="1"/>
  <c r="S21" i="12"/>
  <c r="T21" i="12" s="1"/>
  <c r="S23" i="12"/>
  <c r="T23" i="12" s="1"/>
  <c r="U38" i="12"/>
  <c r="U39" i="12"/>
  <c r="S32" i="18"/>
  <c r="S30" i="26" s="1"/>
  <c r="T30" i="26" s="1"/>
  <c r="O38" i="18"/>
  <c r="U39" i="18"/>
  <c r="U40" i="18"/>
  <c r="U37" i="11"/>
  <c r="F38" i="11"/>
  <c r="F39" i="11" s="1"/>
  <c r="F15" i="1"/>
  <c r="L37" i="6"/>
  <c r="L38" i="6" s="1"/>
  <c r="L10" i="1"/>
  <c r="J38" i="13"/>
  <c r="J39" i="13" s="1"/>
  <c r="J17" i="1"/>
  <c r="R17" i="1" s="1"/>
  <c r="G38" i="12"/>
  <c r="G16" i="1"/>
  <c r="O16" i="1" s="1"/>
  <c r="K28" i="1"/>
  <c r="K38" i="18"/>
  <c r="K31" i="1"/>
  <c r="J37" i="16"/>
  <c r="J20" i="1"/>
  <c r="R20" i="1" s="1"/>
  <c r="U38" i="16"/>
  <c r="S15" i="11"/>
  <c r="T15" i="11" s="1"/>
  <c r="H38" i="11"/>
  <c r="H15" i="1"/>
  <c r="P15" i="1" s="1"/>
  <c r="H37" i="4"/>
  <c r="H8" i="1"/>
  <c r="P8" i="1" s="1"/>
  <c r="P37" i="4" s="1"/>
  <c r="P38" i="4" s="1"/>
  <c r="T6" i="17"/>
  <c r="T15" i="18"/>
  <c r="T19" i="18"/>
  <c r="F36" i="17"/>
  <c r="F23" i="1"/>
  <c r="E36" i="17"/>
  <c r="E37" i="17" s="1"/>
  <c r="E38" i="17" s="1"/>
  <c r="E23" i="1"/>
  <c r="J36" i="17"/>
  <c r="J37" i="17" s="1"/>
  <c r="J23" i="1"/>
  <c r="S9" i="17"/>
  <c r="V9" i="17"/>
  <c r="S14" i="17"/>
  <c r="S24" i="26" s="1"/>
  <c r="T15" i="17"/>
  <c r="J37" i="15"/>
  <c r="J38" i="15" s="1"/>
  <c r="J19" i="1"/>
  <c r="R19" i="1" s="1"/>
  <c r="S6" i="14"/>
  <c r="V6" i="14"/>
  <c r="O36" i="14"/>
  <c r="O18" i="26" s="1"/>
  <c r="V18" i="26" s="1"/>
  <c r="S10" i="14"/>
  <c r="V10" i="14"/>
  <c r="S14" i="14"/>
  <c r="V14" i="14"/>
  <c r="S18" i="14"/>
  <c r="V18" i="14"/>
  <c r="T5" i="14"/>
  <c r="T9" i="14"/>
  <c r="T13" i="14"/>
  <c r="T21" i="14"/>
  <c r="T12" i="15"/>
  <c r="T7" i="14"/>
  <c r="T11" i="14"/>
  <c r="S22" i="14"/>
  <c r="V22" i="14"/>
  <c r="S26" i="14"/>
  <c r="V26" i="14"/>
  <c r="S30" i="14"/>
  <c r="V30" i="14"/>
  <c r="S34" i="14"/>
  <c r="V34" i="14"/>
  <c r="T28" i="13"/>
  <c r="T33" i="13"/>
  <c r="S17" i="11"/>
  <c r="V17" i="11"/>
  <c r="O37" i="11"/>
  <c r="S21" i="11"/>
  <c r="V21" i="11"/>
  <c r="S25" i="11"/>
  <c r="V25" i="11"/>
  <c r="S29" i="11"/>
  <c r="V29" i="11"/>
  <c r="T5" i="12"/>
  <c r="S28" i="12"/>
  <c r="V28" i="12"/>
  <c r="S33" i="12"/>
  <c r="V33" i="12"/>
  <c r="H38" i="12"/>
  <c r="H39" i="12" s="1"/>
  <c r="H16" i="1"/>
  <c r="T12" i="12"/>
  <c r="T16" i="12"/>
  <c r="T20" i="12"/>
  <c r="T24" i="12"/>
  <c r="S5" i="8"/>
  <c r="V5" i="8"/>
  <c r="O36" i="8"/>
  <c r="O12" i="26" s="1"/>
  <c r="V12" i="26" s="1"/>
  <c r="S9" i="8"/>
  <c r="V9" i="8"/>
  <c r="S13" i="8"/>
  <c r="V13" i="8"/>
  <c r="S17" i="8"/>
  <c r="V17" i="8"/>
  <c r="S21" i="8"/>
  <c r="V21" i="8"/>
  <c r="S25" i="8"/>
  <c r="V25" i="8"/>
  <c r="T6" i="11"/>
  <c r="T10" i="11"/>
  <c r="T14" i="11"/>
  <c r="T35" i="11"/>
  <c r="T5" i="9"/>
  <c r="T9" i="9"/>
  <c r="T13" i="9"/>
  <c r="T17" i="9"/>
  <c r="T21" i="9"/>
  <c r="T25" i="9"/>
  <c r="T29" i="9"/>
  <c r="T33" i="9"/>
  <c r="S35" i="8"/>
  <c r="V35" i="8"/>
  <c r="J37" i="8"/>
  <c r="J12" i="1"/>
  <c r="S7" i="7"/>
  <c r="V7" i="7"/>
  <c r="S11" i="7"/>
  <c r="V11" i="7"/>
  <c r="S15" i="7"/>
  <c r="V15" i="7"/>
  <c r="S19" i="7"/>
  <c r="V19" i="7"/>
  <c r="S23" i="7"/>
  <c r="V23" i="7"/>
  <c r="S27" i="7"/>
  <c r="V27" i="7"/>
  <c r="S31" i="7"/>
  <c r="V31" i="7"/>
  <c r="S35" i="7"/>
  <c r="V35" i="7"/>
  <c r="J37" i="7"/>
  <c r="J11" i="1"/>
  <c r="S5" i="6"/>
  <c r="V5" i="6"/>
  <c r="O36" i="6"/>
  <c r="O10" i="26" s="1"/>
  <c r="V10" i="26" s="1"/>
  <c r="S9" i="6"/>
  <c r="V9" i="6"/>
  <c r="S13" i="6"/>
  <c r="V13" i="6"/>
  <c r="S17" i="6"/>
  <c r="V17" i="6"/>
  <c r="S21" i="6"/>
  <c r="V21" i="6"/>
  <c r="S25" i="6"/>
  <c r="V25" i="6"/>
  <c r="S29" i="6"/>
  <c r="V29" i="6"/>
  <c r="S33" i="6"/>
  <c r="V33" i="6"/>
  <c r="E37" i="6"/>
  <c r="E38" i="6" s="1"/>
  <c r="E10" i="1"/>
  <c r="J37" i="6"/>
  <c r="J10" i="1"/>
  <c r="S7" i="5"/>
  <c r="V7" i="5"/>
  <c r="S11" i="5"/>
  <c r="V11" i="5"/>
  <c r="S15" i="5"/>
  <c r="V15" i="5"/>
  <c r="S19" i="5"/>
  <c r="V19" i="5"/>
  <c r="S23" i="5"/>
  <c r="V23" i="5"/>
  <c r="S27" i="5"/>
  <c r="V27" i="5"/>
  <c r="S31" i="5"/>
  <c r="V31" i="5"/>
  <c r="E37" i="5"/>
  <c r="E38" i="5" s="1"/>
  <c r="E9" i="1"/>
  <c r="J37" i="5"/>
  <c r="J9" i="1"/>
  <c r="T6" i="6"/>
  <c r="T14" i="6"/>
  <c r="T30" i="6"/>
  <c r="T34" i="6"/>
  <c r="T8" i="5"/>
  <c r="T16" i="5"/>
  <c r="T20" i="5"/>
  <c r="T24" i="5"/>
  <c r="T28" i="5"/>
  <c r="T32" i="5"/>
  <c r="T29" i="8"/>
  <c r="T33" i="8"/>
  <c r="T8" i="6"/>
  <c r="T28" i="6"/>
  <c r="T32" i="6"/>
  <c r="L37" i="5"/>
  <c r="L38" i="5" s="1"/>
  <c r="L9" i="1"/>
  <c r="T30" i="5"/>
  <c r="S5" i="4"/>
  <c r="O36" i="4"/>
  <c r="O8" i="26" s="1"/>
  <c r="V8" i="26" s="1"/>
  <c r="V5" i="4"/>
  <c r="S15" i="4"/>
  <c r="V15" i="4"/>
  <c r="S19" i="4"/>
  <c r="V19" i="4"/>
  <c r="S23" i="4"/>
  <c r="V23" i="4"/>
  <c r="S27" i="4"/>
  <c r="V27" i="4"/>
  <c r="S31" i="4"/>
  <c r="V31" i="4"/>
  <c r="S35" i="4"/>
  <c r="V35" i="4"/>
  <c r="G37" i="4"/>
  <c r="G38" i="4" s="1"/>
  <c r="G8" i="1"/>
  <c r="S5" i="3"/>
  <c r="V5" i="3"/>
  <c r="O36" i="3"/>
  <c r="O7" i="26" s="1"/>
  <c r="V7" i="26" s="1"/>
  <c r="S9" i="3"/>
  <c r="V9" i="3"/>
  <c r="S13" i="3"/>
  <c r="V13" i="3"/>
  <c r="S17" i="3"/>
  <c r="V17" i="3"/>
  <c r="S21" i="3"/>
  <c r="V21" i="3"/>
  <c r="S25" i="3"/>
  <c r="V25" i="3"/>
  <c r="S29" i="3"/>
  <c r="V29" i="3"/>
  <c r="S33" i="3"/>
  <c r="V33" i="3"/>
  <c r="E37" i="3"/>
  <c r="E38" i="3" s="1"/>
  <c r="E7" i="1"/>
  <c r="J37" i="3"/>
  <c r="J7" i="1"/>
  <c r="S7" i="2"/>
  <c r="V7" i="2"/>
  <c r="S11" i="2"/>
  <c r="V11" i="2"/>
  <c r="S15" i="2"/>
  <c r="V15" i="2"/>
  <c r="S19" i="2"/>
  <c r="V19" i="2"/>
  <c r="S23" i="2"/>
  <c r="V23" i="2"/>
  <c r="S27" i="2"/>
  <c r="V27" i="2"/>
  <c r="S31" i="2"/>
  <c r="V31" i="2"/>
  <c r="W34" i="2"/>
  <c r="E37" i="2"/>
  <c r="E38" i="2" s="1"/>
  <c r="E6" i="1"/>
  <c r="J37" i="2"/>
  <c r="J6" i="1"/>
  <c r="T16" i="4"/>
  <c r="T24" i="4"/>
  <c r="T32" i="4"/>
  <c r="T10" i="3"/>
  <c r="T18" i="3"/>
  <c r="T26" i="3"/>
  <c r="T34" i="3"/>
  <c r="T12" i="2"/>
  <c r="T20" i="2"/>
  <c r="T28" i="2"/>
  <c r="T22" i="4"/>
  <c r="T30" i="4"/>
  <c r="T8" i="3"/>
  <c r="T12" i="3"/>
  <c r="T16" i="3"/>
  <c r="T20" i="3"/>
  <c r="T24" i="3"/>
  <c r="T28" i="3"/>
  <c r="T32" i="3"/>
  <c r="T10" i="2"/>
  <c r="T14" i="2"/>
  <c r="T18" i="2"/>
  <c r="T26" i="2"/>
  <c r="T30" i="2"/>
  <c r="V29" i="1"/>
  <c r="S29" i="1"/>
  <c r="T30" i="1"/>
  <c r="Y40" i="18"/>
  <c r="K39" i="18"/>
  <c r="H36" i="17"/>
  <c r="H37" i="17" s="1"/>
  <c r="H23" i="1"/>
  <c r="M36" i="17"/>
  <c r="M37" i="17" s="1"/>
  <c r="M38" i="17" s="1"/>
  <c r="M23" i="1"/>
  <c r="T7" i="17"/>
  <c r="G36" i="17"/>
  <c r="G37" i="17" s="1"/>
  <c r="G23" i="1"/>
  <c r="L36" i="17"/>
  <c r="L37" i="17" s="1"/>
  <c r="L38" i="17" s="1"/>
  <c r="L23" i="1"/>
  <c r="S11" i="17"/>
  <c r="V11" i="17"/>
  <c r="T16" i="17"/>
  <c r="T7" i="15"/>
  <c r="S10" i="15"/>
  <c r="S36" i="15" s="1"/>
  <c r="S19" i="26" s="1"/>
  <c r="T19" i="26" s="1"/>
  <c r="V10" i="15"/>
  <c r="O36" i="15"/>
  <c r="O19" i="26" s="1"/>
  <c r="V19" i="26" s="1"/>
  <c r="T5" i="15"/>
  <c r="S8" i="14"/>
  <c r="V8" i="14"/>
  <c r="S12" i="14"/>
  <c r="V12" i="14"/>
  <c r="S16" i="14"/>
  <c r="V16" i="14"/>
  <c r="S20" i="14"/>
  <c r="V20" i="14"/>
  <c r="T14" i="15"/>
  <c r="T15" i="14"/>
  <c r="T19" i="14"/>
  <c r="S24" i="14"/>
  <c r="V24" i="14"/>
  <c r="S28" i="14"/>
  <c r="V28" i="14"/>
  <c r="S32" i="14"/>
  <c r="V32" i="14"/>
  <c r="H37" i="14"/>
  <c r="H38" i="14" s="1"/>
  <c r="H18" i="1"/>
  <c r="T26" i="13"/>
  <c r="T31" i="13"/>
  <c r="T35" i="13"/>
  <c r="S19" i="11"/>
  <c r="V19" i="11"/>
  <c r="S23" i="11"/>
  <c r="V23" i="11"/>
  <c r="S27" i="11"/>
  <c r="V27" i="11"/>
  <c r="S26" i="12"/>
  <c r="V26" i="12"/>
  <c r="O37" i="12"/>
  <c r="S31" i="12"/>
  <c r="V31" i="12"/>
  <c r="S35" i="12"/>
  <c r="V35" i="12"/>
  <c r="T14" i="12"/>
  <c r="T18" i="12"/>
  <c r="T22" i="12"/>
  <c r="J37" i="9"/>
  <c r="J38" i="9" s="1"/>
  <c r="J13" i="1"/>
  <c r="S7" i="8"/>
  <c r="V7" i="8"/>
  <c r="S11" i="8"/>
  <c r="V11" i="8"/>
  <c r="S15" i="8"/>
  <c r="V15" i="8"/>
  <c r="S19" i="8"/>
  <c r="V19" i="8"/>
  <c r="S23" i="8"/>
  <c r="V23" i="8"/>
  <c r="S27" i="8"/>
  <c r="V27" i="8"/>
  <c r="T8" i="11"/>
  <c r="T12" i="11"/>
  <c r="T16" i="11"/>
  <c r="T33" i="11"/>
  <c r="T7" i="9"/>
  <c r="T11" i="9"/>
  <c r="T15" i="9"/>
  <c r="T19" i="9"/>
  <c r="T23" i="9"/>
  <c r="T27" i="9"/>
  <c r="T31" i="9"/>
  <c r="T35" i="9"/>
  <c r="G37" i="8"/>
  <c r="G38" i="8" s="1"/>
  <c r="G12" i="1"/>
  <c r="O12" i="1" s="1"/>
  <c r="S5" i="7"/>
  <c r="V5" i="7"/>
  <c r="O36" i="7"/>
  <c r="O11" i="26" s="1"/>
  <c r="V11" i="26" s="1"/>
  <c r="S9" i="7"/>
  <c r="V9" i="7"/>
  <c r="S13" i="7"/>
  <c r="V13" i="7"/>
  <c r="S17" i="7"/>
  <c r="V17" i="7"/>
  <c r="S21" i="7"/>
  <c r="V21" i="7"/>
  <c r="S25" i="7"/>
  <c r="V25" i="7"/>
  <c r="S29" i="7"/>
  <c r="V29" i="7"/>
  <c r="S33" i="7"/>
  <c r="V33" i="7"/>
  <c r="G37" i="7"/>
  <c r="G38" i="7" s="1"/>
  <c r="G11" i="1"/>
  <c r="O11" i="1" s="1"/>
  <c r="S7" i="6"/>
  <c r="V7" i="6"/>
  <c r="S11" i="6"/>
  <c r="V11" i="6"/>
  <c r="S15" i="6"/>
  <c r="V15" i="6"/>
  <c r="S19" i="6"/>
  <c r="V19" i="6"/>
  <c r="S23" i="6"/>
  <c r="V23" i="6"/>
  <c r="S27" i="6"/>
  <c r="V27" i="6"/>
  <c r="S31" i="6"/>
  <c r="V31" i="6"/>
  <c r="S35" i="6"/>
  <c r="V35" i="6"/>
  <c r="G37" i="6"/>
  <c r="G38" i="6" s="1"/>
  <c r="G10" i="1"/>
  <c r="S5" i="5"/>
  <c r="V5" i="5"/>
  <c r="O36" i="5"/>
  <c r="O9" i="26" s="1"/>
  <c r="V9" i="26" s="1"/>
  <c r="S9" i="5"/>
  <c r="V9" i="5"/>
  <c r="S13" i="5"/>
  <c r="V13" i="5"/>
  <c r="S17" i="5"/>
  <c r="V17" i="5"/>
  <c r="S21" i="5"/>
  <c r="V21" i="5"/>
  <c r="S25" i="5"/>
  <c r="V25" i="5"/>
  <c r="S29" i="5"/>
  <c r="V29" i="5"/>
  <c r="S33" i="5"/>
  <c r="V33" i="5"/>
  <c r="G37" i="5"/>
  <c r="G38" i="5" s="1"/>
  <c r="G9" i="1"/>
  <c r="T28" i="8"/>
  <c r="V35" i="5"/>
  <c r="S35" i="5"/>
  <c r="T8" i="4"/>
  <c r="T10" i="4"/>
  <c r="T12" i="4"/>
  <c r="T31" i="8"/>
  <c r="T16" i="6"/>
  <c r="T10" i="5"/>
  <c r="T14" i="5"/>
  <c r="T18" i="5"/>
  <c r="T26" i="5"/>
  <c r="T34" i="5"/>
  <c r="S7" i="4"/>
  <c r="V7" i="4"/>
  <c r="S9" i="4"/>
  <c r="V9" i="4"/>
  <c r="S11" i="4"/>
  <c r="V11" i="4"/>
  <c r="S17" i="4"/>
  <c r="V17" i="4"/>
  <c r="S21" i="4"/>
  <c r="V21" i="4"/>
  <c r="S25" i="4"/>
  <c r="V25" i="4"/>
  <c r="S29" i="4"/>
  <c r="V29" i="4"/>
  <c r="S33" i="4"/>
  <c r="V33" i="4"/>
  <c r="E37" i="4"/>
  <c r="E38" i="4" s="1"/>
  <c r="E8" i="1"/>
  <c r="J37" i="4"/>
  <c r="J8" i="1"/>
  <c r="S7" i="3"/>
  <c r="V7" i="3"/>
  <c r="S11" i="3"/>
  <c r="V11" i="3"/>
  <c r="S15" i="3"/>
  <c r="V15" i="3"/>
  <c r="S19" i="3"/>
  <c r="V19" i="3"/>
  <c r="S23" i="3"/>
  <c r="V23" i="3"/>
  <c r="S27" i="3"/>
  <c r="V27" i="3"/>
  <c r="S31" i="3"/>
  <c r="V31" i="3"/>
  <c r="S35" i="3"/>
  <c r="V35" i="3"/>
  <c r="G37" i="3"/>
  <c r="G38" i="3" s="1"/>
  <c r="G7" i="1"/>
  <c r="O7" i="1" s="1"/>
  <c r="S5" i="2"/>
  <c r="V5" i="2"/>
  <c r="O36" i="2"/>
  <c r="O6" i="26" s="1"/>
  <c r="S9" i="2"/>
  <c r="V9" i="2"/>
  <c r="S13" i="2"/>
  <c r="V13" i="2"/>
  <c r="S17" i="2"/>
  <c r="V17" i="2"/>
  <c r="S21" i="2"/>
  <c r="V21" i="2"/>
  <c r="S25" i="2"/>
  <c r="V25" i="2"/>
  <c r="S29" i="2"/>
  <c r="V29" i="2"/>
  <c r="S33" i="2"/>
  <c r="V33" i="2"/>
  <c r="S35" i="2"/>
  <c r="V35" i="2"/>
  <c r="G37" i="2"/>
  <c r="G38" i="2" s="1"/>
  <c r="G6" i="1"/>
  <c r="N38" i="10"/>
  <c r="U14" i="1"/>
  <c r="N37" i="16"/>
  <c r="N38" i="16" s="1"/>
  <c r="U20" i="1"/>
  <c r="P37" i="16"/>
  <c r="P38" i="16" s="1"/>
  <c r="W20" i="1"/>
  <c r="S28" i="1"/>
  <c r="N27" i="1"/>
  <c r="U28" i="1"/>
  <c r="W28" i="1"/>
  <c r="P27" i="1"/>
  <c r="T14" i="4"/>
  <c r="T6" i="2"/>
  <c r="P36" i="2"/>
  <c r="P6" i="26" s="1"/>
  <c r="S34" i="2"/>
  <c r="V27" i="1" l="1"/>
  <c r="U37" i="16"/>
  <c r="S29" i="26"/>
  <c r="T29" i="26" s="1"/>
  <c r="S5" i="27"/>
  <c r="S28" i="26"/>
  <c r="T28" i="26" s="1"/>
  <c r="T22" i="10"/>
  <c r="T22" i="27" s="1"/>
  <c r="T14" i="10"/>
  <c r="T14" i="27" s="1"/>
  <c r="R40" i="18"/>
  <c r="AD17" i="18" s="1"/>
  <c r="S33" i="27"/>
  <c r="S31" i="27"/>
  <c r="N37" i="6"/>
  <c r="N38" i="6" s="1"/>
  <c r="Z11" i="6" s="1"/>
  <c r="S35" i="27"/>
  <c r="S25" i="27"/>
  <c r="S26" i="27"/>
  <c r="T34" i="18"/>
  <c r="S30" i="18"/>
  <c r="S34" i="27"/>
  <c r="S7" i="27"/>
  <c r="E5" i="1"/>
  <c r="P37" i="15"/>
  <c r="P38" i="15" s="1"/>
  <c r="AB5" i="15" s="1"/>
  <c r="S16" i="27"/>
  <c r="L14" i="26"/>
  <c r="L5" i="26" s="1"/>
  <c r="L41" i="26" s="1"/>
  <c r="H14" i="26"/>
  <c r="W14" i="26" s="1"/>
  <c r="J14" i="26"/>
  <c r="J5" i="26" s="1"/>
  <c r="G14" i="26"/>
  <c r="G5" i="26" s="1"/>
  <c r="R39" i="10"/>
  <c r="T11" i="10"/>
  <c r="T11" i="27" s="1"/>
  <c r="T24" i="10"/>
  <c r="T24" i="27" s="1"/>
  <c r="S18" i="27"/>
  <c r="S10" i="27"/>
  <c r="S28" i="27"/>
  <c r="R37" i="27"/>
  <c r="R14" i="26" s="1"/>
  <c r="R5" i="26" s="1"/>
  <c r="S20" i="1"/>
  <c r="L22" i="1"/>
  <c r="N37" i="15"/>
  <c r="N38" i="15" s="1"/>
  <c r="Z6" i="15" s="1"/>
  <c r="S36" i="27"/>
  <c r="H22" i="26"/>
  <c r="U37" i="27"/>
  <c r="F14" i="26"/>
  <c r="F5" i="26" s="1"/>
  <c r="U37" i="7"/>
  <c r="M38" i="27"/>
  <c r="M39" i="27" s="1"/>
  <c r="P37" i="2"/>
  <c r="P38" i="2" s="1"/>
  <c r="T30" i="18"/>
  <c r="S9" i="27"/>
  <c r="T12" i="10"/>
  <c r="T12" i="27" s="1"/>
  <c r="S17" i="27"/>
  <c r="U13" i="1"/>
  <c r="U8" i="1"/>
  <c r="S24" i="1"/>
  <c r="S36" i="9"/>
  <c r="S13" i="26" s="1"/>
  <c r="T13" i="26" s="1"/>
  <c r="S37" i="10"/>
  <c r="P5" i="26"/>
  <c r="W8" i="1"/>
  <c r="T6" i="10"/>
  <c r="T6" i="27" s="1"/>
  <c r="E38" i="27"/>
  <c r="E39" i="27" s="1"/>
  <c r="T20" i="10"/>
  <c r="N12" i="1"/>
  <c r="U12" i="1" s="1"/>
  <c r="U6" i="1"/>
  <c r="S29" i="27"/>
  <c r="Y27" i="1"/>
  <c r="S19" i="27"/>
  <c r="W10" i="1"/>
  <c r="M22" i="1"/>
  <c r="M5" i="26"/>
  <c r="M41" i="26" s="1"/>
  <c r="S8" i="27"/>
  <c r="S27" i="27"/>
  <c r="N39" i="10"/>
  <c r="S23" i="27"/>
  <c r="W30" i="26"/>
  <c r="Y30" i="26"/>
  <c r="O40" i="18"/>
  <c r="AA21" i="18" s="1"/>
  <c r="J22" i="26"/>
  <c r="N37" i="27"/>
  <c r="N14" i="26" s="1"/>
  <c r="N5" i="26" s="1"/>
  <c r="N41" i="26" s="1"/>
  <c r="N38" i="13"/>
  <c r="N39" i="13" s="1"/>
  <c r="N38" i="30"/>
  <c r="N39" i="30" s="1"/>
  <c r="Z30" i="30" s="1"/>
  <c r="R38" i="30"/>
  <c r="R39" i="30" s="1"/>
  <c r="AD30" i="30" s="1"/>
  <c r="S21" i="27"/>
  <c r="U27" i="26"/>
  <c r="Y6" i="18"/>
  <c r="AD35" i="29"/>
  <c r="AD33" i="29"/>
  <c r="AD31" i="29"/>
  <c r="AD28" i="29"/>
  <c r="AD26" i="29"/>
  <c r="AD24" i="29"/>
  <c r="AD22" i="29"/>
  <c r="AD20" i="29"/>
  <c r="AD18" i="29"/>
  <c r="AD16" i="29"/>
  <c r="AD14" i="29"/>
  <c r="AD12" i="29"/>
  <c r="AD10" i="29"/>
  <c r="AD8" i="29"/>
  <c r="AD6" i="29"/>
  <c r="AD36" i="29"/>
  <c r="AD34" i="29"/>
  <c r="AD32" i="29"/>
  <c r="AD29" i="29"/>
  <c r="AD27" i="29"/>
  <c r="AD25" i="29"/>
  <c r="AD23" i="29"/>
  <c r="AD21" i="29"/>
  <c r="AD19" i="29"/>
  <c r="AD17" i="29"/>
  <c r="AD15" i="29"/>
  <c r="AD13" i="29"/>
  <c r="AD11" i="29"/>
  <c r="AD9" i="29"/>
  <c r="AD7" i="29"/>
  <c r="AD5" i="29"/>
  <c r="P39" i="30"/>
  <c r="AB30" i="30" s="1"/>
  <c r="K6" i="1"/>
  <c r="M54" i="1" s="1"/>
  <c r="K6" i="26"/>
  <c r="K8" i="1"/>
  <c r="M56" i="1" s="1"/>
  <c r="K56" i="1" s="1"/>
  <c r="K8" i="26"/>
  <c r="K12" i="1"/>
  <c r="K12" i="26"/>
  <c r="K11" i="1"/>
  <c r="K11" i="26"/>
  <c r="K7" i="1"/>
  <c r="K7" i="26"/>
  <c r="K19" i="1"/>
  <c r="K19" i="26"/>
  <c r="K20" i="1"/>
  <c r="M67" i="1" s="1"/>
  <c r="K67" i="1" s="1"/>
  <c r="I67" i="1" s="1"/>
  <c r="K20" i="26"/>
  <c r="R36" i="17"/>
  <c r="R23" i="26"/>
  <c r="AB35" i="27"/>
  <c r="AB33" i="27"/>
  <c r="AB31" i="27"/>
  <c r="AB28" i="27"/>
  <c r="AB26" i="27"/>
  <c r="AB24" i="27"/>
  <c r="AB22" i="27"/>
  <c r="AB20" i="27"/>
  <c r="AB18" i="27"/>
  <c r="AB16" i="27"/>
  <c r="AB14" i="27"/>
  <c r="AB12" i="27"/>
  <c r="AB10" i="27"/>
  <c r="AB8" i="27"/>
  <c r="AB6" i="27"/>
  <c r="AB36" i="27"/>
  <c r="AB34" i="27"/>
  <c r="AB32" i="27"/>
  <c r="AB29" i="27"/>
  <c r="AB27" i="27"/>
  <c r="AB25" i="27"/>
  <c r="AB23" i="27"/>
  <c r="AB21" i="27"/>
  <c r="AB19" i="27"/>
  <c r="AB17" i="27"/>
  <c r="AB15" i="27"/>
  <c r="AB13" i="27"/>
  <c r="AB11" i="27"/>
  <c r="AB9" i="27"/>
  <c r="AB7" i="27"/>
  <c r="AB5" i="27"/>
  <c r="W6" i="26"/>
  <c r="S13" i="27"/>
  <c r="T15" i="27"/>
  <c r="T16" i="27"/>
  <c r="T8" i="27"/>
  <c r="V30" i="26"/>
  <c r="O27" i="26"/>
  <c r="V27" i="26" s="1"/>
  <c r="O37" i="27"/>
  <c r="O14" i="26" s="1"/>
  <c r="O5" i="26" s="1"/>
  <c r="Y27" i="26"/>
  <c r="T24" i="26"/>
  <c r="K37" i="27"/>
  <c r="K14" i="26" s="1"/>
  <c r="K27" i="26"/>
  <c r="G22" i="26"/>
  <c r="V6" i="26"/>
  <c r="O36" i="17"/>
  <c r="O23" i="26"/>
  <c r="O39" i="29"/>
  <c r="AA30" i="29" s="1"/>
  <c r="O39" i="30"/>
  <c r="AA30" i="30" s="1"/>
  <c r="K13" i="1"/>
  <c r="K13" i="26"/>
  <c r="K9" i="1"/>
  <c r="M57" i="1" s="1"/>
  <c r="K57" i="1" s="1"/>
  <c r="I57" i="1" s="1"/>
  <c r="K9" i="26"/>
  <c r="P36" i="17"/>
  <c r="P23" i="26"/>
  <c r="K36" i="17"/>
  <c r="K23" i="26"/>
  <c r="K18" i="1"/>
  <c r="K18" i="26"/>
  <c r="K10" i="1"/>
  <c r="K10" i="26"/>
  <c r="K24" i="1"/>
  <c r="K22" i="1" s="1"/>
  <c r="K24" i="26"/>
  <c r="K38" i="27"/>
  <c r="U38" i="27"/>
  <c r="F39" i="27"/>
  <c r="U39" i="27" s="1"/>
  <c r="AB39" i="27" s="1"/>
  <c r="W6" i="18"/>
  <c r="T13" i="27"/>
  <c r="S32" i="27"/>
  <c r="S15" i="27"/>
  <c r="W27" i="26"/>
  <c r="T5" i="27"/>
  <c r="T18" i="27"/>
  <c r="T10" i="27"/>
  <c r="K12" i="18"/>
  <c r="N39" i="29"/>
  <c r="Z30" i="29" s="1"/>
  <c r="E5" i="26"/>
  <c r="E41" i="26" s="1"/>
  <c r="F22" i="26"/>
  <c r="U22" i="26" s="1"/>
  <c r="K40" i="18"/>
  <c r="U37" i="15"/>
  <c r="U37" i="9"/>
  <c r="U37" i="4"/>
  <c r="J38" i="4"/>
  <c r="Y38" i="4" s="1"/>
  <c r="H38" i="17"/>
  <c r="W38" i="17" s="1"/>
  <c r="J38" i="3"/>
  <c r="Y38" i="3" s="1"/>
  <c r="J38" i="5"/>
  <c r="Y38" i="5" s="1"/>
  <c r="J38" i="6"/>
  <c r="Y38" i="6" s="1"/>
  <c r="H38" i="4"/>
  <c r="W38" i="4" s="1"/>
  <c r="H39" i="11"/>
  <c r="W39" i="11" s="1"/>
  <c r="G39" i="12"/>
  <c r="V39" i="12" s="1"/>
  <c r="G39" i="10"/>
  <c r="V39" i="10" s="1"/>
  <c r="H38" i="5"/>
  <c r="W38" i="5" s="1"/>
  <c r="G38" i="14"/>
  <c r="V38" i="14" s="1"/>
  <c r="G39" i="11"/>
  <c r="V39" i="11" s="1"/>
  <c r="G39" i="13"/>
  <c r="V39" i="13" s="1"/>
  <c r="H38" i="2"/>
  <c r="W38" i="2" s="1"/>
  <c r="F39" i="10"/>
  <c r="U39" i="10" s="1"/>
  <c r="G38" i="15"/>
  <c r="V38" i="15" s="1"/>
  <c r="G38" i="16"/>
  <c r="V38" i="16" s="1"/>
  <c r="U6" i="18"/>
  <c r="S6" i="18"/>
  <c r="S12" i="18" s="1"/>
  <c r="G38" i="17"/>
  <c r="V38" i="17" s="1"/>
  <c r="J38" i="2"/>
  <c r="Y38" i="2" s="1"/>
  <c r="J38" i="7"/>
  <c r="Y38" i="7" s="1"/>
  <c r="J38" i="8"/>
  <c r="Y38" i="8" s="1"/>
  <c r="J38" i="17"/>
  <c r="Y38" i="17" s="1"/>
  <c r="J38" i="16"/>
  <c r="Y38" i="16" s="1"/>
  <c r="H38" i="3"/>
  <c r="W38" i="3" s="1"/>
  <c r="H38" i="9"/>
  <c r="W38" i="9" s="1"/>
  <c r="H39" i="10"/>
  <c r="W39" i="10" s="1"/>
  <c r="J39" i="12"/>
  <c r="Y39" i="12" s="1"/>
  <c r="G38" i="9"/>
  <c r="V38" i="9" s="1"/>
  <c r="J39" i="11"/>
  <c r="Y39" i="11" s="1"/>
  <c r="J38" i="14"/>
  <c r="Y38" i="14" s="1"/>
  <c r="H38" i="6"/>
  <c r="W38" i="6" s="1"/>
  <c r="H38" i="7"/>
  <c r="W38" i="7" s="1"/>
  <c r="H38" i="8"/>
  <c r="W38" i="8" s="1"/>
  <c r="H39" i="13"/>
  <c r="W39" i="13" s="1"/>
  <c r="AB40" i="18"/>
  <c r="K37" i="16"/>
  <c r="K38" i="16" s="1"/>
  <c r="K38" i="10"/>
  <c r="K39" i="10" s="1"/>
  <c r="V19" i="1"/>
  <c r="O37" i="15"/>
  <c r="O38" i="15" s="1"/>
  <c r="O37" i="16"/>
  <c r="O38" i="16" s="1"/>
  <c r="V20" i="1"/>
  <c r="S14" i="1"/>
  <c r="L5" i="1"/>
  <c r="P38" i="10"/>
  <c r="M5" i="1"/>
  <c r="O38" i="13"/>
  <c r="O39" i="13" s="1"/>
  <c r="AA30" i="13" s="1"/>
  <c r="U37" i="8"/>
  <c r="U38" i="8"/>
  <c r="O38" i="11"/>
  <c r="R7" i="1"/>
  <c r="Y7" i="1" s="1"/>
  <c r="R11" i="1"/>
  <c r="Y11" i="1" s="1"/>
  <c r="R12" i="1"/>
  <c r="R37" i="8" s="1"/>
  <c r="R38" i="8" s="1"/>
  <c r="S37" i="13"/>
  <c r="N18" i="1"/>
  <c r="P7" i="1"/>
  <c r="W7" i="1" s="1"/>
  <c r="N11" i="1"/>
  <c r="N37" i="7" s="1"/>
  <c r="N38" i="7" s="1"/>
  <c r="N7" i="1"/>
  <c r="U7" i="1" s="1"/>
  <c r="P11" i="1"/>
  <c r="W11" i="1" s="1"/>
  <c r="P12" i="1"/>
  <c r="W12" i="1" s="1"/>
  <c r="N60" i="1"/>
  <c r="W9" i="1"/>
  <c r="P37" i="5"/>
  <c r="V18" i="1"/>
  <c r="O37" i="14"/>
  <c r="O38" i="14" s="1"/>
  <c r="AA8" i="14" s="1"/>
  <c r="U38" i="2"/>
  <c r="U37" i="2"/>
  <c r="O38" i="10"/>
  <c r="O39" i="10" s="1"/>
  <c r="AA30" i="10" s="1"/>
  <c r="V14" i="1"/>
  <c r="U38" i="3"/>
  <c r="U37" i="3"/>
  <c r="W13" i="1"/>
  <c r="P37" i="9"/>
  <c r="R38" i="12"/>
  <c r="R39" i="12" s="1"/>
  <c r="U37" i="5"/>
  <c r="U38" i="5"/>
  <c r="U37" i="6"/>
  <c r="U38" i="6"/>
  <c r="V13" i="1"/>
  <c r="O37" i="9"/>
  <c r="O38" i="9" s="1"/>
  <c r="R38" i="11"/>
  <c r="R39" i="11" s="1"/>
  <c r="AD30" i="11" s="1"/>
  <c r="Y18" i="1"/>
  <c r="R37" i="14"/>
  <c r="U9" i="1"/>
  <c r="N37" i="5"/>
  <c r="S37" i="11"/>
  <c r="O38" i="12"/>
  <c r="R38" i="13"/>
  <c r="R39" i="13" s="1"/>
  <c r="AD30" i="13" s="1"/>
  <c r="S17" i="1"/>
  <c r="U38" i="11"/>
  <c r="U39" i="11"/>
  <c r="K38" i="11"/>
  <c r="K39" i="11" s="1"/>
  <c r="U37" i="14"/>
  <c r="U38" i="14"/>
  <c r="S37" i="12"/>
  <c r="P38" i="11"/>
  <c r="P39" i="11" s="1"/>
  <c r="AB30" i="11" s="1"/>
  <c r="Y20" i="1"/>
  <c r="R37" i="16"/>
  <c r="R38" i="16" s="1"/>
  <c r="K27" i="1"/>
  <c r="Y39" i="13"/>
  <c r="K38" i="13"/>
  <c r="K39" i="13" s="1"/>
  <c r="N15" i="1"/>
  <c r="F5" i="1"/>
  <c r="T32" i="18"/>
  <c r="S38" i="18"/>
  <c r="T34" i="13"/>
  <c r="T29" i="13"/>
  <c r="AB5" i="13"/>
  <c r="AB7" i="13"/>
  <c r="AB9" i="13"/>
  <c r="AB11" i="13"/>
  <c r="AB13" i="13"/>
  <c r="AB15" i="13"/>
  <c r="AB17" i="13"/>
  <c r="AB19" i="13"/>
  <c r="AB21" i="13"/>
  <c r="AB23" i="13"/>
  <c r="AB25" i="13"/>
  <c r="AB27" i="13"/>
  <c r="AB29" i="13"/>
  <c r="AB32" i="13"/>
  <c r="AB34" i="13"/>
  <c r="AB36" i="13"/>
  <c r="AB6" i="13"/>
  <c r="AB8" i="13"/>
  <c r="AB10" i="13"/>
  <c r="AB12" i="13"/>
  <c r="AB14" i="13"/>
  <c r="AB16" i="13"/>
  <c r="AB18" i="13"/>
  <c r="AB20" i="13"/>
  <c r="AB22" i="13"/>
  <c r="AB24" i="13"/>
  <c r="AB26" i="13"/>
  <c r="AB28" i="13"/>
  <c r="AB31" i="13"/>
  <c r="AB33" i="13"/>
  <c r="AB35" i="13"/>
  <c r="AB5" i="6"/>
  <c r="AB7" i="6"/>
  <c r="AB9" i="6"/>
  <c r="AB11" i="6"/>
  <c r="AB13" i="6"/>
  <c r="AB15" i="6"/>
  <c r="AB17" i="6"/>
  <c r="AB19" i="6"/>
  <c r="AB21" i="6"/>
  <c r="AB23" i="6"/>
  <c r="AB25" i="6"/>
  <c r="AB27" i="6"/>
  <c r="AB29" i="6"/>
  <c r="AB31" i="6"/>
  <c r="AB33" i="6"/>
  <c r="AB35" i="6"/>
  <c r="AB6" i="6"/>
  <c r="AB8" i="6"/>
  <c r="AB10" i="6"/>
  <c r="AB12" i="6"/>
  <c r="AB14" i="6"/>
  <c r="AB16" i="6"/>
  <c r="AB18" i="6"/>
  <c r="AB20" i="6"/>
  <c r="AB22" i="6"/>
  <c r="AB24" i="6"/>
  <c r="AB26" i="6"/>
  <c r="AB28" i="6"/>
  <c r="AB30" i="6"/>
  <c r="AB32" i="6"/>
  <c r="AB34" i="6"/>
  <c r="N39" i="18"/>
  <c r="N40" i="18" s="1"/>
  <c r="U27" i="1"/>
  <c r="S27" i="1"/>
  <c r="S39" i="18" s="1"/>
  <c r="T28" i="1"/>
  <c r="AB5" i="16"/>
  <c r="AB7" i="16"/>
  <c r="Z5" i="16"/>
  <c r="Z7" i="16"/>
  <c r="G5" i="1"/>
  <c r="O6" i="1"/>
  <c r="T35" i="2"/>
  <c r="S36" i="2"/>
  <c r="S6" i="26" s="1"/>
  <c r="T5" i="2"/>
  <c r="K37" i="3"/>
  <c r="K38" i="3" s="1"/>
  <c r="V38" i="3"/>
  <c r="T35" i="3"/>
  <c r="T23" i="3"/>
  <c r="AB5" i="4"/>
  <c r="AB7" i="4"/>
  <c r="AB9" i="4"/>
  <c r="AB11" i="4"/>
  <c r="AB6" i="4"/>
  <c r="AB8" i="4"/>
  <c r="AB10" i="4"/>
  <c r="AB12" i="4"/>
  <c r="AB14" i="4"/>
  <c r="AB16" i="4"/>
  <c r="AB18" i="4"/>
  <c r="AB20" i="4"/>
  <c r="AB22" i="4"/>
  <c r="AB24" i="4"/>
  <c r="AB26" i="4"/>
  <c r="AB28" i="4"/>
  <c r="AB30" i="4"/>
  <c r="AB32" i="4"/>
  <c r="AB34" i="4"/>
  <c r="AB13" i="4"/>
  <c r="AB15" i="4"/>
  <c r="AB17" i="4"/>
  <c r="AB19" i="4"/>
  <c r="AB21" i="4"/>
  <c r="AB23" i="4"/>
  <c r="AB25" i="4"/>
  <c r="AB27" i="4"/>
  <c r="AB29" i="4"/>
  <c r="AB31" i="4"/>
  <c r="AB33" i="4"/>
  <c r="AB35" i="4"/>
  <c r="T34" i="2"/>
  <c r="P39" i="18"/>
  <c r="P40" i="18" s="1"/>
  <c r="W27" i="1"/>
  <c r="Z31" i="6"/>
  <c r="Z6" i="2"/>
  <c r="Z8" i="2"/>
  <c r="Z10" i="2"/>
  <c r="Z12" i="2"/>
  <c r="Z14" i="2"/>
  <c r="Z16" i="2"/>
  <c r="Z18" i="2"/>
  <c r="Z20" i="2"/>
  <c r="Z22" i="2"/>
  <c r="Z24" i="2"/>
  <c r="Z26" i="2"/>
  <c r="Z28" i="2"/>
  <c r="Z30" i="2"/>
  <c r="Z32" i="2"/>
  <c r="Z5" i="2"/>
  <c r="Z7" i="2"/>
  <c r="Z9" i="2"/>
  <c r="Z11" i="2"/>
  <c r="Z13" i="2"/>
  <c r="Z15" i="2"/>
  <c r="Z17" i="2"/>
  <c r="Z19" i="2"/>
  <c r="Z21" i="2"/>
  <c r="Z23" i="2"/>
  <c r="Z25" i="2"/>
  <c r="Z27" i="2"/>
  <c r="Z29" i="2"/>
  <c r="Z31" i="2"/>
  <c r="Z33" i="2"/>
  <c r="Z35" i="2"/>
  <c r="Z34" i="2"/>
  <c r="V38" i="2"/>
  <c r="K37" i="2"/>
  <c r="K38" i="2" s="1"/>
  <c r="T33" i="2"/>
  <c r="T29" i="2"/>
  <c r="T25" i="2"/>
  <c r="T21" i="2"/>
  <c r="T17" i="2"/>
  <c r="T13" i="2"/>
  <c r="T9" i="2"/>
  <c r="O37" i="3"/>
  <c r="O38" i="3" s="1"/>
  <c r="V7" i="1"/>
  <c r="R8" i="1"/>
  <c r="E56" i="1"/>
  <c r="T11" i="4"/>
  <c r="T9" i="4"/>
  <c r="T7" i="4"/>
  <c r="V38" i="5"/>
  <c r="K37" i="5"/>
  <c r="K38" i="5" s="1"/>
  <c r="S36" i="5"/>
  <c r="S9" i="26" s="1"/>
  <c r="T9" i="26" s="1"/>
  <c r="T5" i="5"/>
  <c r="O10" i="1"/>
  <c r="T35" i="6"/>
  <c r="T31" i="6"/>
  <c r="T27" i="6"/>
  <c r="T23" i="6"/>
  <c r="T19" i="6"/>
  <c r="T15" i="6"/>
  <c r="T11" i="6"/>
  <c r="T7" i="6"/>
  <c r="O37" i="7"/>
  <c r="O38" i="7" s="1"/>
  <c r="V11" i="1"/>
  <c r="T33" i="7"/>
  <c r="T29" i="7"/>
  <c r="T25" i="7"/>
  <c r="T21" i="7"/>
  <c r="T17" i="7"/>
  <c r="T13" i="7"/>
  <c r="T9" i="7"/>
  <c r="V38" i="8"/>
  <c r="K37" i="8"/>
  <c r="K38" i="8" s="1"/>
  <c r="T27" i="8"/>
  <c r="T23" i="8"/>
  <c r="T19" i="8"/>
  <c r="T15" i="8"/>
  <c r="T11" i="8"/>
  <c r="T7" i="8"/>
  <c r="R13" i="1"/>
  <c r="T35" i="12"/>
  <c r="T31" i="12"/>
  <c r="T31" i="27" s="1"/>
  <c r="W38" i="14"/>
  <c r="K37" i="14"/>
  <c r="K38" i="14" s="1"/>
  <c r="T32" i="14"/>
  <c r="T28" i="14"/>
  <c r="T24" i="14"/>
  <c r="T11" i="17"/>
  <c r="H22" i="1"/>
  <c r="P23" i="1"/>
  <c r="T29" i="1"/>
  <c r="Z5" i="12"/>
  <c r="Z7" i="12"/>
  <c r="Z9" i="12"/>
  <c r="Z11" i="12"/>
  <c r="Z13" i="12"/>
  <c r="Z15" i="12"/>
  <c r="Z17" i="12"/>
  <c r="Z19" i="12"/>
  <c r="Z21" i="12"/>
  <c r="Z23" i="12"/>
  <c r="Z25" i="12"/>
  <c r="Z27" i="12"/>
  <c r="Z29" i="12"/>
  <c r="Z32" i="12"/>
  <c r="Z34" i="12"/>
  <c r="Z36" i="12"/>
  <c r="Z6" i="12"/>
  <c r="Z8" i="12"/>
  <c r="Z10" i="12"/>
  <c r="Z12" i="12"/>
  <c r="Z14" i="12"/>
  <c r="Z16" i="12"/>
  <c r="Z18" i="12"/>
  <c r="Z20" i="12"/>
  <c r="Z22" i="12"/>
  <c r="Z24" i="12"/>
  <c r="Z26" i="12"/>
  <c r="Z28" i="12"/>
  <c r="Z31" i="12"/>
  <c r="Z33" i="12"/>
  <c r="Z35" i="12"/>
  <c r="Z5" i="9"/>
  <c r="Z7" i="9"/>
  <c r="Z9" i="9"/>
  <c r="Z11" i="9"/>
  <c r="Z13" i="9"/>
  <c r="Z15" i="9"/>
  <c r="Z17" i="9"/>
  <c r="Z19" i="9"/>
  <c r="Z21" i="9"/>
  <c r="Z23" i="9"/>
  <c r="Z25" i="9"/>
  <c r="Z27" i="9"/>
  <c r="Z29" i="9"/>
  <c r="Z31" i="9"/>
  <c r="Z33" i="9"/>
  <c r="Z35" i="9"/>
  <c r="Z6" i="9"/>
  <c r="Z8" i="9"/>
  <c r="Z10" i="9"/>
  <c r="Z12" i="9"/>
  <c r="Z14" i="9"/>
  <c r="Z16" i="9"/>
  <c r="Z18" i="9"/>
  <c r="Z20" i="9"/>
  <c r="Z22" i="9"/>
  <c r="Z24" i="9"/>
  <c r="Z26" i="9"/>
  <c r="Z28" i="9"/>
  <c r="Z30" i="9"/>
  <c r="Z32" i="9"/>
  <c r="Z34" i="9"/>
  <c r="T31" i="2"/>
  <c r="T27" i="2"/>
  <c r="T23" i="2"/>
  <c r="T19" i="2"/>
  <c r="T15" i="2"/>
  <c r="T11" i="2"/>
  <c r="T7" i="2"/>
  <c r="T33" i="3"/>
  <c r="T29" i="3"/>
  <c r="T25" i="3"/>
  <c r="T21" i="3"/>
  <c r="T17" i="3"/>
  <c r="T13" i="3"/>
  <c r="T9" i="3"/>
  <c r="O8" i="1"/>
  <c r="S36" i="6"/>
  <c r="S10" i="26" s="1"/>
  <c r="T10" i="26" s="1"/>
  <c r="T5" i="6"/>
  <c r="T35" i="7"/>
  <c r="T31" i="7"/>
  <c r="T27" i="7"/>
  <c r="T23" i="7"/>
  <c r="T19" i="7"/>
  <c r="T15" i="7"/>
  <c r="T11" i="7"/>
  <c r="T7" i="7"/>
  <c r="T35" i="8"/>
  <c r="T36" i="9"/>
  <c r="T25" i="8"/>
  <c r="T21" i="8"/>
  <c r="T17" i="8"/>
  <c r="T13" i="8"/>
  <c r="T9" i="8"/>
  <c r="W39" i="12"/>
  <c r="K38" i="12"/>
  <c r="K39" i="12" s="1"/>
  <c r="T33" i="12"/>
  <c r="T33" i="27" s="1"/>
  <c r="T28" i="12"/>
  <c r="T28" i="27" s="1"/>
  <c r="T29" i="11"/>
  <c r="T25" i="11"/>
  <c r="T25" i="27" s="1"/>
  <c r="T21" i="11"/>
  <c r="T21" i="27" s="1"/>
  <c r="T34" i="14"/>
  <c r="T30" i="14"/>
  <c r="T26" i="14"/>
  <c r="T6" i="14"/>
  <c r="Y38" i="15"/>
  <c r="K37" i="15"/>
  <c r="K38" i="15" s="1"/>
  <c r="T9" i="17"/>
  <c r="F22" i="1"/>
  <c r="N23" i="1"/>
  <c r="Z5" i="4"/>
  <c r="Z7" i="4"/>
  <c r="Z9" i="4"/>
  <c r="Z11" i="4"/>
  <c r="Z14" i="4"/>
  <c r="Z16" i="4"/>
  <c r="Z18" i="4"/>
  <c r="Z20" i="4"/>
  <c r="Z22" i="4"/>
  <c r="Z24" i="4"/>
  <c r="Z26" i="4"/>
  <c r="Z28" i="4"/>
  <c r="Z30" i="4"/>
  <c r="Z32" i="4"/>
  <c r="Z34" i="4"/>
  <c r="Z6" i="4"/>
  <c r="Z8" i="4"/>
  <c r="Z10" i="4"/>
  <c r="Z12" i="4"/>
  <c r="Z13" i="4"/>
  <c r="Z15" i="4"/>
  <c r="Z17" i="4"/>
  <c r="Z19" i="4"/>
  <c r="Z21" i="4"/>
  <c r="Z23" i="4"/>
  <c r="Z25" i="4"/>
  <c r="Z27" i="4"/>
  <c r="Z29" i="4"/>
  <c r="Z31" i="4"/>
  <c r="Z33" i="4"/>
  <c r="Z35" i="4"/>
  <c r="T31" i="3"/>
  <c r="T27" i="3"/>
  <c r="T19" i="3"/>
  <c r="T15" i="3"/>
  <c r="T11" i="3"/>
  <c r="T7" i="3"/>
  <c r="T33" i="4"/>
  <c r="T29" i="4"/>
  <c r="T25" i="4"/>
  <c r="T21" i="4"/>
  <c r="T17" i="4"/>
  <c r="T35" i="5"/>
  <c r="O9" i="1"/>
  <c r="T33" i="5"/>
  <c r="T29" i="5"/>
  <c r="T25" i="5"/>
  <c r="T21" i="5"/>
  <c r="T17" i="5"/>
  <c r="T13" i="5"/>
  <c r="T9" i="5"/>
  <c r="V38" i="6"/>
  <c r="K37" i="6"/>
  <c r="K38" i="6" s="1"/>
  <c r="V38" i="7"/>
  <c r="K37" i="7"/>
  <c r="K38" i="7" s="1"/>
  <c r="T5" i="7"/>
  <c r="S36" i="7"/>
  <c r="S11" i="26" s="1"/>
  <c r="T11" i="26" s="1"/>
  <c r="O37" i="8"/>
  <c r="O38" i="8" s="1"/>
  <c r="V12" i="1"/>
  <c r="Y38" i="9"/>
  <c r="K37" i="9"/>
  <c r="K38" i="9" s="1"/>
  <c r="T26" i="12"/>
  <c r="T26" i="27" s="1"/>
  <c r="T27" i="11"/>
  <c r="T27" i="27" s="1"/>
  <c r="T23" i="11"/>
  <c r="T23" i="27" s="1"/>
  <c r="T19" i="11"/>
  <c r="T19" i="27" s="1"/>
  <c r="P18" i="1"/>
  <c r="T20" i="14"/>
  <c r="T16" i="14"/>
  <c r="T12" i="14"/>
  <c r="T8" i="14"/>
  <c r="T10" i="15"/>
  <c r="T36" i="15" s="1"/>
  <c r="G22" i="1"/>
  <c r="O23" i="1"/>
  <c r="J5" i="1"/>
  <c r="R6" i="1"/>
  <c r="E54" i="1"/>
  <c r="N55" i="1"/>
  <c r="S36" i="3"/>
  <c r="S7" i="26" s="1"/>
  <c r="T7" i="26" s="1"/>
  <c r="T5" i="3"/>
  <c r="K37" i="4"/>
  <c r="K38" i="4" s="1"/>
  <c r="V38" i="4"/>
  <c r="T35" i="4"/>
  <c r="T31" i="4"/>
  <c r="T27" i="4"/>
  <c r="T23" i="4"/>
  <c r="T19" i="4"/>
  <c r="T15" i="4"/>
  <c r="S36" i="4"/>
  <c r="S8" i="26" s="1"/>
  <c r="T8" i="26" s="1"/>
  <c r="T5" i="4"/>
  <c r="R9" i="1"/>
  <c r="E57" i="1"/>
  <c r="T31" i="5"/>
  <c r="T27" i="5"/>
  <c r="T23" i="5"/>
  <c r="T19" i="5"/>
  <c r="T15" i="5"/>
  <c r="T11" i="5"/>
  <c r="T7" i="5"/>
  <c r="R10" i="1"/>
  <c r="T33" i="6"/>
  <c r="T29" i="6"/>
  <c r="T25" i="6"/>
  <c r="T21" i="6"/>
  <c r="T17" i="6"/>
  <c r="T13" i="6"/>
  <c r="T9" i="6"/>
  <c r="T5" i="8"/>
  <c r="S36" i="8"/>
  <c r="S12" i="26" s="1"/>
  <c r="T12" i="26" s="1"/>
  <c r="P16" i="1"/>
  <c r="P39" i="29" s="1"/>
  <c r="AB30" i="29" s="1"/>
  <c r="H5" i="1"/>
  <c r="T17" i="11"/>
  <c r="T17" i="27" s="1"/>
  <c r="T22" i="14"/>
  <c r="S36" i="14"/>
  <c r="S18" i="26" s="1"/>
  <c r="T18" i="26" s="1"/>
  <c r="T18" i="14"/>
  <c r="T14" i="14"/>
  <c r="T10" i="14"/>
  <c r="R37" i="15"/>
  <c r="R38" i="15" s="1"/>
  <c r="Y19" i="1"/>
  <c r="S19" i="1"/>
  <c r="J22" i="1"/>
  <c r="R23" i="1"/>
  <c r="E22" i="1"/>
  <c r="U36" i="17"/>
  <c r="F37" i="17"/>
  <c r="F38" i="17" s="1"/>
  <c r="S5" i="17"/>
  <c r="S23" i="26" s="1"/>
  <c r="AD21" i="18" l="1"/>
  <c r="AB12" i="15"/>
  <c r="AD15" i="18"/>
  <c r="T27" i="26"/>
  <c r="Z32" i="6"/>
  <c r="Z23" i="6"/>
  <c r="Z24" i="6"/>
  <c r="Z15" i="6"/>
  <c r="Z16" i="6"/>
  <c r="AD26" i="18"/>
  <c r="T35" i="27"/>
  <c r="T32" i="27"/>
  <c r="AD6" i="12"/>
  <c r="AD30" i="12"/>
  <c r="H5" i="26"/>
  <c r="H41" i="26" s="1"/>
  <c r="H42" i="26" s="1"/>
  <c r="Z11" i="13"/>
  <c r="Z30" i="13"/>
  <c r="T36" i="27"/>
  <c r="T34" i="27"/>
  <c r="Z8" i="6"/>
  <c r="Z7" i="6"/>
  <c r="S27" i="26"/>
  <c r="Z9" i="10"/>
  <c r="Z30" i="10"/>
  <c r="AD20" i="10"/>
  <c r="AD30" i="10"/>
  <c r="AD24" i="18"/>
  <c r="AD20" i="18"/>
  <c r="AD8" i="18"/>
  <c r="AD29" i="18"/>
  <c r="AD11" i="18"/>
  <c r="AD27" i="18"/>
  <c r="AD7" i="18"/>
  <c r="AD34" i="18"/>
  <c r="AD22" i="18"/>
  <c r="AD25" i="18"/>
  <c r="AD18" i="18"/>
  <c r="AD19" i="18"/>
  <c r="AD6" i="18"/>
  <c r="AD28" i="18"/>
  <c r="AD32" i="18"/>
  <c r="AD23" i="18"/>
  <c r="AD16" i="18"/>
  <c r="Z34" i="6"/>
  <c r="Z26" i="6"/>
  <c r="Z18" i="6"/>
  <c r="Z10" i="6"/>
  <c r="Z33" i="6"/>
  <c r="Z25" i="6"/>
  <c r="Z17" i="6"/>
  <c r="Z9" i="6"/>
  <c r="Z30" i="6"/>
  <c r="Z22" i="6"/>
  <c r="Z14" i="6"/>
  <c r="Z6" i="6"/>
  <c r="Z29" i="6"/>
  <c r="Z21" i="6"/>
  <c r="Z13" i="6"/>
  <c r="Z5" i="6"/>
  <c r="Z28" i="6"/>
  <c r="Z20" i="6"/>
  <c r="Z12" i="6"/>
  <c r="Z35" i="6"/>
  <c r="Z27" i="6"/>
  <c r="Z19" i="6"/>
  <c r="Z34" i="13"/>
  <c r="Z35" i="13"/>
  <c r="Z25" i="13"/>
  <c r="Z26" i="13"/>
  <c r="Z12" i="15"/>
  <c r="AB9" i="15"/>
  <c r="Z13" i="15"/>
  <c r="Z8" i="15"/>
  <c r="AB7" i="15"/>
  <c r="AB13" i="15"/>
  <c r="AB8" i="15"/>
  <c r="R37" i="3"/>
  <c r="R38" i="3" s="1"/>
  <c r="AD15" i="3" s="1"/>
  <c r="Z18" i="13"/>
  <c r="Z17" i="13"/>
  <c r="Z10" i="13"/>
  <c r="Z9" i="13"/>
  <c r="Z9" i="15"/>
  <c r="Z7" i="15"/>
  <c r="AA35" i="14"/>
  <c r="AB11" i="15"/>
  <c r="AB10" i="15"/>
  <c r="AB6" i="15"/>
  <c r="Z14" i="15"/>
  <c r="Z5" i="15"/>
  <c r="AB14" i="15"/>
  <c r="Z11" i="15"/>
  <c r="Z10" i="15"/>
  <c r="L41" i="1"/>
  <c r="L42" i="1" s="1"/>
  <c r="L43" i="1" s="1"/>
  <c r="J41" i="26"/>
  <c r="J42" i="26" s="1"/>
  <c r="J43" i="26" s="1"/>
  <c r="AD35" i="10"/>
  <c r="AD9" i="10"/>
  <c r="AD31" i="10"/>
  <c r="AD28" i="10"/>
  <c r="AD19" i="10"/>
  <c r="G41" i="26"/>
  <c r="G42" i="26" s="1"/>
  <c r="AD7" i="10"/>
  <c r="AD8" i="10"/>
  <c r="AD25" i="10"/>
  <c r="AD11" i="10"/>
  <c r="AD29" i="10"/>
  <c r="AD15" i="10"/>
  <c r="AD24" i="10"/>
  <c r="AD34" i="10"/>
  <c r="AD27" i="10"/>
  <c r="AD5" i="10"/>
  <c r="AD21" i="10"/>
  <c r="AD6" i="10"/>
  <c r="AD14" i="10"/>
  <c r="AD32" i="10"/>
  <c r="AD33" i="10"/>
  <c r="AD18" i="10"/>
  <c r="AD10" i="10"/>
  <c r="AD13" i="10"/>
  <c r="Z8" i="10"/>
  <c r="AA14" i="14"/>
  <c r="Z7" i="10"/>
  <c r="AD22" i="10"/>
  <c r="AD23" i="10"/>
  <c r="AD16" i="10"/>
  <c r="AD17" i="10"/>
  <c r="AD26" i="10"/>
  <c r="AD36" i="10"/>
  <c r="AD12" i="10"/>
  <c r="Y14" i="26"/>
  <c r="R38" i="27"/>
  <c r="R39" i="27" s="1"/>
  <c r="S37" i="16"/>
  <c r="S38" i="16" s="1"/>
  <c r="Z24" i="10"/>
  <c r="T20" i="1"/>
  <c r="Z23" i="10"/>
  <c r="Z16" i="10"/>
  <c r="Z15" i="10"/>
  <c r="Z33" i="10"/>
  <c r="Z32" i="10"/>
  <c r="AA25" i="14"/>
  <c r="AA30" i="14"/>
  <c r="T24" i="1"/>
  <c r="AA19" i="14"/>
  <c r="M41" i="1"/>
  <c r="M42" i="1" s="1"/>
  <c r="M43" i="1" s="1"/>
  <c r="H56" i="1"/>
  <c r="I56" i="1"/>
  <c r="AA28" i="14"/>
  <c r="Z24" i="13"/>
  <c r="Z8" i="13"/>
  <c r="Z23" i="13"/>
  <c r="Z7" i="13"/>
  <c r="AA29" i="14"/>
  <c r="AA20" i="14"/>
  <c r="AA26" i="14"/>
  <c r="AA7" i="14"/>
  <c r="Z31" i="13"/>
  <c r="Z22" i="13"/>
  <c r="Z14" i="13"/>
  <c r="Z6" i="13"/>
  <c r="Z29" i="13"/>
  <c r="Z21" i="13"/>
  <c r="Z13" i="13"/>
  <c r="Z5" i="13"/>
  <c r="AA33" i="14"/>
  <c r="AA22" i="14"/>
  <c r="AA15" i="14"/>
  <c r="AA6" i="14"/>
  <c r="Z33" i="13"/>
  <c r="Z16" i="13"/>
  <c r="Z32" i="13"/>
  <c r="Z15" i="13"/>
  <c r="AA27" i="14"/>
  <c r="AA34" i="14"/>
  <c r="AA21" i="14"/>
  <c r="AA18" i="14"/>
  <c r="Z28" i="13"/>
  <c r="Z20" i="13"/>
  <c r="Z12" i="13"/>
  <c r="Z36" i="13"/>
  <c r="Z27" i="13"/>
  <c r="Z19" i="13"/>
  <c r="AA28" i="18"/>
  <c r="AA17" i="18"/>
  <c r="P37" i="8"/>
  <c r="P38" i="8" s="1"/>
  <c r="AB9" i="8" s="1"/>
  <c r="P37" i="7"/>
  <c r="P38" i="7" s="1"/>
  <c r="AB28" i="7" s="1"/>
  <c r="N37" i="3"/>
  <c r="N38" i="3" s="1"/>
  <c r="Z8" i="3" s="1"/>
  <c r="N37" i="8"/>
  <c r="N38" i="8" s="1"/>
  <c r="T37" i="10"/>
  <c r="T20" i="27"/>
  <c r="N38" i="27"/>
  <c r="N39" i="27" s="1"/>
  <c r="AD20" i="12"/>
  <c r="Y12" i="1"/>
  <c r="Z6" i="10"/>
  <c r="AA6" i="18"/>
  <c r="Z31" i="10"/>
  <c r="Z22" i="10"/>
  <c r="Z14" i="10"/>
  <c r="Z29" i="10"/>
  <c r="Z21" i="10"/>
  <c r="Z13" i="10"/>
  <c r="Z5" i="10"/>
  <c r="T29" i="27"/>
  <c r="AA20" i="18"/>
  <c r="AA31" i="14"/>
  <c r="AA23" i="14"/>
  <c r="AA32" i="14"/>
  <c r="AA24" i="14"/>
  <c r="AA11" i="14"/>
  <c r="AA10" i="14"/>
  <c r="Z28" i="10"/>
  <c r="Z20" i="10"/>
  <c r="Z12" i="10"/>
  <c r="Z36" i="10"/>
  <c r="Z27" i="10"/>
  <c r="Z19" i="10"/>
  <c r="Z11" i="10"/>
  <c r="AA29" i="18"/>
  <c r="U14" i="26"/>
  <c r="S12" i="1"/>
  <c r="Z35" i="10"/>
  <c r="Z26" i="10"/>
  <c r="Z18" i="10"/>
  <c r="Z10" i="10"/>
  <c r="Z34" i="10"/>
  <c r="Z25" i="10"/>
  <c r="Z17" i="10"/>
  <c r="AD21" i="12"/>
  <c r="AD5" i="12"/>
  <c r="AA17" i="14"/>
  <c r="AA13" i="14"/>
  <c r="AA9" i="14"/>
  <c r="AA5" i="14"/>
  <c r="AA16" i="14"/>
  <c r="AA12" i="14"/>
  <c r="AD29" i="12"/>
  <c r="AD13" i="12"/>
  <c r="AD28" i="12"/>
  <c r="AD12" i="12"/>
  <c r="O55" i="1"/>
  <c r="AD34" i="30"/>
  <c r="AD27" i="30"/>
  <c r="AD11" i="30"/>
  <c r="AD26" i="30"/>
  <c r="AD10" i="30"/>
  <c r="AD36" i="30"/>
  <c r="AD19" i="30"/>
  <c r="AD35" i="30"/>
  <c r="AD18" i="30"/>
  <c r="AD6" i="30"/>
  <c r="AD14" i="30"/>
  <c r="AD22" i="30"/>
  <c r="AD31" i="30"/>
  <c r="AD7" i="30"/>
  <c r="AD15" i="30"/>
  <c r="AD23" i="30"/>
  <c r="AD32" i="30"/>
  <c r="F57" i="1"/>
  <c r="G57" i="1"/>
  <c r="S38" i="30"/>
  <c r="S39" i="30" s="1"/>
  <c r="AD8" i="30"/>
  <c r="AD12" i="30"/>
  <c r="AD16" i="30"/>
  <c r="AD20" i="30"/>
  <c r="AD24" i="30"/>
  <c r="AD28" i="30"/>
  <c r="AD33" i="30"/>
  <c r="AD5" i="30"/>
  <c r="AD9" i="30"/>
  <c r="AD13" i="30"/>
  <c r="AD17" i="30"/>
  <c r="AD21" i="30"/>
  <c r="AD25" i="30"/>
  <c r="AD29" i="30"/>
  <c r="AD34" i="12"/>
  <c r="AD25" i="12"/>
  <c r="AD17" i="12"/>
  <c r="AD9" i="12"/>
  <c r="AD33" i="12"/>
  <c r="AD24" i="12"/>
  <c r="AD16" i="12"/>
  <c r="AD8" i="12"/>
  <c r="O60" i="1"/>
  <c r="S38" i="10"/>
  <c r="S39" i="10" s="1"/>
  <c r="S40" i="18"/>
  <c r="H57" i="1"/>
  <c r="K5" i="1"/>
  <c r="K41" i="1" s="1"/>
  <c r="F41" i="26"/>
  <c r="F42" i="26" s="1"/>
  <c r="S37" i="27"/>
  <c r="S14" i="26" s="1"/>
  <c r="T14" i="26" s="1"/>
  <c r="K39" i="27"/>
  <c r="K22" i="26"/>
  <c r="G56" i="1"/>
  <c r="AB36" i="29"/>
  <c r="AB14" i="29"/>
  <c r="AB8" i="29"/>
  <c r="AB16" i="29"/>
  <c r="AB20" i="29"/>
  <c r="AB24" i="29"/>
  <c r="AB28" i="29"/>
  <c r="AB33" i="29"/>
  <c r="AB11" i="29"/>
  <c r="AB5" i="29"/>
  <c r="AB9" i="29"/>
  <c r="AB17" i="29"/>
  <c r="AB21" i="29"/>
  <c r="AB25" i="29"/>
  <c r="AB29" i="29"/>
  <c r="AB34" i="29"/>
  <c r="AB12" i="29"/>
  <c r="AB6" i="29"/>
  <c r="AB10" i="29"/>
  <c r="AB18" i="29"/>
  <c r="AB22" i="29"/>
  <c r="AB26" i="29"/>
  <c r="AB31" i="29"/>
  <c r="AB35" i="29"/>
  <c r="AB13" i="29"/>
  <c r="AB7" i="29"/>
  <c r="AB15" i="29"/>
  <c r="AB19" i="29"/>
  <c r="AB23" i="29"/>
  <c r="AB27" i="29"/>
  <c r="AB32" i="29"/>
  <c r="T6" i="26"/>
  <c r="Z35" i="29"/>
  <c r="Z31" i="29"/>
  <c r="Z26" i="29"/>
  <c r="Z20" i="29"/>
  <c r="Z16" i="29"/>
  <c r="Z10" i="29"/>
  <c r="Z36" i="29"/>
  <c r="Z34" i="29"/>
  <c r="Z32" i="29"/>
  <c r="Z29" i="29"/>
  <c r="Z27" i="29"/>
  <c r="Z25" i="29"/>
  <c r="Z23" i="29"/>
  <c r="Z21" i="29"/>
  <c r="Z19" i="29"/>
  <c r="Z17" i="29"/>
  <c r="Z15" i="29"/>
  <c r="Z13" i="29"/>
  <c r="Z11" i="29"/>
  <c r="Z9" i="29"/>
  <c r="Z7" i="29"/>
  <c r="Z5" i="29"/>
  <c r="Z33" i="29"/>
  <c r="Z28" i="29"/>
  <c r="Z24" i="29"/>
  <c r="Z22" i="29"/>
  <c r="Z18" i="29"/>
  <c r="Z14" i="29"/>
  <c r="Z12" i="29"/>
  <c r="Z8" i="29"/>
  <c r="Z6" i="29"/>
  <c r="AD32" i="27"/>
  <c r="P22" i="26"/>
  <c r="W23" i="26"/>
  <c r="AA36" i="29"/>
  <c r="AA34" i="29"/>
  <c r="AA32" i="29"/>
  <c r="AA29" i="29"/>
  <c r="AA27" i="29"/>
  <c r="AA25" i="29"/>
  <c r="AA23" i="29"/>
  <c r="AA21" i="29"/>
  <c r="AA19" i="29"/>
  <c r="AA17" i="29"/>
  <c r="AA15" i="29"/>
  <c r="AA13" i="29"/>
  <c r="AA11" i="29"/>
  <c r="AA9" i="29"/>
  <c r="AA7" i="29"/>
  <c r="AA5" i="29"/>
  <c r="AA35" i="29"/>
  <c r="AA33" i="29"/>
  <c r="AA31" i="29"/>
  <c r="AA28" i="29"/>
  <c r="AA26" i="29"/>
  <c r="AA24" i="29"/>
  <c r="AA22" i="29"/>
  <c r="AA20" i="29"/>
  <c r="AA18" i="29"/>
  <c r="AA16" i="29"/>
  <c r="AA14" i="29"/>
  <c r="AA12" i="29"/>
  <c r="AA10" i="29"/>
  <c r="AA8" i="29"/>
  <c r="AA6" i="29"/>
  <c r="O22" i="26"/>
  <c r="V22" i="26" s="1"/>
  <c r="V23" i="26"/>
  <c r="V14" i="26"/>
  <c r="O38" i="27"/>
  <c r="O39" i="27" s="1"/>
  <c r="AA30" i="27" s="1"/>
  <c r="AB36" i="30"/>
  <c r="AB34" i="30"/>
  <c r="AB32" i="30"/>
  <c r="AB29" i="30"/>
  <c r="AB27" i="30"/>
  <c r="AB25" i="30"/>
  <c r="AB23" i="30"/>
  <c r="AB21" i="30"/>
  <c r="AB19" i="30"/>
  <c r="AB17" i="30"/>
  <c r="AB15" i="30"/>
  <c r="AB13" i="30"/>
  <c r="AB11" i="30"/>
  <c r="AB9" i="30"/>
  <c r="AB7" i="30"/>
  <c r="AB5" i="30"/>
  <c r="AB35" i="30"/>
  <c r="AB33" i="30"/>
  <c r="AB31" i="30"/>
  <c r="AB28" i="30"/>
  <c r="AB26" i="30"/>
  <c r="AB24" i="30"/>
  <c r="AB22" i="30"/>
  <c r="AB20" i="30"/>
  <c r="AB18" i="30"/>
  <c r="AB16" i="30"/>
  <c r="AB14" i="30"/>
  <c r="AB12" i="30"/>
  <c r="AB10" i="30"/>
  <c r="AB8" i="30"/>
  <c r="AB6" i="30"/>
  <c r="S22" i="26"/>
  <c r="T23" i="26"/>
  <c r="E42" i="26"/>
  <c r="L42" i="26"/>
  <c r="L43" i="26" s="1"/>
  <c r="M42" i="26"/>
  <c r="M43" i="26" s="1"/>
  <c r="AA36" i="30"/>
  <c r="AA34" i="30"/>
  <c r="AA32" i="30"/>
  <c r="AA29" i="30"/>
  <c r="AA27" i="30"/>
  <c r="AA25" i="30"/>
  <c r="AA23" i="30"/>
  <c r="AA21" i="30"/>
  <c r="AA19" i="30"/>
  <c r="AA17" i="30"/>
  <c r="AA15" i="30"/>
  <c r="AA13" i="30"/>
  <c r="AA11" i="30"/>
  <c r="AA9" i="30"/>
  <c r="AA7" i="30"/>
  <c r="AA5" i="30"/>
  <c r="AA35" i="30"/>
  <c r="AA33" i="30"/>
  <c r="AA31" i="30"/>
  <c r="AA28" i="30"/>
  <c r="AA26" i="30"/>
  <c r="AA24" i="30"/>
  <c r="AA22" i="30"/>
  <c r="AA20" i="30"/>
  <c r="AA18" i="30"/>
  <c r="AA16" i="30"/>
  <c r="AA14" i="30"/>
  <c r="AA12" i="30"/>
  <c r="AA10" i="30"/>
  <c r="AA8" i="30"/>
  <c r="AA6" i="30"/>
  <c r="Z35" i="30"/>
  <c r="Z33" i="30"/>
  <c r="Z31" i="30"/>
  <c r="Z28" i="30"/>
  <c r="Z26" i="30"/>
  <c r="Z24" i="30"/>
  <c r="Z18" i="30"/>
  <c r="Z16" i="30"/>
  <c r="Z14" i="30"/>
  <c r="Z12" i="30"/>
  <c r="Z10" i="30"/>
  <c r="Z8" i="30"/>
  <c r="Z6" i="30"/>
  <c r="Z22" i="30"/>
  <c r="Z20" i="30"/>
  <c r="Z36" i="30"/>
  <c r="Z34" i="30"/>
  <c r="Z32" i="30"/>
  <c r="Z29" i="30"/>
  <c r="Z27" i="30"/>
  <c r="Z25" i="30"/>
  <c r="Z23" i="30"/>
  <c r="Z17" i="30"/>
  <c r="Z15" i="30"/>
  <c r="Z13" i="30"/>
  <c r="Z11" i="30"/>
  <c r="Z9" i="30"/>
  <c r="Z7" i="30"/>
  <c r="Z5" i="30"/>
  <c r="Z21" i="30"/>
  <c r="Z19" i="30"/>
  <c r="R22" i="26"/>
  <c r="Y22" i="26" s="1"/>
  <c r="Y23" i="26"/>
  <c r="K5" i="26"/>
  <c r="F56" i="1"/>
  <c r="J56" i="1"/>
  <c r="J57" i="1"/>
  <c r="H41" i="1"/>
  <c r="AD36" i="12"/>
  <c r="AD32" i="12"/>
  <c r="AD27" i="12"/>
  <c r="AD23" i="12"/>
  <c r="AD19" i="12"/>
  <c r="AD15" i="12"/>
  <c r="AD11" i="12"/>
  <c r="AD7" i="12"/>
  <c r="AD35" i="12"/>
  <c r="AD31" i="12"/>
  <c r="AD26" i="12"/>
  <c r="AD22" i="12"/>
  <c r="AD18" i="12"/>
  <c r="AD14" i="12"/>
  <c r="AD10" i="12"/>
  <c r="T14" i="1"/>
  <c r="T6" i="18"/>
  <c r="T12" i="18" s="1"/>
  <c r="AB38" i="15"/>
  <c r="AB38" i="16"/>
  <c r="AB38" i="4"/>
  <c r="AB38" i="9"/>
  <c r="AB39" i="12"/>
  <c r="AB38" i="14"/>
  <c r="AB39" i="10"/>
  <c r="AB38" i="7"/>
  <c r="AB38" i="6"/>
  <c r="AB38" i="8"/>
  <c r="AB39" i="13"/>
  <c r="AB39" i="11"/>
  <c r="O39" i="12"/>
  <c r="N38" i="5"/>
  <c r="Z7" i="5" s="1"/>
  <c r="R38" i="14"/>
  <c r="AD6" i="14" s="1"/>
  <c r="O39" i="11"/>
  <c r="P38" i="5"/>
  <c r="AB5" i="5" s="1"/>
  <c r="P39" i="10"/>
  <c r="P38" i="9"/>
  <c r="AB5" i="9" s="1"/>
  <c r="AA24" i="18"/>
  <c r="AA16" i="18"/>
  <c r="AA25" i="18"/>
  <c r="AA7" i="18"/>
  <c r="AA8" i="18"/>
  <c r="R37" i="7"/>
  <c r="R38" i="7" s="1"/>
  <c r="AD6" i="7" s="1"/>
  <c r="AA34" i="18"/>
  <c r="AA26" i="18"/>
  <c r="AA22" i="18"/>
  <c r="AA18" i="18"/>
  <c r="AA32" i="18"/>
  <c r="AA27" i="18"/>
  <c r="AA23" i="18"/>
  <c r="AA11" i="18"/>
  <c r="AA19" i="18"/>
  <c r="AA15" i="18"/>
  <c r="AB38" i="2"/>
  <c r="T37" i="13"/>
  <c r="AA7" i="15"/>
  <c r="AA8" i="15"/>
  <c r="AA11" i="15"/>
  <c r="AA10" i="15"/>
  <c r="AA14" i="15"/>
  <c r="AA5" i="15"/>
  <c r="AA6" i="15"/>
  <c r="AA9" i="15"/>
  <c r="AA13" i="15"/>
  <c r="AA12" i="15"/>
  <c r="T36" i="3"/>
  <c r="AA5" i="16"/>
  <c r="AA7" i="16"/>
  <c r="T37" i="12"/>
  <c r="F41" i="1"/>
  <c r="T36" i="4"/>
  <c r="AB38" i="3"/>
  <c r="P37" i="3"/>
  <c r="S7" i="1"/>
  <c r="AA8" i="13"/>
  <c r="AA16" i="13"/>
  <c r="AA24" i="13"/>
  <c r="AA33" i="13"/>
  <c r="AA9" i="13"/>
  <c r="AA17" i="13"/>
  <c r="AA25" i="13"/>
  <c r="AA34" i="13"/>
  <c r="AA10" i="13"/>
  <c r="AA18" i="13"/>
  <c r="AA26" i="13"/>
  <c r="AA35" i="13"/>
  <c r="AA11" i="13"/>
  <c r="AA19" i="13"/>
  <c r="AA27" i="13"/>
  <c r="AA36" i="13"/>
  <c r="AA12" i="13"/>
  <c r="AA20" i="13"/>
  <c r="AA28" i="13"/>
  <c r="AA5" i="13"/>
  <c r="AA13" i="13"/>
  <c r="AA21" i="13"/>
  <c r="AA29" i="13"/>
  <c r="AA6" i="13"/>
  <c r="AA14" i="13"/>
  <c r="AA22" i="13"/>
  <c r="AA31" i="13"/>
  <c r="AA7" i="13"/>
  <c r="AA15" i="13"/>
  <c r="AA23" i="13"/>
  <c r="AA32" i="13"/>
  <c r="T37" i="11"/>
  <c r="S11" i="1"/>
  <c r="AB38" i="5"/>
  <c r="U11" i="1"/>
  <c r="Z7" i="7"/>
  <c r="Z11" i="7"/>
  <c r="Z15" i="7"/>
  <c r="Z19" i="7"/>
  <c r="Z23" i="7"/>
  <c r="Z27" i="7"/>
  <c r="Z31" i="7"/>
  <c r="Z35" i="7"/>
  <c r="Z8" i="7"/>
  <c r="Z12" i="7"/>
  <c r="Z16" i="7"/>
  <c r="Z20" i="7"/>
  <c r="Z24" i="7"/>
  <c r="Z28" i="7"/>
  <c r="Z32" i="7"/>
  <c r="Z5" i="7"/>
  <c r="Z9" i="7"/>
  <c r="Z13" i="7"/>
  <c r="Z17" i="7"/>
  <c r="Z21" i="7"/>
  <c r="Z25" i="7"/>
  <c r="Z29" i="7"/>
  <c r="Z33" i="7"/>
  <c r="Z6" i="7"/>
  <c r="Z10" i="7"/>
  <c r="Z14" i="7"/>
  <c r="Z18" i="7"/>
  <c r="Z22" i="7"/>
  <c r="Z26" i="7"/>
  <c r="Z30" i="7"/>
  <c r="Z34" i="7"/>
  <c r="U18" i="1"/>
  <c r="N37" i="14"/>
  <c r="N38" i="14" s="1"/>
  <c r="AA8" i="10"/>
  <c r="AA12" i="10"/>
  <c r="AA16" i="10"/>
  <c r="AA20" i="10"/>
  <c r="AA24" i="10"/>
  <c r="AA28" i="10"/>
  <c r="AA33" i="10"/>
  <c r="AA5" i="10"/>
  <c r="AA9" i="10"/>
  <c r="AA13" i="10"/>
  <c r="AA17" i="10"/>
  <c r="AA21" i="10"/>
  <c r="AA25" i="10"/>
  <c r="AA29" i="10"/>
  <c r="AA34" i="10"/>
  <c r="AA6" i="10"/>
  <c r="AA10" i="10"/>
  <c r="AA14" i="10"/>
  <c r="AA18" i="10"/>
  <c r="AA22" i="10"/>
  <c r="AA26" i="10"/>
  <c r="AA31" i="10"/>
  <c r="AA35" i="10"/>
  <c r="AA7" i="10"/>
  <c r="AA11" i="10"/>
  <c r="AA15" i="10"/>
  <c r="AA19" i="10"/>
  <c r="AA23" i="10"/>
  <c r="AA27" i="10"/>
  <c r="AA32" i="10"/>
  <c r="AA36" i="10"/>
  <c r="AA8" i="9"/>
  <c r="AA12" i="9"/>
  <c r="AA16" i="9"/>
  <c r="AA20" i="9"/>
  <c r="AA24" i="9"/>
  <c r="AA28" i="9"/>
  <c r="AA32" i="9"/>
  <c r="AA5" i="9"/>
  <c r="AA9" i="9"/>
  <c r="AA13" i="9"/>
  <c r="AA17" i="9"/>
  <c r="AA21" i="9"/>
  <c r="AA25" i="9"/>
  <c r="AA29" i="9"/>
  <c r="AA33" i="9"/>
  <c r="AA6" i="9"/>
  <c r="AA10" i="9"/>
  <c r="AA14" i="9"/>
  <c r="AA18" i="9"/>
  <c r="AA22" i="9"/>
  <c r="AA26" i="9"/>
  <c r="AA30" i="9"/>
  <c r="AA34" i="9"/>
  <c r="AA7" i="9"/>
  <c r="AA11" i="9"/>
  <c r="AA15" i="9"/>
  <c r="AA19" i="9"/>
  <c r="AA23" i="9"/>
  <c r="AA27" i="9"/>
  <c r="AA31" i="9"/>
  <c r="AA35" i="9"/>
  <c r="T36" i="14"/>
  <c r="AD8" i="11"/>
  <c r="AD12" i="11"/>
  <c r="AD16" i="11"/>
  <c r="AD20" i="11"/>
  <c r="AD24" i="11"/>
  <c r="AD28" i="11"/>
  <c r="AD7" i="11"/>
  <c r="AD11" i="11"/>
  <c r="AD15" i="11"/>
  <c r="AD19" i="11"/>
  <c r="AD23" i="11"/>
  <c r="AD27" i="11"/>
  <c r="AD31" i="11"/>
  <c r="AD35" i="11"/>
  <c r="AD34" i="11"/>
  <c r="AD6" i="11"/>
  <c r="AD10" i="11"/>
  <c r="AD14" i="11"/>
  <c r="AD18" i="11"/>
  <c r="AD22" i="11"/>
  <c r="AD26" i="11"/>
  <c r="AD5" i="11"/>
  <c r="AD9" i="11"/>
  <c r="AD13" i="11"/>
  <c r="AD17" i="11"/>
  <c r="AD21" i="11"/>
  <c r="AD25" i="11"/>
  <c r="AD29" i="11"/>
  <c r="AD33" i="11"/>
  <c r="AD32" i="11"/>
  <c r="AD36" i="11"/>
  <c r="T36" i="8"/>
  <c r="T36" i="7"/>
  <c r="T38" i="18"/>
  <c r="N38" i="11"/>
  <c r="N39" i="11" s="1"/>
  <c r="Z30" i="11" s="1"/>
  <c r="S15" i="1"/>
  <c r="N5" i="1"/>
  <c r="T17" i="1"/>
  <c r="S38" i="13"/>
  <c r="S39" i="13" s="1"/>
  <c r="H67" i="1"/>
  <c r="F67" i="1"/>
  <c r="J67" i="1"/>
  <c r="G67" i="1"/>
  <c r="AD5" i="16"/>
  <c r="AD7" i="16"/>
  <c r="AB7" i="11"/>
  <c r="AB11" i="11"/>
  <c r="AB15" i="11"/>
  <c r="AB19" i="11"/>
  <c r="AB23" i="11"/>
  <c r="AB27" i="11"/>
  <c r="AB6" i="11"/>
  <c r="AB10" i="11"/>
  <c r="AB14" i="11"/>
  <c r="AB18" i="11"/>
  <c r="AB22" i="11"/>
  <c r="AB26" i="11"/>
  <c r="AB32" i="11"/>
  <c r="AB36" i="11"/>
  <c r="AB33" i="11"/>
  <c r="AB5" i="11"/>
  <c r="AB9" i="11"/>
  <c r="AB13" i="11"/>
  <c r="AB17" i="11"/>
  <c r="AB21" i="11"/>
  <c r="AB25" i="11"/>
  <c r="AB29" i="11"/>
  <c r="AB8" i="11"/>
  <c r="AB12" i="11"/>
  <c r="AB16" i="11"/>
  <c r="AB20" i="11"/>
  <c r="AB24" i="11"/>
  <c r="AB28" i="11"/>
  <c r="AB34" i="11"/>
  <c r="AB31" i="11"/>
  <c r="AB35" i="11"/>
  <c r="AD6" i="13"/>
  <c r="AD10" i="13"/>
  <c r="AD14" i="13"/>
  <c r="AD18" i="13"/>
  <c r="AD22" i="13"/>
  <c r="AD26" i="13"/>
  <c r="AD31" i="13"/>
  <c r="AD35" i="13"/>
  <c r="AD7" i="13"/>
  <c r="AD11" i="13"/>
  <c r="AD15" i="13"/>
  <c r="AD19" i="13"/>
  <c r="AD23" i="13"/>
  <c r="AD27" i="13"/>
  <c r="AD32" i="13"/>
  <c r="AD36" i="13"/>
  <c r="AD8" i="13"/>
  <c r="AD12" i="13"/>
  <c r="AD16" i="13"/>
  <c r="AD20" i="13"/>
  <c r="AD24" i="13"/>
  <c r="AD28" i="13"/>
  <c r="AD33" i="13"/>
  <c r="AD5" i="13"/>
  <c r="AD9" i="13"/>
  <c r="AD13" i="13"/>
  <c r="AD17" i="13"/>
  <c r="AD21" i="13"/>
  <c r="AD25" i="13"/>
  <c r="AD29" i="13"/>
  <c r="AD34" i="13"/>
  <c r="K37" i="17"/>
  <c r="K38" i="17" s="1"/>
  <c r="U38" i="17"/>
  <c r="AB38" i="17" s="1"/>
  <c r="AD5" i="15"/>
  <c r="AD7" i="15"/>
  <c r="AD6" i="15"/>
  <c r="AD8" i="15"/>
  <c r="AD9" i="15"/>
  <c r="AD11" i="15"/>
  <c r="AD13" i="15"/>
  <c r="AD10" i="15"/>
  <c r="AD12" i="15"/>
  <c r="AD14" i="15"/>
  <c r="R37" i="6"/>
  <c r="R38" i="6" s="1"/>
  <c r="Y10" i="1"/>
  <c r="R37" i="5"/>
  <c r="R38" i="5" s="1"/>
  <c r="Y9" i="1"/>
  <c r="K54" i="1"/>
  <c r="J41" i="1"/>
  <c r="O22" i="1"/>
  <c r="V23" i="1"/>
  <c r="P37" i="14"/>
  <c r="P38" i="14" s="1"/>
  <c r="W18" i="1"/>
  <c r="S18" i="1"/>
  <c r="AA6" i="8"/>
  <c r="AA8" i="8"/>
  <c r="AA10" i="8"/>
  <c r="AA12" i="8"/>
  <c r="AA14" i="8"/>
  <c r="AA16" i="8"/>
  <c r="AA18" i="8"/>
  <c r="AA20" i="8"/>
  <c r="AA22" i="8"/>
  <c r="AA24" i="8"/>
  <c r="AA26" i="8"/>
  <c r="AA28" i="8"/>
  <c r="AA5" i="8"/>
  <c r="AA7" i="8"/>
  <c r="AA9" i="8"/>
  <c r="AA11" i="8"/>
  <c r="AA13" i="8"/>
  <c r="AA15" i="8"/>
  <c r="AA17" i="8"/>
  <c r="AA19" i="8"/>
  <c r="AA21" i="8"/>
  <c r="AA23" i="8"/>
  <c r="AA25" i="8"/>
  <c r="AA27" i="8"/>
  <c r="AA30" i="8"/>
  <c r="AA32" i="8"/>
  <c r="AA34" i="8"/>
  <c r="AA29" i="8"/>
  <c r="AA31" i="8"/>
  <c r="AA33" i="8"/>
  <c r="AA35" i="8"/>
  <c r="O37" i="5"/>
  <c r="O38" i="5" s="1"/>
  <c r="V9" i="1"/>
  <c r="S9" i="1"/>
  <c r="AD6" i="8"/>
  <c r="AD8" i="8"/>
  <c r="AD10" i="8"/>
  <c r="AD12" i="8"/>
  <c r="AD14" i="8"/>
  <c r="AD16" i="8"/>
  <c r="AD18" i="8"/>
  <c r="AD20" i="8"/>
  <c r="AD22" i="8"/>
  <c r="AD24" i="8"/>
  <c r="AD26" i="8"/>
  <c r="AD28" i="8"/>
  <c r="AD5" i="8"/>
  <c r="AD7" i="8"/>
  <c r="AD9" i="8"/>
  <c r="AD11" i="8"/>
  <c r="AD13" i="8"/>
  <c r="AD15" i="8"/>
  <c r="AD17" i="8"/>
  <c r="AD19" i="8"/>
  <c r="AD21" i="8"/>
  <c r="AD23" i="8"/>
  <c r="AD25" i="8"/>
  <c r="AD27" i="8"/>
  <c r="AD30" i="8"/>
  <c r="AD32" i="8"/>
  <c r="AD34" i="8"/>
  <c r="AD29" i="8"/>
  <c r="AD31" i="8"/>
  <c r="AD33" i="8"/>
  <c r="AD35" i="8"/>
  <c r="O37" i="4"/>
  <c r="O38" i="4" s="1"/>
  <c r="V8" i="1"/>
  <c r="S8" i="1"/>
  <c r="AB6" i="2"/>
  <c r="AB8" i="2"/>
  <c r="AB10" i="2"/>
  <c r="AB12" i="2"/>
  <c r="AB14" i="2"/>
  <c r="AB16" i="2"/>
  <c r="AB18" i="2"/>
  <c r="AB20" i="2"/>
  <c r="AB22" i="2"/>
  <c r="AB24" i="2"/>
  <c r="AB26" i="2"/>
  <c r="AB28" i="2"/>
  <c r="AB30" i="2"/>
  <c r="AB32" i="2"/>
  <c r="AB5" i="2"/>
  <c r="AB7" i="2"/>
  <c r="AB9" i="2"/>
  <c r="AB11" i="2"/>
  <c r="AB13" i="2"/>
  <c r="AB15" i="2"/>
  <c r="AB17" i="2"/>
  <c r="AB19" i="2"/>
  <c r="AB21" i="2"/>
  <c r="AB23" i="2"/>
  <c r="AB25" i="2"/>
  <c r="AB27" i="2"/>
  <c r="AB29" i="2"/>
  <c r="AB31" i="2"/>
  <c r="AB33" i="2"/>
  <c r="AB35" i="2"/>
  <c r="AB34" i="2"/>
  <c r="AA6" i="7"/>
  <c r="AA8" i="7"/>
  <c r="AA10" i="7"/>
  <c r="AA12" i="7"/>
  <c r="AA14" i="7"/>
  <c r="AA16" i="7"/>
  <c r="AA18" i="7"/>
  <c r="AA20" i="7"/>
  <c r="AA22" i="7"/>
  <c r="AA24" i="7"/>
  <c r="AA26" i="7"/>
  <c r="AA28" i="7"/>
  <c r="AA30" i="7"/>
  <c r="AA32" i="7"/>
  <c r="AA34" i="7"/>
  <c r="AA5" i="7"/>
  <c r="AA7" i="7"/>
  <c r="AA9" i="7"/>
  <c r="AA11" i="7"/>
  <c r="AA13" i="7"/>
  <c r="AA15" i="7"/>
  <c r="AA17" i="7"/>
  <c r="AA19" i="7"/>
  <c r="AA21" i="7"/>
  <c r="AA23" i="7"/>
  <c r="AA25" i="7"/>
  <c r="AA27" i="7"/>
  <c r="AA29" i="7"/>
  <c r="AA31" i="7"/>
  <c r="AA33" i="7"/>
  <c r="AA35" i="7"/>
  <c r="AA5" i="3"/>
  <c r="AA7" i="3"/>
  <c r="AA9" i="3"/>
  <c r="AA11" i="3"/>
  <c r="AA13" i="3"/>
  <c r="AA15" i="3"/>
  <c r="AA17" i="3"/>
  <c r="AA19" i="3"/>
  <c r="AA21" i="3"/>
  <c r="AA23" i="3"/>
  <c r="AA25" i="3"/>
  <c r="AA27" i="3"/>
  <c r="AA29" i="3"/>
  <c r="AA31" i="3"/>
  <c r="AA33" i="3"/>
  <c r="AA35" i="3"/>
  <c r="AA6" i="3"/>
  <c r="AA8" i="3"/>
  <c r="AA10" i="3"/>
  <c r="AA12" i="3"/>
  <c r="AA14" i="3"/>
  <c r="AA16" i="3"/>
  <c r="AA18" i="3"/>
  <c r="AA20" i="3"/>
  <c r="AA22" i="3"/>
  <c r="AA24" i="3"/>
  <c r="AA26" i="3"/>
  <c r="AA28" i="3"/>
  <c r="AA30" i="3"/>
  <c r="AA32" i="3"/>
  <c r="AA34" i="3"/>
  <c r="G41" i="1"/>
  <c r="S36" i="17"/>
  <c r="T5" i="17"/>
  <c r="R22" i="1"/>
  <c r="Y23" i="1"/>
  <c r="S37" i="15"/>
  <c r="S38" i="15" s="1"/>
  <c r="T19" i="1"/>
  <c r="P38" i="12"/>
  <c r="P39" i="12" s="1"/>
  <c r="AB30" i="12" s="1"/>
  <c r="P5" i="1"/>
  <c r="S16" i="1"/>
  <c r="E41" i="1"/>
  <c r="R5" i="1"/>
  <c r="Y6" i="1"/>
  <c r="R37" i="2"/>
  <c r="R38" i="2" s="1"/>
  <c r="S23" i="1"/>
  <c r="U23" i="1"/>
  <c r="N22" i="1"/>
  <c r="T36" i="6"/>
  <c r="P22" i="1"/>
  <c r="W23" i="1"/>
  <c r="R37" i="9"/>
  <c r="R38" i="9" s="1"/>
  <c r="Y13" i="1"/>
  <c r="S13" i="1"/>
  <c r="O37" i="6"/>
  <c r="O38" i="6" s="1"/>
  <c r="V10" i="1"/>
  <c r="S10" i="1"/>
  <c r="T36" i="5"/>
  <c r="R37" i="4"/>
  <c r="R38" i="4" s="1"/>
  <c r="Y8" i="1"/>
  <c r="AB7" i="18"/>
  <c r="AB11" i="18"/>
  <c r="AB16" i="18"/>
  <c r="AB18" i="18"/>
  <c r="AB20" i="18"/>
  <c r="AB6" i="18"/>
  <c r="AB8" i="18"/>
  <c r="AB22" i="18"/>
  <c r="AB24" i="18"/>
  <c r="AB26" i="18"/>
  <c r="AB28" i="18"/>
  <c r="AB34" i="18"/>
  <c r="AB15" i="18"/>
  <c r="AB17" i="18"/>
  <c r="AB19" i="18"/>
  <c r="AB21" i="18"/>
  <c r="AB23" i="18"/>
  <c r="AB25" i="18"/>
  <c r="AB27" i="18"/>
  <c r="AB29" i="18"/>
  <c r="AB32" i="18"/>
  <c r="T36" i="2"/>
  <c r="O5" i="1"/>
  <c r="V6" i="1"/>
  <c r="O37" i="2"/>
  <c r="O38" i="2" s="1"/>
  <c r="S6" i="1"/>
  <c r="T27" i="1"/>
  <c r="T39" i="18" s="1"/>
  <c r="Z7" i="18"/>
  <c r="Z11" i="18"/>
  <c r="Z16" i="18"/>
  <c r="Z18" i="18"/>
  <c r="Z20" i="18"/>
  <c r="Z6" i="18"/>
  <c r="Z8" i="18"/>
  <c r="Z15" i="18"/>
  <c r="Z17" i="18"/>
  <c r="Z19" i="18"/>
  <c r="Z22" i="18"/>
  <c r="Z24" i="18"/>
  <c r="Z26" i="18"/>
  <c r="Z28" i="18"/>
  <c r="Z34" i="18"/>
  <c r="Z21" i="18"/>
  <c r="Z23" i="18"/>
  <c r="Z25" i="18"/>
  <c r="Z27" i="18"/>
  <c r="Z29" i="18"/>
  <c r="Z32" i="18"/>
  <c r="AD26" i="3" l="1"/>
  <c r="AD25" i="3"/>
  <c r="AD34" i="27"/>
  <c r="AD30" i="27"/>
  <c r="Z29" i="27"/>
  <c r="Z30" i="27"/>
  <c r="AA6" i="11"/>
  <c r="AA30" i="11"/>
  <c r="AA6" i="12"/>
  <c r="AA30" i="12"/>
  <c r="T12" i="1"/>
  <c r="AB33" i="10"/>
  <c r="AB30" i="10"/>
  <c r="AD17" i="3"/>
  <c r="AD10" i="3"/>
  <c r="AD7" i="3"/>
  <c r="AD18" i="3"/>
  <c r="AD34" i="3"/>
  <c r="AD33" i="3"/>
  <c r="AD24" i="3"/>
  <c r="AD8" i="3"/>
  <c r="AD23" i="3"/>
  <c r="AD5" i="3"/>
  <c r="AD30" i="3"/>
  <c r="AD22" i="3"/>
  <c r="AD14" i="3"/>
  <c r="AD6" i="3"/>
  <c r="AD29" i="3"/>
  <c r="AD21" i="3"/>
  <c r="AD11" i="3"/>
  <c r="Z21" i="3"/>
  <c r="AD32" i="3"/>
  <c r="AD16" i="3"/>
  <c r="AD31" i="3"/>
  <c r="AD13" i="3"/>
  <c r="AD28" i="3"/>
  <c r="AD20" i="3"/>
  <c r="AD12" i="3"/>
  <c r="AD35" i="3"/>
  <c r="AD27" i="3"/>
  <c r="AD19" i="3"/>
  <c r="AD9" i="3"/>
  <c r="Z18" i="3"/>
  <c r="Z17" i="3"/>
  <c r="Z23" i="3"/>
  <c r="Z19" i="3"/>
  <c r="Z16" i="3"/>
  <c r="R42" i="26"/>
  <c r="L46" i="26"/>
  <c r="Z22" i="3"/>
  <c r="Z20" i="3"/>
  <c r="AD5" i="27"/>
  <c r="AD31" i="27"/>
  <c r="AD14" i="27"/>
  <c r="AD15" i="27"/>
  <c r="AD20" i="27"/>
  <c r="AD21" i="27"/>
  <c r="AD6" i="27"/>
  <c r="AD22" i="27"/>
  <c r="AD7" i="27"/>
  <c r="AD23" i="27"/>
  <c r="AD12" i="27"/>
  <c r="AD28" i="27"/>
  <c r="AD13" i="27"/>
  <c r="AD29" i="27"/>
  <c r="AD10" i="27"/>
  <c r="AD18" i="27"/>
  <c r="AD26" i="27"/>
  <c r="AD35" i="27"/>
  <c r="AD11" i="27"/>
  <c r="AD19" i="27"/>
  <c r="AD27" i="27"/>
  <c r="AD36" i="27"/>
  <c r="AD8" i="27"/>
  <c r="AD16" i="27"/>
  <c r="AD24" i="27"/>
  <c r="AD33" i="27"/>
  <c r="AD9" i="27"/>
  <c r="AD17" i="27"/>
  <c r="AD25" i="27"/>
  <c r="Z7" i="3"/>
  <c r="Z6" i="3"/>
  <c r="Z5" i="3"/>
  <c r="Z35" i="3"/>
  <c r="Z34" i="3"/>
  <c r="Z33" i="3"/>
  <c r="Z32" i="3"/>
  <c r="T37" i="16"/>
  <c r="T38" i="16" s="1"/>
  <c r="AB7" i="8"/>
  <c r="AB21" i="8"/>
  <c r="M46" i="26"/>
  <c r="AB23" i="8"/>
  <c r="AB5" i="8"/>
  <c r="Z31" i="3"/>
  <c r="Z15" i="3"/>
  <c r="Z30" i="3"/>
  <c r="Z14" i="3"/>
  <c r="Z29" i="3"/>
  <c r="Z13" i="3"/>
  <c r="Z28" i="3"/>
  <c r="Z12" i="3"/>
  <c r="Z27" i="3"/>
  <c r="Z11" i="3"/>
  <c r="Z26" i="3"/>
  <c r="Z10" i="3"/>
  <c r="Z25" i="3"/>
  <c r="Z9" i="3"/>
  <c r="Z24" i="3"/>
  <c r="Z27" i="27"/>
  <c r="AB31" i="8"/>
  <c r="AB29" i="8"/>
  <c r="AB16" i="8"/>
  <c r="AB14" i="8"/>
  <c r="AB28" i="8"/>
  <c r="AB12" i="8"/>
  <c r="AB19" i="8"/>
  <c r="AB34" i="8"/>
  <c r="AB26" i="8"/>
  <c r="AB10" i="8"/>
  <c r="AB17" i="8"/>
  <c r="AB32" i="8"/>
  <c r="AB24" i="8"/>
  <c r="AB8" i="8"/>
  <c r="AB15" i="8"/>
  <c r="AB30" i="8"/>
  <c r="AB22" i="8"/>
  <c r="AB6" i="8"/>
  <c r="AB13" i="8"/>
  <c r="AB35" i="8"/>
  <c r="AB20" i="8"/>
  <c r="AB27" i="8"/>
  <c r="AB11" i="8"/>
  <c r="AB33" i="8"/>
  <c r="AB18" i="8"/>
  <c r="AB25" i="8"/>
  <c r="AB14" i="7"/>
  <c r="S37" i="8"/>
  <c r="S38" i="8" s="1"/>
  <c r="AB34" i="7"/>
  <c r="AB16" i="7"/>
  <c r="AB25" i="7"/>
  <c r="I54" i="1"/>
  <c r="H54" i="1"/>
  <c r="AB9" i="7"/>
  <c r="AB29" i="7"/>
  <c r="AB18" i="7"/>
  <c r="AB15" i="7"/>
  <c r="AB24" i="7"/>
  <c r="AB13" i="7"/>
  <c r="AB33" i="7"/>
  <c r="AB26" i="7"/>
  <c r="AB23" i="7"/>
  <c r="AB32" i="7"/>
  <c r="AB17" i="7"/>
  <c r="AB10" i="7"/>
  <c r="AB30" i="7"/>
  <c r="AB31" i="7"/>
  <c r="AB12" i="7"/>
  <c r="AB21" i="7"/>
  <c r="AB6" i="7"/>
  <c r="AB22" i="7"/>
  <c r="AB7" i="7"/>
  <c r="AB8" i="7"/>
  <c r="AB35" i="7"/>
  <c r="S38" i="27"/>
  <c r="S39" i="27" s="1"/>
  <c r="Z35" i="27"/>
  <c r="AB27" i="7"/>
  <c r="AB20" i="7"/>
  <c r="AB19" i="7"/>
  <c r="Z23" i="8"/>
  <c r="Z9" i="8"/>
  <c r="Z17" i="8"/>
  <c r="Z25" i="8"/>
  <c r="Z10" i="8"/>
  <c r="Z18" i="8"/>
  <c r="Z26" i="8"/>
  <c r="Z35" i="8"/>
  <c r="Z34" i="8"/>
  <c r="Z5" i="8"/>
  <c r="Z21" i="8"/>
  <c r="Z14" i="8"/>
  <c r="Z31" i="8"/>
  <c r="Z7" i="8"/>
  <c r="Z8" i="8"/>
  <c r="Z32" i="8"/>
  <c r="Z11" i="8"/>
  <c r="Z19" i="8"/>
  <c r="Z27" i="8"/>
  <c r="Z12" i="8"/>
  <c r="Z20" i="8"/>
  <c r="Z29" i="8"/>
  <c r="Z28" i="8"/>
  <c r="Z13" i="8"/>
  <c r="Z6" i="8"/>
  <c r="Z22" i="8"/>
  <c r="Z30" i="8"/>
  <c r="Z15" i="8"/>
  <c r="Z16" i="8"/>
  <c r="Z24" i="8"/>
  <c r="Z33" i="8"/>
  <c r="AB5" i="7"/>
  <c r="AB11" i="7"/>
  <c r="T37" i="27"/>
  <c r="Z18" i="27"/>
  <c r="Z10" i="27"/>
  <c r="Z25" i="27"/>
  <c r="Z13" i="27"/>
  <c r="Z26" i="27"/>
  <c r="Z23" i="27"/>
  <c r="Z16" i="27"/>
  <c r="Z33" i="27"/>
  <c r="Z36" i="27"/>
  <c r="Z11" i="27"/>
  <c r="Z8" i="27"/>
  <c r="Z24" i="27"/>
  <c r="Z21" i="27"/>
  <c r="Z7" i="27"/>
  <c r="Z19" i="27"/>
  <c r="Z6" i="27"/>
  <c r="Z14" i="27"/>
  <c r="Z22" i="27"/>
  <c r="Z31" i="27"/>
  <c r="Z15" i="27"/>
  <c r="Z34" i="27"/>
  <c r="Z5" i="27"/>
  <c r="Z17" i="27"/>
  <c r="Z32" i="27"/>
  <c r="Z12" i="27"/>
  <c r="Z20" i="27"/>
  <c r="Z28" i="27"/>
  <c r="Z9" i="27"/>
  <c r="AD21" i="7"/>
  <c r="AD5" i="7"/>
  <c r="AA11" i="11"/>
  <c r="AD12" i="14"/>
  <c r="AD20" i="7"/>
  <c r="Z10" i="5"/>
  <c r="O41" i="26"/>
  <c r="K41" i="26"/>
  <c r="K46" i="26" s="1"/>
  <c r="F42" i="1"/>
  <c r="F43" i="1" s="1"/>
  <c r="AD29" i="7"/>
  <c r="AD13" i="7"/>
  <c r="AD28" i="7"/>
  <c r="AD12" i="7"/>
  <c r="T38" i="30"/>
  <c r="T39" i="30" s="1"/>
  <c r="AB29" i="5"/>
  <c r="AB30" i="5"/>
  <c r="S5" i="26"/>
  <c r="S41" i="26" s="1"/>
  <c r="T5" i="26"/>
  <c r="H42" i="1"/>
  <c r="P42" i="1" s="1"/>
  <c r="T11" i="1"/>
  <c r="S37" i="7"/>
  <c r="S38" i="7" s="1"/>
  <c r="H46" i="26"/>
  <c r="J46" i="26"/>
  <c r="N42" i="26"/>
  <c r="F43" i="26"/>
  <c r="K42" i="26"/>
  <c r="E43" i="26"/>
  <c r="S39" i="29"/>
  <c r="AA35" i="27"/>
  <c r="AA36" i="27"/>
  <c r="AA25" i="27"/>
  <c r="AA17" i="27"/>
  <c r="AA9" i="27"/>
  <c r="AA29" i="27"/>
  <c r="AA21" i="27"/>
  <c r="AA13" i="27"/>
  <c r="AA5" i="27"/>
  <c r="AA7" i="27"/>
  <c r="AA15" i="27"/>
  <c r="AA23" i="27"/>
  <c r="AA32" i="27"/>
  <c r="AA6" i="27"/>
  <c r="AA10" i="27"/>
  <c r="AA14" i="27"/>
  <c r="AA18" i="27"/>
  <c r="AA22" i="27"/>
  <c r="AA26" i="27"/>
  <c r="AA31" i="27"/>
  <c r="AA11" i="27"/>
  <c r="AA19" i="27"/>
  <c r="AA27" i="27"/>
  <c r="AA34" i="27"/>
  <c r="AA8" i="27"/>
  <c r="AA12" i="27"/>
  <c r="AA16" i="27"/>
  <c r="AA20" i="27"/>
  <c r="AA24" i="27"/>
  <c r="AA28" i="27"/>
  <c r="AA33" i="27"/>
  <c r="R41" i="26"/>
  <c r="O42" i="26"/>
  <c r="G43" i="26"/>
  <c r="P42" i="26"/>
  <c r="H43" i="26"/>
  <c r="F46" i="26"/>
  <c r="E46" i="26"/>
  <c r="W22" i="26"/>
  <c r="P41" i="26"/>
  <c r="G46" i="26"/>
  <c r="T38" i="27"/>
  <c r="Z16" i="5"/>
  <c r="AA22" i="11"/>
  <c r="Z15" i="5"/>
  <c r="AA29" i="11"/>
  <c r="T40" i="18"/>
  <c r="AD33" i="7"/>
  <c r="AD25" i="7"/>
  <c r="AD17" i="7"/>
  <c r="AD9" i="7"/>
  <c r="AD32" i="7"/>
  <c r="AD24" i="7"/>
  <c r="AD16" i="7"/>
  <c r="AD8" i="7"/>
  <c r="Z31" i="5"/>
  <c r="Z32" i="5"/>
  <c r="AB36" i="10"/>
  <c r="AA13" i="11"/>
  <c r="Z9" i="5"/>
  <c r="Z5" i="5"/>
  <c r="AA34" i="11"/>
  <c r="S37" i="3"/>
  <c r="S38" i="3" s="1"/>
  <c r="AD35" i="7"/>
  <c r="AD31" i="7"/>
  <c r="AD27" i="7"/>
  <c r="AD23" i="7"/>
  <c r="AD19" i="7"/>
  <c r="AD15" i="7"/>
  <c r="AD11" i="7"/>
  <c r="AD7" i="7"/>
  <c r="AD34" i="7"/>
  <c r="AD30" i="7"/>
  <c r="AD26" i="7"/>
  <c r="AD22" i="7"/>
  <c r="AD18" i="7"/>
  <c r="AD14" i="7"/>
  <c r="AD10" i="7"/>
  <c r="Z23" i="5"/>
  <c r="Z8" i="5"/>
  <c r="Z24" i="5"/>
  <c r="AA14" i="11"/>
  <c r="AA5" i="11"/>
  <c r="AA21" i="11"/>
  <c r="AA32" i="11"/>
  <c r="Z25" i="5"/>
  <c r="Z26" i="5"/>
  <c r="AA20" i="11"/>
  <c r="AA27" i="11"/>
  <c r="Z6" i="5"/>
  <c r="AA7" i="11"/>
  <c r="Z30" i="5"/>
  <c r="T38" i="10"/>
  <c r="T39" i="10" s="1"/>
  <c r="AB13" i="5"/>
  <c r="AB14" i="5"/>
  <c r="AB24" i="5"/>
  <c r="AB27" i="5"/>
  <c r="AD10" i="14"/>
  <c r="AA17" i="12"/>
  <c r="AB23" i="5"/>
  <c r="AD24" i="14"/>
  <c r="AA14" i="12"/>
  <c r="AB28" i="9"/>
  <c r="AB21" i="5"/>
  <c r="AB6" i="5"/>
  <c r="AB22" i="5"/>
  <c r="AB7" i="5"/>
  <c r="AB8" i="5"/>
  <c r="AD11" i="14"/>
  <c r="AD27" i="14"/>
  <c r="AD26" i="14"/>
  <c r="AA31" i="12"/>
  <c r="AA34" i="12"/>
  <c r="AD9" i="14"/>
  <c r="AB27" i="9"/>
  <c r="AB26" i="9"/>
  <c r="AB9" i="5"/>
  <c r="AB17" i="5"/>
  <c r="AB25" i="5"/>
  <c r="AB33" i="5"/>
  <c r="AB10" i="5"/>
  <c r="AB18" i="5"/>
  <c r="AB26" i="5"/>
  <c r="AB34" i="5"/>
  <c r="AB15" i="5"/>
  <c r="AB31" i="5"/>
  <c r="AB16" i="5"/>
  <c r="AB32" i="5"/>
  <c r="AB35" i="5"/>
  <c r="AD18" i="14"/>
  <c r="AD19" i="14"/>
  <c r="AD32" i="14"/>
  <c r="AD35" i="14"/>
  <c r="AD13" i="14"/>
  <c r="AD29" i="14"/>
  <c r="AA22" i="12"/>
  <c r="AA9" i="12"/>
  <c r="AA25" i="12"/>
  <c r="AD25" i="14"/>
  <c r="AB11" i="9"/>
  <c r="AB12" i="9"/>
  <c r="AB25" i="9"/>
  <c r="AB14" i="9"/>
  <c r="Z11" i="5"/>
  <c r="Z19" i="5"/>
  <c r="Z27" i="5"/>
  <c r="Z35" i="5"/>
  <c r="Z12" i="5"/>
  <c r="Z20" i="5"/>
  <c r="Z28" i="5"/>
  <c r="AA10" i="11"/>
  <c r="AA18" i="11"/>
  <c r="AA26" i="11"/>
  <c r="AA9" i="11"/>
  <c r="AA17" i="11"/>
  <c r="AA25" i="11"/>
  <c r="AA33" i="11"/>
  <c r="AA36" i="11"/>
  <c r="Z17" i="5"/>
  <c r="Z33" i="5"/>
  <c r="Z18" i="5"/>
  <c r="Z34" i="5"/>
  <c r="AA12" i="11"/>
  <c r="AA28" i="11"/>
  <c r="AA19" i="11"/>
  <c r="AA35" i="11"/>
  <c r="Z21" i="5"/>
  <c r="Z22" i="5"/>
  <c r="AA16" i="11"/>
  <c r="AA23" i="11"/>
  <c r="Z29" i="5"/>
  <c r="AB19" i="5"/>
  <c r="AB20" i="5"/>
  <c r="AB28" i="5"/>
  <c r="AB12" i="5"/>
  <c r="AD14" i="14"/>
  <c r="AD7" i="14"/>
  <c r="AD15" i="14"/>
  <c r="AD20" i="14"/>
  <c r="AD28" i="14"/>
  <c r="AD23" i="14"/>
  <c r="AD31" i="14"/>
  <c r="AB11" i="5"/>
  <c r="AD5" i="14"/>
  <c r="AD21" i="14"/>
  <c r="AD34" i="14"/>
  <c r="AA10" i="12"/>
  <c r="AA18" i="12"/>
  <c r="AA26" i="12"/>
  <c r="AA35" i="12"/>
  <c r="AA13" i="12"/>
  <c r="AA21" i="12"/>
  <c r="AA29" i="12"/>
  <c r="AD8" i="14"/>
  <c r="AD22" i="14"/>
  <c r="AB19" i="9"/>
  <c r="AB35" i="9"/>
  <c r="AB20" i="9"/>
  <c r="AB9" i="9"/>
  <c r="AB10" i="9"/>
  <c r="AB13" i="9"/>
  <c r="AB21" i="9"/>
  <c r="AB19" i="10"/>
  <c r="AB20" i="10"/>
  <c r="AB11" i="10"/>
  <c r="AB27" i="10"/>
  <c r="AB12" i="10"/>
  <c r="AB28" i="10"/>
  <c r="AB15" i="10"/>
  <c r="AB23" i="10"/>
  <c r="AB32" i="10"/>
  <c r="AB8" i="10"/>
  <c r="AB16" i="10"/>
  <c r="AB24" i="10"/>
  <c r="P38" i="3"/>
  <c r="AB10" i="3" s="1"/>
  <c r="AB15" i="9"/>
  <c r="AB23" i="9"/>
  <c r="AB31" i="9"/>
  <c r="AB8" i="9"/>
  <c r="AB16" i="9"/>
  <c r="AB24" i="9"/>
  <c r="AB32" i="9"/>
  <c r="AB17" i="9"/>
  <c r="AB33" i="9"/>
  <c r="AB18" i="9"/>
  <c r="AB34" i="9"/>
  <c r="AB29" i="9"/>
  <c r="AB30" i="9"/>
  <c r="AB22" i="9"/>
  <c r="AA24" i="11"/>
  <c r="AA31" i="11"/>
  <c r="AA8" i="11"/>
  <c r="AA15" i="11"/>
  <c r="AD16" i="14"/>
  <c r="AD30" i="14"/>
  <c r="AD17" i="14"/>
  <c r="AD33" i="14"/>
  <c r="Z14" i="5"/>
  <c r="Z13" i="5"/>
  <c r="AA8" i="12"/>
  <c r="AA16" i="12"/>
  <c r="AA24" i="12"/>
  <c r="AA33" i="12"/>
  <c r="AA11" i="12"/>
  <c r="AA19" i="12"/>
  <c r="AA27" i="12"/>
  <c r="AA36" i="12"/>
  <c r="AA5" i="12"/>
  <c r="AA12" i="12"/>
  <c r="AA20" i="12"/>
  <c r="AA28" i="12"/>
  <c r="AA7" i="12"/>
  <c r="AA15" i="12"/>
  <c r="AA23" i="12"/>
  <c r="AA32" i="12"/>
  <c r="AB9" i="10"/>
  <c r="AB17" i="10"/>
  <c r="AB25" i="10"/>
  <c r="AB34" i="10"/>
  <c r="AB10" i="10"/>
  <c r="AB18" i="10"/>
  <c r="AB26" i="10"/>
  <c r="AB35" i="10"/>
  <c r="AB5" i="10"/>
  <c r="AB13" i="10"/>
  <c r="AB21" i="10"/>
  <c r="AB29" i="10"/>
  <c r="AB6" i="10"/>
  <c r="AB14" i="10"/>
  <c r="AB22" i="10"/>
  <c r="AB31" i="10"/>
  <c r="AB7" i="10"/>
  <c r="AB6" i="9"/>
  <c r="AB7" i="9"/>
  <c r="T7" i="1"/>
  <c r="O41" i="1"/>
  <c r="Z7" i="14"/>
  <c r="Z11" i="14"/>
  <c r="Z15" i="14"/>
  <c r="Z19" i="14"/>
  <c r="Z8" i="14"/>
  <c r="Z12" i="14"/>
  <c r="Z16" i="14"/>
  <c r="Z20" i="14"/>
  <c r="Z23" i="14"/>
  <c r="Z27" i="14"/>
  <c r="Z31" i="14"/>
  <c r="Z35" i="14"/>
  <c r="Z24" i="14"/>
  <c r="Z28" i="14"/>
  <c r="Z32" i="14"/>
  <c r="Z5" i="14"/>
  <c r="Z9" i="14"/>
  <c r="Z13" i="14"/>
  <c r="Z17" i="14"/>
  <c r="Z6" i="14"/>
  <c r="Z10" i="14"/>
  <c r="Z14" i="14"/>
  <c r="Z18" i="14"/>
  <c r="Z22" i="14"/>
  <c r="Z25" i="14"/>
  <c r="Z29" i="14"/>
  <c r="Z33" i="14"/>
  <c r="Z21" i="14"/>
  <c r="Z26" i="14"/>
  <c r="Z30" i="14"/>
  <c r="Z34" i="14"/>
  <c r="T37" i="15"/>
  <c r="T38" i="15" s="1"/>
  <c r="T38" i="13"/>
  <c r="T39" i="13" s="1"/>
  <c r="Z7" i="11"/>
  <c r="Z11" i="11"/>
  <c r="Z15" i="11"/>
  <c r="Z19" i="11"/>
  <c r="Z23" i="11"/>
  <c r="Z27" i="11"/>
  <c r="Z6" i="11"/>
  <c r="Z10" i="11"/>
  <c r="Z14" i="11"/>
  <c r="Z18" i="11"/>
  <c r="Z22" i="11"/>
  <c r="Z26" i="11"/>
  <c r="Z32" i="11"/>
  <c r="Z36" i="11"/>
  <c r="Z33" i="11"/>
  <c r="Z5" i="11"/>
  <c r="Z9" i="11"/>
  <c r="Z13" i="11"/>
  <c r="Z17" i="11"/>
  <c r="Z21" i="11"/>
  <c r="Z25" i="11"/>
  <c r="Z29" i="11"/>
  <c r="Z8" i="11"/>
  <c r="Z12" i="11"/>
  <c r="Z16" i="11"/>
  <c r="Z20" i="11"/>
  <c r="Z24" i="11"/>
  <c r="Z28" i="11"/>
  <c r="Z34" i="11"/>
  <c r="Z31" i="11"/>
  <c r="Z35" i="11"/>
  <c r="T37" i="8"/>
  <c r="T38" i="8" s="1"/>
  <c r="S38" i="11"/>
  <c r="S39" i="11" s="1"/>
  <c r="T15" i="1"/>
  <c r="AD6" i="4"/>
  <c r="AD8" i="4"/>
  <c r="AD10" i="4"/>
  <c r="AD12" i="4"/>
  <c r="AD5" i="4"/>
  <c r="AD7" i="4"/>
  <c r="AD9" i="4"/>
  <c r="AD11" i="4"/>
  <c r="AD13" i="4"/>
  <c r="AD15" i="4"/>
  <c r="AD17" i="4"/>
  <c r="AD19" i="4"/>
  <c r="AD21" i="4"/>
  <c r="AD23" i="4"/>
  <c r="AD25" i="4"/>
  <c r="AD27" i="4"/>
  <c r="AD29" i="4"/>
  <c r="AD31" i="4"/>
  <c r="AD33" i="4"/>
  <c r="AD35" i="4"/>
  <c r="AD14" i="4"/>
  <c r="AD16" i="4"/>
  <c r="AD18" i="4"/>
  <c r="AD20" i="4"/>
  <c r="AD22" i="4"/>
  <c r="AD24" i="4"/>
  <c r="AD26" i="4"/>
  <c r="AD28" i="4"/>
  <c r="AD30" i="4"/>
  <c r="AD32" i="4"/>
  <c r="AD34" i="4"/>
  <c r="AA6" i="6"/>
  <c r="AA8" i="6"/>
  <c r="AA10" i="6"/>
  <c r="AA12" i="6"/>
  <c r="AA14" i="6"/>
  <c r="AA16" i="6"/>
  <c r="AA18" i="6"/>
  <c r="AA20" i="6"/>
  <c r="AA22" i="6"/>
  <c r="AA24" i="6"/>
  <c r="AA26" i="6"/>
  <c r="AA28" i="6"/>
  <c r="AA30" i="6"/>
  <c r="AA32" i="6"/>
  <c r="AA34" i="6"/>
  <c r="AA5" i="6"/>
  <c r="AA7" i="6"/>
  <c r="AA9" i="6"/>
  <c r="AA11" i="6"/>
  <c r="AA13" i="6"/>
  <c r="AA15" i="6"/>
  <c r="AA17" i="6"/>
  <c r="AA19" i="6"/>
  <c r="AA21" i="6"/>
  <c r="AA23" i="6"/>
  <c r="AA25" i="6"/>
  <c r="AA27" i="6"/>
  <c r="AA29" i="6"/>
  <c r="AA31" i="6"/>
  <c r="AA33" i="6"/>
  <c r="AA35" i="6"/>
  <c r="N37" i="17"/>
  <c r="N38" i="17" s="1"/>
  <c r="Z20" i="17" s="1"/>
  <c r="U22" i="1"/>
  <c r="N41" i="1"/>
  <c r="E42" i="1"/>
  <c r="S38" i="12"/>
  <c r="S39" i="12" s="1"/>
  <c r="T16" i="1"/>
  <c r="AB5" i="12"/>
  <c r="AB7" i="12"/>
  <c r="AB9" i="12"/>
  <c r="AB11" i="12"/>
  <c r="AB13" i="12"/>
  <c r="AB15" i="12"/>
  <c r="AB17" i="12"/>
  <c r="AB19" i="12"/>
  <c r="AB21" i="12"/>
  <c r="AB23" i="12"/>
  <c r="AB25" i="12"/>
  <c r="AB27" i="12"/>
  <c r="AB29" i="12"/>
  <c r="AB32" i="12"/>
  <c r="AB34" i="12"/>
  <c r="AB36" i="12"/>
  <c r="AB6" i="12"/>
  <c r="AB8" i="12"/>
  <c r="AB10" i="12"/>
  <c r="AB12" i="12"/>
  <c r="AB14" i="12"/>
  <c r="AB16" i="12"/>
  <c r="AB18" i="12"/>
  <c r="AB20" i="12"/>
  <c r="AB22" i="12"/>
  <c r="AB24" i="12"/>
  <c r="AB26" i="12"/>
  <c r="AB28" i="12"/>
  <c r="AB31" i="12"/>
  <c r="AB33" i="12"/>
  <c r="AB35" i="12"/>
  <c r="R37" i="17"/>
  <c r="R38" i="17" s="1"/>
  <c r="AD20" i="17" s="1"/>
  <c r="Y22" i="1"/>
  <c r="S37" i="4"/>
  <c r="S38" i="4" s="1"/>
  <c r="T8" i="1"/>
  <c r="S37" i="5"/>
  <c r="S38" i="5" s="1"/>
  <c r="T9" i="1"/>
  <c r="AA6" i="5"/>
  <c r="AA8" i="5"/>
  <c r="AA10" i="5"/>
  <c r="AA12" i="5"/>
  <c r="AA14" i="5"/>
  <c r="AA16" i="5"/>
  <c r="AA18" i="5"/>
  <c r="AA20" i="5"/>
  <c r="AA22" i="5"/>
  <c r="AA24" i="5"/>
  <c r="AA26" i="5"/>
  <c r="AA28" i="5"/>
  <c r="AA30" i="5"/>
  <c r="AA32" i="5"/>
  <c r="AA34" i="5"/>
  <c r="AA5" i="5"/>
  <c r="AA7" i="5"/>
  <c r="AA9" i="5"/>
  <c r="AA11" i="5"/>
  <c r="AA13" i="5"/>
  <c r="AA15" i="5"/>
  <c r="AA17" i="5"/>
  <c r="AA19" i="5"/>
  <c r="AA21" i="5"/>
  <c r="AA23" i="5"/>
  <c r="AA25" i="5"/>
  <c r="AA27" i="5"/>
  <c r="AA29" i="5"/>
  <c r="AA31" i="5"/>
  <c r="AA33" i="5"/>
  <c r="AA35" i="5"/>
  <c r="S37" i="14"/>
  <c r="S38" i="14" s="1"/>
  <c r="T18" i="1"/>
  <c r="AB5" i="14"/>
  <c r="AB7" i="14"/>
  <c r="AB9" i="14"/>
  <c r="AB11" i="14"/>
  <c r="AB13" i="14"/>
  <c r="AB15" i="14"/>
  <c r="AB17" i="14"/>
  <c r="AB19" i="14"/>
  <c r="AB6" i="14"/>
  <c r="AB8" i="14"/>
  <c r="AB10" i="14"/>
  <c r="AB12" i="14"/>
  <c r="AB14" i="14"/>
  <c r="AB16" i="14"/>
  <c r="AB18" i="14"/>
  <c r="AB20" i="14"/>
  <c r="AB22" i="14"/>
  <c r="AB21" i="14"/>
  <c r="AB23" i="14"/>
  <c r="AB25" i="14"/>
  <c r="AB27" i="14"/>
  <c r="AB29" i="14"/>
  <c r="AB31" i="14"/>
  <c r="AB33" i="14"/>
  <c r="AB35" i="14"/>
  <c r="AB24" i="14"/>
  <c r="AB26" i="14"/>
  <c r="AB28" i="14"/>
  <c r="AB30" i="14"/>
  <c r="AB32" i="14"/>
  <c r="AB34" i="14"/>
  <c r="J42" i="1"/>
  <c r="AD6" i="5"/>
  <c r="AD8" i="5"/>
  <c r="AD10" i="5"/>
  <c r="AD12" i="5"/>
  <c r="AD14" i="5"/>
  <c r="AD16" i="5"/>
  <c r="AD18" i="5"/>
  <c r="AD20" i="5"/>
  <c r="AD22" i="5"/>
  <c r="AD24" i="5"/>
  <c r="AD26" i="5"/>
  <c r="AD28" i="5"/>
  <c r="AD30" i="5"/>
  <c r="AD32" i="5"/>
  <c r="AD34" i="5"/>
  <c r="AD5" i="5"/>
  <c r="AD7" i="5"/>
  <c r="AD9" i="5"/>
  <c r="AD11" i="5"/>
  <c r="AD13" i="5"/>
  <c r="AD15" i="5"/>
  <c r="AD17" i="5"/>
  <c r="AD19" i="5"/>
  <c r="AD21" i="5"/>
  <c r="AD23" i="5"/>
  <c r="AD25" i="5"/>
  <c r="AD27" i="5"/>
  <c r="AD29" i="5"/>
  <c r="AD31" i="5"/>
  <c r="AD33" i="5"/>
  <c r="AD35" i="5"/>
  <c r="AD6" i="6"/>
  <c r="AD8" i="6"/>
  <c r="AD10" i="6"/>
  <c r="AD12" i="6"/>
  <c r="AD14" i="6"/>
  <c r="AD16" i="6"/>
  <c r="AD18" i="6"/>
  <c r="AD20" i="6"/>
  <c r="AD22" i="6"/>
  <c r="AD24" i="6"/>
  <c r="AD26" i="6"/>
  <c r="AD28" i="6"/>
  <c r="AD30" i="6"/>
  <c r="AD32" i="6"/>
  <c r="AD34" i="6"/>
  <c r="AD5" i="6"/>
  <c r="AD7" i="6"/>
  <c r="AD9" i="6"/>
  <c r="AD11" i="6"/>
  <c r="AD13" i="6"/>
  <c r="AD15" i="6"/>
  <c r="AD17" i="6"/>
  <c r="AD19" i="6"/>
  <c r="AD21" i="6"/>
  <c r="AD23" i="6"/>
  <c r="AD25" i="6"/>
  <c r="AD27" i="6"/>
  <c r="AD29" i="6"/>
  <c r="AD31" i="6"/>
  <c r="AD33" i="6"/>
  <c r="AD35" i="6"/>
  <c r="S37" i="2"/>
  <c r="S38" i="2" s="1"/>
  <c r="S5" i="1"/>
  <c r="T6" i="1"/>
  <c r="AA5" i="2"/>
  <c r="AA7" i="2"/>
  <c r="AA9" i="2"/>
  <c r="AA11" i="2"/>
  <c r="AA13" i="2"/>
  <c r="AA15" i="2"/>
  <c r="AA17" i="2"/>
  <c r="AA19" i="2"/>
  <c r="AA21" i="2"/>
  <c r="AA23" i="2"/>
  <c r="AA25" i="2"/>
  <c r="AA27" i="2"/>
  <c r="AA29" i="2"/>
  <c r="AA31" i="2"/>
  <c r="AA33" i="2"/>
  <c r="AA6" i="2"/>
  <c r="AA8" i="2"/>
  <c r="AA10" i="2"/>
  <c r="AA12" i="2"/>
  <c r="AA14" i="2"/>
  <c r="AA16" i="2"/>
  <c r="AA18" i="2"/>
  <c r="AA20" i="2"/>
  <c r="AA22" i="2"/>
  <c r="AA24" i="2"/>
  <c r="AA26" i="2"/>
  <c r="AA28" i="2"/>
  <c r="AA30" i="2"/>
  <c r="AA32" i="2"/>
  <c r="AA34" i="2"/>
  <c r="AA35" i="2"/>
  <c r="S37" i="6"/>
  <c r="S38" i="6" s="1"/>
  <c r="T10" i="1"/>
  <c r="S37" i="9"/>
  <c r="S38" i="9" s="1"/>
  <c r="T13" i="1"/>
  <c r="AD6" i="9"/>
  <c r="AD8" i="9"/>
  <c r="AD10" i="9"/>
  <c r="AD12" i="9"/>
  <c r="AD14" i="9"/>
  <c r="AD16" i="9"/>
  <c r="AD18" i="9"/>
  <c r="AD20" i="9"/>
  <c r="AD22" i="9"/>
  <c r="AD24" i="9"/>
  <c r="AD26" i="9"/>
  <c r="AD28" i="9"/>
  <c r="AD30" i="9"/>
  <c r="AD32" i="9"/>
  <c r="AD34" i="9"/>
  <c r="AD5" i="9"/>
  <c r="AD7" i="9"/>
  <c r="AD9" i="9"/>
  <c r="AD11" i="9"/>
  <c r="AD13" i="9"/>
  <c r="AD15" i="9"/>
  <c r="AD17" i="9"/>
  <c r="AD19" i="9"/>
  <c r="AD21" i="9"/>
  <c r="AD23" i="9"/>
  <c r="AD25" i="9"/>
  <c r="AD27" i="9"/>
  <c r="AD29" i="9"/>
  <c r="AD31" i="9"/>
  <c r="AD33" i="9"/>
  <c r="AD35" i="9"/>
  <c r="P37" i="17"/>
  <c r="P38" i="17" s="1"/>
  <c r="AB20" i="17" s="1"/>
  <c r="W22" i="1"/>
  <c r="S22" i="1"/>
  <c r="S37" i="17" s="1"/>
  <c r="S38" i="17" s="1"/>
  <c r="T23" i="1"/>
  <c r="AD5" i="2"/>
  <c r="AD7" i="2"/>
  <c r="AD9" i="2"/>
  <c r="AD11" i="2"/>
  <c r="AD13" i="2"/>
  <c r="AD15" i="2"/>
  <c r="AD17" i="2"/>
  <c r="AD19" i="2"/>
  <c r="AD21" i="2"/>
  <c r="AD23" i="2"/>
  <c r="AD25" i="2"/>
  <c r="AD27" i="2"/>
  <c r="AD29" i="2"/>
  <c r="AD31" i="2"/>
  <c r="AD33" i="2"/>
  <c r="AD6" i="2"/>
  <c r="AD8" i="2"/>
  <c r="AD10" i="2"/>
  <c r="AD12" i="2"/>
  <c r="AD14" i="2"/>
  <c r="AD16" i="2"/>
  <c r="AD18" i="2"/>
  <c r="AD20" i="2"/>
  <c r="AD22" i="2"/>
  <c r="AD24" i="2"/>
  <c r="AD26" i="2"/>
  <c r="AD28" i="2"/>
  <c r="AD30" i="2"/>
  <c r="AD32" i="2"/>
  <c r="AD34" i="2"/>
  <c r="AD35" i="2"/>
  <c r="R41" i="1"/>
  <c r="P41" i="1"/>
  <c r="G42" i="1"/>
  <c r="AA6" i="4"/>
  <c r="AA8" i="4"/>
  <c r="AA10" i="4"/>
  <c r="AA12" i="4"/>
  <c r="AA13" i="4"/>
  <c r="AA15" i="4"/>
  <c r="AA17" i="4"/>
  <c r="AA19" i="4"/>
  <c r="AA21" i="4"/>
  <c r="AA23" i="4"/>
  <c r="AA25" i="4"/>
  <c r="AA27" i="4"/>
  <c r="AA29" i="4"/>
  <c r="AA31" i="4"/>
  <c r="AA33" i="4"/>
  <c r="AA35" i="4"/>
  <c r="AA5" i="4"/>
  <c r="AA7" i="4"/>
  <c r="AA9" i="4"/>
  <c r="AA11" i="4"/>
  <c r="AA14" i="4"/>
  <c r="AA16" i="4"/>
  <c r="AA18" i="4"/>
  <c r="AA20" i="4"/>
  <c r="AA22" i="4"/>
  <c r="AA24" i="4"/>
  <c r="AA26" i="4"/>
  <c r="AA28" i="4"/>
  <c r="AA30" i="4"/>
  <c r="AA32" i="4"/>
  <c r="AA34" i="4"/>
  <c r="O37" i="17"/>
  <c r="O38" i="17" s="1"/>
  <c r="AA20" i="17" s="1"/>
  <c r="V22" i="1"/>
  <c r="F54" i="1"/>
  <c r="G54" i="1"/>
  <c r="J54" i="1"/>
  <c r="T39" i="27" l="1"/>
  <c r="H43" i="1"/>
  <c r="N42" i="1"/>
  <c r="N43" i="1" s="1"/>
  <c r="O43" i="26"/>
  <c r="AA18" i="26" s="1"/>
  <c r="K43" i="26"/>
  <c r="AB9" i="3"/>
  <c r="T37" i="7"/>
  <c r="T38" i="7" s="1"/>
  <c r="T39" i="29"/>
  <c r="N46" i="26"/>
  <c r="P43" i="26"/>
  <c r="O46" i="26"/>
  <c r="P46" i="26"/>
  <c r="R46" i="26"/>
  <c r="R43" i="26"/>
  <c r="N43" i="26"/>
  <c r="S42" i="26"/>
  <c r="AB5" i="3"/>
  <c r="AB34" i="3"/>
  <c r="AB16" i="3"/>
  <c r="AB35" i="3"/>
  <c r="AB14" i="3"/>
  <c r="AB22" i="3"/>
  <c r="AB18" i="3"/>
  <c r="AB19" i="3"/>
  <c r="AB20" i="3"/>
  <c r="AB21" i="3"/>
  <c r="AB15" i="3"/>
  <c r="AB17" i="3"/>
  <c r="AB24" i="3"/>
  <c r="AB26" i="3"/>
  <c r="AB11" i="3"/>
  <c r="AB27" i="3"/>
  <c r="AB12" i="3"/>
  <c r="AB28" i="3"/>
  <c r="AB13" i="3"/>
  <c r="AB29" i="3"/>
  <c r="AB30" i="3"/>
  <c r="AB31" i="3"/>
  <c r="AB32" i="3"/>
  <c r="AB33" i="3"/>
  <c r="AB23" i="3"/>
  <c r="AB25" i="3"/>
  <c r="AB7" i="3"/>
  <c r="AB8" i="3"/>
  <c r="AB6" i="3"/>
  <c r="T37" i="6"/>
  <c r="T38" i="6" s="1"/>
  <c r="K42" i="1"/>
  <c r="K43" i="1" s="1"/>
  <c r="T37" i="3"/>
  <c r="T38" i="3" s="1"/>
  <c r="T37" i="9"/>
  <c r="T38" i="9" s="1"/>
  <c r="T37" i="4"/>
  <c r="T38" i="4" s="1"/>
  <c r="T38" i="12"/>
  <c r="T39" i="12" s="1"/>
  <c r="T38" i="11"/>
  <c r="T39" i="11" s="1"/>
  <c r="T37" i="14"/>
  <c r="T38" i="14" s="1"/>
  <c r="T37" i="5"/>
  <c r="T38" i="5" s="1"/>
  <c r="AA6" i="17"/>
  <c r="AA7" i="17"/>
  <c r="AA9" i="17"/>
  <c r="AA11" i="17"/>
  <c r="AA16" i="17"/>
  <c r="AA8" i="17"/>
  <c r="AA10" i="17"/>
  <c r="AA12" i="17"/>
  <c r="AA15" i="17"/>
  <c r="O42" i="1"/>
  <c r="G43" i="1"/>
  <c r="AD6" i="17"/>
  <c r="AD7" i="17"/>
  <c r="AD9" i="17"/>
  <c r="AD11" i="17"/>
  <c r="AD16" i="17"/>
  <c r="AD8" i="17"/>
  <c r="AD10" i="17"/>
  <c r="AD12" i="17"/>
  <c r="AD15" i="17"/>
  <c r="E43" i="1"/>
  <c r="P43" i="1"/>
  <c r="AB6" i="1" s="1"/>
  <c r="AB7" i="17"/>
  <c r="AB6" i="17"/>
  <c r="AB8" i="17"/>
  <c r="AB10" i="17"/>
  <c r="AB12" i="17"/>
  <c r="AB15" i="17"/>
  <c r="AB9" i="17"/>
  <c r="AB11" i="17"/>
  <c r="AB16" i="17"/>
  <c r="T5" i="1"/>
  <c r="T37" i="2"/>
  <c r="T38" i="2" s="1"/>
  <c r="S41" i="1"/>
  <c r="J43" i="1"/>
  <c r="R42" i="1"/>
  <c r="R43" i="1" s="1"/>
  <c r="U37" i="17"/>
  <c r="S46" i="26" l="1"/>
  <c r="AA13" i="26"/>
  <c r="AA14" i="26"/>
  <c r="AA6" i="26"/>
  <c r="AA24" i="26"/>
  <c r="AA30" i="26"/>
  <c r="AA31" i="26"/>
  <c r="AA9" i="26"/>
  <c r="AA12" i="26"/>
  <c r="AA23" i="26"/>
  <c r="AA29" i="26"/>
  <c r="AA19" i="26"/>
  <c r="AA20" i="26"/>
  <c r="AA8" i="26"/>
  <c r="AA11" i="26"/>
  <c r="AA7" i="26"/>
  <c r="AA28" i="26"/>
  <c r="AA10" i="26"/>
  <c r="AA22" i="26"/>
  <c r="S43" i="26"/>
  <c r="T42" i="26"/>
  <c r="Z30" i="26"/>
  <c r="Z28" i="26"/>
  <c r="Z22" i="26"/>
  <c r="Z14" i="26"/>
  <c r="Z10" i="26"/>
  <c r="Z23" i="26"/>
  <c r="Z11" i="26"/>
  <c r="Z31" i="26"/>
  <c r="Z29" i="26"/>
  <c r="Z24" i="26"/>
  <c r="Z19" i="26"/>
  <c r="Z12" i="26"/>
  <c r="Z8" i="26"/>
  <c r="Z20" i="26"/>
  <c r="Z13" i="26"/>
  <c r="Z9" i="26"/>
  <c r="Z6" i="26"/>
  <c r="Z18" i="26"/>
  <c r="Z7" i="26"/>
  <c r="AD24" i="26"/>
  <c r="AD31" i="26"/>
  <c r="AD13" i="26"/>
  <c r="AD9" i="26"/>
  <c r="AD7" i="26"/>
  <c r="AD18" i="26"/>
  <c r="AD28" i="26"/>
  <c r="AD6" i="26"/>
  <c r="AD10" i="26"/>
  <c r="AD14" i="26"/>
  <c r="AD22" i="26"/>
  <c r="AD20" i="26"/>
  <c r="AD29" i="26"/>
  <c r="AD11" i="26"/>
  <c r="AD23" i="26"/>
  <c r="AD30" i="26"/>
  <c r="AD8" i="26"/>
  <c r="AD12" i="26"/>
  <c r="AD19" i="26"/>
  <c r="AB30" i="26"/>
  <c r="AB8" i="26"/>
  <c r="AB23" i="26"/>
  <c r="AB7" i="26"/>
  <c r="AB24" i="26"/>
  <c r="AB29" i="26"/>
  <c r="AB10" i="26"/>
  <c r="AB22" i="26"/>
  <c r="AB13" i="26"/>
  <c r="AB28" i="26"/>
  <c r="AB31" i="26"/>
  <c r="AB11" i="26"/>
  <c r="AB19" i="26"/>
  <c r="AB12" i="26"/>
  <c r="AB18" i="26"/>
  <c r="AB6" i="26"/>
  <c r="AB14" i="26"/>
  <c r="AB9" i="26"/>
  <c r="AB20" i="26"/>
  <c r="AD6" i="1"/>
  <c r="AD8" i="1"/>
  <c r="AD10" i="1"/>
  <c r="AD12" i="1"/>
  <c r="AD14" i="1"/>
  <c r="AD18" i="1"/>
  <c r="AD20" i="1"/>
  <c r="AD23" i="1"/>
  <c r="AD28" i="1"/>
  <c r="AD30" i="1"/>
  <c r="AD11" i="1"/>
  <c r="AD13" i="1"/>
  <c r="AD19" i="1"/>
  <c r="AD31" i="1"/>
  <c r="AD7" i="1"/>
  <c r="AD9" i="1"/>
  <c r="AD22" i="1"/>
  <c r="AD24" i="1"/>
  <c r="AD29" i="1"/>
  <c r="Z7" i="1"/>
  <c r="Z9" i="1"/>
  <c r="Z11" i="1"/>
  <c r="Z13" i="1"/>
  <c r="Z19" i="1"/>
  <c r="Z22" i="1"/>
  <c r="Z24" i="1"/>
  <c r="Z29" i="1"/>
  <c r="Z31" i="1"/>
  <c r="Z6" i="1"/>
  <c r="Z8" i="1"/>
  <c r="Z23" i="1"/>
  <c r="Z30" i="1"/>
  <c r="Z10" i="1"/>
  <c r="Z12" i="1"/>
  <c r="Z14" i="1"/>
  <c r="Z18" i="1"/>
  <c r="Z20" i="1"/>
  <c r="Z28" i="1"/>
  <c r="S42" i="1"/>
  <c r="T42" i="1" s="1"/>
  <c r="O43" i="1"/>
  <c r="Z7" i="17"/>
  <c r="Z6" i="17"/>
  <c r="Z8" i="17"/>
  <c r="Z10" i="17"/>
  <c r="Z12" i="17"/>
  <c r="Z15" i="17"/>
  <c r="Z9" i="17"/>
  <c r="Z11" i="17"/>
  <c r="Z16" i="17"/>
  <c r="AB7" i="1"/>
  <c r="AB9" i="1"/>
  <c r="AB11" i="1"/>
  <c r="AB13" i="1"/>
  <c r="AB19" i="1"/>
  <c r="AB22" i="1"/>
  <c r="AB24" i="1"/>
  <c r="AB29" i="1"/>
  <c r="AB31" i="1"/>
  <c r="AB10" i="1"/>
  <c r="AB12" i="1"/>
  <c r="AB14" i="1"/>
  <c r="AB18" i="1"/>
  <c r="AB20" i="1"/>
  <c r="AB28" i="1"/>
  <c r="AB8" i="1"/>
  <c r="AB23" i="1"/>
  <c r="AB30" i="1"/>
  <c r="S46" i="1" l="1"/>
  <c r="S43" i="1"/>
  <c r="AA6" i="1"/>
  <c r="AA8" i="1"/>
  <c r="AA10" i="1"/>
  <c r="AA12" i="1"/>
  <c r="AA14" i="1"/>
  <c r="AA18" i="1"/>
  <c r="AA20" i="1"/>
  <c r="AA23" i="1"/>
  <c r="AA28" i="1"/>
  <c r="AA30" i="1"/>
  <c r="AA7" i="1"/>
  <c r="AA9" i="1"/>
  <c r="AA22" i="1"/>
  <c r="AA24" i="1"/>
  <c r="AA29" i="1"/>
  <c r="AA11" i="1"/>
  <c r="AA13" i="1"/>
  <c r="AA19" i="1"/>
  <c r="AA31" i="1"/>
  <c r="E46" i="1" l="1"/>
  <c r="L74" i="1" l="1"/>
  <c r="M74" i="1" l="1"/>
  <c r="K74" i="1" s="1"/>
  <c r="E74" i="1"/>
  <c r="H74" i="1" l="1"/>
  <c r="G74" i="1"/>
  <c r="I74" i="1"/>
  <c r="F74" i="1"/>
  <c r="J74" i="1"/>
  <c r="L70" i="1" l="1"/>
  <c r="S45" i="1" l="1"/>
  <c r="T17" i="17"/>
  <c r="T18" i="17" l="1"/>
  <c r="T14" i="17" l="1"/>
  <c r="T36" i="17" s="1"/>
  <c r="T25" i="26"/>
  <c r="T22" i="26" s="1"/>
  <c r="T41" i="26" s="1"/>
  <c r="T25" i="1"/>
  <c r="T22" i="1" l="1"/>
  <c r="T43" i="26"/>
  <c r="T41" i="1" l="1"/>
  <c r="T37" i="17"/>
  <c r="T38" i="17" s="1"/>
  <c r="T43" i="1" l="1"/>
  <c r="T46" i="1"/>
  <c r="T47" i="1" s="1"/>
  <c r="T46" i="26"/>
  <c r="E22" i="17" l="1"/>
  <c r="L71" i="1" l="1"/>
  <c r="M71" i="1" l="1"/>
  <c r="L69" i="1"/>
  <c r="E71" i="1"/>
  <c r="K71" i="1" l="1"/>
  <c r="M69" i="1"/>
  <c r="H71" i="1" l="1"/>
  <c r="H69" i="1" s="1"/>
  <c r="K69" i="1"/>
  <c r="I71" i="1"/>
  <c r="I69" i="1" s="1"/>
  <c r="G71" i="1"/>
  <c r="G69" i="1" s="1"/>
  <c r="J71" i="1"/>
  <c r="J69" i="1" s="1"/>
  <c r="F71" i="1"/>
  <c r="F69" i="1" s="1"/>
  <c r="L75" i="1" l="1"/>
  <c r="E70" i="1"/>
  <c r="E69" i="1" s="1"/>
  <c r="M75" i="1" l="1"/>
  <c r="L73" i="1"/>
  <c r="E75" i="1"/>
  <c r="E73" i="1" s="1"/>
  <c r="K75" i="1" l="1"/>
  <c r="M73" i="1"/>
  <c r="H75" i="1" l="1"/>
  <c r="H73" i="1" s="1"/>
  <c r="G75" i="1"/>
  <c r="G73" i="1" s="1"/>
  <c r="J75" i="1"/>
  <c r="J73" i="1" s="1"/>
  <c r="F75" i="1"/>
  <c r="F73" i="1" s="1"/>
  <c r="K73" i="1"/>
  <c r="I75" i="1"/>
  <c r="I73" i="1" s="1"/>
  <c r="L66" i="1"/>
  <c r="L64" i="1"/>
  <c r="L63" i="1"/>
  <c r="L65" i="1"/>
  <c r="L58" i="1"/>
  <c r="L61" i="1"/>
  <c r="M65" i="1" l="1"/>
  <c r="K65" i="1" s="1"/>
  <c r="E65" i="1"/>
  <c r="M63" i="1"/>
  <c r="K63" i="1" s="1"/>
  <c r="E63" i="1"/>
  <c r="E64" i="1"/>
  <c r="M64" i="1"/>
  <c r="K64" i="1" s="1"/>
  <c r="E66" i="1"/>
  <c r="M66" i="1"/>
  <c r="K66" i="1" s="1"/>
  <c r="E61" i="1"/>
  <c r="M61" i="1"/>
  <c r="K61" i="1" s="1"/>
  <c r="E58" i="1"/>
  <c r="M58" i="1"/>
  <c r="K58" i="1" s="1"/>
  <c r="L55" i="1"/>
  <c r="L59" i="1"/>
  <c r="J66" i="1" l="1"/>
  <c r="I66" i="1"/>
  <c r="G66" i="1"/>
  <c r="H66" i="1"/>
  <c r="F66" i="1"/>
  <c r="M55" i="1"/>
  <c r="G63" i="1"/>
  <c r="I63" i="1"/>
  <c r="H63" i="1"/>
  <c r="J63" i="1"/>
  <c r="F63" i="1"/>
  <c r="M59" i="1"/>
  <c r="O59" i="1" s="1"/>
  <c r="O53" i="1" s="1"/>
  <c r="O77" i="1" s="1"/>
  <c r="O78" i="1" s="1"/>
  <c r="O79" i="1" s="1"/>
  <c r="N59" i="1"/>
  <c r="N53" i="1" s="1"/>
  <c r="N77" i="1" s="1"/>
  <c r="N78" i="1" s="1"/>
  <c r="N79" i="1" s="1"/>
  <c r="J61" i="1"/>
  <c r="I61" i="1"/>
  <c r="G61" i="1"/>
  <c r="F61" i="1"/>
  <c r="H61" i="1"/>
  <c r="J64" i="1"/>
  <c r="H64" i="1"/>
  <c r="G64" i="1"/>
  <c r="F64" i="1"/>
  <c r="I64" i="1"/>
  <c r="J58" i="1"/>
  <c r="H58" i="1"/>
  <c r="G58" i="1"/>
  <c r="I58" i="1"/>
  <c r="F58" i="1"/>
  <c r="G65" i="1"/>
  <c r="H65" i="1"/>
  <c r="F65" i="1"/>
  <c r="J65" i="1"/>
  <c r="I65" i="1"/>
  <c r="L60" i="1"/>
  <c r="M60" i="1" s="1"/>
  <c r="L62" i="1" l="1"/>
  <c r="M62" i="1" l="1"/>
  <c r="E62" i="1"/>
  <c r="E53" i="1" s="1"/>
  <c r="E77" i="1" s="1"/>
  <c r="L53" i="1"/>
  <c r="L77" i="1" s="1"/>
  <c r="L78" i="1" s="1"/>
  <c r="L79" i="1" s="1"/>
  <c r="E78" i="1" l="1"/>
  <c r="E79" i="1" s="1"/>
  <c r="N82" i="1"/>
  <c r="K62" i="1"/>
  <c r="M53" i="1"/>
  <c r="M77" i="1" s="1"/>
  <c r="M78" i="1" s="1"/>
  <c r="M79" i="1" s="1"/>
  <c r="H62" i="1" l="1"/>
  <c r="H53" i="1" s="1"/>
  <c r="H77" i="1" s="1"/>
  <c r="H78" i="1" s="1"/>
  <c r="H79" i="1" s="1"/>
  <c r="I62" i="1"/>
  <c r="I53" i="1" s="1"/>
  <c r="I77" i="1" s="1"/>
  <c r="I78" i="1" s="1"/>
  <c r="I79" i="1" s="1"/>
  <c r="G62" i="1"/>
  <c r="G53" i="1" s="1"/>
  <c r="G77" i="1" s="1"/>
  <c r="G78" i="1" s="1"/>
  <c r="G79" i="1" s="1"/>
  <c r="J62" i="1"/>
  <c r="J53" i="1" s="1"/>
  <c r="J77" i="1" s="1"/>
  <c r="J78" i="1" s="1"/>
  <c r="J79" i="1" s="1"/>
  <c r="F62" i="1"/>
  <c r="F53" i="1" s="1"/>
  <c r="F77" i="1" s="1"/>
  <c r="F78" i="1" s="1"/>
  <c r="F79" i="1" s="1"/>
  <c r="K53" i="1"/>
  <c r="K77" i="1" s="1"/>
  <c r="K78" i="1" s="1"/>
  <c r="K79" i="1" s="1"/>
</calcChain>
</file>

<file path=xl/comments1.xml><?xml version="1.0" encoding="utf-8"?>
<comments xmlns="http://schemas.openxmlformats.org/spreadsheetml/2006/main">
  <authors>
    <author>work</author>
  </authors>
  <commentList>
    <comment ref="A856" authorId="0" shapeId="0">
      <text>
        <r>
          <rPr>
            <b/>
            <sz val="9"/>
            <color indexed="81"/>
            <rFont val="MS P ゴシック"/>
            <family val="3"/>
            <charset val="128"/>
          </rPr>
          <t>work:</t>
        </r>
        <r>
          <rPr>
            <sz val="9"/>
            <color indexed="81"/>
            <rFont val="MS P ゴシック"/>
            <family val="3"/>
            <charset val="128"/>
          </rPr>
          <t xml:space="preserve">
R4決算から</t>
        </r>
      </text>
    </comment>
  </commentList>
</comments>
</file>

<file path=xl/comments2.xml><?xml version="1.0" encoding="utf-8"?>
<comments xmlns="http://schemas.openxmlformats.org/spreadsheetml/2006/main">
  <authors>
    <author>経理</author>
  </authors>
  <commentList>
    <comment ref="AZ8" authorId="0" shapeId="0">
      <text>
        <r>
          <rPr>
            <sz val="9"/>
            <color indexed="81"/>
            <rFont val="MS P ゴシック"/>
            <family val="3"/>
            <charset val="128"/>
          </rPr>
          <t>非課税分を加算</t>
        </r>
      </text>
    </comment>
  </commentList>
</comments>
</file>

<file path=xl/comments3.xml><?xml version="1.0" encoding="utf-8"?>
<comments xmlns="http://schemas.openxmlformats.org/spreadsheetml/2006/main">
  <authors>
    <author>広島市</author>
    <author>安達 謙介</author>
  </authors>
  <commentList>
    <comment ref="E25" authorId="0" shapeId="0">
      <text>
        <r>
          <rPr>
            <b/>
            <sz val="9"/>
            <color indexed="81"/>
            <rFont val="ＭＳ Ｐゴシック"/>
            <family val="3"/>
            <charset val="128"/>
          </rPr>
          <t>ここに消費税額を入れてしまうと、不課税収入区分表の按分計算がおかしくなるので、入れないこと。</t>
        </r>
      </text>
    </comment>
    <comment ref="L50" authorId="0" shapeId="0">
      <text>
        <r>
          <rPr>
            <sz val="9"/>
            <color indexed="81"/>
            <rFont val="ＭＳ Ｐゴシック"/>
            <family val="3"/>
            <charset val="128"/>
          </rPr>
          <t xml:space="preserve">汚水基準外、'水質・普及・水洗化は、チェック用に集計しているのみで、ここを参照するところはない。
</t>
        </r>
      </text>
    </comment>
    <comment ref="N50" authorId="0" shapeId="0">
      <text>
        <r>
          <rPr>
            <sz val="9"/>
            <color indexed="81"/>
            <rFont val="ＭＳ Ｐゴシック"/>
            <family val="3"/>
            <charset val="128"/>
          </rPr>
          <t xml:space="preserve">汚水基準外、'水質・普及・水洗化は、チェック用に集計しているのみで、ここを参照するところはない。
</t>
        </r>
      </text>
    </comment>
    <comment ref="E53" authorId="0" shapeId="0">
      <text>
        <r>
          <rPr>
            <b/>
            <sz val="9"/>
            <color indexed="81"/>
            <rFont val="ＭＳ Ｐゴシック"/>
            <family val="3"/>
            <charset val="128"/>
          </rPr>
          <t>不課税収入区分表（一般会計負担金）で使用。</t>
        </r>
      </text>
    </comment>
    <comment ref="K53" authorId="0" shapeId="0">
      <text>
        <r>
          <rPr>
            <b/>
            <sz val="9"/>
            <color indexed="81"/>
            <rFont val="ＭＳ Ｐゴシック"/>
            <family val="3"/>
            <charset val="128"/>
          </rPr>
          <t>不課税収入区分表（一般会計負担金）で使用。</t>
        </r>
      </text>
    </comment>
    <comment ref="M70" authorId="1" shapeId="0">
      <text>
        <r>
          <rPr>
            <b/>
            <sz val="9"/>
            <color indexed="81"/>
            <rFont val="MS P ゴシック"/>
            <family val="3"/>
            <charset val="128"/>
          </rPr>
          <t>R5決算：手入力</t>
        </r>
      </text>
    </comment>
    <comment ref="N81" authorId="0" shapeId="0">
      <text>
        <r>
          <rPr>
            <sz val="9"/>
            <color indexed="81"/>
            <rFont val="ＭＳ Ｐゴシック"/>
            <family val="3"/>
            <charset val="128"/>
          </rPr>
          <t>汚水基準外、水質・普及・水洗化は、チェック用に集計しているのみで、ここを他のセルで参照することはない。</t>
        </r>
      </text>
    </comment>
    <comment ref="N82" authorId="1" shapeId="0">
      <text>
        <r>
          <rPr>
            <b/>
            <sz val="9"/>
            <color indexed="81"/>
            <rFont val="MS P ゴシック"/>
            <family val="3"/>
            <charset val="128"/>
          </rPr>
          <t>R5決算：固定資産売却損の金額10,315,355と一致（もし、雨水の売却損がある場合は、上表を修正する必要があるかも）</t>
        </r>
      </text>
    </comment>
  </commentList>
</comments>
</file>

<file path=xl/comments4.xml><?xml version="1.0" encoding="utf-8"?>
<comments xmlns="http://schemas.openxmlformats.org/spreadsheetml/2006/main">
  <authors>
    <author>安達 謙介</author>
  </authors>
  <commentList>
    <comment ref="T19" authorId="0" shapeId="0">
      <text>
        <r>
          <rPr>
            <sz val="9"/>
            <color indexed="81"/>
            <rFont val="MS P ゴシック"/>
            <family val="3"/>
            <charset val="128"/>
          </rPr>
          <t>R5決算
インボイス制度開始に伴い追加
なお、当該控除できない消費税額については、本来であれば雨汚水シートで一般会計負担金に反映させるべきであるが、金額が少額であること、一般会計に対して保守的な請求とできることから、当面汚水経費扱いとする。
もし、当該金額が増大した場合は、雨汚水シートを改修し、適切に按分できるようにすることを検討してください。</t>
        </r>
      </text>
    </comment>
  </commentList>
</comments>
</file>

<file path=xl/comments5.xml><?xml version="1.0" encoding="utf-8"?>
<comments xmlns="http://schemas.openxmlformats.org/spreadsheetml/2006/main">
  <authors>
    <author>work</author>
    <author>楠 宏</author>
    <author>経理</author>
  </authors>
  <commentList>
    <comment ref="D3" authorId="0" shapeId="0">
      <text>
        <r>
          <rPr>
            <sz val="9"/>
            <color indexed="81"/>
            <rFont val="MS P ゴシック"/>
            <family val="3"/>
            <charset val="128"/>
          </rPr>
          <t>ここで費目を分けておくと、７月ころに作成する連結財務書類の作成が楽</t>
        </r>
      </text>
    </comment>
    <comment ref="D6" authorId="1" shapeId="0">
      <text>
        <r>
          <rPr>
            <b/>
            <sz val="9"/>
            <color indexed="81"/>
            <rFont val="ＭＳ Ｐゴシック"/>
            <family val="3"/>
            <charset val="128"/>
          </rPr>
          <t>件名を「減額」でしばって抽出
H28は上記条件に合わないものがあったので、還付金、前払返還利息以外で探した。</t>
        </r>
      </text>
    </comment>
    <comment ref="D7" authorId="1" shapeId="0">
      <text>
        <r>
          <rPr>
            <b/>
            <sz val="9"/>
            <color indexed="81"/>
            <rFont val="ＭＳ Ｐゴシック"/>
            <family val="3"/>
            <charset val="128"/>
          </rPr>
          <t>「還付金」で件名をしばって抽出</t>
        </r>
      </text>
    </comment>
    <comment ref="D8" authorId="1" shapeId="0">
      <text>
        <r>
          <rPr>
            <b/>
            <sz val="9"/>
            <color indexed="81"/>
            <rFont val="ＭＳ Ｐゴシック"/>
            <family val="3"/>
            <charset val="128"/>
          </rPr>
          <t>H28までは「占用料の過納金の還付」。この場合、件名を「占用」でしばって抽出
H29は該当が無く、「過年度分公有財産使用料」とした。</t>
        </r>
      </text>
    </comment>
    <comment ref="D9" authorId="2" shapeId="0">
      <text>
        <r>
          <rPr>
            <b/>
            <sz val="9"/>
            <color indexed="81"/>
            <rFont val="MS P ゴシック"/>
            <family val="3"/>
            <charset val="128"/>
          </rPr>
          <t>R3決算：下水道使用料（農集）の未収金貸倒引当金の更正に伴う特別損失</t>
        </r>
        <r>
          <rPr>
            <sz val="9"/>
            <color indexed="81"/>
            <rFont val="MS P ゴシック"/>
            <family val="3"/>
            <charset val="128"/>
          </rPr>
          <t xml:space="preserve">
</t>
        </r>
      </text>
    </comment>
    <comment ref="E18" authorId="1" shapeId="0">
      <text>
        <r>
          <rPr>
            <b/>
            <sz val="9"/>
            <color indexed="81"/>
            <rFont val="ＭＳ Ｐゴシック"/>
            <family val="3"/>
            <charset val="128"/>
          </rPr>
          <t>下水道事業受益者負担金に係る過年度収納済調定の更正による過誤納還付
資本費　汚水</t>
        </r>
      </text>
    </comment>
    <comment ref="E20" authorId="1" shapeId="0">
      <text>
        <r>
          <rPr>
            <b/>
            <sz val="9"/>
            <color indexed="81"/>
            <rFont val="ＭＳ Ｐゴシック"/>
            <family val="3"/>
            <charset val="128"/>
          </rPr>
          <t>平成２３年度排水設備取付管工事受託収入の調定誤りの修正
５％
資本費　汚水</t>
        </r>
      </text>
    </comment>
  </commentList>
</comments>
</file>

<file path=xl/comments6.xml><?xml version="1.0" encoding="utf-8"?>
<comments xmlns="http://schemas.openxmlformats.org/spreadsheetml/2006/main">
  <authors>
    <author>広島市</author>
  </authors>
  <commentList>
    <comment ref="E25" authorId="0" shapeId="0">
      <text>
        <r>
          <rPr>
            <b/>
            <sz val="9"/>
            <color indexed="81"/>
            <rFont val="ＭＳ Ｐゴシック"/>
            <family val="3"/>
            <charset val="128"/>
          </rPr>
          <t>ここに消費税額を入れてしまうと、不課税収入区分表の按分計算がおかしくなるので、入れないこと。</t>
        </r>
      </text>
    </comment>
  </commentList>
</comments>
</file>

<file path=xl/sharedStrings.xml><?xml version="1.0" encoding="utf-8"?>
<sst xmlns="http://schemas.openxmlformats.org/spreadsheetml/2006/main" count="9111" uniqueCount="880">
  <si>
    <t>税込決算額</t>
    <rPh sb="0" eb="2">
      <t>ゼイコミ</t>
    </rPh>
    <rPh sb="2" eb="4">
      <t>ケッサン</t>
    </rPh>
    <rPh sb="4" eb="5">
      <t>ガク</t>
    </rPh>
    <phoneticPr fontId="3"/>
  </si>
  <si>
    <t>総額検算</t>
    <rPh sb="0" eb="2">
      <t>ソウガク</t>
    </rPh>
    <rPh sb="2" eb="4">
      <t>ケンザン</t>
    </rPh>
    <phoneticPr fontId="3"/>
  </si>
  <si>
    <t>計</t>
    <rPh sb="0" eb="1">
      <t>ケイ</t>
    </rPh>
    <phoneticPr fontId="3"/>
  </si>
  <si>
    <t>　その他特別損失</t>
  </si>
  <si>
    <t>　過年度損益修正損</t>
    <phoneticPr fontId="3"/>
  </si>
  <si>
    <t>特別損失</t>
  </si>
  <si>
    <t>　雑支出</t>
  </si>
  <si>
    <t>　一時借入金利息</t>
  </si>
  <si>
    <t>営業外費用</t>
  </si>
  <si>
    <t>　資産減耗費（撤去費）</t>
    <rPh sb="7" eb="9">
      <t>テッキョ</t>
    </rPh>
    <rPh sb="9" eb="10">
      <t>ヒ</t>
    </rPh>
    <phoneticPr fontId="3"/>
  </si>
  <si>
    <t>　災害復旧費</t>
    <rPh sb="1" eb="3">
      <t>サイガイ</t>
    </rPh>
    <rPh sb="3" eb="5">
      <t>フッキュウ</t>
    </rPh>
    <rPh sb="5" eb="6">
      <t>ヒ</t>
    </rPh>
    <phoneticPr fontId="3"/>
  </si>
  <si>
    <t>　浄化槽費</t>
    <rPh sb="1" eb="4">
      <t>ジョウカソウ</t>
    </rPh>
    <phoneticPr fontId="3"/>
  </si>
  <si>
    <t>　農集費</t>
    <rPh sb="1" eb="2">
      <t>ノウ</t>
    </rPh>
    <rPh sb="2" eb="3">
      <t>シュウ</t>
    </rPh>
    <phoneticPr fontId="3"/>
  </si>
  <si>
    <t>　特環費</t>
    <rPh sb="1" eb="3">
      <t>トッカン</t>
    </rPh>
    <phoneticPr fontId="3"/>
  </si>
  <si>
    <t>　総係費</t>
  </si>
  <si>
    <t>　業務費</t>
  </si>
  <si>
    <t>　水洗化貸付事業費</t>
  </si>
  <si>
    <t>　普及促進費</t>
  </si>
  <si>
    <t>　受託工事費</t>
  </si>
  <si>
    <t>　処理場費</t>
  </si>
  <si>
    <t>　ポンプ場費</t>
  </si>
  <si>
    <t>　水質指導費</t>
  </si>
  <si>
    <t>　管きょ費</t>
  </si>
  <si>
    <t>営業費用</t>
    <rPh sb="0" eb="2">
      <t>エイギョウ</t>
    </rPh>
    <rPh sb="2" eb="4">
      <t>ヒヨウ</t>
    </rPh>
    <phoneticPr fontId="3"/>
  </si>
  <si>
    <t>課税支出</t>
    <rPh sb="0" eb="2">
      <t>カゼイ</t>
    </rPh>
    <rPh sb="2" eb="4">
      <t>シシュツ</t>
    </rPh>
    <phoneticPr fontId="3"/>
  </si>
  <si>
    <t>水質・普及・水洗化</t>
    <phoneticPr fontId="3"/>
  </si>
  <si>
    <t>汚水基準外</t>
    <rPh sb="0" eb="1">
      <t>ブン</t>
    </rPh>
    <rPh sb="2" eb="3">
      <t>ガイ</t>
    </rPh>
    <phoneticPr fontId="3"/>
  </si>
  <si>
    <t>雨水+汚水基準内+一般行政経費（水質・普及・水洗化を除く）</t>
    <rPh sb="0" eb="1">
      <t>ウスイ</t>
    </rPh>
    <rPh sb="2" eb="4">
      <t>オスイ</t>
    </rPh>
    <rPh sb="4" eb="6">
      <t>キジュン</t>
    </rPh>
    <rPh sb="6" eb="7">
      <t>ナイ</t>
    </rPh>
    <rPh sb="9" eb="11">
      <t>イッパン</t>
    </rPh>
    <rPh sb="11" eb="13">
      <t>ギョウセイ</t>
    </rPh>
    <rPh sb="13" eb="15">
      <t>ケイヒ</t>
    </rPh>
    <rPh sb="16" eb="18">
      <t>スイシツ</t>
    </rPh>
    <rPh sb="19" eb="21">
      <t>フキュウ</t>
    </rPh>
    <rPh sb="22" eb="25">
      <t>スイセンカ</t>
    </rPh>
    <rPh sb="26" eb="27">
      <t>ノゾ</t>
    </rPh>
    <phoneticPr fontId="3"/>
  </si>
  <si>
    <t>費目</t>
    <rPh sb="0" eb="2">
      <t>ヒモク</t>
    </rPh>
    <phoneticPr fontId="3"/>
  </si>
  <si>
    <t>【特定収入に係る課税仕入れ・課税仕入れ以外の特定のために使用する課税支出割合算出表】</t>
    <rPh sb="1" eb="3">
      <t>トクテイ</t>
    </rPh>
    <rPh sb="3" eb="5">
      <t>シュウニュウ</t>
    </rPh>
    <rPh sb="6" eb="7">
      <t>カカ</t>
    </rPh>
    <rPh sb="8" eb="10">
      <t>カゼイ</t>
    </rPh>
    <rPh sb="10" eb="12">
      <t>シイ</t>
    </rPh>
    <rPh sb="14" eb="16">
      <t>カゼイ</t>
    </rPh>
    <rPh sb="16" eb="18">
      <t>シイ</t>
    </rPh>
    <rPh sb="19" eb="21">
      <t>イガイ</t>
    </rPh>
    <rPh sb="22" eb="24">
      <t>トクテイ</t>
    </rPh>
    <rPh sb="28" eb="30">
      <t>シヨウ</t>
    </rPh>
    <rPh sb="32" eb="34">
      <t>カゼイ</t>
    </rPh>
    <rPh sb="34" eb="36">
      <t>シシュツ</t>
    </rPh>
    <rPh sb="36" eb="38">
      <t>ワリアイ</t>
    </rPh>
    <rPh sb="38" eb="40">
      <t>サンシュツ</t>
    </rPh>
    <rPh sb="40" eb="41">
      <t>ヒョウ</t>
    </rPh>
    <phoneticPr fontId="3"/>
  </si>
  <si>
    <t>←仕入控除税額の算定にあたり、仮払消費税額×課税売上割合しか計上できないことにより控除できない額（マイナス表示）</t>
    <rPh sb="53" eb="55">
      <t>ヒョウジ</t>
    </rPh>
    <phoneticPr fontId="3"/>
  </si>
  <si>
    <t>仕入税額控除不可消費税</t>
  </si>
  <si>
    <t>消費税中間</t>
    <rPh sb="0" eb="3">
      <t>ショウヒゼイ</t>
    </rPh>
    <rPh sb="3" eb="5">
      <t>チュウカン</t>
    </rPh>
    <phoneticPr fontId="3"/>
  </si>
  <si>
    <t>消費税及び地方消費税</t>
    <rPh sb="0" eb="3">
      <t>ショウヒゼイ</t>
    </rPh>
    <rPh sb="3" eb="4">
      <t>オヨ</t>
    </rPh>
    <rPh sb="5" eb="7">
      <t>チホウ</t>
    </rPh>
    <rPh sb="7" eb="10">
      <t>ショウヒゼイ</t>
    </rPh>
    <phoneticPr fontId="3"/>
  </si>
  <si>
    <t>　減損損失</t>
    <rPh sb="1" eb="3">
      <t>ゲンソン</t>
    </rPh>
    <rPh sb="3" eb="5">
      <t>ソンシツ</t>
    </rPh>
    <phoneticPr fontId="3"/>
  </si>
  <si>
    <t>　固定資産売却損</t>
  </si>
  <si>
    <t>　過年度損益修正損</t>
  </si>
  <si>
    <t>　支払利息・取扱費</t>
    <rPh sb="6" eb="8">
      <t>トリアツカ</t>
    </rPh>
    <phoneticPr fontId="3"/>
  </si>
  <si>
    <t>　資産減耗費</t>
  </si>
  <si>
    <t>　減価償却費</t>
  </si>
  <si>
    <t>消費税　調整額</t>
    <rPh sb="0" eb="3">
      <t>ショウヒゼイ</t>
    </rPh>
    <rPh sb="4" eb="6">
      <t>チョウセイ</t>
    </rPh>
    <rPh sb="6" eb="7">
      <t>ガク</t>
    </rPh>
    <phoneticPr fontId="3"/>
  </si>
  <si>
    <t>消費税端数調整ランク</t>
    <rPh sb="0" eb="3">
      <t>ショウヒゼイ</t>
    </rPh>
    <rPh sb="3" eb="5">
      <t>ハスウ</t>
    </rPh>
    <rPh sb="5" eb="7">
      <t>チョウセイ</t>
    </rPh>
    <phoneticPr fontId="3"/>
  </si>
  <si>
    <t>消費税　端数確認</t>
    <rPh sb="0" eb="3">
      <t>ショウヒゼイ</t>
    </rPh>
    <rPh sb="4" eb="6">
      <t>ハスウ</t>
    </rPh>
    <rPh sb="6" eb="8">
      <t>カクニン</t>
    </rPh>
    <phoneticPr fontId="3"/>
  </si>
  <si>
    <t>消費税</t>
    <rPh sb="0" eb="3">
      <t>ショウヒゼイ</t>
    </rPh>
    <phoneticPr fontId="3"/>
  </si>
  <si>
    <t>税抜決算額</t>
    <rPh sb="0" eb="2">
      <t>ゼイヌキ</t>
    </rPh>
    <rPh sb="2" eb="4">
      <t>ケッサン</t>
    </rPh>
    <rPh sb="4" eb="5">
      <t>ガク</t>
    </rPh>
    <phoneticPr fontId="3"/>
  </si>
  <si>
    <t>不課税支出</t>
    <rPh sb="0" eb="1">
      <t>フ</t>
    </rPh>
    <rPh sb="1" eb="3">
      <t>カゼイ</t>
    </rPh>
    <rPh sb="3" eb="5">
      <t>シシュツ</t>
    </rPh>
    <phoneticPr fontId="3"/>
  </si>
  <si>
    <t>非課税支出</t>
    <rPh sb="0" eb="3">
      <t>ヒカゼイ</t>
    </rPh>
    <rPh sb="3" eb="5">
      <t>シシュツ</t>
    </rPh>
    <phoneticPr fontId="3"/>
  </si>
  <si>
    <t>細節</t>
    <rPh sb="0" eb="2">
      <t>サイセツ</t>
    </rPh>
    <phoneticPr fontId="3"/>
  </si>
  <si>
    <t>節</t>
    <rPh sb="0" eb="1">
      <t>セツ</t>
    </rPh>
    <phoneticPr fontId="3"/>
  </si>
  <si>
    <t>事業</t>
    <rPh sb="0" eb="2">
      <t>ジギョウ</t>
    </rPh>
    <phoneticPr fontId="3"/>
  </si>
  <si>
    <t>【３条支出総括】</t>
    <rPh sb="2" eb="3">
      <t>ジョウ</t>
    </rPh>
    <rPh sb="3" eb="5">
      <t>シシュツ</t>
    </rPh>
    <rPh sb="5" eb="7">
      <t>ソウカツ</t>
    </rPh>
    <phoneticPr fontId="3"/>
  </si>
  <si>
    <t>貸倒引当金繰入額</t>
    <rPh sb="0" eb="2">
      <t>カシダオレ</t>
    </rPh>
    <phoneticPr fontId="3"/>
  </si>
  <si>
    <t>8830243</t>
  </si>
  <si>
    <t>賞与引当金繰入額</t>
  </si>
  <si>
    <t>8830242</t>
  </si>
  <si>
    <t>雑費</t>
  </si>
  <si>
    <t>公課費</t>
  </si>
  <si>
    <t>8830240</t>
  </si>
  <si>
    <t>損害保険料</t>
  </si>
  <si>
    <t>8830239</t>
  </si>
  <si>
    <t>食糧費</t>
  </si>
  <si>
    <t>8830237</t>
  </si>
  <si>
    <t>負担金、補助及び交付金</t>
  </si>
  <si>
    <t>8830231</t>
  </si>
  <si>
    <t>補償金</t>
  </si>
  <si>
    <t>8830230</t>
  </si>
  <si>
    <t>薬品費</t>
  </si>
  <si>
    <t>8830229</t>
  </si>
  <si>
    <t>動力用燃料費</t>
    <rPh sb="0" eb="3">
      <t>ドウリョクヨウ</t>
    </rPh>
    <rPh sb="3" eb="6">
      <t>ネンリョウヒ</t>
    </rPh>
    <phoneticPr fontId="3"/>
  </si>
  <si>
    <t>883022867</t>
  </si>
  <si>
    <t>8830228</t>
  </si>
  <si>
    <t>電力費</t>
    <rPh sb="0" eb="2">
      <t>デンリョク</t>
    </rPh>
    <rPh sb="2" eb="3">
      <t>ヒ</t>
    </rPh>
    <phoneticPr fontId="3"/>
  </si>
  <si>
    <t>883022866</t>
  </si>
  <si>
    <t>路面復旧費</t>
  </si>
  <si>
    <t>8830226</t>
  </si>
  <si>
    <t>工事請負費</t>
  </si>
  <si>
    <t>8830225</t>
  </si>
  <si>
    <t>材料費</t>
  </si>
  <si>
    <t>8830224</t>
  </si>
  <si>
    <t>修繕費</t>
  </si>
  <si>
    <t>8830223</t>
  </si>
  <si>
    <t>委託料</t>
  </si>
  <si>
    <t>8830221</t>
  </si>
  <si>
    <t>賃借料</t>
  </si>
  <si>
    <t>8830220</t>
  </si>
  <si>
    <t>手数料</t>
  </si>
  <si>
    <t>8830219</t>
  </si>
  <si>
    <t>通信運搬費</t>
  </si>
  <si>
    <t>8830217</t>
  </si>
  <si>
    <t>光熱水費</t>
  </si>
  <si>
    <t>8830215</t>
  </si>
  <si>
    <t>燃料費</t>
  </si>
  <si>
    <t>8830214</t>
  </si>
  <si>
    <t>備消品費</t>
  </si>
  <si>
    <t>8830213</t>
  </si>
  <si>
    <t>特別旅費</t>
  </si>
  <si>
    <t>883021002</t>
  </si>
  <si>
    <t>8830210</t>
  </si>
  <si>
    <t>普通旅費</t>
  </si>
  <si>
    <t>883021001</t>
  </si>
  <si>
    <t>報償費</t>
  </si>
  <si>
    <t>8830208</t>
  </si>
  <si>
    <t>賃金</t>
  </si>
  <si>
    <t>8830207</t>
  </si>
  <si>
    <t>災害補償費</t>
  </si>
  <si>
    <t>8830205</t>
  </si>
  <si>
    <t>法定福利費</t>
  </si>
  <si>
    <t>8830204</t>
  </si>
  <si>
    <t>手当等</t>
  </si>
  <si>
    <t>8830203</t>
  </si>
  <si>
    <t>給料</t>
  </si>
  <si>
    <t>8830202</t>
  </si>
  <si>
    <t>報酬</t>
  </si>
  <si>
    <t>8830201</t>
  </si>
  <si>
    <t>【管きょ費】</t>
    <rPh sb="1" eb="2">
      <t>カン</t>
    </rPh>
    <rPh sb="4" eb="5">
      <t>ヒ</t>
    </rPh>
    <phoneticPr fontId="3"/>
  </si>
  <si>
    <t>8830443</t>
  </si>
  <si>
    <t>8830442</t>
  </si>
  <si>
    <t>8830440</t>
  </si>
  <si>
    <t>8830439</t>
  </si>
  <si>
    <t>8830437</t>
  </si>
  <si>
    <t>8830431</t>
  </si>
  <si>
    <t>8830430</t>
  </si>
  <si>
    <t>8830429</t>
  </si>
  <si>
    <t>883042867</t>
  </si>
  <si>
    <t>8830428</t>
  </si>
  <si>
    <t>883042866</t>
  </si>
  <si>
    <t>8830426</t>
  </si>
  <si>
    <t>8830425</t>
  </si>
  <si>
    <t>8830424</t>
  </si>
  <si>
    <t>8830423</t>
  </si>
  <si>
    <t>8830421</t>
  </si>
  <si>
    <t>8830420</t>
  </si>
  <si>
    <t>8830419</t>
  </si>
  <si>
    <t>8830417</t>
  </si>
  <si>
    <t>8830415</t>
  </si>
  <si>
    <t>8830414</t>
  </si>
  <si>
    <t>8830413</t>
  </si>
  <si>
    <t>883041002</t>
  </si>
  <si>
    <t>8830410</t>
  </si>
  <si>
    <t>883041001</t>
  </si>
  <si>
    <t>8830408</t>
  </si>
  <si>
    <t>8830407</t>
  </si>
  <si>
    <t>8830405</t>
  </si>
  <si>
    <t>8830404</t>
  </si>
  <si>
    <t>8830403</t>
  </si>
  <si>
    <t>8830402</t>
  </si>
  <si>
    <t>8830401</t>
  </si>
  <si>
    <t>【水質指導費】</t>
    <rPh sb="1" eb="3">
      <t>スイシツ</t>
    </rPh>
    <rPh sb="3" eb="5">
      <t>シドウ</t>
    </rPh>
    <rPh sb="5" eb="6">
      <t>ヒ</t>
    </rPh>
    <phoneticPr fontId="3"/>
  </si>
  <si>
    <t>8830643</t>
  </si>
  <si>
    <t>8830642</t>
  </si>
  <si>
    <t>8830640</t>
  </si>
  <si>
    <t>8830639</t>
  </si>
  <si>
    <t>8830637</t>
  </si>
  <si>
    <t>8830631</t>
  </si>
  <si>
    <t>8830630</t>
  </si>
  <si>
    <t>8830629</t>
  </si>
  <si>
    <t>883062867</t>
  </si>
  <si>
    <t>8830628</t>
  </si>
  <si>
    <t>883062866</t>
  </si>
  <si>
    <t>8830626</t>
  </si>
  <si>
    <t>8830625</t>
  </si>
  <si>
    <t>8830624</t>
  </si>
  <si>
    <t>8830623</t>
  </si>
  <si>
    <t>8830621</t>
  </si>
  <si>
    <t>8830620</t>
  </si>
  <si>
    <t>8830619</t>
  </si>
  <si>
    <t>8830617</t>
  </si>
  <si>
    <t>8830615</t>
  </si>
  <si>
    <t>8830614</t>
  </si>
  <si>
    <t>8830613</t>
  </si>
  <si>
    <t>883061002</t>
  </si>
  <si>
    <t>8830610</t>
  </si>
  <si>
    <t>883061001</t>
  </si>
  <si>
    <t>8830608</t>
  </si>
  <si>
    <t>8830607</t>
  </si>
  <si>
    <t>8830605</t>
  </si>
  <si>
    <t>8830604</t>
  </si>
  <si>
    <t>8830603</t>
  </si>
  <si>
    <t>8830602</t>
  </si>
  <si>
    <t>8830601</t>
  </si>
  <si>
    <t>【ポンプ場費】</t>
    <rPh sb="4" eb="5">
      <t>ジョウ</t>
    </rPh>
    <rPh sb="5" eb="6">
      <t>ヒ</t>
    </rPh>
    <phoneticPr fontId="3"/>
  </si>
  <si>
    <t>8830843</t>
  </si>
  <si>
    <t>8830842</t>
  </si>
  <si>
    <t>8830840</t>
  </si>
  <si>
    <t>8830839</t>
  </si>
  <si>
    <t>8830837</t>
  </si>
  <si>
    <t>8830831</t>
  </si>
  <si>
    <t>8830830</t>
  </si>
  <si>
    <t>8830829</t>
  </si>
  <si>
    <t>883082867</t>
  </si>
  <si>
    <t>8830828</t>
  </si>
  <si>
    <t>883082866</t>
  </si>
  <si>
    <t>8830826</t>
  </si>
  <si>
    <t>8830825</t>
  </si>
  <si>
    <t>8830824</t>
  </si>
  <si>
    <t>8830823</t>
  </si>
  <si>
    <t>8830821</t>
  </si>
  <si>
    <t>8830820</t>
  </si>
  <si>
    <t>8830819</t>
  </si>
  <si>
    <t>8830817</t>
  </si>
  <si>
    <t>8830815</t>
  </si>
  <si>
    <t>8830814</t>
  </si>
  <si>
    <t>8830813</t>
  </si>
  <si>
    <t>883081002</t>
  </si>
  <si>
    <t>8830810</t>
  </si>
  <si>
    <t>883081001</t>
  </si>
  <si>
    <t>8830808</t>
  </si>
  <si>
    <t>8830807</t>
  </si>
  <si>
    <t>8830805</t>
  </si>
  <si>
    <t>8830804</t>
  </si>
  <si>
    <t>8830803</t>
  </si>
  <si>
    <t>8830802</t>
  </si>
  <si>
    <t>8830801</t>
  </si>
  <si>
    <t>【処理場費】</t>
    <rPh sb="1" eb="4">
      <t>ショリジョウ</t>
    </rPh>
    <rPh sb="4" eb="5">
      <t>ヒ</t>
    </rPh>
    <phoneticPr fontId="3"/>
  </si>
  <si>
    <t>8831043</t>
  </si>
  <si>
    <t>8831042</t>
  </si>
  <si>
    <t>8831040</t>
  </si>
  <si>
    <t>8831039</t>
  </si>
  <si>
    <t>8831037</t>
  </si>
  <si>
    <t>8831031</t>
  </si>
  <si>
    <t>8831030</t>
  </si>
  <si>
    <t>8831029</t>
  </si>
  <si>
    <t>883102867</t>
  </si>
  <si>
    <t>8831028</t>
  </si>
  <si>
    <t>883102866</t>
  </si>
  <si>
    <t>8831026</t>
  </si>
  <si>
    <t>8831025</t>
  </si>
  <si>
    <t>8831024</t>
  </si>
  <si>
    <t>8831023</t>
  </si>
  <si>
    <t>8831021</t>
  </si>
  <si>
    <t>8831020</t>
  </si>
  <si>
    <t>8831019</t>
  </si>
  <si>
    <t>8831017</t>
  </si>
  <si>
    <t>8831015</t>
  </si>
  <si>
    <t>8831014</t>
  </si>
  <si>
    <t>8831013</t>
  </si>
  <si>
    <t>883101002</t>
  </si>
  <si>
    <t>8831010</t>
  </si>
  <si>
    <t>883101001</t>
  </si>
  <si>
    <t>8831008</t>
  </si>
  <si>
    <t>8831007</t>
  </si>
  <si>
    <t>8831005</t>
  </si>
  <si>
    <t>8831004</t>
  </si>
  <si>
    <t>8831003</t>
  </si>
  <si>
    <t>8831002</t>
  </si>
  <si>
    <t>8831001</t>
  </si>
  <si>
    <t>【受託工事費】</t>
    <rPh sb="1" eb="3">
      <t>ジュタク</t>
    </rPh>
    <rPh sb="3" eb="5">
      <t>コウジ</t>
    </rPh>
    <rPh sb="5" eb="6">
      <t>ヒ</t>
    </rPh>
    <phoneticPr fontId="3"/>
  </si>
  <si>
    <t>8831243</t>
  </si>
  <si>
    <t>8831242</t>
  </si>
  <si>
    <t>8831240</t>
  </si>
  <si>
    <t>8831239</t>
  </si>
  <si>
    <t>8831237</t>
  </si>
  <si>
    <t>8831231</t>
  </si>
  <si>
    <t>8831230</t>
  </si>
  <si>
    <t>8831229</t>
  </si>
  <si>
    <t>883122867</t>
  </si>
  <si>
    <t>8831228</t>
  </si>
  <si>
    <t>883122866</t>
  </si>
  <si>
    <t>8831226</t>
  </si>
  <si>
    <t>8831225</t>
  </si>
  <si>
    <t>8831224</t>
  </si>
  <si>
    <t>8831223</t>
  </si>
  <si>
    <t>8831221</t>
  </si>
  <si>
    <t>8831220</t>
  </si>
  <si>
    <t>8831219</t>
  </si>
  <si>
    <t>8831217</t>
  </si>
  <si>
    <t>8831215</t>
  </si>
  <si>
    <t>8831214</t>
  </si>
  <si>
    <t>8831213</t>
  </si>
  <si>
    <t>883121002</t>
  </si>
  <si>
    <t>8831210</t>
  </si>
  <si>
    <t>883121001</t>
  </si>
  <si>
    <t>8831208</t>
  </si>
  <si>
    <t>8831207</t>
  </si>
  <si>
    <t>8831205</t>
  </si>
  <si>
    <t>8831204</t>
  </si>
  <si>
    <t>8831203</t>
  </si>
  <si>
    <t>8831202</t>
  </si>
  <si>
    <t>8831201</t>
  </si>
  <si>
    <t>【普及促進費】</t>
    <rPh sb="1" eb="3">
      <t>フキュウ</t>
    </rPh>
    <rPh sb="3" eb="5">
      <t>ソクシン</t>
    </rPh>
    <rPh sb="5" eb="6">
      <t>ヒ</t>
    </rPh>
    <phoneticPr fontId="3"/>
  </si>
  <si>
    <t>8831343</t>
  </si>
  <si>
    <t>8831342</t>
  </si>
  <si>
    <t>8831340</t>
  </si>
  <si>
    <t>8831339</t>
  </si>
  <si>
    <t>8831337</t>
  </si>
  <si>
    <t>8831331</t>
  </si>
  <si>
    <t>8831330</t>
  </si>
  <si>
    <t>8831329</t>
  </si>
  <si>
    <t>883132867</t>
  </si>
  <si>
    <t>8831328</t>
  </si>
  <si>
    <t>883132866</t>
  </si>
  <si>
    <t>8831326</t>
  </si>
  <si>
    <t>8831325</t>
  </si>
  <si>
    <t>8831324</t>
  </si>
  <si>
    <t>8831323</t>
  </si>
  <si>
    <t>8831321</t>
  </si>
  <si>
    <t>8831320</t>
  </si>
  <si>
    <t>8831319</t>
  </si>
  <si>
    <t>8831317</t>
  </si>
  <si>
    <t>8831315</t>
  </si>
  <si>
    <t>8831314</t>
  </si>
  <si>
    <t>8831313</t>
  </si>
  <si>
    <t>883131002</t>
  </si>
  <si>
    <t>8831310</t>
  </si>
  <si>
    <t>883131001</t>
  </si>
  <si>
    <t>8831308</t>
  </si>
  <si>
    <t>8831307</t>
  </si>
  <si>
    <t>8831305</t>
  </si>
  <si>
    <t>8831304</t>
  </si>
  <si>
    <t>8831303</t>
  </si>
  <si>
    <t>8831302</t>
  </si>
  <si>
    <t>8831301</t>
  </si>
  <si>
    <t>水洗化貸付事業費】</t>
    <rPh sb="0" eb="3">
      <t>スイセンカ</t>
    </rPh>
    <rPh sb="3" eb="5">
      <t>カシツケ</t>
    </rPh>
    <rPh sb="5" eb="7">
      <t>ジギョウ</t>
    </rPh>
    <rPh sb="7" eb="8">
      <t>ヒ</t>
    </rPh>
    <phoneticPr fontId="3"/>
  </si>
  <si>
    <t>8831443</t>
  </si>
  <si>
    <t>8831442</t>
  </si>
  <si>
    <t>8831440</t>
  </si>
  <si>
    <t>8831439</t>
  </si>
  <si>
    <t>8831437</t>
  </si>
  <si>
    <t>8831431</t>
  </si>
  <si>
    <t>8831430</t>
  </si>
  <si>
    <t>8831429</t>
  </si>
  <si>
    <t>883142867</t>
  </si>
  <si>
    <t>8831428</t>
  </si>
  <si>
    <t>883142866</t>
  </si>
  <si>
    <t>8831426</t>
  </si>
  <si>
    <t>8831425</t>
  </si>
  <si>
    <t>8831424</t>
  </si>
  <si>
    <t>8831423</t>
  </si>
  <si>
    <t>8831421</t>
  </si>
  <si>
    <t>8831420</t>
  </si>
  <si>
    <t>8831419</t>
  </si>
  <si>
    <t>8831417</t>
  </si>
  <si>
    <t>8831415</t>
  </si>
  <si>
    <t>8831414</t>
  </si>
  <si>
    <t>8831413</t>
  </si>
  <si>
    <t>883141002</t>
  </si>
  <si>
    <t>8831410</t>
  </si>
  <si>
    <t>883141001</t>
  </si>
  <si>
    <t>8831408</t>
  </si>
  <si>
    <t>8831407</t>
  </si>
  <si>
    <t>8831405</t>
  </si>
  <si>
    <t>8831404</t>
  </si>
  <si>
    <t>8831403</t>
  </si>
  <si>
    <t>8831402</t>
  </si>
  <si>
    <t>8831401</t>
  </si>
  <si>
    <t>【業務費】</t>
    <rPh sb="1" eb="3">
      <t>ギョウム</t>
    </rPh>
    <rPh sb="3" eb="4">
      <t>ヒ</t>
    </rPh>
    <phoneticPr fontId="3"/>
  </si>
  <si>
    <t>8831643</t>
  </si>
  <si>
    <t>8831642</t>
  </si>
  <si>
    <t>8831641</t>
  </si>
  <si>
    <t>8831640</t>
  </si>
  <si>
    <t>8831639</t>
  </si>
  <si>
    <t>8831637</t>
  </si>
  <si>
    <t>8831631</t>
  </si>
  <si>
    <t>8831630</t>
  </si>
  <si>
    <t>8831629</t>
  </si>
  <si>
    <t>883162867</t>
  </si>
  <si>
    <t>8831628</t>
  </si>
  <si>
    <t>883162866</t>
  </si>
  <si>
    <t>8831626</t>
  </si>
  <si>
    <t>8831625</t>
  </si>
  <si>
    <t>8831624</t>
  </si>
  <si>
    <t>8831623</t>
  </si>
  <si>
    <t>8831621</t>
  </si>
  <si>
    <t>8831620</t>
  </si>
  <si>
    <t>8831619</t>
  </si>
  <si>
    <t>8831617</t>
  </si>
  <si>
    <t>8831615</t>
  </si>
  <si>
    <t>8831614</t>
  </si>
  <si>
    <t>8831613</t>
  </si>
  <si>
    <t>883161002</t>
  </si>
  <si>
    <t>8831610</t>
  </si>
  <si>
    <t>883161001</t>
  </si>
  <si>
    <t>8831608</t>
  </si>
  <si>
    <t>8831607</t>
  </si>
  <si>
    <t>8831605</t>
  </si>
  <si>
    <t>8831604</t>
  </si>
  <si>
    <t>8831603</t>
  </si>
  <si>
    <t>8831602</t>
  </si>
  <si>
    <t>8831601</t>
  </si>
  <si>
    <t>【総係費】</t>
    <rPh sb="1" eb="2">
      <t>ソウ</t>
    </rPh>
    <rPh sb="2" eb="3">
      <t>カカリ</t>
    </rPh>
    <rPh sb="3" eb="4">
      <t>ヒ</t>
    </rPh>
    <phoneticPr fontId="3"/>
  </si>
  <si>
    <t>8831743</t>
  </si>
  <si>
    <t>8831742</t>
  </si>
  <si>
    <t>8831741</t>
  </si>
  <si>
    <t>8831740</t>
  </si>
  <si>
    <t>8831739</t>
  </si>
  <si>
    <t>8831737</t>
  </si>
  <si>
    <t>8831731</t>
  </si>
  <si>
    <t>8831730</t>
  </si>
  <si>
    <t>8831729</t>
  </si>
  <si>
    <t>883172867</t>
  </si>
  <si>
    <t>8831728</t>
  </si>
  <si>
    <t>883172866</t>
  </si>
  <si>
    <t>8831726</t>
  </si>
  <si>
    <t>8831725</t>
  </si>
  <si>
    <t>8831724</t>
  </si>
  <si>
    <t>8831723</t>
  </si>
  <si>
    <t>8831721</t>
  </si>
  <si>
    <t>8831720</t>
  </si>
  <si>
    <t>8831719</t>
  </si>
  <si>
    <t>8831717</t>
  </si>
  <si>
    <t>8831715</t>
  </si>
  <si>
    <t>8831714</t>
  </si>
  <si>
    <t>8831713</t>
  </si>
  <si>
    <t>883171002</t>
  </si>
  <si>
    <t>8831710</t>
  </si>
  <si>
    <t>883171001</t>
  </si>
  <si>
    <t>8831708</t>
  </si>
  <si>
    <t>8831707</t>
  </si>
  <si>
    <t>8831705</t>
  </si>
  <si>
    <t>8831704</t>
  </si>
  <si>
    <t>8831703</t>
  </si>
  <si>
    <t>8831702</t>
  </si>
  <si>
    <t>8831701</t>
  </si>
  <si>
    <t>【特環公共下水道費】</t>
    <rPh sb="1" eb="3">
      <t>トッカン</t>
    </rPh>
    <rPh sb="3" eb="8">
      <t>コウキョウ</t>
    </rPh>
    <rPh sb="8" eb="9">
      <t>ヒ</t>
    </rPh>
    <phoneticPr fontId="3"/>
  </si>
  <si>
    <t>8831843</t>
  </si>
  <si>
    <t>8831842</t>
  </si>
  <si>
    <t>8831841</t>
  </si>
  <si>
    <t>8831840</t>
  </si>
  <si>
    <t>8831839</t>
  </si>
  <si>
    <t>8831837</t>
  </si>
  <si>
    <t>8831831</t>
  </si>
  <si>
    <t>8831830</t>
  </si>
  <si>
    <t>8831829</t>
  </si>
  <si>
    <t>883182867</t>
  </si>
  <si>
    <t>8831828</t>
  </si>
  <si>
    <t>883182866</t>
  </si>
  <si>
    <t>8831826</t>
  </si>
  <si>
    <t>8831825</t>
  </si>
  <si>
    <t>8831824</t>
  </si>
  <si>
    <t>8831823</t>
  </si>
  <si>
    <t>8831821</t>
  </si>
  <si>
    <t>8831820</t>
  </si>
  <si>
    <t>8831819</t>
  </si>
  <si>
    <t>8831817</t>
  </si>
  <si>
    <t>8831815</t>
  </si>
  <si>
    <t>8831814</t>
  </si>
  <si>
    <t>8831813</t>
  </si>
  <si>
    <t>883181002</t>
  </si>
  <si>
    <t>8831810</t>
  </si>
  <si>
    <t>883181001</t>
  </si>
  <si>
    <t>8831808</t>
  </si>
  <si>
    <t>8831807</t>
  </si>
  <si>
    <t>8831805</t>
  </si>
  <si>
    <t>8831804</t>
  </si>
  <si>
    <t>8831803</t>
  </si>
  <si>
    <t>8831802</t>
  </si>
  <si>
    <t>8831801</t>
  </si>
  <si>
    <t>【農業集落排水費】</t>
    <rPh sb="1" eb="3">
      <t>ノウギョウ</t>
    </rPh>
    <rPh sb="3" eb="5">
      <t>シュウラク</t>
    </rPh>
    <rPh sb="5" eb="7">
      <t>ハイスイ</t>
    </rPh>
    <rPh sb="7" eb="8">
      <t>ヒ</t>
    </rPh>
    <phoneticPr fontId="3"/>
  </si>
  <si>
    <t>8831943</t>
  </si>
  <si>
    <t>8831942</t>
  </si>
  <si>
    <t>8831941</t>
  </si>
  <si>
    <t>8831940</t>
  </si>
  <si>
    <t>8831939</t>
  </si>
  <si>
    <t>8831937</t>
  </si>
  <si>
    <t>8831931</t>
  </si>
  <si>
    <t>8831930</t>
  </si>
  <si>
    <t>8831929</t>
  </si>
  <si>
    <t>883192867</t>
  </si>
  <si>
    <t>8831928</t>
  </si>
  <si>
    <t>883192866</t>
  </si>
  <si>
    <t>8831926</t>
  </si>
  <si>
    <t>8831925</t>
  </si>
  <si>
    <t>8831924</t>
  </si>
  <si>
    <t>8831923</t>
  </si>
  <si>
    <t>8831921</t>
  </si>
  <si>
    <t>8831920</t>
  </si>
  <si>
    <t>8831919</t>
  </si>
  <si>
    <t>8831917</t>
  </si>
  <si>
    <t>8831915</t>
  </si>
  <si>
    <t>8831914</t>
  </si>
  <si>
    <t>8831913</t>
  </si>
  <si>
    <t>883191002</t>
  </si>
  <si>
    <t>8831910</t>
  </si>
  <si>
    <t>883191001</t>
  </si>
  <si>
    <t>8831908</t>
  </si>
  <si>
    <t>8831907</t>
  </si>
  <si>
    <t>8831905</t>
  </si>
  <si>
    <t>8831904</t>
  </si>
  <si>
    <t>8831903</t>
  </si>
  <si>
    <t>8831902</t>
  </si>
  <si>
    <t>8831901</t>
  </si>
  <si>
    <t>【浄化槽費】</t>
    <rPh sb="1" eb="4">
      <t>ジョウカソウ</t>
    </rPh>
    <rPh sb="4" eb="5">
      <t>ヒ</t>
    </rPh>
    <phoneticPr fontId="3"/>
  </si>
  <si>
    <t>【災害復旧費】</t>
    <rPh sb="1" eb="3">
      <t>サイガイ</t>
    </rPh>
    <rPh sb="3" eb="5">
      <t>フッキュウ</t>
    </rPh>
    <rPh sb="5" eb="6">
      <t>ヒ</t>
    </rPh>
    <phoneticPr fontId="3"/>
  </si>
  <si>
    <t>著作権償却費</t>
  </si>
  <si>
    <t>ソフトウェア償却費</t>
  </si>
  <si>
    <t>施設利用権償却費</t>
  </si>
  <si>
    <t>地上権償却費</t>
  </si>
  <si>
    <t>借地権償却費</t>
  </si>
  <si>
    <t>工具・器具及び備品償却費</t>
  </si>
  <si>
    <t>車両運搬具償却費</t>
  </si>
  <si>
    <t>機械及び装置償却費</t>
  </si>
  <si>
    <t>構築物償却費</t>
  </si>
  <si>
    <t>建物償却費</t>
  </si>
  <si>
    <t>【減価償却費（全事業）】</t>
    <rPh sb="1" eb="3">
      <t>ゲンカ</t>
    </rPh>
    <rPh sb="3" eb="5">
      <t>ショウキャク</t>
    </rPh>
    <rPh sb="5" eb="6">
      <t>ヒ</t>
    </rPh>
    <rPh sb="7" eb="10">
      <t>ゼンジギョウ</t>
    </rPh>
    <phoneticPr fontId="3"/>
  </si>
  <si>
    <t>固定資産撤去費</t>
  </si>
  <si>
    <t>固定資産除却費</t>
  </si>
  <si>
    <t>【資産減耗費（全事業）】</t>
    <rPh sb="1" eb="3">
      <t>シサン</t>
    </rPh>
    <rPh sb="3" eb="5">
      <t>ゲンモウ</t>
    </rPh>
    <rPh sb="5" eb="6">
      <t>ヒ</t>
    </rPh>
    <rPh sb="7" eb="10">
      <t>ゼンジギョウ</t>
    </rPh>
    <phoneticPr fontId="3"/>
  </si>
  <si>
    <t>※その他雑支出のうち、災害支援経費等（再掲）</t>
    <rPh sb="3" eb="4">
      <t>タ</t>
    </rPh>
    <rPh sb="4" eb="5">
      <t>ザツ</t>
    </rPh>
    <rPh sb="5" eb="7">
      <t>シシュツ</t>
    </rPh>
    <rPh sb="11" eb="13">
      <t>サイガイ</t>
    </rPh>
    <rPh sb="13" eb="15">
      <t>シエン</t>
    </rPh>
    <rPh sb="15" eb="17">
      <t>ケイヒ</t>
    </rPh>
    <rPh sb="17" eb="18">
      <t>トウ</t>
    </rPh>
    <rPh sb="19" eb="21">
      <t>サイケイ</t>
    </rPh>
    <phoneticPr fontId="3"/>
  </si>
  <si>
    <t>　その他雑支出</t>
    <phoneticPr fontId="3"/>
  </si>
  <si>
    <t>　還付加算金</t>
    <phoneticPr fontId="3"/>
  </si>
  <si>
    <t>雑支出</t>
    <rPh sb="0" eb="1">
      <t>ザツ</t>
    </rPh>
    <rPh sb="1" eb="3">
      <t>シシュツ</t>
    </rPh>
    <phoneticPr fontId="3"/>
  </si>
  <si>
    <t>企業債発行差金</t>
  </si>
  <si>
    <t>一時借入金利息</t>
  </si>
  <si>
    <t>長期借入金利息</t>
  </si>
  <si>
    <t>企業債手数料及び取扱費</t>
  </si>
  <si>
    <t>　企業債発行差金</t>
    <phoneticPr fontId="3"/>
  </si>
  <si>
    <t>　貸付資金企業債</t>
    <phoneticPr fontId="3"/>
  </si>
  <si>
    <t>　建設企業債</t>
    <phoneticPr fontId="3"/>
  </si>
  <si>
    <t>企業債利息</t>
    <rPh sb="0" eb="2">
      <t>キギョウ</t>
    </rPh>
    <rPh sb="2" eb="3">
      <t>サイ</t>
    </rPh>
    <rPh sb="3" eb="5">
      <t>リソク</t>
    </rPh>
    <phoneticPr fontId="3"/>
  </si>
  <si>
    <t>【営業外費用（全事業）】</t>
    <rPh sb="1" eb="4">
      <t>エイギョウガイ</t>
    </rPh>
    <rPh sb="4" eb="6">
      <t>ヒヨウ</t>
    </rPh>
    <rPh sb="7" eb="10">
      <t>ゼンジギョウ</t>
    </rPh>
    <phoneticPr fontId="3"/>
  </si>
  <si>
    <t>減損損失</t>
    <rPh sb="0" eb="2">
      <t>ゲンソン</t>
    </rPh>
    <rPh sb="2" eb="4">
      <t>ソンシツ</t>
    </rPh>
    <phoneticPr fontId="3"/>
  </si>
  <si>
    <t>固定資産売却損</t>
    <rPh sb="0" eb="2">
      <t>コテイ</t>
    </rPh>
    <rPh sb="2" eb="4">
      <t>シサン</t>
    </rPh>
    <rPh sb="4" eb="7">
      <t>バイキャクゾン</t>
    </rPh>
    <phoneticPr fontId="3"/>
  </si>
  <si>
    <t>その他　検算</t>
    <rPh sb="4" eb="6">
      <t>ケンザン</t>
    </rPh>
    <phoneticPr fontId="3"/>
  </si>
  <si>
    <t>平成２７年度　６月期末勤勉手当に係る特別損失</t>
  </si>
  <si>
    <t>(所得税の源泉徴収もれ延滞税に伴う損失)　　　　　　　　　</t>
  </si>
  <si>
    <t>(所得税の源泉徴収もれ不納付加算税に伴う損失)　　　　　　</t>
  </si>
  <si>
    <t>(未収工事受託金その他特別損失への計上)</t>
  </si>
  <si>
    <t>(公共下水道敷等の占用料過誤調定の修正)</t>
    <rPh sb="12" eb="14">
      <t>カゴ</t>
    </rPh>
    <rPh sb="17" eb="19">
      <t>シュウセイ</t>
    </rPh>
    <phoneticPr fontId="3"/>
  </si>
  <si>
    <t>（水洗便所設備資金貸付金過年度不納欠損）</t>
    <rPh sb="12" eb="13">
      <t>カ</t>
    </rPh>
    <rPh sb="13" eb="15">
      <t>ネンド</t>
    </rPh>
    <rPh sb="15" eb="17">
      <t>フノウ</t>
    </rPh>
    <rPh sb="17" eb="19">
      <t>ケッソン</t>
    </rPh>
    <phoneticPr fontId="3"/>
  </si>
  <si>
    <t>（受益者負担金過誤納還付金）</t>
  </si>
  <si>
    <t>（受益者負担金の賦課取消等に伴う損失）</t>
  </si>
  <si>
    <t>（受益者負担金過年度不納欠損）</t>
  </si>
  <si>
    <t>（受益者負担金過年度調定減額）</t>
  </si>
  <si>
    <t>その他特別損失</t>
  </si>
  <si>
    <t>修正損　検算</t>
    <rPh sb="0" eb="2">
      <t>シュウセイ</t>
    </rPh>
    <rPh sb="2" eb="3">
      <t>ソン</t>
    </rPh>
    <rPh sb="4" eb="6">
      <t>ケンザン</t>
    </rPh>
    <phoneticPr fontId="3"/>
  </si>
  <si>
    <t>（下水道使用料過誤納還付金）</t>
  </si>
  <si>
    <t>（下水道使用料調定減額）</t>
  </si>
  <si>
    <t>過年度損益修正損</t>
  </si>
  <si>
    <t>【特別損失（全事業）】</t>
    <rPh sb="1" eb="3">
      <t>トクベツ</t>
    </rPh>
    <rPh sb="3" eb="5">
      <t>ソンシツ</t>
    </rPh>
    <rPh sb="6" eb="9">
      <t>ゼンジギョウ</t>
    </rPh>
    <phoneticPr fontId="3"/>
  </si>
  <si>
    <t>予算コード</t>
    <rPh sb="0" eb="2">
      <t>ヨサン</t>
    </rPh>
    <phoneticPr fontId="3"/>
  </si>
  <si>
    <t>項</t>
  </si>
  <si>
    <t>目</t>
  </si>
  <si>
    <t>節</t>
  </si>
  <si>
    <t>細節</t>
  </si>
  <si>
    <t>執行額</t>
    <rPh sb="0" eb="2">
      <t>シッコウ</t>
    </rPh>
    <rPh sb="2" eb="3">
      <t>ガク</t>
    </rPh>
    <phoneticPr fontId="3"/>
  </si>
  <si>
    <t>非課税</t>
    <rPh sb="0" eb="3">
      <t>ヒカゼイ</t>
    </rPh>
    <phoneticPr fontId="3"/>
  </si>
  <si>
    <t>不課税</t>
    <rPh sb="0" eb="1">
      <t>フ</t>
    </rPh>
    <rPh sb="1" eb="3">
      <t>カゼイ</t>
    </rPh>
    <phoneticPr fontId="3"/>
  </si>
  <si>
    <t>　消費税雑支出</t>
    <rPh sb="4" eb="5">
      <t>ザツ</t>
    </rPh>
    <rPh sb="5" eb="7">
      <t>シシュツ</t>
    </rPh>
    <phoneticPr fontId="3"/>
  </si>
  <si>
    <t>下水道事業費用</t>
  </si>
  <si>
    <t>営業費用</t>
  </si>
  <si>
    <t>特環公共下水道費</t>
  </si>
  <si>
    <t>農業集落排水費</t>
  </si>
  <si>
    <t>浄化槽費</t>
  </si>
  <si>
    <t>【３条支出総括】（共通経費按分後）</t>
    <rPh sb="2" eb="3">
      <t>ジョウ</t>
    </rPh>
    <rPh sb="3" eb="5">
      <t>シシュツ</t>
    </rPh>
    <rPh sb="5" eb="7">
      <t>ソウカツ</t>
    </rPh>
    <phoneticPr fontId="3"/>
  </si>
  <si>
    <t>【総係費】（共通経費按分後）</t>
    <rPh sb="1" eb="2">
      <t>ソウ</t>
    </rPh>
    <rPh sb="2" eb="3">
      <t>カカリ</t>
    </rPh>
    <rPh sb="3" eb="4">
      <t>ヒ</t>
    </rPh>
    <phoneticPr fontId="3"/>
  </si>
  <si>
    <t>【特環公共下水道費】（共通経費按分後）</t>
    <rPh sb="1" eb="3">
      <t>トッカン</t>
    </rPh>
    <rPh sb="3" eb="8">
      <t>コウキョウ</t>
    </rPh>
    <rPh sb="8" eb="9">
      <t>ヒ</t>
    </rPh>
    <phoneticPr fontId="3"/>
  </si>
  <si>
    <t>【農業集落排水費】（共通経費按分後）</t>
    <rPh sb="1" eb="3">
      <t>ノウギョウ</t>
    </rPh>
    <rPh sb="3" eb="5">
      <t>シュウラク</t>
    </rPh>
    <rPh sb="5" eb="7">
      <t>ハイスイ</t>
    </rPh>
    <rPh sb="7" eb="8">
      <t>ヒ</t>
    </rPh>
    <phoneticPr fontId="3"/>
  </si>
  <si>
    <t>【浄化槽費】（共通経費按分後）</t>
    <rPh sb="1" eb="4">
      <t>ジョウカソウ</t>
    </rPh>
    <rPh sb="4" eb="5">
      <t>ヒ</t>
    </rPh>
    <phoneticPr fontId="3"/>
  </si>
  <si>
    <t>3条支出シートとの照合</t>
    <rPh sb="9" eb="11">
      <t>ショウゴウ</t>
    </rPh>
    <phoneticPr fontId="3"/>
  </si>
  <si>
    <t>年度</t>
    <rPh sb="0" eb="2">
      <t>ネンド</t>
    </rPh>
    <phoneticPr fontId="3"/>
  </si>
  <si>
    <t>（過年度分公有財産使用料）</t>
    <phoneticPr fontId="3"/>
  </si>
  <si>
    <t>（勘定科目「預かり諸税等」の修正）</t>
    <rPh sb="1" eb="3">
      <t>カンジョウ</t>
    </rPh>
    <rPh sb="3" eb="5">
      <t>カモク</t>
    </rPh>
    <rPh sb="6" eb="7">
      <t>アズ</t>
    </rPh>
    <rPh sb="9" eb="12">
      <t>ショゼイナド</t>
    </rPh>
    <rPh sb="14" eb="16">
      <t>シュウセイ</t>
    </rPh>
    <phoneticPr fontId="3"/>
  </si>
  <si>
    <t>　仕入控除できない消費税額</t>
    <rPh sb="1" eb="3">
      <t>シイレ</t>
    </rPh>
    <rPh sb="3" eb="5">
      <t>コウジョ</t>
    </rPh>
    <rPh sb="9" eb="12">
      <t>ショウヒゼイ</t>
    </rPh>
    <rPh sb="12" eb="13">
      <t>ガク</t>
    </rPh>
    <phoneticPr fontId="2"/>
  </si>
  <si>
    <t>　課税売上割合を乗じることにより控除できなくなった額等</t>
    <rPh sb="1" eb="3">
      <t>カゼイ</t>
    </rPh>
    <rPh sb="3" eb="5">
      <t>ウリアゲ</t>
    </rPh>
    <rPh sb="5" eb="7">
      <t>ワリアイ</t>
    </rPh>
    <rPh sb="8" eb="9">
      <t>ジョウ</t>
    </rPh>
    <rPh sb="16" eb="18">
      <t>コウジョ</t>
    </rPh>
    <rPh sb="25" eb="26">
      <t>ガク</t>
    </rPh>
    <rPh sb="26" eb="27">
      <t>トウ</t>
    </rPh>
    <phoneticPr fontId="2"/>
  </si>
  <si>
    <t>集計表（全体）</t>
    <rPh sb="0" eb="2">
      <t>シュウケイ</t>
    </rPh>
    <rPh sb="2" eb="3">
      <t>ヒョウ</t>
    </rPh>
    <rPh sb="4" eb="5">
      <t>ゼン</t>
    </rPh>
    <rPh sb="5" eb="6">
      <t>タイ</t>
    </rPh>
    <phoneticPr fontId="3"/>
  </si>
  <si>
    <t>現年分</t>
    <rPh sb="0" eb="2">
      <t>ゲンネン</t>
    </rPh>
    <rPh sb="2" eb="3">
      <t>ブン</t>
    </rPh>
    <phoneticPr fontId="3"/>
  </si>
  <si>
    <t>税率別税込額</t>
    <rPh sb="0" eb="2">
      <t>ゼイリツ</t>
    </rPh>
    <rPh sb="2" eb="3">
      <t>ベツ</t>
    </rPh>
    <rPh sb="3" eb="4">
      <t>ゼイ</t>
    </rPh>
    <rPh sb="5" eb="6">
      <t>ガク</t>
    </rPh>
    <phoneticPr fontId="3"/>
  </si>
  <si>
    <t>事故繰分</t>
    <rPh sb="0" eb="2">
      <t>ジコ</t>
    </rPh>
    <rPh sb="2" eb="3">
      <t>クリ</t>
    </rPh>
    <rPh sb="3" eb="4">
      <t>ブン</t>
    </rPh>
    <phoneticPr fontId="3"/>
  </si>
  <si>
    <t>チェック</t>
    <phoneticPr fontId="3"/>
  </si>
  <si>
    <t>管きょ費</t>
    <rPh sb="0" eb="1">
      <t>カン</t>
    </rPh>
    <rPh sb="3" eb="4">
      <t>ヒ</t>
    </rPh>
    <phoneticPr fontId="3"/>
  </si>
  <si>
    <t>ポンプ場費</t>
    <rPh sb="3" eb="4">
      <t>ジョウ</t>
    </rPh>
    <rPh sb="4" eb="5">
      <t>ヒ</t>
    </rPh>
    <phoneticPr fontId="3"/>
  </si>
  <si>
    <t>処理場費</t>
    <rPh sb="0" eb="3">
      <t>ショリジョウ</t>
    </rPh>
    <rPh sb="3" eb="4">
      <t>ヒ</t>
    </rPh>
    <phoneticPr fontId="3"/>
  </si>
  <si>
    <t>----</t>
  </si>
  <si>
    <t/>
  </si>
  <si>
    <t>事業区分</t>
  </si>
  <si>
    <t>所属</t>
  </si>
  <si>
    <t>所属名</t>
  </si>
  <si>
    <t>主管課</t>
  </si>
  <si>
    <t>主管課名</t>
  </si>
  <si>
    <t>年月日</t>
  </si>
  <si>
    <t>振替年月日</t>
  </si>
  <si>
    <t>事項</t>
  </si>
  <si>
    <t>種別</t>
  </si>
  <si>
    <t>伝票番号</t>
  </si>
  <si>
    <t>枝番</t>
  </si>
  <si>
    <t>内訳番号</t>
  </si>
  <si>
    <t>現繰</t>
  </si>
  <si>
    <t>予算科目</t>
  </si>
  <si>
    <t>款名称</t>
  </si>
  <si>
    <t>項名称</t>
  </si>
  <si>
    <t>目名称</t>
  </si>
  <si>
    <t>節名称</t>
  </si>
  <si>
    <t>細節名称</t>
  </si>
  <si>
    <t>事業コード</t>
  </si>
  <si>
    <t>事業名</t>
  </si>
  <si>
    <t>予算額</t>
  </si>
  <si>
    <t>概算額</t>
  </si>
  <si>
    <t>確定額</t>
  </si>
  <si>
    <t>執行額</t>
  </si>
  <si>
    <t>借方勘定</t>
  </si>
  <si>
    <t>借方勘定科目</t>
  </si>
  <si>
    <t>借方金額</t>
  </si>
  <si>
    <t>貸方勘定</t>
  </si>
  <si>
    <t>貸方勘定科目</t>
  </si>
  <si>
    <t>貸方金額</t>
  </si>
  <si>
    <t>税区分</t>
  </si>
  <si>
    <t>税率</t>
  </si>
  <si>
    <t>税額</t>
  </si>
  <si>
    <t>税抜金額</t>
  </si>
  <si>
    <t>債権者</t>
  </si>
  <si>
    <t>うち、災害復旧事業分（現年分）</t>
    <rPh sb="3" eb="5">
      <t>サイガイ</t>
    </rPh>
    <rPh sb="5" eb="7">
      <t>フッキュウ</t>
    </rPh>
    <rPh sb="7" eb="9">
      <t>ジギョウ</t>
    </rPh>
    <rPh sb="9" eb="10">
      <t>ブン</t>
    </rPh>
    <rPh sb="11" eb="13">
      <t>ゲンネン</t>
    </rPh>
    <rPh sb="13" eb="14">
      <t>ブン</t>
    </rPh>
    <phoneticPr fontId="3"/>
  </si>
  <si>
    <t>特環費</t>
    <rPh sb="0" eb="2">
      <t>トッカン</t>
    </rPh>
    <rPh sb="2" eb="3">
      <t>ヒ</t>
    </rPh>
    <phoneticPr fontId="3"/>
  </si>
  <si>
    <t>農集費</t>
    <rPh sb="0" eb="2">
      <t>ノウシュウ</t>
    </rPh>
    <rPh sb="2" eb="3">
      <t>ヒ</t>
    </rPh>
    <phoneticPr fontId="3"/>
  </si>
  <si>
    <t>浄化槽費</t>
    <rPh sb="0" eb="3">
      <t>ジョウカソウ</t>
    </rPh>
    <rPh sb="3" eb="4">
      <t>ヒ</t>
    </rPh>
    <phoneticPr fontId="3"/>
  </si>
  <si>
    <t>うち、災害復旧事業分（事故繰越分）</t>
    <rPh sb="3" eb="5">
      <t>サイガイ</t>
    </rPh>
    <rPh sb="5" eb="7">
      <t>フッキュウ</t>
    </rPh>
    <rPh sb="7" eb="9">
      <t>ジギョウ</t>
    </rPh>
    <rPh sb="9" eb="10">
      <t>ブン</t>
    </rPh>
    <rPh sb="11" eb="13">
      <t>ジコ</t>
    </rPh>
    <rPh sb="13" eb="15">
      <t>クリコシ</t>
    </rPh>
    <rPh sb="15" eb="16">
      <t>ブン</t>
    </rPh>
    <phoneticPr fontId="3"/>
  </si>
  <si>
    <t>（受益者分担金過年度調定減額）</t>
    <rPh sb="4" eb="7">
      <t>ブンタンキン</t>
    </rPh>
    <phoneticPr fontId="3"/>
  </si>
  <si>
    <t>（排水設備取付管設置工事受託収入の未収金の時効完成による欠損）</t>
    <rPh sb="1" eb="8">
      <t>ハイスイセツビトリツケカン</t>
    </rPh>
    <rPh sb="8" eb="10">
      <t>セッチ</t>
    </rPh>
    <rPh sb="10" eb="12">
      <t>コウジ</t>
    </rPh>
    <rPh sb="12" eb="14">
      <t>ジュタク</t>
    </rPh>
    <rPh sb="14" eb="16">
      <t>シュウニュウ</t>
    </rPh>
    <rPh sb="17" eb="20">
      <t>ミシュウキン</t>
    </rPh>
    <rPh sb="21" eb="23">
      <t>ジコウ</t>
    </rPh>
    <rPh sb="23" eb="25">
      <t>カンセイ</t>
    </rPh>
    <rPh sb="28" eb="30">
      <t>ケッソン</t>
    </rPh>
    <phoneticPr fontId="3"/>
  </si>
  <si>
    <t>（過年度分占用料等の過誤納還付金）</t>
    <rPh sb="1" eb="4">
      <t>カネンド</t>
    </rPh>
    <rPh sb="4" eb="5">
      <t>ブン</t>
    </rPh>
    <rPh sb="8" eb="9">
      <t>トウ</t>
    </rPh>
    <rPh sb="10" eb="13">
      <t>カゴノウ</t>
    </rPh>
    <rPh sb="15" eb="16">
      <t>キン</t>
    </rPh>
    <phoneticPr fontId="3"/>
  </si>
  <si>
    <t>費用弁償</t>
    <rPh sb="0" eb="2">
      <t>ヒヨウ</t>
    </rPh>
    <rPh sb="2" eb="4">
      <t>ベンショウ</t>
    </rPh>
    <phoneticPr fontId="3"/>
  </si>
  <si>
    <t>費用弁償</t>
    <rPh sb="0" eb="4">
      <t>ヒヨウベンショウ</t>
    </rPh>
    <phoneticPr fontId="3"/>
  </si>
  <si>
    <t>令和3年度決算　消費税算出資料</t>
    <rPh sb="0" eb="2">
      <t>レイワ</t>
    </rPh>
    <phoneticPr fontId="3"/>
  </si>
  <si>
    <t>青崎区画整理事業に係る工事負担金の返還</t>
  </si>
  <si>
    <t>複合伝票番号</t>
    <rPh sb="0" eb="2">
      <t>フクゴウ</t>
    </rPh>
    <rPh sb="2" eb="4">
      <t>デンピョウ</t>
    </rPh>
    <rPh sb="4" eb="6">
      <t>バンゴウ</t>
    </rPh>
    <phoneticPr fontId="2"/>
  </si>
  <si>
    <t>重複</t>
    <rPh sb="0" eb="2">
      <t>チョウフク</t>
    </rPh>
    <phoneticPr fontId="2"/>
  </si>
  <si>
    <t>集計用課税区分</t>
    <rPh sb="0" eb="3">
      <t>シュウケイヨウ</t>
    </rPh>
    <rPh sb="3" eb="5">
      <t>カゼイ</t>
    </rPh>
    <rPh sb="5" eb="7">
      <t>クブン</t>
    </rPh>
    <phoneticPr fontId="2"/>
  </si>
  <si>
    <t>集計用税率</t>
    <rPh sb="0" eb="3">
      <t>シュウケイヨウ</t>
    </rPh>
    <rPh sb="3" eb="5">
      <t>ゼイリツ</t>
    </rPh>
    <phoneticPr fontId="2"/>
  </si>
  <si>
    <t>雨 区域内</t>
    <rPh sb="0" eb="1">
      <t>アメ</t>
    </rPh>
    <rPh sb="2" eb="5">
      <t>クイキナイ</t>
    </rPh>
    <phoneticPr fontId="3"/>
  </si>
  <si>
    <t>雨 区域外</t>
    <rPh sb="2" eb="5">
      <t>クイキガイ</t>
    </rPh>
    <phoneticPr fontId="3"/>
  </si>
  <si>
    <t>雨 一般行政</t>
  </si>
  <si>
    <t>雨水 計</t>
    <rPh sb="3" eb="4">
      <t>ケイ</t>
    </rPh>
    <phoneticPr fontId="3"/>
  </si>
  <si>
    <t>汚 基準内</t>
    <rPh sb="0" eb="1">
      <t>オ</t>
    </rPh>
    <rPh sb="2" eb="4">
      <t>キジュン</t>
    </rPh>
    <rPh sb="4" eb="5">
      <t>ナイ</t>
    </rPh>
    <phoneticPr fontId="3"/>
  </si>
  <si>
    <t>汚 基準外</t>
    <rPh sb="2" eb="4">
      <t>キジュン</t>
    </rPh>
    <rPh sb="4" eb="5">
      <t>ガイ</t>
    </rPh>
    <phoneticPr fontId="3"/>
  </si>
  <si>
    <t>汚水 計</t>
    <rPh sb="3" eb="4">
      <t>ケイ</t>
    </rPh>
    <phoneticPr fontId="3"/>
  </si>
  <si>
    <t>合計</t>
    <rPh sb="0" eb="2">
      <t>ゴウケイ</t>
    </rPh>
    <phoneticPr fontId="2"/>
  </si>
  <si>
    <t>チェック</t>
  </si>
  <si>
    <t>備考</t>
    <rPh sb="0" eb="2">
      <t>ビコウ</t>
    </rPh>
    <phoneticPr fontId="2"/>
  </si>
  <si>
    <t>雨汚水分け対象1</t>
    <rPh sb="0" eb="3">
      <t>ウオスイ</t>
    </rPh>
    <rPh sb="3" eb="4">
      <t>ワ</t>
    </rPh>
    <rPh sb="5" eb="7">
      <t>タイショウ</t>
    </rPh>
    <phoneticPr fontId="2"/>
  </si>
  <si>
    <t>雨汚水分け対象2</t>
    <rPh sb="0" eb="3">
      <t>ウオスイ</t>
    </rPh>
    <rPh sb="3" eb="4">
      <t>ワ</t>
    </rPh>
    <rPh sb="5" eb="7">
      <t>タイショウ</t>
    </rPh>
    <phoneticPr fontId="2"/>
  </si>
  <si>
    <t>雨汚水分け対象3</t>
    <rPh sb="0" eb="3">
      <t>ウオスイ</t>
    </rPh>
    <rPh sb="3" eb="4">
      <t>ワ</t>
    </rPh>
    <rPh sb="5" eb="7">
      <t>タイショウ</t>
    </rPh>
    <phoneticPr fontId="2"/>
  </si>
  <si>
    <t>判定</t>
    <rPh sb="0" eb="2">
      <t>ハンテイ</t>
    </rPh>
    <phoneticPr fontId="2"/>
  </si>
  <si>
    <t>水道事業受益者負担金及び下水道事業分担金に係る納入通知書等の作成・封緘について単価誤り</t>
    <rPh sb="33" eb="35">
      <t>フウカン</t>
    </rPh>
    <rPh sb="39" eb="41">
      <t>タンカ</t>
    </rPh>
    <rPh sb="41" eb="42">
      <t>アヤマ</t>
    </rPh>
    <phoneticPr fontId="3"/>
  </si>
  <si>
    <t>資本的収入</t>
  </si>
  <si>
    <t>企業債</t>
  </si>
  <si>
    <t>建設企業債</t>
  </si>
  <si>
    <t>公共下水道事業債</t>
  </si>
  <si>
    <t>一般債</t>
  </si>
  <si>
    <t>特別債</t>
  </si>
  <si>
    <t>一般債（復興関連）</t>
  </si>
  <si>
    <t>特定資金公共事業債</t>
  </si>
  <si>
    <t>流域下水道事業債</t>
  </si>
  <si>
    <t>資本費平準化債</t>
  </si>
  <si>
    <t>その他事業債</t>
  </si>
  <si>
    <t>災害復旧事業債</t>
  </si>
  <si>
    <t>借換債</t>
  </si>
  <si>
    <t>公共下水道事業借換債</t>
  </si>
  <si>
    <t>公営企業借換債</t>
  </si>
  <si>
    <t>補償金免除繰上償還借換債</t>
  </si>
  <si>
    <t>資本費平準化債（拡大分）借換債</t>
  </si>
  <si>
    <t>出資債</t>
  </si>
  <si>
    <t>公営企業出資債</t>
  </si>
  <si>
    <t>長期借入金</t>
  </si>
  <si>
    <t>一般会計借入金</t>
  </si>
  <si>
    <t>一般会計出資金</t>
  </si>
  <si>
    <t>下水道建設費出資金</t>
  </si>
  <si>
    <t>その他出資金</t>
  </si>
  <si>
    <t>国庫補助金</t>
  </si>
  <si>
    <t>公共下水道整備国庫補助金</t>
  </si>
  <si>
    <t>公共下水道整備国庫補助金（復興関連）</t>
  </si>
  <si>
    <t>その他国庫補助金</t>
  </si>
  <si>
    <t>国庫委託金</t>
  </si>
  <si>
    <t>県委託金</t>
  </si>
  <si>
    <t>一般会計補助金</t>
  </si>
  <si>
    <t>工事受託金</t>
  </si>
  <si>
    <t>負担金</t>
  </si>
  <si>
    <t>受益者負担金</t>
  </si>
  <si>
    <t>工事負担金</t>
  </si>
  <si>
    <t>寄附金</t>
  </si>
  <si>
    <t>建設費寄附金</t>
  </si>
  <si>
    <t>水洗化貸付事業収入</t>
  </si>
  <si>
    <t>貸付企業債</t>
  </si>
  <si>
    <t>水洗便所貸付資金事業債</t>
  </si>
  <si>
    <t>水洗便所改造資金貸付借入金</t>
  </si>
  <si>
    <t>し尿浄化槽廃止資金貸付借入金</t>
  </si>
  <si>
    <t>排水設備改修資金貸付借入金</t>
  </si>
  <si>
    <t>貸付金回収金</t>
  </si>
  <si>
    <t>水洗便所改造資金貸付回収金</t>
  </si>
  <si>
    <t>し尿浄化槽廃止資金貸付回収金</t>
  </si>
  <si>
    <t>排水設備改修資金貸付回収金</t>
  </si>
  <si>
    <t>投資</t>
  </si>
  <si>
    <t>投資有価証券</t>
  </si>
  <si>
    <t>固定資産売却代金</t>
  </si>
  <si>
    <t>土地売却代金</t>
  </si>
  <si>
    <t>建物売却代金</t>
  </si>
  <si>
    <t>その他資本的収入</t>
  </si>
  <si>
    <t>債券償還収入</t>
  </si>
  <si>
    <t>消費税及び地方消費税還付金</t>
  </si>
  <si>
    <t>下水道事業収益</t>
  </si>
  <si>
    <t>営業収益</t>
  </si>
  <si>
    <t>下水道使用料</t>
  </si>
  <si>
    <t>一般会計負担金</t>
  </si>
  <si>
    <t>雨水処理負担金</t>
  </si>
  <si>
    <t>維持管理費分</t>
  </si>
  <si>
    <t>減価償却費分</t>
  </si>
  <si>
    <t>支払利息分</t>
  </si>
  <si>
    <t>災害復旧応援分</t>
  </si>
  <si>
    <t>水質指導費負担金</t>
  </si>
  <si>
    <t>普及促進費負担金</t>
  </si>
  <si>
    <t>貸付事業費負担金</t>
  </si>
  <si>
    <t>その他負担金</t>
  </si>
  <si>
    <t>受託工事収益</t>
  </si>
  <si>
    <t>その他営業収益</t>
  </si>
  <si>
    <t>産物売却代金</t>
  </si>
  <si>
    <t>下水処理負担金</t>
  </si>
  <si>
    <t>業務受託収益</t>
  </si>
  <si>
    <t>証明手数料</t>
  </si>
  <si>
    <t>指定業者登録等手数料</t>
  </si>
  <si>
    <t>その他手数料</t>
  </si>
  <si>
    <t>雑収益</t>
  </si>
  <si>
    <t>営業外収益</t>
  </si>
  <si>
    <t>受取利息</t>
  </si>
  <si>
    <t>預金利息</t>
  </si>
  <si>
    <t>貸付金利息</t>
  </si>
  <si>
    <t>有価証券利息</t>
  </si>
  <si>
    <t>下水道緊急整備費国庫補助金</t>
  </si>
  <si>
    <t>水洗便所改造国庫補助金</t>
  </si>
  <si>
    <t>県補助金</t>
  </si>
  <si>
    <t>施設管理負担金</t>
  </si>
  <si>
    <t>他会計負担金</t>
  </si>
  <si>
    <t>汚水処理補助金</t>
  </si>
  <si>
    <t>下水道使用料減免分</t>
  </si>
  <si>
    <t>災害復旧補助金</t>
  </si>
  <si>
    <t>その他補助金</t>
  </si>
  <si>
    <t>不用品売却収益</t>
  </si>
  <si>
    <t>その他雑収益</t>
  </si>
  <si>
    <t>長期前受金戻入</t>
  </si>
  <si>
    <t>受贈財産評価額</t>
  </si>
  <si>
    <t>その他資本剰余金</t>
  </si>
  <si>
    <t>特別利益</t>
  </si>
  <si>
    <t>固定資産売却益</t>
  </si>
  <si>
    <t>過年度損益修正益</t>
  </si>
  <si>
    <t>その他特別利益</t>
  </si>
  <si>
    <t>貸倒引当金戻入益</t>
  </si>
  <si>
    <t>賞与引当金戻入益</t>
  </si>
  <si>
    <t>長期前受金戻入益</t>
  </si>
  <si>
    <t>資本的支出</t>
  </si>
  <si>
    <t>建設改良費</t>
  </si>
  <si>
    <t>公共下水道整備費</t>
  </si>
  <si>
    <t>委員報酬</t>
  </si>
  <si>
    <t>非常勤嘱託員報酬</t>
  </si>
  <si>
    <t>常勤嘱託員報酬</t>
  </si>
  <si>
    <t>会計年度任用職員報酬</t>
  </si>
  <si>
    <t>一般職給</t>
  </si>
  <si>
    <t>地域手当</t>
  </si>
  <si>
    <t>扶養手当</t>
  </si>
  <si>
    <t>期末勤勉手当</t>
  </si>
  <si>
    <t>通勤手当</t>
  </si>
  <si>
    <t>管理職手当</t>
  </si>
  <si>
    <t>初任給調整手当</t>
  </si>
  <si>
    <t>特殊勤務手当</t>
  </si>
  <si>
    <t>時間外勤務手当</t>
  </si>
  <si>
    <t>夜間勤務手当</t>
  </si>
  <si>
    <t>住居手当</t>
  </si>
  <si>
    <t>児童手当</t>
  </si>
  <si>
    <t>管理職員特別勤務手当</t>
  </si>
  <si>
    <t>単身赴任手当</t>
  </si>
  <si>
    <t>共済組合負担金</t>
  </si>
  <si>
    <t>互助会補助金</t>
  </si>
  <si>
    <t>健康保険料負担金</t>
  </si>
  <si>
    <t>地方公務員災害補償負担金</t>
  </si>
  <si>
    <t>雇用保険料</t>
  </si>
  <si>
    <t>厚生年金保険料</t>
  </si>
  <si>
    <t>児童手当拠出金</t>
  </si>
  <si>
    <t>共済組合負担金短期分</t>
  </si>
  <si>
    <t>労災保険料</t>
  </si>
  <si>
    <t>旅費</t>
  </si>
  <si>
    <t>費用弁償</t>
  </si>
  <si>
    <t>用地購入費並びに補償費</t>
  </si>
  <si>
    <t>車両購入費</t>
  </si>
  <si>
    <t>器具備品購入費</t>
  </si>
  <si>
    <t>借地権購入費</t>
  </si>
  <si>
    <t>地上権購入費</t>
  </si>
  <si>
    <t>施設利用権購入費</t>
  </si>
  <si>
    <t>電話加入権</t>
  </si>
  <si>
    <t>施設工事費</t>
  </si>
  <si>
    <t>工事補償金</t>
  </si>
  <si>
    <t>設計委託料</t>
  </si>
  <si>
    <t>工事委託料</t>
  </si>
  <si>
    <t>受益者負担金業務費</t>
  </si>
  <si>
    <t>調査費</t>
  </si>
  <si>
    <t>排水設備整備費</t>
  </si>
  <si>
    <t>都市下水路整備費</t>
  </si>
  <si>
    <t>流域下水道整備費</t>
  </si>
  <si>
    <t>新市街地下水道整備費</t>
  </si>
  <si>
    <t>諸設備新設改良費</t>
  </si>
  <si>
    <t>災害復旧費</t>
  </si>
  <si>
    <t>建設利息</t>
  </si>
  <si>
    <t>公共下水道建設企業債利息</t>
  </si>
  <si>
    <t>流域下水道建設企業債利息</t>
  </si>
  <si>
    <t>償還金</t>
  </si>
  <si>
    <t>企業債償還金</t>
  </si>
  <si>
    <t>企業債償還積立金</t>
  </si>
  <si>
    <t>一般会計借入金償還金</t>
  </si>
  <si>
    <t>水洗化貸付事業費</t>
  </si>
  <si>
    <t>貸付金</t>
  </si>
  <si>
    <t>水洗便所改造資金貸付金</t>
  </si>
  <si>
    <t>し尿浄化槽廃止資金貸付金</t>
  </si>
  <si>
    <t>排水設備改修資金貸付金</t>
  </si>
  <si>
    <t>貸付資金企業債償還金</t>
  </si>
  <si>
    <t>水洗便所改造資金貸付借入金償還金</t>
  </si>
  <si>
    <t>し尿浄化槽資金貸付借入金償還金</t>
  </si>
  <si>
    <t>排水設備改修資金貸付借入金償還金</t>
  </si>
  <si>
    <t>繰延勘定支払金</t>
  </si>
  <si>
    <t>開発費</t>
  </si>
  <si>
    <t>災害損失</t>
  </si>
  <si>
    <t>出資金</t>
  </si>
  <si>
    <t>長期借入金返済金</t>
  </si>
  <si>
    <t>返還金</t>
  </si>
  <si>
    <t>国庫補助金返還金</t>
  </si>
  <si>
    <t>その他投資</t>
  </si>
  <si>
    <t>予備費</t>
  </si>
  <si>
    <t>管きょ費</t>
  </si>
  <si>
    <t>動力費</t>
  </si>
  <si>
    <t>電力費</t>
  </si>
  <si>
    <t>動力用燃料費</t>
  </si>
  <si>
    <t>水質指導費</t>
  </si>
  <si>
    <t>ポンプ場費</t>
  </si>
  <si>
    <t>宿日直手当</t>
  </si>
  <si>
    <t>処理場費</t>
  </si>
  <si>
    <t>受託工事費</t>
  </si>
  <si>
    <t>普及促進費</t>
  </si>
  <si>
    <t>業務費</t>
  </si>
  <si>
    <t>総係費</t>
  </si>
  <si>
    <t>研修費</t>
  </si>
  <si>
    <t>交際費</t>
  </si>
  <si>
    <t>貸倒引当金繰入額</t>
  </si>
  <si>
    <t>883164306</t>
  </si>
  <si>
    <t>減価償却費</t>
  </si>
  <si>
    <t>有形固定資産減価償却費</t>
  </si>
  <si>
    <t>無形固定資産減価償却費</t>
  </si>
  <si>
    <t>資産減耗費</t>
  </si>
  <si>
    <t>支払利息及び企業債取扱諸費</t>
  </si>
  <si>
    <t>企業債利息</t>
  </si>
  <si>
    <t>貸付資金企業債</t>
  </si>
  <si>
    <t>繰延勘定償却</t>
  </si>
  <si>
    <t>企業債発行差金償却</t>
  </si>
  <si>
    <t>開発費償却</t>
  </si>
  <si>
    <t>災害損失償却</t>
  </si>
  <si>
    <t>消費税及び地方消費税</t>
  </si>
  <si>
    <t>雑支出</t>
  </si>
  <si>
    <t>還付加算金</t>
  </si>
  <si>
    <t>その他雑支出</t>
  </si>
  <si>
    <t>固定資産売却損</t>
  </si>
  <si>
    <t>臨時損失</t>
  </si>
  <si>
    <t>減損損失</t>
  </si>
  <si>
    <t>市街化区域外汚水処理施設事業債</t>
  </si>
  <si>
    <t>公共国庫補助金（特環）</t>
  </si>
  <si>
    <t>汚水処理施設整備交付金</t>
  </si>
  <si>
    <t>受益者分担金</t>
  </si>
  <si>
    <t>水洗便所貸付回収金（特環）</t>
  </si>
  <si>
    <t>し尿浄化槽貸付回収金（特環）</t>
  </si>
  <si>
    <t>排水設備貸付回収金（特環）</t>
  </si>
  <si>
    <t>市街化区域外汚水処理施設整備費</t>
  </si>
  <si>
    <t>水洗便所改造資金貸付金（特環）</t>
  </si>
  <si>
    <t>し尿浄化槽廃止資金貸付金特環</t>
  </si>
  <si>
    <t>排水設備改修資金貸付金（特環）</t>
  </si>
  <si>
    <t>農業集落排水施設整備県補助金</t>
  </si>
  <si>
    <t>水洗便所貸付回収金（農集）</t>
  </si>
  <si>
    <t>し尿浄化槽貸付回収金（農集）</t>
  </si>
  <si>
    <t>排水設備貸付回収金（農集）</t>
  </si>
  <si>
    <t>会計年度任用職員</t>
  </si>
  <si>
    <t>水洗便所改造資金貸付金（農集）</t>
  </si>
  <si>
    <t>し尿浄化槽廃止資金貸付金（農集</t>
  </si>
  <si>
    <t>排水設備改修資金貸付金（農集）</t>
  </si>
  <si>
    <t>管理職職員特別勤務手当</t>
  </si>
  <si>
    <t>水洗便所貸付回収金（浄化槽）</t>
  </si>
  <si>
    <t>し尿浄化槽貸付回収金（浄化槽）</t>
  </si>
  <si>
    <t>排水設備貸付回収金（浄化槽）</t>
  </si>
  <si>
    <t>交際費</t>
    <rPh sb="0" eb="3">
      <t>コウサイヒ</t>
    </rPh>
    <phoneticPr fontId="3"/>
  </si>
  <si>
    <t>交際費</t>
    <rPh sb="0" eb="3">
      <t>コウサイヒ</t>
    </rPh>
    <phoneticPr fontId="3"/>
  </si>
  <si>
    <t>（過年度分労災保険料の修正）</t>
  </si>
  <si>
    <t>（破産更生債権の不納欠損）</t>
  </si>
  <si>
    <t>款</t>
  </si>
  <si>
    <t>執行額</t>
    <rPh sb="0" eb="2">
      <t>シッコウ</t>
    </rPh>
    <rPh sb="2" eb="3">
      <t>ガク</t>
    </rPh>
    <phoneticPr fontId="17"/>
  </si>
  <si>
    <t>課税</t>
    <rPh sb="0" eb="2">
      <t>カゼイ</t>
    </rPh>
    <phoneticPr fontId="17"/>
  </si>
  <si>
    <t>非課税</t>
    <rPh sb="0" eb="3">
      <t>ヒカゼイ</t>
    </rPh>
    <phoneticPr fontId="17"/>
  </si>
  <si>
    <t>不課税</t>
    <rPh sb="0" eb="1">
      <t>フ</t>
    </rPh>
    <rPh sb="1" eb="3">
      <t>カゼイ</t>
    </rPh>
    <phoneticPr fontId="17"/>
  </si>
  <si>
    <t>2024/5/12 とりあえず手入力</t>
    <rPh sb="15" eb="18">
      <t>テニュウリョク</t>
    </rPh>
    <phoneticPr fontId="3"/>
  </si>
  <si>
    <t>災害復旧事業債償還金</t>
    <rPh sb="0" eb="2">
      <t>サイガイ</t>
    </rPh>
    <rPh sb="2" eb="6">
      <t>フッキュウジギョウ</t>
    </rPh>
    <phoneticPr fontId="1"/>
  </si>
  <si>
    <t>循環型社会形成推進交付金</t>
    <rPh sb="0" eb="12">
      <t>ジュンカンガタシャカイケイセイスイシンコウフキン</t>
    </rPh>
    <phoneticPr fontId="1"/>
  </si>
  <si>
    <t>　免税事業者に係る控除不能額</t>
    <rPh sb="1" eb="6">
      <t>メンゼイジギョウシャ</t>
    </rPh>
    <rPh sb="7" eb="8">
      <t>カカ</t>
    </rPh>
    <rPh sb="9" eb="14">
      <t>コウジョフノウガク</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</si>
</sst>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76" formatCode="0_);[Red]\(0\)"/>
    <numFmt numFmtId="177" formatCode="#,##0.0000000;[Red]\-#,##0.0000000"/>
    <numFmt numFmtId="178" formatCode="#,##0.000;[Red]\-#,##0.000"/>
    <numFmt numFmtId="179" formatCode="#,##0_ ;[Red]\-#,##0\ "/>
    <numFmt numFmtId="180" formatCode="General&quot; （軽）&quot;"/>
  </numFmts>
  <fonts count="18">
    <font>
      <sz val="11"/>
      <name val="ＭＳ Ｐゴシック"/>
      <family val="3"/>
      <charset val="128"/>
    </font>
    <font>
      <sz val="11"/>
      <color theme="1"/>
      <name val="ＭＳ Ｐゴシック"/>
      <family val="2"/>
      <charset val="128"/>
      <scheme val="minor"/>
    </font>
    <font>
      <sz val="11"/>
      <name val="ＭＳ Ｐゴシック"/>
      <family val="3"/>
      <charset val="128"/>
    </font>
    <font>
      <sz val="6"/>
      <name val="ＭＳ Ｐゴシック"/>
      <family val="3"/>
      <charset val="128"/>
    </font>
    <font>
      <sz val="9"/>
      <name val="ＭＳ Ｐゴシック"/>
      <family val="3"/>
      <charset val="128"/>
    </font>
    <font>
      <b/>
      <sz val="11"/>
      <name val="ＭＳ Ｐゴシック"/>
      <family val="3"/>
      <charset val="128"/>
    </font>
    <font>
      <sz val="9"/>
      <color indexed="81"/>
      <name val="ＭＳ Ｐゴシック"/>
      <family val="3"/>
      <charset val="128"/>
    </font>
    <font>
      <b/>
      <sz val="9"/>
      <color indexed="81"/>
      <name val="ＭＳ Ｐゴシック"/>
      <family val="3"/>
      <charset val="128"/>
    </font>
    <font>
      <sz val="11"/>
      <color theme="1"/>
      <name val="ＭＳ Ｐゴシック"/>
      <family val="3"/>
      <charset val="128"/>
      <scheme val="minor"/>
    </font>
    <font>
      <sz val="10"/>
      <name val="ＭＳ 明朝"/>
      <family val="1"/>
      <charset val="128"/>
    </font>
    <font>
      <sz val="11"/>
      <color theme="1"/>
      <name val="ＭＳ Ｐゴシック"/>
      <family val="2"/>
      <scheme val="minor"/>
    </font>
    <font>
      <sz val="11"/>
      <name val="ＭＳ Ｐ明朝"/>
      <family val="1"/>
      <charset val="128"/>
    </font>
    <font>
      <sz val="10"/>
      <name val="ＭＳ Ｐゴシック"/>
      <family val="3"/>
      <charset val="128"/>
    </font>
    <font>
      <sz val="16"/>
      <name val="ＭＳ Ｐゴシック"/>
      <family val="3"/>
      <charset val="128"/>
    </font>
    <font>
      <b/>
      <sz val="11"/>
      <color rgb="FFFF0000"/>
      <name val="ＭＳ Ｐゴシック"/>
      <family val="3"/>
      <charset val="128"/>
      <scheme val="minor"/>
    </font>
    <font>
      <sz val="9"/>
      <color indexed="81"/>
      <name val="MS P ゴシック"/>
      <family val="3"/>
      <charset val="128"/>
    </font>
    <font>
      <b/>
      <sz val="9"/>
      <color indexed="81"/>
      <name val="MS P ゴシック"/>
      <family val="3"/>
      <charset val="128"/>
    </font>
    <font>
      <sz val="6"/>
      <name val="ＭＳ Ｐゴシック"/>
      <family val="3"/>
      <charset val="128"/>
      <scheme val="minor"/>
    </font>
  </fonts>
  <fills count="14">
    <fill>
      <patternFill patternType="none"/>
    </fill>
    <fill>
      <patternFill patternType="gray125"/>
    </fill>
    <fill>
      <patternFill patternType="solid">
        <fgColor theme="0" tint="-0.249977111117893"/>
        <bgColor indexed="64"/>
      </patternFill>
    </fill>
    <fill>
      <patternFill patternType="solid">
        <fgColor rgb="FFFF7C80"/>
        <bgColor indexed="64"/>
      </patternFill>
    </fill>
    <fill>
      <patternFill patternType="solid">
        <fgColor rgb="FF00CC00"/>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rgb="FFFFFFCC"/>
        <bgColor indexed="64"/>
      </patternFill>
    </fill>
    <fill>
      <patternFill patternType="solid">
        <fgColor theme="3" tint="0.79998168889431442"/>
        <bgColor indexed="64"/>
      </patternFill>
    </fill>
    <fill>
      <patternFill patternType="solid">
        <fgColor rgb="FFFFCCFF"/>
        <bgColor indexed="64"/>
      </patternFill>
    </fill>
    <fill>
      <patternFill patternType="solid">
        <fgColor theme="1" tint="0.34998626667073579"/>
        <bgColor indexed="64"/>
      </patternFill>
    </fill>
    <fill>
      <patternFill patternType="solid">
        <fgColor theme="8" tint="0.79998168889431442"/>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hair">
        <color indexed="64"/>
      </left>
      <right style="thin">
        <color indexed="64"/>
      </right>
      <top/>
      <bottom style="thin">
        <color indexed="64"/>
      </bottom>
      <diagonal/>
    </border>
    <border>
      <left/>
      <right/>
      <top/>
      <bottom style="thin">
        <color indexed="64"/>
      </bottom>
      <diagonal/>
    </border>
    <border>
      <left style="hair">
        <color indexed="64"/>
      </left>
      <right style="medium">
        <color indexed="64"/>
      </right>
      <top/>
      <bottom style="medium">
        <color indexed="64"/>
      </bottom>
      <diagonal/>
    </border>
    <border>
      <left/>
      <right/>
      <top/>
      <bottom style="medium">
        <color indexed="64"/>
      </bottom>
      <diagonal/>
    </border>
    <border>
      <left style="hair">
        <color indexed="64"/>
      </left>
      <right style="hair">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top/>
      <bottom style="thin">
        <color indexed="64"/>
      </bottom>
      <diagonal/>
    </border>
    <border>
      <left style="hair">
        <color indexed="64"/>
      </left>
      <right style="thin">
        <color indexed="64"/>
      </right>
      <top style="double">
        <color indexed="64"/>
      </top>
      <bottom style="thin">
        <color indexed="64"/>
      </bottom>
      <diagonal/>
    </border>
    <border>
      <left/>
      <right/>
      <top style="double">
        <color indexed="64"/>
      </top>
      <bottom style="thin">
        <color indexed="64"/>
      </bottom>
      <diagonal/>
    </border>
    <border>
      <left style="hair">
        <color indexed="64"/>
      </left>
      <right style="medium">
        <color indexed="64"/>
      </right>
      <top style="double">
        <color indexed="64"/>
      </top>
      <bottom style="thin">
        <color indexed="64"/>
      </bottom>
      <diagonal/>
    </border>
    <border>
      <left style="hair">
        <color indexed="64"/>
      </left>
      <right style="hair">
        <color indexed="64"/>
      </right>
      <top style="double">
        <color indexed="64"/>
      </top>
      <bottom style="thin">
        <color indexed="64"/>
      </bottom>
      <diagonal/>
    </border>
    <border>
      <left style="thin">
        <color indexed="64"/>
      </left>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hair">
        <color indexed="64"/>
      </left>
      <right style="thin">
        <color indexed="64"/>
      </right>
      <top style="hair">
        <color indexed="64"/>
      </top>
      <bottom style="hair">
        <color indexed="64"/>
      </bottom>
      <diagonal/>
    </border>
    <border>
      <left/>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hair">
        <color indexed="64"/>
      </left>
      <right style="thin">
        <color indexed="64"/>
      </right>
      <top/>
      <bottom style="hair">
        <color indexed="64"/>
      </bottom>
      <diagonal/>
    </border>
    <border>
      <left/>
      <right/>
      <top/>
      <bottom style="hair">
        <color indexed="64"/>
      </bottom>
      <diagonal/>
    </border>
    <border>
      <left style="hair">
        <color indexed="64"/>
      </left>
      <right style="medium">
        <color indexed="64"/>
      </right>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top/>
      <bottom style="hair">
        <color indexed="64"/>
      </bottom>
      <diagonal/>
    </border>
    <border>
      <left style="medium">
        <color indexed="64"/>
      </left>
      <right style="thin">
        <color indexed="64"/>
      </right>
      <top/>
      <bottom style="hair">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hair">
        <color indexed="64"/>
      </left>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medium">
        <color indexed="64"/>
      </left>
      <right style="thin">
        <color indexed="64"/>
      </right>
      <top style="hair">
        <color indexed="64"/>
      </top>
      <bottom style="thin">
        <color indexed="64"/>
      </bottom>
      <diagonal/>
    </border>
    <border>
      <left style="hair">
        <color indexed="64"/>
      </left>
      <right style="thin">
        <color indexed="64"/>
      </right>
      <top style="thin">
        <color indexed="64"/>
      </top>
      <bottom style="hair">
        <color indexed="64"/>
      </bottom>
      <diagonal/>
    </border>
    <border>
      <left/>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thin">
        <color indexed="64"/>
      </top>
      <bottom style="hair">
        <color indexed="64"/>
      </bottom>
      <diagonal/>
    </border>
    <border>
      <left style="medium">
        <color indexed="64"/>
      </left>
      <right style="thin">
        <color indexed="64"/>
      </right>
      <top style="thin">
        <color indexed="64"/>
      </top>
      <bottom style="hair">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diagonal/>
    </border>
    <border>
      <left style="hair">
        <color indexed="64"/>
      </left>
      <right style="hair">
        <color indexed="64"/>
      </right>
      <top/>
      <bottom style="thin">
        <color indexed="64"/>
      </bottom>
      <diagonal/>
    </border>
    <border>
      <left style="thin">
        <color indexed="64"/>
      </left>
      <right style="hair">
        <color indexed="64"/>
      </right>
      <top/>
      <bottom style="thin">
        <color indexed="64"/>
      </bottom>
      <diagonal/>
    </border>
    <border>
      <left style="thin">
        <color indexed="64"/>
      </left>
      <right style="thin">
        <color indexed="64"/>
      </right>
      <top/>
      <bottom style="thin">
        <color indexed="64"/>
      </bottom>
      <diagonal/>
    </border>
    <border>
      <left style="hair">
        <color indexed="64"/>
      </left>
      <right/>
      <top/>
      <bottom style="thin">
        <color indexed="64"/>
      </bottom>
      <diagonal/>
    </border>
    <border>
      <left style="thin">
        <color indexed="64"/>
      </left>
      <right style="hair">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hair">
        <color indexed="64"/>
      </left>
      <right/>
      <top style="double">
        <color indexed="64"/>
      </top>
      <bottom style="thin">
        <color indexed="64"/>
      </bottom>
      <diagonal/>
    </border>
    <border>
      <left style="thin">
        <color indexed="64"/>
      </left>
      <right style="hair">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diagonal/>
    </border>
    <border>
      <left style="hair">
        <color indexed="64"/>
      </left>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diagonal/>
    </border>
    <border>
      <left style="thin">
        <color indexed="64"/>
      </left>
      <right style="thin">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hair">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diagonalUp="1">
      <left style="thin">
        <color indexed="64"/>
      </left>
      <right/>
      <top/>
      <bottom/>
      <diagonal style="hair">
        <color indexed="64"/>
      </diagonal>
    </border>
    <border diagonalUp="1">
      <left/>
      <right/>
      <top/>
      <bottom/>
      <diagonal style="hair">
        <color indexed="64"/>
      </diagonal>
    </border>
  </borders>
  <cellStyleXfs count="15">
    <xf numFmtId="0" fontId="0" fillId="0" borderId="0"/>
    <xf numFmtId="38"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alignment vertical="center"/>
    </xf>
    <xf numFmtId="38" fontId="8" fillId="0" borderId="0" applyFont="0" applyFill="0" applyBorder="0" applyAlignment="0" applyProtection="0">
      <alignment vertical="center"/>
    </xf>
    <xf numFmtId="38" fontId="2" fillId="0" borderId="0" applyFont="0" applyFill="0" applyBorder="0" applyAlignment="0" applyProtection="0"/>
    <xf numFmtId="38" fontId="9" fillId="0" borderId="0" applyFont="0" applyFill="0" applyBorder="0" applyAlignment="0" applyProtection="0"/>
    <xf numFmtId="38" fontId="10" fillId="0" borderId="0" applyFont="0" applyFill="0" applyBorder="0" applyAlignment="0" applyProtection="0">
      <alignment vertical="center"/>
    </xf>
    <xf numFmtId="0" fontId="8" fillId="0" borderId="0"/>
    <xf numFmtId="0" fontId="2" fillId="0" borderId="0"/>
    <xf numFmtId="0" fontId="9" fillId="0" borderId="0"/>
    <xf numFmtId="0" fontId="8" fillId="0" borderId="0">
      <alignment vertical="center"/>
    </xf>
    <xf numFmtId="0" fontId="10" fillId="0" borderId="0"/>
    <xf numFmtId="0" fontId="11" fillId="0" borderId="0"/>
    <xf numFmtId="0" fontId="1" fillId="0" borderId="0">
      <alignment vertical="center"/>
    </xf>
  </cellStyleXfs>
  <cellXfs count="339">
    <xf numFmtId="0" fontId="0" fillId="0" borderId="0" xfId="0"/>
    <xf numFmtId="0" fontId="0" fillId="0" borderId="0" xfId="0" applyFont="1" applyAlignment="1">
      <alignment vertical="center"/>
    </xf>
    <xf numFmtId="0" fontId="0" fillId="0" borderId="0" xfId="0" applyAlignment="1">
      <alignment vertical="center"/>
    </xf>
    <xf numFmtId="38" fontId="0" fillId="0" borderId="0" xfId="1" applyFont="1" applyAlignment="1">
      <alignment vertical="center"/>
    </xf>
    <xf numFmtId="38" fontId="0" fillId="0" borderId="0" xfId="0" applyNumberFormat="1" applyFont="1" applyAlignment="1">
      <alignment vertical="center"/>
    </xf>
    <xf numFmtId="38" fontId="0" fillId="0" borderId="1" xfId="1" applyFont="1" applyBorder="1" applyAlignment="1">
      <alignment vertical="center"/>
    </xf>
    <xf numFmtId="0" fontId="0" fillId="0" borderId="1" xfId="0" applyFont="1" applyBorder="1" applyAlignment="1">
      <alignment horizontal="center" vertical="center"/>
    </xf>
    <xf numFmtId="38" fontId="0" fillId="0" borderId="2" xfId="0" applyNumberFormat="1" applyFont="1" applyBorder="1" applyAlignment="1">
      <alignment vertical="center"/>
    </xf>
    <xf numFmtId="38" fontId="0" fillId="0" borderId="3" xfId="0" applyNumberFormat="1" applyFont="1" applyBorder="1" applyAlignment="1">
      <alignment vertical="center"/>
    </xf>
    <xf numFmtId="38" fontId="0" fillId="0" borderId="4" xfId="0" applyNumberFormat="1" applyFont="1" applyBorder="1" applyAlignment="1">
      <alignment vertical="center"/>
    </xf>
    <xf numFmtId="38" fontId="0" fillId="0" borderId="5" xfId="0" applyNumberFormat="1" applyFont="1" applyBorder="1" applyAlignment="1">
      <alignment vertical="center"/>
    </xf>
    <xf numFmtId="38" fontId="0" fillId="0" borderId="6" xfId="0" applyNumberFormat="1" applyFont="1" applyBorder="1" applyAlignment="1">
      <alignment vertical="center"/>
    </xf>
    <xf numFmtId="38" fontId="0" fillId="0" borderId="7" xfId="0" applyNumberFormat="1" applyFont="1" applyBorder="1" applyAlignment="1">
      <alignment vertical="center"/>
    </xf>
    <xf numFmtId="38" fontId="0" fillId="0" borderId="8" xfId="0" applyNumberFormat="1" applyFont="1" applyBorder="1" applyAlignment="1">
      <alignment vertical="center"/>
    </xf>
    <xf numFmtId="0" fontId="0" fillId="0" borderId="9" xfId="0" applyFont="1" applyBorder="1" applyAlignment="1">
      <alignment horizontal="center" vertical="center" shrinkToFit="1"/>
    </xf>
    <xf numFmtId="38" fontId="0" fillId="0" borderId="10" xfId="0" applyNumberFormat="1" applyFont="1" applyBorder="1" applyAlignment="1">
      <alignment vertical="center"/>
    </xf>
    <xf numFmtId="38" fontId="0" fillId="0" borderId="11" xfId="0" applyNumberFormat="1" applyFont="1" applyBorder="1" applyAlignment="1">
      <alignment vertical="center"/>
    </xf>
    <xf numFmtId="38" fontId="0" fillId="0" borderId="12" xfId="0" applyNumberFormat="1" applyFont="1" applyBorder="1" applyAlignment="1">
      <alignment vertical="center"/>
    </xf>
    <xf numFmtId="38" fontId="0" fillId="0" borderId="13" xfId="0" applyNumberFormat="1" applyFont="1" applyBorder="1" applyAlignment="1">
      <alignment vertical="center"/>
    </xf>
    <xf numFmtId="38" fontId="0" fillId="0" borderId="14" xfId="0" applyNumberFormat="1" applyFont="1" applyBorder="1" applyAlignment="1">
      <alignment vertical="center"/>
    </xf>
    <xf numFmtId="38" fontId="0" fillId="0" borderId="15" xfId="0" applyNumberFormat="1" applyFont="1" applyBorder="1" applyAlignment="1">
      <alignment vertical="center"/>
    </xf>
    <xf numFmtId="0" fontId="0" fillId="0" borderId="14" xfId="0" applyFont="1" applyBorder="1" applyAlignment="1">
      <alignment horizontal="center" vertical="center" shrinkToFit="1"/>
    </xf>
    <xf numFmtId="38" fontId="0" fillId="0" borderId="16" xfId="1" applyFont="1" applyBorder="1" applyAlignment="1">
      <alignment vertical="center"/>
    </xf>
    <xf numFmtId="38" fontId="0" fillId="0" borderId="17" xfId="1" applyFont="1" applyBorder="1" applyAlignment="1">
      <alignment vertical="center"/>
    </xf>
    <xf numFmtId="38" fontId="0" fillId="0" borderId="18" xfId="1" applyFont="1" applyBorder="1" applyAlignment="1">
      <alignment vertical="center"/>
    </xf>
    <xf numFmtId="38" fontId="0" fillId="0" borderId="19" xfId="1" applyFont="1" applyBorder="1" applyAlignment="1">
      <alignment vertical="center"/>
    </xf>
    <xf numFmtId="38" fontId="0" fillId="0" borderId="20" xfId="1" applyFont="1" applyBorder="1" applyAlignment="1">
      <alignment vertical="center"/>
    </xf>
    <xf numFmtId="38" fontId="0" fillId="0" borderId="21" xfId="1" applyFont="1" applyBorder="1" applyAlignment="1">
      <alignment vertical="center"/>
    </xf>
    <xf numFmtId="0" fontId="0" fillId="0" borderId="20" xfId="0" applyFont="1" applyBorder="1" applyAlignment="1">
      <alignment vertical="center" shrinkToFit="1"/>
    </xf>
    <xf numFmtId="38" fontId="0" fillId="2" borderId="16" xfId="1" applyFont="1" applyFill="1" applyBorder="1" applyAlignment="1">
      <alignment vertical="center"/>
    </xf>
    <xf numFmtId="38" fontId="0" fillId="2" borderId="17" xfId="1" applyFont="1" applyFill="1" applyBorder="1" applyAlignment="1">
      <alignment horizontal="right" vertical="center"/>
    </xf>
    <xf numFmtId="38" fontId="0" fillId="3" borderId="17" xfId="1" applyFont="1" applyFill="1" applyBorder="1" applyAlignment="1">
      <alignment horizontal="right" vertical="center"/>
    </xf>
    <xf numFmtId="38" fontId="0" fillId="0" borderId="21" xfId="1" applyFont="1" applyBorder="1" applyAlignment="1">
      <alignment horizontal="right" vertical="center"/>
    </xf>
    <xf numFmtId="38" fontId="0" fillId="0" borderId="17" xfId="1" applyFont="1" applyBorder="1" applyAlignment="1">
      <alignment horizontal="right" vertical="center"/>
    </xf>
    <xf numFmtId="38" fontId="0" fillId="0" borderId="16" xfId="1" applyFont="1" applyFill="1" applyBorder="1" applyAlignment="1">
      <alignment vertical="center"/>
    </xf>
    <xf numFmtId="38" fontId="0" fillId="2" borderId="18" xfId="1" applyFont="1" applyFill="1" applyBorder="1" applyAlignment="1">
      <alignment vertical="center"/>
    </xf>
    <xf numFmtId="38" fontId="0" fillId="3" borderId="21" xfId="1" applyFont="1" applyFill="1" applyBorder="1" applyAlignment="1">
      <alignment horizontal="right" vertical="center"/>
    </xf>
    <xf numFmtId="38" fontId="0" fillId="0" borderId="17" xfId="1" applyFont="1" applyFill="1" applyBorder="1" applyAlignment="1">
      <alignment horizontal="right" vertical="center"/>
    </xf>
    <xf numFmtId="38" fontId="0" fillId="2" borderId="17" xfId="1" applyFont="1" applyFill="1" applyBorder="1" applyAlignment="1">
      <alignment vertical="center"/>
    </xf>
    <xf numFmtId="38" fontId="0" fillId="2" borderId="19" xfId="1" applyFont="1" applyFill="1" applyBorder="1" applyAlignment="1">
      <alignment vertical="center"/>
    </xf>
    <xf numFmtId="38" fontId="0" fillId="2" borderId="20" xfId="1" applyFont="1" applyFill="1" applyBorder="1" applyAlignment="1">
      <alignment vertical="center"/>
    </xf>
    <xf numFmtId="38" fontId="0" fillId="2" borderId="21" xfId="1" applyFont="1" applyFill="1" applyBorder="1" applyAlignment="1">
      <alignment horizontal="right" vertical="center"/>
    </xf>
    <xf numFmtId="0" fontId="0" fillId="2" borderId="20" xfId="0" applyFont="1" applyFill="1" applyBorder="1" applyAlignment="1">
      <alignment vertical="center" shrinkToFit="1"/>
    </xf>
    <xf numFmtId="38" fontId="0" fillId="0" borderId="22" xfId="1" applyFont="1" applyBorder="1" applyAlignment="1">
      <alignment vertical="center"/>
    </xf>
    <xf numFmtId="38" fontId="0" fillId="0" borderId="23" xfId="1" applyFont="1" applyBorder="1" applyAlignment="1">
      <alignment horizontal="right" vertical="center"/>
    </xf>
    <xf numFmtId="38" fontId="0" fillId="0" borderId="24" xfId="1" applyFont="1" applyBorder="1" applyAlignment="1">
      <alignment vertical="center"/>
    </xf>
    <xf numFmtId="38" fontId="0" fillId="0" borderId="23" xfId="1" applyFont="1" applyBorder="1" applyAlignment="1">
      <alignment vertical="center"/>
    </xf>
    <xf numFmtId="38" fontId="0" fillId="0" borderId="25" xfId="1" applyFont="1" applyBorder="1" applyAlignment="1">
      <alignment vertical="center"/>
    </xf>
    <xf numFmtId="38" fontId="0" fillId="0" borderId="26" xfId="1" applyFont="1" applyBorder="1" applyAlignment="1">
      <alignment vertical="center"/>
    </xf>
    <xf numFmtId="0" fontId="0" fillId="0" borderId="26" xfId="0" applyFont="1" applyBorder="1" applyAlignment="1">
      <alignment vertical="center" shrinkToFit="1"/>
    </xf>
    <xf numFmtId="176" fontId="0" fillId="0" borderId="30" xfId="2" applyNumberFormat="1" applyFont="1" applyBorder="1" applyAlignment="1">
      <alignment horizontal="center" vertical="center"/>
    </xf>
    <xf numFmtId="176" fontId="0" fillId="0" borderId="31" xfId="2" applyNumberFormat="1" applyFont="1" applyBorder="1" applyAlignment="1">
      <alignment horizontal="center" vertical="center"/>
    </xf>
    <xf numFmtId="176" fontId="0" fillId="0" borderId="32" xfId="2" applyNumberFormat="1" applyFont="1" applyBorder="1" applyAlignment="1">
      <alignment horizontal="center" vertical="center"/>
    </xf>
    <xf numFmtId="176" fontId="0" fillId="0" borderId="33" xfId="2" applyNumberFormat="1" applyFont="1" applyBorder="1" applyAlignment="1">
      <alignment horizontal="center" vertical="center"/>
    </xf>
    <xf numFmtId="38" fontId="0" fillId="0" borderId="0" xfId="1" applyFont="1"/>
    <xf numFmtId="38" fontId="0" fillId="4" borderId="0" xfId="1" applyFont="1" applyFill="1"/>
    <xf numFmtId="38" fontId="0" fillId="0" borderId="0" xfId="1" applyFont="1" applyAlignment="1">
      <alignment horizontal="right"/>
    </xf>
    <xf numFmtId="38" fontId="0" fillId="5" borderId="0" xfId="1" applyFont="1" applyFill="1"/>
    <xf numFmtId="38" fontId="0" fillId="0" borderId="0" xfId="1" applyFont="1" applyFill="1" applyAlignment="1">
      <alignment horizontal="right"/>
    </xf>
    <xf numFmtId="38" fontId="0" fillId="6" borderId="0" xfId="0" applyNumberFormat="1" applyFont="1" applyFill="1" applyAlignment="1">
      <alignment vertical="center"/>
    </xf>
    <xf numFmtId="0" fontId="4" fillId="0" borderId="0" xfId="0" applyFont="1" applyAlignment="1">
      <alignment vertical="center"/>
    </xf>
    <xf numFmtId="0" fontId="0" fillId="0" borderId="0" xfId="0" applyFont="1" applyAlignment="1">
      <alignment vertical="center" shrinkToFit="1"/>
    </xf>
    <xf numFmtId="0" fontId="0" fillId="0" borderId="0" xfId="0" applyFont="1" applyFill="1" applyAlignment="1">
      <alignment vertical="center"/>
    </xf>
    <xf numFmtId="38" fontId="0" fillId="0" borderId="2" xfId="1" applyFont="1" applyFill="1" applyBorder="1" applyAlignment="1">
      <alignment vertical="center"/>
    </xf>
    <xf numFmtId="38" fontId="0" fillId="0" borderId="46" xfId="1" applyFont="1" applyFill="1" applyBorder="1" applyAlignment="1">
      <alignment vertical="center"/>
    </xf>
    <xf numFmtId="38" fontId="0" fillId="0" borderId="48" xfId="0" applyNumberFormat="1" applyFont="1" applyFill="1" applyBorder="1" applyAlignment="1">
      <alignment vertical="center"/>
    </xf>
    <xf numFmtId="38" fontId="0" fillId="0" borderId="2" xfId="1" applyFont="1" applyBorder="1" applyAlignment="1">
      <alignment vertical="center"/>
    </xf>
    <xf numFmtId="38" fontId="0" fillId="0" borderId="49" xfId="0" applyNumberFormat="1" applyFont="1" applyFill="1" applyBorder="1" applyAlignment="1">
      <alignment vertical="center"/>
    </xf>
    <xf numFmtId="38" fontId="0" fillId="0" borderId="46" xfId="0" applyNumberFormat="1" applyFont="1" applyFill="1" applyBorder="1" applyAlignment="1">
      <alignment vertical="center"/>
    </xf>
    <xf numFmtId="38" fontId="0" fillId="0" borderId="47" xfId="0" applyNumberFormat="1" applyFont="1" applyFill="1" applyBorder="1" applyAlignment="1">
      <alignment vertical="center"/>
    </xf>
    <xf numFmtId="0" fontId="0" fillId="0" borderId="48" xfId="0" applyFont="1" applyFill="1" applyBorder="1" applyAlignment="1">
      <alignment horizontal="center" vertical="center" shrinkToFit="1"/>
    </xf>
    <xf numFmtId="0" fontId="0" fillId="0" borderId="49" xfId="0" applyFont="1" applyFill="1" applyBorder="1" applyAlignment="1">
      <alignment vertical="center"/>
    </xf>
    <xf numFmtId="0" fontId="0" fillId="0" borderId="46" xfId="0" applyFont="1" applyFill="1" applyBorder="1" applyAlignment="1">
      <alignment vertical="center"/>
    </xf>
    <xf numFmtId="0" fontId="0" fillId="0" borderId="47" xfId="0" applyFont="1" applyFill="1" applyBorder="1" applyAlignment="1">
      <alignment vertical="center"/>
    </xf>
    <xf numFmtId="38" fontId="0" fillId="0" borderId="10" xfId="1" applyFont="1" applyFill="1" applyBorder="1" applyAlignment="1">
      <alignment vertical="center"/>
    </xf>
    <xf numFmtId="38" fontId="0" fillId="0" borderId="13" xfId="1" applyFont="1" applyFill="1" applyBorder="1" applyAlignment="1">
      <alignment vertical="center"/>
    </xf>
    <xf numFmtId="38" fontId="0" fillId="0" borderId="50" xfId="1" applyFont="1" applyFill="1" applyBorder="1" applyAlignment="1">
      <alignment vertical="center"/>
    </xf>
    <xf numFmtId="38" fontId="0" fillId="0" borderId="51" xfId="1" applyFont="1" applyFill="1" applyBorder="1" applyAlignment="1">
      <alignment vertical="center"/>
    </xf>
    <xf numFmtId="38" fontId="0" fillId="0" borderId="52" xfId="1" applyFont="1" applyFill="1" applyBorder="1" applyAlignment="1">
      <alignment vertical="center"/>
    </xf>
    <xf numFmtId="38" fontId="0" fillId="0" borderId="51" xfId="0" applyNumberFormat="1" applyFont="1" applyFill="1" applyBorder="1" applyAlignment="1">
      <alignment vertical="center"/>
    </xf>
    <xf numFmtId="38" fontId="0" fillId="0" borderId="52" xfId="0" applyNumberFormat="1" applyFont="1" applyFill="1" applyBorder="1" applyAlignment="1">
      <alignment vertical="center"/>
    </xf>
    <xf numFmtId="38" fontId="0" fillId="0" borderId="13" xfId="0" applyNumberFormat="1" applyFont="1" applyFill="1" applyBorder="1" applyAlignment="1">
      <alignment vertical="center"/>
    </xf>
    <xf numFmtId="38" fontId="0" fillId="0" borderId="50" xfId="0" applyNumberFormat="1" applyFont="1" applyFill="1" applyBorder="1" applyAlignment="1">
      <alignment vertical="center"/>
    </xf>
    <xf numFmtId="0" fontId="0" fillId="0" borderId="51" xfId="0" applyFont="1" applyFill="1" applyBorder="1" applyAlignment="1">
      <alignment horizontal="center" vertical="center" shrinkToFit="1"/>
    </xf>
    <xf numFmtId="0" fontId="0" fillId="0" borderId="52" xfId="0" applyFont="1" applyFill="1" applyBorder="1" applyAlignment="1">
      <alignment vertical="center"/>
    </xf>
    <xf numFmtId="0" fontId="0" fillId="0" borderId="13" xfId="0" applyFont="1" applyFill="1" applyBorder="1" applyAlignment="1">
      <alignment vertical="center"/>
    </xf>
    <xf numFmtId="0" fontId="0" fillId="0" borderId="50" xfId="0" applyFont="1" applyFill="1" applyBorder="1" applyAlignment="1">
      <alignment vertical="center"/>
    </xf>
    <xf numFmtId="177" fontId="0" fillId="0" borderId="0" xfId="0" applyNumberFormat="1" applyAlignment="1">
      <alignment vertical="center"/>
    </xf>
    <xf numFmtId="177" fontId="0" fillId="0" borderId="0" xfId="1" applyNumberFormat="1" applyFont="1" applyAlignment="1">
      <alignment vertical="center"/>
    </xf>
    <xf numFmtId="38" fontId="0" fillId="0" borderId="19" xfId="1" applyFont="1" applyFill="1" applyBorder="1" applyAlignment="1">
      <alignment vertical="center"/>
    </xf>
    <xf numFmtId="38" fontId="0" fillId="0" borderId="53" xfId="1" applyFont="1" applyFill="1" applyBorder="1" applyAlignment="1">
      <alignment vertical="center"/>
    </xf>
    <xf numFmtId="38" fontId="0" fillId="0" borderId="54" xfId="0" applyNumberFormat="1" applyFont="1" applyFill="1" applyBorder="1" applyAlignment="1">
      <alignment vertical="center"/>
    </xf>
    <xf numFmtId="38" fontId="0" fillId="0" borderId="55" xfId="1" applyFont="1" applyFill="1" applyBorder="1" applyAlignment="1">
      <alignment vertical="center"/>
    </xf>
    <xf numFmtId="38" fontId="0" fillId="0" borderId="56" xfId="1" applyFont="1" applyFill="1" applyBorder="1" applyAlignment="1">
      <alignment vertical="center"/>
    </xf>
    <xf numFmtId="38" fontId="0" fillId="0" borderId="57" xfId="1" applyFont="1" applyFill="1" applyBorder="1" applyAlignment="1">
      <alignment vertical="center"/>
    </xf>
    <xf numFmtId="38" fontId="0" fillId="0" borderId="58" xfId="1" applyFont="1" applyFill="1" applyBorder="1" applyAlignment="1">
      <alignment vertical="center"/>
    </xf>
    <xf numFmtId="38" fontId="0" fillId="0" borderId="59" xfId="1" applyFont="1" applyFill="1" applyBorder="1" applyAlignment="1">
      <alignment vertical="center"/>
    </xf>
    <xf numFmtId="0" fontId="0" fillId="0" borderId="56" xfId="0" applyFont="1" applyFill="1" applyBorder="1" applyAlignment="1">
      <alignment vertical="center" shrinkToFit="1"/>
    </xf>
    <xf numFmtId="0" fontId="0" fillId="0" borderId="57" xfId="0" applyFont="1" applyFill="1" applyBorder="1" applyAlignment="1">
      <alignment horizontal="center" vertical="center" shrinkToFit="1"/>
    </xf>
    <xf numFmtId="0" fontId="0" fillId="0" borderId="58" xfId="0" applyFont="1" applyFill="1" applyBorder="1" applyAlignment="1">
      <alignment horizontal="center" vertical="center" shrinkToFit="1"/>
    </xf>
    <xf numFmtId="0" fontId="0" fillId="0" borderId="59" xfId="0" applyFont="1" applyFill="1" applyBorder="1" applyAlignment="1">
      <alignment vertical="center" shrinkToFit="1"/>
    </xf>
    <xf numFmtId="38" fontId="0" fillId="0" borderId="54" xfId="1" applyFont="1" applyFill="1" applyBorder="1" applyAlignment="1">
      <alignment vertical="center"/>
    </xf>
    <xf numFmtId="0" fontId="0" fillId="0" borderId="54" xfId="0" applyFont="1" applyFill="1" applyBorder="1" applyAlignment="1">
      <alignment vertical="center" shrinkToFit="1"/>
    </xf>
    <xf numFmtId="0" fontId="0" fillId="0" borderId="55" xfId="0" applyFont="1" applyFill="1" applyBorder="1" applyAlignment="1">
      <alignment horizontal="center" vertical="center" shrinkToFit="1"/>
    </xf>
    <xf numFmtId="0" fontId="0" fillId="0" borderId="19" xfId="0" applyFont="1" applyFill="1" applyBorder="1" applyAlignment="1">
      <alignment horizontal="center" vertical="center" shrinkToFit="1"/>
    </xf>
    <xf numFmtId="0" fontId="0" fillId="0" borderId="53" xfId="0" applyFont="1" applyFill="1" applyBorder="1" applyAlignment="1">
      <alignment vertical="center" shrinkToFit="1"/>
    </xf>
    <xf numFmtId="38" fontId="0" fillId="0" borderId="0" xfId="1" applyNumberFormat="1" applyFont="1" applyAlignment="1">
      <alignment vertical="center"/>
    </xf>
    <xf numFmtId="178" fontId="0" fillId="0" borderId="0" xfId="1" applyNumberFormat="1" applyFont="1" applyAlignment="1">
      <alignment vertical="center"/>
    </xf>
    <xf numFmtId="38" fontId="0" fillId="0" borderId="53" xfId="1" applyFont="1" applyBorder="1" applyAlignment="1">
      <alignment vertical="center"/>
    </xf>
    <xf numFmtId="38" fontId="0" fillId="0" borderId="54" xfId="0" applyNumberFormat="1" applyBorder="1" applyAlignment="1">
      <alignment vertical="center"/>
    </xf>
    <xf numFmtId="0" fontId="5" fillId="0" borderId="54" xfId="0" applyFont="1" applyFill="1" applyBorder="1" applyAlignment="1">
      <alignment vertical="center" shrinkToFit="1"/>
    </xf>
    <xf numFmtId="38" fontId="0" fillId="0" borderId="60" xfId="0" applyNumberFormat="1" applyFont="1" applyFill="1" applyBorder="1" applyAlignment="1">
      <alignment vertical="center"/>
    </xf>
    <xf numFmtId="38" fontId="0" fillId="0" borderId="35" xfId="1" applyFont="1" applyFill="1" applyBorder="1" applyAlignment="1">
      <alignment vertical="center"/>
    </xf>
    <xf numFmtId="38" fontId="0" fillId="0" borderId="61" xfId="1" applyFont="1" applyFill="1" applyBorder="1" applyAlignment="1">
      <alignment vertical="center"/>
    </xf>
    <xf numFmtId="38" fontId="0" fillId="0" borderId="25" xfId="1" applyFont="1" applyFill="1" applyBorder="1" applyAlignment="1">
      <alignment vertical="center"/>
    </xf>
    <xf numFmtId="38" fontId="0" fillId="0" borderId="62" xfId="1" applyFont="1" applyFill="1" applyBorder="1" applyAlignment="1">
      <alignment vertical="center"/>
    </xf>
    <xf numFmtId="38" fontId="0" fillId="0" borderId="60" xfId="1" applyFont="1" applyFill="1" applyBorder="1" applyAlignment="1">
      <alignment vertical="center"/>
    </xf>
    <xf numFmtId="0" fontId="5" fillId="0" borderId="60" xfId="0" applyFont="1" applyFill="1" applyBorder="1" applyAlignment="1">
      <alignment vertical="center" shrinkToFit="1"/>
    </xf>
    <xf numFmtId="0" fontId="0" fillId="0" borderId="61" xfId="0" applyFont="1" applyFill="1" applyBorder="1" applyAlignment="1">
      <alignment horizontal="center" vertical="center" shrinkToFit="1"/>
    </xf>
    <xf numFmtId="0" fontId="0" fillId="0" borderId="25" xfId="0" applyFont="1" applyFill="1" applyBorder="1" applyAlignment="1">
      <alignment horizontal="center" vertical="center" shrinkToFit="1"/>
    </xf>
    <xf numFmtId="0" fontId="0" fillId="0" borderId="62" xfId="0" applyFont="1" applyFill="1" applyBorder="1" applyAlignment="1">
      <alignment vertical="center" shrinkToFit="1"/>
    </xf>
    <xf numFmtId="0" fontId="0" fillId="0" borderId="0" xfId="0" applyFont="1" applyAlignment="1">
      <alignment horizontal="center" vertical="center"/>
    </xf>
    <xf numFmtId="0" fontId="0" fillId="0" borderId="0" xfId="0" applyAlignment="1">
      <alignment horizontal="center" vertical="center"/>
    </xf>
    <xf numFmtId="38" fontId="0" fillId="0" borderId="28" xfId="1" applyFont="1" applyBorder="1" applyAlignment="1">
      <alignment horizontal="center" vertical="center"/>
    </xf>
    <xf numFmtId="38" fontId="0" fillId="0" borderId="31" xfId="1" applyFont="1" applyBorder="1" applyAlignment="1">
      <alignment horizontal="center" vertical="center"/>
    </xf>
    <xf numFmtId="38" fontId="0" fillId="0" borderId="32" xfId="1" applyFont="1" applyBorder="1" applyAlignment="1">
      <alignment horizontal="center" vertical="center"/>
    </xf>
    <xf numFmtId="38" fontId="0" fillId="0" borderId="33" xfId="1" applyFont="1" applyBorder="1" applyAlignment="1">
      <alignment horizontal="center" vertical="center"/>
    </xf>
    <xf numFmtId="176" fontId="0" fillId="0" borderId="28" xfId="2" applyNumberFormat="1" applyFont="1" applyBorder="1" applyAlignment="1">
      <alignment horizontal="center" vertical="center"/>
    </xf>
    <xf numFmtId="38" fontId="0" fillId="0" borderId="0" xfId="1" applyFont="1" applyFill="1" applyAlignment="1">
      <alignment vertical="center"/>
    </xf>
    <xf numFmtId="0" fontId="0" fillId="0" borderId="0" xfId="0" applyAlignment="1">
      <alignment horizontal="right" vertical="center"/>
    </xf>
    <xf numFmtId="38" fontId="0" fillId="0" borderId="0" xfId="0" applyNumberFormat="1" applyAlignment="1">
      <alignment vertical="center"/>
    </xf>
    <xf numFmtId="38" fontId="0" fillId="8" borderId="65" xfId="1" applyFont="1" applyFill="1" applyBorder="1" applyAlignment="1">
      <alignment vertical="center"/>
    </xf>
    <xf numFmtId="38" fontId="0" fillId="8" borderId="66" xfId="1" applyFont="1" applyFill="1" applyBorder="1" applyAlignment="1">
      <alignment vertical="center"/>
    </xf>
    <xf numFmtId="38" fontId="0" fillId="8" borderId="67" xfId="1" applyFont="1" applyFill="1" applyBorder="1" applyAlignment="1">
      <alignment vertical="center"/>
    </xf>
    <xf numFmtId="38" fontId="0" fillId="8" borderId="1" xfId="1" applyFont="1" applyFill="1" applyBorder="1" applyAlignment="1">
      <alignment vertical="center"/>
    </xf>
    <xf numFmtId="38" fontId="0" fillId="0" borderId="9" xfId="0" applyNumberFormat="1" applyBorder="1" applyAlignment="1">
      <alignment vertical="center"/>
    </xf>
    <xf numFmtId="38" fontId="0" fillId="0" borderId="48" xfId="0" applyNumberFormat="1" applyBorder="1" applyAlignment="1">
      <alignment vertical="center"/>
    </xf>
    <xf numFmtId="38" fontId="0" fillId="0" borderId="49" xfId="0" applyNumberFormat="1" applyBorder="1" applyAlignment="1">
      <alignment vertical="center"/>
    </xf>
    <xf numFmtId="38" fontId="0" fillId="0" borderId="46" xfId="0" applyNumberFormat="1" applyBorder="1" applyAlignment="1">
      <alignment vertical="center"/>
    </xf>
    <xf numFmtId="38" fontId="0" fillId="0" borderId="47" xfId="0" applyNumberFormat="1" applyBorder="1" applyAlignment="1">
      <alignment vertical="center"/>
    </xf>
    <xf numFmtId="0" fontId="0" fillId="0" borderId="48" xfId="0" applyBorder="1" applyAlignment="1">
      <alignment horizontal="center" vertical="center" shrinkToFit="1"/>
    </xf>
    <xf numFmtId="0" fontId="0" fillId="0" borderId="49" xfId="0" applyBorder="1" applyAlignment="1">
      <alignment vertical="center"/>
    </xf>
    <xf numFmtId="0" fontId="0" fillId="0" borderId="46" xfId="0" applyBorder="1" applyAlignment="1">
      <alignment vertical="center"/>
    </xf>
    <xf numFmtId="0" fontId="0" fillId="0" borderId="47" xfId="0" applyBorder="1" applyAlignment="1">
      <alignment vertical="center"/>
    </xf>
    <xf numFmtId="38" fontId="0" fillId="0" borderId="10" xfId="1" applyFont="1" applyBorder="1" applyAlignment="1">
      <alignment vertical="center"/>
    </xf>
    <xf numFmtId="38" fontId="0" fillId="0" borderId="13" xfId="1" applyFont="1" applyBorder="1" applyAlignment="1">
      <alignment vertical="center"/>
    </xf>
    <xf numFmtId="38" fontId="0" fillId="0" borderId="50" xfId="1" applyFont="1" applyBorder="1" applyAlignment="1">
      <alignment vertical="center"/>
    </xf>
    <xf numFmtId="38" fontId="0" fillId="0" borderId="51" xfId="1" applyFont="1" applyBorder="1" applyAlignment="1">
      <alignment vertical="center"/>
    </xf>
    <xf numFmtId="38" fontId="0" fillId="0" borderId="52" xfId="1" applyFont="1" applyBorder="1" applyAlignment="1">
      <alignment vertical="center"/>
    </xf>
    <xf numFmtId="38" fontId="0" fillId="0" borderId="51" xfId="0" applyNumberFormat="1" applyBorder="1" applyAlignment="1">
      <alignment vertical="center"/>
    </xf>
    <xf numFmtId="38" fontId="0" fillId="0" borderId="52" xfId="0" applyNumberFormat="1" applyBorder="1" applyAlignment="1">
      <alignment vertical="center"/>
    </xf>
    <xf numFmtId="38" fontId="0" fillId="0" borderId="13" xfId="0" applyNumberFormat="1" applyBorder="1" applyAlignment="1">
      <alignment vertical="center"/>
    </xf>
    <xf numFmtId="38" fontId="0" fillId="0" borderId="50" xfId="0" applyNumberFormat="1" applyBorder="1" applyAlignment="1">
      <alignment vertical="center"/>
    </xf>
    <xf numFmtId="0" fontId="0" fillId="0" borderId="51" xfId="0" applyBorder="1" applyAlignment="1">
      <alignment horizontal="center" vertical="center" shrinkToFit="1"/>
    </xf>
    <xf numFmtId="0" fontId="0" fillId="0" borderId="52" xfId="0" applyBorder="1" applyAlignment="1">
      <alignment vertical="center"/>
    </xf>
    <xf numFmtId="0" fontId="0" fillId="0" borderId="13" xfId="0" applyBorder="1" applyAlignment="1">
      <alignment vertical="center"/>
    </xf>
    <xf numFmtId="0" fontId="0" fillId="0" borderId="50" xfId="0" applyBorder="1" applyAlignment="1">
      <alignment vertical="center"/>
    </xf>
    <xf numFmtId="38" fontId="0" fillId="0" borderId="55" xfId="1" applyFont="1" applyBorder="1" applyAlignment="1">
      <alignment vertical="center"/>
    </xf>
    <xf numFmtId="38" fontId="0" fillId="9" borderId="54" xfId="1" applyFont="1" applyFill="1" applyBorder="1" applyAlignment="1">
      <alignment vertical="center"/>
    </xf>
    <xf numFmtId="38" fontId="0" fillId="9" borderId="55" xfId="1" applyFont="1" applyFill="1" applyBorder="1" applyAlignment="1">
      <alignment vertical="center"/>
    </xf>
    <xf numFmtId="38" fontId="0" fillId="9" borderId="19" xfId="1" applyFont="1" applyFill="1" applyBorder="1" applyAlignment="1">
      <alignment vertical="center"/>
    </xf>
    <xf numFmtId="38" fontId="0" fillId="9" borderId="53" xfId="1" applyFont="1" applyFill="1" applyBorder="1" applyAlignment="1">
      <alignment vertical="center"/>
    </xf>
    <xf numFmtId="0" fontId="0" fillId="0" borderId="54" xfId="0" applyBorder="1" applyAlignment="1">
      <alignment vertical="center" shrinkToFit="1"/>
    </xf>
    <xf numFmtId="0" fontId="0" fillId="0" borderId="55" xfId="0" applyBorder="1" applyAlignment="1">
      <alignment horizontal="center" vertical="center" shrinkToFit="1"/>
    </xf>
    <xf numFmtId="0" fontId="0" fillId="0" borderId="19" xfId="0" applyBorder="1" applyAlignment="1">
      <alignment horizontal="center" vertical="center" shrinkToFit="1"/>
    </xf>
    <xf numFmtId="0" fontId="0" fillId="0" borderId="53" xfId="0" applyBorder="1" applyAlignment="1">
      <alignment vertical="center" shrinkToFit="1"/>
    </xf>
    <xf numFmtId="38" fontId="0" fillId="0" borderId="60" xfId="0" applyNumberFormat="1" applyBorder="1" applyAlignment="1">
      <alignment vertical="center"/>
    </xf>
    <xf numFmtId="38" fontId="0" fillId="0" borderId="35" xfId="1" applyFont="1" applyBorder="1" applyAlignment="1">
      <alignment vertical="center"/>
    </xf>
    <xf numFmtId="38" fontId="0" fillId="0" borderId="61" xfId="1" applyFont="1" applyBorder="1" applyAlignment="1">
      <alignment vertical="center"/>
    </xf>
    <xf numFmtId="38" fontId="0" fillId="0" borderId="62" xfId="1" applyFont="1" applyBorder="1" applyAlignment="1">
      <alignment vertical="center"/>
    </xf>
    <xf numFmtId="38" fontId="0" fillId="9" borderId="60" xfId="1" applyFont="1" applyFill="1" applyBorder="1" applyAlignment="1">
      <alignment vertical="center"/>
    </xf>
    <xf numFmtId="38" fontId="0" fillId="9" borderId="61" xfId="1" applyFont="1" applyFill="1" applyBorder="1" applyAlignment="1">
      <alignment vertical="center"/>
    </xf>
    <xf numFmtId="38" fontId="0" fillId="9" borderId="25" xfId="1" applyFont="1" applyFill="1" applyBorder="1" applyAlignment="1">
      <alignment vertical="center"/>
    </xf>
    <xf numFmtId="38" fontId="0" fillId="9" borderId="62" xfId="1" applyFont="1" applyFill="1" applyBorder="1" applyAlignment="1">
      <alignment vertical="center"/>
    </xf>
    <xf numFmtId="0" fontId="0" fillId="0" borderId="60" xfId="0" applyBorder="1" applyAlignment="1">
      <alignment vertical="center" shrinkToFit="1"/>
    </xf>
    <xf numFmtId="0" fontId="0" fillId="0" borderId="61" xfId="0" applyBorder="1" applyAlignment="1">
      <alignment horizontal="center" vertical="center" shrinkToFit="1"/>
    </xf>
    <xf numFmtId="0" fontId="0" fillId="0" borderId="25" xfId="0" applyBorder="1" applyAlignment="1">
      <alignment horizontal="center" vertical="center" shrinkToFit="1"/>
    </xf>
    <xf numFmtId="0" fontId="0" fillId="0" borderId="62" xfId="0" applyBorder="1" applyAlignment="1">
      <alignment vertical="center" shrinkToFit="1"/>
    </xf>
    <xf numFmtId="38" fontId="0" fillId="0" borderId="28" xfId="1" applyFont="1" applyFill="1" applyBorder="1" applyAlignment="1">
      <alignment horizontal="center" vertical="center"/>
    </xf>
    <xf numFmtId="0" fontId="0" fillId="0" borderId="0" xfId="0" applyFill="1" applyAlignment="1">
      <alignment vertical="center"/>
    </xf>
    <xf numFmtId="0" fontId="0" fillId="0" borderId="0" xfId="0" applyFill="1" applyAlignment="1">
      <alignment horizontal="right" vertical="center"/>
    </xf>
    <xf numFmtId="38" fontId="0" fillId="0" borderId="2" xfId="0" applyNumberFormat="1" applyBorder="1" applyAlignment="1">
      <alignment vertical="center"/>
    </xf>
    <xf numFmtId="38" fontId="0" fillId="0" borderId="10" xfId="0" applyNumberFormat="1" applyBorder="1" applyAlignment="1">
      <alignment vertical="center"/>
    </xf>
    <xf numFmtId="38" fontId="0" fillId="0" borderId="54" xfId="1" applyFont="1" applyBorder="1" applyAlignment="1">
      <alignment vertical="center"/>
    </xf>
    <xf numFmtId="38" fontId="0" fillId="9" borderId="16" xfId="1" applyFont="1" applyFill="1" applyBorder="1" applyAlignment="1">
      <alignment vertical="center"/>
    </xf>
    <xf numFmtId="38" fontId="0" fillId="9" borderId="35" xfId="1" applyFont="1" applyFill="1" applyBorder="1" applyAlignment="1">
      <alignment vertical="center"/>
    </xf>
    <xf numFmtId="0" fontId="0" fillId="0" borderId="0" xfId="0" applyFont="1" applyFill="1" applyAlignment="1">
      <alignment horizontal="right" vertical="center"/>
    </xf>
    <xf numFmtId="38" fontId="0" fillId="10" borderId="0" xfId="1" applyFont="1" applyFill="1"/>
    <xf numFmtId="38" fontId="0" fillId="0" borderId="48" xfId="0" applyNumberFormat="1" applyFont="1" applyBorder="1" applyAlignment="1">
      <alignment vertical="center"/>
    </xf>
    <xf numFmtId="38" fontId="0" fillId="0" borderId="46" xfId="0" applyNumberFormat="1" applyFont="1" applyBorder="1" applyAlignment="1">
      <alignment vertical="center"/>
    </xf>
    <xf numFmtId="38" fontId="0" fillId="0" borderId="47" xfId="0" applyNumberFormat="1" applyFont="1" applyBorder="1" applyAlignment="1">
      <alignment vertical="center"/>
    </xf>
    <xf numFmtId="0" fontId="0" fillId="0" borderId="48" xfId="0" applyFont="1" applyBorder="1" applyAlignment="1">
      <alignment horizontal="center" vertical="center" shrinkToFit="1"/>
    </xf>
    <xf numFmtId="0" fontId="0" fillId="0" borderId="49" xfId="0" applyFont="1" applyBorder="1" applyAlignment="1">
      <alignment vertical="center"/>
    </xf>
    <xf numFmtId="0" fontId="0" fillId="0" borderId="46" xfId="0" applyFont="1" applyBorder="1" applyAlignment="1">
      <alignment vertical="center"/>
    </xf>
    <xf numFmtId="0" fontId="0" fillId="0" borderId="47" xfId="0" applyFont="1" applyBorder="1" applyAlignment="1">
      <alignment vertical="center"/>
    </xf>
    <xf numFmtId="38" fontId="0" fillId="0" borderId="51" xfId="0" applyNumberFormat="1" applyFont="1" applyBorder="1" applyAlignment="1">
      <alignment vertical="center"/>
    </xf>
    <xf numFmtId="38" fontId="0" fillId="0" borderId="50" xfId="0" applyNumberFormat="1" applyFont="1" applyBorder="1" applyAlignment="1">
      <alignment vertical="center"/>
    </xf>
    <xf numFmtId="0" fontId="0" fillId="0" borderId="51" xfId="0" applyFont="1" applyBorder="1" applyAlignment="1">
      <alignment horizontal="center" vertical="center" shrinkToFit="1"/>
    </xf>
    <xf numFmtId="0" fontId="0" fillId="0" borderId="52" xfId="0" applyFont="1" applyBorder="1" applyAlignment="1">
      <alignment vertical="center"/>
    </xf>
    <xf numFmtId="0" fontId="0" fillId="0" borderId="13" xfId="0" applyFont="1" applyBorder="1" applyAlignment="1">
      <alignment vertical="center"/>
    </xf>
    <xf numFmtId="0" fontId="0" fillId="0" borderId="50" xfId="0" applyFont="1" applyBorder="1" applyAlignment="1">
      <alignment vertical="center"/>
    </xf>
    <xf numFmtId="38" fontId="0" fillId="0" borderId="54" xfId="0" applyNumberFormat="1" applyFont="1" applyBorder="1" applyAlignment="1">
      <alignment vertical="center"/>
    </xf>
    <xf numFmtId="0" fontId="0" fillId="0" borderId="54" xfId="0" applyFont="1" applyBorder="1" applyAlignment="1">
      <alignment vertical="center" shrinkToFit="1"/>
    </xf>
    <xf numFmtId="0" fontId="0" fillId="0" borderId="55" xfId="0" applyFont="1" applyBorder="1" applyAlignment="1">
      <alignment horizontal="center" vertical="center" shrinkToFit="1"/>
    </xf>
    <xf numFmtId="0" fontId="0" fillId="0" borderId="19" xfId="0" applyFont="1" applyBorder="1" applyAlignment="1">
      <alignment horizontal="center" vertical="center" shrinkToFit="1"/>
    </xf>
    <xf numFmtId="0" fontId="0" fillId="0" borderId="53" xfId="0" applyFont="1" applyBorder="1" applyAlignment="1">
      <alignment vertical="center" shrinkToFit="1"/>
    </xf>
    <xf numFmtId="38" fontId="0" fillId="6" borderId="54" xfId="1" applyFont="1" applyFill="1" applyBorder="1" applyAlignment="1">
      <alignment vertical="center"/>
    </xf>
    <xf numFmtId="38" fontId="0" fillId="7" borderId="54" xfId="1" applyFont="1" applyFill="1" applyBorder="1" applyAlignment="1">
      <alignment vertical="center"/>
    </xf>
    <xf numFmtId="38" fontId="0" fillId="7" borderId="16" xfId="1" applyFont="1" applyFill="1" applyBorder="1" applyAlignment="1">
      <alignment vertical="center"/>
    </xf>
    <xf numFmtId="38" fontId="0" fillId="7" borderId="19" xfId="1" applyFont="1" applyFill="1" applyBorder="1" applyAlignment="1">
      <alignment vertical="center"/>
    </xf>
    <xf numFmtId="38" fontId="0" fillId="7" borderId="53" xfId="1" applyFont="1" applyFill="1" applyBorder="1" applyAlignment="1">
      <alignment vertical="center"/>
    </xf>
    <xf numFmtId="0" fontId="12" fillId="0" borderId="54" xfId="0" applyFont="1" applyBorder="1" applyAlignment="1">
      <alignment horizontal="right" vertical="center"/>
    </xf>
    <xf numFmtId="38" fontId="0" fillId="6" borderId="54" xfId="0" applyNumberFormat="1" applyFont="1" applyFill="1" applyBorder="1" applyAlignment="1">
      <alignment vertical="center"/>
    </xf>
    <xf numFmtId="38" fontId="0" fillId="5" borderId="54" xfId="0" applyNumberFormat="1" applyFont="1" applyFill="1" applyBorder="1" applyAlignment="1">
      <alignment vertical="center"/>
    </xf>
    <xf numFmtId="38" fontId="0" fillId="2" borderId="54" xfId="0" applyNumberFormat="1" applyFont="1" applyFill="1" applyBorder="1" applyAlignment="1">
      <alignment vertical="center"/>
    </xf>
    <xf numFmtId="38" fontId="0" fillId="0" borderId="60" xfId="0" applyNumberFormat="1" applyFont="1" applyBorder="1" applyAlignment="1">
      <alignment vertical="center"/>
    </xf>
    <xf numFmtId="38" fontId="0" fillId="0" borderId="60" xfId="1" applyFont="1" applyBorder="1" applyAlignment="1">
      <alignment vertical="center"/>
    </xf>
    <xf numFmtId="0" fontId="0" fillId="0" borderId="60" xfId="0" applyFont="1" applyBorder="1" applyAlignment="1">
      <alignment vertical="center" shrinkToFit="1"/>
    </xf>
    <xf numFmtId="0" fontId="0" fillId="0" borderId="61" xfId="0" applyFont="1" applyBorder="1" applyAlignment="1">
      <alignment horizontal="center" vertical="center" shrinkToFit="1"/>
    </xf>
    <xf numFmtId="0" fontId="0" fillId="0" borderId="25" xfId="0" applyFont="1" applyBorder="1" applyAlignment="1">
      <alignment horizontal="center" vertical="center" shrinkToFit="1"/>
    </xf>
    <xf numFmtId="0" fontId="0" fillId="0" borderId="62" xfId="0" applyFont="1" applyBorder="1" applyAlignment="1">
      <alignment vertical="center" shrinkToFit="1"/>
    </xf>
    <xf numFmtId="3" fontId="0" fillId="0" borderId="0" xfId="0" applyNumberFormat="1" applyFont="1" applyAlignment="1">
      <alignment vertical="center"/>
    </xf>
    <xf numFmtId="0" fontId="0" fillId="0" borderId="54" xfId="0" applyFont="1" applyBorder="1" applyAlignment="1">
      <alignment vertical="center"/>
    </xf>
    <xf numFmtId="0" fontId="0" fillId="0" borderId="60" xfId="0" applyFont="1" applyBorder="1" applyAlignment="1">
      <alignment vertical="center"/>
    </xf>
    <xf numFmtId="0" fontId="0" fillId="0" borderId="0" xfId="0" applyAlignment="1">
      <alignment vertical="center" shrinkToFit="1"/>
    </xf>
    <xf numFmtId="178" fontId="0" fillId="0" borderId="68" xfId="1" applyNumberFormat="1" applyFont="1" applyBorder="1" applyAlignment="1">
      <alignment vertical="center"/>
    </xf>
    <xf numFmtId="178" fontId="0" fillId="0" borderId="69" xfId="1" applyNumberFormat="1" applyFont="1" applyBorder="1" applyAlignment="1">
      <alignment vertical="center"/>
    </xf>
    <xf numFmtId="38" fontId="0" fillId="0" borderId="69" xfId="1" applyNumberFormat="1" applyFont="1" applyBorder="1" applyAlignment="1">
      <alignment vertical="center"/>
    </xf>
    <xf numFmtId="0" fontId="0" fillId="7" borderId="0" xfId="0" applyFont="1" applyFill="1" applyAlignment="1">
      <alignment vertical="center"/>
    </xf>
    <xf numFmtId="38" fontId="0" fillId="0" borderId="0" xfId="7" applyFont="1" applyAlignment="1"/>
    <xf numFmtId="0" fontId="0" fillId="0" borderId="0" xfId="0" applyAlignment="1">
      <alignment horizontal="center" vertical="center"/>
    </xf>
    <xf numFmtId="0" fontId="13" fillId="7" borderId="0" xfId="0" applyFont="1" applyFill="1" applyAlignment="1">
      <alignment vertical="center"/>
    </xf>
    <xf numFmtId="0" fontId="13" fillId="0" borderId="0" xfId="0" applyFont="1" applyAlignment="1">
      <alignment vertical="center"/>
    </xf>
    <xf numFmtId="38" fontId="0" fillId="0" borderId="60" xfId="0" applyNumberFormat="1" applyFill="1" applyBorder="1" applyAlignment="1">
      <alignment vertical="center"/>
    </xf>
    <xf numFmtId="38" fontId="0" fillId="0" borderId="54" xfId="0" applyNumberFormat="1" applyFill="1" applyBorder="1" applyAlignment="1">
      <alignment vertical="center"/>
    </xf>
    <xf numFmtId="0" fontId="0" fillId="0" borderId="54" xfId="0" applyFont="1" applyBorder="1" applyAlignment="1">
      <alignment horizontal="left" vertical="center"/>
    </xf>
    <xf numFmtId="0" fontId="0" fillId="7" borderId="0" xfId="0" applyFill="1" applyAlignment="1">
      <alignment vertical="center" shrinkToFit="1"/>
    </xf>
    <xf numFmtId="0" fontId="10" fillId="0" borderId="0" xfId="12"/>
    <xf numFmtId="0" fontId="14" fillId="0" borderId="0" xfId="12" applyFont="1" applyAlignment="1">
      <alignment horizontal="right"/>
    </xf>
    <xf numFmtId="0" fontId="10" fillId="0" borderId="0" xfId="12" applyAlignment="1">
      <alignment horizontal="right"/>
    </xf>
    <xf numFmtId="0" fontId="10" fillId="0" borderId="0" xfId="12" applyAlignment="1">
      <alignment horizontal="left"/>
    </xf>
    <xf numFmtId="0" fontId="10" fillId="0" borderId="0" xfId="12" applyAlignment="1">
      <alignment horizontal="centerContinuous"/>
    </xf>
    <xf numFmtId="0" fontId="10" fillId="0" borderId="0" xfId="12" applyAlignment="1">
      <alignment horizontal="center"/>
    </xf>
    <xf numFmtId="38" fontId="10" fillId="0" borderId="0" xfId="1" applyFont="1"/>
    <xf numFmtId="38" fontId="10" fillId="0" borderId="0" xfId="12" applyNumberFormat="1"/>
    <xf numFmtId="0" fontId="2" fillId="0" borderId="0" xfId="9"/>
    <xf numFmtId="179" fontId="10" fillId="0" borderId="0" xfId="12" applyNumberFormat="1"/>
    <xf numFmtId="38" fontId="0" fillId="0" borderId="0" xfId="7" applyFont="1" applyFill="1" applyAlignment="1">
      <alignment vertical="center"/>
    </xf>
    <xf numFmtId="0" fontId="10" fillId="0" borderId="0" xfId="12" applyFill="1" applyAlignment="1">
      <alignment vertical="center"/>
    </xf>
    <xf numFmtId="0" fontId="10" fillId="7" borderId="0" xfId="12" applyFill="1"/>
    <xf numFmtId="0" fontId="10" fillId="0" borderId="0" xfId="12" applyFill="1"/>
    <xf numFmtId="0" fontId="1" fillId="0" borderId="0" xfId="14" applyFill="1" applyAlignment="1">
      <alignment vertical="center"/>
    </xf>
    <xf numFmtId="38" fontId="0" fillId="9" borderId="21" xfId="1" applyFont="1" applyFill="1" applyBorder="1" applyAlignment="1">
      <alignment horizontal="right" vertical="center"/>
    </xf>
    <xf numFmtId="38" fontId="0" fillId="9" borderId="20" xfId="1" applyFont="1" applyFill="1" applyBorder="1" applyAlignment="1">
      <alignment vertical="center"/>
    </xf>
    <xf numFmtId="38" fontId="0" fillId="9" borderId="17" xfId="1" applyFont="1" applyFill="1" applyBorder="1" applyAlignment="1">
      <alignment vertical="center"/>
    </xf>
    <xf numFmtId="38" fontId="0" fillId="9" borderId="21" xfId="1" applyFont="1" applyFill="1" applyBorder="1" applyAlignment="1">
      <alignment vertical="center"/>
    </xf>
    <xf numFmtId="0" fontId="0" fillId="0" borderId="0" xfId="0" applyFill="1" applyAlignment="1">
      <alignment vertical="center" shrinkToFit="1"/>
    </xf>
    <xf numFmtId="38" fontId="0" fillId="0" borderId="0" xfId="7" applyFont="1" applyFill="1" applyAlignment="1"/>
    <xf numFmtId="38" fontId="0" fillId="0" borderId="0" xfId="0" applyNumberFormat="1" applyFill="1"/>
    <xf numFmtId="0" fontId="0" fillId="0" borderId="0" xfId="0" applyFill="1"/>
    <xf numFmtId="0" fontId="1" fillId="0" borderId="0" xfId="14" applyFill="1" applyAlignment="1"/>
    <xf numFmtId="0" fontId="0" fillId="0" borderId="0" xfId="0" applyAlignment="1">
      <alignment horizontal="center" vertical="center"/>
    </xf>
    <xf numFmtId="0" fontId="0" fillId="0" borderId="0" xfId="0" applyBorder="1" applyAlignment="1">
      <alignment horizontal="center" vertical="center"/>
    </xf>
    <xf numFmtId="0" fontId="0" fillId="0" borderId="0" xfId="0" applyAlignment="1">
      <alignment horizontal="center" vertical="center"/>
    </xf>
    <xf numFmtId="176" fontId="0" fillId="0" borderId="29" xfId="2" applyNumberFormat="1" applyFont="1" applyBorder="1" applyAlignment="1">
      <alignment horizontal="center" vertical="center"/>
    </xf>
    <xf numFmtId="180" fontId="0" fillId="11" borderId="0" xfId="7" applyNumberFormat="1" applyFont="1" applyFill="1" applyAlignment="1">
      <alignment horizontal="center"/>
    </xf>
    <xf numFmtId="180" fontId="0" fillId="11" borderId="31" xfId="2" applyNumberFormat="1" applyFont="1" applyFill="1" applyBorder="1" applyAlignment="1">
      <alignment horizontal="center" vertical="center"/>
    </xf>
    <xf numFmtId="180" fontId="0" fillId="11" borderId="0" xfId="2" applyNumberFormat="1" applyFont="1" applyFill="1" applyBorder="1" applyAlignment="1">
      <alignment horizontal="center" vertical="center" shrinkToFit="1"/>
    </xf>
    <xf numFmtId="180" fontId="0" fillId="11" borderId="32" xfId="2" applyNumberFormat="1" applyFont="1" applyFill="1" applyBorder="1" applyAlignment="1">
      <alignment horizontal="center" vertical="center"/>
    </xf>
    <xf numFmtId="180" fontId="0" fillId="11" borderId="31" xfId="2" applyNumberFormat="1" applyFont="1" applyFill="1" applyBorder="1" applyAlignment="1">
      <alignment horizontal="center" vertical="center" shrinkToFit="1"/>
    </xf>
    <xf numFmtId="38" fontId="2" fillId="9" borderId="61" xfId="1" applyFont="1" applyFill="1" applyBorder="1" applyAlignment="1">
      <alignment vertical="center"/>
    </xf>
    <xf numFmtId="38" fontId="2" fillId="9" borderId="55" xfId="1" applyFont="1" applyFill="1" applyBorder="1" applyAlignment="1">
      <alignment vertical="center"/>
    </xf>
    <xf numFmtId="0" fontId="0" fillId="0" borderId="0" xfId="0" applyFill="1" applyBorder="1" applyAlignment="1">
      <alignment vertical="center"/>
    </xf>
    <xf numFmtId="0" fontId="0" fillId="0" borderId="0" xfId="0" applyFill="1" applyBorder="1" applyAlignment="1">
      <alignment horizontal="right" vertical="center"/>
    </xf>
    <xf numFmtId="38" fontId="0" fillId="0" borderId="0" xfId="1" applyFont="1" applyFill="1" applyBorder="1" applyAlignment="1">
      <alignment vertical="center"/>
    </xf>
    <xf numFmtId="38" fontId="2" fillId="9" borderId="25" xfId="1" applyFont="1" applyFill="1" applyBorder="1" applyAlignment="1">
      <alignment vertical="center"/>
    </xf>
    <xf numFmtId="38" fontId="2" fillId="9" borderId="19" xfId="1" applyFont="1" applyFill="1" applyBorder="1" applyAlignment="1">
      <alignment vertical="center"/>
    </xf>
    <xf numFmtId="38" fontId="2" fillId="9" borderId="60" xfId="1" applyFont="1" applyFill="1" applyBorder="1" applyAlignment="1">
      <alignment vertical="center"/>
    </xf>
    <xf numFmtId="38" fontId="2" fillId="9" borderId="54" xfId="1" applyFont="1" applyFill="1" applyBorder="1" applyAlignment="1">
      <alignment vertical="center"/>
    </xf>
    <xf numFmtId="38" fontId="0" fillId="0" borderId="0" xfId="0" applyNumberFormat="1"/>
    <xf numFmtId="49" fontId="0" fillId="0" borderId="0" xfId="7" applyNumberFormat="1" applyFont="1" applyAlignment="1">
      <alignment horizontal="right"/>
    </xf>
    <xf numFmtId="38" fontId="10" fillId="7" borderId="0" xfId="1" applyFont="1" applyFill="1"/>
    <xf numFmtId="38" fontId="0" fillId="12" borderId="54" xfId="1" applyFont="1" applyFill="1" applyBorder="1" applyAlignment="1">
      <alignment vertical="center"/>
    </xf>
    <xf numFmtId="38" fontId="0" fillId="0" borderId="0" xfId="7" applyFont="1" applyFill="1" applyAlignment="1">
      <alignment vertical="center" shrinkToFit="1"/>
    </xf>
    <xf numFmtId="38" fontId="0" fillId="13" borderId="0" xfId="7" applyFont="1" applyFill="1" applyAlignment="1"/>
    <xf numFmtId="38" fontId="0" fillId="0" borderId="0" xfId="7" applyFont="1" applyFill="1" applyBorder="1" applyAlignment="1">
      <alignment horizontal="center" vertical="center" shrinkToFit="1"/>
    </xf>
    <xf numFmtId="38" fontId="0" fillId="0" borderId="0" xfId="7" applyFont="1" applyFill="1" applyAlignment="1">
      <alignment horizontal="center" vertical="center" shrinkToFit="1"/>
    </xf>
    <xf numFmtId="38" fontId="0" fillId="0" borderId="0" xfId="7" applyFont="1" applyFill="1" applyAlignment="1">
      <alignment horizontal="center"/>
    </xf>
    <xf numFmtId="180" fontId="0" fillId="0" borderId="0" xfId="7" applyNumberFormat="1" applyFont="1" applyFill="1" applyAlignment="1">
      <alignment horizontal="center"/>
    </xf>
    <xf numFmtId="0" fontId="0" fillId="7" borderId="0" xfId="0" applyFill="1" applyAlignment="1">
      <alignment horizontal="right" vertical="center" shrinkToFit="1"/>
    </xf>
    <xf numFmtId="38" fontId="0" fillId="7" borderId="0" xfId="7" applyFont="1" applyFill="1" applyAlignment="1"/>
    <xf numFmtId="38" fontId="0" fillId="7" borderId="20" xfId="1" applyFont="1" applyFill="1" applyBorder="1" applyAlignment="1">
      <alignment vertical="center"/>
    </xf>
    <xf numFmtId="38" fontId="0" fillId="7" borderId="17" xfId="1" applyFont="1" applyFill="1" applyBorder="1" applyAlignment="1">
      <alignment vertical="center"/>
    </xf>
    <xf numFmtId="38" fontId="5" fillId="0" borderId="27" xfId="1" applyFont="1" applyBorder="1" applyAlignment="1">
      <alignment horizontal="right" vertical="center"/>
    </xf>
    <xf numFmtId="38" fontId="0" fillId="0" borderId="0" xfId="7" applyFont="1" applyFill="1" applyAlignment="1">
      <alignment horizontal="center" vertical="center" shrinkToFit="1"/>
    </xf>
    <xf numFmtId="0" fontId="0" fillId="0" borderId="0" xfId="0" applyFill="1" applyAlignment="1">
      <alignment horizontal="center" vertical="center" shrinkToFit="1"/>
    </xf>
    <xf numFmtId="0" fontId="0" fillId="0" borderId="45" xfId="0" applyFont="1" applyBorder="1" applyAlignment="1">
      <alignment horizontal="center" vertical="center"/>
    </xf>
    <xf numFmtId="0" fontId="0" fillId="0" borderId="40" xfId="0" applyFont="1" applyBorder="1" applyAlignment="1">
      <alignment horizontal="center" vertical="center"/>
    </xf>
    <xf numFmtId="0" fontId="0" fillId="0" borderId="9" xfId="0" applyFont="1" applyBorder="1" applyAlignment="1">
      <alignment horizontal="center" vertical="center"/>
    </xf>
    <xf numFmtId="0" fontId="0" fillId="0" borderId="44" xfId="0" quotePrefix="1" applyFont="1" applyBorder="1" applyAlignment="1">
      <alignment horizontal="center" vertical="center"/>
    </xf>
    <xf numFmtId="0" fontId="0" fillId="0" borderId="43" xfId="0" applyFont="1" applyBorder="1" applyAlignment="1">
      <alignment horizontal="center" vertical="center"/>
    </xf>
    <xf numFmtId="0" fontId="0" fillId="0" borderId="42" xfId="0" applyFont="1" applyBorder="1" applyAlignment="1">
      <alignment horizontal="center" vertical="center"/>
    </xf>
    <xf numFmtId="0" fontId="0" fillId="0" borderId="39" xfId="0" applyFont="1" applyBorder="1" applyAlignment="1">
      <alignment horizontal="center" vertical="center"/>
    </xf>
    <xf numFmtId="0" fontId="0" fillId="0" borderId="34" xfId="0" applyFont="1" applyBorder="1" applyAlignment="1">
      <alignment horizontal="center" vertical="center"/>
    </xf>
    <xf numFmtId="0" fontId="0" fillId="0" borderId="38" xfId="0" applyFont="1" applyBorder="1" applyAlignment="1">
      <alignment horizontal="center" vertical="center"/>
    </xf>
    <xf numFmtId="0" fontId="0" fillId="0" borderId="36" xfId="0" applyFont="1" applyBorder="1" applyAlignment="1">
      <alignment horizontal="center" vertical="center"/>
    </xf>
    <xf numFmtId="0" fontId="0" fillId="0" borderId="37" xfId="0" applyFont="1" applyBorder="1" applyAlignment="1">
      <alignment horizontal="center" vertical="center"/>
    </xf>
    <xf numFmtId="0" fontId="0" fillId="0" borderId="29" xfId="0" applyFont="1" applyBorder="1" applyAlignment="1">
      <alignment horizontal="center" vertical="center"/>
    </xf>
    <xf numFmtId="0" fontId="0" fillId="0" borderId="40" xfId="0" applyBorder="1" applyAlignment="1">
      <alignment horizontal="center" vertical="center"/>
    </xf>
    <xf numFmtId="0" fontId="0" fillId="0" borderId="0" xfId="0" applyBorder="1" applyAlignment="1">
      <alignment horizontal="center" vertical="center"/>
    </xf>
    <xf numFmtId="0" fontId="0" fillId="0" borderId="0" xfId="0" applyAlignment="1">
      <alignment horizontal="center" vertical="center"/>
    </xf>
    <xf numFmtId="0" fontId="0" fillId="0" borderId="60" xfId="0" applyFont="1" applyBorder="1" applyAlignment="1">
      <alignment horizontal="center" vertical="center"/>
    </xf>
    <xf numFmtId="0" fontId="0" fillId="0" borderId="63" xfId="0" applyFont="1" applyBorder="1" applyAlignment="1">
      <alignment horizontal="center" vertical="center"/>
    </xf>
    <xf numFmtId="38" fontId="0" fillId="0" borderId="38" xfId="1" applyFont="1" applyBorder="1" applyAlignment="1">
      <alignment horizontal="center" vertical="center"/>
    </xf>
    <xf numFmtId="38" fontId="0" fillId="0" borderId="36" xfId="1" applyFont="1" applyBorder="1" applyAlignment="1">
      <alignment horizontal="center" vertical="center"/>
    </xf>
    <xf numFmtId="38" fontId="0" fillId="0" borderId="64" xfId="1" applyFont="1" applyBorder="1" applyAlignment="1">
      <alignment horizontal="center" vertical="center"/>
    </xf>
    <xf numFmtId="38" fontId="0" fillId="0" borderId="0" xfId="1" applyFont="1" applyAlignment="1">
      <alignment vertical="top" wrapText="1"/>
    </xf>
    <xf numFmtId="0" fontId="0" fillId="0" borderId="35" xfId="0" applyFont="1" applyBorder="1" applyAlignment="1">
      <alignment horizontal="center" vertical="center"/>
    </xf>
    <xf numFmtId="0" fontId="0" fillId="0" borderId="28" xfId="0" applyFont="1" applyBorder="1" applyAlignment="1">
      <alignment horizontal="center" vertical="center"/>
    </xf>
    <xf numFmtId="38" fontId="0" fillId="0" borderId="41" xfId="1" quotePrefix="1" applyFont="1" applyBorder="1" applyAlignment="1">
      <alignment horizontal="center"/>
    </xf>
    <xf numFmtId="38" fontId="0" fillId="0" borderId="1" xfId="1" quotePrefix="1" applyFont="1" applyBorder="1" applyAlignment="1">
      <alignment horizontal="center"/>
    </xf>
    <xf numFmtId="0" fontId="0" fillId="0" borderId="62" xfId="0" applyFont="1" applyBorder="1" applyAlignment="1">
      <alignment horizontal="center" vertical="center"/>
    </xf>
    <xf numFmtId="0" fontId="0" fillId="0" borderId="33" xfId="0" applyFont="1" applyBorder="1" applyAlignment="1">
      <alignment horizontal="center" vertical="center"/>
    </xf>
    <xf numFmtId="0" fontId="0" fillId="0" borderId="25" xfId="0" applyFont="1" applyBorder="1" applyAlignment="1">
      <alignment horizontal="center" vertical="center"/>
    </xf>
    <xf numFmtId="0" fontId="0" fillId="0" borderId="32" xfId="0" applyFont="1" applyBorder="1" applyAlignment="1">
      <alignment horizontal="center" vertical="center"/>
    </xf>
    <xf numFmtId="0" fontId="0" fillId="0" borderId="61" xfId="0" applyFont="1" applyBorder="1" applyAlignment="1">
      <alignment horizontal="center" vertical="center"/>
    </xf>
    <xf numFmtId="0" fontId="0" fillId="0" borderId="31" xfId="0" applyFont="1" applyBorder="1" applyAlignment="1">
      <alignment horizontal="center" vertical="center"/>
    </xf>
    <xf numFmtId="0" fontId="0" fillId="0" borderId="64" xfId="0" applyFont="1" applyBorder="1" applyAlignment="1">
      <alignment horizontal="center" vertical="center"/>
    </xf>
    <xf numFmtId="0" fontId="0" fillId="0" borderId="62" xfId="0" applyBorder="1" applyAlignment="1">
      <alignment horizontal="center" vertical="center"/>
    </xf>
    <xf numFmtId="0" fontId="0" fillId="0" borderId="33" xfId="0" applyBorder="1" applyAlignment="1">
      <alignment horizontal="center" vertical="center"/>
    </xf>
    <xf numFmtId="0" fontId="0" fillId="0" borderId="25" xfId="0" applyBorder="1" applyAlignment="1">
      <alignment horizontal="center" vertical="center"/>
    </xf>
    <xf numFmtId="0" fontId="0" fillId="0" borderId="32" xfId="0" applyBorder="1" applyAlignment="1">
      <alignment horizontal="center" vertical="center"/>
    </xf>
    <xf numFmtId="0" fontId="0" fillId="0" borderId="61" xfId="0" applyBorder="1" applyAlignment="1">
      <alignment horizontal="center" vertical="center"/>
    </xf>
    <xf numFmtId="0" fontId="0" fillId="0" borderId="31" xfId="0" applyBorder="1" applyAlignment="1">
      <alignment horizontal="center" vertical="center"/>
    </xf>
    <xf numFmtId="0" fontId="0" fillId="0" borderId="60" xfId="0" applyBorder="1" applyAlignment="1">
      <alignment horizontal="center" vertical="center"/>
    </xf>
    <xf numFmtId="0" fontId="0" fillId="0" borderId="63" xfId="0" applyBorder="1" applyAlignment="1">
      <alignment horizontal="center" vertical="center"/>
    </xf>
    <xf numFmtId="0" fontId="0" fillId="0" borderId="38" xfId="0" applyBorder="1" applyAlignment="1">
      <alignment horizontal="center" vertical="center"/>
    </xf>
    <xf numFmtId="0" fontId="0" fillId="0" borderId="36" xfId="0" applyBorder="1" applyAlignment="1">
      <alignment horizontal="center" vertical="center"/>
    </xf>
    <xf numFmtId="0" fontId="0" fillId="0" borderId="64" xfId="0" applyBorder="1" applyAlignment="1">
      <alignment horizontal="center" vertical="center"/>
    </xf>
  </cellXfs>
  <cellStyles count="15">
    <cellStyle name="パーセント" xfId="2" builtinId="5"/>
    <cellStyle name="パーセント 2" xfId="3"/>
    <cellStyle name="桁区切り" xfId="1" builtinId="6"/>
    <cellStyle name="桁区切り 2" xfId="4"/>
    <cellStyle name="桁区切り 2 2" xfId="5"/>
    <cellStyle name="桁区切り 3" xfId="6"/>
    <cellStyle name="桁区切り 4" xfId="7"/>
    <cellStyle name="標準" xfId="0" builtinId="0"/>
    <cellStyle name="標準 2" xfId="8"/>
    <cellStyle name="標準 2 2" xfId="9"/>
    <cellStyle name="標準 3" xfId="10"/>
    <cellStyle name="標準 4" xfId="11"/>
    <cellStyle name="標準 5" xfId="12"/>
    <cellStyle name="標準 6" xfId="13"/>
    <cellStyle name="標準 7" xfId="14"/>
  </cellStyles>
  <dxfs count="110">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s>
  <tableStyles count="0" defaultTableStyle="TableStyleMedium2" defaultPivotStyle="PivotStyleLight16"/>
  <colors>
    <mruColors>
      <color rgb="FFFF66FF"/>
      <color rgb="FFFF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100853</xdr:colOff>
      <xdr:row>2</xdr:row>
      <xdr:rowOff>145676</xdr:rowOff>
    </xdr:from>
    <xdr:to>
      <xdr:col>11</xdr:col>
      <xdr:colOff>179295</xdr:colOff>
      <xdr:row>9</xdr:row>
      <xdr:rowOff>156881</xdr:rowOff>
    </xdr:to>
    <xdr:sp macro="" textlink="">
      <xdr:nvSpPr>
        <xdr:cNvPr id="2" name="角丸四角形吹き出し 1"/>
        <xdr:cNvSpPr/>
      </xdr:nvSpPr>
      <xdr:spPr>
        <a:xfrm>
          <a:off x="515471" y="481852"/>
          <a:ext cx="3933265" cy="1187823"/>
        </a:xfrm>
        <a:prstGeom prst="wedgeRoundRectCallout">
          <a:avLst>
            <a:gd name="adj1" fmla="val 59233"/>
            <a:gd name="adj2" fmla="val 86002"/>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800" b="1">
              <a:latin typeface="+mn-ea"/>
              <a:ea typeface="+mn-ea"/>
            </a:rPr>
            <a:t>災害伝票</a:t>
          </a:r>
          <a:endParaRPr kumimoji="1" lang="en-US" altLang="ja-JP" sz="1800" b="1">
            <a:latin typeface="+mn-ea"/>
            <a:ea typeface="+mn-ea"/>
          </a:endParaRPr>
        </a:p>
        <a:p>
          <a:pPr algn="l"/>
          <a:r>
            <a:rPr kumimoji="1" lang="en-US" altLang="ja-JP" sz="1800" b="1">
              <a:latin typeface="+mn-ea"/>
              <a:ea typeface="+mn-ea"/>
            </a:rPr>
            <a:t>R3</a:t>
          </a:r>
          <a:r>
            <a:rPr kumimoji="1" lang="ja-JP" altLang="en-US" sz="1800" b="1">
              <a:latin typeface="+mn-ea"/>
              <a:ea typeface="+mn-ea"/>
            </a:rPr>
            <a:t>年度決算は公共</a:t>
          </a:r>
          <a:r>
            <a:rPr kumimoji="1" lang="en-US" altLang="ja-JP" sz="1800" b="1">
              <a:latin typeface="+mn-ea"/>
              <a:ea typeface="+mn-ea"/>
            </a:rPr>
            <a:t>3</a:t>
          </a:r>
          <a:r>
            <a:rPr kumimoji="1" lang="ja-JP" altLang="en-US" sz="1800" b="1">
              <a:latin typeface="+mn-ea"/>
              <a:ea typeface="+mn-ea"/>
            </a:rPr>
            <a:t>条・</a:t>
          </a:r>
          <a:r>
            <a:rPr kumimoji="1" lang="en-US" altLang="ja-JP" sz="1800" b="1">
              <a:latin typeface="+mn-ea"/>
              <a:ea typeface="+mn-ea"/>
            </a:rPr>
            <a:t>4</a:t>
          </a:r>
          <a:r>
            <a:rPr kumimoji="1" lang="ja-JP" altLang="en-US" sz="1800" b="1">
              <a:latin typeface="+mn-ea"/>
              <a:ea typeface="+mn-ea"/>
            </a:rPr>
            <a:t>条支出、農集</a:t>
          </a:r>
          <a:r>
            <a:rPr kumimoji="1" lang="en-US" altLang="ja-JP" sz="1800" b="1">
              <a:latin typeface="+mn-ea"/>
              <a:ea typeface="+mn-ea"/>
            </a:rPr>
            <a:t>3</a:t>
          </a:r>
          <a:r>
            <a:rPr kumimoji="1" lang="ja-JP" altLang="en-US" sz="1800" b="1">
              <a:latin typeface="+mn-ea"/>
              <a:ea typeface="+mn-ea"/>
            </a:rPr>
            <a:t>条支出あり</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89647</xdr:colOff>
      <xdr:row>64</xdr:row>
      <xdr:rowOff>112059</xdr:rowOff>
    </xdr:from>
    <xdr:to>
      <xdr:col>19</xdr:col>
      <xdr:colOff>818029</xdr:colOff>
      <xdr:row>78</xdr:row>
      <xdr:rowOff>33617</xdr:rowOff>
    </xdr:to>
    <xdr:sp macro="" textlink="">
      <xdr:nvSpPr>
        <xdr:cNvPr id="2" name="角丸四角形吹き出し 1"/>
        <xdr:cNvSpPr/>
      </xdr:nvSpPr>
      <xdr:spPr>
        <a:xfrm>
          <a:off x="13794441" y="9558618"/>
          <a:ext cx="3641912" cy="2308411"/>
        </a:xfrm>
        <a:prstGeom prst="wedgeRoundRectCallout">
          <a:avLst>
            <a:gd name="adj1" fmla="val -78679"/>
            <a:gd name="adj2" fmla="val -15582"/>
            <a:gd name="adj3" fmla="val 16667"/>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R5</a:t>
          </a:r>
          <a:r>
            <a:rPr kumimoji="1" lang="ja-JP" altLang="en-US" sz="1100"/>
            <a:t>決算：修正</a:t>
          </a:r>
          <a:endParaRPr kumimoji="1" lang="en-US" altLang="ja-JP" sz="1100"/>
        </a:p>
        <a:p>
          <a:pPr algn="l"/>
          <a:r>
            <a:rPr kumimoji="1" lang="ja-JP" altLang="en-US" sz="1100"/>
            <a:t>一時借入金利息は汚水経費としているのに、なぜか雨水にも計上され、税込決算額が不整合となっていた。</a:t>
          </a:r>
          <a:endParaRPr kumimoji="1" lang="en-US" altLang="ja-JP" sz="1100"/>
        </a:p>
        <a:p>
          <a:pPr algn="l"/>
          <a:r>
            <a:rPr kumimoji="1" lang="ja-JP" altLang="en-US" sz="1100"/>
            <a:t>このため、雨水</a:t>
          </a:r>
          <a:r>
            <a:rPr kumimoji="1" lang="en-US" altLang="ja-JP" sz="1100"/>
            <a:t>E71</a:t>
          </a:r>
          <a:r>
            <a:rPr kumimoji="1" lang="ja-JP" altLang="en-US" sz="1100"/>
            <a:t>の参照先を修正した。</a:t>
          </a:r>
          <a:endParaRPr kumimoji="1" lang="en-US" altLang="ja-JP" sz="1100"/>
        </a:p>
        <a:p>
          <a:pPr algn="l"/>
          <a:r>
            <a:rPr kumimoji="1" lang="ja-JP" altLang="en-US" sz="1100"/>
            <a:t>なお、不課税収入区分表では、営業費用</a:t>
          </a:r>
          <a:r>
            <a:rPr kumimoji="1" lang="en-US" altLang="ja-JP" sz="1100"/>
            <a:t>E53</a:t>
          </a:r>
          <a:r>
            <a:rPr kumimoji="1" lang="ja-JP" altLang="en-US" sz="1100"/>
            <a:t>を参照しているので、影響なし。</a:t>
          </a:r>
          <a:endParaRPr kumimoji="1" lang="en-US" altLang="ja-JP" sz="1100"/>
        </a:p>
        <a:p>
          <a:pPr algn="l"/>
          <a:r>
            <a:rPr kumimoji="1" lang="ja-JP" altLang="en-US" sz="1100"/>
            <a:t>（</a:t>
          </a:r>
          <a:r>
            <a:rPr kumimoji="1" lang="en-US" altLang="ja-JP" sz="1100"/>
            <a:t>H29</a:t>
          </a:r>
          <a:r>
            <a:rPr kumimoji="1" lang="ja-JP" altLang="en-US" sz="1100"/>
            <a:t>以降なぜかずっとこの数式、このエクセルになる</a:t>
          </a:r>
          <a:r>
            <a:rPr kumimoji="1" lang="en-US" altLang="ja-JP" sz="1100"/>
            <a:t>H28</a:t>
          </a:r>
          <a:r>
            <a:rPr kumimoji="1" lang="ja-JP" altLang="en-US" sz="1100"/>
            <a:t>以前は正しい（そもそも一時借入金利息がなかったのかもしれない）。）</a:t>
          </a:r>
          <a:endParaRPr kumimoji="1" lang="en-US" altLang="ja-JP" sz="1100"/>
        </a:p>
        <a:p>
          <a:pPr algn="l"/>
          <a:r>
            <a:rPr kumimoji="1" lang="ja-JP" altLang="en-US" sz="1100"/>
            <a:t>なお、課税支出額は手入力（通常ゼロ）</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20</xdr:col>
      <xdr:colOff>67235</xdr:colOff>
      <xdr:row>5</xdr:row>
      <xdr:rowOff>11206</xdr:rowOff>
    </xdr:from>
    <xdr:to>
      <xdr:col>24</xdr:col>
      <xdr:colOff>106455</xdr:colOff>
      <xdr:row>7</xdr:row>
      <xdr:rowOff>94129</xdr:rowOff>
    </xdr:to>
    <xdr:sp macro="" textlink="">
      <xdr:nvSpPr>
        <xdr:cNvPr id="2" name="テキスト ボックス 1"/>
        <xdr:cNvSpPr txBox="1"/>
      </xdr:nvSpPr>
      <xdr:spPr>
        <a:xfrm>
          <a:off x="18500911" y="851647"/>
          <a:ext cx="2190750" cy="419100"/>
        </a:xfrm>
        <a:prstGeom prst="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lstStyle/>
        <a:p>
          <a:r>
            <a:rPr kumimoji="1" lang="ja-JP" altLang="en-US" sz="1100"/>
            <a:t>←</a:t>
          </a:r>
          <a:r>
            <a:rPr kumimoji="1" lang="en-US" altLang="ja-JP" sz="1100"/>
            <a:t>R6.4.26</a:t>
          </a:r>
          <a:r>
            <a:rPr kumimoji="1" lang="ja-JP" altLang="en-US" sz="1100"/>
            <a:t>　入力済み</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309562</xdr:colOff>
      <xdr:row>8</xdr:row>
      <xdr:rowOff>83344</xdr:rowOff>
    </xdr:from>
    <xdr:to>
      <xdr:col>14</xdr:col>
      <xdr:colOff>702469</xdr:colOff>
      <xdr:row>17</xdr:row>
      <xdr:rowOff>119062</xdr:rowOff>
    </xdr:to>
    <xdr:sp macro="" textlink="">
      <xdr:nvSpPr>
        <xdr:cNvPr id="2" name="角丸四角形 1"/>
        <xdr:cNvSpPr/>
      </xdr:nvSpPr>
      <xdr:spPr>
        <a:xfrm>
          <a:off x="3345656" y="1416844"/>
          <a:ext cx="9191626" cy="1535906"/>
        </a:xfrm>
        <a:prstGeom prst="roundRect">
          <a:avLst/>
        </a:prstGeom>
        <a:solidFill>
          <a:schemeClr val="bg1"/>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l"/>
          <a:r>
            <a:rPr kumimoji="1" lang="en-US" altLang="ja-JP" sz="1600" b="1">
              <a:solidFill>
                <a:srgbClr val="0000FF"/>
              </a:solidFill>
              <a:latin typeface="ＭＳ Ｐゴシック" pitchFamily="50" charset="-128"/>
              <a:ea typeface="ＭＳ Ｐゴシック" pitchFamily="50" charset="-128"/>
            </a:rPr>
            <a:t>H29</a:t>
          </a:r>
          <a:r>
            <a:rPr kumimoji="1" lang="ja-JP" altLang="en-US" sz="1600" b="1">
              <a:solidFill>
                <a:srgbClr val="0000FF"/>
              </a:solidFill>
              <a:latin typeface="ＭＳ Ｐゴシック" pitchFamily="50" charset="-128"/>
              <a:ea typeface="ＭＳ Ｐゴシック" pitchFamily="50" charset="-128"/>
            </a:rPr>
            <a:t>年度決算以降は、当初（</a:t>
          </a:r>
          <a:r>
            <a:rPr kumimoji="1" lang="en-US" altLang="ja-JP" sz="1600" b="1">
              <a:solidFill>
                <a:srgbClr val="0000FF"/>
              </a:solidFill>
              <a:latin typeface="ＭＳ Ｐゴシック" pitchFamily="50" charset="-128"/>
              <a:ea typeface="ＭＳ Ｐゴシック" pitchFamily="50" charset="-128"/>
            </a:rPr>
            <a:t>3</a:t>
          </a:r>
          <a:r>
            <a:rPr kumimoji="1" lang="ja-JP" altLang="en-US" sz="1600" b="1">
              <a:solidFill>
                <a:srgbClr val="0000FF"/>
              </a:solidFill>
              <a:latin typeface="ＭＳ Ｐゴシック" pitchFamily="50" charset="-128"/>
              <a:ea typeface="ＭＳ Ｐゴシック" pitchFamily="50" charset="-128"/>
            </a:rPr>
            <a:t>条支出のすべての額が固まる前）の段階で、共通経費の按分の処理を完了し、按分前の表において、既に反映させている。（按分前と按分後の表は同じ額）</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228600</xdr:colOff>
      <xdr:row>7</xdr:row>
      <xdr:rowOff>133350</xdr:rowOff>
    </xdr:from>
    <xdr:to>
      <xdr:col>16</xdr:col>
      <xdr:colOff>116682</xdr:colOff>
      <xdr:row>16</xdr:row>
      <xdr:rowOff>169068</xdr:rowOff>
    </xdr:to>
    <xdr:sp macro="" textlink="">
      <xdr:nvSpPr>
        <xdr:cNvPr id="2" name="角丸四角形 1"/>
        <xdr:cNvSpPr/>
      </xdr:nvSpPr>
      <xdr:spPr>
        <a:xfrm>
          <a:off x="4733925" y="1333500"/>
          <a:ext cx="9184482" cy="1578768"/>
        </a:xfrm>
        <a:prstGeom prst="roundRect">
          <a:avLst/>
        </a:prstGeom>
        <a:solidFill>
          <a:schemeClr val="bg1"/>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l"/>
          <a:r>
            <a:rPr kumimoji="1" lang="en-US" altLang="ja-JP" sz="1600" b="1">
              <a:solidFill>
                <a:srgbClr val="0000FF"/>
              </a:solidFill>
              <a:latin typeface="ＭＳ Ｐゴシック" pitchFamily="50" charset="-128"/>
              <a:ea typeface="ＭＳ Ｐゴシック" pitchFamily="50" charset="-128"/>
            </a:rPr>
            <a:t>H29</a:t>
          </a:r>
          <a:r>
            <a:rPr kumimoji="1" lang="ja-JP" altLang="en-US" sz="1600" b="1">
              <a:solidFill>
                <a:srgbClr val="0000FF"/>
              </a:solidFill>
              <a:latin typeface="ＭＳ Ｐゴシック" pitchFamily="50" charset="-128"/>
              <a:ea typeface="ＭＳ Ｐゴシック" pitchFamily="50" charset="-128"/>
            </a:rPr>
            <a:t>年度決算以降は、当初（</a:t>
          </a:r>
          <a:r>
            <a:rPr kumimoji="1" lang="en-US" altLang="ja-JP" sz="1600" b="1">
              <a:solidFill>
                <a:srgbClr val="0000FF"/>
              </a:solidFill>
              <a:latin typeface="ＭＳ Ｐゴシック" pitchFamily="50" charset="-128"/>
              <a:ea typeface="ＭＳ Ｐゴシック" pitchFamily="50" charset="-128"/>
            </a:rPr>
            <a:t>3</a:t>
          </a:r>
          <a:r>
            <a:rPr kumimoji="1" lang="ja-JP" altLang="en-US" sz="1600" b="1">
              <a:solidFill>
                <a:srgbClr val="0000FF"/>
              </a:solidFill>
              <a:latin typeface="ＭＳ Ｐゴシック" pitchFamily="50" charset="-128"/>
              <a:ea typeface="ＭＳ Ｐゴシック" pitchFamily="50" charset="-128"/>
            </a:rPr>
            <a:t>条支出のすべての額が固まる前）の段階で、共通経費の按分の処理を完了し、按分前の表において、既に反映させている。（按分前と按分後の表は同じ額）</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247650</xdr:colOff>
      <xdr:row>8</xdr:row>
      <xdr:rowOff>47625</xdr:rowOff>
    </xdr:from>
    <xdr:to>
      <xdr:col>11</xdr:col>
      <xdr:colOff>869157</xdr:colOff>
      <xdr:row>17</xdr:row>
      <xdr:rowOff>83343</xdr:rowOff>
    </xdr:to>
    <xdr:sp macro="" textlink="">
      <xdr:nvSpPr>
        <xdr:cNvPr id="2" name="角丸四角形 1"/>
        <xdr:cNvSpPr/>
      </xdr:nvSpPr>
      <xdr:spPr>
        <a:xfrm>
          <a:off x="1057275" y="1419225"/>
          <a:ext cx="9184482" cy="1578768"/>
        </a:xfrm>
        <a:prstGeom prst="roundRect">
          <a:avLst/>
        </a:prstGeom>
        <a:solidFill>
          <a:schemeClr val="bg1"/>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l"/>
          <a:r>
            <a:rPr kumimoji="1" lang="en-US" altLang="ja-JP" sz="1600" b="1">
              <a:solidFill>
                <a:srgbClr val="0000FF"/>
              </a:solidFill>
              <a:latin typeface="ＭＳ Ｐゴシック" pitchFamily="50" charset="-128"/>
              <a:ea typeface="ＭＳ Ｐゴシック" pitchFamily="50" charset="-128"/>
            </a:rPr>
            <a:t>H29</a:t>
          </a:r>
          <a:r>
            <a:rPr kumimoji="1" lang="ja-JP" altLang="en-US" sz="1600" b="1">
              <a:solidFill>
                <a:srgbClr val="0000FF"/>
              </a:solidFill>
              <a:latin typeface="ＭＳ Ｐゴシック" pitchFamily="50" charset="-128"/>
              <a:ea typeface="ＭＳ Ｐゴシック" pitchFamily="50" charset="-128"/>
            </a:rPr>
            <a:t>年度決算以降は、当初（</a:t>
          </a:r>
          <a:r>
            <a:rPr kumimoji="1" lang="en-US" altLang="ja-JP" sz="1600" b="1">
              <a:solidFill>
                <a:srgbClr val="0000FF"/>
              </a:solidFill>
              <a:latin typeface="ＭＳ Ｐゴシック" pitchFamily="50" charset="-128"/>
              <a:ea typeface="ＭＳ Ｐゴシック" pitchFamily="50" charset="-128"/>
            </a:rPr>
            <a:t>3</a:t>
          </a:r>
          <a:r>
            <a:rPr kumimoji="1" lang="ja-JP" altLang="en-US" sz="1600" b="1">
              <a:solidFill>
                <a:srgbClr val="0000FF"/>
              </a:solidFill>
              <a:latin typeface="ＭＳ Ｐゴシック" pitchFamily="50" charset="-128"/>
              <a:ea typeface="ＭＳ Ｐゴシック" pitchFamily="50" charset="-128"/>
            </a:rPr>
            <a:t>条支出のすべての額が固まる前）の段階で、共通経費の按分の処理を完了し、按分前の表において、既に反映させている。（按分前と按分後の表は同じ額）</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11</xdr:row>
      <xdr:rowOff>0</xdr:rowOff>
    </xdr:from>
    <xdr:to>
      <xdr:col>15</xdr:col>
      <xdr:colOff>697707</xdr:colOff>
      <xdr:row>20</xdr:row>
      <xdr:rowOff>35718</xdr:rowOff>
    </xdr:to>
    <xdr:sp macro="" textlink="">
      <xdr:nvSpPr>
        <xdr:cNvPr id="2" name="角丸四角形 1"/>
        <xdr:cNvSpPr/>
      </xdr:nvSpPr>
      <xdr:spPr>
        <a:xfrm>
          <a:off x="4505325" y="1885950"/>
          <a:ext cx="9184482" cy="1578768"/>
        </a:xfrm>
        <a:prstGeom prst="roundRect">
          <a:avLst/>
        </a:prstGeom>
        <a:solidFill>
          <a:schemeClr val="bg1"/>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l"/>
          <a:r>
            <a:rPr kumimoji="1" lang="en-US" altLang="ja-JP" sz="1600" b="1">
              <a:solidFill>
                <a:srgbClr val="0000FF"/>
              </a:solidFill>
              <a:latin typeface="ＭＳ Ｐゴシック" pitchFamily="50" charset="-128"/>
              <a:ea typeface="ＭＳ Ｐゴシック" pitchFamily="50" charset="-128"/>
            </a:rPr>
            <a:t>H29</a:t>
          </a:r>
          <a:r>
            <a:rPr kumimoji="1" lang="ja-JP" altLang="en-US" sz="1600" b="1">
              <a:solidFill>
                <a:srgbClr val="0000FF"/>
              </a:solidFill>
              <a:latin typeface="ＭＳ Ｐゴシック" pitchFamily="50" charset="-128"/>
              <a:ea typeface="ＭＳ Ｐゴシック" pitchFamily="50" charset="-128"/>
            </a:rPr>
            <a:t>年度決算以降は、当初（</a:t>
          </a:r>
          <a:r>
            <a:rPr kumimoji="1" lang="en-US" altLang="ja-JP" sz="1600" b="1">
              <a:solidFill>
                <a:srgbClr val="0000FF"/>
              </a:solidFill>
              <a:latin typeface="ＭＳ Ｐゴシック" pitchFamily="50" charset="-128"/>
              <a:ea typeface="ＭＳ Ｐゴシック" pitchFamily="50" charset="-128"/>
            </a:rPr>
            <a:t>3</a:t>
          </a:r>
          <a:r>
            <a:rPr kumimoji="1" lang="ja-JP" altLang="en-US" sz="1600" b="1">
              <a:solidFill>
                <a:srgbClr val="0000FF"/>
              </a:solidFill>
              <a:latin typeface="ＭＳ Ｐゴシック" pitchFamily="50" charset="-128"/>
              <a:ea typeface="ＭＳ Ｐゴシック" pitchFamily="50" charset="-128"/>
            </a:rPr>
            <a:t>条支出のすべての額が固まる前）の段階で、共通経費の按分の処理を完了し、按分前の表において、既に反映させている。（按分前と按分後の表は同じ額）</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15</xdr:row>
      <xdr:rowOff>0</xdr:rowOff>
    </xdr:from>
    <xdr:to>
      <xdr:col>15</xdr:col>
      <xdr:colOff>697707</xdr:colOff>
      <xdr:row>24</xdr:row>
      <xdr:rowOff>35718</xdr:rowOff>
    </xdr:to>
    <xdr:sp macro="" textlink="">
      <xdr:nvSpPr>
        <xdr:cNvPr id="2" name="角丸四角形 1"/>
        <xdr:cNvSpPr/>
      </xdr:nvSpPr>
      <xdr:spPr>
        <a:xfrm>
          <a:off x="4505325" y="2571750"/>
          <a:ext cx="9184482" cy="1578768"/>
        </a:xfrm>
        <a:prstGeom prst="roundRect">
          <a:avLst/>
        </a:prstGeom>
        <a:solidFill>
          <a:schemeClr val="bg1"/>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l"/>
          <a:r>
            <a:rPr kumimoji="1" lang="en-US" altLang="ja-JP" sz="1600" b="1">
              <a:solidFill>
                <a:srgbClr val="0000FF"/>
              </a:solidFill>
              <a:latin typeface="ＭＳ Ｐゴシック" pitchFamily="50" charset="-128"/>
              <a:ea typeface="ＭＳ Ｐゴシック" pitchFamily="50" charset="-128"/>
            </a:rPr>
            <a:t>H29</a:t>
          </a:r>
          <a:r>
            <a:rPr kumimoji="1" lang="ja-JP" altLang="en-US" sz="1600" b="1">
              <a:solidFill>
                <a:srgbClr val="0000FF"/>
              </a:solidFill>
              <a:latin typeface="ＭＳ Ｐゴシック" pitchFamily="50" charset="-128"/>
              <a:ea typeface="ＭＳ Ｐゴシック" pitchFamily="50" charset="-128"/>
            </a:rPr>
            <a:t>年度決算以降は、当初（</a:t>
          </a:r>
          <a:r>
            <a:rPr kumimoji="1" lang="en-US" altLang="ja-JP" sz="1600" b="1">
              <a:solidFill>
                <a:srgbClr val="0000FF"/>
              </a:solidFill>
              <a:latin typeface="ＭＳ Ｐゴシック" pitchFamily="50" charset="-128"/>
              <a:ea typeface="ＭＳ Ｐゴシック" pitchFamily="50" charset="-128"/>
            </a:rPr>
            <a:t>3</a:t>
          </a:r>
          <a:r>
            <a:rPr kumimoji="1" lang="ja-JP" altLang="en-US" sz="1600" b="1">
              <a:solidFill>
                <a:srgbClr val="0000FF"/>
              </a:solidFill>
              <a:latin typeface="ＭＳ Ｐゴシック" pitchFamily="50" charset="-128"/>
              <a:ea typeface="ＭＳ Ｐゴシック" pitchFamily="50" charset="-128"/>
            </a:rPr>
            <a:t>条支出のすべての額が固まる前）の段階で、共通経費の按分の処理を完了し、按分前の表において、既に反映させている。（按分前と按分後の表は同じ額）</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9318;R5%20&#28040;&#36027;&#3124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9313;R5%20&#65299;&#26465;&#21454;&#2083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9316;R5%20&#38632;&#27738;&#277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申)3%"/>
      <sheetName val="(申)5%"/>
      <sheetName val="(申)8%"/>
      <sheetName val="(申)軽8%"/>
      <sheetName val="(申)10%"/>
      <sheetName val="(申)計"/>
      <sheetName val="消費税旧"/>
      <sheetName val="対価返還"/>
      <sheetName val="基礎数値"/>
      <sheetName val="消費税"/>
      <sheetName val="4条圧縮"/>
      <sheetName val="仮受仮払"/>
      <sheetName val="精算表"/>
      <sheetName val="振替表"/>
    </sheetNames>
    <sheetDataSet>
      <sheetData sheetId="0"/>
      <sheetData sheetId="1"/>
      <sheetData sheetId="2"/>
      <sheetData sheetId="3"/>
      <sheetData sheetId="4"/>
      <sheetData sheetId="5"/>
      <sheetData sheetId="6"/>
      <sheetData sheetId="7"/>
      <sheetData sheetId="8"/>
      <sheetData sheetId="9">
        <row r="118">
          <cell r="Z118">
            <v>1267134427</v>
          </cell>
          <cell r="AF118">
            <v>-923595698</v>
          </cell>
        </row>
        <row r="122">
          <cell r="Z122">
            <v>2233725</v>
          </cell>
        </row>
        <row r="123">
          <cell r="Z123">
            <v>629</v>
          </cell>
        </row>
      </sheetData>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条収入"/>
    </sheetNames>
    <sheetDataSet>
      <sheetData sheetId="0">
        <row r="69">
          <cell r="AH69">
            <v>210253123</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雨汚水"/>
      <sheetName val="雨汚収入"/>
      <sheetName val="雨汚支出"/>
      <sheetName val="補助補給"/>
      <sheetName val="3条税込み"/>
      <sheetName val="3条税抜き"/>
      <sheetName val="3条税抜き (消費税雑支出加算)"/>
      <sheetName val="収入税込"/>
      <sheetName val="収入税抜き"/>
      <sheetName val="収入税抜き (消費税雑収入加算）)"/>
      <sheetName val="雨汚水(共通按分後)"/>
      <sheetName val="3条税込み(共通按分後)"/>
      <sheetName val="3条税抜き(共通按分後)"/>
      <sheetName val="3条税抜き (消費税雑支出加算)(共通按分後)"/>
      <sheetName val="雨汚水(共通按分後) (確認用)"/>
    </sheetNames>
    <sheetDataSet>
      <sheetData sheetId="0">
        <row r="7">
          <cell r="K7">
            <v>266038235</v>
          </cell>
        </row>
        <row r="8">
          <cell r="K8">
            <v>0</v>
          </cell>
        </row>
        <row r="9">
          <cell r="K9">
            <v>576063076</v>
          </cell>
        </row>
        <row r="10">
          <cell r="K10">
            <v>5129506001</v>
          </cell>
        </row>
        <row r="11">
          <cell r="K11">
            <v>0</v>
          </cell>
        </row>
        <row r="12">
          <cell r="K12">
            <v>44424774</v>
          </cell>
        </row>
        <row r="13">
          <cell r="K13">
            <v>0</v>
          </cell>
        </row>
        <row r="14">
          <cell r="K14">
            <v>1019945143</v>
          </cell>
        </row>
        <row r="15">
          <cell r="K15">
            <v>349897976</v>
          </cell>
        </row>
        <row r="16">
          <cell r="K16">
            <v>106990906</v>
          </cell>
        </row>
        <row r="17">
          <cell r="K17">
            <v>247654024</v>
          </cell>
        </row>
        <row r="18">
          <cell r="K18">
            <v>76388330</v>
          </cell>
        </row>
        <row r="19">
          <cell r="K19">
            <v>0</v>
          </cell>
        </row>
        <row r="20">
          <cell r="F20">
            <v>0</v>
          </cell>
          <cell r="K20">
            <v>0</v>
          </cell>
        </row>
        <row r="22">
          <cell r="E22">
            <v>2483</v>
          </cell>
          <cell r="K22">
            <v>2483</v>
          </cell>
        </row>
        <row r="23">
          <cell r="K23">
            <v>25896</v>
          </cell>
        </row>
        <row r="24">
          <cell r="K24">
            <v>9198273</v>
          </cell>
        </row>
        <row r="29">
          <cell r="K29">
            <v>10673183</v>
          </cell>
        </row>
        <row r="30">
          <cell r="E30">
            <v>0</v>
          </cell>
        </row>
        <row r="47">
          <cell r="E47">
            <v>11642506890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20.bin"/><Relationship Id="rId4" Type="http://schemas.openxmlformats.org/officeDocument/2006/relationships/comments" Target="../comments5.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21.bin"/><Relationship Id="rId4" Type="http://schemas.openxmlformats.org/officeDocument/2006/relationships/comments" Target="../comments6.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2"/>
  <sheetViews>
    <sheetView workbookViewId="0"/>
  </sheetViews>
  <sheetFormatPr defaultRowHeight="13.5"/>
  <cols>
    <col min="1" max="1" width="16.375" customWidth="1"/>
  </cols>
  <sheetData>
    <row r="2" spans="1:2" ht="74.25" customHeight="1">
      <c r="A2" s="231">
        <v>5</v>
      </c>
      <c r="B2" s="232" t="s">
        <v>549</v>
      </c>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pageSetUpPr fitToPage="1"/>
  </sheetPr>
  <dimension ref="A1:S1642"/>
  <sheetViews>
    <sheetView workbookViewId="0">
      <pane xSplit="9" ySplit="3" topLeftCell="J7" activePane="bottomRight" state="frozen"/>
      <selection pane="topRight" activeCell="J1" sqref="J1"/>
      <selection pane="bottomLeft" activeCell="A4" sqref="A4"/>
      <selection pane="bottomRight" activeCell="I42" sqref="I42:I43"/>
    </sheetView>
  </sheetViews>
  <sheetFormatPr defaultRowHeight="13.5"/>
  <cols>
    <col min="1" max="5" width="9" style="259"/>
    <col min="6" max="6" width="21.375" style="259" customWidth="1"/>
    <col min="7" max="7" width="14.75" style="259" customWidth="1"/>
    <col min="8" max="8" width="9" style="259"/>
    <col min="9" max="9" width="14.5" style="257" customWidth="1"/>
    <col min="10" max="15" width="13.625" style="257" customWidth="1"/>
    <col min="16" max="16" width="15.125" style="257" bestFit="1" customWidth="1"/>
    <col min="17" max="17" width="13.5" style="259" customWidth="1"/>
    <col min="18" max="18" width="9" style="259"/>
    <col min="19" max="19" width="17.375" style="259" customWidth="1"/>
    <col min="20" max="16384" width="9" style="259"/>
  </cols>
  <sheetData>
    <row r="1" spans="1:19">
      <c r="A1" s="256"/>
      <c r="B1" s="256"/>
      <c r="C1" s="256"/>
      <c r="D1" s="256"/>
      <c r="E1" s="256"/>
      <c r="F1" s="256"/>
      <c r="G1" s="283"/>
      <c r="H1" s="256"/>
      <c r="I1" s="284">
        <v>179962946555</v>
      </c>
      <c r="J1" s="257">
        <v>0</v>
      </c>
      <c r="K1" s="257">
        <v>0</v>
      </c>
      <c r="L1" s="257">
        <v>1408906</v>
      </c>
      <c r="M1" s="257">
        <v>537718</v>
      </c>
      <c r="N1" s="257">
        <v>44539401683</v>
      </c>
      <c r="O1" s="257">
        <v>4535078073</v>
      </c>
      <c r="P1" s="257">
        <v>130886520175</v>
      </c>
      <c r="Q1" s="257">
        <v>0</v>
      </c>
      <c r="S1" s="258"/>
    </row>
    <row r="2" spans="1:19">
      <c r="A2" s="295" t="s">
        <v>49</v>
      </c>
      <c r="B2" s="295" t="s">
        <v>529</v>
      </c>
      <c r="C2" s="295" t="s">
        <v>529</v>
      </c>
      <c r="D2" s="295" t="s">
        <v>871</v>
      </c>
      <c r="E2" s="295" t="s">
        <v>530</v>
      </c>
      <c r="F2" s="295" t="s">
        <v>531</v>
      </c>
      <c r="G2" s="295" t="s">
        <v>532</v>
      </c>
      <c r="H2" s="295" t="s">
        <v>533</v>
      </c>
      <c r="I2" s="294" t="s">
        <v>872</v>
      </c>
      <c r="J2" s="294" t="s">
        <v>873</v>
      </c>
      <c r="K2" s="294"/>
      <c r="L2" s="294"/>
      <c r="M2" s="294"/>
      <c r="N2" s="294"/>
      <c r="O2" s="285" t="s">
        <v>874</v>
      </c>
      <c r="P2" s="285" t="s">
        <v>875</v>
      </c>
    </row>
    <row r="3" spans="1:19">
      <c r="A3" s="295"/>
      <c r="B3" s="295"/>
      <c r="C3" s="295"/>
      <c r="D3" s="295"/>
      <c r="E3" s="295"/>
      <c r="F3" s="295"/>
      <c r="G3" s="295"/>
      <c r="H3" s="295"/>
      <c r="I3" s="294"/>
      <c r="J3" s="286">
        <v>3</v>
      </c>
      <c r="K3" s="286">
        <v>5</v>
      </c>
      <c r="L3" s="287">
        <v>8</v>
      </c>
      <c r="M3" s="288">
        <v>8</v>
      </c>
      <c r="N3" s="287">
        <v>10</v>
      </c>
      <c r="O3" s="287">
        <v>21</v>
      </c>
      <c r="P3" s="286">
        <v>31</v>
      </c>
    </row>
    <row r="4" spans="1:19">
      <c r="A4" s="256">
        <v>1</v>
      </c>
      <c r="B4" s="256">
        <v>1120110</v>
      </c>
      <c r="C4" s="256">
        <v>112011010</v>
      </c>
      <c r="D4" s="256" t="s">
        <v>631</v>
      </c>
      <c r="E4" s="256" t="s">
        <v>632</v>
      </c>
      <c r="F4" s="256" t="s">
        <v>633</v>
      </c>
      <c r="G4" s="256" t="s">
        <v>634</v>
      </c>
      <c r="H4" s="256" t="s">
        <v>635</v>
      </c>
      <c r="I4" s="257">
        <v>8822500000</v>
      </c>
      <c r="J4" s="257">
        <v>0</v>
      </c>
      <c r="K4" s="257">
        <v>0</v>
      </c>
      <c r="L4" s="257">
        <v>0</v>
      </c>
      <c r="M4" s="257">
        <v>0</v>
      </c>
      <c r="N4" s="257">
        <v>0</v>
      </c>
      <c r="O4" s="257">
        <v>0</v>
      </c>
      <c r="P4" s="257">
        <v>8822500000</v>
      </c>
      <c r="Q4" s="258">
        <v>0</v>
      </c>
    </row>
    <row r="5" spans="1:19">
      <c r="A5" s="256">
        <v>1</v>
      </c>
      <c r="B5" s="256">
        <v>1120110</v>
      </c>
      <c r="C5" s="256">
        <v>112011011</v>
      </c>
      <c r="D5" s="256" t="s">
        <v>631</v>
      </c>
      <c r="E5" s="256" t="s">
        <v>632</v>
      </c>
      <c r="F5" s="256" t="s">
        <v>633</v>
      </c>
      <c r="G5" s="256" t="s">
        <v>634</v>
      </c>
      <c r="H5" s="256" t="s">
        <v>636</v>
      </c>
      <c r="I5" s="257">
        <v>0</v>
      </c>
      <c r="J5" s="257">
        <v>0</v>
      </c>
      <c r="K5" s="257">
        <v>0</v>
      </c>
      <c r="L5" s="257">
        <v>0</v>
      </c>
      <c r="M5" s="257">
        <v>0</v>
      </c>
      <c r="N5" s="257">
        <v>0</v>
      </c>
      <c r="O5" s="257">
        <v>0</v>
      </c>
      <c r="P5" s="257">
        <v>0</v>
      </c>
      <c r="Q5" s="258">
        <v>0</v>
      </c>
    </row>
    <row r="6" spans="1:19">
      <c r="A6" s="256">
        <v>1</v>
      </c>
      <c r="B6" s="256">
        <v>1120110</v>
      </c>
      <c r="C6" s="256">
        <v>112011012</v>
      </c>
      <c r="D6" s="256" t="s">
        <v>631</v>
      </c>
      <c r="E6" s="256" t="s">
        <v>632</v>
      </c>
      <c r="F6" s="256" t="s">
        <v>633</v>
      </c>
      <c r="G6" s="256" t="s">
        <v>634</v>
      </c>
      <c r="H6" s="256" t="s">
        <v>637</v>
      </c>
      <c r="I6" s="257">
        <v>0</v>
      </c>
      <c r="J6" s="257">
        <v>0</v>
      </c>
      <c r="K6" s="257">
        <v>0</v>
      </c>
      <c r="L6" s="257">
        <v>0</v>
      </c>
      <c r="M6" s="257">
        <v>0</v>
      </c>
      <c r="N6" s="257">
        <v>0</v>
      </c>
      <c r="O6" s="257">
        <v>0</v>
      </c>
      <c r="P6" s="257">
        <v>0</v>
      </c>
      <c r="Q6" s="258">
        <v>0</v>
      </c>
    </row>
    <row r="7" spans="1:19">
      <c r="A7" s="256">
        <v>1</v>
      </c>
      <c r="B7" s="256">
        <v>1120111</v>
      </c>
      <c r="C7" s="256">
        <v>112011100</v>
      </c>
      <c r="D7" s="256" t="s">
        <v>631</v>
      </c>
      <c r="E7" s="256" t="s">
        <v>632</v>
      </c>
      <c r="F7" s="256" t="s">
        <v>633</v>
      </c>
      <c r="G7" s="256" t="s">
        <v>638</v>
      </c>
      <c r="H7" s="256"/>
      <c r="I7" s="257">
        <v>0</v>
      </c>
      <c r="J7" s="257">
        <v>0</v>
      </c>
      <c r="K7" s="257">
        <v>0</v>
      </c>
      <c r="L7" s="257">
        <v>0</v>
      </c>
      <c r="M7" s="257">
        <v>0</v>
      </c>
      <c r="N7" s="257">
        <v>0</v>
      </c>
      <c r="O7" s="257">
        <v>0</v>
      </c>
      <c r="P7" s="257">
        <v>0</v>
      </c>
      <c r="Q7" s="258">
        <v>0</v>
      </c>
    </row>
    <row r="8" spans="1:19">
      <c r="A8" s="256">
        <v>1</v>
      </c>
      <c r="B8" s="256">
        <v>1120112</v>
      </c>
      <c r="C8" s="256">
        <v>112011200</v>
      </c>
      <c r="D8" s="256" t="s">
        <v>631</v>
      </c>
      <c r="E8" s="256" t="s">
        <v>632</v>
      </c>
      <c r="F8" s="256" t="s">
        <v>633</v>
      </c>
      <c r="G8" s="256" t="s">
        <v>639</v>
      </c>
      <c r="H8" s="256"/>
      <c r="I8" s="257">
        <v>120200000</v>
      </c>
      <c r="J8" s="257">
        <v>0</v>
      </c>
      <c r="K8" s="257">
        <v>0</v>
      </c>
      <c r="L8" s="257">
        <v>0</v>
      </c>
      <c r="M8" s="257">
        <v>0</v>
      </c>
      <c r="N8" s="257">
        <v>0</v>
      </c>
      <c r="O8" s="257">
        <v>0</v>
      </c>
      <c r="P8" s="257">
        <v>120200000</v>
      </c>
      <c r="Q8" s="258">
        <v>0</v>
      </c>
    </row>
    <row r="9" spans="1:19">
      <c r="A9" s="256">
        <v>1</v>
      </c>
      <c r="B9" s="256">
        <v>1120113</v>
      </c>
      <c r="C9" s="256">
        <v>112011300</v>
      </c>
      <c r="D9" s="256" t="s">
        <v>631</v>
      </c>
      <c r="E9" s="256" t="s">
        <v>632</v>
      </c>
      <c r="F9" s="256" t="s">
        <v>633</v>
      </c>
      <c r="G9" s="256" t="s">
        <v>640</v>
      </c>
      <c r="H9" s="256"/>
      <c r="I9" s="257">
        <v>5632100000</v>
      </c>
      <c r="J9" s="257">
        <v>0</v>
      </c>
      <c r="K9" s="257">
        <v>0</v>
      </c>
      <c r="L9" s="257">
        <v>0</v>
      </c>
      <c r="M9" s="257">
        <v>0</v>
      </c>
      <c r="N9" s="257">
        <v>0</v>
      </c>
      <c r="O9" s="257">
        <v>0</v>
      </c>
      <c r="P9" s="257">
        <v>5632100000</v>
      </c>
      <c r="Q9" s="258">
        <v>0</v>
      </c>
    </row>
    <row r="10" spans="1:19">
      <c r="A10" s="256">
        <v>1</v>
      </c>
      <c r="B10" s="256">
        <v>1120114</v>
      </c>
      <c r="C10" s="256">
        <v>112011400</v>
      </c>
      <c r="D10" s="256" t="s">
        <v>631</v>
      </c>
      <c r="E10" s="256" t="s">
        <v>632</v>
      </c>
      <c r="F10" s="256" t="s">
        <v>633</v>
      </c>
      <c r="G10" s="256" t="s">
        <v>641</v>
      </c>
      <c r="H10" s="256"/>
      <c r="I10" s="257">
        <v>0</v>
      </c>
      <c r="J10" s="257">
        <v>0</v>
      </c>
      <c r="K10" s="257">
        <v>0</v>
      </c>
      <c r="L10" s="257">
        <v>0</v>
      </c>
      <c r="M10" s="257">
        <v>0</v>
      </c>
      <c r="N10" s="257">
        <v>0</v>
      </c>
      <c r="O10" s="257">
        <v>0</v>
      </c>
      <c r="P10" s="257">
        <v>0</v>
      </c>
      <c r="Q10" s="258">
        <v>0</v>
      </c>
    </row>
    <row r="11" spans="1:19">
      <c r="A11" s="256">
        <v>1</v>
      </c>
      <c r="B11" s="256">
        <v>1120116</v>
      </c>
      <c r="C11" s="256">
        <v>112011600</v>
      </c>
      <c r="D11" s="256" t="s">
        <v>631</v>
      </c>
      <c r="E11" s="256" t="s">
        <v>632</v>
      </c>
      <c r="F11" s="256" t="s">
        <v>633</v>
      </c>
      <c r="G11" s="256" t="s">
        <v>642</v>
      </c>
      <c r="H11" s="256"/>
      <c r="I11" s="257">
        <v>0</v>
      </c>
      <c r="J11" s="257">
        <v>0</v>
      </c>
      <c r="K11" s="257">
        <v>0</v>
      </c>
      <c r="L11" s="257">
        <v>0</v>
      </c>
      <c r="M11" s="257">
        <v>0</v>
      </c>
      <c r="N11" s="257">
        <v>0</v>
      </c>
      <c r="O11" s="257">
        <v>0</v>
      </c>
      <c r="P11" s="257">
        <v>0</v>
      </c>
      <c r="Q11" s="258">
        <v>0</v>
      </c>
    </row>
    <row r="12" spans="1:19">
      <c r="A12" s="256">
        <v>1</v>
      </c>
      <c r="B12" s="256">
        <v>1120210</v>
      </c>
      <c r="C12" s="256">
        <v>112021000</v>
      </c>
      <c r="D12" s="256" t="s">
        <v>631</v>
      </c>
      <c r="E12" s="256" t="s">
        <v>632</v>
      </c>
      <c r="F12" s="256" t="s">
        <v>643</v>
      </c>
      <c r="G12" s="256" t="s">
        <v>644</v>
      </c>
      <c r="H12" s="256"/>
      <c r="I12" s="257">
        <v>0</v>
      </c>
      <c r="J12" s="257">
        <v>0</v>
      </c>
      <c r="K12" s="257">
        <v>0</v>
      </c>
      <c r="L12" s="257">
        <v>0</v>
      </c>
      <c r="M12" s="257">
        <v>0</v>
      </c>
      <c r="N12" s="257">
        <v>0</v>
      </c>
      <c r="O12" s="257">
        <v>0</v>
      </c>
      <c r="P12" s="257">
        <v>0</v>
      </c>
      <c r="Q12" s="258">
        <v>0</v>
      </c>
    </row>
    <row r="13" spans="1:19">
      <c r="A13" s="256">
        <v>1</v>
      </c>
      <c r="B13" s="256">
        <v>1120220</v>
      </c>
      <c r="C13" s="256">
        <v>112022000</v>
      </c>
      <c r="D13" s="256" t="s">
        <v>631</v>
      </c>
      <c r="E13" s="256" t="s">
        <v>632</v>
      </c>
      <c r="F13" s="256" t="s">
        <v>643</v>
      </c>
      <c r="G13" s="256" t="s">
        <v>645</v>
      </c>
      <c r="H13" s="256"/>
      <c r="I13" s="257">
        <v>0</v>
      </c>
      <c r="J13" s="257">
        <v>0</v>
      </c>
      <c r="K13" s="257">
        <v>0</v>
      </c>
      <c r="L13" s="257">
        <v>0</v>
      </c>
      <c r="M13" s="257">
        <v>0</v>
      </c>
      <c r="N13" s="257">
        <v>0</v>
      </c>
      <c r="O13" s="257">
        <v>0</v>
      </c>
      <c r="P13" s="257">
        <v>0</v>
      </c>
      <c r="Q13" s="258">
        <v>0</v>
      </c>
    </row>
    <row r="14" spans="1:19">
      <c r="A14" s="256">
        <v>1</v>
      </c>
      <c r="B14" s="256">
        <v>1120230</v>
      </c>
      <c r="C14" s="256">
        <v>112023000</v>
      </c>
      <c r="D14" s="256" t="s">
        <v>631</v>
      </c>
      <c r="E14" s="256" t="s">
        <v>632</v>
      </c>
      <c r="F14" s="256" t="s">
        <v>643</v>
      </c>
      <c r="G14" s="256" t="s">
        <v>646</v>
      </c>
      <c r="H14" s="256"/>
      <c r="I14" s="257">
        <v>0</v>
      </c>
      <c r="J14" s="257">
        <v>0</v>
      </c>
      <c r="K14" s="257">
        <v>0</v>
      </c>
      <c r="L14" s="257">
        <v>0</v>
      </c>
      <c r="M14" s="257">
        <v>0</v>
      </c>
      <c r="N14" s="257">
        <v>0</v>
      </c>
      <c r="O14" s="257">
        <v>0</v>
      </c>
      <c r="P14" s="257">
        <v>0</v>
      </c>
      <c r="Q14" s="258">
        <v>0</v>
      </c>
    </row>
    <row r="15" spans="1:19">
      <c r="A15" s="256">
        <v>1</v>
      </c>
      <c r="B15" s="256">
        <v>1120240</v>
      </c>
      <c r="C15" s="256">
        <v>112024000</v>
      </c>
      <c r="D15" s="256" t="s">
        <v>631</v>
      </c>
      <c r="E15" s="256" t="s">
        <v>632</v>
      </c>
      <c r="F15" s="256" t="s">
        <v>643</v>
      </c>
      <c r="G15" s="256" t="s">
        <v>647</v>
      </c>
      <c r="H15" s="256"/>
      <c r="I15" s="257">
        <v>17007700000</v>
      </c>
      <c r="J15" s="257">
        <v>0</v>
      </c>
      <c r="K15" s="257">
        <v>0</v>
      </c>
      <c r="L15" s="257">
        <v>0</v>
      </c>
      <c r="M15" s="257">
        <v>0</v>
      </c>
      <c r="N15" s="257">
        <v>0</v>
      </c>
      <c r="O15" s="257">
        <v>0</v>
      </c>
      <c r="P15" s="257">
        <v>17007700000</v>
      </c>
      <c r="Q15" s="258">
        <v>0</v>
      </c>
    </row>
    <row r="16" spans="1:19">
      <c r="A16" s="256">
        <v>1</v>
      </c>
      <c r="B16" s="256">
        <v>1120310</v>
      </c>
      <c r="C16" s="256">
        <v>112031000</v>
      </c>
      <c r="D16" s="256" t="s">
        <v>631</v>
      </c>
      <c r="E16" s="256" t="s">
        <v>632</v>
      </c>
      <c r="F16" s="256" t="s">
        <v>648</v>
      </c>
      <c r="G16" s="256" t="s">
        <v>649</v>
      </c>
      <c r="H16" s="256"/>
      <c r="I16" s="257">
        <v>0</v>
      </c>
      <c r="J16" s="257">
        <v>0</v>
      </c>
      <c r="K16" s="257">
        <v>0</v>
      </c>
      <c r="L16" s="257">
        <v>0</v>
      </c>
      <c r="M16" s="257">
        <v>0</v>
      </c>
      <c r="N16" s="257">
        <v>0</v>
      </c>
      <c r="O16" s="257">
        <v>0</v>
      </c>
      <c r="P16" s="257">
        <v>0</v>
      </c>
      <c r="Q16" s="258">
        <v>0</v>
      </c>
    </row>
    <row r="17" spans="1:17">
      <c r="A17" s="256">
        <v>1</v>
      </c>
      <c r="B17" s="256">
        <v>1140303</v>
      </c>
      <c r="C17" s="256">
        <v>114030300</v>
      </c>
      <c r="D17" s="256" t="s">
        <v>631</v>
      </c>
      <c r="E17" s="256" t="s">
        <v>650</v>
      </c>
      <c r="F17" s="256" t="s">
        <v>651</v>
      </c>
      <c r="G17" s="256" t="s">
        <v>651</v>
      </c>
      <c r="H17" s="256"/>
      <c r="I17" s="257">
        <v>0</v>
      </c>
      <c r="J17" s="257">
        <v>0</v>
      </c>
      <c r="K17" s="257">
        <v>0</v>
      </c>
      <c r="L17" s="257">
        <v>0</v>
      </c>
      <c r="M17" s="257">
        <v>0</v>
      </c>
      <c r="N17" s="257">
        <v>0</v>
      </c>
      <c r="O17" s="257">
        <v>0</v>
      </c>
      <c r="P17" s="257">
        <v>0</v>
      </c>
      <c r="Q17" s="258">
        <v>0</v>
      </c>
    </row>
    <row r="18" spans="1:17">
      <c r="A18" s="256">
        <v>1</v>
      </c>
      <c r="B18" s="256">
        <v>1160101</v>
      </c>
      <c r="C18" s="256">
        <v>116010100</v>
      </c>
      <c r="D18" s="256" t="s">
        <v>631</v>
      </c>
      <c r="E18" s="256" t="s">
        <v>652</v>
      </c>
      <c r="F18" s="256" t="s">
        <v>653</v>
      </c>
      <c r="G18" s="256" t="s">
        <v>653</v>
      </c>
      <c r="H18" s="256"/>
      <c r="I18" s="257">
        <v>3566242000</v>
      </c>
      <c r="J18" s="257">
        <v>0</v>
      </c>
      <c r="K18" s="257">
        <v>0</v>
      </c>
      <c r="L18" s="257">
        <v>0</v>
      </c>
      <c r="M18" s="257">
        <v>0</v>
      </c>
      <c r="N18" s="257">
        <v>0</v>
      </c>
      <c r="O18" s="257">
        <v>0</v>
      </c>
      <c r="P18" s="257">
        <v>3566242000</v>
      </c>
      <c r="Q18" s="258">
        <v>0</v>
      </c>
    </row>
    <row r="19" spans="1:17">
      <c r="A19" s="256">
        <v>1</v>
      </c>
      <c r="B19" s="256">
        <v>1160202</v>
      </c>
      <c r="C19" s="256">
        <v>116020200</v>
      </c>
      <c r="D19" s="256" t="s">
        <v>631</v>
      </c>
      <c r="E19" s="256" t="s">
        <v>652</v>
      </c>
      <c r="F19" s="256" t="s">
        <v>654</v>
      </c>
      <c r="G19" s="256" t="s">
        <v>654</v>
      </c>
      <c r="H19" s="256"/>
      <c r="I19" s="257">
        <v>0</v>
      </c>
      <c r="J19" s="257">
        <v>0</v>
      </c>
      <c r="K19" s="257">
        <v>0</v>
      </c>
      <c r="L19" s="257">
        <v>0</v>
      </c>
      <c r="M19" s="257">
        <v>0</v>
      </c>
      <c r="N19" s="257">
        <v>0</v>
      </c>
      <c r="O19" s="257">
        <v>0</v>
      </c>
      <c r="P19" s="257">
        <v>0</v>
      </c>
      <c r="Q19" s="258">
        <v>0</v>
      </c>
    </row>
    <row r="20" spans="1:17">
      <c r="A20" s="256">
        <v>1</v>
      </c>
      <c r="B20" s="256">
        <v>1180401</v>
      </c>
      <c r="C20" s="256">
        <v>118040101</v>
      </c>
      <c r="D20" s="256" t="s">
        <v>631</v>
      </c>
      <c r="E20" s="256" t="s">
        <v>655</v>
      </c>
      <c r="F20" s="256" t="s">
        <v>655</v>
      </c>
      <c r="G20" s="256" t="s">
        <v>656</v>
      </c>
      <c r="H20" s="256" t="s">
        <v>656</v>
      </c>
      <c r="I20" s="257">
        <v>5683800000</v>
      </c>
      <c r="J20" s="257">
        <v>0</v>
      </c>
      <c r="K20" s="257">
        <v>0</v>
      </c>
      <c r="L20" s="257">
        <v>0</v>
      </c>
      <c r="M20" s="257">
        <v>0</v>
      </c>
      <c r="N20" s="257">
        <v>0</v>
      </c>
      <c r="O20" s="257">
        <v>0</v>
      </c>
      <c r="P20" s="257">
        <v>5683800000</v>
      </c>
      <c r="Q20" s="258">
        <v>0</v>
      </c>
    </row>
    <row r="21" spans="1:17">
      <c r="A21" s="256">
        <v>1</v>
      </c>
      <c r="B21" s="256">
        <v>1180401</v>
      </c>
      <c r="C21" s="256">
        <v>118040102</v>
      </c>
      <c r="D21" s="256" t="s">
        <v>631</v>
      </c>
      <c r="E21" s="256" t="s">
        <v>655</v>
      </c>
      <c r="F21" s="256" t="s">
        <v>655</v>
      </c>
      <c r="G21" s="256" t="s">
        <v>656</v>
      </c>
      <c r="H21" s="256" t="s">
        <v>657</v>
      </c>
      <c r="I21" s="257">
        <v>0</v>
      </c>
      <c r="J21" s="257">
        <v>0</v>
      </c>
      <c r="K21" s="257">
        <v>0</v>
      </c>
      <c r="L21" s="257">
        <v>0</v>
      </c>
      <c r="M21" s="257">
        <v>0</v>
      </c>
      <c r="N21" s="257">
        <v>0</v>
      </c>
      <c r="O21" s="257">
        <v>0</v>
      </c>
      <c r="P21" s="257">
        <v>0</v>
      </c>
      <c r="Q21" s="258">
        <v>0</v>
      </c>
    </row>
    <row r="22" spans="1:17">
      <c r="A22" s="256">
        <v>1</v>
      </c>
      <c r="B22" s="256">
        <v>1180402</v>
      </c>
      <c r="C22" s="256">
        <v>118040200</v>
      </c>
      <c r="D22" s="256" t="s">
        <v>631</v>
      </c>
      <c r="E22" s="256" t="s">
        <v>655</v>
      </c>
      <c r="F22" s="256" t="s">
        <v>655</v>
      </c>
      <c r="G22" s="256" t="s">
        <v>658</v>
      </c>
      <c r="H22" s="256"/>
      <c r="I22" s="257">
        <v>0</v>
      </c>
      <c r="J22" s="257">
        <v>0</v>
      </c>
      <c r="K22" s="257">
        <v>0</v>
      </c>
      <c r="L22" s="257">
        <v>0</v>
      </c>
      <c r="M22" s="257">
        <v>0</v>
      </c>
      <c r="N22" s="257">
        <v>0</v>
      </c>
      <c r="O22" s="257">
        <v>0</v>
      </c>
      <c r="P22" s="257">
        <v>0</v>
      </c>
      <c r="Q22" s="258">
        <v>0</v>
      </c>
    </row>
    <row r="23" spans="1:17">
      <c r="A23" s="256">
        <v>1</v>
      </c>
      <c r="B23" s="256">
        <v>1200630</v>
      </c>
      <c r="C23" s="256">
        <v>120063000</v>
      </c>
      <c r="D23" s="256" t="s">
        <v>631</v>
      </c>
      <c r="E23" s="256" t="s">
        <v>659</v>
      </c>
      <c r="F23" s="256" t="s">
        <v>659</v>
      </c>
      <c r="G23" s="256" t="s">
        <v>659</v>
      </c>
      <c r="H23" s="256"/>
      <c r="I23" s="257">
        <v>0</v>
      </c>
      <c r="J23" s="257">
        <v>0</v>
      </c>
      <c r="K23" s="257">
        <v>0</v>
      </c>
      <c r="L23" s="257">
        <v>0</v>
      </c>
      <c r="M23" s="257">
        <v>0</v>
      </c>
      <c r="N23" s="257">
        <v>0</v>
      </c>
      <c r="O23" s="257">
        <v>0</v>
      </c>
      <c r="P23" s="257">
        <v>0</v>
      </c>
      <c r="Q23" s="258">
        <v>0</v>
      </c>
    </row>
    <row r="24" spans="1:17">
      <c r="A24" s="256">
        <v>1</v>
      </c>
      <c r="B24" s="256">
        <v>1300831</v>
      </c>
      <c r="C24" s="256">
        <v>130083100</v>
      </c>
      <c r="D24" s="256" t="s">
        <v>631</v>
      </c>
      <c r="E24" s="256" t="s">
        <v>660</v>
      </c>
      <c r="F24" s="256" t="s">
        <v>660</v>
      </c>
      <c r="G24" s="256" t="s">
        <v>660</v>
      </c>
      <c r="H24" s="256"/>
      <c r="I24" s="257">
        <v>0</v>
      </c>
      <c r="J24" s="257">
        <v>0</v>
      </c>
      <c r="K24" s="257">
        <v>0</v>
      </c>
      <c r="L24" s="257">
        <v>0</v>
      </c>
      <c r="M24" s="257">
        <v>0</v>
      </c>
      <c r="N24" s="257">
        <v>0</v>
      </c>
      <c r="O24" s="257">
        <v>0</v>
      </c>
      <c r="P24" s="257">
        <v>0</v>
      </c>
      <c r="Q24" s="258">
        <v>0</v>
      </c>
    </row>
    <row r="25" spans="1:17">
      <c r="A25" s="256">
        <v>1</v>
      </c>
      <c r="B25" s="256">
        <v>1401010</v>
      </c>
      <c r="C25" s="256">
        <v>140101000</v>
      </c>
      <c r="D25" s="256" t="s">
        <v>631</v>
      </c>
      <c r="E25" s="256" t="s">
        <v>661</v>
      </c>
      <c r="F25" s="256" t="s">
        <v>661</v>
      </c>
      <c r="G25" s="256" t="s">
        <v>661</v>
      </c>
      <c r="H25" s="256"/>
      <c r="I25" s="257">
        <v>0</v>
      </c>
      <c r="J25" s="257">
        <v>0</v>
      </c>
      <c r="K25" s="257">
        <v>0</v>
      </c>
      <c r="L25" s="257">
        <v>0</v>
      </c>
      <c r="M25" s="257">
        <v>0</v>
      </c>
      <c r="N25" s="257">
        <v>0</v>
      </c>
      <c r="O25" s="257">
        <v>0</v>
      </c>
      <c r="P25" s="257">
        <v>0</v>
      </c>
      <c r="Q25" s="258">
        <v>0</v>
      </c>
    </row>
    <row r="26" spans="1:17">
      <c r="A26" s="256">
        <v>1</v>
      </c>
      <c r="B26" s="256">
        <v>1600101</v>
      </c>
      <c r="C26" s="256">
        <v>160010100</v>
      </c>
      <c r="D26" s="256" t="s">
        <v>631</v>
      </c>
      <c r="E26" s="256" t="s">
        <v>662</v>
      </c>
      <c r="F26" s="256" t="s">
        <v>662</v>
      </c>
      <c r="G26" s="256" t="s">
        <v>662</v>
      </c>
      <c r="H26" s="256"/>
      <c r="I26" s="257">
        <v>24373083</v>
      </c>
      <c r="J26" s="257">
        <v>0</v>
      </c>
      <c r="K26" s="257">
        <v>0</v>
      </c>
      <c r="L26" s="257">
        <v>0</v>
      </c>
      <c r="M26" s="257">
        <v>0</v>
      </c>
      <c r="N26" s="257">
        <v>24373083</v>
      </c>
      <c r="O26" s="257">
        <v>0</v>
      </c>
      <c r="P26" s="257">
        <v>0</v>
      </c>
      <c r="Q26" s="258">
        <v>0</v>
      </c>
    </row>
    <row r="27" spans="1:17">
      <c r="A27" s="256">
        <v>1</v>
      </c>
      <c r="B27" s="256">
        <v>1800606</v>
      </c>
      <c r="C27" s="256">
        <v>180060600</v>
      </c>
      <c r="D27" s="256" t="s">
        <v>631</v>
      </c>
      <c r="E27" s="256" t="s">
        <v>663</v>
      </c>
      <c r="F27" s="256" t="s">
        <v>664</v>
      </c>
      <c r="G27" s="256" t="s">
        <v>664</v>
      </c>
      <c r="H27" s="256"/>
      <c r="I27" s="257">
        <v>8799605</v>
      </c>
      <c r="J27" s="257">
        <v>0</v>
      </c>
      <c r="K27" s="257">
        <v>0</v>
      </c>
      <c r="L27" s="257">
        <v>0</v>
      </c>
      <c r="M27" s="257">
        <v>0</v>
      </c>
      <c r="N27" s="257">
        <v>0</v>
      </c>
      <c r="O27" s="257">
        <v>0</v>
      </c>
      <c r="P27" s="257">
        <v>8799605</v>
      </c>
      <c r="Q27" s="258">
        <v>0</v>
      </c>
    </row>
    <row r="28" spans="1:17">
      <c r="A28" s="256">
        <v>1</v>
      </c>
      <c r="B28" s="256">
        <v>1800808</v>
      </c>
      <c r="C28" s="256">
        <v>180080800</v>
      </c>
      <c r="D28" s="256" t="s">
        <v>631</v>
      </c>
      <c r="E28" s="256" t="s">
        <v>663</v>
      </c>
      <c r="F28" s="256" t="s">
        <v>665</v>
      </c>
      <c r="G28" s="256" t="s">
        <v>665</v>
      </c>
      <c r="H28" s="256"/>
      <c r="I28" s="257">
        <v>530286509</v>
      </c>
      <c r="J28" s="257">
        <v>0</v>
      </c>
      <c r="K28" s="257">
        <v>0</v>
      </c>
      <c r="L28" s="257">
        <v>0</v>
      </c>
      <c r="M28" s="257">
        <v>0</v>
      </c>
      <c r="N28" s="257">
        <v>15318327</v>
      </c>
      <c r="O28" s="257">
        <v>0</v>
      </c>
      <c r="P28" s="257">
        <v>514968182</v>
      </c>
      <c r="Q28" s="258">
        <v>0</v>
      </c>
    </row>
    <row r="29" spans="1:17">
      <c r="A29" s="256">
        <v>1</v>
      </c>
      <c r="B29" s="256">
        <v>1820101</v>
      </c>
      <c r="C29" s="256">
        <v>182010100</v>
      </c>
      <c r="D29" s="256" t="s">
        <v>631</v>
      </c>
      <c r="E29" s="256" t="s">
        <v>666</v>
      </c>
      <c r="F29" s="256" t="s">
        <v>667</v>
      </c>
      <c r="G29" s="256" t="s">
        <v>667</v>
      </c>
      <c r="H29" s="256"/>
      <c r="I29" s="257">
        <v>0</v>
      </c>
      <c r="J29" s="257">
        <v>0</v>
      </c>
      <c r="K29" s="257">
        <v>0</v>
      </c>
      <c r="L29" s="257">
        <v>0</v>
      </c>
      <c r="M29" s="257">
        <v>0</v>
      </c>
      <c r="N29" s="257">
        <v>0</v>
      </c>
      <c r="O29" s="257">
        <v>0</v>
      </c>
      <c r="P29" s="257">
        <v>0</v>
      </c>
      <c r="Q29" s="258">
        <v>0</v>
      </c>
    </row>
    <row r="30" spans="1:17">
      <c r="A30" s="256">
        <v>1</v>
      </c>
      <c r="B30" s="256">
        <v>1840102</v>
      </c>
      <c r="C30" s="256">
        <v>184010200</v>
      </c>
      <c r="D30" s="256" t="s">
        <v>631</v>
      </c>
      <c r="E30" s="256" t="s">
        <v>668</v>
      </c>
      <c r="F30" s="256" t="s">
        <v>669</v>
      </c>
      <c r="G30" s="256" t="s">
        <v>670</v>
      </c>
      <c r="H30" s="256"/>
      <c r="I30" s="257">
        <v>0</v>
      </c>
      <c r="J30" s="257">
        <v>0</v>
      </c>
      <c r="K30" s="257">
        <v>0</v>
      </c>
      <c r="L30" s="257">
        <v>0</v>
      </c>
      <c r="M30" s="257">
        <v>0</v>
      </c>
      <c r="N30" s="257">
        <v>0</v>
      </c>
      <c r="O30" s="257">
        <v>0</v>
      </c>
      <c r="P30" s="257">
        <v>0</v>
      </c>
      <c r="Q30" s="258">
        <v>0</v>
      </c>
    </row>
    <row r="31" spans="1:17">
      <c r="A31" s="256">
        <v>1</v>
      </c>
      <c r="B31" s="256">
        <v>1840304</v>
      </c>
      <c r="C31" s="256">
        <v>184030400</v>
      </c>
      <c r="D31" s="256" t="s">
        <v>631</v>
      </c>
      <c r="E31" s="256" t="s">
        <v>668</v>
      </c>
      <c r="F31" s="256" t="s">
        <v>651</v>
      </c>
      <c r="G31" s="256" t="s">
        <v>671</v>
      </c>
      <c r="H31" s="256"/>
      <c r="I31" s="257">
        <v>0</v>
      </c>
      <c r="J31" s="257">
        <v>0</v>
      </c>
      <c r="K31" s="257">
        <v>0</v>
      </c>
      <c r="L31" s="257">
        <v>0</v>
      </c>
      <c r="M31" s="257">
        <v>0</v>
      </c>
      <c r="N31" s="257">
        <v>0</v>
      </c>
      <c r="O31" s="257">
        <v>0</v>
      </c>
      <c r="P31" s="257">
        <v>0</v>
      </c>
      <c r="Q31" s="258">
        <v>0</v>
      </c>
    </row>
    <row r="32" spans="1:17">
      <c r="A32" s="256">
        <v>1</v>
      </c>
      <c r="B32" s="256">
        <v>1840305</v>
      </c>
      <c r="C32" s="256">
        <v>184030500</v>
      </c>
      <c r="D32" s="256" t="s">
        <v>631</v>
      </c>
      <c r="E32" s="256" t="s">
        <v>668</v>
      </c>
      <c r="F32" s="256" t="s">
        <v>651</v>
      </c>
      <c r="G32" s="256" t="s">
        <v>672</v>
      </c>
      <c r="H32" s="256"/>
      <c r="I32" s="257">
        <v>0</v>
      </c>
      <c r="J32" s="257">
        <v>0</v>
      </c>
      <c r="K32" s="257">
        <v>0</v>
      </c>
      <c r="L32" s="257">
        <v>0</v>
      </c>
      <c r="M32" s="257">
        <v>0</v>
      </c>
      <c r="N32" s="257">
        <v>0</v>
      </c>
      <c r="O32" s="257">
        <v>0</v>
      </c>
      <c r="P32" s="257">
        <v>0</v>
      </c>
      <c r="Q32" s="258">
        <v>0</v>
      </c>
    </row>
    <row r="33" spans="1:17">
      <c r="A33" s="256">
        <v>1</v>
      </c>
      <c r="B33" s="256">
        <v>1840306</v>
      </c>
      <c r="C33" s="256">
        <v>184030600</v>
      </c>
      <c r="D33" s="256" t="s">
        <v>631</v>
      </c>
      <c r="E33" s="256" t="s">
        <v>668</v>
      </c>
      <c r="F33" s="256" t="s">
        <v>651</v>
      </c>
      <c r="G33" s="256" t="s">
        <v>673</v>
      </c>
      <c r="H33" s="256"/>
      <c r="I33" s="257">
        <v>0</v>
      </c>
      <c r="J33" s="257">
        <v>0</v>
      </c>
      <c r="K33" s="257">
        <v>0</v>
      </c>
      <c r="L33" s="257">
        <v>0</v>
      </c>
      <c r="M33" s="257">
        <v>0</v>
      </c>
      <c r="N33" s="257">
        <v>0</v>
      </c>
      <c r="O33" s="257">
        <v>0</v>
      </c>
      <c r="P33" s="257">
        <v>0</v>
      </c>
      <c r="Q33" s="258">
        <v>0</v>
      </c>
    </row>
    <row r="34" spans="1:17">
      <c r="A34" s="256">
        <v>1</v>
      </c>
      <c r="B34" s="256">
        <v>1840506</v>
      </c>
      <c r="C34" s="256">
        <v>184050600</v>
      </c>
      <c r="D34" s="256" t="s">
        <v>631</v>
      </c>
      <c r="E34" s="256" t="s">
        <v>668</v>
      </c>
      <c r="F34" s="256" t="s">
        <v>674</v>
      </c>
      <c r="G34" s="256" t="s">
        <v>675</v>
      </c>
      <c r="H34" s="256"/>
      <c r="I34" s="257">
        <v>640000</v>
      </c>
      <c r="J34" s="257">
        <v>0</v>
      </c>
      <c r="K34" s="257">
        <v>0</v>
      </c>
      <c r="L34" s="257">
        <v>0</v>
      </c>
      <c r="M34" s="257">
        <v>0</v>
      </c>
      <c r="N34" s="257">
        <v>0</v>
      </c>
      <c r="O34" s="257">
        <v>0</v>
      </c>
      <c r="P34" s="257">
        <v>640000</v>
      </c>
      <c r="Q34" s="258">
        <v>0</v>
      </c>
    </row>
    <row r="35" spans="1:17">
      <c r="A35" s="256">
        <v>1</v>
      </c>
      <c r="B35" s="256">
        <v>1840507</v>
      </c>
      <c r="C35" s="256">
        <v>184050700</v>
      </c>
      <c r="D35" s="256" t="s">
        <v>631</v>
      </c>
      <c r="E35" s="256" t="s">
        <v>668</v>
      </c>
      <c r="F35" s="256" t="s">
        <v>674</v>
      </c>
      <c r="G35" s="256" t="s">
        <v>676</v>
      </c>
      <c r="H35" s="256"/>
      <c r="I35" s="257">
        <v>1079000</v>
      </c>
      <c r="J35" s="257">
        <v>0</v>
      </c>
      <c r="K35" s="257">
        <v>0</v>
      </c>
      <c r="L35" s="257">
        <v>0</v>
      </c>
      <c r="M35" s="257">
        <v>0</v>
      </c>
      <c r="N35" s="257">
        <v>0</v>
      </c>
      <c r="O35" s="257">
        <v>0</v>
      </c>
      <c r="P35" s="257">
        <v>1079000</v>
      </c>
      <c r="Q35" s="258">
        <v>0</v>
      </c>
    </row>
    <row r="36" spans="1:17">
      <c r="A36" s="256">
        <v>1</v>
      </c>
      <c r="B36" s="256">
        <v>1840508</v>
      </c>
      <c r="C36" s="256">
        <v>184050800</v>
      </c>
      <c r="D36" s="256" t="s">
        <v>631</v>
      </c>
      <c r="E36" s="256" t="s">
        <v>668</v>
      </c>
      <c r="F36" s="256" t="s">
        <v>674</v>
      </c>
      <c r="G36" s="256" t="s">
        <v>677</v>
      </c>
      <c r="H36" s="256"/>
      <c r="I36" s="257">
        <v>0</v>
      </c>
      <c r="J36" s="257">
        <v>0</v>
      </c>
      <c r="K36" s="257">
        <v>0</v>
      </c>
      <c r="L36" s="257">
        <v>0</v>
      </c>
      <c r="M36" s="257">
        <v>0</v>
      </c>
      <c r="N36" s="257">
        <v>0</v>
      </c>
      <c r="O36" s="257">
        <v>0</v>
      </c>
      <c r="P36" s="257">
        <v>0</v>
      </c>
      <c r="Q36" s="258">
        <v>0</v>
      </c>
    </row>
    <row r="37" spans="1:17">
      <c r="A37" s="256">
        <v>1</v>
      </c>
      <c r="B37" s="256">
        <v>1860303</v>
      </c>
      <c r="C37" s="256">
        <v>186030300</v>
      </c>
      <c r="D37" s="256" t="s">
        <v>631</v>
      </c>
      <c r="E37" s="256" t="s">
        <v>678</v>
      </c>
      <c r="F37" s="256" t="s">
        <v>679</v>
      </c>
      <c r="G37" s="256" t="s">
        <v>679</v>
      </c>
      <c r="H37" s="256"/>
      <c r="I37" s="257">
        <v>0</v>
      </c>
      <c r="J37" s="257">
        <v>0</v>
      </c>
      <c r="K37" s="257">
        <v>0</v>
      </c>
      <c r="L37" s="257">
        <v>0</v>
      </c>
      <c r="M37" s="257">
        <v>0</v>
      </c>
      <c r="N37" s="257">
        <v>0</v>
      </c>
      <c r="O37" s="257">
        <v>0</v>
      </c>
      <c r="P37" s="257">
        <v>0</v>
      </c>
      <c r="Q37" s="258">
        <v>0</v>
      </c>
    </row>
    <row r="38" spans="1:17">
      <c r="A38" s="256">
        <v>1</v>
      </c>
      <c r="B38" s="256">
        <v>1880101</v>
      </c>
      <c r="C38" s="256">
        <v>188010100</v>
      </c>
      <c r="D38" s="256" t="s">
        <v>631</v>
      </c>
      <c r="E38" s="256" t="s">
        <v>680</v>
      </c>
      <c r="F38" s="256" t="s">
        <v>681</v>
      </c>
      <c r="G38" s="256" t="s">
        <v>681</v>
      </c>
      <c r="H38" s="256"/>
      <c r="I38" s="257">
        <v>45948113</v>
      </c>
      <c r="J38" s="257">
        <v>0</v>
      </c>
      <c r="K38" s="257">
        <v>0</v>
      </c>
      <c r="L38" s="257">
        <v>0</v>
      </c>
      <c r="M38" s="257">
        <v>0</v>
      </c>
      <c r="N38" s="257">
        <v>0</v>
      </c>
      <c r="O38" s="257">
        <v>45948113</v>
      </c>
      <c r="P38" s="257">
        <v>0</v>
      </c>
      <c r="Q38" s="258">
        <v>0</v>
      </c>
    </row>
    <row r="39" spans="1:17">
      <c r="A39" s="256">
        <v>1</v>
      </c>
      <c r="B39" s="256">
        <v>1880202</v>
      </c>
      <c r="C39" s="256">
        <v>188020200</v>
      </c>
      <c r="D39" s="256" t="s">
        <v>631</v>
      </c>
      <c r="E39" s="256" t="s">
        <v>680</v>
      </c>
      <c r="F39" s="256" t="s">
        <v>682</v>
      </c>
      <c r="G39" s="256" t="s">
        <v>682</v>
      </c>
      <c r="H39" s="256"/>
      <c r="I39" s="257">
        <v>0</v>
      </c>
      <c r="J39" s="257">
        <v>0</v>
      </c>
      <c r="K39" s="257">
        <v>0</v>
      </c>
      <c r="L39" s="257">
        <v>0</v>
      </c>
      <c r="M39" s="257">
        <v>0</v>
      </c>
      <c r="N39" s="257">
        <v>0</v>
      </c>
      <c r="O39" s="257">
        <v>0</v>
      </c>
      <c r="P39" s="257">
        <v>0</v>
      </c>
      <c r="Q39" s="258">
        <v>0</v>
      </c>
    </row>
    <row r="40" spans="1:17">
      <c r="A40" s="256">
        <v>1</v>
      </c>
      <c r="B40" s="256">
        <v>1900101</v>
      </c>
      <c r="C40" s="256">
        <v>190010100</v>
      </c>
      <c r="D40" s="256" t="s">
        <v>631</v>
      </c>
      <c r="E40" s="256" t="s">
        <v>683</v>
      </c>
      <c r="F40" s="256" t="s">
        <v>684</v>
      </c>
      <c r="G40" s="256" t="s">
        <v>684</v>
      </c>
      <c r="H40" s="256"/>
      <c r="I40" s="257">
        <v>0</v>
      </c>
      <c r="J40" s="257">
        <v>0</v>
      </c>
      <c r="K40" s="257">
        <v>0</v>
      </c>
      <c r="L40" s="257">
        <v>0</v>
      </c>
      <c r="M40" s="257">
        <v>0</v>
      </c>
      <c r="N40" s="257">
        <v>0</v>
      </c>
      <c r="O40" s="257">
        <v>0</v>
      </c>
      <c r="P40" s="257">
        <v>0</v>
      </c>
      <c r="Q40" s="258">
        <v>0</v>
      </c>
    </row>
    <row r="41" spans="1:17">
      <c r="A41" s="256">
        <v>1</v>
      </c>
      <c r="B41" s="256">
        <v>1900202</v>
      </c>
      <c r="C41" s="256">
        <v>190020200</v>
      </c>
      <c r="D41" s="256" t="s">
        <v>631</v>
      </c>
      <c r="E41" s="256" t="s">
        <v>683</v>
      </c>
      <c r="F41" s="256" t="s">
        <v>685</v>
      </c>
      <c r="G41" s="256" t="s">
        <v>685</v>
      </c>
      <c r="H41" s="256"/>
      <c r="I41" s="257">
        <v>0</v>
      </c>
      <c r="J41" s="257">
        <v>0</v>
      </c>
      <c r="K41" s="257">
        <v>0</v>
      </c>
      <c r="L41" s="257">
        <v>0</v>
      </c>
      <c r="M41" s="257">
        <v>0</v>
      </c>
      <c r="N41" s="257">
        <v>0</v>
      </c>
      <c r="O41" s="257">
        <v>0</v>
      </c>
      <c r="P41" s="257">
        <v>0</v>
      </c>
      <c r="Q41" s="258">
        <v>0</v>
      </c>
    </row>
    <row r="42" spans="1:17">
      <c r="A42" s="256">
        <v>1</v>
      </c>
      <c r="B42" s="256">
        <v>1900303</v>
      </c>
      <c r="C42" s="256">
        <v>190030300</v>
      </c>
      <c r="D42" s="256" t="s">
        <v>631</v>
      </c>
      <c r="E42" s="256" t="s">
        <v>683</v>
      </c>
      <c r="F42" s="256" t="s">
        <v>683</v>
      </c>
      <c r="G42" s="256" t="s">
        <v>683</v>
      </c>
      <c r="H42" s="256"/>
      <c r="I42" s="257">
        <v>0</v>
      </c>
      <c r="J42" s="257">
        <v>0</v>
      </c>
      <c r="K42" s="257">
        <v>0</v>
      </c>
      <c r="L42" s="257">
        <v>0</v>
      </c>
      <c r="M42" s="257">
        <v>0</v>
      </c>
      <c r="N42" s="257">
        <v>0</v>
      </c>
      <c r="O42" s="257">
        <v>0</v>
      </c>
      <c r="P42" s="257">
        <v>0</v>
      </c>
      <c r="Q42" s="258">
        <v>0</v>
      </c>
    </row>
    <row r="43" spans="1:17">
      <c r="A43" s="256">
        <v>1</v>
      </c>
      <c r="B43" s="256">
        <v>4810202</v>
      </c>
      <c r="C43" s="256">
        <v>481020200</v>
      </c>
      <c r="D43" s="256" t="s">
        <v>686</v>
      </c>
      <c r="E43" s="256" t="s">
        <v>687</v>
      </c>
      <c r="F43" s="256" t="s">
        <v>688</v>
      </c>
      <c r="G43" s="256" t="s">
        <v>688</v>
      </c>
      <c r="H43" s="256"/>
      <c r="I43" s="257">
        <v>20339840861</v>
      </c>
      <c r="J43" s="257">
        <v>0</v>
      </c>
      <c r="K43" s="257">
        <v>0</v>
      </c>
      <c r="L43" s="257">
        <v>0</v>
      </c>
      <c r="M43" s="257">
        <v>0</v>
      </c>
      <c r="N43" s="257">
        <v>20339840861</v>
      </c>
      <c r="O43" s="257">
        <v>0</v>
      </c>
      <c r="P43" s="257">
        <v>0</v>
      </c>
      <c r="Q43" s="258">
        <v>0</v>
      </c>
    </row>
    <row r="44" spans="1:17">
      <c r="A44" s="256">
        <v>1</v>
      </c>
      <c r="B44" s="256">
        <v>4810404</v>
      </c>
      <c r="C44" s="256">
        <v>481040411</v>
      </c>
      <c r="D44" s="256" t="s">
        <v>686</v>
      </c>
      <c r="E44" s="256" t="s">
        <v>687</v>
      </c>
      <c r="F44" s="256" t="s">
        <v>689</v>
      </c>
      <c r="G44" s="256" t="s">
        <v>690</v>
      </c>
      <c r="H44" s="256" t="s">
        <v>691</v>
      </c>
      <c r="I44" s="257">
        <v>2754671000</v>
      </c>
      <c r="J44" s="257">
        <v>0</v>
      </c>
      <c r="K44" s="257">
        <v>0</v>
      </c>
      <c r="L44" s="257">
        <v>0</v>
      </c>
      <c r="M44" s="257">
        <v>0</v>
      </c>
      <c r="N44" s="257">
        <v>0</v>
      </c>
      <c r="O44" s="257">
        <v>0</v>
      </c>
      <c r="P44" s="257">
        <v>2754671000</v>
      </c>
      <c r="Q44" s="258">
        <v>0</v>
      </c>
    </row>
    <row r="45" spans="1:17">
      <c r="A45" s="256">
        <v>1</v>
      </c>
      <c r="B45" s="256">
        <v>4810404</v>
      </c>
      <c r="C45" s="256">
        <v>481040412</v>
      </c>
      <c r="D45" s="256" t="s">
        <v>686</v>
      </c>
      <c r="E45" s="256" t="s">
        <v>687</v>
      </c>
      <c r="F45" s="256" t="s">
        <v>689</v>
      </c>
      <c r="G45" s="256" t="s">
        <v>690</v>
      </c>
      <c r="H45" s="256" t="s">
        <v>692</v>
      </c>
      <c r="I45" s="257">
        <v>7912710000</v>
      </c>
      <c r="J45" s="257">
        <v>0</v>
      </c>
      <c r="K45" s="257">
        <v>0</v>
      </c>
      <c r="L45" s="257">
        <v>0</v>
      </c>
      <c r="M45" s="257">
        <v>0</v>
      </c>
      <c r="N45" s="257">
        <v>0</v>
      </c>
      <c r="O45" s="257">
        <v>0</v>
      </c>
      <c r="P45" s="257">
        <v>7912710000</v>
      </c>
      <c r="Q45" s="258">
        <v>0</v>
      </c>
    </row>
    <row r="46" spans="1:17">
      <c r="A46" s="256">
        <v>1</v>
      </c>
      <c r="B46" s="256">
        <v>4810404</v>
      </c>
      <c r="C46" s="256">
        <v>481040413</v>
      </c>
      <c r="D46" s="256" t="s">
        <v>686</v>
      </c>
      <c r="E46" s="256" t="s">
        <v>687</v>
      </c>
      <c r="F46" s="256" t="s">
        <v>689</v>
      </c>
      <c r="G46" s="256" t="s">
        <v>690</v>
      </c>
      <c r="H46" s="256" t="s">
        <v>693</v>
      </c>
      <c r="I46" s="257">
        <v>2138644000</v>
      </c>
      <c r="J46" s="257">
        <v>0</v>
      </c>
      <c r="K46" s="257">
        <v>0</v>
      </c>
      <c r="L46" s="257">
        <v>0</v>
      </c>
      <c r="M46" s="257">
        <v>0</v>
      </c>
      <c r="N46" s="257">
        <v>0</v>
      </c>
      <c r="O46" s="257">
        <v>0</v>
      </c>
      <c r="P46" s="257">
        <v>2138644000</v>
      </c>
      <c r="Q46" s="258">
        <v>0</v>
      </c>
    </row>
    <row r="47" spans="1:17">
      <c r="A47" s="256">
        <v>1</v>
      </c>
      <c r="B47" s="256">
        <v>4810404</v>
      </c>
      <c r="C47" s="256">
        <v>481040415</v>
      </c>
      <c r="D47" s="256" t="s">
        <v>686</v>
      </c>
      <c r="E47" s="256" t="s">
        <v>687</v>
      </c>
      <c r="F47" s="256" t="s">
        <v>689</v>
      </c>
      <c r="G47" s="256" t="s">
        <v>690</v>
      </c>
      <c r="H47" s="256" t="s">
        <v>694</v>
      </c>
      <c r="I47" s="257">
        <v>0</v>
      </c>
      <c r="J47" s="257">
        <v>0</v>
      </c>
      <c r="K47" s="257">
        <v>0</v>
      </c>
      <c r="L47" s="257">
        <v>0</v>
      </c>
      <c r="M47" s="257">
        <v>0</v>
      </c>
      <c r="N47" s="257">
        <v>0</v>
      </c>
      <c r="O47" s="257">
        <v>0</v>
      </c>
      <c r="P47" s="257">
        <v>0</v>
      </c>
      <c r="Q47" s="258">
        <v>0</v>
      </c>
    </row>
    <row r="48" spans="1:17">
      <c r="A48" s="256">
        <v>1</v>
      </c>
      <c r="B48" s="256">
        <v>4810406</v>
      </c>
      <c r="C48" s="256">
        <v>481040600</v>
      </c>
      <c r="D48" s="256" t="s">
        <v>686</v>
      </c>
      <c r="E48" s="256" t="s">
        <v>687</v>
      </c>
      <c r="F48" s="256" t="s">
        <v>689</v>
      </c>
      <c r="G48" s="256" t="s">
        <v>695</v>
      </c>
      <c r="H48" s="256"/>
      <c r="I48" s="257">
        <v>61778000</v>
      </c>
      <c r="J48" s="257">
        <v>0</v>
      </c>
      <c r="K48" s="257">
        <v>0</v>
      </c>
      <c r="L48" s="257">
        <v>0</v>
      </c>
      <c r="M48" s="257">
        <v>0</v>
      </c>
      <c r="N48" s="257">
        <v>0</v>
      </c>
      <c r="O48" s="257">
        <v>0</v>
      </c>
      <c r="P48" s="257">
        <v>61778000</v>
      </c>
      <c r="Q48" s="258">
        <v>0</v>
      </c>
    </row>
    <row r="49" spans="1:17">
      <c r="A49" s="256">
        <v>1</v>
      </c>
      <c r="B49" s="256">
        <v>4810408</v>
      </c>
      <c r="C49" s="256">
        <v>481040800</v>
      </c>
      <c r="D49" s="256" t="s">
        <v>686</v>
      </c>
      <c r="E49" s="256" t="s">
        <v>687</v>
      </c>
      <c r="F49" s="256" t="s">
        <v>689</v>
      </c>
      <c r="G49" s="256" t="s">
        <v>696</v>
      </c>
      <c r="H49" s="256"/>
      <c r="I49" s="257">
        <v>40039000</v>
      </c>
      <c r="J49" s="257">
        <v>0</v>
      </c>
      <c r="K49" s="257">
        <v>0</v>
      </c>
      <c r="L49" s="257">
        <v>0</v>
      </c>
      <c r="M49" s="257">
        <v>0</v>
      </c>
      <c r="N49" s="257">
        <v>0</v>
      </c>
      <c r="O49" s="257">
        <v>0</v>
      </c>
      <c r="P49" s="257">
        <v>40039000</v>
      </c>
      <c r="Q49" s="258">
        <v>0</v>
      </c>
    </row>
    <row r="50" spans="1:17">
      <c r="A50" s="256">
        <v>1</v>
      </c>
      <c r="B50" s="256">
        <v>4810409</v>
      </c>
      <c r="C50" s="256">
        <v>481040900</v>
      </c>
      <c r="D50" s="256" t="s">
        <v>686</v>
      </c>
      <c r="E50" s="256" t="s">
        <v>687</v>
      </c>
      <c r="F50" s="256" t="s">
        <v>689</v>
      </c>
      <c r="G50" s="256" t="s">
        <v>697</v>
      </c>
      <c r="H50" s="256"/>
      <c r="I50" s="257">
        <v>14763000</v>
      </c>
      <c r="J50" s="257">
        <v>0</v>
      </c>
      <c r="K50" s="257">
        <v>0</v>
      </c>
      <c r="L50" s="257">
        <v>0</v>
      </c>
      <c r="M50" s="257">
        <v>0</v>
      </c>
      <c r="N50" s="257">
        <v>0</v>
      </c>
      <c r="O50" s="257">
        <v>0</v>
      </c>
      <c r="P50" s="257">
        <v>14763000</v>
      </c>
      <c r="Q50" s="258">
        <v>0</v>
      </c>
    </row>
    <row r="51" spans="1:17">
      <c r="A51" s="256">
        <v>1</v>
      </c>
      <c r="B51" s="256">
        <v>4810415</v>
      </c>
      <c r="C51" s="256">
        <v>481041500</v>
      </c>
      <c r="D51" s="256" t="s">
        <v>686</v>
      </c>
      <c r="E51" s="256" t="s">
        <v>687</v>
      </c>
      <c r="F51" s="256" t="s">
        <v>689</v>
      </c>
      <c r="G51" s="256" t="s">
        <v>698</v>
      </c>
      <c r="H51" s="256"/>
      <c r="I51" s="257">
        <v>0</v>
      </c>
      <c r="J51" s="257">
        <v>0</v>
      </c>
      <c r="K51" s="257">
        <v>0</v>
      </c>
      <c r="L51" s="257">
        <v>0</v>
      </c>
      <c r="M51" s="257">
        <v>0</v>
      </c>
      <c r="N51" s="257">
        <v>0</v>
      </c>
      <c r="O51" s="257">
        <v>0</v>
      </c>
      <c r="P51" s="257">
        <v>0</v>
      </c>
      <c r="Q51" s="258">
        <v>0</v>
      </c>
    </row>
    <row r="52" spans="1:17">
      <c r="A52" s="256">
        <v>1</v>
      </c>
      <c r="B52" s="256">
        <v>4811214</v>
      </c>
      <c r="C52" s="256">
        <v>481121400</v>
      </c>
      <c r="D52" s="256" t="s">
        <v>686</v>
      </c>
      <c r="E52" s="256" t="s">
        <v>687</v>
      </c>
      <c r="F52" s="256" t="s">
        <v>699</v>
      </c>
      <c r="G52" s="256" t="s">
        <v>699</v>
      </c>
      <c r="H52" s="256"/>
      <c r="I52" s="257">
        <v>0</v>
      </c>
      <c r="J52" s="257">
        <v>0</v>
      </c>
      <c r="K52" s="257">
        <v>0</v>
      </c>
      <c r="L52" s="257">
        <v>0</v>
      </c>
      <c r="M52" s="257">
        <v>0</v>
      </c>
      <c r="N52" s="257">
        <v>0</v>
      </c>
      <c r="O52" s="257">
        <v>0</v>
      </c>
      <c r="P52" s="257">
        <v>0</v>
      </c>
      <c r="Q52" s="258">
        <v>0</v>
      </c>
    </row>
    <row r="53" spans="1:17">
      <c r="A53" s="256">
        <v>1</v>
      </c>
      <c r="B53" s="256">
        <v>4811415</v>
      </c>
      <c r="C53" s="256">
        <v>481141500</v>
      </c>
      <c r="D53" s="256" t="s">
        <v>686</v>
      </c>
      <c r="E53" s="256" t="s">
        <v>687</v>
      </c>
      <c r="F53" s="256" t="s">
        <v>700</v>
      </c>
      <c r="G53" s="256" t="s">
        <v>701</v>
      </c>
      <c r="H53" s="256"/>
      <c r="I53" s="257">
        <v>187826166</v>
      </c>
      <c r="J53" s="257">
        <v>0</v>
      </c>
      <c r="K53" s="257">
        <v>0</v>
      </c>
      <c r="L53" s="257">
        <v>0</v>
      </c>
      <c r="M53" s="257">
        <v>0</v>
      </c>
      <c r="N53" s="257">
        <v>187826166</v>
      </c>
      <c r="O53" s="257">
        <v>0</v>
      </c>
      <c r="P53" s="257">
        <v>0</v>
      </c>
      <c r="Q53" s="258">
        <v>0</v>
      </c>
    </row>
    <row r="54" spans="1:17">
      <c r="A54" s="256">
        <v>1</v>
      </c>
      <c r="B54" s="256">
        <v>4811416</v>
      </c>
      <c r="C54" s="256">
        <v>481141600</v>
      </c>
      <c r="D54" s="256" t="s">
        <v>686</v>
      </c>
      <c r="E54" s="256" t="s">
        <v>687</v>
      </c>
      <c r="F54" s="256" t="s">
        <v>700</v>
      </c>
      <c r="G54" s="256" t="s">
        <v>702</v>
      </c>
      <c r="H54" s="256"/>
      <c r="I54" s="257">
        <v>0</v>
      </c>
      <c r="J54" s="257">
        <v>0</v>
      </c>
      <c r="K54" s="257">
        <v>0</v>
      </c>
      <c r="L54" s="257">
        <v>0</v>
      </c>
      <c r="M54" s="257">
        <v>0</v>
      </c>
      <c r="N54" s="257">
        <v>0</v>
      </c>
      <c r="O54" s="257">
        <v>0</v>
      </c>
      <c r="P54" s="257">
        <v>0</v>
      </c>
      <c r="Q54" s="258">
        <v>0</v>
      </c>
    </row>
    <row r="55" spans="1:17">
      <c r="A55" s="256">
        <v>1</v>
      </c>
      <c r="B55" s="256">
        <v>4811417</v>
      </c>
      <c r="C55" s="256">
        <v>481141700</v>
      </c>
      <c r="D55" s="256" t="s">
        <v>686</v>
      </c>
      <c r="E55" s="256" t="s">
        <v>687</v>
      </c>
      <c r="F55" s="256" t="s">
        <v>700</v>
      </c>
      <c r="G55" s="256" t="s">
        <v>703</v>
      </c>
      <c r="H55" s="256"/>
      <c r="I55" s="257">
        <v>1409733</v>
      </c>
      <c r="J55" s="257">
        <v>0</v>
      </c>
      <c r="K55" s="257">
        <v>0</v>
      </c>
      <c r="L55" s="257">
        <v>0</v>
      </c>
      <c r="M55" s="257">
        <v>0</v>
      </c>
      <c r="N55" s="257">
        <v>1409733</v>
      </c>
      <c r="O55" s="257">
        <v>0</v>
      </c>
      <c r="P55" s="257">
        <v>0</v>
      </c>
      <c r="Q55" s="258">
        <v>0</v>
      </c>
    </row>
    <row r="56" spans="1:17">
      <c r="A56" s="256">
        <v>1</v>
      </c>
      <c r="B56" s="256">
        <v>4811418</v>
      </c>
      <c r="C56" s="256">
        <v>481141800</v>
      </c>
      <c r="D56" s="256" t="s">
        <v>686</v>
      </c>
      <c r="E56" s="256" t="s">
        <v>687</v>
      </c>
      <c r="F56" s="256" t="s">
        <v>700</v>
      </c>
      <c r="G56" s="256" t="s">
        <v>64</v>
      </c>
      <c r="H56" s="256"/>
      <c r="I56" s="257">
        <v>0</v>
      </c>
      <c r="J56" s="257">
        <v>0</v>
      </c>
      <c r="K56" s="257">
        <v>0</v>
      </c>
      <c r="L56" s="257">
        <v>0</v>
      </c>
      <c r="M56" s="257">
        <v>0</v>
      </c>
      <c r="N56" s="257">
        <v>0</v>
      </c>
      <c r="O56" s="257">
        <v>0</v>
      </c>
      <c r="P56" s="257">
        <v>0</v>
      </c>
      <c r="Q56" s="258">
        <v>0</v>
      </c>
    </row>
    <row r="57" spans="1:17">
      <c r="A57" s="256">
        <v>1</v>
      </c>
      <c r="B57" s="256">
        <v>4811419</v>
      </c>
      <c r="C57" s="256">
        <v>481141915</v>
      </c>
      <c r="D57" s="256" t="s">
        <v>686</v>
      </c>
      <c r="E57" s="256" t="s">
        <v>687</v>
      </c>
      <c r="F57" s="256" t="s">
        <v>700</v>
      </c>
      <c r="G57" s="256" t="s">
        <v>85</v>
      </c>
      <c r="H57" s="256" t="s">
        <v>704</v>
      </c>
      <c r="I57" s="257">
        <v>71970</v>
      </c>
      <c r="J57" s="257">
        <v>0</v>
      </c>
      <c r="K57" s="257">
        <v>0</v>
      </c>
      <c r="L57" s="257">
        <v>0</v>
      </c>
      <c r="M57" s="257">
        <v>0</v>
      </c>
      <c r="N57" s="257">
        <v>0</v>
      </c>
      <c r="O57" s="257">
        <v>71970</v>
      </c>
      <c r="P57" s="257">
        <v>0</v>
      </c>
      <c r="Q57" s="258">
        <v>0</v>
      </c>
    </row>
    <row r="58" spans="1:17">
      <c r="A58" s="256">
        <v>1</v>
      </c>
      <c r="B58" s="256">
        <v>4811419</v>
      </c>
      <c r="C58" s="256">
        <v>481141916</v>
      </c>
      <c r="D58" s="256" t="s">
        <v>686</v>
      </c>
      <c r="E58" s="256" t="s">
        <v>687</v>
      </c>
      <c r="F58" s="256" t="s">
        <v>700</v>
      </c>
      <c r="G58" s="256" t="s">
        <v>85</v>
      </c>
      <c r="H58" s="256" t="s">
        <v>705</v>
      </c>
      <c r="I58" s="257">
        <v>539000</v>
      </c>
      <c r="J58" s="257">
        <v>0</v>
      </c>
      <c r="K58" s="257">
        <v>0</v>
      </c>
      <c r="L58" s="257">
        <v>0</v>
      </c>
      <c r="M58" s="257">
        <v>0</v>
      </c>
      <c r="N58" s="257">
        <v>0</v>
      </c>
      <c r="O58" s="257">
        <v>539000</v>
      </c>
      <c r="P58" s="257">
        <v>0</v>
      </c>
      <c r="Q58" s="258">
        <v>0</v>
      </c>
    </row>
    <row r="59" spans="1:17">
      <c r="A59" s="256">
        <v>1</v>
      </c>
      <c r="B59" s="256">
        <v>4811419</v>
      </c>
      <c r="C59" s="256">
        <v>481141917</v>
      </c>
      <c r="D59" s="256" t="s">
        <v>686</v>
      </c>
      <c r="E59" s="256" t="s">
        <v>687</v>
      </c>
      <c r="F59" s="256" t="s">
        <v>700</v>
      </c>
      <c r="G59" s="256" t="s">
        <v>85</v>
      </c>
      <c r="H59" s="256" t="s">
        <v>706</v>
      </c>
      <c r="I59" s="257">
        <v>0</v>
      </c>
      <c r="J59" s="257">
        <v>0</v>
      </c>
      <c r="K59" s="257">
        <v>0</v>
      </c>
      <c r="L59" s="257">
        <v>0</v>
      </c>
      <c r="M59" s="257">
        <v>0</v>
      </c>
      <c r="N59" s="257">
        <v>0</v>
      </c>
      <c r="O59" s="257">
        <v>0</v>
      </c>
      <c r="P59" s="257">
        <v>0</v>
      </c>
      <c r="Q59" s="258">
        <v>0</v>
      </c>
    </row>
    <row r="60" spans="1:17">
      <c r="A60" s="256">
        <v>1</v>
      </c>
      <c r="B60" s="256">
        <v>4811420</v>
      </c>
      <c r="C60" s="256">
        <v>481142000</v>
      </c>
      <c r="D60" s="256" t="s">
        <v>686</v>
      </c>
      <c r="E60" s="256" t="s">
        <v>687</v>
      </c>
      <c r="F60" s="256" t="s">
        <v>700</v>
      </c>
      <c r="G60" s="256" t="s">
        <v>707</v>
      </c>
      <c r="H60" s="256"/>
      <c r="I60" s="257">
        <v>0</v>
      </c>
      <c r="J60" s="257">
        <v>0</v>
      </c>
      <c r="K60" s="257">
        <v>0</v>
      </c>
      <c r="L60" s="257">
        <v>0</v>
      </c>
      <c r="M60" s="257">
        <v>0</v>
      </c>
      <c r="N60" s="257">
        <v>0</v>
      </c>
      <c r="O60" s="257">
        <v>0</v>
      </c>
      <c r="P60" s="257">
        <v>0</v>
      </c>
      <c r="Q60" s="258">
        <v>0</v>
      </c>
    </row>
    <row r="61" spans="1:17">
      <c r="A61" s="256">
        <v>1</v>
      </c>
      <c r="B61" s="256">
        <v>4820221</v>
      </c>
      <c r="C61" s="256">
        <v>482022100</v>
      </c>
      <c r="D61" s="256" t="s">
        <v>686</v>
      </c>
      <c r="E61" s="256" t="s">
        <v>708</v>
      </c>
      <c r="F61" s="256" t="s">
        <v>709</v>
      </c>
      <c r="G61" s="256" t="s">
        <v>710</v>
      </c>
      <c r="H61" s="256"/>
      <c r="I61" s="257">
        <v>88770</v>
      </c>
      <c r="J61" s="257">
        <v>0</v>
      </c>
      <c r="K61" s="257">
        <v>0</v>
      </c>
      <c r="L61" s="257">
        <v>0</v>
      </c>
      <c r="M61" s="257">
        <v>0</v>
      </c>
      <c r="N61" s="257">
        <v>0</v>
      </c>
      <c r="O61" s="257">
        <v>88770</v>
      </c>
      <c r="P61" s="257">
        <v>0</v>
      </c>
      <c r="Q61" s="258">
        <v>0</v>
      </c>
    </row>
    <row r="62" spans="1:17">
      <c r="A62" s="256">
        <v>1</v>
      </c>
      <c r="B62" s="256">
        <v>4820222</v>
      </c>
      <c r="C62" s="256">
        <v>482022200</v>
      </c>
      <c r="D62" s="256" t="s">
        <v>686</v>
      </c>
      <c r="E62" s="256" t="s">
        <v>708</v>
      </c>
      <c r="F62" s="256" t="s">
        <v>709</v>
      </c>
      <c r="G62" s="256" t="s">
        <v>711</v>
      </c>
      <c r="H62" s="256"/>
      <c r="I62" s="257">
        <v>0</v>
      </c>
      <c r="J62" s="257">
        <v>0</v>
      </c>
      <c r="K62" s="257">
        <v>0</v>
      </c>
      <c r="L62" s="257">
        <v>0</v>
      </c>
      <c r="M62" s="257">
        <v>0</v>
      </c>
      <c r="N62" s="257">
        <v>0</v>
      </c>
      <c r="O62" s="257">
        <v>0</v>
      </c>
      <c r="P62" s="257">
        <v>0</v>
      </c>
      <c r="Q62" s="258">
        <v>0</v>
      </c>
    </row>
    <row r="63" spans="1:17">
      <c r="A63" s="256">
        <v>1</v>
      </c>
      <c r="B63" s="256">
        <v>4820224</v>
      </c>
      <c r="C63" s="256">
        <v>482022400</v>
      </c>
      <c r="D63" s="256" t="s">
        <v>686</v>
      </c>
      <c r="E63" s="256" t="s">
        <v>708</v>
      </c>
      <c r="F63" s="256" t="s">
        <v>709</v>
      </c>
      <c r="G63" s="256" t="s">
        <v>712</v>
      </c>
      <c r="H63" s="256"/>
      <c r="I63" s="257">
        <v>0</v>
      </c>
      <c r="J63" s="257">
        <v>0</v>
      </c>
      <c r="K63" s="257">
        <v>0</v>
      </c>
      <c r="L63" s="257">
        <v>0</v>
      </c>
      <c r="M63" s="257">
        <v>0</v>
      </c>
      <c r="N63" s="257">
        <v>0</v>
      </c>
      <c r="O63" s="257">
        <v>0</v>
      </c>
      <c r="P63" s="257">
        <v>0</v>
      </c>
      <c r="Q63" s="258">
        <v>0</v>
      </c>
    </row>
    <row r="64" spans="1:17">
      <c r="A64" s="256">
        <v>1</v>
      </c>
      <c r="B64" s="256">
        <v>4820427</v>
      </c>
      <c r="C64" s="256">
        <v>482042700</v>
      </c>
      <c r="D64" s="256" t="s">
        <v>686</v>
      </c>
      <c r="E64" s="256" t="s">
        <v>708</v>
      </c>
      <c r="F64" s="256" t="s">
        <v>655</v>
      </c>
      <c r="G64" s="256" t="s">
        <v>713</v>
      </c>
      <c r="H64" s="256"/>
      <c r="I64" s="257">
        <v>0</v>
      </c>
      <c r="J64" s="257">
        <v>0</v>
      </c>
      <c r="K64" s="257">
        <v>0</v>
      </c>
      <c r="L64" s="257">
        <v>0</v>
      </c>
      <c r="M64" s="257">
        <v>0</v>
      </c>
      <c r="N64" s="257">
        <v>0</v>
      </c>
      <c r="O64" s="257">
        <v>0</v>
      </c>
      <c r="P64" s="257">
        <v>0</v>
      </c>
      <c r="Q64" s="258">
        <v>0</v>
      </c>
    </row>
    <row r="65" spans="1:17">
      <c r="A65" s="256">
        <v>1</v>
      </c>
      <c r="B65" s="256">
        <v>4820428</v>
      </c>
      <c r="C65" s="256">
        <v>482042800</v>
      </c>
      <c r="D65" s="256" t="s">
        <v>686</v>
      </c>
      <c r="E65" s="256" t="s">
        <v>708</v>
      </c>
      <c r="F65" s="256" t="s">
        <v>655</v>
      </c>
      <c r="G65" s="256" t="s">
        <v>714</v>
      </c>
      <c r="H65" s="256"/>
      <c r="I65" s="257">
        <v>0</v>
      </c>
      <c r="J65" s="257">
        <v>0</v>
      </c>
      <c r="K65" s="257">
        <v>0</v>
      </c>
      <c r="L65" s="257">
        <v>0</v>
      </c>
      <c r="M65" s="257">
        <v>0</v>
      </c>
      <c r="N65" s="257">
        <v>0</v>
      </c>
      <c r="O65" s="257">
        <v>0</v>
      </c>
      <c r="P65" s="257">
        <v>0</v>
      </c>
      <c r="Q65" s="258">
        <v>0</v>
      </c>
    </row>
    <row r="66" spans="1:17">
      <c r="A66" s="256">
        <v>1</v>
      </c>
      <c r="B66" s="256">
        <v>4820429</v>
      </c>
      <c r="C66" s="256">
        <v>482042900</v>
      </c>
      <c r="D66" s="256" t="s">
        <v>686</v>
      </c>
      <c r="E66" s="256" t="s">
        <v>708</v>
      </c>
      <c r="F66" s="256" t="s">
        <v>655</v>
      </c>
      <c r="G66" s="256" t="s">
        <v>658</v>
      </c>
      <c r="H66" s="256"/>
      <c r="I66" s="257">
        <v>0</v>
      </c>
      <c r="J66" s="257">
        <v>0</v>
      </c>
      <c r="K66" s="257">
        <v>0</v>
      </c>
      <c r="L66" s="257">
        <v>0</v>
      </c>
      <c r="M66" s="257">
        <v>0</v>
      </c>
      <c r="N66" s="257">
        <v>0</v>
      </c>
      <c r="O66" s="257">
        <v>0</v>
      </c>
      <c r="P66" s="257">
        <v>0</v>
      </c>
      <c r="Q66" s="258">
        <v>0</v>
      </c>
    </row>
    <row r="67" spans="1:17">
      <c r="A67" s="256">
        <v>1</v>
      </c>
      <c r="B67" s="256">
        <v>4820501</v>
      </c>
      <c r="C67" s="256">
        <v>482050100</v>
      </c>
      <c r="D67" s="256" t="s">
        <v>686</v>
      </c>
      <c r="E67" s="256" t="s">
        <v>708</v>
      </c>
      <c r="F67" s="256" t="s">
        <v>715</v>
      </c>
      <c r="G67" s="256" t="s">
        <v>715</v>
      </c>
      <c r="H67" s="256"/>
      <c r="I67" s="257">
        <v>0</v>
      </c>
      <c r="J67" s="257">
        <v>0</v>
      </c>
      <c r="K67" s="257">
        <v>0</v>
      </c>
      <c r="L67" s="257">
        <v>0</v>
      </c>
      <c r="M67" s="257">
        <v>0</v>
      </c>
      <c r="N67" s="257">
        <v>0</v>
      </c>
      <c r="O67" s="257">
        <v>0</v>
      </c>
      <c r="P67" s="257">
        <v>0</v>
      </c>
      <c r="Q67" s="258">
        <v>0</v>
      </c>
    </row>
    <row r="68" spans="1:17">
      <c r="A68" s="256">
        <v>1</v>
      </c>
      <c r="B68" s="256">
        <v>4820630</v>
      </c>
      <c r="C68" s="256">
        <v>482063000</v>
      </c>
      <c r="D68" s="256" t="s">
        <v>686</v>
      </c>
      <c r="E68" s="256" t="s">
        <v>708</v>
      </c>
      <c r="F68" s="256" t="s">
        <v>659</v>
      </c>
      <c r="G68" s="256" t="s">
        <v>659</v>
      </c>
      <c r="H68" s="256"/>
      <c r="I68" s="257">
        <v>0</v>
      </c>
      <c r="J68" s="257">
        <v>0</v>
      </c>
      <c r="K68" s="257">
        <v>0</v>
      </c>
      <c r="L68" s="257">
        <v>0</v>
      </c>
      <c r="M68" s="257">
        <v>0</v>
      </c>
      <c r="N68" s="257">
        <v>0</v>
      </c>
      <c r="O68" s="257">
        <v>0</v>
      </c>
      <c r="P68" s="257">
        <v>0</v>
      </c>
      <c r="Q68" s="258">
        <v>0</v>
      </c>
    </row>
    <row r="69" spans="1:17">
      <c r="A69" s="256">
        <v>1</v>
      </c>
      <c r="B69" s="256">
        <v>4820831</v>
      </c>
      <c r="C69" s="256">
        <v>482083100</v>
      </c>
      <c r="D69" s="256" t="s">
        <v>686</v>
      </c>
      <c r="E69" s="256" t="s">
        <v>708</v>
      </c>
      <c r="F69" s="256" t="s">
        <v>660</v>
      </c>
      <c r="G69" s="256" t="s">
        <v>660</v>
      </c>
      <c r="H69" s="256"/>
      <c r="I69" s="257">
        <v>0</v>
      </c>
      <c r="J69" s="257">
        <v>0</v>
      </c>
      <c r="K69" s="257">
        <v>0</v>
      </c>
      <c r="L69" s="257">
        <v>0</v>
      </c>
      <c r="M69" s="257">
        <v>0</v>
      </c>
      <c r="N69" s="257">
        <v>0</v>
      </c>
      <c r="O69" s="257">
        <v>0</v>
      </c>
      <c r="P69" s="257">
        <v>0</v>
      </c>
      <c r="Q69" s="258">
        <v>0</v>
      </c>
    </row>
    <row r="70" spans="1:17">
      <c r="A70" s="256">
        <v>1</v>
      </c>
      <c r="B70" s="256">
        <v>4820932</v>
      </c>
      <c r="C70" s="256">
        <v>482093200</v>
      </c>
      <c r="D70" s="256" t="s">
        <v>686</v>
      </c>
      <c r="E70" s="256" t="s">
        <v>708</v>
      </c>
      <c r="F70" s="256" t="s">
        <v>663</v>
      </c>
      <c r="G70" s="256" t="s">
        <v>716</v>
      </c>
      <c r="H70" s="256"/>
      <c r="I70" s="257">
        <v>37016600</v>
      </c>
      <c r="J70" s="257">
        <v>0</v>
      </c>
      <c r="K70" s="257">
        <v>0</v>
      </c>
      <c r="L70" s="257">
        <v>0</v>
      </c>
      <c r="M70" s="257">
        <v>0</v>
      </c>
      <c r="N70" s="257">
        <v>37016600</v>
      </c>
      <c r="O70" s="257">
        <v>0</v>
      </c>
      <c r="P70" s="257">
        <v>0</v>
      </c>
      <c r="Q70" s="258">
        <v>0</v>
      </c>
    </row>
    <row r="71" spans="1:17">
      <c r="A71" s="256">
        <v>1</v>
      </c>
      <c r="B71" s="256">
        <v>4820933</v>
      </c>
      <c r="C71" s="256">
        <v>482093300</v>
      </c>
      <c r="D71" s="256" t="s">
        <v>686</v>
      </c>
      <c r="E71" s="256" t="s">
        <v>708</v>
      </c>
      <c r="F71" s="256" t="s">
        <v>663</v>
      </c>
      <c r="G71" s="256" t="s">
        <v>717</v>
      </c>
      <c r="H71" s="256"/>
      <c r="I71" s="257">
        <v>16476593</v>
      </c>
      <c r="J71" s="257">
        <v>0</v>
      </c>
      <c r="K71" s="257">
        <v>0</v>
      </c>
      <c r="L71" s="257">
        <v>0</v>
      </c>
      <c r="M71" s="257">
        <v>0</v>
      </c>
      <c r="N71" s="257">
        <v>0</v>
      </c>
      <c r="O71" s="257">
        <v>0</v>
      </c>
      <c r="P71" s="257">
        <v>16476593</v>
      </c>
      <c r="Q71" s="258">
        <v>0</v>
      </c>
    </row>
    <row r="72" spans="1:17">
      <c r="A72" s="256">
        <v>1</v>
      </c>
      <c r="B72" s="256">
        <v>4821034</v>
      </c>
      <c r="C72" s="256">
        <v>482103411</v>
      </c>
      <c r="D72" s="256" t="s">
        <v>686</v>
      </c>
      <c r="E72" s="256" t="s">
        <v>708</v>
      </c>
      <c r="F72" s="256" t="s">
        <v>661</v>
      </c>
      <c r="G72" s="256" t="s">
        <v>718</v>
      </c>
      <c r="H72" s="256" t="s">
        <v>691</v>
      </c>
      <c r="I72" s="257">
        <v>0</v>
      </c>
      <c r="J72" s="257">
        <v>0</v>
      </c>
      <c r="K72" s="257">
        <v>0</v>
      </c>
      <c r="L72" s="257">
        <v>0</v>
      </c>
      <c r="M72" s="257">
        <v>0</v>
      </c>
      <c r="N72" s="257">
        <v>0</v>
      </c>
      <c r="O72" s="257">
        <v>0</v>
      </c>
      <c r="P72" s="257">
        <v>0</v>
      </c>
      <c r="Q72" s="258">
        <v>0</v>
      </c>
    </row>
    <row r="73" spans="1:17">
      <c r="A73" s="256">
        <v>1</v>
      </c>
      <c r="B73" s="256">
        <v>4821034</v>
      </c>
      <c r="C73" s="256">
        <v>482103412</v>
      </c>
      <c r="D73" s="256" t="s">
        <v>686</v>
      </c>
      <c r="E73" s="256" t="s">
        <v>708</v>
      </c>
      <c r="F73" s="256" t="s">
        <v>661</v>
      </c>
      <c r="G73" s="256" t="s">
        <v>718</v>
      </c>
      <c r="H73" s="256" t="s">
        <v>692</v>
      </c>
      <c r="I73" s="257">
        <v>0</v>
      </c>
      <c r="J73" s="257">
        <v>0</v>
      </c>
      <c r="K73" s="257">
        <v>0</v>
      </c>
      <c r="L73" s="257">
        <v>0</v>
      </c>
      <c r="M73" s="257">
        <v>0</v>
      </c>
      <c r="N73" s="257">
        <v>0</v>
      </c>
      <c r="O73" s="257">
        <v>0</v>
      </c>
      <c r="P73" s="257">
        <v>0</v>
      </c>
      <c r="Q73" s="258">
        <v>0</v>
      </c>
    </row>
    <row r="74" spans="1:17">
      <c r="A74" s="256">
        <v>1</v>
      </c>
      <c r="B74" s="256">
        <v>4821034</v>
      </c>
      <c r="C74" s="256">
        <v>482103413</v>
      </c>
      <c r="D74" s="256" t="s">
        <v>686</v>
      </c>
      <c r="E74" s="256" t="s">
        <v>708</v>
      </c>
      <c r="F74" s="256" t="s">
        <v>661</v>
      </c>
      <c r="G74" s="256" t="s">
        <v>718</v>
      </c>
      <c r="H74" s="256" t="s">
        <v>693</v>
      </c>
      <c r="I74" s="257">
        <v>0</v>
      </c>
      <c r="J74" s="257">
        <v>0</v>
      </c>
      <c r="K74" s="257">
        <v>0</v>
      </c>
      <c r="L74" s="257">
        <v>0</v>
      </c>
      <c r="M74" s="257">
        <v>0</v>
      </c>
      <c r="N74" s="257">
        <v>0</v>
      </c>
      <c r="O74" s="257">
        <v>0</v>
      </c>
      <c r="P74" s="257">
        <v>0</v>
      </c>
      <c r="Q74" s="258">
        <v>0</v>
      </c>
    </row>
    <row r="75" spans="1:17">
      <c r="A75" s="256">
        <v>1</v>
      </c>
      <c r="B75" s="256">
        <v>4821034</v>
      </c>
      <c r="C75" s="256">
        <v>482103414</v>
      </c>
      <c r="D75" s="256" t="s">
        <v>686</v>
      </c>
      <c r="E75" s="256" t="s">
        <v>708</v>
      </c>
      <c r="F75" s="256" t="s">
        <v>661</v>
      </c>
      <c r="G75" s="256" t="s">
        <v>718</v>
      </c>
      <c r="H75" s="256" t="s">
        <v>719</v>
      </c>
      <c r="I75" s="257">
        <v>0</v>
      </c>
      <c r="J75" s="257">
        <v>0</v>
      </c>
      <c r="K75" s="257">
        <v>0</v>
      </c>
      <c r="L75" s="257">
        <v>0</v>
      </c>
      <c r="M75" s="257">
        <v>0</v>
      </c>
      <c r="N75" s="257">
        <v>0</v>
      </c>
      <c r="O75" s="257">
        <v>0</v>
      </c>
      <c r="P75" s="257">
        <v>0</v>
      </c>
      <c r="Q75" s="258">
        <v>0</v>
      </c>
    </row>
    <row r="76" spans="1:17">
      <c r="A76" s="256">
        <v>1</v>
      </c>
      <c r="B76" s="256">
        <v>4821035</v>
      </c>
      <c r="C76" s="256">
        <v>482103500</v>
      </c>
      <c r="D76" s="256" t="s">
        <v>686</v>
      </c>
      <c r="E76" s="256" t="s">
        <v>708</v>
      </c>
      <c r="F76" s="256" t="s">
        <v>661</v>
      </c>
      <c r="G76" s="256" t="s">
        <v>720</v>
      </c>
      <c r="H76" s="256"/>
      <c r="I76" s="257">
        <v>0</v>
      </c>
      <c r="J76" s="257">
        <v>0</v>
      </c>
      <c r="K76" s="257">
        <v>0</v>
      </c>
      <c r="L76" s="257">
        <v>0</v>
      </c>
      <c r="M76" s="257">
        <v>0</v>
      </c>
      <c r="N76" s="257">
        <v>0</v>
      </c>
      <c r="O76" s="257">
        <v>0</v>
      </c>
      <c r="P76" s="257">
        <v>0</v>
      </c>
      <c r="Q76" s="258">
        <v>0</v>
      </c>
    </row>
    <row r="77" spans="1:17">
      <c r="A77" s="256">
        <v>1</v>
      </c>
      <c r="B77" s="256">
        <v>4821040</v>
      </c>
      <c r="C77" s="256">
        <v>482104000</v>
      </c>
      <c r="D77" s="256" t="s">
        <v>686</v>
      </c>
      <c r="E77" s="256" t="s">
        <v>708</v>
      </c>
      <c r="F77" s="256" t="s">
        <v>661</v>
      </c>
      <c r="G77" s="256" t="s">
        <v>721</v>
      </c>
      <c r="H77" s="256"/>
      <c r="I77" s="257">
        <v>0</v>
      </c>
      <c r="J77" s="257">
        <v>0</v>
      </c>
      <c r="K77" s="257">
        <v>0</v>
      </c>
      <c r="L77" s="257">
        <v>0</v>
      </c>
      <c r="M77" s="257">
        <v>0</v>
      </c>
      <c r="N77" s="257">
        <v>0</v>
      </c>
      <c r="O77" s="257">
        <v>0</v>
      </c>
      <c r="P77" s="257">
        <v>0</v>
      </c>
      <c r="Q77" s="258">
        <v>0</v>
      </c>
    </row>
    <row r="78" spans="1:17">
      <c r="A78" s="256">
        <v>1</v>
      </c>
      <c r="B78" s="256">
        <v>4821137</v>
      </c>
      <c r="C78" s="256">
        <v>482113700</v>
      </c>
      <c r="D78" s="256" t="s">
        <v>686</v>
      </c>
      <c r="E78" s="256" t="s">
        <v>708</v>
      </c>
      <c r="F78" s="256" t="s">
        <v>685</v>
      </c>
      <c r="G78" s="256" t="s">
        <v>685</v>
      </c>
      <c r="H78" s="256"/>
      <c r="I78" s="257">
        <v>0</v>
      </c>
      <c r="J78" s="257">
        <v>0</v>
      </c>
      <c r="K78" s="257">
        <v>0</v>
      </c>
      <c r="L78" s="257">
        <v>0</v>
      </c>
      <c r="M78" s="257">
        <v>0</v>
      </c>
      <c r="N78" s="257">
        <v>0</v>
      </c>
      <c r="O78" s="257">
        <v>0</v>
      </c>
      <c r="P78" s="257">
        <v>0</v>
      </c>
      <c r="Q78" s="258">
        <v>0</v>
      </c>
    </row>
    <row r="79" spans="1:17">
      <c r="A79" s="256">
        <v>1</v>
      </c>
      <c r="B79" s="256">
        <v>4821236</v>
      </c>
      <c r="C79" s="256">
        <v>482123600</v>
      </c>
      <c r="D79" s="256" t="s">
        <v>686</v>
      </c>
      <c r="E79" s="256" t="s">
        <v>708</v>
      </c>
      <c r="F79" s="256" t="s">
        <v>707</v>
      </c>
      <c r="G79" s="256" t="s">
        <v>722</v>
      </c>
      <c r="H79" s="256"/>
      <c r="I79" s="257">
        <v>408100</v>
      </c>
      <c r="J79" s="257">
        <v>0</v>
      </c>
      <c r="K79" s="257">
        <v>0</v>
      </c>
      <c r="L79" s="257">
        <v>0</v>
      </c>
      <c r="M79" s="257">
        <v>0</v>
      </c>
      <c r="N79" s="257">
        <v>408100</v>
      </c>
      <c r="O79" s="257">
        <v>0</v>
      </c>
      <c r="P79" s="257">
        <v>0</v>
      </c>
      <c r="Q79" s="258">
        <v>0</v>
      </c>
    </row>
    <row r="80" spans="1:17">
      <c r="A80" s="256">
        <v>1</v>
      </c>
      <c r="B80" s="256">
        <v>4821240</v>
      </c>
      <c r="C80" s="256">
        <v>482124000</v>
      </c>
      <c r="D80" s="256" t="s">
        <v>686</v>
      </c>
      <c r="E80" s="256" t="s">
        <v>708</v>
      </c>
      <c r="F80" s="256" t="s">
        <v>707</v>
      </c>
      <c r="G80" s="256" t="s">
        <v>723</v>
      </c>
      <c r="H80" s="256"/>
      <c r="I80" s="257">
        <v>35949984</v>
      </c>
      <c r="J80" s="257">
        <v>0</v>
      </c>
      <c r="K80" s="257">
        <v>0</v>
      </c>
      <c r="L80" s="257">
        <v>0</v>
      </c>
      <c r="M80" s="257">
        <v>0</v>
      </c>
      <c r="N80" s="257">
        <v>12905830</v>
      </c>
      <c r="O80" s="257">
        <v>21841940</v>
      </c>
      <c r="P80" s="257">
        <v>1202214</v>
      </c>
      <c r="Q80" s="258">
        <v>0</v>
      </c>
    </row>
    <row r="81" spans="1:19">
      <c r="A81" s="256">
        <v>1</v>
      </c>
      <c r="B81" s="256">
        <v>4821301</v>
      </c>
      <c r="C81" s="256">
        <v>482130103</v>
      </c>
      <c r="D81" s="256" t="s">
        <v>686</v>
      </c>
      <c r="E81" s="256" t="s">
        <v>708</v>
      </c>
      <c r="F81" s="256" t="s">
        <v>724</v>
      </c>
      <c r="G81" s="256" t="s">
        <v>724</v>
      </c>
      <c r="H81" s="256" t="s">
        <v>725</v>
      </c>
      <c r="I81" s="257">
        <v>1393301969</v>
      </c>
      <c r="J81" s="257">
        <v>0</v>
      </c>
      <c r="K81" s="257">
        <v>0</v>
      </c>
      <c r="L81" s="257">
        <v>0</v>
      </c>
      <c r="M81" s="257">
        <v>0</v>
      </c>
      <c r="N81" s="257">
        <v>0</v>
      </c>
      <c r="O81" s="257">
        <v>0</v>
      </c>
      <c r="P81" s="257">
        <v>1393301969</v>
      </c>
      <c r="Q81" s="258">
        <v>0</v>
      </c>
    </row>
    <row r="82" spans="1:19">
      <c r="A82" s="256">
        <v>1</v>
      </c>
      <c r="B82" s="256">
        <v>4821301</v>
      </c>
      <c r="C82" s="256">
        <v>482130104</v>
      </c>
      <c r="D82" s="256" t="s">
        <v>686</v>
      </c>
      <c r="E82" s="256" t="s">
        <v>708</v>
      </c>
      <c r="F82" s="256" t="s">
        <v>724</v>
      </c>
      <c r="G82" s="256" t="s">
        <v>724</v>
      </c>
      <c r="H82" s="256" t="s">
        <v>655</v>
      </c>
      <c r="I82" s="290">
        <v>6705381537</v>
      </c>
      <c r="J82" s="257">
        <v>0</v>
      </c>
      <c r="K82" s="257">
        <v>0</v>
      </c>
      <c r="L82" s="257">
        <v>0</v>
      </c>
      <c r="M82" s="257">
        <v>0</v>
      </c>
      <c r="N82" s="257">
        <v>0</v>
      </c>
      <c r="O82" s="257">
        <v>0</v>
      </c>
      <c r="P82" s="290">
        <v>6705381537</v>
      </c>
      <c r="Q82" s="258">
        <v>0</v>
      </c>
      <c r="S82" s="259" t="s">
        <v>876</v>
      </c>
    </row>
    <row r="83" spans="1:19">
      <c r="A83" s="256">
        <v>1</v>
      </c>
      <c r="B83" s="256">
        <v>4821301</v>
      </c>
      <c r="C83" s="256">
        <v>482130106</v>
      </c>
      <c r="D83" s="256" t="s">
        <v>686</v>
      </c>
      <c r="E83" s="256" t="s">
        <v>708</v>
      </c>
      <c r="F83" s="256" t="s">
        <v>724</v>
      </c>
      <c r="G83" s="256" t="s">
        <v>724</v>
      </c>
      <c r="H83" s="256" t="s">
        <v>664</v>
      </c>
      <c r="I83" s="257">
        <v>193254317</v>
      </c>
      <c r="J83" s="257">
        <v>0</v>
      </c>
      <c r="K83" s="257">
        <v>0</v>
      </c>
      <c r="L83" s="257">
        <v>0</v>
      </c>
      <c r="M83" s="257">
        <v>0</v>
      </c>
      <c r="N83" s="257">
        <v>0</v>
      </c>
      <c r="O83" s="257">
        <v>0</v>
      </c>
      <c r="P83" s="257">
        <v>193254317</v>
      </c>
      <c r="Q83" s="258">
        <v>0</v>
      </c>
    </row>
    <row r="84" spans="1:19">
      <c r="A84" s="256">
        <v>1</v>
      </c>
      <c r="B84" s="256">
        <v>4821301</v>
      </c>
      <c r="C84" s="256">
        <v>482130108</v>
      </c>
      <c r="D84" s="256" t="s">
        <v>686</v>
      </c>
      <c r="E84" s="256" t="s">
        <v>708</v>
      </c>
      <c r="F84" s="256" t="s">
        <v>724</v>
      </c>
      <c r="G84" s="256" t="s">
        <v>724</v>
      </c>
      <c r="H84" s="256" t="s">
        <v>665</v>
      </c>
      <c r="I84" s="257">
        <v>841304822</v>
      </c>
      <c r="J84" s="257">
        <v>0</v>
      </c>
      <c r="K84" s="257">
        <v>0</v>
      </c>
      <c r="L84" s="257">
        <v>0</v>
      </c>
      <c r="M84" s="257">
        <v>0</v>
      </c>
      <c r="N84" s="257">
        <v>0</v>
      </c>
      <c r="O84" s="257">
        <v>0</v>
      </c>
      <c r="P84" s="257">
        <v>841304822</v>
      </c>
      <c r="Q84" s="258">
        <v>0</v>
      </c>
    </row>
    <row r="85" spans="1:19">
      <c r="A85" s="256">
        <v>1</v>
      </c>
      <c r="B85" s="256">
        <v>4821301</v>
      </c>
      <c r="C85" s="256">
        <v>482130110</v>
      </c>
      <c r="D85" s="256" t="s">
        <v>686</v>
      </c>
      <c r="E85" s="256" t="s">
        <v>708</v>
      </c>
      <c r="F85" s="256" t="s">
        <v>724</v>
      </c>
      <c r="G85" s="256" t="s">
        <v>724</v>
      </c>
      <c r="H85" s="256" t="s">
        <v>661</v>
      </c>
      <c r="I85" s="257">
        <v>0</v>
      </c>
      <c r="J85" s="257">
        <v>0</v>
      </c>
      <c r="K85" s="257">
        <v>0</v>
      </c>
      <c r="L85" s="257">
        <v>0</v>
      </c>
      <c r="M85" s="257">
        <v>0</v>
      </c>
      <c r="N85" s="257">
        <v>0</v>
      </c>
      <c r="O85" s="257">
        <v>0</v>
      </c>
      <c r="P85" s="257">
        <v>0</v>
      </c>
      <c r="Q85" s="258">
        <v>0</v>
      </c>
    </row>
    <row r="86" spans="1:19">
      <c r="A86" s="256">
        <v>1</v>
      </c>
      <c r="B86" s="256">
        <v>4821301</v>
      </c>
      <c r="C86" s="256">
        <v>482130120</v>
      </c>
      <c r="D86" s="256" t="s">
        <v>686</v>
      </c>
      <c r="E86" s="256" t="s">
        <v>708</v>
      </c>
      <c r="F86" s="256" t="s">
        <v>724</v>
      </c>
      <c r="G86" s="256" t="s">
        <v>724</v>
      </c>
      <c r="H86" s="256" t="s">
        <v>726</v>
      </c>
      <c r="I86" s="257">
        <v>4429743</v>
      </c>
      <c r="J86" s="257">
        <v>0</v>
      </c>
      <c r="K86" s="257">
        <v>0</v>
      </c>
      <c r="L86" s="257">
        <v>0</v>
      </c>
      <c r="M86" s="257">
        <v>0</v>
      </c>
      <c r="N86" s="257">
        <v>0</v>
      </c>
      <c r="O86" s="257">
        <v>0</v>
      </c>
      <c r="P86" s="257">
        <v>4429743</v>
      </c>
      <c r="Q86" s="258">
        <v>0</v>
      </c>
    </row>
    <row r="87" spans="1:19">
      <c r="A87" s="256">
        <v>1</v>
      </c>
      <c r="B87" s="256">
        <v>4830202</v>
      </c>
      <c r="C87" s="256">
        <v>483020200</v>
      </c>
      <c r="D87" s="256" t="s">
        <v>686</v>
      </c>
      <c r="E87" s="256" t="s">
        <v>727</v>
      </c>
      <c r="F87" s="256" t="s">
        <v>728</v>
      </c>
      <c r="G87" s="256" t="s">
        <v>728</v>
      </c>
      <c r="H87" s="256"/>
      <c r="I87" s="257">
        <v>0</v>
      </c>
      <c r="J87" s="257">
        <v>0</v>
      </c>
      <c r="K87" s="257">
        <v>0</v>
      </c>
      <c r="L87" s="257">
        <v>0</v>
      </c>
      <c r="M87" s="257">
        <v>0</v>
      </c>
      <c r="N87" s="257">
        <v>0</v>
      </c>
      <c r="O87" s="257">
        <v>0</v>
      </c>
      <c r="P87" s="257">
        <v>0</v>
      </c>
      <c r="Q87" s="258">
        <v>0</v>
      </c>
    </row>
    <row r="88" spans="1:19">
      <c r="A88" s="256">
        <v>1</v>
      </c>
      <c r="B88" s="256">
        <v>4830404</v>
      </c>
      <c r="C88" s="256">
        <v>483040400</v>
      </c>
      <c r="D88" s="256" t="s">
        <v>686</v>
      </c>
      <c r="E88" s="256" t="s">
        <v>727</v>
      </c>
      <c r="F88" s="256" t="s">
        <v>729</v>
      </c>
      <c r="G88" s="256" t="s">
        <v>729</v>
      </c>
      <c r="H88" s="256"/>
      <c r="I88" s="257">
        <v>2710875</v>
      </c>
      <c r="J88" s="257">
        <v>0</v>
      </c>
      <c r="K88" s="257">
        <v>0</v>
      </c>
      <c r="L88" s="257">
        <v>36536</v>
      </c>
      <c r="M88" s="257">
        <v>0</v>
      </c>
      <c r="N88" s="257">
        <v>1518254</v>
      </c>
      <c r="O88" s="257">
        <v>910</v>
      </c>
      <c r="P88" s="257">
        <v>1155175</v>
      </c>
      <c r="Q88" s="258">
        <v>0</v>
      </c>
    </row>
    <row r="89" spans="1:19">
      <c r="A89" s="256">
        <v>1</v>
      </c>
      <c r="B89" s="256">
        <v>4830606</v>
      </c>
      <c r="C89" s="256">
        <v>483060600</v>
      </c>
      <c r="D89" s="256" t="s">
        <v>686</v>
      </c>
      <c r="E89" s="256" t="s">
        <v>727</v>
      </c>
      <c r="F89" s="256" t="s">
        <v>730</v>
      </c>
      <c r="G89" s="256" t="s">
        <v>730</v>
      </c>
      <c r="H89" s="256"/>
      <c r="I89" s="257">
        <v>864807</v>
      </c>
      <c r="J89" s="257">
        <v>0</v>
      </c>
      <c r="K89" s="257">
        <v>0</v>
      </c>
      <c r="L89" s="257">
        <v>0</v>
      </c>
      <c r="M89" s="257">
        <v>0</v>
      </c>
      <c r="N89" s="257">
        <v>0</v>
      </c>
      <c r="O89" s="257">
        <v>0</v>
      </c>
      <c r="P89" s="257">
        <v>864807</v>
      </c>
      <c r="Q89" s="258">
        <v>0</v>
      </c>
    </row>
    <row r="90" spans="1:19">
      <c r="A90" s="256">
        <v>1</v>
      </c>
      <c r="B90" s="256">
        <v>4830607</v>
      </c>
      <c r="C90" s="256">
        <v>483060700</v>
      </c>
      <c r="D90" s="256" t="s">
        <v>686</v>
      </c>
      <c r="E90" s="256" t="s">
        <v>727</v>
      </c>
      <c r="F90" s="256" t="s">
        <v>730</v>
      </c>
      <c r="G90" s="256" t="s">
        <v>731</v>
      </c>
      <c r="H90" s="256"/>
      <c r="I90" s="257">
        <v>428075</v>
      </c>
      <c r="J90" s="257">
        <v>0</v>
      </c>
      <c r="K90" s="257">
        <v>0</v>
      </c>
      <c r="L90" s="257">
        <v>0</v>
      </c>
      <c r="M90" s="257">
        <v>0</v>
      </c>
      <c r="N90" s="257">
        <v>0</v>
      </c>
      <c r="O90" s="257">
        <v>0</v>
      </c>
      <c r="P90" s="257">
        <v>428075</v>
      </c>
      <c r="Q90" s="258">
        <v>0</v>
      </c>
    </row>
    <row r="91" spans="1:19">
      <c r="A91" s="256">
        <v>1</v>
      </c>
      <c r="B91" s="256">
        <v>4830608</v>
      </c>
      <c r="C91" s="256">
        <v>483060800</v>
      </c>
      <c r="D91" s="256" t="s">
        <v>686</v>
      </c>
      <c r="E91" s="256" t="s">
        <v>727</v>
      </c>
      <c r="F91" s="256" t="s">
        <v>730</v>
      </c>
      <c r="G91" s="256" t="s">
        <v>732</v>
      </c>
      <c r="H91" s="256"/>
      <c r="I91" s="257">
        <v>109000</v>
      </c>
      <c r="J91" s="257">
        <v>0</v>
      </c>
      <c r="K91" s="257">
        <v>0</v>
      </c>
      <c r="L91" s="257">
        <v>0</v>
      </c>
      <c r="M91" s="257">
        <v>0</v>
      </c>
      <c r="N91" s="257">
        <v>0</v>
      </c>
      <c r="O91" s="257">
        <v>0</v>
      </c>
      <c r="P91" s="257">
        <v>109000</v>
      </c>
      <c r="Q91" s="258">
        <v>0</v>
      </c>
    </row>
    <row r="92" spans="1:19">
      <c r="A92" s="256">
        <v>1</v>
      </c>
      <c r="B92" s="256">
        <v>4830808</v>
      </c>
      <c r="C92" s="256">
        <v>483080800</v>
      </c>
      <c r="D92" s="256" t="s">
        <v>686</v>
      </c>
      <c r="E92" s="256" t="s">
        <v>727</v>
      </c>
      <c r="F92" s="256" t="s">
        <v>733</v>
      </c>
      <c r="G92" s="256" t="s">
        <v>733</v>
      </c>
      <c r="H92" s="256"/>
      <c r="I92" s="257">
        <v>0</v>
      </c>
      <c r="J92" s="257">
        <v>0</v>
      </c>
      <c r="K92" s="257">
        <v>0</v>
      </c>
      <c r="L92" s="257">
        <v>0</v>
      </c>
      <c r="M92" s="257">
        <v>0</v>
      </c>
      <c r="N92" s="257">
        <v>0</v>
      </c>
      <c r="O92" s="257">
        <v>0</v>
      </c>
      <c r="P92" s="257">
        <v>0</v>
      </c>
      <c r="Q92" s="258">
        <v>0</v>
      </c>
    </row>
    <row r="93" spans="1:19">
      <c r="A93" s="256">
        <v>1</v>
      </c>
      <c r="B93" s="256">
        <v>6153201</v>
      </c>
      <c r="C93" s="256">
        <v>615320102</v>
      </c>
      <c r="D93" s="256" t="s">
        <v>734</v>
      </c>
      <c r="E93" s="256" t="s">
        <v>735</v>
      </c>
      <c r="F93" s="256" t="s">
        <v>736</v>
      </c>
      <c r="G93" s="256" t="s">
        <v>112</v>
      </c>
      <c r="H93" s="256" t="s">
        <v>737</v>
      </c>
      <c r="I93" s="257">
        <v>0</v>
      </c>
      <c r="J93" s="257">
        <v>0</v>
      </c>
      <c r="K93" s="257">
        <v>0</v>
      </c>
      <c r="L93" s="257">
        <v>0</v>
      </c>
      <c r="M93" s="257">
        <v>0</v>
      </c>
      <c r="N93" s="257">
        <v>0</v>
      </c>
      <c r="O93" s="257">
        <v>0</v>
      </c>
      <c r="P93" s="257">
        <v>0</v>
      </c>
      <c r="Q93" s="258">
        <v>0</v>
      </c>
    </row>
    <row r="94" spans="1:19">
      <c r="A94" s="256">
        <v>1</v>
      </c>
      <c r="B94" s="256">
        <v>6153201</v>
      </c>
      <c r="C94" s="256">
        <v>615320103</v>
      </c>
      <c r="D94" s="256" t="s">
        <v>734</v>
      </c>
      <c r="E94" s="256" t="s">
        <v>735</v>
      </c>
      <c r="F94" s="256" t="s">
        <v>736</v>
      </c>
      <c r="G94" s="256" t="s">
        <v>112</v>
      </c>
      <c r="H94" s="256" t="s">
        <v>738</v>
      </c>
      <c r="I94" s="257">
        <v>0</v>
      </c>
      <c r="J94" s="257">
        <v>0</v>
      </c>
      <c r="K94" s="257">
        <v>0</v>
      </c>
      <c r="L94" s="257">
        <v>0</v>
      </c>
      <c r="M94" s="257">
        <v>0</v>
      </c>
      <c r="N94" s="257">
        <v>0</v>
      </c>
      <c r="O94" s="257">
        <v>0</v>
      </c>
      <c r="P94" s="257">
        <v>0</v>
      </c>
      <c r="Q94" s="258">
        <v>0</v>
      </c>
    </row>
    <row r="95" spans="1:19">
      <c r="A95" s="256">
        <v>1</v>
      </c>
      <c r="B95" s="256">
        <v>6153201</v>
      </c>
      <c r="C95" s="256">
        <v>615320104</v>
      </c>
      <c r="D95" s="256" t="s">
        <v>734</v>
      </c>
      <c r="E95" s="256" t="s">
        <v>735</v>
      </c>
      <c r="F95" s="256" t="s">
        <v>736</v>
      </c>
      <c r="G95" s="256" t="s">
        <v>112</v>
      </c>
      <c r="H95" s="256" t="s">
        <v>739</v>
      </c>
      <c r="I95" s="257">
        <v>0</v>
      </c>
      <c r="J95" s="257">
        <v>0</v>
      </c>
      <c r="K95" s="257">
        <v>0</v>
      </c>
      <c r="L95" s="257">
        <v>0</v>
      </c>
      <c r="M95" s="257">
        <v>0</v>
      </c>
      <c r="N95" s="257">
        <v>0</v>
      </c>
      <c r="O95" s="257">
        <v>0</v>
      </c>
      <c r="P95" s="257">
        <v>0</v>
      </c>
      <c r="Q95" s="258">
        <v>0</v>
      </c>
    </row>
    <row r="96" spans="1:19">
      <c r="A96" s="236">
        <v>1</v>
      </c>
      <c r="B96" s="236">
        <v>6153201</v>
      </c>
      <c r="C96" s="236">
        <v>615320105</v>
      </c>
      <c r="D96" s="236" t="s">
        <v>734</v>
      </c>
      <c r="E96" s="236" t="s">
        <v>735</v>
      </c>
      <c r="F96" s="236" t="s">
        <v>736</v>
      </c>
      <c r="G96" s="236" t="s">
        <v>112</v>
      </c>
      <c r="H96" s="236" t="s">
        <v>740</v>
      </c>
      <c r="I96" s="257">
        <v>13722776</v>
      </c>
      <c r="J96" s="257">
        <v>0</v>
      </c>
      <c r="K96" s="257">
        <v>0</v>
      </c>
      <c r="L96" s="257">
        <v>0</v>
      </c>
      <c r="M96" s="257">
        <v>0</v>
      </c>
      <c r="N96" s="257">
        <v>0</v>
      </c>
      <c r="O96" s="257">
        <v>0</v>
      </c>
      <c r="P96" s="257">
        <v>13722776</v>
      </c>
      <c r="Q96" s="258">
        <v>0</v>
      </c>
    </row>
    <row r="97" spans="1:17">
      <c r="A97" s="256">
        <v>1</v>
      </c>
      <c r="B97" s="256">
        <v>6153202</v>
      </c>
      <c r="C97" s="256">
        <v>615320202</v>
      </c>
      <c r="D97" s="256" t="s">
        <v>734</v>
      </c>
      <c r="E97" s="256" t="s">
        <v>735</v>
      </c>
      <c r="F97" s="256" t="s">
        <v>736</v>
      </c>
      <c r="G97" s="256" t="s">
        <v>110</v>
      </c>
      <c r="H97" s="256" t="s">
        <v>741</v>
      </c>
      <c r="I97" s="257">
        <v>285882615</v>
      </c>
      <c r="J97" s="257">
        <v>0</v>
      </c>
      <c r="K97" s="257">
        <v>0</v>
      </c>
      <c r="L97" s="257">
        <v>0</v>
      </c>
      <c r="M97" s="257">
        <v>0</v>
      </c>
      <c r="N97" s="257">
        <v>0</v>
      </c>
      <c r="O97" s="257">
        <v>0</v>
      </c>
      <c r="P97" s="257">
        <v>285882615</v>
      </c>
      <c r="Q97" s="258">
        <v>0</v>
      </c>
    </row>
    <row r="98" spans="1:17">
      <c r="A98" s="256">
        <v>1</v>
      </c>
      <c r="B98" s="256">
        <v>6153203</v>
      </c>
      <c r="C98" s="256">
        <v>615320301</v>
      </c>
      <c r="D98" s="256" t="s">
        <v>734</v>
      </c>
      <c r="E98" s="256" t="s">
        <v>735</v>
      </c>
      <c r="F98" s="256" t="s">
        <v>736</v>
      </c>
      <c r="G98" s="256" t="s">
        <v>108</v>
      </c>
      <c r="H98" s="256" t="s">
        <v>742</v>
      </c>
      <c r="I98" s="257">
        <v>30683384</v>
      </c>
      <c r="J98" s="257">
        <v>0</v>
      </c>
      <c r="K98" s="257">
        <v>0</v>
      </c>
      <c r="L98" s="257">
        <v>0</v>
      </c>
      <c r="M98" s="257">
        <v>0</v>
      </c>
      <c r="N98" s="257">
        <v>0</v>
      </c>
      <c r="O98" s="257">
        <v>0</v>
      </c>
      <c r="P98" s="257">
        <v>30683384</v>
      </c>
      <c r="Q98" s="258">
        <v>0</v>
      </c>
    </row>
    <row r="99" spans="1:17">
      <c r="A99" s="256">
        <v>1</v>
      </c>
      <c r="B99" s="256">
        <v>6153203</v>
      </c>
      <c r="C99" s="256">
        <v>615320302</v>
      </c>
      <c r="D99" s="256" t="s">
        <v>734</v>
      </c>
      <c r="E99" s="256" t="s">
        <v>735</v>
      </c>
      <c r="F99" s="256" t="s">
        <v>736</v>
      </c>
      <c r="G99" s="256" t="s">
        <v>108</v>
      </c>
      <c r="H99" s="256" t="s">
        <v>743</v>
      </c>
      <c r="I99" s="257">
        <v>10330091</v>
      </c>
      <c r="J99" s="257">
        <v>0</v>
      </c>
      <c r="K99" s="257">
        <v>0</v>
      </c>
      <c r="L99" s="257">
        <v>0</v>
      </c>
      <c r="M99" s="257">
        <v>0</v>
      </c>
      <c r="N99" s="257">
        <v>0</v>
      </c>
      <c r="O99" s="257">
        <v>0</v>
      </c>
      <c r="P99" s="257">
        <v>10330091</v>
      </c>
      <c r="Q99" s="258">
        <v>0</v>
      </c>
    </row>
    <row r="100" spans="1:17">
      <c r="A100" s="256">
        <v>1</v>
      </c>
      <c r="B100" s="256">
        <v>6153203</v>
      </c>
      <c r="C100" s="256">
        <v>615320303</v>
      </c>
      <c r="D100" s="256" t="s">
        <v>734</v>
      </c>
      <c r="E100" s="256" t="s">
        <v>735</v>
      </c>
      <c r="F100" s="256" t="s">
        <v>736</v>
      </c>
      <c r="G100" s="256" t="s">
        <v>108</v>
      </c>
      <c r="H100" s="256" t="s">
        <v>744</v>
      </c>
      <c r="I100" s="257">
        <v>135518157</v>
      </c>
      <c r="J100" s="257">
        <v>0</v>
      </c>
      <c r="K100" s="257">
        <v>0</v>
      </c>
      <c r="L100" s="257">
        <v>0</v>
      </c>
      <c r="M100" s="257">
        <v>0</v>
      </c>
      <c r="N100" s="257">
        <v>0</v>
      </c>
      <c r="O100" s="257">
        <v>0</v>
      </c>
      <c r="P100" s="257">
        <v>135518157</v>
      </c>
      <c r="Q100" s="258">
        <v>0</v>
      </c>
    </row>
    <row r="101" spans="1:17">
      <c r="A101" s="256">
        <v>1</v>
      </c>
      <c r="B101" s="256">
        <v>6153203</v>
      </c>
      <c r="C101" s="256">
        <v>615320304</v>
      </c>
      <c r="D101" s="256" t="s">
        <v>734</v>
      </c>
      <c r="E101" s="256" t="s">
        <v>735</v>
      </c>
      <c r="F101" s="256" t="s">
        <v>736</v>
      </c>
      <c r="G101" s="256" t="s">
        <v>108</v>
      </c>
      <c r="H101" s="256" t="s">
        <v>745</v>
      </c>
      <c r="I101" s="257">
        <v>8735510</v>
      </c>
      <c r="J101" s="257">
        <v>0</v>
      </c>
      <c r="K101" s="257">
        <v>0</v>
      </c>
      <c r="L101" s="257">
        <v>0</v>
      </c>
      <c r="M101" s="257">
        <v>0</v>
      </c>
      <c r="N101" s="257">
        <v>8735510</v>
      </c>
      <c r="O101" s="257">
        <v>0</v>
      </c>
      <c r="P101" s="257">
        <v>0</v>
      </c>
      <c r="Q101" s="258">
        <v>0</v>
      </c>
    </row>
    <row r="102" spans="1:17">
      <c r="A102" s="256">
        <v>1</v>
      </c>
      <c r="B102" s="256">
        <v>6153203</v>
      </c>
      <c r="C102" s="256">
        <v>615320305</v>
      </c>
      <c r="D102" s="256" t="s">
        <v>734</v>
      </c>
      <c r="E102" s="256" t="s">
        <v>735</v>
      </c>
      <c r="F102" s="256" t="s">
        <v>736</v>
      </c>
      <c r="G102" s="256" t="s">
        <v>108</v>
      </c>
      <c r="H102" s="256" t="s">
        <v>746</v>
      </c>
      <c r="I102" s="257">
        <v>10621200</v>
      </c>
      <c r="J102" s="257">
        <v>0</v>
      </c>
      <c r="K102" s="257">
        <v>0</v>
      </c>
      <c r="L102" s="257">
        <v>0</v>
      </c>
      <c r="M102" s="257">
        <v>0</v>
      </c>
      <c r="N102" s="257">
        <v>0</v>
      </c>
      <c r="O102" s="257">
        <v>0</v>
      </c>
      <c r="P102" s="257">
        <v>10621200</v>
      </c>
      <c r="Q102" s="258">
        <v>0</v>
      </c>
    </row>
    <row r="103" spans="1:17">
      <c r="A103" s="256">
        <v>1</v>
      </c>
      <c r="B103" s="256">
        <v>6153203</v>
      </c>
      <c r="C103" s="256">
        <v>615320306</v>
      </c>
      <c r="D103" s="256" t="s">
        <v>734</v>
      </c>
      <c r="E103" s="256" t="s">
        <v>735</v>
      </c>
      <c r="F103" s="256" t="s">
        <v>736</v>
      </c>
      <c r="G103" s="256" t="s">
        <v>108</v>
      </c>
      <c r="H103" s="256" t="s">
        <v>747</v>
      </c>
      <c r="I103" s="257">
        <v>0</v>
      </c>
      <c r="J103" s="257">
        <v>0</v>
      </c>
      <c r="K103" s="257">
        <v>0</v>
      </c>
      <c r="L103" s="257">
        <v>0</v>
      </c>
      <c r="M103" s="257">
        <v>0</v>
      </c>
      <c r="N103" s="257">
        <v>0</v>
      </c>
      <c r="O103" s="257">
        <v>0</v>
      </c>
      <c r="P103" s="257">
        <v>0</v>
      </c>
      <c r="Q103" s="258">
        <v>0</v>
      </c>
    </row>
    <row r="104" spans="1:17">
      <c r="A104" s="256">
        <v>1</v>
      </c>
      <c r="B104" s="256">
        <v>6153203</v>
      </c>
      <c r="C104" s="256">
        <v>615320307</v>
      </c>
      <c r="D104" s="256" t="s">
        <v>734</v>
      </c>
      <c r="E104" s="256" t="s">
        <v>735</v>
      </c>
      <c r="F104" s="256" t="s">
        <v>736</v>
      </c>
      <c r="G104" s="256" t="s">
        <v>108</v>
      </c>
      <c r="H104" s="256" t="s">
        <v>748</v>
      </c>
      <c r="I104" s="257">
        <v>46428</v>
      </c>
      <c r="J104" s="257">
        <v>0</v>
      </c>
      <c r="K104" s="257">
        <v>0</v>
      </c>
      <c r="L104" s="257">
        <v>0</v>
      </c>
      <c r="M104" s="257">
        <v>0</v>
      </c>
      <c r="N104" s="257">
        <v>0</v>
      </c>
      <c r="O104" s="257">
        <v>0</v>
      </c>
      <c r="P104" s="257">
        <v>46428</v>
      </c>
      <c r="Q104" s="258">
        <v>0</v>
      </c>
    </row>
    <row r="105" spans="1:17">
      <c r="A105" s="256">
        <v>1</v>
      </c>
      <c r="B105" s="256">
        <v>6153203</v>
      </c>
      <c r="C105" s="256">
        <v>615320310</v>
      </c>
      <c r="D105" s="256" t="s">
        <v>734</v>
      </c>
      <c r="E105" s="256" t="s">
        <v>735</v>
      </c>
      <c r="F105" s="256" t="s">
        <v>736</v>
      </c>
      <c r="G105" s="256" t="s">
        <v>108</v>
      </c>
      <c r="H105" s="256" t="s">
        <v>749</v>
      </c>
      <c r="I105" s="257">
        <v>45682943</v>
      </c>
      <c r="J105" s="257">
        <v>0</v>
      </c>
      <c r="K105" s="257">
        <v>0</v>
      </c>
      <c r="L105" s="257">
        <v>0</v>
      </c>
      <c r="M105" s="257">
        <v>0</v>
      </c>
      <c r="N105" s="257">
        <v>0</v>
      </c>
      <c r="O105" s="257">
        <v>0</v>
      </c>
      <c r="P105" s="257">
        <v>45682943</v>
      </c>
      <c r="Q105" s="258">
        <v>0</v>
      </c>
    </row>
    <row r="106" spans="1:17">
      <c r="A106" s="256">
        <v>1</v>
      </c>
      <c r="B106" s="256">
        <v>6153203</v>
      </c>
      <c r="C106" s="256">
        <v>615320311</v>
      </c>
      <c r="D106" s="256" t="s">
        <v>734</v>
      </c>
      <c r="E106" s="256" t="s">
        <v>735</v>
      </c>
      <c r="F106" s="256" t="s">
        <v>736</v>
      </c>
      <c r="G106" s="256" t="s">
        <v>108</v>
      </c>
      <c r="H106" s="256" t="s">
        <v>750</v>
      </c>
      <c r="I106" s="257">
        <v>0</v>
      </c>
      <c r="J106" s="257">
        <v>0</v>
      </c>
      <c r="K106" s="257">
        <v>0</v>
      </c>
      <c r="L106" s="257">
        <v>0</v>
      </c>
      <c r="M106" s="257">
        <v>0</v>
      </c>
      <c r="N106" s="257">
        <v>0</v>
      </c>
      <c r="O106" s="257">
        <v>0</v>
      </c>
      <c r="P106" s="257">
        <v>0</v>
      </c>
      <c r="Q106" s="258">
        <v>0</v>
      </c>
    </row>
    <row r="107" spans="1:17">
      <c r="A107" s="256">
        <v>1</v>
      </c>
      <c r="B107" s="256">
        <v>6153203</v>
      </c>
      <c r="C107" s="256">
        <v>615320314</v>
      </c>
      <c r="D107" s="256" t="s">
        <v>734</v>
      </c>
      <c r="E107" s="256" t="s">
        <v>735</v>
      </c>
      <c r="F107" s="256" t="s">
        <v>736</v>
      </c>
      <c r="G107" s="256" t="s">
        <v>108</v>
      </c>
      <c r="H107" s="256" t="s">
        <v>751</v>
      </c>
      <c r="I107" s="257">
        <v>7701600</v>
      </c>
      <c r="J107" s="257">
        <v>0</v>
      </c>
      <c r="K107" s="257">
        <v>0</v>
      </c>
      <c r="L107" s="257">
        <v>0</v>
      </c>
      <c r="M107" s="257">
        <v>0</v>
      </c>
      <c r="N107" s="257">
        <v>0</v>
      </c>
      <c r="O107" s="257">
        <v>0</v>
      </c>
      <c r="P107" s="257">
        <v>7701600</v>
      </c>
      <c r="Q107" s="258">
        <v>0</v>
      </c>
    </row>
    <row r="108" spans="1:17">
      <c r="A108" s="256">
        <v>1</v>
      </c>
      <c r="B108" s="256">
        <v>6153203</v>
      </c>
      <c r="C108" s="256">
        <v>615320315</v>
      </c>
      <c r="D108" s="256" t="s">
        <v>734</v>
      </c>
      <c r="E108" s="256" t="s">
        <v>735</v>
      </c>
      <c r="F108" s="256" t="s">
        <v>736</v>
      </c>
      <c r="G108" s="256" t="s">
        <v>108</v>
      </c>
      <c r="H108" s="256" t="s">
        <v>752</v>
      </c>
      <c r="I108" s="257">
        <v>4935000</v>
      </c>
      <c r="J108" s="257">
        <v>0</v>
      </c>
      <c r="K108" s="257">
        <v>0</v>
      </c>
      <c r="L108" s="257">
        <v>0</v>
      </c>
      <c r="M108" s="257">
        <v>0</v>
      </c>
      <c r="N108" s="257">
        <v>0</v>
      </c>
      <c r="O108" s="257">
        <v>0</v>
      </c>
      <c r="P108" s="257">
        <v>4935000</v>
      </c>
      <c r="Q108" s="258">
        <v>0</v>
      </c>
    </row>
    <row r="109" spans="1:17">
      <c r="A109" s="256">
        <v>1</v>
      </c>
      <c r="B109" s="256">
        <v>6153203</v>
      </c>
      <c r="C109" s="256">
        <v>615320316</v>
      </c>
      <c r="D109" s="256" t="s">
        <v>734</v>
      </c>
      <c r="E109" s="256" t="s">
        <v>735</v>
      </c>
      <c r="F109" s="256" t="s">
        <v>736</v>
      </c>
      <c r="G109" s="256" t="s">
        <v>108</v>
      </c>
      <c r="H109" s="256" t="s">
        <v>753</v>
      </c>
      <c r="I109" s="257">
        <v>0</v>
      </c>
      <c r="J109" s="257">
        <v>0</v>
      </c>
      <c r="K109" s="257">
        <v>0</v>
      </c>
      <c r="L109" s="257">
        <v>0</v>
      </c>
      <c r="M109" s="257">
        <v>0</v>
      </c>
      <c r="N109" s="257">
        <v>0</v>
      </c>
      <c r="O109" s="257">
        <v>0</v>
      </c>
      <c r="P109" s="257">
        <v>0</v>
      </c>
      <c r="Q109" s="258">
        <v>0</v>
      </c>
    </row>
    <row r="110" spans="1:17">
      <c r="A110" s="256">
        <v>1</v>
      </c>
      <c r="B110" s="256">
        <v>6153203</v>
      </c>
      <c r="C110" s="256">
        <v>615320319</v>
      </c>
      <c r="D110" s="256" t="s">
        <v>734</v>
      </c>
      <c r="E110" s="256" t="s">
        <v>735</v>
      </c>
      <c r="F110" s="256" t="s">
        <v>736</v>
      </c>
      <c r="G110" s="256" t="s">
        <v>108</v>
      </c>
      <c r="H110" s="256" t="s">
        <v>754</v>
      </c>
      <c r="I110" s="257">
        <v>0</v>
      </c>
      <c r="J110" s="257">
        <v>0</v>
      </c>
      <c r="K110" s="257">
        <v>0</v>
      </c>
      <c r="L110" s="257">
        <v>0</v>
      </c>
      <c r="M110" s="257">
        <v>0</v>
      </c>
      <c r="N110" s="257">
        <v>0</v>
      </c>
      <c r="O110" s="257">
        <v>0</v>
      </c>
      <c r="P110" s="257">
        <v>0</v>
      </c>
      <c r="Q110" s="258">
        <v>0</v>
      </c>
    </row>
    <row r="111" spans="1:17">
      <c r="A111" s="256">
        <v>1</v>
      </c>
      <c r="B111" s="256">
        <v>6153204</v>
      </c>
      <c r="C111" s="256">
        <v>615320401</v>
      </c>
      <c r="D111" s="256" t="s">
        <v>734</v>
      </c>
      <c r="E111" s="256" t="s">
        <v>735</v>
      </c>
      <c r="F111" s="256" t="s">
        <v>736</v>
      </c>
      <c r="G111" s="256" t="s">
        <v>106</v>
      </c>
      <c r="H111" s="256" t="s">
        <v>755</v>
      </c>
      <c r="I111" s="257">
        <v>77205747</v>
      </c>
      <c r="J111" s="257">
        <v>0</v>
      </c>
      <c r="K111" s="257">
        <v>0</v>
      </c>
      <c r="L111" s="257">
        <v>0</v>
      </c>
      <c r="M111" s="257">
        <v>0</v>
      </c>
      <c r="N111" s="257">
        <v>0</v>
      </c>
      <c r="O111" s="257">
        <v>77205747</v>
      </c>
      <c r="P111" s="257">
        <v>0</v>
      </c>
      <c r="Q111" s="258">
        <v>0</v>
      </c>
    </row>
    <row r="112" spans="1:17">
      <c r="A112" s="256">
        <v>1</v>
      </c>
      <c r="B112" s="256">
        <v>6153204</v>
      </c>
      <c r="C112" s="256">
        <v>615320402</v>
      </c>
      <c r="D112" s="256" t="s">
        <v>734</v>
      </c>
      <c r="E112" s="256" t="s">
        <v>735</v>
      </c>
      <c r="F112" s="256" t="s">
        <v>736</v>
      </c>
      <c r="G112" s="256" t="s">
        <v>106</v>
      </c>
      <c r="H112" s="256" t="s">
        <v>756</v>
      </c>
      <c r="I112" s="257">
        <v>444888</v>
      </c>
      <c r="J112" s="257">
        <v>0</v>
      </c>
      <c r="K112" s="257">
        <v>0</v>
      </c>
      <c r="L112" s="257">
        <v>0</v>
      </c>
      <c r="M112" s="257">
        <v>0</v>
      </c>
      <c r="N112" s="257">
        <v>0</v>
      </c>
      <c r="O112" s="257">
        <v>0</v>
      </c>
      <c r="P112" s="257">
        <v>444888</v>
      </c>
      <c r="Q112" s="258">
        <v>0</v>
      </c>
    </row>
    <row r="113" spans="1:17">
      <c r="A113" s="256">
        <v>1</v>
      </c>
      <c r="B113" s="256">
        <v>6153204</v>
      </c>
      <c r="C113" s="256">
        <v>615320403</v>
      </c>
      <c r="D113" s="256" t="s">
        <v>734</v>
      </c>
      <c r="E113" s="256" t="s">
        <v>735</v>
      </c>
      <c r="F113" s="256" t="s">
        <v>736</v>
      </c>
      <c r="G113" s="256" t="s">
        <v>106</v>
      </c>
      <c r="H113" s="256" t="s">
        <v>757</v>
      </c>
      <c r="I113" s="257">
        <v>0</v>
      </c>
      <c r="J113" s="257">
        <v>0</v>
      </c>
      <c r="K113" s="257">
        <v>0</v>
      </c>
      <c r="L113" s="257">
        <v>0</v>
      </c>
      <c r="M113" s="257">
        <v>0</v>
      </c>
      <c r="N113" s="257">
        <v>0</v>
      </c>
      <c r="O113" s="257">
        <v>0</v>
      </c>
      <c r="P113" s="257">
        <v>0</v>
      </c>
      <c r="Q113" s="258">
        <v>0</v>
      </c>
    </row>
    <row r="114" spans="1:17">
      <c r="A114" s="256">
        <v>1</v>
      </c>
      <c r="B114" s="256">
        <v>6153204</v>
      </c>
      <c r="C114" s="256">
        <v>615320405</v>
      </c>
      <c r="D114" s="256" t="s">
        <v>734</v>
      </c>
      <c r="E114" s="256" t="s">
        <v>735</v>
      </c>
      <c r="F114" s="256" t="s">
        <v>736</v>
      </c>
      <c r="G114" s="256" t="s">
        <v>106</v>
      </c>
      <c r="H114" s="256" t="s">
        <v>758</v>
      </c>
      <c r="I114" s="257">
        <v>0</v>
      </c>
      <c r="J114" s="257">
        <v>0</v>
      </c>
      <c r="K114" s="257">
        <v>0</v>
      </c>
      <c r="L114" s="257">
        <v>0</v>
      </c>
      <c r="M114" s="257">
        <v>0</v>
      </c>
      <c r="N114" s="257">
        <v>0</v>
      </c>
      <c r="O114" s="257">
        <v>0</v>
      </c>
      <c r="P114" s="257">
        <v>0</v>
      </c>
      <c r="Q114" s="258">
        <v>0</v>
      </c>
    </row>
    <row r="115" spans="1:17">
      <c r="A115" s="256">
        <v>1</v>
      </c>
      <c r="B115" s="256">
        <v>6153204</v>
      </c>
      <c r="C115" s="256">
        <v>615320406</v>
      </c>
      <c r="D115" s="256" t="s">
        <v>734</v>
      </c>
      <c r="E115" s="256" t="s">
        <v>735</v>
      </c>
      <c r="F115" s="256" t="s">
        <v>736</v>
      </c>
      <c r="G115" s="256" t="s">
        <v>106</v>
      </c>
      <c r="H115" s="256" t="s">
        <v>759</v>
      </c>
      <c r="I115" s="257">
        <v>162145</v>
      </c>
      <c r="J115" s="257">
        <v>0</v>
      </c>
      <c r="K115" s="257">
        <v>0</v>
      </c>
      <c r="L115" s="257">
        <v>0</v>
      </c>
      <c r="M115" s="257">
        <v>0</v>
      </c>
      <c r="N115" s="257">
        <v>0</v>
      </c>
      <c r="O115" s="257">
        <v>162145</v>
      </c>
      <c r="P115" s="257">
        <v>0</v>
      </c>
      <c r="Q115" s="258">
        <v>0</v>
      </c>
    </row>
    <row r="116" spans="1:17">
      <c r="A116" s="256">
        <v>1</v>
      </c>
      <c r="B116" s="256">
        <v>6153204</v>
      </c>
      <c r="C116" s="256">
        <v>615320407</v>
      </c>
      <c r="D116" s="256" t="s">
        <v>734</v>
      </c>
      <c r="E116" s="256" t="s">
        <v>735</v>
      </c>
      <c r="F116" s="256" t="s">
        <v>736</v>
      </c>
      <c r="G116" s="256" t="s">
        <v>106</v>
      </c>
      <c r="H116" s="256" t="s">
        <v>760</v>
      </c>
      <c r="I116" s="257">
        <v>1528328</v>
      </c>
      <c r="J116" s="257">
        <v>0</v>
      </c>
      <c r="K116" s="257">
        <v>0</v>
      </c>
      <c r="L116" s="257">
        <v>0</v>
      </c>
      <c r="M116" s="257">
        <v>0</v>
      </c>
      <c r="N116" s="257">
        <v>0</v>
      </c>
      <c r="O116" s="257">
        <v>1528328</v>
      </c>
      <c r="P116" s="257">
        <v>0</v>
      </c>
      <c r="Q116" s="258">
        <v>0</v>
      </c>
    </row>
    <row r="117" spans="1:17">
      <c r="A117" s="256">
        <v>1</v>
      </c>
      <c r="B117" s="256">
        <v>6153204</v>
      </c>
      <c r="C117" s="256">
        <v>615320408</v>
      </c>
      <c r="D117" s="256" t="s">
        <v>734</v>
      </c>
      <c r="E117" s="256" t="s">
        <v>735</v>
      </c>
      <c r="F117" s="256" t="s">
        <v>736</v>
      </c>
      <c r="G117" s="256" t="s">
        <v>106</v>
      </c>
      <c r="H117" s="256" t="s">
        <v>761</v>
      </c>
      <c r="I117" s="257">
        <v>60124</v>
      </c>
      <c r="J117" s="257">
        <v>0</v>
      </c>
      <c r="K117" s="257">
        <v>0</v>
      </c>
      <c r="L117" s="257">
        <v>0</v>
      </c>
      <c r="M117" s="257">
        <v>0</v>
      </c>
      <c r="N117" s="257">
        <v>0</v>
      </c>
      <c r="O117" s="257">
        <v>60124</v>
      </c>
      <c r="P117" s="257">
        <v>0</v>
      </c>
      <c r="Q117" s="258">
        <v>0</v>
      </c>
    </row>
    <row r="118" spans="1:17">
      <c r="A118" s="256">
        <v>1</v>
      </c>
      <c r="B118" s="256">
        <v>6153204</v>
      </c>
      <c r="C118" s="256">
        <v>615320410</v>
      </c>
      <c r="D118" s="256" t="s">
        <v>734</v>
      </c>
      <c r="E118" s="256" t="s">
        <v>735</v>
      </c>
      <c r="F118" s="256" t="s">
        <v>736</v>
      </c>
      <c r="G118" s="256" t="s">
        <v>106</v>
      </c>
      <c r="H118" s="256" t="s">
        <v>762</v>
      </c>
      <c r="I118" s="257">
        <v>28219882</v>
      </c>
      <c r="J118" s="257">
        <v>0</v>
      </c>
      <c r="K118" s="257">
        <v>0</v>
      </c>
      <c r="L118" s="257">
        <v>0</v>
      </c>
      <c r="M118" s="257">
        <v>0</v>
      </c>
      <c r="N118" s="257">
        <v>0</v>
      </c>
      <c r="O118" s="257">
        <v>28219882</v>
      </c>
      <c r="P118" s="257">
        <v>0</v>
      </c>
      <c r="Q118" s="258">
        <v>0</v>
      </c>
    </row>
    <row r="119" spans="1:17">
      <c r="A119" s="256">
        <v>1</v>
      </c>
      <c r="B119" s="256">
        <v>6153204</v>
      </c>
      <c r="C119" s="256">
        <v>615320411</v>
      </c>
      <c r="D119" s="256" t="s">
        <v>734</v>
      </c>
      <c r="E119" s="256" t="s">
        <v>735</v>
      </c>
      <c r="F119" s="256" t="s">
        <v>736</v>
      </c>
      <c r="G119" s="256" t="s">
        <v>106</v>
      </c>
      <c r="H119" s="256" t="s">
        <v>763</v>
      </c>
      <c r="I119" s="257">
        <v>0</v>
      </c>
      <c r="J119" s="257">
        <v>0</v>
      </c>
      <c r="K119" s="257">
        <v>0</v>
      </c>
      <c r="L119" s="257">
        <v>0</v>
      </c>
      <c r="M119" s="257">
        <v>0</v>
      </c>
      <c r="N119" s="257">
        <v>0</v>
      </c>
      <c r="O119" s="257">
        <v>0</v>
      </c>
      <c r="P119" s="257">
        <v>0</v>
      </c>
      <c r="Q119" s="258">
        <v>0</v>
      </c>
    </row>
    <row r="120" spans="1:17">
      <c r="A120" s="256">
        <v>1</v>
      </c>
      <c r="B120" s="256">
        <v>6153205</v>
      </c>
      <c r="C120" s="256">
        <v>615320500</v>
      </c>
      <c r="D120" s="256" t="s">
        <v>734</v>
      </c>
      <c r="E120" s="256" t="s">
        <v>735</v>
      </c>
      <c r="F120" s="256" t="s">
        <v>736</v>
      </c>
      <c r="G120" s="256" t="s">
        <v>104</v>
      </c>
      <c r="H120" s="256"/>
      <c r="I120" s="257">
        <v>0</v>
      </c>
      <c r="J120" s="257">
        <v>0</v>
      </c>
      <c r="K120" s="257">
        <v>0</v>
      </c>
      <c r="L120" s="257">
        <v>0</v>
      </c>
      <c r="M120" s="257">
        <v>0</v>
      </c>
      <c r="N120" s="257">
        <v>0</v>
      </c>
      <c r="O120" s="257">
        <v>0</v>
      </c>
      <c r="P120" s="257">
        <v>0</v>
      </c>
      <c r="Q120" s="258">
        <v>0</v>
      </c>
    </row>
    <row r="121" spans="1:17">
      <c r="A121" s="256">
        <v>1</v>
      </c>
      <c r="B121" s="256">
        <v>6153207</v>
      </c>
      <c r="C121" s="256">
        <v>615320700</v>
      </c>
      <c r="D121" s="256" t="s">
        <v>734</v>
      </c>
      <c r="E121" s="256" t="s">
        <v>735</v>
      </c>
      <c r="F121" s="256" t="s">
        <v>736</v>
      </c>
      <c r="G121" s="256" t="s">
        <v>102</v>
      </c>
      <c r="H121" s="256"/>
      <c r="I121" s="257">
        <v>0</v>
      </c>
      <c r="J121" s="257">
        <v>0</v>
      </c>
      <c r="K121" s="257">
        <v>0</v>
      </c>
      <c r="L121" s="257">
        <v>0</v>
      </c>
      <c r="M121" s="257">
        <v>0</v>
      </c>
      <c r="N121" s="257">
        <v>0</v>
      </c>
      <c r="O121" s="257">
        <v>0</v>
      </c>
      <c r="P121" s="257">
        <v>0</v>
      </c>
      <c r="Q121" s="258">
        <v>0</v>
      </c>
    </row>
    <row r="122" spans="1:17">
      <c r="A122" s="256">
        <v>1</v>
      </c>
      <c r="B122" s="256">
        <v>6153208</v>
      </c>
      <c r="C122" s="256">
        <v>615320800</v>
      </c>
      <c r="D122" s="256" t="s">
        <v>734</v>
      </c>
      <c r="E122" s="256" t="s">
        <v>735</v>
      </c>
      <c r="F122" s="256" t="s">
        <v>736</v>
      </c>
      <c r="G122" s="256" t="s">
        <v>100</v>
      </c>
      <c r="H122" s="256"/>
      <c r="I122" s="257">
        <v>0</v>
      </c>
      <c r="J122" s="257">
        <v>0</v>
      </c>
      <c r="K122" s="257">
        <v>0</v>
      </c>
      <c r="L122" s="257">
        <v>0</v>
      </c>
      <c r="M122" s="257">
        <v>0</v>
      </c>
      <c r="N122" s="257">
        <v>0</v>
      </c>
      <c r="O122" s="257">
        <v>0</v>
      </c>
      <c r="P122" s="257">
        <v>0</v>
      </c>
      <c r="Q122" s="258">
        <v>0</v>
      </c>
    </row>
    <row r="123" spans="1:17">
      <c r="A123" s="256">
        <v>1</v>
      </c>
      <c r="B123" s="256">
        <v>6153210</v>
      </c>
      <c r="C123" s="256">
        <v>615321001</v>
      </c>
      <c r="D123" s="256" t="s">
        <v>734</v>
      </c>
      <c r="E123" s="256" t="s">
        <v>735</v>
      </c>
      <c r="F123" s="256" t="s">
        <v>736</v>
      </c>
      <c r="G123" s="256" t="s">
        <v>764</v>
      </c>
      <c r="H123" s="256" t="s">
        <v>98</v>
      </c>
      <c r="I123" s="257">
        <v>2021074</v>
      </c>
      <c r="J123" s="257">
        <v>0</v>
      </c>
      <c r="K123" s="257">
        <v>0</v>
      </c>
      <c r="L123" s="257">
        <v>0</v>
      </c>
      <c r="M123" s="257">
        <v>0</v>
      </c>
      <c r="N123" s="257">
        <v>2021074</v>
      </c>
      <c r="O123" s="257">
        <v>0</v>
      </c>
      <c r="P123" s="257">
        <v>0</v>
      </c>
      <c r="Q123" s="258">
        <v>0</v>
      </c>
    </row>
    <row r="124" spans="1:17">
      <c r="A124" s="256">
        <v>1</v>
      </c>
      <c r="B124" s="256">
        <v>6153210</v>
      </c>
      <c r="C124" s="256">
        <v>615321002</v>
      </c>
      <c r="D124" s="256" t="s">
        <v>734</v>
      </c>
      <c r="E124" s="256" t="s">
        <v>735</v>
      </c>
      <c r="F124" s="256" t="s">
        <v>736</v>
      </c>
      <c r="G124" s="256" t="s">
        <v>764</v>
      </c>
      <c r="H124" s="256" t="s">
        <v>95</v>
      </c>
      <c r="I124" s="257">
        <v>0</v>
      </c>
      <c r="J124" s="257">
        <v>0</v>
      </c>
      <c r="K124" s="257">
        <v>0</v>
      </c>
      <c r="L124" s="257">
        <v>0</v>
      </c>
      <c r="M124" s="257">
        <v>0</v>
      </c>
      <c r="N124" s="257">
        <v>0</v>
      </c>
      <c r="O124" s="257">
        <v>0</v>
      </c>
      <c r="P124" s="257">
        <v>0</v>
      </c>
      <c r="Q124" s="258">
        <v>0</v>
      </c>
    </row>
    <row r="125" spans="1:17">
      <c r="A125" s="236">
        <v>1</v>
      </c>
      <c r="B125" s="236">
        <v>6153210</v>
      </c>
      <c r="C125" s="236">
        <v>615321003</v>
      </c>
      <c r="D125" s="236" t="s">
        <v>734</v>
      </c>
      <c r="E125" s="236" t="s">
        <v>735</v>
      </c>
      <c r="F125" s="236" t="s">
        <v>736</v>
      </c>
      <c r="G125" s="236" t="s">
        <v>764</v>
      </c>
      <c r="H125" s="236" t="s">
        <v>765</v>
      </c>
      <c r="I125" s="257">
        <v>739160</v>
      </c>
      <c r="J125" s="257">
        <v>0</v>
      </c>
      <c r="K125" s="257">
        <v>0</v>
      </c>
      <c r="L125" s="257">
        <v>0</v>
      </c>
      <c r="M125" s="257">
        <v>0</v>
      </c>
      <c r="N125" s="257">
        <v>739160</v>
      </c>
      <c r="O125" s="257">
        <v>0</v>
      </c>
      <c r="P125" s="257">
        <v>0</v>
      </c>
      <c r="Q125" s="258">
        <v>0</v>
      </c>
    </row>
    <row r="126" spans="1:17">
      <c r="A126" s="256">
        <v>1</v>
      </c>
      <c r="B126" s="256">
        <v>6153213</v>
      </c>
      <c r="C126" s="256">
        <v>615321300</v>
      </c>
      <c r="D126" s="256" t="s">
        <v>734</v>
      </c>
      <c r="E126" s="256" t="s">
        <v>735</v>
      </c>
      <c r="F126" s="256" t="s">
        <v>736</v>
      </c>
      <c r="G126" s="256" t="s">
        <v>93</v>
      </c>
      <c r="H126" s="256"/>
      <c r="I126" s="257">
        <v>10417060</v>
      </c>
      <c r="J126" s="257">
        <v>0</v>
      </c>
      <c r="K126" s="257">
        <v>0</v>
      </c>
      <c r="L126" s="257">
        <v>0</v>
      </c>
      <c r="M126" s="257">
        <v>36840</v>
      </c>
      <c r="N126" s="257">
        <v>10380220</v>
      </c>
      <c r="O126" s="257">
        <v>0</v>
      </c>
      <c r="P126" s="257">
        <v>0</v>
      </c>
      <c r="Q126" s="258">
        <v>0</v>
      </c>
    </row>
    <row r="127" spans="1:17">
      <c r="A127" s="256">
        <v>1</v>
      </c>
      <c r="B127" s="256">
        <v>6153214</v>
      </c>
      <c r="C127" s="256">
        <v>615321400</v>
      </c>
      <c r="D127" s="256" t="s">
        <v>734</v>
      </c>
      <c r="E127" s="256" t="s">
        <v>735</v>
      </c>
      <c r="F127" s="256" t="s">
        <v>736</v>
      </c>
      <c r="G127" s="256" t="s">
        <v>91</v>
      </c>
      <c r="H127" s="256"/>
      <c r="I127" s="257">
        <v>1053838</v>
      </c>
      <c r="J127" s="257">
        <v>0</v>
      </c>
      <c r="K127" s="257">
        <v>0</v>
      </c>
      <c r="L127" s="257">
        <v>0</v>
      </c>
      <c r="M127" s="257">
        <v>0</v>
      </c>
      <c r="N127" s="257">
        <v>1053838</v>
      </c>
      <c r="O127" s="257">
        <v>0</v>
      </c>
      <c r="P127" s="257">
        <v>0</v>
      </c>
      <c r="Q127" s="258">
        <v>0</v>
      </c>
    </row>
    <row r="128" spans="1:17">
      <c r="A128" s="256">
        <v>1</v>
      </c>
      <c r="B128" s="256">
        <v>6153215</v>
      </c>
      <c r="C128" s="256">
        <v>615321500</v>
      </c>
      <c r="D128" s="256" t="s">
        <v>734</v>
      </c>
      <c r="E128" s="256" t="s">
        <v>735</v>
      </c>
      <c r="F128" s="256" t="s">
        <v>736</v>
      </c>
      <c r="G128" s="256" t="s">
        <v>89</v>
      </c>
      <c r="H128" s="256"/>
      <c r="I128" s="257">
        <v>0</v>
      </c>
      <c r="J128" s="257">
        <v>0</v>
      </c>
      <c r="K128" s="257">
        <v>0</v>
      </c>
      <c r="L128" s="257">
        <v>0</v>
      </c>
      <c r="M128" s="257">
        <v>0</v>
      </c>
      <c r="N128" s="257">
        <v>0</v>
      </c>
      <c r="O128" s="257">
        <v>0</v>
      </c>
      <c r="P128" s="257">
        <v>0</v>
      </c>
      <c r="Q128" s="258">
        <v>0</v>
      </c>
    </row>
    <row r="129" spans="1:17">
      <c r="A129" s="256">
        <v>1</v>
      </c>
      <c r="B129" s="256">
        <v>6153217</v>
      </c>
      <c r="C129" s="256">
        <v>615321700</v>
      </c>
      <c r="D129" s="256" t="s">
        <v>734</v>
      </c>
      <c r="E129" s="256" t="s">
        <v>735</v>
      </c>
      <c r="F129" s="256" t="s">
        <v>736</v>
      </c>
      <c r="G129" s="256" t="s">
        <v>87</v>
      </c>
      <c r="H129" s="256"/>
      <c r="I129" s="257">
        <v>2423102</v>
      </c>
      <c r="J129" s="257">
        <v>0</v>
      </c>
      <c r="K129" s="257">
        <v>0</v>
      </c>
      <c r="L129" s="257">
        <v>0</v>
      </c>
      <c r="M129" s="257">
        <v>0</v>
      </c>
      <c r="N129" s="257">
        <v>2423102</v>
      </c>
      <c r="O129" s="257">
        <v>0</v>
      </c>
      <c r="P129" s="257">
        <v>0</v>
      </c>
      <c r="Q129" s="258">
        <v>0</v>
      </c>
    </row>
    <row r="130" spans="1:17">
      <c r="A130" s="256">
        <v>1</v>
      </c>
      <c r="B130" s="256">
        <v>6153219</v>
      </c>
      <c r="C130" s="256">
        <v>615321900</v>
      </c>
      <c r="D130" s="256" t="s">
        <v>734</v>
      </c>
      <c r="E130" s="256" t="s">
        <v>735</v>
      </c>
      <c r="F130" s="256" t="s">
        <v>736</v>
      </c>
      <c r="G130" s="256" t="s">
        <v>85</v>
      </c>
      <c r="H130" s="256"/>
      <c r="I130" s="257">
        <v>357250</v>
      </c>
      <c r="J130" s="257">
        <v>0</v>
      </c>
      <c r="K130" s="257">
        <v>0</v>
      </c>
      <c r="L130" s="257">
        <v>0</v>
      </c>
      <c r="M130" s="257">
        <v>0</v>
      </c>
      <c r="N130" s="257">
        <v>290850</v>
      </c>
      <c r="O130" s="257">
        <v>66400</v>
      </c>
      <c r="P130" s="257">
        <v>0</v>
      </c>
      <c r="Q130" s="258">
        <v>0</v>
      </c>
    </row>
    <row r="131" spans="1:17">
      <c r="A131" s="256">
        <v>1</v>
      </c>
      <c r="B131" s="256">
        <v>6153220</v>
      </c>
      <c r="C131" s="256">
        <v>615322000</v>
      </c>
      <c r="D131" s="256" t="s">
        <v>734</v>
      </c>
      <c r="E131" s="256" t="s">
        <v>735</v>
      </c>
      <c r="F131" s="256" t="s">
        <v>736</v>
      </c>
      <c r="G131" s="256" t="s">
        <v>83</v>
      </c>
      <c r="H131" s="256"/>
      <c r="I131" s="257">
        <v>13483332</v>
      </c>
      <c r="J131" s="257">
        <v>0</v>
      </c>
      <c r="K131" s="257">
        <v>0</v>
      </c>
      <c r="L131" s="257">
        <v>125712</v>
      </c>
      <c r="M131" s="257">
        <v>0</v>
      </c>
      <c r="N131" s="257">
        <v>7866081</v>
      </c>
      <c r="O131" s="257">
        <v>5491539</v>
      </c>
      <c r="P131" s="257">
        <v>0</v>
      </c>
      <c r="Q131" s="258">
        <v>0</v>
      </c>
    </row>
    <row r="132" spans="1:17">
      <c r="A132" s="256">
        <v>1</v>
      </c>
      <c r="B132" s="256">
        <v>6153221</v>
      </c>
      <c r="C132" s="256">
        <v>615322100</v>
      </c>
      <c r="D132" s="256" t="s">
        <v>734</v>
      </c>
      <c r="E132" s="256" t="s">
        <v>735</v>
      </c>
      <c r="F132" s="256" t="s">
        <v>736</v>
      </c>
      <c r="G132" s="256" t="s">
        <v>81</v>
      </c>
      <c r="H132" s="256"/>
      <c r="I132" s="257">
        <v>85827500</v>
      </c>
      <c r="J132" s="257">
        <v>0</v>
      </c>
      <c r="K132" s="257">
        <v>0</v>
      </c>
      <c r="L132" s="257">
        <v>0</v>
      </c>
      <c r="M132" s="257">
        <v>0</v>
      </c>
      <c r="N132" s="257">
        <v>85827500</v>
      </c>
      <c r="O132" s="257">
        <v>0</v>
      </c>
      <c r="P132" s="257">
        <v>0</v>
      </c>
      <c r="Q132" s="258">
        <v>0</v>
      </c>
    </row>
    <row r="133" spans="1:17">
      <c r="A133" s="256">
        <v>1</v>
      </c>
      <c r="B133" s="256">
        <v>6153223</v>
      </c>
      <c r="C133" s="256">
        <v>615322300</v>
      </c>
      <c r="D133" s="256" t="s">
        <v>734</v>
      </c>
      <c r="E133" s="256" t="s">
        <v>735</v>
      </c>
      <c r="F133" s="256" t="s">
        <v>736</v>
      </c>
      <c r="G133" s="256" t="s">
        <v>79</v>
      </c>
      <c r="H133" s="256"/>
      <c r="I133" s="257">
        <v>1482466</v>
      </c>
      <c r="J133" s="257">
        <v>0</v>
      </c>
      <c r="K133" s="257">
        <v>0</v>
      </c>
      <c r="L133" s="257">
        <v>0</v>
      </c>
      <c r="M133" s="257">
        <v>0</v>
      </c>
      <c r="N133" s="257">
        <v>1482466</v>
      </c>
      <c r="O133" s="257">
        <v>0</v>
      </c>
      <c r="P133" s="257">
        <v>0</v>
      </c>
      <c r="Q133" s="258">
        <v>0</v>
      </c>
    </row>
    <row r="134" spans="1:17">
      <c r="A134" s="256">
        <v>1</v>
      </c>
      <c r="B134" s="256">
        <v>6153224</v>
      </c>
      <c r="C134" s="256">
        <v>615322400</v>
      </c>
      <c r="D134" s="256" t="s">
        <v>734</v>
      </c>
      <c r="E134" s="256" t="s">
        <v>735</v>
      </c>
      <c r="F134" s="256" t="s">
        <v>736</v>
      </c>
      <c r="G134" s="256" t="s">
        <v>77</v>
      </c>
      <c r="H134" s="256"/>
      <c r="I134" s="257">
        <v>0</v>
      </c>
      <c r="J134" s="257">
        <v>0</v>
      </c>
      <c r="K134" s="257">
        <v>0</v>
      </c>
      <c r="L134" s="257">
        <v>0</v>
      </c>
      <c r="M134" s="257">
        <v>0</v>
      </c>
      <c r="N134" s="257">
        <v>0</v>
      </c>
      <c r="O134" s="257">
        <v>0</v>
      </c>
      <c r="P134" s="257">
        <v>0</v>
      </c>
      <c r="Q134" s="258">
        <v>0</v>
      </c>
    </row>
    <row r="135" spans="1:17">
      <c r="A135" s="256">
        <v>1</v>
      </c>
      <c r="B135" s="256">
        <v>6153231</v>
      </c>
      <c r="C135" s="256">
        <v>615323100</v>
      </c>
      <c r="D135" s="256" t="s">
        <v>734</v>
      </c>
      <c r="E135" s="256" t="s">
        <v>735</v>
      </c>
      <c r="F135" s="256" t="s">
        <v>736</v>
      </c>
      <c r="G135" s="256" t="s">
        <v>62</v>
      </c>
      <c r="H135" s="256"/>
      <c r="I135" s="257">
        <v>51295633</v>
      </c>
      <c r="J135" s="257">
        <v>0</v>
      </c>
      <c r="K135" s="257">
        <v>0</v>
      </c>
      <c r="L135" s="257">
        <v>0</v>
      </c>
      <c r="M135" s="257">
        <v>0</v>
      </c>
      <c r="N135" s="257">
        <v>51295633</v>
      </c>
      <c r="O135" s="257">
        <v>0</v>
      </c>
      <c r="P135" s="257">
        <v>0</v>
      </c>
      <c r="Q135" s="258">
        <v>0</v>
      </c>
    </row>
    <row r="136" spans="1:17">
      <c r="A136" s="256">
        <v>1</v>
      </c>
      <c r="B136" s="256">
        <v>6153237</v>
      </c>
      <c r="C136" s="256">
        <v>615323700</v>
      </c>
      <c r="D136" s="256" t="s">
        <v>734</v>
      </c>
      <c r="E136" s="256" t="s">
        <v>735</v>
      </c>
      <c r="F136" s="256" t="s">
        <v>736</v>
      </c>
      <c r="G136" s="256" t="s">
        <v>60</v>
      </c>
      <c r="H136" s="256"/>
      <c r="I136" s="257">
        <v>0</v>
      </c>
      <c r="J136" s="257">
        <v>0</v>
      </c>
      <c r="K136" s="257">
        <v>0</v>
      </c>
      <c r="L136" s="257">
        <v>0</v>
      </c>
      <c r="M136" s="257">
        <v>0</v>
      </c>
      <c r="N136" s="257">
        <v>0</v>
      </c>
      <c r="O136" s="257">
        <v>0</v>
      </c>
      <c r="P136" s="257">
        <v>0</v>
      </c>
      <c r="Q136" s="258">
        <v>0</v>
      </c>
    </row>
    <row r="137" spans="1:17">
      <c r="A137" s="256">
        <v>1</v>
      </c>
      <c r="B137" s="256">
        <v>6153239</v>
      </c>
      <c r="C137" s="256">
        <v>615323900</v>
      </c>
      <c r="D137" s="256" t="s">
        <v>734</v>
      </c>
      <c r="E137" s="256" t="s">
        <v>735</v>
      </c>
      <c r="F137" s="256" t="s">
        <v>736</v>
      </c>
      <c r="G137" s="256" t="s">
        <v>58</v>
      </c>
      <c r="H137" s="256"/>
      <c r="I137" s="257">
        <v>557452</v>
      </c>
      <c r="J137" s="257">
        <v>0</v>
      </c>
      <c r="K137" s="257">
        <v>0</v>
      </c>
      <c r="L137" s="257">
        <v>0</v>
      </c>
      <c r="M137" s="257">
        <v>0</v>
      </c>
      <c r="N137" s="257">
        <v>0</v>
      </c>
      <c r="O137" s="257">
        <v>557452</v>
      </c>
      <c r="P137" s="257">
        <v>0</v>
      </c>
      <c r="Q137" s="258">
        <v>0</v>
      </c>
    </row>
    <row r="138" spans="1:17">
      <c r="A138" s="256">
        <v>1</v>
      </c>
      <c r="B138" s="256">
        <v>6153240</v>
      </c>
      <c r="C138" s="256">
        <v>615324000</v>
      </c>
      <c r="D138" s="256" t="s">
        <v>734</v>
      </c>
      <c r="E138" s="256" t="s">
        <v>735</v>
      </c>
      <c r="F138" s="256" t="s">
        <v>736</v>
      </c>
      <c r="G138" s="256" t="s">
        <v>56</v>
      </c>
      <c r="H138" s="256"/>
      <c r="I138" s="257">
        <v>240506</v>
      </c>
      <c r="J138" s="257">
        <v>0</v>
      </c>
      <c r="K138" s="257">
        <v>0</v>
      </c>
      <c r="L138" s="257">
        <v>0</v>
      </c>
      <c r="M138" s="257">
        <v>0</v>
      </c>
      <c r="N138" s="257">
        <v>0</v>
      </c>
      <c r="O138" s="257">
        <v>0</v>
      </c>
      <c r="P138" s="257">
        <v>240506</v>
      </c>
      <c r="Q138" s="258">
        <v>0</v>
      </c>
    </row>
    <row r="139" spans="1:17">
      <c r="A139" s="256">
        <v>1</v>
      </c>
      <c r="B139" s="256">
        <v>6153241</v>
      </c>
      <c r="C139" s="256">
        <v>615324100</v>
      </c>
      <c r="D139" s="256" t="s">
        <v>734</v>
      </c>
      <c r="E139" s="256" t="s">
        <v>735</v>
      </c>
      <c r="F139" s="256" t="s">
        <v>736</v>
      </c>
      <c r="G139" s="256" t="s">
        <v>55</v>
      </c>
      <c r="H139" s="256"/>
      <c r="I139" s="257">
        <v>0</v>
      </c>
      <c r="J139" s="257">
        <v>0</v>
      </c>
      <c r="K139" s="257">
        <v>0</v>
      </c>
      <c r="L139" s="257">
        <v>0</v>
      </c>
      <c r="M139" s="257">
        <v>0</v>
      </c>
      <c r="N139" s="257">
        <v>0</v>
      </c>
      <c r="O139" s="257">
        <v>0</v>
      </c>
      <c r="P139" s="257">
        <v>0</v>
      </c>
      <c r="Q139" s="258">
        <v>0</v>
      </c>
    </row>
    <row r="140" spans="1:17">
      <c r="A140" s="256">
        <v>1</v>
      </c>
      <c r="B140" s="256">
        <v>6153265</v>
      </c>
      <c r="C140" s="256">
        <v>615326500</v>
      </c>
      <c r="D140" s="256" t="s">
        <v>734</v>
      </c>
      <c r="E140" s="256" t="s">
        <v>735</v>
      </c>
      <c r="F140" s="256" t="s">
        <v>736</v>
      </c>
      <c r="G140" s="256" t="s">
        <v>766</v>
      </c>
      <c r="H140" s="256"/>
      <c r="I140" s="257">
        <v>14830375</v>
      </c>
      <c r="J140" s="257">
        <v>0</v>
      </c>
      <c r="K140" s="257">
        <v>0</v>
      </c>
      <c r="L140" s="257">
        <v>0</v>
      </c>
      <c r="M140" s="257">
        <v>0</v>
      </c>
      <c r="N140" s="257">
        <v>0</v>
      </c>
      <c r="O140" s="257">
        <v>4022760</v>
      </c>
      <c r="P140" s="257">
        <v>10807615</v>
      </c>
      <c r="Q140" s="258">
        <v>0</v>
      </c>
    </row>
    <row r="141" spans="1:17">
      <c r="A141" s="256">
        <v>1</v>
      </c>
      <c r="B141" s="256">
        <v>6153269</v>
      </c>
      <c r="C141" s="256">
        <v>615326900</v>
      </c>
      <c r="D141" s="256" t="s">
        <v>734</v>
      </c>
      <c r="E141" s="256" t="s">
        <v>735</v>
      </c>
      <c r="F141" s="256" t="s">
        <v>736</v>
      </c>
      <c r="G141" s="256" t="s">
        <v>767</v>
      </c>
      <c r="H141" s="256"/>
      <c r="I141" s="257">
        <v>0</v>
      </c>
      <c r="J141" s="257">
        <v>0</v>
      </c>
      <c r="K141" s="257">
        <v>0</v>
      </c>
      <c r="L141" s="257">
        <v>0</v>
      </c>
      <c r="M141" s="257">
        <v>0</v>
      </c>
      <c r="N141" s="257">
        <v>0</v>
      </c>
      <c r="O141" s="257">
        <v>0</v>
      </c>
      <c r="P141" s="257">
        <v>0</v>
      </c>
      <c r="Q141" s="258">
        <v>0</v>
      </c>
    </row>
    <row r="142" spans="1:17">
      <c r="A142" s="256">
        <v>1</v>
      </c>
      <c r="B142" s="256">
        <v>6153270</v>
      </c>
      <c r="C142" s="256">
        <v>615327000</v>
      </c>
      <c r="D142" s="256" t="s">
        <v>734</v>
      </c>
      <c r="E142" s="256" t="s">
        <v>735</v>
      </c>
      <c r="F142" s="256" t="s">
        <v>736</v>
      </c>
      <c r="G142" s="256" t="s">
        <v>768</v>
      </c>
      <c r="H142" s="256"/>
      <c r="I142" s="257">
        <v>275990</v>
      </c>
      <c r="J142" s="257">
        <v>0</v>
      </c>
      <c r="K142" s="257">
        <v>0</v>
      </c>
      <c r="L142" s="257">
        <v>0</v>
      </c>
      <c r="M142" s="257">
        <v>0</v>
      </c>
      <c r="N142" s="257">
        <v>275990</v>
      </c>
      <c r="O142" s="257">
        <v>0</v>
      </c>
      <c r="P142" s="257">
        <v>0</v>
      </c>
      <c r="Q142" s="258">
        <v>0</v>
      </c>
    </row>
    <row r="143" spans="1:17">
      <c r="A143" s="256">
        <v>1</v>
      </c>
      <c r="B143" s="256">
        <v>6153271</v>
      </c>
      <c r="C143" s="256">
        <v>615327100</v>
      </c>
      <c r="D143" s="256" t="s">
        <v>734</v>
      </c>
      <c r="E143" s="256" t="s">
        <v>735</v>
      </c>
      <c r="F143" s="256" t="s">
        <v>736</v>
      </c>
      <c r="G143" s="256" t="s">
        <v>769</v>
      </c>
      <c r="H143" s="256"/>
      <c r="I143" s="257">
        <v>0</v>
      </c>
      <c r="J143" s="257">
        <v>0</v>
      </c>
      <c r="K143" s="257">
        <v>0</v>
      </c>
      <c r="L143" s="257">
        <v>0</v>
      </c>
      <c r="M143" s="257">
        <v>0</v>
      </c>
      <c r="N143" s="257">
        <v>0</v>
      </c>
      <c r="O143" s="257">
        <v>0</v>
      </c>
      <c r="P143" s="257">
        <v>0</v>
      </c>
      <c r="Q143" s="258">
        <v>0</v>
      </c>
    </row>
    <row r="144" spans="1:17">
      <c r="A144" s="256">
        <v>1</v>
      </c>
      <c r="B144" s="256">
        <v>6153272</v>
      </c>
      <c r="C144" s="256">
        <v>615327200</v>
      </c>
      <c r="D144" s="256" t="s">
        <v>734</v>
      </c>
      <c r="E144" s="256" t="s">
        <v>735</v>
      </c>
      <c r="F144" s="256" t="s">
        <v>736</v>
      </c>
      <c r="G144" s="256" t="s">
        <v>770</v>
      </c>
      <c r="H144" s="256"/>
      <c r="I144" s="257">
        <v>0</v>
      </c>
      <c r="J144" s="257">
        <v>0</v>
      </c>
      <c r="K144" s="257">
        <v>0</v>
      </c>
      <c r="L144" s="257">
        <v>0</v>
      </c>
      <c r="M144" s="257">
        <v>0</v>
      </c>
      <c r="N144" s="257">
        <v>0</v>
      </c>
      <c r="O144" s="257">
        <v>0</v>
      </c>
      <c r="P144" s="257">
        <v>0</v>
      </c>
      <c r="Q144" s="258">
        <v>0</v>
      </c>
    </row>
    <row r="145" spans="1:17">
      <c r="A145" s="256">
        <v>1</v>
      </c>
      <c r="B145" s="256">
        <v>6153273</v>
      </c>
      <c r="C145" s="256">
        <v>615327300</v>
      </c>
      <c r="D145" s="256" t="s">
        <v>734</v>
      </c>
      <c r="E145" s="256" t="s">
        <v>735</v>
      </c>
      <c r="F145" s="256" t="s">
        <v>736</v>
      </c>
      <c r="G145" s="256" t="s">
        <v>771</v>
      </c>
      <c r="H145" s="256"/>
      <c r="I145" s="257">
        <v>0</v>
      </c>
      <c r="J145" s="257">
        <v>0</v>
      </c>
      <c r="K145" s="257">
        <v>0</v>
      </c>
      <c r="L145" s="257">
        <v>0</v>
      </c>
      <c r="M145" s="257">
        <v>0</v>
      </c>
      <c r="N145" s="257">
        <v>0</v>
      </c>
      <c r="O145" s="257">
        <v>0</v>
      </c>
      <c r="P145" s="257">
        <v>0</v>
      </c>
      <c r="Q145" s="258">
        <v>0</v>
      </c>
    </row>
    <row r="146" spans="1:17">
      <c r="A146" s="256">
        <v>1</v>
      </c>
      <c r="B146" s="256">
        <v>6153274</v>
      </c>
      <c r="C146" s="256">
        <v>615327400</v>
      </c>
      <c r="D146" s="256" t="s">
        <v>734</v>
      </c>
      <c r="E146" s="256" t="s">
        <v>735</v>
      </c>
      <c r="F146" s="256" t="s">
        <v>736</v>
      </c>
      <c r="G146" s="256" t="s">
        <v>772</v>
      </c>
      <c r="H146" s="256"/>
      <c r="I146" s="257">
        <v>0</v>
      </c>
      <c r="J146" s="257">
        <v>0</v>
      </c>
      <c r="K146" s="257">
        <v>0</v>
      </c>
      <c r="L146" s="257">
        <v>0</v>
      </c>
      <c r="M146" s="257">
        <v>0</v>
      </c>
      <c r="N146" s="257">
        <v>0</v>
      </c>
      <c r="O146" s="257">
        <v>0</v>
      </c>
      <c r="P146" s="257">
        <v>0</v>
      </c>
      <c r="Q146" s="258">
        <v>0</v>
      </c>
    </row>
    <row r="147" spans="1:17">
      <c r="A147" s="256">
        <v>1</v>
      </c>
      <c r="B147" s="256">
        <v>6153275</v>
      </c>
      <c r="C147" s="256">
        <v>615327583</v>
      </c>
      <c r="D147" s="256" t="s">
        <v>734</v>
      </c>
      <c r="E147" s="256" t="s">
        <v>735</v>
      </c>
      <c r="F147" s="256" t="s">
        <v>736</v>
      </c>
      <c r="G147" s="256" t="s">
        <v>773</v>
      </c>
      <c r="H147" s="256" t="s">
        <v>75</v>
      </c>
      <c r="I147" s="257">
        <v>13601868302</v>
      </c>
      <c r="J147" s="257">
        <v>0</v>
      </c>
      <c r="K147" s="257">
        <v>0</v>
      </c>
      <c r="L147" s="257">
        <v>0</v>
      </c>
      <c r="M147" s="257">
        <v>0</v>
      </c>
      <c r="N147" s="257">
        <v>13601868302</v>
      </c>
      <c r="O147" s="257">
        <v>0</v>
      </c>
      <c r="P147" s="257">
        <v>0</v>
      </c>
      <c r="Q147" s="258">
        <v>0</v>
      </c>
    </row>
    <row r="148" spans="1:17">
      <c r="A148" s="256">
        <v>1</v>
      </c>
      <c r="B148" s="256">
        <v>6153275</v>
      </c>
      <c r="C148" s="256">
        <v>615327584</v>
      </c>
      <c r="D148" s="256" t="s">
        <v>734</v>
      </c>
      <c r="E148" s="256" t="s">
        <v>735</v>
      </c>
      <c r="F148" s="256" t="s">
        <v>736</v>
      </c>
      <c r="G148" s="256" t="s">
        <v>773</v>
      </c>
      <c r="H148" s="256" t="s">
        <v>774</v>
      </c>
      <c r="I148" s="257">
        <v>59375146</v>
      </c>
      <c r="J148" s="257">
        <v>0</v>
      </c>
      <c r="K148" s="257">
        <v>0</v>
      </c>
      <c r="L148" s="257">
        <v>0</v>
      </c>
      <c r="M148" s="257">
        <v>0</v>
      </c>
      <c r="N148" s="257">
        <v>0</v>
      </c>
      <c r="O148" s="257">
        <v>0</v>
      </c>
      <c r="P148" s="257">
        <v>59375146</v>
      </c>
      <c r="Q148" s="258">
        <v>0</v>
      </c>
    </row>
    <row r="149" spans="1:17">
      <c r="A149" s="256">
        <v>1</v>
      </c>
      <c r="B149" s="256">
        <v>6153275</v>
      </c>
      <c r="C149" s="256">
        <v>615327585</v>
      </c>
      <c r="D149" s="256" t="s">
        <v>734</v>
      </c>
      <c r="E149" s="256" t="s">
        <v>735</v>
      </c>
      <c r="F149" s="256" t="s">
        <v>736</v>
      </c>
      <c r="G149" s="256" t="s">
        <v>773</v>
      </c>
      <c r="H149" s="256" t="s">
        <v>775</v>
      </c>
      <c r="I149" s="257">
        <v>867470663</v>
      </c>
      <c r="J149" s="257">
        <v>0</v>
      </c>
      <c r="K149" s="257">
        <v>0</v>
      </c>
      <c r="L149" s="257">
        <v>0</v>
      </c>
      <c r="M149" s="257">
        <v>0</v>
      </c>
      <c r="N149" s="257">
        <v>867470663</v>
      </c>
      <c r="O149" s="257">
        <v>0</v>
      </c>
      <c r="P149" s="257">
        <v>0</v>
      </c>
      <c r="Q149" s="258">
        <v>0</v>
      </c>
    </row>
    <row r="150" spans="1:17">
      <c r="A150" s="256">
        <v>1</v>
      </c>
      <c r="B150" s="256">
        <v>6153275</v>
      </c>
      <c r="C150" s="256">
        <v>615327586</v>
      </c>
      <c r="D150" s="256" t="s">
        <v>734</v>
      </c>
      <c r="E150" s="256" t="s">
        <v>735</v>
      </c>
      <c r="F150" s="256" t="s">
        <v>736</v>
      </c>
      <c r="G150" s="256" t="s">
        <v>773</v>
      </c>
      <c r="H150" s="256" t="s">
        <v>776</v>
      </c>
      <c r="I150" s="257">
        <v>273840500</v>
      </c>
      <c r="J150" s="257">
        <v>0</v>
      </c>
      <c r="K150" s="257">
        <v>0</v>
      </c>
      <c r="L150" s="257">
        <v>0</v>
      </c>
      <c r="M150" s="257">
        <v>0</v>
      </c>
      <c r="N150" s="257">
        <v>273840500</v>
      </c>
      <c r="O150" s="257">
        <v>0</v>
      </c>
      <c r="P150" s="257">
        <v>0</v>
      </c>
      <c r="Q150" s="258">
        <v>0</v>
      </c>
    </row>
    <row r="151" spans="1:17">
      <c r="A151" s="256">
        <v>1</v>
      </c>
      <c r="B151" s="256">
        <v>6153275</v>
      </c>
      <c r="C151" s="256">
        <v>615327587</v>
      </c>
      <c r="D151" s="256" t="s">
        <v>734</v>
      </c>
      <c r="E151" s="256" t="s">
        <v>735</v>
      </c>
      <c r="F151" s="256" t="s">
        <v>736</v>
      </c>
      <c r="G151" s="256" t="s">
        <v>773</v>
      </c>
      <c r="H151" s="256" t="s">
        <v>665</v>
      </c>
      <c r="I151" s="257">
        <v>25650977</v>
      </c>
      <c r="J151" s="257">
        <v>0</v>
      </c>
      <c r="K151" s="257">
        <v>0</v>
      </c>
      <c r="L151" s="257">
        <v>0</v>
      </c>
      <c r="M151" s="257">
        <v>0</v>
      </c>
      <c r="N151" s="257">
        <v>1500075</v>
      </c>
      <c r="O151" s="257">
        <v>0</v>
      </c>
      <c r="P151" s="257">
        <v>24150902</v>
      </c>
      <c r="Q151" s="258">
        <v>0</v>
      </c>
    </row>
    <row r="152" spans="1:17">
      <c r="A152" s="256">
        <v>1</v>
      </c>
      <c r="B152" s="256">
        <v>6153275</v>
      </c>
      <c r="C152" s="256">
        <v>615327588</v>
      </c>
      <c r="D152" s="256" t="s">
        <v>734</v>
      </c>
      <c r="E152" s="256" t="s">
        <v>735</v>
      </c>
      <c r="F152" s="256" t="s">
        <v>736</v>
      </c>
      <c r="G152" s="256" t="s">
        <v>773</v>
      </c>
      <c r="H152" s="256" t="s">
        <v>73</v>
      </c>
      <c r="I152" s="257">
        <v>2958420</v>
      </c>
      <c r="J152" s="257">
        <v>0</v>
      </c>
      <c r="K152" s="257">
        <v>0</v>
      </c>
      <c r="L152" s="257">
        <v>0</v>
      </c>
      <c r="M152" s="257">
        <v>0</v>
      </c>
      <c r="N152" s="257">
        <v>0</v>
      </c>
      <c r="O152" s="257">
        <v>2958420</v>
      </c>
      <c r="P152" s="257">
        <v>0</v>
      </c>
      <c r="Q152" s="258">
        <v>0</v>
      </c>
    </row>
    <row r="153" spans="1:17">
      <c r="A153" s="256">
        <v>1</v>
      </c>
      <c r="B153" s="256">
        <v>6153801</v>
      </c>
      <c r="C153" s="256">
        <v>615380102</v>
      </c>
      <c r="D153" s="256" t="s">
        <v>734</v>
      </c>
      <c r="E153" s="256" t="s">
        <v>735</v>
      </c>
      <c r="F153" s="256" t="s">
        <v>777</v>
      </c>
      <c r="G153" s="256" t="s">
        <v>112</v>
      </c>
      <c r="H153" s="256" t="s">
        <v>737</v>
      </c>
      <c r="I153" s="257">
        <v>0</v>
      </c>
      <c r="J153" s="257">
        <v>0</v>
      </c>
      <c r="K153" s="257">
        <v>0</v>
      </c>
      <c r="L153" s="257">
        <v>0</v>
      </c>
      <c r="M153" s="257">
        <v>0</v>
      </c>
      <c r="N153" s="257">
        <v>0</v>
      </c>
      <c r="O153" s="257">
        <v>0</v>
      </c>
      <c r="P153" s="257">
        <v>0</v>
      </c>
      <c r="Q153" s="258">
        <v>0</v>
      </c>
    </row>
    <row r="154" spans="1:17">
      <c r="A154" s="256">
        <v>1</v>
      </c>
      <c r="B154" s="256">
        <v>6153801</v>
      </c>
      <c r="C154" s="256">
        <v>615380103</v>
      </c>
      <c r="D154" s="256" t="s">
        <v>734</v>
      </c>
      <c r="E154" s="256" t="s">
        <v>735</v>
      </c>
      <c r="F154" s="256" t="s">
        <v>777</v>
      </c>
      <c r="G154" s="256" t="s">
        <v>112</v>
      </c>
      <c r="H154" s="256" t="s">
        <v>738</v>
      </c>
      <c r="I154" s="257">
        <v>0</v>
      </c>
      <c r="J154" s="257">
        <v>0</v>
      </c>
      <c r="K154" s="257">
        <v>0</v>
      </c>
      <c r="L154" s="257">
        <v>0</v>
      </c>
      <c r="M154" s="257">
        <v>0</v>
      </c>
      <c r="N154" s="257">
        <v>0</v>
      </c>
      <c r="O154" s="257">
        <v>0</v>
      </c>
      <c r="P154" s="257">
        <v>0</v>
      </c>
      <c r="Q154" s="258">
        <v>0</v>
      </c>
    </row>
    <row r="155" spans="1:17">
      <c r="A155" s="256">
        <v>1</v>
      </c>
      <c r="B155" s="256">
        <v>6153801</v>
      </c>
      <c r="C155" s="256">
        <v>615380104</v>
      </c>
      <c r="D155" s="256" t="s">
        <v>734</v>
      </c>
      <c r="E155" s="256" t="s">
        <v>735</v>
      </c>
      <c r="F155" s="256" t="s">
        <v>777</v>
      </c>
      <c r="G155" s="256" t="s">
        <v>112</v>
      </c>
      <c r="H155" s="256" t="s">
        <v>739</v>
      </c>
      <c r="I155" s="257">
        <v>0</v>
      </c>
      <c r="J155" s="257">
        <v>0</v>
      </c>
      <c r="K155" s="257">
        <v>0</v>
      </c>
      <c r="L155" s="257">
        <v>0</v>
      </c>
      <c r="M155" s="257">
        <v>0</v>
      </c>
      <c r="N155" s="257">
        <v>0</v>
      </c>
      <c r="O155" s="257">
        <v>0</v>
      </c>
      <c r="P155" s="257">
        <v>0</v>
      </c>
      <c r="Q155" s="258">
        <v>0</v>
      </c>
    </row>
    <row r="156" spans="1:17">
      <c r="A156" s="236">
        <v>1</v>
      </c>
      <c r="B156" s="236">
        <v>6153801</v>
      </c>
      <c r="C156" s="236">
        <v>615380105</v>
      </c>
      <c r="D156" s="236" t="s">
        <v>734</v>
      </c>
      <c r="E156" s="236" t="s">
        <v>735</v>
      </c>
      <c r="F156" s="236" t="s">
        <v>777</v>
      </c>
      <c r="G156" s="236" t="s">
        <v>112</v>
      </c>
      <c r="H156" s="236" t="s">
        <v>740</v>
      </c>
      <c r="I156" s="257">
        <v>0</v>
      </c>
      <c r="J156" s="257">
        <v>0</v>
      </c>
      <c r="K156" s="257">
        <v>0</v>
      </c>
      <c r="L156" s="257">
        <v>0</v>
      </c>
      <c r="M156" s="257">
        <v>0</v>
      </c>
      <c r="N156" s="257">
        <v>0</v>
      </c>
      <c r="O156" s="257">
        <v>0</v>
      </c>
      <c r="P156" s="257">
        <v>0</v>
      </c>
      <c r="Q156" s="258">
        <v>0</v>
      </c>
    </row>
    <row r="157" spans="1:17">
      <c r="A157" s="256">
        <v>1</v>
      </c>
      <c r="B157" s="256">
        <v>6153802</v>
      </c>
      <c r="C157" s="256">
        <v>615380202</v>
      </c>
      <c r="D157" s="256" t="s">
        <v>734</v>
      </c>
      <c r="E157" s="256" t="s">
        <v>735</v>
      </c>
      <c r="F157" s="256" t="s">
        <v>777</v>
      </c>
      <c r="G157" s="256" t="s">
        <v>110</v>
      </c>
      <c r="H157" s="256" t="s">
        <v>741</v>
      </c>
      <c r="I157" s="257">
        <v>4694400</v>
      </c>
      <c r="J157" s="257">
        <v>0</v>
      </c>
      <c r="K157" s="257">
        <v>0</v>
      </c>
      <c r="L157" s="257">
        <v>0</v>
      </c>
      <c r="M157" s="257">
        <v>0</v>
      </c>
      <c r="N157" s="257">
        <v>0</v>
      </c>
      <c r="O157" s="257">
        <v>0</v>
      </c>
      <c r="P157" s="257">
        <v>4694400</v>
      </c>
      <c r="Q157" s="258">
        <v>0</v>
      </c>
    </row>
    <row r="158" spans="1:17">
      <c r="A158" s="256">
        <v>1</v>
      </c>
      <c r="B158" s="256">
        <v>6153803</v>
      </c>
      <c r="C158" s="256">
        <v>615380301</v>
      </c>
      <c r="D158" s="256" t="s">
        <v>734</v>
      </c>
      <c r="E158" s="256" t="s">
        <v>735</v>
      </c>
      <c r="F158" s="256" t="s">
        <v>777</v>
      </c>
      <c r="G158" s="256" t="s">
        <v>108</v>
      </c>
      <c r="H158" s="256" t="s">
        <v>742</v>
      </c>
      <c r="I158" s="257">
        <v>495480</v>
      </c>
      <c r="J158" s="257">
        <v>0</v>
      </c>
      <c r="K158" s="257">
        <v>0</v>
      </c>
      <c r="L158" s="257">
        <v>0</v>
      </c>
      <c r="M158" s="257">
        <v>0</v>
      </c>
      <c r="N158" s="257">
        <v>0</v>
      </c>
      <c r="O158" s="257">
        <v>0</v>
      </c>
      <c r="P158" s="257">
        <v>495480</v>
      </c>
      <c r="Q158" s="258">
        <v>0</v>
      </c>
    </row>
    <row r="159" spans="1:17">
      <c r="A159" s="256">
        <v>1</v>
      </c>
      <c r="B159" s="256">
        <v>6153803</v>
      </c>
      <c r="C159" s="256">
        <v>615380302</v>
      </c>
      <c r="D159" s="256" t="s">
        <v>734</v>
      </c>
      <c r="E159" s="256" t="s">
        <v>735</v>
      </c>
      <c r="F159" s="256" t="s">
        <v>777</v>
      </c>
      <c r="G159" s="256" t="s">
        <v>108</v>
      </c>
      <c r="H159" s="256" t="s">
        <v>743</v>
      </c>
      <c r="I159" s="257">
        <v>260400</v>
      </c>
      <c r="J159" s="257">
        <v>0</v>
      </c>
      <c r="K159" s="257">
        <v>0</v>
      </c>
      <c r="L159" s="257">
        <v>0</v>
      </c>
      <c r="M159" s="257">
        <v>0</v>
      </c>
      <c r="N159" s="257">
        <v>0</v>
      </c>
      <c r="O159" s="257">
        <v>0</v>
      </c>
      <c r="P159" s="257">
        <v>260400</v>
      </c>
      <c r="Q159" s="258">
        <v>0</v>
      </c>
    </row>
    <row r="160" spans="1:17">
      <c r="A160" s="256">
        <v>1</v>
      </c>
      <c r="B160" s="256">
        <v>6153803</v>
      </c>
      <c r="C160" s="256">
        <v>615380303</v>
      </c>
      <c r="D160" s="256" t="s">
        <v>734</v>
      </c>
      <c r="E160" s="256" t="s">
        <v>735</v>
      </c>
      <c r="F160" s="256" t="s">
        <v>777</v>
      </c>
      <c r="G160" s="256" t="s">
        <v>108</v>
      </c>
      <c r="H160" s="256" t="s">
        <v>744</v>
      </c>
      <c r="I160" s="257">
        <v>2237499</v>
      </c>
      <c r="J160" s="257">
        <v>0</v>
      </c>
      <c r="K160" s="257">
        <v>0</v>
      </c>
      <c r="L160" s="257">
        <v>0</v>
      </c>
      <c r="M160" s="257">
        <v>0</v>
      </c>
      <c r="N160" s="257">
        <v>0</v>
      </c>
      <c r="O160" s="257">
        <v>0</v>
      </c>
      <c r="P160" s="257">
        <v>2237499</v>
      </c>
      <c r="Q160" s="258">
        <v>0</v>
      </c>
    </row>
    <row r="161" spans="1:17">
      <c r="A161" s="256">
        <v>1</v>
      </c>
      <c r="B161" s="256">
        <v>6153803</v>
      </c>
      <c r="C161" s="256">
        <v>615380304</v>
      </c>
      <c r="D161" s="256" t="s">
        <v>734</v>
      </c>
      <c r="E161" s="256" t="s">
        <v>735</v>
      </c>
      <c r="F161" s="256" t="s">
        <v>777</v>
      </c>
      <c r="G161" s="256" t="s">
        <v>108</v>
      </c>
      <c r="H161" s="256" t="s">
        <v>745</v>
      </c>
      <c r="I161" s="257">
        <v>168200</v>
      </c>
      <c r="J161" s="257">
        <v>0</v>
      </c>
      <c r="K161" s="257">
        <v>0</v>
      </c>
      <c r="L161" s="257">
        <v>0</v>
      </c>
      <c r="M161" s="257">
        <v>0</v>
      </c>
      <c r="N161" s="257">
        <v>168200</v>
      </c>
      <c r="O161" s="257">
        <v>0</v>
      </c>
      <c r="P161" s="257">
        <v>0</v>
      </c>
      <c r="Q161" s="258">
        <v>0</v>
      </c>
    </row>
    <row r="162" spans="1:17">
      <c r="A162" s="256">
        <v>1</v>
      </c>
      <c r="B162" s="256">
        <v>6153803</v>
      </c>
      <c r="C162" s="256">
        <v>615380305</v>
      </c>
      <c r="D162" s="256" t="s">
        <v>734</v>
      </c>
      <c r="E162" s="256" t="s">
        <v>735</v>
      </c>
      <c r="F162" s="256" t="s">
        <v>777</v>
      </c>
      <c r="G162" s="256" t="s">
        <v>108</v>
      </c>
      <c r="H162" s="256" t="s">
        <v>746</v>
      </c>
      <c r="I162" s="257">
        <v>0</v>
      </c>
      <c r="J162" s="257">
        <v>0</v>
      </c>
      <c r="K162" s="257">
        <v>0</v>
      </c>
      <c r="L162" s="257">
        <v>0</v>
      </c>
      <c r="M162" s="257">
        <v>0</v>
      </c>
      <c r="N162" s="257">
        <v>0</v>
      </c>
      <c r="O162" s="257">
        <v>0</v>
      </c>
      <c r="P162" s="257">
        <v>0</v>
      </c>
      <c r="Q162" s="258">
        <v>0</v>
      </c>
    </row>
    <row r="163" spans="1:17">
      <c r="A163" s="256">
        <v>1</v>
      </c>
      <c r="B163" s="256">
        <v>6153803</v>
      </c>
      <c r="C163" s="256">
        <v>615380306</v>
      </c>
      <c r="D163" s="256" t="s">
        <v>734</v>
      </c>
      <c r="E163" s="256" t="s">
        <v>735</v>
      </c>
      <c r="F163" s="256" t="s">
        <v>777</v>
      </c>
      <c r="G163" s="256" t="s">
        <v>108</v>
      </c>
      <c r="H163" s="256" t="s">
        <v>747</v>
      </c>
      <c r="I163" s="257">
        <v>0</v>
      </c>
      <c r="J163" s="257">
        <v>0</v>
      </c>
      <c r="K163" s="257">
        <v>0</v>
      </c>
      <c r="L163" s="257">
        <v>0</v>
      </c>
      <c r="M163" s="257">
        <v>0</v>
      </c>
      <c r="N163" s="257">
        <v>0</v>
      </c>
      <c r="O163" s="257">
        <v>0</v>
      </c>
      <c r="P163" s="257">
        <v>0</v>
      </c>
      <c r="Q163" s="258">
        <v>0</v>
      </c>
    </row>
    <row r="164" spans="1:17">
      <c r="A164" s="256">
        <v>1</v>
      </c>
      <c r="B164" s="256">
        <v>6153803</v>
      </c>
      <c r="C164" s="256">
        <v>615380307</v>
      </c>
      <c r="D164" s="256" t="s">
        <v>734</v>
      </c>
      <c r="E164" s="256" t="s">
        <v>735</v>
      </c>
      <c r="F164" s="256" t="s">
        <v>777</v>
      </c>
      <c r="G164" s="256" t="s">
        <v>108</v>
      </c>
      <c r="H164" s="256" t="s">
        <v>748</v>
      </c>
      <c r="I164" s="257">
        <v>0</v>
      </c>
      <c r="J164" s="257">
        <v>0</v>
      </c>
      <c r="K164" s="257">
        <v>0</v>
      </c>
      <c r="L164" s="257">
        <v>0</v>
      </c>
      <c r="M164" s="257">
        <v>0</v>
      </c>
      <c r="N164" s="257">
        <v>0</v>
      </c>
      <c r="O164" s="257">
        <v>0</v>
      </c>
      <c r="P164" s="257">
        <v>0</v>
      </c>
      <c r="Q164" s="258">
        <v>0</v>
      </c>
    </row>
    <row r="165" spans="1:17">
      <c r="A165" s="256">
        <v>1</v>
      </c>
      <c r="B165" s="256">
        <v>6153803</v>
      </c>
      <c r="C165" s="256">
        <v>615380310</v>
      </c>
      <c r="D165" s="256" t="s">
        <v>734</v>
      </c>
      <c r="E165" s="256" t="s">
        <v>735</v>
      </c>
      <c r="F165" s="256" t="s">
        <v>777</v>
      </c>
      <c r="G165" s="256" t="s">
        <v>108</v>
      </c>
      <c r="H165" s="256" t="s">
        <v>749</v>
      </c>
      <c r="I165" s="257">
        <v>10281</v>
      </c>
      <c r="J165" s="257">
        <v>0</v>
      </c>
      <c r="K165" s="257">
        <v>0</v>
      </c>
      <c r="L165" s="257">
        <v>0</v>
      </c>
      <c r="M165" s="257">
        <v>0</v>
      </c>
      <c r="N165" s="257">
        <v>0</v>
      </c>
      <c r="O165" s="257">
        <v>0</v>
      </c>
      <c r="P165" s="257">
        <v>10281</v>
      </c>
      <c r="Q165" s="258">
        <v>0</v>
      </c>
    </row>
    <row r="166" spans="1:17">
      <c r="A166" s="256">
        <v>1</v>
      </c>
      <c r="B166" s="256">
        <v>6153803</v>
      </c>
      <c r="C166" s="256">
        <v>615380311</v>
      </c>
      <c r="D166" s="256" t="s">
        <v>734</v>
      </c>
      <c r="E166" s="256" t="s">
        <v>735</v>
      </c>
      <c r="F166" s="256" t="s">
        <v>777</v>
      </c>
      <c r="G166" s="256" t="s">
        <v>108</v>
      </c>
      <c r="H166" s="256" t="s">
        <v>750</v>
      </c>
      <c r="I166" s="257">
        <v>0</v>
      </c>
      <c r="J166" s="257">
        <v>0</v>
      </c>
      <c r="K166" s="257">
        <v>0</v>
      </c>
      <c r="L166" s="257">
        <v>0</v>
      </c>
      <c r="M166" s="257">
        <v>0</v>
      </c>
      <c r="N166" s="257">
        <v>0</v>
      </c>
      <c r="O166" s="257">
        <v>0</v>
      </c>
      <c r="P166" s="257">
        <v>0</v>
      </c>
      <c r="Q166" s="258">
        <v>0</v>
      </c>
    </row>
    <row r="167" spans="1:17">
      <c r="A167" s="256">
        <v>1</v>
      </c>
      <c r="B167" s="256">
        <v>6153803</v>
      </c>
      <c r="C167" s="256">
        <v>615380314</v>
      </c>
      <c r="D167" s="256" t="s">
        <v>734</v>
      </c>
      <c r="E167" s="256" t="s">
        <v>735</v>
      </c>
      <c r="F167" s="256" t="s">
        <v>777</v>
      </c>
      <c r="G167" s="256" t="s">
        <v>108</v>
      </c>
      <c r="H167" s="256" t="s">
        <v>751</v>
      </c>
      <c r="I167" s="257">
        <v>0</v>
      </c>
      <c r="J167" s="257">
        <v>0</v>
      </c>
      <c r="K167" s="257">
        <v>0</v>
      </c>
      <c r="L167" s="257">
        <v>0</v>
      </c>
      <c r="M167" s="257">
        <v>0</v>
      </c>
      <c r="N167" s="257">
        <v>0</v>
      </c>
      <c r="O167" s="257">
        <v>0</v>
      </c>
      <c r="P167" s="257">
        <v>0</v>
      </c>
      <c r="Q167" s="258">
        <v>0</v>
      </c>
    </row>
    <row r="168" spans="1:17">
      <c r="A168" s="256">
        <v>1</v>
      </c>
      <c r="B168" s="256">
        <v>6153803</v>
      </c>
      <c r="C168" s="256">
        <v>615380315</v>
      </c>
      <c r="D168" s="256" t="s">
        <v>734</v>
      </c>
      <c r="E168" s="256" t="s">
        <v>735</v>
      </c>
      <c r="F168" s="256" t="s">
        <v>777</v>
      </c>
      <c r="G168" s="256" t="s">
        <v>108</v>
      </c>
      <c r="H168" s="256" t="s">
        <v>752</v>
      </c>
      <c r="I168" s="257">
        <v>0</v>
      </c>
      <c r="J168" s="257">
        <v>0</v>
      </c>
      <c r="K168" s="257">
        <v>0</v>
      </c>
      <c r="L168" s="257">
        <v>0</v>
      </c>
      <c r="M168" s="257">
        <v>0</v>
      </c>
      <c r="N168" s="257">
        <v>0</v>
      </c>
      <c r="O168" s="257">
        <v>0</v>
      </c>
      <c r="P168" s="257">
        <v>0</v>
      </c>
      <c r="Q168" s="258">
        <v>0</v>
      </c>
    </row>
    <row r="169" spans="1:17">
      <c r="A169" s="256">
        <v>1</v>
      </c>
      <c r="B169" s="256">
        <v>6153804</v>
      </c>
      <c r="C169" s="256">
        <v>615380401</v>
      </c>
      <c r="D169" s="256" t="s">
        <v>734</v>
      </c>
      <c r="E169" s="256" t="s">
        <v>735</v>
      </c>
      <c r="F169" s="256" t="s">
        <v>777</v>
      </c>
      <c r="G169" s="256" t="s">
        <v>106</v>
      </c>
      <c r="H169" s="256" t="s">
        <v>755</v>
      </c>
      <c r="I169" s="257">
        <v>1191868</v>
      </c>
      <c r="J169" s="257">
        <v>0</v>
      </c>
      <c r="K169" s="257">
        <v>0</v>
      </c>
      <c r="L169" s="257">
        <v>0</v>
      </c>
      <c r="M169" s="257">
        <v>0</v>
      </c>
      <c r="N169" s="257">
        <v>0</v>
      </c>
      <c r="O169" s="257">
        <v>1191868</v>
      </c>
      <c r="P169" s="257">
        <v>0</v>
      </c>
      <c r="Q169" s="258">
        <v>0</v>
      </c>
    </row>
    <row r="170" spans="1:17">
      <c r="A170" s="256">
        <v>1</v>
      </c>
      <c r="B170" s="256">
        <v>6153804</v>
      </c>
      <c r="C170" s="256">
        <v>615380402</v>
      </c>
      <c r="D170" s="256" t="s">
        <v>734</v>
      </c>
      <c r="E170" s="256" t="s">
        <v>735</v>
      </c>
      <c r="F170" s="256" t="s">
        <v>777</v>
      </c>
      <c r="G170" s="256" t="s">
        <v>106</v>
      </c>
      <c r="H170" s="256" t="s">
        <v>756</v>
      </c>
      <c r="I170" s="257">
        <v>7032</v>
      </c>
      <c r="J170" s="257">
        <v>0</v>
      </c>
      <c r="K170" s="257">
        <v>0</v>
      </c>
      <c r="L170" s="257">
        <v>0</v>
      </c>
      <c r="M170" s="257">
        <v>0</v>
      </c>
      <c r="N170" s="257">
        <v>0</v>
      </c>
      <c r="O170" s="257">
        <v>0</v>
      </c>
      <c r="P170" s="257">
        <v>7032</v>
      </c>
      <c r="Q170" s="258">
        <v>0</v>
      </c>
    </row>
    <row r="171" spans="1:17">
      <c r="A171" s="256">
        <v>1</v>
      </c>
      <c r="B171" s="256">
        <v>6153804</v>
      </c>
      <c r="C171" s="256">
        <v>615380403</v>
      </c>
      <c r="D171" s="256" t="s">
        <v>734</v>
      </c>
      <c r="E171" s="256" t="s">
        <v>735</v>
      </c>
      <c r="F171" s="256" t="s">
        <v>777</v>
      </c>
      <c r="G171" s="256" t="s">
        <v>106</v>
      </c>
      <c r="H171" s="256" t="s">
        <v>757</v>
      </c>
      <c r="I171" s="257">
        <v>0</v>
      </c>
      <c r="J171" s="257">
        <v>0</v>
      </c>
      <c r="K171" s="257">
        <v>0</v>
      </c>
      <c r="L171" s="257">
        <v>0</v>
      </c>
      <c r="M171" s="257">
        <v>0</v>
      </c>
      <c r="N171" s="257">
        <v>0</v>
      </c>
      <c r="O171" s="257">
        <v>0</v>
      </c>
      <c r="P171" s="257">
        <v>0</v>
      </c>
      <c r="Q171" s="258">
        <v>0</v>
      </c>
    </row>
    <row r="172" spans="1:17">
      <c r="A172" s="256">
        <v>1</v>
      </c>
      <c r="B172" s="256">
        <v>6153804</v>
      </c>
      <c r="C172" s="256">
        <v>615380405</v>
      </c>
      <c r="D172" s="256" t="s">
        <v>734</v>
      </c>
      <c r="E172" s="256" t="s">
        <v>735</v>
      </c>
      <c r="F172" s="256" t="s">
        <v>777</v>
      </c>
      <c r="G172" s="256" t="s">
        <v>106</v>
      </c>
      <c r="H172" s="256" t="s">
        <v>758</v>
      </c>
      <c r="I172" s="257">
        <v>0</v>
      </c>
      <c r="J172" s="257">
        <v>0</v>
      </c>
      <c r="K172" s="257">
        <v>0</v>
      </c>
      <c r="L172" s="257">
        <v>0</v>
      </c>
      <c r="M172" s="257">
        <v>0</v>
      </c>
      <c r="N172" s="257">
        <v>0</v>
      </c>
      <c r="O172" s="257">
        <v>0</v>
      </c>
      <c r="P172" s="257">
        <v>0</v>
      </c>
      <c r="Q172" s="258">
        <v>0</v>
      </c>
    </row>
    <row r="173" spans="1:17">
      <c r="A173" s="256">
        <v>1</v>
      </c>
      <c r="B173" s="256">
        <v>6153804</v>
      </c>
      <c r="C173" s="256">
        <v>615380406</v>
      </c>
      <c r="D173" s="256" t="s">
        <v>734</v>
      </c>
      <c r="E173" s="256" t="s">
        <v>735</v>
      </c>
      <c r="F173" s="256" t="s">
        <v>777</v>
      </c>
      <c r="G173" s="256" t="s">
        <v>106</v>
      </c>
      <c r="H173" s="256" t="s">
        <v>759</v>
      </c>
      <c r="I173" s="257">
        <v>0</v>
      </c>
      <c r="J173" s="257">
        <v>0</v>
      </c>
      <c r="K173" s="257">
        <v>0</v>
      </c>
      <c r="L173" s="257">
        <v>0</v>
      </c>
      <c r="M173" s="257">
        <v>0</v>
      </c>
      <c r="N173" s="257">
        <v>0</v>
      </c>
      <c r="O173" s="257">
        <v>0</v>
      </c>
      <c r="P173" s="257">
        <v>0</v>
      </c>
      <c r="Q173" s="258">
        <v>0</v>
      </c>
    </row>
    <row r="174" spans="1:17">
      <c r="A174" s="256">
        <v>1</v>
      </c>
      <c r="B174" s="256">
        <v>6153804</v>
      </c>
      <c r="C174" s="256">
        <v>615380407</v>
      </c>
      <c r="D174" s="256" t="s">
        <v>734</v>
      </c>
      <c r="E174" s="256" t="s">
        <v>735</v>
      </c>
      <c r="F174" s="256" t="s">
        <v>777</v>
      </c>
      <c r="G174" s="256" t="s">
        <v>106</v>
      </c>
      <c r="H174" s="256" t="s">
        <v>760</v>
      </c>
      <c r="I174" s="257">
        <v>0</v>
      </c>
      <c r="J174" s="257">
        <v>0</v>
      </c>
      <c r="K174" s="257">
        <v>0</v>
      </c>
      <c r="L174" s="257">
        <v>0</v>
      </c>
      <c r="M174" s="257">
        <v>0</v>
      </c>
      <c r="N174" s="257">
        <v>0</v>
      </c>
      <c r="O174" s="257">
        <v>0</v>
      </c>
      <c r="P174" s="257">
        <v>0</v>
      </c>
      <c r="Q174" s="258">
        <v>0</v>
      </c>
    </row>
    <row r="175" spans="1:17">
      <c r="A175" s="256">
        <v>1</v>
      </c>
      <c r="B175" s="256">
        <v>6153804</v>
      </c>
      <c r="C175" s="256">
        <v>615380408</v>
      </c>
      <c r="D175" s="256" t="s">
        <v>734</v>
      </c>
      <c r="E175" s="256" t="s">
        <v>735</v>
      </c>
      <c r="F175" s="256" t="s">
        <v>777</v>
      </c>
      <c r="G175" s="256" t="s">
        <v>106</v>
      </c>
      <c r="H175" s="256" t="s">
        <v>761</v>
      </c>
      <c r="I175" s="257">
        <v>0</v>
      </c>
      <c r="J175" s="257">
        <v>0</v>
      </c>
      <c r="K175" s="257">
        <v>0</v>
      </c>
      <c r="L175" s="257">
        <v>0</v>
      </c>
      <c r="M175" s="257">
        <v>0</v>
      </c>
      <c r="N175" s="257">
        <v>0</v>
      </c>
      <c r="O175" s="257">
        <v>0</v>
      </c>
      <c r="P175" s="257">
        <v>0</v>
      </c>
      <c r="Q175" s="258">
        <v>0</v>
      </c>
    </row>
    <row r="176" spans="1:17">
      <c r="A176" s="256">
        <v>1</v>
      </c>
      <c r="B176" s="256">
        <v>6153804</v>
      </c>
      <c r="C176" s="256">
        <v>615380410</v>
      </c>
      <c r="D176" s="256" t="s">
        <v>734</v>
      </c>
      <c r="E176" s="256" t="s">
        <v>735</v>
      </c>
      <c r="F176" s="256" t="s">
        <v>777</v>
      </c>
      <c r="G176" s="256" t="s">
        <v>106</v>
      </c>
      <c r="H176" s="256" t="s">
        <v>762</v>
      </c>
      <c r="I176" s="257">
        <v>455365</v>
      </c>
      <c r="J176" s="257">
        <v>0</v>
      </c>
      <c r="K176" s="257">
        <v>0</v>
      </c>
      <c r="L176" s="257">
        <v>0</v>
      </c>
      <c r="M176" s="257">
        <v>0</v>
      </c>
      <c r="N176" s="257">
        <v>0</v>
      </c>
      <c r="O176" s="257">
        <v>455365</v>
      </c>
      <c r="P176" s="257">
        <v>0</v>
      </c>
      <c r="Q176" s="258">
        <v>0</v>
      </c>
    </row>
    <row r="177" spans="1:17">
      <c r="A177" s="256">
        <v>1</v>
      </c>
      <c r="B177" s="256">
        <v>6153805</v>
      </c>
      <c r="C177" s="256">
        <v>615380500</v>
      </c>
      <c r="D177" s="256" t="s">
        <v>734</v>
      </c>
      <c r="E177" s="256" t="s">
        <v>735</v>
      </c>
      <c r="F177" s="256" t="s">
        <v>777</v>
      </c>
      <c r="G177" s="256" t="s">
        <v>104</v>
      </c>
      <c r="H177" s="256"/>
      <c r="I177" s="257">
        <v>0</v>
      </c>
      <c r="J177" s="257">
        <v>0</v>
      </c>
      <c r="K177" s="257">
        <v>0</v>
      </c>
      <c r="L177" s="257">
        <v>0</v>
      </c>
      <c r="M177" s="257">
        <v>0</v>
      </c>
      <c r="N177" s="257">
        <v>0</v>
      </c>
      <c r="O177" s="257">
        <v>0</v>
      </c>
      <c r="P177" s="257">
        <v>0</v>
      </c>
      <c r="Q177" s="258">
        <v>0</v>
      </c>
    </row>
    <row r="178" spans="1:17">
      <c r="A178" s="256">
        <v>1</v>
      </c>
      <c r="B178" s="256">
        <v>6153807</v>
      </c>
      <c r="C178" s="256">
        <v>615380700</v>
      </c>
      <c r="D178" s="256" t="s">
        <v>734</v>
      </c>
      <c r="E178" s="256" t="s">
        <v>735</v>
      </c>
      <c r="F178" s="256" t="s">
        <v>777</v>
      </c>
      <c r="G178" s="256" t="s">
        <v>102</v>
      </c>
      <c r="H178" s="256"/>
      <c r="I178" s="257">
        <v>0</v>
      </c>
      <c r="J178" s="257">
        <v>0</v>
      </c>
      <c r="K178" s="257">
        <v>0</v>
      </c>
      <c r="L178" s="257">
        <v>0</v>
      </c>
      <c r="M178" s="257">
        <v>0</v>
      </c>
      <c r="N178" s="257">
        <v>0</v>
      </c>
      <c r="O178" s="257">
        <v>0</v>
      </c>
      <c r="P178" s="257">
        <v>0</v>
      </c>
      <c r="Q178" s="258">
        <v>0</v>
      </c>
    </row>
    <row r="179" spans="1:17">
      <c r="A179" s="256">
        <v>1</v>
      </c>
      <c r="B179" s="256">
        <v>6153808</v>
      </c>
      <c r="C179" s="256">
        <v>615380800</v>
      </c>
      <c r="D179" s="256" t="s">
        <v>734</v>
      </c>
      <c r="E179" s="256" t="s">
        <v>735</v>
      </c>
      <c r="F179" s="256" t="s">
        <v>777</v>
      </c>
      <c r="G179" s="256" t="s">
        <v>100</v>
      </c>
      <c r="H179" s="256"/>
      <c r="I179" s="257">
        <v>534257</v>
      </c>
      <c r="J179" s="257">
        <v>0</v>
      </c>
      <c r="K179" s="257">
        <v>0</v>
      </c>
      <c r="L179" s="257">
        <v>0</v>
      </c>
      <c r="M179" s="257">
        <v>0</v>
      </c>
      <c r="N179" s="257">
        <v>0</v>
      </c>
      <c r="O179" s="257">
        <v>0</v>
      </c>
      <c r="P179" s="257">
        <v>534257</v>
      </c>
      <c r="Q179" s="258">
        <v>0</v>
      </c>
    </row>
    <row r="180" spans="1:17">
      <c r="A180" s="256">
        <v>1</v>
      </c>
      <c r="B180" s="256">
        <v>6153810</v>
      </c>
      <c r="C180" s="256">
        <v>615381001</v>
      </c>
      <c r="D180" s="256" t="s">
        <v>734</v>
      </c>
      <c r="E180" s="256" t="s">
        <v>735</v>
      </c>
      <c r="F180" s="256" t="s">
        <v>777</v>
      </c>
      <c r="G180" s="256" t="s">
        <v>764</v>
      </c>
      <c r="H180" s="256" t="s">
        <v>98</v>
      </c>
      <c r="I180" s="257">
        <v>0</v>
      </c>
      <c r="J180" s="257">
        <v>0</v>
      </c>
      <c r="K180" s="257">
        <v>0</v>
      </c>
      <c r="L180" s="257">
        <v>0</v>
      </c>
      <c r="M180" s="257">
        <v>0</v>
      </c>
      <c r="N180" s="257">
        <v>0</v>
      </c>
      <c r="O180" s="257">
        <v>0</v>
      </c>
      <c r="P180" s="257">
        <v>0</v>
      </c>
      <c r="Q180" s="258">
        <v>0</v>
      </c>
    </row>
    <row r="181" spans="1:17">
      <c r="A181" s="256">
        <v>1</v>
      </c>
      <c r="B181" s="256">
        <v>6153810</v>
      </c>
      <c r="C181" s="256">
        <v>615381002</v>
      </c>
      <c r="D181" s="256" t="s">
        <v>734</v>
      </c>
      <c r="E181" s="256" t="s">
        <v>735</v>
      </c>
      <c r="F181" s="256" t="s">
        <v>777</v>
      </c>
      <c r="G181" s="256" t="s">
        <v>764</v>
      </c>
      <c r="H181" s="256" t="s">
        <v>95</v>
      </c>
      <c r="I181" s="257">
        <v>0</v>
      </c>
      <c r="J181" s="257">
        <v>0</v>
      </c>
      <c r="K181" s="257">
        <v>0</v>
      </c>
      <c r="L181" s="257">
        <v>0</v>
      </c>
      <c r="M181" s="257">
        <v>0</v>
      </c>
      <c r="N181" s="257">
        <v>0</v>
      </c>
      <c r="O181" s="257">
        <v>0</v>
      </c>
      <c r="P181" s="257">
        <v>0</v>
      </c>
      <c r="Q181" s="258">
        <v>0</v>
      </c>
    </row>
    <row r="182" spans="1:17">
      <c r="A182" s="236">
        <v>1</v>
      </c>
      <c r="B182" s="236">
        <v>6153810</v>
      </c>
      <c r="C182" s="236">
        <v>615381003</v>
      </c>
      <c r="D182" s="236" t="s">
        <v>734</v>
      </c>
      <c r="E182" s="236" t="s">
        <v>735</v>
      </c>
      <c r="F182" s="236" t="s">
        <v>777</v>
      </c>
      <c r="G182" s="236" t="s">
        <v>764</v>
      </c>
      <c r="H182" s="236" t="s">
        <v>765</v>
      </c>
      <c r="I182" s="257">
        <v>0</v>
      </c>
      <c r="J182" s="257">
        <v>0</v>
      </c>
      <c r="K182" s="257">
        <v>0</v>
      </c>
      <c r="L182" s="257">
        <v>0</v>
      </c>
      <c r="M182" s="257">
        <v>0</v>
      </c>
      <c r="N182" s="257">
        <v>0</v>
      </c>
      <c r="O182" s="257">
        <v>0</v>
      </c>
      <c r="P182" s="257">
        <v>0</v>
      </c>
      <c r="Q182" s="258">
        <v>0</v>
      </c>
    </row>
    <row r="183" spans="1:17">
      <c r="A183" s="256">
        <v>1</v>
      </c>
      <c r="B183" s="256">
        <v>6153813</v>
      </c>
      <c r="C183" s="256">
        <v>615381300</v>
      </c>
      <c r="D183" s="256" t="s">
        <v>734</v>
      </c>
      <c r="E183" s="256" t="s">
        <v>735</v>
      </c>
      <c r="F183" s="256" t="s">
        <v>777</v>
      </c>
      <c r="G183" s="256" t="s">
        <v>93</v>
      </c>
      <c r="H183" s="256"/>
      <c r="I183" s="257">
        <v>274112</v>
      </c>
      <c r="J183" s="257">
        <v>0</v>
      </c>
      <c r="K183" s="257">
        <v>0</v>
      </c>
      <c r="L183" s="257">
        <v>0</v>
      </c>
      <c r="M183" s="257">
        <v>0</v>
      </c>
      <c r="N183" s="257">
        <v>274112</v>
      </c>
      <c r="O183" s="257">
        <v>0</v>
      </c>
      <c r="P183" s="257">
        <v>0</v>
      </c>
      <c r="Q183" s="258">
        <v>0</v>
      </c>
    </row>
    <row r="184" spans="1:17">
      <c r="A184" s="256">
        <v>1</v>
      </c>
      <c r="B184" s="256">
        <v>6153814</v>
      </c>
      <c r="C184" s="256">
        <v>615381400</v>
      </c>
      <c r="D184" s="256" t="s">
        <v>734</v>
      </c>
      <c r="E184" s="256" t="s">
        <v>735</v>
      </c>
      <c r="F184" s="256" t="s">
        <v>777</v>
      </c>
      <c r="G184" s="256" t="s">
        <v>91</v>
      </c>
      <c r="H184" s="256"/>
      <c r="I184" s="257">
        <v>0</v>
      </c>
      <c r="J184" s="257">
        <v>0</v>
      </c>
      <c r="K184" s="257">
        <v>0</v>
      </c>
      <c r="L184" s="257">
        <v>0</v>
      </c>
      <c r="M184" s="257">
        <v>0</v>
      </c>
      <c r="N184" s="257">
        <v>0</v>
      </c>
      <c r="O184" s="257">
        <v>0</v>
      </c>
      <c r="P184" s="257">
        <v>0</v>
      </c>
      <c r="Q184" s="258">
        <v>0</v>
      </c>
    </row>
    <row r="185" spans="1:17">
      <c r="A185" s="256">
        <v>1</v>
      </c>
      <c r="B185" s="256">
        <v>6153815</v>
      </c>
      <c r="C185" s="256">
        <v>615381500</v>
      </c>
      <c r="D185" s="256" t="s">
        <v>734</v>
      </c>
      <c r="E185" s="256" t="s">
        <v>735</v>
      </c>
      <c r="F185" s="256" t="s">
        <v>777</v>
      </c>
      <c r="G185" s="256" t="s">
        <v>89</v>
      </c>
      <c r="H185" s="256"/>
      <c r="I185" s="257">
        <v>0</v>
      </c>
      <c r="J185" s="257">
        <v>0</v>
      </c>
      <c r="K185" s="257">
        <v>0</v>
      </c>
      <c r="L185" s="257">
        <v>0</v>
      </c>
      <c r="M185" s="257">
        <v>0</v>
      </c>
      <c r="N185" s="257">
        <v>0</v>
      </c>
      <c r="O185" s="257">
        <v>0</v>
      </c>
      <c r="P185" s="257">
        <v>0</v>
      </c>
      <c r="Q185" s="258">
        <v>0</v>
      </c>
    </row>
    <row r="186" spans="1:17">
      <c r="A186" s="256">
        <v>1</v>
      </c>
      <c r="B186" s="256">
        <v>6153817</v>
      </c>
      <c r="C186" s="256">
        <v>615381700</v>
      </c>
      <c r="D186" s="256" t="s">
        <v>734</v>
      </c>
      <c r="E186" s="256" t="s">
        <v>735</v>
      </c>
      <c r="F186" s="256" t="s">
        <v>777</v>
      </c>
      <c r="G186" s="256" t="s">
        <v>87</v>
      </c>
      <c r="H186" s="256"/>
      <c r="I186" s="257">
        <v>75214</v>
      </c>
      <c r="J186" s="257">
        <v>0</v>
      </c>
      <c r="K186" s="257">
        <v>0</v>
      </c>
      <c r="L186" s="257">
        <v>0</v>
      </c>
      <c r="M186" s="257">
        <v>0</v>
      </c>
      <c r="N186" s="257">
        <v>75214</v>
      </c>
      <c r="O186" s="257">
        <v>0</v>
      </c>
      <c r="P186" s="257">
        <v>0</v>
      </c>
      <c r="Q186" s="258">
        <v>0</v>
      </c>
    </row>
    <row r="187" spans="1:17">
      <c r="A187" s="256">
        <v>1</v>
      </c>
      <c r="B187" s="256">
        <v>6153819</v>
      </c>
      <c r="C187" s="256">
        <v>615381900</v>
      </c>
      <c r="D187" s="256" t="s">
        <v>734</v>
      </c>
      <c r="E187" s="256" t="s">
        <v>735</v>
      </c>
      <c r="F187" s="256" t="s">
        <v>777</v>
      </c>
      <c r="G187" s="256" t="s">
        <v>85</v>
      </c>
      <c r="H187" s="256"/>
      <c r="I187" s="257">
        <v>1016</v>
      </c>
      <c r="J187" s="257">
        <v>0</v>
      </c>
      <c r="K187" s="257">
        <v>0</v>
      </c>
      <c r="L187" s="257">
        <v>0</v>
      </c>
      <c r="M187" s="257">
        <v>0</v>
      </c>
      <c r="N187" s="257">
        <v>1016</v>
      </c>
      <c r="O187" s="257">
        <v>0</v>
      </c>
      <c r="P187" s="257">
        <v>0</v>
      </c>
      <c r="Q187" s="258">
        <v>0</v>
      </c>
    </row>
    <row r="188" spans="1:17">
      <c r="A188" s="256">
        <v>1</v>
      </c>
      <c r="B188" s="256">
        <v>6153820</v>
      </c>
      <c r="C188" s="256">
        <v>615382000</v>
      </c>
      <c r="D188" s="256" t="s">
        <v>734</v>
      </c>
      <c r="E188" s="256" t="s">
        <v>735</v>
      </c>
      <c r="F188" s="256" t="s">
        <v>777</v>
      </c>
      <c r="G188" s="256" t="s">
        <v>83</v>
      </c>
      <c r="H188" s="256"/>
      <c r="I188" s="257">
        <v>0</v>
      </c>
      <c r="J188" s="257">
        <v>0</v>
      </c>
      <c r="K188" s="257">
        <v>0</v>
      </c>
      <c r="L188" s="257">
        <v>0</v>
      </c>
      <c r="M188" s="257">
        <v>0</v>
      </c>
      <c r="N188" s="257">
        <v>0</v>
      </c>
      <c r="O188" s="257">
        <v>0</v>
      </c>
      <c r="P188" s="257">
        <v>0</v>
      </c>
      <c r="Q188" s="258">
        <v>0</v>
      </c>
    </row>
    <row r="189" spans="1:17">
      <c r="A189" s="256">
        <v>1</v>
      </c>
      <c r="B189" s="256">
        <v>6153821</v>
      </c>
      <c r="C189" s="256">
        <v>615382100</v>
      </c>
      <c r="D189" s="256" t="s">
        <v>734</v>
      </c>
      <c r="E189" s="256" t="s">
        <v>735</v>
      </c>
      <c r="F189" s="256" t="s">
        <v>777</v>
      </c>
      <c r="G189" s="256" t="s">
        <v>81</v>
      </c>
      <c r="H189" s="256"/>
      <c r="I189" s="257">
        <v>5356549</v>
      </c>
      <c r="J189" s="257">
        <v>0</v>
      </c>
      <c r="K189" s="257">
        <v>0</v>
      </c>
      <c r="L189" s="257">
        <v>0</v>
      </c>
      <c r="M189" s="257">
        <v>0</v>
      </c>
      <c r="N189" s="257">
        <v>5356549</v>
      </c>
      <c r="O189" s="257">
        <v>0</v>
      </c>
      <c r="P189" s="257">
        <v>0</v>
      </c>
      <c r="Q189" s="258">
        <v>0</v>
      </c>
    </row>
    <row r="190" spans="1:17">
      <c r="A190" s="256">
        <v>1</v>
      </c>
      <c r="B190" s="256">
        <v>6153823</v>
      </c>
      <c r="C190" s="256">
        <v>615382300</v>
      </c>
      <c r="D190" s="256" t="s">
        <v>734</v>
      </c>
      <c r="E190" s="256" t="s">
        <v>735</v>
      </c>
      <c r="F190" s="256" t="s">
        <v>777</v>
      </c>
      <c r="G190" s="256" t="s">
        <v>79</v>
      </c>
      <c r="H190" s="256"/>
      <c r="I190" s="257">
        <v>0</v>
      </c>
      <c r="J190" s="257">
        <v>0</v>
      </c>
      <c r="K190" s="257">
        <v>0</v>
      </c>
      <c r="L190" s="257">
        <v>0</v>
      </c>
      <c r="M190" s="257">
        <v>0</v>
      </c>
      <c r="N190" s="257">
        <v>0</v>
      </c>
      <c r="O190" s="257">
        <v>0</v>
      </c>
      <c r="P190" s="257">
        <v>0</v>
      </c>
      <c r="Q190" s="258">
        <v>0</v>
      </c>
    </row>
    <row r="191" spans="1:17">
      <c r="A191" s="256">
        <v>1</v>
      </c>
      <c r="B191" s="256">
        <v>6153824</v>
      </c>
      <c r="C191" s="256">
        <v>615382400</v>
      </c>
      <c r="D191" s="256" t="s">
        <v>734</v>
      </c>
      <c r="E191" s="256" t="s">
        <v>735</v>
      </c>
      <c r="F191" s="256" t="s">
        <v>777</v>
      </c>
      <c r="G191" s="256" t="s">
        <v>77</v>
      </c>
      <c r="H191" s="256"/>
      <c r="I191" s="257">
        <v>0</v>
      </c>
      <c r="J191" s="257">
        <v>0</v>
      </c>
      <c r="K191" s="257">
        <v>0</v>
      </c>
      <c r="L191" s="257">
        <v>0</v>
      </c>
      <c r="M191" s="257">
        <v>0</v>
      </c>
      <c r="N191" s="257">
        <v>0</v>
      </c>
      <c r="O191" s="257">
        <v>0</v>
      </c>
      <c r="P191" s="257">
        <v>0</v>
      </c>
      <c r="Q191" s="258">
        <v>0</v>
      </c>
    </row>
    <row r="192" spans="1:17">
      <c r="A192" s="256">
        <v>1</v>
      </c>
      <c r="B192" s="256">
        <v>6153831</v>
      </c>
      <c r="C192" s="256">
        <v>615383100</v>
      </c>
      <c r="D192" s="256" t="s">
        <v>734</v>
      </c>
      <c r="E192" s="256" t="s">
        <v>735</v>
      </c>
      <c r="F192" s="256" t="s">
        <v>777</v>
      </c>
      <c r="G192" s="256" t="s">
        <v>62</v>
      </c>
      <c r="H192" s="256"/>
      <c r="I192" s="257">
        <v>98684</v>
      </c>
      <c r="J192" s="257">
        <v>0</v>
      </c>
      <c r="K192" s="257">
        <v>0</v>
      </c>
      <c r="L192" s="257">
        <v>0</v>
      </c>
      <c r="M192" s="257">
        <v>0</v>
      </c>
      <c r="N192" s="257">
        <v>98684</v>
      </c>
      <c r="O192" s="257">
        <v>0</v>
      </c>
      <c r="P192" s="257">
        <v>0</v>
      </c>
      <c r="Q192" s="258">
        <v>0</v>
      </c>
    </row>
    <row r="193" spans="1:17">
      <c r="A193" s="256">
        <v>1</v>
      </c>
      <c r="B193" s="256">
        <v>6153837</v>
      </c>
      <c r="C193" s="256">
        <v>615383700</v>
      </c>
      <c r="D193" s="256" t="s">
        <v>734</v>
      </c>
      <c r="E193" s="256" t="s">
        <v>735</v>
      </c>
      <c r="F193" s="256" t="s">
        <v>777</v>
      </c>
      <c r="G193" s="256" t="s">
        <v>60</v>
      </c>
      <c r="H193" s="256"/>
      <c r="I193" s="257">
        <v>0</v>
      </c>
      <c r="J193" s="257">
        <v>0</v>
      </c>
      <c r="K193" s="257">
        <v>0</v>
      </c>
      <c r="L193" s="257">
        <v>0</v>
      </c>
      <c r="M193" s="257">
        <v>0</v>
      </c>
      <c r="N193" s="257">
        <v>0</v>
      </c>
      <c r="O193" s="257">
        <v>0</v>
      </c>
      <c r="P193" s="257">
        <v>0</v>
      </c>
      <c r="Q193" s="258">
        <v>0</v>
      </c>
    </row>
    <row r="194" spans="1:17">
      <c r="A194" s="256">
        <v>1</v>
      </c>
      <c r="B194" s="256">
        <v>6153839</v>
      </c>
      <c r="C194" s="256">
        <v>615383900</v>
      </c>
      <c r="D194" s="256" t="s">
        <v>734</v>
      </c>
      <c r="E194" s="256" t="s">
        <v>735</v>
      </c>
      <c r="F194" s="256" t="s">
        <v>777</v>
      </c>
      <c r="G194" s="256" t="s">
        <v>58</v>
      </c>
      <c r="H194" s="256"/>
      <c r="I194" s="257">
        <v>0</v>
      </c>
      <c r="J194" s="257">
        <v>0</v>
      </c>
      <c r="K194" s="257">
        <v>0</v>
      </c>
      <c r="L194" s="257">
        <v>0</v>
      </c>
      <c r="M194" s="257">
        <v>0</v>
      </c>
      <c r="N194" s="257">
        <v>0</v>
      </c>
      <c r="O194" s="257">
        <v>0</v>
      </c>
      <c r="P194" s="257">
        <v>0</v>
      </c>
      <c r="Q194" s="258">
        <v>0</v>
      </c>
    </row>
    <row r="195" spans="1:17">
      <c r="A195" s="256">
        <v>1</v>
      </c>
      <c r="B195" s="256">
        <v>6153840</v>
      </c>
      <c r="C195" s="256">
        <v>615384000</v>
      </c>
      <c r="D195" s="256" t="s">
        <v>734</v>
      </c>
      <c r="E195" s="256" t="s">
        <v>735</v>
      </c>
      <c r="F195" s="256" t="s">
        <v>777</v>
      </c>
      <c r="G195" s="256" t="s">
        <v>56</v>
      </c>
      <c r="H195" s="256"/>
      <c r="I195" s="257">
        <v>0</v>
      </c>
      <c r="J195" s="257">
        <v>0</v>
      </c>
      <c r="K195" s="257">
        <v>0</v>
      </c>
      <c r="L195" s="257">
        <v>0</v>
      </c>
      <c r="M195" s="257">
        <v>0</v>
      </c>
      <c r="N195" s="257">
        <v>0</v>
      </c>
      <c r="O195" s="257">
        <v>0</v>
      </c>
      <c r="P195" s="257">
        <v>0</v>
      </c>
      <c r="Q195" s="258">
        <v>0</v>
      </c>
    </row>
    <row r="196" spans="1:17">
      <c r="A196" s="256">
        <v>1</v>
      </c>
      <c r="B196" s="256">
        <v>6153841</v>
      </c>
      <c r="C196" s="256">
        <v>615384100</v>
      </c>
      <c r="D196" s="256" t="s">
        <v>734</v>
      </c>
      <c r="E196" s="256" t="s">
        <v>735</v>
      </c>
      <c r="F196" s="256" t="s">
        <v>777</v>
      </c>
      <c r="G196" s="256" t="s">
        <v>55</v>
      </c>
      <c r="H196" s="256"/>
      <c r="I196" s="257">
        <v>0</v>
      </c>
      <c r="J196" s="257">
        <v>0</v>
      </c>
      <c r="K196" s="257">
        <v>0</v>
      </c>
      <c r="L196" s="257">
        <v>0</v>
      </c>
      <c r="M196" s="257">
        <v>0</v>
      </c>
      <c r="N196" s="257">
        <v>0</v>
      </c>
      <c r="O196" s="257">
        <v>0</v>
      </c>
      <c r="P196" s="257">
        <v>0</v>
      </c>
      <c r="Q196" s="258">
        <v>0</v>
      </c>
    </row>
    <row r="197" spans="1:17">
      <c r="A197" s="256">
        <v>1</v>
      </c>
      <c r="B197" s="256">
        <v>6153865</v>
      </c>
      <c r="C197" s="256">
        <v>615386500</v>
      </c>
      <c r="D197" s="256" t="s">
        <v>734</v>
      </c>
      <c r="E197" s="256" t="s">
        <v>735</v>
      </c>
      <c r="F197" s="256" t="s">
        <v>777</v>
      </c>
      <c r="G197" s="256" t="s">
        <v>766</v>
      </c>
      <c r="H197" s="256"/>
      <c r="I197" s="257">
        <v>0</v>
      </c>
      <c r="J197" s="257">
        <v>0</v>
      </c>
      <c r="K197" s="257">
        <v>0</v>
      </c>
      <c r="L197" s="257">
        <v>0</v>
      </c>
      <c r="M197" s="257">
        <v>0</v>
      </c>
      <c r="N197" s="257">
        <v>0</v>
      </c>
      <c r="O197" s="257">
        <v>0</v>
      </c>
      <c r="P197" s="257">
        <v>0</v>
      </c>
      <c r="Q197" s="258">
        <v>0</v>
      </c>
    </row>
    <row r="198" spans="1:17">
      <c r="A198" s="256">
        <v>1</v>
      </c>
      <c r="B198" s="256">
        <v>6153869</v>
      </c>
      <c r="C198" s="256">
        <v>615386900</v>
      </c>
      <c r="D198" s="256" t="s">
        <v>734</v>
      </c>
      <c r="E198" s="256" t="s">
        <v>735</v>
      </c>
      <c r="F198" s="256" t="s">
        <v>777</v>
      </c>
      <c r="G198" s="256" t="s">
        <v>767</v>
      </c>
      <c r="H198" s="256"/>
      <c r="I198" s="257">
        <v>0</v>
      </c>
      <c r="J198" s="257">
        <v>0</v>
      </c>
      <c r="K198" s="257">
        <v>0</v>
      </c>
      <c r="L198" s="257">
        <v>0</v>
      </c>
      <c r="M198" s="257">
        <v>0</v>
      </c>
      <c r="N198" s="257">
        <v>0</v>
      </c>
      <c r="O198" s="257">
        <v>0</v>
      </c>
      <c r="P198" s="257">
        <v>0</v>
      </c>
      <c r="Q198" s="258">
        <v>0</v>
      </c>
    </row>
    <row r="199" spans="1:17">
      <c r="A199" s="256">
        <v>1</v>
      </c>
      <c r="B199" s="256">
        <v>6153870</v>
      </c>
      <c r="C199" s="256">
        <v>615387000</v>
      </c>
      <c r="D199" s="256" t="s">
        <v>734</v>
      </c>
      <c r="E199" s="256" t="s">
        <v>735</v>
      </c>
      <c r="F199" s="256" t="s">
        <v>777</v>
      </c>
      <c r="G199" s="256" t="s">
        <v>768</v>
      </c>
      <c r="H199" s="256"/>
      <c r="I199" s="257">
        <v>0</v>
      </c>
      <c r="J199" s="257">
        <v>0</v>
      </c>
      <c r="K199" s="257">
        <v>0</v>
      </c>
      <c r="L199" s="257">
        <v>0</v>
      </c>
      <c r="M199" s="257">
        <v>0</v>
      </c>
      <c r="N199" s="257">
        <v>0</v>
      </c>
      <c r="O199" s="257">
        <v>0</v>
      </c>
      <c r="P199" s="257">
        <v>0</v>
      </c>
      <c r="Q199" s="258">
        <v>0</v>
      </c>
    </row>
    <row r="200" spans="1:17">
      <c r="A200" s="256">
        <v>1</v>
      </c>
      <c r="B200" s="256">
        <v>6153871</v>
      </c>
      <c r="C200" s="256">
        <v>615387100</v>
      </c>
      <c r="D200" s="256" t="s">
        <v>734</v>
      </c>
      <c r="E200" s="256" t="s">
        <v>735</v>
      </c>
      <c r="F200" s="256" t="s">
        <v>777</v>
      </c>
      <c r="G200" s="256" t="s">
        <v>769</v>
      </c>
      <c r="H200" s="256"/>
      <c r="I200" s="257">
        <v>0</v>
      </c>
      <c r="J200" s="257">
        <v>0</v>
      </c>
      <c r="K200" s="257">
        <v>0</v>
      </c>
      <c r="L200" s="257">
        <v>0</v>
      </c>
      <c r="M200" s="257">
        <v>0</v>
      </c>
      <c r="N200" s="257">
        <v>0</v>
      </c>
      <c r="O200" s="257">
        <v>0</v>
      </c>
      <c r="P200" s="257">
        <v>0</v>
      </c>
      <c r="Q200" s="258">
        <v>0</v>
      </c>
    </row>
    <row r="201" spans="1:17">
      <c r="A201" s="256">
        <v>1</v>
      </c>
      <c r="B201" s="256">
        <v>6153872</v>
      </c>
      <c r="C201" s="256">
        <v>615387200</v>
      </c>
      <c r="D201" s="256" t="s">
        <v>734</v>
      </c>
      <c r="E201" s="256" t="s">
        <v>735</v>
      </c>
      <c r="F201" s="256" t="s">
        <v>777</v>
      </c>
      <c r="G201" s="256" t="s">
        <v>770</v>
      </c>
      <c r="H201" s="256"/>
      <c r="I201" s="257">
        <v>0</v>
      </c>
      <c r="J201" s="257">
        <v>0</v>
      </c>
      <c r="K201" s="257">
        <v>0</v>
      </c>
      <c r="L201" s="257">
        <v>0</v>
      </c>
      <c r="M201" s="257">
        <v>0</v>
      </c>
      <c r="N201" s="257">
        <v>0</v>
      </c>
      <c r="O201" s="257">
        <v>0</v>
      </c>
      <c r="P201" s="257">
        <v>0</v>
      </c>
      <c r="Q201" s="258">
        <v>0</v>
      </c>
    </row>
    <row r="202" spans="1:17">
      <c r="A202" s="256">
        <v>1</v>
      </c>
      <c r="B202" s="256">
        <v>6153873</v>
      </c>
      <c r="C202" s="256">
        <v>615387300</v>
      </c>
      <c r="D202" s="256" t="s">
        <v>734</v>
      </c>
      <c r="E202" s="256" t="s">
        <v>735</v>
      </c>
      <c r="F202" s="256" t="s">
        <v>777</v>
      </c>
      <c r="G202" s="256" t="s">
        <v>771</v>
      </c>
      <c r="H202" s="256"/>
      <c r="I202" s="257">
        <v>0</v>
      </c>
      <c r="J202" s="257">
        <v>0</v>
      </c>
      <c r="K202" s="257">
        <v>0</v>
      </c>
      <c r="L202" s="257">
        <v>0</v>
      </c>
      <c r="M202" s="257">
        <v>0</v>
      </c>
      <c r="N202" s="257">
        <v>0</v>
      </c>
      <c r="O202" s="257">
        <v>0</v>
      </c>
      <c r="P202" s="257">
        <v>0</v>
      </c>
      <c r="Q202" s="258">
        <v>0</v>
      </c>
    </row>
    <row r="203" spans="1:17">
      <c r="A203" s="256">
        <v>1</v>
      </c>
      <c r="B203" s="256">
        <v>6153874</v>
      </c>
      <c r="C203" s="256">
        <v>615387400</v>
      </c>
      <c r="D203" s="256" t="s">
        <v>734</v>
      </c>
      <c r="E203" s="256" t="s">
        <v>735</v>
      </c>
      <c r="F203" s="256" t="s">
        <v>777</v>
      </c>
      <c r="G203" s="256" t="s">
        <v>772</v>
      </c>
      <c r="H203" s="256"/>
      <c r="I203" s="257">
        <v>0</v>
      </c>
      <c r="J203" s="257">
        <v>0</v>
      </c>
      <c r="K203" s="257">
        <v>0</v>
      </c>
      <c r="L203" s="257">
        <v>0</v>
      </c>
      <c r="M203" s="257">
        <v>0</v>
      </c>
      <c r="N203" s="257">
        <v>0</v>
      </c>
      <c r="O203" s="257">
        <v>0</v>
      </c>
      <c r="P203" s="257">
        <v>0</v>
      </c>
      <c r="Q203" s="258">
        <v>0</v>
      </c>
    </row>
    <row r="204" spans="1:17">
      <c r="A204" s="256">
        <v>1</v>
      </c>
      <c r="B204" s="256">
        <v>6153875</v>
      </c>
      <c r="C204" s="256">
        <v>615387583</v>
      </c>
      <c r="D204" s="256" t="s">
        <v>734</v>
      </c>
      <c r="E204" s="256" t="s">
        <v>735</v>
      </c>
      <c r="F204" s="256" t="s">
        <v>777</v>
      </c>
      <c r="G204" s="256" t="s">
        <v>773</v>
      </c>
      <c r="H204" s="256" t="s">
        <v>75</v>
      </c>
      <c r="I204" s="257">
        <v>0</v>
      </c>
      <c r="J204" s="257">
        <v>0</v>
      </c>
      <c r="K204" s="257">
        <v>0</v>
      </c>
      <c r="L204" s="257">
        <v>0</v>
      </c>
      <c r="M204" s="257">
        <v>0</v>
      </c>
      <c r="N204" s="257">
        <v>0</v>
      </c>
      <c r="O204" s="257">
        <v>0</v>
      </c>
      <c r="P204" s="257">
        <v>0</v>
      </c>
      <c r="Q204" s="258">
        <v>0</v>
      </c>
    </row>
    <row r="205" spans="1:17">
      <c r="A205" s="256">
        <v>1</v>
      </c>
      <c r="B205" s="256">
        <v>6153875</v>
      </c>
      <c r="C205" s="256">
        <v>615387584</v>
      </c>
      <c r="D205" s="256" t="s">
        <v>734</v>
      </c>
      <c r="E205" s="256" t="s">
        <v>735</v>
      </c>
      <c r="F205" s="256" t="s">
        <v>777</v>
      </c>
      <c r="G205" s="256" t="s">
        <v>773</v>
      </c>
      <c r="H205" s="256" t="s">
        <v>774</v>
      </c>
      <c r="I205" s="257">
        <v>0</v>
      </c>
      <c r="J205" s="257">
        <v>0</v>
      </c>
      <c r="K205" s="257">
        <v>0</v>
      </c>
      <c r="L205" s="257">
        <v>0</v>
      </c>
      <c r="M205" s="257">
        <v>0</v>
      </c>
      <c r="N205" s="257">
        <v>0</v>
      </c>
      <c r="O205" s="257">
        <v>0</v>
      </c>
      <c r="P205" s="257">
        <v>0</v>
      </c>
      <c r="Q205" s="258">
        <v>0</v>
      </c>
    </row>
    <row r="206" spans="1:17">
      <c r="A206" s="256">
        <v>1</v>
      </c>
      <c r="B206" s="256">
        <v>6153875</v>
      </c>
      <c r="C206" s="256">
        <v>615387585</v>
      </c>
      <c r="D206" s="256" t="s">
        <v>734</v>
      </c>
      <c r="E206" s="256" t="s">
        <v>735</v>
      </c>
      <c r="F206" s="256" t="s">
        <v>777</v>
      </c>
      <c r="G206" s="256" t="s">
        <v>773</v>
      </c>
      <c r="H206" s="256" t="s">
        <v>775</v>
      </c>
      <c r="I206" s="257">
        <v>0</v>
      </c>
      <c r="J206" s="257">
        <v>0</v>
      </c>
      <c r="K206" s="257">
        <v>0</v>
      </c>
      <c r="L206" s="257">
        <v>0</v>
      </c>
      <c r="M206" s="257">
        <v>0</v>
      </c>
      <c r="N206" s="257">
        <v>0</v>
      </c>
      <c r="O206" s="257">
        <v>0</v>
      </c>
      <c r="P206" s="257">
        <v>0</v>
      </c>
      <c r="Q206" s="258">
        <v>0</v>
      </c>
    </row>
    <row r="207" spans="1:17">
      <c r="A207" s="256">
        <v>1</v>
      </c>
      <c r="B207" s="256">
        <v>6153875</v>
      </c>
      <c r="C207" s="256">
        <v>615387586</v>
      </c>
      <c r="D207" s="256" t="s">
        <v>734</v>
      </c>
      <c r="E207" s="256" t="s">
        <v>735</v>
      </c>
      <c r="F207" s="256" t="s">
        <v>777</v>
      </c>
      <c r="G207" s="256" t="s">
        <v>773</v>
      </c>
      <c r="H207" s="256" t="s">
        <v>776</v>
      </c>
      <c r="I207" s="257">
        <v>0</v>
      </c>
      <c r="J207" s="257">
        <v>0</v>
      </c>
      <c r="K207" s="257">
        <v>0</v>
      </c>
      <c r="L207" s="257">
        <v>0</v>
      </c>
      <c r="M207" s="257">
        <v>0</v>
      </c>
      <c r="N207" s="257">
        <v>0</v>
      </c>
      <c r="O207" s="257">
        <v>0</v>
      </c>
      <c r="P207" s="257">
        <v>0</v>
      </c>
      <c r="Q207" s="258">
        <v>0</v>
      </c>
    </row>
    <row r="208" spans="1:17">
      <c r="A208" s="256">
        <v>1</v>
      </c>
      <c r="B208" s="256">
        <v>6153875</v>
      </c>
      <c r="C208" s="256">
        <v>615387587</v>
      </c>
      <c r="D208" s="256" t="s">
        <v>734</v>
      </c>
      <c r="E208" s="256" t="s">
        <v>735</v>
      </c>
      <c r="F208" s="256" t="s">
        <v>777</v>
      </c>
      <c r="G208" s="256" t="s">
        <v>773</v>
      </c>
      <c r="H208" s="256" t="s">
        <v>665</v>
      </c>
      <c r="I208" s="257">
        <v>0</v>
      </c>
      <c r="J208" s="257">
        <v>0</v>
      </c>
      <c r="K208" s="257">
        <v>0</v>
      </c>
      <c r="L208" s="257">
        <v>0</v>
      </c>
      <c r="M208" s="257">
        <v>0</v>
      </c>
      <c r="N208" s="257">
        <v>0</v>
      </c>
      <c r="O208" s="257">
        <v>0</v>
      </c>
      <c r="P208" s="257">
        <v>0</v>
      </c>
      <c r="Q208" s="258">
        <v>0</v>
      </c>
    </row>
    <row r="209" spans="1:17">
      <c r="A209" s="256">
        <v>1</v>
      </c>
      <c r="B209" s="256">
        <v>6154075</v>
      </c>
      <c r="C209" s="256">
        <v>615407583</v>
      </c>
      <c r="D209" s="256" t="s">
        <v>734</v>
      </c>
      <c r="E209" s="256" t="s">
        <v>735</v>
      </c>
      <c r="F209" s="256" t="s">
        <v>778</v>
      </c>
      <c r="G209" s="256" t="s">
        <v>773</v>
      </c>
      <c r="H209" s="256" t="s">
        <v>75</v>
      </c>
      <c r="I209" s="257">
        <v>0</v>
      </c>
      <c r="J209" s="257">
        <v>0</v>
      </c>
      <c r="K209" s="257">
        <v>0</v>
      </c>
      <c r="L209" s="257">
        <v>0</v>
      </c>
      <c r="M209" s="257">
        <v>0</v>
      </c>
      <c r="N209" s="257">
        <v>0</v>
      </c>
      <c r="O209" s="257">
        <v>0</v>
      </c>
      <c r="P209" s="257">
        <v>0</v>
      </c>
      <c r="Q209" s="258">
        <v>0</v>
      </c>
    </row>
    <row r="210" spans="1:17">
      <c r="A210" s="256">
        <v>1</v>
      </c>
      <c r="B210" s="256">
        <v>6154075</v>
      </c>
      <c r="C210" s="256">
        <v>615407584</v>
      </c>
      <c r="D210" s="256" t="s">
        <v>734</v>
      </c>
      <c r="E210" s="256" t="s">
        <v>735</v>
      </c>
      <c r="F210" s="256" t="s">
        <v>778</v>
      </c>
      <c r="G210" s="256" t="s">
        <v>773</v>
      </c>
      <c r="H210" s="256" t="s">
        <v>774</v>
      </c>
      <c r="I210" s="257">
        <v>0</v>
      </c>
      <c r="J210" s="257">
        <v>0</v>
      </c>
      <c r="K210" s="257">
        <v>0</v>
      </c>
      <c r="L210" s="257">
        <v>0</v>
      </c>
      <c r="M210" s="257">
        <v>0</v>
      </c>
      <c r="N210" s="257">
        <v>0</v>
      </c>
      <c r="O210" s="257">
        <v>0</v>
      </c>
      <c r="P210" s="257">
        <v>0</v>
      </c>
      <c r="Q210" s="258">
        <v>0</v>
      </c>
    </row>
    <row r="211" spans="1:17">
      <c r="A211" s="256">
        <v>1</v>
      </c>
      <c r="B211" s="256">
        <v>6154075</v>
      </c>
      <c r="C211" s="256">
        <v>615407585</v>
      </c>
      <c r="D211" s="256" t="s">
        <v>734</v>
      </c>
      <c r="E211" s="256" t="s">
        <v>735</v>
      </c>
      <c r="F211" s="256" t="s">
        <v>778</v>
      </c>
      <c r="G211" s="256" t="s">
        <v>773</v>
      </c>
      <c r="H211" s="256" t="s">
        <v>775</v>
      </c>
      <c r="I211" s="257">
        <v>0</v>
      </c>
      <c r="J211" s="257">
        <v>0</v>
      </c>
      <c r="K211" s="257">
        <v>0</v>
      </c>
      <c r="L211" s="257">
        <v>0</v>
      </c>
      <c r="M211" s="257">
        <v>0</v>
      </c>
      <c r="N211" s="257">
        <v>0</v>
      </c>
      <c r="O211" s="257">
        <v>0</v>
      </c>
      <c r="P211" s="257">
        <v>0</v>
      </c>
      <c r="Q211" s="258">
        <v>0</v>
      </c>
    </row>
    <row r="212" spans="1:17">
      <c r="A212" s="256">
        <v>1</v>
      </c>
      <c r="B212" s="256">
        <v>6154075</v>
      </c>
      <c r="C212" s="256">
        <v>615407586</v>
      </c>
      <c r="D212" s="256" t="s">
        <v>734</v>
      </c>
      <c r="E212" s="256" t="s">
        <v>735</v>
      </c>
      <c r="F212" s="256" t="s">
        <v>778</v>
      </c>
      <c r="G212" s="256" t="s">
        <v>773</v>
      </c>
      <c r="H212" s="256" t="s">
        <v>776</v>
      </c>
      <c r="I212" s="257">
        <v>0</v>
      </c>
      <c r="J212" s="257">
        <v>0</v>
      </c>
      <c r="K212" s="257">
        <v>0</v>
      </c>
      <c r="L212" s="257">
        <v>0</v>
      </c>
      <c r="M212" s="257">
        <v>0</v>
      </c>
      <c r="N212" s="257">
        <v>0</v>
      </c>
      <c r="O212" s="257">
        <v>0</v>
      </c>
      <c r="P212" s="257">
        <v>0</v>
      </c>
      <c r="Q212" s="258">
        <v>0</v>
      </c>
    </row>
    <row r="213" spans="1:17">
      <c r="A213" s="256">
        <v>1</v>
      </c>
      <c r="B213" s="256">
        <v>6154075</v>
      </c>
      <c r="C213" s="256">
        <v>615407587</v>
      </c>
      <c r="D213" s="256" t="s">
        <v>734</v>
      </c>
      <c r="E213" s="256" t="s">
        <v>735</v>
      </c>
      <c r="F213" s="256" t="s">
        <v>778</v>
      </c>
      <c r="G213" s="256" t="s">
        <v>773</v>
      </c>
      <c r="H213" s="256" t="s">
        <v>665</v>
      </c>
      <c r="I213" s="257">
        <v>0</v>
      </c>
      <c r="J213" s="257">
        <v>0</v>
      </c>
      <c r="K213" s="257">
        <v>0</v>
      </c>
      <c r="L213" s="257">
        <v>0</v>
      </c>
      <c r="M213" s="257">
        <v>0</v>
      </c>
      <c r="N213" s="257">
        <v>0</v>
      </c>
      <c r="O213" s="257">
        <v>0</v>
      </c>
      <c r="P213" s="257">
        <v>0</v>
      </c>
      <c r="Q213" s="258">
        <v>0</v>
      </c>
    </row>
    <row r="214" spans="1:17">
      <c r="A214" s="256">
        <v>1</v>
      </c>
      <c r="B214" s="256">
        <v>6154201</v>
      </c>
      <c r="C214" s="256">
        <v>615420102</v>
      </c>
      <c r="D214" s="256" t="s">
        <v>734</v>
      </c>
      <c r="E214" s="256" t="s">
        <v>735</v>
      </c>
      <c r="F214" s="256" t="s">
        <v>779</v>
      </c>
      <c r="G214" s="256" t="s">
        <v>112</v>
      </c>
      <c r="H214" s="256" t="s">
        <v>737</v>
      </c>
      <c r="I214" s="257">
        <v>0</v>
      </c>
      <c r="J214" s="257">
        <v>0</v>
      </c>
      <c r="K214" s="257">
        <v>0</v>
      </c>
      <c r="L214" s="257">
        <v>0</v>
      </c>
      <c r="M214" s="257">
        <v>0</v>
      </c>
      <c r="N214" s="257">
        <v>0</v>
      </c>
      <c r="O214" s="257">
        <v>0</v>
      </c>
      <c r="P214" s="257">
        <v>0</v>
      </c>
      <c r="Q214" s="258">
        <v>0</v>
      </c>
    </row>
    <row r="215" spans="1:17">
      <c r="A215" s="256">
        <v>1</v>
      </c>
      <c r="B215" s="256">
        <v>6154201</v>
      </c>
      <c r="C215" s="256">
        <v>615420103</v>
      </c>
      <c r="D215" s="256" t="s">
        <v>734</v>
      </c>
      <c r="E215" s="256" t="s">
        <v>735</v>
      </c>
      <c r="F215" s="256" t="s">
        <v>779</v>
      </c>
      <c r="G215" s="256" t="s">
        <v>112</v>
      </c>
      <c r="H215" s="256" t="s">
        <v>738</v>
      </c>
      <c r="I215" s="257">
        <v>0</v>
      </c>
      <c r="J215" s="257">
        <v>0</v>
      </c>
      <c r="K215" s="257">
        <v>0</v>
      </c>
      <c r="L215" s="257">
        <v>0</v>
      </c>
      <c r="M215" s="257">
        <v>0</v>
      </c>
      <c r="N215" s="257">
        <v>0</v>
      </c>
      <c r="O215" s="257">
        <v>0</v>
      </c>
      <c r="P215" s="257">
        <v>0</v>
      </c>
      <c r="Q215" s="258">
        <v>0</v>
      </c>
    </row>
    <row r="216" spans="1:17">
      <c r="A216" s="256">
        <v>1</v>
      </c>
      <c r="B216" s="256">
        <v>6154201</v>
      </c>
      <c r="C216" s="256">
        <v>615420104</v>
      </c>
      <c r="D216" s="256" t="s">
        <v>734</v>
      </c>
      <c r="E216" s="256" t="s">
        <v>735</v>
      </c>
      <c r="F216" s="256" t="s">
        <v>779</v>
      </c>
      <c r="G216" s="256" t="s">
        <v>112</v>
      </c>
      <c r="H216" s="256" t="s">
        <v>739</v>
      </c>
      <c r="I216" s="257">
        <v>0</v>
      </c>
      <c r="J216" s="257">
        <v>0</v>
      </c>
      <c r="K216" s="257">
        <v>0</v>
      </c>
      <c r="L216" s="257">
        <v>0</v>
      </c>
      <c r="M216" s="257">
        <v>0</v>
      </c>
      <c r="N216" s="257">
        <v>0</v>
      </c>
      <c r="O216" s="257">
        <v>0</v>
      </c>
      <c r="P216" s="257">
        <v>0</v>
      </c>
      <c r="Q216" s="258">
        <v>0</v>
      </c>
    </row>
    <row r="217" spans="1:17">
      <c r="A217" s="236">
        <v>1</v>
      </c>
      <c r="B217" s="236">
        <v>6154201</v>
      </c>
      <c r="C217" s="236">
        <v>615420105</v>
      </c>
      <c r="D217" s="236" t="s">
        <v>734</v>
      </c>
      <c r="E217" s="236" t="s">
        <v>735</v>
      </c>
      <c r="F217" s="236" t="s">
        <v>779</v>
      </c>
      <c r="G217" s="236" t="s">
        <v>112</v>
      </c>
      <c r="H217" s="236" t="s">
        <v>740</v>
      </c>
      <c r="I217" s="257">
        <v>0</v>
      </c>
      <c r="J217" s="257">
        <v>0</v>
      </c>
      <c r="K217" s="257">
        <v>0</v>
      </c>
      <c r="L217" s="257">
        <v>0</v>
      </c>
      <c r="M217" s="257">
        <v>0</v>
      </c>
      <c r="N217" s="257">
        <v>0</v>
      </c>
      <c r="O217" s="257">
        <v>0</v>
      </c>
      <c r="P217" s="257">
        <v>0</v>
      </c>
      <c r="Q217" s="258">
        <v>0</v>
      </c>
    </row>
    <row r="218" spans="1:17">
      <c r="A218" s="256">
        <v>1</v>
      </c>
      <c r="B218" s="256">
        <v>6154202</v>
      </c>
      <c r="C218" s="256">
        <v>615420202</v>
      </c>
      <c r="D218" s="256" t="s">
        <v>734</v>
      </c>
      <c r="E218" s="256" t="s">
        <v>735</v>
      </c>
      <c r="F218" s="256" t="s">
        <v>779</v>
      </c>
      <c r="G218" s="256" t="s">
        <v>110</v>
      </c>
      <c r="H218" s="256" t="s">
        <v>741</v>
      </c>
      <c r="I218" s="257">
        <v>67726400</v>
      </c>
      <c r="J218" s="257">
        <v>0</v>
      </c>
      <c r="K218" s="257">
        <v>0</v>
      </c>
      <c r="L218" s="257">
        <v>0</v>
      </c>
      <c r="M218" s="257">
        <v>0</v>
      </c>
      <c r="N218" s="257">
        <v>0</v>
      </c>
      <c r="O218" s="257">
        <v>0</v>
      </c>
      <c r="P218" s="257">
        <v>67726400</v>
      </c>
      <c r="Q218" s="258">
        <v>0</v>
      </c>
    </row>
    <row r="219" spans="1:17">
      <c r="A219" s="256">
        <v>1</v>
      </c>
      <c r="B219" s="256">
        <v>6154203</v>
      </c>
      <c r="C219" s="256">
        <v>615420301</v>
      </c>
      <c r="D219" s="256" t="s">
        <v>734</v>
      </c>
      <c r="E219" s="256" t="s">
        <v>735</v>
      </c>
      <c r="F219" s="256" t="s">
        <v>779</v>
      </c>
      <c r="G219" s="256" t="s">
        <v>108</v>
      </c>
      <c r="H219" s="256" t="s">
        <v>742</v>
      </c>
      <c r="I219" s="257">
        <v>7045640</v>
      </c>
      <c r="J219" s="257">
        <v>0</v>
      </c>
      <c r="K219" s="257">
        <v>0</v>
      </c>
      <c r="L219" s="257">
        <v>0</v>
      </c>
      <c r="M219" s="257">
        <v>0</v>
      </c>
      <c r="N219" s="257">
        <v>0</v>
      </c>
      <c r="O219" s="257">
        <v>0</v>
      </c>
      <c r="P219" s="257">
        <v>7045640</v>
      </c>
      <c r="Q219" s="258">
        <v>0</v>
      </c>
    </row>
    <row r="220" spans="1:17">
      <c r="A220" s="256">
        <v>1</v>
      </c>
      <c r="B220" s="256">
        <v>6154203</v>
      </c>
      <c r="C220" s="256">
        <v>615420302</v>
      </c>
      <c r="D220" s="256" t="s">
        <v>734</v>
      </c>
      <c r="E220" s="256" t="s">
        <v>735</v>
      </c>
      <c r="F220" s="256" t="s">
        <v>779</v>
      </c>
      <c r="G220" s="256" t="s">
        <v>108</v>
      </c>
      <c r="H220" s="256" t="s">
        <v>743</v>
      </c>
      <c r="I220" s="257">
        <v>1964400</v>
      </c>
      <c r="J220" s="257">
        <v>0</v>
      </c>
      <c r="K220" s="257">
        <v>0</v>
      </c>
      <c r="L220" s="257">
        <v>0</v>
      </c>
      <c r="M220" s="257">
        <v>0</v>
      </c>
      <c r="N220" s="257">
        <v>0</v>
      </c>
      <c r="O220" s="257">
        <v>0</v>
      </c>
      <c r="P220" s="257">
        <v>1964400</v>
      </c>
      <c r="Q220" s="258">
        <v>0</v>
      </c>
    </row>
    <row r="221" spans="1:17">
      <c r="A221" s="256">
        <v>1</v>
      </c>
      <c r="B221" s="256">
        <v>6154203</v>
      </c>
      <c r="C221" s="256">
        <v>615420303</v>
      </c>
      <c r="D221" s="256" t="s">
        <v>734</v>
      </c>
      <c r="E221" s="256" t="s">
        <v>735</v>
      </c>
      <c r="F221" s="256" t="s">
        <v>779</v>
      </c>
      <c r="G221" s="256" t="s">
        <v>108</v>
      </c>
      <c r="H221" s="256" t="s">
        <v>744</v>
      </c>
      <c r="I221" s="257">
        <v>29010974</v>
      </c>
      <c r="J221" s="257">
        <v>0</v>
      </c>
      <c r="K221" s="257">
        <v>0</v>
      </c>
      <c r="L221" s="257">
        <v>0</v>
      </c>
      <c r="M221" s="257">
        <v>0</v>
      </c>
      <c r="N221" s="257">
        <v>0</v>
      </c>
      <c r="O221" s="257">
        <v>0</v>
      </c>
      <c r="P221" s="257">
        <v>29010974</v>
      </c>
      <c r="Q221" s="258">
        <v>0</v>
      </c>
    </row>
    <row r="222" spans="1:17">
      <c r="A222" s="256">
        <v>1</v>
      </c>
      <c r="B222" s="256">
        <v>6154203</v>
      </c>
      <c r="C222" s="256">
        <v>615420304</v>
      </c>
      <c r="D222" s="256" t="s">
        <v>734</v>
      </c>
      <c r="E222" s="256" t="s">
        <v>735</v>
      </c>
      <c r="F222" s="256" t="s">
        <v>779</v>
      </c>
      <c r="G222" s="256" t="s">
        <v>108</v>
      </c>
      <c r="H222" s="256" t="s">
        <v>745</v>
      </c>
      <c r="I222" s="257">
        <v>2482140</v>
      </c>
      <c r="J222" s="257">
        <v>0</v>
      </c>
      <c r="K222" s="257">
        <v>0</v>
      </c>
      <c r="L222" s="257">
        <v>0</v>
      </c>
      <c r="M222" s="257">
        <v>0</v>
      </c>
      <c r="N222" s="257">
        <v>2482140</v>
      </c>
      <c r="O222" s="257">
        <v>0</v>
      </c>
      <c r="P222" s="257">
        <v>0</v>
      </c>
      <c r="Q222" s="258">
        <v>0</v>
      </c>
    </row>
    <row r="223" spans="1:17">
      <c r="A223" s="256">
        <v>1</v>
      </c>
      <c r="B223" s="256">
        <v>6154203</v>
      </c>
      <c r="C223" s="256">
        <v>615420305</v>
      </c>
      <c r="D223" s="256" t="s">
        <v>734</v>
      </c>
      <c r="E223" s="256" t="s">
        <v>735</v>
      </c>
      <c r="F223" s="256" t="s">
        <v>779</v>
      </c>
      <c r="G223" s="256" t="s">
        <v>108</v>
      </c>
      <c r="H223" s="256" t="s">
        <v>746</v>
      </c>
      <c r="I223" s="257">
        <v>765600</v>
      </c>
      <c r="J223" s="257">
        <v>0</v>
      </c>
      <c r="K223" s="257">
        <v>0</v>
      </c>
      <c r="L223" s="257">
        <v>0</v>
      </c>
      <c r="M223" s="257">
        <v>0</v>
      </c>
      <c r="N223" s="257">
        <v>0</v>
      </c>
      <c r="O223" s="257">
        <v>0</v>
      </c>
      <c r="P223" s="257">
        <v>765600</v>
      </c>
      <c r="Q223" s="258">
        <v>0</v>
      </c>
    </row>
    <row r="224" spans="1:17">
      <c r="A224" s="256">
        <v>1</v>
      </c>
      <c r="B224" s="256">
        <v>6154203</v>
      </c>
      <c r="C224" s="256">
        <v>615420306</v>
      </c>
      <c r="D224" s="256" t="s">
        <v>734</v>
      </c>
      <c r="E224" s="256" t="s">
        <v>735</v>
      </c>
      <c r="F224" s="256" t="s">
        <v>779</v>
      </c>
      <c r="G224" s="256" t="s">
        <v>108</v>
      </c>
      <c r="H224" s="256" t="s">
        <v>747</v>
      </c>
      <c r="I224" s="257">
        <v>0</v>
      </c>
      <c r="J224" s="257">
        <v>0</v>
      </c>
      <c r="K224" s="257">
        <v>0</v>
      </c>
      <c r="L224" s="257">
        <v>0</v>
      </c>
      <c r="M224" s="257">
        <v>0</v>
      </c>
      <c r="N224" s="257">
        <v>0</v>
      </c>
      <c r="O224" s="257">
        <v>0</v>
      </c>
      <c r="P224" s="257">
        <v>0</v>
      </c>
      <c r="Q224" s="258">
        <v>0</v>
      </c>
    </row>
    <row r="225" spans="1:17">
      <c r="A225" s="256">
        <v>1</v>
      </c>
      <c r="B225" s="256">
        <v>6154203</v>
      </c>
      <c r="C225" s="256">
        <v>615420307</v>
      </c>
      <c r="D225" s="256" t="s">
        <v>734</v>
      </c>
      <c r="E225" s="256" t="s">
        <v>735</v>
      </c>
      <c r="F225" s="256" t="s">
        <v>779</v>
      </c>
      <c r="G225" s="256" t="s">
        <v>108</v>
      </c>
      <c r="H225" s="256" t="s">
        <v>748</v>
      </c>
      <c r="I225" s="257">
        <v>62880</v>
      </c>
      <c r="J225" s="257">
        <v>0</v>
      </c>
      <c r="K225" s="257">
        <v>0</v>
      </c>
      <c r="L225" s="257">
        <v>0</v>
      </c>
      <c r="M225" s="257">
        <v>0</v>
      </c>
      <c r="N225" s="257">
        <v>0</v>
      </c>
      <c r="O225" s="257">
        <v>0</v>
      </c>
      <c r="P225" s="257">
        <v>62880</v>
      </c>
      <c r="Q225" s="258">
        <v>0</v>
      </c>
    </row>
    <row r="226" spans="1:17">
      <c r="A226" s="256">
        <v>1</v>
      </c>
      <c r="B226" s="256">
        <v>6154203</v>
      </c>
      <c r="C226" s="256">
        <v>615420310</v>
      </c>
      <c r="D226" s="256" t="s">
        <v>734</v>
      </c>
      <c r="E226" s="256" t="s">
        <v>735</v>
      </c>
      <c r="F226" s="256" t="s">
        <v>779</v>
      </c>
      <c r="G226" s="256" t="s">
        <v>108</v>
      </c>
      <c r="H226" s="256" t="s">
        <v>749</v>
      </c>
      <c r="I226" s="257">
        <v>11610729</v>
      </c>
      <c r="J226" s="257">
        <v>0</v>
      </c>
      <c r="K226" s="257">
        <v>0</v>
      </c>
      <c r="L226" s="257">
        <v>0</v>
      </c>
      <c r="M226" s="257">
        <v>0</v>
      </c>
      <c r="N226" s="257">
        <v>0</v>
      </c>
      <c r="O226" s="257">
        <v>0</v>
      </c>
      <c r="P226" s="257">
        <v>11610729</v>
      </c>
      <c r="Q226" s="258">
        <v>0</v>
      </c>
    </row>
    <row r="227" spans="1:17">
      <c r="A227" s="256">
        <v>1</v>
      </c>
      <c r="B227" s="256">
        <v>6154203</v>
      </c>
      <c r="C227" s="256">
        <v>615420311</v>
      </c>
      <c r="D227" s="256" t="s">
        <v>734</v>
      </c>
      <c r="E227" s="256" t="s">
        <v>735</v>
      </c>
      <c r="F227" s="256" t="s">
        <v>779</v>
      </c>
      <c r="G227" s="256" t="s">
        <v>108</v>
      </c>
      <c r="H227" s="256" t="s">
        <v>750</v>
      </c>
      <c r="I227" s="257">
        <v>0</v>
      </c>
      <c r="J227" s="257">
        <v>0</v>
      </c>
      <c r="K227" s="257">
        <v>0</v>
      </c>
      <c r="L227" s="257">
        <v>0</v>
      </c>
      <c r="M227" s="257">
        <v>0</v>
      </c>
      <c r="N227" s="257">
        <v>0</v>
      </c>
      <c r="O227" s="257">
        <v>0</v>
      </c>
      <c r="P227" s="257">
        <v>0</v>
      </c>
      <c r="Q227" s="258">
        <v>0</v>
      </c>
    </row>
    <row r="228" spans="1:17">
      <c r="A228" s="256">
        <v>1</v>
      </c>
      <c r="B228" s="256">
        <v>6154203</v>
      </c>
      <c r="C228" s="256">
        <v>615420314</v>
      </c>
      <c r="D228" s="256" t="s">
        <v>734</v>
      </c>
      <c r="E228" s="256" t="s">
        <v>735</v>
      </c>
      <c r="F228" s="256" t="s">
        <v>779</v>
      </c>
      <c r="G228" s="256" t="s">
        <v>108</v>
      </c>
      <c r="H228" s="256" t="s">
        <v>751</v>
      </c>
      <c r="I228" s="257">
        <v>2861400</v>
      </c>
      <c r="J228" s="257">
        <v>0</v>
      </c>
      <c r="K228" s="257">
        <v>0</v>
      </c>
      <c r="L228" s="257">
        <v>0</v>
      </c>
      <c r="M228" s="257">
        <v>0</v>
      </c>
      <c r="N228" s="257">
        <v>0</v>
      </c>
      <c r="O228" s="257">
        <v>0</v>
      </c>
      <c r="P228" s="257">
        <v>2861400</v>
      </c>
      <c r="Q228" s="258">
        <v>0</v>
      </c>
    </row>
    <row r="229" spans="1:17">
      <c r="A229" s="256">
        <v>1</v>
      </c>
      <c r="B229" s="256">
        <v>6154203</v>
      </c>
      <c r="C229" s="256">
        <v>615420315</v>
      </c>
      <c r="D229" s="256" t="s">
        <v>734</v>
      </c>
      <c r="E229" s="256" t="s">
        <v>735</v>
      </c>
      <c r="F229" s="256" t="s">
        <v>779</v>
      </c>
      <c r="G229" s="256" t="s">
        <v>108</v>
      </c>
      <c r="H229" s="256" t="s">
        <v>752</v>
      </c>
      <c r="I229" s="257">
        <v>480000</v>
      </c>
      <c r="J229" s="257">
        <v>0</v>
      </c>
      <c r="K229" s="257">
        <v>0</v>
      </c>
      <c r="L229" s="257">
        <v>0</v>
      </c>
      <c r="M229" s="257">
        <v>0</v>
      </c>
      <c r="N229" s="257">
        <v>0</v>
      </c>
      <c r="O229" s="257">
        <v>0</v>
      </c>
      <c r="P229" s="257">
        <v>480000</v>
      </c>
      <c r="Q229" s="258">
        <v>0</v>
      </c>
    </row>
    <row r="230" spans="1:17">
      <c r="A230" s="256">
        <v>1</v>
      </c>
      <c r="B230" s="256">
        <v>6154204</v>
      </c>
      <c r="C230" s="256">
        <v>615420401</v>
      </c>
      <c r="D230" s="256" t="s">
        <v>734</v>
      </c>
      <c r="E230" s="256" t="s">
        <v>735</v>
      </c>
      <c r="F230" s="256" t="s">
        <v>779</v>
      </c>
      <c r="G230" s="256" t="s">
        <v>106</v>
      </c>
      <c r="H230" s="256" t="s">
        <v>755</v>
      </c>
      <c r="I230" s="257">
        <v>17996187</v>
      </c>
      <c r="J230" s="257">
        <v>0</v>
      </c>
      <c r="K230" s="257">
        <v>0</v>
      </c>
      <c r="L230" s="257">
        <v>0</v>
      </c>
      <c r="M230" s="257">
        <v>0</v>
      </c>
      <c r="N230" s="257">
        <v>0</v>
      </c>
      <c r="O230" s="257">
        <v>17996187</v>
      </c>
      <c r="P230" s="257">
        <v>0</v>
      </c>
      <c r="Q230" s="258">
        <v>0</v>
      </c>
    </row>
    <row r="231" spans="1:17">
      <c r="A231" s="256">
        <v>1</v>
      </c>
      <c r="B231" s="256">
        <v>6154204</v>
      </c>
      <c r="C231" s="256">
        <v>615420402</v>
      </c>
      <c r="D231" s="256" t="s">
        <v>734</v>
      </c>
      <c r="E231" s="256" t="s">
        <v>735</v>
      </c>
      <c r="F231" s="256" t="s">
        <v>779</v>
      </c>
      <c r="G231" s="256" t="s">
        <v>106</v>
      </c>
      <c r="H231" s="256" t="s">
        <v>756</v>
      </c>
      <c r="I231" s="257">
        <v>101588</v>
      </c>
      <c r="J231" s="257">
        <v>0</v>
      </c>
      <c r="K231" s="257">
        <v>0</v>
      </c>
      <c r="L231" s="257">
        <v>0</v>
      </c>
      <c r="M231" s="257">
        <v>0</v>
      </c>
      <c r="N231" s="257">
        <v>0</v>
      </c>
      <c r="O231" s="257">
        <v>0</v>
      </c>
      <c r="P231" s="257">
        <v>101588</v>
      </c>
      <c r="Q231" s="258">
        <v>0</v>
      </c>
    </row>
    <row r="232" spans="1:17">
      <c r="A232" s="256">
        <v>1</v>
      </c>
      <c r="B232" s="256">
        <v>6154204</v>
      </c>
      <c r="C232" s="256">
        <v>615420403</v>
      </c>
      <c r="D232" s="256" t="s">
        <v>734</v>
      </c>
      <c r="E232" s="256" t="s">
        <v>735</v>
      </c>
      <c r="F232" s="256" t="s">
        <v>779</v>
      </c>
      <c r="G232" s="256" t="s">
        <v>106</v>
      </c>
      <c r="H232" s="256" t="s">
        <v>757</v>
      </c>
      <c r="I232" s="257">
        <v>0</v>
      </c>
      <c r="J232" s="257">
        <v>0</v>
      </c>
      <c r="K232" s="257">
        <v>0</v>
      </c>
      <c r="L232" s="257">
        <v>0</v>
      </c>
      <c r="M232" s="257">
        <v>0</v>
      </c>
      <c r="N232" s="257">
        <v>0</v>
      </c>
      <c r="O232" s="257">
        <v>0</v>
      </c>
      <c r="P232" s="257">
        <v>0</v>
      </c>
      <c r="Q232" s="258">
        <v>0</v>
      </c>
    </row>
    <row r="233" spans="1:17">
      <c r="A233" s="256">
        <v>1</v>
      </c>
      <c r="B233" s="256">
        <v>6154204</v>
      </c>
      <c r="C233" s="256">
        <v>615420405</v>
      </c>
      <c r="D233" s="256" t="s">
        <v>734</v>
      </c>
      <c r="E233" s="256" t="s">
        <v>735</v>
      </c>
      <c r="F233" s="256" t="s">
        <v>779</v>
      </c>
      <c r="G233" s="256" t="s">
        <v>106</v>
      </c>
      <c r="H233" s="256" t="s">
        <v>758</v>
      </c>
      <c r="I233" s="257">
        <v>0</v>
      </c>
      <c r="J233" s="257">
        <v>0</v>
      </c>
      <c r="K233" s="257">
        <v>0</v>
      </c>
      <c r="L233" s="257">
        <v>0</v>
      </c>
      <c r="M233" s="257">
        <v>0</v>
      </c>
      <c r="N233" s="257">
        <v>0</v>
      </c>
      <c r="O233" s="257">
        <v>0</v>
      </c>
      <c r="P233" s="257">
        <v>0</v>
      </c>
      <c r="Q233" s="258">
        <v>0</v>
      </c>
    </row>
    <row r="234" spans="1:17">
      <c r="A234" s="256">
        <v>1</v>
      </c>
      <c r="B234" s="256">
        <v>6154204</v>
      </c>
      <c r="C234" s="256">
        <v>615420406</v>
      </c>
      <c r="D234" s="256" t="s">
        <v>734</v>
      </c>
      <c r="E234" s="256" t="s">
        <v>735</v>
      </c>
      <c r="F234" s="256" t="s">
        <v>779</v>
      </c>
      <c r="G234" s="256" t="s">
        <v>106</v>
      </c>
      <c r="H234" s="256" t="s">
        <v>759</v>
      </c>
      <c r="I234" s="257">
        <v>77742</v>
      </c>
      <c r="J234" s="257">
        <v>0</v>
      </c>
      <c r="K234" s="257">
        <v>0</v>
      </c>
      <c r="L234" s="257">
        <v>0</v>
      </c>
      <c r="M234" s="257">
        <v>0</v>
      </c>
      <c r="N234" s="257">
        <v>0</v>
      </c>
      <c r="O234" s="257">
        <v>77742</v>
      </c>
      <c r="P234" s="257">
        <v>0</v>
      </c>
      <c r="Q234" s="258">
        <v>0</v>
      </c>
    </row>
    <row r="235" spans="1:17">
      <c r="A235" s="256">
        <v>1</v>
      </c>
      <c r="B235" s="256">
        <v>6154204</v>
      </c>
      <c r="C235" s="256">
        <v>615420407</v>
      </c>
      <c r="D235" s="256" t="s">
        <v>734</v>
      </c>
      <c r="E235" s="256" t="s">
        <v>735</v>
      </c>
      <c r="F235" s="256" t="s">
        <v>779</v>
      </c>
      <c r="G235" s="256" t="s">
        <v>106</v>
      </c>
      <c r="H235" s="256" t="s">
        <v>760</v>
      </c>
      <c r="I235" s="257">
        <v>0</v>
      </c>
      <c r="J235" s="257">
        <v>0</v>
      </c>
      <c r="K235" s="257">
        <v>0</v>
      </c>
      <c r="L235" s="257">
        <v>0</v>
      </c>
      <c r="M235" s="257">
        <v>0</v>
      </c>
      <c r="N235" s="257">
        <v>0</v>
      </c>
      <c r="O235" s="257">
        <v>0</v>
      </c>
      <c r="P235" s="257">
        <v>0</v>
      </c>
      <c r="Q235" s="258">
        <v>0</v>
      </c>
    </row>
    <row r="236" spans="1:17">
      <c r="A236" s="256">
        <v>1</v>
      </c>
      <c r="B236" s="256">
        <v>6154204</v>
      </c>
      <c r="C236" s="256">
        <v>615420408</v>
      </c>
      <c r="D236" s="256" t="s">
        <v>734</v>
      </c>
      <c r="E236" s="256" t="s">
        <v>735</v>
      </c>
      <c r="F236" s="256" t="s">
        <v>779</v>
      </c>
      <c r="G236" s="256" t="s">
        <v>106</v>
      </c>
      <c r="H236" s="256" t="s">
        <v>761</v>
      </c>
      <c r="I236" s="257">
        <v>0</v>
      </c>
      <c r="J236" s="257">
        <v>0</v>
      </c>
      <c r="K236" s="257">
        <v>0</v>
      </c>
      <c r="L236" s="257">
        <v>0</v>
      </c>
      <c r="M236" s="257">
        <v>0</v>
      </c>
      <c r="N236" s="257">
        <v>0</v>
      </c>
      <c r="O236" s="257">
        <v>0</v>
      </c>
      <c r="P236" s="257">
        <v>0</v>
      </c>
      <c r="Q236" s="258">
        <v>0</v>
      </c>
    </row>
    <row r="237" spans="1:17">
      <c r="A237" s="256">
        <v>1</v>
      </c>
      <c r="B237" s="256">
        <v>6154204</v>
      </c>
      <c r="C237" s="256">
        <v>615420410</v>
      </c>
      <c r="D237" s="256" t="s">
        <v>734</v>
      </c>
      <c r="E237" s="256" t="s">
        <v>735</v>
      </c>
      <c r="F237" s="256" t="s">
        <v>779</v>
      </c>
      <c r="G237" s="256" t="s">
        <v>106</v>
      </c>
      <c r="H237" s="256" t="s">
        <v>762</v>
      </c>
      <c r="I237" s="257">
        <v>6437933</v>
      </c>
      <c r="J237" s="257">
        <v>0</v>
      </c>
      <c r="K237" s="257">
        <v>0</v>
      </c>
      <c r="L237" s="257">
        <v>0</v>
      </c>
      <c r="M237" s="257">
        <v>0</v>
      </c>
      <c r="N237" s="257">
        <v>0</v>
      </c>
      <c r="O237" s="257">
        <v>6437933</v>
      </c>
      <c r="P237" s="257">
        <v>0</v>
      </c>
      <c r="Q237" s="258">
        <v>0</v>
      </c>
    </row>
    <row r="238" spans="1:17">
      <c r="A238" s="256">
        <v>1</v>
      </c>
      <c r="B238" s="256">
        <v>6154204</v>
      </c>
      <c r="C238" s="256">
        <v>615420411</v>
      </c>
      <c r="D238" s="256" t="s">
        <v>734</v>
      </c>
      <c r="E238" s="256" t="s">
        <v>735</v>
      </c>
      <c r="F238" s="256" t="s">
        <v>779</v>
      </c>
      <c r="G238" s="256" t="s">
        <v>106</v>
      </c>
      <c r="H238" s="256" t="s">
        <v>763</v>
      </c>
      <c r="I238" s="257">
        <v>59</v>
      </c>
      <c r="J238" s="257">
        <v>0</v>
      </c>
      <c r="K238" s="257">
        <v>0</v>
      </c>
      <c r="L238" s="257">
        <v>0</v>
      </c>
      <c r="M238" s="257">
        <v>0</v>
      </c>
      <c r="N238" s="257">
        <v>0</v>
      </c>
      <c r="O238" s="257">
        <v>59</v>
      </c>
      <c r="P238" s="257">
        <v>0</v>
      </c>
      <c r="Q238" s="258">
        <v>0</v>
      </c>
    </row>
    <row r="239" spans="1:17">
      <c r="A239" s="256">
        <v>1</v>
      </c>
      <c r="B239" s="256">
        <v>6154205</v>
      </c>
      <c r="C239" s="256">
        <v>615420500</v>
      </c>
      <c r="D239" s="256" t="s">
        <v>734</v>
      </c>
      <c r="E239" s="256" t="s">
        <v>735</v>
      </c>
      <c r="F239" s="256" t="s">
        <v>779</v>
      </c>
      <c r="G239" s="256" t="s">
        <v>104</v>
      </c>
      <c r="H239" s="256"/>
      <c r="I239" s="257">
        <v>0</v>
      </c>
      <c r="J239" s="257">
        <v>0</v>
      </c>
      <c r="K239" s="257">
        <v>0</v>
      </c>
      <c r="L239" s="257">
        <v>0</v>
      </c>
      <c r="M239" s="257">
        <v>0</v>
      </c>
      <c r="N239" s="257">
        <v>0</v>
      </c>
      <c r="O239" s="257">
        <v>0</v>
      </c>
      <c r="P239" s="257">
        <v>0</v>
      </c>
      <c r="Q239" s="258">
        <v>0</v>
      </c>
    </row>
    <row r="240" spans="1:17">
      <c r="A240" s="256">
        <v>1</v>
      </c>
      <c r="B240" s="256">
        <v>6154207</v>
      </c>
      <c r="C240" s="256">
        <v>615420700</v>
      </c>
      <c r="D240" s="256" t="s">
        <v>734</v>
      </c>
      <c r="E240" s="256" t="s">
        <v>735</v>
      </c>
      <c r="F240" s="256" t="s">
        <v>779</v>
      </c>
      <c r="G240" s="256" t="s">
        <v>102</v>
      </c>
      <c r="H240" s="256"/>
      <c r="I240" s="257">
        <v>0</v>
      </c>
      <c r="J240" s="257">
        <v>0</v>
      </c>
      <c r="K240" s="257">
        <v>0</v>
      </c>
      <c r="L240" s="257">
        <v>0</v>
      </c>
      <c r="M240" s="257">
        <v>0</v>
      </c>
      <c r="N240" s="257">
        <v>0</v>
      </c>
      <c r="O240" s="257">
        <v>0</v>
      </c>
      <c r="P240" s="257">
        <v>0</v>
      </c>
      <c r="Q240" s="258">
        <v>0</v>
      </c>
    </row>
    <row r="241" spans="1:17">
      <c r="A241" s="256">
        <v>1</v>
      </c>
      <c r="B241" s="256">
        <v>6154208</v>
      </c>
      <c r="C241" s="256">
        <v>615420800</v>
      </c>
      <c r="D241" s="256" t="s">
        <v>734</v>
      </c>
      <c r="E241" s="256" t="s">
        <v>735</v>
      </c>
      <c r="F241" s="256" t="s">
        <v>779</v>
      </c>
      <c r="G241" s="256" t="s">
        <v>100</v>
      </c>
      <c r="H241" s="256"/>
      <c r="I241" s="257">
        <v>0</v>
      </c>
      <c r="J241" s="257">
        <v>0</v>
      </c>
      <c r="K241" s="257">
        <v>0</v>
      </c>
      <c r="L241" s="257">
        <v>0</v>
      </c>
      <c r="M241" s="257">
        <v>0</v>
      </c>
      <c r="N241" s="257">
        <v>0</v>
      </c>
      <c r="O241" s="257">
        <v>0</v>
      </c>
      <c r="P241" s="257">
        <v>0</v>
      </c>
      <c r="Q241" s="258">
        <v>0</v>
      </c>
    </row>
    <row r="242" spans="1:17">
      <c r="A242" s="256">
        <v>1</v>
      </c>
      <c r="B242" s="256">
        <v>6154210</v>
      </c>
      <c r="C242" s="256">
        <v>615421001</v>
      </c>
      <c r="D242" s="256" t="s">
        <v>734</v>
      </c>
      <c r="E242" s="256" t="s">
        <v>735</v>
      </c>
      <c r="F242" s="256" t="s">
        <v>779</v>
      </c>
      <c r="G242" s="256" t="s">
        <v>764</v>
      </c>
      <c r="H242" s="256" t="s">
        <v>98</v>
      </c>
      <c r="I242" s="257">
        <v>0</v>
      </c>
      <c r="J242" s="257">
        <v>0</v>
      </c>
      <c r="K242" s="257">
        <v>0</v>
      </c>
      <c r="L242" s="257">
        <v>0</v>
      </c>
      <c r="M242" s="257">
        <v>0</v>
      </c>
      <c r="N242" s="257">
        <v>0</v>
      </c>
      <c r="O242" s="257">
        <v>0</v>
      </c>
      <c r="P242" s="257">
        <v>0</v>
      </c>
      <c r="Q242" s="258">
        <v>0</v>
      </c>
    </row>
    <row r="243" spans="1:17">
      <c r="A243" s="256">
        <v>1</v>
      </c>
      <c r="B243" s="256">
        <v>6154210</v>
      </c>
      <c r="C243" s="256">
        <v>615421002</v>
      </c>
      <c r="D243" s="256" t="s">
        <v>734</v>
      </c>
      <c r="E243" s="256" t="s">
        <v>735</v>
      </c>
      <c r="F243" s="256" t="s">
        <v>779</v>
      </c>
      <c r="G243" s="256" t="s">
        <v>764</v>
      </c>
      <c r="H243" s="256" t="s">
        <v>95</v>
      </c>
      <c r="I243" s="257">
        <v>0</v>
      </c>
      <c r="J243" s="257">
        <v>0</v>
      </c>
      <c r="K243" s="257">
        <v>0</v>
      </c>
      <c r="L243" s="257">
        <v>0</v>
      </c>
      <c r="M243" s="257">
        <v>0</v>
      </c>
      <c r="N243" s="257">
        <v>0</v>
      </c>
      <c r="O243" s="257">
        <v>0</v>
      </c>
      <c r="P243" s="257">
        <v>0</v>
      </c>
      <c r="Q243" s="258">
        <v>0</v>
      </c>
    </row>
    <row r="244" spans="1:17">
      <c r="A244" s="236">
        <v>1</v>
      </c>
      <c r="B244" s="236">
        <v>6154210</v>
      </c>
      <c r="C244" s="236">
        <v>615421003</v>
      </c>
      <c r="D244" s="236" t="s">
        <v>734</v>
      </c>
      <c r="E244" s="236" t="s">
        <v>735</v>
      </c>
      <c r="F244" s="236" t="s">
        <v>779</v>
      </c>
      <c r="G244" s="236" t="s">
        <v>764</v>
      </c>
      <c r="H244" s="236" t="s">
        <v>765</v>
      </c>
      <c r="I244" s="257">
        <v>0</v>
      </c>
      <c r="J244" s="257">
        <v>0</v>
      </c>
      <c r="K244" s="257">
        <v>0</v>
      </c>
      <c r="L244" s="257">
        <v>0</v>
      </c>
      <c r="M244" s="257">
        <v>0</v>
      </c>
      <c r="N244" s="257">
        <v>0</v>
      </c>
      <c r="O244" s="257">
        <v>0</v>
      </c>
      <c r="P244" s="257">
        <v>0</v>
      </c>
      <c r="Q244" s="258">
        <v>0</v>
      </c>
    </row>
    <row r="245" spans="1:17">
      <c r="A245" s="256">
        <v>1</v>
      </c>
      <c r="B245" s="256">
        <v>6154213</v>
      </c>
      <c r="C245" s="256">
        <v>615421300</v>
      </c>
      <c r="D245" s="256" t="s">
        <v>734</v>
      </c>
      <c r="E245" s="256" t="s">
        <v>735</v>
      </c>
      <c r="F245" s="256" t="s">
        <v>779</v>
      </c>
      <c r="G245" s="256" t="s">
        <v>93</v>
      </c>
      <c r="H245" s="256"/>
      <c r="I245" s="257">
        <v>144037</v>
      </c>
      <c r="J245" s="257">
        <v>0</v>
      </c>
      <c r="K245" s="257">
        <v>0</v>
      </c>
      <c r="L245" s="257">
        <v>0</v>
      </c>
      <c r="M245" s="257">
        <v>0</v>
      </c>
      <c r="N245" s="257">
        <v>144037</v>
      </c>
      <c r="O245" s="257">
        <v>0</v>
      </c>
      <c r="P245" s="257">
        <v>0</v>
      </c>
      <c r="Q245" s="258">
        <v>0</v>
      </c>
    </row>
    <row r="246" spans="1:17">
      <c r="A246" s="256">
        <v>1</v>
      </c>
      <c r="B246" s="256">
        <v>6154214</v>
      </c>
      <c r="C246" s="256">
        <v>615421400</v>
      </c>
      <c r="D246" s="256" t="s">
        <v>734</v>
      </c>
      <c r="E246" s="256" t="s">
        <v>735</v>
      </c>
      <c r="F246" s="256" t="s">
        <v>779</v>
      </c>
      <c r="G246" s="256" t="s">
        <v>91</v>
      </c>
      <c r="H246" s="256"/>
      <c r="I246" s="257">
        <v>181386</v>
      </c>
      <c r="J246" s="257">
        <v>0</v>
      </c>
      <c r="K246" s="257">
        <v>0</v>
      </c>
      <c r="L246" s="257">
        <v>0</v>
      </c>
      <c r="M246" s="257">
        <v>0</v>
      </c>
      <c r="N246" s="257">
        <v>181386</v>
      </c>
      <c r="O246" s="257">
        <v>0</v>
      </c>
      <c r="P246" s="257">
        <v>0</v>
      </c>
      <c r="Q246" s="258">
        <v>0</v>
      </c>
    </row>
    <row r="247" spans="1:17">
      <c r="A247" s="256">
        <v>1</v>
      </c>
      <c r="B247" s="256">
        <v>6154215</v>
      </c>
      <c r="C247" s="256">
        <v>615421500</v>
      </c>
      <c r="D247" s="256" t="s">
        <v>734</v>
      </c>
      <c r="E247" s="256" t="s">
        <v>735</v>
      </c>
      <c r="F247" s="256" t="s">
        <v>779</v>
      </c>
      <c r="G247" s="256" t="s">
        <v>89</v>
      </c>
      <c r="H247" s="256"/>
      <c r="I247" s="257">
        <v>0</v>
      </c>
      <c r="J247" s="257">
        <v>0</v>
      </c>
      <c r="K247" s="257">
        <v>0</v>
      </c>
      <c r="L247" s="257">
        <v>0</v>
      </c>
      <c r="M247" s="257">
        <v>0</v>
      </c>
      <c r="N247" s="257">
        <v>0</v>
      </c>
      <c r="O247" s="257">
        <v>0</v>
      </c>
      <c r="P247" s="257">
        <v>0</v>
      </c>
      <c r="Q247" s="258">
        <v>0</v>
      </c>
    </row>
    <row r="248" spans="1:17">
      <c r="A248" s="256">
        <v>1</v>
      </c>
      <c r="B248" s="256">
        <v>6154217</v>
      </c>
      <c r="C248" s="256">
        <v>615421700</v>
      </c>
      <c r="D248" s="256" t="s">
        <v>734</v>
      </c>
      <c r="E248" s="256" t="s">
        <v>735</v>
      </c>
      <c r="F248" s="256" t="s">
        <v>779</v>
      </c>
      <c r="G248" s="256" t="s">
        <v>87</v>
      </c>
      <c r="H248" s="256"/>
      <c r="I248" s="257">
        <v>120705</v>
      </c>
      <c r="J248" s="257">
        <v>0</v>
      </c>
      <c r="K248" s="257">
        <v>0</v>
      </c>
      <c r="L248" s="257">
        <v>0</v>
      </c>
      <c r="M248" s="257">
        <v>0</v>
      </c>
      <c r="N248" s="257">
        <v>120705</v>
      </c>
      <c r="O248" s="257">
        <v>0</v>
      </c>
      <c r="P248" s="257">
        <v>0</v>
      </c>
      <c r="Q248" s="258">
        <v>0</v>
      </c>
    </row>
    <row r="249" spans="1:17">
      <c r="A249" s="256">
        <v>1</v>
      </c>
      <c r="B249" s="256">
        <v>6154219</v>
      </c>
      <c r="C249" s="256">
        <v>615421900</v>
      </c>
      <c r="D249" s="256" t="s">
        <v>734</v>
      </c>
      <c r="E249" s="256" t="s">
        <v>735</v>
      </c>
      <c r="F249" s="256" t="s">
        <v>779</v>
      </c>
      <c r="G249" s="256" t="s">
        <v>85</v>
      </c>
      <c r="H249" s="256"/>
      <c r="I249" s="257">
        <v>3850</v>
      </c>
      <c r="J249" s="257">
        <v>0</v>
      </c>
      <c r="K249" s="257">
        <v>0</v>
      </c>
      <c r="L249" s="257">
        <v>0</v>
      </c>
      <c r="M249" s="257">
        <v>0</v>
      </c>
      <c r="N249" s="257">
        <v>3850</v>
      </c>
      <c r="O249" s="257">
        <v>0</v>
      </c>
      <c r="P249" s="257">
        <v>0</v>
      </c>
      <c r="Q249" s="258">
        <v>0</v>
      </c>
    </row>
    <row r="250" spans="1:17">
      <c r="A250" s="256">
        <v>1</v>
      </c>
      <c r="B250" s="256">
        <v>6154220</v>
      </c>
      <c r="C250" s="256">
        <v>615422000</v>
      </c>
      <c r="D250" s="256" t="s">
        <v>734</v>
      </c>
      <c r="E250" s="256" t="s">
        <v>735</v>
      </c>
      <c r="F250" s="256" t="s">
        <v>779</v>
      </c>
      <c r="G250" s="256" t="s">
        <v>83</v>
      </c>
      <c r="H250" s="256"/>
      <c r="I250" s="257">
        <v>10980</v>
      </c>
      <c r="J250" s="257">
        <v>0</v>
      </c>
      <c r="K250" s="257">
        <v>0</v>
      </c>
      <c r="L250" s="257">
        <v>0</v>
      </c>
      <c r="M250" s="257">
        <v>0</v>
      </c>
      <c r="N250" s="257">
        <v>10980</v>
      </c>
      <c r="O250" s="257">
        <v>0</v>
      </c>
      <c r="P250" s="257">
        <v>0</v>
      </c>
      <c r="Q250" s="258">
        <v>0</v>
      </c>
    </row>
    <row r="251" spans="1:17">
      <c r="A251" s="256">
        <v>1</v>
      </c>
      <c r="B251" s="256">
        <v>6154221</v>
      </c>
      <c r="C251" s="256">
        <v>615422100</v>
      </c>
      <c r="D251" s="256" t="s">
        <v>734</v>
      </c>
      <c r="E251" s="256" t="s">
        <v>735</v>
      </c>
      <c r="F251" s="256" t="s">
        <v>779</v>
      </c>
      <c r="G251" s="256" t="s">
        <v>81</v>
      </c>
      <c r="H251" s="256"/>
      <c r="I251" s="257">
        <v>1071341</v>
      </c>
      <c r="J251" s="257">
        <v>0</v>
      </c>
      <c r="K251" s="257">
        <v>0</v>
      </c>
      <c r="L251" s="257">
        <v>0</v>
      </c>
      <c r="M251" s="257">
        <v>0</v>
      </c>
      <c r="N251" s="257">
        <v>1071341</v>
      </c>
      <c r="O251" s="257">
        <v>0</v>
      </c>
      <c r="P251" s="257">
        <v>0</v>
      </c>
      <c r="Q251" s="258">
        <v>0</v>
      </c>
    </row>
    <row r="252" spans="1:17">
      <c r="A252" s="256">
        <v>1</v>
      </c>
      <c r="B252" s="256">
        <v>6154223</v>
      </c>
      <c r="C252" s="256">
        <v>615422300</v>
      </c>
      <c r="D252" s="256" t="s">
        <v>734</v>
      </c>
      <c r="E252" s="256" t="s">
        <v>735</v>
      </c>
      <c r="F252" s="256" t="s">
        <v>779</v>
      </c>
      <c r="G252" s="256" t="s">
        <v>79</v>
      </c>
      <c r="H252" s="256"/>
      <c r="I252" s="257">
        <v>206580</v>
      </c>
      <c r="J252" s="257">
        <v>0</v>
      </c>
      <c r="K252" s="257">
        <v>0</v>
      </c>
      <c r="L252" s="257">
        <v>0</v>
      </c>
      <c r="M252" s="257">
        <v>0</v>
      </c>
      <c r="N252" s="257">
        <v>206580</v>
      </c>
      <c r="O252" s="257">
        <v>0</v>
      </c>
      <c r="P252" s="257">
        <v>0</v>
      </c>
      <c r="Q252" s="258">
        <v>0</v>
      </c>
    </row>
    <row r="253" spans="1:17">
      <c r="A253" s="256">
        <v>1</v>
      </c>
      <c r="B253" s="256">
        <v>6154224</v>
      </c>
      <c r="C253" s="256">
        <v>615422400</v>
      </c>
      <c r="D253" s="256" t="s">
        <v>734</v>
      </c>
      <c r="E253" s="256" t="s">
        <v>735</v>
      </c>
      <c r="F253" s="256" t="s">
        <v>779</v>
      </c>
      <c r="G253" s="256" t="s">
        <v>77</v>
      </c>
      <c r="H253" s="256"/>
      <c r="I253" s="257">
        <v>0</v>
      </c>
      <c r="J253" s="257">
        <v>0</v>
      </c>
      <c r="K253" s="257">
        <v>0</v>
      </c>
      <c r="L253" s="257">
        <v>0</v>
      </c>
      <c r="M253" s="257">
        <v>0</v>
      </c>
      <c r="N253" s="257">
        <v>0</v>
      </c>
      <c r="O253" s="257">
        <v>0</v>
      </c>
      <c r="P253" s="257">
        <v>0</v>
      </c>
      <c r="Q253" s="258">
        <v>0</v>
      </c>
    </row>
    <row r="254" spans="1:17">
      <c r="A254" s="256">
        <v>1</v>
      </c>
      <c r="B254" s="256">
        <v>6154231</v>
      </c>
      <c r="C254" s="256">
        <v>615423100</v>
      </c>
      <c r="D254" s="256" t="s">
        <v>734</v>
      </c>
      <c r="E254" s="256" t="s">
        <v>735</v>
      </c>
      <c r="F254" s="256" t="s">
        <v>779</v>
      </c>
      <c r="G254" s="256" t="s">
        <v>62</v>
      </c>
      <c r="H254" s="256"/>
      <c r="I254" s="257">
        <v>0</v>
      </c>
      <c r="J254" s="257">
        <v>0</v>
      </c>
      <c r="K254" s="257">
        <v>0</v>
      </c>
      <c r="L254" s="257">
        <v>0</v>
      </c>
      <c r="M254" s="257">
        <v>0</v>
      </c>
      <c r="N254" s="257">
        <v>0</v>
      </c>
      <c r="O254" s="257">
        <v>0</v>
      </c>
      <c r="P254" s="257">
        <v>0</v>
      </c>
      <c r="Q254" s="258">
        <v>0</v>
      </c>
    </row>
    <row r="255" spans="1:17">
      <c r="A255" s="256">
        <v>1</v>
      </c>
      <c r="B255" s="256">
        <v>6154237</v>
      </c>
      <c r="C255" s="256">
        <v>615423700</v>
      </c>
      <c r="D255" s="256" t="s">
        <v>734</v>
      </c>
      <c r="E255" s="256" t="s">
        <v>735</v>
      </c>
      <c r="F255" s="256" t="s">
        <v>779</v>
      </c>
      <c r="G255" s="256" t="s">
        <v>60</v>
      </c>
      <c r="H255" s="256"/>
      <c r="I255" s="257">
        <v>0</v>
      </c>
      <c r="J255" s="257">
        <v>0</v>
      </c>
      <c r="K255" s="257">
        <v>0</v>
      </c>
      <c r="L255" s="257">
        <v>0</v>
      </c>
      <c r="M255" s="257">
        <v>0</v>
      </c>
      <c r="N255" s="257">
        <v>0</v>
      </c>
      <c r="O255" s="257">
        <v>0</v>
      </c>
      <c r="P255" s="257">
        <v>0</v>
      </c>
      <c r="Q255" s="258">
        <v>0</v>
      </c>
    </row>
    <row r="256" spans="1:17">
      <c r="A256" s="256">
        <v>1</v>
      </c>
      <c r="B256" s="256">
        <v>6154239</v>
      </c>
      <c r="C256" s="256">
        <v>615423900</v>
      </c>
      <c r="D256" s="256" t="s">
        <v>734</v>
      </c>
      <c r="E256" s="256" t="s">
        <v>735</v>
      </c>
      <c r="F256" s="256" t="s">
        <v>779</v>
      </c>
      <c r="G256" s="256" t="s">
        <v>58</v>
      </c>
      <c r="H256" s="256"/>
      <c r="I256" s="257">
        <v>10540</v>
      </c>
      <c r="J256" s="257">
        <v>0</v>
      </c>
      <c r="K256" s="257">
        <v>0</v>
      </c>
      <c r="L256" s="257">
        <v>0</v>
      </c>
      <c r="M256" s="257">
        <v>0</v>
      </c>
      <c r="N256" s="257">
        <v>0</v>
      </c>
      <c r="O256" s="257">
        <v>10540</v>
      </c>
      <c r="P256" s="257">
        <v>0</v>
      </c>
      <c r="Q256" s="258">
        <v>0</v>
      </c>
    </row>
    <row r="257" spans="1:17">
      <c r="A257" s="256">
        <v>1</v>
      </c>
      <c r="B257" s="256">
        <v>6154240</v>
      </c>
      <c r="C257" s="256">
        <v>615424000</v>
      </c>
      <c r="D257" s="256" t="s">
        <v>734</v>
      </c>
      <c r="E257" s="256" t="s">
        <v>735</v>
      </c>
      <c r="F257" s="256" t="s">
        <v>779</v>
      </c>
      <c r="G257" s="256" t="s">
        <v>56</v>
      </c>
      <c r="H257" s="256"/>
      <c r="I257" s="257">
        <v>0</v>
      </c>
      <c r="J257" s="257">
        <v>0</v>
      </c>
      <c r="K257" s="257">
        <v>0</v>
      </c>
      <c r="L257" s="257">
        <v>0</v>
      </c>
      <c r="M257" s="257">
        <v>0</v>
      </c>
      <c r="N257" s="257">
        <v>0</v>
      </c>
      <c r="O257" s="257">
        <v>0</v>
      </c>
      <c r="P257" s="257">
        <v>0</v>
      </c>
      <c r="Q257" s="258">
        <v>0</v>
      </c>
    </row>
    <row r="258" spans="1:17">
      <c r="A258" s="256">
        <v>1</v>
      </c>
      <c r="B258" s="256">
        <v>6154241</v>
      </c>
      <c r="C258" s="256">
        <v>615424100</v>
      </c>
      <c r="D258" s="256" t="s">
        <v>734</v>
      </c>
      <c r="E258" s="256" t="s">
        <v>735</v>
      </c>
      <c r="F258" s="256" t="s">
        <v>779</v>
      </c>
      <c r="G258" s="256" t="s">
        <v>55</v>
      </c>
      <c r="H258" s="256"/>
      <c r="I258" s="257">
        <v>0</v>
      </c>
      <c r="J258" s="257">
        <v>0</v>
      </c>
      <c r="K258" s="257">
        <v>0</v>
      </c>
      <c r="L258" s="257">
        <v>0</v>
      </c>
      <c r="M258" s="257">
        <v>0</v>
      </c>
      <c r="N258" s="257">
        <v>0</v>
      </c>
      <c r="O258" s="257">
        <v>0</v>
      </c>
      <c r="P258" s="257">
        <v>0</v>
      </c>
      <c r="Q258" s="258">
        <v>0</v>
      </c>
    </row>
    <row r="259" spans="1:17">
      <c r="A259" s="256">
        <v>1</v>
      </c>
      <c r="B259" s="256">
        <v>6154265</v>
      </c>
      <c r="C259" s="256">
        <v>615426500</v>
      </c>
      <c r="D259" s="256" t="s">
        <v>734</v>
      </c>
      <c r="E259" s="256" t="s">
        <v>735</v>
      </c>
      <c r="F259" s="256" t="s">
        <v>779</v>
      </c>
      <c r="G259" s="256" t="s">
        <v>766</v>
      </c>
      <c r="H259" s="256"/>
      <c r="I259" s="257">
        <v>0</v>
      </c>
      <c r="J259" s="257">
        <v>0</v>
      </c>
      <c r="K259" s="257">
        <v>0</v>
      </c>
      <c r="L259" s="257">
        <v>0</v>
      </c>
      <c r="M259" s="257">
        <v>0</v>
      </c>
      <c r="N259" s="257">
        <v>0</v>
      </c>
      <c r="O259" s="257">
        <v>0</v>
      </c>
      <c r="P259" s="257">
        <v>0</v>
      </c>
      <c r="Q259" s="258">
        <v>0</v>
      </c>
    </row>
    <row r="260" spans="1:17">
      <c r="A260" s="256">
        <v>1</v>
      </c>
      <c r="B260" s="256">
        <v>6154269</v>
      </c>
      <c r="C260" s="256">
        <v>615426900</v>
      </c>
      <c r="D260" s="256" t="s">
        <v>734</v>
      </c>
      <c r="E260" s="256" t="s">
        <v>735</v>
      </c>
      <c r="F260" s="256" t="s">
        <v>779</v>
      </c>
      <c r="G260" s="256" t="s">
        <v>767</v>
      </c>
      <c r="H260" s="256"/>
      <c r="I260" s="257">
        <v>0</v>
      </c>
      <c r="J260" s="257">
        <v>0</v>
      </c>
      <c r="K260" s="257">
        <v>0</v>
      </c>
      <c r="L260" s="257">
        <v>0</v>
      </c>
      <c r="M260" s="257">
        <v>0</v>
      </c>
      <c r="N260" s="257">
        <v>0</v>
      </c>
      <c r="O260" s="257">
        <v>0</v>
      </c>
      <c r="P260" s="257">
        <v>0</v>
      </c>
      <c r="Q260" s="258">
        <v>0</v>
      </c>
    </row>
    <row r="261" spans="1:17">
      <c r="A261" s="256">
        <v>1</v>
      </c>
      <c r="B261" s="256">
        <v>6154270</v>
      </c>
      <c r="C261" s="256">
        <v>615427000</v>
      </c>
      <c r="D261" s="256" t="s">
        <v>734</v>
      </c>
      <c r="E261" s="256" t="s">
        <v>735</v>
      </c>
      <c r="F261" s="256" t="s">
        <v>779</v>
      </c>
      <c r="G261" s="256" t="s">
        <v>768</v>
      </c>
      <c r="H261" s="256"/>
      <c r="I261" s="257">
        <v>1448370</v>
      </c>
      <c r="J261" s="257">
        <v>0</v>
      </c>
      <c r="K261" s="257">
        <v>0</v>
      </c>
      <c r="L261" s="257">
        <v>0</v>
      </c>
      <c r="M261" s="257">
        <v>0</v>
      </c>
      <c r="N261" s="257">
        <v>1448370</v>
      </c>
      <c r="O261" s="257">
        <v>0</v>
      </c>
      <c r="P261" s="257">
        <v>0</v>
      </c>
      <c r="Q261" s="258">
        <v>0</v>
      </c>
    </row>
    <row r="262" spans="1:17">
      <c r="A262" s="256">
        <v>1</v>
      </c>
      <c r="B262" s="256">
        <v>6154271</v>
      </c>
      <c r="C262" s="256">
        <v>615427100</v>
      </c>
      <c r="D262" s="256" t="s">
        <v>734</v>
      </c>
      <c r="E262" s="256" t="s">
        <v>735</v>
      </c>
      <c r="F262" s="256" t="s">
        <v>779</v>
      </c>
      <c r="G262" s="256" t="s">
        <v>769</v>
      </c>
      <c r="H262" s="256"/>
      <c r="I262" s="257">
        <v>0</v>
      </c>
      <c r="J262" s="257">
        <v>0</v>
      </c>
      <c r="K262" s="257">
        <v>0</v>
      </c>
      <c r="L262" s="257">
        <v>0</v>
      </c>
      <c r="M262" s="257">
        <v>0</v>
      </c>
      <c r="N262" s="257">
        <v>0</v>
      </c>
      <c r="O262" s="257">
        <v>0</v>
      </c>
      <c r="P262" s="257">
        <v>0</v>
      </c>
      <c r="Q262" s="258">
        <v>0</v>
      </c>
    </row>
    <row r="263" spans="1:17">
      <c r="A263" s="256">
        <v>1</v>
      </c>
      <c r="B263" s="256">
        <v>6154272</v>
      </c>
      <c r="C263" s="256">
        <v>615427200</v>
      </c>
      <c r="D263" s="256" t="s">
        <v>734</v>
      </c>
      <c r="E263" s="256" t="s">
        <v>735</v>
      </c>
      <c r="F263" s="256" t="s">
        <v>779</v>
      </c>
      <c r="G263" s="256" t="s">
        <v>770</v>
      </c>
      <c r="H263" s="256"/>
      <c r="I263" s="257">
        <v>0</v>
      </c>
      <c r="J263" s="257">
        <v>0</v>
      </c>
      <c r="K263" s="257">
        <v>0</v>
      </c>
      <c r="L263" s="257">
        <v>0</v>
      </c>
      <c r="M263" s="257">
        <v>0</v>
      </c>
      <c r="N263" s="257">
        <v>0</v>
      </c>
      <c r="O263" s="257">
        <v>0</v>
      </c>
      <c r="P263" s="257">
        <v>0</v>
      </c>
      <c r="Q263" s="258">
        <v>0</v>
      </c>
    </row>
    <row r="264" spans="1:17">
      <c r="A264" s="256">
        <v>1</v>
      </c>
      <c r="B264" s="256">
        <v>6154273</v>
      </c>
      <c r="C264" s="256">
        <v>615427300</v>
      </c>
      <c r="D264" s="256" t="s">
        <v>734</v>
      </c>
      <c r="E264" s="256" t="s">
        <v>735</v>
      </c>
      <c r="F264" s="256" t="s">
        <v>779</v>
      </c>
      <c r="G264" s="256" t="s">
        <v>771</v>
      </c>
      <c r="H264" s="256"/>
      <c r="I264" s="257">
        <v>0</v>
      </c>
      <c r="J264" s="257">
        <v>0</v>
      </c>
      <c r="K264" s="257">
        <v>0</v>
      </c>
      <c r="L264" s="257">
        <v>0</v>
      </c>
      <c r="M264" s="257">
        <v>0</v>
      </c>
      <c r="N264" s="257">
        <v>0</v>
      </c>
      <c r="O264" s="257">
        <v>0</v>
      </c>
      <c r="P264" s="257">
        <v>0</v>
      </c>
      <c r="Q264" s="258">
        <v>0</v>
      </c>
    </row>
    <row r="265" spans="1:17">
      <c r="A265" s="256">
        <v>1</v>
      </c>
      <c r="B265" s="256">
        <v>6154274</v>
      </c>
      <c r="C265" s="256">
        <v>615427400</v>
      </c>
      <c r="D265" s="256" t="s">
        <v>734</v>
      </c>
      <c r="E265" s="256" t="s">
        <v>735</v>
      </c>
      <c r="F265" s="256" t="s">
        <v>779</v>
      </c>
      <c r="G265" s="256" t="s">
        <v>772</v>
      </c>
      <c r="H265" s="256"/>
      <c r="I265" s="257">
        <v>0</v>
      </c>
      <c r="J265" s="257">
        <v>0</v>
      </c>
      <c r="K265" s="257">
        <v>0</v>
      </c>
      <c r="L265" s="257">
        <v>0</v>
      </c>
      <c r="M265" s="257">
        <v>0</v>
      </c>
      <c r="N265" s="257">
        <v>0</v>
      </c>
      <c r="O265" s="257">
        <v>0</v>
      </c>
      <c r="P265" s="257">
        <v>0</v>
      </c>
      <c r="Q265" s="258">
        <v>0</v>
      </c>
    </row>
    <row r="266" spans="1:17">
      <c r="A266" s="256">
        <v>1</v>
      </c>
      <c r="B266" s="256">
        <v>6154275</v>
      </c>
      <c r="C266" s="256">
        <v>615427583</v>
      </c>
      <c r="D266" s="256" t="s">
        <v>734</v>
      </c>
      <c r="E266" s="256" t="s">
        <v>735</v>
      </c>
      <c r="F266" s="256" t="s">
        <v>779</v>
      </c>
      <c r="G266" s="256" t="s">
        <v>773</v>
      </c>
      <c r="H266" s="256" t="s">
        <v>75</v>
      </c>
      <c r="I266" s="257">
        <v>473572660</v>
      </c>
      <c r="J266" s="257">
        <v>0</v>
      </c>
      <c r="K266" s="257">
        <v>0</v>
      </c>
      <c r="L266" s="257">
        <v>0</v>
      </c>
      <c r="M266" s="257">
        <v>0</v>
      </c>
      <c r="N266" s="257">
        <v>473572660</v>
      </c>
      <c r="O266" s="257">
        <v>0</v>
      </c>
      <c r="P266" s="257">
        <v>0</v>
      </c>
      <c r="Q266" s="258">
        <v>0</v>
      </c>
    </row>
    <row r="267" spans="1:17">
      <c r="A267" s="256">
        <v>1</v>
      </c>
      <c r="B267" s="256">
        <v>6154275</v>
      </c>
      <c r="C267" s="256">
        <v>615427584</v>
      </c>
      <c r="D267" s="256" t="s">
        <v>734</v>
      </c>
      <c r="E267" s="256" t="s">
        <v>735</v>
      </c>
      <c r="F267" s="256" t="s">
        <v>779</v>
      </c>
      <c r="G267" s="256" t="s">
        <v>773</v>
      </c>
      <c r="H267" s="256" t="s">
        <v>774</v>
      </c>
      <c r="I267" s="257">
        <v>0</v>
      </c>
      <c r="J267" s="257">
        <v>0</v>
      </c>
      <c r="K267" s="257">
        <v>0</v>
      </c>
      <c r="L267" s="257">
        <v>0</v>
      </c>
      <c r="M267" s="257">
        <v>0</v>
      </c>
      <c r="N267" s="257">
        <v>0</v>
      </c>
      <c r="O267" s="257">
        <v>0</v>
      </c>
      <c r="P267" s="257">
        <v>0</v>
      </c>
      <c r="Q267" s="258">
        <v>0</v>
      </c>
    </row>
    <row r="268" spans="1:17">
      <c r="A268" s="256">
        <v>1</v>
      </c>
      <c r="B268" s="256">
        <v>6154275</v>
      </c>
      <c r="C268" s="256">
        <v>615427585</v>
      </c>
      <c r="D268" s="256" t="s">
        <v>734</v>
      </c>
      <c r="E268" s="256" t="s">
        <v>735</v>
      </c>
      <c r="F268" s="256" t="s">
        <v>779</v>
      </c>
      <c r="G268" s="256" t="s">
        <v>773</v>
      </c>
      <c r="H268" s="256" t="s">
        <v>775</v>
      </c>
      <c r="I268" s="257">
        <v>28758400</v>
      </c>
      <c r="J268" s="257">
        <v>0</v>
      </c>
      <c r="K268" s="257">
        <v>0</v>
      </c>
      <c r="L268" s="257">
        <v>0</v>
      </c>
      <c r="M268" s="257">
        <v>0</v>
      </c>
      <c r="N268" s="257">
        <v>28758400</v>
      </c>
      <c r="O268" s="257">
        <v>0</v>
      </c>
      <c r="P268" s="257">
        <v>0</v>
      </c>
      <c r="Q268" s="258">
        <v>0</v>
      </c>
    </row>
    <row r="269" spans="1:17">
      <c r="A269" s="256">
        <v>1</v>
      </c>
      <c r="B269" s="256">
        <v>6154275</v>
      </c>
      <c r="C269" s="256">
        <v>615427586</v>
      </c>
      <c r="D269" s="256" t="s">
        <v>734</v>
      </c>
      <c r="E269" s="256" t="s">
        <v>735</v>
      </c>
      <c r="F269" s="256" t="s">
        <v>779</v>
      </c>
      <c r="G269" s="256" t="s">
        <v>773</v>
      </c>
      <c r="H269" s="256" t="s">
        <v>776</v>
      </c>
      <c r="I269" s="257">
        <v>10619400</v>
      </c>
      <c r="J269" s="257">
        <v>0</v>
      </c>
      <c r="K269" s="257">
        <v>0</v>
      </c>
      <c r="L269" s="257">
        <v>0</v>
      </c>
      <c r="M269" s="257">
        <v>0</v>
      </c>
      <c r="N269" s="257">
        <v>10619400</v>
      </c>
      <c r="O269" s="257">
        <v>0</v>
      </c>
      <c r="P269" s="257">
        <v>0</v>
      </c>
      <c r="Q269" s="258">
        <v>0</v>
      </c>
    </row>
    <row r="270" spans="1:17">
      <c r="A270" s="256">
        <v>1</v>
      </c>
      <c r="B270" s="256">
        <v>6154275</v>
      </c>
      <c r="C270" s="256">
        <v>615427587</v>
      </c>
      <c r="D270" s="256" t="s">
        <v>734</v>
      </c>
      <c r="E270" s="256" t="s">
        <v>735</v>
      </c>
      <c r="F270" s="256" t="s">
        <v>779</v>
      </c>
      <c r="G270" s="256" t="s">
        <v>773</v>
      </c>
      <c r="H270" s="256" t="s">
        <v>665</v>
      </c>
      <c r="I270" s="257">
        <v>0</v>
      </c>
      <c r="J270" s="257">
        <v>0</v>
      </c>
      <c r="K270" s="257">
        <v>0</v>
      </c>
      <c r="L270" s="257">
        <v>0</v>
      </c>
      <c r="M270" s="257">
        <v>0</v>
      </c>
      <c r="N270" s="257">
        <v>0</v>
      </c>
      <c r="O270" s="257">
        <v>0</v>
      </c>
      <c r="P270" s="257">
        <v>0</v>
      </c>
      <c r="Q270" s="258">
        <v>0</v>
      </c>
    </row>
    <row r="271" spans="1:17">
      <c r="A271" s="256">
        <v>1</v>
      </c>
      <c r="B271" s="256">
        <v>6154275</v>
      </c>
      <c r="C271" s="256">
        <v>615427588</v>
      </c>
      <c r="D271" s="256" t="s">
        <v>734</v>
      </c>
      <c r="E271" s="256" t="s">
        <v>735</v>
      </c>
      <c r="F271" s="256" t="s">
        <v>779</v>
      </c>
      <c r="G271" s="256" t="s">
        <v>773</v>
      </c>
      <c r="H271" s="256" t="s">
        <v>73</v>
      </c>
      <c r="I271" s="257">
        <v>328230</v>
      </c>
      <c r="J271" s="257">
        <v>0</v>
      </c>
      <c r="K271" s="257">
        <v>0</v>
      </c>
      <c r="L271" s="257">
        <v>0</v>
      </c>
      <c r="M271" s="257">
        <v>0</v>
      </c>
      <c r="N271" s="257">
        <v>0</v>
      </c>
      <c r="O271" s="257">
        <v>328230</v>
      </c>
      <c r="P271" s="257">
        <v>0</v>
      </c>
      <c r="Q271" s="258">
        <v>0</v>
      </c>
    </row>
    <row r="272" spans="1:17">
      <c r="A272" s="256">
        <v>1</v>
      </c>
      <c r="B272" s="256">
        <v>6154601</v>
      </c>
      <c r="C272" s="256">
        <v>615460102</v>
      </c>
      <c r="D272" s="256" t="s">
        <v>734</v>
      </c>
      <c r="E272" s="256" t="s">
        <v>735</v>
      </c>
      <c r="F272" s="256" t="s">
        <v>780</v>
      </c>
      <c r="G272" s="256" t="s">
        <v>112</v>
      </c>
      <c r="H272" s="256" t="s">
        <v>737</v>
      </c>
      <c r="I272" s="257">
        <v>0</v>
      </c>
      <c r="J272" s="257">
        <v>0</v>
      </c>
      <c r="K272" s="257">
        <v>0</v>
      </c>
      <c r="L272" s="257">
        <v>0</v>
      </c>
      <c r="M272" s="257">
        <v>0</v>
      </c>
      <c r="N272" s="257">
        <v>0</v>
      </c>
      <c r="O272" s="257">
        <v>0</v>
      </c>
      <c r="P272" s="257">
        <v>0</v>
      </c>
      <c r="Q272" s="258">
        <v>0</v>
      </c>
    </row>
    <row r="273" spans="1:17">
      <c r="A273" s="256">
        <v>1</v>
      </c>
      <c r="B273" s="256">
        <v>6154601</v>
      </c>
      <c r="C273" s="256">
        <v>615460103</v>
      </c>
      <c r="D273" s="256" t="s">
        <v>734</v>
      </c>
      <c r="E273" s="256" t="s">
        <v>735</v>
      </c>
      <c r="F273" s="256" t="s">
        <v>780</v>
      </c>
      <c r="G273" s="256" t="s">
        <v>112</v>
      </c>
      <c r="H273" s="256" t="s">
        <v>738</v>
      </c>
      <c r="I273" s="257">
        <v>0</v>
      </c>
      <c r="J273" s="257">
        <v>0</v>
      </c>
      <c r="K273" s="257">
        <v>0</v>
      </c>
      <c r="L273" s="257">
        <v>0</v>
      </c>
      <c r="M273" s="257">
        <v>0</v>
      </c>
      <c r="N273" s="257">
        <v>0</v>
      </c>
      <c r="O273" s="257">
        <v>0</v>
      </c>
      <c r="P273" s="257">
        <v>0</v>
      </c>
      <c r="Q273" s="258">
        <v>0</v>
      </c>
    </row>
    <row r="274" spans="1:17">
      <c r="A274" s="256">
        <v>1</v>
      </c>
      <c r="B274" s="256">
        <v>6154601</v>
      </c>
      <c r="C274" s="256">
        <v>615460104</v>
      </c>
      <c r="D274" s="256" t="s">
        <v>734</v>
      </c>
      <c r="E274" s="256" t="s">
        <v>735</v>
      </c>
      <c r="F274" s="256" t="s">
        <v>780</v>
      </c>
      <c r="G274" s="256" t="s">
        <v>112</v>
      </c>
      <c r="H274" s="256" t="s">
        <v>739</v>
      </c>
      <c r="I274" s="257">
        <v>0</v>
      </c>
      <c r="J274" s="257">
        <v>0</v>
      </c>
      <c r="K274" s="257">
        <v>0</v>
      </c>
      <c r="L274" s="257">
        <v>0</v>
      </c>
      <c r="M274" s="257">
        <v>0</v>
      </c>
      <c r="N274" s="257">
        <v>0</v>
      </c>
      <c r="O274" s="257">
        <v>0</v>
      </c>
      <c r="P274" s="257">
        <v>0</v>
      </c>
      <c r="Q274" s="258">
        <v>0</v>
      </c>
    </row>
    <row r="275" spans="1:17">
      <c r="A275" s="236">
        <v>1</v>
      </c>
      <c r="B275" s="236">
        <v>6154601</v>
      </c>
      <c r="C275" s="236">
        <v>615460105</v>
      </c>
      <c r="D275" s="236" t="s">
        <v>734</v>
      </c>
      <c r="E275" s="236" t="s">
        <v>735</v>
      </c>
      <c r="F275" s="236" t="s">
        <v>780</v>
      </c>
      <c r="G275" s="236" t="s">
        <v>112</v>
      </c>
      <c r="H275" s="236" t="s">
        <v>740</v>
      </c>
      <c r="I275" s="257">
        <v>0</v>
      </c>
      <c r="J275" s="257">
        <v>0</v>
      </c>
      <c r="K275" s="257">
        <v>0</v>
      </c>
      <c r="L275" s="257">
        <v>0</v>
      </c>
      <c r="M275" s="257">
        <v>0</v>
      </c>
      <c r="N275" s="257">
        <v>0</v>
      </c>
      <c r="O275" s="257">
        <v>0</v>
      </c>
      <c r="P275" s="257">
        <v>0</v>
      </c>
      <c r="Q275" s="258">
        <v>0</v>
      </c>
    </row>
    <row r="276" spans="1:17">
      <c r="A276" s="256">
        <v>1</v>
      </c>
      <c r="B276" s="256">
        <v>6154602</v>
      </c>
      <c r="C276" s="256">
        <v>615460202</v>
      </c>
      <c r="D276" s="256" t="s">
        <v>734</v>
      </c>
      <c r="E276" s="256" t="s">
        <v>735</v>
      </c>
      <c r="F276" s="256" t="s">
        <v>780</v>
      </c>
      <c r="G276" s="256" t="s">
        <v>110</v>
      </c>
      <c r="H276" s="256" t="s">
        <v>741</v>
      </c>
      <c r="I276" s="257">
        <v>0</v>
      </c>
      <c r="J276" s="257">
        <v>0</v>
      </c>
      <c r="K276" s="257">
        <v>0</v>
      </c>
      <c r="L276" s="257">
        <v>0</v>
      </c>
      <c r="M276" s="257">
        <v>0</v>
      </c>
      <c r="N276" s="257">
        <v>0</v>
      </c>
      <c r="O276" s="257">
        <v>0</v>
      </c>
      <c r="P276" s="257">
        <v>0</v>
      </c>
      <c r="Q276" s="258">
        <v>0</v>
      </c>
    </row>
    <row r="277" spans="1:17">
      <c r="A277" s="256">
        <v>1</v>
      </c>
      <c r="B277" s="256">
        <v>6154603</v>
      </c>
      <c r="C277" s="256">
        <v>615460301</v>
      </c>
      <c r="D277" s="256" t="s">
        <v>734</v>
      </c>
      <c r="E277" s="256" t="s">
        <v>735</v>
      </c>
      <c r="F277" s="256" t="s">
        <v>780</v>
      </c>
      <c r="G277" s="256" t="s">
        <v>108</v>
      </c>
      <c r="H277" s="256" t="s">
        <v>742</v>
      </c>
      <c r="I277" s="257">
        <v>0</v>
      </c>
      <c r="J277" s="257">
        <v>0</v>
      </c>
      <c r="K277" s="257">
        <v>0</v>
      </c>
      <c r="L277" s="257">
        <v>0</v>
      </c>
      <c r="M277" s="257">
        <v>0</v>
      </c>
      <c r="N277" s="257">
        <v>0</v>
      </c>
      <c r="O277" s="257">
        <v>0</v>
      </c>
      <c r="P277" s="257">
        <v>0</v>
      </c>
      <c r="Q277" s="258">
        <v>0</v>
      </c>
    </row>
    <row r="278" spans="1:17">
      <c r="A278" s="256">
        <v>1</v>
      </c>
      <c r="B278" s="256">
        <v>6154603</v>
      </c>
      <c r="C278" s="256">
        <v>615460302</v>
      </c>
      <c r="D278" s="256" t="s">
        <v>734</v>
      </c>
      <c r="E278" s="256" t="s">
        <v>735</v>
      </c>
      <c r="F278" s="256" t="s">
        <v>780</v>
      </c>
      <c r="G278" s="256" t="s">
        <v>108</v>
      </c>
      <c r="H278" s="256" t="s">
        <v>743</v>
      </c>
      <c r="I278" s="257">
        <v>0</v>
      </c>
      <c r="J278" s="257">
        <v>0</v>
      </c>
      <c r="K278" s="257">
        <v>0</v>
      </c>
      <c r="L278" s="257">
        <v>0</v>
      </c>
      <c r="M278" s="257">
        <v>0</v>
      </c>
      <c r="N278" s="257">
        <v>0</v>
      </c>
      <c r="O278" s="257">
        <v>0</v>
      </c>
      <c r="P278" s="257">
        <v>0</v>
      </c>
      <c r="Q278" s="258">
        <v>0</v>
      </c>
    </row>
    <row r="279" spans="1:17">
      <c r="A279" s="256">
        <v>1</v>
      </c>
      <c r="B279" s="256">
        <v>6154603</v>
      </c>
      <c r="C279" s="256">
        <v>615460303</v>
      </c>
      <c r="D279" s="256" t="s">
        <v>734</v>
      </c>
      <c r="E279" s="256" t="s">
        <v>735</v>
      </c>
      <c r="F279" s="256" t="s">
        <v>780</v>
      </c>
      <c r="G279" s="256" t="s">
        <v>108</v>
      </c>
      <c r="H279" s="256" t="s">
        <v>744</v>
      </c>
      <c r="I279" s="257">
        <v>0</v>
      </c>
      <c r="J279" s="257">
        <v>0</v>
      </c>
      <c r="K279" s="257">
        <v>0</v>
      </c>
      <c r="L279" s="257">
        <v>0</v>
      </c>
      <c r="M279" s="257">
        <v>0</v>
      </c>
      <c r="N279" s="257">
        <v>0</v>
      </c>
      <c r="O279" s="257">
        <v>0</v>
      </c>
      <c r="P279" s="257">
        <v>0</v>
      </c>
      <c r="Q279" s="258">
        <v>0</v>
      </c>
    </row>
    <row r="280" spans="1:17">
      <c r="A280" s="256">
        <v>1</v>
      </c>
      <c r="B280" s="256">
        <v>6154603</v>
      </c>
      <c r="C280" s="256">
        <v>615460304</v>
      </c>
      <c r="D280" s="256" t="s">
        <v>734</v>
      </c>
      <c r="E280" s="256" t="s">
        <v>735</v>
      </c>
      <c r="F280" s="256" t="s">
        <v>780</v>
      </c>
      <c r="G280" s="256" t="s">
        <v>108</v>
      </c>
      <c r="H280" s="256" t="s">
        <v>745</v>
      </c>
      <c r="I280" s="257">
        <v>0</v>
      </c>
      <c r="J280" s="257">
        <v>0</v>
      </c>
      <c r="K280" s="257">
        <v>0</v>
      </c>
      <c r="L280" s="257">
        <v>0</v>
      </c>
      <c r="M280" s="257">
        <v>0</v>
      </c>
      <c r="N280" s="257">
        <v>0</v>
      </c>
      <c r="O280" s="257">
        <v>0</v>
      </c>
      <c r="P280" s="257">
        <v>0</v>
      </c>
      <c r="Q280" s="258">
        <v>0</v>
      </c>
    </row>
    <row r="281" spans="1:17">
      <c r="A281" s="256">
        <v>1</v>
      </c>
      <c r="B281" s="256">
        <v>6154603</v>
      </c>
      <c r="C281" s="256">
        <v>615460305</v>
      </c>
      <c r="D281" s="256" t="s">
        <v>734</v>
      </c>
      <c r="E281" s="256" t="s">
        <v>735</v>
      </c>
      <c r="F281" s="256" t="s">
        <v>780</v>
      </c>
      <c r="G281" s="256" t="s">
        <v>108</v>
      </c>
      <c r="H281" s="256" t="s">
        <v>746</v>
      </c>
      <c r="I281" s="257">
        <v>0</v>
      </c>
      <c r="J281" s="257">
        <v>0</v>
      </c>
      <c r="K281" s="257">
        <v>0</v>
      </c>
      <c r="L281" s="257">
        <v>0</v>
      </c>
      <c r="M281" s="257">
        <v>0</v>
      </c>
      <c r="N281" s="257">
        <v>0</v>
      </c>
      <c r="O281" s="257">
        <v>0</v>
      </c>
      <c r="P281" s="257">
        <v>0</v>
      </c>
      <c r="Q281" s="258">
        <v>0</v>
      </c>
    </row>
    <row r="282" spans="1:17">
      <c r="A282" s="256">
        <v>1</v>
      </c>
      <c r="B282" s="256">
        <v>6154603</v>
      </c>
      <c r="C282" s="256">
        <v>615460306</v>
      </c>
      <c r="D282" s="256" t="s">
        <v>734</v>
      </c>
      <c r="E282" s="256" t="s">
        <v>735</v>
      </c>
      <c r="F282" s="256" t="s">
        <v>780</v>
      </c>
      <c r="G282" s="256" t="s">
        <v>108</v>
      </c>
      <c r="H282" s="256" t="s">
        <v>747</v>
      </c>
      <c r="I282" s="257">
        <v>0</v>
      </c>
      <c r="J282" s="257">
        <v>0</v>
      </c>
      <c r="K282" s="257">
        <v>0</v>
      </c>
      <c r="L282" s="257">
        <v>0</v>
      </c>
      <c r="M282" s="257">
        <v>0</v>
      </c>
      <c r="N282" s="257">
        <v>0</v>
      </c>
      <c r="O282" s="257">
        <v>0</v>
      </c>
      <c r="P282" s="257">
        <v>0</v>
      </c>
      <c r="Q282" s="258">
        <v>0</v>
      </c>
    </row>
    <row r="283" spans="1:17">
      <c r="A283" s="256">
        <v>1</v>
      </c>
      <c r="B283" s="256">
        <v>6154603</v>
      </c>
      <c r="C283" s="256">
        <v>615460307</v>
      </c>
      <c r="D283" s="256" t="s">
        <v>734</v>
      </c>
      <c r="E283" s="256" t="s">
        <v>735</v>
      </c>
      <c r="F283" s="256" t="s">
        <v>780</v>
      </c>
      <c r="G283" s="256" t="s">
        <v>108</v>
      </c>
      <c r="H283" s="256" t="s">
        <v>748</v>
      </c>
      <c r="I283" s="257">
        <v>0</v>
      </c>
      <c r="J283" s="257">
        <v>0</v>
      </c>
      <c r="K283" s="257">
        <v>0</v>
      </c>
      <c r="L283" s="257">
        <v>0</v>
      </c>
      <c r="M283" s="257">
        <v>0</v>
      </c>
      <c r="N283" s="257">
        <v>0</v>
      </c>
      <c r="O283" s="257">
        <v>0</v>
      </c>
      <c r="P283" s="257">
        <v>0</v>
      </c>
      <c r="Q283" s="258">
        <v>0</v>
      </c>
    </row>
    <row r="284" spans="1:17">
      <c r="A284" s="256">
        <v>1</v>
      </c>
      <c r="B284" s="256">
        <v>6154603</v>
      </c>
      <c r="C284" s="256">
        <v>615460310</v>
      </c>
      <c r="D284" s="256" t="s">
        <v>734</v>
      </c>
      <c r="E284" s="256" t="s">
        <v>735</v>
      </c>
      <c r="F284" s="256" t="s">
        <v>780</v>
      </c>
      <c r="G284" s="256" t="s">
        <v>108</v>
      </c>
      <c r="H284" s="256" t="s">
        <v>749</v>
      </c>
      <c r="I284" s="257">
        <v>0</v>
      </c>
      <c r="J284" s="257">
        <v>0</v>
      </c>
      <c r="K284" s="257">
        <v>0</v>
      </c>
      <c r="L284" s="257">
        <v>0</v>
      </c>
      <c r="M284" s="257">
        <v>0</v>
      </c>
      <c r="N284" s="257">
        <v>0</v>
      </c>
      <c r="O284" s="257">
        <v>0</v>
      </c>
      <c r="P284" s="257">
        <v>0</v>
      </c>
      <c r="Q284" s="258">
        <v>0</v>
      </c>
    </row>
    <row r="285" spans="1:17">
      <c r="A285" s="256">
        <v>1</v>
      </c>
      <c r="B285" s="256">
        <v>6154603</v>
      </c>
      <c r="C285" s="256">
        <v>615460311</v>
      </c>
      <c r="D285" s="256" t="s">
        <v>734</v>
      </c>
      <c r="E285" s="256" t="s">
        <v>735</v>
      </c>
      <c r="F285" s="256" t="s">
        <v>780</v>
      </c>
      <c r="G285" s="256" t="s">
        <v>108</v>
      </c>
      <c r="H285" s="256" t="s">
        <v>750</v>
      </c>
      <c r="I285" s="257">
        <v>0</v>
      </c>
      <c r="J285" s="257">
        <v>0</v>
      </c>
      <c r="K285" s="257">
        <v>0</v>
      </c>
      <c r="L285" s="257">
        <v>0</v>
      </c>
      <c r="M285" s="257">
        <v>0</v>
      </c>
      <c r="N285" s="257">
        <v>0</v>
      </c>
      <c r="O285" s="257">
        <v>0</v>
      </c>
      <c r="P285" s="257">
        <v>0</v>
      </c>
      <c r="Q285" s="258">
        <v>0</v>
      </c>
    </row>
    <row r="286" spans="1:17">
      <c r="A286" s="256">
        <v>1</v>
      </c>
      <c r="B286" s="256">
        <v>6154603</v>
      </c>
      <c r="C286" s="256">
        <v>615460314</v>
      </c>
      <c r="D286" s="256" t="s">
        <v>734</v>
      </c>
      <c r="E286" s="256" t="s">
        <v>735</v>
      </c>
      <c r="F286" s="256" t="s">
        <v>780</v>
      </c>
      <c r="G286" s="256" t="s">
        <v>108</v>
      </c>
      <c r="H286" s="256" t="s">
        <v>751</v>
      </c>
      <c r="I286" s="257">
        <v>0</v>
      </c>
      <c r="J286" s="257">
        <v>0</v>
      </c>
      <c r="K286" s="257">
        <v>0</v>
      </c>
      <c r="L286" s="257">
        <v>0</v>
      </c>
      <c r="M286" s="257">
        <v>0</v>
      </c>
      <c r="N286" s="257">
        <v>0</v>
      </c>
      <c r="O286" s="257">
        <v>0</v>
      </c>
      <c r="P286" s="257">
        <v>0</v>
      </c>
      <c r="Q286" s="258">
        <v>0</v>
      </c>
    </row>
    <row r="287" spans="1:17">
      <c r="A287" s="256">
        <v>1</v>
      </c>
      <c r="B287" s="256">
        <v>6154603</v>
      </c>
      <c r="C287" s="256">
        <v>615460315</v>
      </c>
      <c r="D287" s="256" t="s">
        <v>734</v>
      </c>
      <c r="E287" s="256" t="s">
        <v>735</v>
      </c>
      <c r="F287" s="256" t="s">
        <v>780</v>
      </c>
      <c r="G287" s="256" t="s">
        <v>108</v>
      </c>
      <c r="H287" s="256" t="s">
        <v>752</v>
      </c>
      <c r="I287" s="257">
        <v>0</v>
      </c>
      <c r="J287" s="257">
        <v>0</v>
      </c>
      <c r="K287" s="257">
        <v>0</v>
      </c>
      <c r="L287" s="257">
        <v>0</v>
      </c>
      <c r="M287" s="257">
        <v>0</v>
      </c>
      <c r="N287" s="257">
        <v>0</v>
      </c>
      <c r="O287" s="257">
        <v>0</v>
      </c>
      <c r="P287" s="257">
        <v>0</v>
      </c>
      <c r="Q287" s="258">
        <v>0</v>
      </c>
    </row>
    <row r="288" spans="1:17">
      <c r="A288" s="256">
        <v>1</v>
      </c>
      <c r="B288" s="256">
        <v>6154604</v>
      </c>
      <c r="C288" s="256">
        <v>615460401</v>
      </c>
      <c r="D288" s="256" t="s">
        <v>734</v>
      </c>
      <c r="E288" s="256" t="s">
        <v>735</v>
      </c>
      <c r="F288" s="256" t="s">
        <v>780</v>
      </c>
      <c r="G288" s="256" t="s">
        <v>106</v>
      </c>
      <c r="H288" s="256" t="s">
        <v>755</v>
      </c>
      <c r="I288" s="257">
        <v>0</v>
      </c>
      <c r="J288" s="257">
        <v>0</v>
      </c>
      <c r="K288" s="257">
        <v>0</v>
      </c>
      <c r="L288" s="257">
        <v>0</v>
      </c>
      <c r="M288" s="257">
        <v>0</v>
      </c>
      <c r="N288" s="257">
        <v>0</v>
      </c>
      <c r="O288" s="257">
        <v>0</v>
      </c>
      <c r="P288" s="257">
        <v>0</v>
      </c>
      <c r="Q288" s="258">
        <v>0</v>
      </c>
    </row>
    <row r="289" spans="1:17">
      <c r="A289" s="256">
        <v>1</v>
      </c>
      <c r="B289" s="256">
        <v>6154604</v>
      </c>
      <c r="C289" s="256">
        <v>615460402</v>
      </c>
      <c r="D289" s="256" t="s">
        <v>734</v>
      </c>
      <c r="E289" s="256" t="s">
        <v>735</v>
      </c>
      <c r="F289" s="256" t="s">
        <v>780</v>
      </c>
      <c r="G289" s="256" t="s">
        <v>106</v>
      </c>
      <c r="H289" s="256" t="s">
        <v>756</v>
      </c>
      <c r="I289" s="257">
        <v>0</v>
      </c>
      <c r="J289" s="257">
        <v>0</v>
      </c>
      <c r="K289" s="257">
        <v>0</v>
      </c>
      <c r="L289" s="257">
        <v>0</v>
      </c>
      <c r="M289" s="257">
        <v>0</v>
      </c>
      <c r="N289" s="257">
        <v>0</v>
      </c>
      <c r="O289" s="257">
        <v>0</v>
      </c>
      <c r="P289" s="257">
        <v>0</v>
      </c>
      <c r="Q289" s="258">
        <v>0</v>
      </c>
    </row>
    <row r="290" spans="1:17">
      <c r="A290" s="256">
        <v>1</v>
      </c>
      <c r="B290" s="256">
        <v>6154604</v>
      </c>
      <c r="C290" s="256">
        <v>615460403</v>
      </c>
      <c r="D290" s="256" t="s">
        <v>734</v>
      </c>
      <c r="E290" s="256" t="s">
        <v>735</v>
      </c>
      <c r="F290" s="256" t="s">
        <v>780</v>
      </c>
      <c r="G290" s="256" t="s">
        <v>106</v>
      </c>
      <c r="H290" s="256" t="s">
        <v>757</v>
      </c>
      <c r="I290" s="257">
        <v>0</v>
      </c>
      <c r="J290" s="257">
        <v>0</v>
      </c>
      <c r="K290" s="257">
        <v>0</v>
      </c>
      <c r="L290" s="257">
        <v>0</v>
      </c>
      <c r="M290" s="257">
        <v>0</v>
      </c>
      <c r="N290" s="257">
        <v>0</v>
      </c>
      <c r="O290" s="257">
        <v>0</v>
      </c>
      <c r="P290" s="257">
        <v>0</v>
      </c>
      <c r="Q290" s="258">
        <v>0</v>
      </c>
    </row>
    <row r="291" spans="1:17">
      <c r="A291" s="256">
        <v>1</v>
      </c>
      <c r="B291" s="256">
        <v>6154604</v>
      </c>
      <c r="C291" s="256">
        <v>615460405</v>
      </c>
      <c r="D291" s="256" t="s">
        <v>734</v>
      </c>
      <c r="E291" s="256" t="s">
        <v>735</v>
      </c>
      <c r="F291" s="256" t="s">
        <v>780</v>
      </c>
      <c r="G291" s="256" t="s">
        <v>106</v>
      </c>
      <c r="H291" s="256" t="s">
        <v>758</v>
      </c>
      <c r="I291" s="257">
        <v>0</v>
      </c>
      <c r="J291" s="257">
        <v>0</v>
      </c>
      <c r="K291" s="257">
        <v>0</v>
      </c>
      <c r="L291" s="257">
        <v>0</v>
      </c>
      <c r="M291" s="257">
        <v>0</v>
      </c>
      <c r="N291" s="257">
        <v>0</v>
      </c>
      <c r="O291" s="257">
        <v>0</v>
      </c>
      <c r="P291" s="257">
        <v>0</v>
      </c>
      <c r="Q291" s="258">
        <v>0</v>
      </c>
    </row>
    <row r="292" spans="1:17">
      <c r="A292" s="256">
        <v>1</v>
      </c>
      <c r="B292" s="256">
        <v>6154604</v>
      </c>
      <c r="C292" s="256">
        <v>615460406</v>
      </c>
      <c r="D292" s="256" t="s">
        <v>734</v>
      </c>
      <c r="E292" s="256" t="s">
        <v>735</v>
      </c>
      <c r="F292" s="256" t="s">
        <v>780</v>
      </c>
      <c r="G292" s="256" t="s">
        <v>106</v>
      </c>
      <c r="H292" s="256" t="s">
        <v>759</v>
      </c>
      <c r="I292" s="257">
        <v>0</v>
      </c>
      <c r="J292" s="257">
        <v>0</v>
      </c>
      <c r="K292" s="257">
        <v>0</v>
      </c>
      <c r="L292" s="257">
        <v>0</v>
      </c>
      <c r="M292" s="257">
        <v>0</v>
      </c>
      <c r="N292" s="257">
        <v>0</v>
      </c>
      <c r="O292" s="257">
        <v>0</v>
      </c>
      <c r="P292" s="257">
        <v>0</v>
      </c>
      <c r="Q292" s="258">
        <v>0</v>
      </c>
    </row>
    <row r="293" spans="1:17">
      <c r="A293" s="256">
        <v>1</v>
      </c>
      <c r="B293" s="256">
        <v>6154604</v>
      </c>
      <c r="C293" s="256">
        <v>615460407</v>
      </c>
      <c r="D293" s="256" t="s">
        <v>734</v>
      </c>
      <c r="E293" s="256" t="s">
        <v>735</v>
      </c>
      <c r="F293" s="256" t="s">
        <v>780</v>
      </c>
      <c r="G293" s="256" t="s">
        <v>106</v>
      </c>
      <c r="H293" s="256" t="s">
        <v>760</v>
      </c>
      <c r="I293" s="257">
        <v>0</v>
      </c>
      <c r="J293" s="257">
        <v>0</v>
      </c>
      <c r="K293" s="257">
        <v>0</v>
      </c>
      <c r="L293" s="257">
        <v>0</v>
      </c>
      <c r="M293" s="257">
        <v>0</v>
      </c>
      <c r="N293" s="257">
        <v>0</v>
      </c>
      <c r="O293" s="257">
        <v>0</v>
      </c>
      <c r="P293" s="257">
        <v>0</v>
      </c>
      <c r="Q293" s="258">
        <v>0</v>
      </c>
    </row>
    <row r="294" spans="1:17">
      <c r="A294" s="256">
        <v>1</v>
      </c>
      <c r="B294" s="256">
        <v>6154604</v>
      </c>
      <c r="C294" s="256">
        <v>615460408</v>
      </c>
      <c r="D294" s="256" t="s">
        <v>734</v>
      </c>
      <c r="E294" s="256" t="s">
        <v>735</v>
      </c>
      <c r="F294" s="256" t="s">
        <v>780</v>
      </c>
      <c r="G294" s="256" t="s">
        <v>106</v>
      </c>
      <c r="H294" s="256" t="s">
        <v>761</v>
      </c>
      <c r="I294" s="257">
        <v>0</v>
      </c>
      <c r="J294" s="257">
        <v>0</v>
      </c>
      <c r="K294" s="257">
        <v>0</v>
      </c>
      <c r="L294" s="257">
        <v>0</v>
      </c>
      <c r="M294" s="257">
        <v>0</v>
      </c>
      <c r="N294" s="257">
        <v>0</v>
      </c>
      <c r="O294" s="257">
        <v>0</v>
      </c>
      <c r="P294" s="257">
        <v>0</v>
      </c>
      <c r="Q294" s="258">
        <v>0</v>
      </c>
    </row>
    <row r="295" spans="1:17">
      <c r="A295" s="256">
        <v>1</v>
      </c>
      <c r="B295" s="256">
        <v>6154604</v>
      </c>
      <c r="C295" s="256">
        <v>615460410</v>
      </c>
      <c r="D295" s="256" t="s">
        <v>734</v>
      </c>
      <c r="E295" s="256" t="s">
        <v>735</v>
      </c>
      <c r="F295" s="256" t="s">
        <v>780</v>
      </c>
      <c r="G295" s="256" t="s">
        <v>106</v>
      </c>
      <c r="H295" s="256" t="s">
        <v>762</v>
      </c>
      <c r="I295" s="257">
        <v>0</v>
      </c>
      <c r="J295" s="257">
        <v>0</v>
      </c>
      <c r="K295" s="257">
        <v>0</v>
      </c>
      <c r="L295" s="257">
        <v>0</v>
      </c>
      <c r="M295" s="257">
        <v>0</v>
      </c>
      <c r="N295" s="257">
        <v>0</v>
      </c>
      <c r="O295" s="257">
        <v>0</v>
      </c>
      <c r="P295" s="257">
        <v>0</v>
      </c>
      <c r="Q295" s="258">
        <v>0</v>
      </c>
    </row>
    <row r="296" spans="1:17">
      <c r="A296" s="256">
        <v>1</v>
      </c>
      <c r="B296" s="256">
        <v>6154605</v>
      </c>
      <c r="C296" s="256">
        <v>615460500</v>
      </c>
      <c r="D296" s="256" t="s">
        <v>734</v>
      </c>
      <c r="E296" s="256" t="s">
        <v>735</v>
      </c>
      <c r="F296" s="256" t="s">
        <v>780</v>
      </c>
      <c r="G296" s="256" t="s">
        <v>104</v>
      </c>
      <c r="H296" s="256"/>
      <c r="I296" s="257">
        <v>0</v>
      </c>
      <c r="J296" s="257">
        <v>0</v>
      </c>
      <c r="K296" s="257">
        <v>0</v>
      </c>
      <c r="L296" s="257">
        <v>0</v>
      </c>
      <c r="M296" s="257">
        <v>0</v>
      </c>
      <c r="N296" s="257">
        <v>0</v>
      </c>
      <c r="O296" s="257">
        <v>0</v>
      </c>
      <c r="P296" s="257">
        <v>0</v>
      </c>
      <c r="Q296" s="258">
        <v>0</v>
      </c>
    </row>
    <row r="297" spans="1:17">
      <c r="A297" s="256">
        <v>1</v>
      </c>
      <c r="B297" s="256">
        <v>6154607</v>
      </c>
      <c r="C297" s="256">
        <v>615460700</v>
      </c>
      <c r="D297" s="256" t="s">
        <v>734</v>
      </c>
      <c r="E297" s="256" t="s">
        <v>735</v>
      </c>
      <c r="F297" s="256" t="s">
        <v>780</v>
      </c>
      <c r="G297" s="256" t="s">
        <v>102</v>
      </c>
      <c r="H297" s="256"/>
      <c r="I297" s="257">
        <v>0</v>
      </c>
      <c r="J297" s="257">
        <v>0</v>
      </c>
      <c r="K297" s="257">
        <v>0</v>
      </c>
      <c r="L297" s="257">
        <v>0</v>
      </c>
      <c r="M297" s="257">
        <v>0</v>
      </c>
      <c r="N297" s="257">
        <v>0</v>
      </c>
      <c r="O297" s="257">
        <v>0</v>
      </c>
      <c r="P297" s="257">
        <v>0</v>
      </c>
      <c r="Q297" s="258">
        <v>0</v>
      </c>
    </row>
    <row r="298" spans="1:17">
      <c r="A298" s="256">
        <v>1</v>
      </c>
      <c r="B298" s="256">
        <v>6154608</v>
      </c>
      <c r="C298" s="256">
        <v>615460800</v>
      </c>
      <c r="D298" s="256" t="s">
        <v>734</v>
      </c>
      <c r="E298" s="256" t="s">
        <v>735</v>
      </c>
      <c r="F298" s="256" t="s">
        <v>780</v>
      </c>
      <c r="G298" s="256" t="s">
        <v>100</v>
      </c>
      <c r="H298" s="256"/>
      <c r="I298" s="257">
        <v>0</v>
      </c>
      <c r="J298" s="257">
        <v>0</v>
      </c>
      <c r="K298" s="257">
        <v>0</v>
      </c>
      <c r="L298" s="257">
        <v>0</v>
      </c>
      <c r="M298" s="257">
        <v>0</v>
      </c>
      <c r="N298" s="257">
        <v>0</v>
      </c>
      <c r="O298" s="257">
        <v>0</v>
      </c>
      <c r="P298" s="257">
        <v>0</v>
      </c>
      <c r="Q298" s="258">
        <v>0</v>
      </c>
    </row>
    <row r="299" spans="1:17">
      <c r="A299" s="256">
        <v>1</v>
      </c>
      <c r="B299" s="256">
        <v>6154610</v>
      </c>
      <c r="C299" s="256">
        <v>615461001</v>
      </c>
      <c r="D299" s="256" t="s">
        <v>734</v>
      </c>
      <c r="E299" s="256" t="s">
        <v>735</v>
      </c>
      <c r="F299" s="256" t="s">
        <v>780</v>
      </c>
      <c r="G299" s="256" t="s">
        <v>764</v>
      </c>
      <c r="H299" s="256" t="s">
        <v>98</v>
      </c>
      <c r="I299" s="257">
        <v>0</v>
      </c>
      <c r="J299" s="257">
        <v>0</v>
      </c>
      <c r="K299" s="257">
        <v>0</v>
      </c>
      <c r="L299" s="257">
        <v>0</v>
      </c>
      <c r="M299" s="257">
        <v>0</v>
      </c>
      <c r="N299" s="257">
        <v>0</v>
      </c>
      <c r="O299" s="257">
        <v>0</v>
      </c>
      <c r="P299" s="257">
        <v>0</v>
      </c>
      <c r="Q299" s="258">
        <v>0</v>
      </c>
    </row>
    <row r="300" spans="1:17">
      <c r="A300" s="256">
        <v>1</v>
      </c>
      <c r="B300" s="256">
        <v>6154610</v>
      </c>
      <c r="C300" s="256">
        <v>615461002</v>
      </c>
      <c r="D300" s="256" t="s">
        <v>734</v>
      </c>
      <c r="E300" s="256" t="s">
        <v>735</v>
      </c>
      <c r="F300" s="256" t="s">
        <v>780</v>
      </c>
      <c r="G300" s="256" t="s">
        <v>764</v>
      </c>
      <c r="H300" s="256" t="s">
        <v>95</v>
      </c>
      <c r="I300" s="257">
        <v>0</v>
      </c>
      <c r="J300" s="257">
        <v>0</v>
      </c>
      <c r="K300" s="257">
        <v>0</v>
      </c>
      <c r="L300" s="257">
        <v>0</v>
      </c>
      <c r="M300" s="257">
        <v>0</v>
      </c>
      <c r="N300" s="257">
        <v>0</v>
      </c>
      <c r="O300" s="257">
        <v>0</v>
      </c>
      <c r="P300" s="257">
        <v>0</v>
      </c>
      <c r="Q300" s="258">
        <v>0</v>
      </c>
    </row>
    <row r="301" spans="1:17">
      <c r="A301" s="236">
        <v>1</v>
      </c>
      <c r="B301" s="236">
        <v>6154610</v>
      </c>
      <c r="C301" s="236">
        <v>615461003</v>
      </c>
      <c r="D301" s="236" t="s">
        <v>734</v>
      </c>
      <c r="E301" s="236" t="s">
        <v>735</v>
      </c>
      <c r="F301" s="236" t="s">
        <v>780</v>
      </c>
      <c r="G301" s="236" t="s">
        <v>764</v>
      </c>
      <c r="H301" s="236" t="s">
        <v>765</v>
      </c>
      <c r="I301" s="257">
        <v>0</v>
      </c>
      <c r="J301" s="257">
        <v>0</v>
      </c>
      <c r="K301" s="257">
        <v>0</v>
      </c>
      <c r="L301" s="257">
        <v>0</v>
      </c>
      <c r="M301" s="257">
        <v>0</v>
      </c>
      <c r="N301" s="257">
        <v>0</v>
      </c>
      <c r="O301" s="257">
        <v>0</v>
      </c>
      <c r="P301" s="257">
        <v>0</v>
      </c>
      <c r="Q301" s="258">
        <v>0</v>
      </c>
    </row>
    <row r="302" spans="1:17">
      <c r="A302" s="256">
        <v>1</v>
      </c>
      <c r="B302" s="256">
        <v>6154613</v>
      </c>
      <c r="C302" s="256">
        <v>615461300</v>
      </c>
      <c r="D302" s="256" t="s">
        <v>734</v>
      </c>
      <c r="E302" s="256" t="s">
        <v>735</v>
      </c>
      <c r="F302" s="256" t="s">
        <v>780</v>
      </c>
      <c r="G302" s="256" t="s">
        <v>93</v>
      </c>
      <c r="H302" s="256"/>
      <c r="I302" s="257">
        <v>0</v>
      </c>
      <c r="J302" s="257">
        <v>0</v>
      </c>
      <c r="K302" s="257">
        <v>0</v>
      </c>
      <c r="L302" s="257">
        <v>0</v>
      </c>
      <c r="M302" s="257">
        <v>0</v>
      </c>
      <c r="N302" s="257">
        <v>0</v>
      </c>
      <c r="O302" s="257">
        <v>0</v>
      </c>
      <c r="P302" s="257">
        <v>0</v>
      </c>
      <c r="Q302" s="258">
        <v>0</v>
      </c>
    </row>
    <row r="303" spans="1:17">
      <c r="A303" s="256">
        <v>1</v>
      </c>
      <c r="B303" s="256">
        <v>6154614</v>
      </c>
      <c r="C303" s="256">
        <v>615461400</v>
      </c>
      <c r="D303" s="256" t="s">
        <v>734</v>
      </c>
      <c r="E303" s="256" t="s">
        <v>735</v>
      </c>
      <c r="F303" s="256" t="s">
        <v>780</v>
      </c>
      <c r="G303" s="256" t="s">
        <v>91</v>
      </c>
      <c r="H303" s="256"/>
      <c r="I303" s="257">
        <v>0</v>
      </c>
      <c r="J303" s="257">
        <v>0</v>
      </c>
      <c r="K303" s="257">
        <v>0</v>
      </c>
      <c r="L303" s="257">
        <v>0</v>
      </c>
      <c r="M303" s="257">
        <v>0</v>
      </c>
      <c r="N303" s="257">
        <v>0</v>
      </c>
      <c r="O303" s="257">
        <v>0</v>
      </c>
      <c r="P303" s="257">
        <v>0</v>
      </c>
      <c r="Q303" s="258">
        <v>0</v>
      </c>
    </row>
    <row r="304" spans="1:17">
      <c r="A304" s="256">
        <v>1</v>
      </c>
      <c r="B304" s="256">
        <v>6154615</v>
      </c>
      <c r="C304" s="256">
        <v>615461500</v>
      </c>
      <c r="D304" s="256" t="s">
        <v>734</v>
      </c>
      <c r="E304" s="256" t="s">
        <v>735</v>
      </c>
      <c r="F304" s="256" t="s">
        <v>780</v>
      </c>
      <c r="G304" s="256" t="s">
        <v>89</v>
      </c>
      <c r="H304" s="256"/>
      <c r="I304" s="257">
        <v>0</v>
      </c>
      <c r="J304" s="257">
        <v>0</v>
      </c>
      <c r="K304" s="257">
        <v>0</v>
      </c>
      <c r="L304" s="257">
        <v>0</v>
      </c>
      <c r="M304" s="257">
        <v>0</v>
      </c>
      <c r="N304" s="257">
        <v>0</v>
      </c>
      <c r="O304" s="257">
        <v>0</v>
      </c>
      <c r="P304" s="257">
        <v>0</v>
      </c>
      <c r="Q304" s="258">
        <v>0</v>
      </c>
    </row>
    <row r="305" spans="1:17">
      <c r="A305" s="256">
        <v>1</v>
      </c>
      <c r="B305" s="256">
        <v>6154617</v>
      </c>
      <c r="C305" s="256">
        <v>615461700</v>
      </c>
      <c r="D305" s="256" t="s">
        <v>734</v>
      </c>
      <c r="E305" s="256" t="s">
        <v>735</v>
      </c>
      <c r="F305" s="256" t="s">
        <v>780</v>
      </c>
      <c r="G305" s="256" t="s">
        <v>87</v>
      </c>
      <c r="H305" s="256"/>
      <c r="I305" s="257">
        <v>0</v>
      </c>
      <c r="J305" s="257">
        <v>0</v>
      </c>
      <c r="K305" s="257">
        <v>0</v>
      </c>
      <c r="L305" s="257">
        <v>0</v>
      </c>
      <c r="M305" s="257">
        <v>0</v>
      </c>
      <c r="N305" s="257">
        <v>0</v>
      </c>
      <c r="O305" s="257">
        <v>0</v>
      </c>
      <c r="P305" s="257">
        <v>0</v>
      </c>
      <c r="Q305" s="258">
        <v>0</v>
      </c>
    </row>
    <row r="306" spans="1:17">
      <c r="A306" s="256">
        <v>1</v>
      </c>
      <c r="B306" s="256">
        <v>6154619</v>
      </c>
      <c r="C306" s="256">
        <v>615461900</v>
      </c>
      <c r="D306" s="256" t="s">
        <v>734</v>
      </c>
      <c r="E306" s="256" t="s">
        <v>735</v>
      </c>
      <c r="F306" s="256" t="s">
        <v>780</v>
      </c>
      <c r="G306" s="256" t="s">
        <v>85</v>
      </c>
      <c r="H306" s="256"/>
      <c r="I306" s="257">
        <v>0</v>
      </c>
      <c r="J306" s="257">
        <v>0</v>
      </c>
      <c r="K306" s="257">
        <v>0</v>
      </c>
      <c r="L306" s="257">
        <v>0</v>
      </c>
      <c r="M306" s="257">
        <v>0</v>
      </c>
      <c r="N306" s="257">
        <v>0</v>
      </c>
      <c r="O306" s="257">
        <v>0</v>
      </c>
      <c r="P306" s="257">
        <v>0</v>
      </c>
      <c r="Q306" s="258">
        <v>0</v>
      </c>
    </row>
    <row r="307" spans="1:17">
      <c r="A307" s="256">
        <v>1</v>
      </c>
      <c r="B307" s="256">
        <v>6154620</v>
      </c>
      <c r="C307" s="256">
        <v>615462000</v>
      </c>
      <c r="D307" s="256" t="s">
        <v>734</v>
      </c>
      <c r="E307" s="256" t="s">
        <v>735</v>
      </c>
      <c r="F307" s="256" t="s">
        <v>780</v>
      </c>
      <c r="G307" s="256" t="s">
        <v>83</v>
      </c>
      <c r="H307" s="256"/>
      <c r="I307" s="257">
        <v>0</v>
      </c>
      <c r="J307" s="257">
        <v>0</v>
      </c>
      <c r="K307" s="257">
        <v>0</v>
      </c>
      <c r="L307" s="257">
        <v>0</v>
      </c>
      <c r="M307" s="257">
        <v>0</v>
      </c>
      <c r="N307" s="257">
        <v>0</v>
      </c>
      <c r="O307" s="257">
        <v>0</v>
      </c>
      <c r="P307" s="257">
        <v>0</v>
      </c>
      <c r="Q307" s="258">
        <v>0</v>
      </c>
    </row>
    <row r="308" spans="1:17">
      <c r="A308" s="256">
        <v>1</v>
      </c>
      <c r="B308" s="256">
        <v>6154621</v>
      </c>
      <c r="C308" s="256">
        <v>615462100</v>
      </c>
      <c r="D308" s="256" t="s">
        <v>734</v>
      </c>
      <c r="E308" s="256" t="s">
        <v>735</v>
      </c>
      <c r="F308" s="256" t="s">
        <v>780</v>
      </c>
      <c r="G308" s="256" t="s">
        <v>81</v>
      </c>
      <c r="H308" s="256"/>
      <c r="I308" s="257">
        <v>0</v>
      </c>
      <c r="J308" s="257">
        <v>0</v>
      </c>
      <c r="K308" s="257">
        <v>0</v>
      </c>
      <c r="L308" s="257">
        <v>0</v>
      </c>
      <c r="M308" s="257">
        <v>0</v>
      </c>
      <c r="N308" s="257">
        <v>0</v>
      </c>
      <c r="O308" s="257">
        <v>0</v>
      </c>
      <c r="P308" s="257">
        <v>0</v>
      </c>
      <c r="Q308" s="258">
        <v>0</v>
      </c>
    </row>
    <row r="309" spans="1:17">
      <c r="A309" s="256">
        <v>1</v>
      </c>
      <c r="B309" s="256">
        <v>6154623</v>
      </c>
      <c r="C309" s="256">
        <v>615462300</v>
      </c>
      <c r="D309" s="256" t="s">
        <v>734</v>
      </c>
      <c r="E309" s="256" t="s">
        <v>735</v>
      </c>
      <c r="F309" s="256" t="s">
        <v>780</v>
      </c>
      <c r="G309" s="256" t="s">
        <v>79</v>
      </c>
      <c r="H309" s="256"/>
      <c r="I309" s="257">
        <v>0</v>
      </c>
      <c r="J309" s="257">
        <v>0</v>
      </c>
      <c r="K309" s="257">
        <v>0</v>
      </c>
      <c r="L309" s="257">
        <v>0</v>
      </c>
      <c r="M309" s="257">
        <v>0</v>
      </c>
      <c r="N309" s="257">
        <v>0</v>
      </c>
      <c r="O309" s="257">
        <v>0</v>
      </c>
      <c r="P309" s="257">
        <v>0</v>
      </c>
      <c r="Q309" s="258">
        <v>0</v>
      </c>
    </row>
    <row r="310" spans="1:17">
      <c r="A310" s="256">
        <v>1</v>
      </c>
      <c r="B310" s="256">
        <v>6154624</v>
      </c>
      <c r="C310" s="256">
        <v>615462400</v>
      </c>
      <c r="D310" s="256" t="s">
        <v>734</v>
      </c>
      <c r="E310" s="256" t="s">
        <v>735</v>
      </c>
      <c r="F310" s="256" t="s">
        <v>780</v>
      </c>
      <c r="G310" s="256" t="s">
        <v>77</v>
      </c>
      <c r="H310" s="256"/>
      <c r="I310" s="257">
        <v>0</v>
      </c>
      <c r="J310" s="257">
        <v>0</v>
      </c>
      <c r="K310" s="257">
        <v>0</v>
      </c>
      <c r="L310" s="257">
        <v>0</v>
      </c>
      <c r="M310" s="257">
        <v>0</v>
      </c>
      <c r="N310" s="257">
        <v>0</v>
      </c>
      <c r="O310" s="257">
        <v>0</v>
      </c>
      <c r="P310" s="257">
        <v>0</v>
      </c>
      <c r="Q310" s="258">
        <v>0</v>
      </c>
    </row>
    <row r="311" spans="1:17">
      <c r="A311" s="256">
        <v>1</v>
      </c>
      <c r="B311" s="256">
        <v>6154631</v>
      </c>
      <c r="C311" s="256">
        <v>615463100</v>
      </c>
      <c r="D311" s="256" t="s">
        <v>734</v>
      </c>
      <c r="E311" s="256" t="s">
        <v>735</v>
      </c>
      <c r="F311" s="256" t="s">
        <v>780</v>
      </c>
      <c r="G311" s="256" t="s">
        <v>62</v>
      </c>
      <c r="H311" s="256"/>
      <c r="I311" s="257">
        <v>0</v>
      </c>
      <c r="J311" s="257">
        <v>0</v>
      </c>
      <c r="K311" s="257">
        <v>0</v>
      </c>
      <c r="L311" s="257">
        <v>0</v>
      </c>
      <c r="M311" s="257">
        <v>0</v>
      </c>
      <c r="N311" s="257">
        <v>0</v>
      </c>
      <c r="O311" s="257">
        <v>0</v>
      </c>
      <c r="P311" s="257">
        <v>0</v>
      </c>
      <c r="Q311" s="258">
        <v>0</v>
      </c>
    </row>
    <row r="312" spans="1:17">
      <c r="A312" s="256">
        <v>1</v>
      </c>
      <c r="B312" s="256">
        <v>6154637</v>
      </c>
      <c r="C312" s="256">
        <v>615463700</v>
      </c>
      <c r="D312" s="256" t="s">
        <v>734</v>
      </c>
      <c r="E312" s="256" t="s">
        <v>735</v>
      </c>
      <c r="F312" s="256" t="s">
        <v>780</v>
      </c>
      <c r="G312" s="256" t="s">
        <v>60</v>
      </c>
      <c r="H312" s="256"/>
      <c r="I312" s="257">
        <v>0</v>
      </c>
      <c r="J312" s="257">
        <v>0</v>
      </c>
      <c r="K312" s="257">
        <v>0</v>
      </c>
      <c r="L312" s="257">
        <v>0</v>
      </c>
      <c r="M312" s="257">
        <v>0</v>
      </c>
      <c r="N312" s="257">
        <v>0</v>
      </c>
      <c r="O312" s="257">
        <v>0</v>
      </c>
      <c r="P312" s="257">
        <v>0</v>
      </c>
      <c r="Q312" s="258">
        <v>0</v>
      </c>
    </row>
    <row r="313" spans="1:17">
      <c r="A313" s="256">
        <v>1</v>
      </c>
      <c r="B313" s="256">
        <v>6154639</v>
      </c>
      <c r="C313" s="256">
        <v>615463900</v>
      </c>
      <c r="D313" s="256" t="s">
        <v>734</v>
      </c>
      <c r="E313" s="256" t="s">
        <v>735</v>
      </c>
      <c r="F313" s="256" t="s">
        <v>780</v>
      </c>
      <c r="G313" s="256" t="s">
        <v>58</v>
      </c>
      <c r="H313" s="256"/>
      <c r="I313" s="257">
        <v>0</v>
      </c>
      <c r="J313" s="257">
        <v>0</v>
      </c>
      <c r="K313" s="257">
        <v>0</v>
      </c>
      <c r="L313" s="257">
        <v>0</v>
      </c>
      <c r="M313" s="257">
        <v>0</v>
      </c>
      <c r="N313" s="257">
        <v>0</v>
      </c>
      <c r="O313" s="257">
        <v>0</v>
      </c>
      <c r="P313" s="257">
        <v>0</v>
      </c>
      <c r="Q313" s="258">
        <v>0</v>
      </c>
    </row>
    <row r="314" spans="1:17">
      <c r="A314" s="256">
        <v>1</v>
      </c>
      <c r="B314" s="256">
        <v>6154640</v>
      </c>
      <c r="C314" s="256">
        <v>615464000</v>
      </c>
      <c r="D314" s="256" t="s">
        <v>734</v>
      </c>
      <c r="E314" s="256" t="s">
        <v>735</v>
      </c>
      <c r="F314" s="256" t="s">
        <v>780</v>
      </c>
      <c r="G314" s="256" t="s">
        <v>56</v>
      </c>
      <c r="H314" s="256"/>
      <c r="I314" s="257">
        <v>0</v>
      </c>
      <c r="J314" s="257">
        <v>0</v>
      </c>
      <c r="K314" s="257">
        <v>0</v>
      </c>
      <c r="L314" s="257">
        <v>0</v>
      </c>
      <c r="M314" s="257">
        <v>0</v>
      </c>
      <c r="N314" s="257">
        <v>0</v>
      </c>
      <c r="O314" s="257">
        <v>0</v>
      </c>
      <c r="P314" s="257">
        <v>0</v>
      </c>
      <c r="Q314" s="258">
        <v>0</v>
      </c>
    </row>
    <row r="315" spans="1:17">
      <c r="A315" s="256">
        <v>1</v>
      </c>
      <c r="B315" s="256">
        <v>6154641</v>
      </c>
      <c r="C315" s="256">
        <v>615464100</v>
      </c>
      <c r="D315" s="256" t="s">
        <v>734</v>
      </c>
      <c r="E315" s="256" t="s">
        <v>735</v>
      </c>
      <c r="F315" s="256" t="s">
        <v>780</v>
      </c>
      <c r="G315" s="256" t="s">
        <v>55</v>
      </c>
      <c r="H315" s="256"/>
      <c r="I315" s="257">
        <v>0</v>
      </c>
      <c r="J315" s="257">
        <v>0</v>
      </c>
      <c r="K315" s="257">
        <v>0</v>
      </c>
      <c r="L315" s="257">
        <v>0</v>
      </c>
      <c r="M315" s="257">
        <v>0</v>
      </c>
      <c r="N315" s="257">
        <v>0</v>
      </c>
      <c r="O315" s="257">
        <v>0</v>
      </c>
      <c r="P315" s="257">
        <v>0</v>
      </c>
      <c r="Q315" s="258">
        <v>0</v>
      </c>
    </row>
    <row r="316" spans="1:17">
      <c r="A316" s="256">
        <v>1</v>
      </c>
      <c r="B316" s="256">
        <v>6154665</v>
      </c>
      <c r="C316" s="256">
        <v>615466500</v>
      </c>
      <c r="D316" s="256" t="s">
        <v>734</v>
      </c>
      <c r="E316" s="256" t="s">
        <v>735</v>
      </c>
      <c r="F316" s="256" t="s">
        <v>780</v>
      </c>
      <c r="G316" s="256" t="s">
        <v>766</v>
      </c>
      <c r="H316" s="256"/>
      <c r="I316" s="257">
        <v>0</v>
      </c>
      <c r="J316" s="257">
        <v>0</v>
      </c>
      <c r="K316" s="257">
        <v>0</v>
      </c>
      <c r="L316" s="257">
        <v>0</v>
      </c>
      <c r="M316" s="257">
        <v>0</v>
      </c>
      <c r="N316" s="257">
        <v>0</v>
      </c>
      <c r="O316" s="257">
        <v>0</v>
      </c>
      <c r="P316" s="257">
        <v>0</v>
      </c>
      <c r="Q316" s="258">
        <v>0</v>
      </c>
    </row>
    <row r="317" spans="1:17">
      <c r="A317" s="256">
        <v>1</v>
      </c>
      <c r="B317" s="256">
        <v>6154669</v>
      </c>
      <c r="C317" s="256">
        <v>615466900</v>
      </c>
      <c r="D317" s="256" t="s">
        <v>734</v>
      </c>
      <c r="E317" s="256" t="s">
        <v>735</v>
      </c>
      <c r="F317" s="256" t="s">
        <v>780</v>
      </c>
      <c r="G317" s="256" t="s">
        <v>767</v>
      </c>
      <c r="H317" s="256"/>
      <c r="I317" s="257">
        <v>0</v>
      </c>
      <c r="J317" s="257">
        <v>0</v>
      </c>
      <c r="K317" s="257">
        <v>0</v>
      </c>
      <c r="L317" s="257">
        <v>0</v>
      </c>
      <c r="M317" s="257">
        <v>0</v>
      </c>
      <c r="N317" s="257">
        <v>0</v>
      </c>
      <c r="O317" s="257">
        <v>0</v>
      </c>
      <c r="P317" s="257">
        <v>0</v>
      </c>
      <c r="Q317" s="258">
        <v>0</v>
      </c>
    </row>
    <row r="318" spans="1:17">
      <c r="A318" s="256">
        <v>1</v>
      </c>
      <c r="B318" s="256">
        <v>6154670</v>
      </c>
      <c r="C318" s="256">
        <v>615467000</v>
      </c>
      <c r="D318" s="256" t="s">
        <v>734</v>
      </c>
      <c r="E318" s="256" t="s">
        <v>735</v>
      </c>
      <c r="F318" s="256" t="s">
        <v>780</v>
      </c>
      <c r="G318" s="256" t="s">
        <v>768</v>
      </c>
      <c r="H318" s="256"/>
      <c r="I318" s="257">
        <v>0</v>
      </c>
      <c r="J318" s="257">
        <v>0</v>
      </c>
      <c r="K318" s="257">
        <v>0</v>
      </c>
      <c r="L318" s="257">
        <v>0</v>
      </c>
      <c r="M318" s="257">
        <v>0</v>
      </c>
      <c r="N318" s="257">
        <v>0</v>
      </c>
      <c r="O318" s="257">
        <v>0</v>
      </c>
      <c r="P318" s="257">
        <v>0</v>
      </c>
      <c r="Q318" s="258">
        <v>0</v>
      </c>
    </row>
    <row r="319" spans="1:17">
      <c r="A319" s="256">
        <v>1</v>
      </c>
      <c r="B319" s="256">
        <v>6154671</v>
      </c>
      <c r="C319" s="256">
        <v>615467100</v>
      </c>
      <c r="D319" s="256" t="s">
        <v>734</v>
      </c>
      <c r="E319" s="256" t="s">
        <v>735</v>
      </c>
      <c r="F319" s="256" t="s">
        <v>780</v>
      </c>
      <c r="G319" s="256" t="s">
        <v>769</v>
      </c>
      <c r="H319" s="256"/>
      <c r="I319" s="257">
        <v>0</v>
      </c>
      <c r="J319" s="257">
        <v>0</v>
      </c>
      <c r="K319" s="257">
        <v>0</v>
      </c>
      <c r="L319" s="257">
        <v>0</v>
      </c>
      <c r="M319" s="257">
        <v>0</v>
      </c>
      <c r="N319" s="257">
        <v>0</v>
      </c>
      <c r="O319" s="257">
        <v>0</v>
      </c>
      <c r="P319" s="257">
        <v>0</v>
      </c>
      <c r="Q319" s="258">
        <v>0</v>
      </c>
    </row>
    <row r="320" spans="1:17">
      <c r="A320" s="256">
        <v>1</v>
      </c>
      <c r="B320" s="256">
        <v>6154672</v>
      </c>
      <c r="C320" s="256">
        <v>615467200</v>
      </c>
      <c r="D320" s="256" t="s">
        <v>734</v>
      </c>
      <c r="E320" s="256" t="s">
        <v>735</v>
      </c>
      <c r="F320" s="256" t="s">
        <v>780</v>
      </c>
      <c r="G320" s="256" t="s">
        <v>770</v>
      </c>
      <c r="H320" s="256"/>
      <c r="I320" s="257">
        <v>0</v>
      </c>
      <c r="J320" s="257">
        <v>0</v>
      </c>
      <c r="K320" s="257">
        <v>0</v>
      </c>
      <c r="L320" s="257">
        <v>0</v>
      </c>
      <c r="M320" s="257">
        <v>0</v>
      </c>
      <c r="N320" s="257">
        <v>0</v>
      </c>
      <c r="O320" s="257">
        <v>0</v>
      </c>
      <c r="P320" s="257">
        <v>0</v>
      </c>
      <c r="Q320" s="258">
        <v>0</v>
      </c>
    </row>
    <row r="321" spans="1:17">
      <c r="A321" s="256">
        <v>1</v>
      </c>
      <c r="B321" s="256">
        <v>6154673</v>
      </c>
      <c r="C321" s="256">
        <v>615467300</v>
      </c>
      <c r="D321" s="256" t="s">
        <v>734</v>
      </c>
      <c r="E321" s="256" t="s">
        <v>735</v>
      </c>
      <c r="F321" s="256" t="s">
        <v>780</v>
      </c>
      <c r="G321" s="256" t="s">
        <v>771</v>
      </c>
      <c r="H321" s="256"/>
      <c r="I321" s="257">
        <v>0</v>
      </c>
      <c r="J321" s="257">
        <v>0</v>
      </c>
      <c r="K321" s="257">
        <v>0</v>
      </c>
      <c r="L321" s="257">
        <v>0</v>
      </c>
      <c r="M321" s="257">
        <v>0</v>
      </c>
      <c r="N321" s="257">
        <v>0</v>
      </c>
      <c r="O321" s="257">
        <v>0</v>
      </c>
      <c r="P321" s="257">
        <v>0</v>
      </c>
      <c r="Q321" s="258">
        <v>0</v>
      </c>
    </row>
    <row r="322" spans="1:17">
      <c r="A322" s="256">
        <v>1</v>
      </c>
      <c r="B322" s="256">
        <v>6154674</v>
      </c>
      <c r="C322" s="256">
        <v>615467400</v>
      </c>
      <c r="D322" s="256" t="s">
        <v>734</v>
      </c>
      <c r="E322" s="256" t="s">
        <v>735</v>
      </c>
      <c r="F322" s="256" t="s">
        <v>780</v>
      </c>
      <c r="G322" s="256" t="s">
        <v>772</v>
      </c>
      <c r="H322" s="256"/>
      <c r="I322" s="257">
        <v>0</v>
      </c>
      <c r="J322" s="257">
        <v>0</v>
      </c>
      <c r="K322" s="257">
        <v>0</v>
      </c>
      <c r="L322" s="257">
        <v>0</v>
      </c>
      <c r="M322" s="257">
        <v>0</v>
      </c>
      <c r="N322" s="257">
        <v>0</v>
      </c>
      <c r="O322" s="257">
        <v>0</v>
      </c>
      <c r="P322" s="257">
        <v>0</v>
      </c>
      <c r="Q322" s="258">
        <v>0</v>
      </c>
    </row>
    <row r="323" spans="1:17">
      <c r="A323" s="256">
        <v>1</v>
      </c>
      <c r="B323" s="256">
        <v>6154675</v>
      </c>
      <c r="C323" s="256">
        <v>615467583</v>
      </c>
      <c r="D323" s="256" t="s">
        <v>734</v>
      </c>
      <c r="E323" s="256" t="s">
        <v>735</v>
      </c>
      <c r="F323" s="256" t="s">
        <v>780</v>
      </c>
      <c r="G323" s="256" t="s">
        <v>773</v>
      </c>
      <c r="H323" s="256" t="s">
        <v>75</v>
      </c>
      <c r="I323" s="257">
        <v>0</v>
      </c>
      <c r="J323" s="257">
        <v>0</v>
      </c>
      <c r="K323" s="257">
        <v>0</v>
      </c>
      <c r="L323" s="257">
        <v>0</v>
      </c>
      <c r="M323" s="257">
        <v>0</v>
      </c>
      <c r="N323" s="257">
        <v>0</v>
      </c>
      <c r="O323" s="257">
        <v>0</v>
      </c>
      <c r="P323" s="257">
        <v>0</v>
      </c>
      <c r="Q323" s="258">
        <v>0</v>
      </c>
    </row>
    <row r="324" spans="1:17">
      <c r="A324" s="256">
        <v>1</v>
      </c>
      <c r="B324" s="256">
        <v>6154675</v>
      </c>
      <c r="C324" s="256">
        <v>615467584</v>
      </c>
      <c r="D324" s="256" t="s">
        <v>734</v>
      </c>
      <c r="E324" s="256" t="s">
        <v>735</v>
      </c>
      <c r="F324" s="256" t="s">
        <v>780</v>
      </c>
      <c r="G324" s="256" t="s">
        <v>773</v>
      </c>
      <c r="H324" s="256" t="s">
        <v>774</v>
      </c>
      <c r="I324" s="257">
        <v>0</v>
      </c>
      <c r="J324" s="257">
        <v>0</v>
      </c>
      <c r="K324" s="257">
        <v>0</v>
      </c>
      <c r="L324" s="257">
        <v>0</v>
      </c>
      <c r="M324" s="257">
        <v>0</v>
      </c>
      <c r="N324" s="257">
        <v>0</v>
      </c>
      <c r="O324" s="257">
        <v>0</v>
      </c>
      <c r="P324" s="257">
        <v>0</v>
      </c>
      <c r="Q324" s="258">
        <v>0</v>
      </c>
    </row>
    <row r="325" spans="1:17">
      <c r="A325" s="256">
        <v>1</v>
      </c>
      <c r="B325" s="256">
        <v>6154675</v>
      </c>
      <c r="C325" s="256">
        <v>615467585</v>
      </c>
      <c r="D325" s="256" t="s">
        <v>734</v>
      </c>
      <c r="E325" s="256" t="s">
        <v>735</v>
      </c>
      <c r="F325" s="256" t="s">
        <v>780</v>
      </c>
      <c r="G325" s="256" t="s">
        <v>773</v>
      </c>
      <c r="H325" s="256" t="s">
        <v>775</v>
      </c>
      <c r="I325" s="257">
        <v>0</v>
      </c>
      <c r="J325" s="257">
        <v>0</v>
      </c>
      <c r="K325" s="257">
        <v>0</v>
      </c>
      <c r="L325" s="257">
        <v>0</v>
      </c>
      <c r="M325" s="257">
        <v>0</v>
      </c>
      <c r="N325" s="257">
        <v>0</v>
      </c>
      <c r="O325" s="257">
        <v>0</v>
      </c>
      <c r="P325" s="257">
        <v>0</v>
      </c>
      <c r="Q325" s="258">
        <v>0</v>
      </c>
    </row>
    <row r="326" spans="1:17">
      <c r="A326" s="256">
        <v>1</v>
      </c>
      <c r="B326" s="256">
        <v>6154675</v>
      </c>
      <c r="C326" s="256">
        <v>615467586</v>
      </c>
      <c r="D326" s="256" t="s">
        <v>734</v>
      </c>
      <c r="E326" s="256" t="s">
        <v>735</v>
      </c>
      <c r="F326" s="256" t="s">
        <v>780</v>
      </c>
      <c r="G326" s="256" t="s">
        <v>773</v>
      </c>
      <c r="H326" s="256" t="s">
        <v>776</v>
      </c>
      <c r="I326" s="257">
        <v>0</v>
      </c>
      <c r="J326" s="257">
        <v>0</v>
      </c>
      <c r="K326" s="257">
        <v>0</v>
      </c>
      <c r="L326" s="257">
        <v>0</v>
      </c>
      <c r="M326" s="257">
        <v>0</v>
      </c>
      <c r="N326" s="257">
        <v>0</v>
      </c>
      <c r="O326" s="257">
        <v>0</v>
      </c>
      <c r="P326" s="257">
        <v>0</v>
      </c>
      <c r="Q326" s="258">
        <v>0</v>
      </c>
    </row>
    <row r="327" spans="1:17">
      <c r="A327" s="256">
        <v>1</v>
      </c>
      <c r="B327" s="256">
        <v>6154675</v>
      </c>
      <c r="C327" s="256">
        <v>615467587</v>
      </c>
      <c r="D327" s="256" t="s">
        <v>734</v>
      </c>
      <c r="E327" s="256" t="s">
        <v>735</v>
      </c>
      <c r="F327" s="256" t="s">
        <v>780</v>
      </c>
      <c r="G327" s="256" t="s">
        <v>773</v>
      </c>
      <c r="H327" s="256" t="s">
        <v>665</v>
      </c>
      <c r="I327" s="257">
        <v>0</v>
      </c>
      <c r="J327" s="257">
        <v>0</v>
      </c>
      <c r="K327" s="257">
        <v>0</v>
      </c>
      <c r="L327" s="257">
        <v>0</v>
      </c>
      <c r="M327" s="257">
        <v>0</v>
      </c>
      <c r="N327" s="257">
        <v>0</v>
      </c>
      <c r="O327" s="257">
        <v>0</v>
      </c>
      <c r="P327" s="257">
        <v>0</v>
      </c>
      <c r="Q327" s="258">
        <v>0</v>
      </c>
    </row>
    <row r="328" spans="1:17">
      <c r="A328" s="256">
        <v>1</v>
      </c>
      <c r="B328" s="256">
        <v>6154675</v>
      </c>
      <c r="C328" s="256">
        <v>615467588</v>
      </c>
      <c r="D328" s="256" t="s">
        <v>734</v>
      </c>
      <c r="E328" s="256" t="s">
        <v>735</v>
      </c>
      <c r="F328" s="256" t="s">
        <v>780</v>
      </c>
      <c r="G328" s="256" t="s">
        <v>773</v>
      </c>
      <c r="H328" s="256" t="s">
        <v>73</v>
      </c>
      <c r="I328" s="257">
        <v>0</v>
      </c>
      <c r="J328" s="257">
        <v>0</v>
      </c>
      <c r="K328" s="257">
        <v>0</v>
      </c>
      <c r="L328" s="257">
        <v>0</v>
      </c>
      <c r="M328" s="257">
        <v>0</v>
      </c>
      <c r="N328" s="257">
        <v>0</v>
      </c>
      <c r="O328" s="257">
        <v>0</v>
      </c>
      <c r="P328" s="257">
        <v>0</v>
      </c>
      <c r="Q328" s="258">
        <v>0</v>
      </c>
    </row>
    <row r="329" spans="1:17">
      <c r="A329" s="256">
        <v>1</v>
      </c>
      <c r="B329" s="256">
        <v>6154775</v>
      </c>
      <c r="C329" s="256">
        <v>615477583</v>
      </c>
      <c r="D329" s="256" t="s">
        <v>734</v>
      </c>
      <c r="E329" s="256" t="s">
        <v>735</v>
      </c>
      <c r="F329" s="256" t="s">
        <v>781</v>
      </c>
      <c r="G329" s="256" t="s">
        <v>773</v>
      </c>
      <c r="H329" s="256" t="s">
        <v>75</v>
      </c>
      <c r="I329" s="257">
        <v>0</v>
      </c>
      <c r="J329" s="257">
        <v>0</v>
      </c>
      <c r="K329" s="257">
        <v>0</v>
      </c>
      <c r="L329" s="257">
        <v>0</v>
      </c>
      <c r="M329" s="257">
        <v>0</v>
      </c>
      <c r="N329" s="257">
        <v>0</v>
      </c>
      <c r="O329" s="257">
        <v>0</v>
      </c>
      <c r="P329" s="257">
        <v>0</v>
      </c>
      <c r="Q329" s="258">
        <v>0</v>
      </c>
    </row>
    <row r="330" spans="1:17">
      <c r="A330" s="256">
        <v>1</v>
      </c>
      <c r="B330" s="256">
        <v>6154775</v>
      </c>
      <c r="C330" s="256">
        <v>615477584</v>
      </c>
      <c r="D330" s="256" t="s">
        <v>734</v>
      </c>
      <c r="E330" s="256" t="s">
        <v>735</v>
      </c>
      <c r="F330" s="256" t="s">
        <v>781</v>
      </c>
      <c r="G330" s="256" t="s">
        <v>773</v>
      </c>
      <c r="H330" s="256" t="s">
        <v>774</v>
      </c>
      <c r="I330" s="257">
        <v>0</v>
      </c>
      <c r="J330" s="257">
        <v>0</v>
      </c>
      <c r="K330" s="257">
        <v>0</v>
      </c>
      <c r="L330" s="257">
        <v>0</v>
      </c>
      <c r="M330" s="257">
        <v>0</v>
      </c>
      <c r="N330" s="257">
        <v>0</v>
      </c>
      <c r="O330" s="257">
        <v>0</v>
      </c>
      <c r="P330" s="257">
        <v>0</v>
      </c>
      <c r="Q330" s="258">
        <v>0</v>
      </c>
    </row>
    <row r="331" spans="1:17">
      <c r="A331" s="256">
        <v>1</v>
      </c>
      <c r="B331" s="256">
        <v>6154775</v>
      </c>
      <c r="C331" s="256">
        <v>615477585</v>
      </c>
      <c r="D331" s="256" t="s">
        <v>734</v>
      </c>
      <c r="E331" s="256" t="s">
        <v>735</v>
      </c>
      <c r="F331" s="256" t="s">
        <v>781</v>
      </c>
      <c r="G331" s="256" t="s">
        <v>773</v>
      </c>
      <c r="H331" s="256" t="s">
        <v>775</v>
      </c>
      <c r="I331" s="257">
        <v>0</v>
      </c>
      <c r="J331" s="257">
        <v>0</v>
      </c>
      <c r="K331" s="257">
        <v>0</v>
      </c>
      <c r="L331" s="257">
        <v>0</v>
      </c>
      <c r="M331" s="257">
        <v>0</v>
      </c>
      <c r="N331" s="257">
        <v>0</v>
      </c>
      <c r="O331" s="257">
        <v>0</v>
      </c>
      <c r="P331" s="257">
        <v>0</v>
      </c>
      <c r="Q331" s="258">
        <v>0</v>
      </c>
    </row>
    <row r="332" spans="1:17">
      <c r="A332" s="256">
        <v>1</v>
      </c>
      <c r="B332" s="256">
        <v>6154775</v>
      </c>
      <c r="C332" s="256">
        <v>615477586</v>
      </c>
      <c r="D332" s="256" t="s">
        <v>734</v>
      </c>
      <c r="E332" s="256" t="s">
        <v>735</v>
      </c>
      <c r="F332" s="256" t="s">
        <v>781</v>
      </c>
      <c r="G332" s="256" t="s">
        <v>773</v>
      </c>
      <c r="H332" s="256" t="s">
        <v>776</v>
      </c>
      <c r="I332" s="257">
        <v>0</v>
      </c>
      <c r="J332" s="257">
        <v>0</v>
      </c>
      <c r="K332" s="257">
        <v>0</v>
      </c>
      <c r="L332" s="257">
        <v>0</v>
      </c>
      <c r="M332" s="257">
        <v>0</v>
      </c>
      <c r="N332" s="257">
        <v>0</v>
      </c>
      <c r="O332" s="257">
        <v>0</v>
      </c>
      <c r="P332" s="257">
        <v>0</v>
      </c>
      <c r="Q332" s="258">
        <v>0</v>
      </c>
    </row>
    <row r="333" spans="1:17">
      <c r="A333" s="256">
        <v>1</v>
      </c>
      <c r="B333" s="256">
        <v>6154775</v>
      </c>
      <c r="C333" s="256">
        <v>615477587</v>
      </c>
      <c r="D333" s="256" t="s">
        <v>734</v>
      </c>
      <c r="E333" s="256" t="s">
        <v>735</v>
      </c>
      <c r="F333" s="256" t="s">
        <v>781</v>
      </c>
      <c r="G333" s="256" t="s">
        <v>773</v>
      </c>
      <c r="H333" s="256" t="s">
        <v>665</v>
      </c>
      <c r="I333" s="257">
        <v>131921564</v>
      </c>
      <c r="J333" s="257">
        <v>0</v>
      </c>
      <c r="K333" s="257">
        <v>0</v>
      </c>
      <c r="L333" s="257">
        <v>0</v>
      </c>
      <c r="M333" s="257">
        <v>0</v>
      </c>
      <c r="N333" s="257">
        <v>121228564</v>
      </c>
      <c r="O333" s="257">
        <v>0</v>
      </c>
      <c r="P333" s="257">
        <v>10693000</v>
      </c>
      <c r="Q333" s="258">
        <v>0</v>
      </c>
    </row>
    <row r="334" spans="1:17">
      <c r="A334" s="256">
        <v>1</v>
      </c>
      <c r="B334" s="256">
        <v>6154875</v>
      </c>
      <c r="C334" s="256">
        <v>615487583</v>
      </c>
      <c r="D334" s="256" t="s">
        <v>734</v>
      </c>
      <c r="E334" s="256" t="s">
        <v>735</v>
      </c>
      <c r="F334" s="256" t="s">
        <v>782</v>
      </c>
      <c r="G334" s="256" t="s">
        <v>773</v>
      </c>
      <c r="H334" s="256" t="s">
        <v>75</v>
      </c>
      <c r="I334" s="257">
        <v>0</v>
      </c>
      <c r="J334" s="257">
        <v>0</v>
      </c>
      <c r="K334" s="257">
        <v>0</v>
      </c>
      <c r="L334" s="257">
        <v>0</v>
      </c>
      <c r="M334" s="257">
        <v>0</v>
      </c>
      <c r="N334" s="257">
        <v>0</v>
      </c>
      <c r="O334" s="257">
        <v>0</v>
      </c>
      <c r="P334" s="257">
        <v>0</v>
      </c>
      <c r="Q334" s="258">
        <v>0</v>
      </c>
    </row>
    <row r="335" spans="1:17">
      <c r="A335" s="256">
        <v>1</v>
      </c>
      <c r="B335" s="256">
        <v>6154875</v>
      </c>
      <c r="C335" s="256">
        <v>615487584</v>
      </c>
      <c r="D335" s="256" t="s">
        <v>734</v>
      </c>
      <c r="E335" s="256" t="s">
        <v>735</v>
      </c>
      <c r="F335" s="256" t="s">
        <v>782</v>
      </c>
      <c r="G335" s="256" t="s">
        <v>773</v>
      </c>
      <c r="H335" s="256" t="s">
        <v>774</v>
      </c>
      <c r="I335" s="257">
        <v>0</v>
      </c>
      <c r="J335" s="257">
        <v>0</v>
      </c>
      <c r="K335" s="257">
        <v>0</v>
      </c>
      <c r="L335" s="257">
        <v>0</v>
      </c>
      <c r="M335" s="257">
        <v>0</v>
      </c>
      <c r="N335" s="257">
        <v>0</v>
      </c>
      <c r="O335" s="257">
        <v>0</v>
      </c>
      <c r="P335" s="257">
        <v>0</v>
      </c>
      <c r="Q335" s="258">
        <v>0</v>
      </c>
    </row>
    <row r="336" spans="1:17">
      <c r="A336" s="256">
        <v>1</v>
      </c>
      <c r="B336" s="256">
        <v>6154875</v>
      </c>
      <c r="C336" s="256">
        <v>615487585</v>
      </c>
      <c r="D336" s="256" t="s">
        <v>734</v>
      </c>
      <c r="E336" s="256" t="s">
        <v>735</v>
      </c>
      <c r="F336" s="256" t="s">
        <v>782</v>
      </c>
      <c r="G336" s="256" t="s">
        <v>773</v>
      </c>
      <c r="H336" s="256" t="s">
        <v>775</v>
      </c>
      <c r="I336" s="257">
        <v>0</v>
      </c>
      <c r="J336" s="257">
        <v>0</v>
      </c>
      <c r="K336" s="257">
        <v>0</v>
      </c>
      <c r="L336" s="257">
        <v>0</v>
      </c>
      <c r="M336" s="257">
        <v>0</v>
      </c>
      <c r="N336" s="257">
        <v>0</v>
      </c>
      <c r="O336" s="257">
        <v>0</v>
      </c>
      <c r="P336" s="257">
        <v>0</v>
      </c>
      <c r="Q336" s="258">
        <v>0</v>
      </c>
    </row>
    <row r="337" spans="1:17">
      <c r="A337" s="256">
        <v>1</v>
      </c>
      <c r="B337" s="256">
        <v>6154875</v>
      </c>
      <c r="C337" s="256">
        <v>615487586</v>
      </c>
      <c r="D337" s="256" t="s">
        <v>734</v>
      </c>
      <c r="E337" s="256" t="s">
        <v>735</v>
      </c>
      <c r="F337" s="256" t="s">
        <v>782</v>
      </c>
      <c r="G337" s="256" t="s">
        <v>773</v>
      </c>
      <c r="H337" s="256" t="s">
        <v>776</v>
      </c>
      <c r="I337" s="257">
        <v>0</v>
      </c>
      <c r="J337" s="257">
        <v>0</v>
      </c>
      <c r="K337" s="257">
        <v>0</v>
      </c>
      <c r="L337" s="257">
        <v>0</v>
      </c>
      <c r="M337" s="257">
        <v>0</v>
      </c>
      <c r="N337" s="257">
        <v>0</v>
      </c>
      <c r="O337" s="257">
        <v>0</v>
      </c>
      <c r="P337" s="257">
        <v>0</v>
      </c>
      <c r="Q337" s="258">
        <v>0</v>
      </c>
    </row>
    <row r="338" spans="1:17">
      <c r="A338" s="256">
        <v>1</v>
      </c>
      <c r="B338" s="256">
        <v>6154875</v>
      </c>
      <c r="C338" s="256">
        <v>615487587</v>
      </c>
      <c r="D338" s="256" t="s">
        <v>734</v>
      </c>
      <c r="E338" s="256" t="s">
        <v>735</v>
      </c>
      <c r="F338" s="256" t="s">
        <v>782</v>
      </c>
      <c r="G338" s="256" t="s">
        <v>773</v>
      </c>
      <c r="H338" s="256" t="s">
        <v>665</v>
      </c>
      <c r="I338" s="257">
        <v>0</v>
      </c>
      <c r="J338" s="257">
        <v>0</v>
      </c>
      <c r="K338" s="257">
        <v>0</v>
      </c>
      <c r="L338" s="257">
        <v>0</v>
      </c>
      <c r="M338" s="257">
        <v>0</v>
      </c>
      <c r="N338" s="257">
        <v>0</v>
      </c>
      <c r="O338" s="257">
        <v>0</v>
      </c>
      <c r="P338" s="257">
        <v>0</v>
      </c>
      <c r="Q338" s="258">
        <v>0</v>
      </c>
    </row>
    <row r="339" spans="1:17">
      <c r="A339" s="256">
        <v>1</v>
      </c>
      <c r="B339" s="256">
        <v>6155017</v>
      </c>
      <c r="C339" s="256">
        <v>615501700</v>
      </c>
      <c r="D339" s="256" t="s">
        <v>734</v>
      </c>
      <c r="E339" s="256" t="s">
        <v>735</v>
      </c>
      <c r="F339" s="256" t="s">
        <v>783</v>
      </c>
      <c r="G339" s="256" t="s">
        <v>87</v>
      </c>
      <c r="H339" s="256"/>
      <c r="I339" s="257">
        <v>0</v>
      </c>
      <c r="J339" s="257">
        <v>0</v>
      </c>
      <c r="K339" s="257">
        <v>0</v>
      </c>
      <c r="L339" s="257">
        <v>0</v>
      </c>
      <c r="M339" s="257">
        <v>0</v>
      </c>
      <c r="N339" s="257">
        <v>0</v>
      </c>
      <c r="O339" s="257">
        <v>0</v>
      </c>
      <c r="P339" s="257">
        <v>0</v>
      </c>
      <c r="Q339" s="258">
        <v>0</v>
      </c>
    </row>
    <row r="340" spans="1:17">
      <c r="A340" s="256">
        <v>1</v>
      </c>
      <c r="B340" s="256">
        <v>6155020</v>
      </c>
      <c r="C340" s="256">
        <v>615502000</v>
      </c>
      <c r="D340" s="256" t="s">
        <v>734</v>
      </c>
      <c r="E340" s="256" t="s">
        <v>735</v>
      </c>
      <c r="F340" s="256" t="s">
        <v>783</v>
      </c>
      <c r="G340" s="256" t="s">
        <v>83</v>
      </c>
      <c r="H340" s="256"/>
      <c r="I340" s="257">
        <v>0</v>
      </c>
      <c r="J340" s="257">
        <v>0</v>
      </c>
      <c r="K340" s="257">
        <v>0</v>
      </c>
      <c r="L340" s="257">
        <v>0</v>
      </c>
      <c r="M340" s="257">
        <v>0</v>
      </c>
      <c r="N340" s="257">
        <v>0</v>
      </c>
      <c r="O340" s="257">
        <v>0</v>
      </c>
      <c r="P340" s="257">
        <v>0</v>
      </c>
      <c r="Q340" s="258">
        <v>0</v>
      </c>
    </row>
    <row r="341" spans="1:17">
      <c r="A341" s="256">
        <v>1</v>
      </c>
      <c r="B341" s="256">
        <v>6155065</v>
      </c>
      <c r="C341" s="256">
        <v>615506500</v>
      </c>
      <c r="D341" s="256" t="s">
        <v>734</v>
      </c>
      <c r="E341" s="256" t="s">
        <v>735</v>
      </c>
      <c r="F341" s="256" t="s">
        <v>783</v>
      </c>
      <c r="G341" s="256" t="s">
        <v>766</v>
      </c>
      <c r="H341" s="256"/>
      <c r="I341" s="257">
        <v>0</v>
      </c>
      <c r="J341" s="257">
        <v>0</v>
      </c>
      <c r="K341" s="257">
        <v>0</v>
      </c>
      <c r="L341" s="257">
        <v>0</v>
      </c>
      <c r="M341" s="257">
        <v>0</v>
      </c>
      <c r="N341" s="257">
        <v>0</v>
      </c>
      <c r="O341" s="257">
        <v>0</v>
      </c>
      <c r="P341" s="257">
        <v>0</v>
      </c>
      <c r="Q341" s="258">
        <v>0</v>
      </c>
    </row>
    <row r="342" spans="1:17">
      <c r="A342" s="256">
        <v>1</v>
      </c>
      <c r="B342" s="256">
        <v>6155069</v>
      </c>
      <c r="C342" s="256">
        <v>615506900</v>
      </c>
      <c r="D342" s="256" t="s">
        <v>734</v>
      </c>
      <c r="E342" s="256" t="s">
        <v>735</v>
      </c>
      <c r="F342" s="256" t="s">
        <v>783</v>
      </c>
      <c r="G342" s="256" t="s">
        <v>767</v>
      </c>
      <c r="H342" s="256"/>
      <c r="I342" s="257">
        <v>3003980</v>
      </c>
      <c r="J342" s="257">
        <v>0</v>
      </c>
      <c r="K342" s="257">
        <v>0</v>
      </c>
      <c r="L342" s="257">
        <v>0</v>
      </c>
      <c r="M342" s="257">
        <v>0</v>
      </c>
      <c r="N342" s="257">
        <v>3003980</v>
      </c>
      <c r="O342" s="257">
        <v>0</v>
      </c>
      <c r="P342" s="257">
        <v>0</v>
      </c>
      <c r="Q342" s="258">
        <v>0</v>
      </c>
    </row>
    <row r="343" spans="1:17">
      <c r="A343" s="256">
        <v>1</v>
      </c>
      <c r="B343" s="256">
        <v>6155070</v>
      </c>
      <c r="C343" s="256">
        <v>615507000</v>
      </c>
      <c r="D343" s="256" t="s">
        <v>734</v>
      </c>
      <c r="E343" s="256" t="s">
        <v>735</v>
      </c>
      <c r="F343" s="256" t="s">
        <v>783</v>
      </c>
      <c r="G343" s="256" t="s">
        <v>768</v>
      </c>
      <c r="H343" s="256"/>
      <c r="I343" s="257">
        <v>6518930</v>
      </c>
      <c r="J343" s="257">
        <v>0</v>
      </c>
      <c r="K343" s="257">
        <v>0</v>
      </c>
      <c r="L343" s="257">
        <v>0</v>
      </c>
      <c r="M343" s="257">
        <v>0</v>
      </c>
      <c r="N343" s="257">
        <v>6518930</v>
      </c>
      <c r="O343" s="257">
        <v>0</v>
      </c>
      <c r="P343" s="257">
        <v>0</v>
      </c>
      <c r="Q343" s="258">
        <v>0</v>
      </c>
    </row>
    <row r="344" spans="1:17">
      <c r="A344" s="256">
        <v>1</v>
      </c>
      <c r="B344" s="256">
        <v>6155071</v>
      </c>
      <c r="C344" s="256">
        <v>615507100</v>
      </c>
      <c r="D344" s="256" t="s">
        <v>734</v>
      </c>
      <c r="E344" s="256" t="s">
        <v>735</v>
      </c>
      <c r="F344" s="256" t="s">
        <v>783</v>
      </c>
      <c r="G344" s="256" t="s">
        <v>769</v>
      </c>
      <c r="H344" s="256"/>
      <c r="I344" s="257">
        <v>0</v>
      </c>
      <c r="J344" s="257">
        <v>0</v>
      </c>
      <c r="K344" s="257">
        <v>0</v>
      </c>
      <c r="L344" s="257">
        <v>0</v>
      </c>
      <c r="M344" s="257">
        <v>0</v>
      </c>
      <c r="N344" s="257">
        <v>0</v>
      </c>
      <c r="O344" s="257">
        <v>0</v>
      </c>
      <c r="P344" s="257">
        <v>0</v>
      </c>
      <c r="Q344" s="258">
        <v>0</v>
      </c>
    </row>
    <row r="345" spans="1:17">
      <c r="A345" s="256">
        <v>1</v>
      </c>
      <c r="B345" s="256">
        <v>6155072</v>
      </c>
      <c r="C345" s="256">
        <v>615507200</v>
      </c>
      <c r="D345" s="256" t="s">
        <v>734</v>
      </c>
      <c r="E345" s="256" t="s">
        <v>735</v>
      </c>
      <c r="F345" s="256" t="s">
        <v>783</v>
      </c>
      <c r="G345" s="256" t="s">
        <v>770</v>
      </c>
      <c r="H345" s="256"/>
      <c r="I345" s="257">
        <v>0</v>
      </c>
      <c r="J345" s="257">
        <v>0</v>
      </c>
      <c r="K345" s="257">
        <v>0</v>
      </c>
      <c r="L345" s="257">
        <v>0</v>
      </c>
      <c r="M345" s="257">
        <v>0</v>
      </c>
      <c r="N345" s="257">
        <v>0</v>
      </c>
      <c r="O345" s="257">
        <v>0</v>
      </c>
      <c r="P345" s="257">
        <v>0</v>
      </c>
      <c r="Q345" s="258">
        <v>0</v>
      </c>
    </row>
    <row r="346" spans="1:17">
      <c r="A346" s="256">
        <v>1</v>
      </c>
      <c r="B346" s="256">
        <v>6155073</v>
      </c>
      <c r="C346" s="256">
        <v>615507300</v>
      </c>
      <c r="D346" s="256" t="s">
        <v>734</v>
      </c>
      <c r="E346" s="256" t="s">
        <v>735</v>
      </c>
      <c r="F346" s="256" t="s">
        <v>783</v>
      </c>
      <c r="G346" s="256" t="s">
        <v>771</v>
      </c>
      <c r="H346" s="256"/>
      <c r="I346" s="257">
        <v>0</v>
      </c>
      <c r="J346" s="257">
        <v>0</v>
      </c>
      <c r="K346" s="257">
        <v>0</v>
      </c>
      <c r="L346" s="257">
        <v>0</v>
      </c>
      <c r="M346" s="257">
        <v>0</v>
      </c>
      <c r="N346" s="257">
        <v>0</v>
      </c>
      <c r="O346" s="257">
        <v>0</v>
      </c>
      <c r="P346" s="257">
        <v>0</v>
      </c>
      <c r="Q346" s="258">
        <v>0</v>
      </c>
    </row>
    <row r="347" spans="1:17">
      <c r="A347" s="256">
        <v>1</v>
      </c>
      <c r="B347" s="256">
        <v>6155074</v>
      </c>
      <c r="C347" s="256">
        <v>615507400</v>
      </c>
      <c r="D347" s="256" t="s">
        <v>734</v>
      </c>
      <c r="E347" s="256" t="s">
        <v>735</v>
      </c>
      <c r="F347" s="256" t="s">
        <v>783</v>
      </c>
      <c r="G347" s="256" t="s">
        <v>772</v>
      </c>
      <c r="H347" s="256"/>
      <c r="I347" s="257">
        <v>0</v>
      </c>
      <c r="J347" s="257">
        <v>0</v>
      </c>
      <c r="K347" s="257">
        <v>0</v>
      </c>
      <c r="L347" s="257">
        <v>0</v>
      </c>
      <c r="M347" s="257">
        <v>0</v>
      </c>
      <c r="N347" s="257">
        <v>0</v>
      </c>
      <c r="O347" s="257">
        <v>0</v>
      </c>
      <c r="P347" s="257">
        <v>0</v>
      </c>
      <c r="Q347" s="258">
        <v>0</v>
      </c>
    </row>
    <row r="348" spans="1:17">
      <c r="A348" s="256">
        <v>1</v>
      </c>
      <c r="B348" s="256">
        <v>6155075</v>
      </c>
      <c r="C348" s="256">
        <v>615507583</v>
      </c>
      <c r="D348" s="256" t="s">
        <v>734</v>
      </c>
      <c r="E348" s="256" t="s">
        <v>735</v>
      </c>
      <c r="F348" s="256" t="s">
        <v>783</v>
      </c>
      <c r="G348" s="256" t="s">
        <v>773</v>
      </c>
      <c r="H348" s="256" t="s">
        <v>75</v>
      </c>
      <c r="I348" s="257">
        <v>48126100</v>
      </c>
      <c r="J348" s="257">
        <v>0</v>
      </c>
      <c r="K348" s="257">
        <v>0</v>
      </c>
      <c r="L348" s="257">
        <v>0</v>
      </c>
      <c r="M348" s="257">
        <v>0</v>
      </c>
      <c r="N348" s="257">
        <v>48126100</v>
      </c>
      <c r="O348" s="257">
        <v>0</v>
      </c>
      <c r="P348" s="257">
        <v>0</v>
      </c>
      <c r="Q348" s="258">
        <v>0</v>
      </c>
    </row>
    <row r="349" spans="1:17">
      <c r="A349" s="256">
        <v>1</v>
      </c>
      <c r="B349" s="256">
        <v>6155075</v>
      </c>
      <c r="C349" s="256">
        <v>615507584</v>
      </c>
      <c r="D349" s="256" t="s">
        <v>734</v>
      </c>
      <c r="E349" s="256" t="s">
        <v>735</v>
      </c>
      <c r="F349" s="256" t="s">
        <v>783</v>
      </c>
      <c r="G349" s="256" t="s">
        <v>773</v>
      </c>
      <c r="H349" s="256" t="s">
        <v>774</v>
      </c>
      <c r="I349" s="257">
        <v>0</v>
      </c>
      <c r="J349" s="257">
        <v>0</v>
      </c>
      <c r="K349" s="257">
        <v>0</v>
      </c>
      <c r="L349" s="257">
        <v>0</v>
      </c>
      <c r="M349" s="257">
        <v>0</v>
      </c>
      <c r="N349" s="257">
        <v>0</v>
      </c>
      <c r="O349" s="257">
        <v>0</v>
      </c>
      <c r="P349" s="257">
        <v>0</v>
      </c>
      <c r="Q349" s="258">
        <v>0</v>
      </c>
    </row>
    <row r="350" spans="1:17">
      <c r="A350" s="256">
        <v>1</v>
      </c>
      <c r="B350" s="256">
        <v>6155075</v>
      </c>
      <c r="C350" s="256">
        <v>615507585</v>
      </c>
      <c r="D350" s="256" t="s">
        <v>734</v>
      </c>
      <c r="E350" s="256" t="s">
        <v>735</v>
      </c>
      <c r="F350" s="256" t="s">
        <v>783</v>
      </c>
      <c r="G350" s="256" t="s">
        <v>773</v>
      </c>
      <c r="H350" s="256" t="s">
        <v>775</v>
      </c>
      <c r="I350" s="257">
        <v>1529000</v>
      </c>
      <c r="J350" s="257">
        <v>0</v>
      </c>
      <c r="K350" s="257">
        <v>0</v>
      </c>
      <c r="L350" s="257">
        <v>0</v>
      </c>
      <c r="M350" s="257">
        <v>0</v>
      </c>
      <c r="N350" s="257">
        <v>1529000</v>
      </c>
      <c r="O350" s="257">
        <v>0</v>
      </c>
      <c r="P350" s="257">
        <v>0</v>
      </c>
      <c r="Q350" s="258">
        <v>0</v>
      </c>
    </row>
    <row r="351" spans="1:17">
      <c r="A351" s="256">
        <v>1</v>
      </c>
      <c r="B351" s="256">
        <v>6155075</v>
      </c>
      <c r="C351" s="256">
        <v>615507586</v>
      </c>
      <c r="D351" s="256" t="s">
        <v>734</v>
      </c>
      <c r="E351" s="256" t="s">
        <v>735</v>
      </c>
      <c r="F351" s="256" t="s">
        <v>783</v>
      </c>
      <c r="G351" s="256" t="s">
        <v>773</v>
      </c>
      <c r="H351" s="256" t="s">
        <v>776</v>
      </c>
      <c r="I351" s="257">
        <v>0</v>
      </c>
      <c r="J351" s="257">
        <v>0</v>
      </c>
      <c r="K351" s="257">
        <v>0</v>
      </c>
      <c r="L351" s="257">
        <v>0</v>
      </c>
      <c r="M351" s="257">
        <v>0</v>
      </c>
      <c r="N351" s="257">
        <v>0</v>
      </c>
      <c r="O351" s="257">
        <v>0</v>
      </c>
      <c r="P351" s="257">
        <v>0</v>
      </c>
      <c r="Q351" s="258">
        <v>0</v>
      </c>
    </row>
    <row r="352" spans="1:17">
      <c r="A352" s="256">
        <v>1</v>
      </c>
      <c r="B352" s="256">
        <v>6155075</v>
      </c>
      <c r="C352" s="256">
        <v>615507587</v>
      </c>
      <c r="D352" s="256" t="s">
        <v>734</v>
      </c>
      <c r="E352" s="256" t="s">
        <v>735</v>
      </c>
      <c r="F352" s="256" t="s">
        <v>783</v>
      </c>
      <c r="G352" s="256" t="s">
        <v>773</v>
      </c>
      <c r="H352" s="256" t="s">
        <v>665</v>
      </c>
      <c r="I352" s="257">
        <v>0</v>
      </c>
      <c r="J352" s="257">
        <v>0</v>
      </c>
      <c r="K352" s="257">
        <v>0</v>
      </c>
      <c r="L352" s="257">
        <v>0</v>
      </c>
      <c r="M352" s="257">
        <v>0</v>
      </c>
      <c r="N352" s="257">
        <v>0</v>
      </c>
      <c r="O352" s="257">
        <v>0</v>
      </c>
      <c r="P352" s="257">
        <v>0</v>
      </c>
      <c r="Q352" s="258">
        <v>0</v>
      </c>
    </row>
    <row r="353" spans="1:17">
      <c r="A353" s="256">
        <v>1</v>
      </c>
      <c r="B353" s="256">
        <v>6155075</v>
      </c>
      <c r="C353" s="256">
        <v>615507588</v>
      </c>
      <c r="D353" s="256" t="s">
        <v>734</v>
      </c>
      <c r="E353" s="256" t="s">
        <v>735</v>
      </c>
      <c r="F353" s="256" t="s">
        <v>783</v>
      </c>
      <c r="G353" s="256" t="s">
        <v>773</v>
      </c>
      <c r="H353" s="256" t="s">
        <v>73</v>
      </c>
      <c r="I353" s="257">
        <v>0</v>
      </c>
      <c r="J353" s="257">
        <v>0</v>
      </c>
      <c r="K353" s="257">
        <v>0</v>
      </c>
      <c r="L353" s="257">
        <v>0</v>
      </c>
      <c r="M353" s="257">
        <v>0</v>
      </c>
      <c r="N353" s="257">
        <v>0</v>
      </c>
      <c r="O353" s="257">
        <v>0</v>
      </c>
      <c r="P353" s="257">
        <v>0</v>
      </c>
      <c r="Q353" s="258">
        <v>0</v>
      </c>
    </row>
    <row r="354" spans="1:17">
      <c r="A354" s="256">
        <v>1</v>
      </c>
      <c r="B354" s="256">
        <v>6155113</v>
      </c>
      <c r="C354" s="256">
        <v>615511300</v>
      </c>
      <c r="D354" s="256" t="s">
        <v>734</v>
      </c>
      <c r="E354" s="256" t="s">
        <v>735</v>
      </c>
      <c r="F354" s="256" t="s">
        <v>784</v>
      </c>
      <c r="G354" s="256" t="s">
        <v>93</v>
      </c>
      <c r="H354" s="256"/>
      <c r="I354" s="257">
        <v>0</v>
      </c>
      <c r="J354" s="257">
        <v>0</v>
      </c>
      <c r="K354" s="257">
        <v>0</v>
      </c>
      <c r="L354" s="257">
        <v>0</v>
      </c>
      <c r="M354" s="257">
        <v>0</v>
      </c>
      <c r="N354" s="257">
        <v>0</v>
      </c>
      <c r="O354" s="257">
        <v>0</v>
      </c>
      <c r="P354" s="257">
        <v>0</v>
      </c>
      <c r="Q354" s="258">
        <v>0</v>
      </c>
    </row>
    <row r="355" spans="1:17">
      <c r="A355" s="256">
        <v>1</v>
      </c>
      <c r="B355" s="256">
        <v>6155175</v>
      </c>
      <c r="C355" s="256">
        <v>615517583</v>
      </c>
      <c r="D355" s="256" t="s">
        <v>734</v>
      </c>
      <c r="E355" s="256" t="s">
        <v>735</v>
      </c>
      <c r="F355" s="256" t="s">
        <v>784</v>
      </c>
      <c r="G355" s="256" t="s">
        <v>773</v>
      </c>
      <c r="H355" s="256" t="s">
        <v>75</v>
      </c>
      <c r="I355" s="257">
        <v>0</v>
      </c>
      <c r="J355" s="257">
        <v>0</v>
      </c>
      <c r="K355" s="257">
        <v>0</v>
      </c>
      <c r="L355" s="257">
        <v>0</v>
      </c>
      <c r="M355" s="257">
        <v>0</v>
      </c>
      <c r="N355" s="257">
        <v>0</v>
      </c>
      <c r="O355" s="257">
        <v>0</v>
      </c>
      <c r="P355" s="257">
        <v>0</v>
      </c>
      <c r="Q355" s="258">
        <v>0</v>
      </c>
    </row>
    <row r="356" spans="1:17">
      <c r="A356" s="256">
        <v>1</v>
      </c>
      <c r="B356" s="256">
        <v>6155277</v>
      </c>
      <c r="C356" s="256">
        <v>615527700</v>
      </c>
      <c r="D356" s="256" t="s">
        <v>734</v>
      </c>
      <c r="E356" s="256" t="s">
        <v>735</v>
      </c>
      <c r="F356" s="256" t="s">
        <v>785</v>
      </c>
      <c r="G356" s="256" t="s">
        <v>786</v>
      </c>
      <c r="H356" s="256"/>
      <c r="I356" s="257">
        <v>12600000</v>
      </c>
      <c r="J356" s="257">
        <v>0</v>
      </c>
      <c r="K356" s="257">
        <v>0</v>
      </c>
      <c r="L356" s="257">
        <v>0</v>
      </c>
      <c r="M356" s="257">
        <v>0</v>
      </c>
      <c r="N356" s="257">
        <v>0</v>
      </c>
      <c r="O356" s="257">
        <v>12600000</v>
      </c>
      <c r="P356" s="257">
        <v>0</v>
      </c>
      <c r="Q356" s="258">
        <v>0</v>
      </c>
    </row>
    <row r="357" spans="1:17">
      <c r="A357" s="256">
        <v>1</v>
      </c>
      <c r="B357" s="256">
        <v>6155278</v>
      </c>
      <c r="C357" s="256">
        <v>615527800</v>
      </c>
      <c r="D357" s="256" t="s">
        <v>734</v>
      </c>
      <c r="E357" s="256" t="s">
        <v>735</v>
      </c>
      <c r="F357" s="256" t="s">
        <v>785</v>
      </c>
      <c r="G357" s="256" t="s">
        <v>787</v>
      </c>
      <c r="H357" s="256"/>
      <c r="I357" s="257">
        <v>0</v>
      </c>
      <c r="J357" s="257">
        <v>0</v>
      </c>
      <c r="K357" s="257">
        <v>0</v>
      </c>
      <c r="L357" s="257">
        <v>0</v>
      </c>
      <c r="M357" s="257">
        <v>0</v>
      </c>
      <c r="N357" s="257">
        <v>0</v>
      </c>
      <c r="O357" s="257">
        <v>0</v>
      </c>
      <c r="P357" s="257">
        <v>0</v>
      </c>
      <c r="Q357" s="258">
        <v>0</v>
      </c>
    </row>
    <row r="358" spans="1:17">
      <c r="A358" s="256">
        <v>1</v>
      </c>
      <c r="B358" s="256">
        <v>6160101</v>
      </c>
      <c r="C358" s="256">
        <v>616010100</v>
      </c>
      <c r="D358" s="256" t="s">
        <v>734</v>
      </c>
      <c r="E358" s="256" t="s">
        <v>788</v>
      </c>
      <c r="F358" s="256" t="s">
        <v>789</v>
      </c>
      <c r="G358" s="256" t="s">
        <v>789</v>
      </c>
      <c r="H358" s="256"/>
      <c r="I358" s="257">
        <v>43813632761</v>
      </c>
      <c r="J358" s="257">
        <v>0</v>
      </c>
      <c r="K358" s="257">
        <v>0</v>
      </c>
      <c r="L358" s="257">
        <v>0</v>
      </c>
      <c r="M358" s="257">
        <v>0</v>
      </c>
      <c r="N358" s="257">
        <v>0</v>
      </c>
      <c r="O358" s="257">
        <v>0</v>
      </c>
      <c r="P358" s="257">
        <v>43813632761</v>
      </c>
      <c r="Q358" s="258">
        <v>0</v>
      </c>
    </row>
    <row r="359" spans="1:17">
      <c r="A359" s="236">
        <v>1</v>
      </c>
      <c r="B359" s="236">
        <v>6160102</v>
      </c>
      <c r="C359" s="236">
        <v>616010200</v>
      </c>
      <c r="D359" s="236" t="s">
        <v>734</v>
      </c>
      <c r="E359" s="236" t="s">
        <v>788</v>
      </c>
      <c r="F359" s="236" t="s">
        <v>789</v>
      </c>
      <c r="G359" s="236" t="s">
        <v>877</v>
      </c>
      <c r="H359" s="236"/>
      <c r="I359" s="257">
        <v>25158531</v>
      </c>
      <c r="J359" s="257">
        <v>0</v>
      </c>
      <c r="K359" s="257">
        <v>0</v>
      </c>
      <c r="L359" s="257">
        <v>0</v>
      </c>
      <c r="M359" s="257">
        <v>0</v>
      </c>
      <c r="N359" s="257">
        <v>0</v>
      </c>
      <c r="O359" s="257">
        <v>0</v>
      </c>
      <c r="P359" s="257">
        <v>25158531</v>
      </c>
      <c r="Q359" s="258">
        <v>0</v>
      </c>
    </row>
    <row r="360" spans="1:17">
      <c r="A360" s="256">
        <v>1</v>
      </c>
      <c r="B360" s="256">
        <v>6160202</v>
      </c>
      <c r="C360" s="256">
        <v>616020200</v>
      </c>
      <c r="D360" s="256" t="s">
        <v>734</v>
      </c>
      <c r="E360" s="256" t="s">
        <v>788</v>
      </c>
      <c r="F360" s="256" t="s">
        <v>790</v>
      </c>
      <c r="G360" s="256" t="s">
        <v>790</v>
      </c>
      <c r="H360" s="256"/>
      <c r="I360" s="257">
        <v>0</v>
      </c>
      <c r="J360" s="257">
        <v>0</v>
      </c>
      <c r="K360" s="257">
        <v>0</v>
      </c>
      <c r="L360" s="257">
        <v>0</v>
      </c>
      <c r="M360" s="257">
        <v>0</v>
      </c>
      <c r="N360" s="257">
        <v>0</v>
      </c>
      <c r="O360" s="257">
        <v>0</v>
      </c>
      <c r="P360" s="257">
        <v>0</v>
      </c>
      <c r="Q360" s="258">
        <v>0</v>
      </c>
    </row>
    <row r="361" spans="1:17">
      <c r="A361" s="256">
        <v>1</v>
      </c>
      <c r="B361" s="256">
        <v>6160303</v>
      </c>
      <c r="C361" s="256">
        <v>616030300</v>
      </c>
      <c r="D361" s="256" t="s">
        <v>734</v>
      </c>
      <c r="E361" s="256" t="s">
        <v>788</v>
      </c>
      <c r="F361" s="256" t="s">
        <v>791</v>
      </c>
      <c r="G361" s="256" t="s">
        <v>791</v>
      </c>
      <c r="H361" s="256"/>
      <c r="I361" s="257">
        <v>0</v>
      </c>
      <c r="J361" s="257">
        <v>0</v>
      </c>
      <c r="K361" s="257">
        <v>0</v>
      </c>
      <c r="L361" s="257">
        <v>0</v>
      </c>
      <c r="M361" s="257">
        <v>0</v>
      </c>
      <c r="N361" s="257">
        <v>0</v>
      </c>
      <c r="O361" s="257">
        <v>0</v>
      </c>
      <c r="P361" s="257">
        <v>0</v>
      </c>
      <c r="Q361" s="258">
        <v>0</v>
      </c>
    </row>
    <row r="362" spans="1:17">
      <c r="A362" s="256">
        <v>1</v>
      </c>
      <c r="B362" s="256">
        <v>6170202</v>
      </c>
      <c r="C362" s="256">
        <v>617020200</v>
      </c>
      <c r="D362" s="256" t="s">
        <v>734</v>
      </c>
      <c r="E362" s="256" t="s">
        <v>792</v>
      </c>
      <c r="F362" s="256" t="s">
        <v>793</v>
      </c>
      <c r="G362" s="256" t="s">
        <v>794</v>
      </c>
      <c r="H362" s="256"/>
      <c r="I362" s="257">
        <v>1040000</v>
      </c>
      <c r="J362" s="257">
        <v>0</v>
      </c>
      <c r="K362" s="257">
        <v>0</v>
      </c>
      <c r="L362" s="257">
        <v>0</v>
      </c>
      <c r="M362" s="257">
        <v>0</v>
      </c>
      <c r="N362" s="257">
        <v>0</v>
      </c>
      <c r="O362" s="257">
        <v>0</v>
      </c>
      <c r="P362" s="257">
        <v>1040000</v>
      </c>
      <c r="Q362" s="258">
        <v>0</v>
      </c>
    </row>
    <row r="363" spans="1:17">
      <c r="A363" s="256">
        <v>1</v>
      </c>
      <c r="B363" s="256">
        <v>6170204</v>
      </c>
      <c r="C363" s="256">
        <v>617020400</v>
      </c>
      <c r="D363" s="256" t="s">
        <v>734</v>
      </c>
      <c r="E363" s="256" t="s">
        <v>792</v>
      </c>
      <c r="F363" s="256" t="s">
        <v>793</v>
      </c>
      <c r="G363" s="256" t="s">
        <v>795</v>
      </c>
      <c r="H363" s="256"/>
      <c r="I363" s="257">
        <v>874000</v>
      </c>
      <c r="J363" s="257">
        <v>0</v>
      </c>
      <c r="K363" s="257">
        <v>0</v>
      </c>
      <c r="L363" s="257">
        <v>0</v>
      </c>
      <c r="M363" s="257">
        <v>0</v>
      </c>
      <c r="N363" s="257">
        <v>0</v>
      </c>
      <c r="O363" s="257">
        <v>0</v>
      </c>
      <c r="P363" s="257">
        <v>874000</v>
      </c>
      <c r="Q363" s="258">
        <v>0</v>
      </c>
    </row>
    <row r="364" spans="1:17">
      <c r="A364" s="256">
        <v>1</v>
      </c>
      <c r="B364" s="256">
        <v>6170206</v>
      </c>
      <c r="C364" s="256">
        <v>617020600</v>
      </c>
      <c r="D364" s="256" t="s">
        <v>734</v>
      </c>
      <c r="E364" s="256" t="s">
        <v>792</v>
      </c>
      <c r="F364" s="256" t="s">
        <v>793</v>
      </c>
      <c r="G364" s="256" t="s">
        <v>796</v>
      </c>
      <c r="H364" s="256"/>
      <c r="I364" s="257">
        <v>0</v>
      </c>
      <c r="J364" s="257">
        <v>0</v>
      </c>
      <c r="K364" s="257">
        <v>0</v>
      </c>
      <c r="L364" s="257">
        <v>0</v>
      </c>
      <c r="M364" s="257">
        <v>0</v>
      </c>
      <c r="N364" s="257">
        <v>0</v>
      </c>
      <c r="O364" s="257">
        <v>0</v>
      </c>
      <c r="P364" s="257">
        <v>0</v>
      </c>
      <c r="Q364" s="258">
        <v>0</v>
      </c>
    </row>
    <row r="365" spans="1:17">
      <c r="A365" s="256">
        <v>1</v>
      </c>
      <c r="B365" s="256">
        <v>6170303</v>
      </c>
      <c r="C365" s="256">
        <v>617030300</v>
      </c>
      <c r="D365" s="256" t="s">
        <v>734</v>
      </c>
      <c r="E365" s="256" t="s">
        <v>792</v>
      </c>
      <c r="F365" s="256" t="s">
        <v>797</v>
      </c>
      <c r="G365" s="256" t="s">
        <v>797</v>
      </c>
      <c r="H365" s="256"/>
      <c r="I365" s="257">
        <v>0</v>
      </c>
      <c r="J365" s="257">
        <v>0</v>
      </c>
      <c r="K365" s="257">
        <v>0</v>
      </c>
      <c r="L365" s="257">
        <v>0</v>
      </c>
      <c r="M365" s="257">
        <v>0</v>
      </c>
      <c r="N365" s="257">
        <v>0</v>
      </c>
      <c r="O365" s="257">
        <v>0</v>
      </c>
      <c r="P365" s="257">
        <v>0</v>
      </c>
      <c r="Q365" s="258">
        <v>0</v>
      </c>
    </row>
    <row r="366" spans="1:17">
      <c r="A366" s="256">
        <v>1</v>
      </c>
      <c r="B366" s="256">
        <v>6170401</v>
      </c>
      <c r="C366" s="256">
        <v>617040100</v>
      </c>
      <c r="D366" s="256" t="s">
        <v>734</v>
      </c>
      <c r="E366" s="256" t="s">
        <v>792</v>
      </c>
      <c r="F366" s="256" t="s">
        <v>791</v>
      </c>
      <c r="G366" s="256" t="s">
        <v>798</v>
      </c>
      <c r="H366" s="256"/>
      <c r="I366" s="257">
        <v>0</v>
      </c>
      <c r="J366" s="257">
        <v>0</v>
      </c>
      <c r="K366" s="257">
        <v>0</v>
      </c>
      <c r="L366" s="257">
        <v>0</v>
      </c>
      <c r="M366" s="257">
        <v>0</v>
      </c>
      <c r="N366" s="257">
        <v>0</v>
      </c>
      <c r="O366" s="257">
        <v>0</v>
      </c>
      <c r="P366" s="257">
        <v>0</v>
      </c>
      <c r="Q366" s="258">
        <v>0</v>
      </c>
    </row>
    <row r="367" spans="1:17">
      <c r="A367" s="256">
        <v>1</v>
      </c>
      <c r="B367" s="256">
        <v>6170402</v>
      </c>
      <c r="C367" s="256">
        <v>617040200</v>
      </c>
      <c r="D367" s="256" t="s">
        <v>734</v>
      </c>
      <c r="E367" s="256" t="s">
        <v>792</v>
      </c>
      <c r="F367" s="256" t="s">
        <v>791</v>
      </c>
      <c r="G367" s="256" t="s">
        <v>799</v>
      </c>
      <c r="H367" s="256"/>
      <c r="I367" s="257">
        <v>0</v>
      </c>
      <c r="J367" s="257">
        <v>0</v>
      </c>
      <c r="K367" s="257">
        <v>0</v>
      </c>
      <c r="L367" s="257">
        <v>0</v>
      </c>
      <c r="M367" s="257">
        <v>0</v>
      </c>
      <c r="N367" s="257">
        <v>0</v>
      </c>
      <c r="O367" s="257">
        <v>0</v>
      </c>
      <c r="P367" s="257">
        <v>0</v>
      </c>
      <c r="Q367" s="258">
        <v>0</v>
      </c>
    </row>
    <row r="368" spans="1:17">
      <c r="A368" s="256">
        <v>1</v>
      </c>
      <c r="B368" s="256">
        <v>6170403</v>
      </c>
      <c r="C368" s="256">
        <v>617040300</v>
      </c>
      <c r="D368" s="256" t="s">
        <v>734</v>
      </c>
      <c r="E368" s="256" t="s">
        <v>792</v>
      </c>
      <c r="F368" s="256" t="s">
        <v>791</v>
      </c>
      <c r="G368" s="256" t="s">
        <v>800</v>
      </c>
      <c r="H368" s="256"/>
      <c r="I368" s="257">
        <v>0</v>
      </c>
      <c r="J368" s="257">
        <v>0</v>
      </c>
      <c r="K368" s="257">
        <v>0</v>
      </c>
      <c r="L368" s="257">
        <v>0</v>
      </c>
      <c r="M368" s="257">
        <v>0</v>
      </c>
      <c r="N368" s="257">
        <v>0</v>
      </c>
      <c r="O368" s="257">
        <v>0</v>
      </c>
      <c r="P368" s="257">
        <v>0</v>
      </c>
      <c r="Q368" s="258">
        <v>0</v>
      </c>
    </row>
    <row r="369" spans="1:17">
      <c r="A369" s="256">
        <v>1</v>
      </c>
      <c r="B369" s="256">
        <v>6181212</v>
      </c>
      <c r="C369" s="256">
        <v>618121200</v>
      </c>
      <c r="D369" s="256" t="s">
        <v>734</v>
      </c>
      <c r="E369" s="256" t="s">
        <v>801</v>
      </c>
      <c r="F369" s="256" t="s">
        <v>501</v>
      </c>
      <c r="G369" s="256" t="s">
        <v>501</v>
      </c>
      <c r="H369" s="256"/>
      <c r="I369" s="257">
        <v>0</v>
      </c>
      <c r="J369" s="257">
        <v>0</v>
      </c>
      <c r="K369" s="257">
        <v>0</v>
      </c>
      <c r="L369" s="257">
        <v>0</v>
      </c>
      <c r="M369" s="257">
        <v>0</v>
      </c>
      <c r="N369" s="257">
        <v>0</v>
      </c>
      <c r="O369" s="257">
        <v>0</v>
      </c>
      <c r="P369" s="257">
        <v>0</v>
      </c>
      <c r="Q369" s="258">
        <v>0</v>
      </c>
    </row>
    <row r="370" spans="1:17">
      <c r="A370" s="256">
        <v>1</v>
      </c>
      <c r="B370" s="256">
        <v>6181414</v>
      </c>
      <c r="C370" s="256">
        <v>618141400</v>
      </c>
      <c r="D370" s="256" t="s">
        <v>734</v>
      </c>
      <c r="E370" s="256" t="s">
        <v>801</v>
      </c>
      <c r="F370" s="256" t="s">
        <v>802</v>
      </c>
      <c r="G370" s="256" t="s">
        <v>802</v>
      </c>
      <c r="H370" s="256"/>
      <c r="I370" s="257">
        <v>0</v>
      </c>
      <c r="J370" s="257">
        <v>0</v>
      </c>
      <c r="K370" s="257">
        <v>0</v>
      </c>
      <c r="L370" s="257">
        <v>0</v>
      </c>
      <c r="M370" s="257">
        <v>0</v>
      </c>
      <c r="N370" s="257">
        <v>0</v>
      </c>
      <c r="O370" s="257">
        <v>0</v>
      </c>
      <c r="P370" s="257">
        <v>0</v>
      </c>
      <c r="Q370" s="258">
        <v>0</v>
      </c>
    </row>
    <row r="371" spans="1:17">
      <c r="A371" s="256">
        <v>1</v>
      </c>
      <c r="B371" s="256">
        <v>6182020</v>
      </c>
      <c r="C371" s="256">
        <v>618202000</v>
      </c>
      <c r="D371" s="256" t="s">
        <v>734</v>
      </c>
      <c r="E371" s="256" t="s">
        <v>801</v>
      </c>
      <c r="F371" s="256" t="s">
        <v>803</v>
      </c>
      <c r="G371" s="256" t="s">
        <v>803</v>
      </c>
      <c r="H371" s="256"/>
      <c r="I371" s="257">
        <v>0</v>
      </c>
      <c r="J371" s="257">
        <v>0</v>
      </c>
      <c r="K371" s="257">
        <v>0</v>
      </c>
      <c r="L371" s="257">
        <v>0</v>
      </c>
      <c r="M371" s="257">
        <v>0</v>
      </c>
      <c r="N371" s="257">
        <v>0</v>
      </c>
      <c r="O371" s="257">
        <v>0</v>
      </c>
      <c r="P371" s="257">
        <v>0</v>
      </c>
      <c r="Q371" s="258">
        <v>0</v>
      </c>
    </row>
    <row r="372" spans="1:17">
      <c r="A372" s="256">
        <v>1</v>
      </c>
      <c r="B372" s="256">
        <v>6190101</v>
      </c>
      <c r="C372" s="256">
        <v>619010100</v>
      </c>
      <c r="D372" s="256" t="s">
        <v>734</v>
      </c>
      <c r="E372" s="256" t="s">
        <v>804</v>
      </c>
      <c r="F372" s="256" t="s">
        <v>804</v>
      </c>
      <c r="G372" s="256" t="s">
        <v>804</v>
      </c>
      <c r="H372" s="256"/>
      <c r="I372" s="257">
        <v>0</v>
      </c>
      <c r="J372" s="257">
        <v>0</v>
      </c>
      <c r="K372" s="257">
        <v>0</v>
      </c>
      <c r="L372" s="257">
        <v>0</v>
      </c>
      <c r="M372" s="257">
        <v>0</v>
      </c>
      <c r="N372" s="257">
        <v>0</v>
      </c>
      <c r="O372" s="257">
        <v>0</v>
      </c>
      <c r="P372" s="257">
        <v>0</v>
      </c>
      <c r="Q372" s="258">
        <v>0</v>
      </c>
    </row>
    <row r="373" spans="1:17">
      <c r="A373" s="256">
        <v>1</v>
      </c>
      <c r="B373" s="256">
        <v>6200101</v>
      </c>
      <c r="C373" s="256">
        <v>620010100</v>
      </c>
      <c r="D373" s="256" t="s">
        <v>734</v>
      </c>
      <c r="E373" s="256" t="s">
        <v>805</v>
      </c>
      <c r="F373" s="256" t="s">
        <v>805</v>
      </c>
      <c r="G373" s="256" t="s">
        <v>805</v>
      </c>
      <c r="H373" s="256"/>
      <c r="I373" s="257">
        <v>0</v>
      </c>
      <c r="J373" s="257">
        <v>0</v>
      </c>
      <c r="K373" s="257">
        <v>0</v>
      </c>
      <c r="L373" s="257">
        <v>0</v>
      </c>
      <c r="M373" s="257">
        <v>0</v>
      </c>
      <c r="N373" s="257">
        <v>0</v>
      </c>
      <c r="O373" s="257">
        <v>0</v>
      </c>
      <c r="P373" s="257">
        <v>0</v>
      </c>
      <c r="Q373" s="258">
        <v>0</v>
      </c>
    </row>
    <row r="374" spans="1:17">
      <c r="A374" s="256">
        <v>1</v>
      </c>
      <c r="B374" s="256">
        <v>6210101</v>
      </c>
      <c r="C374" s="256">
        <v>621010100</v>
      </c>
      <c r="D374" s="256" t="s">
        <v>734</v>
      </c>
      <c r="E374" s="256" t="s">
        <v>806</v>
      </c>
      <c r="F374" s="256" t="s">
        <v>807</v>
      </c>
      <c r="G374" s="256" t="s">
        <v>807</v>
      </c>
      <c r="H374" s="256"/>
      <c r="I374" s="257">
        <v>0</v>
      </c>
      <c r="J374" s="257">
        <v>0</v>
      </c>
      <c r="K374" s="257">
        <v>0</v>
      </c>
      <c r="L374" s="257">
        <v>0</v>
      </c>
      <c r="M374" s="257">
        <v>0</v>
      </c>
      <c r="N374" s="257">
        <v>0</v>
      </c>
      <c r="O374" s="257">
        <v>0</v>
      </c>
      <c r="P374" s="257">
        <v>0</v>
      </c>
      <c r="Q374" s="258">
        <v>0</v>
      </c>
    </row>
    <row r="375" spans="1:17">
      <c r="A375" s="256">
        <v>1</v>
      </c>
      <c r="B375" s="256">
        <v>6220101</v>
      </c>
      <c r="C375" s="256">
        <v>622010100</v>
      </c>
      <c r="D375" s="256" t="s">
        <v>734</v>
      </c>
      <c r="E375" s="256" t="s">
        <v>678</v>
      </c>
      <c r="F375" s="256" t="s">
        <v>808</v>
      </c>
      <c r="G375" s="256" t="s">
        <v>808</v>
      </c>
      <c r="H375" s="256"/>
      <c r="I375" s="257">
        <v>0</v>
      </c>
      <c r="J375" s="257">
        <v>0</v>
      </c>
      <c r="K375" s="257">
        <v>0</v>
      </c>
      <c r="L375" s="257">
        <v>0</v>
      </c>
      <c r="M375" s="257">
        <v>0</v>
      </c>
      <c r="N375" s="257">
        <v>0</v>
      </c>
      <c r="O375" s="257">
        <v>0</v>
      </c>
      <c r="P375" s="257">
        <v>0</v>
      </c>
      <c r="Q375" s="258">
        <v>0</v>
      </c>
    </row>
    <row r="376" spans="1:17">
      <c r="A376" s="256">
        <v>1</v>
      </c>
      <c r="B376" s="256">
        <v>6900101</v>
      </c>
      <c r="C376" s="256">
        <v>690010100</v>
      </c>
      <c r="D376" s="256" t="s">
        <v>734</v>
      </c>
      <c r="E376" s="256" t="s">
        <v>809</v>
      </c>
      <c r="F376" s="256" t="s">
        <v>809</v>
      </c>
      <c r="G376" s="256" t="s">
        <v>809</v>
      </c>
      <c r="H376" s="256"/>
      <c r="I376" s="257">
        <v>0</v>
      </c>
      <c r="J376" s="257">
        <v>0</v>
      </c>
      <c r="K376" s="257">
        <v>0</v>
      </c>
      <c r="L376" s="257">
        <v>0</v>
      </c>
      <c r="M376" s="257">
        <v>0</v>
      </c>
      <c r="N376" s="257">
        <v>0</v>
      </c>
      <c r="O376" s="257">
        <v>0</v>
      </c>
      <c r="P376" s="257">
        <v>0</v>
      </c>
      <c r="Q376" s="258">
        <v>0</v>
      </c>
    </row>
    <row r="377" spans="1:17">
      <c r="A377" s="256">
        <v>1</v>
      </c>
      <c r="B377" s="256">
        <v>8830201</v>
      </c>
      <c r="C377" s="256">
        <v>883020102</v>
      </c>
      <c r="D377" s="256" t="s">
        <v>538</v>
      </c>
      <c r="E377" s="256" t="s">
        <v>539</v>
      </c>
      <c r="F377" s="256" t="s">
        <v>810</v>
      </c>
      <c r="G377" s="256" t="s">
        <v>112</v>
      </c>
      <c r="H377" s="256" t="s">
        <v>737</v>
      </c>
      <c r="I377" s="257">
        <v>0</v>
      </c>
      <c r="J377" s="257">
        <v>0</v>
      </c>
      <c r="K377" s="257">
        <v>0</v>
      </c>
      <c r="L377" s="257">
        <v>0</v>
      </c>
      <c r="M377" s="257">
        <v>0</v>
      </c>
      <c r="N377" s="257">
        <v>0</v>
      </c>
      <c r="O377" s="257">
        <v>0</v>
      </c>
      <c r="P377" s="257">
        <v>0</v>
      </c>
      <c r="Q377" s="258">
        <v>0</v>
      </c>
    </row>
    <row r="378" spans="1:17">
      <c r="A378" s="256">
        <v>1</v>
      </c>
      <c r="B378" s="256">
        <v>8830201</v>
      </c>
      <c r="C378" s="256">
        <v>883020103</v>
      </c>
      <c r="D378" s="256" t="s">
        <v>538</v>
      </c>
      <c r="E378" s="256" t="s">
        <v>539</v>
      </c>
      <c r="F378" s="256" t="s">
        <v>810</v>
      </c>
      <c r="G378" s="256" t="s">
        <v>112</v>
      </c>
      <c r="H378" s="256" t="s">
        <v>738</v>
      </c>
      <c r="I378" s="257">
        <v>0</v>
      </c>
      <c r="J378" s="257">
        <v>0</v>
      </c>
      <c r="K378" s="257">
        <v>0</v>
      </c>
      <c r="L378" s="257">
        <v>0</v>
      </c>
      <c r="M378" s="257">
        <v>0</v>
      </c>
      <c r="N378" s="257">
        <v>0</v>
      </c>
      <c r="O378" s="257">
        <v>0</v>
      </c>
      <c r="P378" s="257">
        <v>0</v>
      </c>
      <c r="Q378" s="258">
        <v>0</v>
      </c>
    </row>
    <row r="379" spans="1:17">
      <c r="A379" s="256">
        <v>1</v>
      </c>
      <c r="B379" s="256">
        <v>8830201</v>
      </c>
      <c r="C379" s="256">
        <v>883020104</v>
      </c>
      <c r="D379" s="256" t="s">
        <v>538</v>
      </c>
      <c r="E379" s="256" t="s">
        <v>539</v>
      </c>
      <c r="F379" s="256" t="s">
        <v>810</v>
      </c>
      <c r="G379" s="256" t="s">
        <v>112</v>
      </c>
      <c r="H379" s="256" t="s">
        <v>739</v>
      </c>
      <c r="I379" s="257">
        <v>0</v>
      </c>
      <c r="J379" s="257">
        <v>0</v>
      </c>
      <c r="K379" s="257">
        <v>0</v>
      </c>
      <c r="L379" s="257">
        <v>0</v>
      </c>
      <c r="M379" s="257">
        <v>0</v>
      </c>
      <c r="N379" s="257">
        <v>0</v>
      </c>
      <c r="O379" s="257">
        <v>0</v>
      </c>
      <c r="P379" s="257">
        <v>0</v>
      </c>
      <c r="Q379" s="258">
        <v>0</v>
      </c>
    </row>
    <row r="380" spans="1:17">
      <c r="A380" s="236">
        <v>1</v>
      </c>
      <c r="B380" s="236">
        <v>8830201</v>
      </c>
      <c r="C380" s="236">
        <v>883020105</v>
      </c>
      <c r="D380" s="236" t="s">
        <v>538</v>
      </c>
      <c r="E380" s="236" t="s">
        <v>539</v>
      </c>
      <c r="F380" s="236" t="s">
        <v>810</v>
      </c>
      <c r="G380" s="236" t="s">
        <v>112</v>
      </c>
      <c r="H380" s="236" t="s">
        <v>740</v>
      </c>
      <c r="I380" s="257">
        <v>0</v>
      </c>
      <c r="J380" s="257">
        <v>0</v>
      </c>
      <c r="K380" s="257">
        <v>0</v>
      </c>
      <c r="L380" s="257">
        <v>0</v>
      </c>
      <c r="M380" s="257">
        <v>0</v>
      </c>
      <c r="N380" s="257">
        <v>0</v>
      </c>
      <c r="O380" s="257">
        <v>0</v>
      </c>
      <c r="P380" s="257">
        <v>0</v>
      </c>
      <c r="Q380" s="258">
        <v>0</v>
      </c>
    </row>
    <row r="381" spans="1:17">
      <c r="A381" s="256">
        <v>1</v>
      </c>
      <c r="B381" s="256">
        <v>8830202</v>
      </c>
      <c r="C381" s="256">
        <v>883020202</v>
      </c>
      <c r="D381" s="256" t="s">
        <v>538</v>
      </c>
      <c r="E381" s="256" t="s">
        <v>539</v>
      </c>
      <c r="F381" s="256" t="s">
        <v>810</v>
      </c>
      <c r="G381" s="256" t="s">
        <v>110</v>
      </c>
      <c r="H381" s="256" t="s">
        <v>741</v>
      </c>
      <c r="I381" s="257">
        <v>39580800</v>
      </c>
      <c r="J381" s="257">
        <v>0</v>
      </c>
      <c r="K381" s="257">
        <v>0</v>
      </c>
      <c r="L381" s="257">
        <v>0</v>
      </c>
      <c r="M381" s="257">
        <v>0</v>
      </c>
      <c r="N381" s="257">
        <v>0</v>
      </c>
      <c r="O381" s="257">
        <v>0</v>
      </c>
      <c r="P381" s="257">
        <v>39580800</v>
      </c>
      <c r="Q381" s="258">
        <v>0</v>
      </c>
    </row>
    <row r="382" spans="1:17">
      <c r="A382" s="256">
        <v>1</v>
      </c>
      <c r="B382" s="256">
        <v>8830203</v>
      </c>
      <c r="C382" s="256">
        <v>883020301</v>
      </c>
      <c r="D382" s="256" t="s">
        <v>538</v>
      </c>
      <c r="E382" s="256" t="s">
        <v>539</v>
      </c>
      <c r="F382" s="256" t="s">
        <v>810</v>
      </c>
      <c r="G382" s="256" t="s">
        <v>108</v>
      </c>
      <c r="H382" s="256" t="s">
        <v>742</v>
      </c>
      <c r="I382" s="257">
        <v>4072950</v>
      </c>
      <c r="J382" s="257">
        <v>0</v>
      </c>
      <c r="K382" s="257">
        <v>0</v>
      </c>
      <c r="L382" s="257">
        <v>0</v>
      </c>
      <c r="M382" s="257">
        <v>0</v>
      </c>
      <c r="N382" s="257">
        <v>0</v>
      </c>
      <c r="O382" s="257">
        <v>0</v>
      </c>
      <c r="P382" s="257">
        <v>4072950</v>
      </c>
      <c r="Q382" s="258">
        <v>0</v>
      </c>
    </row>
    <row r="383" spans="1:17">
      <c r="A383" s="256">
        <v>1</v>
      </c>
      <c r="B383" s="256">
        <v>8830203</v>
      </c>
      <c r="C383" s="256">
        <v>883020302</v>
      </c>
      <c r="D383" s="256" t="s">
        <v>538</v>
      </c>
      <c r="E383" s="256" t="s">
        <v>539</v>
      </c>
      <c r="F383" s="256" t="s">
        <v>810</v>
      </c>
      <c r="G383" s="256" t="s">
        <v>108</v>
      </c>
      <c r="H383" s="256" t="s">
        <v>743</v>
      </c>
      <c r="I383" s="257">
        <v>1148700</v>
      </c>
      <c r="J383" s="257">
        <v>0</v>
      </c>
      <c r="K383" s="257">
        <v>0</v>
      </c>
      <c r="L383" s="257">
        <v>0</v>
      </c>
      <c r="M383" s="257">
        <v>0</v>
      </c>
      <c r="N383" s="257">
        <v>0</v>
      </c>
      <c r="O383" s="257">
        <v>0</v>
      </c>
      <c r="P383" s="257">
        <v>1148700</v>
      </c>
      <c r="Q383" s="258">
        <v>0</v>
      </c>
    </row>
    <row r="384" spans="1:17">
      <c r="A384" s="256">
        <v>1</v>
      </c>
      <c r="B384" s="256">
        <v>8830203</v>
      </c>
      <c r="C384" s="256">
        <v>883020303</v>
      </c>
      <c r="D384" s="256" t="s">
        <v>538</v>
      </c>
      <c r="E384" s="256" t="s">
        <v>539</v>
      </c>
      <c r="F384" s="256" t="s">
        <v>810</v>
      </c>
      <c r="G384" s="256" t="s">
        <v>108</v>
      </c>
      <c r="H384" s="256" t="s">
        <v>744</v>
      </c>
      <c r="I384" s="257">
        <v>13135154</v>
      </c>
      <c r="J384" s="257">
        <v>0</v>
      </c>
      <c r="K384" s="257">
        <v>0</v>
      </c>
      <c r="L384" s="257">
        <v>0</v>
      </c>
      <c r="M384" s="257">
        <v>0</v>
      </c>
      <c r="N384" s="257">
        <v>0</v>
      </c>
      <c r="O384" s="257">
        <v>0</v>
      </c>
      <c r="P384" s="257">
        <v>13135154</v>
      </c>
      <c r="Q384" s="258">
        <v>0</v>
      </c>
    </row>
    <row r="385" spans="1:17">
      <c r="A385" s="256">
        <v>1</v>
      </c>
      <c r="B385" s="256">
        <v>8830203</v>
      </c>
      <c r="C385" s="256">
        <v>883020304</v>
      </c>
      <c r="D385" s="256" t="s">
        <v>538</v>
      </c>
      <c r="E385" s="256" t="s">
        <v>539</v>
      </c>
      <c r="F385" s="256" t="s">
        <v>810</v>
      </c>
      <c r="G385" s="256" t="s">
        <v>108</v>
      </c>
      <c r="H385" s="256" t="s">
        <v>745</v>
      </c>
      <c r="I385" s="257">
        <v>1117260</v>
      </c>
      <c r="J385" s="257">
        <v>0</v>
      </c>
      <c r="K385" s="257">
        <v>0</v>
      </c>
      <c r="L385" s="257">
        <v>0</v>
      </c>
      <c r="M385" s="257">
        <v>0</v>
      </c>
      <c r="N385" s="257">
        <v>1117260</v>
      </c>
      <c r="O385" s="257">
        <v>0</v>
      </c>
      <c r="P385" s="257">
        <v>0</v>
      </c>
      <c r="Q385" s="258">
        <v>0</v>
      </c>
    </row>
    <row r="386" spans="1:17">
      <c r="A386" s="256">
        <v>1</v>
      </c>
      <c r="B386" s="256">
        <v>8830203</v>
      </c>
      <c r="C386" s="256">
        <v>883020305</v>
      </c>
      <c r="D386" s="256" t="s">
        <v>538</v>
      </c>
      <c r="E386" s="256" t="s">
        <v>539</v>
      </c>
      <c r="F386" s="256" t="s">
        <v>810</v>
      </c>
      <c r="G386" s="256" t="s">
        <v>108</v>
      </c>
      <c r="H386" s="256" t="s">
        <v>746</v>
      </c>
      <c r="I386" s="257">
        <v>0</v>
      </c>
      <c r="J386" s="257">
        <v>0</v>
      </c>
      <c r="K386" s="257">
        <v>0</v>
      </c>
      <c r="L386" s="257">
        <v>0</v>
      </c>
      <c r="M386" s="257">
        <v>0</v>
      </c>
      <c r="N386" s="257">
        <v>0</v>
      </c>
      <c r="O386" s="257">
        <v>0</v>
      </c>
      <c r="P386" s="257">
        <v>0</v>
      </c>
      <c r="Q386" s="258">
        <v>0</v>
      </c>
    </row>
    <row r="387" spans="1:17">
      <c r="A387" s="256">
        <v>1</v>
      </c>
      <c r="B387" s="256">
        <v>8830203</v>
      </c>
      <c r="C387" s="256">
        <v>883020306</v>
      </c>
      <c r="D387" s="256" t="s">
        <v>538</v>
      </c>
      <c r="E387" s="256" t="s">
        <v>539</v>
      </c>
      <c r="F387" s="256" t="s">
        <v>810</v>
      </c>
      <c r="G387" s="256" t="s">
        <v>108</v>
      </c>
      <c r="H387" s="256" t="s">
        <v>747</v>
      </c>
      <c r="I387" s="257">
        <v>0</v>
      </c>
      <c r="J387" s="257">
        <v>0</v>
      </c>
      <c r="K387" s="257">
        <v>0</v>
      </c>
      <c r="L387" s="257">
        <v>0</v>
      </c>
      <c r="M387" s="257">
        <v>0</v>
      </c>
      <c r="N387" s="257">
        <v>0</v>
      </c>
      <c r="O387" s="257">
        <v>0</v>
      </c>
      <c r="P387" s="257">
        <v>0</v>
      </c>
      <c r="Q387" s="258">
        <v>0</v>
      </c>
    </row>
    <row r="388" spans="1:17">
      <c r="A388" s="256">
        <v>1</v>
      </c>
      <c r="B388" s="256">
        <v>8830203</v>
      </c>
      <c r="C388" s="256">
        <v>883020307</v>
      </c>
      <c r="D388" s="256" t="s">
        <v>538</v>
      </c>
      <c r="E388" s="256" t="s">
        <v>539</v>
      </c>
      <c r="F388" s="256" t="s">
        <v>810</v>
      </c>
      <c r="G388" s="256" t="s">
        <v>108</v>
      </c>
      <c r="H388" s="256" t="s">
        <v>748</v>
      </c>
      <c r="I388" s="257">
        <v>88476</v>
      </c>
      <c r="J388" s="257">
        <v>0</v>
      </c>
      <c r="K388" s="257">
        <v>0</v>
      </c>
      <c r="L388" s="257">
        <v>0</v>
      </c>
      <c r="M388" s="257">
        <v>0</v>
      </c>
      <c r="N388" s="257">
        <v>0</v>
      </c>
      <c r="O388" s="257">
        <v>0</v>
      </c>
      <c r="P388" s="257">
        <v>88476</v>
      </c>
      <c r="Q388" s="258">
        <v>0</v>
      </c>
    </row>
    <row r="389" spans="1:17">
      <c r="A389" s="256">
        <v>1</v>
      </c>
      <c r="B389" s="256">
        <v>8830203</v>
      </c>
      <c r="C389" s="256">
        <v>883020310</v>
      </c>
      <c r="D389" s="256" t="s">
        <v>538</v>
      </c>
      <c r="E389" s="256" t="s">
        <v>539</v>
      </c>
      <c r="F389" s="256" t="s">
        <v>810</v>
      </c>
      <c r="G389" s="256" t="s">
        <v>108</v>
      </c>
      <c r="H389" s="256" t="s">
        <v>749</v>
      </c>
      <c r="I389" s="257">
        <v>7380655</v>
      </c>
      <c r="J389" s="257">
        <v>0</v>
      </c>
      <c r="K389" s="257">
        <v>0</v>
      </c>
      <c r="L389" s="257">
        <v>0</v>
      </c>
      <c r="M389" s="257">
        <v>0</v>
      </c>
      <c r="N389" s="257">
        <v>0</v>
      </c>
      <c r="O389" s="257">
        <v>0</v>
      </c>
      <c r="P389" s="257">
        <v>7380655</v>
      </c>
      <c r="Q389" s="258">
        <v>0</v>
      </c>
    </row>
    <row r="390" spans="1:17">
      <c r="A390" s="256">
        <v>1</v>
      </c>
      <c r="B390" s="256">
        <v>8830203</v>
      </c>
      <c r="C390" s="256">
        <v>883020311</v>
      </c>
      <c r="D390" s="256" t="s">
        <v>538</v>
      </c>
      <c r="E390" s="256" t="s">
        <v>539</v>
      </c>
      <c r="F390" s="256" t="s">
        <v>810</v>
      </c>
      <c r="G390" s="256" t="s">
        <v>108</v>
      </c>
      <c r="H390" s="256" t="s">
        <v>750</v>
      </c>
      <c r="I390" s="257">
        <v>0</v>
      </c>
      <c r="J390" s="257">
        <v>0</v>
      </c>
      <c r="K390" s="257">
        <v>0</v>
      </c>
      <c r="L390" s="257">
        <v>0</v>
      </c>
      <c r="M390" s="257">
        <v>0</v>
      </c>
      <c r="N390" s="257">
        <v>0</v>
      </c>
      <c r="O390" s="257">
        <v>0</v>
      </c>
      <c r="P390" s="257">
        <v>0</v>
      </c>
      <c r="Q390" s="258">
        <v>0</v>
      </c>
    </row>
    <row r="391" spans="1:17">
      <c r="A391" s="256">
        <v>1</v>
      </c>
      <c r="B391" s="256">
        <v>8830203</v>
      </c>
      <c r="C391" s="256">
        <v>883020314</v>
      </c>
      <c r="D391" s="256" t="s">
        <v>538</v>
      </c>
      <c r="E391" s="256" t="s">
        <v>539</v>
      </c>
      <c r="F391" s="256" t="s">
        <v>810</v>
      </c>
      <c r="G391" s="256" t="s">
        <v>108</v>
      </c>
      <c r="H391" s="256" t="s">
        <v>751</v>
      </c>
      <c r="I391" s="257">
        <v>1239800</v>
      </c>
      <c r="J391" s="257">
        <v>0</v>
      </c>
      <c r="K391" s="257">
        <v>0</v>
      </c>
      <c r="L391" s="257">
        <v>0</v>
      </c>
      <c r="M391" s="257">
        <v>0</v>
      </c>
      <c r="N391" s="257">
        <v>0</v>
      </c>
      <c r="O391" s="257">
        <v>0</v>
      </c>
      <c r="P391" s="257">
        <v>1239800</v>
      </c>
      <c r="Q391" s="258">
        <v>0</v>
      </c>
    </row>
    <row r="392" spans="1:17">
      <c r="A392" s="256">
        <v>1</v>
      </c>
      <c r="B392" s="256">
        <v>8830203</v>
      </c>
      <c r="C392" s="256">
        <v>883020315</v>
      </c>
      <c r="D392" s="256" t="s">
        <v>538</v>
      </c>
      <c r="E392" s="256" t="s">
        <v>539</v>
      </c>
      <c r="F392" s="256" t="s">
        <v>810</v>
      </c>
      <c r="G392" s="256" t="s">
        <v>108</v>
      </c>
      <c r="H392" s="256" t="s">
        <v>752</v>
      </c>
      <c r="I392" s="257">
        <v>400000</v>
      </c>
      <c r="J392" s="257">
        <v>0</v>
      </c>
      <c r="K392" s="257">
        <v>0</v>
      </c>
      <c r="L392" s="257">
        <v>0</v>
      </c>
      <c r="M392" s="257">
        <v>0</v>
      </c>
      <c r="N392" s="257">
        <v>0</v>
      </c>
      <c r="O392" s="257">
        <v>0</v>
      </c>
      <c r="P392" s="257">
        <v>400000</v>
      </c>
      <c r="Q392" s="258">
        <v>0</v>
      </c>
    </row>
    <row r="393" spans="1:17">
      <c r="A393" s="256">
        <v>1</v>
      </c>
      <c r="B393" s="256">
        <v>8830204</v>
      </c>
      <c r="C393" s="256">
        <v>883020401</v>
      </c>
      <c r="D393" s="256" t="s">
        <v>538</v>
      </c>
      <c r="E393" s="256" t="s">
        <v>539</v>
      </c>
      <c r="F393" s="256" t="s">
        <v>810</v>
      </c>
      <c r="G393" s="256" t="s">
        <v>106</v>
      </c>
      <c r="H393" s="256" t="s">
        <v>755</v>
      </c>
      <c r="I393" s="257">
        <v>10164027</v>
      </c>
      <c r="J393" s="257">
        <v>0</v>
      </c>
      <c r="K393" s="257">
        <v>0</v>
      </c>
      <c r="L393" s="257">
        <v>0</v>
      </c>
      <c r="M393" s="257">
        <v>0</v>
      </c>
      <c r="N393" s="257">
        <v>0</v>
      </c>
      <c r="O393" s="257">
        <v>10164027</v>
      </c>
      <c r="P393" s="257">
        <v>0</v>
      </c>
      <c r="Q393" s="258">
        <v>0</v>
      </c>
    </row>
    <row r="394" spans="1:17">
      <c r="A394" s="256">
        <v>1</v>
      </c>
      <c r="B394" s="256">
        <v>8830204</v>
      </c>
      <c r="C394" s="256">
        <v>883020402</v>
      </c>
      <c r="D394" s="256" t="s">
        <v>538</v>
      </c>
      <c r="E394" s="256" t="s">
        <v>539</v>
      </c>
      <c r="F394" s="256" t="s">
        <v>810</v>
      </c>
      <c r="G394" s="256" t="s">
        <v>106</v>
      </c>
      <c r="H394" s="256" t="s">
        <v>756</v>
      </c>
      <c r="I394" s="257">
        <v>64656</v>
      </c>
      <c r="J394" s="257">
        <v>0</v>
      </c>
      <c r="K394" s="257">
        <v>0</v>
      </c>
      <c r="L394" s="257">
        <v>0</v>
      </c>
      <c r="M394" s="257">
        <v>0</v>
      </c>
      <c r="N394" s="257">
        <v>0</v>
      </c>
      <c r="O394" s="257">
        <v>0</v>
      </c>
      <c r="P394" s="257">
        <v>64656</v>
      </c>
      <c r="Q394" s="258">
        <v>0</v>
      </c>
    </row>
    <row r="395" spans="1:17">
      <c r="A395" s="256">
        <v>1</v>
      </c>
      <c r="B395" s="256">
        <v>8830204</v>
      </c>
      <c r="C395" s="256">
        <v>883020403</v>
      </c>
      <c r="D395" s="256" t="s">
        <v>538</v>
      </c>
      <c r="E395" s="256" t="s">
        <v>539</v>
      </c>
      <c r="F395" s="256" t="s">
        <v>810</v>
      </c>
      <c r="G395" s="256" t="s">
        <v>106</v>
      </c>
      <c r="H395" s="256" t="s">
        <v>757</v>
      </c>
      <c r="I395" s="257">
        <v>0</v>
      </c>
      <c r="J395" s="257">
        <v>0</v>
      </c>
      <c r="K395" s="257">
        <v>0</v>
      </c>
      <c r="L395" s="257">
        <v>0</v>
      </c>
      <c r="M395" s="257">
        <v>0</v>
      </c>
      <c r="N395" s="257">
        <v>0</v>
      </c>
      <c r="O395" s="257">
        <v>0</v>
      </c>
      <c r="P395" s="257">
        <v>0</v>
      </c>
      <c r="Q395" s="258">
        <v>0</v>
      </c>
    </row>
    <row r="396" spans="1:17">
      <c r="A396" s="256">
        <v>1</v>
      </c>
      <c r="B396" s="256">
        <v>8830204</v>
      </c>
      <c r="C396" s="256">
        <v>883020405</v>
      </c>
      <c r="D396" s="256" t="s">
        <v>538</v>
      </c>
      <c r="E396" s="256" t="s">
        <v>539</v>
      </c>
      <c r="F396" s="256" t="s">
        <v>810</v>
      </c>
      <c r="G396" s="256" t="s">
        <v>106</v>
      </c>
      <c r="H396" s="256" t="s">
        <v>758</v>
      </c>
      <c r="I396" s="257">
        <v>0</v>
      </c>
      <c r="J396" s="257">
        <v>0</v>
      </c>
      <c r="K396" s="257">
        <v>0</v>
      </c>
      <c r="L396" s="257">
        <v>0</v>
      </c>
      <c r="M396" s="257">
        <v>0</v>
      </c>
      <c r="N396" s="257">
        <v>0</v>
      </c>
      <c r="O396" s="257">
        <v>0</v>
      </c>
      <c r="P396" s="257">
        <v>0</v>
      </c>
      <c r="Q396" s="258">
        <v>0</v>
      </c>
    </row>
    <row r="397" spans="1:17">
      <c r="A397" s="256">
        <v>1</v>
      </c>
      <c r="B397" s="256">
        <v>8830204</v>
      </c>
      <c r="C397" s="256">
        <v>883020406</v>
      </c>
      <c r="D397" s="256" t="s">
        <v>538</v>
      </c>
      <c r="E397" s="256" t="s">
        <v>539</v>
      </c>
      <c r="F397" s="256" t="s">
        <v>810</v>
      </c>
      <c r="G397" s="256" t="s">
        <v>106</v>
      </c>
      <c r="H397" s="256" t="s">
        <v>759</v>
      </c>
      <c r="I397" s="257">
        <v>38358</v>
      </c>
      <c r="J397" s="257">
        <v>0</v>
      </c>
      <c r="K397" s="257">
        <v>0</v>
      </c>
      <c r="L397" s="257">
        <v>0</v>
      </c>
      <c r="M397" s="257">
        <v>0</v>
      </c>
      <c r="N397" s="257">
        <v>0</v>
      </c>
      <c r="O397" s="257">
        <v>38358</v>
      </c>
      <c r="P397" s="257">
        <v>0</v>
      </c>
      <c r="Q397" s="258">
        <v>0</v>
      </c>
    </row>
    <row r="398" spans="1:17">
      <c r="A398" s="256">
        <v>1</v>
      </c>
      <c r="B398" s="256">
        <v>8830204</v>
      </c>
      <c r="C398" s="256">
        <v>883020407</v>
      </c>
      <c r="D398" s="256" t="s">
        <v>538</v>
      </c>
      <c r="E398" s="256" t="s">
        <v>539</v>
      </c>
      <c r="F398" s="256" t="s">
        <v>810</v>
      </c>
      <c r="G398" s="256" t="s">
        <v>106</v>
      </c>
      <c r="H398" s="256" t="s">
        <v>760</v>
      </c>
      <c r="I398" s="257">
        <v>0</v>
      </c>
      <c r="J398" s="257">
        <v>0</v>
      </c>
      <c r="K398" s="257">
        <v>0</v>
      </c>
      <c r="L398" s="257">
        <v>0</v>
      </c>
      <c r="M398" s="257">
        <v>0</v>
      </c>
      <c r="N398" s="257">
        <v>0</v>
      </c>
      <c r="O398" s="257">
        <v>0</v>
      </c>
      <c r="P398" s="257">
        <v>0</v>
      </c>
      <c r="Q398" s="258">
        <v>0</v>
      </c>
    </row>
    <row r="399" spans="1:17">
      <c r="A399" s="256">
        <v>1</v>
      </c>
      <c r="B399" s="256">
        <v>8830204</v>
      </c>
      <c r="C399" s="256">
        <v>883020408</v>
      </c>
      <c r="D399" s="256" t="s">
        <v>538</v>
      </c>
      <c r="E399" s="256" t="s">
        <v>539</v>
      </c>
      <c r="F399" s="256" t="s">
        <v>810</v>
      </c>
      <c r="G399" s="256" t="s">
        <v>106</v>
      </c>
      <c r="H399" s="256" t="s">
        <v>761</v>
      </c>
      <c r="I399" s="257">
        <v>0</v>
      </c>
      <c r="J399" s="257">
        <v>0</v>
      </c>
      <c r="K399" s="257">
        <v>0</v>
      </c>
      <c r="L399" s="257">
        <v>0</v>
      </c>
      <c r="M399" s="257">
        <v>0</v>
      </c>
      <c r="N399" s="257">
        <v>0</v>
      </c>
      <c r="O399" s="257">
        <v>0</v>
      </c>
      <c r="P399" s="257">
        <v>0</v>
      </c>
      <c r="Q399" s="258">
        <v>0</v>
      </c>
    </row>
    <row r="400" spans="1:17">
      <c r="A400" s="256">
        <v>1</v>
      </c>
      <c r="B400" s="256">
        <v>8830204</v>
      </c>
      <c r="C400" s="256">
        <v>883020410</v>
      </c>
      <c r="D400" s="256" t="s">
        <v>538</v>
      </c>
      <c r="E400" s="256" t="s">
        <v>539</v>
      </c>
      <c r="F400" s="256" t="s">
        <v>810</v>
      </c>
      <c r="G400" s="256" t="s">
        <v>106</v>
      </c>
      <c r="H400" s="256" t="s">
        <v>762</v>
      </c>
      <c r="I400" s="257">
        <v>3570122</v>
      </c>
      <c r="J400" s="257">
        <v>0</v>
      </c>
      <c r="K400" s="257">
        <v>0</v>
      </c>
      <c r="L400" s="257">
        <v>0</v>
      </c>
      <c r="M400" s="257">
        <v>0</v>
      </c>
      <c r="N400" s="257">
        <v>0</v>
      </c>
      <c r="O400" s="257">
        <v>3570122</v>
      </c>
      <c r="P400" s="257">
        <v>0</v>
      </c>
      <c r="Q400" s="258">
        <v>0</v>
      </c>
    </row>
    <row r="401" spans="1:17">
      <c r="A401" s="256">
        <v>1</v>
      </c>
      <c r="B401" s="256">
        <v>8830204</v>
      </c>
      <c r="C401" s="256">
        <v>883020411</v>
      </c>
      <c r="D401" s="256" t="s">
        <v>538</v>
      </c>
      <c r="E401" s="256" t="s">
        <v>539</v>
      </c>
      <c r="F401" s="256" t="s">
        <v>810</v>
      </c>
      <c r="G401" s="256" t="s">
        <v>106</v>
      </c>
      <c r="H401" s="256" t="s">
        <v>763</v>
      </c>
      <c r="I401" s="257">
        <v>0</v>
      </c>
      <c r="J401" s="257">
        <v>0</v>
      </c>
      <c r="K401" s="257">
        <v>0</v>
      </c>
      <c r="L401" s="257">
        <v>0</v>
      </c>
      <c r="M401" s="257">
        <v>0</v>
      </c>
      <c r="N401" s="257">
        <v>0</v>
      </c>
      <c r="O401" s="257">
        <v>0</v>
      </c>
      <c r="P401" s="257">
        <v>0</v>
      </c>
      <c r="Q401" s="258">
        <v>0</v>
      </c>
    </row>
    <row r="402" spans="1:17">
      <c r="A402" s="256">
        <v>1</v>
      </c>
      <c r="B402" s="256">
        <v>8830205</v>
      </c>
      <c r="C402" s="256">
        <v>883020500</v>
      </c>
      <c r="D402" s="256" t="s">
        <v>538</v>
      </c>
      <c r="E402" s="256" t="s">
        <v>539</v>
      </c>
      <c r="F402" s="256" t="s">
        <v>810</v>
      </c>
      <c r="G402" s="256" t="s">
        <v>104</v>
      </c>
      <c r="H402" s="256"/>
      <c r="I402" s="257">
        <v>0</v>
      </c>
      <c r="J402" s="257">
        <v>0</v>
      </c>
      <c r="K402" s="257">
        <v>0</v>
      </c>
      <c r="L402" s="257">
        <v>0</v>
      </c>
      <c r="M402" s="257">
        <v>0</v>
      </c>
      <c r="N402" s="257">
        <v>0</v>
      </c>
      <c r="O402" s="257">
        <v>0</v>
      </c>
      <c r="P402" s="257">
        <v>0</v>
      </c>
      <c r="Q402" s="258">
        <v>0</v>
      </c>
    </row>
    <row r="403" spans="1:17">
      <c r="A403" s="256">
        <v>1</v>
      </c>
      <c r="B403" s="256">
        <v>8830207</v>
      </c>
      <c r="C403" s="256">
        <v>883020700</v>
      </c>
      <c r="D403" s="256" t="s">
        <v>538</v>
      </c>
      <c r="E403" s="256" t="s">
        <v>539</v>
      </c>
      <c r="F403" s="256" t="s">
        <v>810</v>
      </c>
      <c r="G403" s="256" t="s">
        <v>102</v>
      </c>
      <c r="H403" s="256"/>
      <c r="I403" s="257">
        <v>0</v>
      </c>
      <c r="J403" s="257">
        <v>0</v>
      </c>
      <c r="K403" s="257">
        <v>0</v>
      </c>
      <c r="L403" s="257">
        <v>0</v>
      </c>
      <c r="M403" s="257">
        <v>0</v>
      </c>
      <c r="N403" s="257">
        <v>0</v>
      </c>
      <c r="O403" s="257">
        <v>0</v>
      </c>
      <c r="P403" s="257">
        <v>0</v>
      </c>
      <c r="Q403" s="258">
        <v>0</v>
      </c>
    </row>
    <row r="404" spans="1:17">
      <c r="A404" s="256">
        <v>1</v>
      </c>
      <c r="B404" s="256">
        <v>8830208</v>
      </c>
      <c r="C404" s="256">
        <v>883020800</v>
      </c>
      <c r="D404" s="256" t="s">
        <v>538</v>
      </c>
      <c r="E404" s="256" t="s">
        <v>539</v>
      </c>
      <c r="F404" s="256" t="s">
        <v>810</v>
      </c>
      <c r="G404" s="256" t="s">
        <v>100</v>
      </c>
      <c r="H404" s="256"/>
      <c r="I404" s="257">
        <v>45200</v>
      </c>
      <c r="J404" s="257">
        <v>0</v>
      </c>
      <c r="K404" s="257">
        <v>0</v>
      </c>
      <c r="L404" s="257">
        <v>0</v>
      </c>
      <c r="M404" s="257">
        <v>0</v>
      </c>
      <c r="N404" s="257">
        <v>45200</v>
      </c>
      <c r="O404" s="257">
        <v>0</v>
      </c>
      <c r="P404" s="257">
        <v>0</v>
      </c>
      <c r="Q404" s="258">
        <v>0</v>
      </c>
    </row>
    <row r="405" spans="1:17">
      <c r="A405" s="256">
        <v>1</v>
      </c>
      <c r="B405" s="256">
        <v>8830210</v>
      </c>
      <c r="C405" s="256">
        <v>883021001</v>
      </c>
      <c r="D405" s="256" t="s">
        <v>538</v>
      </c>
      <c r="E405" s="256" t="s">
        <v>539</v>
      </c>
      <c r="F405" s="256" t="s">
        <v>810</v>
      </c>
      <c r="G405" s="256" t="s">
        <v>764</v>
      </c>
      <c r="H405" s="256" t="s">
        <v>98</v>
      </c>
      <c r="I405" s="257">
        <v>0</v>
      </c>
      <c r="J405" s="257">
        <v>0</v>
      </c>
      <c r="K405" s="257">
        <v>0</v>
      </c>
      <c r="L405" s="257">
        <v>0</v>
      </c>
      <c r="M405" s="257">
        <v>0</v>
      </c>
      <c r="N405" s="257">
        <v>0</v>
      </c>
      <c r="O405" s="257">
        <v>0</v>
      </c>
      <c r="P405" s="257">
        <v>0</v>
      </c>
      <c r="Q405" s="258">
        <v>0</v>
      </c>
    </row>
    <row r="406" spans="1:17">
      <c r="A406" s="256">
        <v>1</v>
      </c>
      <c r="B406" s="256">
        <v>8830210</v>
      </c>
      <c r="C406" s="256">
        <v>883021002</v>
      </c>
      <c r="D406" s="256" t="s">
        <v>538</v>
      </c>
      <c r="E406" s="256" t="s">
        <v>539</v>
      </c>
      <c r="F406" s="256" t="s">
        <v>810</v>
      </c>
      <c r="G406" s="256" t="s">
        <v>764</v>
      </c>
      <c r="H406" s="256" t="s">
        <v>95</v>
      </c>
      <c r="I406" s="257">
        <v>0</v>
      </c>
      <c r="J406" s="257">
        <v>0</v>
      </c>
      <c r="K406" s="257">
        <v>0</v>
      </c>
      <c r="L406" s="257">
        <v>0</v>
      </c>
      <c r="M406" s="257">
        <v>0</v>
      </c>
      <c r="N406" s="257">
        <v>0</v>
      </c>
      <c r="O406" s="257">
        <v>0</v>
      </c>
      <c r="P406" s="257">
        <v>0</v>
      </c>
      <c r="Q406" s="258">
        <v>0</v>
      </c>
    </row>
    <row r="407" spans="1:17">
      <c r="A407" s="236">
        <v>1</v>
      </c>
      <c r="B407" s="236">
        <v>8830210</v>
      </c>
      <c r="C407" s="236">
        <v>883021003</v>
      </c>
      <c r="D407" s="236" t="s">
        <v>538</v>
      </c>
      <c r="E407" s="236" t="s">
        <v>539</v>
      </c>
      <c r="F407" s="236" t="s">
        <v>810</v>
      </c>
      <c r="G407" s="236" t="s">
        <v>764</v>
      </c>
      <c r="H407" s="236" t="s">
        <v>765</v>
      </c>
      <c r="I407" s="257">
        <v>0</v>
      </c>
      <c r="J407" s="257">
        <v>0</v>
      </c>
      <c r="K407" s="257">
        <v>0</v>
      </c>
      <c r="L407" s="257">
        <v>0</v>
      </c>
      <c r="M407" s="257">
        <v>0</v>
      </c>
      <c r="N407" s="257">
        <v>0</v>
      </c>
      <c r="O407" s="257">
        <v>0</v>
      </c>
      <c r="P407" s="257">
        <v>0</v>
      </c>
      <c r="Q407" s="258">
        <v>0</v>
      </c>
    </row>
    <row r="408" spans="1:17">
      <c r="A408" s="256">
        <v>1</v>
      </c>
      <c r="B408" s="256">
        <v>8830213</v>
      </c>
      <c r="C408" s="256">
        <v>883021300</v>
      </c>
      <c r="D408" s="256" t="s">
        <v>538</v>
      </c>
      <c r="E408" s="256" t="s">
        <v>539</v>
      </c>
      <c r="F408" s="256" t="s">
        <v>810</v>
      </c>
      <c r="G408" s="256" t="s">
        <v>93</v>
      </c>
      <c r="H408" s="256"/>
      <c r="I408" s="257">
        <v>2612281</v>
      </c>
      <c r="J408" s="257">
        <v>0</v>
      </c>
      <c r="K408" s="257">
        <v>0</v>
      </c>
      <c r="L408" s="257">
        <v>0</v>
      </c>
      <c r="M408" s="257">
        <v>0</v>
      </c>
      <c r="N408" s="257">
        <v>2612281</v>
      </c>
      <c r="O408" s="257">
        <v>0</v>
      </c>
      <c r="P408" s="257">
        <v>0</v>
      </c>
      <c r="Q408" s="258">
        <v>0</v>
      </c>
    </row>
    <row r="409" spans="1:17">
      <c r="A409" s="256">
        <v>1</v>
      </c>
      <c r="B409" s="256">
        <v>8830214</v>
      </c>
      <c r="C409" s="256">
        <v>883021400</v>
      </c>
      <c r="D409" s="256" t="s">
        <v>538</v>
      </c>
      <c r="E409" s="256" t="s">
        <v>539</v>
      </c>
      <c r="F409" s="256" t="s">
        <v>810</v>
      </c>
      <c r="G409" s="256" t="s">
        <v>91</v>
      </c>
      <c r="H409" s="256"/>
      <c r="I409" s="257">
        <v>474482</v>
      </c>
      <c r="J409" s="257">
        <v>0</v>
      </c>
      <c r="K409" s="257">
        <v>0</v>
      </c>
      <c r="L409" s="257">
        <v>0</v>
      </c>
      <c r="M409" s="257">
        <v>0</v>
      </c>
      <c r="N409" s="257">
        <v>474482</v>
      </c>
      <c r="O409" s="257">
        <v>0</v>
      </c>
      <c r="P409" s="257">
        <v>0</v>
      </c>
      <c r="Q409" s="258">
        <v>0</v>
      </c>
    </row>
    <row r="410" spans="1:17">
      <c r="A410" s="256">
        <v>1</v>
      </c>
      <c r="B410" s="256">
        <v>8830215</v>
      </c>
      <c r="C410" s="256">
        <v>883021500</v>
      </c>
      <c r="D410" s="256" t="s">
        <v>538</v>
      </c>
      <c r="E410" s="256" t="s">
        <v>539</v>
      </c>
      <c r="F410" s="256" t="s">
        <v>810</v>
      </c>
      <c r="G410" s="256" t="s">
        <v>89</v>
      </c>
      <c r="H410" s="256"/>
      <c r="I410" s="257">
        <v>0</v>
      </c>
      <c r="J410" s="257">
        <v>0</v>
      </c>
      <c r="K410" s="257">
        <v>0</v>
      </c>
      <c r="L410" s="257">
        <v>0</v>
      </c>
      <c r="M410" s="257">
        <v>0</v>
      </c>
      <c r="N410" s="257">
        <v>0</v>
      </c>
      <c r="O410" s="257">
        <v>0</v>
      </c>
      <c r="P410" s="257">
        <v>0</v>
      </c>
      <c r="Q410" s="258">
        <v>0</v>
      </c>
    </row>
    <row r="411" spans="1:17">
      <c r="A411" s="256">
        <v>1</v>
      </c>
      <c r="B411" s="256">
        <v>8830217</v>
      </c>
      <c r="C411" s="256">
        <v>883021700</v>
      </c>
      <c r="D411" s="256" t="s">
        <v>538</v>
      </c>
      <c r="E411" s="256" t="s">
        <v>539</v>
      </c>
      <c r="F411" s="256" t="s">
        <v>810</v>
      </c>
      <c r="G411" s="256" t="s">
        <v>87</v>
      </c>
      <c r="H411" s="256"/>
      <c r="I411" s="257">
        <v>650162</v>
      </c>
      <c r="J411" s="257">
        <v>0</v>
      </c>
      <c r="K411" s="257">
        <v>0</v>
      </c>
      <c r="L411" s="257">
        <v>0</v>
      </c>
      <c r="M411" s="257">
        <v>0</v>
      </c>
      <c r="N411" s="257">
        <v>650162</v>
      </c>
      <c r="O411" s="257">
        <v>0</v>
      </c>
      <c r="P411" s="257">
        <v>0</v>
      </c>
      <c r="Q411" s="258">
        <v>0</v>
      </c>
    </row>
    <row r="412" spans="1:17">
      <c r="A412" s="256">
        <v>1</v>
      </c>
      <c r="B412" s="256">
        <v>8830219</v>
      </c>
      <c r="C412" s="256">
        <v>883021900</v>
      </c>
      <c r="D412" s="256" t="s">
        <v>538</v>
      </c>
      <c r="E412" s="256" t="s">
        <v>539</v>
      </c>
      <c r="F412" s="256" t="s">
        <v>810</v>
      </c>
      <c r="G412" s="256" t="s">
        <v>85</v>
      </c>
      <c r="H412" s="256"/>
      <c r="I412" s="257">
        <v>19480</v>
      </c>
      <c r="J412" s="257">
        <v>0</v>
      </c>
      <c r="K412" s="257">
        <v>0</v>
      </c>
      <c r="L412" s="257">
        <v>0</v>
      </c>
      <c r="M412" s="257">
        <v>0</v>
      </c>
      <c r="N412" s="257">
        <v>11880</v>
      </c>
      <c r="O412" s="257">
        <v>7600</v>
      </c>
      <c r="P412" s="257">
        <v>0</v>
      </c>
      <c r="Q412" s="258">
        <v>0</v>
      </c>
    </row>
    <row r="413" spans="1:17">
      <c r="A413" s="256">
        <v>1</v>
      </c>
      <c r="B413" s="256">
        <v>8830220</v>
      </c>
      <c r="C413" s="256">
        <v>883022000</v>
      </c>
      <c r="D413" s="256" t="s">
        <v>538</v>
      </c>
      <c r="E413" s="256" t="s">
        <v>539</v>
      </c>
      <c r="F413" s="256" t="s">
        <v>810</v>
      </c>
      <c r="G413" s="256" t="s">
        <v>83</v>
      </c>
      <c r="H413" s="256"/>
      <c r="I413" s="257">
        <v>6446706</v>
      </c>
      <c r="J413" s="257">
        <v>0</v>
      </c>
      <c r="K413" s="257">
        <v>0</v>
      </c>
      <c r="L413" s="257">
        <v>678402</v>
      </c>
      <c r="M413" s="257">
        <v>0</v>
      </c>
      <c r="N413" s="257">
        <v>114697</v>
      </c>
      <c r="O413" s="257">
        <v>5653607</v>
      </c>
      <c r="P413" s="257">
        <v>0</v>
      </c>
      <c r="Q413" s="258">
        <v>0</v>
      </c>
    </row>
    <row r="414" spans="1:17">
      <c r="A414" s="256">
        <v>1</v>
      </c>
      <c r="B414" s="256">
        <v>8830221</v>
      </c>
      <c r="C414" s="256">
        <v>883022100</v>
      </c>
      <c r="D414" s="256" t="s">
        <v>538</v>
      </c>
      <c r="E414" s="256" t="s">
        <v>539</v>
      </c>
      <c r="F414" s="256" t="s">
        <v>810</v>
      </c>
      <c r="G414" s="256" t="s">
        <v>81</v>
      </c>
      <c r="H414" s="256"/>
      <c r="I414" s="257">
        <v>163512706</v>
      </c>
      <c r="J414" s="257">
        <v>0</v>
      </c>
      <c r="K414" s="257">
        <v>0</v>
      </c>
      <c r="L414" s="257">
        <v>0</v>
      </c>
      <c r="M414" s="257">
        <v>0</v>
      </c>
      <c r="N414" s="257">
        <v>163512706</v>
      </c>
      <c r="O414" s="257">
        <v>0</v>
      </c>
      <c r="P414" s="257">
        <v>0</v>
      </c>
      <c r="Q414" s="258">
        <v>0</v>
      </c>
    </row>
    <row r="415" spans="1:17">
      <c r="A415" s="256">
        <v>1</v>
      </c>
      <c r="B415" s="256">
        <v>8830223</v>
      </c>
      <c r="C415" s="256">
        <v>883022300</v>
      </c>
      <c r="D415" s="256" t="s">
        <v>538</v>
      </c>
      <c r="E415" s="256" t="s">
        <v>539</v>
      </c>
      <c r="F415" s="256" t="s">
        <v>810</v>
      </c>
      <c r="G415" s="256" t="s">
        <v>79</v>
      </c>
      <c r="H415" s="256"/>
      <c r="I415" s="257">
        <v>12499689</v>
      </c>
      <c r="J415" s="257">
        <v>0</v>
      </c>
      <c r="K415" s="257">
        <v>0</v>
      </c>
      <c r="L415" s="257">
        <v>0</v>
      </c>
      <c r="M415" s="257">
        <v>0</v>
      </c>
      <c r="N415" s="257">
        <v>12499689</v>
      </c>
      <c r="O415" s="257">
        <v>0</v>
      </c>
      <c r="P415" s="257">
        <v>0</v>
      </c>
      <c r="Q415" s="258">
        <v>0</v>
      </c>
    </row>
    <row r="416" spans="1:17">
      <c r="A416" s="256">
        <v>1</v>
      </c>
      <c r="B416" s="256">
        <v>8830224</v>
      </c>
      <c r="C416" s="256">
        <v>883022400</v>
      </c>
      <c r="D416" s="256" t="s">
        <v>538</v>
      </c>
      <c r="E416" s="256" t="s">
        <v>539</v>
      </c>
      <c r="F416" s="256" t="s">
        <v>810</v>
      </c>
      <c r="G416" s="256" t="s">
        <v>77</v>
      </c>
      <c r="H416" s="256"/>
      <c r="I416" s="257">
        <v>2121075</v>
      </c>
      <c r="J416" s="257">
        <v>0</v>
      </c>
      <c r="K416" s="257">
        <v>0</v>
      </c>
      <c r="L416" s="257">
        <v>0</v>
      </c>
      <c r="M416" s="257">
        <v>0</v>
      </c>
      <c r="N416" s="257">
        <v>2121075</v>
      </c>
      <c r="O416" s="257">
        <v>0</v>
      </c>
      <c r="P416" s="257">
        <v>0</v>
      </c>
      <c r="Q416" s="258">
        <v>0</v>
      </c>
    </row>
    <row r="417" spans="1:17">
      <c r="A417" s="256">
        <v>1</v>
      </c>
      <c r="B417" s="256">
        <v>8830225</v>
      </c>
      <c r="C417" s="256">
        <v>883022500</v>
      </c>
      <c r="D417" s="256" t="s">
        <v>538</v>
      </c>
      <c r="E417" s="256" t="s">
        <v>539</v>
      </c>
      <c r="F417" s="256" t="s">
        <v>810</v>
      </c>
      <c r="G417" s="256" t="s">
        <v>75</v>
      </c>
      <c r="H417" s="256"/>
      <c r="I417" s="257">
        <v>299926084</v>
      </c>
      <c r="J417" s="257">
        <v>0</v>
      </c>
      <c r="K417" s="257">
        <v>0</v>
      </c>
      <c r="L417" s="257">
        <v>0</v>
      </c>
      <c r="M417" s="257">
        <v>0</v>
      </c>
      <c r="N417" s="257">
        <v>299926084</v>
      </c>
      <c r="O417" s="257">
        <v>0</v>
      </c>
      <c r="P417" s="257">
        <v>0</v>
      </c>
      <c r="Q417" s="258">
        <v>0</v>
      </c>
    </row>
    <row r="418" spans="1:17">
      <c r="A418" s="256">
        <v>1</v>
      </c>
      <c r="B418" s="256">
        <v>8830226</v>
      </c>
      <c r="C418" s="256">
        <v>883022600</v>
      </c>
      <c r="D418" s="256" t="s">
        <v>538</v>
      </c>
      <c r="E418" s="256" t="s">
        <v>539</v>
      </c>
      <c r="F418" s="256" t="s">
        <v>810</v>
      </c>
      <c r="G418" s="256" t="s">
        <v>73</v>
      </c>
      <c r="H418" s="256"/>
      <c r="I418" s="257">
        <v>3840</v>
      </c>
      <c r="J418" s="257">
        <v>0</v>
      </c>
      <c r="K418" s="257">
        <v>0</v>
      </c>
      <c r="L418" s="257">
        <v>0</v>
      </c>
      <c r="M418" s="257">
        <v>0</v>
      </c>
      <c r="N418" s="257">
        <v>0</v>
      </c>
      <c r="O418" s="257">
        <v>3840</v>
      </c>
      <c r="P418" s="257">
        <v>0</v>
      </c>
      <c r="Q418" s="258">
        <v>0</v>
      </c>
    </row>
    <row r="419" spans="1:17">
      <c r="A419" s="256">
        <v>1</v>
      </c>
      <c r="B419" s="256">
        <v>8830228</v>
      </c>
      <c r="C419" s="256">
        <v>883022866</v>
      </c>
      <c r="D419" s="256" t="s">
        <v>538</v>
      </c>
      <c r="E419" s="256" t="s">
        <v>539</v>
      </c>
      <c r="F419" s="256" t="s">
        <v>810</v>
      </c>
      <c r="G419" s="256" t="s">
        <v>811</v>
      </c>
      <c r="H419" s="256" t="s">
        <v>812</v>
      </c>
      <c r="I419" s="257">
        <v>1471468</v>
      </c>
      <c r="J419" s="257">
        <v>0</v>
      </c>
      <c r="K419" s="257">
        <v>0</v>
      </c>
      <c r="L419" s="257">
        <v>0</v>
      </c>
      <c r="M419" s="257">
        <v>0</v>
      </c>
      <c r="N419" s="257">
        <v>1471468</v>
      </c>
      <c r="O419" s="257">
        <v>0</v>
      </c>
      <c r="P419" s="257">
        <v>0</v>
      </c>
      <c r="Q419" s="258">
        <v>0</v>
      </c>
    </row>
    <row r="420" spans="1:17">
      <c r="A420" s="256">
        <v>1</v>
      </c>
      <c r="B420" s="256">
        <v>8830228</v>
      </c>
      <c r="C420" s="256">
        <v>883022867</v>
      </c>
      <c r="D420" s="256" t="s">
        <v>538</v>
      </c>
      <c r="E420" s="256" t="s">
        <v>539</v>
      </c>
      <c r="F420" s="256" t="s">
        <v>810</v>
      </c>
      <c r="G420" s="256" t="s">
        <v>811</v>
      </c>
      <c r="H420" s="256" t="s">
        <v>813</v>
      </c>
      <c r="I420" s="257">
        <v>0</v>
      </c>
      <c r="J420" s="257">
        <v>0</v>
      </c>
      <c r="K420" s="257">
        <v>0</v>
      </c>
      <c r="L420" s="257">
        <v>0</v>
      </c>
      <c r="M420" s="257">
        <v>0</v>
      </c>
      <c r="N420" s="257">
        <v>0</v>
      </c>
      <c r="O420" s="257">
        <v>0</v>
      </c>
      <c r="P420" s="257">
        <v>0</v>
      </c>
      <c r="Q420" s="258">
        <v>0</v>
      </c>
    </row>
    <row r="421" spans="1:17">
      <c r="A421" s="256">
        <v>1</v>
      </c>
      <c r="B421" s="256">
        <v>8830229</v>
      </c>
      <c r="C421" s="256">
        <v>883022900</v>
      </c>
      <c r="D421" s="256" t="s">
        <v>538</v>
      </c>
      <c r="E421" s="256" t="s">
        <v>539</v>
      </c>
      <c r="F421" s="256" t="s">
        <v>810</v>
      </c>
      <c r="G421" s="256" t="s">
        <v>66</v>
      </c>
      <c r="H421" s="256"/>
      <c r="I421" s="257">
        <v>0</v>
      </c>
      <c r="J421" s="257">
        <v>0</v>
      </c>
      <c r="K421" s="257">
        <v>0</v>
      </c>
      <c r="L421" s="257">
        <v>0</v>
      </c>
      <c r="M421" s="257">
        <v>0</v>
      </c>
      <c r="N421" s="257">
        <v>0</v>
      </c>
      <c r="O421" s="257">
        <v>0</v>
      </c>
      <c r="P421" s="257">
        <v>0</v>
      </c>
      <c r="Q421" s="258">
        <v>0</v>
      </c>
    </row>
    <row r="422" spans="1:17">
      <c r="A422" s="256">
        <v>1</v>
      </c>
      <c r="B422" s="256">
        <v>8830230</v>
      </c>
      <c r="C422" s="256">
        <v>883023000</v>
      </c>
      <c r="D422" s="256" t="s">
        <v>538</v>
      </c>
      <c r="E422" s="256" t="s">
        <v>539</v>
      </c>
      <c r="F422" s="256" t="s">
        <v>810</v>
      </c>
      <c r="G422" s="256" t="s">
        <v>64</v>
      </c>
      <c r="H422" s="256"/>
      <c r="I422" s="257">
        <v>693759</v>
      </c>
      <c r="J422" s="257">
        <v>0</v>
      </c>
      <c r="K422" s="257">
        <v>0</v>
      </c>
      <c r="L422" s="257">
        <v>0</v>
      </c>
      <c r="M422" s="257">
        <v>0</v>
      </c>
      <c r="N422" s="257">
        <v>0</v>
      </c>
      <c r="O422" s="257">
        <v>0</v>
      </c>
      <c r="P422" s="257">
        <v>693759</v>
      </c>
      <c r="Q422" s="258">
        <v>0</v>
      </c>
    </row>
    <row r="423" spans="1:17">
      <c r="A423" s="256">
        <v>1</v>
      </c>
      <c r="B423" s="256">
        <v>8830231</v>
      </c>
      <c r="C423" s="256">
        <v>883023100</v>
      </c>
      <c r="D423" s="256" t="s">
        <v>538</v>
      </c>
      <c r="E423" s="256" t="s">
        <v>539</v>
      </c>
      <c r="F423" s="256" t="s">
        <v>810</v>
      </c>
      <c r="G423" s="256" t="s">
        <v>62</v>
      </c>
      <c r="H423" s="256"/>
      <c r="I423" s="257">
        <v>34481445</v>
      </c>
      <c r="J423" s="257">
        <v>0</v>
      </c>
      <c r="K423" s="257">
        <v>0</v>
      </c>
      <c r="L423" s="257">
        <v>0</v>
      </c>
      <c r="M423" s="257">
        <v>0</v>
      </c>
      <c r="N423" s="257">
        <v>33599086</v>
      </c>
      <c r="O423" s="257">
        <v>882359</v>
      </c>
      <c r="P423" s="257">
        <v>0</v>
      </c>
      <c r="Q423" s="258">
        <v>0</v>
      </c>
    </row>
    <row r="424" spans="1:17">
      <c r="A424" s="256">
        <v>1</v>
      </c>
      <c r="B424" s="256">
        <v>8830237</v>
      </c>
      <c r="C424" s="256">
        <v>883023700</v>
      </c>
      <c r="D424" s="256" t="s">
        <v>538</v>
      </c>
      <c r="E424" s="256" t="s">
        <v>539</v>
      </c>
      <c r="F424" s="256" t="s">
        <v>810</v>
      </c>
      <c r="G424" s="256" t="s">
        <v>60</v>
      </c>
      <c r="H424" s="256"/>
      <c r="I424" s="257">
        <v>0</v>
      </c>
      <c r="J424" s="257">
        <v>0</v>
      </c>
      <c r="K424" s="257">
        <v>0</v>
      </c>
      <c r="L424" s="257">
        <v>0</v>
      </c>
      <c r="M424" s="257">
        <v>0</v>
      </c>
      <c r="N424" s="257">
        <v>0</v>
      </c>
      <c r="O424" s="257">
        <v>0</v>
      </c>
      <c r="P424" s="257">
        <v>0</v>
      </c>
      <c r="Q424" s="258">
        <v>0</v>
      </c>
    </row>
    <row r="425" spans="1:17">
      <c r="A425" s="256">
        <v>1</v>
      </c>
      <c r="B425" s="256">
        <v>8830239</v>
      </c>
      <c r="C425" s="256">
        <v>883023900</v>
      </c>
      <c r="D425" s="256" t="s">
        <v>538</v>
      </c>
      <c r="E425" s="256" t="s">
        <v>539</v>
      </c>
      <c r="F425" s="256" t="s">
        <v>810</v>
      </c>
      <c r="G425" s="256" t="s">
        <v>58</v>
      </c>
      <c r="H425" s="256"/>
      <c r="I425" s="257">
        <v>134822</v>
      </c>
      <c r="J425" s="257">
        <v>0</v>
      </c>
      <c r="K425" s="257">
        <v>0</v>
      </c>
      <c r="L425" s="257">
        <v>0</v>
      </c>
      <c r="M425" s="257">
        <v>0</v>
      </c>
      <c r="N425" s="257">
        <v>0</v>
      </c>
      <c r="O425" s="257">
        <v>134822</v>
      </c>
      <c r="P425" s="257">
        <v>0</v>
      </c>
      <c r="Q425" s="258">
        <v>0</v>
      </c>
    </row>
    <row r="426" spans="1:17">
      <c r="A426" s="256">
        <v>1</v>
      </c>
      <c r="B426" s="256">
        <v>8830240</v>
      </c>
      <c r="C426" s="256">
        <v>883024000</v>
      </c>
      <c r="D426" s="256" t="s">
        <v>538</v>
      </c>
      <c r="E426" s="256" t="s">
        <v>539</v>
      </c>
      <c r="F426" s="256" t="s">
        <v>810</v>
      </c>
      <c r="G426" s="256" t="s">
        <v>56</v>
      </c>
      <c r="H426" s="256"/>
      <c r="I426" s="257">
        <v>24800</v>
      </c>
      <c r="J426" s="257">
        <v>0</v>
      </c>
      <c r="K426" s="257">
        <v>0</v>
      </c>
      <c r="L426" s="257">
        <v>0</v>
      </c>
      <c r="M426" s="257">
        <v>0</v>
      </c>
      <c r="N426" s="257">
        <v>0</v>
      </c>
      <c r="O426" s="257">
        <v>0</v>
      </c>
      <c r="P426" s="257">
        <v>24800</v>
      </c>
      <c r="Q426" s="258">
        <v>0</v>
      </c>
    </row>
    <row r="427" spans="1:17">
      <c r="A427" s="256">
        <v>1</v>
      </c>
      <c r="B427" s="256">
        <v>8830241</v>
      </c>
      <c r="C427" s="256">
        <v>883024100</v>
      </c>
      <c r="D427" s="256" t="s">
        <v>538</v>
      </c>
      <c r="E427" s="256" t="s">
        <v>539</v>
      </c>
      <c r="F427" s="256" t="s">
        <v>810</v>
      </c>
      <c r="G427" s="256" t="s">
        <v>55</v>
      </c>
      <c r="H427" s="256"/>
      <c r="I427" s="257">
        <v>0</v>
      </c>
      <c r="J427" s="257">
        <v>0</v>
      </c>
      <c r="K427" s="257">
        <v>0</v>
      </c>
      <c r="L427" s="257">
        <v>0</v>
      </c>
      <c r="M427" s="257">
        <v>0</v>
      </c>
      <c r="N427" s="257">
        <v>0</v>
      </c>
      <c r="O427" s="257">
        <v>0</v>
      </c>
      <c r="P427" s="257">
        <v>0</v>
      </c>
      <c r="Q427" s="258">
        <v>0</v>
      </c>
    </row>
    <row r="428" spans="1:17">
      <c r="A428" s="256">
        <v>1</v>
      </c>
      <c r="B428" s="256">
        <v>8830242</v>
      </c>
      <c r="C428" s="256">
        <v>883024201</v>
      </c>
      <c r="D428" s="256" t="s">
        <v>538</v>
      </c>
      <c r="E428" s="256" t="s">
        <v>539</v>
      </c>
      <c r="F428" s="256" t="s">
        <v>810</v>
      </c>
      <c r="G428" s="256" t="s">
        <v>53</v>
      </c>
      <c r="H428" s="256" t="s">
        <v>108</v>
      </c>
      <c r="I428" s="257">
        <v>3913000</v>
      </c>
      <c r="J428" s="257">
        <v>0</v>
      </c>
      <c r="K428" s="257">
        <v>0</v>
      </c>
      <c r="L428" s="257">
        <v>0</v>
      </c>
      <c r="M428" s="257">
        <v>0</v>
      </c>
      <c r="N428" s="257">
        <v>0</v>
      </c>
      <c r="O428" s="257">
        <v>0</v>
      </c>
      <c r="P428" s="257">
        <v>3913000</v>
      </c>
      <c r="Q428" s="258">
        <v>0</v>
      </c>
    </row>
    <row r="429" spans="1:17">
      <c r="A429" s="256">
        <v>1</v>
      </c>
      <c r="B429" s="256">
        <v>8830242</v>
      </c>
      <c r="C429" s="256">
        <v>883024202</v>
      </c>
      <c r="D429" s="256" t="s">
        <v>538</v>
      </c>
      <c r="E429" s="256" t="s">
        <v>539</v>
      </c>
      <c r="F429" s="256" t="s">
        <v>810</v>
      </c>
      <c r="G429" s="256" t="s">
        <v>53</v>
      </c>
      <c r="H429" s="256" t="s">
        <v>106</v>
      </c>
      <c r="I429" s="257">
        <v>788000</v>
      </c>
      <c r="J429" s="257">
        <v>0</v>
      </c>
      <c r="K429" s="257">
        <v>0</v>
      </c>
      <c r="L429" s="257">
        <v>0</v>
      </c>
      <c r="M429" s="257">
        <v>0</v>
      </c>
      <c r="N429" s="257">
        <v>0</v>
      </c>
      <c r="O429" s="257">
        <v>0</v>
      </c>
      <c r="P429" s="257">
        <v>788000</v>
      </c>
      <c r="Q429" s="258">
        <v>0</v>
      </c>
    </row>
    <row r="430" spans="1:17">
      <c r="A430" s="256">
        <v>1</v>
      </c>
      <c r="B430" s="256">
        <v>8830401</v>
      </c>
      <c r="C430" s="256">
        <v>883040102</v>
      </c>
      <c r="D430" s="256" t="s">
        <v>538</v>
      </c>
      <c r="E430" s="256" t="s">
        <v>539</v>
      </c>
      <c r="F430" s="256" t="s">
        <v>814</v>
      </c>
      <c r="G430" s="256" t="s">
        <v>112</v>
      </c>
      <c r="H430" s="256" t="s">
        <v>737</v>
      </c>
      <c r="I430" s="257">
        <v>0</v>
      </c>
      <c r="J430" s="257">
        <v>0</v>
      </c>
      <c r="K430" s="257">
        <v>0</v>
      </c>
      <c r="L430" s="257">
        <v>0</v>
      </c>
      <c r="M430" s="257">
        <v>0</v>
      </c>
      <c r="N430" s="257">
        <v>0</v>
      </c>
      <c r="O430" s="257">
        <v>0</v>
      </c>
      <c r="P430" s="257">
        <v>0</v>
      </c>
      <c r="Q430" s="258">
        <v>0</v>
      </c>
    </row>
    <row r="431" spans="1:17">
      <c r="A431" s="256">
        <v>1</v>
      </c>
      <c r="B431" s="256">
        <v>8830401</v>
      </c>
      <c r="C431" s="256">
        <v>883040103</v>
      </c>
      <c r="D431" s="256" t="s">
        <v>538</v>
      </c>
      <c r="E431" s="256" t="s">
        <v>539</v>
      </c>
      <c r="F431" s="256" t="s">
        <v>814</v>
      </c>
      <c r="G431" s="256" t="s">
        <v>112</v>
      </c>
      <c r="H431" s="256" t="s">
        <v>738</v>
      </c>
      <c r="I431" s="257">
        <v>0</v>
      </c>
      <c r="J431" s="257">
        <v>0</v>
      </c>
      <c r="K431" s="257">
        <v>0</v>
      </c>
      <c r="L431" s="257">
        <v>0</v>
      </c>
      <c r="M431" s="257">
        <v>0</v>
      </c>
      <c r="N431" s="257">
        <v>0</v>
      </c>
      <c r="O431" s="257">
        <v>0</v>
      </c>
      <c r="P431" s="257">
        <v>0</v>
      </c>
      <c r="Q431" s="258">
        <v>0</v>
      </c>
    </row>
    <row r="432" spans="1:17">
      <c r="A432" s="256">
        <v>1</v>
      </c>
      <c r="B432" s="256">
        <v>8830401</v>
      </c>
      <c r="C432" s="256">
        <v>883040104</v>
      </c>
      <c r="D432" s="256" t="s">
        <v>538</v>
      </c>
      <c r="E432" s="256" t="s">
        <v>539</v>
      </c>
      <c r="F432" s="256" t="s">
        <v>814</v>
      </c>
      <c r="G432" s="256" t="s">
        <v>112</v>
      </c>
      <c r="H432" s="256" t="s">
        <v>739</v>
      </c>
      <c r="I432" s="257">
        <v>0</v>
      </c>
      <c r="J432" s="257">
        <v>0</v>
      </c>
      <c r="K432" s="257">
        <v>0</v>
      </c>
      <c r="L432" s="257">
        <v>0</v>
      </c>
      <c r="M432" s="257">
        <v>0</v>
      </c>
      <c r="N432" s="257">
        <v>0</v>
      </c>
      <c r="O432" s="257">
        <v>0</v>
      </c>
      <c r="P432" s="257">
        <v>0</v>
      </c>
      <c r="Q432" s="258">
        <v>0</v>
      </c>
    </row>
    <row r="433" spans="1:17">
      <c r="A433" s="236">
        <v>1</v>
      </c>
      <c r="B433" s="236">
        <v>8830401</v>
      </c>
      <c r="C433" s="236">
        <v>883040105</v>
      </c>
      <c r="D433" s="236" t="s">
        <v>538</v>
      </c>
      <c r="E433" s="236" t="s">
        <v>539</v>
      </c>
      <c r="F433" s="236" t="s">
        <v>814</v>
      </c>
      <c r="G433" s="236" t="s">
        <v>112</v>
      </c>
      <c r="H433" s="236" t="s">
        <v>740</v>
      </c>
      <c r="I433" s="257">
        <v>115000</v>
      </c>
      <c r="J433" s="257">
        <v>0</v>
      </c>
      <c r="K433" s="257">
        <v>0</v>
      </c>
      <c r="L433" s="257">
        <v>0</v>
      </c>
      <c r="M433" s="257">
        <v>0</v>
      </c>
      <c r="N433" s="257">
        <v>0</v>
      </c>
      <c r="O433" s="257">
        <v>0</v>
      </c>
      <c r="P433" s="257">
        <v>115000</v>
      </c>
      <c r="Q433" s="258">
        <v>0</v>
      </c>
    </row>
    <row r="434" spans="1:17">
      <c r="A434" s="256">
        <v>1</v>
      </c>
      <c r="B434" s="256">
        <v>8830402</v>
      </c>
      <c r="C434" s="256">
        <v>883040202</v>
      </c>
      <c r="D434" s="256" t="s">
        <v>538</v>
      </c>
      <c r="E434" s="256" t="s">
        <v>539</v>
      </c>
      <c r="F434" s="256" t="s">
        <v>814</v>
      </c>
      <c r="G434" s="256" t="s">
        <v>110</v>
      </c>
      <c r="H434" s="256" t="s">
        <v>741</v>
      </c>
      <c r="I434" s="257">
        <v>19311700</v>
      </c>
      <c r="J434" s="257">
        <v>0</v>
      </c>
      <c r="K434" s="257">
        <v>0</v>
      </c>
      <c r="L434" s="257">
        <v>0</v>
      </c>
      <c r="M434" s="257">
        <v>0</v>
      </c>
      <c r="N434" s="257">
        <v>0</v>
      </c>
      <c r="O434" s="257">
        <v>0</v>
      </c>
      <c r="P434" s="257">
        <v>19311700</v>
      </c>
      <c r="Q434" s="258">
        <v>0</v>
      </c>
    </row>
    <row r="435" spans="1:17">
      <c r="A435" s="256">
        <v>1</v>
      </c>
      <c r="B435" s="256">
        <v>8830403</v>
      </c>
      <c r="C435" s="256">
        <v>883040301</v>
      </c>
      <c r="D435" s="256" t="s">
        <v>538</v>
      </c>
      <c r="E435" s="256" t="s">
        <v>539</v>
      </c>
      <c r="F435" s="256" t="s">
        <v>814</v>
      </c>
      <c r="G435" s="256" t="s">
        <v>108</v>
      </c>
      <c r="H435" s="256" t="s">
        <v>742</v>
      </c>
      <c r="I435" s="257">
        <v>2059170</v>
      </c>
      <c r="J435" s="257">
        <v>0</v>
      </c>
      <c r="K435" s="257">
        <v>0</v>
      </c>
      <c r="L435" s="257">
        <v>0</v>
      </c>
      <c r="M435" s="257">
        <v>0</v>
      </c>
      <c r="N435" s="257">
        <v>0</v>
      </c>
      <c r="O435" s="257">
        <v>0</v>
      </c>
      <c r="P435" s="257">
        <v>2059170</v>
      </c>
      <c r="Q435" s="258">
        <v>0</v>
      </c>
    </row>
    <row r="436" spans="1:17">
      <c r="A436" s="256">
        <v>1</v>
      </c>
      <c r="B436" s="256">
        <v>8830403</v>
      </c>
      <c r="C436" s="256">
        <v>883040302</v>
      </c>
      <c r="D436" s="256" t="s">
        <v>538</v>
      </c>
      <c r="E436" s="256" t="s">
        <v>539</v>
      </c>
      <c r="F436" s="256" t="s">
        <v>814</v>
      </c>
      <c r="G436" s="256" t="s">
        <v>108</v>
      </c>
      <c r="H436" s="256" t="s">
        <v>743</v>
      </c>
      <c r="I436" s="257">
        <v>444800</v>
      </c>
      <c r="J436" s="257">
        <v>0</v>
      </c>
      <c r="K436" s="257">
        <v>0</v>
      </c>
      <c r="L436" s="257">
        <v>0</v>
      </c>
      <c r="M436" s="257">
        <v>0</v>
      </c>
      <c r="N436" s="257">
        <v>0</v>
      </c>
      <c r="O436" s="257">
        <v>0</v>
      </c>
      <c r="P436" s="257">
        <v>444800</v>
      </c>
      <c r="Q436" s="258">
        <v>0</v>
      </c>
    </row>
    <row r="437" spans="1:17">
      <c r="A437" s="256">
        <v>1</v>
      </c>
      <c r="B437" s="256">
        <v>8830403</v>
      </c>
      <c r="C437" s="256">
        <v>883040303</v>
      </c>
      <c r="D437" s="256" t="s">
        <v>538</v>
      </c>
      <c r="E437" s="256" t="s">
        <v>539</v>
      </c>
      <c r="F437" s="256" t="s">
        <v>814</v>
      </c>
      <c r="G437" s="256" t="s">
        <v>108</v>
      </c>
      <c r="H437" s="256" t="s">
        <v>744</v>
      </c>
      <c r="I437" s="257">
        <v>7338328</v>
      </c>
      <c r="J437" s="257">
        <v>0</v>
      </c>
      <c r="K437" s="257">
        <v>0</v>
      </c>
      <c r="L437" s="257">
        <v>0</v>
      </c>
      <c r="M437" s="257">
        <v>0</v>
      </c>
      <c r="N437" s="257">
        <v>0</v>
      </c>
      <c r="O437" s="257">
        <v>0</v>
      </c>
      <c r="P437" s="257">
        <v>7338328</v>
      </c>
      <c r="Q437" s="258">
        <v>0</v>
      </c>
    </row>
    <row r="438" spans="1:17">
      <c r="A438" s="256">
        <v>1</v>
      </c>
      <c r="B438" s="256">
        <v>8830403</v>
      </c>
      <c r="C438" s="256">
        <v>883040304</v>
      </c>
      <c r="D438" s="256" t="s">
        <v>538</v>
      </c>
      <c r="E438" s="256" t="s">
        <v>539</v>
      </c>
      <c r="F438" s="256" t="s">
        <v>814</v>
      </c>
      <c r="G438" s="256" t="s">
        <v>108</v>
      </c>
      <c r="H438" s="256" t="s">
        <v>745</v>
      </c>
      <c r="I438" s="257">
        <v>371190</v>
      </c>
      <c r="J438" s="257">
        <v>0</v>
      </c>
      <c r="K438" s="257">
        <v>0</v>
      </c>
      <c r="L438" s="257">
        <v>0</v>
      </c>
      <c r="M438" s="257">
        <v>0</v>
      </c>
      <c r="N438" s="257">
        <v>371190</v>
      </c>
      <c r="O438" s="257">
        <v>0</v>
      </c>
      <c r="P438" s="257">
        <v>0</v>
      </c>
      <c r="Q438" s="258">
        <v>0</v>
      </c>
    </row>
    <row r="439" spans="1:17">
      <c r="A439" s="256">
        <v>1</v>
      </c>
      <c r="B439" s="256">
        <v>8830403</v>
      </c>
      <c r="C439" s="256">
        <v>883040305</v>
      </c>
      <c r="D439" s="256" t="s">
        <v>538</v>
      </c>
      <c r="E439" s="256" t="s">
        <v>539</v>
      </c>
      <c r="F439" s="256" t="s">
        <v>814</v>
      </c>
      <c r="G439" s="256" t="s">
        <v>108</v>
      </c>
      <c r="H439" s="256" t="s">
        <v>746</v>
      </c>
      <c r="I439" s="257">
        <v>835200</v>
      </c>
      <c r="J439" s="257">
        <v>0</v>
      </c>
      <c r="K439" s="257">
        <v>0</v>
      </c>
      <c r="L439" s="257">
        <v>0</v>
      </c>
      <c r="M439" s="257">
        <v>0</v>
      </c>
      <c r="N439" s="257">
        <v>0</v>
      </c>
      <c r="O439" s="257">
        <v>0</v>
      </c>
      <c r="P439" s="257">
        <v>835200</v>
      </c>
      <c r="Q439" s="258">
        <v>0</v>
      </c>
    </row>
    <row r="440" spans="1:17">
      <c r="A440" s="256">
        <v>1</v>
      </c>
      <c r="B440" s="256">
        <v>8830403</v>
      </c>
      <c r="C440" s="256">
        <v>883040306</v>
      </c>
      <c r="D440" s="256" t="s">
        <v>538</v>
      </c>
      <c r="E440" s="256" t="s">
        <v>539</v>
      </c>
      <c r="F440" s="256" t="s">
        <v>814</v>
      </c>
      <c r="G440" s="256" t="s">
        <v>108</v>
      </c>
      <c r="H440" s="256" t="s">
        <v>747</v>
      </c>
      <c r="I440" s="257">
        <v>0</v>
      </c>
      <c r="J440" s="257">
        <v>0</v>
      </c>
      <c r="K440" s="257">
        <v>0</v>
      </c>
      <c r="L440" s="257">
        <v>0</v>
      </c>
      <c r="M440" s="257">
        <v>0</v>
      </c>
      <c r="N440" s="257">
        <v>0</v>
      </c>
      <c r="O440" s="257">
        <v>0</v>
      </c>
      <c r="P440" s="257">
        <v>0</v>
      </c>
      <c r="Q440" s="258">
        <v>0</v>
      </c>
    </row>
    <row r="441" spans="1:17">
      <c r="A441" s="256">
        <v>1</v>
      </c>
      <c r="B441" s="256">
        <v>8830403</v>
      </c>
      <c r="C441" s="256">
        <v>883040307</v>
      </c>
      <c r="D441" s="256" t="s">
        <v>538</v>
      </c>
      <c r="E441" s="256" t="s">
        <v>539</v>
      </c>
      <c r="F441" s="256" t="s">
        <v>814</v>
      </c>
      <c r="G441" s="256" t="s">
        <v>108</v>
      </c>
      <c r="H441" s="256" t="s">
        <v>748</v>
      </c>
      <c r="I441" s="257">
        <v>216624</v>
      </c>
      <c r="J441" s="257">
        <v>0</v>
      </c>
      <c r="K441" s="257">
        <v>0</v>
      </c>
      <c r="L441" s="257">
        <v>0</v>
      </c>
      <c r="M441" s="257">
        <v>0</v>
      </c>
      <c r="N441" s="257">
        <v>0</v>
      </c>
      <c r="O441" s="257">
        <v>0</v>
      </c>
      <c r="P441" s="257">
        <v>216624</v>
      </c>
      <c r="Q441" s="258">
        <v>0</v>
      </c>
    </row>
    <row r="442" spans="1:17">
      <c r="A442" s="256">
        <v>1</v>
      </c>
      <c r="B442" s="256">
        <v>8830403</v>
      </c>
      <c r="C442" s="256">
        <v>883040310</v>
      </c>
      <c r="D442" s="256" t="s">
        <v>538</v>
      </c>
      <c r="E442" s="256" t="s">
        <v>539</v>
      </c>
      <c r="F442" s="256" t="s">
        <v>814</v>
      </c>
      <c r="G442" s="256" t="s">
        <v>108</v>
      </c>
      <c r="H442" s="256" t="s">
        <v>749</v>
      </c>
      <c r="I442" s="257">
        <v>525743</v>
      </c>
      <c r="J442" s="257">
        <v>0</v>
      </c>
      <c r="K442" s="257">
        <v>0</v>
      </c>
      <c r="L442" s="257">
        <v>0</v>
      </c>
      <c r="M442" s="257">
        <v>0</v>
      </c>
      <c r="N442" s="257">
        <v>0</v>
      </c>
      <c r="O442" s="257">
        <v>0</v>
      </c>
      <c r="P442" s="257">
        <v>525743</v>
      </c>
      <c r="Q442" s="258">
        <v>0</v>
      </c>
    </row>
    <row r="443" spans="1:17">
      <c r="A443" s="256">
        <v>1</v>
      </c>
      <c r="B443" s="256">
        <v>8830403</v>
      </c>
      <c r="C443" s="256">
        <v>883040311</v>
      </c>
      <c r="D443" s="256" t="s">
        <v>538</v>
      </c>
      <c r="E443" s="256" t="s">
        <v>539</v>
      </c>
      <c r="F443" s="256" t="s">
        <v>814</v>
      </c>
      <c r="G443" s="256" t="s">
        <v>108</v>
      </c>
      <c r="H443" s="256" t="s">
        <v>750</v>
      </c>
      <c r="I443" s="257">
        <v>0</v>
      </c>
      <c r="J443" s="257">
        <v>0</v>
      </c>
      <c r="K443" s="257">
        <v>0</v>
      </c>
      <c r="L443" s="257">
        <v>0</v>
      </c>
      <c r="M443" s="257">
        <v>0</v>
      </c>
      <c r="N443" s="257">
        <v>0</v>
      </c>
      <c r="O443" s="257">
        <v>0</v>
      </c>
      <c r="P443" s="257">
        <v>0</v>
      </c>
      <c r="Q443" s="258">
        <v>0</v>
      </c>
    </row>
    <row r="444" spans="1:17">
      <c r="A444" s="256">
        <v>1</v>
      </c>
      <c r="B444" s="256">
        <v>8830403</v>
      </c>
      <c r="C444" s="256">
        <v>883040314</v>
      </c>
      <c r="D444" s="256" t="s">
        <v>538</v>
      </c>
      <c r="E444" s="256" t="s">
        <v>539</v>
      </c>
      <c r="F444" s="256" t="s">
        <v>814</v>
      </c>
      <c r="G444" s="256" t="s">
        <v>108</v>
      </c>
      <c r="H444" s="256" t="s">
        <v>751</v>
      </c>
      <c r="I444" s="257">
        <v>324000</v>
      </c>
      <c r="J444" s="257">
        <v>0</v>
      </c>
      <c r="K444" s="257">
        <v>0</v>
      </c>
      <c r="L444" s="257">
        <v>0</v>
      </c>
      <c r="M444" s="257">
        <v>0</v>
      </c>
      <c r="N444" s="257">
        <v>0</v>
      </c>
      <c r="O444" s="257">
        <v>0</v>
      </c>
      <c r="P444" s="257">
        <v>324000</v>
      </c>
      <c r="Q444" s="258">
        <v>0</v>
      </c>
    </row>
    <row r="445" spans="1:17">
      <c r="A445" s="256">
        <v>1</v>
      </c>
      <c r="B445" s="256">
        <v>8830403</v>
      </c>
      <c r="C445" s="256">
        <v>883040315</v>
      </c>
      <c r="D445" s="256" t="s">
        <v>538</v>
      </c>
      <c r="E445" s="256" t="s">
        <v>539</v>
      </c>
      <c r="F445" s="256" t="s">
        <v>814</v>
      </c>
      <c r="G445" s="256" t="s">
        <v>108</v>
      </c>
      <c r="H445" s="256" t="s">
        <v>752</v>
      </c>
      <c r="I445" s="257">
        <v>105000</v>
      </c>
      <c r="J445" s="257">
        <v>0</v>
      </c>
      <c r="K445" s="257">
        <v>0</v>
      </c>
      <c r="L445" s="257">
        <v>0</v>
      </c>
      <c r="M445" s="257">
        <v>0</v>
      </c>
      <c r="N445" s="257">
        <v>0</v>
      </c>
      <c r="O445" s="257">
        <v>0</v>
      </c>
      <c r="P445" s="257">
        <v>105000</v>
      </c>
      <c r="Q445" s="258">
        <v>0</v>
      </c>
    </row>
    <row r="446" spans="1:17">
      <c r="A446" s="256">
        <v>1</v>
      </c>
      <c r="B446" s="256">
        <v>8830404</v>
      </c>
      <c r="C446" s="256">
        <v>883040401</v>
      </c>
      <c r="D446" s="256" t="s">
        <v>538</v>
      </c>
      <c r="E446" s="256" t="s">
        <v>539</v>
      </c>
      <c r="F446" s="256" t="s">
        <v>814</v>
      </c>
      <c r="G446" s="256" t="s">
        <v>106</v>
      </c>
      <c r="H446" s="256" t="s">
        <v>755</v>
      </c>
      <c r="I446" s="257">
        <v>4551856</v>
      </c>
      <c r="J446" s="257">
        <v>0</v>
      </c>
      <c r="K446" s="257">
        <v>0</v>
      </c>
      <c r="L446" s="257">
        <v>0</v>
      </c>
      <c r="M446" s="257">
        <v>0</v>
      </c>
      <c r="N446" s="257">
        <v>0</v>
      </c>
      <c r="O446" s="257">
        <v>4551856</v>
      </c>
      <c r="P446" s="257">
        <v>0</v>
      </c>
      <c r="Q446" s="258">
        <v>0</v>
      </c>
    </row>
    <row r="447" spans="1:17">
      <c r="A447" s="256">
        <v>1</v>
      </c>
      <c r="B447" s="256">
        <v>8830404</v>
      </c>
      <c r="C447" s="256">
        <v>883040402</v>
      </c>
      <c r="D447" s="256" t="s">
        <v>538</v>
      </c>
      <c r="E447" s="256" t="s">
        <v>539</v>
      </c>
      <c r="F447" s="256" t="s">
        <v>814</v>
      </c>
      <c r="G447" s="256" t="s">
        <v>106</v>
      </c>
      <c r="H447" s="256" t="s">
        <v>756</v>
      </c>
      <c r="I447" s="257">
        <v>29424</v>
      </c>
      <c r="J447" s="257">
        <v>0</v>
      </c>
      <c r="K447" s="257">
        <v>0</v>
      </c>
      <c r="L447" s="257">
        <v>0</v>
      </c>
      <c r="M447" s="257">
        <v>0</v>
      </c>
      <c r="N447" s="257">
        <v>0</v>
      </c>
      <c r="O447" s="257">
        <v>0</v>
      </c>
      <c r="P447" s="257">
        <v>29424</v>
      </c>
      <c r="Q447" s="258">
        <v>0</v>
      </c>
    </row>
    <row r="448" spans="1:17">
      <c r="A448" s="256">
        <v>1</v>
      </c>
      <c r="B448" s="256">
        <v>8830404</v>
      </c>
      <c r="C448" s="256">
        <v>883040403</v>
      </c>
      <c r="D448" s="256" t="s">
        <v>538</v>
      </c>
      <c r="E448" s="256" t="s">
        <v>539</v>
      </c>
      <c r="F448" s="256" t="s">
        <v>814</v>
      </c>
      <c r="G448" s="256" t="s">
        <v>106</v>
      </c>
      <c r="H448" s="256" t="s">
        <v>757</v>
      </c>
      <c r="I448" s="257">
        <v>0</v>
      </c>
      <c r="J448" s="257">
        <v>0</v>
      </c>
      <c r="K448" s="257">
        <v>0</v>
      </c>
      <c r="L448" s="257">
        <v>0</v>
      </c>
      <c r="M448" s="257">
        <v>0</v>
      </c>
      <c r="N448" s="257">
        <v>0</v>
      </c>
      <c r="O448" s="257">
        <v>0</v>
      </c>
      <c r="P448" s="257">
        <v>0</v>
      </c>
      <c r="Q448" s="258">
        <v>0</v>
      </c>
    </row>
    <row r="449" spans="1:17">
      <c r="A449" s="256">
        <v>1</v>
      </c>
      <c r="B449" s="256">
        <v>8830404</v>
      </c>
      <c r="C449" s="256">
        <v>883040405</v>
      </c>
      <c r="D449" s="256" t="s">
        <v>538</v>
      </c>
      <c r="E449" s="256" t="s">
        <v>539</v>
      </c>
      <c r="F449" s="256" t="s">
        <v>814</v>
      </c>
      <c r="G449" s="256" t="s">
        <v>106</v>
      </c>
      <c r="H449" s="256" t="s">
        <v>758</v>
      </c>
      <c r="I449" s="257">
        <v>0</v>
      </c>
      <c r="J449" s="257">
        <v>0</v>
      </c>
      <c r="K449" s="257">
        <v>0</v>
      </c>
      <c r="L449" s="257">
        <v>0</v>
      </c>
      <c r="M449" s="257">
        <v>0</v>
      </c>
      <c r="N449" s="257">
        <v>0</v>
      </c>
      <c r="O449" s="257">
        <v>0</v>
      </c>
      <c r="P449" s="257">
        <v>0</v>
      </c>
      <c r="Q449" s="258">
        <v>0</v>
      </c>
    </row>
    <row r="450" spans="1:17">
      <c r="A450" s="256">
        <v>1</v>
      </c>
      <c r="B450" s="256">
        <v>8830404</v>
      </c>
      <c r="C450" s="256">
        <v>883040406</v>
      </c>
      <c r="D450" s="256" t="s">
        <v>538</v>
      </c>
      <c r="E450" s="256" t="s">
        <v>539</v>
      </c>
      <c r="F450" s="256" t="s">
        <v>814</v>
      </c>
      <c r="G450" s="256" t="s">
        <v>106</v>
      </c>
      <c r="H450" s="256" t="s">
        <v>759</v>
      </c>
      <c r="I450" s="257">
        <v>0</v>
      </c>
      <c r="J450" s="257">
        <v>0</v>
      </c>
      <c r="K450" s="257">
        <v>0</v>
      </c>
      <c r="L450" s="257">
        <v>0</v>
      </c>
      <c r="M450" s="257">
        <v>0</v>
      </c>
      <c r="N450" s="257">
        <v>0</v>
      </c>
      <c r="O450" s="257">
        <v>0</v>
      </c>
      <c r="P450" s="257">
        <v>0</v>
      </c>
      <c r="Q450" s="258">
        <v>0</v>
      </c>
    </row>
    <row r="451" spans="1:17">
      <c r="A451" s="256">
        <v>1</v>
      </c>
      <c r="B451" s="256">
        <v>8830404</v>
      </c>
      <c r="C451" s="256">
        <v>883040407</v>
      </c>
      <c r="D451" s="256" t="s">
        <v>538</v>
      </c>
      <c r="E451" s="256" t="s">
        <v>539</v>
      </c>
      <c r="F451" s="256" t="s">
        <v>814</v>
      </c>
      <c r="G451" s="256" t="s">
        <v>106</v>
      </c>
      <c r="H451" s="256" t="s">
        <v>760</v>
      </c>
      <c r="I451" s="257">
        <v>0</v>
      </c>
      <c r="J451" s="257">
        <v>0</v>
      </c>
      <c r="K451" s="257">
        <v>0</v>
      </c>
      <c r="L451" s="257">
        <v>0</v>
      </c>
      <c r="M451" s="257">
        <v>0</v>
      </c>
      <c r="N451" s="257">
        <v>0</v>
      </c>
      <c r="O451" s="257">
        <v>0</v>
      </c>
      <c r="P451" s="257">
        <v>0</v>
      </c>
      <c r="Q451" s="258">
        <v>0</v>
      </c>
    </row>
    <row r="452" spans="1:17">
      <c r="A452" s="256">
        <v>1</v>
      </c>
      <c r="B452" s="256">
        <v>8830404</v>
      </c>
      <c r="C452" s="256">
        <v>883040408</v>
      </c>
      <c r="D452" s="256" t="s">
        <v>538</v>
      </c>
      <c r="E452" s="256" t="s">
        <v>539</v>
      </c>
      <c r="F452" s="256" t="s">
        <v>814</v>
      </c>
      <c r="G452" s="256" t="s">
        <v>106</v>
      </c>
      <c r="H452" s="256" t="s">
        <v>761</v>
      </c>
      <c r="I452" s="257">
        <v>0</v>
      </c>
      <c r="J452" s="257">
        <v>0</v>
      </c>
      <c r="K452" s="257">
        <v>0</v>
      </c>
      <c r="L452" s="257">
        <v>0</v>
      </c>
      <c r="M452" s="257">
        <v>0</v>
      </c>
      <c r="N452" s="257">
        <v>0</v>
      </c>
      <c r="O452" s="257">
        <v>0</v>
      </c>
      <c r="P452" s="257">
        <v>0</v>
      </c>
      <c r="Q452" s="258">
        <v>0</v>
      </c>
    </row>
    <row r="453" spans="1:17">
      <c r="A453" s="256">
        <v>1</v>
      </c>
      <c r="B453" s="256">
        <v>8830404</v>
      </c>
      <c r="C453" s="256">
        <v>883040410</v>
      </c>
      <c r="D453" s="256" t="s">
        <v>538</v>
      </c>
      <c r="E453" s="256" t="s">
        <v>539</v>
      </c>
      <c r="F453" s="256" t="s">
        <v>814</v>
      </c>
      <c r="G453" s="256" t="s">
        <v>106</v>
      </c>
      <c r="H453" s="256" t="s">
        <v>762</v>
      </c>
      <c r="I453" s="257">
        <v>1624261</v>
      </c>
      <c r="J453" s="257">
        <v>0</v>
      </c>
      <c r="K453" s="257">
        <v>0</v>
      </c>
      <c r="L453" s="257">
        <v>0</v>
      </c>
      <c r="M453" s="257">
        <v>0</v>
      </c>
      <c r="N453" s="257">
        <v>0</v>
      </c>
      <c r="O453" s="257">
        <v>1624261</v>
      </c>
      <c r="P453" s="257">
        <v>0</v>
      </c>
      <c r="Q453" s="258">
        <v>0</v>
      </c>
    </row>
    <row r="454" spans="1:17">
      <c r="A454" s="256">
        <v>1</v>
      </c>
      <c r="B454" s="256">
        <v>8830404</v>
      </c>
      <c r="C454" s="256">
        <v>883040411</v>
      </c>
      <c r="D454" s="256" t="s">
        <v>538</v>
      </c>
      <c r="E454" s="256" t="s">
        <v>539</v>
      </c>
      <c r="F454" s="256" t="s">
        <v>814</v>
      </c>
      <c r="G454" s="256" t="s">
        <v>106</v>
      </c>
      <c r="H454" s="256" t="s">
        <v>763</v>
      </c>
      <c r="I454" s="257">
        <v>366</v>
      </c>
      <c r="J454" s="257">
        <v>0</v>
      </c>
      <c r="K454" s="257">
        <v>0</v>
      </c>
      <c r="L454" s="257">
        <v>0</v>
      </c>
      <c r="M454" s="257">
        <v>0</v>
      </c>
      <c r="N454" s="257">
        <v>0</v>
      </c>
      <c r="O454" s="257">
        <v>366</v>
      </c>
      <c r="P454" s="257">
        <v>0</v>
      </c>
      <c r="Q454" s="258">
        <v>0</v>
      </c>
    </row>
    <row r="455" spans="1:17">
      <c r="A455" s="256">
        <v>1</v>
      </c>
      <c r="B455" s="256">
        <v>8830405</v>
      </c>
      <c r="C455" s="256">
        <v>883040500</v>
      </c>
      <c r="D455" s="256" t="s">
        <v>538</v>
      </c>
      <c r="E455" s="256" t="s">
        <v>539</v>
      </c>
      <c r="F455" s="256" t="s">
        <v>814</v>
      </c>
      <c r="G455" s="256" t="s">
        <v>104</v>
      </c>
      <c r="H455" s="256"/>
      <c r="I455" s="257">
        <v>0</v>
      </c>
      <c r="J455" s="257">
        <v>0</v>
      </c>
      <c r="K455" s="257">
        <v>0</v>
      </c>
      <c r="L455" s="257">
        <v>0</v>
      </c>
      <c r="M455" s="257">
        <v>0</v>
      </c>
      <c r="N455" s="257">
        <v>0</v>
      </c>
      <c r="O455" s="257">
        <v>0</v>
      </c>
      <c r="P455" s="257">
        <v>0</v>
      </c>
      <c r="Q455" s="258">
        <v>0</v>
      </c>
    </row>
    <row r="456" spans="1:17">
      <c r="A456" s="256">
        <v>1</v>
      </c>
      <c r="B456" s="256">
        <v>8830407</v>
      </c>
      <c r="C456" s="256">
        <v>883040700</v>
      </c>
      <c r="D456" s="256" t="s">
        <v>538</v>
      </c>
      <c r="E456" s="256" t="s">
        <v>539</v>
      </c>
      <c r="F456" s="256" t="s">
        <v>814</v>
      </c>
      <c r="G456" s="256" t="s">
        <v>102</v>
      </c>
      <c r="H456" s="256"/>
      <c r="I456" s="257">
        <v>0</v>
      </c>
      <c r="J456" s="257">
        <v>0</v>
      </c>
      <c r="K456" s="257">
        <v>0</v>
      </c>
      <c r="L456" s="257">
        <v>0</v>
      </c>
      <c r="M456" s="257">
        <v>0</v>
      </c>
      <c r="N456" s="257">
        <v>0</v>
      </c>
      <c r="O456" s="257">
        <v>0</v>
      </c>
      <c r="P456" s="257">
        <v>0</v>
      </c>
      <c r="Q456" s="258">
        <v>0</v>
      </c>
    </row>
    <row r="457" spans="1:17">
      <c r="A457" s="256">
        <v>1</v>
      </c>
      <c r="B457" s="256">
        <v>8830408</v>
      </c>
      <c r="C457" s="256">
        <v>883040800</v>
      </c>
      <c r="D457" s="256" t="s">
        <v>538</v>
      </c>
      <c r="E457" s="256" t="s">
        <v>539</v>
      </c>
      <c r="F457" s="256" t="s">
        <v>814</v>
      </c>
      <c r="G457" s="256" t="s">
        <v>100</v>
      </c>
      <c r="H457" s="256"/>
      <c r="I457" s="257">
        <v>0</v>
      </c>
      <c r="J457" s="257">
        <v>0</v>
      </c>
      <c r="K457" s="257">
        <v>0</v>
      </c>
      <c r="L457" s="257">
        <v>0</v>
      </c>
      <c r="M457" s="257">
        <v>0</v>
      </c>
      <c r="N457" s="257">
        <v>0</v>
      </c>
      <c r="O457" s="257">
        <v>0</v>
      </c>
      <c r="P457" s="257">
        <v>0</v>
      </c>
      <c r="Q457" s="258">
        <v>0</v>
      </c>
    </row>
    <row r="458" spans="1:17">
      <c r="A458" s="256">
        <v>1</v>
      </c>
      <c r="B458" s="256">
        <v>8830410</v>
      </c>
      <c r="C458" s="256">
        <v>883041001</v>
      </c>
      <c r="D458" s="256" t="s">
        <v>538</v>
      </c>
      <c r="E458" s="256" t="s">
        <v>539</v>
      </c>
      <c r="F458" s="256" t="s">
        <v>814</v>
      </c>
      <c r="G458" s="256" t="s">
        <v>764</v>
      </c>
      <c r="H458" s="256" t="s">
        <v>98</v>
      </c>
      <c r="I458" s="257">
        <v>0</v>
      </c>
      <c r="J458" s="257">
        <v>0</v>
      </c>
      <c r="K458" s="257">
        <v>0</v>
      </c>
      <c r="L458" s="257">
        <v>0</v>
      </c>
      <c r="M458" s="257">
        <v>0</v>
      </c>
      <c r="N458" s="257">
        <v>0</v>
      </c>
      <c r="O458" s="257">
        <v>0</v>
      </c>
      <c r="P458" s="257">
        <v>0</v>
      </c>
      <c r="Q458" s="258">
        <v>0</v>
      </c>
    </row>
    <row r="459" spans="1:17">
      <c r="A459" s="256">
        <v>1</v>
      </c>
      <c r="B459" s="256">
        <v>8830410</v>
      </c>
      <c r="C459" s="256">
        <v>883041002</v>
      </c>
      <c r="D459" s="256" t="s">
        <v>538</v>
      </c>
      <c r="E459" s="256" t="s">
        <v>539</v>
      </c>
      <c r="F459" s="256" t="s">
        <v>814</v>
      </c>
      <c r="G459" s="256" t="s">
        <v>764</v>
      </c>
      <c r="H459" s="256" t="s">
        <v>95</v>
      </c>
      <c r="I459" s="257">
        <v>0</v>
      </c>
      <c r="J459" s="257">
        <v>0</v>
      </c>
      <c r="K459" s="257">
        <v>0</v>
      </c>
      <c r="L459" s="257">
        <v>0</v>
      </c>
      <c r="M459" s="257">
        <v>0</v>
      </c>
      <c r="N459" s="257">
        <v>0</v>
      </c>
      <c r="O459" s="257">
        <v>0</v>
      </c>
      <c r="P459" s="257">
        <v>0</v>
      </c>
      <c r="Q459" s="258">
        <v>0</v>
      </c>
    </row>
    <row r="460" spans="1:17">
      <c r="A460" s="236">
        <v>1</v>
      </c>
      <c r="B460" s="236">
        <v>8830410</v>
      </c>
      <c r="C460" s="236">
        <v>883041003</v>
      </c>
      <c r="D460" s="236" t="s">
        <v>538</v>
      </c>
      <c r="E460" s="236" t="s">
        <v>539</v>
      </c>
      <c r="F460" s="236" t="s">
        <v>814</v>
      </c>
      <c r="G460" s="236" t="s">
        <v>764</v>
      </c>
      <c r="H460" s="236" t="s">
        <v>765</v>
      </c>
      <c r="I460" s="257">
        <v>7400</v>
      </c>
      <c r="J460" s="257">
        <v>0</v>
      </c>
      <c r="K460" s="257">
        <v>0</v>
      </c>
      <c r="L460" s="257">
        <v>0</v>
      </c>
      <c r="M460" s="257">
        <v>0</v>
      </c>
      <c r="N460" s="257">
        <v>7400</v>
      </c>
      <c r="O460" s="257">
        <v>0</v>
      </c>
      <c r="P460" s="257">
        <v>0</v>
      </c>
      <c r="Q460" s="258">
        <v>0</v>
      </c>
    </row>
    <row r="461" spans="1:17">
      <c r="A461" s="256">
        <v>1</v>
      </c>
      <c r="B461" s="256">
        <v>8830413</v>
      </c>
      <c r="C461" s="256">
        <v>883041300</v>
      </c>
      <c r="D461" s="256" t="s">
        <v>538</v>
      </c>
      <c r="E461" s="256" t="s">
        <v>539</v>
      </c>
      <c r="F461" s="256" t="s">
        <v>814</v>
      </c>
      <c r="G461" s="256" t="s">
        <v>93</v>
      </c>
      <c r="H461" s="256"/>
      <c r="I461" s="257">
        <v>123964</v>
      </c>
      <c r="J461" s="257">
        <v>0</v>
      </c>
      <c r="K461" s="257">
        <v>0</v>
      </c>
      <c r="L461" s="257">
        <v>0</v>
      </c>
      <c r="M461" s="257">
        <v>0</v>
      </c>
      <c r="N461" s="257">
        <v>123964</v>
      </c>
      <c r="O461" s="257">
        <v>0</v>
      </c>
      <c r="P461" s="257">
        <v>0</v>
      </c>
      <c r="Q461" s="258">
        <v>0</v>
      </c>
    </row>
    <row r="462" spans="1:17">
      <c r="A462" s="256">
        <v>1</v>
      </c>
      <c r="B462" s="256">
        <v>8830414</v>
      </c>
      <c r="C462" s="256">
        <v>883041400</v>
      </c>
      <c r="D462" s="256" t="s">
        <v>538</v>
      </c>
      <c r="E462" s="256" t="s">
        <v>539</v>
      </c>
      <c r="F462" s="256" t="s">
        <v>814</v>
      </c>
      <c r="G462" s="256" t="s">
        <v>91</v>
      </c>
      <c r="H462" s="256"/>
      <c r="I462" s="257">
        <v>67172</v>
      </c>
      <c r="J462" s="257">
        <v>0</v>
      </c>
      <c r="K462" s="257">
        <v>0</v>
      </c>
      <c r="L462" s="257">
        <v>0</v>
      </c>
      <c r="M462" s="257">
        <v>0</v>
      </c>
      <c r="N462" s="257">
        <v>67172</v>
      </c>
      <c r="O462" s="257">
        <v>0</v>
      </c>
      <c r="P462" s="257">
        <v>0</v>
      </c>
      <c r="Q462" s="258">
        <v>0</v>
      </c>
    </row>
    <row r="463" spans="1:17">
      <c r="A463" s="256">
        <v>1</v>
      </c>
      <c r="B463" s="256">
        <v>8830415</v>
      </c>
      <c r="C463" s="256">
        <v>883041500</v>
      </c>
      <c r="D463" s="256" t="s">
        <v>538</v>
      </c>
      <c r="E463" s="256" t="s">
        <v>539</v>
      </c>
      <c r="F463" s="256" t="s">
        <v>814</v>
      </c>
      <c r="G463" s="256" t="s">
        <v>89</v>
      </c>
      <c r="H463" s="256"/>
      <c r="I463" s="257">
        <v>0</v>
      </c>
      <c r="J463" s="257">
        <v>0</v>
      </c>
      <c r="K463" s="257">
        <v>0</v>
      </c>
      <c r="L463" s="257">
        <v>0</v>
      </c>
      <c r="M463" s="257">
        <v>0</v>
      </c>
      <c r="N463" s="257">
        <v>0</v>
      </c>
      <c r="O463" s="257">
        <v>0</v>
      </c>
      <c r="P463" s="257">
        <v>0</v>
      </c>
      <c r="Q463" s="258">
        <v>0</v>
      </c>
    </row>
    <row r="464" spans="1:17">
      <c r="A464" s="256">
        <v>1</v>
      </c>
      <c r="B464" s="256">
        <v>8830417</v>
      </c>
      <c r="C464" s="256">
        <v>883041700</v>
      </c>
      <c r="D464" s="256" t="s">
        <v>538</v>
      </c>
      <c r="E464" s="256" t="s">
        <v>539</v>
      </c>
      <c r="F464" s="256" t="s">
        <v>814</v>
      </c>
      <c r="G464" s="256" t="s">
        <v>87</v>
      </c>
      <c r="H464" s="256"/>
      <c r="I464" s="257">
        <v>87858</v>
      </c>
      <c r="J464" s="257">
        <v>0</v>
      </c>
      <c r="K464" s="257">
        <v>0</v>
      </c>
      <c r="L464" s="257">
        <v>0</v>
      </c>
      <c r="M464" s="257">
        <v>0</v>
      </c>
      <c r="N464" s="257">
        <v>87858</v>
      </c>
      <c r="O464" s="257">
        <v>0</v>
      </c>
      <c r="P464" s="257">
        <v>0</v>
      </c>
      <c r="Q464" s="258">
        <v>0</v>
      </c>
    </row>
    <row r="465" spans="1:17">
      <c r="A465" s="256">
        <v>1</v>
      </c>
      <c r="B465" s="256">
        <v>8830419</v>
      </c>
      <c r="C465" s="256">
        <v>883041900</v>
      </c>
      <c r="D465" s="256" t="s">
        <v>538</v>
      </c>
      <c r="E465" s="256" t="s">
        <v>539</v>
      </c>
      <c r="F465" s="256" t="s">
        <v>814</v>
      </c>
      <c r="G465" s="256" t="s">
        <v>85</v>
      </c>
      <c r="H465" s="256"/>
      <c r="I465" s="257">
        <v>0</v>
      </c>
      <c r="J465" s="257">
        <v>0</v>
      </c>
      <c r="K465" s="257">
        <v>0</v>
      </c>
      <c r="L465" s="257">
        <v>0</v>
      </c>
      <c r="M465" s="257">
        <v>0</v>
      </c>
      <c r="N465" s="257">
        <v>0</v>
      </c>
      <c r="O465" s="257">
        <v>0</v>
      </c>
      <c r="P465" s="257">
        <v>0</v>
      </c>
      <c r="Q465" s="258">
        <v>0</v>
      </c>
    </row>
    <row r="466" spans="1:17">
      <c r="A466" s="256">
        <v>1</v>
      </c>
      <c r="B466" s="256">
        <v>8830420</v>
      </c>
      <c r="C466" s="256">
        <v>883042000</v>
      </c>
      <c r="D466" s="256" t="s">
        <v>538</v>
      </c>
      <c r="E466" s="256" t="s">
        <v>539</v>
      </c>
      <c r="F466" s="256" t="s">
        <v>814</v>
      </c>
      <c r="G466" s="256" t="s">
        <v>83</v>
      </c>
      <c r="H466" s="256"/>
      <c r="I466" s="257">
        <v>1820</v>
      </c>
      <c r="J466" s="257">
        <v>0</v>
      </c>
      <c r="K466" s="257">
        <v>0</v>
      </c>
      <c r="L466" s="257">
        <v>0</v>
      </c>
      <c r="M466" s="257">
        <v>0</v>
      </c>
      <c r="N466" s="257">
        <v>1820</v>
      </c>
      <c r="O466" s="257">
        <v>0</v>
      </c>
      <c r="P466" s="257">
        <v>0</v>
      </c>
      <c r="Q466" s="258">
        <v>0</v>
      </c>
    </row>
    <row r="467" spans="1:17">
      <c r="A467" s="256">
        <v>1</v>
      </c>
      <c r="B467" s="256">
        <v>8830421</v>
      </c>
      <c r="C467" s="256">
        <v>883042100</v>
      </c>
      <c r="D467" s="256" t="s">
        <v>538</v>
      </c>
      <c r="E467" s="256" t="s">
        <v>539</v>
      </c>
      <c r="F467" s="256" t="s">
        <v>814</v>
      </c>
      <c r="G467" s="256" t="s">
        <v>81</v>
      </c>
      <c r="H467" s="256"/>
      <c r="I467" s="257">
        <v>11727105</v>
      </c>
      <c r="J467" s="257">
        <v>0</v>
      </c>
      <c r="K467" s="257">
        <v>0</v>
      </c>
      <c r="L467" s="257">
        <v>0</v>
      </c>
      <c r="M467" s="257">
        <v>0</v>
      </c>
      <c r="N467" s="257">
        <v>11727105</v>
      </c>
      <c r="O467" s="257">
        <v>0</v>
      </c>
      <c r="P467" s="257">
        <v>0</v>
      </c>
      <c r="Q467" s="258">
        <v>0</v>
      </c>
    </row>
    <row r="468" spans="1:17">
      <c r="A468" s="256">
        <v>1</v>
      </c>
      <c r="B468" s="256">
        <v>8830423</v>
      </c>
      <c r="C468" s="256">
        <v>883042300</v>
      </c>
      <c r="D468" s="256" t="s">
        <v>538</v>
      </c>
      <c r="E468" s="256" t="s">
        <v>539</v>
      </c>
      <c r="F468" s="256" t="s">
        <v>814</v>
      </c>
      <c r="G468" s="256" t="s">
        <v>79</v>
      </c>
      <c r="H468" s="256"/>
      <c r="I468" s="257">
        <v>49808</v>
      </c>
      <c r="J468" s="257">
        <v>0</v>
      </c>
      <c r="K468" s="257">
        <v>0</v>
      </c>
      <c r="L468" s="257">
        <v>0</v>
      </c>
      <c r="M468" s="257">
        <v>0</v>
      </c>
      <c r="N468" s="257">
        <v>49808</v>
      </c>
      <c r="O468" s="257">
        <v>0</v>
      </c>
      <c r="P468" s="257">
        <v>0</v>
      </c>
      <c r="Q468" s="258">
        <v>0</v>
      </c>
    </row>
    <row r="469" spans="1:17">
      <c r="A469" s="256">
        <v>1</v>
      </c>
      <c r="B469" s="256">
        <v>8830424</v>
      </c>
      <c r="C469" s="256">
        <v>883042400</v>
      </c>
      <c r="D469" s="256" t="s">
        <v>538</v>
      </c>
      <c r="E469" s="256" t="s">
        <v>539</v>
      </c>
      <c r="F469" s="256" t="s">
        <v>814</v>
      </c>
      <c r="G469" s="256" t="s">
        <v>77</v>
      </c>
      <c r="H469" s="256"/>
      <c r="I469" s="257">
        <v>0</v>
      </c>
      <c r="J469" s="257">
        <v>0</v>
      </c>
      <c r="K469" s="257">
        <v>0</v>
      </c>
      <c r="L469" s="257">
        <v>0</v>
      </c>
      <c r="M469" s="257">
        <v>0</v>
      </c>
      <c r="N469" s="257">
        <v>0</v>
      </c>
      <c r="O469" s="257">
        <v>0</v>
      </c>
      <c r="P469" s="257">
        <v>0</v>
      </c>
      <c r="Q469" s="258">
        <v>0</v>
      </c>
    </row>
    <row r="470" spans="1:17">
      <c r="A470" s="256">
        <v>1</v>
      </c>
      <c r="B470" s="256">
        <v>8830425</v>
      </c>
      <c r="C470" s="256">
        <v>883042500</v>
      </c>
      <c r="D470" s="256" t="s">
        <v>538</v>
      </c>
      <c r="E470" s="256" t="s">
        <v>539</v>
      </c>
      <c r="F470" s="256" t="s">
        <v>814</v>
      </c>
      <c r="G470" s="256" t="s">
        <v>75</v>
      </c>
      <c r="H470" s="256"/>
      <c r="I470" s="257">
        <v>0</v>
      </c>
      <c r="J470" s="257">
        <v>0</v>
      </c>
      <c r="K470" s="257">
        <v>0</v>
      </c>
      <c r="L470" s="257">
        <v>0</v>
      </c>
      <c r="M470" s="257">
        <v>0</v>
      </c>
      <c r="N470" s="257">
        <v>0</v>
      </c>
      <c r="O470" s="257">
        <v>0</v>
      </c>
      <c r="P470" s="257">
        <v>0</v>
      </c>
      <c r="Q470" s="258">
        <v>0</v>
      </c>
    </row>
    <row r="471" spans="1:17">
      <c r="A471" s="256">
        <v>1</v>
      </c>
      <c r="B471" s="256">
        <v>8830428</v>
      </c>
      <c r="C471" s="256">
        <v>883042866</v>
      </c>
      <c r="D471" s="256" t="s">
        <v>538</v>
      </c>
      <c r="E471" s="256" t="s">
        <v>539</v>
      </c>
      <c r="F471" s="256" t="s">
        <v>814</v>
      </c>
      <c r="G471" s="256" t="s">
        <v>811</v>
      </c>
      <c r="H471" s="256" t="s">
        <v>812</v>
      </c>
      <c r="I471" s="257">
        <v>0</v>
      </c>
      <c r="J471" s="257">
        <v>0</v>
      </c>
      <c r="K471" s="257">
        <v>0</v>
      </c>
      <c r="L471" s="257">
        <v>0</v>
      </c>
      <c r="M471" s="257">
        <v>0</v>
      </c>
      <c r="N471" s="257">
        <v>0</v>
      </c>
      <c r="O471" s="257">
        <v>0</v>
      </c>
      <c r="P471" s="257">
        <v>0</v>
      </c>
      <c r="Q471" s="258">
        <v>0</v>
      </c>
    </row>
    <row r="472" spans="1:17">
      <c r="A472" s="256">
        <v>1</v>
      </c>
      <c r="B472" s="256">
        <v>8830428</v>
      </c>
      <c r="C472" s="256">
        <v>883042867</v>
      </c>
      <c r="D472" s="256" t="s">
        <v>538</v>
      </c>
      <c r="E472" s="256" t="s">
        <v>539</v>
      </c>
      <c r="F472" s="256" t="s">
        <v>814</v>
      </c>
      <c r="G472" s="256" t="s">
        <v>811</v>
      </c>
      <c r="H472" s="256" t="s">
        <v>813</v>
      </c>
      <c r="I472" s="257">
        <v>0</v>
      </c>
      <c r="J472" s="257">
        <v>0</v>
      </c>
      <c r="K472" s="257">
        <v>0</v>
      </c>
      <c r="L472" s="257">
        <v>0</v>
      </c>
      <c r="M472" s="257">
        <v>0</v>
      </c>
      <c r="N472" s="257">
        <v>0</v>
      </c>
      <c r="O472" s="257">
        <v>0</v>
      </c>
      <c r="P472" s="257">
        <v>0</v>
      </c>
      <c r="Q472" s="258">
        <v>0</v>
      </c>
    </row>
    <row r="473" spans="1:17">
      <c r="A473" s="256">
        <v>1</v>
      </c>
      <c r="B473" s="256">
        <v>8830429</v>
      </c>
      <c r="C473" s="256">
        <v>883042900</v>
      </c>
      <c r="D473" s="256" t="s">
        <v>538</v>
      </c>
      <c r="E473" s="256" t="s">
        <v>539</v>
      </c>
      <c r="F473" s="256" t="s">
        <v>814</v>
      </c>
      <c r="G473" s="256" t="s">
        <v>66</v>
      </c>
      <c r="H473" s="256"/>
      <c r="I473" s="257">
        <v>0</v>
      </c>
      <c r="J473" s="257">
        <v>0</v>
      </c>
      <c r="K473" s="257">
        <v>0</v>
      </c>
      <c r="L473" s="257">
        <v>0</v>
      </c>
      <c r="M473" s="257">
        <v>0</v>
      </c>
      <c r="N473" s="257">
        <v>0</v>
      </c>
      <c r="O473" s="257">
        <v>0</v>
      </c>
      <c r="P473" s="257">
        <v>0</v>
      </c>
      <c r="Q473" s="258">
        <v>0</v>
      </c>
    </row>
    <row r="474" spans="1:17">
      <c r="A474" s="256">
        <v>1</v>
      </c>
      <c r="B474" s="256">
        <v>8830430</v>
      </c>
      <c r="C474" s="256">
        <v>883043000</v>
      </c>
      <c r="D474" s="256" t="s">
        <v>538</v>
      </c>
      <c r="E474" s="256" t="s">
        <v>539</v>
      </c>
      <c r="F474" s="256" t="s">
        <v>814</v>
      </c>
      <c r="G474" s="256" t="s">
        <v>64</v>
      </c>
      <c r="H474" s="256"/>
      <c r="I474" s="257">
        <v>0</v>
      </c>
      <c r="J474" s="257">
        <v>0</v>
      </c>
      <c r="K474" s="257">
        <v>0</v>
      </c>
      <c r="L474" s="257">
        <v>0</v>
      </c>
      <c r="M474" s="257">
        <v>0</v>
      </c>
      <c r="N474" s="257">
        <v>0</v>
      </c>
      <c r="O474" s="257">
        <v>0</v>
      </c>
      <c r="P474" s="257">
        <v>0</v>
      </c>
      <c r="Q474" s="258">
        <v>0</v>
      </c>
    </row>
    <row r="475" spans="1:17">
      <c r="A475" s="256">
        <v>1</v>
      </c>
      <c r="B475" s="256">
        <v>8830431</v>
      </c>
      <c r="C475" s="256">
        <v>883043100</v>
      </c>
      <c r="D475" s="256" t="s">
        <v>538</v>
      </c>
      <c r="E475" s="256" t="s">
        <v>539</v>
      </c>
      <c r="F475" s="256" t="s">
        <v>814</v>
      </c>
      <c r="G475" s="256" t="s">
        <v>62</v>
      </c>
      <c r="H475" s="256"/>
      <c r="I475" s="257">
        <v>0</v>
      </c>
      <c r="J475" s="257">
        <v>0</v>
      </c>
      <c r="K475" s="257">
        <v>0</v>
      </c>
      <c r="L475" s="257">
        <v>0</v>
      </c>
      <c r="M475" s="257">
        <v>0</v>
      </c>
      <c r="N475" s="257">
        <v>0</v>
      </c>
      <c r="O475" s="257">
        <v>0</v>
      </c>
      <c r="P475" s="257">
        <v>0</v>
      </c>
      <c r="Q475" s="258">
        <v>0</v>
      </c>
    </row>
    <row r="476" spans="1:17">
      <c r="A476" s="256">
        <v>1</v>
      </c>
      <c r="B476" s="256">
        <v>8830437</v>
      </c>
      <c r="C476" s="256">
        <v>883043700</v>
      </c>
      <c r="D476" s="256" t="s">
        <v>538</v>
      </c>
      <c r="E476" s="256" t="s">
        <v>539</v>
      </c>
      <c r="F476" s="256" t="s">
        <v>814</v>
      </c>
      <c r="G476" s="256" t="s">
        <v>60</v>
      </c>
      <c r="H476" s="256"/>
      <c r="I476" s="257">
        <v>0</v>
      </c>
      <c r="J476" s="257">
        <v>0</v>
      </c>
      <c r="K476" s="257">
        <v>0</v>
      </c>
      <c r="L476" s="257">
        <v>0</v>
      </c>
      <c r="M476" s="257">
        <v>0</v>
      </c>
      <c r="N476" s="257">
        <v>0</v>
      </c>
      <c r="O476" s="257">
        <v>0</v>
      </c>
      <c r="P476" s="257">
        <v>0</v>
      </c>
      <c r="Q476" s="258">
        <v>0</v>
      </c>
    </row>
    <row r="477" spans="1:17">
      <c r="A477" s="256">
        <v>1</v>
      </c>
      <c r="B477" s="256">
        <v>8830439</v>
      </c>
      <c r="C477" s="256">
        <v>883043900</v>
      </c>
      <c r="D477" s="256" t="s">
        <v>538</v>
      </c>
      <c r="E477" s="256" t="s">
        <v>539</v>
      </c>
      <c r="F477" s="256" t="s">
        <v>814</v>
      </c>
      <c r="G477" s="256" t="s">
        <v>58</v>
      </c>
      <c r="H477" s="256"/>
      <c r="I477" s="257">
        <v>21080</v>
      </c>
      <c r="J477" s="257">
        <v>0</v>
      </c>
      <c r="K477" s="257">
        <v>0</v>
      </c>
      <c r="L477" s="257">
        <v>0</v>
      </c>
      <c r="M477" s="257">
        <v>0</v>
      </c>
      <c r="N477" s="257">
        <v>0</v>
      </c>
      <c r="O477" s="257">
        <v>21080</v>
      </c>
      <c r="P477" s="257">
        <v>0</v>
      </c>
      <c r="Q477" s="258">
        <v>0</v>
      </c>
    </row>
    <row r="478" spans="1:17">
      <c r="A478" s="256">
        <v>1</v>
      </c>
      <c r="B478" s="256">
        <v>8830440</v>
      </c>
      <c r="C478" s="256">
        <v>883044000</v>
      </c>
      <c r="D478" s="256" t="s">
        <v>538</v>
      </c>
      <c r="E478" s="256" t="s">
        <v>539</v>
      </c>
      <c r="F478" s="256" t="s">
        <v>814</v>
      </c>
      <c r="G478" s="256" t="s">
        <v>56</v>
      </c>
      <c r="H478" s="256"/>
      <c r="I478" s="257">
        <v>0</v>
      </c>
      <c r="J478" s="257">
        <v>0</v>
      </c>
      <c r="K478" s="257">
        <v>0</v>
      </c>
      <c r="L478" s="257">
        <v>0</v>
      </c>
      <c r="M478" s="257">
        <v>0</v>
      </c>
      <c r="N478" s="257">
        <v>0</v>
      </c>
      <c r="O478" s="257">
        <v>0</v>
      </c>
      <c r="P478" s="257">
        <v>0</v>
      </c>
      <c r="Q478" s="258">
        <v>0</v>
      </c>
    </row>
    <row r="479" spans="1:17">
      <c r="A479" s="256">
        <v>1</v>
      </c>
      <c r="B479" s="256">
        <v>8830441</v>
      </c>
      <c r="C479" s="256">
        <v>883044100</v>
      </c>
      <c r="D479" s="256" t="s">
        <v>538</v>
      </c>
      <c r="E479" s="256" t="s">
        <v>539</v>
      </c>
      <c r="F479" s="256" t="s">
        <v>814</v>
      </c>
      <c r="G479" s="256" t="s">
        <v>55</v>
      </c>
      <c r="H479" s="256"/>
      <c r="I479" s="257">
        <v>0</v>
      </c>
      <c r="J479" s="257">
        <v>0</v>
      </c>
      <c r="K479" s="257">
        <v>0</v>
      </c>
      <c r="L479" s="257">
        <v>0</v>
      </c>
      <c r="M479" s="257">
        <v>0</v>
      </c>
      <c r="N479" s="257">
        <v>0</v>
      </c>
      <c r="O479" s="257">
        <v>0</v>
      </c>
      <c r="P479" s="257">
        <v>0</v>
      </c>
      <c r="Q479" s="258">
        <v>0</v>
      </c>
    </row>
    <row r="480" spans="1:17">
      <c r="A480" s="256">
        <v>1</v>
      </c>
      <c r="B480" s="256">
        <v>8830442</v>
      </c>
      <c r="C480" s="256">
        <v>883044201</v>
      </c>
      <c r="D480" s="256" t="s">
        <v>538</v>
      </c>
      <c r="E480" s="256" t="s">
        <v>539</v>
      </c>
      <c r="F480" s="256" t="s">
        <v>814</v>
      </c>
      <c r="G480" s="256" t="s">
        <v>53</v>
      </c>
      <c r="H480" s="256" t="s">
        <v>108</v>
      </c>
      <c r="I480" s="257">
        <v>2082000</v>
      </c>
      <c r="J480" s="257">
        <v>0</v>
      </c>
      <c r="K480" s="257">
        <v>0</v>
      </c>
      <c r="L480" s="257">
        <v>0</v>
      </c>
      <c r="M480" s="257">
        <v>0</v>
      </c>
      <c r="N480" s="257">
        <v>0</v>
      </c>
      <c r="O480" s="257">
        <v>0</v>
      </c>
      <c r="P480" s="257">
        <v>2082000</v>
      </c>
      <c r="Q480" s="258">
        <v>0</v>
      </c>
    </row>
    <row r="481" spans="1:17">
      <c r="A481" s="256">
        <v>1</v>
      </c>
      <c r="B481" s="256">
        <v>8830442</v>
      </c>
      <c r="C481" s="256">
        <v>883044202</v>
      </c>
      <c r="D481" s="256" t="s">
        <v>538</v>
      </c>
      <c r="E481" s="256" t="s">
        <v>539</v>
      </c>
      <c r="F481" s="256" t="s">
        <v>814</v>
      </c>
      <c r="G481" s="256" t="s">
        <v>53</v>
      </c>
      <c r="H481" s="256" t="s">
        <v>106</v>
      </c>
      <c r="I481" s="257">
        <v>423000</v>
      </c>
      <c r="J481" s="257">
        <v>0</v>
      </c>
      <c r="K481" s="257">
        <v>0</v>
      </c>
      <c r="L481" s="257">
        <v>0</v>
      </c>
      <c r="M481" s="257">
        <v>0</v>
      </c>
      <c r="N481" s="257">
        <v>0</v>
      </c>
      <c r="O481" s="257">
        <v>0</v>
      </c>
      <c r="P481" s="257">
        <v>423000</v>
      </c>
      <c r="Q481" s="258">
        <v>0</v>
      </c>
    </row>
    <row r="482" spans="1:17">
      <c r="A482" s="256">
        <v>1</v>
      </c>
      <c r="B482" s="256">
        <v>8830601</v>
      </c>
      <c r="C482" s="256">
        <v>883060102</v>
      </c>
      <c r="D482" s="256" t="s">
        <v>538</v>
      </c>
      <c r="E482" s="256" t="s">
        <v>539</v>
      </c>
      <c r="F482" s="256" t="s">
        <v>815</v>
      </c>
      <c r="G482" s="256" t="s">
        <v>112</v>
      </c>
      <c r="H482" s="256" t="s">
        <v>737</v>
      </c>
      <c r="I482" s="257">
        <v>0</v>
      </c>
      <c r="J482" s="257">
        <v>0</v>
      </c>
      <c r="K482" s="257">
        <v>0</v>
      </c>
      <c r="L482" s="257">
        <v>0</v>
      </c>
      <c r="M482" s="257">
        <v>0</v>
      </c>
      <c r="N482" s="257">
        <v>0</v>
      </c>
      <c r="O482" s="257">
        <v>0</v>
      </c>
      <c r="P482" s="257">
        <v>0</v>
      </c>
      <c r="Q482" s="258">
        <v>0</v>
      </c>
    </row>
    <row r="483" spans="1:17">
      <c r="A483" s="256">
        <v>1</v>
      </c>
      <c r="B483" s="256">
        <v>8830601</v>
      </c>
      <c r="C483" s="256">
        <v>883060103</v>
      </c>
      <c r="D483" s="256" t="s">
        <v>538</v>
      </c>
      <c r="E483" s="256" t="s">
        <v>539</v>
      </c>
      <c r="F483" s="256" t="s">
        <v>815</v>
      </c>
      <c r="G483" s="256" t="s">
        <v>112</v>
      </c>
      <c r="H483" s="256" t="s">
        <v>738</v>
      </c>
      <c r="I483" s="257">
        <v>0</v>
      </c>
      <c r="J483" s="257">
        <v>0</v>
      </c>
      <c r="K483" s="257">
        <v>0</v>
      </c>
      <c r="L483" s="257">
        <v>0</v>
      </c>
      <c r="M483" s="257">
        <v>0</v>
      </c>
      <c r="N483" s="257">
        <v>0</v>
      </c>
      <c r="O483" s="257">
        <v>0</v>
      </c>
      <c r="P483" s="257">
        <v>0</v>
      </c>
      <c r="Q483" s="258">
        <v>0</v>
      </c>
    </row>
    <row r="484" spans="1:17">
      <c r="A484" s="256">
        <v>1</v>
      </c>
      <c r="B484" s="256">
        <v>8830601</v>
      </c>
      <c r="C484" s="256">
        <v>883060104</v>
      </c>
      <c r="D484" s="256" t="s">
        <v>538</v>
      </c>
      <c r="E484" s="256" t="s">
        <v>539</v>
      </c>
      <c r="F484" s="256" t="s">
        <v>815</v>
      </c>
      <c r="G484" s="256" t="s">
        <v>112</v>
      </c>
      <c r="H484" s="256" t="s">
        <v>739</v>
      </c>
      <c r="I484" s="257">
        <v>0</v>
      </c>
      <c r="J484" s="257">
        <v>0</v>
      </c>
      <c r="K484" s="257">
        <v>0</v>
      </c>
      <c r="L484" s="257">
        <v>0</v>
      </c>
      <c r="M484" s="257">
        <v>0</v>
      </c>
      <c r="N484" s="257">
        <v>0</v>
      </c>
      <c r="O484" s="257">
        <v>0</v>
      </c>
      <c r="P484" s="257">
        <v>0</v>
      </c>
      <c r="Q484" s="258">
        <v>0</v>
      </c>
    </row>
    <row r="485" spans="1:17">
      <c r="A485" s="236">
        <v>1</v>
      </c>
      <c r="B485" s="236">
        <v>8830601</v>
      </c>
      <c r="C485" s="236">
        <v>883060105</v>
      </c>
      <c r="D485" s="236" t="s">
        <v>538</v>
      </c>
      <c r="E485" s="236" t="s">
        <v>539</v>
      </c>
      <c r="F485" s="236" t="s">
        <v>815</v>
      </c>
      <c r="G485" s="236" t="s">
        <v>112</v>
      </c>
      <c r="H485" s="236" t="s">
        <v>740</v>
      </c>
      <c r="I485" s="257">
        <v>2110500</v>
      </c>
      <c r="J485" s="257">
        <v>0</v>
      </c>
      <c r="K485" s="257">
        <v>0</v>
      </c>
      <c r="L485" s="257">
        <v>0</v>
      </c>
      <c r="M485" s="257">
        <v>0</v>
      </c>
      <c r="N485" s="257">
        <v>0</v>
      </c>
      <c r="O485" s="257">
        <v>0</v>
      </c>
      <c r="P485" s="257">
        <v>2110500</v>
      </c>
      <c r="Q485" s="258">
        <v>0</v>
      </c>
    </row>
    <row r="486" spans="1:17">
      <c r="A486" s="256">
        <v>1</v>
      </c>
      <c r="B486" s="256">
        <v>8830602</v>
      </c>
      <c r="C486" s="256">
        <v>883060202</v>
      </c>
      <c r="D486" s="256" t="s">
        <v>538</v>
      </c>
      <c r="E486" s="256" t="s">
        <v>539</v>
      </c>
      <c r="F486" s="256" t="s">
        <v>815</v>
      </c>
      <c r="G486" s="256" t="s">
        <v>110</v>
      </c>
      <c r="H486" s="256" t="s">
        <v>741</v>
      </c>
      <c r="I486" s="257">
        <v>517574247</v>
      </c>
      <c r="J486" s="257">
        <v>0</v>
      </c>
      <c r="K486" s="257">
        <v>0</v>
      </c>
      <c r="L486" s="257">
        <v>0</v>
      </c>
      <c r="M486" s="257">
        <v>0</v>
      </c>
      <c r="N486" s="257">
        <v>0</v>
      </c>
      <c r="O486" s="257">
        <v>0</v>
      </c>
      <c r="P486" s="257">
        <v>517574247</v>
      </c>
      <c r="Q486" s="258">
        <v>0</v>
      </c>
    </row>
    <row r="487" spans="1:17">
      <c r="A487" s="256">
        <v>1</v>
      </c>
      <c r="B487" s="256">
        <v>8830603</v>
      </c>
      <c r="C487" s="256">
        <v>883060301</v>
      </c>
      <c r="D487" s="256" t="s">
        <v>538</v>
      </c>
      <c r="E487" s="256" t="s">
        <v>539</v>
      </c>
      <c r="F487" s="256" t="s">
        <v>815</v>
      </c>
      <c r="G487" s="256" t="s">
        <v>108</v>
      </c>
      <c r="H487" s="256" t="s">
        <v>742</v>
      </c>
      <c r="I487" s="257">
        <v>54000739</v>
      </c>
      <c r="J487" s="257">
        <v>0</v>
      </c>
      <c r="K487" s="257">
        <v>0</v>
      </c>
      <c r="L487" s="257">
        <v>0</v>
      </c>
      <c r="M487" s="257">
        <v>0</v>
      </c>
      <c r="N487" s="257">
        <v>0</v>
      </c>
      <c r="O487" s="257">
        <v>0</v>
      </c>
      <c r="P487" s="257">
        <v>54000739</v>
      </c>
      <c r="Q487" s="258">
        <v>0</v>
      </c>
    </row>
    <row r="488" spans="1:17">
      <c r="A488" s="256">
        <v>1</v>
      </c>
      <c r="B488" s="256">
        <v>8830603</v>
      </c>
      <c r="C488" s="256">
        <v>883060302</v>
      </c>
      <c r="D488" s="256" t="s">
        <v>538</v>
      </c>
      <c r="E488" s="256" t="s">
        <v>539</v>
      </c>
      <c r="F488" s="256" t="s">
        <v>815</v>
      </c>
      <c r="G488" s="256" t="s">
        <v>108</v>
      </c>
      <c r="H488" s="256" t="s">
        <v>743</v>
      </c>
      <c r="I488" s="257">
        <v>22464300</v>
      </c>
      <c r="J488" s="257">
        <v>0</v>
      </c>
      <c r="K488" s="257">
        <v>0</v>
      </c>
      <c r="L488" s="257">
        <v>0</v>
      </c>
      <c r="M488" s="257">
        <v>0</v>
      </c>
      <c r="N488" s="257">
        <v>0</v>
      </c>
      <c r="O488" s="257">
        <v>0</v>
      </c>
      <c r="P488" s="257">
        <v>22464300</v>
      </c>
      <c r="Q488" s="258">
        <v>0</v>
      </c>
    </row>
    <row r="489" spans="1:17">
      <c r="A489" s="256">
        <v>1</v>
      </c>
      <c r="B489" s="256">
        <v>8830603</v>
      </c>
      <c r="C489" s="256">
        <v>883060303</v>
      </c>
      <c r="D489" s="256" t="s">
        <v>538</v>
      </c>
      <c r="E489" s="256" t="s">
        <v>539</v>
      </c>
      <c r="F489" s="256" t="s">
        <v>815</v>
      </c>
      <c r="G489" s="256" t="s">
        <v>108</v>
      </c>
      <c r="H489" s="256" t="s">
        <v>744</v>
      </c>
      <c r="I489" s="257">
        <v>180977648</v>
      </c>
      <c r="J489" s="257">
        <v>0</v>
      </c>
      <c r="K489" s="257">
        <v>0</v>
      </c>
      <c r="L489" s="257">
        <v>0</v>
      </c>
      <c r="M489" s="257">
        <v>0</v>
      </c>
      <c r="N489" s="257">
        <v>0</v>
      </c>
      <c r="O489" s="257">
        <v>0</v>
      </c>
      <c r="P489" s="257">
        <v>180977648</v>
      </c>
      <c r="Q489" s="258">
        <v>0</v>
      </c>
    </row>
    <row r="490" spans="1:17">
      <c r="A490" s="256">
        <v>1</v>
      </c>
      <c r="B490" s="256">
        <v>8830603</v>
      </c>
      <c r="C490" s="256">
        <v>883060304</v>
      </c>
      <c r="D490" s="256" t="s">
        <v>538</v>
      </c>
      <c r="E490" s="256" t="s">
        <v>539</v>
      </c>
      <c r="F490" s="256" t="s">
        <v>815</v>
      </c>
      <c r="G490" s="256" t="s">
        <v>108</v>
      </c>
      <c r="H490" s="256" t="s">
        <v>745</v>
      </c>
      <c r="I490" s="257">
        <v>11930100</v>
      </c>
      <c r="J490" s="257">
        <v>0</v>
      </c>
      <c r="K490" s="257">
        <v>0</v>
      </c>
      <c r="L490" s="257">
        <v>0</v>
      </c>
      <c r="M490" s="257">
        <v>0</v>
      </c>
      <c r="N490" s="257">
        <v>11930100</v>
      </c>
      <c r="O490" s="257">
        <v>0</v>
      </c>
      <c r="P490" s="257">
        <v>0</v>
      </c>
      <c r="Q490" s="258">
        <v>0</v>
      </c>
    </row>
    <row r="491" spans="1:17">
      <c r="A491" s="256">
        <v>1</v>
      </c>
      <c r="B491" s="256">
        <v>8830603</v>
      </c>
      <c r="C491" s="256">
        <v>883060305</v>
      </c>
      <c r="D491" s="256" t="s">
        <v>538</v>
      </c>
      <c r="E491" s="256" t="s">
        <v>539</v>
      </c>
      <c r="F491" s="256" t="s">
        <v>815</v>
      </c>
      <c r="G491" s="256" t="s">
        <v>108</v>
      </c>
      <c r="H491" s="256" t="s">
        <v>746</v>
      </c>
      <c r="I491" s="257">
        <v>0</v>
      </c>
      <c r="J491" s="257">
        <v>0</v>
      </c>
      <c r="K491" s="257">
        <v>0</v>
      </c>
      <c r="L491" s="257">
        <v>0</v>
      </c>
      <c r="M491" s="257">
        <v>0</v>
      </c>
      <c r="N491" s="257">
        <v>0</v>
      </c>
      <c r="O491" s="257">
        <v>0</v>
      </c>
      <c r="P491" s="257">
        <v>0</v>
      </c>
      <c r="Q491" s="258">
        <v>0</v>
      </c>
    </row>
    <row r="492" spans="1:17">
      <c r="A492" s="256">
        <v>1</v>
      </c>
      <c r="B492" s="256">
        <v>8830603</v>
      </c>
      <c r="C492" s="256">
        <v>883060306</v>
      </c>
      <c r="D492" s="256" t="s">
        <v>538</v>
      </c>
      <c r="E492" s="256" t="s">
        <v>539</v>
      </c>
      <c r="F492" s="256" t="s">
        <v>815</v>
      </c>
      <c r="G492" s="256" t="s">
        <v>108</v>
      </c>
      <c r="H492" s="256" t="s">
        <v>747</v>
      </c>
      <c r="I492" s="257">
        <v>0</v>
      </c>
      <c r="J492" s="257">
        <v>0</v>
      </c>
      <c r="K492" s="257">
        <v>0</v>
      </c>
      <c r="L492" s="257">
        <v>0</v>
      </c>
      <c r="M492" s="257">
        <v>0</v>
      </c>
      <c r="N492" s="257">
        <v>0</v>
      </c>
      <c r="O492" s="257">
        <v>0</v>
      </c>
      <c r="P492" s="257">
        <v>0</v>
      </c>
      <c r="Q492" s="258">
        <v>0</v>
      </c>
    </row>
    <row r="493" spans="1:17">
      <c r="A493" s="256">
        <v>1</v>
      </c>
      <c r="B493" s="256">
        <v>8830603</v>
      </c>
      <c r="C493" s="256">
        <v>883060307</v>
      </c>
      <c r="D493" s="256" t="s">
        <v>538</v>
      </c>
      <c r="E493" s="256" t="s">
        <v>539</v>
      </c>
      <c r="F493" s="256" t="s">
        <v>815</v>
      </c>
      <c r="G493" s="256" t="s">
        <v>108</v>
      </c>
      <c r="H493" s="256" t="s">
        <v>748</v>
      </c>
      <c r="I493" s="257">
        <v>39833893</v>
      </c>
      <c r="J493" s="257">
        <v>0</v>
      </c>
      <c r="K493" s="257">
        <v>0</v>
      </c>
      <c r="L493" s="257">
        <v>0</v>
      </c>
      <c r="M493" s="257">
        <v>0</v>
      </c>
      <c r="N493" s="257">
        <v>0</v>
      </c>
      <c r="O493" s="257">
        <v>0</v>
      </c>
      <c r="P493" s="257">
        <v>39833893</v>
      </c>
      <c r="Q493" s="258">
        <v>0</v>
      </c>
    </row>
    <row r="494" spans="1:17">
      <c r="A494" s="256">
        <v>1</v>
      </c>
      <c r="B494" s="256">
        <v>8830603</v>
      </c>
      <c r="C494" s="256">
        <v>883060310</v>
      </c>
      <c r="D494" s="256" t="s">
        <v>538</v>
      </c>
      <c r="E494" s="256" t="s">
        <v>539</v>
      </c>
      <c r="F494" s="256" t="s">
        <v>815</v>
      </c>
      <c r="G494" s="256" t="s">
        <v>108</v>
      </c>
      <c r="H494" s="256" t="s">
        <v>749</v>
      </c>
      <c r="I494" s="257">
        <v>108226437</v>
      </c>
      <c r="J494" s="257">
        <v>0</v>
      </c>
      <c r="K494" s="257">
        <v>0</v>
      </c>
      <c r="L494" s="257">
        <v>0</v>
      </c>
      <c r="M494" s="257">
        <v>0</v>
      </c>
      <c r="N494" s="257">
        <v>0</v>
      </c>
      <c r="O494" s="257">
        <v>0</v>
      </c>
      <c r="P494" s="257">
        <v>108226437</v>
      </c>
      <c r="Q494" s="258">
        <v>0</v>
      </c>
    </row>
    <row r="495" spans="1:17">
      <c r="A495" s="256">
        <v>1</v>
      </c>
      <c r="B495" s="256">
        <v>8830603</v>
      </c>
      <c r="C495" s="256">
        <v>883060311</v>
      </c>
      <c r="D495" s="256" t="s">
        <v>538</v>
      </c>
      <c r="E495" s="256" t="s">
        <v>539</v>
      </c>
      <c r="F495" s="256" t="s">
        <v>815</v>
      </c>
      <c r="G495" s="256" t="s">
        <v>108</v>
      </c>
      <c r="H495" s="256" t="s">
        <v>750</v>
      </c>
      <c r="I495" s="257">
        <v>9099292</v>
      </c>
      <c r="J495" s="257">
        <v>0</v>
      </c>
      <c r="K495" s="257">
        <v>0</v>
      </c>
      <c r="L495" s="257">
        <v>0</v>
      </c>
      <c r="M495" s="257">
        <v>0</v>
      </c>
      <c r="N495" s="257">
        <v>0</v>
      </c>
      <c r="O495" s="257">
        <v>0</v>
      </c>
      <c r="P495" s="257">
        <v>9099292</v>
      </c>
      <c r="Q495" s="258">
        <v>0</v>
      </c>
    </row>
    <row r="496" spans="1:17">
      <c r="A496" s="256">
        <v>1</v>
      </c>
      <c r="B496" s="256">
        <v>8830603</v>
      </c>
      <c r="C496" s="256">
        <v>883060312</v>
      </c>
      <c r="D496" s="256" t="s">
        <v>538</v>
      </c>
      <c r="E496" s="256" t="s">
        <v>539</v>
      </c>
      <c r="F496" s="256" t="s">
        <v>815</v>
      </c>
      <c r="G496" s="256" t="s">
        <v>108</v>
      </c>
      <c r="H496" s="256" t="s">
        <v>816</v>
      </c>
      <c r="I496" s="257">
        <v>0</v>
      </c>
      <c r="J496" s="257">
        <v>0</v>
      </c>
      <c r="K496" s="257">
        <v>0</v>
      </c>
      <c r="L496" s="257">
        <v>0</v>
      </c>
      <c r="M496" s="257">
        <v>0</v>
      </c>
      <c r="N496" s="257">
        <v>0</v>
      </c>
      <c r="O496" s="257">
        <v>0</v>
      </c>
      <c r="P496" s="257">
        <v>0</v>
      </c>
      <c r="Q496" s="258">
        <v>0</v>
      </c>
    </row>
    <row r="497" spans="1:17">
      <c r="A497" s="256">
        <v>1</v>
      </c>
      <c r="B497" s="256">
        <v>8830603</v>
      </c>
      <c r="C497" s="256">
        <v>883060314</v>
      </c>
      <c r="D497" s="256" t="s">
        <v>538</v>
      </c>
      <c r="E497" s="256" t="s">
        <v>539</v>
      </c>
      <c r="F497" s="256" t="s">
        <v>815</v>
      </c>
      <c r="G497" s="256" t="s">
        <v>108</v>
      </c>
      <c r="H497" s="256" t="s">
        <v>751</v>
      </c>
      <c r="I497" s="257">
        <v>6768371</v>
      </c>
      <c r="J497" s="257">
        <v>0</v>
      </c>
      <c r="K497" s="257">
        <v>0</v>
      </c>
      <c r="L497" s="257">
        <v>0</v>
      </c>
      <c r="M497" s="257">
        <v>0</v>
      </c>
      <c r="N497" s="257">
        <v>0</v>
      </c>
      <c r="O497" s="257">
        <v>0</v>
      </c>
      <c r="P497" s="257">
        <v>6768371</v>
      </c>
      <c r="Q497" s="258">
        <v>0</v>
      </c>
    </row>
    <row r="498" spans="1:17">
      <c r="A498" s="256">
        <v>1</v>
      </c>
      <c r="B498" s="256">
        <v>8830603</v>
      </c>
      <c r="C498" s="256">
        <v>883060315</v>
      </c>
      <c r="D498" s="256" t="s">
        <v>538</v>
      </c>
      <c r="E498" s="256" t="s">
        <v>539</v>
      </c>
      <c r="F498" s="256" t="s">
        <v>815</v>
      </c>
      <c r="G498" s="256" t="s">
        <v>108</v>
      </c>
      <c r="H498" s="256" t="s">
        <v>752</v>
      </c>
      <c r="I498" s="257">
        <v>11890000</v>
      </c>
      <c r="J498" s="257">
        <v>0</v>
      </c>
      <c r="K498" s="257">
        <v>0</v>
      </c>
      <c r="L498" s="257">
        <v>0</v>
      </c>
      <c r="M498" s="257">
        <v>0</v>
      </c>
      <c r="N498" s="257">
        <v>0</v>
      </c>
      <c r="O498" s="257">
        <v>0</v>
      </c>
      <c r="P498" s="257">
        <v>11890000</v>
      </c>
      <c r="Q498" s="258">
        <v>0</v>
      </c>
    </row>
    <row r="499" spans="1:17">
      <c r="A499" s="256">
        <v>1</v>
      </c>
      <c r="B499" s="256">
        <v>8830604</v>
      </c>
      <c r="C499" s="256">
        <v>883060401</v>
      </c>
      <c r="D499" s="256" t="s">
        <v>538</v>
      </c>
      <c r="E499" s="256" t="s">
        <v>539</v>
      </c>
      <c r="F499" s="256" t="s">
        <v>815</v>
      </c>
      <c r="G499" s="256" t="s">
        <v>106</v>
      </c>
      <c r="H499" s="256" t="s">
        <v>755</v>
      </c>
      <c r="I499" s="257">
        <v>134361225</v>
      </c>
      <c r="J499" s="257">
        <v>0</v>
      </c>
      <c r="K499" s="257">
        <v>0</v>
      </c>
      <c r="L499" s="257">
        <v>0</v>
      </c>
      <c r="M499" s="257">
        <v>0</v>
      </c>
      <c r="N499" s="257">
        <v>0</v>
      </c>
      <c r="O499" s="257">
        <v>134361225</v>
      </c>
      <c r="P499" s="257">
        <v>0</v>
      </c>
      <c r="Q499" s="258">
        <v>0</v>
      </c>
    </row>
    <row r="500" spans="1:17">
      <c r="A500" s="256">
        <v>1</v>
      </c>
      <c r="B500" s="256">
        <v>8830604</v>
      </c>
      <c r="C500" s="256">
        <v>883060402</v>
      </c>
      <c r="D500" s="256" t="s">
        <v>538</v>
      </c>
      <c r="E500" s="256" t="s">
        <v>539</v>
      </c>
      <c r="F500" s="256" t="s">
        <v>815</v>
      </c>
      <c r="G500" s="256" t="s">
        <v>106</v>
      </c>
      <c r="H500" s="256" t="s">
        <v>756</v>
      </c>
      <c r="I500" s="257">
        <v>780657</v>
      </c>
      <c r="J500" s="257">
        <v>0</v>
      </c>
      <c r="K500" s="257">
        <v>0</v>
      </c>
      <c r="L500" s="257">
        <v>0</v>
      </c>
      <c r="M500" s="257">
        <v>0</v>
      </c>
      <c r="N500" s="257">
        <v>0</v>
      </c>
      <c r="O500" s="257">
        <v>0</v>
      </c>
      <c r="P500" s="257">
        <v>780657</v>
      </c>
      <c r="Q500" s="258">
        <v>0</v>
      </c>
    </row>
    <row r="501" spans="1:17">
      <c r="A501" s="256">
        <v>1</v>
      </c>
      <c r="B501" s="256">
        <v>8830604</v>
      </c>
      <c r="C501" s="256">
        <v>883060403</v>
      </c>
      <c r="D501" s="256" t="s">
        <v>538</v>
      </c>
      <c r="E501" s="256" t="s">
        <v>539</v>
      </c>
      <c r="F501" s="256" t="s">
        <v>815</v>
      </c>
      <c r="G501" s="256" t="s">
        <v>106</v>
      </c>
      <c r="H501" s="256" t="s">
        <v>757</v>
      </c>
      <c r="I501" s="257">
        <v>0</v>
      </c>
      <c r="J501" s="257">
        <v>0</v>
      </c>
      <c r="K501" s="257">
        <v>0</v>
      </c>
      <c r="L501" s="257">
        <v>0</v>
      </c>
      <c r="M501" s="257">
        <v>0</v>
      </c>
      <c r="N501" s="257">
        <v>0</v>
      </c>
      <c r="O501" s="257">
        <v>0</v>
      </c>
      <c r="P501" s="257">
        <v>0</v>
      </c>
      <c r="Q501" s="258">
        <v>0</v>
      </c>
    </row>
    <row r="502" spans="1:17">
      <c r="A502" s="256">
        <v>1</v>
      </c>
      <c r="B502" s="256">
        <v>8830604</v>
      </c>
      <c r="C502" s="256">
        <v>883060405</v>
      </c>
      <c r="D502" s="256" t="s">
        <v>538</v>
      </c>
      <c r="E502" s="256" t="s">
        <v>539</v>
      </c>
      <c r="F502" s="256" t="s">
        <v>815</v>
      </c>
      <c r="G502" s="256" t="s">
        <v>106</v>
      </c>
      <c r="H502" s="256" t="s">
        <v>758</v>
      </c>
      <c r="I502" s="257">
        <v>0</v>
      </c>
      <c r="J502" s="257">
        <v>0</v>
      </c>
      <c r="K502" s="257">
        <v>0</v>
      </c>
      <c r="L502" s="257">
        <v>0</v>
      </c>
      <c r="M502" s="257">
        <v>0</v>
      </c>
      <c r="N502" s="257">
        <v>0</v>
      </c>
      <c r="O502" s="257">
        <v>0</v>
      </c>
      <c r="P502" s="257">
        <v>0</v>
      </c>
      <c r="Q502" s="258">
        <v>0</v>
      </c>
    </row>
    <row r="503" spans="1:17">
      <c r="A503" s="256">
        <v>1</v>
      </c>
      <c r="B503" s="256">
        <v>8830604</v>
      </c>
      <c r="C503" s="256">
        <v>883060406</v>
      </c>
      <c r="D503" s="256" t="s">
        <v>538</v>
      </c>
      <c r="E503" s="256" t="s">
        <v>539</v>
      </c>
      <c r="F503" s="256" t="s">
        <v>815</v>
      </c>
      <c r="G503" s="256" t="s">
        <v>106</v>
      </c>
      <c r="H503" s="256" t="s">
        <v>759</v>
      </c>
      <c r="I503" s="257">
        <v>466434</v>
      </c>
      <c r="J503" s="257">
        <v>0</v>
      </c>
      <c r="K503" s="257">
        <v>0</v>
      </c>
      <c r="L503" s="257">
        <v>0</v>
      </c>
      <c r="M503" s="257">
        <v>0</v>
      </c>
      <c r="N503" s="257">
        <v>0</v>
      </c>
      <c r="O503" s="257">
        <v>466434</v>
      </c>
      <c r="P503" s="257">
        <v>0</v>
      </c>
      <c r="Q503" s="258">
        <v>0</v>
      </c>
    </row>
    <row r="504" spans="1:17">
      <c r="A504" s="256">
        <v>1</v>
      </c>
      <c r="B504" s="256">
        <v>8830604</v>
      </c>
      <c r="C504" s="256">
        <v>883060407</v>
      </c>
      <c r="D504" s="256" t="s">
        <v>538</v>
      </c>
      <c r="E504" s="256" t="s">
        <v>539</v>
      </c>
      <c r="F504" s="256" t="s">
        <v>815</v>
      </c>
      <c r="G504" s="256" t="s">
        <v>106</v>
      </c>
      <c r="H504" s="256" t="s">
        <v>760</v>
      </c>
      <c r="I504" s="257">
        <v>1626549</v>
      </c>
      <c r="J504" s="257">
        <v>0</v>
      </c>
      <c r="K504" s="257">
        <v>0</v>
      </c>
      <c r="L504" s="257">
        <v>0</v>
      </c>
      <c r="M504" s="257">
        <v>0</v>
      </c>
      <c r="N504" s="257">
        <v>0</v>
      </c>
      <c r="O504" s="257">
        <v>1626549</v>
      </c>
      <c r="P504" s="257">
        <v>0</v>
      </c>
      <c r="Q504" s="258">
        <v>0</v>
      </c>
    </row>
    <row r="505" spans="1:17">
      <c r="A505" s="256">
        <v>1</v>
      </c>
      <c r="B505" s="256">
        <v>8830604</v>
      </c>
      <c r="C505" s="256">
        <v>883060408</v>
      </c>
      <c r="D505" s="256" t="s">
        <v>538</v>
      </c>
      <c r="E505" s="256" t="s">
        <v>539</v>
      </c>
      <c r="F505" s="256" t="s">
        <v>815</v>
      </c>
      <c r="G505" s="256" t="s">
        <v>106</v>
      </c>
      <c r="H505" s="256" t="s">
        <v>761</v>
      </c>
      <c r="I505" s="257">
        <v>63882</v>
      </c>
      <c r="J505" s="257">
        <v>0</v>
      </c>
      <c r="K505" s="257">
        <v>0</v>
      </c>
      <c r="L505" s="257">
        <v>0</v>
      </c>
      <c r="M505" s="257">
        <v>0</v>
      </c>
      <c r="N505" s="257">
        <v>0</v>
      </c>
      <c r="O505" s="257">
        <v>63882</v>
      </c>
      <c r="P505" s="257">
        <v>0</v>
      </c>
      <c r="Q505" s="258">
        <v>0</v>
      </c>
    </row>
    <row r="506" spans="1:17">
      <c r="A506" s="256">
        <v>1</v>
      </c>
      <c r="B506" s="256">
        <v>8830604</v>
      </c>
      <c r="C506" s="256">
        <v>883060410</v>
      </c>
      <c r="D506" s="256" t="s">
        <v>538</v>
      </c>
      <c r="E506" s="256" t="s">
        <v>539</v>
      </c>
      <c r="F506" s="256" t="s">
        <v>815</v>
      </c>
      <c r="G506" s="256" t="s">
        <v>106</v>
      </c>
      <c r="H506" s="256" t="s">
        <v>762</v>
      </c>
      <c r="I506" s="257">
        <v>50675356</v>
      </c>
      <c r="J506" s="257">
        <v>0</v>
      </c>
      <c r="K506" s="257">
        <v>0</v>
      </c>
      <c r="L506" s="257">
        <v>0</v>
      </c>
      <c r="M506" s="257">
        <v>0</v>
      </c>
      <c r="N506" s="257">
        <v>0</v>
      </c>
      <c r="O506" s="257">
        <v>50675356</v>
      </c>
      <c r="P506" s="257">
        <v>0</v>
      </c>
      <c r="Q506" s="258">
        <v>0</v>
      </c>
    </row>
    <row r="507" spans="1:17">
      <c r="A507" s="256">
        <v>1</v>
      </c>
      <c r="B507" s="256">
        <v>8830604</v>
      </c>
      <c r="C507" s="256">
        <v>883060411</v>
      </c>
      <c r="D507" s="256" t="s">
        <v>538</v>
      </c>
      <c r="E507" s="256" t="s">
        <v>539</v>
      </c>
      <c r="F507" s="256" t="s">
        <v>815</v>
      </c>
      <c r="G507" s="256" t="s">
        <v>106</v>
      </c>
      <c r="H507" s="256" t="s">
        <v>763</v>
      </c>
      <c r="I507" s="257">
        <v>14667</v>
      </c>
      <c r="J507" s="257">
        <v>0</v>
      </c>
      <c r="K507" s="257">
        <v>0</v>
      </c>
      <c r="L507" s="257">
        <v>0</v>
      </c>
      <c r="M507" s="257">
        <v>0</v>
      </c>
      <c r="N507" s="257">
        <v>0</v>
      </c>
      <c r="O507" s="257">
        <v>14667</v>
      </c>
      <c r="P507" s="257">
        <v>0</v>
      </c>
      <c r="Q507" s="258">
        <v>0</v>
      </c>
    </row>
    <row r="508" spans="1:17">
      <c r="A508" s="256">
        <v>1</v>
      </c>
      <c r="B508" s="256">
        <v>8830605</v>
      </c>
      <c r="C508" s="256">
        <v>883060500</v>
      </c>
      <c r="D508" s="256" t="s">
        <v>538</v>
      </c>
      <c r="E508" s="256" t="s">
        <v>539</v>
      </c>
      <c r="F508" s="256" t="s">
        <v>815</v>
      </c>
      <c r="G508" s="256" t="s">
        <v>104</v>
      </c>
      <c r="H508" s="256"/>
      <c r="I508" s="257">
        <v>0</v>
      </c>
      <c r="J508" s="257">
        <v>0</v>
      </c>
      <c r="K508" s="257">
        <v>0</v>
      </c>
      <c r="L508" s="257">
        <v>0</v>
      </c>
      <c r="M508" s="257">
        <v>0</v>
      </c>
      <c r="N508" s="257">
        <v>0</v>
      </c>
      <c r="O508" s="257">
        <v>0</v>
      </c>
      <c r="P508" s="257">
        <v>0</v>
      </c>
      <c r="Q508" s="258">
        <v>0</v>
      </c>
    </row>
    <row r="509" spans="1:17">
      <c r="A509" s="256">
        <v>1</v>
      </c>
      <c r="B509" s="256">
        <v>8830607</v>
      </c>
      <c r="C509" s="256">
        <v>883060700</v>
      </c>
      <c r="D509" s="256" t="s">
        <v>538</v>
      </c>
      <c r="E509" s="256" t="s">
        <v>539</v>
      </c>
      <c r="F509" s="256" t="s">
        <v>815</v>
      </c>
      <c r="G509" s="256" t="s">
        <v>102</v>
      </c>
      <c r="H509" s="256"/>
      <c r="I509" s="257">
        <v>0</v>
      </c>
      <c r="J509" s="257">
        <v>0</v>
      </c>
      <c r="K509" s="257">
        <v>0</v>
      </c>
      <c r="L509" s="257">
        <v>0</v>
      </c>
      <c r="M509" s="257">
        <v>0</v>
      </c>
      <c r="N509" s="257">
        <v>0</v>
      </c>
      <c r="O509" s="257">
        <v>0</v>
      </c>
      <c r="P509" s="257">
        <v>0</v>
      </c>
      <c r="Q509" s="258">
        <v>0</v>
      </c>
    </row>
    <row r="510" spans="1:17">
      <c r="A510" s="256">
        <v>1</v>
      </c>
      <c r="B510" s="256">
        <v>8830608</v>
      </c>
      <c r="C510" s="256">
        <v>883060800</v>
      </c>
      <c r="D510" s="256" t="s">
        <v>538</v>
      </c>
      <c r="E510" s="256" t="s">
        <v>539</v>
      </c>
      <c r="F510" s="256" t="s">
        <v>815</v>
      </c>
      <c r="G510" s="256" t="s">
        <v>100</v>
      </c>
      <c r="H510" s="256"/>
      <c r="I510" s="257">
        <v>0</v>
      </c>
      <c r="J510" s="257">
        <v>0</v>
      </c>
      <c r="K510" s="257">
        <v>0</v>
      </c>
      <c r="L510" s="257">
        <v>0</v>
      </c>
      <c r="M510" s="257">
        <v>0</v>
      </c>
      <c r="N510" s="257">
        <v>0</v>
      </c>
      <c r="O510" s="257">
        <v>0</v>
      </c>
      <c r="P510" s="257">
        <v>0</v>
      </c>
      <c r="Q510" s="258">
        <v>0</v>
      </c>
    </row>
    <row r="511" spans="1:17">
      <c r="A511" s="256">
        <v>1</v>
      </c>
      <c r="B511" s="256">
        <v>8830610</v>
      </c>
      <c r="C511" s="256">
        <v>883061001</v>
      </c>
      <c r="D511" s="256" t="s">
        <v>538</v>
      </c>
      <c r="E511" s="256" t="s">
        <v>539</v>
      </c>
      <c r="F511" s="256" t="s">
        <v>815</v>
      </c>
      <c r="G511" s="256" t="s">
        <v>764</v>
      </c>
      <c r="H511" s="256" t="s">
        <v>98</v>
      </c>
      <c r="I511" s="257">
        <v>225020</v>
      </c>
      <c r="J511" s="257">
        <v>0</v>
      </c>
      <c r="K511" s="257">
        <v>0</v>
      </c>
      <c r="L511" s="257">
        <v>0</v>
      </c>
      <c r="M511" s="257">
        <v>0</v>
      </c>
      <c r="N511" s="257">
        <v>225020</v>
      </c>
      <c r="O511" s="257">
        <v>0</v>
      </c>
      <c r="P511" s="257">
        <v>0</v>
      </c>
      <c r="Q511" s="258">
        <v>0</v>
      </c>
    </row>
    <row r="512" spans="1:17">
      <c r="A512" s="256">
        <v>1</v>
      </c>
      <c r="B512" s="256">
        <v>8830610</v>
      </c>
      <c r="C512" s="256">
        <v>883061002</v>
      </c>
      <c r="D512" s="256" t="s">
        <v>538</v>
      </c>
      <c r="E512" s="256" t="s">
        <v>539</v>
      </c>
      <c r="F512" s="256" t="s">
        <v>815</v>
      </c>
      <c r="G512" s="256" t="s">
        <v>764</v>
      </c>
      <c r="H512" s="256" t="s">
        <v>95</v>
      </c>
      <c r="I512" s="257">
        <v>0</v>
      </c>
      <c r="J512" s="257">
        <v>0</v>
      </c>
      <c r="K512" s="257">
        <v>0</v>
      </c>
      <c r="L512" s="257">
        <v>0</v>
      </c>
      <c r="M512" s="257">
        <v>0</v>
      </c>
      <c r="N512" s="257">
        <v>0</v>
      </c>
      <c r="O512" s="257">
        <v>0</v>
      </c>
      <c r="P512" s="257">
        <v>0</v>
      </c>
      <c r="Q512" s="258">
        <v>0</v>
      </c>
    </row>
    <row r="513" spans="1:17">
      <c r="A513" s="236">
        <v>1</v>
      </c>
      <c r="B513" s="236">
        <v>8830610</v>
      </c>
      <c r="C513" s="236">
        <v>883061003</v>
      </c>
      <c r="D513" s="236" t="s">
        <v>538</v>
      </c>
      <c r="E513" s="236" t="s">
        <v>539</v>
      </c>
      <c r="F513" s="236" t="s">
        <v>815</v>
      </c>
      <c r="G513" s="236" t="s">
        <v>764</v>
      </c>
      <c r="H513" s="236" t="s">
        <v>765</v>
      </c>
      <c r="I513" s="257">
        <v>153600</v>
      </c>
      <c r="J513" s="257">
        <v>0</v>
      </c>
      <c r="K513" s="257">
        <v>0</v>
      </c>
      <c r="L513" s="257">
        <v>0</v>
      </c>
      <c r="M513" s="257">
        <v>0</v>
      </c>
      <c r="N513" s="257">
        <v>153600</v>
      </c>
      <c r="O513" s="257">
        <v>0</v>
      </c>
      <c r="P513" s="257">
        <v>0</v>
      </c>
      <c r="Q513" s="258">
        <v>0</v>
      </c>
    </row>
    <row r="514" spans="1:17">
      <c r="A514" s="256">
        <v>1</v>
      </c>
      <c r="B514" s="256">
        <v>8830613</v>
      </c>
      <c r="C514" s="256">
        <v>883061300</v>
      </c>
      <c r="D514" s="256" t="s">
        <v>538</v>
      </c>
      <c r="E514" s="256" t="s">
        <v>539</v>
      </c>
      <c r="F514" s="256" t="s">
        <v>815</v>
      </c>
      <c r="G514" s="256" t="s">
        <v>93</v>
      </c>
      <c r="H514" s="256"/>
      <c r="I514" s="257">
        <v>11013390</v>
      </c>
      <c r="J514" s="257">
        <v>0</v>
      </c>
      <c r="K514" s="257">
        <v>0</v>
      </c>
      <c r="L514" s="257">
        <v>0</v>
      </c>
      <c r="M514" s="257">
        <v>30357</v>
      </c>
      <c r="N514" s="257">
        <v>10983033</v>
      </c>
      <c r="O514" s="257">
        <v>0</v>
      </c>
      <c r="P514" s="257">
        <v>0</v>
      </c>
      <c r="Q514" s="258">
        <v>0</v>
      </c>
    </row>
    <row r="515" spans="1:17">
      <c r="A515" s="256">
        <v>1</v>
      </c>
      <c r="B515" s="256">
        <v>8830614</v>
      </c>
      <c r="C515" s="256">
        <v>883061400</v>
      </c>
      <c r="D515" s="256" t="s">
        <v>538</v>
      </c>
      <c r="E515" s="256" t="s">
        <v>539</v>
      </c>
      <c r="F515" s="256" t="s">
        <v>815</v>
      </c>
      <c r="G515" s="256" t="s">
        <v>91</v>
      </c>
      <c r="H515" s="256"/>
      <c r="I515" s="257">
        <v>2213663</v>
      </c>
      <c r="J515" s="257">
        <v>0</v>
      </c>
      <c r="K515" s="257">
        <v>0</v>
      </c>
      <c r="L515" s="257">
        <v>0</v>
      </c>
      <c r="M515" s="257">
        <v>0</v>
      </c>
      <c r="N515" s="257">
        <v>2213663</v>
      </c>
      <c r="O515" s="257">
        <v>0</v>
      </c>
      <c r="P515" s="257">
        <v>0</v>
      </c>
      <c r="Q515" s="258">
        <v>0</v>
      </c>
    </row>
    <row r="516" spans="1:17">
      <c r="A516" s="256">
        <v>1</v>
      </c>
      <c r="B516" s="256">
        <v>8830615</v>
      </c>
      <c r="C516" s="256">
        <v>883061500</v>
      </c>
      <c r="D516" s="256" t="s">
        <v>538</v>
      </c>
      <c r="E516" s="256" t="s">
        <v>539</v>
      </c>
      <c r="F516" s="256" t="s">
        <v>815</v>
      </c>
      <c r="G516" s="256" t="s">
        <v>89</v>
      </c>
      <c r="H516" s="256"/>
      <c r="I516" s="257">
        <v>16902233</v>
      </c>
      <c r="J516" s="257">
        <v>0</v>
      </c>
      <c r="K516" s="257">
        <v>0</v>
      </c>
      <c r="L516" s="257">
        <v>0</v>
      </c>
      <c r="M516" s="257">
        <v>0</v>
      </c>
      <c r="N516" s="257">
        <v>16902233</v>
      </c>
      <c r="O516" s="257">
        <v>0</v>
      </c>
      <c r="P516" s="257">
        <v>0</v>
      </c>
      <c r="Q516" s="258">
        <v>0</v>
      </c>
    </row>
    <row r="517" spans="1:17">
      <c r="A517" s="256">
        <v>1</v>
      </c>
      <c r="B517" s="256">
        <v>8830617</v>
      </c>
      <c r="C517" s="256">
        <v>883061700</v>
      </c>
      <c r="D517" s="256" t="s">
        <v>538</v>
      </c>
      <c r="E517" s="256" t="s">
        <v>539</v>
      </c>
      <c r="F517" s="256" t="s">
        <v>815</v>
      </c>
      <c r="G517" s="256" t="s">
        <v>87</v>
      </c>
      <c r="H517" s="256"/>
      <c r="I517" s="257">
        <v>12573953</v>
      </c>
      <c r="J517" s="257">
        <v>0</v>
      </c>
      <c r="K517" s="257">
        <v>0</v>
      </c>
      <c r="L517" s="257">
        <v>0</v>
      </c>
      <c r="M517" s="257">
        <v>0</v>
      </c>
      <c r="N517" s="257">
        <v>12573953</v>
      </c>
      <c r="O517" s="257">
        <v>0</v>
      </c>
      <c r="P517" s="257">
        <v>0</v>
      </c>
      <c r="Q517" s="258">
        <v>0</v>
      </c>
    </row>
    <row r="518" spans="1:17">
      <c r="A518" s="256">
        <v>1</v>
      </c>
      <c r="B518" s="256">
        <v>8830619</v>
      </c>
      <c r="C518" s="256">
        <v>883061900</v>
      </c>
      <c r="D518" s="256" t="s">
        <v>538</v>
      </c>
      <c r="E518" s="256" t="s">
        <v>539</v>
      </c>
      <c r="F518" s="256" t="s">
        <v>815</v>
      </c>
      <c r="G518" s="256" t="s">
        <v>85</v>
      </c>
      <c r="H518" s="256"/>
      <c r="I518" s="257">
        <v>155875</v>
      </c>
      <c r="J518" s="257">
        <v>0</v>
      </c>
      <c r="K518" s="257">
        <v>0</v>
      </c>
      <c r="L518" s="257">
        <v>0</v>
      </c>
      <c r="M518" s="257">
        <v>0</v>
      </c>
      <c r="N518" s="257">
        <v>97165</v>
      </c>
      <c r="O518" s="257">
        <v>49050</v>
      </c>
      <c r="P518" s="257">
        <v>9660</v>
      </c>
      <c r="Q518" s="258">
        <v>0</v>
      </c>
    </row>
    <row r="519" spans="1:17">
      <c r="A519" s="256">
        <v>1</v>
      </c>
      <c r="B519" s="256">
        <v>8830620</v>
      </c>
      <c r="C519" s="256">
        <v>883062000</v>
      </c>
      <c r="D519" s="256" t="s">
        <v>538</v>
      </c>
      <c r="E519" s="256" t="s">
        <v>539</v>
      </c>
      <c r="F519" s="256" t="s">
        <v>815</v>
      </c>
      <c r="G519" s="256" t="s">
        <v>83</v>
      </c>
      <c r="H519" s="256"/>
      <c r="I519" s="257">
        <v>1295496</v>
      </c>
      <c r="J519" s="257">
        <v>0</v>
      </c>
      <c r="K519" s="257">
        <v>0</v>
      </c>
      <c r="L519" s="257">
        <v>0</v>
      </c>
      <c r="M519" s="257">
        <v>0</v>
      </c>
      <c r="N519" s="257">
        <v>786510</v>
      </c>
      <c r="O519" s="257">
        <v>508986</v>
      </c>
      <c r="P519" s="257">
        <v>0</v>
      </c>
      <c r="Q519" s="258">
        <v>0</v>
      </c>
    </row>
    <row r="520" spans="1:17">
      <c r="A520" s="256">
        <v>1</v>
      </c>
      <c r="B520" s="256">
        <v>8830621</v>
      </c>
      <c r="C520" s="256">
        <v>883062100</v>
      </c>
      <c r="D520" s="256" t="s">
        <v>538</v>
      </c>
      <c r="E520" s="256" t="s">
        <v>539</v>
      </c>
      <c r="F520" s="256" t="s">
        <v>815</v>
      </c>
      <c r="G520" s="256" t="s">
        <v>81</v>
      </c>
      <c r="H520" s="256"/>
      <c r="I520" s="257">
        <v>428095489</v>
      </c>
      <c r="J520" s="257">
        <v>0</v>
      </c>
      <c r="K520" s="257">
        <v>0</v>
      </c>
      <c r="L520" s="257">
        <v>0</v>
      </c>
      <c r="M520" s="257">
        <v>0</v>
      </c>
      <c r="N520" s="257">
        <v>428095489</v>
      </c>
      <c r="O520" s="257">
        <v>0</v>
      </c>
      <c r="P520" s="257">
        <v>0</v>
      </c>
      <c r="Q520" s="258">
        <v>0</v>
      </c>
    </row>
    <row r="521" spans="1:17">
      <c r="A521" s="256">
        <v>1</v>
      </c>
      <c r="B521" s="256">
        <v>8830623</v>
      </c>
      <c r="C521" s="256">
        <v>883062300</v>
      </c>
      <c r="D521" s="256" t="s">
        <v>538</v>
      </c>
      <c r="E521" s="256" t="s">
        <v>539</v>
      </c>
      <c r="F521" s="256" t="s">
        <v>815</v>
      </c>
      <c r="G521" s="256" t="s">
        <v>79</v>
      </c>
      <c r="H521" s="256"/>
      <c r="I521" s="257">
        <v>166478038</v>
      </c>
      <c r="J521" s="257">
        <v>0</v>
      </c>
      <c r="K521" s="257">
        <v>0</v>
      </c>
      <c r="L521" s="257">
        <v>0</v>
      </c>
      <c r="M521" s="257">
        <v>0</v>
      </c>
      <c r="N521" s="257">
        <v>166478038</v>
      </c>
      <c r="O521" s="257">
        <v>0</v>
      </c>
      <c r="P521" s="257">
        <v>0</v>
      </c>
      <c r="Q521" s="258">
        <v>0</v>
      </c>
    </row>
    <row r="522" spans="1:17">
      <c r="A522" s="256">
        <v>1</v>
      </c>
      <c r="B522" s="256">
        <v>8830624</v>
      </c>
      <c r="C522" s="256">
        <v>883062400</v>
      </c>
      <c r="D522" s="256" t="s">
        <v>538</v>
      </c>
      <c r="E522" s="256" t="s">
        <v>539</v>
      </c>
      <c r="F522" s="256" t="s">
        <v>815</v>
      </c>
      <c r="G522" s="256" t="s">
        <v>77</v>
      </c>
      <c r="H522" s="256"/>
      <c r="I522" s="257">
        <v>50100458</v>
      </c>
      <c r="J522" s="257">
        <v>0</v>
      </c>
      <c r="K522" s="257">
        <v>0</v>
      </c>
      <c r="L522" s="257">
        <v>0</v>
      </c>
      <c r="M522" s="257">
        <v>0</v>
      </c>
      <c r="N522" s="257">
        <v>50100458</v>
      </c>
      <c r="O522" s="257">
        <v>0</v>
      </c>
      <c r="P522" s="257">
        <v>0</v>
      </c>
      <c r="Q522" s="258">
        <v>0</v>
      </c>
    </row>
    <row r="523" spans="1:17">
      <c r="A523" s="256">
        <v>1</v>
      </c>
      <c r="B523" s="256">
        <v>8830625</v>
      </c>
      <c r="C523" s="256">
        <v>883062500</v>
      </c>
      <c r="D523" s="256" t="s">
        <v>538</v>
      </c>
      <c r="E523" s="256" t="s">
        <v>539</v>
      </c>
      <c r="F523" s="256" t="s">
        <v>815</v>
      </c>
      <c r="G523" s="256" t="s">
        <v>75</v>
      </c>
      <c r="H523" s="256"/>
      <c r="I523" s="257">
        <v>25190000</v>
      </c>
      <c r="J523" s="257">
        <v>0</v>
      </c>
      <c r="K523" s="257">
        <v>0</v>
      </c>
      <c r="L523" s="257">
        <v>0</v>
      </c>
      <c r="M523" s="257">
        <v>0</v>
      </c>
      <c r="N523" s="257">
        <v>25190000</v>
      </c>
      <c r="O523" s="257">
        <v>0</v>
      </c>
      <c r="P523" s="257">
        <v>0</v>
      </c>
      <c r="Q523" s="258">
        <v>0</v>
      </c>
    </row>
    <row r="524" spans="1:17">
      <c r="A524" s="256">
        <v>1</v>
      </c>
      <c r="B524" s="256">
        <v>8830626</v>
      </c>
      <c r="C524" s="256">
        <v>883062600</v>
      </c>
      <c r="D524" s="256" t="s">
        <v>538</v>
      </c>
      <c r="E524" s="256" t="s">
        <v>539</v>
      </c>
      <c r="F524" s="256" t="s">
        <v>815</v>
      </c>
      <c r="G524" s="256" t="s">
        <v>73</v>
      </c>
      <c r="H524" s="256"/>
      <c r="I524" s="257">
        <v>0</v>
      </c>
      <c r="J524" s="257">
        <v>0</v>
      </c>
      <c r="K524" s="257">
        <v>0</v>
      </c>
      <c r="L524" s="257">
        <v>0</v>
      </c>
      <c r="M524" s="257">
        <v>0</v>
      </c>
      <c r="N524" s="257">
        <v>0</v>
      </c>
      <c r="O524" s="257">
        <v>0</v>
      </c>
      <c r="P524" s="257">
        <v>0</v>
      </c>
      <c r="Q524" s="258">
        <v>0</v>
      </c>
    </row>
    <row r="525" spans="1:17">
      <c r="A525" s="256">
        <v>1</v>
      </c>
      <c r="B525" s="256">
        <v>8830628</v>
      </c>
      <c r="C525" s="256">
        <v>883062866</v>
      </c>
      <c r="D525" s="256" t="s">
        <v>538</v>
      </c>
      <c r="E525" s="256" t="s">
        <v>539</v>
      </c>
      <c r="F525" s="256" t="s">
        <v>815</v>
      </c>
      <c r="G525" s="256" t="s">
        <v>811</v>
      </c>
      <c r="H525" s="256" t="s">
        <v>812</v>
      </c>
      <c r="I525" s="257">
        <v>383761300</v>
      </c>
      <c r="J525" s="257">
        <v>0</v>
      </c>
      <c r="K525" s="257">
        <v>0</v>
      </c>
      <c r="L525" s="257">
        <v>0</v>
      </c>
      <c r="M525" s="257">
        <v>0</v>
      </c>
      <c r="N525" s="257">
        <v>383761300</v>
      </c>
      <c r="O525" s="257">
        <v>0</v>
      </c>
      <c r="P525" s="257">
        <v>0</v>
      </c>
      <c r="Q525" s="258">
        <v>0</v>
      </c>
    </row>
    <row r="526" spans="1:17">
      <c r="A526" s="256">
        <v>1</v>
      </c>
      <c r="B526" s="256">
        <v>8830628</v>
      </c>
      <c r="C526" s="256">
        <v>883062867</v>
      </c>
      <c r="D526" s="256" t="s">
        <v>538</v>
      </c>
      <c r="E526" s="256" t="s">
        <v>539</v>
      </c>
      <c r="F526" s="256" t="s">
        <v>815</v>
      </c>
      <c r="G526" s="256" t="s">
        <v>811</v>
      </c>
      <c r="H526" s="256" t="s">
        <v>813</v>
      </c>
      <c r="I526" s="257">
        <v>28445230</v>
      </c>
      <c r="J526" s="257">
        <v>0</v>
      </c>
      <c r="K526" s="257">
        <v>0</v>
      </c>
      <c r="L526" s="257">
        <v>0</v>
      </c>
      <c r="M526" s="257">
        <v>0</v>
      </c>
      <c r="N526" s="257">
        <v>28445230</v>
      </c>
      <c r="O526" s="257">
        <v>0</v>
      </c>
      <c r="P526" s="257">
        <v>0</v>
      </c>
      <c r="Q526" s="258">
        <v>0</v>
      </c>
    </row>
    <row r="527" spans="1:17">
      <c r="A527" s="256">
        <v>1</v>
      </c>
      <c r="B527" s="256">
        <v>8830629</v>
      </c>
      <c r="C527" s="256">
        <v>883062900</v>
      </c>
      <c r="D527" s="256" t="s">
        <v>538</v>
      </c>
      <c r="E527" s="256" t="s">
        <v>539</v>
      </c>
      <c r="F527" s="256" t="s">
        <v>815</v>
      </c>
      <c r="G527" s="256" t="s">
        <v>66</v>
      </c>
      <c r="H527" s="256"/>
      <c r="I527" s="257">
        <v>42735</v>
      </c>
      <c r="J527" s="257">
        <v>0</v>
      </c>
      <c r="K527" s="257">
        <v>0</v>
      </c>
      <c r="L527" s="257">
        <v>0</v>
      </c>
      <c r="M527" s="257">
        <v>0</v>
      </c>
      <c r="N527" s="257">
        <v>42735</v>
      </c>
      <c r="O527" s="257">
        <v>0</v>
      </c>
      <c r="P527" s="257">
        <v>0</v>
      </c>
      <c r="Q527" s="258">
        <v>0</v>
      </c>
    </row>
    <row r="528" spans="1:17">
      <c r="A528" s="256">
        <v>1</v>
      </c>
      <c r="B528" s="256">
        <v>8830630</v>
      </c>
      <c r="C528" s="256">
        <v>883063000</v>
      </c>
      <c r="D528" s="256" t="s">
        <v>538</v>
      </c>
      <c r="E528" s="256" t="s">
        <v>539</v>
      </c>
      <c r="F528" s="256" t="s">
        <v>815</v>
      </c>
      <c r="G528" s="256" t="s">
        <v>64</v>
      </c>
      <c r="H528" s="256"/>
      <c r="I528" s="257">
        <v>0</v>
      </c>
      <c r="J528" s="257">
        <v>0</v>
      </c>
      <c r="K528" s="257">
        <v>0</v>
      </c>
      <c r="L528" s="257">
        <v>0</v>
      </c>
      <c r="M528" s="257">
        <v>0</v>
      </c>
      <c r="N528" s="257">
        <v>0</v>
      </c>
      <c r="O528" s="257">
        <v>0</v>
      </c>
      <c r="P528" s="257">
        <v>0</v>
      </c>
      <c r="Q528" s="258">
        <v>0</v>
      </c>
    </row>
    <row r="529" spans="1:17">
      <c r="A529" s="256">
        <v>1</v>
      </c>
      <c r="B529" s="256">
        <v>8830631</v>
      </c>
      <c r="C529" s="256">
        <v>883063100</v>
      </c>
      <c r="D529" s="256" t="s">
        <v>538</v>
      </c>
      <c r="E529" s="256" t="s">
        <v>539</v>
      </c>
      <c r="F529" s="256" t="s">
        <v>815</v>
      </c>
      <c r="G529" s="256" t="s">
        <v>62</v>
      </c>
      <c r="H529" s="256"/>
      <c r="I529" s="257">
        <v>12205239</v>
      </c>
      <c r="J529" s="257">
        <v>0</v>
      </c>
      <c r="K529" s="257">
        <v>0</v>
      </c>
      <c r="L529" s="257">
        <v>0</v>
      </c>
      <c r="M529" s="257">
        <v>0</v>
      </c>
      <c r="N529" s="257">
        <v>10201576</v>
      </c>
      <c r="O529" s="257">
        <v>0</v>
      </c>
      <c r="P529" s="257">
        <v>2003663</v>
      </c>
      <c r="Q529" s="258">
        <v>0</v>
      </c>
    </row>
    <row r="530" spans="1:17">
      <c r="A530" s="256">
        <v>1</v>
      </c>
      <c r="B530" s="256">
        <v>8830637</v>
      </c>
      <c r="C530" s="256">
        <v>883063700</v>
      </c>
      <c r="D530" s="256" t="s">
        <v>538</v>
      </c>
      <c r="E530" s="256" t="s">
        <v>539</v>
      </c>
      <c r="F530" s="256" t="s">
        <v>815</v>
      </c>
      <c r="G530" s="256" t="s">
        <v>60</v>
      </c>
      <c r="H530" s="256"/>
      <c r="I530" s="257">
        <v>0</v>
      </c>
      <c r="J530" s="257">
        <v>0</v>
      </c>
      <c r="K530" s="257">
        <v>0</v>
      </c>
      <c r="L530" s="257">
        <v>0</v>
      </c>
      <c r="M530" s="257">
        <v>0</v>
      </c>
      <c r="N530" s="257">
        <v>0</v>
      </c>
      <c r="O530" s="257">
        <v>0</v>
      </c>
      <c r="P530" s="257">
        <v>0</v>
      </c>
      <c r="Q530" s="258">
        <v>0</v>
      </c>
    </row>
    <row r="531" spans="1:17">
      <c r="A531" s="256">
        <v>1</v>
      </c>
      <c r="B531" s="256">
        <v>8830639</v>
      </c>
      <c r="C531" s="256">
        <v>883063900</v>
      </c>
      <c r="D531" s="256" t="s">
        <v>538</v>
      </c>
      <c r="E531" s="256" t="s">
        <v>539</v>
      </c>
      <c r="F531" s="256" t="s">
        <v>815</v>
      </c>
      <c r="G531" s="256" t="s">
        <v>58</v>
      </c>
      <c r="H531" s="256"/>
      <c r="I531" s="257">
        <v>819427</v>
      </c>
      <c r="J531" s="257">
        <v>0</v>
      </c>
      <c r="K531" s="257">
        <v>0</v>
      </c>
      <c r="L531" s="257">
        <v>0</v>
      </c>
      <c r="M531" s="257">
        <v>0</v>
      </c>
      <c r="N531" s="257">
        <v>0</v>
      </c>
      <c r="O531" s="257">
        <v>819427</v>
      </c>
      <c r="P531" s="257">
        <v>0</v>
      </c>
      <c r="Q531" s="258">
        <v>0</v>
      </c>
    </row>
    <row r="532" spans="1:17">
      <c r="A532" s="256">
        <v>1</v>
      </c>
      <c r="B532" s="256">
        <v>8830640</v>
      </c>
      <c r="C532" s="256">
        <v>883064000</v>
      </c>
      <c r="D532" s="256" t="s">
        <v>538</v>
      </c>
      <c r="E532" s="256" t="s">
        <v>539</v>
      </c>
      <c r="F532" s="256" t="s">
        <v>815</v>
      </c>
      <c r="G532" s="256" t="s">
        <v>56</v>
      </c>
      <c r="H532" s="256"/>
      <c r="I532" s="257">
        <v>311782</v>
      </c>
      <c r="J532" s="257">
        <v>0</v>
      </c>
      <c r="K532" s="257">
        <v>0</v>
      </c>
      <c r="L532" s="257">
        <v>0</v>
      </c>
      <c r="M532" s="257">
        <v>0</v>
      </c>
      <c r="N532" s="257">
        <v>0</v>
      </c>
      <c r="O532" s="257">
        <v>0</v>
      </c>
      <c r="P532" s="257">
        <v>311782</v>
      </c>
      <c r="Q532" s="258">
        <v>0</v>
      </c>
    </row>
    <row r="533" spans="1:17">
      <c r="A533" s="256">
        <v>1</v>
      </c>
      <c r="B533" s="256">
        <v>8830641</v>
      </c>
      <c r="C533" s="256">
        <v>883064100</v>
      </c>
      <c r="D533" s="256" t="s">
        <v>538</v>
      </c>
      <c r="E533" s="256" t="s">
        <v>539</v>
      </c>
      <c r="F533" s="256" t="s">
        <v>815</v>
      </c>
      <c r="G533" s="256" t="s">
        <v>55</v>
      </c>
      <c r="H533" s="256"/>
      <c r="I533" s="257">
        <v>0</v>
      </c>
      <c r="J533" s="257">
        <v>0</v>
      </c>
      <c r="K533" s="257">
        <v>0</v>
      </c>
      <c r="L533" s="257">
        <v>0</v>
      </c>
      <c r="M533" s="257">
        <v>0</v>
      </c>
      <c r="N533" s="257">
        <v>0</v>
      </c>
      <c r="O533" s="257">
        <v>0</v>
      </c>
      <c r="P533" s="257">
        <v>0</v>
      </c>
      <c r="Q533" s="258">
        <v>0</v>
      </c>
    </row>
    <row r="534" spans="1:17">
      <c r="A534" s="256">
        <v>1</v>
      </c>
      <c r="B534" s="256">
        <v>8830642</v>
      </c>
      <c r="C534" s="256">
        <v>883064201</v>
      </c>
      <c r="D534" s="256" t="s">
        <v>538</v>
      </c>
      <c r="E534" s="256" t="s">
        <v>539</v>
      </c>
      <c r="F534" s="256" t="s">
        <v>815</v>
      </c>
      <c r="G534" s="256" t="s">
        <v>53</v>
      </c>
      <c r="H534" s="256" t="s">
        <v>108</v>
      </c>
      <c r="I534" s="257">
        <v>52591000</v>
      </c>
      <c r="J534" s="257">
        <v>0</v>
      </c>
      <c r="K534" s="257">
        <v>0</v>
      </c>
      <c r="L534" s="257">
        <v>0</v>
      </c>
      <c r="M534" s="257">
        <v>0</v>
      </c>
      <c r="N534" s="257">
        <v>0</v>
      </c>
      <c r="O534" s="257">
        <v>0</v>
      </c>
      <c r="P534" s="257">
        <v>52591000</v>
      </c>
      <c r="Q534" s="258">
        <v>0</v>
      </c>
    </row>
    <row r="535" spans="1:17">
      <c r="A535" s="256">
        <v>1</v>
      </c>
      <c r="B535" s="256">
        <v>8830642</v>
      </c>
      <c r="C535" s="256">
        <v>883064202</v>
      </c>
      <c r="D535" s="256" t="s">
        <v>538</v>
      </c>
      <c r="E535" s="256" t="s">
        <v>539</v>
      </c>
      <c r="F535" s="256" t="s">
        <v>815</v>
      </c>
      <c r="G535" s="256" t="s">
        <v>53</v>
      </c>
      <c r="H535" s="256" t="s">
        <v>106</v>
      </c>
      <c r="I535" s="257">
        <v>10602000</v>
      </c>
      <c r="J535" s="257">
        <v>0</v>
      </c>
      <c r="K535" s="257">
        <v>0</v>
      </c>
      <c r="L535" s="257">
        <v>0</v>
      </c>
      <c r="M535" s="257">
        <v>0</v>
      </c>
      <c r="N535" s="257">
        <v>0</v>
      </c>
      <c r="O535" s="257">
        <v>0</v>
      </c>
      <c r="P535" s="257">
        <v>10602000</v>
      </c>
      <c r="Q535" s="258">
        <v>0</v>
      </c>
    </row>
    <row r="536" spans="1:17">
      <c r="A536" s="256">
        <v>1</v>
      </c>
      <c r="B536" s="256">
        <v>8830801</v>
      </c>
      <c r="C536" s="256">
        <v>883080102</v>
      </c>
      <c r="D536" s="256" t="s">
        <v>538</v>
      </c>
      <c r="E536" s="256" t="s">
        <v>539</v>
      </c>
      <c r="F536" s="256" t="s">
        <v>817</v>
      </c>
      <c r="G536" s="256" t="s">
        <v>112</v>
      </c>
      <c r="H536" s="256" t="s">
        <v>737</v>
      </c>
      <c r="I536" s="257">
        <v>0</v>
      </c>
      <c r="J536" s="257">
        <v>0</v>
      </c>
      <c r="K536" s="257">
        <v>0</v>
      </c>
      <c r="L536" s="257">
        <v>0</v>
      </c>
      <c r="M536" s="257">
        <v>0</v>
      </c>
      <c r="N536" s="257">
        <v>0</v>
      </c>
      <c r="O536" s="257">
        <v>0</v>
      </c>
      <c r="P536" s="257">
        <v>0</v>
      </c>
      <c r="Q536" s="258">
        <v>0</v>
      </c>
    </row>
    <row r="537" spans="1:17">
      <c r="A537" s="256">
        <v>1</v>
      </c>
      <c r="B537" s="256">
        <v>8830801</v>
      </c>
      <c r="C537" s="256">
        <v>883080103</v>
      </c>
      <c r="D537" s="256" t="s">
        <v>538</v>
      </c>
      <c r="E537" s="256" t="s">
        <v>539</v>
      </c>
      <c r="F537" s="256" t="s">
        <v>817</v>
      </c>
      <c r="G537" s="256" t="s">
        <v>112</v>
      </c>
      <c r="H537" s="256" t="s">
        <v>738</v>
      </c>
      <c r="I537" s="257">
        <v>0</v>
      </c>
      <c r="J537" s="257">
        <v>0</v>
      </c>
      <c r="K537" s="257">
        <v>0</v>
      </c>
      <c r="L537" s="257">
        <v>0</v>
      </c>
      <c r="M537" s="257">
        <v>0</v>
      </c>
      <c r="N537" s="257">
        <v>0</v>
      </c>
      <c r="O537" s="257">
        <v>0</v>
      </c>
      <c r="P537" s="257">
        <v>0</v>
      </c>
      <c r="Q537" s="258">
        <v>0</v>
      </c>
    </row>
    <row r="538" spans="1:17">
      <c r="A538" s="256">
        <v>1</v>
      </c>
      <c r="B538" s="256">
        <v>8830801</v>
      </c>
      <c r="C538" s="256">
        <v>883080104</v>
      </c>
      <c r="D538" s="256" t="s">
        <v>538</v>
      </c>
      <c r="E538" s="256" t="s">
        <v>539</v>
      </c>
      <c r="F538" s="256" t="s">
        <v>817</v>
      </c>
      <c r="G538" s="256" t="s">
        <v>112</v>
      </c>
      <c r="H538" s="256" t="s">
        <v>739</v>
      </c>
      <c r="I538" s="257">
        <v>0</v>
      </c>
      <c r="J538" s="257">
        <v>0</v>
      </c>
      <c r="K538" s="257">
        <v>0</v>
      </c>
      <c r="L538" s="257">
        <v>0</v>
      </c>
      <c r="M538" s="257">
        <v>0</v>
      </c>
      <c r="N538" s="257">
        <v>0</v>
      </c>
      <c r="O538" s="257">
        <v>0</v>
      </c>
      <c r="P538" s="257">
        <v>0</v>
      </c>
      <c r="Q538" s="258">
        <v>0</v>
      </c>
    </row>
    <row r="539" spans="1:17">
      <c r="A539" s="236">
        <v>1</v>
      </c>
      <c r="B539" s="236">
        <v>8830801</v>
      </c>
      <c r="C539" s="236">
        <v>883080105</v>
      </c>
      <c r="D539" s="236" t="s">
        <v>538</v>
      </c>
      <c r="E539" s="236" t="s">
        <v>539</v>
      </c>
      <c r="F539" s="236" t="s">
        <v>817</v>
      </c>
      <c r="G539" s="236" t="s">
        <v>112</v>
      </c>
      <c r="H539" s="236" t="s">
        <v>740</v>
      </c>
      <c r="I539" s="257">
        <v>1115544</v>
      </c>
      <c r="J539" s="257">
        <v>0</v>
      </c>
      <c r="K539" s="257">
        <v>0</v>
      </c>
      <c r="L539" s="257">
        <v>0</v>
      </c>
      <c r="M539" s="257">
        <v>0</v>
      </c>
      <c r="N539" s="257">
        <v>0</v>
      </c>
      <c r="O539" s="257">
        <v>0</v>
      </c>
      <c r="P539" s="257">
        <v>1115544</v>
      </c>
      <c r="Q539" s="258">
        <v>0</v>
      </c>
    </row>
    <row r="540" spans="1:17">
      <c r="A540" s="256">
        <v>1</v>
      </c>
      <c r="B540" s="256">
        <v>8830802</v>
      </c>
      <c r="C540" s="256">
        <v>883080202</v>
      </c>
      <c r="D540" s="256" t="s">
        <v>538</v>
      </c>
      <c r="E540" s="256" t="s">
        <v>539</v>
      </c>
      <c r="F540" s="256" t="s">
        <v>817</v>
      </c>
      <c r="G540" s="256" t="s">
        <v>110</v>
      </c>
      <c r="H540" s="256" t="s">
        <v>741</v>
      </c>
      <c r="I540" s="257">
        <v>370587446</v>
      </c>
      <c r="J540" s="257">
        <v>0</v>
      </c>
      <c r="K540" s="257">
        <v>0</v>
      </c>
      <c r="L540" s="257">
        <v>0</v>
      </c>
      <c r="M540" s="257">
        <v>0</v>
      </c>
      <c r="N540" s="257">
        <v>0</v>
      </c>
      <c r="O540" s="257">
        <v>0</v>
      </c>
      <c r="P540" s="257">
        <v>370587446</v>
      </c>
      <c r="Q540" s="258">
        <v>0</v>
      </c>
    </row>
    <row r="541" spans="1:17">
      <c r="A541" s="256">
        <v>1</v>
      </c>
      <c r="B541" s="256">
        <v>8830803</v>
      </c>
      <c r="C541" s="256">
        <v>883080301</v>
      </c>
      <c r="D541" s="256" t="s">
        <v>538</v>
      </c>
      <c r="E541" s="256" t="s">
        <v>539</v>
      </c>
      <c r="F541" s="256" t="s">
        <v>817</v>
      </c>
      <c r="G541" s="256" t="s">
        <v>108</v>
      </c>
      <c r="H541" s="256" t="s">
        <v>742</v>
      </c>
      <c r="I541" s="257">
        <v>38801422</v>
      </c>
      <c r="J541" s="257">
        <v>0</v>
      </c>
      <c r="K541" s="257">
        <v>0</v>
      </c>
      <c r="L541" s="257">
        <v>0</v>
      </c>
      <c r="M541" s="257">
        <v>0</v>
      </c>
      <c r="N541" s="257">
        <v>0</v>
      </c>
      <c r="O541" s="257">
        <v>0</v>
      </c>
      <c r="P541" s="257">
        <v>38801422</v>
      </c>
      <c r="Q541" s="258">
        <v>0</v>
      </c>
    </row>
    <row r="542" spans="1:17">
      <c r="A542" s="256">
        <v>1</v>
      </c>
      <c r="B542" s="256">
        <v>8830803</v>
      </c>
      <c r="C542" s="256">
        <v>883080302</v>
      </c>
      <c r="D542" s="256" t="s">
        <v>538</v>
      </c>
      <c r="E542" s="256" t="s">
        <v>539</v>
      </c>
      <c r="F542" s="256" t="s">
        <v>817</v>
      </c>
      <c r="G542" s="256" t="s">
        <v>108</v>
      </c>
      <c r="H542" s="256" t="s">
        <v>743</v>
      </c>
      <c r="I542" s="257">
        <v>14085987</v>
      </c>
      <c r="J542" s="257">
        <v>0</v>
      </c>
      <c r="K542" s="257">
        <v>0</v>
      </c>
      <c r="L542" s="257">
        <v>0</v>
      </c>
      <c r="M542" s="257">
        <v>0</v>
      </c>
      <c r="N542" s="257">
        <v>0</v>
      </c>
      <c r="O542" s="257">
        <v>0</v>
      </c>
      <c r="P542" s="257">
        <v>14085987</v>
      </c>
      <c r="Q542" s="258">
        <v>0</v>
      </c>
    </row>
    <row r="543" spans="1:17">
      <c r="A543" s="256">
        <v>1</v>
      </c>
      <c r="B543" s="256">
        <v>8830803</v>
      </c>
      <c r="C543" s="256">
        <v>883080303</v>
      </c>
      <c r="D543" s="256" t="s">
        <v>538</v>
      </c>
      <c r="E543" s="256" t="s">
        <v>539</v>
      </c>
      <c r="F543" s="256" t="s">
        <v>817</v>
      </c>
      <c r="G543" s="256" t="s">
        <v>108</v>
      </c>
      <c r="H543" s="256" t="s">
        <v>744</v>
      </c>
      <c r="I543" s="257">
        <v>130536625</v>
      </c>
      <c r="J543" s="257">
        <v>0</v>
      </c>
      <c r="K543" s="257">
        <v>0</v>
      </c>
      <c r="L543" s="257">
        <v>0</v>
      </c>
      <c r="M543" s="257">
        <v>0</v>
      </c>
      <c r="N543" s="257">
        <v>0</v>
      </c>
      <c r="O543" s="257">
        <v>0</v>
      </c>
      <c r="P543" s="257">
        <v>130536625</v>
      </c>
      <c r="Q543" s="258">
        <v>0</v>
      </c>
    </row>
    <row r="544" spans="1:17">
      <c r="A544" s="256">
        <v>1</v>
      </c>
      <c r="B544" s="256">
        <v>8830803</v>
      </c>
      <c r="C544" s="256">
        <v>883080304</v>
      </c>
      <c r="D544" s="256" t="s">
        <v>538</v>
      </c>
      <c r="E544" s="256" t="s">
        <v>539</v>
      </c>
      <c r="F544" s="256" t="s">
        <v>817</v>
      </c>
      <c r="G544" s="256" t="s">
        <v>108</v>
      </c>
      <c r="H544" s="256" t="s">
        <v>745</v>
      </c>
      <c r="I544" s="257">
        <v>7777220</v>
      </c>
      <c r="J544" s="257">
        <v>0</v>
      </c>
      <c r="K544" s="257">
        <v>0</v>
      </c>
      <c r="L544" s="257">
        <v>0</v>
      </c>
      <c r="M544" s="257">
        <v>0</v>
      </c>
      <c r="N544" s="257">
        <v>7777220</v>
      </c>
      <c r="O544" s="257">
        <v>0</v>
      </c>
      <c r="P544" s="257">
        <v>0</v>
      </c>
      <c r="Q544" s="258">
        <v>0</v>
      </c>
    </row>
    <row r="545" spans="1:17">
      <c r="A545" s="256">
        <v>1</v>
      </c>
      <c r="B545" s="256">
        <v>8830803</v>
      </c>
      <c r="C545" s="256">
        <v>883080305</v>
      </c>
      <c r="D545" s="256" t="s">
        <v>538</v>
      </c>
      <c r="E545" s="256" t="s">
        <v>539</v>
      </c>
      <c r="F545" s="256" t="s">
        <v>817</v>
      </c>
      <c r="G545" s="256" t="s">
        <v>108</v>
      </c>
      <c r="H545" s="256" t="s">
        <v>746</v>
      </c>
      <c r="I545" s="257">
        <v>3340800</v>
      </c>
      <c r="J545" s="257">
        <v>0</v>
      </c>
      <c r="K545" s="257">
        <v>0</v>
      </c>
      <c r="L545" s="257">
        <v>0</v>
      </c>
      <c r="M545" s="257">
        <v>0</v>
      </c>
      <c r="N545" s="257">
        <v>0</v>
      </c>
      <c r="O545" s="257">
        <v>0</v>
      </c>
      <c r="P545" s="257">
        <v>3340800</v>
      </c>
      <c r="Q545" s="258">
        <v>0</v>
      </c>
    </row>
    <row r="546" spans="1:17">
      <c r="A546" s="256">
        <v>1</v>
      </c>
      <c r="B546" s="256">
        <v>8830803</v>
      </c>
      <c r="C546" s="256">
        <v>883080306</v>
      </c>
      <c r="D546" s="256" t="s">
        <v>538</v>
      </c>
      <c r="E546" s="256" t="s">
        <v>539</v>
      </c>
      <c r="F546" s="256" t="s">
        <v>817</v>
      </c>
      <c r="G546" s="256" t="s">
        <v>108</v>
      </c>
      <c r="H546" s="256" t="s">
        <v>747</v>
      </c>
      <c r="I546" s="257">
        <v>0</v>
      </c>
      <c r="J546" s="257">
        <v>0</v>
      </c>
      <c r="K546" s="257">
        <v>0</v>
      </c>
      <c r="L546" s="257">
        <v>0</v>
      </c>
      <c r="M546" s="257">
        <v>0</v>
      </c>
      <c r="N546" s="257">
        <v>0</v>
      </c>
      <c r="O546" s="257">
        <v>0</v>
      </c>
      <c r="P546" s="257">
        <v>0</v>
      </c>
      <c r="Q546" s="258">
        <v>0</v>
      </c>
    </row>
    <row r="547" spans="1:17">
      <c r="A547" s="256">
        <v>1</v>
      </c>
      <c r="B547" s="256">
        <v>8830803</v>
      </c>
      <c r="C547" s="256">
        <v>883080307</v>
      </c>
      <c r="D547" s="256" t="s">
        <v>538</v>
      </c>
      <c r="E547" s="256" t="s">
        <v>539</v>
      </c>
      <c r="F547" s="256" t="s">
        <v>817</v>
      </c>
      <c r="G547" s="256" t="s">
        <v>108</v>
      </c>
      <c r="H547" s="256" t="s">
        <v>748</v>
      </c>
      <c r="I547" s="257">
        <v>23053067</v>
      </c>
      <c r="J547" s="257">
        <v>0</v>
      </c>
      <c r="K547" s="257">
        <v>0</v>
      </c>
      <c r="L547" s="257">
        <v>0</v>
      </c>
      <c r="M547" s="257">
        <v>0</v>
      </c>
      <c r="N547" s="257">
        <v>0</v>
      </c>
      <c r="O547" s="257">
        <v>0</v>
      </c>
      <c r="P547" s="257">
        <v>23053067</v>
      </c>
      <c r="Q547" s="258">
        <v>0</v>
      </c>
    </row>
    <row r="548" spans="1:17">
      <c r="A548" s="256">
        <v>1</v>
      </c>
      <c r="B548" s="256">
        <v>8830803</v>
      </c>
      <c r="C548" s="256">
        <v>883080310</v>
      </c>
      <c r="D548" s="256" t="s">
        <v>538</v>
      </c>
      <c r="E548" s="256" t="s">
        <v>539</v>
      </c>
      <c r="F548" s="256" t="s">
        <v>817</v>
      </c>
      <c r="G548" s="256" t="s">
        <v>108</v>
      </c>
      <c r="H548" s="256" t="s">
        <v>749</v>
      </c>
      <c r="I548" s="257">
        <v>56494805</v>
      </c>
      <c r="J548" s="257">
        <v>0</v>
      </c>
      <c r="K548" s="257">
        <v>0</v>
      </c>
      <c r="L548" s="257">
        <v>0</v>
      </c>
      <c r="M548" s="257">
        <v>0</v>
      </c>
      <c r="N548" s="257">
        <v>0</v>
      </c>
      <c r="O548" s="257">
        <v>0</v>
      </c>
      <c r="P548" s="257">
        <v>56494805</v>
      </c>
      <c r="Q548" s="258">
        <v>0</v>
      </c>
    </row>
    <row r="549" spans="1:17">
      <c r="A549" s="256">
        <v>1</v>
      </c>
      <c r="B549" s="256">
        <v>8830803</v>
      </c>
      <c r="C549" s="256">
        <v>883080311</v>
      </c>
      <c r="D549" s="256" t="s">
        <v>538</v>
      </c>
      <c r="E549" s="256" t="s">
        <v>539</v>
      </c>
      <c r="F549" s="256" t="s">
        <v>817</v>
      </c>
      <c r="G549" s="256" t="s">
        <v>108</v>
      </c>
      <c r="H549" s="256" t="s">
        <v>750</v>
      </c>
      <c r="I549" s="257">
        <v>9377739</v>
      </c>
      <c r="J549" s="257">
        <v>0</v>
      </c>
      <c r="K549" s="257">
        <v>0</v>
      </c>
      <c r="L549" s="257">
        <v>0</v>
      </c>
      <c r="M549" s="257">
        <v>0</v>
      </c>
      <c r="N549" s="257">
        <v>0</v>
      </c>
      <c r="O549" s="257">
        <v>0</v>
      </c>
      <c r="P549" s="257">
        <v>9377739</v>
      </c>
      <c r="Q549" s="258">
        <v>0</v>
      </c>
    </row>
    <row r="550" spans="1:17">
      <c r="A550" s="256">
        <v>1</v>
      </c>
      <c r="B550" s="256">
        <v>8830803</v>
      </c>
      <c r="C550" s="256">
        <v>883080312</v>
      </c>
      <c r="D550" s="256" t="s">
        <v>538</v>
      </c>
      <c r="E550" s="256" t="s">
        <v>539</v>
      </c>
      <c r="F550" s="256" t="s">
        <v>817</v>
      </c>
      <c r="G550" s="256" t="s">
        <v>108</v>
      </c>
      <c r="H550" s="256" t="s">
        <v>816</v>
      </c>
      <c r="I550" s="257">
        <v>0</v>
      </c>
      <c r="J550" s="257">
        <v>0</v>
      </c>
      <c r="K550" s="257">
        <v>0</v>
      </c>
      <c r="L550" s="257">
        <v>0</v>
      </c>
      <c r="M550" s="257">
        <v>0</v>
      </c>
      <c r="N550" s="257">
        <v>0</v>
      </c>
      <c r="O550" s="257">
        <v>0</v>
      </c>
      <c r="P550" s="257">
        <v>0</v>
      </c>
      <c r="Q550" s="258">
        <v>0</v>
      </c>
    </row>
    <row r="551" spans="1:17">
      <c r="A551" s="256">
        <v>1</v>
      </c>
      <c r="B551" s="256">
        <v>8830803</v>
      </c>
      <c r="C551" s="256">
        <v>883080314</v>
      </c>
      <c r="D551" s="256" t="s">
        <v>538</v>
      </c>
      <c r="E551" s="256" t="s">
        <v>539</v>
      </c>
      <c r="F551" s="256" t="s">
        <v>817</v>
      </c>
      <c r="G551" s="256" t="s">
        <v>108</v>
      </c>
      <c r="H551" s="256" t="s">
        <v>751</v>
      </c>
      <c r="I551" s="257">
        <v>5765537</v>
      </c>
      <c r="J551" s="257">
        <v>0</v>
      </c>
      <c r="K551" s="257">
        <v>0</v>
      </c>
      <c r="L551" s="257">
        <v>0</v>
      </c>
      <c r="M551" s="257">
        <v>0</v>
      </c>
      <c r="N551" s="257">
        <v>0</v>
      </c>
      <c r="O551" s="257">
        <v>0</v>
      </c>
      <c r="P551" s="257">
        <v>5765537</v>
      </c>
      <c r="Q551" s="258">
        <v>0</v>
      </c>
    </row>
    <row r="552" spans="1:17">
      <c r="A552" s="256">
        <v>1</v>
      </c>
      <c r="B552" s="256">
        <v>8830803</v>
      </c>
      <c r="C552" s="256">
        <v>883080315</v>
      </c>
      <c r="D552" s="256" t="s">
        <v>538</v>
      </c>
      <c r="E552" s="256" t="s">
        <v>539</v>
      </c>
      <c r="F552" s="256" t="s">
        <v>817</v>
      </c>
      <c r="G552" s="256" t="s">
        <v>108</v>
      </c>
      <c r="H552" s="256" t="s">
        <v>752</v>
      </c>
      <c r="I552" s="257">
        <v>5450000</v>
      </c>
      <c r="J552" s="257">
        <v>0</v>
      </c>
      <c r="K552" s="257">
        <v>0</v>
      </c>
      <c r="L552" s="257">
        <v>0</v>
      </c>
      <c r="M552" s="257">
        <v>0</v>
      </c>
      <c r="N552" s="257">
        <v>0</v>
      </c>
      <c r="O552" s="257">
        <v>0</v>
      </c>
      <c r="P552" s="257">
        <v>5450000</v>
      </c>
      <c r="Q552" s="258">
        <v>0</v>
      </c>
    </row>
    <row r="553" spans="1:17">
      <c r="A553" s="256">
        <v>1</v>
      </c>
      <c r="B553" s="256">
        <v>8830803</v>
      </c>
      <c r="C553" s="256">
        <v>883080316</v>
      </c>
      <c r="D553" s="256" t="s">
        <v>538</v>
      </c>
      <c r="E553" s="256" t="s">
        <v>539</v>
      </c>
      <c r="F553" s="256" t="s">
        <v>817</v>
      </c>
      <c r="G553" s="256" t="s">
        <v>108</v>
      </c>
      <c r="H553" s="256" t="s">
        <v>753</v>
      </c>
      <c r="I553" s="257">
        <v>0</v>
      </c>
      <c r="J553" s="257">
        <v>0</v>
      </c>
      <c r="K553" s="257">
        <v>0</v>
      </c>
      <c r="L553" s="257">
        <v>0</v>
      </c>
      <c r="M553" s="257">
        <v>0</v>
      </c>
      <c r="N553" s="257">
        <v>0</v>
      </c>
      <c r="O553" s="257">
        <v>0</v>
      </c>
      <c r="P553" s="257">
        <v>0</v>
      </c>
      <c r="Q553" s="258">
        <v>0</v>
      </c>
    </row>
    <row r="554" spans="1:17">
      <c r="A554" s="256">
        <v>1</v>
      </c>
      <c r="B554" s="256">
        <v>8830804</v>
      </c>
      <c r="C554" s="256">
        <v>883080401</v>
      </c>
      <c r="D554" s="256" t="s">
        <v>538</v>
      </c>
      <c r="E554" s="256" t="s">
        <v>539</v>
      </c>
      <c r="F554" s="256" t="s">
        <v>817</v>
      </c>
      <c r="G554" s="256" t="s">
        <v>106</v>
      </c>
      <c r="H554" s="256" t="s">
        <v>755</v>
      </c>
      <c r="I554" s="257">
        <v>94575574</v>
      </c>
      <c r="J554" s="257">
        <v>0</v>
      </c>
      <c r="K554" s="257">
        <v>0</v>
      </c>
      <c r="L554" s="257">
        <v>0</v>
      </c>
      <c r="M554" s="257">
        <v>0</v>
      </c>
      <c r="N554" s="257">
        <v>0</v>
      </c>
      <c r="O554" s="257">
        <v>94575574</v>
      </c>
      <c r="P554" s="257">
        <v>0</v>
      </c>
      <c r="Q554" s="258">
        <v>0</v>
      </c>
    </row>
    <row r="555" spans="1:17">
      <c r="A555" s="256">
        <v>1</v>
      </c>
      <c r="B555" s="256">
        <v>8830804</v>
      </c>
      <c r="C555" s="256">
        <v>883080402</v>
      </c>
      <c r="D555" s="256" t="s">
        <v>538</v>
      </c>
      <c r="E555" s="256" t="s">
        <v>539</v>
      </c>
      <c r="F555" s="256" t="s">
        <v>817</v>
      </c>
      <c r="G555" s="256" t="s">
        <v>106</v>
      </c>
      <c r="H555" s="256" t="s">
        <v>756</v>
      </c>
      <c r="I555" s="257">
        <v>561704</v>
      </c>
      <c r="J555" s="257">
        <v>0</v>
      </c>
      <c r="K555" s="257">
        <v>0</v>
      </c>
      <c r="L555" s="257">
        <v>0</v>
      </c>
      <c r="M555" s="257">
        <v>0</v>
      </c>
      <c r="N555" s="257">
        <v>0</v>
      </c>
      <c r="O555" s="257">
        <v>0</v>
      </c>
      <c r="P555" s="257">
        <v>561704</v>
      </c>
      <c r="Q555" s="258">
        <v>0</v>
      </c>
    </row>
    <row r="556" spans="1:17">
      <c r="A556" s="256">
        <v>1</v>
      </c>
      <c r="B556" s="256">
        <v>8830804</v>
      </c>
      <c r="C556" s="256">
        <v>883080403</v>
      </c>
      <c r="D556" s="256" t="s">
        <v>538</v>
      </c>
      <c r="E556" s="256" t="s">
        <v>539</v>
      </c>
      <c r="F556" s="256" t="s">
        <v>817</v>
      </c>
      <c r="G556" s="256" t="s">
        <v>106</v>
      </c>
      <c r="H556" s="256" t="s">
        <v>757</v>
      </c>
      <c r="I556" s="257">
        <v>0</v>
      </c>
      <c r="J556" s="257">
        <v>0</v>
      </c>
      <c r="K556" s="257">
        <v>0</v>
      </c>
      <c r="L556" s="257">
        <v>0</v>
      </c>
      <c r="M556" s="257">
        <v>0</v>
      </c>
      <c r="N556" s="257">
        <v>0</v>
      </c>
      <c r="O556" s="257">
        <v>0</v>
      </c>
      <c r="P556" s="257">
        <v>0</v>
      </c>
      <c r="Q556" s="258">
        <v>0</v>
      </c>
    </row>
    <row r="557" spans="1:17">
      <c r="A557" s="256">
        <v>1</v>
      </c>
      <c r="B557" s="256">
        <v>8830804</v>
      </c>
      <c r="C557" s="256">
        <v>883080405</v>
      </c>
      <c r="D557" s="256" t="s">
        <v>538</v>
      </c>
      <c r="E557" s="256" t="s">
        <v>539</v>
      </c>
      <c r="F557" s="256" t="s">
        <v>817</v>
      </c>
      <c r="G557" s="256" t="s">
        <v>106</v>
      </c>
      <c r="H557" s="256" t="s">
        <v>758</v>
      </c>
      <c r="I557" s="257">
        <v>0</v>
      </c>
      <c r="J557" s="257">
        <v>0</v>
      </c>
      <c r="K557" s="257">
        <v>0</v>
      </c>
      <c r="L557" s="257">
        <v>0</v>
      </c>
      <c r="M557" s="257">
        <v>0</v>
      </c>
      <c r="N557" s="257">
        <v>0</v>
      </c>
      <c r="O557" s="257">
        <v>0</v>
      </c>
      <c r="P557" s="257">
        <v>0</v>
      </c>
      <c r="Q557" s="258">
        <v>0</v>
      </c>
    </row>
    <row r="558" spans="1:17">
      <c r="A558" s="256">
        <v>1</v>
      </c>
      <c r="B558" s="256">
        <v>8830804</v>
      </c>
      <c r="C558" s="256">
        <v>883080406</v>
      </c>
      <c r="D558" s="256" t="s">
        <v>538</v>
      </c>
      <c r="E558" s="256" t="s">
        <v>539</v>
      </c>
      <c r="F558" s="256" t="s">
        <v>817</v>
      </c>
      <c r="G558" s="256" t="s">
        <v>106</v>
      </c>
      <c r="H558" s="256" t="s">
        <v>759</v>
      </c>
      <c r="I558" s="257">
        <v>231109</v>
      </c>
      <c r="J558" s="257">
        <v>0</v>
      </c>
      <c r="K558" s="257">
        <v>0</v>
      </c>
      <c r="L558" s="257">
        <v>0</v>
      </c>
      <c r="M558" s="257">
        <v>0</v>
      </c>
      <c r="N558" s="257">
        <v>0</v>
      </c>
      <c r="O558" s="257">
        <v>231109</v>
      </c>
      <c r="P558" s="257">
        <v>0</v>
      </c>
      <c r="Q558" s="258">
        <v>0</v>
      </c>
    </row>
    <row r="559" spans="1:17">
      <c r="A559" s="256">
        <v>1</v>
      </c>
      <c r="B559" s="256">
        <v>8830804</v>
      </c>
      <c r="C559" s="256">
        <v>883080407</v>
      </c>
      <c r="D559" s="256" t="s">
        <v>538</v>
      </c>
      <c r="E559" s="256" t="s">
        <v>539</v>
      </c>
      <c r="F559" s="256" t="s">
        <v>817</v>
      </c>
      <c r="G559" s="256" t="s">
        <v>106</v>
      </c>
      <c r="H559" s="256" t="s">
        <v>760</v>
      </c>
      <c r="I559" s="257">
        <v>0</v>
      </c>
      <c r="J559" s="257">
        <v>0</v>
      </c>
      <c r="K559" s="257">
        <v>0</v>
      </c>
      <c r="L559" s="257">
        <v>0</v>
      </c>
      <c r="M559" s="257">
        <v>0</v>
      </c>
      <c r="N559" s="257">
        <v>0</v>
      </c>
      <c r="O559" s="257">
        <v>0</v>
      </c>
      <c r="P559" s="257">
        <v>0</v>
      </c>
      <c r="Q559" s="258">
        <v>0</v>
      </c>
    </row>
    <row r="560" spans="1:17">
      <c r="A560" s="256">
        <v>1</v>
      </c>
      <c r="B560" s="256">
        <v>8830804</v>
      </c>
      <c r="C560" s="256">
        <v>883080408</v>
      </c>
      <c r="D560" s="256" t="s">
        <v>538</v>
      </c>
      <c r="E560" s="256" t="s">
        <v>539</v>
      </c>
      <c r="F560" s="256" t="s">
        <v>817</v>
      </c>
      <c r="G560" s="256" t="s">
        <v>106</v>
      </c>
      <c r="H560" s="256" t="s">
        <v>761</v>
      </c>
      <c r="I560" s="257">
        <v>0</v>
      </c>
      <c r="J560" s="257">
        <v>0</v>
      </c>
      <c r="K560" s="257">
        <v>0</v>
      </c>
      <c r="L560" s="257">
        <v>0</v>
      </c>
      <c r="M560" s="257">
        <v>0</v>
      </c>
      <c r="N560" s="257">
        <v>0</v>
      </c>
      <c r="O560" s="257">
        <v>0</v>
      </c>
      <c r="P560" s="257">
        <v>0</v>
      </c>
      <c r="Q560" s="258">
        <v>0</v>
      </c>
    </row>
    <row r="561" spans="1:17">
      <c r="A561" s="256">
        <v>1</v>
      </c>
      <c r="B561" s="256">
        <v>8830804</v>
      </c>
      <c r="C561" s="256">
        <v>883080410</v>
      </c>
      <c r="D561" s="256" t="s">
        <v>538</v>
      </c>
      <c r="E561" s="256" t="s">
        <v>539</v>
      </c>
      <c r="F561" s="256" t="s">
        <v>817</v>
      </c>
      <c r="G561" s="256" t="s">
        <v>106</v>
      </c>
      <c r="H561" s="256" t="s">
        <v>762</v>
      </c>
      <c r="I561" s="257">
        <v>35707068</v>
      </c>
      <c r="J561" s="257">
        <v>0</v>
      </c>
      <c r="K561" s="257">
        <v>0</v>
      </c>
      <c r="L561" s="257">
        <v>0</v>
      </c>
      <c r="M561" s="257">
        <v>0</v>
      </c>
      <c r="N561" s="257">
        <v>0</v>
      </c>
      <c r="O561" s="257">
        <v>35707068</v>
      </c>
      <c r="P561" s="257">
        <v>0</v>
      </c>
      <c r="Q561" s="258">
        <v>0</v>
      </c>
    </row>
    <row r="562" spans="1:17">
      <c r="A562" s="256">
        <v>1</v>
      </c>
      <c r="B562" s="256">
        <v>8830804</v>
      </c>
      <c r="C562" s="256">
        <v>883080411</v>
      </c>
      <c r="D562" s="256" t="s">
        <v>538</v>
      </c>
      <c r="E562" s="256" t="s">
        <v>539</v>
      </c>
      <c r="F562" s="256" t="s">
        <v>817</v>
      </c>
      <c r="G562" s="256" t="s">
        <v>106</v>
      </c>
      <c r="H562" s="256" t="s">
        <v>763</v>
      </c>
      <c r="I562" s="257">
        <v>4026</v>
      </c>
      <c r="J562" s="257">
        <v>0</v>
      </c>
      <c r="K562" s="257">
        <v>0</v>
      </c>
      <c r="L562" s="257">
        <v>0</v>
      </c>
      <c r="M562" s="257">
        <v>0</v>
      </c>
      <c r="N562" s="257">
        <v>0</v>
      </c>
      <c r="O562" s="257">
        <v>4026</v>
      </c>
      <c r="P562" s="257">
        <v>0</v>
      </c>
      <c r="Q562" s="258">
        <v>0</v>
      </c>
    </row>
    <row r="563" spans="1:17">
      <c r="A563" s="256">
        <v>1</v>
      </c>
      <c r="B563" s="256">
        <v>8830805</v>
      </c>
      <c r="C563" s="256">
        <v>883080500</v>
      </c>
      <c r="D563" s="256" t="s">
        <v>538</v>
      </c>
      <c r="E563" s="256" t="s">
        <v>539</v>
      </c>
      <c r="F563" s="256" t="s">
        <v>817</v>
      </c>
      <c r="G563" s="256" t="s">
        <v>104</v>
      </c>
      <c r="H563" s="256"/>
      <c r="I563" s="257">
        <v>0</v>
      </c>
      <c r="J563" s="257">
        <v>0</v>
      </c>
      <c r="K563" s="257">
        <v>0</v>
      </c>
      <c r="L563" s="257">
        <v>0</v>
      </c>
      <c r="M563" s="257">
        <v>0</v>
      </c>
      <c r="N563" s="257">
        <v>0</v>
      </c>
      <c r="O563" s="257">
        <v>0</v>
      </c>
      <c r="P563" s="257">
        <v>0</v>
      </c>
      <c r="Q563" s="258">
        <v>0</v>
      </c>
    </row>
    <row r="564" spans="1:17">
      <c r="A564" s="256">
        <v>1</v>
      </c>
      <c r="B564" s="256">
        <v>8830807</v>
      </c>
      <c r="C564" s="256">
        <v>883080700</v>
      </c>
      <c r="D564" s="256" t="s">
        <v>538</v>
      </c>
      <c r="E564" s="256" t="s">
        <v>539</v>
      </c>
      <c r="F564" s="256" t="s">
        <v>817</v>
      </c>
      <c r="G564" s="256" t="s">
        <v>102</v>
      </c>
      <c r="H564" s="256"/>
      <c r="I564" s="257">
        <v>0</v>
      </c>
      <c r="J564" s="257">
        <v>0</v>
      </c>
      <c r="K564" s="257">
        <v>0</v>
      </c>
      <c r="L564" s="257">
        <v>0</v>
      </c>
      <c r="M564" s="257">
        <v>0</v>
      </c>
      <c r="N564" s="257">
        <v>0</v>
      </c>
      <c r="O564" s="257">
        <v>0</v>
      </c>
      <c r="P564" s="257">
        <v>0</v>
      </c>
      <c r="Q564" s="258">
        <v>0</v>
      </c>
    </row>
    <row r="565" spans="1:17">
      <c r="A565" s="256">
        <v>1</v>
      </c>
      <c r="B565" s="256">
        <v>8830808</v>
      </c>
      <c r="C565" s="256">
        <v>883080800</v>
      </c>
      <c r="D565" s="256" t="s">
        <v>538</v>
      </c>
      <c r="E565" s="256" t="s">
        <v>539</v>
      </c>
      <c r="F565" s="256" t="s">
        <v>817</v>
      </c>
      <c r="G565" s="256" t="s">
        <v>100</v>
      </c>
      <c r="H565" s="256"/>
      <c r="I565" s="257">
        <v>45200</v>
      </c>
      <c r="J565" s="257">
        <v>0</v>
      </c>
      <c r="K565" s="257">
        <v>0</v>
      </c>
      <c r="L565" s="257">
        <v>0</v>
      </c>
      <c r="M565" s="257">
        <v>0</v>
      </c>
      <c r="N565" s="257">
        <v>45200</v>
      </c>
      <c r="O565" s="257">
        <v>0</v>
      </c>
      <c r="P565" s="257">
        <v>0</v>
      </c>
      <c r="Q565" s="258">
        <v>0</v>
      </c>
    </row>
    <row r="566" spans="1:17">
      <c r="A566" s="256">
        <v>1</v>
      </c>
      <c r="B566" s="256">
        <v>8830810</v>
      </c>
      <c r="C566" s="256">
        <v>883081001</v>
      </c>
      <c r="D566" s="256" t="s">
        <v>538</v>
      </c>
      <c r="E566" s="256" t="s">
        <v>539</v>
      </c>
      <c r="F566" s="256" t="s">
        <v>817</v>
      </c>
      <c r="G566" s="256" t="s">
        <v>764</v>
      </c>
      <c r="H566" s="256" t="s">
        <v>98</v>
      </c>
      <c r="I566" s="257">
        <v>6600</v>
      </c>
      <c r="J566" s="257">
        <v>0</v>
      </c>
      <c r="K566" s="257">
        <v>0</v>
      </c>
      <c r="L566" s="257">
        <v>0</v>
      </c>
      <c r="M566" s="257">
        <v>0</v>
      </c>
      <c r="N566" s="257">
        <v>6600</v>
      </c>
      <c r="O566" s="257">
        <v>0</v>
      </c>
      <c r="P566" s="257">
        <v>0</v>
      </c>
      <c r="Q566" s="258">
        <v>0</v>
      </c>
    </row>
    <row r="567" spans="1:17">
      <c r="A567" s="256">
        <v>1</v>
      </c>
      <c r="B567" s="256">
        <v>8830810</v>
      </c>
      <c r="C567" s="256">
        <v>883081002</v>
      </c>
      <c r="D567" s="256" t="s">
        <v>538</v>
      </c>
      <c r="E567" s="256" t="s">
        <v>539</v>
      </c>
      <c r="F567" s="256" t="s">
        <v>817</v>
      </c>
      <c r="G567" s="256" t="s">
        <v>764</v>
      </c>
      <c r="H567" s="256" t="s">
        <v>95</v>
      </c>
      <c r="I567" s="257">
        <v>0</v>
      </c>
      <c r="J567" s="257">
        <v>0</v>
      </c>
      <c r="K567" s="257">
        <v>0</v>
      </c>
      <c r="L567" s="257">
        <v>0</v>
      </c>
      <c r="M567" s="257">
        <v>0</v>
      </c>
      <c r="N567" s="257">
        <v>0</v>
      </c>
      <c r="O567" s="257">
        <v>0</v>
      </c>
      <c r="P567" s="257">
        <v>0</v>
      </c>
      <c r="Q567" s="258">
        <v>0</v>
      </c>
    </row>
    <row r="568" spans="1:17">
      <c r="A568" s="236">
        <v>1</v>
      </c>
      <c r="B568" s="236">
        <v>8830810</v>
      </c>
      <c r="C568" s="236">
        <v>883081003</v>
      </c>
      <c r="D568" s="236" t="s">
        <v>538</v>
      </c>
      <c r="E568" s="236" t="s">
        <v>539</v>
      </c>
      <c r="F568" s="236" t="s">
        <v>817</v>
      </c>
      <c r="G568" s="236" t="s">
        <v>764</v>
      </c>
      <c r="H568" s="236" t="s">
        <v>765</v>
      </c>
      <c r="I568" s="257">
        <v>24960</v>
      </c>
      <c r="J568" s="257">
        <v>0</v>
      </c>
      <c r="K568" s="257">
        <v>0</v>
      </c>
      <c r="L568" s="257">
        <v>0</v>
      </c>
      <c r="M568" s="257">
        <v>0</v>
      </c>
      <c r="N568" s="257">
        <v>24960</v>
      </c>
      <c r="O568" s="257">
        <v>0</v>
      </c>
      <c r="P568" s="257">
        <v>0</v>
      </c>
      <c r="Q568" s="258">
        <v>0</v>
      </c>
    </row>
    <row r="569" spans="1:17">
      <c r="A569" s="256">
        <v>1</v>
      </c>
      <c r="B569" s="256">
        <v>8830813</v>
      </c>
      <c r="C569" s="256">
        <v>883081300</v>
      </c>
      <c r="D569" s="256" t="s">
        <v>538</v>
      </c>
      <c r="E569" s="256" t="s">
        <v>539</v>
      </c>
      <c r="F569" s="256" t="s">
        <v>817</v>
      </c>
      <c r="G569" s="256" t="s">
        <v>93</v>
      </c>
      <c r="H569" s="256"/>
      <c r="I569" s="257">
        <v>14320191</v>
      </c>
      <c r="J569" s="257">
        <v>0</v>
      </c>
      <c r="K569" s="257">
        <v>0</v>
      </c>
      <c r="L569" s="257">
        <v>0</v>
      </c>
      <c r="M569" s="257">
        <v>144600</v>
      </c>
      <c r="N569" s="257">
        <v>14175591</v>
      </c>
      <c r="O569" s="257">
        <v>0</v>
      </c>
      <c r="P569" s="257">
        <v>0</v>
      </c>
      <c r="Q569" s="258">
        <v>0</v>
      </c>
    </row>
    <row r="570" spans="1:17">
      <c r="A570" s="256">
        <v>1</v>
      </c>
      <c r="B570" s="256">
        <v>8830814</v>
      </c>
      <c r="C570" s="256">
        <v>883081400</v>
      </c>
      <c r="D570" s="256" t="s">
        <v>538</v>
      </c>
      <c r="E570" s="256" t="s">
        <v>539</v>
      </c>
      <c r="F570" s="256" t="s">
        <v>817</v>
      </c>
      <c r="G570" s="256" t="s">
        <v>91</v>
      </c>
      <c r="H570" s="256"/>
      <c r="I570" s="257">
        <v>333066</v>
      </c>
      <c r="J570" s="257">
        <v>0</v>
      </c>
      <c r="K570" s="257">
        <v>0</v>
      </c>
      <c r="L570" s="257">
        <v>0</v>
      </c>
      <c r="M570" s="257">
        <v>0</v>
      </c>
      <c r="N570" s="257">
        <v>333066</v>
      </c>
      <c r="O570" s="257">
        <v>0</v>
      </c>
      <c r="P570" s="257">
        <v>0</v>
      </c>
      <c r="Q570" s="258">
        <v>0</v>
      </c>
    </row>
    <row r="571" spans="1:17">
      <c r="A571" s="256">
        <v>1</v>
      </c>
      <c r="B571" s="256">
        <v>8830815</v>
      </c>
      <c r="C571" s="256">
        <v>883081500</v>
      </c>
      <c r="D571" s="256" t="s">
        <v>538</v>
      </c>
      <c r="E571" s="256" t="s">
        <v>539</v>
      </c>
      <c r="F571" s="256" t="s">
        <v>817</v>
      </c>
      <c r="G571" s="256" t="s">
        <v>89</v>
      </c>
      <c r="H571" s="256"/>
      <c r="I571" s="257">
        <v>12953428</v>
      </c>
      <c r="J571" s="257">
        <v>0</v>
      </c>
      <c r="K571" s="257">
        <v>0</v>
      </c>
      <c r="L571" s="257">
        <v>0</v>
      </c>
      <c r="M571" s="257">
        <v>0</v>
      </c>
      <c r="N571" s="257">
        <v>12953428</v>
      </c>
      <c r="O571" s="257">
        <v>0</v>
      </c>
      <c r="P571" s="257">
        <v>0</v>
      </c>
      <c r="Q571" s="258">
        <v>0</v>
      </c>
    </row>
    <row r="572" spans="1:17">
      <c r="A572" s="256">
        <v>1</v>
      </c>
      <c r="B572" s="256">
        <v>8830817</v>
      </c>
      <c r="C572" s="256">
        <v>883081700</v>
      </c>
      <c r="D572" s="256" t="s">
        <v>538</v>
      </c>
      <c r="E572" s="256" t="s">
        <v>539</v>
      </c>
      <c r="F572" s="256" t="s">
        <v>817</v>
      </c>
      <c r="G572" s="256" t="s">
        <v>87</v>
      </c>
      <c r="H572" s="256"/>
      <c r="I572" s="257">
        <v>2514300</v>
      </c>
      <c r="J572" s="257">
        <v>0</v>
      </c>
      <c r="K572" s="257">
        <v>0</v>
      </c>
      <c r="L572" s="257">
        <v>0</v>
      </c>
      <c r="M572" s="257">
        <v>0</v>
      </c>
      <c r="N572" s="257">
        <v>2514300</v>
      </c>
      <c r="O572" s="257">
        <v>0</v>
      </c>
      <c r="P572" s="257">
        <v>0</v>
      </c>
      <c r="Q572" s="258">
        <v>0</v>
      </c>
    </row>
    <row r="573" spans="1:17">
      <c r="A573" s="256">
        <v>1</v>
      </c>
      <c r="B573" s="256">
        <v>8830819</v>
      </c>
      <c r="C573" s="256">
        <v>883081900</v>
      </c>
      <c r="D573" s="256" t="s">
        <v>538</v>
      </c>
      <c r="E573" s="256" t="s">
        <v>539</v>
      </c>
      <c r="F573" s="256" t="s">
        <v>817</v>
      </c>
      <c r="G573" s="256" t="s">
        <v>85</v>
      </c>
      <c r="H573" s="256"/>
      <c r="I573" s="257">
        <v>268755</v>
      </c>
      <c r="J573" s="257">
        <v>0</v>
      </c>
      <c r="K573" s="257">
        <v>0</v>
      </c>
      <c r="L573" s="257">
        <v>0</v>
      </c>
      <c r="M573" s="257">
        <v>0</v>
      </c>
      <c r="N573" s="257">
        <v>256855</v>
      </c>
      <c r="O573" s="257">
        <v>11900</v>
      </c>
      <c r="P573" s="257">
        <v>0</v>
      </c>
      <c r="Q573" s="258">
        <v>0</v>
      </c>
    </row>
    <row r="574" spans="1:17">
      <c r="A574" s="256">
        <v>1</v>
      </c>
      <c r="B574" s="256">
        <v>8830820</v>
      </c>
      <c r="C574" s="256">
        <v>883082000</v>
      </c>
      <c r="D574" s="256" t="s">
        <v>538</v>
      </c>
      <c r="E574" s="256" t="s">
        <v>539</v>
      </c>
      <c r="F574" s="256" t="s">
        <v>817</v>
      </c>
      <c r="G574" s="256" t="s">
        <v>83</v>
      </c>
      <c r="H574" s="256"/>
      <c r="I574" s="257">
        <v>1481824</v>
      </c>
      <c r="J574" s="257">
        <v>0</v>
      </c>
      <c r="K574" s="257">
        <v>0</v>
      </c>
      <c r="L574" s="257">
        <v>518400</v>
      </c>
      <c r="M574" s="257">
        <v>0</v>
      </c>
      <c r="N574" s="257">
        <v>963424</v>
      </c>
      <c r="O574" s="257">
        <v>0</v>
      </c>
      <c r="P574" s="257">
        <v>0</v>
      </c>
      <c r="Q574" s="258">
        <v>0</v>
      </c>
    </row>
    <row r="575" spans="1:17">
      <c r="A575" s="256">
        <v>1</v>
      </c>
      <c r="B575" s="256">
        <v>8830821</v>
      </c>
      <c r="C575" s="256">
        <v>883082100</v>
      </c>
      <c r="D575" s="256" t="s">
        <v>538</v>
      </c>
      <c r="E575" s="256" t="s">
        <v>539</v>
      </c>
      <c r="F575" s="256" t="s">
        <v>817</v>
      </c>
      <c r="G575" s="256" t="s">
        <v>81</v>
      </c>
      <c r="H575" s="256"/>
      <c r="I575" s="257">
        <v>3225357455</v>
      </c>
      <c r="J575" s="257">
        <v>0</v>
      </c>
      <c r="K575" s="257">
        <v>0</v>
      </c>
      <c r="L575" s="257">
        <v>0</v>
      </c>
      <c r="M575" s="257">
        <v>0</v>
      </c>
      <c r="N575" s="257">
        <v>3225357455</v>
      </c>
      <c r="O575" s="257">
        <v>0</v>
      </c>
      <c r="P575" s="257">
        <v>0</v>
      </c>
      <c r="Q575" s="258">
        <v>0</v>
      </c>
    </row>
    <row r="576" spans="1:17">
      <c r="A576" s="256">
        <v>1</v>
      </c>
      <c r="B576" s="256">
        <v>8830823</v>
      </c>
      <c r="C576" s="256">
        <v>883082300</v>
      </c>
      <c r="D576" s="256" t="s">
        <v>538</v>
      </c>
      <c r="E576" s="256" t="s">
        <v>539</v>
      </c>
      <c r="F576" s="256" t="s">
        <v>817</v>
      </c>
      <c r="G576" s="256" t="s">
        <v>79</v>
      </c>
      <c r="H576" s="256"/>
      <c r="I576" s="257">
        <v>216228011</v>
      </c>
      <c r="J576" s="257">
        <v>0</v>
      </c>
      <c r="K576" s="257">
        <v>0</v>
      </c>
      <c r="L576" s="257">
        <v>0</v>
      </c>
      <c r="M576" s="257">
        <v>0</v>
      </c>
      <c r="N576" s="257">
        <v>216228011</v>
      </c>
      <c r="O576" s="257">
        <v>0</v>
      </c>
      <c r="P576" s="257">
        <v>0</v>
      </c>
      <c r="Q576" s="258">
        <v>0</v>
      </c>
    </row>
    <row r="577" spans="1:17">
      <c r="A577" s="256">
        <v>1</v>
      </c>
      <c r="B577" s="256">
        <v>8830824</v>
      </c>
      <c r="C577" s="256">
        <v>883082400</v>
      </c>
      <c r="D577" s="256" t="s">
        <v>538</v>
      </c>
      <c r="E577" s="256" t="s">
        <v>539</v>
      </c>
      <c r="F577" s="256" t="s">
        <v>817</v>
      </c>
      <c r="G577" s="256" t="s">
        <v>77</v>
      </c>
      <c r="H577" s="256"/>
      <c r="I577" s="257">
        <v>44165778</v>
      </c>
      <c r="J577" s="257">
        <v>0</v>
      </c>
      <c r="K577" s="257">
        <v>0</v>
      </c>
      <c r="L577" s="257">
        <v>0</v>
      </c>
      <c r="M577" s="257">
        <v>0</v>
      </c>
      <c r="N577" s="257">
        <v>44165778</v>
      </c>
      <c r="O577" s="257">
        <v>0</v>
      </c>
      <c r="P577" s="257">
        <v>0</v>
      </c>
      <c r="Q577" s="258">
        <v>0</v>
      </c>
    </row>
    <row r="578" spans="1:17">
      <c r="A578" s="256">
        <v>1</v>
      </c>
      <c r="B578" s="256">
        <v>8830825</v>
      </c>
      <c r="C578" s="256">
        <v>883082500</v>
      </c>
      <c r="D578" s="256" t="s">
        <v>538</v>
      </c>
      <c r="E578" s="256" t="s">
        <v>539</v>
      </c>
      <c r="F578" s="256" t="s">
        <v>817</v>
      </c>
      <c r="G578" s="256" t="s">
        <v>75</v>
      </c>
      <c r="H578" s="256"/>
      <c r="I578" s="257">
        <v>0</v>
      </c>
      <c r="J578" s="257">
        <v>0</v>
      </c>
      <c r="K578" s="257">
        <v>0</v>
      </c>
      <c r="L578" s="257">
        <v>0</v>
      </c>
      <c r="M578" s="257">
        <v>0</v>
      </c>
      <c r="N578" s="257">
        <v>0</v>
      </c>
      <c r="O578" s="257">
        <v>0</v>
      </c>
      <c r="P578" s="257">
        <v>0</v>
      </c>
      <c r="Q578" s="258">
        <v>0</v>
      </c>
    </row>
    <row r="579" spans="1:17">
      <c r="A579" s="256">
        <v>1</v>
      </c>
      <c r="B579" s="256">
        <v>8830826</v>
      </c>
      <c r="C579" s="256">
        <v>883082600</v>
      </c>
      <c r="D579" s="256" t="s">
        <v>538</v>
      </c>
      <c r="E579" s="256" t="s">
        <v>539</v>
      </c>
      <c r="F579" s="256" t="s">
        <v>817</v>
      </c>
      <c r="G579" s="256" t="s">
        <v>73</v>
      </c>
      <c r="H579" s="256"/>
      <c r="I579" s="257">
        <v>0</v>
      </c>
      <c r="J579" s="257">
        <v>0</v>
      </c>
      <c r="K579" s="257">
        <v>0</v>
      </c>
      <c r="L579" s="257">
        <v>0</v>
      </c>
      <c r="M579" s="257">
        <v>0</v>
      </c>
      <c r="N579" s="257">
        <v>0</v>
      </c>
      <c r="O579" s="257">
        <v>0</v>
      </c>
      <c r="P579" s="257">
        <v>0</v>
      </c>
      <c r="Q579" s="258">
        <v>0</v>
      </c>
    </row>
    <row r="580" spans="1:17">
      <c r="A580" s="256">
        <v>1</v>
      </c>
      <c r="B580" s="256">
        <v>8830828</v>
      </c>
      <c r="C580" s="256">
        <v>883082866</v>
      </c>
      <c r="D580" s="256" t="s">
        <v>538</v>
      </c>
      <c r="E580" s="256" t="s">
        <v>539</v>
      </c>
      <c r="F580" s="256" t="s">
        <v>817</v>
      </c>
      <c r="G580" s="256" t="s">
        <v>811</v>
      </c>
      <c r="H580" s="256" t="s">
        <v>812</v>
      </c>
      <c r="I580" s="257">
        <v>514598231</v>
      </c>
      <c r="J580" s="257">
        <v>0</v>
      </c>
      <c r="K580" s="257">
        <v>0</v>
      </c>
      <c r="L580" s="257">
        <v>0</v>
      </c>
      <c r="M580" s="257">
        <v>0</v>
      </c>
      <c r="N580" s="257">
        <v>514598231</v>
      </c>
      <c r="O580" s="257">
        <v>0</v>
      </c>
      <c r="P580" s="257">
        <v>0</v>
      </c>
      <c r="Q580" s="258">
        <v>0</v>
      </c>
    </row>
    <row r="581" spans="1:17">
      <c r="A581" s="256">
        <v>1</v>
      </c>
      <c r="B581" s="256">
        <v>8830828</v>
      </c>
      <c r="C581" s="256">
        <v>883082867</v>
      </c>
      <c r="D581" s="256" t="s">
        <v>538</v>
      </c>
      <c r="E581" s="256" t="s">
        <v>539</v>
      </c>
      <c r="F581" s="256" t="s">
        <v>817</v>
      </c>
      <c r="G581" s="256" t="s">
        <v>811</v>
      </c>
      <c r="H581" s="256" t="s">
        <v>813</v>
      </c>
      <c r="I581" s="257">
        <v>270270</v>
      </c>
      <c r="J581" s="257">
        <v>0</v>
      </c>
      <c r="K581" s="257">
        <v>0</v>
      </c>
      <c r="L581" s="257">
        <v>0</v>
      </c>
      <c r="M581" s="257">
        <v>0</v>
      </c>
      <c r="N581" s="257">
        <v>270270</v>
      </c>
      <c r="O581" s="257">
        <v>0</v>
      </c>
      <c r="P581" s="257">
        <v>0</v>
      </c>
      <c r="Q581" s="258">
        <v>0</v>
      </c>
    </row>
    <row r="582" spans="1:17">
      <c r="A582" s="256">
        <v>1</v>
      </c>
      <c r="B582" s="256">
        <v>8830829</v>
      </c>
      <c r="C582" s="256">
        <v>883082900</v>
      </c>
      <c r="D582" s="256" t="s">
        <v>538</v>
      </c>
      <c r="E582" s="256" t="s">
        <v>539</v>
      </c>
      <c r="F582" s="256" t="s">
        <v>817</v>
      </c>
      <c r="G582" s="256" t="s">
        <v>66</v>
      </c>
      <c r="H582" s="256"/>
      <c r="I582" s="257">
        <v>82462216</v>
      </c>
      <c r="J582" s="257">
        <v>0</v>
      </c>
      <c r="K582" s="257">
        <v>0</v>
      </c>
      <c r="L582" s="257">
        <v>0</v>
      </c>
      <c r="M582" s="257">
        <v>0</v>
      </c>
      <c r="N582" s="257">
        <v>82462216</v>
      </c>
      <c r="O582" s="257">
        <v>0</v>
      </c>
      <c r="P582" s="257">
        <v>0</v>
      </c>
      <c r="Q582" s="258">
        <v>0</v>
      </c>
    </row>
    <row r="583" spans="1:17">
      <c r="A583" s="256">
        <v>1</v>
      </c>
      <c r="B583" s="256">
        <v>8830830</v>
      </c>
      <c r="C583" s="256">
        <v>883083000</v>
      </c>
      <c r="D583" s="256" t="s">
        <v>538</v>
      </c>
      <c r="E583" s="256" t="s">
        <v>539</v>
      </c>
      <c r="F583" s="256" t="s">
        <v>817</v>
      </c>
      <c r="G583" s="256" t="s">
        <v>64</v>
      </c>
      <c r="H583" s="256"/>
      <c r="I583" s="257">
        <v>0</v>
      </c>
      <c r="J583" s="257">
        <v>0</v>
      </c>
      <c r="K583" s="257">
        <v>0</v>
      </c>
      <c r="L583" s="257">
        <v>0</v>
      </c>
      <c r="M583" s="257">
        <v>0</v>
      </c>
      <c r="N583" s="257">
        <v>0</v>
      </c>
      <c r="O583" s="257">
        <v>0</v>
      </c>
      <c r="P583" s="257">
        <v>0</v>
      </c>
      <c r="Q583" s="258">
        <v>0</v>
      </c>
    </row>
    <row r="584" spans="1:17">
      <c r="A584" s="256">
        <v>1</v>
      </c>
      <c r="B584" s="256">
        <v>8830831</v>
      </c>
      <c r="C584" s="256">
        <v>883083100</v>
      </c>
      <c r="D584" s="256" t="s">
        <v>538</v>
      </c>
      <c r="E584" s="256" t="s">
        <v>539</v>
      </c>
      <c r="F584" s="256" t="s">
        <v>817</v>
      </c>
      <c r="G584" s="256" t="s">
        <v>62</v>
      </c>
      <c r="H584" s="256"/>
      <c r="I584" s="257">
        <v>1598889696</v>
      </c>
      <c r="J584" s="257">
        <v>0</v>
      </c>
      <c r="K584" s="257">
        <v>0</v>
      </c>
      <c r="L584" s="257">
        <v>0</v>
      </c>
      <c r="M584" s="257">
        <v>0</v>
      </c>
      <c r="N584" s="257">
        <v>1596158815</v>
      </c>
      <c r="O584" s="257">
        <v>15600</v>
      </c>
      <c r="P584" s="257">
        <v>2715281</v>
      </c>
      <c r="Q584" s="258">
        <v>0</v>
      </c>
    </row>
    <row r="585" spans="1:17">
      <c r="A585" s="256">
        <v>1</v>
      </c>
      <c r="B585" s="256">
        <v>8830837</v>
      </c>
      <c r="C585" s="256">
        <v>883083700</v>
      </c>
      <c r="D585" s="256" t="s">
        <v>538</v>
      </c>
      <c r="E585" s="256" t="s">
        <v>539</v>
      </c>
      <c r="F585" s="256" t="s">
        <v>817</v>
      </c>
      <c r="G585" s="256" t="s">
        <v>60</v>
      </c>
      <c r="H585" s="256"/>
      <c r="I585" s="257">
        <v>0</v>
      </c>
      <c r="J585" s="257">
        <v>0</v>
      </c>
      <c r="K585" s="257">
        <v>0</v>
      </c>
      <c r="L585" s="257">
        <v>0</v>
      </c>
      <c r="M585" s="257">
        <v>0</v>
      </c>
      <c r="N585" s="257">
        <v>0</v>
      </c>
      <c r="O585" s="257">
        <v>0</v>
      </c>
      <c r="P585" s="257">
        <v>0</v>
      </c>
      <c r="Q585" s="258">
        <v>0</v>
      </c>
    </row>
    <row r="586" spans="1:17">
      <c r="A586" s="256">
        <v>1</v>
      </c>
      <c r="B586" s="256">
        <v>8830839</v>
      </c>
      <c r="C586" s="256">
        <v>883083900</v>
      </c>
      <c r="D586" s="256" t="s">
        <v>538</v>
      </c>
      <c r="E586" s="256" t="s">
        <v>539</v>
      </c>
      <c r="F586" s="256" t="s">
        <v>817</v>
      </c>
      <c r="G586" s="256" t="s">
        <v>58</v>
      </c>
      <c r="H586" s="256"/>
      <c r="I586" s="257">
        <v>123910</v>
      </c>
      <c r="J586" s="257">
        <v>0</v>
      </c>
      <c r="K586" s="257">
        <v>0</v>
      </c>
      <c r="L586" s="257">
        <v>0</v>
      </c>
      <c r="M586" s="257">
        <v>0</v>
      </c>
      <c r="N586" s="257">
        <v>0</v>
      </c>
      <c r="O586" s="257">
        <v>123910</v>
      </c>
      <c r="P586" s="257">
        <v>0</v>
      </c>
      <c r="Q586" s="258">
        <v>0</v>
      </c>
    </row>
    <row r="587" spans="1:17">
      <c r="A587" s="256">
        <v>1</v>
      </c>
      <c r="B587" s="256">
        <v>8830840</v>
      </c>
      <c r="C587" s="256">
        <v>883084000</v>
      </c>
      <c r="D587" s="256" t="s">
        <v>538</v>
      </c>
      <c r="E587" s="256" t="s">
        <v>539</v>
      </c>
      <c r="F587" s="256" t="s">
        <v>817</v>
      </c>
      <c r="G587" s="256" t="s">
        <v>56</v>
      </c>
      <c r="H587" s="256"/>
      <c r="I587" s="257">
        <v>31300</v>
      </c>
      <c r="J587" s="257">
        <v>0</v>
      </c>
      <c r="K587" s="257">
        <v>0</v>
      </c>
      <c r="L587" s="257">
        <v>0</v>
      </c>
      <c r="M587" s="257">
        <v>0</v>
      </c>
      <c r="N587" s="257">
        <v>0</v>
      </c>
      <c r="O587" s="257">
        <v>0</v>
      </c>
      <c r="P587" s="257">
        <v>31300</v>
      </c>
      <c r="Q587" s="258">
        <v>0</v>
      </c>
    </row>
    <row r="588" spans="1:17">
      <c r="A588" s="256">
        <v>1</v>
      </c>
      <c r="B588" s="256">
        <v>8830841</v>
      </c>
      <c r="C588" s="256">
        <v>883084100</v>
      </c>
      <c r="D588" s="256" t="s">
        <v>538</v>
      </c>
      <c r="E588" s="256" t="s">
        <v>539</v>
      </c>
      <c r="F588" s="256" t="s">
        <v>817</v>
      </c>
      <c r="G588" s="256" t="s">
        <v>55</v>
      </c>
      <c r="H588" s="256"/>
      <c r="I588" s="257">
        <v>0</v>
      </c>
      <c r="J588" s="257">
        <v>0</v>
      </c>
      <c r="K588" s="257">
        <v>0</v>
      </c>
      <c r="L588" s="257">
        <v>0</v>
      </c>
      <c r="M588" s="257">
        <v>0</v>
      </c>
      <c r="N588" s="257">
        <v>0</v>
      </c>
      <c r="O588" s="257">
        <v>0</v>
      </c>
      <c r="P588" s="257">
        <v>0</v>
      </c>
      <c r="Q588" s="258">
        <v>0</v>
      </c>
    </row>
    <row r="589" spans="1:17">
      <c r="A589" s="256">
        <v>1</v>
      </c>
      <c r="B589" s="256">
        <v>8830842</v>
      </c>
      <c r="C589" s="256">
        <v>883084201</v>
      </c>
      <c r="D589" s="256" t="s">
        <v>538</v>
      </c>
      <c r="E589" s="256" t="s">
        <v>539</v>
      </c>
      <c r="F589" s="256" t="s">
        <v>817</v>
      </c>
      <c r="G589" s="256" t="s">
        <v>53</v>
      </c>
      <c r="H589" s="256" t="s">
        <v>108</v>
      </c>
      <c r="I589" s="257">
        <v>38404000</v>
      </c>
      <c r="J589" s="257">
        <v>0</v>
      </c>
      <c r="K589" s="257">
        <v>0</v>
      </c>
      <c r="L589" s="257">
        <v>0</v>
      </c>
      <c r="M589" s="257">
        <v>0</v>
      </c>
      <c r="N589" s="257">
        <v>0</v>
      </c>
      <c r="O589" s="257">
        <v>0</v>
      </c>
      <c r="P589" s="257">
        <v>38404000</v>
      </c>
      <c r="Q589" s="258">
        <v>0</v>
      </c>
    </row>
    <row r="590" spans="1:17">
      <c r="A590" s="256">
        <v>1</v>
      </c>
      <c r="B590" s="256">
        <v>8830842</v>
      </c>
      <c r="C590" s="256">
        <v>883084202</v>
      </c>
      <c r="D590" s="256" t="s">
        <v>538</v>
      </c>
      <c r="E590" s="256" t="s">
        <v>539</v>
      </c>
      <c r="F590" s="256" t="s">
        <v>817</v>
      </c>
      <c r="G590" s="256" t="s">
        <v>53</v>
      </c>
      <c r="H590" s="256" t="s">
        <v>106</v>
      </c>
      <c r="I590" s="257">
        <v>7759000</v>
      </c>
      <c r="J590" s="257">
        <v>0</v>
      </c>
      <c r="K590" s="257">
        <v>0</v>
      </c>
      <c r="L590" s="257">
        <v>0</v>
      </c>
      <c r="M590" s="257">
        <v>0</v>
      </c>
      <c r="N590" s="257">
        <v>0</v>
      </c>
      <c r="O590" s="257">
        <v>0</v>
      </c>
      <c r="P590" s="257">
        <v>7759000</v>
      </c>
      <c r="Q590" s="258">
        <v>0</v>
      </c>
    </row>
    <row r="591" spans="1:17">
      <c r="A591" s="256">
        <v>1</v>
      </c>
      <c r="B591" s="256">
        <v>8831001</v>
      </c>
      <c r="C591" s="256">
        <v>883100102</v>
      </c>
      <c r="D591" s="256" t="s">
        <v>538</v>
      </c>
      <c r="E591" s="256" t="s">
        <v>539</v>
      </c>
      <c r="F591" s="256" t="s">
        <v>818</v>
      </c>
      <c r="G591" s="256" t="s">
        <v>112</v>
      </c>
      <c r="H591" s="256" t="s">
        <v>737</v>
      </c>
      <c r="I591" s="257">
        <v>0</v>
      </c>
      <c r="J591" s="257">
        <v>0</v>
      </c>
      <c r="K591" s="257">
        <v>0</v>
      </c>
      <c r="L591" s="257">
        <v>0</v>
      </c>
      <c r="M591" s="257">
        <v>0</v>
      </c>
      <c r="N591" s="257">
        <v>0</v>
      </c>
      <c r="O591" s="257">
        <v>0</v>
      </c>
      <c r="P591" s="257">
        <v>0</v>
      </c>
      <c r="Q591" s="258">
        <v>0</v>
      </c>
    </row>
    <row r="592" spans="1:17">
      <c r="A592" s="256">
        <v>1</v>
      </c>
      <c r="B592" s="256">
        <v>8831001</v>
      </c>
      <c r="C592" s="256">
        <v>883100103</v>
      </c>
      <c r="D592" s="256" t="s">
        <v>538</v>
      </c>
      <c r="E592" s="256" t="s">
        <v>539</v>
      </c>
      <c r="F592" s="256" t="s">
        <v>818</v>
      </c>
      <c r="G592" s="256" t="s">
        <v>112</v>
      </c>
      <c r="H592" s="256" t="s">
        <v>738</v>
      </c>
      <c r="I592" s="257">
        <v>0</v>
      </c>
      <c r="J592" s="257">
        <v>0</v>
      </c>
      <c r="K592" s="257">
        <v>0</v>
      </c>
      <c r="L592" s="257">
        <v>0</v>
      </c>
      <c r="M592" s="257">
        <v>0</v>
      </c>
      <c r="N592" s="257">
        <v>0</v>
      </c>
      <c r="O592" s="257">
        <v>0</v>
      </c>
      <c r="P592" s="257">
        <v>0</v>
      </c>
      <c r="Q592" s="258">
        <v>0</v>
      </c>
    </row>
    <row r="593" spans="1:17">
      <c r="A593" s="256">
        <v>1</v>
      </c>
      <c r="B593" s="256">
        <v>8831001</v>
      </c>
      <c r="C593" s="256">
        <v>883100104</v>
      </c>
      <c r="D593" s="256" t="s">
        <v>538</v>
      </c>
      <c r="E593" s="256" t="s">
        <v>539</v>
      </c>
      <c r="F593" s="256" t="s">
        <v>818</v>
      </c>
      <c r="G593" s="256" t="s">
        <v>112</v>
      </c>
      <c r="H593" s="256" t="s">
        <v>739</v>
      </c>
      <c r="I593" s="257">
        <v>0</v>
      </c>
      <c r="J593" s="257">
        <v>0</v>
      </c>
      <c r="K593" s="257">
        <v>0</v>
      </c>
      <c r="L593" s="257">
        <v>0</v>
      </c>
      <c r="M593" s="257">
        <v>0</v>
      </c>
      <c r="N593" s="257">
        <v>0</v>
      </c>
      <c r="O593" s="257">
        <v>0</v>
      </c>
      <c r="P593" s="257">
        <v>0</v>
      </c>
      <c r="Q593" s="258">
        <v>0</v>
      </c>
    </row>
    <row r="594" spans="1:17">
      <c r="A594" s="236">
        <v>1</v>
      </c>
      <c r="B594" s="236">
        <v>8831001</v>
      </c>
      <c r="C594" s="236">
        <v>883100105</v>
      </c>
      <c r="D594" s="236" t="s">
        <v>538</v>
      </c>
      <c r="E594" s="236" t="s">
        <v>539</v>
      </c>
      <c r="F594" s="236" t="s">
        <v>818</v>
      </c>
      <c r="G594" s="236" t="s">
        <v>112</v>
      </c>
      <c r="H594" s="236" t="s">
        <v>740</v>
      </c>
      <c r="I594" s="257">
        <v>0</v>
      </c>
      <c r="J594" s="257">
        <v>0</v>
      </c>
      <c r="K594" s="257">
        <v>0</v>
      </c>
      <c r="L594" s="257">
        <v>0</v>
      </c>
      <c r="M594" s="257">
        <v>0</v>
      </c>
      <c r="N594" s="257">
        <v>0</v>
      </c>
      <c r="O594" s="257">
        <v>0</v>
      </c>
      <c r="P594" s="257">
        <v>0</v>
      </c>
      <c r="Q594" s="258">
        <v>0</v>
      </c>
    </row>
    <row r="595" spans="1:17">
      <c r="A595" s="256">
        <v>1</v>
      </c>
      <c r="B595" s="256">
        <v>8831002</v>
      </c>
      <c r="C595" s="256">
        <v>883100202</v>
      </c>
      <c r="D595" s="256" t="s">
        <v>538</v>
      </c>
      <c r="E595" s="256" t="s">
        <v>539</v>
      </c>
      <c r="F595" s="256" t="s">
        <v>818</v>
      </c>
      <c r="G595" s="256" t="s">
        <v>110</v>
      </c>
      <c r="H595" s="256" t="s">
        <v>741</v>
      </c>
      <c r="I595" s="257">
        <v>0</v>
      </c>
      <c r="J595" s="257">
        <v>0</v>
      </c>
      <c r="K595" s="257">
        <v>0</v>
      </c>
      <c r="L595" s="257">
        <v>0</v>
      </c>
      <c r="M595" s="257">
        <v>0</v>
      </c>
      <c r="N595" s="257">
        <v>0</v>
      </c>
      <c r="O595" s="257">
        <v>0</v>
      </c>
      <c r="P595" s="257">
        <v>0</v>
      </c>
      <c r="Q595" s="258">
        <v>0</v>
      </c>
    </row>
    <row r="596" spans="1:17">
      <c r="A596" s="256">
        <v>1</v>
      </c>
      <c r="B596" s="256">
        <v>8831003</v>
      </c>
      <c r="C596" s="256">
        <v>883100301</v>
      </c>
      <c r="D596" s="256" t="s">
        <v>538</v>
      </c>
      <c r="E596" s="256" t="s">
        <v>539</v>
      </c>
      <c r="F596" s="256" t="s">
        <v>818</v>
      </c>
      <c r="G596" s="256" t="s">
        <v>108</v>
      </c>
      <c r="H596" s="256" t="s">
        <v>742</v>
      </c>
      <c r="I596" s="257">
        <v>0</v>
      </c>
      <c r="J596" s="257">
        <v>0</v>
      </c>
      <c r="K596" s="257">
        <v>0</v>
      </c>
      <c r="L596" s="257">
        <v>0</v>
      </c>
      <c r="M596" s="257">
        <v>0</v>
      </c>
      <c r="N596" s="257">
        <v>0</v>
      </c>
      <c r="O596" s="257">
        <v>0</v>
      </c>
      <c r="P596" s="257">
        <v>0</v>
      </c>
      <c r="Q596" s="258">
        <v>0</v>
      </c>
    </row>
    <row r="597" spans="1:17">
      <c r="A597" s="256">
        <v>1</v>
      </c>
      <c r="B597" s="256">
        <v>8831003</v>
      </c>
      <c r="C597" s="256">
        <v>883100302</v>
      </c>
      <c r="D597" s="256" t="s">
        <v>538</v>
      </c>
      <c r="E597" s="256" t="s">
        <v>539</v>
      </c>
      <c r="F597" s="256" t="s">
        <v>818</v>
      </c>
      <c r="G597" s="256" t="s">
        <v>108</v>
      </c>
      <c r="H597" s="256" t="s">
        <v>743</v>
      </c>
      <c r="I597" s="257">
        <v>0</v>
      </c>
      <c r="J597" s="257">
        <v>0</v>
      </c>
      <c r="K597" s="257">
        <v>0</v>
      </c>
      <c r="L597" s="257">
        <v>0</v>
      </c>
      <c r="M597" s="257">
        <v>0</v>
      </c>
      <c r="N597" s="257">
        <v>0</v>
      </c>
      <c r="O597" s="257">
        <v>0</v>
      </c>
      <c r="P597" s="257">
        <v>0</v>
      </c>
      <c r="Q597" s="258">
        <v>0</v>
      </c>
    </row>
    <row r="598" spans="1:17">
      <c r="A598" s="256">
        <v>1</v>
      </c>
      <c r="B598" s="256">
        <v>8831003</v>
      </c>
      <c r="C598" s="256">
        <v>883100303</v>
      </c>
      <c r="D598" s="256" t="s">
        <v>538</v>
      </c>
      <c r="E598" s="256" t="s">
        <v>539</v>
      </c>
      <c r="F598" s="256" t="s">
        <v>818</v>
      </c>
      <c r="G598" s="256" t="s">
        <v>108</v>
      </c>
      <c r="H598" s="256" t="s">
        <v>744</v>
      </c>
      <c r="I598" s="257">
        <v>0</v>
      </c>
      <c r="J598" s="257">
        <v>0</v>
      </c>
      <c r="K598" s="257">
        <v>0</v>
      </c>
      <c r="L598" s="257">
        <v>0</v>
      </c>
      <c r="M598" s="257">
        <v>0</v>
      </c>
      <c r="N598" s="257">
        <v>0</v>
      </c>
      <c r="O598" s="257">
        <v>0</v>
      </c>
      <c r="P598" s="257">
        <v>0</v>
      </c>
      <c r="Q598" s="258">
        <v>0</v>
      </c>
    </row>
    <row r="599" spans="1:17">
      <c r="A599" s="256">
        <v>1</v>
      </c>
      <c r="B599" s="256">
        <v>8831003</v>
      </c>
      <c r="C599" s="256">
        <v>883100304</v>
      </c>
      <c r="D599" s="256" t="s">
        <v>538</v>
      </c>
      <c r="E599" s="256" t="s">
        <v>539</v>
      </c>
      <c r="F599" s="256" t="s">
        <v>818</v>
      </c>
      <c r="G599" s="256" t="s">
        <v>108</v>
      </c>
      <c r="H599" s="256" t="s">
        <v>745</v>
      </c>
      <c r="I599" s="257">
        <v>0</v>
      </c>
      <c r="J599" s="257">
        <v>0</v>
      </c>
      <c r="K599" s="257">
        <v>0</v>
      </c>
      <c r="L599" s="257">
        <v>0</v>
      </c>
      <c r="M599" s="257">
        <v>0</v>
      </c>
      <c r="N599" s="257">
        <v>0</v>
      </c>
      <c r="O599" s="257">
        <v>0</v>
      </c>
      <c r="P599" s="257">
        <v>0</v>
      </c>
      <c r="Q599" s="258">
        <v>0</v>
      </c>
    </row>
    <row r="600" spans="1:17">
      <c r="A600" s="256">
        <v>1</v>
      </c>
      <c r="B600" s="256">
        <v>8831003</v>
      </c>
      <c r="C600" s="256">
        <v>883100305</v>
      </c>
      <c r="D600" s="256" t="s">
        <v>538</v>
      </c>
      <c r="E600" s="256" t="s">
        <v>539</v>
      </c>
      <c r="F600" s="256" t="s">
        <v>818</v>
      </c>
      <c r="G600" s="256" t="s">
        <v>108</v>
      </c>
      <c r="H600" s="256" t="s">
        <v>746</v>
      </c>
      <c r="I600" s="257">
        <v>0</v>
      </c>
      <c r="J600" s="257">
        <v>0</v>
      </c>
      <c r="K600" s="257">
        <v>0</v>
      </c>
      <c r="L600" s="257">
        <v>0</v>
      </c>
      <c r="M600" s="257">
        <v>0</v>
      </c>
      <c r="N600" s="257">
        <v>0</v>
      </c>
      <c r="O600" s="257">
        <v>0</v>
      </c>
      <c r="P600" s="257">
        <v>0</v>
      </c>
      <c r="Q600" s="258">
        <v>0</v>
      </c>
    </row>
    <row r="601" spans="1:17">
      <c r="A601" s="256">
        <v>1</v>
      </c>
      <c r="B601" s="256">
        <v>8831003</v>
      </c>
      <c r="C601" s="256">
        <v>883100306</v>
      </c>
      <c r="D601" s="256" t="s">
        <v>538</v>
      </c>
      <c r="E601" s="256" t="s">
        <v>539</v>
      </c>
      <c r="F601" s="256" t="s">
        <v>818</v>
      </c>
      <c r="G601" s="256" t="s">
        <v>108</v>
      </c>
      <c r="H601" s="256" t="s">
        <v>747</v>
      </c>
      <c r="I601" s="257">
        <v>0</v>
      </c>
      <c r="J601" s="257">
        <v>0</v>
      </c>
      <c r="K601" s="257">
        <v>0</v>
      </c>
      <c r="L601" s="257">
        <v>0</v>
      </c>
      <c r="M601" s="257">
        <v>0</v>
      </c>
      <c r="N601" s="257">
        <v>0</v>
      </c>
      <c r="O601" s="257">
        <v>0</v>
      </c>
      <c r="P601" s="257">
        <v>0</v>
      </c>
      <c r="Q601" s="258">
        <v>0</v>
      </c>
    </row>
    <row r="602" spans="1:17">
      <c r="A602" s="256">
        <v>1</v>
      </c>
      <c r="B602" s="256">
        <v>8831003</v>
      </c>
      <c r="C602" s="256">
        <v>883100307</v>
      </c>
      <c r="D602" s="256" t="s">
        <v>538</v>
      </c>
      <c r="E602" s="256" t="s">
        <v>539</v>
      </c>
      <c r="F602" s="256" t="s">
        <v>818</v>
      </c>
      <c r="G602" s="256" t="s">
        <v>108</v>
      </c>
      <c r="H602" s="256" t="s">
        <v>748</v>
      </c>
      <c r="I602" s="257">
        <v>0</v>
      </c>
      <c r="J602" s="257">
        <v>0</v>
      </c>
      <c r="K602" s="257">
        <v>0</v>
      </c>
      <c r="L602" s="257">
        <v>0</v>
      </c>
      <c r="M602" s="257">
        <v>0</v>
      </c>
      <c r="N602" s="257">
        <v>0</v>
      </c>
      <c r="O602" s="257">
        <v>0</v>
      </c>
      <c r="P602" s="257">
        <v>0</v>
      </c>
      <c r="Q602" s="258">
        <v>0</v>
      </c>
    </row>
    <row r="603" spans="1:17">
      <c r="A603" s="256">
        <v>1</v>
      </c>
      <c r="B603" s="256">
        <v>8831003</v>
      </c>
      <c r="C603" s="256">
        <v>883100310</v>
      </c>
      <c r="D603" s="256" t="s">
        <v>538</v>
      </c>
      <c r="E603" s="256" t="s">
        <v>539</v>
      </c>
      <c r="F603" s="256" t="s">
        <v>818</v>
      </c>
      <c r="G603" s="256" t="s">
        <v>108</v>
      </c>
      <c r="H603" s="256" t="s">
        <v>749</v>
      </c>
      <c r="I603" s="257">
        <v>0</v>
      </c>
      <c r="J603" s="257">
        <v>0</v>
      </c>
      <c r="K603" s="257">
        <v>0</v>
      </c>
      <c r="L603" s="257">
        <v>0</v>
      </c>
      <c r="M603" s="257">
        <v>0</v>
      </c>
      <c r="N603" s="257">
        <v>0</v>
      </c>
      <c r="O603" s="257">
        <v>0</v>
      </c>
      <c r="P603" s="257">
        <v>0</v>
      </c>
      <c r="Q603" s="258">
        <v>0</v>
      </c>
    </row>
    <row r="604" spans="1:17">
      <c r="A604" s="256">
        <v>1</v>
      </c>
      <c r="B604" s="256">
        <v>8831003</v>
      </c>
      <c r="C604" s="256">
        <v>883100311</v>
      </c>
      <c r="D604" s="256" t="s">
        <v>538</v>
      </c>
      <c r="E604" s="256" t="s">
        <v>539</v>
      </c>
      <c r="F604" s="256" t="s">
        <v>818</v>
      </c>
      <c r="G604" s="256" t="s">
        <v>108</v>
      </c>
      <c r="H604" s="256" t="s">
        <v>750</v>
      </c>
      <c r="I604" s="257">
        <v>0</v>
      </c>
      <c r="J604" s="257">
        <v>0</v>
      </c>
      <c r="K604" s="257">
        <v>0</v>
      </c>
      <c r="L604" s="257">
        <v>0</v>
      </c>
      <c r="M604" s="257">
        <v>0</v>
      </c>
      <c r="N604" s="257">
        <v>0</v>
      </c>
      <c r="O604" s="257">
        <v>0</v>
      </c>
      <c r="P604" s="257">
        <v>0</v>
      </c>
      <c r="Q604" s="258">
        <v>0</v>
      </c>
    </row>
    <row r="605" spans="1:17">
      <c r="A605" s="256">
        <v>1</v>
      </c>
      <c r="B605" s="256">
        <v>8831003</v>
      </c>
      <c r="C605" s="256">
        <v>883100314</v>
      </c>
      <c r="D605" s="256" t="s">
        <v>538</v>
      </c>
      <c r="E605" s="256" t="s">
        <v>539</v>
      </c>
      <c r="F605" s="256" t="s">
        <v>818</v>
      </c>
      <c r="G605" s="256" t="s">
        <v>108</v>
      </c>
      <c r="H605" s="256" t="s">
        <v>751</v>
      </c>
      <c r="I605" s="257">
        <v>0</v>
      </c>
      <c r="J605" s="257">
        <v>0</v>
      </c>
      <c r="K605" s="257">
        <v>0</v>
      </c>
      <c r="L605" s="257">
        <v>0</v>
      </c>
      <c r="M605" s="257">
        <v>0</v>
      </c>
      <c r="N605" s="257">
        <v>0</v>
      </c>
      <c r="O605" s="257">
        <v>0</v>
      </c>
      <c r="P605" s="257">
        <v>0</v>
      </c>
      <c r="Q605" s="258">
        <v>0</v>
      </c>
    </row>
    <row r="606" spans="1:17">
      <c r="A606" s="256">
        <v>1</v>
      </c>
      <c r="B606" s="256">
        <v>8831003</v>
      </c>
      <c r="C606" s="256">
        <v>883100315</v>
      </c>
      <c r="D606" s="256" t="s">
        <v>538</v>
      </c>
      <c r="E606" s="256" t="s">
        <v>539</v>
      </c>
      <c r="F606" s="256" t="s">
        <v>818</v>
      </c>
      <c r="G606" s="256" t="s">
        <v>108</v>
      </c>
      <c r="H606" s="256" t="s">
        <v>752</v>
      </c>
      <c r="I606" s="257">
        <v>0</v>
      </c>
      <c r="J606" s="257">
        <v>0</v>
      </c>
      <c r="K606" s="257">
        <v>0</v>
      </c>
      <c r="L606" s="257">
        <v>0</v>
      </c>
      <c r="M606" s="257">
        <v>0</v>
      </c>
      <c r="N606" s="257">
        <v>0</v>
      </c>
      <c r="O606" s="257">
        <v>0</v>
      </c>
      <c r="P606" s="257">
        <v>0</v>
      </c>
      <c r="Q606" s="258">
        <v>0</v>
      </c>
    </row>
    <row r="607" spans="1:17">
      <c r="A607" s="256">
        <v>1</v>
      </c>
      <c r="B607" s="256">
        <v>8831004</v>
      </c>
      <c r="C607" s="256">
        <v>883100401</v>
      </c>
      <c r="D607" s="256" t="s">
        <v>538</v>
      </c>
      <c r="E607" s="256" t="s">
        <v>539</v>
      </c>
      <c r="F607" s="256" t="s">
        <v>818</v>
      </c>
      <c r="G607" s="256" t="s">
        <v>106</v>
      </c>
      <c r="H607" s="256" t="s">
        <v>755</v>
      </c>
      <c r="I607" s="257">
        <v>0</v>
      </c>
      <c r="J607" s="257">
        <v>0</v>
      </c>
      <c r="K607" s="257">
        <v>0</v>
      </c>
      <c r="L607" s="257">
        <v>0</v>
      </c>
      <c r="M607" s="257">
        <v>0</v>
      </c>
      <c r="N607" s="257">
        <v>0</v>
      </c>
      <c r="O607" s="257">
        <v>0</v>
      </c>
      <c r="P607" s="257">
        <v>0</v>
      </c>
      <c r="Q607" s="258">
        <v>0</v>
      </c>
    </row>
    <row r="608" spans="1:17">
      <c r="A608" s="256">
        <v>1</v>
      </c>
      <c r="B608" s="256">
        <v>8831004</v>
      </c>
      <c r="C608" s="256">
        <v>883100402</v>
      </c>
      <c r="D608" s="256" t="s">
        <v>538</v>
      </c>
      <c r="E608" s="256" t="s">
        <v>539</v>
      </c>
      <c r="F608" s="256" t="s">
        <v>818</v>
      </c>
      <c r="G608" s="256" t="s">
        <v>106</v>
      </c>
      <c r="H608" s="256" t="s">
        <v>756</v>
      </c>
      <c r="I608" s="257">
        <v>0</v>
      </c>
      <c r="J608" s="257">
        <v>0</v>
      </c>
      <c r="K608" s="257">
        <v>0</v>
      </c>
      <c r="L608" s="257">
        <v>0</v>
      </c>
      <c r="M608" s="257">
        <v>0</v>
      </c>
      <c r="N608" s="257">
        <v>0</v>
      </c>
      <c r="O608" s="257">
        <v>0</v>
      </c>
      <c r="P608" s="257">
        <v>0</v>
      </c>
      <c r="Q608" s="258">
        <v>0</v>
      </c>
    </row>
    <row r="609" spans="1:17">
      <c r="A609" s="256">
        <v>1</v>
      </c>
      <c r="B609" s="256">
        <v>8831004</v>
      </c>
      <c r="C609" s="256">
        <v>883100403</v>
      </c>
      <c r="D609" s="256" t="s">
        <v>538</v>
      </c>
      <c r="E609" s="256" t="s">
        <v>539</v>
      </c>
      <c r="F609" s="256" t="s">
        <v>818</v>
      </c>
      <c r="G609" s="256" t="s">
        <v>106</v>
      </c>
      <c r="H609" s="256" t="s">
        <v>757</v>
      </c>
      <c r="I609" s="257">
        <v>0</v>
      </c>
      <c r="J609" s="257">
        <v>0</v>
      </c>
      <c r="K609" s="257">
        <v>0</v>
      </c>
      <c r="L609" s="257">
        <v>0</v>
      </c>
      <c r="M609" s="257">
        <v>0</v>
      </c>
      <c r="N609" s="257">
        <v>0</v>
      </c>
      <c r="O609" s="257">
        <v>0</v>
      </c>
      <c r="P609" s="257">
        <v>0</v>
      </c>
      <c r="Q609" s="258">
        <v>0</v>
      </c>
    </row>
    <row r="610" spans="1:17">
      <c r="A610" s="256">
        <v>1</v>
      </c>
      <c r="B610" s="256">
        <v>8831004</v>
      </c>
      <c r="C610" s="256">
        <v>883100405</v>
      </c>
      <c r="D610" s="256" t="s">
        <v>538</v>
      </c>
      <c r="E610" s="256" t="s">
        <v>539</v>
      </c>
      <c r="F610" s="256" t="s">
        <v>818</v>
      </c>
      <c r="G610" s="256" t="s">
        <v>106</v>
      </c>
      <c r="H610" s="256" t="s">
        <v>758</v>
      </c>
      <c r="I610" s="257">
        <v>0</v>
      </c>
      <c r="J610" s="257">
        <v>0</v>
      </c>
      <c r="K610" s="257">
        <v>0</v>
      </c>
      <c r="L610" s="257">
        <v>0</v>
      </c>
      <c r="M610" s="257">
        <v>0</v>
      </c>
      <c r="N610" s="257">
        <v>0</v>
      </c>
      <c r="O610" s="257">
        <v>0</v>
      </c>
      <c r="P610" s="257">
        <v>0</v>
      </c>
      <c r="Q610" s="258">
        <v>0</v>
      </c>
    </row>
    <row r="611" spans="1:17">
      <c r="A611" s="256">
        <v>1</v>
      </c>
      <c r="B611" s="256">
        <v>8831004</v>
      </c>
      <c r="C611" s="256">
        <v>883100406</v>
      </c>
      <c r="D611" s="256" t="s">
        <v>538</v>
      </c>
      <c r="E611" s="256" t="s">
        <v>539</v>
      </c>
      <c r="F611" s="256" t="s">
        <v>818</v>
      </c>
      <c r="G611" s="256" t="s">
        <v>106</v>
      </c>
      <c r="H611" s="256" t="s">
        <v>759</v>
      </c>
      <c r="I611" s="257">
        <v>0</v>
      </c>
      <c r="J611" s="257">
        <v>0</v>
      </c>
      <c r="K611" s="257">
        <v>0</v>
      </c>
      <c r="L611" s="257">
        <v>0</v>
      </c>
      <c r="M611" s="257">
        <v>0</v>
      </c>
      <c r="N611" s="257">
        <v>0</v>
      </c>
      <c r="O611" s="257">
        <v>0</v>
      </c>
      <c r="P611" s="257">
        <v>0</v>
      </c>
      <c r="Q611" s="258">
        <v>0</v>
      </c>
    </row>
    <row r="612" spans="1:17">
      <c r="A612" s="256">
        <v>1</v>
      </c>
      <c r="B612" s="256">
        <v>8831004</v>
      </c>
      <c r="C612" s="256">
        <v>883100407</v>
      </c>
      <c r="D612" s="256" t="s">
        <v>538</v>
      </c>
      <c r="E612" s="256" t="s">
        <v>539</v>
      </c>
      <c r="F612" s="256" t="s">
        <v>818</v>
      </c>
      <c r="G612" s="256" t="s">
        <v>106</v>
      </c>
      <c r="H612" s="256" t="s">
        <v>760</v>
      </c>
      <c r="I612" s="257">
        <v>0</v>
      </c>
      <c r="J612" s="257">
        <v>0</v>
      </c>
      <c r="K612" s="257">
        <v>0</v>
      </c>
      <c r="L612" s="257">
        <v>0</v>
      </c>
      <c r="M612" s="257">
        <v>0</v>
      </c>
      <c r="N612" s="257">
        <v>0</v>
      </c>
      <c r="O612" s="257">
        <v>0</v>
      </c>
      <c r="P612" s="257">
        <v>0</v>
      </c>
      <c r="Q612" s="258">
        <v>0</v>
      </c>
    </row>
    <row r="613" spans="1:17">
      <c r="A613" s="256">
        <v>1</v>
      </c>
      <c r="B613" s="256">
        <v>8831004</v>
      </c>
      <c r="C613" s="256">
        <v>883100408</v>
      </c>
      <c r="D613" s="256" t="s">
        <v>538</v>
      </c>
      <c r="E613" s="256" t="s">
        <v>539</v>
      </c>
      <c r="F613" s="256" t="s">
        <v>818</v>
      </c>
      <c r="G613" s="256" t="s">
        <v>106</v>
      </c>
      <c r="H613" s="256" t="s">
        <v>761</v>
      </c>
      <c r="I613" s="257">
        <v>0</v>
      </c>
      <c r="J613" s="257">
        <v>0</v>
      </c>
      <c r="K613" s="257">
        <v>0</v>
      </c>
      <c r="L613" s="257">
        <v>0</v>
      </c>
      <c r="M613" s="257">
        <v>0</v>
      </c>
      <c r="N613" s="257">
        <v>0</v>
      </c>
      <c r="O613" s="257">
        <v>0</v>
      </c>
      <c r="P613" s="257">
        <v>0</v>
      </c>
      <c r="Q613" s="258">
        <v>0</v>
      </c>
    </row>
    <row r="614" spans="1:17">
      <c r="A614" s="256">
        <v>1</v>
      </c>
      <c r="B614" s="256">
        <v>8831004</v>
      </c>
      <c r="C614" s="256">
        <v>883100410</v>
      </c>
      <c r="D614" s="256" t="s">
        <v>538</v>
      </c>
      <c r="E614" s="256" t="s">
        <v>539</v>
      </c>
      <c r="F614" s="256" t="s">
        <v>818</v>
      </c>
      <c r="G614" s="256" t="s">
        <v>106</v>
      </c>
      <c r="H614" s="256" t="s">
        <v>762</v>
      </c>
      <c r="I614" s="257">
        <v>0</v>
      </c>
      <c r="J614" s="257">
        <v>0</v>
      </c>
      <c r="K614" s="257">
        <v>0</v>
      </c>
      <c r="L614" s="257">
        <v>0</v>
      </c>
      <c r="M614" s="257">
        <v>0</v>
      </c>
      <c r="N614" s="257">
        <v>0</v>
      </c>
      <c r="O614" s="257">
        <v>0</v>
      </c>
      <c r="P614" s="257">
        <v>0</v>
      </c>
      <c r="Q614" s="258">
        <v>0</v>
      </c>
    </row>
    <row r="615" spans="1:17">
      <c r="A615" s="256">
        <v>1</v>
      </c>
      <c r="B615" s="256">
        <v>8831005</v>
      </c>
      <c r="C615" s="256">
        <v>883100500</v>
      </c>
      <c r="D615" s="256" t="s">
        <v>538</v>
      </c>
      <c r="E615" s="256" t="s">
        <v>539</v>
      </c>
      <c r="F615" s="256" t="s">
        <v>818</v>
      </c>
      <c r="G615" s="256" t="s">
        <v>104</v>
      </c>
      <c r="H615" s="256"/>
      <c r="I615" s="257">
        <v>0</v>
      </c>
      <c r="J615" s="257">
        <v>0</v>
      </c>
      <c r="K615" s="257">
        <v>0</v>
      </c>
      <c r="L615" s="257">
        <v>0</v>
      </c>
      <c r="M615" s="257">
        <v>0</v>
      </c>
      <c r="N615" s="257">
        <v>0</v>
      </c>
      <c r="O615" s="257">
        <v>0</v>
      </c>
      <c r="P615" s="257">
        <v>0</v>
      </c>
      <c r="Q615" s="258">
        <v>0</v>
      </c>
    </row>
    <row r="616" spans="1:17">
      <c r="A616" s="256">
        <v>1</v>
      </c>
      <c r="B616" s="256">
        <v>8831007</v>
      </c>
      <c r="C616" s="256">
        <v>883100700</v>
      </c>
      <c r="D616" s="256" t="s">
        <v>538</v>
      </c>
      <c r="E616" s="256" t="s">
        <v>539</v>
      </c>
      <c r="F616" s="256" t="s">
        <v>818</v>
      </c>
      <c r="G616" s="256" t="s">
        <v>102</v>
      </c>
      <c r="H616" s="256"/>
      <c r="I616" s="257">
        <v>0</v>
      </c>
      <c r="J616" s="257">
        <v>0</v>
      </c>
      <c r="K616" s="257">
        <v>0</v>
      </c>
      <c r="L616" s="257">
        <v>0</v>
      </c>
      <c r="M616" s="257">
        <v>0</v>
      </c>
      <c r="N616" s="257">
        <v>0</v>
      </c>
      <c r="O616" s="257">
        <v>0</v>
      </c>
      <c r="P616" s="257">
        <v>0</v>
      </c>
      <c r="Q616" s="258">
        <v>0</v>
      </c>
    </row>
    <row r="617" spans="1:17">
      <c r="A617" s="256">
        <v>1</v>
      </c>
      <c r="B617" s="256">
        <v>8831008</v>
      </c>
      <c r="C617" s="256">
        <v>883100800</v>
      </c>
      <c r="D617" s="256" t="s">
        <v>538</v>
      </c>
      <c r="E617" s="256" t="s">
        <v>539</v>
      </c>
      <c r="F617" s="256" t="s">
        <v>818</v>
      </c>
      <c r="G617" s="256" t="s">
        <v>100</v>
      </c>
      <c r="H617" s="256"/>
      <c r="I617" s="257">
        <v>0</v>
      </c>
      <c r="J617" s="257">
        <v>0</v>
      </c>
      <c r="K617" s="257">
        <v>0</v>
      </c>
      <c r="L617" s="257">
        <v>0</v>
      </c>
      <c r="M617" s="257">
        <v>0</v>
      </c>
      <c r="N617" s="257">
        <v>0</v>
      </c>
      <c r="O617" s="257">
        <v>0</v>
      </c>
      <c r="P617" s="257">
        <v>0</v>
      </c>
      <c r="Q617" s="258">
        <v>0</v>
      </c>
    </row>
    <row r="618" spans="1:17">
      <c r="A618" s="256">
        <v>1</v>
      </c>
      <c r="B618" s="256">
        <v>8831010</v>
      </c>
      <c r="C618" s="256">
        <v>883101001</v>
      </c>
      <c r="D618" s="256" t="s">
        <v>538</v>
      </c>
      <c r="E618" s="256" t="s">
        <v>539</v>
      </c>
      <c r="F618" s="256" t="s">
        <v>818</v>
      </c>
      <c r="G618" s="256" t="s">
        <v>764</v>
      </c>
      <c r="H618" s="256" t="s">
        <v>98</v>
      </c>
      <c r="I618" s="257">
        <v>0</v>
      </c>
      <c r="J618" s="257">
        <v>0</v>
      </c>
      <c r="K618" s="257">
        <v>0</v>
      </c>
      <c r="L618" s="257">
        <v>0</v>
      </c>
      <c r="M618" s="257">
        <v>0</v>
      </c>
      <c r="N618" s="257">
        <v>0</v>
      </c>
      <c r="O618" s="257">
        <v>0</v>
      </c>
      <c r="P618" s="257">
        <v>0</v>
      </c>
      <c r="Q618" s="258">
        <v>0</v>
      </c>
    </row>
    <row r="619" spans="1:17">
      <c r="A619" s="256">
        <v>1</v>
      </c>
      <c r="B619" s="256">
        <v>8831010</v>
      </c>
      <c r="C619" s="256">
        <v>883101002</v>
      </c>
      <c r="D619" s="256" t="s">
        <v>538</v>
      </c>
      <c r="E619" s="256" t="s">
        <v>539</v>
      </c>
      <c r="F619" s="256" t="s">
        <v>818</v>
      </c>
      <c r="G619" s="256" t="s">
        <v>764</v>
      </c>
      <c r="H619" s="256" t="s">
        <v>95</v>
      </c>
      <c r="I619" s="257">
        <v>0</v>
      </c>
      <c r="J619" s="257">
        <v>0</v>
      </c>
      <c r="K619" s="257">
        <v>0</v>
      </c>
      <c r="L619" s="257">
        <v>0</v>
      </c>
      <c r="M619" s="257">
        <v>0</v>
      </c>
      <c r="N619" s="257">
        <v>0</v>
      </c>
      <c r="O619" s="257">
        <v>0</v>
      </c>
      <c r="P619" s="257">
        <v>0</v>
      </c>
      <c r="Q619" s="258">
        <v>0</v>
      </c>
    </row>
    <row r="620" spans="1:17">
      <c r="A620" s="236">
        <v>1</v>
      </c>
      <c r="B620" s="236">
        <v>8831010</v>
      </c>
      <c r="C620" s="236">
        <v>883101003</v>
      </c>
      <c r="D620" s="236" t="s">
        <v>538</v>
      </c>
      <c r="E620" s="236" t="s">
        <v>539</v>
      </c>
      <c r="F620" s="236" t="s">
        <v>818</v>
      </c>
      <c r="G620" s="236" t="s">
        <v>764</v>
      </c>
      <c r="H620" s="236" t="s">
        <v>765</v>
      </c>
      <c r="I620" s="257">
        <v>0</v>
      </c>
      <c r="J620" s="257">
        <v>0</v>
      </c>
      <c r="K620" s="257">
        <v>0</v>
      </c>
      <c r="L620" s="257">
        <v>0</v>
      </c>
      <c r="M620" s="257">
        <v>0</v>
      </c>
      <c r="N620" s="257">
        <v>0</v>
      </c>
      <c r="O620" s="257">
        <v>0</v>
      </c>
      <c r="P620" s="257">
        <v>0</v>
      </c>
      <c r="Q620" s="258">
        <v>0</v>
      </c>
    </row>
    <row r="621" spans="1:17">
      <c r="A621" s="256">
        <v>1</v>
      </c>
      <c r="B621" s="256">
        <v>8831013</v>
      </c>
      <c r="C621" s="256">
        <v>883101300</v>
      </c>
      <c r="D621" s="256" t="s">
        <v>538</v>
      </c>
      <c r="E621" s="256" t="s">
        <v>539</v>
      </c>
      <c r="F621" s="256" t="s">
        <v>818</v>
      </c>
      <c r="G621" s="256" t="s">
        <v>93</v>
      </c>
      <c r="H621" s="256"/>
      <c r="I621" s="257">
        <v>0</v>
      </c>
      <c r="J621" s="257">
        <v>0</v>
      </c>
      <c r="K621" s="257">
        <v>0</v>
      </c>
      <c r="L621" s="257">
        <v>0</v>
      </c>
      <c r="M621" s="257">
        <v>0</v>
      </c>
      <c r="N621" s="257">
        <v>0</v>
      </c>
      <c r="O621" s="257">
        <v>0</v>
      </c>
      <c r="P621" s="257">
        <v>0</v>
      </c>
      <c r="Q621" s="258">
        <v>0</v>
      </c>
    </row>
    <row r="622" spans="1:17">
      <c r="A622" s="256">
        <v>1</v>
      </c>
      <c r="B622" s="256">
        <v>8831014</v>
      </c>
      <c r="C622" s="256">
        <v>883101400</v>
      </c>
      <c r="D622" s="256" t="s">
        <v>538</v>
      </c>
      <c r="E622" s="256" t="s">
        <v>539</v>
      </c>
      <c r="F622" s="256" t="s">
        <v>818</v>
      </c>
      <c r="G622" s="256" t="s">
        <v>91</v>
      </c>
      <c r="H622" s="256"/>
      <c r="I622" s="257">
        <v>0</v>
      </c>
      <c r="J622" s="257">
        <v>0</v>
      </c>
      <c r="K622" s="257">
        <v>0</v>
      </c>
      <c r="L622" s="257">
        <v>0</v>
      </c>
      <c r="M622" s="257">
        <v>0</v>
      </c>
      <c r="N622" s="257">
        <v>0</v>
      </c>
      <c r="O622" s="257">
        <v>0</v>
      </c>
      <c r="P622" s="257">
        <v>0</v>
      </c>
      <c r="Q622" s="258">
        <v>0</v>
      </c>
    </row>
    <row r="623" spans="1:17">
      <c r="A623" s="256">
        <v>1</v>
      </c>
      <c r="B623" s="256">
        <v>8831015</v>
      </c>
      <c r="C623" s="256">
        <v>883101500</v>
      </c>
      <c r="D623" s="256" t="s">
        <v>538</v>
      </c>
      <c r="E623" s="256" t="s">
        <v>539</v>
      </c>
      <c r="F623" s="256" t="s">
        <v>818</v>
      </c>
      <c r="G623" s="256" t="s">
        <v>89</v>
      </c>
      <c r="H623" s="256"/>
      <c r="I623" s="257">
        <v>0</v>
      </c>
      <c r="J623" s="257">
        <v>0</v>
      </c>
      <c r="K623" s="257">
        <v>0</v>
      </c>
      <c r="L623" s="257">
        <v>0</v>
      </c>
      <c r="M623" s="257">
        <v>0</v>
      </c>
      <c r="N623" s="257">
        <v>0</v>
      </c>
      <c r="O623" s="257">
        <v>0</v>
      </c>
      <c r="P623" s="257">
        <v>0</v>
      </c>
      <c r="Q623" s="258">
        <v>0</v>
      </c>
    </row>
    <row r="624" spans="1:17">
      <c r="A624" s="256">
        <v>1</v>
      </c>
      <c r="B624" s="256">
        <v>8831017</v>
      </c>
      <c r="C624" s="256">
        <v>883101700</v>
      </c>
      <c r="D624" s="256" t="s">
        <v>538</v>
      </c>
      <c r="E624" s="256" t="s">
        <v>539</v>
      </c>
      <c r="F624" s="256" t="s">
        <v>818</v>
      </c>
      <c r="G624" s="256" t="s">
        <v>87</v>
      </c>
      <c r="H624" s="256"/>
      <c r="I624" s="257">
        <v>0</v>
      </c>
      <c r="J624" s="257">
        <v>0</v>
      </c>
      <c r="K624" s="257">
        <v>0</v>
      </c>
      <c r="L624" s="257">
        <v>0</v>
      </c>
      <c r="M624" s="257">
        <v>0</v>
      </c>
      <c r="N624" s="257">
        <v>0</v>
      </c>
      <c r="O624" s="257">
        <v>0</v>
      </c>
      <c r="P624" s="257">
        <v>0</v>
      </c>
      <c r="Q624" s="258">
        <v>0</v>
      </c>
    </row>
    <row r="625" spans="1:17">
      <c r="A625" s="256">
        <v>1</v>
      </c>
      <c r="B625" s="256">
        <v>8831019</v>
      </c>
      <c r="C625" s="256">
        <v>883101900</v>
      </c>
      <c r="D625" s="256" t="s">
        <v>538</v>
      </c>
      <c r="E625" s="256" t="s">
        <v>539</v>
      </c>
      <c r="F625" s="256" t="s">
        <v>818</v>
      </c>
      <c r="G625" s="256" t="s">
        <v>85</v>
      </c>
      <c r="H625" s="256"/>
      <c r="I625" s="257">
        <v>0</v>
      </c>
      <c r="J625" s="257">
        <v>0</v>
      </c>
      <c r="K625" s="257">
        <v>0</v>
      </c>
      <c r="L625" s="257">
        <v>0</v>
      </c>
      <c r="M625" s="257">
        <v>0</v>
      </c>
      <c r="N625" s="257">
        <v>0</v>
      </c>
      <c r="O625" s="257">
        <v>0</v>
      </c>
      <c r="P625" s="257">
        <v>0</v>
      </c>
      <c r="Q625" s="258">
        <v>0</v>
      </c>
    </row>
    <row r="626" spans="1:17">
      <c r="A626" s="256">
        <v>1</v>
      </c>
      <c r="B626" s="256">
        <v>8831020</v>
      </c>
      <c r="C626" s="256">
        <v>883102000</v>
      </c>
      <c r="D626" s="256" t="s">
        <v>538</v>
      </c>
      <c r="E626" s="256" t="s">
        <v>539</v>
      </c>
      <c r="F626" s="256" t="s">
        <v>818</v>
      </c>
      <c r="G626" s="256" t="s">
        <v>83</v>
      </c>
      <c r="H626" s="256"/>
      <c r="I626" s="257">
        <v>0</v>
      </c>
      <c r="J626" s="257">
        <v>0</v>
      </c>
      <c r="K626" s="257">
        <v>0</v>
      </c>
      <c r="L626" s="257">
        <v>0</v>
      </c>
      <c r="M626" s="257">
        <v>0</v>
      </c>
      <c r="N626" s="257">
        <v>0</v>
      </c>
      <c r="O626" s="257">
        <v>0</v>
      </c>
      <c r="P626" s="257">
        <v>0</v>
      </c>
      <c r="Q626" s="258">
        <v>0</v>
      </c>
    </row>
    <row r="627" spans="1:17">
      <c r="A627" s="256">
        <v>1</v>
      </c>
      <c r="B627" s="256">
        <v>8831021</v>
      </c>
      <c r="C627" s="256">
        <v>883102100</v>
      </c>
      <c r="D627" s="256" t="s">
        <v>538</v>
      </c>
      <c r="E627" s="256" t="s">
        <v>539</v>
      </c>
      <c r="F627" s="256" t="s">
        <v>818</v>
      </c>
      <c r="G627" s="256" t="s">
        <v>81</v>
      </c>
      <c r="H627" s="256"/>
      <c r="I627" s="257">
        <v>0</v>
      </c>
      <c r="J627" s="257">
        <v>0</v>
      </c>
      <c r="K627" s="257">
        <v>0</v>
      </c>
      <c r="L627" s="257">
        <v>0</v>
      </c>
      <c r="M627" s="257">
        <v>0</v>
      </c>
      <c r="N627" s="257">
        <v>0</v>
      </c>
      <c r="O627" s="257">
        <v>0</v>
      </c>
      <c r="P627" s="257">
        <v>0</v>
      </c>
      <c r="Q627" s="258">
        <v>0</v>
      </c>
    </row>
    <row r="628" spans="1:17">
      <c r="A628" s="256">
        <v>1</v>
      </c>
      <c r="B628" s="256">
        <v>8831023</v>
      </c>
      <c r="C628" s="256">
        <v>883102300</v>
      </c>
      <c r="D628" s="256" t="s">
        <v>538</v>
      </c>
      <c r="E628" s="256" t="s">
        <v>539</v>
      </c>
      <c r="F628" s="256" t="s">
        <v>818</v>
      </c>
      <c r="G628" s="256" t="s">
        <v>79</v>
      </c>
      <c r="H628" s="256"/>
      <c r="I628" s="257">
        <v>0</v>
      </c>
      <c r="J628" s="257">
        <v>0</v>
      </c>
      <c r="K628" s="257">
        <v>0</v>
      </c>
      <c r="L628" s="257">
        <v>0</v>
      </c>
      <c r="M628" s="257">
        <v>0</v>
      </c>
      <c r="N628" s="257">
        <v>0</v>
      </c>
      <c r="O628" s="257">
        <v>0</v>
      </c>
      <c r="P628" s="257">
        <v>0</v>
      </c>
      <c r="Q628" s="258">
        <v>0</v>
      </c>
    </row>
    <row r="629" spans="1:17">
      <c r="A629" s="256">
        <v>1</v>
      </c>
      <c r="B629" s="256">
        <v>8831024</v>
      </c>
      <c r="C629" s="256">
        <v>883102400</v>
      </c>
      <c r="D629" s="256" t="s">
        <v>538</v>
      </c>
      <c r="E629" s="256" t="s">
        <v>539</v>
      </c>
      <c r="F629" s="256" t="s">
        <v>818</v>
      </c>
      <c r="G629" s="256" t="s">
        <v>77</v>
      </c>
      <c r="H629" s="256"/>
      <c r="I629" s="257">
        <v>0</v>
      </c>
      <c r="J629" s="257">
        <v>0</v>
      </c>
      <c r="K629" s="257">
        <v>0</v>
      </c>
      <c r="L629" s="257">
        <v>0</v>
      </c>
      <c r="M629" s="257">
        <v>0</v>
      </c>
      <c r="N629" s="257">
        <v>0</v>
      </c>
      <c r="O629" s="257">
        <v>0</v>
      </c>
      <c r="P629" s="257">
        <v>0</v>
      </c>
      <c r="Q629" s="258">
        <v>0</v>
      </c>
    </row>
    <row r="630" spans="1:17">
      <c r="A630" s="256">
        <v>1</v>
      </c>
      <c r="B630" s="256">
        <v>8831025</v>
      </c>
      <c r="C630" s="256">
        <v>883102500</v>
      </c>
      <c r="D630" s="256" t="s">
        <v>538</v>
      </c>
      <c r="E630" s="256" t="s">
        <v>539</v>
      </c>
      <c r="F630" s="256" t="s">
        <v>818</v>
      </c>
      <c r="G630" s="256" t="s">
        <v>75</v>
      </c>
      <c r="H630" s="256"/>
      <c r="I630" s="257">
        <v>0</v>
      </c>
      <c r="J630" s="257">
        <v>0</v>
      </c>
      <c r="K630" s="257">
        <v>0</v>
      </c>
      <c r="L630" s="257">
        <v>0</v>
      </c>
      <c r="M630" s="257">
        <v>0</v>
      </c>
      <c r="N630" s="257">
        <v>0</v>
      </c>
      <c r="O630" s="257">
        <v>0</v>
      </c>
      <c r="P630" s="257">
        <v>0</v>
      </c>
      <c r="Q630" s="258">
        <v>0</v>
      </c>
    </row>
    <row r="631" spans="1:17">
      <c r="A631" s="256">
        <v>1</v>
      </c>
      <c r="B631" s="256">
        <v>8831026</v>
      </c>
      <c r="C631" s="256">
        <v>883102600</v>
      </c>
      <c r="D631" s="256" t="s">
        <v>538</v>
      </c>
      <c r="E631" s="256" t="s">
        <v>539</v>
      </c>
      <c r="F631" s="256" t="s">
        <v>818</v>
      </c>
      <c r="G631" s="256" t="s">
        <v>73</v>
      </c>
      <c r="H631" s="256"/>
      <c r="I631" s="257">
        <v>0</v>
      </c>
      <c r="J631" s="257">
        <v>0</v>
      </c>
      <c r="K631" s="257">
        <v>0</v>
      </c>
      <c r="L631" s="257">
        <v>0</v>
      </c>
      <c r="M631" s="257">
        <v>0</v>
      </c>
      <c r="N631" s="257">
        <v>0</v>
      </c>
      <c r="O631" s="257">
        <v>0</v>
      </c>
      <c r="P631" s="257">
        <v>0</v>
      </c>
      <c r="Q631" s="258">
        <v>0</v>
      </c>
    </row>
    <row r="632" spans="1:17">
      <c r="A632" s="256">
        <v>1</v>
      </c>
      <c r="B632" s="256">
        <v>8831028</v>
      </c>
      <c r="C632" s="256">
        <v>883102866</v>
      </c>
      <c r="D632" s="256" t="s">
        <v>538</v>
      </c>
      <c r="E632" s="256" t="s">
        <v>539</v>
      </c>
      <c r="F632" s="256" t="s">
        <v>818</v>
      </c>
      <c r="G632" s="256" t="s">
        <v>811</v>
      </c>
      <c r="H632" s="256" t="s">
        <v>812</v>
      </c>
      <c r="I632" s="257">
        <v>0</v>
      </c>
      <c r="J632" s="257">
        <v>0</v>
      </c>
      <c r="K632" s="257">
        <v>0</v>
      </c>
      <c r="L632" s="257">
        <v>0</v>
      </c>
      <c r="M632" s="257">
        <v>0</v>
      </c>
      <c r="N632" s="257">
        <v>0</v>
      </c>
      <c r="O632" s="257">
        <v>0</v>
      </c>
      <c r="P632" s="257">
        <v>0</v>
      </c>
      <c r="Q632" s="258">
        <v>0</v>
      </c>
    </row>
    <row r="633" spans="1:17">
      <c r="A633" s="256">
        <v>1</v>
      </c>
      <c r="B633" s="256">
        <v>8831028</v>
      </c>
      <c r="C633" s="256">
        <v>883102867</v>
      </c>
      <c r="D633" s="256" t="s">
        <v>538</v>
      </c>
      <c r="E633" s="256" t="s">
        <v>539</v>
      </c>
      <c r="F633" s="256" t="s">
        <v>818</v>
      </c>
      <c r="G633" s="256" t="s">
        <v>811</v>
      </c>
      <c r="H633" s="256" t="s">
        <v>813</v>
      </c>
      <c r="I633" s="257">
        <v>0</v>
      </c>
      <c r="J633" s="257">
        <v>0</v>
      </c>
      <c r="K633" s="257">
        <v>0</v>
      </c>
      <c r="L633" s="257">
        <v>0</v>
      </c>
      <c r="M633" s="257">
        <v>0</v>
      </c>
      <c r="N633" s="257">
        <v>0</v>
      </c>
      <c r="O633" s="257">
        <v>0</v>
      </c>
      <c r="P633" s="257">
        <v>0</v>
      </c>
      <c r="Q633" s="258">
        <v>0</v>
      </c>
    </row>
    <row r="634" spans="1:17">
      <c r="A634" s="256">
        <v>1</v>
      </c>
      <c r="B634" s="256">
        <v>8831029</v>
      </c>
      <c r="C634" s="256">
        <v>883102900</v>
      </c>
      <c r="D634" s="256" t="s">
        <v>538</v>
      </c>
      <c r="E634" s="256" t="s">
        <v>539</v>
      </c>
      <c r="F634" s="256" t="s">
        <v>818</v>
      </c>
      <c r="G634" s="256" t="s">
        <v>66</v>
      </c>
      <c r="H634" s="256"/>
      <c r="I634" s="257">
        <v>0</v>
      </c>
      <c r="J634" s="257">
        <v>0</v>
      </c>
      <c r="K634" s="257">
        <v>0</v>
      </c>
      <c r="L634" s="257">
        <v>0</v>
      </c>
      <c r="M634" s="257">
        <v>0</v>
      </c>
      <c r="N634" s="257">
        <v>0</v>
      </c>
      <c r="O634" s="257">
        <v>0</v>
      </c>
      <c r="P634" s="257">
        <v>0</v>
      </c>
      <c r="Q634" s="258">
        <v>0</v>
      </c>
    </row>
    <row r="635" spans="1:17">
      <c r="A635" s="256">
        <v>1</v>
      </c>
      <c r="B635" s="256">
        <v>8831030</v>
      </c>
      <c r="C635" s="256">
        <v>883103000</v>
      </c>
      <c r="D635" s="256" t="s">
        <v>538</v>
      </c>
      <c r="E635" s="256" t="s">
        <v>539</v>
      </c>
      <c r="F635" s="256" t="s">
        <v>818</v>
      </c>
      <c r="G635" s="256" t="s">
        <v>64</v>
      </c>
      <c r="H635" s="256"/>
      <c r="I635" s="257">
        <v>0</v>
      </c>
      <c r="J635" s="257">
        <v>0</v>
      </c>
      <c r="K635" s="257">
        <v>0</v>
      </c>
      <c r="L635" s="257">
        <v>0</v>
      </c>
      <c r="M635" s="257">
        <v>0</v>
      </c>
      <c r="N635" s="257">
        <v>0</v>
      </c>
      <c r="O635" s="257">
        <v>0</v>
      </c>
      <c r="P635" s="257">
        <v>0</v>
      </c>
      <c r="Q635" s="258">
        <v>0</v>
      </c>
    </row>
    <row r="636" spans="1:17">
      <c r="A636" s="256">
        <v>1</v>
      </c>
      <c r="B636" s="256">
        <v>8831031</v>
      </c>
      <c r="C636" s="256">
        <v>883103100</v>
      </c>
      <c r="D636" s="256" t="s">
        <v>538</v>
      </c>
      <c r="E636" s="256" t="s">
        <v>539</v>
      </c>
      <c r="F636" s="256" t="s">
        <v>818</v>
      </c>
      <c r="G636" s="256" t="s">
        <v>62</v>
      </c>
      <c r="H636" s="256"/>
      <c r="I636" s="257">
        <v>0</v>
      </c>
      <c r="J636" s="257">
        <v>0</v>
      </c>
      <c r="K636" s="257">
        <v>0</v>
      </c>
      <c r="L636" s="257">
        <v>0</v>
      </c>
      <c r="M636" s="257">
        <v>0</v>
      </c>
      <c r="N636" s="257">
        <v>0</v>
      </c>
      <c r="O636" s="257">
        <v>0</v>
      </c>
      <c r="P636" s="257">
        <v>0</v>
      </c>
      <c r="Q636" s="258">
        <v>0</v>
      </c>
    </row>
    <row r="637" spans="1:17">
      <c r="A637" s="256">
        <v>1</v>
      </c>
      <c r="B637" s="256">
        <v>8831037</v>
      </c>
      <c r="C637" s="256">
        <v>883103700</v>
      </c>
      <c r="D637" s="256" t="s">
        <v>538</v>
      </c>
      <c r="E637" s="256" t="s">
        <v>539</v>
      </c>
      <c r="F637" s="256" t="s">
        <v>818</v>
      </c>
      <c r="G637" s="256" t="s">
        <v>60</v>
      </c>
      <c r="H637" s="256"/>
      <c r="I637" s="257">
        <v>0</v>
      </c>
      <c r="J637" s="257">
        <v>0</v>
      </c>
      <c r="K637" s="257">
        <v>0</v>
      </c>
      <c r="L637" s="257">
        <v>0</v>
      </c>
      <c r="M637" s="257">
        <v>0</v>
      </c>
      <c r="N637" s="257">
        <v>0</v>
      </c>
      <c r="O637" s="257">
        <v>0</v>
      </c>
      <c r="P637" s="257">
        <v>0</v>
      </c>
      <c r="Q637" s="258">
        <v>0</v>
      </c>
    </row>
    <row r="638" spans="1:17">
      <c r="A638" s="256">
        <v>1</v>
      </c>
      <c r="B638" s="256">
        <v>8831039</v>
      </c>
      <c r="C638" s="256">
        <v>883103900</v>
      </c>
      <c r="D638" s="256" t="s">
        <v>538</v>
      </c>
      <c r="E638" s="256" t="s">
        <v>539</v>
      </c>
      <c r="F638" s="256" t="s">
        <v>818</v>
      </c>
      <c r="G638" s="256" t="s">
        <v>58</v>
      </c>
      <c r="H638" s="256"/>
      <c r="I638" s="257">
        <v>0</v>
      </c>
      <c r="J638" s="257">
        <v>0</v>
      </c>
      <c r="K638" s="257">
        <v>0</v>
      </c>
      <c r="L638" s="257">
        <v>0</v>
      </c>
      <c r="M638" s="257">
        <v>0</v>
      </c>
      <c r="N638" s="257">
        <v>0</v>
      </c>
      <c r="O638" s="257">
        <v>0</v>
      </c>
      <c r="P638" s="257">
        <v>0</v>
      </c>
      <c r="Q638" s="258">
        <v>0</v>
      </c>
    </row>
    <row r="639" spans="1:17">
      <c r="A639" s="256">
        <v>1</v>
      </c>
      <c r="B639" s="256">
        <v>8831040</v>
      </c>
      <c r="C639" s="256">
        <v>883104000</v>
      </c>
      <c r="D639" s="256" t="s">
        <v>538</v>
      </c>
      <c r="E639" s="256" t="s">
        <v>539</v>
      </c>
      <c r="F639" s="256" t="s">
        <v>818</v>
      </c>
      <c r="G639" s="256" t="s">
        <v>56</v>
      </c>
      <c r="H639" s="256"/>
      <c r="I639" s="257">
        <v>0</v>
      </c>
      <c r="J639" s="257">
        <v>0</v>
      </c>
      <c r="K639" s="257">
        <v>0</v>
      </c>
      <c r="L639" s="257">
        <v>0</v>
      </c>
      <c r="M639" s="257">
        <v>0</v>
      </c>
      <c r="N639" s="257">
        <v>0</v>
      </c>
      <c r="O639" s="257">
        <v>0</v>
      </c>
      <c r="P639" s="257">
        <v>0</v>
      </c>
      <c r="Q639" s="258">
        <v>0</v>
      </c>
    </row>
    <row r="640" spans="1:17">
      <c r="A640" s="256">
        <v>1</v>
      </c>
      <c r="B640" s="256">
        <v>8831041</v>
      </c>
      <c r="C640" s="256">
        <v>883104100</v>
      </c>
      <c r="D640" s="256" t="s">
        <v>538</v>
      </c>
      <c r="E640" s="256" t="s">
        <v>539</v>
      </c>
      <c r="F640" s="256" t="s">
        <v>818</v>
      </c>
      <c r="G640" s="256" t="s">
        <v>55</v>
      </c>
      <c r="H640" s="256"/>
      <c r="I640" s="257">
        <v>0</v>
      </c>
      <c r="J640" s="257">
        <v>0</v>
      </c>
      <c r="K640" s="257">
        <v>0</v>
      </c>
      <c r="L640" s="257">
        <v>0</v>
      </c>
      <c r="M640" s="257">
        <v>0</v>
      </c>
      <c r="N640" s="257">
        <v>0</v>
      </c>
      <c r="O640" s="257">
        <v>0</v>
      </c>
      <c r="P640" s="257">
        <v>0</v>
      </c>
      <c r="Q640" s="258">
        <v>0</v>
      </c>
    </row>
    <row r="641" spans="1:17">
      <c r="A641" s="256">
        <v>1</v>
      </c>
      <c r="B641" s="256">
        <v>8831201</v>
      </c>
      <c r="C641" s="256">
        <v>883120102</v>
      </c>
      <c r="D641" s="256" t="s">
        <v>538</v>
      </c>
      <c r="E641" s="256" t="s">
        <v>539</v>
      </c>
      <c r="F641" s="256" t="s">
        <v>819</v>
      </c>
      <c r="G641" s="256" t="s">
        <v>112</v>
      </c>
      <c r="H641" s="256" t="s">
        <v>737</v>
      </c>
      <c r="I641" s="257">
        <v>0</v>
      </c>
      <c r="J641" s="257">
        <v>0</v>
      </c>
      <c r="K641" s="257">
        <v>0</v>
      </c>
      <c r="L641" s="257">
        <v>0</v>
      </c>
      <c r="M641" s="257">
        <v>0</v>
      </c>
      <c r="N641" s="257">
        <v>0</v>
      </c>
      <c r="O641" s="257">
        <v>0</v>
      </c>
      <c r="P641" s="257">
        <v>0</v>
      </c>
      <c r="Q641" s="258">
        <v>0</v>
      </c>
    </row>
    <row r="642" spans="1:17">
      <c r="A642" s="256">
        <v>1</v>
      </c>
      <c r="B642" s="256">
        <v>8831201</v>
      </c>
      <c r="C642" s="256">
        <v>883120103</v>
      </c>
      <c r="D642" s="256" t="s">
        <v>538</v>
      </c>
      <c r="E642" s="256" t="s">
        <v>539</v>
      </c>
      <c r="F642" s="256" t="s">
        <v>819</v>
      </c>
      <c r="G642" s="256" t="s">
        <v>112</v>
      </c>
      <c r="H642" s="256" t="s">
        <v>738</v>
      </c>
      <c r="I642" s="257">
        <v>0</v>
      </c>
      <c r="J642" s="257">
        <v>0</v>
      </c>
      <c r="K642" s="257">
        <v>0</v>
      </c>
      <c r="L642" s="257">
        <v>0</v>
      </c>
      <c r="M642" s="257">
        <v>0</v>
      </c>
      <c r="N642" s="257">
        <v>0</v>
      </c>
      <c r="O642" s="257">
        <v>0</v>
      </c>
      <c r="P642" s="257">
        <v>0</v>
      </c>
      <c r="Q642" s="258">
        <v>0</v>
      </c>
    </row>
    <row r="643" spans="1:17">
      <c r="A643" s="256">
        <v>1</v>
      </c>
      <c r="B643" s="256">
        <v>8831201</v>
      </c>
      <c r="C643" s="256">
        <v>883120104</v>
      </c>
      <c r="D643" s="256" t="s">
        <v>538</v>
      </c>
      <c r="E643" s="256" t="s">
        <v>539</v>
      </c>
      <c r="F643" s="256" t="s">
        <v>819</v>
      </c>
      <c r="G643" s="256" t="s">
        <v>112</v>
      </c>
      <c r="H643" s="256" t="s">
        <v>739</v>
      </c>
      <c r="I643" s="257">
        <v>0</v>
      </c>
      <c r="J643" s="257">
        <v>0</v>
      </c>
      <c r="K643" s="257">
        <v>0</v>
      </c>
      <c r="L643" s="257">
        <v>0</v>
      </c>
      <c r="M643" s="257">
        <v>0</v>
      </c>
      <c r="N643" s="257">
        <v>0</v>
      </c>
      <c r="O643" s="257">
        <v>0</v>
      </c>
      <c r="P643" s="257">
        <v>0</v>
      </c>
      <c r="Q643" s="258">
        <v>0</v>
      </c>
    </row>
    <row r="644" spans="1:17">
      <c r="A644" s="236">
        <v>1</v>
      </c>
      <c r="B644" s="236">
        <v>8831201</v>
      </c>
      <c r="C644" s="236">
        <v>883120105</v>
      </c>
      <c r="D644" s="236" t="s">
        <v>538</v>
      </c>
      <c r="E644" s="236" t="s">
        <v>539</v>
      </c>
      <c r="F644" s="236" t="s">
        <v>819</v>
      </c>
      <c r="G644" s="236" t="s">
        <v>112</v>
      </c>
      <c r="H644" s="236" t="s">
        <v>740</v>
      </c>
      <c r="I644" s="257">
        <v>19274556</v>
      </c>
      <c r="J644" s="257">
        <v>0</v>
      </c>
      <c r="K644" s="257">
        <v>0</v>
      </c>
      <c r="L644" s="257">
        <v>0</v>
      </c>
      <c r="M644" s="257">
        <v>0</v>
      </c>
      <c r="N644" s="257">
        <v>0</v>
      </c>
      <c r="O644" s="257">
        <v>0</v>
      </c>
      <c r="P644" s="257">
        <v>19274556</v>
      </c>
      <c r="Q644" s="258">
        <v>0</v>
      </c>
    </row>
    <row r="645" spans="1:17">
      <c r="A645" s="256">
        <v>1</v>
      </c>
      <c r="B645" s="256">
        <v>8831202</v>
      </c>
      <c r="C645" s="256">
        <v>883120202</v>
      </c>
      <c r="D645" s="256" t="s">
        <v>538</v>
      </c>
      <c r="E645" s="256" t="s">
        <v>539</v>
      </c>
      <c r="F645" s="256" t="s">
        <v>819</v>
      </c>
      <c r="G645" s="256" t="s">
        <v>110</v>
      </c>
      <c r="H645" s="256" t="s">
        <v>741</v>
      </c>
      <c r="I645" s="257">
        <v>22985320</v>
      </c>
      <c r="J645" s="257">
        <v>0</v>
      </c>
      <c r="K645" s="257">
        <v>0</v>
      </c>
      <c r="L645" s="257">
        <v>0</v>
      </c>
      <c r="M645" s="257">
        <v>0</v>
      </c>
      <c r="N645" s="257">
        <v>0</v>
      </c>
      <c r="O645" s="257">
        <v>0</v>
      </c>
      <c r="P645" s="257">
        <v>22985320</v>
      </c>
      <c r="Q645" s="258">
        <v>0</v>
      </c>
    </row>
    <row r="646" spans="1:17">
      <c r="A646" s="256">
        <v>1</v>
      </c>
      <c r="B646" s="256">
        <v>8831203</v>
      </c>
      <c r="C646" s="256">
        <v>883120301</v>
      </c>
      <c r="D646" s="256" t="s">
        <v>538</v>
      </c>
      <c r="E646" s="256" t="s">
        <v>539</v>
      </c>
      <c r="F646" s="256" t="s">
        <v>819</v>
      </c>
      <c r="G646" s="256" t="s">
        <v>108</v>
      </c>
      <c r="H646" s="256" t="s">
        <v>742</v>
      </c>
      <c r="I646" s="257">
        <v>2305456</v>
      </c>
      <c r="J646" s="257">
        <v>0</v>
      </c>
      <c r="K646" s="257">
        <v>0</v>
      </c>
      <c r="L646" s="257">
        <v>0</v>
      </c>
      <c r="M646" s="257">
        <v>0</v>
      </c>
      <c r="N646" s="257">
        <v>0</v>
      </c>
      <c r="O646" s="257">
        <v>0</v>
      </c>
      <c r="P646" s="257">
        <v>2305456</v>
      </c>
      <c r="Q646" s="258">
        <v>0</v>
      </c>
    </row>
    <row r="647" spans="1:17">
      <c r="A647" s="256">
        <v>1</v>
      </c>
      <c r="B647" s="256">
        <v>8831203</v>
      </c>
      <c r="C647" s="256">
        <v>883120302</v>
      </c>
      <c r="D647" s="256" t="s">
        <v>538</v>
      </c>
      <c r="E647" s="256" t="s">
        <v>539</v>
      </c>
      <c r="F647" s="256" t="s">
        <v>819</v>
      </c>
      <c r="G647" s="256" t="s">
        <v>108</v>
      </c>
      <c r="H647" s="256" t="s">
        <v>743</v>
      </c>
      <c r="I647" s="257">
        <v>0</v>
      </c>
      <c r="J647" s="257">
        <v>0</v>
      </c>
      <c r="K647" s="257">
        <v>0</v>
      </c>
      <c r="L647" s="257">
        <v>0</v>
      </c>
      <c r="M647" s="257">
        <v>0</v>
      </c>
      <c r="N647" s="257">
        <v>0</v>
      </c>
      <c r="O647" s="257">
        <v>0</v>
      </c>
      <c r="P647" s="257">
        <v>0</v>
      </c>
      <c r="Q647" s="258">
        <v>0</v>
      </c>
    </row>
    <row r="648" spans="1:17">
      <c r="A648" s="256">
        <v>1</v>
      </c>
      <c r="B648" s="256">
        <v>8831203</v>
      </c>
      <c r="C648" s="256">
        <v>883120303</v>
      </c>
      <c r="D648" s="256" t="s">
        <v>538</v>
      </c>
      <c r="E648" s="256" t="s">
        <v>539</v>
      </c>
      <c r="F648" s="256" t="s">
        <v>819</v>
      </c>
      <c r="G648" s="256" t="s">
        <v>108</v>
      </c>
      <c r="H648" s="256" t="s">
        <v>744</v>
      </c>
      <c r="I648" s="257">
        <v>9621019</v>
      </c>
      <c r="J648" s="257">
        <v>0</v>
      </c>
      <c r="K648" s="257">
        <v>0</v>
      </c>
      <c r="L648" s="257">
        <v>0</v>
      </c>
      <c r="M648" s="257">
        <v>0</v>
      </c>
      <c r="N648" s="257">
        <v>0</v>
      </c>
      <c r="O648" s="257">
        <v>0</v>
      </c>
      <c r="P648" s="257">
        <v>9621019</v>
      </c>
      <c r="Q648" s="258">
        <v>0</v>
      </c>
    </row>
    <row r="649" spans="1:17">
      <c r="A649" s="256">
        <v>1</v>
      </c>
      <c r="B649" s="256">
        <v>8831203</v>
      </c>
      <c r="C649" s="256">
        <v>883120304</v>
      </c>
      <c r="D649" s="256" t="s">
        <v>538</v>
      </c>
      <c r="E649" s="256" t="s">
        <v>539</v>
      </c>
      <c r="F649" s="256" t="s">
        <v>819</v>
      </c>
      <c r="G649" s="256" t="s">
        <v>108</v>
      </c>
      <c r="H649" s="256" t="s">
        <v>745</v>
      </c>
      <c r="I649" s="257">
        <v>517080</v>
      </c>
      <c r="J649" s="257">
        <v>0</v>
      </c>
      <c r="K649" s="257">
        <v>0</v>
      </c>
      <c r="L649" s="257">
        <v>0</v>
      </c>
      <c r="M649" s="257">
        <v>0</v>
      </c>
      <c r="N649" s="257">
        <v>517080</v>
      </c>
      <c r="O649" s="257">
        <v>0</v>
      </c>
      <c r="P649" s="257">
        <v>0</v>
      </c>
      <c r="Q649" s="258">
        <v>0</v>
      </c>
    </row>
    <row r="650" spans="1:17">
      <c r="A650" s="256">
        <v>1</v>
      </c>
      <c r="B650" s="256">
        <v>8831203</v>
      </c>
      <c r="C650" s="256">
        <v>883120305</v>
      </c>
      <c r="D650" s="256" t="s">
        <v>538</v>
      </c>
      <c r="E650" s="256" t="s">
        <v>539</v>
      </c>
      <c r="F650" s="256" t="s">
        <v>819</v>
      </c>
      <c r="G650" s="256" t="s">
        <v>108</v>
      </c>
      <c r="H650" s="256" t="s">
        <v>746</v>
      </c>
      <c r="I650" s="257">
        <v>69600</v>
      </c>
      <c r="J650" s="257">
        <v>0</v>
      </c>
      <c r="K650" s="257">
        <v>0</v>
      </c>
      <c r="L650" s="257">
        <v>0</v>
      </c>
      <c r="M650" s="257">
        <v>0</v>
      </c>
      <c r="N650" s="257">
        <v>0</v>
      </c>
      <c r="O650" s="257">
        <v>0</v>
      </c>
      <c r="P650" s="257">
        <v>69600</v>
      </c>
      <c r="Q650" s="258">
        <v>0</v>
      </c>
    </row>
    <row r="651" spans="1:17">
      <c r="A651" s="256">
        <v>1</v>
      </c>
      <c r="B651" s="256">
        <v>8831203</v>
      </c>
      <c r="C651" s="256">
        <v>883120306</v>
      </c>
      <c r="D651" s="256" t="s">
        <v>538</v>
      </c>
      <c r="E651" s="256" t="s">
        <v>539</v>
      </c>
      <c r="F651" s="256" t="s">
        <v>819</v>
      </c>
      <c r="G651" s="256" t="s">
        <v>108</v>
      </c>
      <c r="H651" s="256" t="s">
        <v>747</v>
      </c>
      <c r="I651" s="257">
        <v>0</v>
      </c>
      <c r="J651" s="257">
        <v>0</v>
      </c>
      <c r="K651" s="257">
        <v>0</v>
      </c>
      <c r="L651" s="257">
        <v>0</v>
      </c>
      <c r="M651" s="257">
        <v>0</v>
      </c>
      <c r="N651" s="257">
        <v>0</v>
      </c>
      <c r="O651" s="257">
        <v>0</v>
      </c>
      <c r="P651" s="257">
        <v>0</v>
      </c>
      <c r="Q651" s="258">
        <v>0</v>
      </c>
    </row>
    <row r="652" spans="1:17">
      <c r="A652" s="256">
        <v>1</v>
      </c>
      <c r="B652" s="256">
        <v>8831203</v>
      </c>
      <c r="C652" s="256">
        <v>883120307</v>
      </c>
      <c r="D652" s="256" t="s">
        <v>538</v>
      </c>
      <c r="E652" s="256" t="s">
        <v>539</v>
      </c>
      <c r="F652" s="256" t="s">
        <v>819</v>
      </c>
      <c r="G652" s="256" t="s">
        <v>108</v>
      </c>
      <c r="H652" s="256" t="s">
        <v>748</v>
      </c>
      <c r="I652" s="257">
        <v>383622</v>
      </c>
      <c r="J652" s="257">
        <v>0</v>
      </c>
      <c r="K652" s="257">
        <v>0</v>
      </c>
      <c r="L652" s="257">
        <v>0</v>
      </c>
      <c r="M652" s="257">
        <v>0</v>
      </c>
      <c r="N652" s="257">
        <v>0</v>
      </c>
      <c r="O652" s="257">
        <v>0</v>
      </c>
      <c r="P652" s="257">
        <v>383622</v>
      </c>
      <c r="Q652" s="258">
        <v>0</v>
      </c>
    </row>
    <row r="653" spans="1:17">
      <c r="A653" s="256">
        <v>1</v>
      </c>
      <c r="B653" s="256">
        <v>8831203</v>
      </c>
      <c r="C653" s="256">
        <v>883120310</v>
      </c>
      <c r="D653" s="256" t="s">
        <v>538</v>
      </c>
      <c r="E653" s="256" t="s">
        <v>539</v>
      </c>
      <c r="F653" s="256" t="s">
        <v>819</v>
      </c>
      <c r="G653" s="256" t="s">
        <v>108</v>
      </c>
      <c r="H653" s="256" t="s">
        <v>749</v>
      </c>
      <c r="I653" s="257">
        <v>1478667</v>
      </c>
      <c r="J653" s="257">
        <v>0</v>
      </c>
      <c r="K653" s="257">
        <v>0</v>
      </c>
      <c r="L653" s="257">
        <v>0</v>
      </c>
      <c r="M653" s="257">
        <v>0</v>
      </c>
      <c r="N653" s="257">
        <v>0</v>
      </c>
      <c r="O653" s="257">
        <v>0</v>
      </c>
      <c r="P653" s="257">
        <v>1478667</v>
      </c>
      <c r="Q653" s="258">
        <v>0</v>
      </c>
    </row>
    <row r="654" spans="1:17">
      <c r="A654" s="256">
        <v>1</v>
      </c>
      <c r="B654" s="256">
        <v>8831203</v>
      </c>
      <c r="C654" s="256">
        <v>883120311</v>
      </c>
      <c r="D654" s="256" t="s">
        <v>538</v>
      </c>
      <c r="E654" s="256" t="s">
        <v>539</v>
      </c>
      <c r="F654" s="256" t="s">
        <v>819</v>
      </c>
      <c r="G654" s="256" t="s">
        <v>108</v>
      </c>
      <c r="H654" s="256" t="s">
        <v>750</v>
      </c>
      <c r="I654" s="257">
        <v>0</v>
      </c>
      <c r="J654" s="257">
        <v>0</v>
      </c>
      <c r="K654" s="257">
        <v>0</v>
      </c>
      <c r="L654" s="257">
        <v>0</v>
      </c>
      <c r="M654" s="257">
        <v>0</v>
      </c>
      <c r="N654" s="257">
        <v>0</v>
      </c>
      <c r="O654" s="257">
        <v>0</v>
      </c>
      <c r="P654" s="257">
        <v>0</v>
      </c>
      <c r="Q654" s="258">
        <v>0</v>
      </c>
    </row>
    <row r="655" spans="1:17">
      <c r="A655" s="256">
        <v>1</v>
      </c>
      <c r="B655" s="256">
        <v>8831203</v>
      </c>
      <c r="C655" s="256">
        <v>883120314</v>
      </c>
      <c r="D655" s="256" t="s">
        <v>538</v>
      </c>
      <c r="E655" s="256" t="s">
        <v>539</v>
      </c>
      <c r="F655" s="256" t="s">
        <v>819</v>
      </c>
      <c r="G655" s="256" t="s">
        <v>108</v>
      </c>
      <c r="H655" s="256" t="s">
        <v>751</v>
      </c>
      <c r="I655" s="257">
        <v>324000</v>
      </c>
      <c r="J655" s="257">
        <v>0</v>
      </c>
      <c r="K655" s="257">
        <v>0</v>
      </c>
      <c r="L655" s="257">
        <v>0</v>
      </c>
      <c r="M655" s="257">
        <v>0</v>
      </c>
      <c r="N655" s="257">
        <v>0</v>
      </c>
      <c r="O655" s="257">
        <v>0</v>
      </c>
      <c r="P655" s="257">
        <v>324000</v>
      </c>
      <c r="Q655" s="258">
        <v>0</v>
      </c>
    </row>
    <row r="656" spans="1:17">
      <c r="A656" s="256">
        <v>1</v>
      </c>
      <c r="B656" s="256">
        <v>8831203</v>
      </c>
      <c r="C656" s="256">
        <v>883120315</v>
      </c>
      <c r="D656" s="256" t="s">
        <v>538</v>
      </c>
      <c r="E656" s="256" t="s">
        <v>539</v>
      </c>
      <c r="F656" s="256" t="s">
        <v>819</v>
      </c>
      <c r="G656" s="256" t="s">
        <v>108</v>
      </c>
      <c r="H656" s="256" t="s">
        <v>752</v>
      </c>
      <c r="I656" s="257">
        <v>0</v>
      </c>
      <c r="J656" s="257">
        <v>0</v>
      </c>
      <c r="K656" s="257">
        <v>0</v>
      </c>
      <c r="L656" s="257">
        <v>0</v>
      </c>
      <c r="M656" s="257">
        <v>0</v>
      </c>
      <c r="N656" s="257">
        <v>0</v>
      </c>
      <c r="O656" s="257">
        <v>0</v>
      </c>
      <c r="P656" s="257">
        <v>0</v>
      </c>
      <c r="Q656" s="258">
        <v>0</v>
      </c>
    </row>
    <row r="657" spans="1:17">
      <c r="A657" s="256">
        <v>1</v>
      </c>
      <c r="B657" s="256">
        <v>8831204</v>
      </c>
      <c r="C657" s="256">
        <v>883120401</v>
      </c>
      <c r="D657" s="256" t="s">
        <v>538</v>
      </c>
      <c r="E657" s="256" t="s">
        <v>539</v>
      </c>
      <c r="F657" s="256" t="s">
        <v>819</v>
      </c>
      <c r="G657" s="256" t="s">
        <v>106</v>
      </c>
      <c r="H657" s="256" t="s">
        <v>755</v>
      </c>
      <c r="I657" s="257">
        <v>2319119</v>
      </c>
      <c r="J657" s="257">
        <v>0</v>
      </c>
      <c r="K657" s="257">
        <v>0</v>
      </c>
      <c r="L657" s="257">
        <v>0</v>
      </c>
      <c r="M657" s="257">
        <v>0</v>
      </c>
      <c r="N657" s="257">
        <v>0</v>
      </c>
      <c r="O657" s="257">
        <v>2319119</v>
      </c>
      <c r="P657" s="257">
        <v>0</v>
      </c>
      <c r="Q657" s="258">
        <v>0</v>
      </c>
    </row>
    <row r="658" spans="1:17">
      <c r="A658" s="256">
        <v>1</v>
      </c>
      <c r="B658" s="256">
        <v>8831204</v>
      </c>
      <c r="C658" s="256">
        <v>883120402</v>
      </c>
      <c r="D658" s="256" t="s">
        <v>538</v>
      </c>
      <c r="E658" s="256" t="s">
        <v>539</v>
      </c>
      <c r="F658" s="256" t="s">
        <v>819</v>
      </c>
      <c r="G658" s="256" t="s">
        <v>106</v>
      </c>
      <c r="H658" s="256" t="s">
        <v>756</v>
      </c>
      <c r="I658" s="257">
        <v>60748</v>
      </c>
      <c r="J658" s="257">
        <v>0</v>
      </c>
      <c r="K658" s="257">
        <v>0</v>
      </c>
      <c r="L658" s="257">
        <v>0</v>
      </c>
      <c r="M658" s="257">
        <v>0</v>
      </c>
      <c r="N658" s="257">
        <v>0</v>
      </c>
      <c r="O658" s="257">
        <v>0</v>
      </c>
      <c r="P658" s="257">
        <v>60748</v>
      </c>
      <c r="Q658" s="258">
        <v>0</v>
      </c>
    </row>
    <row r="659" spans="1:17">
      <c r="A659" s="256">
        <v>1</v>
      </c>
      <c r="B659" s="256">
        <v>8831204</v>
      </c>
      <c r="C659" s="256">
        <v>883120403</v>
      </c>
      <c r="D659" s="256" t="s">
        <v>538</v>
      </c>
      <c r="E659" s="256" t="s">
        <v>539</v>
      </c>
      <c r="F659" s="256" t="s">
        <v>819</v>
      </c>
      <c r="G659" s="256" t="s">
        <v>106</v>
      </c>
      <c r="H659" s="256" t="s">
        <v>757</v>
      </c>
      <c r="I659" s="257">
        <v>0</v>
      </c>
      <c r="J659" s="257">
        <v>0</v>
      </c>
      <c r="K659" s="257">
        <v>0</v>
      </c>
      <c r="L659" s="257">
        <v>0</v>
      </c>
      <c r="M659" s="257">
        <v>0</v>
      </c>
      <c r="N659" s="257">
        <v>0</v>
      </c>
      <c r="O659" s="257">
        <v>0</v>
      </c>
      <c r="P659" s="257">
        <v>0</v>
      </c>
      <c r="Q659" s="258">
        <v>0</v>
      </c>
    </row>
    <row r="660" spans="1:17">
      <c r="A660" s="256">
        <v>1</v>
      </c>
      <c r="B660" s="256">
        <v>8831204</v>
      </c>
      <c r="C660" s="256">
        <v>883120405</v>
      </c>
      <c r="D660" s="256" t="s">
        <v>538</v>
      </c>
      <c r="E660" s="256" t="s">
        <v>539</v>
      </c>
      <c r="F660" s="256" t="s">
        <v>819</v>
      </c>
      <c r="G660" s="256" t="s">
        <v>106</v>
      </c>
      <c r="H660" s="256" t="s">
        <v>758</v>
      </c>
      <c r="I660" s="257">
        <v>0</v>
      </c>
      <c r="J660" s="257">
        <v>0</v>
      </c>
      <c r="K660" s="257">
        <v>0</v>
      </c>
      <c r="L660" s="257">
        <v>0</v>
      </c>
      <c r="M660" s="257">
        <v>0</v>
      </c>
      <c r="N660" s="257">
        <v>0</v>
      </c>
      <c r="O660" s="257">
        <v>0</v>
      </c>
      <c r="P660" s="257">
        <v>0</v>
      </c>
      <c r="Q660" s="258">
        <v>0</v>
      </c>
    </row>
    <row r="661" spans="1:17">
      <c r="A661" s="256">
        <v>1</v>
      </c>
      <c r="B661" s="256">
        <v>8831204</v>
      </c>
      <c r="C661" s="256">
        <v>883120406</v>
      </c>
      <c r="D661" s="256" t="s">
        <v>538</v>
      </c>
      <c r="E661" s="256" t="s">
        <v>539</v>
      </c>
      <c r="F661" s="256" t="s">
        <v>819</v>
      </c>
      <c r="G661" s="256" t="s">
        <v>106</v>
      </c>
      <c r="H661" s="256" t="s">
        <v>759</v>
      </c>
      <c r="I661" s="257">
        <v>405632</v>
      </c>
      <c r="J661" s="257">
        <v>0</v>
      </c>
      <c r="K661" s="257">
        <v>0</v>
      </c>
      <c r="L661" s="257">
        <v>0</v>
      </c>
      <c r="M661" s="257">
        <v>0</v>
      </c>
      <c r="N661" s="257">
        <v>0</v>
      </c>
      <c r="O661" s="257">
        <v>405632</v>
      </c>
      <c r="P661" s="257">
        <v>0</v>
      </c>
      <c r="Q661" s="258">
        <v>0</v>
      </c>
    </row>
    <row r="662" spans="1:17">
      <c r="A662" s="256">
        <v>1</v>
      </c>
      <c r="B662" s="256">
        <v>8831204</v>
      </c>
      <c r="C662" s="256">
        <v>883120407</v>
      </c>
      <c r="D662" s="256" t="s">
        <v>538</v>
      </c>
      <c r="E662" s="256" t="s">
        <v>539</v>
      </c>
      <c r="F662" s="256" t="s">
        <v>819</v>
      </c>
      <c r="G662" s="256" t="s">
        <v>106</v>
      </c>
      <c r="H662" s="256" t="s">
        <v>760</v>
      </c>
      <c r="I662" s="257">
        <v>3606933</v>
      </c>
      <c r="J662" s="257">
        <v>0</v>
      </c>
      <c r="K662" s="257">
        <v>0</v>
      </c>
      <c r="L662" s="257">
        <v>0</v>
      </c>
      <c r="M662" s="257">
        <v>0</v>
      </c>
      <c r="N662" s="257">
        <v>0</v>
      </c>
      <c r="O662" s="257">
        <v>3606933</v>
      </c>
      <c r="P662" s="257">
        <v>0</v>
      </c>
      <c r="Q662" s="258">
        <v>0</v>
      </c>
    </row>
    <row r="663" spans="1:17">
      <c r="A663" s="256">
        <v>1</v>
      </c>
      <c r="B663" s="256">
        <v>8831204</v>
      </c>
      <c r="C663" s="256">
        <v>883120408</v>
      </c>
      <c r="D663" s="256" t="s">
        <v>538</v>
      </c>
      <c r="E663" s="256" t="s">
        <v>539</v>
      </c>
      <c r="F663" s="256" t="s">
        <v>819</v>
      </c>
      <c r="G663" s="256" t="s">
        <v>106</v>
      </c>
      <c r="H663" s="256" t="s">
        <v>761</v>
      </c>
      <c r="I663" s="257">
        <v>142269</v>
      </c>
      <c r="J663" s="257">
        <v>0</v>
      </c>
      <c r="K663" s="257">
        <v>0</v>
      </c>
      <c r="L663" s="257">
        <v>0</v>
      </c>
      <c r="M663" s="257">
        <v>0</v>
      </c>
      <c r="N663" s="257">
        <v>0</v>
      </c>
      <c r="O663" s="257">
        <v>142269</v>
      </c>
      <c r="P663" s="257">
        <v>0</v>
      </c>
      <c r="Q663" s="258">
        <v>0</v>
      </c>
    </row>
    <row r="664" spans="1:17">
      <c r="A664" s="256">
        <v>1</v>
      </c>
      <c r="B664" s="256">
        <v>8831204</v>
      </c>
      <c r="C664" s="256">
        <v>883120410</v>
      </c>
      <c r="D664" s="256" t="s">
        <v>538</v>
      </c>
      <c r="E664" s="256" t="s">
        <v>539</v>
      </c>
      <c r="F664" s="256" t="s">
        <v>819</v>
      </c>
      <c r="G664" s="256" t="s">
        <v>106</v>
      </c>
      <c r="H664" s="256" t="s">
        <v>762</v>
      </c>
      <c r="I664" s="257">
        <v>2984624</v>
      </c>
      <c r="J664" s="257">
        <v>0</v>
      </c>
      <c r="K664" s="257">
        <v>0</v>
      </c>
      <c r="L664" s="257">
        <v>0</v>
      </c>
      <c r="M664" s="257">
        <v>0</v>
      </c>
      <c r="N664" s="257">
        <v>0</v>
      </c>
      <c r="O664" s="257">
        <v>2984624</v>
      </c>
      <c r="P664" s="257">
        <v>0</v>
      </c>
      <c r="Q664" s="258">
        <v>0</v>
      </c>
    </row>
    <row r="665" spans="1:17">
      <c r="A665" s="256">
        <v>1</v>
      </c>
      <c r="B665" s="256">
        <v>8831204</v>
      </c>
      <c r="C665" s="256">
        <v>883120411</v>
      </c>
      <c r="D665" s="256" t="s">
        <v>538</v>
      </c>
      <c r="E665" s="256" t="s">
        <v>539</v>
      </c>
      <c r="F665" s="256" t="s">
        <v>819</v>
      </c>
      <c r="G665" s="256" t="s">
        <v>106</v>
      </c>
      <c r="H665" s="256" t="s">
        <v>763</v>
      </c>
      <c r="I665" s="257">
        <v>73529</v>
      </c>
      <c r="J665" s="257">
        <v>0</v>
      </c>
      <c r="K665" s="257">
        <v>0</v>
      </c>
      <c r="L665" s="257">
        <v>0</v>
      </c>
      <c r="M665" s="257">
        <v>0</v>
      </c>
      <c r="N665" s="257">
        <v>0</v>
      </c>
      <c r="O665" s="257">
        <v>73529</v>
      </c>
      <c r="P665" s="257">
        <v>0</v>
      </c>
      <c r="Q665" s="258">
        <v>0</v>
      </c>
    </row>
    <row r="666" spans="1:17">
      <c r="A666" s="256">
        <v>1</v>
      </c>
      <c r="B666" s="256">
        <v>8831205</v>
      </c>
      <c r="C666" s="256">
        <v>883120500</v>
      </c>
      <c r="D666" s="256" t="s">
        <v>538</v>
      </c>
      <c r="E666" s="256" t="s">
        <v>539</v>
      </c>
      <c r="F666" s="256" t="s">
        <v>819</v>
      </c>
      <c r="G666" s="256" t="s">
        <v>104</v>
      </c>
      <c r="H666" s="256"/>
      <c r="I666" s="257">
        <v>0</v>
      </c>
      <c r="J666" s="257">
        <v>0</v>
      </c>
      <c r="K666" s="257">
        <v>0</v>
      </c>
      <c r="L666" s="257">
        <v>0</v>
      </c>
      <c r="M666" s="257">
        <v>0</v>
      </c>
      <c r="N666" s="257">
        <v>0</v>
      </c>
      <c r="O666" s="257">
        <v>0</v>
      </c>
      <c r="P666" s="257">
        <v>0</v>
      </c>
      <c r="Q666" s="258">
        <v>0</v>
      </c>
    </row>
    <row r="667" spans="1:17">
      <c r="A667" s="256">
        <v>1</v>
      </c>
      <c r="B667" s="256">
        <v>8831207</v>
      </c>
      <c r="C667" s="256">
        <v>883120700</v>
      </c>
      <c r="D667" s="256" t="s">
        <v>538</v>
      </c>
      <c r="E667" s="256" t="s">
        <v>539</v>
      </c>
      <c r="F667" s="256" t="s">
        <v>819</v>
      </c>
      <c r="G667" s="256" t="s">
        <v>102</v>
      </c>
      <c r="H667" s="256"/>
      <c r="I667" s="257">
        <v>0</v>
      </c>
      <c r="J667" s="257">
        <v>0</v>
      </c>
      <c r="K667" s="257">
        <v>0</v>
      </c>
      <c r="L667" s="257">
        <v>0</v>
      </c>
      <c r="M667" s="257">
        <v>0</v>
      </c>
      <c r="N667" s="257">
        <v>0</v>
      </c>
      <c r="O667" s="257">
        <v>0</v>
      </c>
      <c r="P667" s="257">
        <v>0</v>
      </c>
      <c r="Q667" s="258">
        <v>0</v>
      </c>
    </row>
    <row r="668" spans="1:17">
      <c r="A668" s="256">
        <v>1</v>
      </c>
      <c r="B668" s="256">
        <v>8831208</v>
      </c>
      <c r="C668" s="256">
        <v>883120800</v>
      </c>
      <c r="D668" s="256" t="s">
        <v>538</v>
      </c>
      <c r="E668" s="256" t="s">
        <v>539</v>
      </c>
      <c r="F668" s="256" t="s">
        <v>819</v>
      </c>
      <c r="G668" s="256" t="s">
        <v>100</v>
      </c>
      <c r="H668" s="256"/>
      <c r="I668" s="257">
        <v>0</v>
      </c>
      <c r="J668" s="257">
        <v>0</v>
      </c>
      <c r="K668" s="257">
        <v>0</v>
      </c>
      <c r="L668" s="257">
        <v>0</v>
      </c>
      <c r="M668" s="257">
        <v>0</v>
      </c>
      <c r="N668" s="257">
        <v>0</v>
      </c>
      <c r="O668" s="257">
        <v>0</v>
      </c>
      <c r="P668" s="257">
        <v>0</v>
      </c>
      <c r="Q668" s="258">
        <v>0</v>
      </c>
    </row>
    <row r="669" spans="1:17">
      <c r="A669" s="256">
        <v>1</v>
      </c>
      <c r="B669" s="256">
        <v>8831210</v>
      </c>
      <c r="C669" s="256">
        <v>883121001</v>
      </c>
      <c r="D669" s="256" t="s">
        <v>538</v>
      </c>
      <c r="E669" s="256" t="s">
        <v>539</v>
      </c>
      <c r="F669" s="256" t="s">
        <v>819</v>
      </c>
      <c r="G669" s="256" t="s">
        <v>764</v>
      </c>
      <c r="H669" s="256" t="s">
        <v>98</v>
      </c>
      <c r="I669" s="257">
        <v>0</v>
      </c>
      <c r="J669" s="257">
        <v>0</v>
      </c>
      <c r="K669" s="257">
        <v>0</v>
      </c>
      <c r="L669" s="257">
        <v>0</v>
      </c>
      <c r="M669" s="257">
        <v>0</v>
      </c>
      <c r="N669" s="257">
        <v>0</v>
      </c>
      <c r="O669" s="257">
        <v>0</v>
      </c>
      <c r="P669" s="257">
        <v>0</v>
      </c>
      <c r="Q669" s="258">
        <v>0</v>
      </c>
    </row>
    <row r="670" spans="1:17">
      <c r="A670" s="256">
        <v>1</v>
      </c>
      <c r="B670" s="256">
        <v>8831210</v>
      </c>
      <c r="C670" s="256">
        <v>883121002</v>
      </c>
      <c r="D670" s="256" t="s">
        <v>538</v>
      </c>
      <c r="E670" s="256" t="s">
        <v>539</v>
      </c>
      <c r="F670" s="256" t="s">
        <v>819</v>
      </c>
      <c r="G670" s="256" t="s">
        <v>764</v>
      </c>
      <c r="H670" s="256" t="s">
        <v>95</v>
      </c>
      <c r="I670" s="257">
        <v>0</v>
      </c>
      <c r="J670" s="257">
        <v>0</v>
      </c>
      <c r="K670" s="257">
        <v>0</v>
      </c>
      <c r="L670" s="257">
        <v>0</v>
      </c>
      <c r="M670" s="257">
        <v>0</v>
      </c>
      <c r="N670" s="257">
        <v>0</v>
      </c>
      <c r="O670" s="257">
        <v>0</v>
      </c>
      <c r="P670" s="257">
        <v>0</v>
      </c>
      <c r="Q670" s="258">
        <v>0</v>
      </c>
    </row>
    <row r="671" spans="1:17">
      <c r="A671" s="236">
        <v>1</v>
      </c>
      <c r="B671" s="236">
        <v>8831210</v>
      </c>
      <c r="C671" s="236">
        <v>883121003</v>
      </c>
      <c r="D671" s="236" t="s">
        <v>538</v>
      </c>
      <c r="E671" s="236" t="s">
        <v>539</v>
      </c>
      <c r="F671" s="236" t="s">
        <v>819</v>
      </c>
      <c r="G671" s="236" t="s">
        <v>764</v>
      </c>
      <c r="H671" s="236" t="s">
        <v>765</v>
      </c>
      <c r="I671" s="257">
        <v>957480</v>
      </c>
      <c r="J671" s="257">
        <v>0</v>
      </c>
      <c r="K671" s="257">
        <v>0</v>
      </c>
      <c r="L671" s="257">
        <v>0</v>
      </c>
      <c r="M671" s="257">
        <v>0</v>
      </c>
      <c r="N671" s="257">
        <v>957480</v>
      </c>
      <c r="O671" s="257">
        <v>0</v>
      </c>
      <c r="P671" s="257">
        <v>0</v>
      </c>
      <c r="Q671" s="258">
        <v>0</v>
      </c>
    </row>
    <row r="672" spans="1:17">
      <c r="A672" s="256">
        <v>1</v>
      </c>
      <c r="B672" s="256">
        <v>8831213</v>
      </c>
      <c r="C672" s="256">
        <v>883121300</v>
      </c>
      <c r="D672" s="256" t="s">
        <v>538</v>
      </c>
      <c r="E672" s="256" t="s">
        <v>539</v>
      </c>
      <c r="F672" s="256" t="s">
        <v>819</v>
      </c>
      <c r="G672" s="256" t="s">
        <v>93</v>
      </c>
      <c r="H672" s="256"/>
      <c r="I672" s="257">
        <v>524214</v>
      </c>
      <c r="J672" s="257">
        <v>0</v>
      </c>
      <c r="K672" s="257">
        <v>0</v>
      </c>
      <c r="L672" s="257">
        <v>0</v>
      </c>
      <c r="M672" s="257">
        <v>0</v>
      </c>
      <c r="N672" s="257">
        <v>524214</v>
      </c>
      <c r="O672" s="257">
        <v>0</v>
      </c>
      <c r="P672" s="257">
        <v>0</v>
      </c>
      <c r="Q672" s="258">
        <v>0</v>
      </c>
    </row>
    <row r="673" spans="1:17">
      <c r="A673" s="256">
        <v>1</v>
      </c>
      <c r="B673" s="256">
        <v>8831214</v>
      </c>
      <c r="C673" s="256">
        <v>883121400</v>
      </c>
      <c r="D673" s="256" t="s">
        <v>538</v>
      </c>
      <c r="E673" s="256" t="s">
        <v>539</v>
      </c>
      <c r="F673" s="256" t="s">
        <v>819</v>
      </c>
      <c r="G673" s="256" t="s">
        <v>91</v>
      </c>
      <c r="H673" s="256"/>
      <c r="I673" s="257">
        <v>14678</v>
      </c>
      <c r="J673" s="257">
        <v>0</v>
      </c>
      <c r="K673" s="257">
        <v>0</v>
      </c>
      <c r="L673" s="257">
        <v>0</v>
      </c>
      <c r="M673" s="257">
        <v>0</v>
      </c>
      <c r="N673" s="257">
        <v>14678</v>
      </c>
      <c r="O673" s="257">
        <v>0</v>
      </c>
      <c r="P673" s="257">
        <v>0</v>
      </c>
      <c r="Q673" s="258">
        <v>0</v>
      </c>
    </row>
    <row r="674" spans="1:17">
      <c r="A674" s="256">
        <v>1</v>
      </c>
      <c r="B674" s="256">
        <v>8831215</v>
      </c>
      <c r="C674" s="256">
        <v>883121500</v>
      </c>
      <c r="D674" s="256" t="s">
        <v>538</v>
      </c>
      <c r="E674" s="256" t="s">
        <v>539</v>
      </c>
      <c r="F674" s="256" t="s">
        <v>819</v>
      </c>
      <c r="G674" s="256" t="s">
        <v>89</v>
      </c>
      <c r="H674" s="256"/>
      <c r="I674" s="257">
        <v>0</v>
      </c>
      <c r="J674" s="257">
        <v>0</v>
      </c>
      <c r="K674" s="257">
        <v>0</v>
      </c>
      <c r="L674" s="257">
        <v>0</v>
      </c>
      <c r="M674" s="257">
        <v>0</v>
      </c>
      <c r="N674" s="257">
        <v>0</v>
      </c>
      <c r="O674" s="257">
        <v>0</v>
      </c>
      <c r="P674" s="257">
        <v>0</v>
      </c>
      <c r="Q674" s="258">
        <v>0</v>
      </c>
    </row>
    <row r="675" spans="1:17">
      <c r="A675" s="256">
        <v>1</v>
      </c>
      <c r="B675" s="256">
        <v>8831217</v>
      </c>
      <c r="C675" s="256">
        <v>883121700</v>
      </c>
      <c r="D675" s="256" t="s">
        <v>538</v>
      </c>
      <c r="E675" s="256" t="s">
        <v>539</v>
      </c>
      <c r="F675" s="256" t="s">
        <v>819</v>
      </c>
      <c r="G675" s="256" t="s">
        <v>87</v>
      </c>
      <c r="H675" s="256"/>
      <c r="I675" s="257">
        <v>265731</v>
      </c>
      <c r="J675" s="257">
        <v>0</v>
      </c>
      <c r="K675" s="257">
        <v>0</v>
      </c>
      <c r="L675" s="257">
        <v>0</v>
      </c>
      <c r="M675" s="257">
        <v>0</v>
      </c>
      <c r="N675" s="257">
        <v>265731</v>
      </c>
      <c r="O675" s="257">
        <v>0</v>
      </c>
      <c r="P675" s="257">
        <v>0</v>
      </c>
      <c r="Q675" s="258">
        <v>0</v>
      </c>
    </row>
    <row r="676" spans="1:17">
      <c r="A676" s="256">
        <v>1</v>
      </c>
      <c r="B676" s="256">
        <v>8831219</v>
      </c>
      <c r="C676" s="256">
        <v>883121900</v>
      </c>
      <c r="D676" s="256" t="s">
        <v>538</v>
      </c>
      <c r="E676" s="256" t="s">
        <v>539</v>
      </c>
      <c r="F676" s="256" t="s">
        <v>819</v>
      </c>
      <c r="G676" s="256" t="s">
        <v>85</v>
      </c>
      <c r="H676" s="256"/>
      <c r="I676" s="257">
        <v>0</v>
      </c>
      <c r="J676" s="257">
        <v>0</v>
      </c>
      <c r="K676" s="257">
        <v>0</v>
      </c>
      <c r="L676" s="257">
        <v>0</v>
      </c>
      <c r="M676" s="257">
        <v>0</v>
      </c>
      <c r="N676" s="257">
        <v>0</v>
      </c>
      <c r="O676" s="257">
        <v>0</v>
      </c>
      <c r="P676" s="257">
        <v>0</v>
      </c>
      <c r="Q676" s="258">
        <v>0</v>
      </c>
    </row>
    <row r="677" spans="1:17">
      <c r="A677" s="256">
        <v>1</v>
      </c>
      <c r="B677" s="256">
        <v>8831220</v>
      </c>
      <c r="C677" s="256">
        <v>883122000</v>
      </c>
      <c r="D677" s="256" t="s">
        <v>538</v>
      </c>
      <c r="E677" s="256" t="s">
        <v>539</v>
      </c>
      <c r="F677" s="256" t="s">
        <v>819</v>
      </c>
      <c r="G677" s="256" t="s">
        <v>83</v>
      </c>
      <c r="H677" s="256"/>
      <c r="I677" s="257">
        <v>0</v>
      </c>
      <c r="J677" s="257">
        <v>0</v>
      </c>
      <c r="K677" s="257">
        <v>0</v>
      </c>
      <c r="L677" s="257">
        <v>0</v>
      </c>
      <c r="M677" s="257">
        <v>0</v>
      </c>
      <c r="N677" s="257">
        <v>0</v>
      </c>
      <c r="O677" s="257">
        <v>0</v>
      </c>
      <c r="P677" s="257">
        <v>0</v>
      </c>
      <c r="Q677" s="258">
        <v>0</v>
      </c>
    </row>
    <row r="678" spans="1:17">
      <c r="A678" s="256">
        <v>1</v>
      </c>
      <c r="B678" s="256">
        <v>8831221</v>
      </c>
      <c r="C678" s="256">
        <v>883122100</v>
      </c>
      <c r="D678" s="256" t="s">
        <v>538</v>
      </c>
      <c r="E678" s="256" t="s">
        <v>539</v>
      </c>
      <c r="F678" s="256" t="s">
        <v>819</v>
      </c>
      <c r="G678" s="256" t="s">
        <v>81</v>
      </c>
      <c r="H678" s="256"/>
      <c r="I678" s="257">
        <v>16474337</v>
      </c>
      <c r="J678" s="257">
        <v>0</v>
      </c>
      <c r="K678" s="257">
        <v>0</v>
      </c>
      <c r="L678" s="257">
        <v>0</v>
      </c>
      <c r="M678" s="257">
        <v>0</v>
      </c>
      <c r="N678" s="257">
        <v>16474337</v>
      </c>
      <c r="O678" s="257">
        <v>0</v>
      </c>
      <c r="P678" s="257">
        <v>0</v>
      </c>
      <c r="Q678" s="258">
        <v>0</v>
      </c>
    </row>
    <row r="679" spans="1:17">
      <c r="A679" s="256">
        <v>1</v>
      </c>
      <c r="B679" s="256">
        <v>8831223</v>
      </c>
      <c r="C679" s="256">
        <v>883122300</v>
      </c>
      <c r="D679" s="256" t="s">
        <v>538</v>
      </c>
      <c r="E679" s="256" t="s">
        <v>539</v>
      </c>
      <c r="F679" s="256" t="s">
        <v>819</v>
      </c>
      <c r="G679" s="256" t="s">
        <v>79</v>
      </c>
      <c r="H679" s="256"/>
      <c r="I679" s="257">
        <v>116949</v>
      </c>
      <c r="J679" s="257">
        <v>0</v>
      </c>
      <c r="K679" s="257">
        <v>0</v>
      </c>
      <c r="L679" s="257">
        <v>0</v>
      </c>
      <c r="M679" s="257">
        <v>0</v>
      </c>
      <c r="N679" s="257">
        <v>116949</v>
      </c>
      <c r="O679" s="257">
        <v>0</v>
      </c>
      <c r="P679" s="257">
        <v>0</v>
      </c>
      <c r="Q679" s="258">
        <v>0</v>
      </c>
    </row>
    <row r="680" spans="1:17">
      <c r="A680" s="256">
        <v>1</v>
      </c>
      <c r="B680" s="256">
        <v>8831224</v>
      </c>
      <c r="C680" s="256">
        <v>883122400</v>
      </c>
      <c r="D680" s="256" t="s">
        <v>538</v>
      </c>
      <c r="E680" s="256" t="s">
        <v>539</v>
      </c>
      <c r="F680" s="256" t="s">
        <v>819</v>
      </c>
      <c r="G680" s="256" t="s">
        <v>77</v>
      </c>
      <c r="H680" s="256"/>
      <c r="I680" s="257">
        <v>0</v>
      </c>
      <c r="J680" s="257">
        <v>0</v>
      </c>
      <c r="K680" s="257">
        <v>0</v>
      </c>
      <c r="L680" s="257">
        <v>0</v>
      </c>
      <c r="M680" s="257">
        <v>0</v>
      </c>
      <c r="N680" s="257">
        <v>0</v>
      </c>
      <c r="O680" s="257">
        <v>0</v>
      </c>
      <c r="P680" s="257">
        <v>0</v>
      </c>
      <c r="Q680" s="258">
        <v>0</v>
      </c>
    </row>
    <row r="681" spans="1:17">
      <c r="A681" s="256">
        <v>1</v>
      </c>
      <c r="B681" s="256">
        <v>8831225</v>
      </c>
      <c r="C681" s="256">
        <v>883122500</v>
      </c>
      <c r="D681" s="256" t="s">
        <v>538</v>
      </c>
      <c r="E681" s="256" t="s">
        <v>539</v>
      </c>
      <c r="F681" s="256" t="s">
        <v>819</v>
      </c>
      <c r="G681" s="256" t="s">
        <v>75</v>
      </c>
      <c r="H681" s="256"/>
      <c r="I681" s="257">
        <v>0</v>
      </c>
      <c r="J681" s="257">
        <v>0</v>
      </c>
      <c r="K681" s="257">
        <v>0</v>
      </c>
      <c r="L681" s="257">
        <v>0</v>
      </c>
      <c r="M681" s="257">
        <v>0</v>
      </c>
      <c r="N681" s="257">
        <v>0</v>
      </c>
      <c r="O681" s="257">
        <v>0</v>
      </c>
      <c r="P681" s="257">
        <v>0</v>
      </c>
      <c r="Q681" s="258">
        <v>0</v>
      </c>
    </row>
    <row r="682" spans="1:17">
      <c r="A682" s="256">
        <v>1</v>
      </c>
      <c r="B682" s="256">
        <v>8831228</v>
      </c>
      <c r="C682" s="256">
        <v>883122866</v>
      </c>
      <c r="D682" s="256" t="s">
        <v>538</v>
      </c>
      <c r="E682" s="256" t="s">
        <v>539</v>
      </c>
      <c r="F682" s="256" t="s">
        <v>819</v>
      </c>
      <c r="G682" s="256" t="s">
        <v>811</v>
      </c>
      <c r="H682" s="256" t="s">
        <v>812</v>
      </c>
      <c r="I682" s="257">
        <v>0</v>
      </c>
      <c r="J682" s="257">
        <v>0</v>
      </c>
      <c r="K682" s="257">
        <v>0</v>
      </c>
      <c r="L682" s="257">
        <v>0</v>
      </c>
      <c r="M682" s="257">
        <v>0</v>
      </c>
      <c r="N682" s="257">
        <v>0</v>
      </c>
      <c r="O682" s="257">
        <v>0</v>
      </c>
      <c r="P682" s="257">
        <v>0</v>
      </c>
      <c r="Q682" s="258">
        <v>0</v>
      </c>
    </row>
    <row r="683" spans="1:17">
      <c r="A683" s="256">
        <v>1</v>
      </c>
      <c r="B683" s="256">
        <v>8831228</v>
      </c>
      <c r="C683" s="256">
        <v>883122867</v>
      </c>
      <c r="D683" s="256" t="s">
        <v>538</v>
      </c>
      <c r="E683" s="256" t="s">
        <v>539</v>
      </c>
      <c r="F683" s="256" t="s">
        <v>819</v>
      </c>
      <c r="G683" s="256" t="s">
        <v>811</v>
      </c>
      <c r="H683" s="256" t="s">
        <v>813</v>
      </c>
      <c r="I683" s="257">
        <v>0</v>
      </c>
      <c r="J683" s="257">
        <v>0</v>
      </c>
      <c r="K683" s="257">
        <v>0</v>
      </c>
      <c r="L683" s="257">
        <v>0</v>
      </c>
      <c r="M683" s="257">
        <v>0</v>
      </c>
      <c r="N683" s="257">
        <v>0</v>
      </c>
      <c r="O683" s="257">
        <v>0</v>
      </c>
      <c r="P683" s="257">
        <v>0</v>
      </c>
      <c r="Q683" s="258">
        <v>0</v>
      </c>
    </row>
    <row r="684" spans="1:17">
      <c r="A684" s="256">
        <v>1</v>
      </c>
      <c r="B684" s="256">
        <v>8831229</v>
      </c>
      <c r="C684" s="256">
        <v>883122900</v>
      </c>
      <c r="D684" s="256" t="s">
        <v>538</v>
      </c>
      <c r="E684" s="256" t="s">
        <v>539</v>
      </c>
      <c r="F684" s="256" t="s">
        <v>819</v>
      </c>
      <c r="G684" s="256" t="s">
        <v>66</v>
      </c>
      <c r="H684" s="256"/>
      <c r="I684" s="257">
        <v>0</v>
      </c>
      <c r="J684" s="257">
        <v>0</v>
      </c>
      <c r="K684" s="257">
        <v>0</v>
      </c>
      <c r="L684" s="257">
        <v>0</v>
      </c>
      <c r="M684" s="257">
        <v>0</v>
      </c>
      <c r="N684" s="257">
        <v>0</v>
      </c>
      <c r="O684" s="257">
        <v>0</v>
      </c>
      <c r="P684" s="257">
        <v>0</v>
      </c>
      <c r="Q684" s="258">
        <v>0</v>
      </c>
    </row>
    <row r="685" spans="1:17">
      <c r="A685" s="256">
        <v>1</v>
      </c>
      <c r="B685" s="256">
        <v>8831230</v>
      </c>
      <c r="C685" s="256">
        <v>883123000</v>
      </c>
      <c r="D685" s="256" t="s">
        <v>538</v>
      </c>
      <c r="E685" s="256" t="s">
        <v>539</v>
      </c>
      <c r="F685" s="256" t="s">
        <v>819</v>
      </c>
      <c r="G685" s="256" t="s">
        <v>64</v>
      </c>
      <c r="H685" s="256"/>
      <c r="I685" s="257">
        <v>0</v>
      </c>
      <c r="J685" s="257">
        <v>0</v>
      </c>
      <c r="K685" s="257">
        <v>0</v>
      </c>
      <c r="L685" s="257">
        <v>0</v>
      </c>
      <c r="M685" s="257">
        <v>0</v>
      </c>
      <c r="N685" s="257">
        <v>0</v>
      </c>
      <c r="O685" s="257">
        <v>0</v>
      </c>
      <c r="P685" s="257">
        <v>0</v>
      </c>
      <c r="Q685" s="258">
        <v>0</v>
      </c>
    </row>
    <row r="686" spans="1:17">
      <c r="A686" s="256">
        <v>1</v>
      </c>
      <c r="B686" s="256">
        <v>8831231</v>
      </c>
      <c r="C686" s="256">
        <v>883123100</v>
      </c>
      <c r="D686" s="256" t="s">
        <v>538</v>
      </c>
      <c r="E686" s="256" t="s">
        <v>539</v>
      </c>
      <c r="F686" s="256" t="s">
        <v>819</v>
      </c>
      <c r="G686" s="256" t="s">
        <v>62</v>
      </c>
      <c r="H686" s="256"/>
      <c r="I686" s="257">
        <v>0</v>
      </c>
      <c r="J686" s="257">
        <v>0</v>
      </c>
      <c r="K686" s="257">
        <v>0</v>
      </c>
      <c r="L686" s="257">
        <v>0</v>
      </c>
      <c r="M686" s="257">
        <v>0</v>
      </c>
      <c r="N686" s="257">
        <v>0</v>
      </c>
      <c r="O686" s="257">
        <v>0</v>
      </c>
      <c r="P686" s="257">
        <v>0</v>
      </c>
      <c r="Q686" s="258">
        <v>0</v>
      </c>
    </row>
    <row r="687" spans="1:17">
      <c r="A687" s="256">
        <v>1</v>
      </c>
      <c r="B687" s="256">
        <v>8831237</v>
      </c>
      <c r="C687" s="256">
        <v>883123700</v>
      </c>
      <c r="D687" s="256" t="s">
        <v>538</v>
      </c>
      <c r="E687" s="256" t="s">
        <v>539</v>
      </c>
      <c r="F687" s="256" t="s">
        <v>819</v>
      </c>
      <c r="G687" s="256" t="s">
        <v>60</v>
      </c>
      <c r="H687" s="256"/>
      <c r="I687" s="257">
        <v>0</v>
      </c>
      <c r="J687" s="257">
        <v>0</v>
      </c>
      <c r="K687" s="257">
        <v>0</v>
      </c>
      <c r="L687" s="257">
        <v>0</v>
      </c>
      <c r="M687" s="257">
        <v>0</v>
      </c>
      <c r="N687" s="257">
        <v>0</v>
      </c>
      <c r="O687" s="257">
        <v>0</v>
      </c>
      <c r="P687" s="257">
        <v>0</v>
      </c>
      <c r="Q687" s="258">
        <v>0</v>
      </c>
    </row>
    <row r="688" spans="1:17">
      <c r="A688" s="256">
        <v>1</v>
      </c>
      <c r="B688" s="256">
        <v>8831239</v>
      </c>
      <c r="C688" s="256">
        <v>883123900</v>
      </c>
      <c r="D688" s="256" t="s">
        <v>538</v>
      </c>
      <c r="E688" s="256" t="s">
        <v>539</v>
      </c>
      <c r="F688" s="256" t="s">
        <v>819</v>
      </c>
      <c r="G688" s="256" t="s">
        <v>58</v>
      </c>
      <c r="H688" s="256"/>
      <c r="I688" s="257">
        <v>81986</v>
      </c>
      <c r="J688" s="257">
        <v>0</v>
      </c>
      <c r="K688" s="257">
        <v>0</v>
      </c>
      <c r="L688" s="257">
        <v>0</v>
      </c>
      <c r="M688" s="257">
        <v>0</v>
      </c>
      <c r="N688" s="257">
        <v>0</v>
      </c>
      <c r="O688" s="257">
        <v>81986</v>
      </c>
      <c r="P688" s="257">
        <v>0</v>
      </c>
      <c r="Q688" s="258">
        <v>0</v>
      </c>
    </row>
    <row r="689" spans="1:17">
      <c r="A689" s="256">
        <v>1</v>
      </c>
      <c r="B689" s="256">
        <v>8831240</v>
      </c>
      <c r="C689" s="256">
        <v>883124000</v>
      </c>
      <c r="D689" s="256" t="s">
        <v>538</v>
      </c>
      <c r="E689" s="256" t="s">
        <v>539</v>
      </c>
      <c r="F689" s="256" t="s">
        <v>819</v>
      </c>
      <c r="G689" s="256" t="s">
        <v>56</v>
      </c>
      <c r="H689" s="256"/>
      <c r="I689" s="257">
        <v>0</v>
      </c>
      <c r="J689" s="257">
        <v>0</v>
      </c>
      <c r="K689" s="257">
        <v>0</v>
      </c>
      <c r="L689" s="257">
        <v>0</v>
      </c>
      <c r="M689" s="257">
        <v>0</v>
      </c>
      <c r="N689" s="257">
        <v>0</v>
      </c>
      <c r="O689" s="257">
        <v>0</v>
      </c>
      <c r="P689" s="257">
        <v>0</v>
      </c>
      <c r="Q689" s="258">
        <v>0</v>
      </c>
    </row>
    <row r="690" spans="1:17">
      <c r="A690" s="256">
        <v>1</v>
      </c>
      <c r="B690" s="256">
        <v>8831241</v>
      </c>
      <c r="C690" s="256">
        <v>883124100</v>
      </c>
      <c r="D690" s="256" t="s">
        <v>538</v>
      </c>
      <c r="E690" s="256" t="s">
        <v>539</v>
      </c>
      <c r="F690" s="256" t="s">
        <v>819</v>
      </c>
      <c r="G690" s="256" t="s">
        <v>55</v>
      </c>
      <c r="H690" s="256"/>
      <c r="I690" s="257">
        <v>0</v>
      </c>
      <c r="J690" s="257">
        <v>0</v>
      </c>
      <c r="K690" s="257">
        <v>0</v>
      </c>
      <c r="L690" s="257">
        <v>0</v>
      </c>
      <c r="M690" s="257">
        <v>0</v>
      </c>
      <c r="N690" s="257">
        <v>0</v>
      </c>
      <c r="O690" s="257">
        <v>0</v>
      </c>
      <c r="P690" s="257">
        <v>0</v>
      </c>
      <c r="Q690" s="258">
        <v>0</v>
      </c>
    </row>
    <row r="691" spans="1:17">
      <c r="A691" s="256">
        <v>1</v>
      </c>
      <c r="B691" s="256">
        <v>8831242</v>
      </c>
      <c r="C691" s="256">
        <v>883124201</v>
      </c>
      <c r="D691" s="256" t="s">
        <v>538</v>
      </c>
      <c r="E691" s="256" t="s">
        <v>539</v>
      </c>
      <c r="F691" s="256" t="s">
        <v>819</v>
      </c>
      <c r="G691" s="256" t="s">
        <v>53</v>
      </c>
      <c r="H691" s="256" t="s">
        <v>108</v>
      </c>
      <c r="I691" s="257">
        <v>3295000</v>
      </c>
      <c r="J691" s="257">
        <v>0</v>
      </c>
      <c r="K691" s="257">
        <v>0</v>
      </c>
      <c r="L691" s="257">
        <v>0</v>
      </c>
      <c r="M691" s="257">
        <v>0</v>
      </c>
      <c r="N691" s="257">
        <v>0</v>
      </c>
      <c r="O691" s="257">
        <v>0</v>
      </c>
      <c r="P691" s="257">
        <v>3295000</v>
      </c>
      <c r="Q691" s="258">
        <v>0</v>
      </c>
    </row>
    <row r="692" spans="1:17">
      <c r="A692" s="256">
        <v>1</v>
      </c>
      <c r="B692" s="256">
        <v>8831242</v>
      </c>
      <c r="C692" s="256">
        <v>883124202</v>
      </c>
      <c r="D692" s="256" t="s">
        <v>538</v>
      </c>
      <c r="E692" s="256" t="s">
        <v>539</v>
      </c>
      <c r="F692" s="256" t="s">
        <v>819</v>
      </c>
      <c r="G692" s="256" t="s">
        <v>53</v>
      </c>
      <c r="H692" s="256" t="s">
        <v>106</v>
      </c>
      <c r="I692" s="257">
        <v>567000</v>
      </c>
      <c r="J692" s="257">
        <v>0</v>
      </c>
      <c r="K692" s="257">
        <v>0</v>
      </c>
      <c r="L692" s="257">
        <v>0</v>
      </c>
      <c r="M692" s="257">
        <v>0</v>
      </c>
      <c r="N692" s="257">
        <v>0</v>
      </c>
      <c r="O692" s="257">
        <v>0</v>
      </c>
      <c r="P692" s="257">
        <v>567000</v>
      </c>
      <c r="Q692" s="258">
        <v>0</v>
      </c>
    </row>
    <row r="693" spans="1:17">
      <c r="A693" s="256">
        <v>1</v>
      </c>
      <c r="B693" s="256">
        <v>8831301</v>
      </c>
      <c r="C693" s="256">
        <v>883130102</v>
      </c>
      <c r="D693" s="256" t="s">
        <v>538</v>
      </c>
      <c r="E693" s="256" t="s">
        <v>539</v>
      </c>
      <c r="F693" s="256" t="s">
        <v>792</v>
      </c>
      <c r="G693" s="256" t="s">
        <v>112</v>
      </c>
      <c r="H693" s="256" t="s">
        <v>737</v>
      </c>
      <c r="I693" s="257">
        <v>0</v>
      </c>
      <c r="J693" s="257">
        <v>0</v>
      </c>
      <c r="K693" s="257">
        <v>0</v>
      </c>
      <c r="L693" s="257">
        <v>0</v>
      </c>
      <c r="M693" s="257">
        <v>0</v>
      </c>
      <c r="N693" s="257">
        <v>0</v>
      </c>
      <c r="O693" s="257">
        <v>0</v>
      </c>
      <c r="P693" s="257">
        <v>0</v>
      </c>
      <c r="Q693" s="258">
        <v>0</v>
      </c>
    </row>
    <row r="694" spans="1:17">
      <c r="A694" s="256">
        <v>1</v>
      </c>
      <c r="B694" s="256">
        <v>8831301</v>
      </c>
      <c r="C694" s="256">
        <v>883130103</v>
      </c>
      <c r="D694" s="256" t="s">
        <v>538</v>
      </c>
      <c r="E694" s="256" t="s">
        <v>539</v>
      </c>
      <c r="F694" s="256" t="s">
        <v>792</v>
      </c>
      <c r="G694" s="256" t="s">
        <v>112</v>
      </c>
      <c r="H694" s="256" t="s">
        <v>738</v>
      </c>
      <c r="I694" s="257">
        <v>0</v>
      </c>
      <c r="J694" s="257">
        <v>0</v>
      </c>
      <c r="K694" s="257">
        <v>0</v>
      </c>
      <c r="L694" s="257">
        <v>0</v>
      </c>
      <c r="M694" s="257">
        <v>0</v>
      </c>
      <c r="N694" s="257">
        <v>0</v>
      </c>
      <c r="O694" s="257">
        <v>0</v>
      </c>
      <c r="P694" s="257">
        <v>0</v>
      </c>
      <c r="Q694" s="258">
        <v>0</v>
      </c>
    </row>
    <row r="695" spans="1:17">
      <c r="A695" s="256">
        <v>1</v>
      </c>
      <c r="B695" s="256">
        <v>8831301</v>
      </c>
      <c r="C695" s="256">
        <v>883130104</v>
      </c>
      <c r="D695" s="256" t="s">
        <v>538</v>
      </c>
      <c r="E695" s="256" t="s">
        <v>539</v>
      </c>
      <c r="F695" s="256" t="s">
        <v>792</v>
      </c>
      <c r="G695" s="256" t="s">
        <v>112</v>
      </c>
      <c r="H695" s="256" t="s">
        <v>739</v>
      </c>
      <c r="I695" s="257">
        <v>0</v>
      </c>
      <c r="J695" s="257">
        <v>0</v>
      </c>
      <c r="K695" s="257">
        <v>0</v>
      </c>
      <c r="L695" s="257">
        <v>0</v>
      </c>
      <c r="M695" s="257">
        <v>0</v>
      </c>
      <c r="N695" s="257">
        <v>0</v>
      </c>
      <c r="O695" s="257">
        <v>0</v>
      </c>
      <c r="P695" s="257">
        <v>0</v>
      </c>
      <c r="Q695" s="258">
        <v>0</v>
      </c>
    </row>
    <row r="696" spans="1:17">
      <c r="A696" s="236">
        <v>1</v>
      </c>
      <c r="B696" s="236">
        <v>8831301</v>
      </c>
      <c r="C696" s="236">
        <v>883130105</v>
      </c>
      <c r="D696" s="236" t="s">
        <v>538</v>
      </c>
      <c r="E696" s="236" t="s">
        <v>539</v>
      </c>
      <c r="F696" s="236" t="s">
        <v>792</v>
      </c>
      <c r="G696" s="236" t="s">
        <v>112</v>
      </c>
      <c r="H696" s="236" t="s">
        <v>740</v>
      </c>
      <c r="I696" s="257">
        <v>0</v>
      </c>
      <c r="J696" s="257">
        <v>0</v>
      </c>
      <c r="K696" s="257">
        <v>0</v>
      </c>
      <c r="L696" s="257">
        <v>0</v>
      </c>
      <c r="M696" s="257">
        <v>0</v>
      </c>
      <c r="N696" s="257">
        <v>0</v>
      </c>
      <c r="O696" s="257">
        <v>0</v>
      </c>
      <c r="P696" s="257">
        <v>0</v>
      </c>
      <c r="Q696" s="258">
        <v>0</v>
      </c>
    </row>
    <row r="697" spans="1:17">
      <c r="A697" s="256">
        <v>1</v>
      </c>
      <c r="B697" s="256">
        <v>8831302</v>
      </c>
      <c r="C697" s="256">
        <v>883130202</v>
      </c>
      <c r="D697" s="256" t="s">
        <v>538</v>
      </c>
      <c r="E697" s="256" t="s">
        <v>539</v>
      </c>
      <c r="F697" s="256" t="s">
        <v>792</v>
      </c>
      <c r="G697" s="256" t="s">
        <v>110</v>
      </c>
      <c r="H697" s="256" t="s">
        <v>741</v>
      </c>
      <c r="I697" s="257">
        <v>4418400</v>
      </c>
      <c r="J697" s="257">
        <v>0</v>
      </c>
      <c r="K697" s="257">
        <v>0</v>
      </c>
      <c r="L697" s="257">
        <v>0</v>
      </c>
      <c r="M697" s="257">
        <v>0</v>
      </c>
      <c r="N697" s="257">
        <v>0</v>
      </c>
      <c r="O697" s="257">
        <v>0</v>
      </c>
      <c r="P697" s="257">
        <v>4418400</v>
      </c>
      <c r="Q697" s="258">
        <v>0</v>
      </c>
    </row>
    <row r="698" spans="1:17">
      <c r="A698" s="256">
        <v>1</v>
      </c>
      <c r="B698" s="256">
        <v>8831303</v>
      </c>
      <c r="C698" s="256">
        <v>883130301</v>
      </c>
      <c r="D698" s="256" t="s">
        <v>538</v>
      </c>
      <c r="E698" s="256" t="s">
        <v>539</v>
      </c>
      <c r="F698" s="256" t="s">
        <v>792</v>
      </c>
      <c r="G698" s="256" t="s">
        <v>108</v>
      </c>
      <c r="H698" s="256" t="s">
        <v>742</v>
      </c>
      <c r="I698" s="257">
        <v>460080</v>
      </c>
      <c r="J698" s="257">
        <v>0</v>
      </c>
      <c r="K698" s="257">
        <v>0</v>
      </c>
      <c r="L698" s="257">
        <v>0</v>
      </c>
      <c r="M698" s="257">
        <v>0</v>
      </c>
      <c r="N698" s="257">
        <v>0</v>
      </c>
      <c r="O698" s="257">
        <v>0</v>
      </c>
      <c r="P698" s="257">
        <v>460080</v>
      </c>
      <c r="Q698" s="258">
        <v>0</v>
      </c>
    </row>
    <row r="699" spans="1:17">
      <c r="A699" s="256">
        <v>1</v>
      </c>
      <c r="B699" s="256">
        <v>8831303</v>
      </c>
      <c r="C699" s="256">
        <v>883130302</v>
      </c>
      <c r="D699" s="256" t="s">
        <v>538</v>
      </c>
      <c r="E699" s="256" t="s">
        <v>539</v>
      </c>
      <c r="F699" s="256" t="s">
        <v>792</v>
      </c>
      <c r="G699" s="256" t="s">
        <v>108</v>
      </c>
      <c r="H699" s="256" t="s">
        <v>743</v>
      </c>
      <c r="I699" s="257">
        <v>182400</v>
      </c>
      <c r="J699" s="257">
        <v>0</v>
      </c>
      <c r="K699" s="257">
        <v>0</v>
      </c>
      <c r="L699" s="257">
        <v>0</v>
      </c>
      <c r="M699" s="257">
        <v>0</v>
      </c>
      <c r="N699" s="257">
        <v>0</v>
      </c>
      <c r="O699" s="257">
        <v>0</v>
      </c>
      <c r="P699" s="257">
        <v>182400</v>
      </c>
      <c r="Q699" s="258">
        <v>0</v>
      </c>
    </row>
    <row r="700" spans="1:17">
      <c r="A700" s="256">
        <v>1</v>
      </c>
      <c r="B700" s="256">
        <v>8831303</v>
      </c>
      <c r="C700" s="256">
        <v>883130303</v>
      </c>
      <c r="D700" s="256" t="s">
        <v>538</v>
      </c>
      <c r="E700" s="256" t="s">
        <v>539</v>
      </c>
      <c r="F700" s="256" t="s">
        <v>792</v>
      </c>
      <c r="G700" s="256" t="s">
        <v>108</v>
      </c>
      <c r="H700" s="256" t="s">
        <v>744</v>
      </c>
      <c r="I700" s="257">
        <v>1581823</v>
      </c>
      <c r="J700" s="257">
        <v>0</v>
      </c>
      <c r="K700" s="257">
        <v>0</v>
      </c>
      <c r="L700" s="257">
        <v>0</v>
      </c>
      <c r="M700" s="257">
        <v>0</v>
      </c>
      <c r="N700" s="257">
        <v>0</v>
      </c>
      <c r="O700" s="257">
        <v>0</v>
      </c>
      <c r="P700" s="257">
        <v>1581823</v>
      </c>
      <c r="Q700" s="258">
        <v>0</v>
      </c>
    </row>
    <row r="701" spans="1:17">
      <c r="A701" s="256">
        <v>1</v>
      </c>
      <c r="B701" s="256">
        <v>8831303</v>
      </c>
      <c r="C701" s="256">
        <v>883130304</v>
      </c>
      <c r="D701" s="256" t="s">
        <v>538</v>
      </c>
      <c r="E701" s="256" t="s">
        <v>539</v>
      </c>
      <c r="F701" s="256" t="s">
        <v>792</v>
      </c>
      <c r="G701" s="256" t="s">
        <v>108</v>
      </c>
      <c r="H701" s="256" t="s">
        <v>745</v>
      </c>
      <c r="I701" s="257">
        <v>0</v>
      </c>
      <c r="J701" s="257">
        <v>0</v>
      </c>
      <c r="K701" s="257">
        <v>0</v>
      </c>
      <c r="L701" s="257">
        <v>0</v>
      </c>
      <c r="M701" s="257">
        <v>0</v>
      </c>
      <c r="N701" s="257">
        <v>0</v>
      </c>
      <c r="O701" s="257">
        <v>0</v>
      </c>
      <c r="P701" s="257">
        <v>0</v>
      </c>
      <c r="Q701" s="258">
        <v>0</v>
      </c>
    </row>
    <row r="702" spans="1:17">
      <c r="A702" s="256">
        <v>1</v>
      </c>
      <c r="B702" s="256">
        <v>8831303</v>
      </c>
      <c r="C702" s="256">
        <v>883130305</v>
      </c>
      <c r="D702" s="256" t="s">
        <v>538</v>
      </c>
      <c r="E702" s="256" t="s">
        <v>539</v>
      </c>
      <c r="F702" s="256" t="s">
        <v>792</v>
      </c>
      <c r="G702" s="256" t="s">
        <v>108</v>
      </c>
      <c r="H702" s="256" t="s">
        <v>746</v>
      </c>
      <c r="I702" s="257">
        <v>0</v>
      </c>
      <c r="J702" s="257">
        <v>0</v>
      </c>
      <c r="K702" s="257">
        <v>0</v>
      </c>
      <c r="L702" s="257">
        <v>0</v>
      </c>
      <c r="M702" s="257">
        <v>0</v>
      </c>
      <c r="N702" s="257">
        <v>0</v>
      </c>
      <c r="O702" s="257">
        <v>0</v>
      </c>
      <c r="P702" s="257">
        <v>0</v>
      </c>
      <c r="Q702" s="258">
        <v>0</v>
      </c>
    </row>
    <row r="703" spans="1:17">
      <c r="A703" s="256">
        <v>1</v>
      </c>
      <c r="B703" s="256">
        <v>8831303</v>
      </c>
      <c r="C703" s="256">
        <v>883130306</v>
      </c>
      <c r="D703" s="256" t="s">
        <v>538</v>
      </c>
      <c r="E703" s="256" t="s">
        <v>539</v>
      </c>
      <c r="F703" s="256" t="s">
        <v>792</v>
      </c>
      <c r="G703" s="256" t="s">
        <v>108</v>
      </c>
      <c r="H703" s="256" t="s">
        <v>747</v>
      </c>
      <c r="I703" s="257">
        <v>0</v>
      </c>
      <c r="J703" s="257">
        <v>0</v>
      </c>
      <c r="K703" s="257">
        <v>0</v>
      </c>
      <c r="L703" s="257">
        <v>0</v>
      </c>
      <c r="M703" s="257">
        <v>0</v>
      </c>
      <c r="N703" s="257">
        <v>0</v>
      </c>
      <c r="O703" s="257">
        <v>0</v>
      </c>
      <c r="P703" s="257">
        <v>0</v>
      </c>
      <c r="Q703" s="258">
        <v>0</v>
      </c>
    </row>
    <row r="704" spans="1:17">
      <c r="A704" s="256">
        <v>1</v>
      </c>
      <c r="B704" s="256">
        <v>8831303</v>
      </c>
      <c r="C704" s="256">
        <v>883130307</v>
      </c>
      <c r="D704" s="256" t="s">
        <v>538</v>
      </c>
      <c r="E704" s="256" t="s">
        <v>539</v>
      </c>
      <c r="F704" s="256" t="s">
        <v>792</v>
      </c>
      <c r="G704" s="256" t="s">
        <v>108</v>
      </c>
      <c r="H704" s="256" t="s">
        <v>748</v>
      </c>
      <c r="I704" s="257">
        <v>0</v>
      </c>
      <c r="J704" s="257">
        <v>0</v>
      </c>
      <c r="K704" s="257">
        <v>0</v>
      </c>
      <c r="L704" s="257">
        <v>0</v>
      </c>
      <c r="M704" s="257">
        <v>0</v>
      </c>
      <c r="N704" s="257">
        <v>0</v>
      </c>
      <c r="O704" s="257">
        <v>0</v>
      </c>
      <c r="P704" s="257">
        <v>0</v>
      </c>
      <c r="Q704" s="258">
        <v>0</v>
      </c>
    </row>
    <row r="705" spans="1:17">
      <c r="A705" s="256">
        <v>1</v>
      </c>
      <c r="B705" s="256">
        <v>8831303</v>
      </c>
      <c r="C705" s="256">
        <v>883130310</v>
      </c>
      <c r="D705" s="256" t="s">
        <v>538</v>
      </c>
      <c r="E705" s="256" t="s">
        <v>539</v>
      </c>
      <c r="F705" s="256" t="s">
        <v>792</v>
      </c>
      <c r="G705" s="256" t="s">
        <v>108</v>
      </c>
      <c r="H705" s="256" t="s">
        <v>749</v>
      </c>
      <c r="I705" s="257">
        <v>611004</v>
      </c>
      <c r="J705" s="257">
        <v>0</v>
      </c>
      <c r="K705" s="257">
        <v>0</v>
      </c>
      <c r="L705" s="257">
        <v>0</v>
      </c>
      <c r="M705" s="257">
        <v>0</v>
      </c>
      <c r="N705" s="257">
        <v>0</v>
      </c>
      <c r="O705" s="257">
        <v>0</v>
      </c>
      <c r="P705" s="257">
        <v>611004</v>
      </c>
      <c r="Q705" s="258">
        <v>0</v>
      </c>
    </row>
    <row r="706" spans="1:17">
      <c r="A706" s="256">
        <v>1</v>
      </c>
      <c r="B706" s="256">
        <v>8831303</v>
      </c>
      <c r="C706" s="256">
        <v>883130311</v>
      </c>
      <c r="D706" s="256" t="s">
        <v>538</v>
      </c>
      <c r="E706" s="256" t="s">
        <v>539</v>
      </c>
      <c r="F706" s="256" t="s">
        <v>792</v>
      </c>
      <c r="G706" s="256" t="s">
        <v>108</v>
      </c>
      <c r="H706" s="256" t="s">
        <v>750</v>
      </c>
      <c r="I706" s="257">
        <v>0</v>
      </c>
      <c r="J706" s="257">
        <v>0</v>
      </c>
      <c r="K706" s="257">
        <v>0</v>
      </c>
      <c r="L706" s="257">
        <v>0</v>
      </c>
      <c r="M706" s="257">
        <v>0</v>
      </c>
      <c r="N706" s="257">
        <v>0</v>
      </c>
      <c r="O706" s="257">
        <v>0</v>
      </c>
      <c r="P706" s="257">
        <v>0</v>
      </c>
      <c r="Q706" s="258">
        <v>0</v>
      </c>
    </row>
    <row r="707" spans="1:17">
      <c r="A707" s="256">
        <v>1</v>
      </c>
      <c r="B707" s="256">
        <v>8831303</v>
      </c>
      <c r="C707" s="256">
        <v>883130314</v>
      </c>
      <c r="D707" s="256" t="s">
        <v>538</v>
      </c>
      <c r="E707" s="256" t="s">
        <v>539</v>
      </c>
      <c r="F707" s="256" t="s">
        <v>792</v>
      </c>
      <c r="G707" s="256" t="s">
        <v>108</v>
      </c>
      <c r="H707" s="256" t="s">
        <v>751</v>
      </c>
      <c r="I707" s="257">
        <v>0</v>
      </c>
      <c r="J707" s="257">
        <v>0</v>
      </c>
      <c r="K707" s="257">
        <v>0</v>
      </c>
      <c r="L707" s="257">
        <v>0</v>
      </c>
      <c r="M707" s="257">
        <v>0</v>
      </c>
      <c r="N707" s="257">
        <v>0</v>
      </c>
      <c r="O707" s="257">
        <v>0</v>
      </c>
      <c r="P707" s="257">
        <v>0</v>
      </c>
      <c r="Q707" s="258">
        <v>0</v>
      </c>
    </row>
    <row r="708" spans="1:17">
      <c r="A708" s="256">
        <v>1</v>
      </c>
      <c r="B708" s="256">
        <v>8831303</v>
      </c>
      <c r="C708" s="256">
        <v>883130315</v>
      </c>
      <c r="D708" s="256" t="s">
        <v>538</v>
      </c>
      <c r="E708" s="256" t="s">
        <v>539</v>
      </c>
      <c r="F708" s="256" t="s">
        <v>792</v>
      </c>
      <c r="G708" s="256" t="s">
        <v>108</v>
      </c>
      <c r="H708" s="256" t="s">
        <v>752</v>
      </c>
      <c r="I708" s="257">
        <v>0</v>
      </c>
      <c r="J708" s="257">
        <v>0</v>
      </c>
      <c r="K708" s="257">
        <v>0</v>
      </c>
      <c r="L708" s="257">
        <v>0</v>
      </c>
      <c r="M708" s="257">
        <v>0</v>
      </c>
      <c r="N708" s="257">
        <v>0</v>
      </c>
      <c r="O708" s="257">
        <v>0</v>
      </c>
      <c r="P708" s="257">
        <v>0</v>
      </c>
      <c r="Q708" s="258">
        <v>0</v>
      </c>
    </row>
    <row r="709" spans="1:17">
      <c r="A709" s="256">
        <v>1</v>
      </c>
      <c r="B709" s="256">
        <v>8831304</v>
      </c>
      <c r="C709" s="256">
        <v>883130401</v>
      </c>
      <c r="D709" s="256" t="s">
        <v>538</v>
      </c>
      <c r="E709" s="256" t="s">
        <v>539</v>
      </c>
      <c r="F709" s="256" t="s">
        <v>792</v>
      </c>
      <c r="G709" s="256" t="s">
        <v>106</v>
      </c>
      <c r="H709" s="256" t="s">
        <v>755</v>
      </c>
      <c r="I709" s="257">
        <v>1126810</v>
      </c>
      <c r="J709" s="257">
        <v>0</v>
      </c>
      <c r="K709" s="257">
        <v>0</v>
      </c>
      <c r="L709" s="257">
        <v>0</v>
      </c>
      <c r="M709" s="257">
        <v>0</v>
      </c>
      <c r="N709" s="257">
        <v>0</v>
      </c>
      <c r="O709" s="257">
        <v>1126810</v>
      </c>
      <c r="P709" s="257">
        <v>0</v>
      </c>
      <c r="Q709" s="258">
        <v>0</v>
      </c>
    </row>
    <row r="710" spans="1:17">
      <c r="A710" s="256">
        <v>1</v>
      </c>
      <c r="B710" s="256">
        <v>8831304</v>
      </c>
      <c r="C710" s="256">
        <v>883130402</v>
      </c>
      <c r="D710" s="256" t="s">
        <v>538</v>
      </c>
      <c r="E710" s="256" t="s">
        <v>539</v>
      </c>
      <c r="F710" s="256" t="s">
        <v>792</v>
      </c>
      <c r="G710" s="256" t="s">
        <v>106</v>
      </c>
      <c r="H710" s="256" t="s">
        <v>756</v>
      </c>
      <c r="I710" s="257">
        <v>6624</v>
      </c>
      <c r="J710" s="257">
        <v>0</v>
      </c>
      <c r="K710" s="257">
        <v>0</v>
      </c>
      <c r="L710" s="257">
        <v>0</v>
      </c>
      <c r="M710" s="257">
        <v>0</v>
      </c>
      <c r="N710" s="257">
        <v>0</v>
      </c>
      <c r="O710" s="257">
        <v>0</v>
      </c>
      <c r="P710" s="257">
        <v>6624</v>
      </c>
      <c r="Q710" s="258">
        <v>0</v>
      </c>
    </row>
    <row r="711" spans="1:17">
      <c r="A711" s="256">
        <v>1</v>
      </c>
      <c r="B711" s="256">
        <v>8831304</v>
      </c>
      <c r="C711" s="256">
        <v>883130403</v>
      </c>
      <c r="D711" s="256" t="s">
        <v>538</v>
      </c>
      <c r="E711" s="256" t="s">
        <v>539</v>
      </c>
      <c r="F711" s="256" t="s">
        <v>792</v>
      </c>
      <c r="G711" s="256" t="s">
        <v>106</v>
      </c>
      <c r="H711" s="256" t="s">
        <v>757</v>
      </c>
      <c r="I711" s="257">
        <v>0</v>
      </c>
      <c r="J711" s="257">
        <v>0</v>
      </c>
      <c r="K711" s="257">
        <v>0</v>
      </c>
      <c r="L711" s="257">
        <v>0</v>
      </c>
      <c r="M711" s="257">
        <v>0</v>
      </c>
      <c r="N711" s="257">
        <v>0</v>
      </c>
      <c r="O711" s="257">
        <v>0</v>
      </c>
      <c r="P711" s="257">
        <v>0</v>
      </c>
      <c r="Q711" s="258">
        <v>0</v>
      </c>
    </row>
    <row r="712" spans="1:17">
      <c r="A712" s="256">
        <v>1</v>
      </c>
      <c r="B712" s="256">
        <v>8831304</v>
      </c>
      <c r="C712" s="256">
        <v>883130405</v>
      </c>
      <c r="D712" s="256" t="s">
        <v>538</v>
      </c>
      <c r="E712" s="256" t="s">
        <v>539</v>
      </c>
      <c r="F712" s="256" t="s">
        <v>792</v>
      </c>
      <c r="G712" s="256" t="s">
        <v>106</v>
      </c>
      <c r="H712" s="256" t="s">
        <v>758</v>
      </c>
      <c r="I712" s="257">
        <v>0</v>
      </c>
      <c r="J712" s="257">
        <v>0</v>
      </c>
      <c r="K712" s="257">
        <v>0</v>
      </c>
      <c r="L712" s="257">
        <v>0</v>
      </c>
      <c r="M712" s="257">
        <v>0</v>
      </c>
      <c r="N712" s="257">
        <v>0</v>
      </c>
      <c r="O712" s="257">
        <v>0</v>
      </c>
      <c r="P712" s="257">
        <v>0</v>
      </c>
      <c r="Q712" s="258">
        <v>0</v>
      </c>
    </row>
    <row r="713" spans="1:17">
      <c r="A713" s="256">
        <v>1</v>
      </c>
      <c r="B713" s="256">
        <v>8831304</v>
      </c>
      <c r="C713" s="256">
        <v>883130406</v>
      </c>
      <c r="D713" s="256" t="s">
        <v>538</v>
      </c>
      <c r="E713" s="256" t="s">
        <v>539</v>
      </c>
      <c r="F713" s="256" t="s">
        <v>792</v>
      </c>
      <c r="G713" s="256" t="s">
        <v>106</v>
      </c>
      <c r="H713" s="256" t="s">
        <v>759</v>
      </c>
      <c r="I713" s="257">
        <v>0</v>
      </c>
      <c r="J713" s="257">
        <v>0</v>
      </c>
      <c r="K713" s="257">
        <v>0</v>
      </c>
      <c r="L713" s="257">
        <v>0</v>
      </c>
      <c r="M713" s="257">
        <v>0</v>
      </c>
      <c r="N713" s="257">
        <v>0</v>
      </c>
      <c r="O713" s="257">
        <v>0</v>
      </c>
      <c r="P713" s="257">
        <v>0</v>
      </c>
      <c r="Q713" s="258">
        <v>0</v>
      </c>
    </row>
    <row r="714" spans="1:17">
      <c r="A714" s="256">
        <v>1</v>
      </c>
      <c r="B714" s="256">
        <v>8831304</v>
      </c>
      <c r="C714" s="256">
        <v>883130407</v>
      </c>
      <c r="D714" s="256" t="s">
        <v>538</v>
      </c>
      <c r="E714" s="256" t="s">
        <v>539</v>
      </c>
      <c r="F714" s="256" t="s">
        <v>792</v>
      </c>
      <c r="G714" s="256" t="s">
        <v>106</v>
      </c>
      <c r="H714" s="256" t="s">
        <v>760</v>
      </c>
      <c r="I714" s="257">
        <v>0</v>
      </c>
      <c r="J714" s="257">
        <v>0</v>
      </c>
      <c r="K714" s="257">
        <v>0</v>
      </c>
      <c r="L714" s="257">
        <v>0</v>
      </c>
      <c r="M714" s="257">
        <v>0</v>
      </c>
      <c r="N714" s="257">
        <v>0</v>
      </c>
      <c r="O714" s="257">
        <v>0</v>
      </c>
      <c r="P714" s="257">
        <v>0</v>
      </c>
      <c r="Q714" s="258">
        <v>0</v>
      </c>
    </row>
    <row r="715" spans="1:17">
      <c r="A715" s="256">
        <v>1</v>
      </c>
      <c r="B715" s="256">
        <v>8831304</v>
      </c>
      <c r="C715" s="256">
        <v>883130408</v>
      </c>
      <c r="D715" s="256" t="s">
        <v>538</v>
      </c>
      <c r="E715" s="256" t="s">
        <v>539</v>
      </c>
      <c r="F715" s="256" t="s">
        <v>792</v>
      </c>
      <c r="G715" s="256" t="s">
        <v>106</v>
      </c>
      <c r="H715" s="256" t="s">
        <v>761</v>
      </c>
      <c r="I715" s="257">
        <v>0</v>
      </c>
      <c r="J715" s="257">
        <v>0</v>
      </c>
      <c r="K715" s="257">
        <v>0</v>
      </c>
      <c r="L715" s="257">
        <v>0</v>
      </c>
      <c r="M715" s="257">
        <v>0</v>
      </c>
      <c r="N715" s="257">
        <v>0</v>
      </c>
      <c r="O715" s="257">
        <v>0</v>
      </c>
      <c r="P715" s="257">
        <v>0</v>
      </c>
      <c r="Q715" s="258">
        <v>0</v>
      </c>
    </row>
    <row r="716" spans="1:17">
      <c r="A716" s="256">
        <v>1</v>
      </c>
      <c r="B716" s="256">
        <v>8831304</v>
      </c>
      <c r="C716" s="256">
        <v>883130410</v>
      </c>
      <c r="D716" s="256" t="s">
        <v>538</v>
      </c>
      <c r="E716" s="256" t="s">
        <v>539</v>
      </c>
      <c r="F716" s="256" t="s">
        <v>792</v>
      </c>
      <c r="G716" s="256" t="s">
        <v>106</v>
      </c>
      <c r="H716" s="256" t="s">
        <v>762</v>
      </c>
      <c r="I716" s="257">
        <v>435839</v>
      </c>
      <c r="J716" s="257">
        <v>0</v>
      </c>
      <c r="K716" s="257">
        <v>0</v>
      </c>
      <c r="L716" s="257">
        <v>0</v>
      </c>
      <c r="M716" s="257">
        <v>0</v>
      </c>
      <c r="N716" s="257">
        <v>0</v>
      </c>
      <c r="O716" s="257">
        <v>435839</v>
      </c>
      <c r="P716" s="257">
        <v>0</v>
      </c>
      <c r="Q716" s="258">
        <v>0</v>
      </c>
    </row>
    <row r="717" spans="1:17">
      <c r="A717" s="256">
        <v>1</v>
      </c>
      <c r="B717" s="256">
        <v>8831304</v>
      </c>
      <c r="C717" s="256">
        <v>883130411</v>
      </c>
      <c r="D717" s="256" t="s">
        <v>538</v>
      </c>
      <c r="E717" s="256" t="s">
        <v>539</v>
      </c>
      <c r="F717" s="256" t="s">
        <v>792</v>
      </c>
      <c r="G717" s="256" t="s">
        <v>106</v>
      </c>
      <c r="H717" s="256" t="s">
        <v>763</v>
      </c>
      <c r="I717" s="257">
        <v>0</v>
      </c>
      <c r="J717" s="257">
        <v>0</v>
      </c>
      <c r="K717" s="257">
        <v>0</v>
      </c>
      <c r="L717" s="257">
        <v>0</v>
      </c>
      <c r="M717" s="257">
        <v>0</v>
      </c>
      <c r="N717" s="257">
        <v>0</v>
      </c>
      <c r="O717" s="257">
        <v>0</v>
      </c>
      <c r="P717" s="257">
        <v>0</v>
      </c>
      <c r="Q717" s="258">
        <v>0</v>
      </c>
    </row>
    <row r="718" spans="1:17">
      <c r="A718" s="256">
        <v>1</v>
      </c>
      <c r="B718" s="256">
        <v>8831305</v>
      </c>
      <c r="C718" s="256">
        <v>883130500</v>
      </c>
      <c r="D718" s="256" t="s">
        <v>538</v>
      </c>
      <c r="E718" s="256" t="s">
        <v>539</v>
      </c>
      <c r="F718" s="256" t="s">
        <v>792</v>
      </c>
      <c r="G718" s="256" t="s">
        <v>104</v>
      </c>
      <c r="H718" s="256"/>
      <c r="I718" s="257">
        <v>0</v>
      </c>
      <c r="J718" s="257">
        <v>0</v>
      </c>
      <c r="K718" s="257">
        <v>0</v>
      </c>
      <c r="L718" s="257">
        <v>0</v>
      </c>
      <c r="M718" s="257">
        <v>0</v>
      </c>
      <c r="N718" s="257">
        <v>0</v>
      </c>
      <c r="O718" s="257">
        <v>0</v>
      </c>
      <c r="P718" s="257">
        <v>0</v>
      </c>
      <c r="Q718" s="258">
        <v>0</v>
      </c>
    </row>
    <row r="719" spans="1:17">
      <c r="A719" s="256">
        <v>1</v>
      </c>
      <c r="B719" s="256">
        <v>8831307</v>
      </c>
      <c r="C719" s="256">
        <v>883130700</v>
      </c>
      <c r="D719" s="256" t="s">
        <v>538</v>
      </c>
      <c r="E719" s="256" t="s">
        <v>539</v>
      </c>
      <c r="F719" s="256" t="s">
        <v>792</v>
      </c>
      <c r="G719" s="256" t="s">
        <v>102</v>
      </c>
      <c r="H719" s="256"/>
      <c r="I719" s="257">
        <v>0</v>
      </c>
      <c r="J719" s="257">
        <v>0</v>
      </c>
      <c r="K719" s="257">
        <v>0</v>
      </c>
      <c r="L719" s="257">
        <v>0</v>
      </c>
      <c r="M719" s="257">
        <v>0</v>
      </c>
      <c r="N719" s="257">
        <v>0</v>
      </c>
      <c r="O719" s="257">
        <v>0</v>
      </c>
      <c r="P719" s="257">
        <v>0</v>
      </c>
      <c r="Q719" s="258">
        <v>0</v>
      </c>
    </row>
    <row r="720" spans="1:17">
      <c r="A720" s="256">
        <v>1</v>
      </c>
      <c r="B720" s="256">
        <v>8831308</v>
      </c>
      <c r="C720" s="256">
        <v>883130800</v>
      </c>
      <c r="D720" s="256" t="s">
        <v>538</v>
      </c>
      <c r="E720" s="256" t="s">
        <v>539</v>
      </c>
      <c r="F720" s="256" t="s">
        <v>792</v>
      </c>
      <c r="G720" s="256" t="s">
        <v>100</v>
      </c>
      <c r="H720" s="256"/>
      <c r="I720" s="257">
        <v>0</v>
      </c>
      <c r="J720" s="257">
        <v>0</v>
      </c>
      <c r="K720" s="257">
        <v>0</v>
      </c>
      <c r="L720" s="257">
        <v>0</v>
      </c>
      <c r="M720" s="257">
        <v>0</v>
      </c>
      <c r="N720" s="257">
        <v>0</v>
      </c>
      <c r="O720" s="257">
        <v>0</v>
      </c>
      <c r="P720" s="257">
        <v>0</v>
      </c>
      <c r="Q720" s="258">
        <v>0</v>
      </c>
    </row>
    <row r="721" spans="1:17">
      <c r="A721" s="256">
        <v>1</v>
      </c>
      <c r="B721" s="256">
        <v>8831310</v>
      </c>
      <c r="C721" s="256">
        <v>883131001</v>
      </c>
      <c r="D721" s="256" t="s">
        <v>538</v>
      </c>
      <c r="E721" s="256" t="s">
        <v>539</v>
      </c>
      <c r="F721" s="256" t="s">
        <v>792</v>
      </c>
      <c r="G721" s="256" t="s">
        <v>764</v>
      </c>
      <c r="H721" s="256" t="s">
        <v>98</v>
      </c>
      <c r="I721" s="257">
        <v>0</v>
      </c>
      <c r="J721" s="257">
        <v>0</v>
      </c>
      <c r="K721" s="257">
        <v>0</v>
      </c>
      <c r="L721" s="257">
        <v>0</v>
      </c>
      <c r="M721" s="257">
        <v>0</v>
      </c>
      <c r="N721" s="257">
        <v>0</v>
      </c>
      <c r="O721" s="257">
        <v>0</v>
      </c>
      <c r="P721" s="257">
        <v>0</v>
      </c>
      <c r="Q721" s="258">
        <v>0</v>
      </c>
    </row>
    <row r="722" spans="1:17">
      <c r="A722" s="256">
        <v>1</v>
      </c>
      <c r="B722" s="256">
        <v>8831310</v>
      </c>
      <c r="C722" s="256">
        <v>883131002</v>
      </c>
      <c r="D722" s="256" t="s">
        <v>538</v>
      </c>
      <c r="E722" s="256" t="s">
        <v>539</v>
      </c>
      <c r="F722" s="256" t="s">
        <v>792</v>
      </c>
      <c r="G722" s="256" t="s">
        <v>764</v>
      </c>
      <c r="H722" s="256" t="s">
        <v>95</v>
      </c>
      <c r="I722" s="257">
        <v>0</v>
      </c>
      <c r="J722" s="257">
        <v>0</v>
      </c>
      <c r="K722" s="257">
        <v>0</v>
      </c>
      <c r="L722" s="257">
        <v>0</v>
      </c>
      <c r="M722" s="257">
        <v>0</v>
      </c>
      <c r="N722" s="257">
        <v>0</v>
      </c>
      <c r="O722" s="257">
        <v>0</v>
      </c>
      <c r="P722" s="257">
        <v>0</v>
      </c>
      <c r="Q722" s="258">
        <v>0</v>
      </c>
    </row>
    <row r="723" spans="1:17">
      <c r="A723" s="236">
        <v>1</v>
      </c>
      <c r="B723" s="236">
        <v>8831310</v>
      </c>
      <c r="C723" s="236">
        <v>883131003</v>
      </c>
      <c r="D723" s="236" t="s">
        <v>538</v>
      </c>
      <c r="E723" s="236" t="s">
        <v>539</v>
      </c>
      <c r="F723" s="236" t="s">
        <v>792</v>
      </c>
      <c r="G723" s="236" t="s">
        <v>764</v>
      </c>
      <c r="H723" s="236" t="s">
        <v>765</v>
      </c>
      <c r="I723" s="257">
        <v>0</v>
      </c>
      <c r="J723" s="257">
        <v>0</v>
      </c>
      <c r="K723" s="257">
        <v>0</v>
      </c>
      <c r="L723" s="257">
        <v>0</v>
      </c>
      <c r="M723" s="257">
        <v>0</v>
      </c>
      <c r="N723" s="257">
        <v>0</v>
      </c>
      <c r="O723" s="257">
        <v>0</v>
      </c>
      <c r="P723" s="257">
        <v>0</v>
      </c>
      <c r="Q723" s="258">
        <v>0</v>
      </c>
    </row>
    <row r="724" spans="1:17">
      <c r="A724" s="256">
        <v>1</v>
      </c>
      <c r="B724" s="256">
        <v>8831313</v>
      </c>
      <c r="C724" s="256">
        <v>883131300</v>
      </c>
      <c r="D724" s="256" t="s">
        <v>538</v>
      </c>
      <c r="E724" s="256" t="s">
        <v>539</v>
      </c>
      <c r="F724" s="256" t="s">
        <v>792</v>
      </c>
      <c r="G724" s="256" t="s">
        <v>93</v>
      </c>
      <c r="H724" s="256"/>
      <c r="I724" s="257">
        <v>314753</v>
      </c>
      <c r="J724" s="257">
        <v>0</v>
      </c>
      <c r="K724" s="257">
        <v>0</v>
      </c>
      <c r="L724" s="257">
        <v>0</v>
      </c>
      <c r="M724" s="257">
        <v>0</v>
      </c>
      <c r="N724" s="257">
        <v>314753</v>
      </c>
      <c r="O724" s="257">
        <v>0</v>
      </c>
      <c r="P724" s="257">
        <v>0</v>
      </c>
      <c r="Q724" s="258">
        <v>0</v>
      </c>
    </row>
    <row r="725" spans="1:17">
      <c r="A725" s="256">
        <v>1</v>
      </c>
      <c r="B725" s="256">
        <v>8831314</v>
      </c>
      <c r="C725" s="256">
        <v>883131400</v>
      </c>
      <c r="D725" s="256" t="s">
        <v>538</v>
      </c>
      <c r="E725" s="256" t="s">
        <v>539</v>
      </c>
      <c r="F725" s="256" t="s">
        <v>792</v>
      </c>
      <c r="G725" s="256" t="s">
        <v>91</v>
      </c>
      <c r="H725" s="256"/>
      <c r="I725" s="257">
        <v>205816</v>
      </c>
      <c r="J725" s="257">
        <v>0</v>
      </c>
      <c r="K725" s="257">
        <v>0</v>
      </c>
      <c r="L725" s="257">
        <v>0</v>
      </c>
      <c r="M725" s="257">
        <v>0</v>
      </c>
      <c r="N725" s="257">
        <v>205816</v>
      </c>
      <c r="O725" s="257">
        <v>0</v>
      </c>
      <c r="P725" s="257">
        <v>0</v>
      </c>
      <c r="Q725" s="258">
        <v>0</v>
      </c>
    </row>
    <row r="726" spans="1:17">
      <c r="A726" s="256">
        <v>1</v>
      </c>
      <c r="B726" s="256">
        <v>8831315</v>
      </c>
      <c r="C726" s="256">
        <v>883131500</v>
      </c>
      <c r="D726" s="256" t="s">
        <v>538</v>
      </c>
      <c r="E726" s="256" t="s">
        <v>539</v>
      </c>
      <c r="F726" s="256" t="s">
        <v>792</v>
      </c>
      <c r="G726" s="256" t="s">
        <v>89</v>
      </c>
      <c r="H726" s="256"/>
      <c r="I726" s="257">
        <v>0</v>
      </c>
      <c r="J726" s="257">
        <v>0</v>
      </c>
      <c r="K726" s="257">
        <v>0</v>
      </c>
      <c r="L726" s="257">
        <v>0</v>
      </c>
      <c r="M726" s="257">
        <v>0</v>
      </c>
      <c r="N726" s="257">
        <v>0</v>
      </c>
      <c r="O726" s="257">
        <v>0</v>
      </c>
      <c r="P726" s="257">
        <v>0</v>
      </c>
      <c r="Q726" s="258">
        <v>0</v>
      </c>
    </row>
    <row r="727" spans="1:17">
      <c r="A727" s="256">
        <v>1</v>
      </c>
      <c r="B727" s="256">
        <v>8831317</v>
      </c>
      <c r="C727" s="256">
        <v>883131700</v>
      </c>
      <c r="D727" s="256" t="s">
        <v>538</v>
      </c>
      <c r="E727" s="256" t="s">
        <v>539</v>
      </c>
      <c r="F727" s="256" t="s">
        <v>792</v>
      </c>
      <c r="G727" s="256" t="s">
        <v>87</v>
      </c>
      <c r="H727" s="256"/>
      <c r="I727" s="257">
        <v>25200</v>
      </c>
      <c r="J727" s="257">
        <v>0</v>
      </c>
      <c r="K727" s="257">
        <v>0</v>
      </c>
      <c r="L727" s="257">
        <v>0</v>
      </c>
      <c r="M727" s="257">
        <v>0</v>
      </c>
      <c r="N727" s="257">
        <v>25200</v>
      </c>
      <c r="O727" s="257">
        <v>0</v>
      </c>
      <c r="P727" s="257">
        <v>0</v>
      </c>
      <c r="Q727" s="258">
        <v>0</v>
      </c>
    </row>
    <row r="728" spans="1:17">
      <c r="A728" s="256">
        <v>1</v>
      </c>
      <c r="B728" s="256">
        <v>8831319</v>
      </c>
      <c r="C728" s="256">
        <v>883131900</v>
      </c>
      <c r="D728" s="256" t="s">
        <v>538</v>
      </c>
      <c r="E728" s="256" t="s">
        <v>539</v>
      </c>
      <c r="F728" s="256" t="s">
        <v>792</v>
      </c>
      <c r="G728" s="256" t="s">
        <v>85</v>
      </c>
      <c r="H728" s="256"/>
      <c r="I728" s="257">
        <v>31159</v>
      </c>
      <c r="J728" s="257">
        <v>0</v>
      </c>
      <c r="K728" s="257">
        <v>0</v>
      </c>
      <c r="L728" s="257">
        <v>0</v>
      </c>
      <c r="M728" s="257">
        <v>0</v>
      </c>
      <c r="N728" s="257">
        <v>3839</v>
      </c>
      <c r="O728" s="257">
        <v>12900</v>
      </c>
      <c r="P728" s="257">
        <v>14420</v>
      </c>
      <c r="Q728" s="258">
        <v>0</v>
      </c>
    </row>
    <row r="729" spans="1:17">
      <c r="A729" s="256">
        <v>1</v>
      </c>
      <c r="B729" s="256">
        <v>8831320</v>
      </c>
      <c r="C729" s="256">
        <v>883132000</v>
      </c>
      <c r="D729" s="256" t="s">
        <v>538</v>
      </c>
      <c r="E729" s="256" t="s">
        <v>539</v>
      </c>
      <c r="F729" s="256" t="s">
        <v>792</v>
      </c>
      <c r="G729" s="256" t="s">
        <v>83</v>
      </c>
      <c r="H729" s="256"/>
      <c r="I729" s="257">
        <v>0</v>
      </c>
      <c r="J729" s="257">
        <v>0</v>
      </c>
      <c r="K729" s="257">
        <v>0</v>
      </c>
      <c r="L729" s="257">
        <v>0</v>
      </c>
      <c r="M729" s="257">
        <v>0</v>
      </c>
      <c r="N729" s="257">
        <v>0</v>
      </c>
      <c r="O729" s="257">
        <v>0</v>
      </c>
      <c r="P729" s="257">
        <v>0</v>
      </c>
      <c r="Q729" s="258">
        <v>0</v>
      </c>
    </row>
    <row r="730" spans="1:17">
      <c r="A730" s="256">
        <v>1</v>
      </c>
      <c r="B730" s="256">
        <v>8831321</v>
      </c>
      <c r="C730" s="256">
        <v>883132100</v>
      </c>
      <c r="D730" s="256" t="s">
        <v>538</v>
      </c>
      <c r="E730" s="256" t="s">
        <v>539</v>
      </c>
      <c r="F730" s="256" t="s">
        <v>792</v>
      </c>
      <c r="G730" s="256" t="s">
        <v>81</v>
      </c>
      <c r="H730" s="256"/>
      <c r="I730" s="257">
        <v>223630</v>
      </c>
      <c r="J730" s="257">
        <v>0</v>
      </c>
      <c r="K730" s="257">
        <v>0</v>
      </c>
      <c r="L730" s="257">
        <v>0</v>
      </c>
      <c r="M730" s="257">
        <v>0</v>
      </c>
      <c r="N730" s="257">
        <v>223630</v>
      </c>
      <c r="O730" s="257">
        <v>0</v>
      </c>
      <c r="P730" s="257">
        <v>0</v>
      </c>
      <c r="Q730" s="258">
        <v>0</v>
      </c>
    </row>
    <row r="731" spans="1:17">
      <c r="A731" s="256">
        <v>1</v>
      </c>
      <c r="B731" s="256">
        <v>8831323</v>
      </c>
      <c r="C731" s="256">
        <v>883132300</v>
      </c>
      <c r="D731" s="256" t="s">
        <v>538</v>
      </c>
      <c r="E731" s="256" t="s">
        <v>539</v>
      </c>
      <c r="F731" s="256" t="s">
        <v>792</v>
      </c>
      <c r="G731" s="256" t="s">
        <v>79</v>
      </c>
      <c r="H731" s="256"/>
      <c r="I731" s="257">
        <v>190247</v>
      </c>
      <c r="J731" s="257">
        <v>0</v>
      </c>
      <c r="K731" s="257">
        <v>0</v>
      </c>
      <c r="L731" s="257">
        <v>0</v>
      </c>
      <c r="M731" s="257">
        <v>0</v>
      </c>
      <c r="N731" s="257">
        <v>190247</v>
      </c>
      <c r="O731" s="257">
        <v>0</v>
      </c>
      <c r="P731" s="257">
        <v>0</v>
      </c>
      <c r="Q731" s="258">
        <v>0</v>
      </c>
    </row>
    <row r="732" spans="1:17">
      <c r="A732" s="256">
        <v>1</v>
      </c>
      <c r="B732" s="256">
        <v>8831324</v>
      </c>
      <c r="C732" s="256">
        <v>883132400</v>
      </c>
      <c r="D732" s="256" t="s">
        <v>538</v>
      </c>
      <c r="E732" s="256" t="s">
        <v>539</v>
      </c>
      <c r="F732" s="256" t="s">
        <v>792</v>
      </c>
      <c r="G732" s="256" t="s">
        <v>77</v>
      </c>
      <c r="H732" s="256"/>
      <c r="I732" s="257">
        <v>0</v>
      </c>
      <c r="J732" s="257">
        <v>0</v>
      </c>
      <c r="K732" s="257">
        <v>0</v>
      </c>
      <c r="L732" s="257">
        <v>0</v>
      </c>
      <c r="M732" s="257">
        <v>0</v>
      </c>
      <c r="N732" s="257">
        <v>0</v>
      </c>
      <c r="O732" s="257">
        <v>0</v>
      </c>
      <c r="P732" s="257">
        <v>0</v>
      </c>
      <c r="Q732" s="258">
        <v>0</v>
      </c>
    </row>
    <row r="733" spans="1:17">
      <c r="A733" s="256">
        <v>1</v>
      </c>
      <c r="B733" s="256">
        <v>8831325</v>
      </c>
      <c r="C733" s="256">
        <v>883132500</v>
      </c>
      <c r="D733" s="256" t="s">
        <v>538</v>
      </c>
      <c r="E733" s="256" t="s">
        <v>539</v>
      </c>
      <c r="F733" s="256" t="s">
        <v>792</v>
      </c>
      <c r="G733" s="256" t="s">
        <v>75</v>
      </c>
      <c r="H733" s="256"/>
      <c r="I733" s="257">
        <v>0</v>
      </c>
      <c r="J733" s="257">
        <v>0</v>
      </c>
      <c r="K733" s="257">
        <v>0</v>
      </c>
      <c r="L733" s="257">
        <v>0</v>
      </c>
      <c r="M733" s="257">
        <v>0</v>
      </c>
      <c r="N733" s="257">
        <v>0</v>
      </c>
      <c r="O733" s="257">
        <v>0</v>
      </c>
      <c r="P733" s="257">
        <v>0</v>
      </c>
      <c r="Q733" s="258">
        <v>0</v>
      </c>
    </row>
    <row r="734" spans="1:17">
      <c r="A734" s="256">
        <v>1</v>
      </c>
      <c r="B734" s="256">
        <v>8831328</v>
      </c>
      <c r="C734" s="256">
        <v>883132866</v>
      </c>
      <c r="D734" s="256" t="s">
        <v>538</v>
      </c>
      <c r="E734" s="256" t="s">
        <v>539</v>
      </c>
      <c r="F734" s="256" t="s">
        <v>792</v>
      </c>
      <c r="G734" s="256" t="s">
        <v>811</v>
      </c>
      <c r="H734" s="256" t="s">
        <v>812</v>
      </c>
      <c r="I734" s="257">
        <v>0</v>
      </c>
      <c r="J734" s="257">
        <v>0</v>
      </c>
      <c r="K734" s="257">
        <v>0</v>
      </c>
      <c r="L734" s="257">
        <v>0</v>
      </c>
      <c r="M734" s="257">
        <v>0</v>
      </c>
      <c r="N734" s="257">
        <v>0</v>
      </c>
      <c r="O734" s="257">
        <v>0</v>
      </c>
      <c r="P734" s="257">
        <v>0</v>
      </c>
      <c r="Q734" s="258">
        <v>0</v>
      </c>
    </row>
    <row r="735" spans="1:17">
      <c r="A735" s="256">
        <v>1</v>
      </c>
      <c r="B735" s="256">
        <v>8831328</v>
      </c>
      <c r="C735" s="256">
        <v>883132867</v>
      </c>
      <c r="D735" s="256" t="s">
        <v>538</v>
      </c>
      <c r="E735" s="256" t="s">
        <v>539</v>
      </c>
      <c r="F735" s="256" t="s">
        <v>792</v>
      </c>
      <c r="G735" s="256" t="s">
        <v>811</v>
      </c>
      <c r="H735" s="256" t="s">
        <v>813</v>
      </c>
      <c r="I735" s="257">
        <v>0</v>
      </c>
      <c r="J735" s="257">
        <v>0</v>
      </c>
      <c r="K735" s="257">
        <v>0</v>
      </c>
      <c r="L735" s="257">
        <v>0</v>
      </c>
      <c r="M735" s="257">
        <v>0</v>
      </c>
      <c r="N735" s="257">
        <v>0</v>
      </c>
      <c r="O735" s="257">
        <v>0</v>
      </c>
      <c r="P735" s="257">
        <v>0</v>
      </c>
      <c r="Q735" s="258">
        <v>0</v>
      </c>
    </row>
    <row r="736" spans="1:17">
      <c r="A736" s="256">
        <v>1</v>
      </c>
      <c r="B736" s="256">
        <v>8831329</v>
      </c>
      <c r="C736" s="256">
        <v>883132900</v>
      </c>
      <c r="D736" s="256" t="s">
        <v>538</v>
      </c>
      <c r="E736" s="256" t="s">
        <v>539</v>
      </c>
      <c r="F736" s="256" t="s">
        <v>792</v>
      </c>
      <c r="G736" s="256" t="s">
        <v>66</v>
      </c>
      <c r="H736" s="256"/>
      <c r="I736" s="257">
        <v>0</v>
      </c>
      <c r="J736" s="257">
        <v>0</v>
      </c>
      <c r="K736" s="257">
        <v>0</v>
      </c>
      <c r="L736" s="257">
        <v>0</v>
      </c>
      <c r="M736" s="257">
        <v>0</v>
      </c>
      <c r="N736" s="257">
        <v>0</v>
      </c>
      <c r="O736" s="257">
        <v>0</v>
      </c>
      <c r="P736" s="257">
        <v>0</v>
      </c>
      <c r="Q736" s="258">
        <v>0</v>
      </c>
    </row>
    <row r="737" spans="1:17">
      <c r="A737" s="256">
        <v>1</v>
      </c>
      <c r="B737" s="256">
        <v>8831330</v>
      </c>
      <c r="C737" s="256">
        <v>883133000</v>
      </c>
      <c r="D737" s="256" t="s">
        <v>538</v>
      </c>
      <c r="E737" s="256" t="s">
        <v>539</v>
      </c>
      <c r="F737" s="256" t="s">
        <v>792</v>
      </c>
      <c r="G737" s="256" t="s">
        <v>64</v>
      </c>
      <c r="H737" s="256"/>
      <c r="I737" s="257">
        <v>0</v>
      </c>
      <c r="J737" s="257">
        <v>0</v>
      </c>
      <c r="K737" s="257">
        <v>0</v>
      </c>
      <c r="L737" s="257">
        <v>0</v>
      </c>
      <c r="M737" s="257">
        <v>0</v>
      </c>
      <c r="N737" s="257">
        <v>0</v>
      </c>
      <c r="O737" s="257">
        <v>0</v>
      </c>
      <c r="P737" s="257">
        <v>0</v>
      </c>
      <c r="Q737" s="258">
        <v>0</v>
      </c>
    </row>
    <row r="738" spans="1:17">
      <c r="A738" s="256">
        <v>1</v>
      </c>
      <c r="B738" s="256">
        <v>8831331</v>
      </c>
      <c r="C738" s="256">
        <v>883133100</v>
      </c>
      <c r="D738" s="256" t="s">
        <v>538</v>
      </c>
      <c r="E738" s="256" t="s">
        <v>539</v>
      </c>
      <c r="F738" s="256" t="s">
        <v>792</v>
      </c>
      <c r="G738" s="256" t="s">
        <v>62</v>
      </c>
      <c r="H738" s="256"/>
      <c r="I738" s="257">
        <v>0</v>
      </c>
      <c r="J738" s="257">
        <v>0</v>
      </c>
      <c r="K738" s="257">
        <v>0</v>
      </c>
      <c r="L738" s="257">
        <v>0</v>
      </c>
      <c r="M738" s="257">
        <v>0</v>
      </c>
      <c r="N738" s="257">
        <v>0</v>
      </c>
      <c r="O738" s="257">
        <v>0</v>
      </c>
      <c r="P738" s="257">
        <v>0</v>
      </c>
      <c r="Q738" s="258">
        <v>0</v>
      </c>
    </row>
    <row r="739" spans="1:17">
      <c r="A739" s="256">
        <v>1</v>
      </c>
      <c r="B739" s="256">
        <v>8831337</v>
      </c>
      <c r="C739" s="256">
        <v>883133700</v>
      </c>
      <c r="D739" s="256" t="s">
        <v>538</v>
      </c>
      <c r="E739" s="256" t="s">
        <v>539</v>
      </c>
      <c r="F739" s="256" t="s">
        <v>792</v>
      </c>
      <c r="G739" s="256" t="s">
        <v>60</v>
      </c>
      <c r="H739" s="256"/>
      <c r="I739" s="257">
        <v>0</v>
      </c>
      <c r="J739" s="257">
        <v>0</v>
      </c>
      <c r="K739" s="257">
        <v>0</v>
      </c>
      <c r="L739" s="257">
        <v>0</v>
      </c>
      <c r="M739" s="257">
        <v>0</v>
      </c>
      <c r="N739" s="257">
        <v>0</v>
      </c>
      <c r="O739" s="257">
        <v>0</v>
      </c>
      <c r="P739" s="257">
        <v>0</v>
      </c>
      <c r="Q739" s="258">
        <v>0</v>
      </c>
    </row>
    <row r="740" spans="1:17">
      <c r="A740" s="256">
        <v>1</v>
      </c>
      <c r="B740" s="256">
        <v>8831339</v>
      </c>
      <c r="C740" s="256">
        <v>883133900</v>
      </c>
      <c r="D740" s="256" t="s">
        <v>538</v>
      </c>
      <c r="E740" s="256" t="s">
        <v>539</v>
      </c>
      <c r="F740" s="256" t="s">
        <v>792</v>
      </c>
      <c r="G740" s="256" t="s">
        <v>58</v>
      </c>
      <c r="H740" s="256"/>
      <c r="I740" s="257">
        <v>97074</v>
      </c>
      <c r="J740" s="257">
        <v>0</v>
      </c>
      <c r="K740" s="257">
        <v>0</v>
      </c>
      <c r="L740" s="257">
        <v>0</v>
      </c>
      <c r="M740" s="257">
        <v>0</v>
      </c>
      <c r="N740" s="257">
        <v>0</v>
      </c>
      <c r="O740" s="257">
        <v>97074</v>
      </c>
      <c r="P740" s="257">
        <v>0</v>
      </c>
      <c r="Q740" s="258">
        <v>0</v>
      </c>
    </row>
    <row r="741" spans="1:17">
      <c r="A741" s="256">
        <v>1</v>
      </c>
      <c r="B741" s="256">
        <v>8831340</v>
      </c>
      <c r="C741" s="256">
        <v>883134000</v>
      </c>
      <c r="D741" s="256" t="s">
        <v>538</v>
      </c>
      <c r="E741" s="256" t="s">
        <v>539</v>
      </c>
      <c r="F741" s="256" t="s">
        <v>792</v>
      </c>
      <c r="G741" s="256" t="s">
        <v>56</v>
      </c>
      <c r="H741" s="256"/>
      <c r="I741" s="257">
        <v>0</v>
      </c>
      <c r="J741" s="257">
        <v>0</v>
      </c>
      <c r="K741" s="257">
        <v>0</v>
      </c>
      <c r="L741" s="257">
        <v>0</v>
      </c>
      <c r="M741" s="257">
        <v>0</v>
      </c>
      <c r="N741" s="257">
        <v>0</v>
      </c>
      <c r="O741" s="257">
        <v>0</v>
      </c>
      <c r="P741" s="257">
        <v>0</v>
      </c>
      <c r="Q741" s="258">
        <v>0</v>
      </c>
    </row>
    <row r="742" spans="1:17">
      <c r="A742" s="256">
        <v>1</v>
      </c>
      <c r="B742" s="256">
        <v>8831341</v>
      </c>
      <c r="C742" s="256">
        <v>883134100</v>
      </c>
      <c r="D742" s="256" t="s">
        <v>538</v>
      </c>
      <c r="E742" s="256" t="s">
        <v>539</v>
      </c>
      <c r="F742" s="256" t="s">
        <v>792</v>
      </c>
      <c r="G742" s="256" t="s">
        <v>55</v>
      </c>
      <c r="H742" s="256"/>
      <c r="I742" s="257">
        <v>0</v>
      </c>
      <c r="J742" s="257">
        <v>0</v>
      </c>
      <c r="K742" s="257">
        <v>0</v>
      </c>
      <c r="L742" s="257">
        <v>0</v>
      </c>
      <c r="M742" s="257">
        <v>0</v>
      </c>
      <c r="N742" s="257">
        <v>0</v>
      </c>
      <c r="O742" s="257">
        <v>0</v>
      </c>
      <c r="P742" s="257">
        <v>0</v>
      </c>
      <c r="Q742" s="258">
        <v>0</v>
      </c>
    </row>
    <row r="743" spans="1:17">
      <c r="A743" s="256">
        <v>1</v>
      </c>
      <c r="B743" s="256">
        <v>8831342</v>
      </c>
      <c r="C743" s="256">
        <v>883134201</v>
      </c>
      <c r="D743" s="256" t="s">
        <v>538</v>
      </c>
      <c r="E743" s="256" t="s">
        <v>539</v>
      </c>
      <c r="F743" s="256" t="s">
        <v>792</v>
      </c>
      <c r="G743" s="256" t="s">
        <v>53</v>
      </c>
      <c r="H743" s="256" t="s">
        <v>108</v>
      </c>
      <c r="I743" s="257">
        <v>476000</v>
      </c>
      <c r="J743" s="257">
        <v>0</v>
      </c>
      <c r="K743" s="257">
        <v>0</v>
      </c>
      <c r="L743" s="257">
        <v>0</v>
      </c>
      <c r="M743" s="257">
        <v>0</v>
      </c>
      <c r="N743" s="257">
        <v>0</v>
      </c>
      <c r="O743" s="257">
        <v>0</v>
      </c>
      <c r="P743" s="257">
        <v>476000</v>
      </c>
      <c r="Q743" s="258">
        <v>0</v>
      </c>
    </row>
    <row r="744" spans="1:17">
      <c r="A744" s="256">
        <v>1</v>
      </c>
      <c r="B744" s="256">
        <v>8831342</v>
      </c>
      <c r="C744" s="256">
        <v>883134202</v>
      </c>
      <c r="D744" s="256" t="s">
        <v>538</v>
      </c>
      <c r="E744" s="256" t="s">
        <v>539</v>
      </c>
      <c r="F744" s="256" t="s">
        <v>792</v>
      </c>
      <c r="G744" s="256" t="s">
        <v>53</v>
      </c>
      <c r="H744" s="256" t="s">
        <v>106</v>
      </c>
      <c r="I744" s="257">
        <v>97000</v>
      </c>
      <c r="J744" s="257">
        <v>0</v>
      </c>
      <c r="K744" s="257">
        <v>0</v>
      </c>
      <c r="L744" s="257">
        <v>0</v>
      </c>
      <c r="M744" s="257">
        <v>0</v>
      </c>
      <c r="N744" s="257">
        <v>0</v>
      </c>
      <c r="O744" s="257">
        <v>0</v>
      </c>
      <c r="P744" s="257">
        <v>97000</v>
      </c>
      <c r="Q744" s="258">
        <v>0</v>
      </c>
    </row>
    <row r="745" spans="1:17">
      <c r="A745" s="256">
        <v>1</v>
      </c>
      <c r="B745" s="256">
        <v>8831401</v>
      </c>
      <c r="C745" s="256">
        <v>883140102</v>
      </c>
      <c r="D745" s="256" t="s">
        <v>538</v>
      </c>
      <c r="E745" s="256" t="s">
        <v>539</v>
      </c>
      <c r="F745" s="256" t="s">
        <v>820</v>
      </c>
      <c r="G745" s="256" t="s">
        <v>112</v>
      </c>
      <c r="H745" s="256" t="s">
        <v>737</v>
      </c>
      <c r="I745" s="257">
        <v>0</v>
      </c>
      <c r="J745" s="257">
        <v>0</v>
      </c>
      <c r="K745" s="257">
        <v>0</v>
      </c>
      <c r="L745" s="257">
        <v>0</v>
      </c>
      <c r="M745" s="257">
        <v>0</v>
      </c>
      <c r="N745" s="257">
        <v>0</v>
      </c>
      <c r="O745" s="257">
        <v>0</v>
      </c>
      <c r="P745" s="257">
        <v>0</v>
      </c>
      <c r="Q745" s="258">
        <v>0</v>
      </c>
    </row>
    <row r="746" spans="1:17">
      <c r="A746" s="256">
        <v>1</v>
      </c>
      <c r="B746" s="256">
        <v>8831401</v>
      </c>
      <c r="C746" s="256">
        <v>883140103</v>
      </c>
      <c r="D746" s="256" t="s">
        <v>538</v>
      </c>
      <c r="E746" s="256" t="s">
        <v>539</v>
      </c>
      <c r="F746" s="256" t="s">
        <v>820</v>
      </c>
      <c r="G746" s="256" t="s">
        <v>112</v>
      </c>
      <c r="H746" s="256" t="s">
        <v>738</v>
      </c>
      <c r="I746" s="257">
        <v>0</v>
      </c>
      <c r="J746" s="257">
        <v>0</v>
      </c>
      <c r="K746" s="257">
        <v>0</v>
      </c>
      <c r="L746" s="257">
        <v>0</v>
      </c>
      <c r="M746" s="257">
        <v>0</v>
      </c>
      <c r="N746" s="257">
        <v>0</v>
      </c>
      <c r="O746" s="257">
        <v>0</v>
      </c>
      <c r="P746" s="257">
        <v>0</v>
      </c>
      <c r="Q746" s="258">
        <v>0</v>
      </c>
    </row>
    <row r="747" spans="1:17">
      <c r="A747" s="256">
        <v>1</v>
      </c>
      <c r="B747" s="256">
        <v>8831401</v>
      </c>
      <c r="C747" s="256">
        <v>883140104</v>
      </c>
      <c r="D747" s="256" t="s">
        <v>538</v>
      </c>
      <c r="E747" s="256" t="s">
        <v>539</v>
      </c>
      <c r="F747" s="256" t="s">
        <v>820</v>
      </c>
      <c r="G747" s="256" t="s">
        <v>112</v>
      </c>
      <c r="H747" s="256" t="s">
        <v>739</v>
      </c>
      <c r="I747" s="257">
        <v>0</v>
      </c>
      <c r="J747" s="257">
        <v>0</v>
      </c>
      <c r="K747" s="257">
        <v>0</v>
      </c>
      <c r="L747" s="257">
        <v>0</v>
      </c>
      <c r="M747" s="257">
        <v>0</v>
      </c>
      <c r="N747" s="257">
        <v>0</v>
      </c>
      <c r="O747" s="257">
        <v>0</v>
      </c>
      <c r="P747" s="257">
        <v>0</v>
      </c>
      <c r="Q747" s="258">
        <v>0</v>
      </c>
    </row>
    <row r="748" spans="1:17">
      <c r="A748" s="236">
        <v>1</v>
      </c>
      <c r="B748" s="236">
        <v>8831401</v>
      </c>
      <c r="C748" s="236">
        <v>883140105</v>
      </c>
      <c r="D748" s="236" t="s">
        <v>538</v>
      </c>
      <c r="E748" s="236" t="s">
        <v>539</v>
      </c>
      <c r="F748" s="236" t="s">
        <v>820</v>
      </c>
      <c r="G748" s="236" t="s">
        <v>112</v>
      </c>
      <c r="H748" s="236" t="s">
        <v>740</v>
      </c>
      <c r="I748" s="257">
        <v>2132308</v>
      </c>
      <c r="J748" s="257">
        <v>0</v>
      </c>
      <c r="K748" s="257">
        <v>0</v>
      </c>
      <c r="L748" s="257">
        <v>0</v>
      </c>
      <c r="M748" s="257">
        <v>0</v>
      </c>
      <c r="N748" s="257">
        <v>0</v>
      </c>
      <c r="O748" s="257">
        <v>0</v>
      </c>
      <c r="P748" s="257">
        <v>2132308</v>
      </c>
      <c r="Q748" s="258">
        <v>0</v>
      </c>
    </row>
    <row r="749" spans="1:17">
      <c r="A749" s="256">
        <v>1</v>
      </c>
      <c r="B749" s="256">
        <v>8831402</v>
      </c>
      <c r="C749" s="256">
        <v>883140202</v>
      </c>
      <c r="D749" s="256" t="s">
        <v>538</v>
      </c>
      <c r="E749" s="256" t="s">
        <v>539</v>
      </c>
      <c r="F749" s="256" t="s">
        <v>820</v>
      </c>
      <c r="G749" s="256" t="s">
        <v>110</v>
      </c>
      <c r="H749" s="256" t="s">
        <v>741</v>
      </c>
      <c r="I749" s="257">
        <v>12502020</v>
      </c>
      <c r="J749" s="257">
        <v>0</v>
      </c>
      <c r="K749" s="257">
        <v>0</v>
      </c>
      <c r="L749" s="257">
        <v>0</v>
      </c>
      <c r="M749" s="257">
        <v>0</v>
      </c>
      <c r="N749" s="257">
        <v>0</v>
      </c>
      <c r="O749" s="257">
        <v>0</v>
      </c>
      <c r="P749" s="257">
        <v>12502020</v>
      </c>
      <c r="Q749" s="258">
        <v>0</v>
      </c>
    </row>
    <row r="750" spans="1:17">
      <c r="A750" s="256">
        <v>1</v>
      </c>
      <c r="B750" s="256">
        <v>8831403</v>
      </c>
      <c r="C750" s="256">
        <v>883140301</v>
      </c>
      <c r="D750" s="256" t="s">
        <v>538</v>
      </c>
      <c r="E750" s="256" t="s">
        <v>539</v>
      </c>
      <c r="F750" s="256" t="s">
        <v>820</v>
      </c>
      <c r="G750" s="256" t="s">
        <v>108</v>
      </c>
      <c r="H750" s="256" t="s">
        <v>742</v>
      </c>
      <c r="I750" s="257">
        <v>1257996</v>
      </c>
      <c r="J750" s="257">
        <v>0</v>
      </c>
      <c r="K750" s="257">
        <v>0</v>
      </c>
      <c r="L750" s="257">
        <v>0</v>
      </c>
      <c r="M750" s="257">
        <v>0</v>
      </c>
      <c r="N750" s="257">
        <v>0</v>
      </c>
      <c r="O750" s="257">
        <v>0</v>
      </c>
      <c r="P750" s="257">
        <v>1257996</v>
      </c>
      <c r="Q750" s="258">
        <v>0</v>
      </c>
    </row>
    <row r="751" spans="1:17">
      <c r="A751" s="256">
        <v>1</v>
      </c>
      <c r="B751" s="256">
        <v>8831403</v>
      </c>
      <c r="C751" s="256">
        <v>883140302</v>
      </c>
      <c r="D751" s="256" t="s">
        <v>538</v>
      </c>
      <c r="E751" s="256" t="s">
        <v>539</v>
      </c>
      <c r="F751" s="256" t="s">
        <v>820</v>
      </c>
      <c r="G751" s="256" t="s">
        <v>108</v>
      </c>
      <c r="H751" s="256" t="s">
        <v>743</v>
      </c>
      <c r="I751" s="257">
        <v>78000</v>
      </c>
      <c r="J751" s="257">
        <v>0</v>
      </c>
      <c r="K751" s="257">
        <v>0</v>
      </c>
      <c r="L751" s="257">
        <v>0</v>
      </c>
      <c r="M751" s="257">
        <v>0</v>
      </c>
      <c r="N751" s="257">
        <v>0</v>
      </c>
      <c r="O751" s="257">
        <v>0</v>
      </c>
      <c r="P751" s="257">
        <v>78000</v>
      </c>
      <c r="Q751" s="258">
        <v>0</v>
      </c>
    </row>
    <row r="752" spans="1:17">
      <c r="A752" s="256">
        <v>1</v>
      </c>
      <c r="B752" s="256">
        <v>8831403</v>
      </c>
      <c r="C752" s="256">
        <v>883140303</v>
      </c>
      <c r="D752" s="256" t="s">
        <v>538</v>
      </c>
      <c r="E752" s="256" t="s">
        <v>539</v>
      </c>
      <c r="F752" s="256" t="s">
        <v>820</v>
      </c>
      <c r="G752" s="256" t="s">
        <v>108</v>
      </c>
      <c r="H752" s="256" t="s">
        <v>744</v>
      </c>
      <c r="I752" s="257">
        <v>3550567</v>
      </c>
      <c r="J752" s="257">
        <v>0</v>
      </c>
      <c r="K752" s="257">
        <v>0</v>
      </c>
      <c r="L752" s="257">
        <v>0</v>
      </c>
      <c r="M752" s="257">
        <v>0</v>
      </c>
      <c r="N752" s="257">
        <v>0</v>
      </c>
      <c r="O752" s="257">
        <v>0</v>
      </c>
      <c r="P752" s="257">
        <v>3550567</v>
      </c>
      <c r="Q752" s="258">
        <v>0</v>
      </c>
    </row>
    <row r="753" spans="1:17">
      <c r="A753" s="256">
        <v>1</v>
      </c>
      <c r="B753" s="256">
        <v>8831403</v>
      </c>
      <c r="C753" s="256">
        <v>883140304</v>
      </c>
      <c r="D753" s="256" t="s">
        <v>538</v>
      </c>
      <c r="E753" s="256" t="s">
        <v>539</v>
      </c>
      <c r="F753" s="256" t="s">
        <v>820</v>
      </c>
      <c r="G753" s="256" t="s">
        <v>108</v>
      </c>
      <c r="H753" s="256" t="s">
        <v>745</v>
      </c>
      <c r="I753" s="257">
        <v>587260</v>
      </c>
      <c r="J753" s="257">
        <v>0</v>
      </c>
      <c r="K753" s="257">
        <v>0</v>
      </c>
      <c r="L753" s="257">
        <v>0</v>
      </c>
      <c r="M753" s="257">
        <v>0</v>
      </c>
      <c r="N753" s="257">
        <v>587260</v>
      </c>
      <c r="O753" s="257">
        <v>0</v>
      </c>
      <c r="P753" s="257">
        <v>0</v>
      </c>
      <c r="Q753" s="258">
        <v>0</v>
      </c>
    </row>
    <row r="754" spans="1:17">
      <c r="A754" s="256">
        <v>1</v>
      </c>
      <c r="B754" s="256">
        <v>8831403</v>
      </c>
      <c r="C754" s="256">
        <v>883140305</v>
      </c>
      <c r="D754" s="256" t="s">
        <v>538</v>
      </c>
      <c r="E754" s="256" t="s">
        <v>539</v>
      </c>
      <c r="F754" s="256" t="s">
        <v>820</v>
      </c>
      <c r="G754" s="256" t="s">
        <v>108</v>
      </c>
      <c r="H754" s="256" t="s">
        <v>746</v>
      </c>
      <c r="I754" s="257">
        <v>0</v>
      </c>
      <c r="J754" s="257">
        <v>0</v>
      </c>
      <c r="K754" s="257">
        <v>0</v>
      </c>
      <c r="L754" s="257">
        <v>0</v>
      </c>
      <c r="M754" s="257">
        <v>0</v>
      </c>
      <c r="N754" s="257">
        <v>0</v>
      </c>
      <c r="O754" s="257">
        <v>0</v>
      </c>
      <c r="P754" s="257">
        <v>0</v>
      </c>
      <c r="Q754" s="258">
        <v>0</v>
      </c>
    </row>
    <row r="755" spans="1:17">
      <c r="A755" s="256">
        <v>1</v>
      </c>
      <c r="B755" s="256">
        <v>8831403</v>
      </c>
      <c r="C755" s="256">
        <v>883140306</v>
      </c>
      <c r="D755" s="256" t="s">
        <v>538</v>
      </c>
      <c r="E755" s="256" t="s">
        <v>539</v>
      </c>
      <c r="F755" s="256" t="s">
        <v>820</v>
      </c>
      <c r="G755" s="256" t="s">
        <v>108</v>
      </c>
      <c r="H755" s="256" t="s">
        <v>747</v>
      </c>
      <c r="I755" s="257">
        <v>0</v>
      </c>
      <c r="J755" s="257">
        <v>0</v>
      </c>
      <c r="K755" s="257">
        <v>0</v>
      </c>
      <c r="L755" s="257">
        <v>0</v>
      </c>
      <c r="M755" s="257">
        <v>0</v>
      </c>
      <c r="N755" s="257">
        <v>0</v>
      </c>
      <c r="O755" s="257">
        <v>0</v>
      </c>
      <c r="P755" s="257">
        <v>0</v>
      </c>
      <c r="Q755" s="258">
        <v>0</v>
      </c>
    </row>
    <row r="756" spans="1:17">
      <c r="A756" s="256">
        <v>1</v>
      </c>
      <c r="B756" s="256">
        <v>8831403</v>
      </c>
      <c r="C756" s="256">
        <v>883140307</v>
      </c>
      <c r="D756" s="256" t="s">
        <v>538</v>
      </c>
      <c r="E756" s="256" t="s">
        <v>539</v>
      </c>
      <c r="F756" s="256" t="s">
        <v>820</v>
      </c>
      <c r="G756" s="256" t="s">
        <v>108</v>
      </c>
      <c r="H756" s="256" t="s">
        <v>748</v>
      </c>
      <c r="I756" s="257">
        <v>0</v>
      </c>
      <c r="J756" s="257">
        <v>0</v>
      </c>
      <c r="K756" s="257">
        <v>0</v>
      </c>
      <c r="L756" s="257">
        <v>0</v>
      </c>
      <c r="M756" s="257">
        <v>0</v>
      </c>
      <c r="N756" s="257">
        <v>0</v>
      </c>
      <c r="O756" s="257">
        <v>0</v>
      </c>
      <c r="P756" s="257">
        <v>0</v>
      </c>
      <c r="Q756" s="258">
        <v>0</v>
      </c>
    </row>
    <row r="757" spans="1:17">
      <c r="A757" s="256">
        <v>1</v>
      </c>
      <c r="B757" s="256">
        <v>8831403</v>
      </c>
      <c r="C757" s="256">
        <v>883140310</v>
      </c>
      <c r="D757" s="256" t="s">
        <v>538</v>
      </c>
      <c r="E757" s="256" t="s">
        <v>539</v>
      </c>
      <c r="F757" s="256" t="s">
        <v>820</v>
      </c>
      <c r="G757" s="256" t="s">
        <v>108</v>
      </c>
      <c r="H757" s="256" t="s">
        <v>749</v>
      </c>
      <c r="I757" s="257">
        <v>1597508</v>
      </c>
      <c r="J757" s="257">
        <v>0</v>
      </c>
      <c r="K757" s="257">
        <v>0</v>
      </c>
      <c r="L757" s="257">
        <v>0</v>
      </c>
      <c r="M757" s="257">
        <v>0</v>
      </c>
      <c r="N757" s="257">
        <v>0</v>
      </c>
      <c r="O757" s="257">
        <v>0</v>
      </c>
      <c r="P757" s="257">
        <v>1597508</v>
      </c>
      <c r="Q757" s="258">
        <v>0</v>
      </c>
    </row>
    <row r="758" spans="1:17">
      <c r="A758" s="256">
        <v>1</v>
      </c>
      <c r="B758" s="256">
        <v>8831403</v>
      </c>
      <c r="C758" s="256">
        <v>883140311</v>
      </c>
      <c r="D758" s="256" t="s">
        <v>538</v>
      </c>
      <c r="E758" s="256" t="s">
        <v>539</v>
      </c>
      <c r="F758" s="256" t="s">
        <v>820</v>
      </c>
      <c r="G758" s="256" t="s">
        <v>108</v>
      </c>
      <c r="H758" s="256" t="s">
        <v>750</v>
      </c>
      <c r="I758" s="257">
        <v>0</v>
      </c>
      <c r="J758" s="257">
        <v>0</v>
      </c>
      <c r="K758" s="257">
        <v>0</v>
      </c>
      <c r="L758" s="257">
        <v>0</v>
      </c>
      <c r="M758" s="257">
        <v>0</v>
      </c>
      <c r="N758" s="257">
        <v>0</v>
      </c>
      <c r="O758" s="257">
        <v>0</v>
      </c>
      <c r="P758" s="257">
        <v>0</v>
      </c>
      <c r="Q758" s="258">
        <v>0</v>
      </c>
    </row>
    <row r="759" spans="1:17">
      <c r="A759" s="256">
        <v>1</v>
      </c>
      <c r="B759" s="256">
        <v>8831403</v>
      </c>
      <c r="C759" s="256">
        <v>883140314</v>
      </c>
      <c r="D759" s="256" t="s">
        <v>538</v>
      </c>
      <c r="E759" s="256" t="s">
        <v>539</v>
      </c>
      <c r="F759" s="256" t="s">
        <v>820</v>
      </c>
      <c r="G759" s="256" t="s">
        <v>108</v>
      </c>
      <c r="H759" s="256" t="s">
        <v>751</v>
      </c>
      <c r="I759" s="257">
        <v>324000</v>
      </c>
      <c r="J759" s="257">
        <v>0</v>
      </c>
      <c r="K759" s="257">
        <v>0</v>
      </c>
      <c r="L759" s="257">
        <v>0</v>
      </c>
      <c r="M759" s="257">
        <v>0</v>
      </c>
      <c r="N759" s="257">
        <v>0</v>
      </c>
      <c r="O759" s="257">
        <v>0</v>
      </c>
      <c r="P759" s="257">
        <v>324000</v>
      </c>
      <c r="Q759" s="258">
        <v>0</v>
      </c>
    </row>
    <row r="760" spans="1:17">
      <c r="A760" s="256">
        <v>1</v>
      </c>
      <c r="B760" s="256">
        <v>8831403</v>
      </c>
      <c r="C760" s="256">
        <v>883140315</v>
      </c>
      <c r="D760" s="256" t="s">
        <v>538</v>
      </c>
      <c r="E760" s="256" t="s">
        <v>539</v>
      </c>
      <c r="F760" s="256" t="s">
        <v>820</v>
      </c>
      <c r="G760" s="256" t="s">
        <v>108</v>
      </c>
      <c r="H760" s="256" t="s">
        <v>752</v>
      </c>
      <c r="I760" s="257">
        <v>0</v>
      </c>
      <c r="J760" s="257">
        <v>0</v>
      </c>
      <c r="K760" s="257">
        <v>0</v>
      </c>
      <c r="L760" s="257">
        <v>0</v>
      </c>
      <c r="M760" s="257">
        <v>0</v>
      </c>
      <c r="N760" s="257">
        <v>0</v>
      </c>
      <c r="O760" s="257">
        <v>0</v>
      </c>
      <c r="P760" s="257">
        <v>0</v>
      </c>
      <c r="Q760" s="258">
        <v>0</v>
      </c>
    </row>
    <row r="761" spans="1:17">
      <c r="A761" s="256">
        <v>1</v>
      </c>
      <c r="B761" s="256">
        <v>8831404</v>
      </c>
      <c r="C761" s="256">
        <v>883140401</v>
      </c>
      <c r="D761" s="256" t="s">
        <v>538</v>
      </c>
      <c r="E761" s="256" t="s">
        <v>539</v>
      </c>
      <c r="F761" s="256" t="s">
        <v>820</v>
      </c>
      <c r="G761" s="256" t="s">
        <v>106</v>
      </c>
      <c r="H761" s="256" t="s">
        <v>755</v>
      </c>
      <c r="I761" s="257">
        <v>2441526</v>
      </c>
      <c r="J761" s="257">
        <v>0</v>
      </c>
      <c r="K761" s="257">
        <v>0</v>
      </c>
      <c r="L761" s="257">
        <v>0</v>
      </c>
      <c r="M761" s="257">
        <v>0</v>
      </c>
      <c r="N761" s="257">
        <v>0</v>
      </c>
      <c r="O761" s="257">
        <v>2441526</v>
      </c>
      <c r="P761" s="257">
        <v>0</v>
      </c>
      <c r="Q761" s="258">
        <v>0</v>
      </c>
    </row>
    <row r="762" spans="1:17">
      <c r="A762" s="256">
        <v>1</v>
      </c>
      <c r="B762" s="256">
        <v>8831404</v>
      </c>
      <c r="C762" s="256">
        <v>883140402</v>
      </c>
      <c r="D762" s="256" t="s">
        <v>538</v>
      </c>
      <c r="E762" s="256" t="s">
        <v>539</v>
      </c>
      <c r="F762" s="256" t="s">
        <v>820</v>
      </c>
      <c r="G762" s="256" t="s">
        <v>106</v>
      </c>
      <c r="H762" s="256" t="s">
        <v>756</v>
      </c>
      <c r="I762" s="257">
        <v>20796</v>
      </c>
      <c r="J762" s="257">
        <v>0</v>
      </c>
      <c r="K762" s="257">
        <v>0</v>
      </c>
      <c r="L762" s="257">
        <v>0</v>
      </c>
      <c r="M762" s="257">
        <v>0</v>
      </c>
      <c r="N762" s="257">
        <v>0</v>
      </c>
      <c r="O762" s="257">
        <v>0</v>
      </c>
      <c r="P762" s="257">
        <v>20796</v>
      </c>
      <c r="Q762" s="258">
        <v>0</v>
      </c>
    </row>
    <row r="763" spans="1:17">
      <c r="A763" s="256">
        <v>1</v>
      </c>
      <c r="B763" s="256">
        <v>8831404</v>
      </c>
      <c r="C763" s="256">
        <v>883140403</v>
      </c>
      <c r="D763" s="256" t="s">
        <v>538</v>
      </c>
      <c r="E763" s="256" t="s">
        <v>539</v>
      </c>
      <c r="F763" s="256" t="s">
        <v>820</v>
      </c>
      <c r="G763" s="256" t="s">
        <v>106</v>
      </c>
      <c r="H763" s="256" t="s">
        <v>757</v>
      </c>
      <c r="I763" s="257">
        <v>0</v>
      </c>
      <c r="J763" s="257">
        <v>0</v>
      </c>
      <c r="K763" s="257">
        <v>0</v>
      </c>
      <c r="L763" s="257">
        <v>0</v>
      </c>
      <c r="M763" s="257">
        <v>0</v>
      </c>
      <c r="N763" s="257">
        <v>0</v>
      </c>
      <c r="O763" s="257">
        <v>0</v>
      </c>
      <c r="P763" s="257">
        <v>0</v>
      </c>
      <c r="Q763" s="258">
        <v>0</v>
      </c>
    </row>
    <row r="764" spans="1:17">
      <c r="A764" s="256">
        <v>1</v>
      </c>
      <c r="B764" s="256">
        <v>8831404</v>
      </c>
      <c r="C764" s="256">
        <v>883140405</v>
      </c>
      <c r="D764" s="256" t="s">
        <v>538</v>
      </c>
      <c r="E764" s="256" t="s">
        <v>539</v>
      </c>
      <c r="F764" s="256" t="s">
        <v>820</v>
      </c>
      <c r="G764" s="256" t="s">
        <v>106</v>
      </c>
      <c r="H764" s="256" t="s">
        <v>758</v>
      </c>
      <c r="I764" s="257">
        <v>0</v>
      </c>
      <c r="J764" s="257">
        <v>0</v>
      </c>
      <c r="K764" s="257">
        <v>0</v>
      </c>
      <c r="L764" s="257">
        <v>0</v>
      </c>
      <c r="M764" s="257">
        <v>0</v>
      </c>
      <c r="N764" s="257">
        <v>0</v>
      </c>
      <c r="O764" s="257">
        <v>0</v>
      </c>
      <c r="P764" s="257">
        <v>0</v>
      </c>
      <c r="Q764" s="258">
        <v>0</v>
      </c>
    </row>
    <row r="765" spans="1:17">
      <c r="A765" s="256">
        <v>1</v>
      </c>
      <c r="B765" s="256">
        <v>8831404</v>
      </c>
      <c r="C765" s="256">
        <v>883140406</v>
      </c>
      <c r="D765" s="256" t="s">
        <v>538</v>
      </c>
      <c r="E765" s="256" t="s">
        <v>539</v>
      </c>
      <c r="F765" s="256" t="s">
        <v>820</v>
      </c>
      <c r="G765" s="256" t="s">
        <v>106</v>
      </c>
      <c r="H765" s="256" t="s">
        <v>759</v>
      </c>
      <c r="I765" s="257">
        <v>56524</v>
      </c>
      <c r="J765" s="257">
        <v>0</v>
      </c>
      <c r="K765" s="257">
        <v>0</v>
      </c>
      <c r="L765" s="257">
        <v>0</v>
      </c>
      <c r="M765" s="257">
        <v>0</v>
      </c>
      <c r="N765" s="257">
        <v>0</v>
      </c>
      <c r="O765" s="257">
        <v>56524</v>
      </c>
      <c r="P765" s="257">
        <v>0</v>
      </c>
      <c r="Q765" s="258">
        <v>0</v>
      </c>
    </row>
    <row r="766" spans="1:17">
      <c r="A766" s="256">
        <v>1</v>
      </c>
      <c r="B766" s="256">
        <v>8831404</v>
      </c>
      <c r="C766" s="256">
        <v>883140407</v>
      </c>
      <c r="D766" s="256" t="s">
        <v>538</v>
      </c>
      <c r="E766" s="256" t="s">
        <v>539</v>
      </c>
      <c r="F766" s="256" t="s">
        <v>820</v>
      </c>
      <c r="G766" s="256" t="s">
        <v>106</v>
      </c>
      <c r="H766" s="256" t="s">
        <v>760</v>
      </c>
      <c r="I766" s="257">
        <v>506636</v>
      </c>
      <c r="J766" s="257">
        <v>0</v>
      </c>
      <c r="K766" s="257">
        <v>0</v>
      </c>
      <c r="L766" s="257">
        <v>0</v>
      </c>
      <c r="M766" s="257">
        <v>0</v>
      </c>
      <c r="N766" s="257">
        <v>0</v>
      </c>
      <c r="O766" s="257">
        <v>506636</v>
      </c>
      <c r="P766" s="257">
        <v>0</v>
      </c>
      <c r="Q766" s="258">
        <v>0</v>
      </c>
    </row>
    <row r="767" spans="1:17">
      <c r="A767" s="256">
        <v>1</v>
      </c>
      <c r="B767" s="256">
        <v>8831404</v>
      </c>
      <c r="C767" s="256">
        <v>883140408</v>
      </c>
      <c r="D767" s="256" t="s">
        <v>538</v>
      </c>
      <c r="E767" s="256" t="s">
        <v>539</v>
      </c>
      <c r="F767" s="256" t="s">
        <v>820</v>
      </c>
      <c r="G767" s="256" t="s">
        <v>106</v>
      </c>
      <c r="H767" s="256" t="s">
        <v>761</v>
      </c>
      <c r="I767" s="257">
        <v>20477</v>
      </c>
      <c r="J767" s="257">
        <v>0</v>
      </c>
      <c r="K767" s="257">
        <v>0</v>
      </c>
      <c r="L767" s="257">
        <v>0</v>
      </c>
      <c r="M767" s="257">
        <v>0</v>
      </c>
      <c r="N767" s="257">
        <v>0</v>
      </c>
      <c r="O767" s="257">
        <v>20477</v>
      </c>
      <c r="P767" s="257">
        <v>0</v>
      </c>
      <c r="Q767" s="258">
        <v>0</v>
      </c>
    </row>
    <row r="768" spans="1:17">
      <c r="A768" s="256">
        <v>1</v>
      </c>
      <c r="B768" s="256">
        <v>8831404</v>
      </c>
      <c r="C768" s="256">
        <v>883140410</v>
      </c>
      <c r="D768" s="256" t="s">
        <v>538</v>
      </c>
      <c r="E768" s="256" t="s">
        <v>539</v>
      </c>
      <c r="F768" s="256" t="s">
        <v>820</v>
      </c>
      <c r="G768" s="256" t="s">
        <v>106</v>
      </c>
      <c r="H768" s="256" t="s">
        <v>762</v>
      </c>
      <c r="I768" s="257">
        <v>1151322</v>
      </c>
      <c r="J768" s="257">
        <v>0</v>
      </c>
      <c r="K768" s="257">
        <v>0</v>
      </c>
      <c r="L768" s="257">
        <v>0</v>
      </c>
      <c r="M768" s="257">
        <v>0</v>
      </c>
      <c r="N768" s="257">
        <v>0</v>
      </c>
      <c r="O768" s="257">
        <v>1151322</v>
      </c>
      <c r="P768" s="257">
        <v>0</v>
      </c>
      <c r="Q768" s="258">
        <v>0</v>
      </c>
    </row>
    <row r="769" spans="1:17">
      <c r="A769" s="256">
        <v>1</v>
      </c>
      <c r="B769" s="256">
        <v>8831404</v>
      </c>
      <c r="C769" s="256">
        <v>883140411</v>
      </c>
      <c r="D769" s="256" t="s">
        <v>538</v>
      </c>
      <c r="E769" s="256" t="s">
        <v>539</v>
      </c>
      <c r="F769" s="256" t="s">
        <v>820</v>
      </c>
      <c r="G769" s="256" t="s">
        <v>106</v>
      </c>
      <c r="H769" s="256" t="s">
        <v>763</v>
      </c>
      <c r="I769" s="257">
        <v>8208</v>
      </c>
      <c r="J769" s="257">
        <v>0</v>
      </c>
      <c r="K769" s="257">
        <v>0</v>
      </c>
      <c r="L769" s="257">
        <v>0</v>
      </c>
      <c r="M769" s="257">
        <v>0</v>
      </c>
      <c r="N769" s="257">
        <v>0</v>
      </c>
      <c r="O769" s="257">
        <v>8208</v>
      </c>
      <c r="P769" s="257">
        <v>0</v>
      </c>
      <c r="Q769" s="258">
        <v>0</v>
      </c>
    </row>
    <row r="770" spans="1:17">
      <c r="A770" s="256">
        <v>1</v>
      </c>
      <c r="B770" s="256">
        <v>8831405</v>
      </c>
      <c r="C770" s="256">
        <v>883140500</v>
      </c>
      <c r="D770" s="256" t="s">
        <v>538</v>
      </c>
      <c r="E770" s="256" t="s">
        <v>539</v>
      </c>
      <c r="F770" s="256" t="s">
        <v>820</v>
      </c>
      <c r="G770" s="256" t="s">
        <v>104</v>
      </c>
      <c r="H770" s="256"/>
      <c r="I770" s="257">
        <v>0</v>
      </c>
      <c r="J770" s="257">
        <v>0</v>
      </c>
      <c r="K770" s="257">
        <v>0</v>
      </c>
      <c r="L770" s="257">
        <v>0</v>
      </c>
      <c r="M770" s="257">
        <v>0</v>
      </c>
      <c r="N770" s="257">
        <v>0</v>
      </c>
      <c r="O770" s="257">
        <v>0</v>
      </c>
      <c r="P770" s="257">
        <v>0</v>
      </c>
      <c r="Q770" s="258">
        <v>0</v>
      </c>
    </row>
    <row r="771" spans="1:17">
      <c r="A771" s="256">
        <v>1</v>
      </c>
      <c r="B771" s="256">
        <v>8831407</v>
      </c>
      <c r="C771" s="256">
        <v>883140700</v>
      </c>
      <c r="D771" s="256" t="s">
        <v>538</v>
      </c>
      <c r="E771" s="256" t="s">
        <v>539</v>
      </c>
      <c r="F771" s="256" t="s">
        <v>820</v>
      </c>
      <c r="G771" s="256" t="s">
        <v>102</v>
      </c>
      <c r="H771" s="256"/>
      <c r="I771" s="257">
        <v>0</v>
      </c>
      <c r="J771" s="257">
        <v>0</v>
      </c>
      <c r="K771" s="257">
        <v>0</v>
      </c>
      <c r="L771" s="257">
        <v>0</v>
      </c>
      <c r="M771" s="257">
        <v>0</v>
      </c>
      <c r="N771" s="257">
        <v>0</v>
      </c>
      <c r="O771" s="257">
        <v>0</v>
      </c>
      <c r="P771" s="257">
        <v>0</v>
      </c>
      <c r="Q771" s="258">
        <v>0</v>
      </c>
    </row>
    <row r="772" spans="1:17">
      <c r="A772" s="256">
        <v>1</v>
      </c>
      <c r="B772" s="256">
        <v>8831408</v>
      </c>
      <c r="C772" s="256">
        <v>883140800</v>
      </c>
      <c r="D772" s="256" t="s">
        <v>538</v>
      </c>
      <c r="E772" s="256" t="s">
        <v>539</v>
      </c>
      <c r="F772" s="256" t="s">
        <v>820</v>
      </c>
      <c r="G772" s="256" t="s">
        <v>100</v>
      </c>
      <c r="H772" s="256"/>
      <c r="I772" s="257">
        <v>0</v>
      </c>
      <c r="J772" s="257">
        <v>0</v>
      </c>
      <c r="K772" s="257">
        <v>0</v>
      </c>
      <c r="L772" s="257">
        <v>0</v>
      </c>
      <c r="M772" s="257">
        <v>0</v>
      </c>
      <c r="N772" s="257">
        <v>0</v>
      </c>
      <c r="O772" s="257">
        <v>0</v>
      </c>
      <c r="P772" s="257">
        <v>0</v>
      </c>
      <c r="Q772" s="258">
        <v>0</v>
      </c>
    </row>
    <row r="773" spans="1:17">
      <c r="A773" s="256">
        <v>1</v>
      </c>
      <c r="B773" s="256">
        <v>8831410</v>
      </c>
      <c r="C773" s="256">
        <v>883141001</v>
      </c>
      <c r="D773" s="256" t="s">
        <v>538</v>
      </c>
      <c r="E773" s="256" t="s">
        <v>539</v>
      </c>
      <c r="F773" s="256" t="s">
        <v>820</v>
      </c>
      <c r="G773" s="256" t="s">
        <v>764</v>
      </c>
      <c r="H773" s="256" t="s">
        <v>98</v>
      </c>
      <c r="I773" s="257">
        <v>0</v>
      </c>
      <c r="J773" s="257">
        <v>0</v>
      </c>
      <c r="K773" s="257">
        <v>0</v>
      </c>
      <c r="L773" s="257">
        <v>0</v>
      </c>
      <c r="M773" s="257">
        <v>0</v>
      </c>
      <c r="N773" s="257">
        <v>0</v>
      </c>
      <c r="O773" s="257">
        <v>0</v>
      </c>
      <c r="P773" s="257">
        <v>0</v>
      </c>
      <c r="Q773" s="258">
        <v>0</v>
      </c>
    </row>
    <row r="774" spans="1:17">
      <c r="A774" s="256">
        <v>1</v>
      </c>
      <c r="B774" s="256">
        <v>8831410</v>
      </c>
      <c r="C774" s="256">
        <v>883141002</v>
      </c>
      <c r="D774" s="256" t="s">
        <v>538</v>
      </c>
      <c r="E774" s="256" t="s">
        <v>539</v>
      </c>
      <c r="F774" s="256" t="s">
        <v>820</v>
      </c>
      <c r="G774" s="256" t="s">
        <v>764</v>
      </c>
      <c r="H774" s="256" t="s">
        <v>95</v>
      </c>
      <c r="I774" s="257">
        <v>0</v>
      </c>
      <c r="J774" s="257">
        <v>0</v>
      </c>
      <c r="K774" s="257">
        <v>0</v>
      </c>
      <c r="L774" s="257">
        <v>0</v>
      </c>
      <c r="M774" s="257">
        <v>0</v>
      </c>
      <c r="N774" s="257">
        <v>0</v>
      </c>
      <c r="O774" s="257">
        <v>0</v>
      </c>
      <c r="P774" s="257">
        <v>0</v>
      </c>
      <c r="Q774" s="258">
        <v>0</v>
      </c>
    </row>
    <row r="775" spans="1:17">
      <c r="A775" s="236">
        <v>1</v>
      </c>
      <c r="B775" s="236">
        <v>8831410</v>
      </c>
      <c r="C775" s="236">
        <v>883141003</v>
      </c>
      <c r="D775" s="236" t="s">
        <v>538</v>
      </c>
      <c r="E775" s="236" t="s">
        <v>539</v>
      </c>
      <c r="F775" s="236" t="s">
        <v>820</v>
      </c>
      <c r="G775" s="236" t="s">
        <v>764</v>
      </c>
      <c r="H775" s="236" t="s">
        <v>765</v>
      </c>
      <c r="I775" s="257">
        <v>258110</v>
      </c>
      <c r="J775" s="257">
        <v>0</v>
      </c>
      <c r="K775" s="257">
        <v>0</v>
      </c>
      <c r="L775" s="257">
        <v>0</v>
      </c>
      <c r="M775" s="257">
        <v>0</v>
      </c>
      <c r="N775" s="257">
        <v>258110</v>
      </c>
      <c r="O775" s="257">
        <v>0</v>
      </c>
      <c r="P775" s="257">
        <v>0</v>
      </c>
      <c r="Q775" s="258">
        <v>0</v>
      </c>
    </row>
    <row r="776" spans="1:17">
      <c r="A776" s="256">
        <v>1</v>
      </c>
      <c r="B776" s="256">
        <v>8831413</v>
      </c>
      <c r="C776" s="256">
        <v>883141300</v>
      </c>
      <c r="D776" s="256" t="s">
        <v>538</v>
      </c>
      <c r="E776" s="256" t="s">
        <v>539</v>
      </c>
      <c r="F776" s="256" t="s">
        <v>820</v>
      </c>
      <c r="G776" s="256" t="s">
        <v>93</v>
      </c>
      <c r="H776" s="256"/>
      <c r="I776" s="257">
        <v>127781</v>
      </c>
      <c r="J776" s="257">
        <v>0</v>
      </c>
      <c r="K776" s="257">
        <v>0</v>
      </c>
      <c r="L776" s="257">
        <v>0</v>
      </c>
      <c r="M776" s="257">
        <v>0</v>
      </c>
      <c r="N776" s="257">
        <v>127781</v>
      </c>
      <c r="O776" s="257">
        <v>0</v>
      </c>
      <c r="P776" s="257">
        <v>0</v>
      </c>
      <c r="Q776" s="258">
        <v>0</v>
      </c>
    </row>
    <row r="777" spans="1:17">
      <c r="A777" s="256">
        <v>1</v>
      </c>
      <c r="B777" s="256">
        <v>8831414</v>
      </c>
      <c r="C777" s="256">
        <v>883141400</v>
      </c>
      <c r="D777" s="256" t="s">
        <v>538</v>
      </c>
      <c r="E777" s="256" t="s">
        <v>539</v>
      </c>
      <c r="F777" s="256" t="s">
        <v>820</v>
      </c>
      <c r="G777" s="256" t="s">
        <v>91</v>
      </c>
      <c r="H777" s="256"/>
      <c r="I777" s="257">
        <v>31107</v>
      </c>
      <c r="J777" s="257">
        <v>0</v>
      </c>
      <c r="K777" s="257">
        <v>0</v>
      </c>
      <c r="L777" s="257">
        <v>0</v>
      </c>
      <c r="M777" s="257">
        <v>0</v>
      </c>
      <c r="N777" s="257">
        <v>31107</v>
      </c>
      <c r="O777" s="257">
        <v>0</v>
      </c>
      <c r="P777" s="257">
        <v>0</v>
      </c>
      <c r="Q777" s="258">
        <v>0</v>
      </c>
    </row>
    <row r="778" spans="1:17">
      <c r="A778" s="256">
        <v>1</v>
      </c>
      <c r="B778" s="256">
        <v>8831415</v>
      </c>
      <c r="C778" s="256">
        <v>883141500</v>
      </c>
      <c r="D778" s="256" t="s">
        <v>538</v>
      </c>
      <c r="E778" s="256" t="s">
        <v>539</v>
      </c>
      <c r="F778" s="256" t="s">
        <v>820</v>
      </c>
      <c r="G778" s="256" t="s">
        <v>89</v>
      </c>
      <c r="H778" s="256"/>
      <c r="I778" s="257">
        <v>0</v>
      </c>
      <c r="J778" s="257">
        <v>0</v>
      </c>
      <c r="K778" s="257">
        <v>0</v>
      </c>
      <c r="L778" s="257">
        <v>0</v>
      </c>
      <c r="M778" s="257">
        <v>0</v>
      </c>
      <c r="N778" s="257">
        <v>0</v>
      </c>
      <c r="O778" s="257">
        <v>0</v>
      </c>
      <c r="P778" s="257">
        <v>0</v>
      </c>
      <c r="Q778" s="258">
        <v>0</v>
      </c>
    </row>
    <row r="779" spans="1:17">
      <c r="A779" s="256">
        <v>1</v>
      </c>
      <c r="B779" s="256">
        <v>8831417</v>
      </c>
      <c r="C779" s="256">
        <v>883141700</v>
      </c>
      <c r="D779" s="256" t="s">
        <v>538</v>
      </c>
      <c r="E779" s="256" t="s">
        <v>539</v>
      </c>
      <c r="F779" s="256" t="s">
        <v>820</v>
      </c>
      <c r="G779" s="256" t="s">
        <v>87</v>
      </c>
      <c r="H779" s="256"/>
      <c r="I779" s="257">
        <v>615774</v>
      </c>
      <c r="J779" s="257">
        <v>0</v>
      </c>
      <c r="K779" s="257">
        <v>0</v>
      </c>
      <c r="L779" s="257">
        <v>0</v>
      </c>
      <c r="M779" s="257">
        <v>0</v>
      </c>
      <c r="N779" s="257">
        <v>615774</v>
      </c>
      <c r="O779" s="257">
        <v>0</v>
      </c>
      <c r="P779" s="257">
        <v>0</v>
      </c>
      <c r="Q779" s="258">
        <v>0</v>
      </c>
    </row>
    <row r="780" spans="1:17">
      <c r="A780" s="256">
        <v>1</v>
      </c>
      <c r="B780" s="256">
        <v>8831419</v>
      </c>
      <c r="C780" s="256">
        <v>883141900</v>
      </c>
      <c r="D780" s="256" t="s">
        <v>538</v>
      </c>
      <c r="E780" s="256" t="s">
        <v>539</v>
      </c>
      <c r="F780" s="256" t="s">
        <v>820</v>
      </c>
      <c r="G780" s="256" t="s">
        <v>85</v>
      </c>
      <c r="H780" s="256"/>
      <c r="I780" s="257">
        <v>1406</v>
      </c>
      <c r="J780" s="257">
        <v>0</v>
      </c>
      <c r="K780" s="257">
        <v>0</v>
      </c>
      <c r="L780" s="257">
        <v>0</v>
      </c>
      <c r="M780" s="257">
        <v>0</v>
      </c>
      <c r="N780" s="257">
        <v>1406</v>
      </c>
      <c r="O780" s="257">
        <v>0</v>
      </c>
      <c r="P780" s="257">
        <v>0</v>
      </c>
      <c r="Q780" s="258">
        <v>0</v>
      </c>
    </row>
    <row r="781" spans="1:17">
      <c r="A781" s="256">
        <v>1</v>
      </c>
      <c r="B781" s="256">
        <v>8831420</v>
      </c>
      <c r="C781" s="256">
        <v>883142000</v>
      </c>
      <c r="D781" s="256" t="s">
        <v>538</v>
      </c>
      <c r="E781" s="256" t="s">
        <v>539</v>
      </c>
      <c r="F781" s="256" t="s">
        <v>820</v>
      </c>
      <c r="G781" s="256" t="s">
        <v>83</v>
      </c>
      <c r="H781" s="256"/>
      <c r="I781" s="257">
        <v>0</v>
      </c>
      <c r="J781" s="257">
        <v>0</v>
      </c>
      <c r="K781" s="257">
        <v>0</v>
      </c>
      <c r="L781" s="257">
        <v>0</v>
      </c>
      <c r="M781" s="257">
        <v>0</v>
      </c>
      <c r="N781" s="257">
        <v>0</v>
      </c>
      <c r="O781" s="257">
        <v>0</v>
      </c>
      <c r="P781" s="257">
        <v>0</v>
      </c>
      <c r="Q781" s="258">
        <v>0</v>
      </c>
    </row>
    <row r="782" spans="1:17">
      <c r="A782" s="256">
        <v>1</v>
      </c>
      <c r="B782" s="256">
        <v>8831421</v>
      </c>
      <c r="C782" s="256">
        <v>883142100</v>
      </c>
      <c r="D782" s="256" t="s">
        <v>538</v>
      </c>
      <c r="E782" s="256" t="s">
        <v>539</v>
      </c>
      <c r="F782" s="256" t="s">
        <v>820</v>
      </c>
      <c r="G782" s="256" t="s">
        <v>81</v>
      </c>
      <c r="H782" s="256"/>
      <c r="I782" s="257">
        <v>991166277</v>
      </c>
      <c r="J782" s="257">
        <v>0</v>
      </c>
      <c r="K782" s="257">
        <v>0</v>
      </c>
      <c r="L782" s="257">
        <v>0</v>
      </c>
      <c r="M782" s="257">
        <v>0</v>
      </c>
      <c r="N782" s="257">
        <v>991166277</v>
      </c>
      <c r="O782" s="257">
        <v>0</v>
      </c>
      <c r="P782" s="257">
        <v>0</v>
      </c>
      <c r="Q782" s="258">
        <v>0</v>
      </c>
    </row>
    <row r="783" spans="1:17">
      <c r="A783" s="256">
        <v>1</v>
      </c>
      <c r="B783" s="256">
        <v>8831423</v>
      </c>
      <c r="C783" s="256">
        <v>883142300</v>
      </c>
      <c r="D783" s="256" t="s">
        <v>538</v>
      </c>
      <c r="E783" s="256" t="s">
        <v>539</v>
      </c>
      <c r="F783" s="256" t="s">
        <v>820</v>
      </c>
      <c r="G783" s="256" t="s">
        <v>79</v>
      </c>
      <c r="H783" s="256"/>
      <c r="I783" s="257">
        <v>0</v>
      </c>
      <c r="J783" s="257">
        <v>0</v>
      </c>
      <c r="K783" s="257">
        <v>0</v>
      </c>
      <c r="L783" s="257">
        <v>0</v>
      </c>
      <c r="M783" s="257">
        <v>0</v>
      </c>
      <c r="N783" s="257">
        <v>0</v>
      </c>
      <c r="O783" s="257">
        <v>0</v>
      </c>
      <c r="P783" s="257">
        <v>0</v>
      </c>
      <c r="Q783" s="258">
        <v>0</v>
      </c>
    </row>
    <row r="784" spans="1:17">
      <c r="A784" s="256">
        <v>1</v>
      </c>
      <c r="B784" s="256">
        <v>8831424</v>
      </c>
      <c r="C784" s="256">
        <v>883142400</v>
      </c>
      <c r="D784" s="256" t="s">
        <v>538</v>
      </c>
      <c r="E784" s="256" t="s">
        <v>539</v>
      </c>
      <c r="F784" s="256" t="s">
        <v>820</v>
      </c>
      <c r="G784" s="256" t="s">
        <v>77</v>
      </c>
      <c r="H784" s="256"/>
      <c r="I784" s="257">
        <v>0</v>
      </c>
      <c r="J784" s="257">
        <v>0</v>
      </c>
      <c r="K784" s="257">
        <v>0</v>
      </c>
      <c r="L784" s="257">
        <v>0</v>
      </c>
      <c r="M784" s="257">
        <v>0</v>
      </c>
      <c r="N784" s="257">
        <v>0</v>
      </c>
      <c r="O784" s="257">
        <v>0</v>
      </c>
      <c r="P784" s="257">
        <v>0</v>
      </c>
      <c r="Q784" s="258">
        <v>0</v>
      </c>
    </row>
    <row r="785" spans="1:17">
      <c r="A785" s="256">
        <v>1</v>
      </c>
      <c r="B785" s="256">
        <v>8831425</v>
      </c>
      <c r="C785" s="256">
        <v>883142500</v>
      </c>
      <c r="D785" s="256" t="s">
        <v>538</v>
      </c>
      <c r="E785" s="256" t="s">
        <v>539</v>
      </c>
      <c r="F785" s="256" t="s">
        <v>820</v>
      </c>
      <c r="G785" s="256" t="s">
        <v>75</v>
      </c>
      <c r="H785" s="256"/>
      <c r="I785" s="257">
        <v>0</v>
      </c>
      <c r="J785" s="257">
        <v>0</v>
      </c>
      <c r="K785" s="257">
        <v>0</v>
      </c>
      <c r="L785" s="257">
        <v>0</v>
      </c>
      <c r="M785" s="257">
        <v>0</v>
      </c>
      <c r="N785" s="257">
        <v>0</v>
      </c>
      <c r="O785" s="257">
        <v>0</v>
      </c>
      <c r="P785" s="257">
        <v>0</v>
      </c>
      <c r="Q785" s="258">
        <v>0</v>
      </c>
    </row>
    <row r="786" spans="1:17">
      <c r="A786" s="256">
        <v>1</v>
      </c>
      <c r="B786" s="256">
        <v>8831428</v>
      </c>
      <c r="C786" s="256">
        <v>883142866</v>
      </c>
      <c r="D786" s="256" t="s">
        <v>538</v>
      </c>
      <c r="E786" s="256" t="s">
        <v>539</v>
      </c>
      <c r="F786" s="256" t="s">
        <v>820</v>
      </c>
      <c r="G786" s="256" t="s">
        <v>811</v>
      </c>
      <c r="H786" s="256" t="s">
        <v>812</v>
      </c>
      <c r="I786" s="257">
        <v>0</v>
      </c>
      <c r="J786" s="257">
        <v>0</v>
      </c>
      <c r="K786" s="257">
        <v>0</v>
      </c>
      <c r="L786" s="257">
        <v>0</v>
      </c>
      <c r="M786" s="257">
        <v>0</v>
      </c>
      <c r="N786" s="257">
        <v>0</v>
      </c>
      <c r="O786" s="257">
        <v>0</v>
      </c>
      <c r="P786" s="257">
        <v>0</v>
      </c>
      <c r="Q786" s="258">
        <v>0</v>
      </c>
    </row>
    <row r="787" spans="1:17">
      <c r="A787" s="256">
        <v>1</v>
      </c>
      <c r="B787" s="256">
        <v>8831428</v>
      </c>
      <c r="C787" s="256">
        <v>883142867</v>
      </c>
      <c r="D787" s="256" t="s">
        <v>538</v>
      </c>
      <c r="E787" s="256" t="s">
        <v>539</v>
      </c>
      <c r="F787" s="256" t="s">
        <v>820</v>
      </c>
      <c r="G787" s="256" t="s">
        <v>811</v>
      </c>
      <c r="H787" s="256" t="s">
        <v>813</v>
      </c>
      <c r="I787" s="257">
        <v>0</v>
      </c>
      <c r="J787" s="257">
        <v>0</v>
      </c>
      <c r="K787" s="257">
        <v>0</v>
      </c>
      <c r="L787" s="257">
        <v>0</v>
      </c>
      <c r="M787" s="257">
        <v>0</v>
      </c>
      <c r="N787" s="257">
        <v>0</v>
      </c>
      <c r="O787" s="257">
        <v>0</v>
      </c>
      <c r="P787" s="257">
        <v>0</v>
      </c>
      <c r="Q787" s="258">
        <v>0</v>
      </c>
    </row>
    <row r="788" spans="1:17">
      <c r="A788" s="256">
        <v>1</v>
      </c>
      <c r="B788" s="256">
        <v>8831429</v>
      </c>
      <c r="C788" s="256">
        <v>883142900</v>
      </c>
      <c r="D788" s="256" t="s">
        <v>538</v>
      </c>
      <c r="E788" s="256" t="s">
        <v>539</v>
      </c>
      <c r="F788" s="256" t="s">
        <v>820</v>
      </c>
      <c r="G788" s="256" t="s">
        <v>66</v>
      </c>
      <c r="H788" s="256"/>
      <c r="I788" s="257">
        <v>0</v>
      </c>
      <c r="J788" s="257">
        <v>0</v>
      </c>
      <c r="K788" s="257">
        <v>0</v>
      </c>
      <c r="L788" s="257">
        <v>0</v>
      </c>
      <c r="M788" s="257">
        <v>0</v>
      </c>
      <c r="N788" s="257">
        <v>0</v>
      </c>
      <c r="O788" s="257">
        <v>0</v>
      </c>
      <c r="P788" s="257">
        <v>0</v>
      </c>
      <c r="Q788" s="258">
        <v>0</v>
      </c>
    </row>
    <row r="789" spans="1:17">
      <c r="A789" s="256">
        <v>1</v>
      </c>
      <c r="B789" s="256">
        <v>8831430</v>
      </c>
      <c r="C789" s="256">
        <v>883143000</v>
      </c>
      <c r="D789" s="256" t="s">
        <v>538</v>
      </c>
      <c r="E789" s="256" t="s">
        <v>539</v>
      </c>
      <c r="F789" s="256" t="s">
        <v>820</v>
      </c>
      <c r="G789" s="256" t="s">
        <v>64</v>
      </c>
      <c r="H789" s="256"/>
      <c r="I789" s="257">
        <v>0</v>
      </c>
      <c r="J789" s="257">
        <v>0</v>
      </c>
      <c r="K789" s="257">
        <v>0</v>
      </c>
      <c r="L789" s="257">
        <v>0</v>
      </c>
      <c r="M789" s="257">
        <v>0</v>
      </c>
      <c r="N789" s="257">
        <v>0</v>
      </c>
      <c r="O789" s="257">
        <v>0</v>
      </c>
      <c r="P789" s="257">
        <v>0</v>
      </c>
      <c r="Q789" s="258">
        <v>0</v>
      </c>
    </row>
    <row r="790" spans="1:17">
      <c r="A790" s="256">
        <v>1</v>
      </c>
      <c r="B790" s="256">
        <v>8831431</v>
      </c>
      <c r="C790" s="256">
        <v>883143100</v>
      </c>
      <c r="D790" s="256" t="s">
        <v>538</v>
      </c>
      <c r="E790" s="256" t="s">
        <v>539</v>
      </c>
      <c r="F790" s="256" t="s">
        <v>820</v>
      </c>
      <c r="G790" s="256" t="s">
        <v>62</v>
      </c>
      <c r="H790" s="256"/>
      <c r="I790" s="257">
        <v>0</v>
      </c>
      <c r="J790" s="257">
        <v>0</v>
      </c>
      <c r="K790" s="257">
        <v>0</v>
      </c>
      <c r="L790" s="257">
        <v>0</v>
      </c>
      <c r="M790" s="257">
        <v>0</v>
      </c>
      <c r="N790" s="257">
        <v>0</v>
      </c>
      <c r="O790" s="257">
        <v>0</v>
      </c>
      <c r="P790" s="257">
        <v>0</v>
      </c>
      <c r="Q790" s="258">
        <v>0</v>
      </c>
    </row>
    <row r="791" spans="1:17">
      <c r="A791" s="256">
        <v>1</v>
      </c>
      <c r="B791" s="256">
        <v>8831437</v>
      </c>
      <c r="C791" s="256">
        <v>883143700</v>
      </c>
      <c r="D791" s="256" t="s">
        <v>538</v>
      </c>
      <c r="E791" s="256" t="s">
        <v>539</v>
      </c>
      <c r="F791" s="256" t="s">
        <v>820</v>
      </c>
      <c r="G791" s="256" t="s">
        <v>60</v>
      </c>
      <c r="H791" s="256"/>
      <c r="I791" s="257">
        <v>0</v>
      </c>
      <c r="J791" s="257">
        <v>0</v>
      </c>
      <c r="K791" s="257">
        <v>0</v>
      </c>
      <c r="L791" s="257">
        <v>0</v>
      </c>
      <c r="M791" s="257">
        <v>0</v>
      </c>
      <c r="N791" s="257">
        <v>0</v>
      </c>
      <c r="O791" s="257">
        <v>0</v>
      </c>
      <c r="P791" s="257">
        <v>0</v>
      </c>
      <c r="Q791" s="258">
        <v>0</v>
      </c>
    </row>
    <row r="792" spans="1:17">
      <c r="A792" s="256">
        <v>1</v>
      </c>
      <c r="B792" s="256">
        <v>8831439</v>
      </c>
      <c r="C792" s="256">
        <v>883143900</v>
      </c>
      <c r="D792" s="256" t="s">
        <v>538</v>
      </c>
      <c r="E792" s="256" t="s">
        <v>539</v>
      </c>
      <c r="F792" s="256" t="s">
        <v>820</v>
      </c>
      <c r="G792" s="256" t="s">
        <v>58</v>
      </c>
      <c r="H792" s="256"/>
      <c r="I792" s="257">
        <v>10540</v>
      </c>
      <c r="J792" s="257">
        <v>0</v>
      </c>
      <c r="K792" s="257">
        <v>0</v>
      </c>
      <c r="L792" s="257">
        <v>0</v>
      </c>
      <c r="M792" s="257">
        <v>0</v>
      </c>
      <c r="N792" s="257">
        <v>0</v>
      </c>
      <c r="O792" s="257">
        <v>10540</v>
      </c>
      <c r="P792" s="257">
        <v>0</v>
      </c>
      <c r="Q792" s="258">
        <v>0</v>
      </c>
    </row>
    <row r="793" spans="1:17">
      <c r="A793" s="256">
        <v>1</v>
      </c>
      <c r="B793" s="256">
        <v>8831440</v>
      </c>
      <c r="C793" s="256">
        <v>883144000</v>
      </c>
      <c r="D793" s="256" t="s">
        <v>538</v>
      </c>
      <c r="E793" s="256" t="s">
        <v>539</v>
      </c>
      <c r="F793" s="256" t="s">
        <v>820</v>
      </c>
      <c r="G793" s="256" t="s">
        <v>56</v>
      </c>
      <c r="H793" s="256"/>
      <c r="I793" s="257">
        <v>0</v>
      </c>
      <c r="J793" s="257">
        <v>0</v>
      </c>
      <c r="K793" s="257">
        <v>0</v>
      </c>
      <c r="L793" s="257">
        <v>0</v>
      </c>
      <c r="M793" s="257">
        <v>0</v>
      </c>
      <c r="N793" s="257">
        <v>0</v>
      </c>
      <c r="O793" s="257">
        <v>0</v>
      </c>
      <c r="P793" s="257">
        <v>0</v>
      </c>
      <c r="Q793" s="258">
        <v>0</v>
      </c>
    </row>
    <row r="794" spans="1:17">
      <c r="A794" s="256">
        <v>1</v>
      </c>
      <c r="B794" s="256">
        <v>8831441</v>
      </c>
      <c r="C794" s="256">
        <v>883144100</v>
      </c>
      <c r="D794" s="256" t="s">
        <v>538</v>
      </c>
      <c r="E794" s="256" t="s">
        <v>539</v>
      </c>
      <c r="F794" s="256" t="s">
        <v>820</v>
      </c>
      <c r="G794" s="256" t="s">
        <v>55</v>
      </c>
      <c r="H794" s="256"/>
      <c r="I794" s="257">
        <v>0</v>
      </c>
      <c r="J794" s="257">
        <v>0</v>
      </c>
      <c r="K794" s="257">
        <v>0</v>
      </c>
      <c r="L794" s="257">
        <v>0</v>
      </c>
      <c r="M794" s="257">
        <v>0</v>
      </c>
      <c r="N794" s="257">
        <v>0</v>
      </c>
      <c r="O794" s="257">
        <v>0</v>
      </c>
      <c r="P794" s="257">
        <v>0</v>
      </c>
      <c r="Q794" s="258">
        <v>0</v>
      </c>
    </row>
    <row r="795" spans="1:17">
      <c r="A795" s="256">
        <v>1</v>
      </c>
      <c r="B795" s="256">
        <v>8831442</v>
      </c>
      <c r="C795" s="256">
        <v>883144201</v>
      </c>
      <c r="D795" s="256" t="s">
        <v>538</v>
      </c>
      <c r="E795" s="256" t="s">
        <v>539</v>
      </c>
      <c r="F795" s="256" t="s">
        <v>820</v>
      </c>
      <c r="G795" s="256" t="s">
        <v>53</v>
      </c>
      <c r="H795" s="256" t="s">
        <v>108</v>
      </c>
      <c r="I795" s="257">
        <v>1256000</v>
      </c>
      <c r="J795" s="257">
        <v>0</v>
      </c>
      <c r="K795" s="257">
        <v>0</v>
      </c>
      <c r="L795" s="257">
        <v>0</v>
      </c>
      <c r="M795" s="257">
        <v>0</v>
      </c>
      <c r="N795" s="257">
        <v>0</v>
      </c>
      <c r="O795" s="257">
        <v>0</v>
      </c>
      <c r="P795" s="257">
        <v>1256000</v>
      </c>
      <c r="Q795" s="258">
        <v>0</v>
      </c>
    </row>
    <row r="796" spans="1:17">
      <c r="A796" s="256">
        <v>1</v>
      </c>
      <c r="B796" s="256">
        <v>8831442</v>
      </c>
      <c r="C796" s="256">
        <v>883144202</v>
      </c>
      <c r="D796" s="256" t="s">
        <v>538</v>
      </c>
      <c r="E796" s="256" t="s">
        <v>539</v>
      </c>
      <c r="F796" s="256" t="s">
        <v>820</v>
      </c>
      <c r="G796" s="256" t="s">
        <v>53</v>
      </c>
      <c r="H796" s="256" t="s">
        <v>106</v>
      </c>
      <c r="I796" s="257">
        <v>243000</v>
      </c>
      <c r="J796" s="257">
        <v>0</v>
      </c>
      <c r="K796" s="257">
        <v>0</v>
      </c>
      <c r="L796" s="257">
        <v>0</v>
      </c>
      <c r="M796" s="257">
        <v>0</v>
      </c>
      <c r="N796" s="257">
        <v>0</v>
      </c>
      <c r="O796" s="257">
        <v>0</v>
      </c>
      <c r="P796" s="257">
        <v>243000</v>
      </c>
      <c r="Q796" s="258">
        <v>0</v>
      </c>
    </row>
    <row r="797" spans="1:17">
      <c r="A797" s="256">
        <v>1</v>
      </c>
      <c r="B797" s="256">
        <v>8831601</v>
      </c>
      <c r="C797" s="256">
        <v>883160102</v>
      </c>
      <c r="D797" s="256" t="s">
        <v>538</v>
      </c>
      <c r="E797" s="256" t="s">
        <v>539</v>
      </c>
      <c r="F797" s="256" t="s">
        <v>821</v>
      </c>
      <c r="G797" s="256" t="s">
        <v>112</v>
      </c>
      <c r="H797" s="256" t="s">
        <v>737</v>
      </c>
      <c r="I797" s="257">
        <v>0</v>
      </c>
      <c r="J797" s="257">
        <v>0</v>
      </c>
      <c r="K797" s="257">
        <v>0</v>
      </c>
      <c r="L797" s="257">
        <v>0</v>
      </c>
      <c r="M797" s="257">
        <v>0</v>
      </c>
      <c r="N797" s="257">
        <v>0</v>
      </c>
      <c r="O797" s="257">
        <v>0</v>
      </c>
      <c r="P797" s="257">
        <v>0</v>
      </c>
      <c r="Q797" s="258">
        <v>0</v>
      </c>
    </row>
    <row r="798" spans="1:17">
      <c r="A798" s="256">
        <v>1</v>
      </c>
      <c r="B798" s="256">
        <v>8831601</v>
      </c>
      <c r="C798" s="256">
        <v>883160103</v>
      </c>
      <c r="D798" s="256" t="s">
        <v>538</v>
      </c>
      <c r="E798" s="256" t="s">
        <v>539</v>
      </c>
      <c r="F798" s="256" t="s">
        <v>821</v>
      </c>
      <c r="G798" s="256" t="s">
        <v>112</v>
      </c>
      <c r="H798" s="256" t="s">
        <v>738</v>
      </c>
      <c r="I798" s="257">
        <v>0</v>
      </c>
      <c r="J798" s="257">
        <v>0</v>
      </c>
      <c r="K798" s="257">
        <v>0</v>
      </c>
      <c r="L798" s="257">
        <v>0</v>
      </c>
      <c r="M798" s="257">
        <v>0</v>
      </c>
      <c r="N798" s="257">
        <v>0</v>
      </c>
      <c r="O798" s="257">
        <v>0</v>
      </c>
      <c r="P798" s="257">
        <v>0</v>
      </c>
      <c r="Q798" s="258">
        <v>0</v>
      </c>
    </row>
    <row r="799" spans="1:17">
      <c r="A799" s="256">
        <v>1</v>
      </c>
      <c r="B799" s="256">
        <v>8831601</v>
      </c>
      <c r="C799" s="256">
        <v>883160104</v>
      </c>
      <c r="D799" s="256" t="s">
        <v>538</v>
      </c>
      <c r="E799" s="256" t="s">
        <v>539</v>
      </c>
      <c r="F799" s="256" t="s">
        <v>821</v>
      </c>
      <c r="G799" s="256" t="s">
        <v>112</v>
      </c>
      <c r="H799" s="256" t="s">
        <v>739</v>
      </c>
      <c r="I799" s="257">
        <v>0</v>
      </c>
      <c r="J799" s="257">
        <v>0</v>
      </c>
      <c r="K799" s="257">
        <v>0</v>
      </c>
      <c r="L799" s="257">
        <v>0</v>
      </c>
      <c r="M799" s="257">
        <v>0</v>
      </c>
      <c r="N799" s="257">
        <v>0</v>
      </c>
      <c r="O799" s="257">
        <v>0</v>
      </c>
      <c r="P799" s="257">
        <v>0</v>
      </c>
      <c r="Q799" s="258">
        <v>0</v>
      </c>
    </row>
    <row r="800" spans="1:17">
      <c r="A800" s="236">
        <v>1</v>
      </c>
      <c r="B800" s="236">
        <v>8831601</v>
      </c>
      <c r="C800" s="236">
        <v>883160105</v>
      </c>
      <c r="D800" s="236" t="s">
        <v>538</v>
      </c>
      <c r="E800" s="236" t="s">
        <v>539</v>
      </c>
      <c r="F800" s="236" t="s">
        <v>821</v>
      </c>
      <c r="G800" s="236" t="s">
        <v>112</v>
      </c>
      <c r="H800" s="236" t="s">
        <v>740</v>
      </c>
      <c r="I800" s="257">
        <v>8388763</v>
      </c>
      <c r="J800" s="257">
        <v>0</v>
      </c>
      <c r="K800" s="257">
        <v>0</v>
      </c>
      <c r="L800" s="257">
        <v>0</v>
      </c>
      <c r="M800" s="257">
        <v>0</v>
      </c>
      <c r="N800" s="257">
        <v>0</v>
      </c>
      <c r="O800" s="257">
        <v>0</v>
      </c>
      <c r="P800" s="257">
        <v>8388763</v>
      </c>
      <c r="Q800" s="258">
        <v>0</v>
      </c>
    </row>
    <row r="801" spans="1:17">
      <c r="A801" s="256">
        <v>1</v>
      </c>
      <c r="B801" s="256">
        <v>8831602</v>
      </c>
      <c r="C801" s="256">
        <v>883160202</v>
      </c>
      <c r="D801" s="256" t="s">
        <v>538</v>
      </c>
      <c r="E801" s="256" t="s">
        <v>539</v>
      </c>
      <c r="F801" s="256" t="s">
        <v>821</v>
      </c>
      <c r="G801" s="256" t="s">
        <v>110</v>
      </c>
      <c r="H801" s="256" t="s">
        <v>741</v>
      </c>
      <c r="I801" s="257">
        <v>118729200</v>
      </c>
      <c r="J801" s="257">
        <v>0</v>
      </c>
      <c r="K801" s="257">
        <v>0</v>
      </c>
      <c r="L801" s="257">
        <v>0</v>
      </c>
      <c r="M801" s="257">
        <v>0</v>
      </c>
      <c r="N801" s="257">
        <v>0</v>
      </c>
      <c r="O801" s="257">
        <v>0</v>
      </c>
      <c r="P801" s="257">
        <v>118729200</v>
      </c>
      <c r="Q801" s="258">
        <v>0</v>
      </c>
    </row>
    <row r="802" spans="1:17">
      <c r="A802" s="256">
        <v>1</v>
      </c>
      <c r="B802" s="256">
        <v>8831603</v>
      </c>
      <c r="C802" s="256">
        <v>883160301</v>
      </c>
      <c r="D802" s="256" t="s">
        <v>538</v>
      </c>
      <c r="E802" s="256" t="s">
        <v>539</v>
      </c>
      <c r="F802" s="256" t="s">
        <v>821</v>
      </c>
      <c r="G802" s="256" t="s">
        <v>108</v>
      </c>
      <c r="H802" s="256" t="s">
        <v>742</v>
      </c>
      <c r="I802" s="257">
        <v>12811200</v>
      </c>
      <c r="J802" s="257">
        <v>0</v>
      </c>
      <c r="K802" s="257">
        <v>0</v>
      </c>
      <c r="L802" s="257">
        <v>0</v>
      </c>
      <c r="M802" s="257">
        <v>0</v>
      </c>
      <c r="N802" s="257">
        <v>0</v>
      </c>
      <c r="O802" s="257">
        <v>0</v>
      </c>
      <c r="P802" s="257">
        <v>12811200</v>
      </c>
      <c r="Q802" s="258">
        <v>0</v>
      </c>
    </row>
    <row r="803" spans="1:17">
      <c r="A803" s="256">
        <v>1</v>
      </c>
      <c r="B803" s="256">
        <v>8831603</v>
      </c>
      <c r="C803" s="256">
        <v>883160302</v>
      </c>
      <c r="D803" s="256" t="s">
        <v>538</v>
      </c>
      <c r="E803" s="256" t="s">
        <v>539</v>
      </c>
      <c r="F803" s="256" t="s">
        <v>821</v>
      </c>
      <c r="G803" s="256" t="s">
        <v>108</v>
      </c>
      <c r="H803" s="256" t="s">
        <v>743</v>
      </c>
      <c r="I803" s="257">
        <v>3372000</v>
      </c>
      <c r="J803" s="257">
        <v>0</v>
      </c>
      <c r="K803" s="257">
        <v>0</v>
      </c>
      <c r="L803" s="257">
        <v>0</v>
      </c>
      <c r="M803" s="257">
        <v>0</v>
      </c>
      <c r="N803" s="257">
        <v>0</v>
      </c>
      <c r="O803" s="257">
        <v>0</v>
      </c>
      <c r="P803" s="257">
        <v>3372000</v>
      </c>
      <c r="Q803" s="258">
        <v>0</v>
      </c>
    </row>
    <row r="804" spans="1:17">
      <c r="A804" s="256">
        <v>1</v>
      </c>
      <c r="B804" s="256">
        <v>8831603</v>
      </c>
      <c r="C804" s="256">
        <v>883160303</v>
      </c>
      <c r="D804" s="256" t="s">
        <v>538</v>
      </c>
      <c r="E804" s="256" t="s">
        <v>539</v>
      </c>
      <c r="F804" s="256" t="s">
        <v>821</v>
      </c>
      <c r="G804" s="256" t="s">
        <v>108</v>
      </c>
      <c r="H804" s="256" t="s">
        <v>744</v>
      </c>
      <c r="I804" s="257">
        <v>45165067</v>
      </c>
      <c r="J804" s="257">
        <v>0</v>
      </c>
      <c r="K804" s="257">
        <v>0</v>
      </c>
      <c r="L804" s="257">
        <v>0</v>
      </c>
      <c r="M804" s="257">
        <v>0</v>
      </c>
      <c r="N804" s="257">
        <v>0</v>
      </c>
      <c r="O804" s="257">
        <v>0</v>
      </c>
      <c r="P804" s="257">
        <v>45165067</v>
      </c>
      <c r="Q804" s="258">
        <v>0</v>
      </c>
    </row>
    <row r="805" spans="1:17">
      <c r="A805" s="256">
        <v>1</v>
      </c>
      <c r="B805" s="256">
        <v>8831603</v>
      </c>
      <c r="C805" s="256">
        <v>883160304</v>
      </c>
      <c r="D805" s="256" t="s">
        <v>538</v>
      </c>
      <c r="E805" s="256" t="s">
        <v>539</v>
      </c>
      <c r="F805" s="256" t="s">
        <v>821</v>
      </c>
      <c r="G805" s="256" t="s">
        <v>108</v>
      </c>
      <c r="H805" s="256" t="s">
        <v>745</v>
      </c>
      <c r="I805" s="257">
        <v>2558640</v>
      </c>
      <c r="J805" s="257">
        <v>0</v>
      </c>
      <c r="K805" s="257">
        <v>0</v>
      </c>
      <c r="L805" s="257">
        <v>0</v>
      </c>
      <c r="M805" s="257">
        <v>0</v>
      </c>
      <c r="N805" s="257">
        <v>2558640</v>
      </c>
      <c r="O805" s="257">
        <v>0</v>
      </c>
      <c r="P805" s="257">
        <v>0</v>
      </c>
      <c r="Q805" s="258">
        <v>0</v>
      </c>
    </row>
    <row r="806" spans="1:17">
      <c r="A806" s="256">
        <v>1</v>
      </c>
      <c r="B806" s="256">
        <v>8831603</v>
      </c>
      <c r="C806" s="256">
        <v>883160305</v>
      </c>
      <c r="D806" s="256" t="s">
        <v>538</v>
      </c>
      <c r="E806" s="256" t="s">
        <v>539</v>
      </c>
      <c r="F806" s="256" t="s">
        <v>821</v>
      </c>
      <c r="G806" s="256" t="s">
        <v>108</v>
      </c>
      <c r="H806" s="256" t="s">
        <v>746</v>
      </c>
      <c r="I806" s="257">
        <v>6010800</v>
      </c>
      <c r="J806" s="257">
        <v>0</v>
      </c>
      <c r="K806" s="257">
        <v>0</v>
      </c>
      <c r="L806" s="257">
        <v>0</v>
      </c>
      <c r="M806" s="257">
        <v>0</v>
      </c>
      <c r="N806" s="257">
        <v>0</v>
      </c>
      <c r="O806" s="257">
        <v>0</v>
      </c>
      <c r="P806" s="257">
        <v>6010800</v>
      </c>
      <c r="Q806" s="258">
        <v>0</v>
      </c>
    </row>
    <row r="807" spans="1:17">
      <c r="A807" s="256">
        <v>1</v>
      </c>
      <c r="B807" s="256">
        <v>8831603</v>
      </c>
      <c r="C807" s="256">
        <v>883160306</v>
      </c>
      <c r="D807" s="256" t="s">
        <v>538</v>
      </c>
      <c r="E807" s="256" t="s">
        <v>539</v>
      </c>
      <c r="F807" s="256" t="s">
        <v>821</v>
      </c>
      <c r="G807" s="256" t="s">
        <v>108</v>
      </c>
      <c r="H807" s="256" t="s">
        <v>747</v>
      </c>
      <c r="I807" s="257">
        <v>0</v>
      </c>
      <c r="J807" s="257">
        <v>0</v>
      </c>
      <c r="K807" s="257">
        <v>0</v>
      </c>
      <c r="L807" s="257">
        <v>0</v>
      </c>
      <c r="M807" s="257">
        <v>0</v>
      </c>
      <c r="N807" s="257">
        <v>0</v>
      </c>
      <c r="O807" s="257">
        <v>0</v>
      </c>
      <c r="P807" s="257">
        <v>0</v>
      </c>
      <c r="Q807" s="258">
        <v>0</v>
      </c>
    </row>
    <row r="808" spans="1:17">
      <c r="A808" s="256">
        <v>1</v>
      </c>
      <c r="B808" s="256">
        <v>8831603</v>
      </c>
      <c r="C808" s="256">
        <v>883160307</v>
      </c>
      <c r="D808" s="256" t="s">
        <v>538</v>
      </c>
      <c r="E808" s="256" t="s">
        <v>539</v>
      </c>
      <c r="F808" s="256" t="s">
        <v>821</v>
      </c>
      <c r="G808" s="256" t="s">
        <v>108</v>
      </c>
      <c r="H808" s="256" t="s">
        <v>748</v>
      </c>
      <c r="I808" s="257">
        <v>123888</v>
      </c>
      <c r="J808" s="257">
        <v>0</v>
      </c>
      <c r="K808" s="257">
        <v>0</v>
      </c>
      <c r="L808" s="257">
        <v>0</v>
      </c>
      <c r="M808" s="257">
        <v>0</v>
      </c>
      <c r="N808" s="257">
        <v>0</v>
      </c>
      <c r="O808" s="257">
        <v>0</v>
      </c>
      <c r="P808" s="257">
        <v>123888</v>
      </c>
      <c r="Q808" s="258">
        <v>0</v>
      </c>
    </row>
    <row r="809" spans="1:17">
      <c r="A809" s="256">
        <v>1</v>
      </c>
      <c r="B809" s="256">
        <v>8831603</v>
      </c>
      <c r="C809" s="256">
        <v>883160310</v>
      </c>
      <c r="D809" s="256" t="s">
        <v>538</v>
      </c>
      <c r="E809" s="256" t="s">
        <v>539</v>
      </c>
      <c r="F809" s="256" t="s">
        <v>821</v>
      </c>
      <c r="G809" s="256" t="s">
        <v>108</v>
      </c>
      <c r="H809" s="256" t="s">
        <v>749</v>
      </c>
      <c r="I809" s="257">
        <v>15845828</v>
      </c>
      <c r="J809" s="257">
        <v>0</v>
      </c>
      <c r="K809" s="257">
        <v>0</v>
      </c>
      <c r="L809" s="257">
        <v>0</v>
      </c>
      <c r="M809" s="257">
        <v>0</v>
      </c>
      <c r="N809" s="257">
        <v>0</v>
      </c>
      <c r="O809" s="257">
        <v>0</v>
      </c>
      <c r="P809" s="257">
        <v>15845828</v>
      </c>
      <c r="Q809" s="258">
        <v>0</v>
      </c>
    </row>
    <row r="810" spans="1:17">
      <c r="A810" s="256">
        <v>1</v>
      </c>
      <c r="B810" s="256">
        <v>8831603</v>
      </c>
      <c r="C810" s="256">
        <v>883160311</v>
      </c>
      <c r="D810" s="256" t="s">
        <v>538</v>
      </c>
      <c r="E810" s="256" t="s">
        <v>539</v>
      </c>
      <c r="F810" s="256" t="s">
        <v>821</v>
      </c>
      <c r="G810" s="256" t="s">
        <v>108</v>
      </c>
      <c r="H810" s="256" t="s">
        <v>750</v>
      </c>
      <c r="I810" s="257">
        <v>0</v>
      </c>
      <c r="J810" s="257">
        <v>0</v>
      </c>
      <c r="K810" s="257">
        <v>0</v>
      </c>
      <c r="L810" s="257">
        <v>0</v>
      </c>
      <c r="M810" s="257">
        <v>0</v>
      </c>
      <c r="N810" s="257">
        <v>0</v>
      </c>
      <c r="O810" s="257">
        <v>0</v>
      </c>
      <c r="P810" s="257">
        <v>0</v>
      </c>
      <c r="Q810" s="258">
        <v>0</v>
      </c>
    </row>
    <row r="811" spans="1:17">
      <c r="A811" s="256">
        <v>1</v>
      </c>
      <c r="B811" s="256">
        <v>8831603</v>
      </c>
      <c r="C811" s="256">
        <v>883160314</v>
      </c>
      <c r="D811" s="256" t="s">
        <v>538</v>
      </c>
      <c r="E811" s="256" t="s">
        <v>539</v>
      </c>
      <c r="F811" s="256" t="s">
        <v>821</v>
      </c>
      <c r="G811" s="256" t="s">
        <v>108</v>
      </c>
      <c r="H811" s="256" t="s">
        <v>751</v>
      </c>
      <c r="I811" s="257">
        <v>2847600</v>
      </c>
      <c r="J811" s="257">
        <v>0</v>
      </c>
      <c r="K811" s="257">
        <v>0</v>
      </c>
      <c r="L811" s="257">
        <v>0</v>
      </c>
      <c r="M811" s="257">
        <v>0</v>
      </c>
      <c r="N811" s="257">
        <v>0</v>
      </c>
      <c r="O811" s="257">
        <v>0</v>
      </c>
      <c r="P811" s="257">
        <v>2847600</v>
      </c>
      <c r="Q811" s="258">
        <v>0</v>
      </c>
    </row>
    <row r="812" spans="1:17">
      <c r="A812" s="256">
        <v>1</v>
      </c>
      <c r="B812" s="256">
        <v>8831603</v>
      </c>
      <c r="C812" s="256">
        <v>883160315</v>
      </c>
      <c r="D812" s="256" t="s">
        <v>538</v>
      </c>
      <c r="E812" s="256" t="s">
        <v>539</v>
      </c>
      <c r="F812" s="256" t="s">
        <v>821</v>
      </c>
      <c r="G812" s="256" t="s">
        <v>108</v>
      </c>
      <c r="H812" s="256" t="s">
        <v>752</v>
      </c>
      <c r="I812" s="257">
        <v>1660000</v>
      </c>
      <c r="J812" s="257">
        <v>0</v>
      </c>
      <c r="K812" s="257">
        <v>0</v>
      </c>
      <c r="L812" s="257">
        <v>0</v>
      </c>
      <c r="M812" s="257">
        <v>0</v>
      </c>
      <c r="N812" s="257">
        <v>0</v>
      </c>
      <c r="O812" s="257">
        <v>0</v>
      </c>
      <c r="P812" s="257">
        <v>1660000</v>
      </c>
      <c r="Q812" s="258">
        <v>0</v>
      </c>
    </row>
    <row r="813" spans="1:17">
      <c r="A813" s="256">
        <v>1</v>
      </c>
      <c r="B813" s="256">
        <v>8831603</v>
      </c>
      <c r="C813" s="256">
        <v>883160316</v>
      </c>
      <c r="D813" s="256" t="s">
        <v>538</v>
      </c>
      <c r="E813" s="256" t="s">
        <v>539</v>
      </c>
      <c r="F813" s="256" t="s">
        <v>821</v>
      </c>
      <c r="G813" s="256" t="s">
        <v>108</v>
      </c>
      <c r="H813" s="256" t="s">
        <v>753</v>
      </c>
      <c r="I813" s="257">
        <v>0</v>
      </c>
      <c r="J813" s="257">
        <v>0</v>
      </c>
      <c r="K813" s="257">
        <v>0</v>
      </c>
      <c r="L813" s="257">
        <v>0</v>
      </c>
      <c r="M813" s="257">
        <v>0</v>
      </c>
      <c r="N813" s="257">
        <v>0</v>
      </c>
      <c r="O813" s="257">
        <v>0</v>
      </c>
      <c r="P813" s="257">
        <v>0</v>
      </c>
      <c r="Q813" s="258">
        <v>0</v>
      </c>
    </row>
    <row r="814" spans="1:17">
      <c r="A814" s="256">
        <v>1</v>
      </c>
      <c r="B814" s="256">
        <v>8831604</v>
      </c>
      <c r="C814" s="256">
        <v>883160401</v>
      </c>
      <c r="D814" s="256" t="s">
        <v>538</v>
      </c>
      <c r="E814" s="256" t="s">
        <v>539</v>
      </c>
      <c r="F814" s="256" t="s">
        <v>821</v>
      </c>
      <c r="G814" s="256" t="s">
        <v>106</v>
      </c>
      <c r="H814" s="256" t="s">
        <v>755</v>
      </c>
      <c r="I814" s="257">
        <v>29133707</v>
      </c>
      <c r="J814" s="257">
        <v>0</v>
      </c>
      <c r="K814" s="257">
        <v>0</v>
      </c>
      <c r="L814" s="257">
        <v>0</v>
      </c>
      <c r="M814" s="257">
        <v>0</v>
      </c>
      <c r="N814" s="257">
        <v>0</v>
      </c>
      <c r="O814" s="257">
        <v>29133707</v>
      </c>
      <c r="P814" s="257">
        <v>0</v>
      </c>
      <c r="Q814" s="258">
        <v>0</v>
      </c>
    </row>
    <row r="815" spans="1:17">
      <c r="A815" s="256">
        <v>1</v>
      </c>
      <c r="B815" s="256">
        <v>8831604</v>
      </c>
      <c r="C815" s="256">
        <v>883160402</v>
      </c>
      <c r="D815" s="256" t="s">
        <v>538</v>
      </c>
      <c r="E815" s="256" t="s">
        <v>539</v>
      </c>
      <c r="F815" s="256" t="s">
        <v>821</v>
      </c>
      <c r="G815" s="256" t="s">
        <v>106</v>
      </c>
      <c r="H815" s="256" t="s">
        <v>756</v>
      </c>
      <c r="I815" s="257">
        <v>189534</v>
      </c>
      <c r="J815" s="257">
        <v>0</v>
      </c>
      <c r="K815" s="257">
        <v>0</v>
      </c>
      <c r="L815" s="257">
        <v>0</v>
      </c>
      <c r="M815" s="257">
        <v>0</v>
      </c>
      <c r="N815" s="257">
        <v>0</v>
      </c>
      <c r="O815" s="257">
        <v>0</v>
      </c>
      <c r="P815" s="257">
        <v>189534</v>
      </c>
      <c r="Q815" s="258">
        <v>0</v>
      </c>
    </row>
    <row r="816" spans="1:17">
      <c r="A816" s="256">
        <v>1</v>
      </c>
      <c r="B816" s="256">
        <v>8831604</v>
      </c>
      <c r="C816" s="256">
        <v>883160403</v>
      </c>
      <c r="D816" s="256" t="s">
        <v>538</v>
      </c>
      <c r="E816" s="256" t="s">
        <v>539</v>
      </c>
      <c r="F816" s="256" t="s">
        <v>821</v>
      </c>
      <c r="G816" s="256" t="s">
        <v>106</v>
      </c>
      <c r="H816" s="256" t="s">
        <v>757</v>
      </c>
      <c r="I816" s="257">
        <v>0</v>
      </c>
      <c r="J816" s="257">
        <v>0</v>
      </c>
      <c r="K816" s="257">
        <v>0</v>
      </c>
      <c r="L816" s="257">
        <v>0</v>
      </c>
      <c r="M816" s="257">
        <v>0</v>
      </c>
      <c r="N816" s="257">
        <v>0</v>
      </c>
      <c r="O816" s="257">
        <v>0</v>
      </c>
      <c r="P816" s="257">
        <v>0</v>
      </c>
      <c r="Q816" s="258">
        <v>0</v>
      </c>
    </row>
    <row r="817" spans="1:17">
      <c r="A817" s="256">
        <v>1</v>
      </c>
      <c r="B817" s="256">
        <v>8831604</v>
      </c>
      <c r="C817" s="256">
        <v>883160405</v>
      </c>
      <c r="D817" s="256" t="s">
        <v>538</v>
      </c>
      <c r="E817" s="256" t="s">
        <v>539</v>
      </c>
      <c r="F817" s="256" t="s">
        <v>821</v>
      </c>
      <c r="G817" s="256" t="s">
        <v>106</v>
      </c>
      <c r="H817" s="256" t="s">
        <v>758</v>
      </c>
      <c r="I817" s="257">
        <v>5731086</v>
      </c>
      <c r="J817" s="257">
        <v>0</v>
      </c>
      <c r="K817" s="257">
        <v>0</v>
      </c>
      <c r="L817" s="257">
        <v>0</v>
      </c>
      <c r="M817" s="257">
        <v>0</v>
      </c>
      <c r="N817" s="257">
        <v>0</v>
      </c>
      <c r="O817" s="257">
        <v>5731086</v>
      </c>
      <c r="P817" s="257">
        <v>0</v>
      </c>
      <c r="Q817" s="258">
        <v>0</v>
      </c>
    </row>
    <row r="818" spans="1:17">
      <c r="A818" s="256">
        <v>1</v>
      </c>
      <c r="B818" s="256">
        <v>8831604</v>
      </c>
      <c r="C818" s="256">
        <v>883160406</v>
      </c>
      <c r="D818" s="256" t="s">
        <v>538</v>
      </c>
      <c r="E818" s="256" t="s">
        <v>539</v>
      </c>
      <c r="F818" s="256" t="s">
        <v>821</v>
      </c>
      <c r="G818" s="256" t="s">
        <v>106</v>
      </c>
      <c r="H818" s="256" t="s">
        <v>759</v>
      </c>
      <c r="I818" s="257">
        <v>99826</v>
      </c>
      <c r="J818" s="257">
        <v>0</v>
      </c>
      <c r="K818" s="257">
        <v>0</v>
      </c>
      <c r="L818" s="257">
        <v>0</v>
      </c>
      <c r="M818" s="257">
        <v>0</v>
      </c>
      <c r="N818" s="257">
        <v>0</v>
      </c>
      <c r="O818" s="257">
        <v>99826</v>
      </c>
      <c r="P818" s="257">
        <v>0</v>
      </c>
      <c r="Q818" s="258">
        <v>0</v>
      </c>
    </row>
    <row r="819" spans="1:17">
      <c r="A819" s="256">
        <v>1</v>
      </c>
      <c r="B819" s="256">
        <v>8831604</v>
      </c>
      <c r="C819" s="256">
        <v>883160407</v>
      </c>
      <c r="D819" s="256" t="s">
        <v>538</v>
      </c>
      <c r="E819" s="256" t="s">
        <v>539</v>
      </c>
      <c r="F819" s="256" t="s">
        <v>821</v>
      </c>
      <c r="G819" s="256" t="s">
        <v>106</v>
      </c>
      <c r="H819" s="256" t="s">
        <v>760</v>
      </c>
      <c r="I819" s="257">
        <v>884598</v>
      </c>
      <c r="J819" s="257">
        <v>0</v>
      </c>
      <c r="K819" s="257">
        <v>0</v>
      </c>
      <c r="L819" s="257">
        <v>0</v>
      </c>
      <c r="M819" s="257">
        <v>0</v>
      </c>
      <c r="N819" s="257">
        <v>0</v>
      </c>
      <c r="O819" s="257">
        <v>884598</v>
      </c>
      <c r="P819" s="257">
        <v>0</v>
      </c>
      <c r="Q819" s="258">
        <v>0</v>
      </c>
    </row>
    <row r="820" spans="1:17">
      <c r="A820" s="256">
        <v>1</v>
      </c>
      <c r="B820" s="256">
        <v>8831604</v>
      </c>
      <c r="C820" s="256">
        <v>883160408</v>
      </c>
      <c r="D820" s="256" t="s">
        <v>538</v>
      </c>
      <c r="E820" s="256" t="s">
        <v>539</v>
      </c>
      <c r="F820" s="256" t="s">
        <v>821</v>
      </c>
      <c r="G820" s="256" t="s">
        <v>106</v>
      </c>
      <c r="H820" s="256" t="s">
        <v>761</v>
      </c>
      <c r="I820" s="257">
        <v>35189</v>
      </c>
      <c r="J820" s="257">
        <v>0</v>
      </c>
      <c r="K820" s="257">
        <v>0</v>
      </c>
      <c r="L820" s="257">
        <v>0</v>
      </c>
      <c r="M820" s="257">
        <v>0</v>
      </c>
      <c r="N820" s="257">
        <v>0</v>
      </c>
      <c r="O820" s="257">
        <v>35189</v>
      </c>
      <c r="P820" s="257">
        <v>0</v>
      </c>
      <c r="Q820" s="258">
        <v>0</v>
      </c>
    </row>
    <row r="821" spans="1:17">
      <c r="A821" s="256">
        <v>1</v>
      </c>
      <c r="B821" s="256">
        <v>8831604</v>
      </c>
      <c r="C821" s="256">
        <v>883160410</v>
      </c>
      <c r="D821" s="256" t="s">
        <v>538</v>
      </c>
      <c r="E821" s="256" t="s">
        <v>539</v>
      </c>
      <c r="F821" s="256" t="s">
        <v>821</v>
      </c>
      <c r="G821" s="256" t="s">
        <v>106</v>
      </c>
      <c r="H821" s="256" t="s">
        <v>762</v>
      </c>
      <c r="I821" s="257">
        <v>11048228</v>
      </c>
      <c r="J821" s="257">
        <v>0</v>
      </c>
      <c r="K821" s="257">
        <v>0</v>
      </c>
      <c r="L821" s="257">
        <v>0</v>
      </c>
      <c r="M821" s="257">
        <v>0</v>
      </c>
      <c r="N821" s="257">
        <v>0</v>
      </c>
      <c r="O821" s="257">
        <v>11048228</v>
      </c>
      <c r="P821" s="257">
        <v>0</v>
      </c>
      <c r="Q821" s="258">
        <v>0</v>
      </c>
    </row>
    <row r="822" spans="1:17">
      <c r="A822" s="256">
        <v>1</v>
      </c>
      <c r="B822" s="256">
        <v>8831604</v>
      </c>
      <c r="C822" s="256">
        <v>883160411</v>
      </c>
      <c r="D822" s="256" t="s">
        <v>538</v>
      </c>
      <c r="E822" s="256" t="s">
        <v>539</v>
      </c>
      <c r="F822" s="256" t="s">
        <v>821</v>
      </c>
      <c r="G822" s="256" t="s">
        <v>106</v>
      </c>
      <c r="H822" s="256" t="s">
        <v>763</v>
      </c>
      <c r="I822" s="257">
        <v>5907</v>
      </c>
      <c r="J822" s="257">
        <v>0</v>
      </c>
      <c r="K822" s="257">
        <v>0</v>
      </c>
      <c r="L822" s="257">
        <v>0</v>
      </c>
      <c r="M822" s="257">
        <v>0</v>
      </c>
      <c r="N822" s="257">
        <v>0</v>
      </c>
      <c r="O822" s="257">
        <v>5907</v>
      </c>
      <c r="P822" s="257">
        <v>0</v>
      </c>
      <c r="Q822" s="258">
        <v>0</v>
      </c>
    </row>
    <row r="823" spans="1:17">
      <c r="A823" s="256">
        <v>1</v>
      </c>
      <c r="B823" s="256">
        <v>8831605</v>
      </c>
      <c r="C823" s="256">
        <v>883160500</v>
      </c>
      <c r="D823" s="256" t="s">
        <v>538</v>
      </c>
      <c r="E823" s="256" t="s">
        <v>539</v>
      </c>
      <c r="F823" s="256" t="s">
        <v>821</v>
      </c>
      <c r="G823" s="256" t="s">
        <v>104</v>
      </c>
      <c r="H823" s="256"/>
      <c r="I823" s="257">
        <v>183360</v>
      </c>
      <c r="J823" s="257">
        <v>0</v>
      </c>
      <c r="K823" s="257">
        <v>0</v>
      </c>
      <c r="L823" s="257">
        <v>0</v>
      </c>
      <c r="M823" s="257">
        <v>0</v>
      </c>
      <c r="N823" s="257">
        <v>0</v>
      </c>
      <c r="O823" s="257">
        <v>0</v>
      </c>
      <c r="P823" s="257">
        <v>183360</v>
      </c>
      <c r="Q823" s="258">
        <v>0</v>
      </c>
    </row>
    <row r="824" spans="1:17">
      <c r="A824" s="256">
        <v>1</v>
      </c>
      <c r="B824" s="256">
        <v>8831607</v>
      </c>
      <c r="C824" s="256">
        <v>883160700</v>
      </c>
      <c r="D824" s="256" t="s">
        <v>538</v>
      </c>
      <c r="E824" s="256" t="s">
        <v>539</v>
      </c>
      <c r="F824" s="256" t="s">
        <v>821</v>
      </c>
      <c r="G824" s="256" t="s">
        <v>102</v>
      </c>
      <c r="H824" s="256"/>
      <c r="I824" s="257">
        <v>0</v>
      </c>
      <c r="J824" s="257">
        <v>0</v>
      </c>
      <c r="K824" s="257">
        <v>0</v>
      </c>
      <c r="L824" s="257">
        <v>0</v>
      </c>
      <c r="M824" s="257">
        <v>0</v>
      </c>
      <c r="N824" s="257">
        <v>0</v>
      </c>
      <c r="O824" s="257">
        <v>0</v>
      </c>
      <c r="P824" s="257">
        <v>0</v>
      </c>
      <c r="Q824" s="258">
        <v>0</v>
      </c>
    </row>
    <row r="825" spans="1:17">
      <c r="A825" s="256">
        <v>1</v>
      </c>
      <c r="B825" s="256">
        <v>8831608</v>
      </c>
      <c r="C825" s="256">
        <v>883160800</v>
      </c>
      <c r="D825" s="256" t="s">
        <v>538</v>
      </c>
      <c r="E825" s="256" t="s">
        <v>539</v>
      </c>
      <c r="F825" s="256" t="s">
        <v>821</v>
      </c>
      <c r="G825" s="256" t="s">
        <v>100</v>
      </c>
      <c r="H825" s="256"/>
      <c r="I825" s="257">
        <v>0</v>
      </c>
      <c r="J825" s="257">
        <v>0</v>
      </c>
      <c r="K825" s="257">
        <v>0</v>
      </c>
      <c r="L825" s="257">
        <v>0</v>
      </c>
      <c r="M825" s="257">
        <v>0</v>
      </c>
      <c r="N825" s="257">
        <v>0</v>
      </c>
      <c r="O825" s="257">
        <v>0</v>
      </c>
      <c r="P825" s="257">
        <v>0</v>
      </c>
      <c r="Q825" s="258">
        <v>0</v>
      </c>
    </row>
    <row r="826" spans="1:17">
      <c r="A826" s="256">
        <v>1</v>
      </c>
      <c r="B826" s="256">
        <v>8831610</v>
      </c>
      <c r="C826" s="256">
        <v>883161001</v>
      </c>
      <c r="D826" s="256" t="s">
        <v>538</v>
      </c>
      <c r="E826" s="256" t="s">
        <v>539</v>
      </c>
      <c r="F826" s="256" t="s">
        <v>821</v>
      </c>
      <c r="G826" s="256" t="s">
        <v>764</v>
      </c>
      <c r="H826" s="256" t="s">
        <v>98</v>
      </c>
      <c r="I826" s="257">
        <v>3310372</v>
      </c>
      <c r="J826" s="257">
        <v>0</v>
      </c>
      <c r="K826" s="257">
        <v>0</v>
      </c>
      <c r="L826" s="257">
        <v>0</v>
      </c>
      <c r="M826" s="257">
        <v>0</v>
      </c>
      <c r="N826" s="257">
        <v>3284472</v>
      </c>
      <c r="O826" s="257">
        <v>0</v>
      </c>
      <c r="P826" s="257">
        <v>25900</v>
      </c>
      <c r="Q826" s="258">
        <v>0</v>
      </c>
    </row>
    <row r="827" spans="1:17">
      <c r="A827" s="256">
        <v>1</v>
      </c>
      <c r="B827" s="256">
        <v>8831610</v>
      </c>
      <c r="C827" s="256">
        <v>883161002</v>
      </c>
      <c r="D827" s="256" t="s">
        <v>538</v>
      </c>
      <c r="E827" s="256" t="s">
        <v>539</v>
      </c>
      <c r="F827" s="256" t="s">
        <v>821</v>
      </c>
      <c r="G827" s="256" t="s">
        <v>764</v>
      </c>
      <c r="H827" s="256" t="s">
        <v>95</v>
      </c>
      <c r="I827" s="257">
        <v>0</v>
      </c>
      <c r="J827" s="257">
        <v>0</v>
      </c>
      <c r="K827" s="257">
        <v>0</v>
      </c>
      <c r="L827" s="257">
        <v>0</v>
      </c>
      <c r="M827" s="257">
        <v>0</v>
      </c>
      <c r="N827" s="257">
        <v>0</v>
      </c>
      <c r="O827" s="257">
        <v>0</v>
      </c>
      <c r="P827" s="257">
        <v>0</v>
      </c>
      <c r="Q827" s="258">
        <v>0</v>
      </c>
    </row>
    <row r="828" spans="1:17">
      <c r="A828" s="236">
        <v>1</v>
      </c>
      <c r="B828" s="236">
        <v>8831610</v>
      </c>
      <c r="C828" s="236">
        <v>883161003</v>
      </c>
      <c r="D828" s="236" t="s">
        <v>538</v>
      </c>
      <c r="E828" s="236" t="s">
        <v>539</v>
      </c>
      <c r="F828" s="236" t="s">
        <v>821</v>
      </c>
      <c r="G828" s="236" t="s">
        <v>764</v>
      </c>
      <c r="H828" s="236" t="s">
        <v>765</v>
      </c>
      <c r="I828" s="257">
        <v>422700</v>
      </c>
      <c r="J828" s="257">
        <v>0</v>
      </c>
      <c r="K828" s="257">
        <v>0</v>
      </c>
      <c r="L828" s="257">
        <v>0</v>
      </c>
      <c r="M828" s="257">
        <v>0</v>
      </c>
      <c r="N828" s="257">
        <v>422700</v>
      </c>
      <c r="O828" s="257">
        <v>0</v>
      </c>
      <c r="P828" s="257">
        <v>0</v>
      </c>
      <c r="Q828" s="258">
        <v>0</v>
      </c>
    </row>
    <row r="829" spans="1:17">
      <c r="A829" s="256">
        <v>1</v>
      </c>
      <c r="B829" s="256">
        <v>8831613</v>
      </c>
      <c r="C829" s="256">
        <v>883161300</v>
      </c>
      <c r="D829" s="256" t="s">
        <v>538</v>
      </c>
      <c r="E829" s="256" t="s">
        <v>539</v>
      </c>
      <c r="F829" s="256" t="s">
        <v>821</v>
      </c>
      <c r="G829" s="256" t="s">
        <v>93</v>
      </c>
      <c r="H829" s="256"/>
      <c r="I829" s="257">
        <v>6713734</v>
      </c>
      <c r="J829" s="257">
        <v>0</v>
      </c>
      <c r="K829" s="257">
        <v>0</v>
      </c>
      <c r="L829" s="257">
        <v>0</v>
      </c>
      <c r="M829" s="257">
        <v>317198</v>
      </c>
      <c r="N829" s="257">
        <v>6396536</v>
      </c>
      <c r="O829" s="257">
        <v>0</v>
      </c>
      <c r="P829" s="257">
        <v>0</v>
      </c>
      <c r="Q829" s="258">
        <v>0</v>
      </c>
    </row>
    <row r="830" spans="1:17">
      <c r="A830" s="256">
        <v>1</v>
      </c>
      <c r="B830" s="256">
        <v>8831614</v>
      </c>
      <c r="C830" s="256">
        <v>883161400</v>
      </c>
      <c r="D830" s="256" t="s">
        <v>538</v>
      </c>
      <c r="E830" s="256" t="s">
        <v>539</v>
      </c>
      <c r="F830" s="256" t="s">
        <v>821</v>
      </c>
      <c r="G830" s="256" t="s">
        <v>91</v>
      </c>
      <c r="H830" s="256"/>
      <c r="I830" s="257">
        <v>256877</v>
      </c>
      <c r="J830" s="257">
        <v>0</v>
      </c>
      <c r="K830" s="257">
        <v>0</v>
      </c>
      <c r="L830" s="257">
        <v>0</v>
      </c>
      <c r="M830" s="257">
        <v>0</v>
      </c>
      <c r="N830" s="257">
        <v>256877</v>
      </c>
      <c r="O830" s="257">
        <v>0</v>
      </c>
      <c r="P830" s="257">
        <v>0</v>
      </c>
      <c r="Q830" s="258">
        <v>0</v>
      </c>
    </row>
    <row r="831" spans="1:17">
      <c r="A831" s="256">
        <v>1</v>
      </c>
      <c r="B831" s="256">
        <v>8831615</v>
      </c>
      <c r="C831" s="256">
        <v>883161500</v>
      </c>
      <c r="D831" s="256" t="s">
        <v>538</v>
      </c>
      <c r="E831" s="256" t="s">
        <v>539</v>
      </c>
      <c r="F831" s="256" t="s">
        <v>821</v>
      </c>
      <c r="G831" s="256" t="s">
        <v>89</v>
      </c>
      <c r="H831" s="256"/>
      <c r="I831" s="257">
        <v>42836</v>
      </c>
      <c r="J831" s="257">
        <v>0</v>
      </c>
      <c r="K831" s="257">
        <v>0</v>
      </c>
      <c r="L831" s="257">
        <v>0</v>
      </c>
      <c r="M831" s="257">
        <v>0</v>
      </c>
      <c r="N831" s="257">
        <v>42836</v>
      </c>
      <c r="O831" s="257">
        <v>0</v>
      </c>
      <c r="P831" s="257">
        <v>0</v>
      </c>
      <c r="Q831" s="258">
        <v>0</v>
      </c>
    </row>
    <row r="832" spans="1:17">
      <c r="A832" s="256">
        <v>1</v>
      </c>
      <c r="B832" s="256">
        <v>8831617</v>
      </c>
      <c r="C832" s="256">
        <v>883161700</v>
      </c>
      <c r="D832" s="256" t="s">
        <v>538</v>
      </c>
      <c r="E832" s="256" t="s">
        <v>539</v>
      </c>
      <c r="F832" s="256" t="s">
        <v>821</v>
      </c>
      <c r="G832" s="256" t="s">
        <v>87</v>
      </c>
      <c r="H832" s="256"/>
      <c r="I832" s="257">
        <v>1404435</v>
      </c>
      <c r="J832" s="257">
        <v>0</v>
      </c>
      <c r="K832" s="257">
        <v>0</v>
      </c>
      <c r="L832" s="257">
        <v>0</v>
      </c>
      <c r="M832" s="257">
        <v>0</v>
      </c>
      <c r="N832" s="257">
        <v>1404435</v>
      </c>
      <c r="O832" s="257">
        <v>0</v>
      </c>
      <c r="P832" s="257">
        <v>0</v>
      </c>
      <c r="Q832" s="258">
        <v>0</v>
      </c>
    </row>
    <row r="833" spans="1:17">
      <c r="A833" s="256">
        <v>1</v>
      </c>
      <c r="B833" s="256">
        <v>8831619</v>
      </c>
      <c r="C833" s="256">
        <v>883161900</v>
      </c>
      <c r="D833" s="256" t="s">
        <v>538</v>
      </c>
      <c r="E833" s="256" t="s">
        <v>539</v>
      </c>
      <c r="F833" s="256" t="s">
        <v>821</v>
      </c>
      <c r="G833" s="256" t="s">
        <v>85</v>
      </c>
      <c r="H833" s="256"/>
      <c r="I833" s="257">
        <v>190945</v>
      </c>
      <c r="J833" s="257">
        <v>0</v>
      </c>
      <c r="K833" s="257">
        <v>0</v>
      </c>
      <c r="L833" s="257">
        <v>0</v>
      </c>
      <c r="M833" s="257">
        <v>0</v>
      </c>
      <c r="N833" s="257">
        <v>136081</v>
      </c>
      <c r="O833" s="257">
        <v>54864</v>
      </c>
      <c r="P833" s="257">
        <v>0</v>
      </c>
      <c r="Q833" s="258">
        <v>0</v>
      </c>
    </row>
    <row r="834" spans="1:17">
      <c r="A834" s="256">
        <v>1</v>
      </c>
      <c r="B834" s="256">
        <v>8831620</v>
      </c>
      <c r="C834" s="256">
        <v>883162000</v>
      </c>
      <c r="D834" s="256" t="s">
        <v>538</v>
      </c>
      <c r="E834" s="256" t="s">
        <v>539</v>
      </c>
      <c r="F834" s="256" t="s">
        <v>821</v>
      </c>
      <c r="G834" s="256" t="s">
        <v>83</v>
      </c>
      <c r="H834" s="256"/>
      <c r="I834" s="257">
        <v>32908077</v>
      </c>
      <c r="J834" s="257">
        <v>0</v>
      </c>
      <c r="K834" s="257">
        <v>0</v>
      </c>
      <c r="L834" s="257">
        <v>0</v>
      </c>
      <c r="M834" s="257">
        <v>0</v>
      </c>
      <c r="N834" s="257">
        <v>32908077</v>
      </c>
      <c r="O834" s="257">
        <v>0</v>
      </c>
      <c r="P834" s="257">
        <v>0</v>
      </c>
      <c r="Q834" s="258">
        <v>0</v>
      </c>
    </row>
    <row r="835" spans="1:17">
      <c r="A835" s="256">
        <v>1</v>
      </c>
      <c r="B835" s="256">
        <v>8831621</v>
      </c>
      <c r="C835" s="256">
        <v>883162100</v>
      </c>
      <c r="D835" s="256" t="s">
        <v>538</v>
      </c>
      <c r="E835" s="256" t="s">
        <v>539</v>
      </c>
      <c r="F835" s="256" t="s">
        <v>821</v>
      </c>
      <c r="G835" s="256" t="s">
        <v>81</v>
      </c>
      <c r="H835" s="256"/>
      <c r="I835" s="257">
        <v>38947557</v>
      </c>
      <c r="J835" s="257">
        <v>0</v>
      </c>
      <c r="K835" s="257">
        <v>0</v>
      </c>
      <c r="L835" s="257">
        <v>0</v>
      </c>
      <c r="M835" s="257">
        <v>0</v>
      </c>
      <c r="N835" s="257">
        <v>38947557</v>
      </c>
      <c r="O835" s="257">
        <v>0</v>
      </c>
      <c r="P835" s="257">
        <v>0</v>
      </c>
      <c r="Q835" s="258">
        <v>0</v>
      </c>
    </row>
    <row r="836" spans="1:17">
      <c r="A836" s="256">
        <v>1</v>
      </c>
      <c r="B836" s="256">
        <v>8831623</v>
      </c>
      <c r="C836" s="256">
        <v>883162300</v>
      </c>
      <c r="D836" s="256" t="s">
        <v>538</v>
      </c>
      <c r="E836" s="256" t="s">
        <v>539</v>
      </c>
      <c r="F836" s="256" t="s">
        <v>821</v>
      </c>
      <c r="G836" s="256" t="s">
        <v>79</v>
      </c>
      <c r="H836" s="256"/>
      <c r="I836" s="257">
        <v>1396111</v>
      </c>
      <c r="J836" s="257">
        <v>0</v>
      </c>
      <c r="K836" s="257">
        <v>0</v>
      </c>
      <c r="L836" s="257">
        <v>0</v>
      </c>
      <c r="M836" s="257">
        <v>0</v>
      </c>
      <c r="N836" s="257">
        <v>1396111</v>
      </c>
      <c r="O836" s="257">
        <v>0</v>
      </c>
      <c r="P836" s="257">
        <v>0</v>
      </c>
      <c r="Q836" s="258">
        <v>0</v>
      </c>
    </row>
    <row r="837" spans="1:17">
      <c r="A837" s="256">
        <v>1</v>
      </c>
      <c r="B837" s="256">
        <v>8831624</v>
      </c>
      <c r="C837" s="256">
        <v>883162400</v>
      </c>
      <c r="D837" s="256" t="s">
        <v>538</v>
      </c>
      <c r="E837" s="256" t="s">
        <v>539</v>
      </c>
      <c r="F837" s="256" t="s">
        <v>821</v>
      </c>
      <c r="G837" s="256" t="s">
        <v>77</v>
      </c>
      <c r="H837" s="256"/>
      <c r="I837" s="257">
        <v>0</v>
      </c>
      <c r="J837" s="257">
        <v>0</v>
      </c>
      <c r="K837" s="257">
        <v>0</v>
      </c>
      <c r="L837" s="257">
        <v>0</v>
      </c>
      <c r="M837" s="257">
        <v>0</v>
      </c>
      <c r="N837" s="257">
        <v>0</v>
      </c>
      <c r="O837" s="257">
        <v>0</v>
      </c>
      <c r="P837" s="257">
        <v>0</v>
      </c>
      <c r="Q837" s="258">
        <v>0</v>
      </c>
    </row>
    <row r="838" spans="1:17">
      <c r="A838" s="256">
        <v>1</v>
      </c>
      <c r="B838" s="256">
        <v>8831625</v>
      </c>
      <c r="C838" s="256">
        <v>883162500</v>
      </c>
      <c r="D838" s="256" t="s">
        <v>538</v>
      </c>
      <c r="E838" s="256" t="s">
        <v>539</v>
      </c>
      <c r="F838" s="256" t="s">
        <v>821</v>
      </c>
      <c r="G838" s="256" t="s">
        <v>75</v>
      </c>
      <c r="H838" s="256"/>
      <c r="I838" s="257">
        <v>0</v>
      </c>
      <c r="J838" s="257">
        <v>0</v>
      </c>
      <c r="K838" s="257">
        <v>0</v>
      </c>
      <c r="L838" s="257">
        <v>0</v>
      </c>
      <c r="M838" s="257">
        <v>0</v>
      </c>
      <c r="N838" s="257">
        <v>0</v>
      </c>
      <c r="O838" s="257">
        <v>0</v>
      </c>
      <c r="P838" s="257">
        <v>0</v>
      </c>
      <c r="Q838" s="258">
        <v>0</v>
      </c>
    </row>
    <row r="839" spans="1:17">
      <c r="A839" s="256">
        <v>1</v>
      </c>
      <c r="B839" s="256">
        <v>8831628</v>
      </c>
      <c r="C839" s="256">
        <v>883162866</v>
      </c>
      <c r="D839" s="256" t="s">
        <v>538</v>
      </c>
      <c r="E839" s="256" t="s">
        <v>539</v>
      </c>
      <c r="F839" s="256" t="s">
        <v>821</v>
      </c>
      <c r="G839" s="256" t="s">
        <v>811</v>
      </c>
      <c r="H839" s="256" t="s">
        <v>812</v>
      </c>
      <c r="I839" s="257">
        <v>0</v>
      </c>
      <c r="J839" s="257">
        <v>0</v>
      </c>
      <c r="K839" s="257">
        <v>0</v>
      </c>
      <c r="L839" s="257">
        <v>0</v>
      </c>
      <c r="M839" s="257">
        <v>0</v>
      </c>
      <c r="N839" s="257">
        <v>0</v>
      </c>
      <c r="O839" s="257">
        <v>0</v>
      </c>
      <c r="P839" s="257">
        <v>0</v>
      </c>
      <c r="Q839" s="258">
        <v>0</v>
      </c>
    </row>
    <row r="840" spans="1:17">
      <c r="A840" s="256">
        <v>1</v>
      </c>
      <c r="B840" s="256">
        <v>8831628</v>
      </c>
      <c r="C840" s="256">
        <v>883162867</v>
      </c>
      <c r="D840" s="256" t="s">
        <v>538</v>
      </c>
      <c r="E840" s="256" t="s">
        <v>539</v>
      </c>
      <c r="F840" s="256" t="s">
        <v>821</v>
      </c>
      <c r="G840" s="256" t="s">
        <v>811</v>
      </c>
      <c r="H840" s="256" t="s">
        <v>813</v>
      </c>
      <c r="I840" s="257">
        <v>0</v>
      </c>
      <c r="J840" s="257">
        <v>0</v>
      </c>
      <c r="K840" s="257">
        <v>0</v>
      </c>
      <c r="L840" s="257">
        <v>0</v>
      </c>
      <c r="M840" s="257">
        <v>0</v>
      </c>
      <c r="N840" s="257">
        <v>0</v>
      </c>
      <c r="O840" s="257">
        <v>0</v>
      </c>
      <c r="P840" s="257">
        <v>0</v>
      </c>
      <c r="Q840" s="258">
        <v>0</v>
      </c>
    </row>
    <row r="841" spans="1:17">
      <c r="A841" s="256">
        <v>1</v>
      </c>
      <c r="B841" s="256">
        <v>8831629</v>
      </c>
      <c r="C841" s="256">
        <v>883162900</v>
      </c>
      <c r="D841" s="256" t="s">
        <v>538</v>
      </c>
      <c r="E841" s="256" t="s">
        <v>539</v>
      </c>
      <c r="F841" s="256" t="s">
        <v>821</v>
      </c>
      <c r="G841" s="256" t="s">
        <v>66</v>
      </c>
      <c r="H841" s="256"/>
      <c r="I841" s="257">
        <v>0</v>
      </c>
      <c r="J841" s="257">
        <v>0</v>
      </c>
      <c r="K841" s="257">
        <v>0</v>
      </c>
      <c r="L841" s="257">
        <v>0</v>
      </c>
      <c r="M841" s="257">
        <v>0</v>
      </c>
      <c r="N841" s="257">
        <v>0</v>
      </c>
      <c r="O841" s="257">
        <v>0</v>
      </c>
      <c r="P841" s="257">
        <v>0</v>
      </c>
      <c r="Q841" s="258">
        <v>0</v>
      </c>
    </row>
    <row r="842" spans="1:17">
      <c r="A842" s="256">
        <v>1</v>
      </c>
      <c r="B842" s="256">
        <v>8831630</v>
      </c>
      <c r="C842" s="256">
        <v>883163000</v>
      </c>
      <c r="D842" s="256" t="s">
        <v>538</v>
      </c>
      <c r="E842" s="256" t="s">
        <v>539</v>
      </c>
      <c r="F842" s="256" t="s">
        <v>821</v>
      </c>
      <c r="G842" s="256" t="s">
        <v>64</v>
      </c>
      <c r="H842" s="256"/>
      <c r="I842" s="257">
        <v>0</v>
      </c>
      <c r="J842" s="257">
        <v>0</v>
      </c>
      <c r="K842" s="257">
        <v>0</v>
      </c>
      <c r="L842" s="257">
        <v>0</v>
      </c>
      <c r="M842" s="257">
        <v>0</v>
      </c>
      <c r="N842" s="257">
        <v>0</v>
      </c>
      <c r="O842" s="257">
        <v>0</v>
      </c>
      <c r="P842" s="257">
        <v>0</v>
      </c>
      <c r="Q842" s="258">
        <v>0</v>
      </c>
    </row>
    <row r="843" spans="1:17">
      <c r="A843" s="256">
        <v>1</v>
      </c>
      <c r="B843" s="256">
        <v>8831631</v>
      </c>
      <c r="C843" s="256">
        <v>883163100</v>
      </c>
      <c r="D843" s="256" t="s">
        <v>538</v>
      </c>
      <c r="E843" s="256" t="s">
        <v>539</v>
      </c>
      <c r="F843" s="256" t="s">
        <v>821</v>
      </c>
      <c r="G843" s="256" t="s">
        <v>62</v>
      </c>
      <c r="H843" s="256"/>
      <c r="I843" s="257">
        <v>111850504</v>
      </c>
      <c r="J843" s="257">
        <v>0</v>
      </c>
      <c r="K843" s="257">
        <v>0</v>
      </c>
      <c r="L843" s="257">
        <v>0</v>
      </c>
      <c r="M843" s="257">
        <v>0</v>
      </c>
      <c r="N843" s="257">
        <v>106451181</v>
      </c>
      <c r="O843" s="257">
        <v>0</v>
      </c>
      <c r="P843" s="257">
        <v>5399323</v>
      </c>
      <c r="Q843" s="258">
        <v>0</v>
      </c>
    </row>
    <row r="844" spans="1:17">
      <c r="A844" s="256">
        <v>1</v>
      </c>
      <c r="B844" s="256">
        <v>8831633</v>
      </c>
      <c r="C844" s="256">
        <v>883163300</v>
      </c>
      <c r="D844" s="256" t="s">
        <v>538</v>
      </c>
      <c r="E844" s="256" t="s">
        <v>539</v>
      </c>
      <c r="F844" s="256" t="s">
        <v>821</v>
      </c>
      <c r="G844" s="256" t="s">
        <v>822</v>
      </c>
      <c r="H844" s="256"/>
      <c r="I844" s="257">
        <v>0</v>
      </c>
      <c r="J844" s="257">
        <v>0</v>
      </c>
      <c r="K844" s="257">
        <v>0</v>
      </c>
      <c r="L844" s="257">
        <v>0</v>
      </c>
      <c r="M844" s="257">
        <v>0</v>
      </c>
      <c r="N844" s="257">
        <v>0</v>
      </c>
      <c r="O844" s="257">
        <v>0</v>
      </c>
      <c r="P844" s="257">
        <v>0</v>
      </c>
      <c r="Q844" s="258">
        <v>0</v>
      </c>
    </row>
    <row r="845" spans="1:17">
      <c r="A845" s="256">
        <v>1</v>
      </c>
      <c r="B845" s="256">
        <v>8831636</v>
      </c>
      <c r="C845" s="256">
        <v>883163600</v>
      </c>
      <c r="D845" s="256" t="s">
        <v>538</v>
      </c>
      <c r="E845" s="256" t="s">
        <v>539</v>
      </c>
      <c r="F845" s="256" t="s">
        <v>821</v>
      </c>
      <c r="G845" s="256" t="s">
        <v>823</v>
      </c>
      <c r="H845" s="256"/>
      <c r="I845" s="257">
        <v>2892</v>
      </c>
      <c r="J845" s="257">
        <v>0</v>
      </c>
      <c r="K845" s="257">
        <v>0</v>
      </c>
      <c r="L845" s="257">
        <v>0</v>
      </c>
      <c r="M845" s="257">
        <v>0</v>
      </c>
      <c r="N845" s="257">
        <v>2892</v>
      </c>
      <c r="O845" s="257">
        <v>0</v>
      </c>
      <c r="P845" s="257">
        <v>0</v>
      </c>
      <c r="Q845" s="258">
        <v>0</v>
      </c>
    </row>
    <row r="846" spans="1:17">
      <c r="A846" s="256">
        <v>1</v>
      </c>
      <c r="B846" s="256">
        <v>8831637</v>
      </c>
      <c r="C846" s="256">
        <v>883163700</v>
      </c>
      <c r="D846" s="256" t="s">
        <v>538</v>
      </c>
      <c r="E846" s="256" t="s">
        <v>539</v>
      </c>
      <c r="F846" s="256" t="s">
        <v>821</v>
      </c>
      <c r="G846" s="256" t="s">
        <v>60</v>
      </c>
      <c r="H846" s="256"/>
      <c r="I846" s="257">
        <v>0</v>
      </c>
      <c r="J846" s="257">
        <v>0</v>
      </c>
      <c r="K846" s="257">
        <v>0</v>
      </c>
      <c r="L846" s="257">
        <v>0</v>
      </c>
      <c r="M846" s="257">
        <v>0</v>
      </c>
      <c r="N846" s="257">
        <v>0</v>
      </c>
      <c r="O846" s="257">
        <v>0</v>
      </c>
      <c r="P846" s="257">
        <v>0</v>
      </c>
      <c r="Q846" s="258">
        <v>0</v>
      </c>
    </row>
    <row r="847" spans="1:17">
      <c r="A847" s="256">
        <v>1</v>
      </c>
      <c r="B847" s="256">
        <v>8831639</v>
      </c>
      <c r="C847" s="256">
        <v>883163900</v>
      </c>
      <c r="D847" s="256" t="s">
        <v>538</v>
      </c>
      <c r="E847" s="256" t="s">
        <v>539</v>
      </c>
      <c r="F847" s="256" t="s">
        <v>821</v>
      </c>
      <c r="G847" s="256" t="s">
        <v>58</v>
      </c>
      <c r="H847" s="256"/>
      <c r="I847" s="257">
        <v>3828947</v>
      </c>
      <c r="J847" s="257">
        <v>0</v>
      </c>
      <c r="K847" s="257">
        <v>0</v>
      </c>
      <c r="L847" s="257">
        <v>0</v>
      </c>
      <c r="M847" s="257">
        <v>0</v>
      </c>
      <c r="N847" s="257">
        <v>0</v>
      </c>
      <c r="O847" s="257">
        <v>3828947</v>
      </c>
      <c r="P847" s="257">
        <v>0</v>
      </c>
      <c r="Q847" s="258">
        <v>0</v>
      </c>
    </row>
    <row r="848" spans="1:17">
      <c r="A848" s="256">
        <v>1</v>
      </c>
      <c r="B848" s="256">
        <v>8831640</v>
      </c>
      <c r="C848" s="256">
        <v>883164000</v>
      </c>
      <c r="D848" s="256" t="s">
        <v>538</v>
      </c>
      <c r="E848" s="256" t="s">
        <v>539</v>
      </c>
      <c r="F848" s="256" t="s">
        <v>821</v>
      </c>
      <c r="G848" s="256" t="s">
        <v>56</v>
      </c>
      <c r="H848" s="256"/>
      <c r="I848" s="257">
        <v>16361</v>
      </c>
      <c r="J848" s="257">
        <v>0</v>
      </c>
      <c r="K848" s="257">
        <v>0</v>
      </c>
      <c r="L848" s="257">
        <v>0</v>
      </c>
      <c r="M848" s="257">
        <v>0</v>
      </c>
      <c r="N848" s="257">
        <v>0</v>
      </c>
      <c r="O848" s="257">
        <v>5000</v>
      </c>
      <c r="P848" s="257">
        <v>11361</v>
      </c>
      <c r="Q848" s="258">
        <v>0</v>
      </c>
    </row>
    <row r="849" spans="1:17">
      <c r="A849" s="256">
        <v>1</v>
      </c>
      <c r="B849" s="256">
        <v>8831641</v>
      </c>
      <c r="C849" s="256">
        <v>883164100</v>
      </c>
      <c r="D849" s="256" t="s">
        <v>538</v>
      </c>
      <c r="E849" s="256" t="s">
        <v>539</v>
      </c>
      <c r="F849" s="256" t="s">
        <v>821</v>
      </c>
      <c r="G849" s="256" t="s">
        <v>55</v>
      </c>
      <c r="H849" s="256"/>
      <c r="I849" s="257">
        <v>0</v>
      </c>
      <c r="J849" s="257">
        <v>0</v>
      </c>
      <c r="K849" s="257">
        <v>0</v>
      </c>
      <c r="L849" s="257">
        <v>0</v>
      </c>
      <c r="M849" s="257">
        <v>0</v>
      </c>
      <c r="N849" s="257">
        <v>0</v>
      </c>
      <c r="O849" s="257">
        <v>0</v>
      </c>
      <c r="P849" s="257">
        <v>0</v>
      </c>
      <c r="Q849" s="258">
        <v>0</v>
      </c>
    </row>
    <row r="850" spans="1:17">
      <c r="A850" s="256">
        <v>1</v>
      </c>
      <c r="B850" s="256">
        <v>8831642</v>
      </c>
      <c r="C850" s="256">
        <v>883164201</v>
      </c>
      <c r="D850" s="256" t="s">
        <v>538</v>
      </c>
      <c r="E850" s="256" t="s">
        <v>539</v>
      </c>
      <c r="F850" s="256" t="s">
        <v>821</v>
      </c>
      <c r="G850" s="256" t="s">
        <v>53</v>
      </c>
      <c r="H850" s="256" t="s">
        <v>108</v>
      </c>
      <c r="I850" s="257">
        <v>13469000</v>
      </c>
      <c r="J850" s="257">
        <v>0</v>
      </c>
      <c r="K850" s="257">
        <v>0</v>
      </c>
      <c r="L850" s="257">
        <v>0</v>
      </c>
      <c r="M850" s="257">
        <v>0</v>
      </c>
      <c r="N850" s="257">
        <v>0</v>
      </c>
      <c r="O850" s="257">
        <v>0</v>
      </c>
      <c r="P850" s="257">
        <v>13469000</v>
      </c>
      <c r="Q850" s="258">
        <v>0</v>
      </c>
    </row>
    <row r="851" spans="1:17">
      <c r="A851" s="256">
        <v>1</v>
      </c>
      <c r="B851" s="256">
        <v>8831642</v>
      </c>
      <c r="C851" s="256">
        <v>883164202</v>
      </c>
      <c r="D851" s="256" t="s">
        <v>538</v>
      </c>
      <c r="E851" s="256" t="s">
        <v>539</v>
      </c>
      <c r="F851" s="256" t="s">
        <v>821</v>
      </c>
      <c r="G851" s="256" t="s">
        <v>53</v>
      </c>
      <c r="H851" s="256" t="s">
        <v>106</v>
      </c>
      <c r="I851" s="257">
        <v>2703000</v>
      </c>
      <c r="J851" s="257">
        <v>0</v>
      </c>
      <c r="K851" s="257">
        <v>0</v>
      </c>
      <c r="L851" s="257">
        <v>0</v>
      </c>
      <c r="M851" s="257">
        <v>0</v>
      </c>
      <c r="N851" s="257">
        <v>0</v>
      </c>
      <c r="O851" s="257">
        <v>0</v>
      </c>
      <c r="P851" s="257">
        <v>2703000</v>
      </c>
      <c r="Q851" s="258">
        <v>0</v>
      </c>
    </row>
    <row r="852" spans="1:17">
      <c r="A852" s="256">
        <v>1</v>
      </c>
      <c r="B852" s="256">
        <v>8831643</v>
      </c>
      <c r="C852" s="256">
        <v>883164301</v>
      </c>
      <c r="D852" s="256" t="s">
        <v>538</v>
      </c>
      <c r="E852" s="256" t="s">
        <v>539</v>
      </c>
      <c r="F852" s="256" t="s">
        <v>821</v>
      </c>
      <c r="G852" s="256" t="s">
        <v>824</v>
      </c>
      <c r="H852" s="256" t="s">
        <v>688</v>
      </c>
      <c r="I852" s="257">
        <v>0</v>
      </c>
      <c r="J852" s="257">
        <v>0</v>
      </c>
      <c r="K852" s="257">
        <v>0</v>
      </c>
      <c r="L852" s="257">
        <v>0</v>
      </c>
      <c r="M852" s="257">
        <v>0</v>
      </c>
      <c r="N852" s="257">
        <v>0</v>
      </c>
      <c r="O852" s="257">
        <v>0</v>
      </c>
      <c r="P852" s="257">
        <v>0</v>
      </c>
      <c r="Q852" s="258">
        <v>0</v>
      </c>
    </row>
    <row r="853" spans="1:17">
      <c r="A853" s="256">
        <v>1</v>
      </c>
      <c r="B853" s="256">
        <v>8831643</v>
      </c>
      <c r="C853" s="256">
        <v>883164302</v>
      </c>
      <c r="D853" s="256" t="s">
        <v>538</v>
      </c>
      <c r="E853" s="256" t="s">
        <v>539</v>
      </c>
      <c r="F853" s="256" t="s">
        <v>821</v>
      </c>
      <c r="G853" s="256" t="s">
        <v>824</v>
      </c>
      <c r="H853" s="256" t="s">
        <v>664</v>
      </c>
      <c r="I853" s="257">
        <v>257863</v>
      </c>
      <c r="J853" s="257">
        <v>0</v>
      </c>
      <c r="K853" s="257">
        <v>0</v>
      </c>
      <c r="L853" s="257">
        <v>0</v>
      </c>
      <c r="M853" s="257">
        <v>0</v>
      </c>
      <c r="N853" s="257">
        <v>0</v>
      </c>
      <c r="O853" s="257">
        <v>0</v>
      </c>
      <c r="P853" s="257">
        <v>257863</v>
      </c>
      <c r="Q853" s="258">
        <v>0</v>
      </c>
    </row>
    <row r="854" spans="1:17">
      <c r="A854" s="256">
        <v>1</v>
      </c>
      <c r="B854" s="256">
        <v>8831643</v>
      </c>
      <c r="C854" s="256">
        <v>883164304</v>
      </c>
      <c r="D854" s="256" t="s">
        <v>538</v>
      </c>
      <c r="E854" s="256" t="s">
        <v>539</v>
      </c>
      <c r="F854" s="256" t="s">
        <v>821</v>
      </c>
      <c r="G854" s="256" t="s">
        <v>824</v>
      </c>
      <c r="H854" s="256" t="s">
        <v>675</v>
      </c>
      <c r="I854" s="257">
        <v>145321</v>
      </c>
      <c r="J854" s="257">
        <v>0</v>
      </c>
      <c r="K854" s="257">
        <v>0</v>
      </c>
      <c r="L854" s="257">
        <v>0</v>
      </c>
      <c r="M854" s="257">
        <v>0</v>
      </c>
      <c r="N854" s="257">
        <v>0</v>
      </c>
      <c r="O854" s="257">
        <v>0</v>
      </c>
      <c r="P854" s="257">
        <v>145321</v>
      </c>
      <c r="Q854" s="258">
        <v>0</v>
      </c>
    </row>
    <row r="855" spans="1:17">
      <c r="A855" s="256">
        <v>1</v>
      </c>
      <c r="B855" s="256">
        <v>8831643</v>
      </c>
      <c r="C855" s="256">
        <v>883164305</v>
      </c>
      <c r="D855" s="256" t="s">
        <v>538</v>
      </c>
      <c r="E855" s="256" t="s">
        <v>539</v>
      </c>
      <c r="F855" s="256" t="s">
        <v>821</v>
      </c>
      <c r="G855" s="256" t="s">
        <v>824</v>
      </c>
      <c r="H855" s="256" t="s">
        <v>676</v>
      </c>
      <c r="I855" s="257">
        <v>0</v>
      </c>
      <c r="J855" s="257">
        <v>0</v>
      </c>
      <c r="K855" s="257">
        <v>0</v>
      </c>
      <c r="L855" s="257">
        <v>0</v>
      </c>
      <c r="M855" s="257">
        <v>0</v>
      </c>
      <c r="N855" s="257">
        <v>0</v>
      </c>
      <c r="O855" s="257">
        <v>0</v>
      </c>
      <c r="P855" s="257">
        <v>0</v>
      </c>
      <c r="Q855" s="258">
        <v>0</v>
      </c>
    </row>
    <row r="856" spans="1:17">
      <c r="A856" s="236">
        <v>1</v>
      </c>
      <c r="B856" s="236">
        <v>8831643</v>
      </c>
      <c r="C856" s="289" t="s">
        <v>825</v>
      </c>
      <c r="D856" s="236" t="s">
        <v>538</v>
      </c>
      <c r="E856" s="236" t="s">
        <v>539</v>
      </c>
      <c r="F856" s="236" t="s">
        <v>821</v>
      </c>
      <c r="G856" s="236" t="s">
        <v>824</v>
      </c>
      <c r="H856" s="236" t="s">
        <v>676</v>
      </c>
      <c r="I856" s="257">
        <v>94500</v>
      </c>
      <c r="J856" s="257">
        <v>0</v>
      </c>
      <c r="K856" s="257">
        <v>0</v>
      </c>
      <c r="L856" s="257">
        <v>0</v>
      </c>
      <c r="M856" s="257">
        <v>0</v>
      </c>
      <c r="N856" s="257">
        <v>0</v>
      </c>
      <c r="O856" s="257">
        <v>0</v>
      </c>
      <c r="P856" s="257">
        <v>94500</v>
      </c>
      <c r="Q856" s="258">
        <v>0</v>
      </c>
    </row>
    <row r="857" spans="1:17">
      <c r="A857" s="256">
        <v>1</v>
      </c>
      <c r="B857" s="256">
        <v>8832043</v>
      </c>
      <c r="C857" s="256">
        <v>883204370</v>
      </c>
      <c r="D857" s="256" t="s">
        <v>538</v>
      </c>
      <c r="E857" s="256" t="s">
        <v>539</v>
      </c>
      <c r="F857" s="256" t="s">
        <v>826</v>
      </c>
      <c r="G857" s="256" t="s">
        <v>827</v>
      </c>
      <c r="H857" s="256" t="s">
        <v>492</v>
      </c>
      <c r="I857" s="257">
        <v>736845633</v>
      </c>
      <c r="J857" s="257">
        <v>0</v>
      </c>
      <c r="K857" s="257">
        <v>0</v>
      </c>
      <c r="L857" s="257">
        <v>0</v>
      </c>
      <c r="M857" s="257">
        <v>0</v>
      </c>
      <c r="N857" s="257">
        <v>0</v>
      </c>
      <c r="O857" s="257">
        <v>0</v>
      </c>
      <c r="P857" s="257">
        <v>736845633</v>
      </c>
      <c r="Q857" s="258">
        <v>0</v>
      </c>
    </row>
    <row r="858" spans="1:17">
      <c r="A858" s="256">
        <v>1</v>
      </c>
      <c r="B858" s="256">
        <v>8832043</v>
      </c>
      <c r="C858" s="256">
        <v>883204371</v>
      </c>
      <c r="D858" s="256" t="s">
        <v>538</v>
      </c>
      <c r="E858" s="256" t="s">
        <v>539</v>
      </c>
      <c r="F858" s="256" t="s">
        <v>826</v>
      </c>
      <c r="G858" s="256" t="s">
        <v>827</v>
      </c>
      <c r="H858" s="256" t="s">
        <v>491</v>
      </c>
      <c r="I858" s="257">
        <v>20069115278</v>
      </c>
      <c r="J858" s="257">
        <v>0</v>
      </c>
      <c r="K858" s="257">
        <v>0</v>
      </c>
      <c r="L858" s="257">
        <v>0</v>
      </c>
      <c r="M858" s="257">
        <v>0</v>
      </c>
      <c r="N858" s="257">
        <v>0</v>
      </c>
      <c r="O858" s="257">
        <v>0</v>
      </c>
      <c r="P858" s="257">
        <v>20069115278</v>
      </c>
      <c r="Q858" s="258">
        <v>0</v>
      </c>
    </row>
    <row r="859" spans="1:17">
      <c r="A859" s="256">
        <v>1</v>
      </c>
      <c r="B859" s="256">
        <v>8832043</v>
      </c>
      <c r="C859" s="256">
        <v>883204372</v>
      </c>
      <c r="D859" s="256" t="s">
        <v>538</v>
      </c>
      <c r="E859" s="256" t="s">
        <v>539</v>
      </c>
      <c r="F859" s="256" t="s">
        <v>826</v>
      </c>
      <c r="G859" s="256" t="s">
        <v>827</v>
      </c>
      <c r="H859" s="256" t="s">
        <v>490</v>
      </c>
      <c r="I859" s="257">
        <v>4457068757</v>
      </c>
      <c r="J859" s="257">
        <v>0</v>
      </c>
      <c r="K859" s="257">
        <v>0</v>
      </c>
      <c r="L859" s="257">
        <v>0</v>
      </c>
      <c r="M859" s="257">
        <v>0</v>
      </c>
      <c r="N859" s="257">
        <v>0</v>
      </c>
      <c r="O859" s="257">
        <v>0</v>
      </c>
      <c r="P859" s="257">
        <v>4457068757</v>
      </c>
      <c r="Q859" s="258">
        <v>0</v>
      </c>
    </row>
    <row r="860" spans="1:17">
      <c r="A860" s="256">
        <v>1</v>
      </c>
      <c r="B860" s="256">
        <v>8832043</v>
      </c>
      <c r="C860" s="256">
        <v>883204373</v>
      </c>
      <c r="D860" s="256" t="s">
        <v>538</v>
      </c>
      <c r="E860" s="256" t="s">
        <v>539</v>
      </c>
      <c r="F860" s="256" t="s">
        <v>826</v>
      </c>
      <c r="G860" s="256" t="s">
        <v>827</v>
      </c>
      <c r="H860" s="256" t="s">
        <v>489</v>
      </c>
      <c r="I860" s="257">
        <v>4222403</v>
      </c>
      <c r="J860" s="257">
        <v>0</v>
      </c>
      <c r="K860" s="257">
        <v>0</v>
      </c>
      <c r="L860" s="257">
        <v>0</v>
      </c>
      <c r="M860" s="257">
        <v>0</v>
      </c>
      <c r="N860" s="257">
        <v>0</v>
      </c>
      <c r="O860" s="257">
        <v>0</v>
      </c>
      <c r="P860" s="257">
        <v>4222403</v>
      </c>
      <c r="Q860" s="258">
        <v>0</v>
      </c>
    </row>
    <row r="861" spans="1:17">
      <c r="A861" s="256">
        <v>1</v>
      </c>
      <c r="B861" s="256">
        <v>8832043</v>
      </c>
      <c r="C861" s="256">
        <v>883204374</v>
      </c>
      <c r="D861" s="256" t="s">
        <v>538</v>
      </c>
      <c r="E861" s="256" t="s">
        <v>539</v>
      </c>
      <c r="F861" s="256" t="s">
        <v>826</v>
      </c>
      <c r="G861" s="256" t="s">
        <v>827</v>
      </c>
      <c r="H861" s="256" t="s">
        <v>488</v>
      </c>
      <c r="I861" s="257">
        <v>5635044</v>
      </c>
      <c r="J861" s="257">
        <v>0</v>
      </c>
      <c r="K861" s="257">
        <v>0</v>
      </c>
      <c r="L861" s="257">
        <v>0</v>
      </c>
      <c r="M861" s="257">
        <v>0</v>
      </c>
      <c r="N861" s="257">
        <v>0</v>
      </c>
      <c r="O861" s="257">
        <v>0</v>
      </c>
      <c r="P861" s="257">
        <v>5635044</v>
      </c>
      <c r="Q861" s="258">
        <v>0</v>
      </c>
    </row>
    <row r="862" spans="1:17">
      <c r="A862" s="256">
        <v>1</v>
      </c>
      <c r="B862" s="256">
        <v>8832044</v>
      </c>
      <c r="C862" s="256">
        <v>883204475</v>
      </c>
      <c r="D862" s="256" t="s">
        <v>538</v>
      </c>
      <c r="E862" s="256" t="s">
        <v>539</v>
      </c>
      <c r="F862" s="256" t="s">
        <v>826</v>
      </c>
      <c r="G862" s="256" t="s">
        <v>828</v>
      </c>
      <c r="H862" s="256" t="s">
        <v>487</v>
      </c>
      <c r="I862" s="257">
        <v>0</v>
      </c>
      <c r="J862" s="257">
        <v>0</v>
      </c>
      <c r="K862" s="257">
        <v>0</v>
      </c>
      <c r="L862" s="257">
        <v>0</v>
      </c>
      <c r="M862" s="257">
        <v>0</v>
      </c>
      <c r="N862" s="257">
        <v>0</v>
      </c>
      <c r="O862" s="257">
        <v>0</v>
      </c>
      <c r="P862" s="257">
        <v>0</v>
      </c>
      <c r="Q862" s="258">
        <v>0</v>
      </c>
    </row>
    <row r="863" spans="1:17">
      <c r="A863" s="256">
        <v>1</v>
      </c>
      <c r="B863" s="256">
        <v>8832044</v>
      </c>
      <c r="C863" s="256">
        <v>883204476</v>
      </c>
      <c r="D863" s="256" t="s">
        <v>538</v>
      </c>
      <c r="E863" s="256" t="s">
        <v>539</v>
      </c>
      <c r="F863" s="256" t="s">
        <v>826</v>
      </c>
      <c r="G863" s="256" t="s">
        <v>828</v>
      </c>
      <c r="H863" s="256" t="s">
        <v>486</v>
      </c>
      <c r="I863" s="257">
        <v>238105</v>
      </c>
      <c r="J863" s="257">
        <v>0</v>
      </c>
      <c r="K863" s="257">
        <v>0</v>
      </c>
      <c r="L863" s="257">
        <v>0</v>
      </c>
      <c r="M863" s="257">
        <v>0</v>
      </c>
      <c r="N863" s="257">
        <v>0</v>
      </c>
      <c r="O863" s="257">
        <v>0</v>
      </c>
      <c r="P863" s="257">
        <v>238105</v>
      </c>
      <c r="Q863" s="258">
        <v>0</v>
      </c>
    </row>
    <row r="864" spans="1:17">
      <c r="A864" s="256">
        <v>1</v>
      </c>
      <c r="B864" s="256">
        <v>8832044</v>
      </c>
      <c r="C864" s="256">
        <v>883204477</v>
      </c>
      <c r="D864" s="256" t="s">
        <v>538</v>
      </c>
      <c r="E864" s="256" t="s">
        <v>539</v>
      </c>
      <c r="F864" s="256" t="s">
        <v>826</v>
      </c>
      <c r="G864" s="256" t="s">
        <v>828</v>
      </c>
      <c r="H864" s="256" t="s">
        <v>485</v>
      </c>
      <c r="I864" s="257">
        <v>446882476</v>
      </c>
      <c r="J864" s="257">
        <v>0</v>
      </c>
      <c r="K864" s="257">
        <v>0</v>
      </c>
      <c r="L864" s="257">
        <v>0</v>
      </c>
      <c r="M864" s="257">
        <v>0</v>
      </c>
      <c r="N864" s="257">
        <v>0</v>
      </c>
      <c r="O864" s="257">
        <v>0</v>
      </c>
      <c r="P864" s="257">
        <v>446882476</v>
      </c>
      <c r="Q864" s="258">
        <v>0</v>
      </c>
    </row>
    <row r="865" spans="1:17">
      <c r="A865" s="256">
        <v>1</v>
      </c>
      <c r="B865" s="256">
        <v>8832044</v>
      </c>
      <c r="C865" s="256">
        <v>883204478</v>
      </c>
      <c r="D865" s="256" t="s">
        <v>538</v>
      </c>
      <c r="E865" s="256" t="s">
        <v>539</v>
      </c>
      <c r="F865" s="256" t="s">
        <v>826</v>
      </c>
      <c r="G865" s="256" t="s">
        <v>828</v>
      </c>
      <c r="H865" s="256" t="s">
        <v>484</v>
      </c>
      <c r="I865" s="257">
        <v>0</v>
      </c>
      <c r="J865" s="257">
        <v>0</v>
      </c>
      <c r="K865" s="257">
        <v>0</v>
      </c>
      <c r="L865" s="257">
        <v>0</v>
      </c>
      <c r="M865" s="257">
        <v>0</v>
      </c>
      <c r="N865" s="257">
        <v>0</v>
      </c>
      <c r="O865" s="257">
        <v>0</v>
      </c>
      <c r="P865" s="257">
        <v>0</v>
      </c>
      <c r="Q865" s="258">
        <v>0</v>
      </c>
    </row>
    <row r="866" spans="1:17">
      <c r="A866" s="256">
        <v>1</v>
      </c>
      <c r="B866" s="256">
        <v>8832044</v>
      </c>
      <c r="C866" s="256">
        <v>883204479</v>
      </c>
      <c r="D866" s="256" t="s">
        <v>538</v>
      </c>
      <c r="E866" s="256" t="s">
        <v>539</v>
      </c>
      <c r="F866" s="256" t="s">
        <v>826</v>
      </c>
      <c r="G866" s="256" t="s">
        <v>828</v>
      </c>
      <c r="H866" s="256" t="s">
        <v>483</v>
      </c>
      <c r="I866" s="257">
        <v>210372</v>
      </c>
      <c r="J866" s="257">
        <v>0</v>
      </c>
      <c r="K866" s="257">
        <v>0</v>
      </c>
      <c r="L866" s="257">
        <v>0</v>
      </c>
      <c r="M866" s="257">
        <v>0</v>
      </c>
      <c r="N866" s="257">
        <v>0</v>
      </c>
      <c r="O866" s="257">
        <v>0</v>
      </c>
      <c r="P866" s="257">
        <v>210372</v>
      </c>
      <c r="Q866" s="258">
        <v>0</v>
      </c>
    </row>
    <row r="867" spans="1:17">
      <c r="A867" s="256">
        <v>1</v>
      </c>
      <c r="B867" s="256">
        <v>8832246</v>
      </c>
      <c r="C867" s="256">
        <v>883224600</v>
      </c>
      <c r="D867" s="256" t="s">
        <v>538</v>
      </c>
      <c r="E867" s="256" t="s">
        <v>539</v>
      </c>
      <c r="F867" s="256" t="s">
        <v>829</v>
      </c>
      <c r="G867" s="256" t="s">
        <v>495</v>
      </c>
      <c r="H867" s="256"/>
      <c r="I867" s="257">
        <v>495467840</v>
      </c>
      <c r="J867" s="257">
        <v>0</v>
      </c>
      <c r="K867" s="257">
        <v>0</v>
      </c>
      <c r="L867" s="257">
        <v>0</v>
      </c>
      <c r="M867" s="257">
        <v>0</v>
      </c>
      <c r="N867" s="257">
        <v>0</v>
      </c>
      <c r="O867" s="257">
        <v>0</v>
      </c>
      <c r="P867" s="257">
        <v>495467840</v>
      </c>
      <c r="Q867" s="258">
        <v>0</v>
      </c>
    </row>
    <row r="868" spans="1:17">
      <c r="A868" s="256">
        <v>1</v>
      </c>
      <c r="B868" s="256">
        <v>8832247</v>
      </c>
      <c r="C868" s="256">
        <v>883224700</v>
      </c>
      <c r="D868" s="256" t="s">
        <v>538</v>
      </c>
      <c r="E868" s="256" t="s">
        <v>539</v>
      </c>
      <c r="F868" s="256" t="s">
        <v>829</v>
      </c>
      <c r="G868" s="256" t="s">
        <v>494</v>
      </c>
      <c r="H868" s="256"/>
      <c r="I868" s="257">
        <v>0</v>
      </c>
      <c r="J868" s="257">
        <v>0</v>
      </c>
      <c r="K868" s="257">
        <v>0</v>
      </c>
      <c r="L868" s="257">
        <v>0</v>
      </c>
      <c r="M868" s="257">
        <v>0</v>
      </c>
      <c r="N868" s="257">
        <v>0</v>
      </c>
      <c r="O868" s="257">
        <v>0</v>
      </c>
      <c r="P868" s="257">
        <v>0</v>
      </c>
      <c r="Q868" s="258">
        <v>0</v>
      </c>
    </row>
    <row r="869" spans="1:17">
      <c r="A869" s="256">
        <v>1</v>
      </c>
      <c r="B869" s="256">
        <v>8840251</v>
      </c>
      <c r="C869" s="256">
        <v>884025180</v>
      </c>
      <c r="D869" s="256" t="s">
        <v>538</v>
      </c>
      <c r="E869" s="256" t="s">
        <v>8</v>
      </c>
      <c r="F869" s="256" t="s">
        <v>830</v>
      </c>
      <c r="G869" s="256" t="s">
        <v>831</v>
      </c>
      <c r="H869" s="256" t="s">
        <v>633</v>
      </c>
      <c r="I869" s="257">
        <v>3723784121</v>
      </c>
      <c r="J869" s="257">
        <v>0</v>
      </c>
      <c r="K869" s="257">
        <v>0</v>
      </c>
      <c r="L869" s="257">
        <v>0</v>
      </c>
      <c r="M869" s="257">
        <v>0</v>
      </c>
      <c r="N869" s="257">
        <v>0</v>
      </c>
      <c r="O869" s="257">
        <v>3723784121</v>
      </c>
      <c r="P869" s="257">
        <v>0</v>
      </c>
      <c r="Q869" s="258">
        <v>0</v>
      </c>
    </row>
    <row r="870" spans="1:17">
      <c r="A870" s="256">
        <v>1</v>
      </c>
      <c r="B870" s="256">
        <v>8840251</v>
      </c>
      <c r="C870" s="256">
        <v>884025181</v>
      </c>
      <c r="D870" s="256" t="s">
        <v>538</v>
      </c>
      <c r="E870" s="256" t="s">
        <v>8</v>
      </c>
      <c r="F870" s="256" t="s">
        <v>830</v>
      </c>
      <c r="G870" s="256" t="s">
        <v>831</v>
      </c>
      <c r="H870" s="256" t="s">
        <v>832</v>
      </c>
      <c r="I870" s="257">
        <v>0</v>
      </c>
      <c r="J870" s="257">
        <v>0</v>
      </c>
      <c r="K870" s="257">
        <v>0</v>
      </c>
      <c r="L870" s="257">
        <v>0</v>
      </c>
      <c r="M870" s="257">
        <v>0</v>
      </c>
      <c r="N870" s="257">
        <v>0</v>
      </c>
      <c r="O870" s="257">
        <v>0</v>
      </c>
      <c r="P870" s="257">
        <v>0</v>
      </c>
      <c r="Q870" s="258">
        <v>0</v>
      </c>
    </row>
    <row r="871" spans="1:17">
      <c r="A871" s="256">
        <v>1</v>
      </c>
      <c r="B871" s="256">
        <v>8840251</v>
      </c>
      <c r="C871" s="256">
        <v>884025182</v>
      </c>
      <c r="D871" s="256" t="s">
        <v>538</v>
      </c>
      <c r="E871" s="256" t="s">
        <v>8</v>
      </c>
      <c r="F871" s="256" t="s">
        <v>830</v>
      </c>
      <c r="G871" s="256" t="s">
        <v>831</v>
      </c>
      <c r="H871" s="256" t="s">
        <v>501</v>
      </c>
      <c r="I871" s="257">
        <v>0</v>
      </c>
      <c r="J871" s="257">
        <v>0</v>
      </c>
      <c r="K871" s="257">
        <v>0</v>
      </c>
      <c r="L871" s="257">
        <v>0</v>
      </c>
      <c r="M871" s="257">
        <v>0</v>
      </c>
      <c r="N871" s="257">
        <v>0</v>
      </c>
      <c r="O871" s="257">
        <v>0</v>
      </c>
      <c r="P871" s="257">
        <v>0</v>
      </c>
      <c r="Q871" s="258">
        <v>0</v>
      </c>
    </row>
    <row r="872" spans="1:17">
      <c r="A872" s="256">
        <v>1</v>
      </c>
      <c r="B872" s="256">
        <v>8840252</v>
      </c>
      <c r="C872" s="256">
        <v>884025200</v>
      </c>
      <c r="D872" s="256" t="s">
        <v>538</v>
      </c>
      <c r="E872" s="256" t="s">
        <v>8</v>
      </c>
      <c r="F872" s="256" t="s">
        <v>830</v>
      </c>
      <c r="G872" s="256" t="s">
        <v>504</v>
      </c>
      <c r="H872" s="256"/>
      <c r="I872" s="257">
        <v>60965516</v>
      </c>
      <c r="J872" s="257">
        <v>0</v>
      </c>
      <c r="K872" s="257">
        <v>0</v>
      </c>
      <c r="L872" s="257">
        <v>0</v>
      </c>
      <c r="M872" s="257">
        <v>0</v>
      </c>
      <c r="N872" s="257">
        <v>60965516</v>
      </c>
      <c r="O872" s="257">
        <v>0</v>
      </c>
      <c r="P872" s="257">
        <v>0</v>
      </c>
      <c r="Q872" s="258">
        <v>0</v>
      </c>
    </row>
    <row r="873" spans="1:17">
      <c r="A873" s="256">
        <v>1</v>
      </c>
      <c r="B873" s="256">
        <v>8840253</v>
      </c>
      <c r="C873" s="256">
        <v>884025300</v>
      </c>
      <c r="D873" s="256" t="s">
        <v>538</v>
      </c>
      <c r="E873" s="256" t="s">
        <v>8</v>
      </c>
      <c r="F873" s="256" t="s">
        <v>830</v>
      </c>
      <c r="G873" s="256" t="s">
        <v>503</v>
      </c>
      <c r="H873" s="256"/>
      <c r="I873" s="257">
        <v>0</v>
      </c>
      <c r="J873" s="257">
        <v>0</v>
      </c>
      <c r="K873" s="257">
        <v>0</v>
      </c>
      <c r="L873" s="257">
        <v>0</v>
      </c>
      <c r="M873" s="257">
        <v>0</v>
      </c>
      <c r="N873" s="257">
        <v>0</v>
      </c>
      <c r="O873" s="257">
        <v>0</v>
      </c>
      <c r="P873" s="257">
        <v>0</v>
      </c>
      <c r="Q873" s="258">
        <v>0</v>
      </c>
    </row>
    <row r="874" spans="1:17">
      <c r="A874" s="256">
        <v>1</v>
      </c>
      <c r="B874" s="256">
        <v>8840254</v>
      </c>
      <c r="C874" s="256">
        <v>884025400</v>
      </c>
      <c r="D874" s="256" t="s">
        <v>538</v>
      </c>
      <c r="E874" s="256" t="s">
        <v>8</v>
      </c>
      <c r="F874" s="256" t="s">
        <v>830</v>
      </c>
      <c r="G874" s="256" t="s">
        <v>502</v>
      </c>
      <c r="H874" s="256"/>
      <c r="I874" s="257">
        <v>2477</v>
      </c>
      <c r="J874" s="257">
        <v>0</v>
      </c>
      <c r="K874" s="257">
        <v>0</v>
      </c>
      <c r="L874" s="257">
        <v>0</v>
      </c>
      <c r="M874" s="257">
        <v>0</v>
      </c>
      <c r="N874" s="257">
        <v>0</v>
      </c>
      <c r="O874" s="257">
        <v>2477</v>
      </c>
      <c r="P874" s="257">
        <v>0</v>
      </c>
      <c r="Q874" s="258">
        <v>0</v>
      </c>
    </row>
    <row r="875" spans="1:17">
      <c r="A875" s="256">
        <v>1</v>
      </c>
      <c r="B875" s="256">
        <v>8840255</v>
      </c>
      <c r="C875" s="256">
        <v>884025500</v>
      </c>
      <c r="D875" s="256" t="s">
        <v>538</v>
      </c>
      <c r="E875" s="256" t="s">
        <v>8</v>
      </c>
      <c r="F875" s="256" t="s">
        <v>830</v>
      </c>
      <c r="G875" s="256" t="s">
        <v>501</v>
      </c>
      <c r="H875" s="256"/>
      <c r="I875" s="257">
        <v>0</v>
      </c>
      <c r="J875" s="257">
        <v>0</v>
      </c>
      <c r="K875" s="257">
        <v>0</v>
      </c>
      <c r="L875" s="257">
        <v>0</v>
      </c>
      <c r="M875" s="257">
        <v>0</v>
      </c>
      <c r="N875" s="257">
        <v>0</v>
      </c>
      <c r="O875" s="257">
        <v>0</v>
      </c>
      <c r="P875" s="257">
        <v>0</v>
      </c>
      <c r="Q875" s="258">
        <v>0</v>
      </c>
    </row>
    <row r="876" spans="1:17">
      <c r="A876" s="256">
        <v>1</v>
      </c>
      <c r="B876" s="256">
        <v>8840456</v>
      </c>
      <c r="C876" s="256">
        <v>884045600</v>
      </c>
      <c r="D876" s="256" t="s">
        <v>538</v>
      </c>
      <c r="E876" s="256" t="s">
        <v>8</v>
      </c>
      <c r="F876" s="256" t="s">
        <v>833</v>
      </c>
      <c r="G876" s="256" t="s">
        <v>834</v>
      </c>
      <c r="H876" s="256"/>
      <c r="I876" s="257">
        <v>0</v>
      </c>
      <c r="J876" s="257">
        <v>0</v>
      </c>
      <c r="K876" s="257">
        <v>0</v>
      </c>
      <c r="L876" s="257">
        <v>0</v>
      </c>
      <c r="M876" s="257">
        <v>0</v>
      </c>
      <c r="N876" s="257">
        <v>0</v>
      </c>
      <c r="O876" s="257">
        <v>0</v>
      </c>
      <c r="P876" s="257">
        <v>0</v>
      </c>
      <c r="Q876" s="258">
        <v>0</v>
      </c>
    </row>
    <row r="877" spans="1:17">
      <c r="A877" s="256">
        <v>1</v>
      </c>
      <c r="B877" s="256">
        <v>8840457</v>
      </c>
      <c r="C877" s="256">
        <v>884045700</v>
      </c>
      <c r="D877" s="256" t="s">
        <v>538</v>
      </c>
      <c r="E877" s="256" t="s">
        <v>8</v>
      </c>
      <c r="F877" s="256" t="s">
        <v>833</v>
      </c>
      <c r="G877" s="256" t="s">
        <v>835</v>
      </c>
      <c r="H877" s="256"/>
      <c r="I877" s="257">
        <v>0</v>
      </c>
      <c r="J877" s="257">
        <v>0</v>
      </c>
      <c r="K877" s="257">
        <v>0</v>
      </c>
      <c r="L877" s="257">
        <v>0</v>
      </c>
      <c r="M877" s="257">
        <v>0</v>
      </c>
      <c r="N877" s="257">
        <v>0</v>
      </c>
      <c r="O877" s="257">
        <v>0</v>
      </c>
      <c r="P877" s="257">
        <v>0</v>
      </c>
      <c r="Q877" s="258">
        <v>0</v>
      </c>
    </row>
    <row r="878" spans="1:17">
      <c r="A878" s="256">
        <v>1</v>
      </c>
      <c r="B878" s="256">
        <v>8840458</v>
      </c>
      <c r="C878" s="256">
        <v>884045800</v>
      </c>
      <c r="D878" s="256" t="s">
        <v>538</v>
      </c>
      <c r="E878" s="256" t="s">
        <v>8</v>
      </c>
      <c r="F878" s="256" t="s">
        <v>833</v>
      </c>
      <c r="G878" s="256" t="s">
        <v>836</v>
      </c>
      <c r="H878" s="256"/>
      <c r="I878" s="257">
        <v>0</v>
      </c>
      <c r="J878" s="257">
        <v>0</v>
      </c>
      <c r="K878" s="257">
        <v>0</v>
      </c>
      <c r="L878" s="257">
        <v>0</v>
      </c>
      <c r="M878" s="257">
        <v>0</v>
      </c>
      <c r="N878" s="257">
        <v>0</v>
      </c>
      <c r="O878" s="257">
        <v>0</v>
      </c>
      <c r="P878" s="257">
        <v>0</v>
      </c>
      <c r="Q878" s="258">
        <v>0</v>
      </c>
    </row>
    <row r="879" spans="1:17">
      <c r="A879" s="256">
        <v>1</v>
      </c>
      <c r="B879" s="256">
        <v>8840559</v>
      </c>
      <c r="C879" s="256">
        <v>884055900</v>
      </c>
      <c r="D879" s="256" t="s">
        <v>538</v>
      </c>
      <c r="E879" s="256" t="s">
        <v>8</v>
      </c>
      <c r="F879" s="256" t="s">
        <v>837</v>
      </c>
      <c r="G879" s="256" t="s">
        <v>837</v>
      </c>
      <c r="H879" s="256"/>
      <c r="I879" s="257">
        <v>42630200</v>
      </c>
      <c r="J879" s="257">
        <v>0</v>
      </c>
      <c r="K879" s="257">
        <v>0</v>
      </c>
      <c r="L879" s="257">
        <v>0</v>
      </c>
      <c r="M879" s="257">
        <v>0</v>
      </c>
      <c r="N879" s="257">
        <v>0</v>
      </c>
      <c r="O879" s="257">
        <v>0</v>
      </c>
      <c r="P879" s="257">
        <v>42630200</v>
      </c>
      <c r="Q879" s="258">
        <v>0</v>
      </c>
    </row>
    <row r="880" spans="1:17">
      <c r="A880" s="256">
        <v>1</v>
      </c>
      <c r="B880" s="256">
        <v>8840662</v>
      </c>
      <c r="C880" s="256">
        <v>884066200</v>
      </c>
      <c r="D880" s="256" t="s">
        <v>538</v>
      </c>
      <c r="E880" s="256" t="s">
        <v>8</v>
      </c>
      <c r="F880" s="256" t="s">
        <v>838</v>
      </c>
      <c r="G880" s="256" t="s">
        <v>839</v>
      </c>
      <c r="H880" s="256"/>
      <c r="I880" s="257">
        <v>0</v>
      </c>
      <c r="J880" s="257">
        <v>0</v>
      </c>
      <c r="K880" s="257">
        <v>0</v>
      </c>
      <c r="L880" s="257">
        <v>0</v>
      </c>
      <c r="M880" s="257">
        <v>0</v>
      </c>
      <c r="N880" s="257">
        <v>0</v>
      </c>
      <c r="O880" s="257">
        <v>0</v>
      </c>
      <c r="P880" s="257">
        <v>0</v>
      </c>
      <c r="Q880" s="258">
        <v>0</v>
      </c>
    </row>
    <row r="881" spans="1:17">
      <c r="A881" s="256">
        <v>1</v>
      </c>
      <c r="B881" s="256">
        <v>8840663</v>
      </c>
      <c r="C881" s="256">
        <v>884066300</v>
      </c>
      <c r="D881" s="256" t="s">
        <v>538</v>
      </c>
      <c r="E881" s="256" t="s">
        <v>8</v>
      </c>
      <c r="F881" s="256" t="s">
        <v>838</v>
      </c>
      <c r="G881" s="256" t="s">
        <v>840</v>
      </c>
      <c r="H881" s="256"/>
      <c r="I881" s="257">
        <v>9224169</v>
      </c>
      <c r="J881" s="257">
        <v>0</v>
      </c>
      <c r="K881" s="257">
        <v>0</v>
      </c>
      <c r="L881" s="257">
        <v>23932</v>
      </c>
      <c r="M881" s="257">
        <v>0</v>
      </c>
      <c r="N881" s="257">
        <v>5368538</v>
      </c>
      <c r="O881" s="257">
        <v>0</v>
      </c>
      <c r="P881" s="257">
        <v>3831699</v>
      </c>
      <c r="Q881" s="258">
        <v>0</v>
      </c>
    </row>
    <row r="882" spans="1:17">
      <c r="A882" s="256">
        <v>1</v>
      </c>
      <c r="B882" s="256">
        <v>8850202</v>
      </c>
      <c r="C882" s="256">
        <v>885020200</v>
      </c>
      <c r="D882" s="256" t="s">
        <v>538</v>
      </c>
      <c r="E882" s="256" t="s">
        <v>5</v>
      </c>
      <c r="F882" s="256" t="s">
        <v>841</v>
      </c>
      <c r="G882" s="256" t="s">
        <v>841</v>
      </c>
      <c r="H882" s="256"/>
      <c r="I882" s="257">
        <v>10315355</v>
      </c>
      <c r="J882" s="257">
        <v>0</v>
      </c>
      <c r="K882" s="257">
        <v>0</v>
      </c>
      <c r="L882" s="257">
        <v>0</v>
      </c>
      <c r="M882" s="257">
        <v>0</v>
      </c>
      <c r="N882" s="257">
        <v>0</v>
      </c>
      <c r="O882" s="257">
        <v>0</v>
      </c>
      <c r="P882" s="257">
        <v>10315355</v>
      </c>
      <c r="Q882" s="258">
        <v>0</v>
      </c>
    </row>
    <row r="883" spans="1:17">
      <c r="A883" s="256">
        <v>1</v>
      </c>
      <c r="B883" s="256">
        <v>8850404</v>
      </c>
      <c r="C883" s="256">
        <v>885040400</v>
      </c>
      <c r="D883" s="256" t="s">
        <v>538</v>
      </c>
      <c r="E883" s="256" t="s">
        <v>5</v>
      </c>
      <c r="F883" s="256" t="s">
        <v>842</v>
      </c>
      <c r="G883" s="256" t="s">
        <v>842</v>
      </c>
      <c r="H883" s="256"/>
      <c r="I883" s="257">
        <v>0</v>
      </c>
      <c r="J883" s="257">
        <v>0</v>
      </c>
      <c r="K883" s="257">
        <v>0</v>
      </c>
      <c r="L883" s="257">
        <v>0</v>
      </c>
      <c r="M883" s="257">
        <v>0</v>
      </c>
      <c r="N883" s="257">
        <v>0</v>
      </c>
      <c r="O883" s="257">
        <v>0</v>
      </c>
      <c r="P883" s="257">
        <v>0</v>
      </c>
      <c r="Q883" s="258">
        <v>0</v>
      </c>
    </row>
    <row r="884" spans="1:17">
      <c r="A884" s="256">
        <v>1</v>
      </c>
      <c r="B884" s="256">
        <v>8850606</v>
      </c>
      <c r="C884" s="256">
        <v>885060600</v>
      </c>
      <c r="D884" s="256" t="s">
        <v>538</v>
      </c>
      <c r="E884" s="256" t="s">
        <v>5</v>
      </c>
      <c r="F884" s="256" t="s">
        <v>527</v>
      </c>
      <c r="G884" s="256" t="s">
        <v>527</v>
      </c>
      <c r="H884" s="256"/>
      <c r="I884" s="257">
        <v>10484320</v>
      </c>
      <c r="J884" s="257">
        <v>0</v>
      </c>
      <c r="K884" s="257">
        <v>0</v>
      </c>
      <c r="L884" s="257">
        <v>15407</v>
      </c>
      <c r="M884" s="257">
        <v>0</v>
      </c>
      <c r="N884" s="257">
        <v>10444710</v>
      </c>
      <c r="O884" s="257">
        <v>6023</v>
      </c>
      <c r="P884" s="257">
        <v>18180</v>
      </c>
      <c r="Q884" s="258">
        <v>0</v>
      </c>
    </row>
    <row r="885" spans="1:17">
      <c r="A885" s="256">
        <v>1</v>
      </c>
      <c r="B885" s="256">
        <v>8850808</v>
      </c>
      <c r="C885" s="256">
        <v>885080800</v>
      </c>
      <c r="D885" s="256" t="s">
        <v>538</v>
      </c>
      <c r="E885" s="256" t="s">
        <v>5</v>
      </c>
      <c r="F885" s="256" t="s">
        <v>523</v>
      </c>
      <c r="G885" s="256" t="s">
        <v>523</v>
      </c>
      <c r="H885" s="256"/>
      <c r="I885" s="257">
        <v>0</v>
      </c>
      <c r="J885" s="257">
        <v>0</v>
      </c>
      <c r="K885" s="257">
        <v>0</v>
      </c>
      <c r="L885" s="257">
        <v>0</v>
      </c>
      <c r="M885" s="257">
        <v>0</v>
      </c>
      <c r="N885" s="257">
        <v>0</v>
      </c>
      <c r="O885" s="257">
        <v>0</v>
      </c>
      <c r="P885" s="257">
        <v>0</v>
      </c>
      <c r="Q885" s="258">
        <v>0</v>
      </c>
    </row>
    <row r="886" spans="1:17">
      <c r="A886" s="256">
        <v>1</v>
      </c>
      <c r="B886" s="256">
        <v>8851010</v>
      </c>
      <c r="C886" s="256">
        <v>885101000</v>
      </c>
      <c r="D886" s="256" t="s">
        <v>538</v>
      </c>
      <c r="E886" s="256" t="s">
        <v>5</v>
      </c>
      <c r="F886" s="256" t="s">
        <v>843</v>
      </c>
      <c r="G886" s="256" t="s">
        <v>843</v>
      </c>
      <c r="H886" s="256"/>
      <c r="I886" s="257">
        <v>0</v>
      </c>
      <c r="J886" s="257">
        <v>0</v>
      </c>
      <c r="K886" s="257">
        <v>0</v>
      </c>
      <c r="L886" s="257">
        <v>0</v>
      </c>
      <c r="M886" s="257">
        <v>0</v>
      </c>
      <c r="N886" s="257">
        <v>0</v>
      </c>
      <c r="O886" s="257">
        <v>0</v>
      </c>
      <c r="P886" s="257">
        <v>0</v>
      </c>
      <c r="Q886" s="258">
        <v>0</v>
      </c>
    </row>
    <row r="887" spans="1:17">
      <c r="A887" s="256">
        <v>1</v>
      </c>
      <c r="B887" s="256">
        <v>8900101</v>
      </c>
      <c r="C887" s="256">
        <v>890010100</v>
      </c>
      <c r="D887" s="256" t="s">
        <v>538</v>
      </c>
      <c r="E887" s="256" t="s">
        <v>809</v>
      </c>
      <c r="F887" s="256" t="s">
        <v>809</v>
      </c>
      <c r="G887" s="256" t="s">
        <v>809</v>
      </c>
      <c r="H887" s="256"/>
      <c r="I887" s="257">
        <v>0</v>
      </c>
      <c r="J887" s="257">
        <v>0</v>
      </c>
      <c r="K887" s="257">
        <v>0</v>
      </c>
      <c r="L887" s="257">
        <v>0</v>
      </c>
      <c r="M887" s="257">
        <v>0</v>
      </c>
      <c r="N887" s="257">
        <v>0</v>
      </c>
      <c r="O887" s="257">
        <v>0</v>
      </c>
      <c r="P887" s="257">
        <v>0</v>
      </c>
      <c r="Q887" s="258">
        <v>0</v>
      </c>
    </row>
    <row r="888" spans="1:17" customFormat="1">
      <c r="A888" s="224">
        <v>2</v>
      </c>
      <c r="B888" s="224">
        <v>1120110</v>
      </c>
      <c r="C888" s="224">
        <v>112011010</v>
      </c>
      <c r="D888" s="224" t="s">
        <v>631</v>
      </c>
      <c r="E888" s="224" t="s">
        <v>632</v>
      </c>
      <c r="F888" s="224" t="s">
        <v>633</v>
      </c>
      <c r="G888" s="224" t="s">
        <v>634</v>
      </c>
      <c r="H888" s="224" t="s">
        <v>635</v>
      </c>
      <c r="I888" s="229">
        <v>0</v>
      </c>
      <c r="J888" s="229">
        <v>0</v>
      </c>
      <c r="K888" s="229">
        <v>0</v>
      </c>
      <c r="L888" s="229">
        <v>0</v>
      </c>
      <c r="M888" s="229">
        <v>0</v>
      </c>
      <c r="N888" s="229">
        <v>0</v>
      </c>
      <c r="O888" s="229">
        <v>0</v>
      </c>
      <c r="P888" s="229">
        <v>0</v>
      </c>
      <c r="Q888" s="279">
        <v>0</v>
      </c>
    </row>
    <row r="889" spans="1:17" customFormat="1">
      <c r="A889" s="224">
        <v>2</v>
      </c>
      <c r="B889" s="224">
        <v>1120110</v>
      </c>
      <c r="C889" s="224">
        <v>112011011</v>
      </c>
      <c r="D889" s="224" t="s">
        <v>631</v>
      </c>
      <c r="E889" s="224" t="s">
        <v>632</v>
      </c>
      <c r="F889" s="224" t="s">
        <v>633</v>
      </c>
      <c r="G889" s="224" t="s">
        <v>634</v>
      </c>
      <c r="H889" s="224" t="s">
        <v>636</v>
      </c>
      <c r="I889" s="229">
        <v>0</v>
      </c>
      <c r="J889" s="229">
        <v>0</v>
      </c>
      <c r="K889" s="229">
        <v>0</v>
      </c>
      <c r="L889" s="229">
        <v>0</v>
      </c>
      <c r="M889" s="229">
        <v>0</v>
      </c>
      <c r="N889" s="229">
        <v>0</v>
      </c>
      <c r="O889" s="229">
        <v>0</v>
      </c>
      <c r="P889" s="229">
        <v>0</v>
      </c>
      <c r="Q889" s="279">
        <v>0</v>
      </c>
    </row>
    <row r="890" spans="1:17" customFormat="1">
      <c r="A890" s="224">
        <v>2</v>
      </c>
      <c r="B890" s="224">
        <v>1120111</v>
      </c>
      <c r="C890" s="224">
        <v>112011100</v>
      </c>
      <c r="D890" s="224" t="s">
        <v>631</v>
      </c>
      <c r="E890" s="224" t="s">
        <v>632</v>
      </c>
      <c r="F890" s="224" t="s">
        <v>633</v>
      </c>
      <c r="G890" s="224" t="s">
        <v>638</v>
      </c>
      <c r="H890" s="224"/>
      <c r="I890" s="229">
        <v>0</v>
      </c>
      <c r="J890" s="229">
        <v>0</v>
      </c>
      <c r="K890" s="229">
        <v>0</v>
      </c>
      <c r="L890" s="229">
        <v>0</v>
      </c>
      <c r="M890" s="229">
        <v>0</v>
      </c>
      <c r="N890" s="229">
        <v>0</v>
      </c>
      <c r="O890" s="229">
        <v>0</v>
      </c>
      <c r="P890" s="229">
        <v>0</v>
      </c>
      <c r="Q890" s="279">
        <v>0</v>
      </c>
    </row>
    <row r="891" spans="1:17" customFormat="1">
      <c r="A891" s="224">
        <v>2</v>
      </c>
      <c r="B891" s="224">
        <v>1120112</v>
      </c>
      <c r="C891" s="224">
        <v>112011200</v>
      </c>
      <c r="D891" s="224" t="s">
        <v>631</v>
      </c>
      <c r="E891" s="224" t="s">
        <v>632</v>
      </c>
      <c r="F891" s="224" t="s">
        <v>633</v>
      </c>
      <c r="G891" s="224" t="s">
        <v>639</v>
      </c>
      <c r="H891" s="224"/>
      <c r="I891" s="229">
        <v>0</v>
      </c>
      <c r="J891" s="229">
        <v>0</v>
      </c>
      <c r="K891" s="229">
        <v>0</v>
      </c>
      <c r="L891" s="229">
        <v>0</v>
      </c>
      <c r="M891" s="229">
        <v>0</v>
      </c>
      <c r="N891" s="229">
        <v>0</v>
      </c>
      <c r="O891" s="229">
        <v>0</v>
      </c>
      <c r="P891" s="229">
        <v>0</v>
      </c>
      <c r="Q891" s="279">
        <v>0</v>
      </c>
    </row>
    <row r="892" spans="1:17" customFormat="1">
      <c r="A892" s="224">
        <v>2</v>
      </c>
      <c r="B892" s="224">
        <v>1120113</v>
      </c>
      <c r="C892" s="224">
        <v>112011300</v>
      </c>
      <c r="D892" s="224" t="s">
        <v>631</v>
      </c>
      <c r="E892" s="224" t="s">
        <v>632</v>
      </c>
      <c r="F892" s="224" t="s">
        <v>633</v>
      </c>
      <c r="G892" s="224" t="s">
        <v>640</v>
      </c>
      <c r="H892" s="224"/>
      <c r="I892" s="229">
        <v>84000000</v>
      </c>
      <c r="J892" s="229">
        <v>0</v>
      </c>
      <c r="K892" s="229">
        <v>0</v>
      </c>
      <c r="L892" s="229">
        <v>0</v>
      </c>
      <c r="M892" s="229">
        <v>0</v>
      </c>
      <c r="N892" s="229">
        <v>0</v>
      </c>
      <c r="O892" s="229">
        <v>0</v>
      </c>
      <c r="P892" s="229">
        <v>84000000</v>
      </c>
      <c r="Q892" s="279">
        <v>0</v>
      </c>
    </row>
    <row r="893" spans="1:17" customFormat="1">
      <c r="A893" s="224">
        <v>2</v>
      </c>
      <c r="B893" s="224">
        <v>1120114</v>
      </c>
      <c r="C893" s="224">
        <v>112011400</v>
      </c>
      <c r="D893" s="224" t="s">
        <v>631</v>
      </c>
      <c r="E893" s="224" t="s">
        <v>632</v>
      </c>
      <c r="F893" s="224" t="s">
        <v>633</v>
      </c>
      <c r="G893" s="224" t="s">
        <v>641</v>
      </c>
      <c r="H893" s="224"/>
      <c r="I893" s="229">
        <v>0</v>
      </c>
      <c r="J893" s="229">
        <v>0</v>
      </c>
      <c r="K893" s="229">
        <v>0</v>
      </c>
      <c r="L893" s="229">
        <v>0</v>
      </c>
      <c r="M893" s="229">
        <v>0</v>
      </c>
      <c r="N893" s="229">
        <v>0</v>
      </c>
      <c r="O893" s="229">
        <v>0</v>
      </c>
      <c r="P893" s="229">
        <v>0</v>
      </c>
      <c r="Q893" s="279">
        <v>0</v>
      </c>
    </row>
    <row r="894" spans="1:17">
      <c r="A894" s="256">
        <v>2</v>
      </c>
      <c r="B894" s="256">
        <v>1120115</v>
      </c>
      <c r="C894" s="256">
        <v>112011500</v>
      </c>
      <c r="D894" s="256" t="s">
        <v>631</v>
      </c>
      <c r="E894" s="256" t="s">
        <v>632</v>
      </c>
      <c r="F894" s="256" t="s">
        <v>633</v>
      </c>
      <c r="G894" s="256" t="s">
        <v>844</v>
      </c>
      <c r="H894" s="256"/>
      <c r="I894" s="257">
        <v>318900000</v>
      </c>
      <c r="J894" s="257">
        <v>0</v>
      </c>
      <c r="K894" s="257">
        <v>0</v>
      </c>
      <c r="L894" s="257">
        <v>0</v>
      </c>
      <c r="M894" s="257">
        <v>0</v>
      </c>
      <c r="N894" s="257">
        <v>0</v>
      </c>
      <c r="O894" s="257">
        <v>0</v>
      </c>
      <c r="P894" s="257">
        <v>318900000</v>
      </c>
      <c r="Q894" s="258">
        <v>0</v>
      </c>
    </row>
    <row r="895" spans="1:17">
      <c r="A895" s="256">
        <v>2</v>
      </c>
      <c r="B895" s="256">
        <v>1120116</v>
      </c>
      <c r="C895" s="256">
        <v>112011600</v>
      </c>
      <c r="D895" s="256" t="s">
        <v>631</v>
      </c>
      <c r="E895" s="256" t="s">
        <v>632</v>
      </c>
      <c r="F895" s="256" t="s">
        <v>633</v>
      </c>
      <c r="G895" s="256" t="s">
        <v>642</v>
      </c>
      <c r="H895" s="256"/>
      <c r="I895" s="257">
        <v>0</v>
      </c>
      <c r="J895" s="257">
        <v>0</v>
      </c>
      <c r="K895" s="257">
        <v>0</v>
      </c>
      <c r="L895" s="257">
        <v>0</v>
      </c>
      <c r="M895" s="257">
        <v>0</v>
      </c>
      <c r="N895" s="257">
        <v>0</v>
      </c>
      <c r="O895" s="257">
        <v>0</v>
      </c>
      <c r="P895" s="257">
        <v>0</v>
      </c>
      <c r="Q895" s="258">
        <v>0</v>
      </c>
    </row>
    <row r="896" spans="1:17">
      <c r="A896" s="256">
        <v>2</v>
      </c>
      <c r="B896" s="256">
        <v>1120210</v>
      </c>
      <c r="C896" s="256">
        <v>112021000</v>
      </c>
      <c r="D896" s="256" t="s">
        <v>631</v>
      </c>
      <c r="E896" s="256" t="s">
        <v>632</v>
      </c>
      <c r="F896" s="256" t="s">
        <v>643</v>
      </c>
      <c r="G896" s="256" t="s">
        <v>644</v>
      </c>
      <c r="H896" s="256"/>
      <c r="I896" s="257">
        <v>0</v>
      </c>
      <c r="J896" s="257">
        <v>0</v>
      </c>
      <c r="K896" s="257">
        <v>0</v>
      </c>
      <c r="L896" s="257">
        <v>0</v>
      </c>
      <c r="M896" s="257">
        <v>0</v>
      </c>
      <c r="N896" s="257">
        <v>0</v>
      </c>
      <c r="O896" s="257">
        <v>0</v>
      </c>
      <c r="P896" s="257">
        <v>0</v>
      </c>
      <c r="Q896" s="258">
        <v>0</v>
      </c>
    </row>
    <row r="897" spans="1:17">
      <c r="A897" s="256">
        <v>2</v>
      </c>
      <c r="B897" s="256">
        <v>1120220</v>
      </c>
      <c r="C897" s="256">
        <v>112022000</v>
      </c>
      <c r="D897" s="256" t="s">
        <v>631</v>
      </c>
      <c r="E897" s="256" t="s">
        <v>632</v>
      </c>
      <c r="F897" s="256" t="s">
        <v>643</v>
      </c>
      <c r="G897" s="256" t="s">
        <v>645</v>
      </c>
      <c r="H897" s="256"/>
      <c r="I897" s="257">
        <v>0</v>
      </c>
      <c r="J897" s="257">
        <v>0</v>
      </c>
      <c r="K897" s="257">
        <v>0</v>
      </c>
      <c r="L897" s="257">
        <v>0</v>
      </c>
      <c r="M897" s="257">
        <v>0</v>
      </c>
      <c r="N897" s="257">
        <v>0</v>
      </c>
      <c r="O897" s="257">
        <v>0</v>
      </c>
      <c r="P897" s="257">
        <v>0</v>
      </c>
      <c r="Q897" s="258">
        <v>0</v>
      </c>
    </row>
    <row r="898" spans="1:17">
      <c r="A898" s="256">
        <v>2</v>
      </c>
      <c r="B898" s="256">
        <v>1140303</v>
      </c>
      <c r="C898" s="256">
        <v>114030300</v>
      </c>
      <c r="D898" s="256" t="s">
        <v>631</v>
      </c>
      <c r="E898" s="256" t="s">
        <v>650</v>
      </c>
      <c r="F898" s="256" t="s">
        <v>651</v>
      </c>
      <c r="G898" s="256" t="s">
        <v>651</v>
      </c>
      <c r="H898" s="256"/>
      <c r="I898" s="257">
        <v>0</v>
      </c>
      <c r="J898" s="257">
        <v>0</v>
      </c>
      <c r="K898" s="257">
        <v>0</v>
      </c>
      <c r="L898" s="257">
        <v>0</v>
      </c>
      <c r="M898" s="257">
        <v>0</v>
      </c>
      <c r="N898" s="257">
        <v>0</v>
      </c>
      <c r="O898" s="257">
        <v>0</v>
      </c>
      <c r="P898" s="257">
        <v>0</v>
      </c>
      <c r="Q898" s="258">
        <v>0</v>
      </c>
    </row>
    <row r="899" spans="1:17">
      <c r="A899" s="256">
        <v>2</v>
      </c>
      <c r="B899" s="256">
        <v>1160101</v>
      </c>
      <c r="C899" s="256">
        <v>116010100</v>
      </c>
      <c r="D899" s="256" t="s">
        <v>631</v>
      </c>
      <c r="E899" s="256" t="s">
        <v>652</v>
      </c>
      <c r="F899" s="256" t="s">
        <v>653</v>
      </c>
      <c r="G899" s="256" t="s">
        <v>653</v>
      </c>
      <c r="H899" s="256"/>
      <c r="I899" s="257">
        <v>50066000</v>
      </c>
      <c r="J899" s="257">
        <v>0</v>
      </c>
      <c r="K899" s="257">
        <v>0</v>
      </c>
      <c r="L899" s="257">
        <v>0</v>
      </c>
      <c r="M899" s="257">
        <v>0</v>
      </c>
      <c r="N899" s="257">
        <v>0</v>
      </c>
      <c r="O899" s="257">
        <v>0</v>
      </c>
      <c r="P899" s="257">
        <v>50066000</v>
      </c>
      <c r="Q899" s="258">
        <v>0</v>
      </c>
    </row>
    <row r="900" spans="1:17">
      <c r="A900" s="256">
        <v>2</v>
      </c>
      <c r="B900" s="256">
        <v>1160202</v>
      </c>
      <c r="C900" s="256">
        <v>116020200</v>
      </c>
      <c r="D900" s="256" t="s">
        <v>631</v>
      </c>
      <c r="E900" s="256" t="s">
        <v>652</v>
      </c>
      <c r="F900" s="256" t="s">
        <v>654</v>
      </c>
      <c r="G900" s="256" t="s">
        <v>654</v>
      </c>
      <c r="H900" s="256"/>
      <c r="I900" s="257">
        <v>0</v>
      </c>
      <c r="J900" s="257">
        <v>0</v>
      </c>
      <c r="K900" s="257">
        <v>0</v>
      </c>
      <c r="L900" s="257">
        <v>0</v>
      </c>
      <c r="M900" s="257">
        <v>0</v>
      </c>
      <c r="N900" s="257">
        <v>0</v>
      </c>
      <c r="O900" s="257">
        <v>0</v>
      </c>
      <c r="P900" s="257">
        <v>0</v>
      </c>
      <c r="Q900" s="258">
        <v>0</v>
      </c>
    </row>
    <row r="901" spans="1:17">
      <c r="A901" s="256">
        <v>2</v>
      </c>
      <c r="B901" s="256">
        <v>1180401</v>
      </c>
      <c r="C901" s="256">
        <v>118040103</v>
      </c>
      <c r="D901" s="256" t="s">
        <v>631</v>
      </c>
      <c r="E901" s="256" t="s">
        <v>655</v>
      </c>
      <c r="F901" s="256" t="s">
        <v>655</v>
      </c>
      <c r="G901" s="256" t="s">
        <v>656</v>
      </c>
      <c r="H901" s="256" t="s">
        <v>845</v>
      </c>
      <c r="I901" s="257">
        <v>30500000</v>
      </c>
      <c r="J901" s="257">
        <v>0</v>
      </c>
      <c r="K901" s="257">
        <v>0</v>
      </c>
      <c r="L901" s="257">
        <v>0</v>
      </c>
      <c r="M901" s="257">
        <v>0</v>
      </c>
      <c r="N901" s="257">
        <v>0</v>
      </c>
      <c r="O901" s="257">
        <v>0</v>
      </c>
      <c r="P901" s="257">
        <v>30500000</v>
      </c>
      <c r="Q901" s="258">
        <v>0</v>
      </c>
    </row>
    <row r="902" spans="1:17">
      <c r="A902" s="256">
        <v>2</v>
      </c>
      <c r="B902" s="256">
        <v>1180402</v>
      </c>
      <c r="C902" s="256">
        <v>118040200</v>
      </c>
      <c r="D902" s="256" t="s">
        <v>631</v>
      </c>
      <c r="E902" s="256" t="s">
        <v>655</v>
      </c>
      <c r="F902" s="256" t="s">
        <v>655</v>
      </c>
      <c r="G902" s="256" t="s">
        <v>658</v>
      </c>
      <c r="H902" s="256"/>
      <c r="I902" s="257">
        <v>0</v>
      </c>
      <c r="J902" s="257">
        <v>0</v>
      </c>
      <c r="K902" s="257">
        <v>0</v>
      </c>
      <c r="L902" s="257">
        <v>0</v>
      </c>
      <c r="M902" s="257">
        <v>0</v>
      </c>
      <c r="N902" s="257">
        <v>0</v>
      </c>
      <c r="O902" s="257">
        <v>0</v>
      </c>
      <c r="P902" s="257">
        <v>0</v>
      </c>
      <c r="Q902" s="258">
        <v>0</v>
      </c>
    </row>
    <row r="903" spans="1:17">
      <c r="A903" s="256">
        <v>2</v>
      </c>
      <c r="B903" s="256">
        <v>1180403</v>
      </c>
      <c r="C903" s="256">
        <v>118040300</v>
      </c>
      <c r="D903" s="256" t="s">
        <v>631</v>
      </c>
      <c r="E903" s="256" t="s">
        <v>655</v>
      </c>
      <c r="F903" s="256" t="s">
        <v>655</v>
      </c>
      <c r="G903" s="256" t="s">
        <v>846</v>
      </c>
      <c r="H903" s="256"/>
      <c r="I903" s="257">
        <v>0</v>
      </c>
      <c r="J903" s="257">
        <v>0</v>
      </c>
      <c r="K903" s="257">
        <v>0</v>
      </c>
      <c r="L903" s="257">
        <v>0</v>
      </c>
      <c r="M903" s="257">
        <v>0</v>
      </c>
      <c r="N903" s="257">
        <v>0</v>
      </c>
      <c r="O903" s="257">
        <v>0</v>
      </c>
      <c r="P903" s="257">
        <v>0</v>
      </c>
      <c r="Q903" s="258">
        <v>0</v>
      </c>
    </row>
    <row r="904" spans="1:17" customFormat="1">
      <c r="A904" s="236">
        <v>2</v>
      </c>
      <c r="B904" s="236">
        <v>1180404</v>
      </c>
      <c r="C904" s="236">
        <v>118040400</v>
      </c>
      <c r="D904" s="236" t="s">
        <v>631</v>
      </c>
      <c r="E904" s="236" t="s">
        <v>655</v>
      </c>
      <c r="F904" s="236" t="s">
        <v>655</v>
      </c>
      <c r="G904" s="236" t="s">
        <v>878</v>
      </c>
      <c r="H904" s="236"/>
      <c r="I904" s="229">
        <v>0</v>
      </c>
      <c r="J904" s="229">
        <v>0</v>
      </c>
      <c r="K904" s="229">
        <v>0</v>
      </c>
      <c r="L904" s="229">
        <v>0</v>
      </c>
      <c r="M904" s="229">
        <v>0</v>
      </c>
      <c r="N904" s="229">
        <v>0</v>
      </c>
      <c r="O904" s="229">
        <v>0</v>
      </c>
      <c r="P904" s="229">
        <v>0</v>
      </c>
      <c r="Q904" s="279">
        <v>0</v>
      </c>
    </row>
    <row r="905" spans="1:17" customFormat="1">
      <c r="A905" s="224">
        <v>2</v>
      </c>
      <c r="B905" s="224">
        <v>1200630</v>
      </c>
      <c r="C905" s="224">
        <v>120063000</v>
      </c>
      <c r="D905" s="224" t="s">
        <v>631</v>
      </c>
      <c r="E905" s="224" t="s">
        <v>659</v>
      </c>
      <c r="F905" s="224" t="s">
        <v>659</v>
      </c>
      <c r="G905" s="224" t="s">
        <v>659</v>
      </c>
      <c r="H905" s="224"/>
      <c r="I905" s="229">
        <v>0</v>
      </c>
      <c r="J905" s="229">
        <v>0</v>
      </c>
      <c r="K905" s="229">
        <v>0</v>
      </c>
      <c r="L905" s="229">
        <v>0</v>
      </c>
      <c r="M905" s="229">
        <v>0</v>
      </c>
      <c r="N905" s="229">
        <v>0</v>
      </c>
      <c r="O905" s="229">
        <v>0</v>
      </c>
      <c r="P905" s="229">
        <v>0</v>
      </c>
      <c r="Q905" s="279">
        <v>0</v>
      </c>
    </row>
    <row r="906" spans="1:17" customFormat="1">
      <c r="A906" s="224">
        <v>2</v>
      </c>
      <c r="B906" s="224">
        <v>1300831</v>
      </c>
      <c r="C906" s="224">
        <v>130083100</v>
      </c>
      <c r="D906" s="224" t="s">
        <v>631</v>
      </c>
      <c r="E906" s="224" t="s">
        <v>660</v>
      </c>
      <c r="F906" s="224" t="s">
        <v>660</v>
      </c>
      <c r="G906" s="224" t="s">
        <v>660</v>
      </c>
      <c r="H906" s="224"/>
      <c r="I906" s="229">
        <v>0</v>
      </c>
      <c r="J906" s="229">
        <v>0</v>
      </c>
      <c r="K906" s="229">
        <v>0</v>
      </c>
      <c r="L906" s="229">
        <v>0</v>
      </c>
      <c r="M906" s="229">
        <v>0</v>
      </c>
      <c r="N906" s="229">
        <v>0</v>
      </c>
      <c r="O906" s="229">
        <v>0</v>
      </c>
      <c r="P906" s="229">
        <v>0</v>
      </c>
      <c r="Q906" s="279">
        <v>0</v>
      </c>
    </row>
    <row r="907" spans="1:17" customFormat="1">
      <c r="A907" s="224">
        <v>2</v>
      </c>
      <c r="B907" s="224">
        <v>1401010</v>
      </c>
      <c r="C907" s="224">
        <v>140101000</v>
      </c>
      <c r="D907" s="224" t="s">
        <v>631</v>
      </c>
      <c r="E907" s="224" t="s">
        <v>661</v>
      </c>
      <c r="F907" s="224" t="s">
        <v>661</v>
      </c>
      <c r="G907" s="224" t="s">
        <v>661</v>
      </c>
      <c r="H907" s="224"/>
      <c r="I907" s="229">
        <v>0</v>
      </c>
      <c r="J907" s="229">
        <v>0</v>
      </c>
      <c r="K907" s="229">
        <v>0</v>
      </c>
      <c r="L907" s="229">
        <v>0</v>
      </c>
      <c r="M907" s="229">
        <v>0</v>
      </c>
      <c r="N907" s="229">
        <v>0</v>
      </c>
      <c r="O907" s="229">
        <v>0</v>
      </c>
      <c r="P907" s="229">
        <v>0</v>
      </c>
      <c r="Q907" s="279">
        <v>0</v>
      </c>
    </row>
    <row r="908" spans="1:17" customFormat="1">
      <c r="A908" s="224">
        <v>2</v>
      </c>
      <c r="B908" s="224">
        <v>1600101</v>
      </c>
      <c r="C908" s="224">
        <v>160010100</v>
      </c>
      <c r="D908" s="224" t="s">
        <v>631</v>
      </c>
      <c r="E908" s="224" t="s">
        <v>662</v>
      </c>
      <c r="F908" s="224" t="s">
        <v>662</v>
      </c>
      <c r="G908" s="224" t="s">
        <v>662</v>
      </c>
      <c r="H908" s="224"/>
      <c r="I908" s="229">
        <v>0</v>
      </c>
      <c r="J908" s="229">
        <v>0</v>
      </c>
      <c r="K908" s="229">
        <v>0</v>
      </c>
      <c r="L908" s="229">
        <v>0</v>
      </c>
      <c r="M908" s="229">
        <v>0</v>
      </c>
      <c r="N908" s="229">
        <v>0</v>
      </c>
      <c r="O908" s="229">
        <v>0</v>
      </c>
      <c r="P908" s="229">
        <v>0</v>
      </c>
      <c r="Q908" s="279">
        <v>0</v>
      </c>
    </row>
    <row r="909" spans="1:17" customFormat="1">
      <c r="A909" s="224">
        <v>2</v>
      </c>
      <c r="B909" s="224">
        <v>1800707</v>
      </c>
      <c r="C909" s="224">
        <v>180070700</v>
      </c>
      <c r="D909" s="224" t="s">
        <v>631</v>
      </c>
      <c r="E909" s="224" t="s">
        <v>663</v>
      </c>
      <c r="F909" s="224" t="s">
        <v>847</v>
      </c>
      <c r="G909" s="224" t="s">
        <v>847</v>
      </c>
      <c r="H909" s="224"/>
      <c r="I909" s="229">
        <v>17022400</v>
      </c>
      <c r="J909" s="229">
        <v>0</v>
      </c>
      <c r="K909" s="229">
        <v>0</v>
      </c>
      <c r="L909" s="229">
        <v>0</v>
      </c>
      <c r="M909" s="229">
        <v>0</v>
      </c>
      <c r="N909" s="229">
        <v>0</v>
      </c>
      <c r="O909" s="229">
        <v>0</v>
      </c>
      <c r="P909" s="229">
        <v>17022400</v>
      </c>
      <c r="Q909" s="279">
        <v>0</v>
      </c>
    </row>
    <row r="910" spans="1:17" customFormat="1">
      <c r="A910" s="224">
        <v>2</v>
      </c>
      <c r="B910" s="224">
        <v>1800808</v>
      </c>
      <c r="C910" s="224">
        <v>180080800</v>
      </c>
      <c r="D910" s="224" t="s">
        <v>631</v>
      </c>
      <c r="E910" s="224" t="s">
        <v>663</v>
      </c>
      <c r="F910" s="224" t="s">
        <v>665</v>
      </c>
      <c r="G910" s="224" t="s">
        <v>665</v>
      </c>
      <c r="H910" s="224"/>
      <c r="I910" s="229">
        <v>0</v>
      </c>
      <c r="J910" s="229">
        <v>0</v>
      </c>
      <c r="K910" s="229">
        <v>0</v>
      </c>
      <c r="L910" s="229">
        <v>0</v>
      </c>
      <c r="M910" s="229">
        <v>0</v>
      </c>
      <c r="N910" s="229">
        <v>0</v>
      </c>
      <c r="O910" s="229">
        <v>0</v>
      </c>
      <c r="P910" s="229">
        <v>0</v>
      </c>
      <c r="Q910" s="279">
        <v>0</v>
      </c>
    </row>
    <row r="911" spans="1:17" customFormat="1">
      <c r="A911" s="224">
        <v>2</v>
      </c>
      <c r="B911" s="224">
        <v>1820101</v>
      </c>
      <c r="C911" s="224">
        <v>182010100</v>
      </c>
      <c r="D911" s="224" t="s">
        <v>631</v>
      </c>
      <c r="E911" s="224" t="s">
        <v>666</v>
      </c>
      <c r="F911" s="224" t="s">
        <v>667</v>
      </c>
      <c r="G911" s="224" t="s">
        <v>667</v>
      </c>
      <c r="H911" s="224"/>
      <c r="I911" s="229">
        <v>0</v>
      </c>
      <c r="J911" s="229">
        <v>0</v>
      </c>
      <c r="K911" s="229">
        <v>0</v>
      </c>
      <c r="L911" s="229">
        <v>0</v>
      </c>
      <c r="M911" s="229">
        <v>0</v>
      </c>
      <c r="N911" s="229">
        <v>0</v>
      </c>
      <c r="O911" s="229">
        <v>0</v>
      </c>
      <c r="P911" s="229">
        <v>0</v>
      </c>
      <c r="Q911" s="279">
        <v>0</v>
      </c>
    </row>
    <row r="912" spans="1:17" customFormat="1">
      <c r="A912" s="224">
        <v>2</v>
      </c>
      <c r="B912" s="224">
        <v>1840102</v>
      </c>
      <c r="C912" s="224">
        <v>184010200</v>
      </c>
      <c r="D912" s="224" t="s">
        <v>631</v>
      </c>
      <c r="E912" s="224" t="s">
        <v>668</v>
      </c>
      <c r="F912" s="224" t="s">
        <v>669</v>
      </c>
      <c r="G912" s="224" t="s">
        <v>670</v>
      </c>
      <c r="H912" s="224"/>
      <c r="I912" s="229">
        <v>0</v>
      </c>
      <c r="J912" s="229">
        <v>0</v>
      </c>
      <c r="K912" s="229">
        <v>0</v>
      </c>
      <c r="L912" s="229">
        <v>0</v>
      </c>
      <c r="M912" s="229">
        <v>0</v>
      </c>
      <c r="N912" s="229">
        <v>0</v>
      </c>
      <c r="O912" s="229">
        <v>0</v>
      </c>
      <c r="P912" s="229">
        <v>0</v>
      </c>
      <c r="Q912" s="279">
        <v>0</v>
      </c>
    </row>
    <row r="913" spans="1:17" customFormat="1">
      <c r="A913" s="224">
        <v>2</v>
      </c>
      <c r="B913" s="224">
        <v>1840304</v>
      </c>
      <c r="C913" s="224">
        <v>184030400</v>
      </c>
      <c r="D913" s="224" t="s">
        <v>631</v>
      </c>
      <c r="E913" s="224" t="s">
        <v>668</v>
      </c>
      <c r="F913" s="224" t="s">
        <v>651</v>
      </c>
      <c r="G913" s="224" t="s">
        <v>671</v>
      </c>
      <c r="H913" s="224"/>
      <c r="I913" s="229">
        <v>0</v>
      </c>
      <c r="J913" s="229">
        <v>0</v>
      </c>
      <c r="K913" s="229">
        <v>0</v>
      </c>
      <c r="L913" s="229">
        <v>0</v>
      </c>
      <c r="M913" s="229">
        <v>0</v>
      </c>
      <c r="N913" s="229">
        <v>0</v>
      </c>
      <c r="O913" s="229">
        <v>0</v>
      </c>
      <c r="P913" s="229">
        <v>0</v>
      </c>
      <c r="Q913" s="279">
        <v>0</v>
      </c>
    </row>
    <row r="914" spans="1:17" customFormat="1">
      <c r="A914" s="224">
        <v>2</v>
      </c>
      <c r="B914" s="224">
        <v>1840305</v>
      </c>
      <c r="C914" s="224">
        <v>184030500</v>
      </c>
      <c r="D914" s="224" t="s">
        <v>631</v>
      </c>
      <c r="E914" s="224" t="s">
        <v>668</v>
      </c>
      <c r="F914" s="224" t="s">
        <v>651</v>
      </c>
      <c r="G914" s="224" t="s">
        <v>672</v>
      </c>
      <c r="H914" s="224"/>
      <c r="I914" s="229">
        <v>0</v>
      </c>
      <c r="J914" s="229">
        <v>0</v>
      </c>
      <c r="K914" s="229">
        <v>0</v>
      </c>
      <c r="L914" s="229">
        <v>0</v>
      </c>
      <c r="M914" s="229">
        <v>0</v>
      </c>
      <c r="N914" s="229">
        <v>0</v>
      </c>
      <c r="O914" s="229">
        <v>0</v>
      </c>
      <c r="P914" s="229">
        <v>0</v>
      </c>
      <c r="Q914" s="279">
        <v>0</v>
      </c>
    </row>
    <row r="915" spans="1:17" customFormat="1">
      <c r="A915" s="224">
        <v>2</v>
      </c>
      <c r="B915" s="224">
        <v>1840306</v>
      </c>
      <c r="C915" s="224">
        <v>184030600</v>
      </c>
      <c r="D915" s="224" t="s">
        <v>631</v>
      </c>
      <c r="E915" s="224" t="s">
        <v>668</v>
      </c>
      <c r="F915" s="224" t="s">
        <v>651</v>
      </c>
      <c r="G915" s="224" t="s">
        <v>673</v>
      </c>
      <c r="H915" s="224"/>
      <c r="I915" s="229">
        <v>0</v>
      </c>
      <c r="J915" s="229">
        <v>0</v>
      </c>
      <c r="K915" s="229">
        <v>0</v>
      </c>
      <c r="L915" s="229">
        <v>0</v>
      </c>
      <c r="M915" s="229">
        <v>0</v>
      </c>
      <c r="N915" s="229">
        <v>0</v>
      </c>
      <c r="O915" s="229">
        <v>0</v>
      </c>
      <c r="P915" s="229">
        <v>0</v>
      </c>
      <c r="Q915" s="279">
        <v>0</v>
      </c>
    </row>
    <row r="916" spans="1:17" customFormat="1">
      <c r="A916" s="224">
        <v>2</v>
      </c>
      <c r="B916" s="224">
        <v>1840509</v>
      </c>
      <c r="C916" s="224">
        <v>184050900</v>
      </c>
      <c r="D916" s="224" t="s">
        <v>631</v>
      </c>
      <c r="E916" s="224" t="s">
        <v>668</v>
      </c>
      <c r="F916" s="224" t="s">
        <v>674</v>
      </c>
      <c r="G916" s="224" t="s">
        <v>848</v>
      </c>
      <c r="H916" s="224"/>
      <c r="I916" s="229">
        <v>580000</v>
      </c>
      <c r="J916" s="229">
        <v>0</v>
      </c>
      <c r="K916" s="229">
        <v>0</v>
      </c>
      <c r="L916" s="229">
        <v>0</v>
      </c>
      <c r="M916" s="229">
        <v>0</v>
      </c>
      <c r="N916" s="229">
        <v>0</v>
      </c>
      <c r="O916" s="229">
        <v>0</v>
      </c>
      <c r="P916" s="229">
        <v>580000</v>
      </c>
      <c r="Q916" s="279">
        <v>0</v>
      </c>
    </row>
    <row r="917" spans="1:17" customFormat="1">
      <c r="A917" s="224">
        <v>2</v>
      </c>
      <c r="B917" s="224">
        <v>1840510</v>
      </c>
      <c r="C917" s="224">
        <v>184051000</v>
      </c>
      <c r="D917" s="224" t="s">
        <v>631</v>
      </c>
      <c r="E917" s="224" t="s">
        <v>668</v>
      </c>
      <c r="F917" s="224" t="s">
        <v>674</v>
      </c>
      <c r="G917" s="224" t="s">
        <v>849</v>
      </c>
      <c r="H917" s="224"/>
      <c r="I917" s="229">
        <v>440000</v>
      </c>
      <c r="J917" s="229">
        <v>0</v>
      </c>
      <c r="K917" s="229">
        <v>0</v>
      </c>
      <c r="L917" s="229">
        <v>0</v>
      </c>
      <c r="M917" s="229">
        <v>0</v>
      </c>
      <c r="N917" s="229">
        <v>0</v>
      </c>
      <c r="O917" s="229">
        <v>0</v>
      </c>
      <c r="P917" s="229">
        <v>440000</v>
      </c>
      <c r="Q917" s="279">
        <v>0</v>
      </c>
    </row>
    <row r="918" spans="1:17" customFormat="1">
      <c r="A918" s="224">
        <v>2</v>
      </c>
      <c r="B918" s="224">
        <v>1840511</v>
      </c>
      <c r="C918" s="224">
        <v>184051100</v>
      </c>
      <c r="D918" s="224" t="s">
        <v>631</v>
      </c>
      <c r="E918" s="224" t="s">
        <v>668</v>
      </c>
      <c r="F918" s="224" t="s">
        <v>674</v>
      </c>
      <c r="G918" s="224" t="s">
        <v>850</v>
      </c>
      <c r="H918" s="224"/>
      <c r="I918" s="229">
        <v>0</v>
      </c>
      <c r="J918" s="229">
        <v>0</v>
      </c>
      <c r="K918" s="229">
        <v>0</v>
      </c>
      <c r="L918" s="229">
        <v>0</v>
      </c>
      <c r="M918" s="229">
        <v>0</v>
      </c>
      <c r="N918" s="229">
        <v>0</v>
      </c>
      <c r="O918" s="229">
        <v>0</v>
      </c>
      <c r="P918" s="229">
        <v>0</v>
      </c>
      <c r="Q918" s="279">
        <v>0</v>
      </c>
    </row>
    <row r="919" spans="1:17" customFormat="1">
      <c r="A919" s="224">
        <v>2</v>
      </c>
      <c r="B919" s="224">
        <v>1860303</v>
      </c>
      <c r="C919" s="224">
        <v>186030300</v>
      </c>
      <c r="D919" s="224" t="s">
        <v>631</v>
      </c>
      <c r="E919" s="224" t="s">
        <v>678</v>
      </c>
      <c r="F919" s="224" t="s">
        <v>679</v>
      </c>
      <c r="G919" s="224" t="s">
        <v>679</v>
      </c>
      <c r="H919" s="224"/>
      <c r="I919" s="229">
        <v>0</v>
      </c>
      <c r="J919" s="229">
        <v>0</v>
      </c>
      <c r="K919" s="229">
        <v>0</v>
      </c>
      <c r="L919" s="229">
        <v>0</v>
      </c>
      <c r="M919" s="229">
        <v>0</v>
      </c>
      <c r="N919" s="229">
        <v>0</v>
      </c>
      <c r="O919" s="229">
        <v>0</v>
      </c>
      <c r="P919" s="229">
        <v>0</v>
      </c>
      <c r="Q919" s="279">
        <v>0</v>
      </c>
    </row>
    <row r="920" spans="1:17" customFormat="1">
      <c r="A920" s="224">
        <v>2</v>
      </c>
      <c r="B920" s="224">
        <v>1880101</v>
      </c>
      <c r="C920" s="224">
        <v>188010100</v>
      </c>
      <c r="D920" s="224" t="s">
        <v>631</v>
      </c>
      <c r="E920" s="224" t="s">
        <v>680</v>
      </c>
      <c r="F920" s="224" t="s">
        <v>681</v>
      </c>
      <c r="G920" s="224" t="s">
        <v>681</v>
      </c>
      <c r="H920" s="224"/>
      <c r="I920" s="229">
        <v>0</v>
      </c>
      <c r="J920" s="229">
        <v>0</v>
      </c>
      <c r="K920" s="229">
        <v>0</v>
      </c>
      <c r="L920" s="229">
        <v>0</v>
      </c>
      <c r="M920" s="229">
        <v>0</v>
      </c>
      <c r="N920" s="229">
        <v>0</v>
      </c>
      <c r="O920" s="229">
        <v>0</v>
      </c>
      <c r="P920" s="229">
        <v>0</v>
      </c>
      <c r="Q920" s="279">
        <v>0</v>
      </c>
    </row>
    <row r="921" spans="1:17" customFormat="1">
      <c r="A921" s="224">
        <v>2</v>
      </c>
      <c r="B921" s="224">
        <v>1880202</v>
      </c>
      <c r="C921" s="224">
        <v>188020200</v>
      </c>
      <c r="D921" s="224" t="s">
        <v>631</v>
      </c>
      <c r="E921" s="224" t="s">
        <v>680</v>
      </c>
      <c r="F921" s="224" t="s">
        <v>682</v>
      </c>
      <c r="G921" s="224" t="s">
        <v>682</v>
      </c>
      <c r="H921" s="224"/>
      <c r="I921" s="229">
        <v>0</v>
      </c>
      <c r="J921" s="229">
        <v>0</v>
      </c>
      <c r="K921" s="229">
        <v>0</v>
      </c>
      <c r="L921" s="229">
        <v>0</v>
      </c>
      <c r="M921" s="229">
        <v>0</v>
      </c>
      <c r="N921" s="229">
        <v>0</v>
      </c>
      <c r="O921" s="229">
        <v>0</v>
      </c>
      <c r="P921" s="229">
        <v>0</v>
      </c>
      <c r="Q921" s="279">
        <v>0</v>
      </c>
    </row>
    <row r="922" spans="1:17" customFormat="1">
      <c r="A922" s="224">
        <v>2</v>
      </c>
      <c r="B922" s="224">
        <v>1900101</v>
      </c>
      <c r="C922" s="224">
        <v>190010100</v>
      </c>
      <c r="D922" s="224" t="s">
        <v>631</v>
      </c>
      <c r="E922" s="224" t="s">
        <v>683</v>
      </c>
      <c r="F922" s="224" t="s">
        <v>684</v>
      </c>
      <c r="G922" s="224" t="s">
        <v>684</v>
      </c>
      <c r="H922" s="224"/>
      <c r="I922" s="229">
        <v>0</v>
      </c>
      <c r="J922" s="229">
        <v>0</v>
      </c>
      <c r="K922" s="229">
        <v>0</v>
      </c>
      <c r="L922" s="229">
        <v>0</v>
      </c>
      <c r="M922" s="229">
        <v>0</v>
      </c>
      <c r="N922" s="229">
        <v>0</v>
      </c>
      <c r="O922" s="229">
        <v>0</v>
      </c>
      <c r="P922" s="229">
        <v>0</v>
      </c>
      <c r="Q922" s="279">
        <v>0</v>
      </c>
    </row>
    <row r="923" spans="1:17" customFormat="1">
      <c r="A923" s="224">
        <v>2</v>
      </c>
      <c r="B923" s="224">
        <v>1900202</v>
      </c>
      <c r="C923" s="224">
        <v>190020200</v>
      </c>
      <c r="D923" s="224" t="s">
        <v>631</v>
      </c>
      <c r="E923" s="224" t="s">
        <v>683</v>
      </c>
      <c r="F923" s="224" t="s">
        <v>685</v>
      </c>
      <c r="G923" s="224" t="s">
        <v>685</v>
      </c>
      <c r="H923" s="224"/>
      <c r="I923" s="229">
        <v>0</v>
      </c>
      <c r="J923" s="229">
        <v>0</v>
      </c>
      <c r="K923" s="229">
        <v>0</v>
      </c>
      <c r="L923" s="229">
        <v>0</v>
      </c>
      <c r="M923" s="229">
        <v>0</v>
      </c>
      <c r="N923" s="229">
        <v>0</v>
      </c>
      <c r="O923" s="229">
        <v>0</v>
      </c>
      <c r="P923" s="229">
        <v>0</v>
      </c>
      <c r="Q923" s="279">
        <v>0</v>
      </c>
    </row>
    <row r="924" spans="1:17" customFormat="1">
      <c r="A924" s="224">
        <v>2</v>
      </c>
      <c r="B924" s="224">
        <v>1900303</v>
      </c>
      <c r="C924" s="224">
        <v>190030300</v>
      </c>
      <c r="D924" s="224" t="s">
        <v>631</v>
      </c>
      <c r="E924" s="224" t="s">
        <v>683</v>
      </c>
      <c r="F924" s="224" t="s">
        <v>683</v>
      </c>
      <c r="G924" s="224" t="s">
        <v>683</v>
      </c>
      <c r="H924" s="224"/>
      <c r="I924" s="229">
        <v>0</v>
      </c>
      <c r="J924" s="229">
        <v>0</v>
      </c>
      <c r="K924" s="229">
        <v>0</v>
      </c>
      <c r="L924" s="229">
        <v>0</v>
      </c>
      <c r="M924" s="229">
        <v>0</v>
      </c>
      <c r="N924" s="229">
        <v>0</v>
      </c>
      <c r="O924" s="229">
        <v>0</v>
      </c>
      <c r="P924" s="229">
        <v>0</v>
      </c>
      <c r="Q924" s="279">
        <v>0</v>
      </c>
    </row>
    <row r="925" spans="1:17" customFormat="1">
      <c r="A925" s="224">
        <v>2</v>
      </c>
      <c r="B925" s="224">
        <v>4810202</v>
      </c>
      <c r="C925" s="224">
        <v>481020200</v>
      </c>
      <c r="D925" s="224" t="s">
        <v>686</v>
      </c>
      <c r="E925" s="224" t="s">
        <v>687</v>
      </c>
      <c r="F925" s="224" t="s">
        <v>688</v>
      </c>
      <c r="G925" s="224" t="s">
        <v>688</v>
      </c>
      <c r="H925" s="224"/>
      <c r="I925" s="229">
        <v>24480257</v>
      </c>
      <c r="J925" s="229">
        <v>0</v>
      </c>
      <c r="K925" s="229">
        <v>0</v>
      </c>
      <c r="L925" s="229">
        <v>0</v>
      </c>
      <c r="M925" s="229">
        <v>0</v>
      </c>
      <c r="N925" s="229">
        <v>24480257</v>
      </c>
      <c r="O925" s="229">
        <v>0</v>
      </c>
      <c r="P925" s="229">
        <v>0</v>
      </c>
      <c r="Q925" s="279">
        <v>0</v>
      </c>
    </row>
    <row r="926" spans="1:17" customFormat="1">
      <c r="A926" s="224">
        <v>2</v>
      </c>
      <c r="B926" s="224">
        <v>4810404</v>
      </c>
      <c r="C926" s="224">
        <v>481040411</v>
      </c>
      <c r="D926" s="224" t="s">
        <v>686</v>
      </c>
      <c r="E926" s="224" t="s">
        <v>687</v>
      </c>
      <c r="F926" s="224" t="s">
        <v>689</v>
      </c>
      <c r="G926" s="224" t="s">
        <v>690</v>
      </c>
      <c r="H926" s="224" t="s">
        <v>691</v>
      </c>
      <c r="I926" s="229">
        <v>357675000</v>
      </c>
      <c r="J926" s="229">
        <v>0</v>
      </c>
      <c r="K926" s="229">
        <v>0</v>
      </c>
      <c r="L926" s="229">
        <v>0</v>
      </c>
      <c r="M926" s="229">
        <v>0</v>
      </c>
      <c r="N926" s="229">
        <v>0</v>
      </c>
      <c r="O926" s="229">
        <v>0</v>
      </c>
      <c r="P926" s="229">
        <v>357675000</v>
      </c>
      <c r="Q926" s="279">
        <v>0</v>
      </c>
    </row>
    <row r="927" spans="1:17" customFormat="1">
      <c r="A927" s="224">
        <v>2</v>
      </c>
      <c r="B927" s="224">
        <v>4810404</v>
      </c>
      <c r="C927" s="224">
        <v>481040412</v>
      </c>
      <c r="D927" s="224" t="s">
        <v>686</v>
      </c>
      <c r="E927" s="224" t="s">
        <v>687</v>
      </c>
      <c r="F927" s="224" t="s">
        <v>689</v>
      </c>
      <c r="G927" s="224" t="s">
        <v>690</v>
      </c>
      <c r="H927" s="224" t="s">
        <v>692</v>
      </c>
      <c r="I927" s="229">
        <v>0</v>
      </c>
      <c r="J927" s="229">
        <v>0</v>
      </c>
      <c r="K927" s="229">
        <v>0</v>
      </c>
      <c r="L927" s="229">
        <v>0</v>
      </c>
      <c r="M927" s="229">
        <v>0</v>
      </c>
      <c r="N927" s="229">
        <v>0</v>
      </c>
      <c r="O927" s="229">
        <v>0</v>
      </c>
      <c r="P927" s="229">
        <v>0</v>
      </c>
      <c r="Q927" s="279">
        <v>0</v>
      </c>
    </row>
    <row r="928" spans="1:17" customFormat="1">
      <c r="A928" s="224">
        <v>2</v>
      </c>
      <c r="B928" s="224">
        <v>4810404</v>
      </c>
      <c r="C928" s="224">
        <v>481040413</v>
      </c>
      <c r="D928" s="224" t="s">
        <v>686</v>
      </c>
      <c r="E928" s="224" t="s">
        <v>687</v>
      </c>
      <c r="F928" s="224" t="s">
        <v>689</v>
      </c>
      <c r="G928" s="224" t="s">
        <v>690</v>
      </c>
      <c r="H928" s="224" t="s">
        <v>693</v>
      </c>
      <c r="I928" s="229">
        <v>16000</v>
      </c>
      <c r="J928" s="229">
        <v>0</v>
      </c>
      <c r="K928" s="229">
        <v>0</v>
      </c>
      <c r="L928" s="229">
        <v>0</v>
      </c>
      <c r="M928" s="229">
        <v>0</v>
      </c>
      <c r="N928" s="229">
        <v>0</v>
      </c>
      <c r="O928" s="229">
        <v>0</v>
      </c>
      <c r="P928" s="229">
        <v>16000</v>
      </c>
      <c r="Q928" s="279">
        <v>0</v>
      </c>
    </row>
    <row r="929" spans="1:17" customFormat="1">
      <c r="A929" s="224">
        <v>2</v>
      </c>
      <c r="B929" s="224">
        <v>4810404</v>
      </c>
      <c r="C929" s="224">
        <v>481040415</v>
      </c>
      <c r="D929" s="224" t="s">
        <v>686</v>
      </c>
      <c r="E929" s="224" t="s">
        <v>687</v>
      </c>
      <c r="F929" s="224" t="s">
        <v>689</v>
      </c>
      <c r="G929" s="224" t="s">
        <v>690</v>
      </c>
      <c r="H929" s="224" t="s">
        <v>694</v>
      </c>
      <c r="I929" s="229">
        <v>0</v>
      </c>
      <c r="J929" s="229">
        <v>0</v>
      </c>
      <c r="K929" s="229">
        <v>0</v>
      </c>
      <c r="L929" s="229">
        <v>0</v>
      </c>
      <c r="M929" s="229">
        <v>0</v>
      </c>
      <c r="N929" s="229">
        <v>0</v>
      </c>
      <c r="O929" s="229">
        <v>0</v>
      </c>
      <c r="P929" s="229">
        <v>0</v>
      </c>
      <c r="Q929" s="279">
        <v>0</v>
      </c>
    </row>
    <row r="930" spans="1:17" customFormat="1">
      <c r="A930" s="224">
        <v>2</v>
      </c>
      <c r="B930" s="224">
        <v>4810406</v>
      </c>
      <c r="C930" s="224">
        <v>481040600</v>
      </c>
      <c r="D930" s="224" t="s">
        <v>686</v>
      </c>
      <c r="E930" s="224" t="s">
        <v>687</v>
      </c>
      <c r="F930" s="224" t="s">
        <v>689</v>
      </c>
      <c r="G930" s="224" t="s">
        <v>695</v>
      </c>
      <c r="H930" s="224"/>
      <c r="I930" s="229">
        <v>0</v>
      </c>
      <c r="J930" s="229">
        <v>0</v>
      </c>
      <c r="K930" s="229">
        <v>0</v>
      </c>
      <c r="L930" s="229">
        <v>0</v>
      </c>
      <c r="M930" s="229">
        <v>0</v>
      </c>
      <c r="N930" s="229">
        <v>0</v>
      </c>
      <c r="O930" s="229">
        <v>0</v>
      </c>
      <c r="P930" s="229">
        <v>0</v>
      </c>
      <c r="Q930" s="279">
        <v>0</v>
      </c>
    </row>
    <row r="931" spans="1:17" customFormat="1">
      <c r="A931" s="224">
        <v>2</v>
      </c>
      <c r="B931" s="224">
        <v>4810408</v>
      </c>
      <c r="C931" s="224">
        <v>481040800</v>
      </c>
      <c r="D931" s="224" t="s">
        <v>686</v>
      </c>
      <c r="E931" s="224" t="s">
        <v>687</v>
      </c>
      <c r="F931" s="224" t="s">
        <v>689</v>
      </c>
      <c r="G931" s="224" t="s">
        <v>696</v>
      </c>
      <c r="H931" s="224"/>
      <c r="I931" s="229">
        <v>0</v>
      </c>
      <c r="J931" s="229">
        <v>0</v>
      </c>
      <c r="K931" s="229">
        <v>0</v>
      </c>
      <c r="L931" s="229">
        <v>0</v>
      </c>
      <c r="M931" s="229">
        <v>0</v>
      </c>
      <c r="N931" s="229">
        <v>0</v>
      </c>
      <c r="O931" s="229">
        <v>0</v>
      </c>
      <c r="P931" s="229">
        <v>0</v>
      </c>
      <c r="Q931" s="279">
        <v>0</v>
      </c>
    </row>
    <row r="932" spans="1:17" customFormat="1">
      <c r="A932" s="224">
        <v>2</v>
      </c>
      <c r="B932" s="224">
        <v>4810409</v>
      </c>
      <c r="C932" s="224">
        <v>481040900</v>
      </c>
      <c r="D932" s="224" t="s">
        <v>686</v>
      </c>
      <c r="E932" s="224" t="s">
        <v>687</v>
      </c>
      <c r="F932" s="224" t="s">
        <v>689</v>
      </c>
      <c r="G932" s="224" t="s">
        <v>697</v>
      </c>
      <c r="H932" s="224"/>
      <c r="I932" s="229">
        <v>0</v>
      </c>
      <c r="J932" s="229">
        <v>0</v>
      </c>
      <c r="K932" s="229">
        <v>0</v>
      </c>
      <c r="L932" s="229">
        <v>0</v>
      </c>
      <c r="M932" s="229">
        <v>0</v>
      </c>
      <c r="N932" s="229">
        <v>0</v>
      </c>
      <c r="O932" s="229">
        <v>0</v>
      </c>
      <c r="P932" s="229">
        <v>0</v>
      </c>
      <c r="Q932" s="279">
        <v>0</v>
      </c>
    </row>
    <row r="933" spans="1:17" customFormat="1">
      <c r="A933" s="224">
        <v>2</v>
      </c>
      <c r="B933" s="224">
        <v>4811214</v>
      </c>
      <c r="C933" s="224">
        <v>481121400</v>
      </c>
      <c r="D933" s="224" t="s">
        <v>686</v>
      </c>
      <c r="E933" s="224" t="s">
        <v>687</v>
      </c>
      <c r="F933" s="224" t="s">
        <v>699</v>
      </c>
      <c r="G933" s="224" t="s">
        <v>699</v>
      </c>
      <c r="H933" s="224"/>
      <c r="I933" s="229">
        <v>0</v>
      </c>
      <c r="J933" s="229">
        <v>0</v>
      </c>
      <c r="K933" s="229">
        <v>0</v>
      </c>
      <c r="L933" s="229">
        <v>0</v>
      </c>
      <c r="M933" s="229">
        <v>0</v>
      </c>
      <c r="N933" s="229">
        <v>0</v>
      </c>
      <c r="O933" s="229">
        <v>0</v>
      </c>
      <c r="P933" s="229">
        <v>0</v>
      </c>
      <c r="Q933" s="279">
        <v>0</v>
      </c>
    </row>
    <row r="934" spans="1:17" customFormat="1">
      <c r="A934" s="224">
        <v>2</v>
      </c>
      <c r="B934" s="224">
        <v>4811417</v>
      </c>
      <c r="C934" s="224">
        <v>481141700</v>
      </c>
      <c r="D934" s="224" t="s">
        <v>686</v>
      </c>
      <c r="E934" s="224" t="s">
        <v>687</v>
      </c>
      <c r="F934" s="224" t="s">
        <v>700</v>
      </c>
      <c r="G934" s="224" t="s">
        <v>703</v>
      </c>
      <c r="H934" s="224"/>
      <c r="I934" s="229">
        <v>0</v>
      </c>
      <c r="J934" s="229">
        <v>0</v>
      </c>
      <c r="K934" s="229">
        <v>0</v>
      </c>
      <c r="L934" s="229">
        <v>0</v>
      </c>
      <c r="M934" s="229">
        <v>0</v>
      </c>
      <c r="N934" s="229">
        <v>0</v>
      </c>
      <c r="O934" s="229">
        <v>0</v>
      </c>
      <c r="P934" s="229">
        <v>0</v>
      </c>
      <c r="Q934" s="279">
        <v>0</v>
      </c>
    </row>
    <row r="935" spans="1:17" customFormat="1">
      <c r="A935" s="224">
        <v>2</v>
      </c>
      <c r="B935" s="224">
        <v>4811418</v>
      </c>
      <c r="C935" s="224">
        <v>481141800</v>
      </c>
      <c r="D935" s="224" t="s">
        <v>686</v>
      </c>
      <c r="E935" s="224" t="s">
        <v>687</v>
      </c>
      <c r="F935" s="224" t="s">
        <v>700</v>
      </c>
      <c r="G935" s="224" t="s">
        <v>64</v>
      </c>
      <c r="H935" s="224"/>
      <c r="I935" s="229">
        <v>0</v>
      </c>
      <c r="J935" s="229">
        <v>0</v>
      </c>
      <c r="K935" s="229">
        <v>0</v>
      </c>
      <c r="L935" s="229">
        <v>0</v>
      </c>
      <c r="M935" s="229">
        <v>0</v>
      </c>
      <c r="N935" s="229">
        <v>0</v>
      </c>
      <c r="O935" s="229">
        <v>0</v>
      </c>
      <c r="P935" s="229">
        <v>0</v>
      </c>
      <c r="Q935" s="279">
        <v>0</v>
      </c>
    </row>
    <row r="936" spans="1:17" customFormat="1">
      <c r="A936" s="224">
        <v>2</v>
      </c>
      <c r="B936" s="224">
        <v>4811419</v>
      </c>
      <c r="C936" s="224">
        <v>481141915</v>
      </c>
      <c r="D936" s="224" t="s">
        <v>686</v>
      </c>
      <c r="E936" s="224" t="s">
        <v>687</v>
      </c>
      <c r="F936" s="224" t="s">
        <v>700</v>
      </c>
      <c r="G936" s="224" t="s">
        <v>85</v>
      </c>
      <c r="H936" s="224" t="s">
        <v>704</v>
      </c>
      <c r="I936" s="229">
        <v>0</v>
      </c>
      <c r="J936" s="229">
        <v>0</v>
      </c>
      <c r="K936" s="229">
        <v>0</v>
      </c>
      <c r="L936" s="229">
        <v>0</v>
      </c>
      <c r="M936" s="229">
        <v>0</v>
      </c>
      <c r="N936" s="229">
        <v>0</v>
      </c>
      <c r="O936" s="229">
        <v>0</v>
      </c>
      <c r="P936" s="229">
        <v>0</v>
      </c>
      <c r="Q936" s="279">
        <v>0</v>
      </c>
    </row>
    <row r="937" spans="1:17" customFormat="1">
      <c r="A937" s="224">
        <v>2</v>
      </c>
      <c r="B937" s="224">
        <v>4811419</v>
      </c>
      <c r="C937" s="224">
        <v>481141916</v>
      </c>
      <c r="D937" s="224" t="s">
        <v>686</v>
      </c>
      <c r="E937" s="224" t="s">
        <v>687</v>
      </c>
      <c r="F937" s="224" t="s">
        <v>700</v>
      </c>
      <c r="G937" s="224" t="s">
        <v>85</v>
      </c>
      <c r="H937" s="224" t="s">
        <v>705</v>
      </c>
      <c r="I937" s="229">
        <v>0</v>
      </c>
      <c r="J937" s="229">
        <v>0</v>
      </c>
      <c r="K937" s="229">
        <v>0</v>
      </c>
      <c r="L937" s="229">
        <v>0</v>
      </c>
      <c r="M937" s="229">
        <v>0</v>
      </c>
      <c r="N937" s="229">
        <v>0</v>
      </c>
      <c r="O937" s="229">
        <v>0</v>
      </c>
      <c r="P937" s="229">
        <v>0</v>
      </c>
      <c r="Q937" s="279">
        <v>0</v>
      </c>
    </row>
    <row r="938" spans="1:17" customFormat="1">
      <c r="A938" s="224">
        <v>2</v>
      </c>
      <c r="B938" s="224">
        <v>4811419</v>
      </c>
      <c r="C938" s="224">
        <v>481141917</v>
      </c>
      <c r="D938" s="224" t="s">
        <v>686</v>
      </c>
      <c r="E938" s="224" t="s">
        <v>687</v>
      </c>
      <c r="F938" s="224" t="s">
        <v>700</v>
      </c>
      <c r="G938" s="224" t="s">
        <v>85</v>
      </c>
      <c r="H938" s="224" t="s">
        <v>706</v>
      </c>
      <c r="I938" s="229">
        <v>0</v>
      </c>
      <c r="J938" s="229">
        <v>0</v>
      </c>
      <c r="K938" s="229">
        <v>0</v>
      </c>
      <c r="L938" s="229">
        <v>0</v>
      </c>
      <c r="M938" s="229">
        <v>0</v>
      </c>
      <c r="N938" s="229">
        <v>0</v>
      </c>
      <c r="O938" s="229">
        <v>0</v>
      </c>
      <c r="P938" s="229">
        <v>0</v>
      </c>
      <c r="Q938" s="279">
        <v>0</v>
      </c>
    </row>
    <row r="939" spans="1:17" customFormat="1">
      <c r="A939" s="224">
        <v>2</v>
      </c>
      <c r="B939" s="224">
        <v>4811420</v>
      </c>
      <c r="C939" s="224">
        <v>481142000</v>
      </c>
      <c r="D939" s="224" t="s">
        <v>686</v>
      </c>
      <c r="E939" s="224" t="s">
        <v>687</v>
      </c>
      <c r="F939" s="224" t="s">
        <v>700</v>
      </c>
      <c r="G939" s="224" t="s">
        <v>707</v>
      </c>
      <c r="H939" s="224"/>
      <c r="I939" s="229">
        <v>0</v>
      </c>
      <c r="J939" s="229">
        <v>0</v>
      </c>
      <c r="K939" s="229">
        <v>0</v>
      </c>
      <c r="L939" s="229">
        <v>0</v>
      </c>
      <c r="M939" s="229">
        <v>0</v>
      </c>
      <c r="N939" s="229">
        <v>0</v>
      </c>
      <c r="O939" s="229">
        <v>0</v>
      </c>
      <c r="P939" s="229">
        <v>0</v>
      </c>
      <c r="Q939" s="279">
        <v>0</v>
      </c>
    </row>
    <row r="940" spans="1:17" customFormat="1">
      <c r="A940" s="224">
        <v>2</v>
      </c>
      <c r="B940" s="224">
        <v>4820221</v>
      </c>
      <c r="C940" s="224">
        <v>482022100</v>
      </c>
      <c r="D940" s="224" t="s">
        <v>686</v>
      </c>
      <c r="E940" s="224" t="s">
        <v>708</v>
      </c>
      <c r="F940" s="224" t="s">
        <v>709</v>
      </c>
      <c r="G940" s="224" t="s">
        <v>710</v>
      </c>
      <c r="H940" s="224"/>
      <c r="I940" s="229">
        <v>0</v>
      </c>
      <c r="J940" s="229">
        <v>0</v>
      </c>
      <c r="K940" s="229">
        <v>0</v>
      </c>
      <c r="L940" s="229">
        <v>0</v>
      </c>
      <c r="M940" s="229">
        <v>0</v>
      </c>
      <c r="N940" s="229">
        <v>0</v>
      </c>
      <c r="O940" s="229">
        <v>0</v>
      </c>
      <c r="P940" s="229">
        <v>0</v>
      </c>
      <c r="Q940" s="279">
        <v>0</v>
      </c>
    </row>
    <row r="941" spans="1:17" customFormat="1">
      <c r="A941" s="224">
        <v>2</v>
      </c>
      <c r="B941" s="224">
        <v>4820222</v>
      </c>
      <c r="C941" s="224">
        <v>482022200</v>
      </c>
      <c r="D941" s="224" t="s">
        <v>686</v>
      </c>
      <c r="E941" s="224" t="s">
        <v>708</v>
      </c>
      <c r="F941" s="224" t="s">
        <v>709</v>
      </c>
      <c r="G941" s="224" t="s">
        <v>711</v>
      </c>
      <c r="H941" s="224"/>
      <c r="I941" s="229">
        <v>0</v>
      </c>
      <c r="J941" s="229">
        <v>0</v>
      </c>
      <c r="K941" s="229">
        <v>0</v>
      </c>
      <c r="L941" s="229">
        <v>0</v>
      </c>
      <c r="M941" s="229">
        <v>0</v>
      </c>
      <c r="N941" s="229">
        <v>0</v>
      </c>
      <c r="O941" s="229">
        <v>0</v>
      </c>
      <c r="P941" s="229">
        <v>0</v>
      </c>
      <c r="Q941" s="279">
        <v>0</v>
      </c>
    </row>
    <row r="942" spans="1:17" customFormat="1">
      <c r="A942" s="224">
        <v>2</v>
      </c>
      <c r="B942" s="224">
        <v>4820224</v>
      </c>
      <c r="C942" s="224">
        <v>482022400</v>
      </c>
      <c r="D942" s="224" t="s">
        <v>686</v>
      </c>
      <c r="E942" s="224" t="s">
        <v>708</v>
      </c>
      <c r="F942" s="224" t="s">
        <v>709</v>
      </c>
      <c r="G942" s="224" t="s">
        <v>712</v>
      </c>
      <c r="H942" s="224"/>
      <c r="I942" s="229">
        <v>0</v>
      </c>
      <c r="J942" s="229">
        <v>0</v>
      </c>
      <c r="K942" s="229">
        <v>0</v>
      </c>
      <c r="L942" s="229">
        <v>0</v>
      </c>
      <c r="M942" s="229">
        <v>0</v>
      </c>
      <c r="N942" s="229">
        <v>0</v>
      </c>
      <c r="O942" s="229">
        <v>0</v>
      </c>
      <c r="P942" s="229">
        <v>0</v>
      </c>
      <c r="Q942" s="279">
        <v>0</v>
      </c>
    </row>
    <row r="943" spans="1:17" customFormat="1">
      <c r="A943" s="224">
        <v>2</v>
      </c>
      <c r="B943" s="224">
        <v>4820427</v>
      </c>
      <c r="C943" s="224">
        <v>482042700</v>
      </c>
      <c r="D943" s="224" t="s">
        <v>686</v>
      </c>
      <c r="E943" s="224" t="s">
        <v>708</v>
      </c>
      <c r="F943" s="224" t="s">
        <v>655</v>
      </c>
      <c r="G943" s="224" t="s">
        <v>713</v>
      </c>
      <c r="H943" s="224"/>
      <c r="I943" s="229">
        <v>0</v>
      </c>
      <c r="J943" s="229">
        <v>0</v>
      </c>
      <c r="K943" s="229">
        <v>0</v>
      </c>
      <c r="L943" s="229">
        <v>0</v>
      </c>
      <c r="M943" s="229">
        <v>0</v>
      </c>
      <c r="N943" s="229">
        <v>0</v>
      </c>
      <c r="O943" s="229">
        <v>0</v>
      </c>
      <c r="P943" s="229">
        <v>0</v>
      </c>
      <c r="Q943" s="279">
        <v>0</v>
      </c>
    </row>
    <row r="944" spans="1:17">
      <c r="A944" s="256">
        <v>2</v>
      </c>
      <c r="B944" s="256">
        <v>4820428</v>
      </c>
      <c r="C944" s="256">
        <v>482042800</v>
      </c>
      <c r="D944" s="256" t="s">
        <v>686</v>
      </c>
      <c r="E944" s="256" t="s">
        <v>708</v>
      </c>
      <c r="F944" s="256" t="s">
        <v>655</v>
      </c>
      <c r="G944" s="256" t="s">
        <v>714</v>
      </c>
      <c r="H944" s="256"/>
      <c r="I944" s="257">
        <v>0</v>
      </c>
      <c r="J944" s="257">
        <v>0</v>
      </c>
      <c r="K944" s="257">
        <v>0</v>
      </c>
      <c r="L944" s="257">
        <v>0</v>
      </c>
      <c r="M944" s="257">
        <v>0</v>
      </c>
      <c r="N944" s="257">
        <v>0</v>
      </c>
      <c r="O944" s="257">
        <v>0</v>
      </c>
      <c r="P944" s="257">
        <v>0</v>
      </c>
      <c r="Q944" s="258">
        <v>0</v>
      </c>
    </row>
    <row r="945" spans="1:19">
      <c r="A945" s="256">
        <v>2</v>
      </c>
      <c r="B945" s="256">
        <v>4820429</v>
      </c>
      <c r="C945" s="256">
        <v>482042900</v>
      </c>
      <c r="D945" s="256" t="s">
        <v>686</v>
      </c>
      <c r="E945" s="256" t="s">
        <v>708</v>
      </c>
      <c r="F945" s="256" t="s">
        <v>655</v>
      </c>
      <c r="G945" s="256" t="s">
        <v>658</v>
      </c>
      <c r="H945" s="256"/>
      <c r="I945" s="257">
        <v>0</v>
      </c>
      <c r="J945" s="257">
        <v>0</v>
      </c>
      <c r="K945" s="257">
        <v>0</v>
      </c>
      <c r="L945" s="257">
        <v>0</v>
      </c>
      <c r="M945" s="257">
        <v>0</v>
      </c>
      <c r="N945" s="257">
        <v>0</v>
      </c>
      <c r="O945" s="257">
        <v>0</v>
      </c>
      <c r="P945" s="257">
        <v>0</v>
      </c>
      <c r="Q945" s="258">
        <v>0</v>
      </c>
    </row>
    <row r="946" spans="1:19">
      <c r="A946" s="256">
        <v>2</v>
      </c>
      <c r="B946" s="256">
        <v>4820501</v>
      </c>
      <c r="C946" s="256">
        <v>482050100</v>
      </c>
      <c r="D946" s="256" t="s">
        <v>686</v>
      </c>
      <c r="E946" s="256" t="s">
        <v>708</v>
      </c>
      <c r="F946" s="256" t="s">
        <v>715</v>
      </c>
      <c r="G946" s="256" t="s">
        <v>715</v>
      </c>
      <c r="H946" s="256"/>
      <c r="I946" s="257">
        <v>0</v>
      </c>
      <c r="J946" s="257">
        <v>0</v>
      </c>
      <c r="K946" s="257">
        <v>0</v>
      </c>
      <c r="L946" s="257">
        <v>0</v>
      </c>
      <c r="M946" s="257">
        <v>0</v>
      </c>
      <c r="N946" s="257">
        <v>0</v>
      </c>
      <c r="O946" s="257">
        <v>0</v>
      </c>
      <c r="P946" s="257">
        <v>0</v>
      </c>
      <c r="Q946" s="258">
        <v>0</v>
      </c>
    </row>
    <row r="947" spans="1:19">
      <c r="A947" s="256">
        <v>2</v>
      </c>
      <c r="B947" s="256">
        <v>4820630</v>
      </c>
      <c r="C947" s="256">
        <v>482063000</v>
      </c>
      <c r="D947" s="256" t="s">
        <v>686</v>
      </c>
      <c r="E947" s="256" t="s">
        <v>708</v>
      </c>
      <c r="F947" s="256" t="s">
        <v>659</v>
      </c>
      <c r="G947" s="256" t="s">
        <v>659</v>
      </c>
      <c r="H947" s="256"/>
      <c r="I947" s="257">
        <v>0</v>
      </c>
      <c r="J947" s="257">
        <v>0</v>
      </c>
      <c r="K947" s="257">
        <v>0</v>
      </c>
      <c r="L947" s="257">
        <v>0</v>
      </c>
      <c r="M947" s="257">
        <v>0</v>
      </c>
      <c r="N947" s="257">
        <v>0</v>
      </c>
      <c r="O947" s="257">
        <v>0</v>
      </c>
      <c r="P947" s="257">
        <v>0</v>
      </c>
      <c r="Q947" s="258">
        <v>0</v>
      </c>
    </row>
    <row r="948" spans="1:19">
      <c r="A948" s="256">
        <v>2</v>
      </c>
      <c r="B948" s="256">
        <v>4820831</v>
      </c>
      <c r="C948" s="256">
        <v>482083100</v>
      </c>
      <c r="D948" s="256" t="s">
        <v>686</v>
      </c>
      <c r="E948" s="256" t="s">
        <v>708</v>
      </c>
      <c r="F948" s="256" t="s">
        <v>660</v>
      </c>
      <c r="G948" s="256" t="s">
        <v>660</v>
      </c>
      <c r="H948" s="256"/>
      <c r="I948" s="257">
        <v>0</v>
      </c>
      <c r="J948" s="257">
        <v>0</v>
      </c>
      <c r="K948" s="257">
        <v>0</v>
      </c>
      <c r="L948" s="257">
        <v>0</v>
      </c>
      <c r="M948" s="257">
        <v>0</v>
      </c>
      <c r="N948" s="257">
        <v>0</v>
      </c>
      <c r="O948" s="257">
        <v>0</v>
      </c>
      <c r="P948" s="257">
        <v>0</v>
      </c>
      <c r="Q948" s="258">
        <v>0</v>
      </c>
    </row>
    <row r="949" spans="1:19" customFormat="1">
      <c r="A949" s="224">
        <v>2</v>
      </c>
      <c r="B949" s="224">
        <v>4820932</v>
      </c>
      <c r="C949" s="224">
        <v>482093200</v>
      </c>
      <c r="D949" s="224" t="s">
        <v>686</v>
      </c>
      <c r="E949" s="224" t="s">
        <v>708</v>
      </c>
      <c r="F949" s="224" t="s">
        <v>663</v>
      </c>
      <c r="G949" s="224" t="s">
        <v>716</v>
      </c>
      <c r="H949" s="224"/>
      <c r="I949" s="229">
        <v>0</v>
      </c>
      <c r="J949" s="229">
        <v>0</v>
      </c>
      <c r="K949" s="229">
        <v>0</v>
      </c>
      <c r="L949" s="229">
        <v>0</v>
      </c>
      <c r="M949" s="229">
        <v>0</v>
      </c>
      <c r="N949" s="229">
        <v>0</v>
      </c>
      <c r="O949" s="229">
        <v>0</v>
      </c>
      <c r="P949" s="229">
        <v>0</v>
      </c>
      <c r="Q949" s="279">
        <v>0</v>
      </c>
    </row>
    <row r="950" spans="1:19" customFormat="1">
      <c r="A950" s="224">
        <v>2</v>
      </c>
      <c r="B950" s="224">
        <v>4820933</v>
      </c>
      <c r="C950" s="224">
        <v>482093300</v>
      </c>
      <c r="D950" s="224" t="s">
        <v>686</v>
      </c>
      <c r="E950" s="224" t="s">
        <v>708</v>
      </c>
      <c r="F950" s="224" t="s">
        <v>663</v>
      </c>
      <c r="G950" s="224" t="s">
        <v>717</v>
      </c>
      <c r="H950" s="224"/>
      <c r="I950" s="229">
        <v>0</v>
      </c>
      <c r="J950" s="229">
        <v>0</v>
      </c>
      <c r="K950" s="229">
        <v>0</v>
      </c>
      <c r="L950" s="229">
        <v>0</v>
      </c>
      <c r="M950" s="229">
        <v>0</v>
      </c>
      <c r="N950" s="229">
        <v>0</v>
      </c>
      <c r="O950" s="229">
        <v>0</v>
      </c>
      <c r="P950" s="229">
        <v>0</v>
      </c>
      <c r="Q950" s="279">
        <v>0</v>
      </c>
    </row>
    <row r="951" spans="1:19" customFormat="1">
      <c r="A951" s="224">
        <v>2</v>
      </c>
      <c r="B951" s="224">
        <v>4821034</v>
      </c>
      <c r="C951" s="224">
        <v>482103411</v>
      </c>
      <c r="D951" s="224" t="s">
        <v>686</v>
      </c>
      <c r="E951" s="224" t="s">
        <v>708</v>
      </c>
      <c r="F951" s="224" t="s">
        <v>661</v>
      </c>
      <c r="G951" s="224" t="s">
        <v>718</v>
      </c>
      <c r="H951" s="224" t="s">
        <v>691</v>
      </c>
      <c r="I951" s="229">
        <v>0</v>
      </c>
      <c r="J951" s="229">
        <v>0</v>
      </c>
      <c r="K951" s="229">
        <v>0</v>
      </c>
      <c r="L951" s="229">
        <v>0</v>
      </c>
      <c r="M951" s="229">
        <v>0</v>
      </c>
      <c r="N951" s="229">
        <v>0</v>
      </c>
      <c r="O951" s="229">
        <v>0</v>
      </c>
      <c r="P951" s="229">
        <v>0</v>
      </c>
      <c r="Q951" s="279">
        <v>0</v>
      </c>
    </row>
    <row r="952" spans="1:19" customFormat="1">
      <c r="A952" s="224">
        <v>2</v>
      </c>
      <c r="B952" s="224">
        <v>4821034</v>
      </c>
      <c r="C952" s="224">
        <v>482103412</v>
      </c>
      <c r="D952" s="224" t="s">
        <v>686</v>
      </c>
      <c r="E952" s="224" t="s">
        <v>708</v>
      </c>
      <c r="F952" s="224" t="s">
        <v>661</v>
      </c>
      <c r="G952" s="224" t="s">
        <v>718</v>
      </c>
      <c r="H952" s="224" t="s">
        <v>692</v>
      </c>
      <c r="I952" s="229">
        <v>0</v>
      </c>
      <c r="J952" s="229">
        <v>0</v>
      </c>
      <c r="K952" s="229">
        <v>0</v>
      </c>
      <c r="L952" s="229">
        <v>0</v>
      </c>
      <c r="M952" s="229">
        <v>0</v>
      </c>
      <c r="N952" s="229">
        <v>0</v>
      </c>
      <c r="O952" s="229">
        <v>0</v>
      </c>
      <c r="P952" s="229">
        <v>0</v>
      </c>
      <c r="Q952" s="279">
        <v>0</v>
      </c>
    </row>
    <row r="953" spans="1:19" customFormat="1">
      <c r="A953" s="224">
        <v>2</v>
      </c>
      <c r="B953" s="224">
        <v>4821034</v>
      </c>
      <c r="C953" s="224">
        <v>482103413</v>
      </c>
      <c r="D953" s="224" t="s">
        <v>686</v>
      </c>
      <c r="E953" s="224" t="s">
        <v>708</v>
      </c>
      <c r="F953" s="224" t="s">
        <v>661</v>
      </c>
      <c r="G953" s="224" t="s">
        <v>718</v>
      </c>
      <c r="H953" s="224" t="s">
        <v>693</v>
      </c>
      <c r="I953" s="229">
        <v>0</v>
      </c>
      <c r="J953" s="229">
        <v>0</v>
      </c>
      <c r="K953" s="229">
        <v>0</v>
      </c>
      <c r="L953" s="229">
        <v>0</v>
      </c>
      <c r="M953" s="229">
        <v>0</v>
      </c>
      <c r="N953" s="229">
        <v>0</v>
      </c>
      <c r="O953" s="229">
        <v>0</v>
      </c>
      <c r="P953" s="229">
        <v>0</v>
      </c>
      <c r="Q953" s="279">
        <v>0</v>
      </c>
    </row>
    <row r="954" spans="1:19" customFormat="1">
      <c r="A954" s="224">
        <v>2</v>
      </c>
      <c r="B954" s="224">
        <v>4821034</v>
      </c>
      <c r="C954" s="224">
        <v>482103414</v>
      </c>
      <c r="D954" s="224" t="s">
        <v>686</v>
      </c>
      <c r="E954" s="224" t="s">
        <v>708</v>
      </c>
      <c r="F954" s="224" t="s">
        <v>661</v>
      </c>
      <c r="G954" s="224" t="s">
        <v>718</v>
      </c>
      <c r="H954" s="224" t="s">
        <v>719</v>
      </c>
      <c r="I954" s="229">
        <v>0</v>
      </c>
      <c r="J954" s="229">
        <v>0</v>
      </c>
      <c r="K954" s="229">
        <v>0</v>
      </c>
      <c r="L954" s="229">
        <v>0</v>
      </c>
      <c r="M954" s="229">
        <v>0</v>
      </c>
      <c r="N954" s="229">
        <v>0</v>
      </c>
      <c r="O954" s="229">
        <v>0</v>
      </c>
      <c r="P954" s="229">
        <v>0</v>
      </c>
      <c r="Q954" s="279">
        <v>0</v>
      </c>
    </row>
    <row r="955" spans="1:19" customFormat="1">
      <c r="A955" s="224">
        <v>2</v>
      </c>
      <c r="B955" s="224">
        <v>4821035</v>
      </c>
      <c r="C955" s="224">
        <v>482103500</v>
      </c>
      <c r="D955" s="224" t="s">
        <v>686</v>
      </c>
      <c r="E955" s="224" t="s">
        <v>708</v>
      </c>
      <c r="F955" s="224" t="s">
        <v>661</v>
      </c>
      <c r="G955" s="224" t="s">
        <v>720</v>
      </c>
      <c r="H955" s="224"/>
      <c r="I955" s="229">
        <v>0</v>
      </c>
      <c r="J955" s="229">
        <v>0</v>
      </c>
      <c r="K955" s="229">
        <v>0</v>
      </c>
      <c r="L955" s="229">
        <v>0</v>
      </c>
      <c r="M955" s="229">
        <v>0</v>
      </c>
      <c r="N955" s="229">
        <v>0</v>
      </c>
      <c r="O955" s="229">
        <v>0</v>
      </c>
      <c r="P955" s="229">
        <v>0</v>
      </c>
      <c r="Q955" s="279">
        <v>0</v>
      </c>
    </row>
    <row r="956" spans="1:19" customFormat="1">
      <c r="A956" s="224">
        <v>2</v>
      </c>
      <c r="B956" s="224">
        <v>4821137</v>
      </c>
      <c r="C956" s="224">
        <v>482113700</v>
      </c>
      <c r="D956" s="224" t="s">
        <v>686</v>
      </c>
      <c r="E956" s="224" t="s">
        <v>708</v>
      </c>
      <c r="F956" s="224" t="s">
        <v>685</v>
      </c>
      <c r="G956" s="224" t="s">
        <v>685</v>
      </c>
      <c r="H956" s="224"/>
      <c r="I956" s="229">
        <v>0</v>
      </c>
      <c r="J956" s="229">
        <v>0</v>
      </c>
      <c r="K956" s="229">
        <v>0</v>
      </c>
      <c r="L956" s="229">
        <v>0</v>
      </c>
      <c r="M956" s="229">
        <v>0</v>
      </c>
      <c r="N956" s="229">
        <v>0</v>
      </c>
      <c r="O956" s="229">
        <v>0</v>
      </c>
      <c r="P956" s="229">
        <v>0</v>
      </c>
      <c r="Q956" s="279">
        <v>0</v>
      </c>
    </row>
    <row r="957" spans="1:19" customFormat="1">
      <c r="A957" s="224">
        <v>2</v>
      </c>
      <c r="B957" s="224">
        <v>4821236</v>
      </c>
      <c r="C957" s="224">
        <v>482123600</v>
      </c>
      <c r="D957" s="224" t="s">
        <v>686</v>
      </c>
      <c r="E957" s="224" t="s">
        <v>708</v>
      </c>
      <c r="F957" s="224" t="s">
        <v>707</v>
      </c>
      <c r="G957" s="224" t="s">
        <v>722</v>
      </c>
      <c r="H957" s="224"/>
      <c r="I957" s="229">
        <v>0</v>
      </c>
      <c r="J957" s="229">
        <v>0</v>
      </c>
      <c r="K957" s="229">
        <v>0</v>
      </c>
      <c r="L957" s="229">
        <v>0</v>
      </c>
      <c r="M957" s="229">
        <v>0</v>
      </c>
      <c r="N957" s="229">
        <v>0</v>
      </c>
      <c r="O957" s="229">
        <v>0</v>
      </c>
      <c r="P957" s="229">
        <v>0</v>
      </c>
      <c r="Q957" s="279">
        <v>0</v>
      </c>
    </row>
    <row r="958" spans="1:19" customFormat="1">
      <c r="A958" s="224">
        <v>2</v>
      </c>
      <c r="B958" s="224">
        <v>4821240</v>
      </c>
      <c r="C958" s="224">
        <v>482124000</v>
      </c>
      <c r="D958" s="224" t="s">
        <v>686</v>
      </c>
      <c r="E958" s="224" t="s">
        <v>708</v>
      </c>
      <c r="F958" s="224" t="s">
        <v>707</v>
      </c>
      <c r="G958" s="224" t="s">
        <v>723</v>
      </c>
      <c r="H958" s="224"/>
      <c r="I958" s="229">
        <v>42600</v>
      </c>
      <c r="J958" s="229">
        <v>0</v>
      </c>
      <c r="K958" s="229">
        <v>0</v>
      </c>
      <c r="L958" s="229">
        <v>0</v>
      </c>
      <c r="M958" s="229">
        <v>0</v>
      </c>
      <c r="N958" s="229">
        <v>0</v>
      </c>
      <c r="O958" s="229">
        <v>42600</v>
      </c>
      <c r="P958" s="229">
        <v>0</v>
      </c>
      <c r="Q958" s="279">
        <v>0</v>
      </c>
    </row>
    <row r="959" spans="1:19" customFormat="1">
      <c r="A959" s="224">
        <v>2</v>
      </c>
      <c r="B959" s="224">
        <v>4821301</v>
      </c>
      <c r="C959" s="224">
        <v>482130103</v>
      </c>
      <c r="D959" s="224" t="s">
        <v>686</v>
      </c>
      <c r="E959" s="224" t="s">
        <v>708</v>
      </c>
      <c r="F959" s="224" t="s">
        <v>724</v>
      </c>
      <c r="G959" s="224" t="s">
        <v>724</v>
      </c>
      <c r="H959" s="224" t="s">
        <v>725</v>
      </c>
      <c r="I959" s="229">
        <v>852423</v>
      </c>
      <c r="J959" s="229">
        <v>0</v>
      </c>
      <c r="K959" s="229">
        <v>0</v>
      </c>
      <c r="L959" s="229">
        <v>0</v>
      </c>
      <c r="M959" s="229">
        <v>0</v>
      </c>
      <c r="N959" s="229">
        <v>0</v>
      </c>
      <c r="O959" s="229">
        <v>0</v>
      </c>
      <c r="P959" s="229">
        <v>852423</v>
      </c>
      <c r="Q959" s="279">
        <v>0</v>
      </c>
    </row>
    <row r="960" spans="1:19" customFormat="1">
      <c r="A960" s="224">
        <v>2</v>
      </c>
      <c r="B960" s="224">
        <v>4821301</v>
      </c>
      <c r="C960" s="224">
        <v>482130104</v>
      </c>
      <c r="D960" s="224" t="s">
        <v>686</v>
      </c>
      <c r="E960" s="224" t="s">
        <v>708</v>
      </c>
      <c r="F960" s="224" t="s">
        <v>724</v>
      </c>
      <c r="G960" s="224" t="s">
        <v>724</v>
      </c>
      <c r="H960" s="224" t="s">
        <v>655</v>
      </c>
      <c r="I960" s="290">
        <v>49993041</v>
      </c>
      <c r="J960" s="229">
        <v>0</v>
      </c>
      <c r="K960" s="229">
        <v>0</v>
      </c>
      <c r="L960" s="229">
        <v>0</v>
      </c>
      <c r="M960" s="229">
        <v>0</v>
      </c>
      <c r="N960" s="229">
        <v>0</v>
      </c>
      <c r="O960" s="229">
        <v>0</v>
      </c>
      <c r="P960" s="290">
        <v>49993041</v>
      </c>
      <c r="Q960" s="279">
        <v>0</v>
      </c>
      <c r="S960" s="259" t="s">
        <v>876</v>
      </c>
    </row>
    <row r="961" spans="1:17" customFormat="1">
      <c r="A961" s="224">
        <v>2</v>
      </c>
      <c r="B961" s="224">
        <v>4821301</v>
      </c>
      <c r="C961" s="224">
        <v>482130105</v>
      </c>
      <c r="D961" s="224" t="s">
        <v>686</v>
      </c>
      <c r="E961" s="224" t="s">
        <v>708</v>
      </c>
      <c r="F961" s="224" t="s">
        <v>724</v>
      </c>
      <c r="G961" s="224" t="s">
        <v>724</v>
      </c>
      <c r="H961" s="224" t="s">
        <v>715</v>
      </c>
      <c r="I961" s="229">
        <v>46908935</v>
      </c>
      <c r="J961" s="229">
        <v>0</v>
      </c>
      <c r="K961" s="229">
        <v>0</v>
      </c>
      <c r="L961" s="229">
        <v>0</v>
      </c>
      <c r="M961" s="229">
        <v>0</v>
      </c>
      <c r="N961" s="229">
        <v>0</v>
      </c>
      <c r="O961" s="229">
        <v>0</v>
      </c>
      <c r="P961" s="229">
        <v>46908935</v>
      </c>
      <c r="Q961" s="279">
        <v>0</v>
      </c>
    </row>
    <row r="962" spans="1:17" customFormat="1">
      <c r="A962" s="224">
        <v>2</v>
      </c>
      <c r="B962" s="224">
        <v>4821301</v>
      </c>
      <c r="C962" s="224">
        <v>482130107</v>
      </c>
      <c r="D962" s="224" t="s">
        <v>686</v>
      </c>
      <c r="E962" s="224" t="s">
        <v>708</v>
      </c>
      <c r="F962" s="224" t="s">
        <v>724</v>
      </c>
      <c r="G962" s="224" t="s">
        <v>724</v>
      </c>
      <c r="H962" s="224" t="s">
        <v>847</v>
      </c>
      <c r="I962" s="229">
        <v>11072772</v>
      </c>
      <c r="J962" s="229">
        <v>0</v>
      </c>
      <c r="K962" s="229">
        <v>0</v>
      </c>
      <c r="L962" s="229">
        <v>0</v>
      </c>
      <c r="M962" s="229">
        <v>0</v>
      </c>
      <c r="N962" s="229">
        <v>0</v>
      </c>
      <c r="O962" s="229">
        <v>0</v>
      </c>
      <c r="P962" s="229">
        <v>11072772</v>
      </c>
      <c r="Q962" s="279">
        <v>0</v>
      </c>
    </row>
    <row r="963" spans="1:17" customFormat="1">
      <c r="A963" s="224">
        <v>2</v>
      </c>
      <c r="B963" s="224">
        <v>4821301</v>
      </c>
      <c r="C963" s="224">
        <v>482130108</v>
      </c>
      <c r="D963" s="224" t="s">
        <v>686</v>
      </c>
      <c r="E963" s="224" t="s">
        <v>708</v>
      </c>
      <c r="F963" s="224" t="s">
        <v>724</v>
      </c>
      <c r="G963" s="224" t="s">
        <v>724</v>
      </c>
      <c r="H963" s="224" t="s">
        <v>665</v>
      </c>
      <c r="I963" s="229">
        <v>633019</v>
      </c>
      <c r="J963" s="229">
        <v>0</v>
      </c>
      <c r="K963" s="229">
        <v>0</v>
      </c>
      <c r="L963" s="229">
        <v>0</v>
      </c>
      <c r="M963" s="229">
        <v>0</v>
      </c>
      <c r="N963" s="229">
        <v>0</v>
      </c>
      <c r="O963" s="229">
        <v>0</v>
      </c>
      <c r="P963" s="229">
        <v>633019</v>
      </c>
      <c r="Q963" s="279">
        <v>0</v>
      </c>
    </row>
    <row r="964" spans="1:17" customFormat="1">
      <c r="A964" s="224">
        <v>2</v>
      </c>
      <c r="B964" s="224">
        <v>4821301</v>
      </c>
      <c r="C964" s="224">
        <v>482130110</v>
      </c>
      <c r="D964" s="224" t="s">
        <v>686</v>
      </c>
      <c r="E964" s="224" t="s">
        <v>708</v>
      </c>
      <c r="F964" s="224" t="s">
        <v>724</v>
      </c>
      <c r="G964" s="224" t="s">
        <v>724</v>
      </c>
      <c r="H964" s="224" t="s">
        <v>661</v>
      </c>
      <c r="I964" s="229">
        <v>0</v>
      </c>
      <c r="J964" s="229">
        <v>0</v>
      </c>
      <c r="K964" s="229">
        <v>0</v>
      </c>
      <c r="L964" s="229">
        <v>0</v>
      </c>
      <c r="M964" s="229">
        <v>0</v>
      </c>
      <c r="N964" s="229">
        <v>0</v>
      </c>
      <c r="O964" s="229">
        <v>0</v>
      </c>
      <c r="P964" s="229">
        <v>0</v>
      </c>
      <c r="Q964" s="279">
        <v>0</v>
      </c>
    </row>
    <row r="965" spans="1:17" customFormat="1">
      <c r="A965" s="224">
        <v>2</v>
      </c>
      <c r="B965" s="224">
        <v>4821301</v>
      </c>
      <c r="C965" s="224">
        <v>482130120</v>
      </c>
      <c r="D965" s="224" t="s">
        <v>686</v>
      </c>
      <c r="E965" s="224" t="s">
        <v>708</v>
      </c>
      <c r="F965" s="224" t="s">
        <v>724</v>
      </c>
      <c r="G965" s="224" t="s">
        <v>724</v>
      </c>
      <c r="H965" s="224" t="s">
        <v>726</v>
      </c>
      <c r="I965" s="229">
        <v>2787</v>
      </c>
      <c r="J965" s="229">
        <v>0</v>
      </c>
      <c r="K965" s="229">
        <v>0</v>
      </c>
      <c r="L965" s="229">
        <v>0</v>
      </c>
      <c r="M965" s="229">
        <v>0</v>
      </c>
      <c r="N965" s="229">
        <v>0</v>
      </c>
      <c r="O965" s="229">
        <v>0</v>
      </c>
      <c r="P965" s="229">
        <v>2787</v>
      </c>
      <c r="Q965" s="279">
        <v>0</v>
      </c>
    </row>
    <row r="966" spans="1:17" customFormat="1">
      <c r="A966" s="224">
        <v>2</v>
      </c>
      <c r="B966" s="224">
        <v>4830202</v>
      </c>
      <c r="C966" s="224">
        <v>483020200</v>
      </c>
      <c r="D966" s="224" t="s">
        <v>686</v>
      </c>
      <c r="E966" s="224" t="s">
        <v>727</v>
      </c>
      <c r="F966" s="224" t="s">
        <v>728</v>
      </c>
      <c r="G966" s="224" t="s">
        <v>728</v>
      </c>
      <c r="H966" s="224"/>
      <c r="I966" s="229">
        <v>0</v>
      </c>
      <c r="J966" s="229">
        <v>0</v>
      </c>
      <c r="K966" s="229">
        <v>0</v>
      </c>
      <c r="L966" s="229">
        <v>0</v>
      </c>
      <c r="M966" s="229">
        <v>0</v>
      </c>
      <c r="N966" s="229">
        <v>0</v>
      </c>
      <c r="O966" s="229">
        <v>0</v>
      </c>
      <c r="P966" s="229">
        <v>0</v>
      </c>
      <c r="Q966" s="279">
        <v>0</v>
      </c>
    </row>
    <row r="967" spans="1:17" customFormat="1">
      <c r="A967" s="224">
        <v>2</v>
      </c>
      <c r="B967" s="224">
        <v>4830404</v>
      </c>
      <c r="C967" s="224">
        <v>483040400</v>
      </c>
      <c r="D967" s="224" t="s">
        <v>686</v>
      </c>
      <c r="E967" s="224" t="s">
        <v>727</v>
      </c>
      <c r="F967" s="224" t="s">
        <v>729</v>
      </c>
      <c r="G967" s="224" t="s">
        <v>729</v>
      </c>
      <c r="H967" s="224"/>
      <c r="I967" s="229">
        <v>17509</v>
      </c>
      <c r="J967" s="229">
        <v>0</v>
      </c>
      <c r="K967" s="229">
        <v>0</v>
      </c>
      <c r="L967" s="229">
        <v>0</v>
      </c>
      <c r="M967" s="229">
        <v>0</v>
      </c>
      <c r="N967" s="229">
        <v>17509</v>
      </c>
      <c r="O967" s="229">
        <v>0</v>
      </c>
      <c r="P967" s="229">
        <v>0</v>
      </c>
      <c r="Q967" s="279">
        <v>0</v>
      </c>
    </row>
    <row r="968" spans="1:17" customFormat="1">
      <c r="A968" s="224">
        <v>2</v>
      </c>
      <c r="B968" s="224">
        <v>4830606</v>
      </c>
      <c r="C968" s="224">
        <v>483060600</v>
      </c>
      <c r="D968" s="224" t="s">
        <v>686</v>
      </c>
      <c r="E968" s="224" t="s">
        <v>727</v>
      </c>
      <c r="F968" s="224" t="s">
        <v>730</v>
      </c>
      <c r="G968" s="224" t="s">
        <v>730</v>
      </c>
      <c r="H968" s="224"/>
      <c r="I968" s="229">
        <v>0</v>
      </c>
      <c r="J968" s="229">
        <v>0</v>
      </c>
      <c r="K968" s="229">
        <v>0</v>
      </c>
      <c r="L968" s="229">
        <v>0</v>
      </c>
      <c r="M968" s="229">
        <v>0</v>
      </c>
      <c r="N968" s="229">
        <v>0</v>
      </c>
      <c r="O968" s="229">
        <v>0</v>
      </c>
      <c r="P968" s="229">
        <v>0</v>
      </c>
      <c r="Q968" s="279">
        <v>0</v>
      </c>
    </row>
    <row r="969" spans="1:17" customFormat="1">
      <c r="A969" s="224">
        <v>2</v>
      </c>
      <c r="B969" s="224">
        <v>4830607</v>
      </c>
      <c r="C969" s="224">
        <v>483060700</v>
      </c>
      <c r="D969" s="224" t="s">
        <v>686</v>
      </c>
      <c r="E969" s="224" t="s">
        <v>727</v>
      </c>
      <c r="F969" s="224" t="s">
        <v>730</v>
      </c>
      <c r="G969" s="224" t="s">
        <v>731</v>
      </c>
      <c r="H969" s="224"/>
      <c r="I969" s="229">
        <v>0</v>
      </c>
      <c r="J969" s="229">
        <v>0</v>
      </c>
      <c r="K969" s="229">
        <v>0</v>
      </c>
      <c r="L969" s="229">
        <v>0</v>
      </c>
      <c r="M969" s="229">
        <v>0</v>
      </c>
      <c r="N969" s="229">
        <v>0</v>
      </c>
      <c r="O969" s="229">
        <v>0</v>
      </c>
      <c r="P969" s="229">
        <v>0</v>
      </c>
      <c r="Q969" s="279">
        <v>0</v>
      </c>
    </row>
    <row r="970" spans="1:17" customFormat="1">
      <c r="A970" s="224">
        <v>2</v>
      </c>
      <c r="B970" s="224">
        <v>4830608</v>
      </c>
      <c r="C970" s="224">
        <v>483060800</v>
      </c>
      <c r="D970" s="224" t="s">
        <v>686</v>
      </c>
      <c r="E970" s="224" t="s">
        <v>727</v>
      </c>
      <c r="F970" s="224" t="s">
        <v>730</v>
      </c>
      <c r="G970" s="224" t="s">
        <v>732</v>
      </c>
      <c r="H970" s="224"/>
      <c r="I970" s="229">
        <v>0</v>
      </c>
      <c r="J970" s="229">
        <v>0</v>
      </c>
      <c r="K970" s="229">
        <v>0</v>
      </c>
      <c r="L970" s="229">
        <v>0</v>
      </c>
      <c r="M970" s="229">
        <v>0</v>
      </c>
      <c r="N970" s="229">
        <v>0</v>
      </c>
      <c r="O970" s="229">
        <v>0</v>
      </c>
      <c r="P970" s="229">
        <v>0</v>
      </c>
      <c r="Q970" s="279">
        <v>0</v>
      </c>
    </row>
    <row r="971" spans="1:17" customFormat="1">
      <c r="A971" s="224">
        <v>2</v>
      </c>
      <c r="B971" s="224">
        <v>4830808</v>
      </c>
      <c r="C971" s="224">
        <v>483080800</v>
      </c>
      <c r="D971" s="224" t="s">
        <v>686</v>
      </c>
      <c r="E971" s="224" t="s">
        <v>727</v>
      </c>
      <c r="F971" s="224" t="s">
        <v>733</v>
      </c>
      <c r="G971" s="224" t="s">
        <v>733</v>
      </c>
      <c r="H971" s="224"/>
      <c r="I971" s="229">
        <v>0</v>
      </c>
      <c r="J971" s="229">
        <v>0</v>
      </c>
      <c r="K971" s="229">
        <v>0</v>
      </c>
      <c r="L971" s="229">
        <v>0</v>
      </c>
      <c r="M971" s="229">
        <v>0</v>
      </c>
      <c r="N971" s="229">
        <v>0</v>
      </c>
      <c r="O971" s="229">
        <v>0</v>
      </c>
      <c r="P971" s="229">
        <v>0</v>
      </c>
      <c r="Q971" s="279">
        <v>0</v>
      </c>
    </row>
    <row r="972" spans="1:17" customFormat="1">
      <c r="A972" s="224">
        <v>2</v>
      </c>
      <c r="B972" s="224">
        <v>6155075</v>
      </c>
      <c r="C972" s="224">
        <v>615507583</v>
      </c>
      <c r="D972" s="224" t="s">
        <v>734</v>
      </c>
      <c r="E972" s="224" t="s">
        <v>735</v>
      </c>
      <c r="F972" s="224" t="s">
        <v>783</v>
      </c>
      <c r="G972" s="224" t="s">
        <v>773</v>
      </c>
      <c r="H972" s="224" t="s">
        <v>75</v>
      </c>
      <c r="I972" s="229">
        <v>0</v>
      </c>
      <c r="J972" s="229">
        <v>0</v>
      </c>
      <c r="K972" s="229">
        <v>0</v>
      </c>
      <c r="L972" s="229">
        <v>0</v>
      </c>
      <c r="M972" s="229">
        <v>0</v>
      </c>
      <c r="N972" s="229">
        <v>0</v>
      </c>
      <c r="O972" s="229">
        <v>0</v>
      </c>
      <c r="P972" s="229">
        <v>0</v>
      </c>
      <c r="Q972" s="279">
        <v>0</v>
      </c>
    </row>
    <row r="973" spans="1:17" customFormat="1">
      <c r="A973" s="224">
        <v>2</v>
      </c>
      <c r="B973" s="224">
        <v>6155075</v>
      </c>
      <c r="C973" s="224">
        <v>615507585</v>
      </c>
      <c r="D973" s="224" t="s">
        <v>734</v>
      </c>
      <c r="E973" s="224" t="s">
        <v>735</v>
      </c>
      <c r="F973" s="224" t="s">
        <v>783</v>
      </c>
      <c r="G973" s="224" t="s">
        <v>773</v>
      </c>
      <c r="H973" s="224" t="s">
        <v>775</v>
      </c>
      <c r="I973" s="229">
        <v>0</v>
      </c>
      <c r="J973" s="229">
        <v>0</v>
      </c>
      <c r="K973" s="229">
        <v>0</v>
      </c>
      <c r="L973" s="229">
        <v>0</v>
      </c>
      <c r="M973" s="229">
        <v>0</v>
      </c>
      <c r="N973" s="229">
        <v>0</v>
      </c>
      <c r="O973" s="229">
        <v>0</v>
      </c>
      <c r="P973" s="229">
        <v>0</v>
      </c>
      <c r="Q973" s="279">
        <v>0</v>
      </c>
    </row>
    <row r="974" spans="1:17" customFormat="1">
      <c r="A974" s="224">
        <v>2</v>
      </c>
      <c r="B974" s="224">
        <v>6155075</v>
      </c>
      <c r="C974" s="224">
        <v>615507586</v>
      </c>
      <c r="D974" s="224" t="s">
        <v>734</v>
      </c>
      <c r="E974" s="224" t="s">
        <v>735</v>
      </c>
      <c r="F974" s="224" t="s">
        <v>783</v>
      </c>
      <c r="G974" s="224" t="s">
        <v>773</v>
      </c>
      <c r="H974" s="224" t="s">
        <v>776</v>
      </c>
      <c r="I974" s="229">
        <v>0</v>
      </c>
      <c r="J974" s="229">
        <v>0</v>
      </c>
      <c r="K974" s="229">
        <v>0</v>
      </c>
      <c r="L974" s="229">
        <v>0</v>
      </c>
      <c r="M974" s="229">
        <v>0</v>
      </c>
      <c r="N974" s="229">
        <v>0</v>
      </c>
      <c r="O974" s="229">
        <v>0</v>
      </c>
      <c r="P974" s="229">
        <v>0</v>
      </c>
      <c r="Q974" s="279">
        <v>0</v>
      </c>
    </row>
    <row r="975" spans="1:17" customFormat="1">
      <c r="A975" s="224">
        <v>2</v>
      </c>
      <c r="B975" s="224">
        <v>6155113</v>
      </c>
      <c r="C975" s="224">
        <v>615511300</v>
      </c>
      <c r="D975" s="224" t="s">
        <v>734</v>
      </c>
      <c r="E975" s="224" t="s">
        <v>735</v>
      </c>
      <c r="F975" s="224" t="s">
        <v>784</v>
      </c>
      <c r="G975" s="224" t="s">
        <v>93</v>
      </c>
      <c r="H975" s="224"/>
      <c r="I975" s="229">
        <v>0</v>
      </c>
      <c r="J975" s="229">
        <v>0</v>
      </c>
      <c r="K975" s="229">
        <v>0</v>
      </c>
      <c r="L975" s="229">
        <v>0</v>
      </c>
      <c r="M975" s="229">
        <v>0</v>
      </c>
      <c r="N975" s="229">
        <v>0</v>
      </c>
      <c r="O975" s="229">
        <v>0</v>
      </c>
      <c r="P975" s="229">
        <v>0</v>
      </c>
      <c r="Q975" s="279">
        <v>0</v>
      </c>
    </row>
    <row r="976" spans="1:17" customFormat="1">
      <c r="A976" s="224">
        <v>2</v>
      </c>
      <c r="B976" s="224">
        <v>6155175</v>
      </c>
      <c r="C976" s="224">
        <v>615517583</v>
      </c>
      <c r="D976" s="224" t="s">
        <v>734</v>
      </c>
      <c r="E976" s="224" t="s">
        <v>735</v>
      </c>
      <c r="F976" s="224" t="s">
        <v>784</v>
      </c>
      <c r="G976" s="224" t="s">
        <v>773</v>
      </c>
      <c r="H976" s="224" t="s">
        <v>75</v>
      </c>
      <c r="I976" s="229">
        <v>0</v>
      </c>
      <c r="J976" s="229">
        <v>0</v>
      </c>
      <c r="K976" s="229">
        <v>0</v>
      </c>
      <c r="L976" s="229">
        <v>0</v>
      </c>
      <c r="M976" s="229">
        <v>0</v>
      </c>
      <c r="N976" s="229">
        <v>0</v>
      </c>
      <c r="O976" s="229">
        <v>0</v>
      </c>
      <c r="P976" s="229">
        <v>0</v>
      </c>
      <c r="Q976" s="279">
        <v>0</v>
      </c>
    </row>
    <row r="977" spans="1:17" customFormat="1">
      <c r="A977" s="224">
        <v>2</v>
      </c>
      <c r="B977" s="224">
        <v>6155277</v>
      </c>
      <c r="C977" s="224">
        <v>615527700</v>
      </c>
      <c r="D977" s="224" t="s">
        <v>734</v>
      </c>
      <c r="E977" s="224" t="s">
        <v>735</v>
      </c>
      <c r="F977" s="224" t="s">
        <v>785</v>
      </c>
      <c r="G977" s="224" t="s">
        <v>786</v>
      </c>
      <c r="H977" s="224"/>
      <c r="I977" s="229">
        <v>0</v>
      </c>
      <c r="J977" s="229">
        <v>0</v>
      </c>
      <c r="K977" s="229">
        <v>0</v>
      </c>
      <c r="L977" s="229">
        <v>0</v>
      </c>
      <c r="M977" s="229">
        <v>0</v>
      </c>
      <c r="N977" s="229">
        <v>0</v>
      </c>
      <c r="O977" s="229">
        <v>0</v>
      </c>
      <c r="P977" s="229">
        <v>0</v>
      </c>
      <c r="Q977" s="279">
        <v>0</v>
      </c>
    </row>
    <row r="978" spans="1:17" customFormat="1">
      <c r="A978" s="224">
        <v>2</v>
      </c>
      <c r="B978" s="224">
        <v>6155278</v>
      </c>
      <c r="C978" s="224">
        <v>615527800</v>
      </c>
      <c r="D978" s="224" t="s">
        <v>734</v>
      </c>
      <c r="E978" s="224" t="s">
        <v>735</v>
      </c>
      <c r="F978" s="224" t="s">
        <v>785</v>
      </c>
      <c r="G978" s="224" t="s">
        <v>787</v>
      </c>
      <c r="H978" s="224"/>
      <c r="I978" s="229">
        <v>0</v>
      </c>
      <c r="J978" s="229">
        <v>0</v>
      </c>
      <c r="K978" s="229">
        <v>0</v>
      </c>
      <c r="L978" s="229">
        <v>0</v>
      </c>
      <c r="M978" s="229">
        <v>0</v>
      </c>
      <c r="N978" s="229">
        <v>0</v>
      </c>
      <c r="O978" s="229">
        <v>0</v>
      </c>
      <c r="P978" s="229">
        <v>0</v>
      </c>
      <c r="Q978" s="279">
        <v>0</v>
      </c>
    </row>
    <row r="979" spans="1:17" customFormat="1">
      <c r="A979" s="224">
        <v>2</v>
      </c>
      <c r="B979" s="224">
        <v>6155301</v>
      </c>
      <c r="C979" s="224">
        <v>615530102</v>
      </c>
      <c r="D979" s="224" t="s">
        <v>734</v>
      </c>
      <c r="E979" s="224" t="s">
        <v>735</v>
      </c>
      <c r="F979" s="224" t="s">
        <v>851</v>
      </c>
      <c r="G979" s="224" t="s">
        <v>112</v>
      </c>
      <c r="H979" s="224" t="s">
        <v>737</v>
      </c>
      <c r="I979" s="229">
        <v>0</v>
      </c>
      <c r="J979" s="229">
        <v>0</v>
      </c>
      <c r="K979" s="229">
        <v>0</v>
      </c>
      <c r="L979" s="229">
        <v>0</v>
      </c>
      <c r="M979" s="229">
        <v>0</v>
      </c>
      <c r="N979" s="229">
        <v>0</v>
      </c>
      <c r="O979" s="229">
        <v>0</v>
      </c>
      <c r="P979" s="229">
        <v>0</v>
      </c>
      <c r="Q979" s="279">
        <v>0</v>
      </c>
    </row>
    <row r="980" spans="1:17" customFormat="1">
      <c r="A980" s="224">
        <v>2</v>
      </c>
      <c r="B980" s="224">
        <v>6155301</v>
      </c>
      <c r="C980" s="224">
        <v>615530103</v>
      </c>
      <c r="D980" s="224" t="s">
        <v>734</v>
      </c>
      <c r="E980" s="224" t="s">
        <v>735</v>
      </c>
      <c r="F980" s="224" t="s">
        <v>851</v>
      </c>
      <c r="G980" s="224" t="s">
        <v>112</v>
      </c>
      <c r="H980" s="224" t="s">
        <v>738</v>
      </c>
      <c r="I980" s="229">
        <v>0</v>
      </c>
      <c r="J980" s="229">
        <v>0</v>
      </c>
      <c r="K980" s="229">
        <v>0</v>
      </c>
      <c r="L980" s="229">
        <v>0</v>
      </c>
      <c r="M980" s="229">
        <v>0</v>
      </c>
      <c r="N980" s="229">
        <v>0</v>
      </c>
      <c r="O980" s="229">
        <v>0</v>
      </c>
      <c r="P980" s="229">
        <v>0</v>
      </c>
      <c r="Q980" s="279">
        <v>0</v>
      </c>
    </row>
    <row r="981" spans="1:17" customFormat="1">
      <c r="A981" s="224">
        <v>2</v>
      </c>
      <c r="B981" s="224">
        <v>6155301</v>
      </c>
      <c r="C981" s="224">
        <v>615530104</v>
      </c>
      <c r="D981" s="224" t="s">
        <v>734</v>
      </c>
      <c r="E981" s="224" t="s">
        <v>735</v>
      </c>
      <c r="F981" s="224" t="s">
        <v>851</v>
      </c>
      <c r="G981" s="224" t="s">
        <v>112</v>
      </c>
      <c r="H981" s="224" t="s">
        <v>739</v>
      </c>
      <c r="I981" s="229">
        <v>0</v>
      </c>
      <c r="J981" s="229">
        <v>0</v>
      </c>
      <c r="K981" s="229">
        <v>0</v>
      </c>
      <c r="L981" s="229">
        <v>0</v>
      </c>
      <c r="M981" s="229">
        <v>0</v>
      </c>
      <c r="N981" s="229">
        <v>0</v>
      </c>
      <c r="O981" s="229">
        <v>0</v>
      </c>
      <c r="P981" s="229">
        <v>0</v>
      </c>
      <c r="Q981" s="279">
        <v>0</v>
      </c>
    </row>
    <row r="982" spans="1:17" customFormat="1">
      <c r="A982" s="236">
        <v>2</v>
      </c>
      <c r="B982" s="236">
        <v>6155301</v>
      </c>
      <c r="C982" s="236">
        <v>615530105</v>
      </c>
      <c r="D982" s="236" t="s">
        <v>734</v>
      </c>
      <c r="E982" s="236" t="s">
        <v>735</v>
      </c>
      <c r="F982" s="236" t="s">
        <v>851</v>
      </c>
      <c r="G982" s="236" t="s">
        <v>112</v>
      </c>
      <c r="H982" s="236" t="s">
        <v>740</v>
      </c>
      <c r="I982" s="229">
        <v>0</v>
      </c>
      <c r="J982" s="229">
        <v>0</v>
      </c>
      <c r="K982" s="229">
        <v>0</v>
      </c>
      <c r="L982" s="229">
        <v>0</v>
      </c>
      <c r="M982" s="229">
        <v>0</v>
      </c>
      <c r="N982" s="229">
        <v>0</v>
      </c>
      <c r="O982" s="229">
        <v>0</v>
      </c>
      <c r="P982" s="229">
        <v>0</v>
      </c>
      <c r="Q982" s="279">
        <v>0</v>
      </c>
    </row>
    <row r="983" spans="1:17" customFormat="1">
      <c r="A983" s="224">
        <v>2</v>
      </c>
      <c r="B983" s="224">
        <v>6155302</v>
      </c>
      <c r="C983" s="224">
        <v>615530202</v>
      </c>
      <c r="D983" s="224" t="s">
        <v>734</v>
      </c>
      <c r="E983" s="224" t="s">
        <v>735</v>
      </c>
      <c r="F983" s="224" t="s">
        <v>851</v>
      </c>
      <c r="G983" s="224" t="s">
        <v>110</v>
      </c>
      <c r="H983" s="224" t="s">
        <v>741</v>
      </c>
      <c r="I983" s="229">
        <v>3280800</v>
      </c>
      <c r="J983" s="229">
        <v>0</v>
      </c>
      <c r="K983" s="229">
        <v>0</v>
      </c>
      <c r="L983" s="229">
        <v>0</v>
      </c>
      <c r="M983" s="229">
        <v>0</v>
      </c>
      <c r="N983" s="229">
        <v>0</v>
      </c>
      <c r="O983" s="229">
        <v>0</v>
      </c>
      <c r="P983" s="229">
        <v>3280800</v>
      </c>
      <c r="Q983" s="279">
        <v>0</v>
      </c>
    </row>
    <row r="984" spans="1:17" customFormat="1">
      <c r="A984" s="224">
        <v>2</v>
      </c>
      <c r="B984" s="224">
        <v>6155303</v>
      </c>
      <c r="C984" s="224">
        <v>615530301</v>
      </c>
      <c r="D984" s="224" t="s">
        <v>734</v>
      </c>
      <c r="E984" s="224" t="s">
        <v>735</v>
      </c>
      <c r="F984" s="224" t="s">
        <v>851</v>
      </c>
      <c r="G984" s="224" t="s">
        <v>108</v>
      </c>
      <c r="H984" s="224" t="s">
        <v>742</v>
      </c>
      <c r="I984" s="229">
        <v>352080</v>
      </c>
      <c r="J984" s="229">
        <v>0</v>
      </c>
      <c r="K984" s="229">
        <v>0</v>
      </c>
      <c r="L984" s="229">
        <v>0</v>
      </c>
      <c r="M984" s="229">
        <v>0</v>
      </c>
      <c r="N984" s="229">
        <v>0</v>
      </c>
      <c r="O984" s="229">
        <v>0</v>
      </c>
      <c r="P984" s="229">
        <v>352080</v>
      </c>
      <c r="Q984" s="279">
        <v>0</v>
      </c>
    </row>
    <row r="985" spans="1:17" customFormat="1">
      <c r="A985" s="224">
        <v>2</v>
      </c>
      <c r="B985" s="224">
        <v>6155303</v>
      </c>
      <c r="C985" s="224">
        <v>615530302</v>
      </c>
      <c r="D985" s="224" t="s">
        <v>734</v>
      </c>
      <c r="E985" s="224" t="s">
        <v>735</v>
      </c>
      <c r="F985" s="224" t="s">
        <v>851</v>
      </c>
      <c r="G985" s="224" t="s">
        <v>108</v>
      </c>
      <c r="H985" s="224" t="s">
        <v>743</v>
      </c>
      <c r="I985" s="229">
        <v>240000</v>
      </c>
      <c r="J985" s="229">
        <v>0</v>
      </c>
      <c r="K985" s="229">
        <v>0</v>
      </c>
      <c r="L985" s="229">
        <v>0</v>
      </c>
      <c r="M985" s="229">
        <v>0</v>
      </c>
      <c r="N985" s="229">
        <v>0</v>
      </c>
      <c r="O985" s="229">
        <v>0</v>
      </c>
      <c r="P985" s="229">
        <v>240000</v>
      </c>
      <c r="Q985" s="279">
        <v>0</v>
      </c>
    </row>
    <row r="986" spans="1:17" customFormat="1">
      <c r="A986" s="224">
        <v>2</v>
      </c>
      <c r="B986" s="224">
        <v>6155303</v>
      </c>
      <c r="C986" s="224">
        <v>615530303</v>
      </c>
      <c r="D986" s="224" t="s">
        <v>734</v>
      </c>
      <c r="E986" s="224" t="s">
        <v>735</v>
      </c>
      <c r="F986" s="224" t="s">
        <v>851</v>
      </c>
      <c r="G986" s="224" t="s">
        <v>108</v>
      </c>
      <c r="H986" s="224" t="s">
        <v>744</v>
      </c>
      <c r="I986" s="229">
        <v>1452330</v>
      </c>
      <c r="J986" s="229">
        <v>0</v>
      </c>
      <c r="K986" s="229">
        <v>0</v>
      </c>
      <c r="L986" s="229">
        <v>0</v>
      </c>
      <c r="M986" s="229">
        <v>0</v>
      </c>
      <c r="N986" s="229">
        <v>0</v>
      </c>
      <c r="O986" s="229">
        <v>0</v>
      </c>
      <c r="P986" s="229">
        <v>1452330</v>
      </c>
      <c r="Q986" s="279">
        <v>0</v>
      </c>
    </row>
    <row r="987" spans="1:17" customFormat="1">
      <c r="A987" s="224">
        <v>2</v>
      </c>
      <c r="B987" s="224">
        <v>6155303</v>
      </c>
      <c r="C987" s="224">
        <v>615530304</v>
      </c>
      <c r="D987" s="224" t="s">
        <v>734</v>
      </c>
      <c r="E987" s="224" t="s">
        <v>735</v>
      </c>
      <c r="F987" s="224" t="s">
        <v>851</v>
      </c>
      <c r="G987" s="224" t="s">
        <v>108</v>
      </c>
      <c r="H987" s="224" t="s">
        <v>745</v>
      </c>
      <c r="I987" s="229">
        <v>0</v>
      </c>
      <c r="J987" s="229">
        <v>0</v>
      </c>
      <c r="K987" s="229">
        <v>0</v>
      </c>
      <c r="L987" s="229">
        <v>0</v>
      </c>
      <c r="M987" s="229">
        <v>0</v>
      </c>
      <c r="N987" s="229">
        <v>0</v>
      </c>
      <c r="O987" s="229">
        <v>0</v>
      </c>
      <c r="P987" s="229">
        <v>0</v>
      </c>
      <c r="Q987" s="279">
        <v>0</v>
      </c>
    </row>
    <row r="988" spans="1:17" customFormat="1">
      <c r="A988" s="224">
        <v>2</v>
      </c>
      <c r="B988" s="224">
        <v>6155303</v>
      </c>
      <c r="C988" s="224">
        <v>615530305</v>
      </c>
      <c r="D988" s="224" t="s">
        <v>734</v>
      </c>
      <c r="E988" s="224" t="s">
        <v>735</v>
      </c>
      <c r="F988" s="224" t="s">
        <v>851</v>
      </c>
      <c r="G988" s="224" t="s">
        <v>108</v>
      </c>
      <c r="H988" s="224" t="s">
        <v>746</v>
      </c>
      <c r="I988" s="229">
        <v>0</v>
      </c>
      <c r="J988" s="229">
        <v>0</v>
      </c>
      <c r="K988" s="229">
        <v>0</v>
      </c>
      <c r="L988" s="229">
        <v>0</v>
      </c>
      <c r="M988" s="229">
        <v>0</v>
      </c>
      <c r="N988" s="229">
        <v>0</v>
      </c>
      <c r="O988" s="229">
        <v>0</v>
      </c>
      <c r="P988" s="229">
        <v>0</v>
      </c>
      <c r="Q988" s="279">
        <v>0</v>
      </c>
    </row>
    <row r="989" spans="1:17" customFormat="1">
      <c r="A989" s="224">
        <v>2</v>
      </c>
      <c r="B989" s="224">
        <v>6155303</v>
      </c>
      <c r="C989" s="224">
        <v>615530306</v>
      </c>
      <c r="D989" s="224" t="s">
        <v>734</v>
      </c>
      <c r="E989" s="224" t="s">
        <v>735</v>
      </c>
      <c r="F989" s="224" t="s">
        <v>851</v>
      </c>
      <c r="G989" s="224" t="s">
        <v>108</v>
      </c>
      <c r="H989" s="224" t="s">
        <v>747</v>
      </c>
      <c r="I989" s="229">
        <v>0</v>
      </c>
      <c r="J989" s="229">
        <v>0</v>
      </c>
      <c r="K989" s="229">
        <v>0</v>
      </c>
      <c r="L989" s="229">
        <v>0</v>
      </c>
      <c r="M989" s="229">
        <v>0</v>
      </c>
      <c r="N989" s="229">
        <v>0</v>
      </c>
      <c r="O989" s="229">
        <v>0</v>
      </c>
      <c r="P989" s="229">
        <v>0</v>
      </c>
      <c r="Q989" s="279">
        <v>0</v>
      </c>
    </row>
    <row r="990" spans="1:17" customFormat="1">
      <c r="A990" s="224">
        <v>2</v>
      </c>
      <c r="B990" s="224">
        <v>6155303</v>
      </c>
      <c r="C990" s="224">
        <v>615530307</v>
      </c>
      <c r="D990" s="224" t="s">
        <v>734</v>
      </c>
      <c r="E990" s="224" t="s">
        <v>735</v>
      </c>
      <c r="F990" s="224" t="s">
        <v>851</v>
      </c>
      <c r="G990" s="224" t="s">
        <v>108</v>
      </c>
      <c r="H990" s="224" t="s">
        <v>748</v>
      </c>
      <c r="I990" s="229">
        <v>0</v>
      </c>
      <c r="J990" s="229">
        <v>0</v>
      </c>
      <c r="K990" s="229">
        <v>0</v>
      </c>
      <c r="L990" s="229">
        <v>0</v>
      </c>
      <c r="M990" s="229">
        <v>0</v>
      </c>
      <c r="N990" s="229">
        <v>0</v>
      </c>
      <c r="O990" s="229">
        <v>0</v>
      </c>
      <c r="P990" s="229">
        <v>0</v>
      </c>
      <c r="Q990" s="279">
        <v>0</v>
      </c>
    </row>
    <row r="991" spans="1:17" customFormat="1">
      <c r="A991" s="224">
        <v>2</v>
      </c>
      <c r="B991" s="224">
        <v>6155303</v>
      </c>
      <c r="C991" s="224">
        <v>615530310</v>
      </c>
      <c r="D991" s="224" t="s">
        <v>734</v>
      </c>
      <c r="E991" s="224" t="s">
        <v>735</v>
      </c>
      <c r="F991" s="224" t="s">
        <v>851</v>
      </c>
      <c r="G991" s="224" t="s">
        <v>108</v>
      </c>
      <c r="H991" s="224" t="s">
        <v>749</v>
      </c>
      <c r="I991" s="229">
        <v>759099</v>
      </c>
      <c r="J991" s="229">
        <v>0</v>
      </c>
      <c r="K991" s="229">
        <v>0</v>
      </c>
      <c r="L991" s="229">
        <v>0</v>
      </c>
      <c r="M991" s="229">
        <v>0</v>
      </c>
      <c r="N991" s="229">
        <v>0</v>
      </c>
      <c r="O991" s="229">
        <v>0</v>
      </c>
      <c r="P991" s="229">
        <v>759099</v>
      </c>
      <c r="Q991" s="279">
        <v>0</v>
      </c>
    </row>
    <row r="992" spans="1:17" customFormat="1">
      <c r="A992" s="224">
        <v>2</v>
      </c>
      <c r="B992" s="224">
        <v>6155303</v>
      </c>
      <c r="C992" s="224">
        <v>615530311</v>
      </c>
      <c r="D992" s="224" t="s">
        <v>734</v>
      </c>
      <c r="E992" s="224" t="s">
        <v>735</v>
      </c>
      <c r="F992" s="224" t="s">
        <v>851</v>
      </c>
      <c r="G992" s="224" t="s">
        <v>108</v>
      </c>
      <c r="H992" s="224" t="s">
        <v>750</v>
      </c>
      <c r="I992" s="229">
        <v>0</v>
      </c>
      <c r="J992" s="229">
        <v>0</v>
      </c>
      <c r="K992" s="229">
        <v>0</v>
      </c>
      <c r="L992" s="229">
        <v>0</v>
      </c>
      <c r="M992" s="229">
        <v>0</v>
      </c>
      <c r="N992" s="229">
        <v>0</v>
      </c>
      <c r="O992" s="229">
        <v>0</v>
      </c>
      <c r="P992" s="229">
        <v>0</v>
      </c>
      <c r="Q992" s="279">
        <v>0</v>
      </c>
    </row>
    <row r="993" spans="1:17" customFormat="1">
      <c r="A993" s="224">
        <v>2</v>
      </c>
      <c r="B993" s="224">
        <v>6155303</v>
      </c>
      <c r="C993" s="224">
        <v>615530314</v>
      </c>
      <c r="D993" s="224" t="s">
        <v>734</v>
      </c>
      <c r="E993" s="224" t="s">
        <v>735</v>
      </c>
      <c r="F993" s="224" t="s">
        <v>851</v>
      </c>
      <c r="G993" s="224" t="s">
        <v>108</v>
      </c>
      <c r="H993" s="224" t="s">
        <v>751</v>
      </c>
      <c r="I993" s="229">
        <v>0</v>
      </c>
      <c r="J993" s="229">
        <v>0</v>
      </c>
      <c r="K993" s="229">
        <v>0</v>
      </c>
      <c r="L993" s="229">
        <v>0</v>
      </c>
      <c r="M993" s="229">
        <v>0</v>
      </c>
      <c r="N993" s="229">
        <v>0</v>
      </c>
      <c r="O993" s="229">
        <v>0</v>
      </c>
      <c r="P993" s="229">
        <v>0</v>
      </c>
      <c r="Q993" s="279">
        <v>0</v>
      </c>
    </row>
    <row r="994" spans="1:17" customFormat="1">
      <c r="A994" s="224">
        <v>2</v>
      </c>
      <c r="B994" s="224">
        <v>6155303</v>
      </c>
      <c r="C994" s="224">
        <v>615530315</v>
      </c>
      <c r="D994" s="224" t="s">
        <v>734</v>
      </c>
      <c r="E994" s="224" t="s">
        <v>735</v>
      </c>
      <c r="F994" s="224" t="s">
        <v>851</v>
      </c>
      <c r="G994" s="224" t="s">
        <v>108</v>
      </c>
      <c r="H994" s="224" t="s">
        <v>752</v>
      </c>
      <c r="I994" s="229">
        <v>300000</v>
      </c>
      <c r="J994" s="229">
        <v>0</v>
      </c>
      <c r="K994" s="229">
        <v>0</v>
      </c>
      <c r="L994" s="229">
        <v>0</v>
      </c>
      <c r="M994" s="229">
        <v>0</v>
      </c>
      <c r="N994" s="229">
        <v>0</v>
      </c>
      <c r="O994" s="229">
        <v>0</v>
      </c>
      <c r="P994" s="229">
        <v>300000</v>
      </c>
      <c r="Q994" s="279">
        <v>0</v>
      </c>
    </row>
    <row r="995" spans="1:17" customFormat="1">
      <c r="A995" s="224">
        <v>2</v>
      </c>
      <c r="B995" s="224">
        <v>6155303</v>
      </c>
      <c r="C995" s="224">
        <v>615530316</v>
      </c>
      <c r="D995" s="224" t="s">
        <v>734</v>
      </c>
      <c r="E995" s="224" t="s">
        <v>735</v>
      </c>
      <c r="F995" s="224" t="s">
        <v>851</v>
      </c>
      <c r="G995" s="224" t="s">
        <v>108</v>
      </c>
      <c r="H995" s="224" t="s">
        <v>753</v>
      </c>
      <c r="I995" s="229">
        <v>0</v>
      </c>
      <c r="J995" s="229">
        <v>0</v>
      </c>
      <c r="K995" s="229">
        <v>0</v>
      </c>
      <c r="L995" s="229">
        <v>0</v>
      </c>
      <c r="M995" s="229">
        <v>0</v>
      </c>
      <c r="N995" s="229">
        <v>0</v>
      </c>
      <c r="O995" s="229">
        <v>0</v>
      </c>
      <c r="P995" s="229">
        <v>0</v>
      </c>
      <c r="Q995" s="279">
        <v>0</v>
      </c>
    </row>
    <row r="996" spans="1:17" customFormat="1">
      <c r="A996" s="224">
        <v>2</v>
      </c>
      <c r="B996" s="224">
        <v>6155303</v>
      </c>
      <c r="C996" s="224">
        <v>615530319</v>
      </c>
      <c r="D996" s="224" t="s">
        <v>734</v>
      </c>
      <c r="E996" s="224" t="s">
        <v>735</v>
      </c>
      <c r="F996" s="224" t="s">
        <v>851</v>
      </c>
      <c r="G996" s="224" t="s">
        <v>108</v>
      </c>
      <c r="H996" s="224" t="s">
        <v>754</v>
      </c>
      <c r="I996" s="229">
        <v>0</v>
      </c>
      <c r="J996" s="229">
        <v>0</v>
      </c>
      <c r="K996" s="229">
        <v>0</v>
      </c>
      <c r="L996" s="229">
        <v>0</v>
      </c>
      <c r="M996" s="229">
        <v>0</v>
      </c>
      <c r="N996" s="229">
        <v>0</v>
      </c>
      <c r="O996" s="229">
        <v>0</v>
      </c>
      <c r="P996" s="229">
        <v>0</v>
      </c>
      <c r="Q996" s="279">
        <v>0</v>
      </c>
    </row>
    <row r="997" spans="1:17" customFormat="1">
      <c r="A997" s="224">
        <v>2</v>
      </c>
      <c r="B997" s="224">
        <v>6155304</v>
      </c>
      <c r="C997" s="224">
        <v>615530401</v>
      </c>
      <c r="D997" s="224" t="s">
        <v>734</v>
      </c>
      <c r="E997" s="224" t="s">
        <v>735</v>
      </c>
      <c r="F997" s="224" t="s">
        <v>851</v>
      </c>
      <c r="G997" s="224" t="s">
        <v>106</v>
      </c>
      <c r="H997" s="224" t="s">
        <v>755</v>
      </c>
      <c r="I997" s="229">
        <v>878362</v>
      </c>
      <c r="J997" s="229">
        <v>0</v>
      </c>
      <c r="K997" s="229">
        <v>0</v>
      </c>
      <c r="L997" s="229">
        <v>0</v>
      </c>
      <c r="M997" s="229">
        <v>0</v>
      </c>
      <c r="N997" s="229">
        <v>0</v>
      </c>
      <c r="O997" s="229">
        <v>878362</v>
      </c>
      <c r="P997" s="229">
        <v>0</v>
      </c>
      <c r="Q997" s="279">
        <v>0</v>
      </c>
    </row>
    <row r="998" spans="1:17" customFormat="1">
      <c r="A998" s="224">
        <v>2</v>
      </c>
      <c r="B998" s="224">
        <v>6155304</v>
      </c>
      <c r="C998" s="224">
        <v>615530402</v>
      </c>
      <c r="D998" s="224" t="s">
        <v>734</v>
      </c>
      <c r="E998" s="224" t="s">
        <v>735</v>
      </c>
      <c r="F998" s="224" t="s">
        <v>851</v>
      </c>
      <c r="G998" s="224" t="s">
        <v>106</v>
      </c>
      <c r="H998" s="224" t="s">
        <v>756</v>
      </c>
      <c r="I998" s="229">
        <v>4920</v>
      </c>
      <c r="J998" s="229">
        <v>0</v>
      </c>
      <c r="K998" s="229">
        <v>0</v>
      </c>
      <c r="L998" s="229">
        <v>0</v>
      </c>
      <c r="M998" s="229">
        <v>0</v>
      </c>
      <c r="N998" s="229">
        <v>0</v>
      </c>
      <c r="O998" s="229">
        <v>0</v>
      </c>
      <c r="P998" s="229">
        <v>4920</v>
      </c>
      <c r="Q998" s="279">
        <v>0</v>
      </c>
    </row>
    <row r="999" spans="1:17" customFormat="1">
      <c r="A999" s="224">
        <v>2</v>
      </c>
      <c r="B999" s="224">
        <v>6155304</v>
      </c>
      <c r="C999" s="224">
        <v>615530403</v>
      </c>
      <c r="D999" s="224" t="s">
        <v>734</v>
      </c>
      <c r="E999" s="224" t="s">
        <v>735</v>
      </c>
      <c r="F999" s="224" t="s">
        <v>851</v>
      </c>
      <c r="G999" s="224" t="s">
        <v>106</v>
      </c>
      <c r="H999" s="224" t="s">
        <v>757</v>
      </c>
      <c r="I999" s="229">
        <v>0</v>
      </c>
      <c r="J999" s="229">
        <v>0</v>
      </c>
      <c r="K999" s="229">
        <v>0</v>
      </c>
      <c r="L999" s="229">
        <v>0</v>
      </c>
      <c r="M999" s="229">
        <v>0</v>
      </c>
      <c r="N999" s="229">
        <v>0</v>
      </c>
      <c r="O999" s="229">
        <v>0</v>
      </c>
      <c r="P999" s="229">
        <v>0</v>
      </c>
      <c r="Q999" s="279">
        <v>0</v>
      </c>
    </row>
    <row r="1000" spans="1:17" customFormat="1">
      <c r="A1000" s="224">
        <v>2</v>
      </c>
      <c r="B1000" s="224">
        <v>6155304</v>
      </c>
      <c r="C1000" s="224">
        <v>615530405</v>
      </c>
      <c r="D1000" s="224" t="s">
        <v>734</v>
      </c>
      <c r="E1000" s="224" t="s">
        <v>735</v>
      </c>
      <c r="F1000" s="224" t="s">
        <v>851</v>
      </c>
      <c r="G1000" s="224" t="s">
        <v>106</v>
      </c>
      <c r="H1000" s="224" t="s">
        <v>758</v>
      </c>
      <c r="I1000" s="229">
        <v>0</v>
      </c>
      <c r="J1000" s="229">
        <v>0</v>
      </c>
      <c r="K1000" s="229">
        <v>0</v>
      </c>
      <c r="L1000" s="229">
        <v>0</v>
      </c>
      <c r="M1000" s="229">
        <v>0</v>
      </c>
      <c r="N1000" s="229">
        <v>0</v>
      </c>
      <c r="O1000" s="229">
        <v>0</v>
      </c>
      <c r="P1000" s="229">
        <v>0</v>
      </c>
      <c r="Q1000" s="279">
        <v>0</v>
      </c>
    </row>
    <row r="1001" spans="1:17" customFormat="1">
      <c r="A1001" s="224">
        <v>2</v>
      </c>
      <c r="B1001" s="224">
        <v>6155304</v>
      </c>
      <c r="C1001" s="224">
        <v>615530406</v>
      </c>
      <c r="D1001" s="224" t="s">
        <v>734</v>
      </c>
      <c r="E1001" s="224" t="s">
        <v>735</v>
      </c>
      <c r="F1001" s="224" t="s">
        <v>851</v>
      </c>
      <c r="G1001" s="224" t="s">
        <v>106</v>
      </c>
      <c r="H1001" s="224" t="s">
        <v>759</v>
      </c>
      <c r="I1001" s="229">
        <v>0</v>
      </c>
      <c r="J1001" s="229">
        <v>0</v>
      </c>
      <c r="K1001" s="229">
        <v>0</v>
      </c>
      <c r="L1001" s="229">
        <v>0</v>
      </c>
      <c r="M1001" s="229">
        <v>0</v>
      </c>
      <c r="N1001" s="229">
        <v>0</v>
      </c>
      <c r="O1001" s="229">
        <v>0</v>
      </c>
      <c r="P1001" s="229">
        <v>0</v>
      </c>
      <c r="Q1001" s="279">
        <v>0</v>
      </c>
    </row>
    <row r="1002" spans="1:17" customFormat="1">
      <c r="A1002" s="224">
        <v>2</v>
      </c>
      <c r="B1002" s="224">
        <v>6155304</v>
      </c>
      <c r="C1002" s="224">
        <v>615530407</v>
      </c>
      <c r="D1002" s="224" t="s">
        <v>734</v>
      </c>
      <c r="E1002" s="224" t="s">
        <v>735</v>
      </c>
      <c r="F1002" s="224" t="s">
        <v>851</v>
      </c>
      <c r="G1002" s="224" t="s">
        <v>106</v>
      </c>
      <c r="H1002" s="224" t="s">
        <v>760</v>
      </c>
      <c r="I1002" s="229">
        <v>0</v>
      </c>
      <c r="J1002" s="229">
        <v>0</v>
      </c>
      <c r="K1002" s="229">
        <v>0</v>
      </c>
      <c r="L1002" s="229">
        <v>0</v>
      </c>
      <c r="M1002" s="229">
        <v>0</v>
      </c>
      <c r="N1002" s="229">
        <v>0</v>
      </c>
      <c r="O1002" s="229">
        <v>0</v>
      </c>
      <c r="P1002" s="229">
        <v>0</v>
      </c>
      <c r="Q1002" s="279">
        <v>0</v>
      </c>
    </row>
    <row r="1003" spans="1:17" customFormat="1">
      <c r="A1003" s="224">
        <v>2</v>
      </c>
      <c r="B1003" s="224">
        <v>6155304</v>
      </c>
      <c r="C1003" s="224">
        <v>615530408</v>
      </c>
      <c r="D1003" s="224" t="s">
        <v>734</v>
      </c>
      <c r="E1003" s="224" t="s">
        <v>735</v>
      </c>
      <c r="F1003" s="224" t="s">
        <v>851</v>
      </c>
      <c r="G1003" s="224" t="s">
        <v>106</v>
      </c>
      <c r="H1003" s="224" t="s">
        <v>761</v>
      </c>
      <c r="I1003" s="229">
        <v>0</v>
      </c>
      <c r="J1003" s="229">
        <v>0</v>
      </c>
      <c r="K1003" s="229">
        <v>0</v>
      </c>
      <c r="L1003" s="229">
        <v>0</v>
      </c>
      <c r="M1003" s="229">
        <v>0</v>
      </c>
      <c r="N1003" s="229">
        <v>0</v>
      </c>
      <c r="O1003" s="229">
        <v>0</v>
      </c>
      <c r="P1003" s="229">
        <v>0</v>
      </c>
      <c r="Q1003" s="279">
        <v>0</v>
      </c>
    </row>
    <row r="1004" spans="1:17" customFormat="1">
      <c r="A1004" s="224">
        <v>2</v>
      </c>
      <c r="B1004" s="224">
        <v>6155304</v>
      </c>
      <c r="C1004" s="224">
        <v>615530410</v>
      </c>
      <c r="D1004" s="224" t="s">
        <v>734</v>
      </c>
      <c r="E1004" s="224" t="s">
        <v>735</v>
      </c>
      <c r="F1004" s="224" t="s">
        <v>851</v>
      </c>
      <c r="G1004" s="224" t="s">
        <v>106</v>
      </c>
      <c r="H1004" s="224" t="s">
        <v>762</v>
      </c>
      <c r="I1004" s="229">
        <v>279305</v>
      </c>
      <c r="J1004" s="229">
        <v>0</v>
      </c>
      <c r="K1004" s="229">
        <v>0</v>
      </c>
      <c r="L1004" s="229">
        <v>0</v>
      </c>
      <c r="M1004" s="229">
        <v>0</v>
      </c>
      <c r="N1004" s="229">
        <v>0</v>
      </c>
      <c r="O1004" s="229">
        <v>279305</v>
      </c>
      <c r="P1004" s="229">
        <v>0</v>
      </c>
      <c r="Q1004" s="279">
        <v>0</v>
      </c>
    </row>
    <row r="1005" spans="1:17" customFormat="1">
      <c r="A1005" s="224">
        <v>2</v>
      </c>
      <c r="B1005" s="224">
        <v>6155304</v>
      </c>
      <c r="C1005" s="224">
        <v>615530411</v>
      </c>
      <c r="D1005" s="224" t="s">
        <v>734</v>
      </c>
      <c r="E1005" s="224" t="s">
        <v>735</v>
      </c>
      <c r="F1005" s="224" t="s">
        <v>851</v>
      </c>
      <c r="G1005" s="224" t="s">
        <v>106</v>
      </c>
      <c r="H1005" s="224" t="s">
        <v>763</v>
      </c>
      <c r="I1005" s="229">
        <v>0</v>
      </c>
      <c r="J1005" s="229">
        <v>0</v>
      </c>
      <c r="K1005" s="229">
        <v>0</v>
      </c>
      <c r="L1005" s="229">
        <v>0</v>
      </c>
      <c r="M1005" s="229">
        <v>0</v>
      </c>
      <c r="N1005" s="229">
        <v>0</v>
      </c>
      <c r="O1005" s="229">
        <v>0</v>
      </c>
      <c r="P1005" s="229">
        <v>0</v>
      </c>
      <c r="Q1005" s="279">
        <v>0</v>
      </c>
    </row>
    <row r="1006" spans="1:17" customFormat="1">
      <c r="A1006" s="224">
        <v>2</v>
      </c>
      <c r="B1006" s="224">
        <v>6155305</v>
      </c>
      <c r="C1006" s="224">
        <v>615530500</v>
      </c>
      <c r="D1006" s="224" t="s">
        <v>734</v>
      </c>
      <c r="E1006" s="224" t="s">
        <v>735</v>
      </c>
      <c r="F1006" s="224" t="s">
        <v>851</v>
      </c>
      <c r="G1006" s="224" t="s">
        <v>104</v>
      </c>
      <c r="H1006" s="224"/>
      <c r="I1006" s="229">
        <v>0</v>
      </c>
      <c r="J1006" s="229">
        <v>0</v>
      </c>
      <c r="K1006" s="229">
        <v>0</v>
      </c>
      <c r="L1006" s="229">
        <v>0</v>
      </c>
      <c r="M1006" s="229">
        <v>0</v>
      </c>
      <c r="N1006" s="229">
        <v>0</v>
      </c>
      <c r="O1006" s="229">
        <v>0</v>
      </c>
      <c r="P1006" s="229">
        <v>0</v>
      </c>
      <c r="Q1006" s="279">
        <v>0</v>
      </c>
    </row>
    <row r="1007" spans="1:17" customFormat="1">
      <c r="A1007" s="224">
        <v>2</v>
      </c>
      <c r="B1007" s="224">
        <v>6155307</v>
      </c>
      <c r="C1007" s="224">
        <v>615530700</v>
      </c>
      <c r="D1007" s="224" t="s">
        <v>734</v>
      </c>
      <c r="E1007" s="224" t="s">
        <v>735</v>
      </c>
      <c r="F1007" s="224" t="s">
        <v>851</v>
      </c>
      <c r="G1007" s="224" t="s">
        <v>102</v>
      </c>
      <c r="H1007" s="224"/>
      <c r="I1007" s="229">
        <v>0</v>
      </c>
      <c r="J1007" s="229">
        <v>0</v>
      </c>
      <c r="K1007" s="229">
        <v>0</v>
      </c>
      <c r="L1007" s="229">
        <v>0</v>
      </c>
      <c r="M1007" s="229">
        <v>0</v>
      </c>
      <c r="N1007" s="229">
        <v>0</v>
      </c>
      <c r="O1007" s="229">
        <v>0</v>
      </c>
      <c r="P1007" s="229">
        <v>0</v>
      </c>
      <c r="Q1007" s="279">
        <v>0</v>
      </c>
    </row>
    <row r="1008" spans="1:17" customFormat="1">
      <c r="A1008" s="224">
        <v>2</v>
      </c>
      <c r="B1008" s="224">
        <v>6155308</v>
      </c>
      <c r="C1008" s="224">
        <v>615530800</v>
      </c>
      <c r="D1008" s="224" t="s">
        <v>734</v>
      </c>
      <c r="E1008" s="224" t="s">
        <v>735</v>
      </c>
      <c r="F1008" s="224" t="s">
        <v>851</v>
      </c>
      <c r="G1008" s="224" t="s">
        <v>100</v>
      </c>
      <c r="H1008" s="224"/>
      <c r="I1008" s="229">
        <v>918000</v>
      </c>
      <c r="J1008" s="229">
        <v>0</v>
      </c>
      <c r="K1008" s="229">
        <v>0</v>
      </c>
      <c r="L1008" s="229">
        <v>0</v>
      </c>
      <c r="M1008" s="229">
        <v>0</v>
      </c>
      <c r="N1008" s="229">
        <v>0</v>
      </c>
      <c r="O1008" s="229">
        <v>0</v>
      </c>
      <c r="P1008" s="229">
        <v>918000</v>
      </c>
      <c r="Q1008" s="279">
        <v>0</v>
      </c>
    </row>
    <row r="1009" spans="1:17" customFormat="1">
      <c r="A1009" s="224">
        <v>2</v>
      </c>
      <c r="B1009" s="224">
        <v>6155310</v>
      </c>
      <c r="C1009" s="224">
        <v>615531001</v>
      </c>
      <c r="D1009" s="224" t="s">
        <v>734</v>
      </c>
      <c r="E1009" s="224" t="s">
        <v>735</v>
      </c>
      <c r="F1009" s="224" t="s">
        <v>851</v>
      </c>
      <c r="G1009" s="224" t="s">
        <v>764</v>
      </c>
      <c r="H1009" s="224" t="s">
        <v>98</v>
      </c>
      <c r="I1009" s="229">
        <v>0</v>
      </c>
      <c r="J1009" s="229">
        <v>0</v>
      </c>
      <c r="K1009" s="229">
        <v>0</v>
      </c>
      <c r="L1009" s="229">
        <v>0</v>
      </c>
      <c r="M1009" s="229">
        <v>0</v>
      </c>
      <c r="N1009" s="229">
        <v>0</v>
      </c>
      <c r="O1009" s="229">
        <v>0</v>
      </c>
      <c r="P1009" s="229">
        <v>0</v>
      </c>
      <c r="Q1009" s="279">
        <v>0</v>
      </c>
    </row>
    <row r="1010" spans="1:17" customFormat="1">
      <c r="A1010" s="224">
        <v>2</v>
      </c>
      <c r="B1010" s="224">
        <v>6155310</v>
      </c>
      <c r="C1010" s="224">
        <v>615531002</v>
      </c>
      <c r="D1010" s="224" t="s">
        <v>734</v>
      </c>
      <c r="E1010" s="224" t="s">
        <v>735</v>
      </c>
      <c r="F1010" s="224" t="s">
        <v>851</v>
      </c>
      <c r="G1010" s="224" t="s">
        <v>764</v>
      </c>
      <c r="H1010" s="224" t="s">
        <v>95</v>
      </c>
      <c r="I1010" s="229">
        <v>0</v>
      </c>
      <c r="J1010" s="229">
        <v>0</v>
      </c>
      <c r="K1010" s="229">
        <v>0</v>
      </c>
      <c r="L1010" s="229">
        <v>0</v>
      </c>
      <c r="M1010" s="229">
        <v>0</v>
      </c>
      <c r="N1010" s="229">
        <v>0</v>
      </c>
      <c r="O1010" s="229">
        <v>0</v>
      </c>
      <c r="P1010" s="229">
        <v>0</v>
      </c>
      <c r="Q1010" s="279">
        <v>0</v>
      </c>
    </row>
    <row r="1011" spans="1:17" customFormat="1">
      <c r="A1011" s="236">
        <v>2</v>
      </c>
      <c r="B1011" s="236">
        <v>6155310</v>
      </c>
      <c r="C1011" s="236">
        <v>615531003</v>
      </c>
      <c r="D1011" s="236" t="s">
        <v>734</v>
      </c>
      <c r="E1011" s="236" t="s">
        <v>735</v>
      </c>
      <c r="F1011" s="236" t="s">
        <v>851</v>
      </c>
      <c r="G1011" s="236" t="s">
        <v>764</v>
      </c>
      <c r="H1011" s="236" t="s">
        <v>765</v>
      </c>
      <c r="I1011" s="229">
        <v>0</v>
      </c>
      <c r="J1011" s="229">
        <v>0</v>
      </c>
      <c r="K1011" s="229">
        <v>0</v>
      </c>
      <c r="L1011" s="229">
        <v>0</v>
      </c>
      <c r="M1011" s="229">
        <v>0</v>
      </c>
      <c r="N1011" s="229">
        <v>0</v>
      </c>
      <c r="O1011" s="229">
        <v>0</v>
      </c>
      <c r="P1011" s="229">
        <v>0</v>
      </c>
      <c r="Q1011" s="279">
        <v>0</v>
      </c>
    </row>
    <row r="1012" spans="1:17" customFormat="1">
      <c r="A1012" s="224">
        <v>2</v>
      </c>
      <c r="B1012" s="224">
        <v>6155313</v>
      </c>
      <c r="C1012" s="224">
        <v>615531300</v>
      </c>
      <c r="D1012" s="224" t="s">
        <v>734</v>
      </c>
      <c r="E1012" s="224" t="s">
        <v>735</v>
      </c>
      <c r="F1012" s="224" t="s">
        <v>851</v>
      </c>
      <c r="G1012" s="224" t="s">
        <v>93</v>
      </c>
      <c r="H1012" s="224"/>
      <c r="I1012" s="229">
        <v>766743</v>
      </c>
      <c r="J1012" s="229">
        <v>0</v>
      </c>
      <c r="K1012" s="229">
        <v>0</v>
      </c>
      <c r="L1012" s="229">
        <v>0</v>
      </c>
      <c r="M1012" s="229">
        <v>0</v>
      </c>
      <c r="N1012" s="229">
        <v>766743</v>
      </c>
      <c r="O1012" s="229">
        <v>0</v>
      </c>
      <c r="P1012" s="229">
        <v>0</v>
      </c>
      <c r="Q1012" s="279">
        <v>0</v>
      </c>
    </row>
    <row r="1013" spans="1:17" customFormat="1">
      <c r="A1013" s="224">
        <v>2</v>
      </c>
      <c r="B1013" s="224">
        <v>6155314</v>
      </c>
      <c r="C1013" s="224">
        <v>615531400</v>
      </c>
      <c r="D1013" s="224" t="s">
        <v>734</v>
      </c>
      <c r="E1013" s="224" t="s">
        <v>735</v>
      </c>
      <c r="F1013" s="224" t="s">
        <v>851</v>
      </c>
      <c r="G1013" s="224" t="s">
        <v>91</v>
      </c>
      <c r="H1013" s="224"/>
      <c r="I1013" s="229">
        <v>71900</v>
      </c>
      <c r="J1013" s="229">
        <v>0</v>
      </c>
      <c r="K1013" s="229">
        <v>0</v>
      </c>
      <c r="L1013" s="229">
        <v>0</v>
      </c>
      <c r="M1013" s="229">
        <v>0</v>
      </c>
      <c r="N1013" s="229">
        <v>71900</v>
      </c>
      <c r="O1013" s="229">
        <v>0</v>
      </c>
      <c r="P1013" s="229">
        <v>0</v>
      </c>
      <c r="Q1013" s="279">
        <v>0</v>
      </c>
    </row>
    <row r="1014" spans="1:17" customFormat="1">
      <c r="A1014" s="224">
        <v>2</v>
      </c>
      <c r="B1014" s="224">
        <v>6155315</v>
      </c>
      <c r="C1014" s="224">
        <v>615531500</v>
      </c>
      <c r="D1014" s="224" t="s">
        <v>734</v>
      </c>
      <c r="E1014" s="224" t="s">
        <v>735</v>
      </c>
      <c r="F1014" s="224" t="s">
        <v>851</v>
      </c>
      <c r="G1014" s="224" t="s">
        <v>89</v>
      </c>
      <c r="H1014" s="224"/>
      <c r="I1014" s="229">
        <v>0</v>
      </c>
      <c r="J1014" s="229">
        <v>0</v>
      </c>
      <c r="K1014" s="229">
        <v>0</v>
      </c>
      <c r="L1014" s="229">
        <v>0</v>
      </c>
      <c r="M1014" s="229">
        <v>0</v>
      </c>
      <c r="N1014" s="229">
        <v>0</v>
      </c>
      <c r="O1014" s="229">
        <v>0</v>
      </c>
      <c r="P1014" s="229">
        <v>0</v>
      </c>
      <c r="Q1014" s="279">
        <v>0</v>
      </c>
    </row>
    <row r="1015" spans="1:17" customFormat="1">
      <c r="A1015" s="224">
        <v>2</v>
      </c>
      <c r="B1015" s="224">
        <v>6155317</v>
      </c>
      <c r="C1015" s="224">
        <v>615531700</v>
      </c>
      <c r="D1015" s="224" t="s">
        <v>734</v>
      </c>
      <c r="E1015" s="224" t="s">
        <v>735</v>
      </c>
      <c r="F1015" s="224" t="s">
        <v>851</v>
      </c>
      <c r="G1015" s="224" t="s">
        <v>87</v>
      </c>
      <c r="H1015" s="224"/>
      <c r="I1015" s="229">
        <v>35232</v>
      </c>
      <c r="J1015" s="229">
        <v>0</v>
      </c>
      <c r="K1015" s="229">
        <v>0</v>
      </c>
      <c r="L1015" s="229">
        <v>0</v>
      </c>
      <c r="M1015" s="229">
        <v>0</v>
      </c>
      <c r="N1015" s="229">
        <v>35232</v>
      </c>
      <c r="O1015" s="229">
        <v>0</v>
      </c>
      <c r="P1015" s="229">
        <v>0</v>
      </c>
      <c r="Q1015" s="279">
        <v>0</v>
      </c>
    </row>
    <row r="1016" spans="1:17" customFormat="1">
      <c r="A1016" s="224">
        <v>2</v>
      </c>
      <c r="B1016" s="224">
        <v>6155319</v>
      </c>
      <c r="C1016" s="224">
        <v>615531900</v>
      </c>
      <c r="D1016" s="224" t="s">
        <v>734</v>
      </c>
      <c r="E1016" s="224" t="s">
        <v>735</v>
      </c>
      <c r="F1016" s="224" t="s">
        <v>851</v>
      </c>
      <c r="G1016" s="224" t="s">
        <v>85</v>
      </c>
      <c r="H1016" s="224"/>
      <c r="I1016" s="229">
        <v>2241</v>
      </c>
      <c r="J1016" s="229">
        <v>0</v>
      </c>
      <c r="K1016" s="229">
        <v>0</v>
      </c>
      <c r="L1016" s="229">
        <v>0</v>
      </c>
      <c r="M1016" s="229">
        <v>0</v>
      </c>
      <c r="N1016" s="229">
        <v>441</v>
      </c>
      <c r="O1016" s="229">
        <v>1800</v>
      </c>
      <c r="P1016" s="229">
        <v>0</v>
      </c>
      <c r="Q1016" s="279">
        <v>0</v>
      </c>
    </row>
    <row r="1017" spans="1:17" customFormat="1">
      <c r="A1017" s="224">
        <v>2</v>
      </c>
      <c r="B1017" s="224">
        <v>6155320</v>
      </c>
      <c r="C1017" s="224">
        <v>615532000</v>
      </c>
      <c r="D1017" s="224" t="s">
        <v>734</v>
      </c>
      <c r="E1017" s="224" t="s">
        <v>735</v>
      </c>
      <c r="F1017" s="224" t="s">
        <v>851</v>
      </c>
      <c r="G1017" s="224" t="s">
        <v>83</v>
      </c>
      <c r="H1017" s="224"/>
      <c r="I1017" s="229">
        <v>0</v>
      </c>
      <c r="J1017" s="229">
        <v>0</v>
      </c>
      <c r="K1017" s="229">
        <v>0</v>
      </c>
      <c r="L1017" s="229">
        <v>0</v>
      </c>
      <c r="M1017" s="229">
        <v>0</v>
      </c>
      <c r="N1017" s="229">
        <v>0</v>
      </c>
      <c r="O1017" s="229">
        <v>0</v>
      </c>
      <c r="P1017" s="229">
        <v>0</v>
      </c>
      <c r="Q1017" s="279">
        <v>0</v>
      </c>
    </row>
    <row r="1018" spans="1:17" customFormat="1">
      <c r="A1018" s="224">
        <v>2</v>
      </c>
      <c r="B1018" s="224">
        <v>6155321</v>
      </c>
      <c r="C1018" s="224">
        <v>615532100</v>
      </c>
      <c r="D1018" s="224" t="s">
        <v>734</v>
      </c>
      <c r="E1018" s="224" t="s">
        <v>735</v>
      </c>
      <c r="F1018" s="224" t="s">
        <v>851</v>
      </c>
      <c r="G1018" s="224" t="s">
        <v>81</v>
      </c>
      <c r="H1018" s="224"/>
      <c r="I1018" s="229">
        <v>9051</v>
      </c>
      <c r="J1018" s="229">
        <v>0</v>
      </c>
      <c r="K1018" s="229">
        <v>0</v>
      </c>
      <c r="L1018" s="229">
        <v>0</v>
      </c>
      <c r="M1018" s="229">
        <v>0</v>
      </c>
      <c r="N1018" s="229">
        <v>9051</v>
      </c>
      <c r="O1018" s="229">
        <v>0</v>
      </c>
      <c r="P1018" s="229">
        <v>0</v>
      </c>
      <c r="Q1018" s="279">
        <v>0</v>
      </c>
    </row>
    <row r="1019" spans="1:17" customFormat="1">
      <c r="A1019" s="224">
        <v>2</v>
      </c>
      <c r="B1019" s="224">
        <v>6155323</v>
      </c>
      <c r="C1019" s="224">
        <v>615532300</v>
      </c>
      <c r="D1019" s="224" t="s">
        <v>734</v>
      </c>
      <c r="E1019" s="224" t="s">
        <v>735</v>
      </c>
      <c r="F1019" s="224" t="s">
        <v>851</v>
      </c>
      <c r="G1019" s="224" t="s">
        <v>79</v>
      </c>
      <c r="H1019" s="224"/>
      <c r="I1019" s="229">
        <v>166925</v>
      </c>
      <c r="J1019" s="229">
        <v>0</v>
      </c>
      <c r="K1019" s="229">
        <v>0</v>
      </c>
      <c r="L1019" s="229">
        <v>0</v>
      </c>
      <c r="M1019" s="229">
        <v>0</v>
      </c>
      <c r="N1019" s="229">
        <v>166925</v>
      </c>
      <c r="O1019" s="229">
        <v>0</v>
      </c>
      <c r="P1019" s="229">
        <v>0</v>
      </c>
      <c r="Q1019" s="279">
        <v>0</v>
      </c>
    </row>
    <row r="1020" spans="1:17" customFormat="1">
      <c r="A1020" s="224">
        <v>2</v>
      </c>
      <c r="B1020" s="224">
        <v>6155324</v>
      </c>
      <c r="C1020" s="224">
        <v>615532400</v>
      </c>
      <c r="D1020" s="224" t="s">
        <v>734</v>
      </c>
      <c r="E1020" s="224" t="s">
        <v>735</v>
      </c>
      <c r="F1020" s="224" t="s">
        <v>851</v>
      </c>
      <c r="G1020" s="224" t="s">
        <v>77</v>
      </c>
      <c r="H1020" s="224"/>
      <c r="I1020" s="229">
        <v>0</v>
      </c>
      <c r="J1020" s="229">
        <v>0</v>
      </c>
      <c r="K1020" s="229">
        <v>0</v>
      </c>
      <c r="L1020" s="229">
        <v>0</v>
      </c>
      <c r="M1020" s="229">
        <v>0</v>
      </c>
      <c r="N1020" s="229">
        <v>0</v>
      </c>
      <c r="O1020" s="229">
        <v>0</v>
      </c>
      <c r="P1020" s="229">
        <v>0</v>
      </c>
      <c r="Q1020" s="279">
        <v>0</v>
      </c>
    </row>
    <row r="1021" spans="1:17" customFormat="1">
      <c r="A1021" s="224">
        <v>2</v>
      </c>
      <c r="B1021" s="224">
        <v>6155331</v>
      </c>
      <c r="C1021" s="224">
        <v>615533100</v>
      </c>
      <c r="D1021" s="224" t="s">
        <v>734</v>
      </c>
      <c r="E1021" s="224" t="s">
        <v>735</v>
      </c>
      <c r="F1021" s="224" t="s">
        <v>851</v>
      </c>
      <c r="G1021" s="224" t="s">
        <v>62</v>
      </c>
      <c r="H1021" s="224"/>
      <c r="I1021" s="229">
        <v>0</v>
      </c>
      <c r="J1021" s="229">
        <v>0</v>
      </c>
      <c r="K1021" s="229">
        <v>0</v>
      </c>
      <c r="L1021" s="229">
        <v>0</v>
      </c>
      <c r="M1021" s="229">
        <v>0</v>
      </c>
      <c r="N1021" s="229">
        <v>0</v>
      </c>
      <c r="O1021" s="229">
        <v>0</v>
      </c>
      <c r="P1021" s="229">
        <v>0</v>
      </c>
      <c r="Q1021" s="279">
        <v>0</v>
      </c>
    </row>
    <row r="1022" spans="1:17" customFormat="1">
      <c r="A1022" s="224">
        <v>2</v>
      </c>
      <c r="B1022" s="224">
        <v>6155337</v>
      </c>
      <c r="C1022" s="224">
        <v>615533700</v>
      </c>
      <c r="D1022" s="224" t="s">
        <v>734</v>
      </c>
      <c r="E1022" s="224" t="s">
        <v>735</v>
      </c>
      <c r="F1022" s="224" t="s">
        <v>851</v>
      </c>
      <c r="G1022" s="224" t="s">
        <v>60</v>
      </c>
      <c r="H1022" s="224"/>
      <c r="I1022" s="229">
        <v>0</v>
      </c>
      <c r="J1022" s="229">
        <v>0</v>
      </c>
      <c r="K1022" s="229">
        <v>0</v>
      </c>
      <c r="L1022" s="229">
        <v>0</v>
      </c>
      <c r="M1022" s="229">
        <v>0</v>
      </c>
      <c r="N1022" s="229">
        <v>0</v>
      </c>
      <c r="O1022" s="229">
        <v>0</v>
      </c>
      <c r="P1022" s="229">
        <v>0</v>
      </c>
      <c r="Q1022" s="279">
        <v>0</v>
      </c>
    </row>
    <row r="1023" spans="1:17" customFormat="1">
      <c r="A1023" s="224">
        <v>2</v>
      </c>
      <c r="B1023" s="224">
        <v>6155339</v>
      </c>
      <c r="C1023" s="224">
        <v>615533900</v>
      </c>
      <c r="D1023" s="224" t="s">
        <v>734</v>
      </c>
      <c r="E1023" s="224" t="s">
        <v>735</v>
      </c>
      <c r="F1023" s="224" t="s">
        <v>851</v>
      </c>
      <c r="G1023" s="224" t="s">
        <v>58</v>
      </c>
      <c r="H1023" s="224"/>
      <c r="I1023" s="229">
        <v>28080</v>
      </c>
      <c r="J1023" s="229">
        <v>0</v>
      </c>
      <c r="K1023" s="229">
        <v>0</v>
      </c>
      <c r="L1023" s="229">
        <v>0</v>
      </c>
      <c r="M1023" s="229">
        <v>0</v>
      </c>
      <c r="N1023" s="229">
        <v>0</v>
      </c>
      <c r="O1023" s="229">
        <v>28080</v>
      </c>
      <c r="P1023" s="229">
        <v>0</v>
      </c>
      <c r="Q1023" s="279">
        <v>0</v>
      </c>
    </row>
    <row r="1024" spans="1:17" customFormat="1">
      <c r="A1024" s="224">
        <v>2</v>
      </c>
      <c r="B1024" s="224">
        <v>6155340</v>
      </c>
      <c r="C1024" s="224">
        <v>615534000</v>
      </c>
      <c r="D1024" s="224" t="s">
        <v>734</v>
      </c>
      <c r="E1024" s="224" t="s">
        <v>735</v>
      </c>
      <c r="F1024" s="224" t="s">
        <v>851</v>
      </c>
      <c r="G1024" s="224" t="s">
        <v>56</v>
      </c>
      <c r="H1024" s="224"/>
      <c r="I1024" s="229">
        <v>8200</v>
      </c>
      <c r="J1024" s="229">
        <v>0</v>
      </c>
      <c r="K1024" s="229">
        <v>0</v>
      </c>
      <c r="L1024" s="229">
        <v>0</v>
      </c>
      <c r="M1024" s="229">
        <v>0</v>
      </c>
      <c r="N1024" s="229">
        <v>0</v>
      </c>
      <c r="O1024" s="229">
        <v>0</v>
      </c>
      <c r="P1024" s="229">
        <v>8200</v>
      </c>
      <c r="Q1024" s="279">
        <v>0</v>
      </c>
    </row>
    <row r="1025" spans="1:17" customFormat="1">
      <c r="A1025" s="224">
        <v>2</v>
      </c>
      <c r="B1025" s="224">
        <v>6155341</v>
      </c>
      <c r="C1025" s="224">
        <v>615534100</v>
      </c>
      <c r="D1025" s="224" t="s">
        <v>734</v>
      </c>
      <c r="E1025" s="224" t="s">
        <v>735</v>
      </c>
      <c r="F1025" s="224" t="s">
        <v>851</v>
      </c>
      <c r="G1025" s="224" t="s">
        <v>55</v>
      </c>
      <c r="H1025" s="224"/>
      <c r="I1025" s="229">
        <v>0</v>
      </c>
      <c r="J1025" s="229">
        <v>0</v>
      </c>
      <c r="K1025" s="229">
        <v>0</v>
      </c>
      <c r="L1025" s="229">
        <v>0</v>
      </c>
      <c r="M1025" s="229">
        <v>0</v>
      </c>
      <c r="N1025" s="229">
        <v>0</v>
      </c>
      <c r="O1025" s="229">
        <v>0</v>
      </c>
      <c r="P1025" s="229">
        <v>0</v>
      </c>
      <c r="Q1025" s="279">
        <v>0</v>
      </c>
    </row>
    <row r="1026" spans="1:17" customFormat="1">
      <c r="A1026" s="224">
        <v>2</v>
      </c>
      <c r="B1026" s="224">
        <v>6155365</v>
      </c>
      <c r="C1026" s="224">
        <v>615536500</v>
      </c>
      <c r="D1026" s="224" t="s">
        <v>734</v>
      </c>
      <c r="E1026" s="224" t="s">
        <v>735</v>
      </c>
      <c r="F1026" s="224" t="s">
        <v>851</v>
      </c>
      <c r="G1026" s="224" t="s">
        <v>766</v>
      </c>
      <c r="H1026" s="224"/>
      <c r="I1026" s="229">
        <v>0</v>
      </c>
      <c r="J1026" s="229">
        <v>0</v>
      </c>
      <c r="K1026" s="229">
        <v>0</v>
      </c>
      <c r="L1026" s="229">
        <v>0</v>
      </c>
      <c r="M1026" s="229">
        <v>0</v>
      </c>
      <c r="N1026" s="229">
        <v>0</v>
      </c>
      <c r="O1026" s="229">
        <v>0</v>
      </c>
      <c r="P1026" s="229">
        <v>0</v>
      </c>
      <c r="Q1026" s="279">
        <v>0</v>
      </c>
    </row>
    <row r="1027" spans="1:17" customFormat="1">
      <c r="A1027" s="224">
        <v>2</v>
      </c>
      <c r="B1027" s="224">
        <v>6155369</v>
      </c>
      <c r="C1027" s="224">
        <v>615536900</v>
      </c>
      <c r="D1027" s="224" t="s">
        <v>734</v>
      </c>
      <c r="E1027" s="224" t="s">
        <v>735</v>
      </c>
      <c r="F1027" s="224" t="s">
        <v>851</v>
      </c>
      <c r="G1027" s="224" t="s">
        <v>767</v>
      </c>
      <c r="H1027" s="224"/>
      <c r="I1027" s="229">
        <v>0</v>
      </c>
      <c r="J1027" s="229">
        <v>0</v>
      </c>
      <c r="K1027" s="229">
        <v>0</v>
      </c>
      <c r="L1027" s="229">
        <v>0</v>
      </c>
      <c r="M1027" s="229">
        <v>0</v>
      </c>
      <c r="N1027" s="229">
        <v>0</v>
      </c>
      <c r="O1027" s="229">
        <v>0</v>
      </c>
      <c r="P1027" s="229">
        <v>0</v>
      </c>
      <c r="Q1027" s="279">
        <v>0</v>
      </c>
    </row>
    <row r="1028" spans="1:17" customFormat="1">
      <c r="A1028" s="224">
        <v>2</v>
      </c>
      <c r="B1028" s="224">
        <v>6155370</v>
      </c>
      <c r="C1028" s="224">
        <v>615537000</v>
      </c>
      <c r="D1028" s="224" t="s">
        <v>734</v>
      </c>
      <c r="E1028" s="224" t="s">
        <v>735</v>
      </c>
      <c r="F1028" s="224" t="s">
        <v>851</v>
      </c>
      <c r="G1028" s="224" t="s">
        <v>768</v>
      </c>
      <c r="H1028" s="224"/>
      <c r="I1028" s="229">
        <v>0</v>
      </c>
      <c r="J1028" s="229">
        <v>0</v>
      </c>
      <c r="K1028" s="229">
        <v>0</v>
      </c>
      <c r="L1028" s="229">
        <v>0</v>
      </c>
      <c r="M1028" s="229">
        <v>0</v>
      </c>
      <c r="N1028" s="229">
        <v>0</v>
      </c>
      <c r="O1028" s="229">
        <v>0</v>
      </c>
      <c r="P1028" s="229">
        <v>0</v>
      </c>
      <c r="Q1028" s="279">
        <v>0</v>
      </c>
    </row>
    <row r="1029" spans="1:17" customFormat="1">
      <c r="A1029" s="224">
        <v>2</v>
      </c>
      <c r="B1029" s="224">
        <v>6155371</v>
      </c>
      <c r="C1029" s="224">
        <v>615537100</v>
      </c>
      <c r="D1029" s="224" t="s">
        <v>734</v>
      </c>
      <c r="E1029" s="224" t="s">
        <v>735</v>
      </c>
      <c r="F1029" s="224" t="s">
        <v>851</v>
      </c>
      <c r="G1029" s="224" t="s">
        <v>769</v>
      </c>
      <c r="H1029" s="224"/>
      <c r="I1029" s="229">
        <v>0</v>
      </c>
      <c r="J1029" s="229">
        <v>0</v>
      </c>
      <c r="K1029" s="229">
        <v>0</v>
      </c>
      <c r="L1029" s="229">
        <v>0</v>
      </c>
      <c r="M1029" s="229">
        <v>0</v>
      </c>
      <c r="N1029" s="229">
        <v>0</v>
      </c>
      <c r="O1029" s="229">
        <v>0</v>
      </c>
      <c r="P1029" s="229">
        <v>0</v>
      </c>
      <c r="Q1029" s="279">
        <v>0</v>
      </c>
    </row>
    <row r="1030" spans="1:17" customFormat="1">
      <c r="A1030" s="224">
        <v>2</v>
      </c>
      <c r="B1030" s="224">
        <v>6155372</v>
      </c>
      <c r="C1030" s="224">
        <v>615537200</v>
      </c>
      <c r="D1030" s="224" t="s">
        <v>734</v>
      </c>
      <c r="E1030" s="224" t="s">
        <v>735</v>
      </c>
      <c r="F1030" s="224" t="s">
        <v>851</v>
      </c>
      <c r="G1030" s="224" t="s">
        <v>770</v>
      </c>
      <c r="H1030" s="224"/>
      <c r="I1030" s="229">
        <v>0</v>
      </c>
      <c r="J1030" s="229">
        <v>0</v>
      </c>
      <c r="K1030" s="229">
        <v>0</v>
      </c>
      <c r="L1030" s="229">
        <v>0</v>
      </c>
      <c r="M1030" s="229">
        <v>0</v>
      </c>
      <c r="N1030" s="229">
        <v>0</v>
      </c>
      <c r="O1030" s="229">
        <v>0</v>
      </c>
      <c r="P1030" s="229">
        <v>0</v>
      </c>
      <c r="Q1030" s="279">
        <v>0</v>
      </c>
    </row>
    <row r="1031" spans="1:17" customFormat="1">
      <c r="A1031" s="224">
        <v>2</v>
      </c>
      <c r="B1031" s="224">
        <v>6155373</v>
      </c>
      <c r="C1031" s="224">
        <v>615537300</v>
      </c>
      <c r="D1031" s="224" t="s">
        <v>734</v>
      </c>
      <c r="E1031" s="224" t="s">
        <v>735</v>
      </c>
      <c r="F1031" s="224" t="s">
        <v>851</v>
      </c>
      <c r="G1031" s="224" t="s">
        <v>771</v>
      </c>
      <c r="H1031" s="224"/>
      <c r="I1031" s="229">
        <v>0</v>
      </c>
      <c r="J1031" s="229">
        <v>0</v>
      </c>
      <c r="K1031" s="229">
        <v>0</v>
      </c>
      <c r="L1031" s="229">
        <v>0</v>
      </c>
      <c r="M1031" s="229">
        <v>0</v>
      </c>
      <c r="N1031" s="229">
        <v>0</v>
      </c>
      <c r="O1031" s="229">
        <v>0</v>
      </c>
      <c r="P1031" s="229">
        <v>0</v>
      </c>
      <c r="Q1031" s="279">
        <v>0</v>
      </c>
    </row>
    <row r="1032" spans="1:17" customFormat="1">
      <c r="A1032" s="224">
        <v>2</v>
      </c>
      <c r="B1032" s="224">
        <v>6155374</v>
      </c>
      <c r="C1032" s="224">
        <v>615537400</v>
      </c>
      <c r="D1032" s="224" t="s">
        <v>734</v>
      </c>
      <c r="E1032" s="224" t="s">
        <v>735</v>
      </c>
      <c r="F1032" s="224" t="s">
        <v>851</v>
      </c>
      <c r="G1032" s="224" t="s">
        <v>772</v>
      </c>
      <c r="H1032" s="224"/>
      <c r="I1032" s="229">
        <v>0</v>
      </c>
      <c r="J1032" s="229">
        <v>0</v>
      </c>
      <c r="K1032" s="229">
        <v>0</v>
      </c>
      <c r="L1032" s="229">
        <v>0</v>
      </c>
      <c r="M1032" s="229">
        <v>0</v>
      </c>
      <c r="N1032" s="229">
        <v>0</v>
      </c>
      <c r="O1032" s="229">
        <v>0</v>
      </c>
      <c r="P1032" s="229">
        <v>0</v>
      </c>
      <c r="Q1032" s="279">
        <v>0</v>
      </c>
    </row>
    <row r="1033" spans="1:17" customFormat="1">
      <c r="A1033" s="224">
        <v>2</v>
      </c>
      <c r="B1033" s="224">
        <v>6155375</v>
      </c>
      <c r="C1033" s="224">
        <v>615537583</v>
      </c>
      <c r="D1033" s="224" t="s">
        <v>734</v>
      </c>
      <c r="E1033" s="224" t="s">
        <v>735</v>
      </c>
      <c r="F1033" s="224" t="s">
        <v>851</v>
      </c>
      <c r="G1033" s="224" t="s">
        <v>773</v>
      </c>
      <c r="H1033" s="224" t="s">
        <v>75</v>
      </c>
      <c r="I1033" s="229">
        <v>419535338</v>
      </c>
      <c r="J1033" s="229">
        <v>0</v>
      </c>
      <c r="K1033" s="229">
        <v>0</v>
      </c>
      <c r="L1033" s="229">
        <v>0</v>
      </c>
      <c r="M1033" s="229">
        <v>0</v>
      </c>
      <c r="N1033" s="229">
        <v>419535338</v>
      </c>
      <c r="O1033" s="229">
        <v>0</v>
      </c>
      <c r="P1033" s="229">
        <v>0</v>
      </c>
      <c r="Q1033" s="279">
        <v>0</v>
      </c>
    </row>
    <row r="1034" spans="1:17" customFormat="1">
      <c r="A1034" s="224">
        <v>2</v>
      </c>
      <c r="B1034" s="224">
        <v>6155375</v>
      </c>
      <c r="C1034" s="224">
        <v>615537584</v>
      </c>
      <c r="D1034" s="224" t="s">
        <v>734</v>
      </c>
      <c r="E1034" s="224" t="s">
        <v>735</v>
      </c>
      <c r="F1034" s="224" t="s">
        <v>851</v>
      </c>
      <c r="G1034" s="224" t="s">
        <v>773</v>
      </c>
      <c r="H1034" s="224" t="s">
        <v>774</v>
      </c>
      <c r="I1034" s="229">
        <v>4022728</v>
      </c>
      <c r="J1034" s="229">
        <v>0</v>
      </c>
      <c r="K1034" s="229">
        <v>0</v>
      </c>
      <c r="L1034" s="229">
        <v>0</v>
      </c>
      <c r="M1034" s="229">
        <v>0</v>
      </c>
      <c r="N1034" s="229">
        <v>0</v>
      </c>
      <c r="O1034" s="229">
        <v>0</v>
      </c>
      <c r="P1034" s="229">
        <v>4022728</v>
      </c>
      <c r="Q1034" s="279">
        <v>0</v>
      </c>
    </row>
    <row r="1035" spans="1:17" customFormat="1">
      <c r="A1035" s="224">
        <v>2</v>
      </c>
      <c r="B1035" s="224">
        <v>6155375</v>
      </c>
      <c r="C1035" s="224">
        <v>615537585</v>
      </c>
      <c r="D1035" s="224" t="s">
        <v>734</v>
      </c>
      <c r="E1035" s="224" t="s">
        <v>735</v>
      </c>
      <c r="F1035" s="224" t="s">
        <v>851</v>
      </c>
      <c r="G1035" s="224" t="s">
        <v>773</v>
      </c>
      <c r="H1035" s="224" t="s">
        <v>775</v>
      </c>
      <c r="I1035" s="229">
        <v>12423600</v>
      </c>
      <c r="J1035" s="229">
        <v>0</v>
      </c>
      <c r="K1035" s="229">
        <v>0</v>
      </c>
      <c r="L1035" s="229">
        <v>0</v>
      </c>
      <c r="M1035" s="229">
        <v>0</v>
      </c>
      <c r="N1035" s="229">
        <v>12423600</v>
      </c>
      <c r="O1035" s="229">
        <v>0</v>
      </c>
      <c r="P1035" s="229">
        <v>0</v>
      </c>
      <c r="Q1035" s="279">
        <v>0</v>
      </c>
    </row>
    <row r="1036" spans="1:17" customFormat="1">
      <c r="A1036" s="224">
        <v>2</v>
      </c>
      <c r="B1036" s="224">
        <v>6155375</v>
      </c>
      <c r="C1036" s="224">
        <v>615537586</v>
      </c>
      <c r="D1036" s="224" t="s">
        <v>734</v>
      </c>
      <c r="E1036" s="224" t="s">
        <v>735</v>
      </c>
      <c r="F1036" s="224" t="s">
        <v>851</v>
      </c>
      <c r="G1036" s="224" t="s">
        <v>773</v>
      </c>
      <c r="H1036" s="224" t="s">
        <v>776</v>
      </c>
      <c r="I1036" s="229">
        <v>7632900</v>
      </c>
      <c r="J1036" s="229">
        <v>0</v>
      </c>
      <c r="K1036" s="229">
        <v>0</v>
      </c>
      <c r="L1036" s="229">
        <v>0</v>
      </c>
      <c r="M1036" s="229">
        <v>0</v>
      </c>
      <c r="N1036" s="229">
        <v>7632900</v>
      </c>
      <c r="O1036" s="229">
        <v>0</v>
      </c>
      <c r="P1036" s="229">
        <v>0</v>
      </c>
      <c r="Q1036" s="279">
        <v>0</v>
      </c>
    </row>
    <row r="1037" spans="1:17" customFormat="1">
      <c r="A1037" s="224">
        <v>2</v>
      </c>
      <c r="B1037" s="224">
        <v>6155375</v>
      </c>
      <c r="C1037" s="224">
        <v>615537587</v>
      </c>
      <c r="D1037" s="224" t="s">
        <v>734</v>
      </c>
      <c r="E1037" s="224" t="s">
        <v>735</v>
      </c>
      <c r="F1037" s="224" t="s">
        <v>851</v>
      </c>
      <c r="G1037" s="224" t="s">
        <v>773</v>
      </c>
      <c r="H1037" s="224" t="s">
        <v>665</v>
      </c>
      <c r="I1037" s="229">
        <v>45870</v>
      </c>
      <c r="J1037" s="229">
        <v>0</v>
      </c>
      <c r="K1037" s="229">
        <v>0</v>
      </c>
      <c r="L1037" s="229">
        <v>0</v>
      </c>
      <c r="M1037" s="229">
        <v>0</v>
      </c>
      <c r="N1037" s="229">
        <v>45870</v>
      </c>
      <c r="O1037" s="229">
        <v>0</v>
      </c>
      <c r="P1037" s="229">
        <v>0</v>
      </c>
      <c r="Q1037" s="279">
        <v>0</v>
      </c>
    </row>
    <row r="1038" spans="1:17" customFormat="1">
      <c r="A1038" s="224">
        <v>2</v>
      </c>
      <c r="B1038" s="224">
        <v>6155375</v>
      </c>
      <c r="C1038" s="224">
        <v>615537588</v>
      </c>
      <c r="D1038" s="224" t="s">
        <v>734</v>
      </c>
      <c r="E1038" s="224" t="s">
        <v>735</v>
      </c>
      <c r="F1038" s="224" t="s">
        <v>851</v>
      </c>
      <c r="G1038" s="224" t="s">
        <v>773</v>
      </c>
      <c r="H1038" s="224" t="s">
        <v>73</v>
      </c>
      <c r="I1038" s="229">
        <v>525070</v>
      </c>
      <c r="J1038" s="229">
        <v>0</v>
      </c>
      <c r="K1038" s="229">
        <v>0</v>
      </c>
      <c r="L1038" s="229">
        <v>0</v>
      </c>
      <c r="M1038" s="229">
        <v>0</v>
      </c>
      <c r="N1038" s="229">
        <v>0</v>
      </c>
      <c r="O1038" s="229">
        <v>525070</v>
      </c>
      <c r="P1038" s="229">
        <v>0</v>
      </c>
      <c r="Q1038" s="279">
        <v>0</v>
      </c>
    </row>
    <row r="1039" spans="1:17" customFormat="1">
      <c r="A1039" s="224">
        <v>2</v>
      </c>
      <c r="B1039" s="224">
        <v>6160101</v>
      </c>
      <c r="C1039" s="224">
        <v>616010100</v>
      </c>
      <c r="D1039" s="224" t="s">
        <v>734</v>
      </c>
      <c r="E1039" s="224" t="s">
        <v>788</v>
      </c>
      <c r="F1039" s="224" t="s">
        <v>789</v>
      </c>
      <c r="G1039" s="224" t="s">
        <v>789</v>
      </c>
      <c r="H1039" s="224"/>
      <c r="I1039" s="229">
        <v>274954288</v>
      </c>
      <c r="J1039" s="229">
        <v>0</v>
      </c>
      <c r="K1039" s="229">
        <v>0</v>
      </c>
      <c r="L1039" s="229">
        <v>0</v>
      </c>
      <c r="M1039" s="229">
        <v>0</v>
      </c>
      <c r="N1039" s="229">
        <v>0</v>
      </c>
      <c r="O1039" s="229">
        <v>0</v>
      </c>
      <c r="P1039" s="229">
        <v>274954288</v>
      </c>
      <c r="Q1039" s="279">
        <v>0</v>
      </c>
    </row>
    <row r="1040" spans="1:17">
      <c r="A1040" s="236">
        <v>2</v>
      </c>
      <c r="B1040" s="236">
        <v>6160102</v>
      </c>
      <c r="C1040" s="236">
        <v>616010200</v>
      </c>
      <c r="D1040" s="236" t="s">
        <v>734</v>
      </c>
      <c r="E1040" s="236" t="s">
        <v>788</v>
      </c>
      <c r="F1040" s="236" t="s">
        <v>789</v>
      </c>
      <c r="G1040" s="236" t="s">
        <v>877</v>
      </c>
      <c r="H1040" s="236"/>
      <c r="I1040" s="257">
        <v>100000</v>
      </c>
      <c r="J1040" s="257">
        <v>0</v>
      </c>
      <c r="K1040" s="257">
        <v>0</v>
      </c>
      <c r="L1040" s="257">
        <v>0</v>
      </c>
      <c r="M1040" s="257">
        <v>0</v>
      </c>
      <c r="N1040" s="257">
        <v>0</v>
      </c>
      <c r="O1040" s="257">
        <v>0</v>
      </c>
      <c r="P1040" s="257">
        <v>100000</v>
      </c>
      <c r="Q1040" s="258">
        <v>0</v>
      </c>
    </row>
    <row r="1041" spans="1:17" customFormat="1">
      <c r="A1041" s="224">
        <v>2</v>
      </c>
      <c r="B1041" s="224">
        <v>6160303</v>
      </c>
      <c r="C1041" s="224">
        <v>616030300</v>
      </c>
      <c r="D1041" s="224" t="s">
        <v>734</v>
      </c>
      <c r="E1041" s="224" t="s">
        <v>788</v>
      </c>
      <c r="F1041" s="224" t="s">
        <v>791</v>
      </c>
      <c r="G1041" s="224" t="s">
        <v>791</v>
      </c>
      <c r="H1041" s="224"/>
      <c r="I1041" s="229">
        <v>0</v>
      </c>
      <c r="J1041" s="229">
        <v>0</v>
      </c>
      <c r="K1041" s="229">
        <v>0</v>
      </c>
      <c r="L1041" s="229">
        <v>0</v>
      </c>
      <c r="M1041" s="229">
        <v>0</v>
      </c>
      <c r="N1041" s="229">
        <v>0</v>
      </c>
      <c r="O1041" s="229">
        <v>0</v>
      </c>
      <c r="P1041" s="229">
        <v>0</v>
      </c>
      <c r="Q1041" s="279">
        <v>0</v>
      </c>
    </row>
    <row r="1042" spans="1:17" customFormat="1">
      <c r="A1042" s="224">
        <v>2</v>
      </c>
      <c r="B1042" s="224">
        <v>6170208</v>
      </c>
      <c r="C1042" s="224">
        <v>617020800</v>
      </c>
      <c r="D1042" s="224" t="s">
        <v>734</v>
      </c>
      <c r="E1042" s="224" t="s">
        <v>792</v>
      </c>
      <c r="F1042" s="224" t="s">
        <v>793</v>
      </c>
      <c r="G1042" s="224" t="s">
        <v>852</v>
      </c>
      <c r="H1042" s="224"/>
      <c r="I1042" s="229">
        <v>1040000</v>
      </c>
      <c r="J1042" s="229">
        <v>0</v>
      </c>
      <c r="K1042" s="229">
        <v>0</v>
      </c>
      <c r="L1042" s="229">
        <v>0</v>
      </c>
      <c r="M1042" s="229">
        <v>0</v>
      </c>
      <c r="N1042" s="229">
        <v>0</v>
      </c>
      <c r="O1042" s="229">
        <v>0</v>
      </c>
      <c r="P1042" s="229">
        <v>1040000</v>
      </c>
      <c r="Q1042" s="279">
        <v>0</v>
      </c>
    </row>
    <row r="1043" spans="1:17" customFormat="1">
      <c r="A1043" s="224">
        <v>2</v>
      </c>
      <c r="B1043" s="224">
        <v>6170210</v>
      </c>
      <c r="C1043" s="224">
        <v>617021000</v>
      </c>
      <c r="D1043" s="224" t="s">
        <v>734</v>
      </c>
      <c r="E1043" s="224" t="s">
        <v>792</v>
      </c>
      <c r="F1043" s="224" t="s">
        <v>793</v>
      </c>
      <c r="G1043" s="224" t="s">
        <v>853</v>
      </c>
      <c r="H1043" s="224"/>
      <c r="I1043" s="229">
        <v>0</v>
      </c>
      <c r="J1043" s="229">
        <v>0</v>
      </c>
      <c r="K1043" s="229">
        <v>0</v>
      </c>
      <c r="L1043" s="229">
        <v>0</v>
      </c>
      <c r="M1043" s="229">
        <v>0</v>
      </c>
      <c r="N1043" s="229">
        <v>0</v>
      </c>
      <c r="O1043" s="229">
        <v>0</v>
      </c>
      <c r="P1043" s="229">
        <v>0</v>
      </c>
      <c r="Q1043" s="279">
        <v>0</v>
      </c>
    </row>
    <row r="1044" spans="1:17" customFormat="1">
      <c r="A1044" s="224">
        <v>2</v>
      </c>
      <c r="B1044" s="224">
        <v>6170212</v>
      </c>
      <c r="C1044" s="224">
        <v>617021200</v>
      </c>
      <c r="D1044" s="224" t="s">
        <v>734</v>
      </c>
      <c r="E1044" s="224" t="s">
        <v>792</v>
      </c>
      <c r="F1044" s="224" t="s">
        <v>793</v>
      </c>
      <c r="G1044" s="224" t="s">
        <v>854</v>
      </c>
      <c r="H1044" s="224"/>
      <c r="I1044" s="229">
        <v>0</v>
      </c>
      <c r="J1044" s="229">
        <v>0</v>
      </c>
      <c r="K1044" s="229">
        <v>0</v>
      </c>
      <c r="L1044" s="229">
        <v>0</v>
      </c>
      <c r="M1044" s="229">
        <v>0</v>
      </c>
      <c r="N1044" s="229">
        <v>0</v>
      </c>
      <c r="O1044" s="229">
        <v>0</v>
      </c>
      <c r="P1044" s="229">
        <v>0</v>
      </c>
      <c r="Q1044" s="279">
        <v>0</v>
      </c>
    </row>
    <row r="1045" spans="1:17" customFormat="1">
      <c r="A1045" s="224">
        <v>2</v>
      </c>
      <c r="B1045" s="224">
        <v>6170303</v>
      </c>
      <c r="C1045" s="224">
        <v>617030300</v>
      </c>
      <c r="D1045" s="224" t="s">
        <v>734</v>
      </c>
      <c r="E1045" s="224" t="s">
        <v>792</v>
      </c>
      <c r="F1045" s="224" t="s">
        <v>797</v>
      </c>
      <c r="G1045" s="224" t="s">
        <v>797</v>
      </c>
      <c r="H1045" s="224"/>
      <c r="I1045" s="229">
        <v>0</v>
      </c>
      <c r="J1045" s="229">
        <v>0</v>
      </c>
      <c r="K1045" s="229">
        <v>0</v>
      </c>
      <c r="L1045" s="229">
        <v>0</v>
      </c>
      <c r="M1045" s="229">
        <v>0</v>
      </c>
      <c r="N1045" s="229">
        <v>0</v>
      </c>
      <c r="O1045" s="229">
        <v>0</v>
      </c>
      <c r="P1045" s="229">
        <v>0</v>
      </c>
      <c r="Q1045" s="279">
        <v>0</v>
      </c>
    </row>
    <row r="1046" spans="1:17" customFormat="1">
      <c r="A1046" s="224">
        <v>2</v>
      </c>
      <c r="B1046" s="224">
        <v>6170401</v>
      </c>
      <c r="C1046" s="224">
        <v>617040100</v>
      </c>
      <c r="D1046" s="224" t="s">
        <v>734</v>
      </c>
      <c r="E1046" s="224" t="s">
        <v>792</v>
      </c>
      <c r="F1046" s="224" t="s">
        <v>791</v>
      </c>
      <c r="G1046" s="224" t="s">
        <v>798</v>
      </c>
      <c r="H1046" s="224"/>
      <c r="I1046" s="229">
        <v>0</v>
      </c>
      <c r="J1046" s="229">
        <v>0</v>
      </c>
      <c r="K1046" s="229">
        <v>0</v>
      </c>
      <c r="L1046" s="229">
        <v>0</v>
      </c>
      <c r="M1046" s="229">
        <v>0</v>
      </c>
      <c r="N1046" s="229">
        <v>0</v>
      </c>
      <c r="O1046" s="229">
        <v>0</v>
      </c>
      <c r="P1046" s="229">
        <v>0</v>
      </c>
      <c r="Q1046" s="279">
        <v>0</v>
      </c>
    </row>
    <row r="1047" spans="1:17" customFormat="1">
      <c r="A1047" s="224">
        <v>2</v>
      </c>
      <c r="B1047" s="224">
        <v>6170402</v>
      </c>
      <c r="C1047" s="224">
        <v>617040200</v>
      </c>
      <c r="D1047" s="224" t="s">
        <v>734</v>
      </c>
      <c r="E1047" s="224" t="s">
        <v>792</v>
      </c>
      <c r="F1047" s="224" t="s">
        <v>791</v>
      </c>
      <c r="G1047" s="224" t="s">
        <v>799</v>
      </c>
      <c r="H1047" s="224"/>
      <c r="I1047" s="229">
        <v>0</v>
      </c>
      <c r="J1047" s="229">
        <v>0</v>
      </c>
      <c r="K1047" s="229">
        <v>0</v>
      </c>
      <c r="L1047" s="229">
        <v>0</v>
      </c>
      <c r="M1047" s="229">
        <v>0</v>
      </c>
      <c r="N1047" s="229">
        <v>0</v>
      </c>
      <c r="O1047" s="229">
        <v>0</v>
      </c>
      <c r="P1047" s="229">
        <v>0</v>
      </c>
      <c r="Q1047" s="279">
        <v>0</v>
      </c>
    </row>
    <row r="1048" spans="1:17" customFormat="1">
      <c r="A1048" s="224">
        <v>2</v>
      </c>
      <c r="B1048" s="224">
        <v>6170403</v>
      </c>
      <c r="C1048" s="224">
        <v>617040300</v>
      </c>
      <c r="D1048" s="224" t="s">
        <v>734</v>
      </c>
      <c r="E1048" s="224" t="s">
        <v>792</v>
      </c>
      <c r="F1048" s="224" t="s">
        <v>791</v>
      </c>
      <c r="G1048" s="224" t="s">
        <v>800</v>
      </c>
      <c r="H1048" s="224"/>
      <c r="I1048" s="229">
        <v>0</v>
      </c>
      <c r="J1048" s="229">
        <v>0</v>
      </c>
      <c r="K1048" s="229">
        <v>0</v>
      </c>
      <c r="L1048" s="229">
        <v>0</v>
      </c>
      <c r="M1048" s="229">
        <v>0</v>
      </c>
      <c r="N1048" s="229">
        <v>0</v>
      </c>
      <c r="O1048" s="229">
        <v>0</v>
      </c>
      <c r="P1048" s="229">
        <v>0</v>
      </c>
      <c r="Q1048" s="279">
        <v>0</v>
      </c>
    </row>
    <row r="1049" spans="1:17" customFormat="1">
      <c r="A1049" s="224">
        <v>2</v>
      </c>
      <c r="B1049" s="224">
        <v>6181212</v>
      </c>
      <c r="C1049" s="224">
        <v>618121200</v>
      </c>
      <c r="D1049" s="224" t="s">
        <v>734</v>
      </c>
      <c r="E1049" s="224" t="s">
        <v>801</v>
      </c>
      <c r="F1049" s="224" t="s">
        <v>501</v>
      </c>
      <c r="G1049" s="224" t="s">
        <v>501</v>
      </c>
      <c r="H1049" s="224"/>
      <c r="I1049" s="229">
        <v>0</v>
      </c>
      <c r="J1049" s="229">
        <v>0</v>
      </c>
      <c r="K1049" s="229">
        <v>0</v>
      </c>
      <c r="L1049" s="229">
        <v>0</v>
      </c>
      <c r="M1049" s="229">
        <v>0</v>
      </c>
      <c r="N1049" s="229">
        <v>0</v>
      </c>
      <c r="O1049" s="229">
        <v>0</v>
      </c>
      <c r="P1049" s="229">
        <v>0</v>
      </c>
      <c r="Q1049" s="279">
        <v>0</v>
      </c>
    </row>
    <row r="1050" spans="1:17" customFormat="1">
      <c r="A1050" s="224">
        <v>2</v>
      </c>
      <c r="B1050" s="224">
        <v>6181414</v>
      </c>
      <c r="C1050" s="224">
        <v>618141400</v>
      </c>
      <c r="D1050" s="224" t="s">
        <v>734</v>
      </c>
      <c r="E1050" s="224" t="s">
        <v>801</v>
      </c>
      <c r="F1050" s="224" t="s">
        <v>802</v>
      </c>
      <c r="G1050" s="224" t="s">
        <v>802</v>
      </c>
      <c r="H1050" s="224"/>
      <c r="I1050" s="229">
        <v>0</v>
      </c>
      <c r="J1050" s="229">
        <v>0</v>
      </c>
      <c r="K1050" s="229">
        <v>0</v>
      </c>
      <c r="L1050" s="229">
        <v>0</v>
      </c>
      <c r="M1050" s="229">
        <v>0</v>
      </c>
      <c r="N1050" s="229">
        <v>0</v>
      </c>
      <c r="O1050" s="229">
        <v>0</v>
      </c>
      <c r="P1050" s="229">
        <v>0</v>
      </c>
      <c r="Q1050" s="279">
        <v>0</v>
      </c>
    </row>
    <row r="1051" spans="1:17" customFormat="1">
      <c r="A1051" s="224">
        <v>2</v>
      </c>
      <c r="B1051" s="224">
        <v>6182020</v>
      </c>
      <c r="C1051" s="224">
        <v>618202000</v>
      </c>
      <c r="D1051" s="224" t="s">
        <v>734</v>
      </c>
      <c r="E1051" s="224" t="s">
        <v>801</v>
      </c>
      <c r="F1051" s="224" t="s">
        <v>803</v>
      </c>
      <c r="G1051" s="224" t="s">
        <v>803</v>
      </c>
      <c r="H1051" s="224"/>
      <c r="I1051" s="229">
        <v>0</v>
      </c>
      <c r="J1051" s="229">
        <v>0</v>
      </c>
      <c r="K1051" s="229">
        <v>0</v>
      </c>
      <c r="L1051" s="229">
        <v>0</v>
      </c>
      <c r="M1051" s="229">
        <v>0</v>
      </c>
      <c r="N1051" s="229">
        <v>0</v>
      </c>
      <c r="O1051" s="229">
        <v>0</v>
      </c>
      <c r="P1051" s="229">
        <v>0</v>
      </c>
      <c r="Q1051" s="279">
        <v>0</v>
      </c>
    </row>
    <row r="1052" spans="1:17" customFormat="1">
      <c r="A1052" s="224">
        <v>2</v>
      </c>
      <c r="B1052" s="224">
        <v>6190101</v>
      </c>
      <c r="C1052" s="224">
        <v>619010100</v>
      </c>
      <c r="D1052" s="224" t="s">
        <v>734</v>
      </c>
      <c r="E1052" s="224" t="s">
        <v>804</v>
      </c>
      <c r="F1052" s="224" t="s">
        <v>804</v>
      </c>
      <c r="G1052" s="224" t="s">
        <v>804</v>
      </c>
      <c r="H1052" s="224"/>
      <c r="I1052" s="229">
        <v>0</v>
      </c>
      <c r="J1052" s="229">
        <v>0</v>
      </c>
      <c r="K1052" s="229">
        <v>0</v>
      </c>
      <c r="L1052" s="229">
        <v>0</v>
      </c>
      <c r="M1052" s="229">
        <v>0</v>
      </c>
      <c r="N1052" s="229">
        <v>0</v>
      </c>
      <c r="O1052" s="229">
        <v>0</v>
      </c>
      <c r="P1052" s="229">
        <v>0</v>
      </c>
      <c r="Q1052" s="279">
        <v>0</v>
      </c>
    </row>
    <row r="1053" spans="1:17" customFormat="1">
      <c r="A1053" s="224">
        <v>2</v>
      </c>
      <c r="B1053" s="224">
        <v>6200101</v>
      </c>
      <c r="C1053" s="224">
        <v>620010100</v>
      </c>
      <c r="D1053" s="224" t="s">
        <v>734</v>
      </c>
      <c r="E1053" s="224" t="s">
        <v>805</v>
      </c>
      <c r="F1053" s="224" t="s">
        <v>805</v>
      </c>
      <c r="G1053" s="224" t="s">
        <v>805</v>
      </c>
      <c r="H1053" s="224"/>
      <c r="I1053" s="229">
        <v>0</v>
      </c>
      <c r="J1053" s="229">
        <v>0</v>
      </c>
      <c r="K1053" s="229">
        <v>0</v>
      </c>
      <c r="L1053" s="229">
        <v>0</v>
      </c>
      <c r="M1053" s="229">
        <v>0</v>
      </c>
      <c r="N1053" s="229">
        <v>0</v>
      </c>
      <c r="O1053" s="229">
        <v>0</v>
      </c>
      <c r="P1053" s="229">
        <v>0</v>
      </c>
      <c r="Q1053" s="279">
        <v>0</v>
      </c>
    </row>
    <row r="1054" spans="1:17" customFormat="1">
      <c r="A1054" s="224">
        <v>2</v>
      </c>
      <c r="B1054" s="224">
        <v>6210101</v>
      </c>
      <c r="C1054" s="224">
        <v>621010100</v>
      </c>
      <c r="D1054" s="224" t="s">
        <v>734</v>
      </c>
      <c r="E1054" s="224" t="s">
        <v>806</v>
      </c>
      <c r="F1054" s="224" t="s">
        <v>807</v>
      </c>
      <c r="G1054" s="224" t="s">
        <v>807</v>
      </c>
      <c r="H1054" s="224"/>
      <c r="I1054" s="229">
        <v>0</v>
      </c>
      <c r="J1054" s="229">
        <v>0</v>
      </c>
      <c r="K1054" s="229">
        <v>0</v>
      </c>
      <c r="L1054" s="229">
        <v>0</v>
      </c>
      <c r="M1054" s="229">
        <v>0</v>
      </c>
      <c r="N1054" s="229">
        <v>0</v>
      </c>
      <c r="O1054" s="229">
        <v>0</v>
      </c>
      <c r="P1054" s="229">
        <v>0</v>
      </c>
      <c r="Q1054" s="279">
        <v>0</v>
      </c>
    </row>
    <row r="1055" spans="1:17" customFormat="1">
      <c r="A1055" s="224">
        <v>2</v>
      </c>
      <c r="B1055" s="224">
        <v>6900101</v>
      </c>
      <c r="C1055" s="224">
        <v>690010100</v>
      </c>
      <c r="D1055" s="224" t="s">
        <v>734</v>
      </c>
      <c r="E1055" s="224" t="s">
        <v>809</v>
      </c>
      <c r="F1055" s="224" t="s">
        <v>809</v>
      </c>
      <c r="G1055" s="224" t="s">
        <v>809</v>
      </c>
      <c r="H1055" s="224"/>
      <c r="I1055" s="229">
        <v>0</v>
      </c>
      <c r="J1055" s="229">
        <v>0</v>
      </c>
      <c r="K1055" s="229">
        <v>0</v>
      </c>
      <c r="L1055" s="229">
        <v>0</v>
      </c>
      <c r="M1055" s="229">
        <v>0</v>
      </c>
      <c r="N1055" s="229">
        <v>0</v>
      </c>
      <c r="O1055" s="229">
        <v>0</v>
      </c>
      <c r="P1055" s="229">
        <v>0</v>
      </c>
      <c r="Q1055" s="279">
        <v>0</v>
      </c>
    </row>
    <row r="1056" spans="1:17" customFormat="1">
      <c r="A1056" s="224">
        <v>2</v>
      </c>
      <c r="B1056" s="224">
        <v>8830823</v>
      </c>
      <c r="C1056" s="224">
        <v>883082300</v>
      </c>
      <c r="D1056" s="224" t="s">
        <v>538</v>
      </c>
      <c r="E1056" s="224" t="s">
        <v>539</v>
      </c>
      <c r="F1056" s="224" t="s">
        <v>817</v>
      </c>
      <c r="G1056" s="224" t="s">
        <v>79</v>
      </c>
      <c r="H1056" s="224"/>
      <c r="I1056" s="229">
        <v>0</v>
      </c>
      <c r="J1056" s="229">
        <v>0</v>
      </c>
      <c r="K1056" s="229">
        <v>0</v>
      </c>
      <c r="L1056" s="229">
        <v>0</v>
      </c>
      <c r="M1056" s="229">
        <v>0</v>
      </c>
      <c r="N1056" s="229">
        <v>0</v>
      </c>
      <c r="O1056" s="229">
        <v>0</v>
      </c>
      <c r="P1056" s="229">
        <v>0</v>
      </c>
      <c r="Q1056" s="279">
        <v>0</v>
      </c>
    </row>
    <row r="1057" spans="1:17" customFormat="1">
      <c r="A1057" s="224">
        <v>2</v>
      </c>
      <c r="B1057" s="224">
        <v>8831643</v>
      </c>
      <c r="C1057" s="224">
        <v>883164301</v>
      </c>
      <c r="D1057" s="224" t="s">
        <v>538</v>
      </c>
      <c r="E1057" s="224" t="s">
        <v>539</v>
      </c>
      <c r="F1057" s="224" t="s">
        <v>821</v>
      </c>
      <c r="G1057" s="224" t="s">
        <v>824</v>
      </c>
      <c r="H1057" s="224" t="s">
        <v>688</v>
      </c>
      <c r="I1057" s="229">
        <v>6341</v>
      </c>
      <c r="J1057" s="229">
        <v>0</v>
      </c>
      <c r="K1057" s="229">
        <v>0</v>
      </c>
      <c r="L1057" s="229">
        <v>0</v>
      </c>
      <c r="M1057" s="229">
        <v>0</v>
      </c>
      <c r="N1057" s="229">
        <v>0</v>
      </c>
      <c r="O1057" s="229">
        <v>0</v>
      </c>
      <c r="P1057" s="229">
        <v>6341</v>
      </c>
      <c r="Q1057" s="279">
        <v>0</v>
      </c>
    </row>
    <row r="1058" spans="1:17" customFormat="1">
      <c r="A1058" s="224">
        <v>2</v>
      </c>
      <c r="B1058" s="224">
        <v>8831643</v>
      </c>
      <c r="C1058" s="224">
        <v>883164303</v>
      </c>
      <c r="D1058" s="224" t="s">
        <v>538</v>
      </c>
      <c r="E1058" s="224" t="s">
        <v>539</v>
      </c>
      <c r="F1058" s="224" t="s">
        <v>821</v>
      </c>
      <c r="G1058" s="224" t="s">
        <v>824</v>
      </c>
      <c r="H1058" s="224" t="s">
        <v>847</v>
      </c>
      <c r="I1058" s="229">
        <v>533590</v>
      </c>
      <c r="J1058" s="229">
        <v>0</v>
      </c>
      <c r="K1058" s="229">
        <v>0</v>
      </c>
      <c r="L1058" s="229">
        <v>0</v>
      </c>
      <c r="M1058" s="229">
        <v>0</v>
      </c>
      <c r="N1058" s="229">
        <v>0</v>
      </c>
      <c r="O1058" s="229">
        <v>0</v>
      </c>
      <c r="P1058" s="229">
        <v>533590</v>
      </c>
      <c r="Q1058" s="279">
        <v>0</v>
      </c>
    </row>
    <row r="1059" spans="1:17" customFormat="1">
      <c r="A1059" s="224">
        <v>2</v>
      </c>
      <c r="B1059" s="224">
        <v>8831643</v>
      </c>
      <c r="C1059" s="224">
        <v>883164304</v>
      </c>
      <c r="D1059" s="224" t="s">
        <v>538</v>
      </c>
      <c r="E1059" s="224" t="s">
        <v>539</v>
      </c>
      <c r="F1059" s="224" t="s">
        <v>821</v>
      </c>
      <c r="G1059" s="224" t="s">
        <v>824</v>
      </c>
      <c r="H1059" s="224" t="s">
        <v>675</v>
      </c>
      <c r="I1059" s="229">
        <v>0</v>
      </c>
      <c r="J1059" s="229">
        <v>0</v>
      </c>
      <c r="K1059" s="229">
        <v>0</v>
      </c>
      <c r="L1059" s="229">
        <v>0</v>
      </c>
      <c r="M1059" s="229">
        <v>0</v>
      </c>
      <c r="N1059" s="229">
        <v>0</v>
      </c>
      <c r="O1059" s="229">
        <v>0</v>
      </c>
      <c r="P1059" s="229">
        <v>0</v>
      </c>
      <c r="Q1059" s="279">
        <v>0</v>
      </c>
    </row>
    <row r="1060" spans="1:17" customFormat="1">
      <c r="A1060" s="224">
        <v>2</v>
      </c>
      <c r="B1060" s="224">
        <v>8831643</v>
      </c>
      <c r="C1060" s="224">
        <v>883164305</v>
      </c>
      <c r="D1060" s="224" t="s">
        <v>538</v>
      </c>
      <c r="E1060" s="224" t="s">
        <v>539</v>
      </c>
      <c r="F1060" s="224" t="s">
        <v>821</v>
      </c>
      <c r="G1060" s="224" t="s">
        <v>824</v>
      </c>
      <c r="H1060" s="224" t="s">
        <v>676</v>
      </c>
      <c r="I1060" s="229">
        <v>0</v>
      </c>
      <c r="J1060" s="229">
        <v>0</v>
      </c>
      <c r="K1060" s="229">
        <v>0</v>
      </c>
      <c r="L1060" s="229">
        <v>0</v>
      </c>
      <c r="M1060" s="229">
        <v>0</v>
      </c>
      <c r="N1060" s="229">
        <v>0</v>
      </c>
      <c r="O1060" s="229">
        <v>0</v>
      </c>
      <c r="P1060" s="229">
        <v>0</v>
      </c>
      <c r="Q1060" s="279">
        <v>0</v>
      </c>
    </row>
    <row r="1061" spans="1:17" customFormat="1">
      <c r="A1061" s="224">
        <v>2</v>
      </c>
      <c r="B1061" s="224">
        <v>8831701</v>
      </c>
      <c r="C1061" s="224">
        <v>883170102</v>
      </c>
      <c r="D1061" s="224" t="s">
        <v>538</v>
      </c>
      <c r="E1061" s="224" t="s">
        <v>539</v>
      </c>
      <c r="F1061" s="224" t="s">
        <v>540</v>
      </c>
      <c r="G1061" s="224" t="s">
        <v>112</v>
      </c>
      <c r="H1061" s="224" t="s">
        <v>737</v>
      </c>
      <c r="I1061" s="229">
        <v>0</v>
      </c>
      <c r="J1061" s="229">
        <v>0</v>
      </c>
      <c r="K1061" s="229">
        <v>0</v>
      </c>
      <c r="L1061" s="229">
        <v>0</v>
      </c>
      <c r="M1061" s="229">
        <v>0</v>
      </c>
      <c r="N1061" s="229">
        <v>0</v>
      </c>
      <c r="O1061" s="229">
        <v>0</v>
      </c>
      <c r="P1061" s="229">
        <v>0</v>
      </c>
      <c r="Q1061" s="279">
        <v>0</v>
      </c>
    </row>
    <row r="1062" spans="1:17" customFormat="1">
      <c r="A1062" s="224">
        <v>2</v>
      </c>
      <c r="B1062" s="224">
        <v>8831701</v>
      </c>
      <c r="C1062" s="224">
        <v>883170103</v>
      </c>
      <c r="D1062" s="224" t="s">
        <v>538</v>
      </c>
      <c r="E1062" s="224" t="s">
        <v>539</v>
      </c>
      <c r="F1062" s="224" t="s">
        <v>540</v>
      </c>
      <c r="G1062" s="224" t="s">
        <v>112</v>
      </c>
      <c r="H1062" s="224" t="s">
        <v>738</v>
      </c>
      <c r="I1062" s="229">
        <v>0</v>
      </c>
      <c r="J1062" s="229">
        <v>0</v>
      </c>
      <c r="K1062" s="229">
        <v>0</v>
      </c>
      <c r="L1062" s="229">
        <v>0</v>
      </c>
      <c r="M1062" s="229">
        <v>0</v>
      </c>
      <c r="N1062" s="229">
        <v>0</v>
      </c>
      <c r="O1062" s="229">
        <v>0</v>
      </c>
      <c r="P1062" s="229">
        <v>0</v>
      </c>
      <c r="Q1062" s="279">
        <v>0</v>
      </c>
    </row>
    <row r="1063" spans="1:17" customFormat="1">
      <c r="A1063" s="224">
        <v>2</v>
      </c>
      <c r="B1063" s="224">
        <v>8831701</v>
      </c>
      <c r="C1063" s="224">
        <v>883170104</v>
      </c>
      <c r="D1063" s="224" t="s">
        <v>538</v>
      </c>
      <c r="E1063" s="224" t="s">
        <v>539</v>
      </c>
      <c r="F1063" s="224" t="s">
        <v>540</v>
      </c>
      <c r="G1063" s="224" t="s">
        <v>112</v>
      </c>
      <c r="H1063" s="224" t="s">
        <v>739</v>
      </c>
      <c r="I1063" s="229">
        <v>0</v>
      </c>
      <c r="J1063" s="229">
        <v>0</v>
      </c>
      <c r="K1063" s="229">
        <v>0</v>
      </c>
      <c r="L1063" s="229">
        <v>0</v>
      </c>
      <c r="M1063" s="229">
        <v>0</v>
      </c>
      <c r="N1063" s="229">
        <v>0</v>
      </c>
      <c r="O1063" s="229">
        <v>0</v>
      </c>
      <c r="P1063" s="229">
        <v>0</v>
      </c>
      <c r="Q1063" s="279">
        <v>0</v>
      </c>
    </row>
    <row r="1064" spans="1:17" customFormat="1">
      <c r="A1064" s="236">
        <v>2</v>
      </c>
      <c r="B1064" s="236">
        <v>8831701</v>
      </c>
      <c r="C1064" s="236">
        <v>883170105</v>
      </c>
      <c r="D1064" s="236" t="s">
        <v>538</v>
      </c>
      <c r="E1064" s="236" t="s">
        <v>539</v>
      </c>
      <c r="F1064" s="236" t="s">
        <v>540</v>
      </c>
      <c r="G1064" s="236" t="s">
        <v>112</v>
      </c>
      <c r="H1064" s="236" t="s">
        <v>740</v>
      </c>
      <c r="I1064" s="229">
        <v>0</v>
      </c>
      <c r="J1064" s="229">
        <v>0</v>
      </c>
      <c r="K1064" s="229">
        <v>0</v>
      </c>
      <c r="L1064" s="229">
        <v>0</v>
      </c>
      <c r="M1064" s="229">
        <v>0</v>
      </c>
      <c r="N1064" s="229">
        <v>0</v>
      </c>
      <c r="O1064" s="229">
        <v>0</v>
      </c>
      <c r="P1064" s="229">
        <v>0</v>
      </c>
      <c r="Q1064" s="279">
        <v>0</v>
      </c>
    </row>
    <row r="1065" spans="1:17" customFormat="1">
      <c r="A1065" s="224">
        <v>2</v>
      </c>
      <c r="B1065" s="224">
        <v>8831702</v>
      </c>
      <c r="C1065" s="224">
        <v>883170202</v>
      </c>
      <c r="D1065" s="224" t="s">
        <v>538</v>
      </c>
      <c r="E1065" s="224" t="s">
        <v>539</v>
      </c>
      <c r="F1065" s="224" t="s">
        <v>540</v>
      </c>
      <c r="G1065" s="224" t="s">
        <v>110</v>
      </c>
      <c r="H1065" s="224" t="s">
        <v>741</v>
      </c>
      <c r="I1065" s="229">
        <v>0</v>
      </c>
      <c r="J1065" s="229">
        <v>0</v>
      </c>
      <c r="K1065" s="229">
        <v>0</v>
      </c>
      <c r="L1065" s="229">
        <v>0</v>
      </c>
      <c r="M1065" s="229">
        <v>0</v>
      </c>
      <c r="N1065" s="229">
        <v>0</v>
      </c>
      <c r="O1065" s="229">
        <v>0</v>
      </c>
      <c r="P1065" s="229">
        <v>0</v>
      </c>
      <c r="Q1065" s="279">
        <v>0</v>
      </c>
    </row>
    <row r="1066" spans="1:17" customFormat="1">
      <c r="A1066" s="224">
        <v>2</v>
      </c>
      <c r="B1066" s="224">
        <v>8831703</v>
      </c>
      <c r="C1066" s="224">
        <v>883170301</v>
      </c>
      <c r="D1066" s="224" t="s">
        <v>538</v>
      </c>
      <c r="E1066" s="224" t="s">
        <v>539</v>
      </c>
      <c r="F1066" s="224" t="s">
        <v>540</v>
      </c>
      <c r="G1066" s="224" t="s">
        <v>108</v>
      </c>
      <c r="H1066" s="224" t="s">
        <v>742</v>
      </c>
      <c r="I1066" s="229">
        <v>0</v>
      </c>
      <c r="J1066" s="229">
        <v>0</v>
      </c>
      <c r="K1066" s="229">
        <v>0</v>
      </c>
      <c r="L1066" s="229">
        <v>0</v>
      </c>
      <c r="M1066" s="229">
        <v>0</v>
      </c>
      <c r="N1066" s="229">
        <v>0</v>
      </c>
      <c r="O1066" s="229">
        <v>0</v>
      </c>
      <c r="P1066" s="229">
        <v>0</v>
      </c>
      <c r="Q1066" s="279">
        <v>0</v>
      </c>
    </row>
    <row r="1067" spans="1:17" customFormat="1">
      <c r="A1067" s="224">
        <v>2</v>
      </c>
      <c r="B1067" s="224">
        <v>8831703</v>
      </c>
      <c r="C1067" s="224">
        <v>883170302</v>
      </c>
      <c r="D1067" s="224" t="s">
        <v>538</v>
      </c>
      <c r="E1067" s="224" t="s">
        <v>539</v>
      </c>
      <c r="F1067" s="224" t="s">
        <v>540</v>
      </c>
      <c r="G1067" s="224" t="s">
        <v>108</v>
      </c>
      <c r="H1067" s="224" t="s">
        <v>743</v>
      </c>
      <c r="I1067" s="229">
        <v>0</v>
      </c>
      <c r="J1067" s="229">
        <v>0</v>
      </c>
      <c r="K1067" s="229">
        <v>0</v>
      </c>
      <c r="L1067" s="229">
        <v>0</v>
      </c>
      <c r="M1067" s="229">
        <v>0</v>
      </c>
      <c r="N1067" s="229">
        <v>0</v>
      </c>
      <c r="O1067" s="229">
        <v>0</v>
      </c>
      <c r="P1067" s="229">
        <v>0</v>
      </c>
      <c r="Q1067" s="279">
        <v>0</v>
      </c>
    </row>
    <row r="1068" spans="1:17" customFormat="1">
      <c r="A1068" s="224">
        <v>2</v>
      </c>
      <c r="B1068" s="224">
        <v>8831703</v>
      </c>
      <c r="C1068" s="224">
        <v>883170303</v>
      </c>
      <c r="D1068" s="224" t="s">
        <v>538</v>
      </c>
      <c r="E1068" s="224" t="s">
        <v>539</v>
      </c>
      <c r="F1068" s="224" t="s">
        <v>540</v>
      </c>
      <c r="G1068" s="224" t="s">
        <v>108</v>
      </c>
      <c r="H1068" s="224" t="s">
        <v>744</v>
      </c>
      <c r="I1068" s="229">
        <v>0</v>
      </c>
      <c r="J1068" s="229">
        <v>0</v>
      </c>
      <c r="K1068" s="229">
        <v>0</v>
      </c>
      <c r="L1068" s="229">
        <v>0</v>
      </c>
      <c r="M1068" s="229">
        <v>0</v>
      </c>
      <c r="N1068" s="229">
        <v>0</v>
      </c>
      <c r="O1068" s="229">
        <v>0</v>
      </c>
      <c r="P1068" s="229">
        <v>0</v>
      </c>
      <c r="Q1068" s="279">
        <v>0</v>
      </c>
    </row>
    <row r="1069" spans="1:17" customFormat="1">
      <c r="A1069" s="224">
        <v>2</v>
      </c>
      <c r="B1069" s="224">
        <v>8831703</v>
      </c>
      <c r="C1069" s="224">
        <v>883170304</v>
      </c>
      <c r="D1069" s="224" t="s">
        <v>538</v>
      </c>
      <c r="E1069" s="224" t="s">
        <v>539</v>
      </c>
      <c r="F1069" s="224" t="s">
        <v>540</v>
      </c>
      <c r="G1069" s="224" t="s">
        <v>108</v>
      </c>
      <c r="H1069" s="224" t="s">
        <v>745</v>
      </c>
      <c r="I1069" s="229">
        <v>0</v>
      </c>
      <c r="J1069" s="229">
        <v>0</v>
      </c>
      <c r="K1069" s="229">
        <v>0</v>
      </c>
      <c r="L1069" s="229">
        <v>0</v>
      </c>
      <c r="M1069" s="229">
        <v>0</v>
      </c>
      <c r="N1069" s="229">
        <v>0</v>
      </c>
      <c r="O1069" s="229">
        <v>0</v>
      </c>
      <c r="P1069" s="229">
        <v>0</v>
      </c>
      <c r="Q1069" s="279">
        <v>0</v>
      </c>
    </row>
    <row r="1070" spans="1:17" customFormat="1">
      <c r="A1070" s="224">
        <v>2</v>
      </c>
      <c r="B1070" s="224">
        <v>8831703</v>
      </c>
      <c r="C1070" s="224">
        <v>883170305</v>
      </c>
      <c r="D1070" s="224" t="s">
        <v>538</v>
      </c>
      <c r="E1070" s="224" t="s">
        <v>539</v>
      </c>
      <c r="F1070" s="224" t="s">
        <v>540</v>
      </c>
      <c r="G1070" s="224" t="s">
        <v>108</v>
      </c>
      <c r="H1070" s="224" t="s">
        <v>746</v>
      </c>
      <c r="I1070" s="229">
        <v>0</v>
      </c>
      <c r="J1070" s="229">
        <v>0</v>
      </c>
      <c r="K1070" s="229">
        <v>0</v>
      </c>
      <c r="L1070" s="229">
        <v>0</v>
      </c>
      <c r="M1070" s="229">
        <v>0</v>
      </c>
      <c r="N1070" s="229">
        <v>0</v>
      </c>
      <c r="O1070" s="229">
        <v>0</v>
      </c>
      <c r="P1070" s="229">
        <v>0</v>
      </c>
      <c r="Q1070" s="279">
        <v>0</v>
      </c>
    </row>
    <row r="1071" spans="1:17" customFormat="1">
      <c r="A1071" s="224">
        <v>2</v>
      </c>
      <c r="B1071" s="224">
        <v>8831703</v>
      </c>
      <c r="C1071" s="224">
        <v>883170306</v>
      </c>
      <c r="D1071" s="224" t="s">
        <v>538</v>
      </c>
      <c r="E1071" s="224" t="s">
        <v>539</v>
      </c>
      <c r="F1071" s="224" t="s">
        <v>540</v>
      </c>
      <c r="G1071" s="224" t="s">
        <v>108</v>
      </c>
      <c r="H1071" s="224" t="s">
        <v>747</v>
      </c>
      <c r="I1071" s="229">
        <v>0</v>
      </c>
      <c r="J1071" s="229">
        <v>0</v>
      </c>
      <c r="K1071" s="229">
        <v>0</v>
      </c>
      <c r="L1071" s="229">
        <v>0</v>
      </c>
      <c r="M1071" s="229">
        <v>0</v>
      </c>
      <c r="N1071" s="229">
        <v>0</v>
      </c>
      <c r="O1071" s="229">
        <v>0</v>
      </c>
      <c r="P1071" s="229">
        <v>0</v>
      </c>
      <c r="Q1071" s="279">
        <v>0</v>
      </c>
    </row>
    <row r="1072" spans="1:17" customFormat="1">
      <c r="A1072" s="224">
        <v>2</v>
      </c>
      <c r="B1072" s="224">
        <v>8831703</v>
      </c>
      <c r="C1072" s="224">
        <v>883170307</v>
      </c>
      <c r="D1072" s="224" t="s">
        <v>538</v>
      </c>
      <c r="E1072" s="224" t="s">
        <v>539</v>
      </c>
      <c r="F1072" s="224" t="s">
        <v>540</v>
      </c>
      <c r="G1072" s="224" t="s">
        <v>108</v>
      </c>
      <c r="H1072" s="224" t="s">
        <v>748</v>
      </c>
      <c r="I1072" s="229">
        <v>0</v>
      </c>
      <c r="J1072" s="229">
        <v>0</v>
      </c>
      <c r="K1072" s="229">
        <v>0</v>
      </c>
      <c r="L1072" s="229">
        <v>0</v>
      </c>
      <c r="M1072" s="229">
        <v>0</v>
      </c>
      <c r="N1072" s="229">
        <v>0</v>
      </c>
      <c r="O1072" s="229">
        <v>0</v>
      </c>
      <c r="P1072" s="229">
        <v>0</v>
      </c>
      <c r="Q1072" s="279">
        <v>0</v>
      </c>
    </row>
    <row r="1073" spans="1:17" customFormat="1">
      <c r="A1073" s="224">
        <v>2</v>
      </c>
      <c r="B1073" s="224">
        <v>8831703</v>
      </c>
      <c r="C1073" s="224">
        <v>883170310</v>
      </c>
      <c r="D1073" s="224" t="s">
        <v>538</v>
      </c>
      <c r="E1073" s="224" t="s">
        <v>539</v>
      </c>
      <c r="F1073" s="224" t="s">
        <v>540</v>
      </c>
      <c r="G1073" s="224" t="s">
        <v>108</v>
      </c>
      <c r="H1073" s="224" t="s">
        <v>749</v>
      </c>
      <c r="I1073" s="229">
        <v>0</v>
      </c>
      <c r="J1073" s="229">
        <v>0</v>
      </c>
      <c r="K1073" s="229">
        <v>0</v>
      </c>
      <c r="L1073" s="229">
        <v>0</v>
      </c>
      <c r="M1073" s="229">
        <v>0</v>
      </c>
      <c r="N1073" s="229">
        <v>0</v>
      </c>
      <c r="O1073" s="229">
        <v>0</v>
      </c>
      <c r="P1073" s="229">
        <v>0</v>
      </c>
      <c r="Q1073" s="279">
        <v>0</v>
      </c>
    </row>
    <row r="1074" spans="1:17" customFormat="1">
      <c r="A1074" s="224">
        <v>2</v>
      </c>
      <c r="B1074" s="224">
        <v>8831703</v>
      </c>
      <c r="C1074" s="224">
        <v>883170311</v>
      </c>
      <c r="D1074" s="224" t="s">
        <v>538</v>
      </c>
      <c r="E1074" s="224" t="s">
        <v>539</v>
      </c>
      <c r="F1074" s="224" t="s">
        <v>540</v>
      </c>
      <c r="G1074" s="224" t="s">
        <v>108</v>
      </c>
      <c r="H1074" s="224" t="s">
        <v>750</v>
      </c>
      <c r="I1074" s="229">
        <v>0</v>
      </c>
      <c r="J1074" s="229">
        <v>0</v>
      </c>
      <c r="K1074" s="229">
        <v>0</v>
      </c>
      <c r="L1074" s="229">
        <v>0</v>
      </c>
      <c r="M1074" s="229">
        <v>0</v>
      </c>
      <c r="N1074" s="229">
        <v>0</v>
      </c>
      <c r="O1074" s="229">
        <v>0</v>
      </c>
      <c r="P1074" s="229">
        <v>0</v>
      </c>
      <c r="Q1074" s="279">
        <v>0</v>
      </c>
    </row>
    <row r="1075" spans="1:17" customFormat="1">
      <c r="A1075" s="224">
        <v>2</v>
      </c>
      <c r="B1075" s="224">
        <v>8831703</v>
      </c>
      <c r="C1075" s="224">
        <v>883170314</v>
      </c>
      <c r="D1075" s="224" t="s">
        <v>538</v>
      </c>
      <c r="E1075" s="224" t="s">
        <v>539</v>
      </c>
      <c r="F1075" s="224" t="s">
        <v>540</v>
      </c>
      <c r="G1075" s="224" t="s">
        <v>108</v>
      </c>
      <c r="H1075" s="224" t="s">
        <v>751</v>
      </c>
      <c r="I1075" s="229">
        <v>0</v>
      </c>
      <c r="J1075" s="229">
        <v>0</v>
      </c>
      <c r="K1075" s="229">
        <v>0</v>
      </c>
      <c r="L1075" s="229">
        <v>0</v>
      </c>
      <c r="M1075" s="229">
        <v>0</v>
      </c>
      <c r="N1075" s="229">
        <v>0</v>
      </c>
      <c r="O1075" s="229">
        <v>0</v>
      </c>
      <c r="P1075" s="229">
        <v>0</v>
      </c>
      <c r="Q1075" s="279">
        <v>0</v>
      </c>
    </row>
    <row r="1076" spans="1:17" customFormat="1">
      <c r="A1076" s="224">
        <v>2</v>
      </c>
      <c r="B1076" s="224">
        <v>8831703</v>
      </c>
      <c r="C1076" s="224">
        <v>883170315</v>
      </c>
      <c r="D1076" s="224" t="s">
        <v>538</v>
      </c>
      <c r="E1076" s="224" t="s">
        <v>539</v>
      </c>
      <c r="F1076" s="224" t="s">
        <v>540</v>
      </c>
      <c r="G1076" s="224" t="s">
        <v>108</v>
      </c>
      <c r="H1076" s="224" t="s">
        <v>752</v>
      </c>
      <c r="I1076" s="229">
        <v>0</v>
      </c>
      <c r="J1076" s="229">
        <v>0</v>
      </c>
      <c r="K1076" s="229">
        <v>0</v>
      </c>
      <c r="L1076" s="229">
        <v>0</v>
      </c>
      <c r="M1076" s="229">
        <v>0</v>
      </c>
      <c r="N1076" s="229">
        <v>0</v>
      </c>
      <c r="O1076" s="229">
        <v>0</v>
      </c>
      <c r="P1076" s="229">
        <v>0</v>
      </c>
      <c r="Q1076" s="279">
        <v>0</v>
      </c>
    </row>
    <row r="1077" spans="1:17" customFormat="1">
      <c r="A1077" s="224">
        <v>2</v>
      </c>
      <c r="B1077" s="224">
        <v>8831703</v>
      </c>
      <c r="C1077" s="224">
        <v>883170316</v>
      </c>
      <c r="D1077" s="224" t="s">
        <v>538</v>
      </c>
      <c r="E1077" s="224" t="s">
        <v>539</v>
      </c>
      <c r="F1077" s="224" t="s">
        <v>540</v>
      </c>
      <c r="G1077" s="224" t="s">
        <v>108</v>
      </c>
      <c r="H1077" s="224" t="s">
        <v>753</v>
      </c>
      <c r="I1077" s="229">
        <v>0</v>
      </c>
      <c r="J1077" s="229">
        <v>0</v>
      </c>
      <c r="K1077" s="229">
        <v>0</v>
      </c>
      <c r="L1077" s="229">
        <v>0</v>
      </c>
      <c r="M1077" s="229">
        <v>0</v>
      </c>
      <c r="N1077" s="229">
        <v>0</v>
      </c>
      <c r="O1077" s="229">
        <v>0</v>
      </c>
      <c r="P1077" s="229">
        <v>0</v>
      </c>
      <c r="Q1077" s="279">
        <v>0</v>
      </c>
    </row>
    <row r="1078" spans="1:17" customFormat="1">
      <c r="A1078" s="224">
        <v>2</v>
      </c>
      <c r="B1078" s="224">
        <v>8831704</v>
      </c>
      <c r="C1078" s="224">
        <v>883170401</v>
      </c>
      <c r="D1078" s="224" t="s">
        <v>538</v>
      </c>
      <c r="E1078" s="224" t="s">
        <v>539</v>
      </c>
      <c r="F1078" s="224" t="s">
        <v>540</v>
      </c>
      <c r="G1078" s="224" t="s">
        <v>106</v>
      </c>
      <c r="H1078" s="224" t="s">
        <v>755</v>
      </c>
      <c r="I1078" s="229">
        <v>0</v>
      </c>
      <c r="J1078" s="229">
        <v>0</v>
      </c>
      <c r="K1078" s="229">
        <v>0</v>
      </c>
      <c r="L1078" s="229">
        <v>0</v>
      </c>
      <c r="M1078" s="229">
        <v>0</v>
      </c>
      <c r="N1078" s="229">
        <v>0</v>
      </c>
      <c r="O1078" s="229">
        <v>0</v>
      </c>
      <c r="P1078" s="229">
        <v>0</v>
      </c>
      <c r="Q1078" s="279">
        <v>0</v>
      </c>
    </row>
    <row r="1079" spans="1:17" customFormat="1">
      <c r="A1079" s="224">
        <v>2</v>
      </c>
      <c r="B1079" s="224">
        <v>8831704</v>
      </c>
      <c r="C1079" s="224">
        <v>883170402</v>
      </c>
      <c r="D1079" s="224" t="s">
        <v>538</v>
      </c>
      <c r="E1079" s="224" t="s">
        <v>539</v>
      </c>
      <c r="F1079" s="224" t="s">
        <v>540</v>
      </c>
      <c r="G1079" s="224" t="s">
        <v>106</v>
      </c>
      <c r="H1079" s="224" t="s">
        <v>756</v>
      </c>
      <c r="I1079" s="229">
        <v>0</v>
      </c>
      <c r="J1079" s="229">
        <v>0</v>
      </c>
      <c r="K1079" s="229">
        <v>0</v>
      </c>
      <c r="L1079" s="229">
        <v>0</v>
      </c>
      <c r="M1079" s="229">
        <v>0</v>
      </c>
      <c r="N1079" s="229">
        <v>0</v>
      </c>
      <c r="O1079" s="229">
        <v>0</v>
      </c>
      <c r="P1079" s="229">
        <v>0</v>
      </c>
      <c r="Q1079" s="279">
        <v>0</v>
      </c>
    </row>
    <row r="1080" spans="1:17" customFormat="1">
      <c r="A1080" s="224">
        <v>2</v>
      </c>
      <c r="B1080" s="224">
        <v>8831704</v>
      </c>
      <c r="C1080" s="224">
        <v>883170403</v>
      </c>
      <c r="D1080" s="224" t="s">
        <v>538</v>
      </c>
      <c r="E1080" s="224" t="s">
        <v>539</v>
      </c>
      <c r="F1080" s="224" t="s">
        <v>540</v>
      </c>
      <c r="G1080" s="224" t="s">
        <v>106</v>
      </c>
      <c r="H1080" s="224" t="s">
        <v>757</v>
      </c>
      <c r="I1080" s="229">
        <v>0</v>
      </c>
      <c r="J1080" s="229">
        <v>0</v>
      </c>
      <c r="K1080" s="229">
        <v>0</v>
      </c>
      <c r="L1080" s="229">
        <v>0</v>
      </c>
      <c r="M1080" s="229">
        <v>0</v>
      </c>
      <c r="N1080" s="229">
        <v>0</v>
      </c>
      <c r="O1080" s="229">
        <v>0</v>
      </c>
      <c r="P1080" s="229">
        <v>0</v>
      </c>
      <c r="Q1080" s="279">
        <v>0</v>
      </c>
    </row>
    <row r="1081" spans="1:17" customFormat="1">
      <c r="A1081" s="224">
        <v>2</v>
      </c>
      <c r="B1081" s="224">
        <v>8831704</v>
      </c>
      <c r="C1081" s="224">
        <v>883170405</v>
      </c>
      <c r="D1081" s="224" t="s">
        <v>538</v>
      </c>
      <c r="E1081" s="224" t="s">
        <v>539</v>
      </c>
      <c r="F1081" s="224" t="s">
        <v>540</v>
      </c>
      <c r="G1081" s="224" t="s">
        <v>106</v>
      </c>
      <c r="H1081" s="224" t="s">
        <v>758</v>
      </c>
      <c r="I1081" s="229">
        <v>0</v>
      </c>
      <c r="J1081" s="229">
        <v>0</v>
      </c>
      <c r="K1081" s="229">
        <v>0</v>
      </c>
      <c r="L1081" s="229">
        <v>0</v>
      </c>
      <c r="M1081" s="229">
        <v>0</v>
      </c>
      <c r="N1081" s="229">
        <v>0</v>
      </c>
      <c r="O1081" s="229">
        <v>0</v>
      </c>
      <c r="P1081" s="229">
        <v>0</v>
      </c>
      <c r="Q1081" s="279">
        <v>0</v>
      </c>
    </row>
    <row r="1082" spans="1:17" customFormat="1">
      <c r="A1082" s="224">
        <v>2</v>
      </c>
      <c r="B1082" s="224">
        <v>8831704</v>
      </c>
      <c r="C1082" s="224">
        <v>883170406</v>
      </c>
      <c r="D1082" s="224" t="s">
        <v>538</v>
      </c>
      <c r="E1082" s="224" t="s">
        <v>539</v>
      </c>
      <c r="F1082" s="224" t="s">
        <v>540</v>
      </c>
      <c r="G1082" s="224" t="s">
        <v>106</v>
      </c>
      <c r="H1082" s="224" t="s">
        <v>759</v>
      </c>
      <c r="I1082" s="229">
        <v>0</v>
      </c>
      <c r="J1082" s="229">
        <v>0</v>
      </c>
      <c r="K1082" s="229">
        <v>0</v>
      </c>
      <c r="L1082" s="229">
        <v>0</v>
      </c>
      <c r="M1082" s="229">
        <v>0</v>
      </c>
      <c r="N1082" s="229">
        <v>0</v>
      </c>
      <c r="O1082" s="229">
        <v>0</v>
      </c>
      <c r="P1082" s="229">
        <v>0</v>
      </c>
      <c r="Q1082" s="279">
        <v>0</v>
      </c>
    </row>
    <row r="1083" spans="1:17" customFormat="1">
      <c r="A1083" s="224">
        <v>2</v>
      </c>
      <c r="B1083" s="224">
        <v>8831704</v>
      </c>
      <c r="C1083" s="224">
        <v>883170407</v>
      </c>
      <c r="D1083" s="224" t="s">
        <v>538</v>
      </c>
      <c r="E1083" s="224" t="s">
        <v>539</v>
      </c>
      <c r="F1083" s="224" t="s">
        <v>540</v>
      </c>
      <c r="G1083" s="224" t="s">
        <v>106</v>
      </c>
      <c r="H1083" s="224" t="s">
        <v>760</v>
      </c>
      <c r="I1083" s="229">
        <v>0</v>
      </c>
      <c r="J1083" s="229">
        <v>0</v>
      </c>
      <c r="K1083" s="229">
        <v>0</v>
      </c>
      <c r="L1083" s="229">
        <v>0</v>
      </c>
      <c r="M1083" s="229">
        <v>0</v>
      </c>
      <c r="N1083" s="229">
        <v>0</v>
      </c>
      <c r="O1083" s="229">
        <v>0</v>
      </c>
      <c r="P1083" s="229">
        <v>0</v>
      </c>
      <c r="Q1083" s="279">
        <v>0</v>
      </c>
    </row>
    <row r="1084" spans="1:17" customFormat="1">
      <c r="A1084" s="224">
        <v>2</v>
      </c>
      <c r="B1084" s="224">
        <v>8831704</v>
      </c>
      <c r="C1084" s="224">
        <v>883170408</v>
      </c>
      <c r="D1084" s="224" t="s">
        <v>538</v>
      </c>
      <c r="E1084" s="224" t="s">
        <v>539</v>
      </c>
      <c r="F1084" s="224" t="s">
        <v>540</v>
      </c>
      <c r="G1084" s="224" t="s">
        <v>106</v>
      </c>
      <c r="H1084" s="224" t="s">
        <v>761</v>
      </c>
      <c r="I1084" s="229">
        <v>0</v>
      </c>
      <c r="J1084" s="229">
        <v>0</v>
      </c>
      <c r="K1084" s="229">
        <v>0</v>
      </c>
      <c r="L1084" s="229">
        <v>0</v>
      </c>
      <c r="M1084" s="229">
        <v>0</v>
      </c>
      <c r="N1084" s="229">
        <v>0</v>
      </c>
      <c r="O1084" s="229">
        <v>0</v>
      </c>
      <c r="P1084" s="229">
        <v>0</v>
      </c>
      <c r="Q1084" s="279">
        <v>0</v>
      </c>
    </row>
    <row r="1085" spans="1:17" customFormat="1">
      <c r="A1085" s="224">
        <v>2</v>
      </c>
      <c r="B1085" s="224">
        <v>8831704</v>
      </c>
      <c r="C1085" s="224">
        <v>883170410</v>
      </c>
      <c r="D1085" s="224" t="s">
        <v>538</v>
      </c>
      <c r="E1085" s="224" t="s">
        <v>539</v>
      </c>
      <c r="F1085" s="224" t="s">
        <v>540</v>
      </c>
      <c r="G1085" s="224" t="s">
        <v>106</v>
      </c>
      <c r="H1085" s="224" t="s">
        <v>762</v>
      </c>
      <c r="I1085" s="229">
        <v>0</v>
      </c>
      <c r="J1085" s="229">
        <v>0</v>
      </c>
      <c r="K1085" s="229">
        <v>0</v>
      </c>
      <c r="L1085" s="229">
        <v>0</v>
      </c>
      <c r="M1085" s="229">
        <v>0</v>
      </c>
      <c r="N1085" s="229">
        <v>0</v>
      </c>
      <c r="O1085" s="229">
        <v>0</v>
      </c>
      <c r="P1085" s="229">
        <v>0</v>
      </c>
      <c r="Q1085" s="279">
        <v>0</v>
      </c>
    </row>
    <row r="1086" spans="1:17" customFormat="1">
      <c r="A1086" s="224">
        <v>2</v>
      </c>
      <c r="B1086" s="224">
        <v>8831704</v>
      </c>
      <c r="C1086" s="224">
        <v>883170411</v>
      </c>
      <c r="D1086" s="224" t="s">
        <v>538</v>
      </c>
      <c r="E1086" s="224" t="s">
        <v>539</v>
      </c>
      <c r="F1086" s="224" t="s">
        <v>540</v>
      </c>
      <c r="G1086" s="224" t="s">
        <v>106</v>
      </c>
      <c r="H1086" s="224" t="s">
        <v>763</v>
      </c>
      <c r="I1086" s="229">
        <v>0</v>
      </c>
      <c r="J1086" s="229">
        <v>0</v>
      </c>
      <c r="K1086" s="229">
        <v>0</v>
      </c>
      <c r="L1086" s="229">
        <v>0</v>
      </c>
      <c r="M1086" s="229">
        <v>0</v>
      </c>
      <c r="N1086" s="229">
        <v>0</v>
      </c>
      <c r="O1086" s="229">
        <v>0</v>
      </c>
      <c r="P1086" s="229">
        <v>0</v>
      </c>
      <c r="Q1086" s="279">
        <v>0</v>
      </c>
    </row>
    <row r="1087" spans="1:17" customFormat="1">
      <c r="A1087" s="224">
        <v>2</v>
      </c>
      <c r="B1087" s="224">
        <v>8831705</v>
      </c>
      <c r="C1087" s="224">
        <v>883170500</v>
      </c>
      <c r="D1087" s="224" t="s">
        <v>538</v>
      </c>
      <c r="E1087" s="224" t="s">
        <v>539</v>
      </c>
      <c r="F1087" s="224" t="s">
        <v>540</v>
      </c>
      <c r="G1087" s="224" t="s">
        <v>104</v>
      </c>
      <c r="H1087" s="224"/>
      <c r="I1087" s="229">
        <v>0</v>
      </c>
      <c r="J1087" s="229">
        <v>0</v>
      </c>
      <c r="K1087" s="229">
        <v>0</v>
      </c>
      <c r="L1087" s="229">
        <v>0</v>
      </c>
      <c r="M1087" s="229">
        <v>0</v>
      </c>
      <c r="N1087" s="229">
        <v>0</v>
      </c>
      <c r="O1087" s="229">
        <v>0</v>
      </c>
      <c r="P1087" s="229">
        <v>0</v>
      </c>
      <c r="Q1087" s="279">
        <v>0</v>
      </c>
    </row>
    <row r="1088" spans="1:17" customFormat="1">
      <c r="A1088" s="224">
        <v>2</v>
      </c>
      <c r="B1088" s="224">
        <v>8831707</v>
      </c>
      <c r="C1088" s="224">
        <v>883170700</v>
      </c>
      <c r="D1088" s="224" t="s">
        <v>538</v>
      </c>
      <c r="E1088" s="224" t="s">
        <v>539</v>
      </c>
      <c r="F1088" s="224" t="s">
        <v>540</v>
      </c>
      <c r="G1088" s="224" t="s">
        <v>102</v>
      </c>
      <c r="H1088" s="224"/>
      <c r="I1088" s="229">
        <v>0</v>
      </c>
      <c r="J1088" s="229">
        <v>0</v>
      </c>
      <c r="K1088" s="229">
        <v>0</v>
      </c>
      <c r="L1088" s="229">
        <v>0</v>
      </c>
      <c r="M1088" s="229">
        <v>0</v>
      </c>
      <c r="N1088" s="229">
        <v>0</v>
      </c>
      <c r="O1088" s="229">
        <v>0</v>
      </c>
      <c r="P1088" s="229">
        <v>0</v>
      </c>
      <c r="Q1088" s="279">
        <v>0</v>
      </c>
    </row>
    <row r="1089" spans="1:17" customFormat="1">
      <c r="A1089" s="224">
        <v>2</v>
      </c>
      <c r="B1089" s="224">
        <v>8831708</v>
      </c>
      <c r="C1089" s="224">
        <v>883170800</v>
      </c>
      <c r="D1089" s="224" t="s">
        <v>538</v>
      </c>
      <c r="E1089" s="224" t="s">
        <v>539</v>
      </c>
      <c r="F1089" s="224" t="s">
        <v>540</v>
      </c>
      <c r="G1089" s="224" t="s">
        <v>100</v>
      </c>
      <c r="H1089" s="224"/>
      <c r="I1089" s="229">
        <v>0</v>
      </c>
      <c r="J1089" s="229">
        <v>0</v>
      </c>
      <c r="K1089" s="229">
        <v>0</v>
      </c>
      <c r="L1089" s="229">
        <v>0</v>
      </c>
      <c r="M1089" s="229">
        <v>0</v>
      </c>
      <c r="N1089" s="229">
        <v>0</v>
      </c>
      <c r="O1089" s="229">
        <v>0</v>
      </c>
      <c r="P1089" s="229">
        <v>0</v>
      </c>
      <c r="Q1089" s="279">
        <v>0</v>
      </c>
    </row>
    <row r="1090" spans="1:17" customFormat="1">
      <c r="A1090" s="224">
        <v>2</v>
      </c>
      <c r="B1090" s="224">
        <v>8831710</v>
      </c>
      <c r="C1090" s="224">
        <v>883171001</v>
      </c>
      <c r="D1090" s="224" t="s">
        <v>538</v>
      </c>
      <c r="E1090" s="224" t="s">
        <v>539</v>
      </c>
      <c r="F1090" s="224" t="s">
        <v>540</v>
      </c>
      <c r="G1090" s="224" t="s">
        <v>764</v>
      </c>
      <c r="H1090" s="224" t="s">
        <v>98</v>
      </c>
      <c r="I1090" s="229">
        <v>3331</v>
      </c>
      <c r="J1090" s="229">
        <v>0</v>
      </c>
      <c r="K1090" s="229">
        <v>0</v>
      </c>
      <c r="L1090" s="229">
        <v>0</v>
      </c>
      <c r="M1090" s="229">
        <v>0</v>
      </c>
      <c r="N1090" s="229">
        <v>3331</v>
      </c>
      <c r="O1090" s="229">
        <v>0</v>
      </c>
      <c r="P1090" s="229">
        <v>0</v>
      </c>
      <c r="Q1090" s="279">
        <v>0</v>
      </c>
    </row>
    <row r="1091" spans="1:17" customFormat="1">
      <c r="A1091" s="224">
        <v>2</v>
      </c>
      <c r="B1091" s="224">
        <v>8831710</v>
      </c>
      <c r="C1091" s="224">
        <v>883171002</v>
      </c>
      <c r="D1091" s="224" t="s">
        <v>538</v>
      </c>
      <c r="E1091" s="224" t="s">
        <v>539</v>
      </c>
      <c r="F1091" s="224" t="s">
        <v>540</v>
      </c>
      <c r="G1091" s="224" t="s">
        <v>764</v>
      </c>
      <c r="H1091" s="224" t="s">
        <v>95</v>
      </c>
      <c r="I1091" s="229">
        <v>0</v>
      </c>
      <c r="J1091" s="229">
        <v>0</v>
      </c>
      <c r="K1091" s="229">
        <v>0</v>
      </c>
      <c r="L1091" s="229">
        <v>0</v>
      </c>
      <c r="M1091" s="229">
        <v>0</v>
      </c>
      <c r="N1091" s="229">
        <v>0</v>
      </c>
      <c r="O1091" s="229">
        <v>0</v>
      </c>
      <c r="P1091" s="229">
        <v>0</v>
      </c>
      <c r="Q1091" s="279">
        <v>0</v>
      </c>
    </row>
    <row r="1092" spans="1:17" customFormat="1">
      <c r="A1092" s="236">
        <v>2</v>
      </c>
      <c r="B1092" s="236">
        <v>8831710</v>
      </c>
      <c r="C1092" s="236">
        <v>883171003</v>
      </c>
      <c r="D1092" s="236" t="s">
        <v>538</v>
      </c>
      <c r="E1092" s="236" t="s">
        <v>539</v>
      </c>
      <c r="F1092" s="236" t="s">
        <v>540</v>
      </c>
      <c r="G1092" s="236" t="s">
        <v>764</v>
      </c>
      <c r="H1092" s="236" t="s">
        <v>765</v>
      </c>
      <c r="I1092" s="229">
        <v>0</v>
      </c>
      <c r="J1092" s="229">
        <v>0</v>
      </c>
      <c r="K1092" s="229">
        <v>0</v>
      </c>
      <c r="L1092" s="229">
        <v>0</v>
      </c>
      <c r="M1092" s="229">
        <v>0</v>
      </c>
      <c r="N1092" s="229">
        <v>0</v>
      </c>
      <c r="O1092" s="229">
        <v>0</v>
      </c>
      <c r="P1092" s="229">
        <v>0</v>
      </c>
      <c r="Q1092" s="279">
        <v>0</v>
      </c>
    </row>
    <row r="1093" spans="1:17" customFormat="1">
      <c r="A1093" s="224">
        <v>2</v>
      </c>
      <c r="B1093" s="224">
        <v>8831713</v>
      </c>
      <c r="C1093" s="224">
        <v>883171300</v>
      </c>
      <c r="D1093" s="224" t="s">
        <v>538</v>
      </c>
      <c r="E1093" s="224" t="s">
        <v>539</v>
      </c>
      <c r="F1093" s="224" t="s">
        <v>540</v>
      </c>
      <c r="G1093" s="224" t="s">
        <v>93</v>
      </c>
      <c r="H1093" s="224"/>
      <c r="I1093" s="229">
        <v>48450</v>
      </c>
      <c r="J1093" s="229">
        <v>0</v>
      </c>
      <c r="K1093" s="229">
        <v>0</v>
      </c>
      <c r="L1093" s="229">
        <v>0</v>
      </c>
      <c r="M1093" s="229">
        <v>2121</v>
      </c>
      <c r="N1093" s="229">
        <v>46329</v>
      </c>
      <c r="O1093" s="229">
        <v>0</v>
      </c>
      <c r="P1093" s="229">
        <v>0</v>
      </c>
      <c r="Q1093" s="279">
        <v>0</v>
      </c>
    </row>
    <row r="1094" spans="1:17" customFormat="1">
      <c r="A1094" s="224">
        <v>2</v>
      </c>
      <c r="B1094" s="224">
        <v>8831714</v>
      </c>
      <c r="C1094" s="224">
        <v>883171400</v>
      </c>
      <c r="D1094" s="224" t="s">
        <v>538</v>
      </c>
      <c r="E1094" s="224" t="s">
        <v>539</v>
      </c>
      <c r="F1094" s="224" t="s">
        <v>540</v>
      </c>
      <c r="G1094" s="224" t="s">
        <v>91</v>
      </c>
      <c r="H1094" s="224"/>
      <c r="I1094" s="229">
        <v>704</v>
      </c>
      <c r="J1094" s="229">
        <v>0</v>
      </c>
      <c r="K1094" s="229">
        <v>0</v>
      </c>
      <c r="L1094" s="229">
        <v>0</v>
      </c>
      <c r="M1094" s="229">
        <v>0</v>
      </c>
      <c r="N1094" s="229">
        <v>704</v>
      </c>
      <c r="O1094" s="229">
        <v>0</v>
      </c>
      <c r="P1094" s="229">
        <v>0</v>
      </c>
      <c r="Q1094" s="279">
        <v>0</v>
      </c>
    </row>
    <row r="1095" spans="1:17" customFormat="1">
      <c r="A1095" s="224">
        <v>2</v>
      </c>
      <c r="B1095" s="224">
        <v>8831715</v>
      </c>
      <c r="C1095" s="224">
        <v>883171500</v>
      </c>
      <c r="D1095" s="224" t="s">
        <v>538</v>
      </c>
      <c r="E1095" s="224" t="s">
        <v>539</v>
      </c>
      <c r="F1095" s="224" t="s">
        <v>540</v>
      </c>
      <c r="G1095" s="224" t="s">
        <v>89</v>
      </c>
      <c r="H1095" s="224"/>
      <c r="I1095" s="229">
        <v>0</v>
      </c>
      <c r="J1095" s="229">
        <v>0</v>
      </c>
      <c r="K1095" s="229">
        <v>0</v>
      </c>
      <c r="L1095" s="229">
        <v>0</v>
      </c>
      <c r="M1095" s="229">
        <v>0</v>
      </c>
      <c r="N1095" s="229">
        <v>0</v>
      </c>
      <c r="O1095" s="229">
        <v>0</v>
      </c>
      <c r="P1095" s="229">
        <v>0</v>
      </c>
      <c r="Q1095" s="279">
        <v>0</v>
      </c>
    </row>
    <row r="1096" spans="1:17" customFormat="1">
      <c r="A1096" s="224">
        <v>2</v>
      </c>
      <c r="B1096" s="224">
        <v>8831717</v>
      </c>
      <c r="C1096" s="224">
        <v>883171700</v>
      </c>
      <c r="D1096" s="224" t="s">
        <v>538</v>
      </c>
      <c r="E1096" s="224" t="s">
        <v>539</v>
      </c>
      <c r="F1096" s="224" t="s">
        <v>540</v>
      </c>
      <c r="G1096" s="224" t="s">
        <v>87</v>
      </c>
      <c r="H1096" s="224"/>
      <c r="I1096" s="229">
        <v>26746</v>
      </c>
      <c r="J1096" s="229">
        <v>0</v>
      </c>
      <c r="K1096" s="229">
        <v>0</v>
      </c>
      <c r="L1096" s="229">
        <v>0</v>
      </c>
      <c r="M1096" s="229">
        <v>0</v>
      </c>
      <c r="N1096" s="229">
        <v>26746</v>
      </c>
      <c r="O1096" s="229">
        <v>0</v>
      </c>
      <c r="P1096" s="229">
        <v>0</v>
      </c>
      <c r="Q1096" s="279">
        <v>0</v>
      </c>
    </row>
    <row r="1097" spans="1:17" customFormat="1">
      <c r="A1097" s="224">
        <v>2</v>
      </c>
      <c r="B1097" s="224">
        <v>8831719</v>
      </c>
      <c r="C1097" s="224">
        <v>883171900</v>
      </c>
      <c r="D1097" s="224" t="s">
        <v>538</v>
      </c>
      <c r="E1097" s="224" t="s">
        <v>539</v>
      </c>
      <c r="F1097" s="224" t="s">
        <v>540</v>
      </c>
      <c r="G1097" s="224" t="s">
        <v>85</v>
      </c>
      <c r="H1097" s="224"/>
      <c r="I1097" s="229">
        <v>1304</v>
      </c>
      <c r="J1097" s="229">
        <v>0</v>
      </c>
      <c r="K1097" s="229">
        <v>0</v>
      </c>
      <c r="L1097" s="229">
        <v>0</v>
      </c>
      <c r="M1097" s="229">
        <v>0</v>
      </c>
      <c r="N1097" s="229">
        <v>1246</v>
      </c>
      <c r="O1097" s="229">
        <v>58</v>
      </c>
      <c r="P1097" s="229">
        <v>0</v>
      </c>
      <c r="Q1097" s="279">
        <v>0</v>
      </c>
    </row>
    <row r="1098" spans="1:17" customFormat="1">
      <c r="A1098" s="224">
        <v>2</v>
      </c>
      <c r="B1098" s="224">
        <v>8831720</v>
      </c>
      <c r="C1098" s="224">
        <v>883172000</v>
      </c>
      <c r="D1098" s="224" t="s">
        <v>538</v>
      </c>
      <c r="E1098" s="224" t="s">
        <v>539</v>
      </c>
      <c r="F1098" s="224" t="s">
        <v>540</v>
      </c>
      <c r="G1098" s="224" t="s">
        <v>83</v>
      </c>
      <c r="H1098" s="224"/>
      <c r="I1098" s="229">
        <v>29450</v>
      </c>
      <c r="J1098" s="229">
        <v>0</v>
      </c>
      <c r="K1098" s="229">
        <v>0</v>
      </c>
      <c r="L1098" s="229">
        <v>0</v>
      </c>
      <c r="M1098" s="229">
        <v>0</v>
      </c>
      <c r="N1098" s="229">
        <v>2449</v>
      </c>
      <c r="O1098" s="229">
        <v>27001</v>
      </c>
      <c r="P1098" s="229">
        <v>0</v>
      </c>
      <c r="Q1098" s="279">
        <v>0</v>
      </c>
    </row>
    <row r="1099" spans="1:17" customFormat="1">
      <c r="A1099" s="224">
        <v>2</v>
      </c>
      <c r="B1099" s="224">
        <v>8831721</v>
      </c>
      <c r="C1099" s="224">
        <v>883172100</v>
      </c>
      <c r="D1099" s="224" t="s">
        <v>538</v>
      </c>
      <c r="E1099" s="224" t="s">
        <v>539</v>
      </c>
      <c r="F1099" s="224" t="s">
        <v>540</v>
      </c>
      <c r="G1099" s="224" t="s">
        <v>81</v>
      </c>
      <c r="H1099" s="224"/>
      <c r="I1099" s="229">
        <v>84624500</v>
      </c>
      <c r="J1099" s="229">
        <v>0</v>
      </c>
      <c r="K1099" s="229">
        <v>0</v>
      </c>
      <c r="L1099" s="229">
        <v>0</v>
      </c>
      <c r="M1099" s="229">
        <v>0</v>
      </c>
      <c r="N1099" s="229">
        <v>84624500</v>
      </c>
      <c r="O1099" s="229">
        <v>0</v>
      </c>
      <c r="P1099" s="229">
        <v>0</v>
      </c>
      <c r="Q1099" s="279">
        <v>0</v>
      </c>
    </row>
    <row r="1100" spans="1:17" customFormat="1">
      <c r="A1100" s="224">
        <v>2</v>
      </c>
      <c r="B1100" s="224">
        <v>8831723</v>
      </c>
      <c r="C1100" s="224">
        <v>883172300</v>
      </c>
      <c r="D1100" s="224" t="s">
        <v>538</v>
      </c>
      <c r="E1100" s="224" t="s">
        <v>539</v>
      </c>
      <c r="F1100" s="224" t="s">
        <v>540</v>
      </c>
      <c r="G1100" s="224" t="s">
        <v>79</v>
      </c>
      <c r="H1100" s="224"/>
      <c r="I1100" s="229">
        <v>6873329</v>
      </c>
      <c r="J1100" s="229">
        <v>0</v>
      </c>
      <c r="K1100" s="229">
        <v>0</v>
      </c>
      <c r="L1100" s="229">
        <v>0</v>
      </c>
      <c r="M1100" s="229">
        <v>0</v>
      </c>
      <c r="N1100" s="229">
        <v>6873329</v>
      </c>
      <c r="O1100" s="229">
        <v>0</v>
      </c>
      <c r="P1100" s="229">
        <v>0</v>
      </c>
      <c r="Q1100" s="279">
        <v>0</v>
      </c>
    </row>
    <row r="1101" spans="1:17" customFormat="1">
      <c r="A1101" s="224">
        <v>2</v>
      </c>
      <c r="B1101" s="224">
        <v>8831724</v>
      </c>
      <c r="C1101" s="224">
        <v>883172400</v>
      </c>
      <c r="D1101" s="224" t="s">
        <v>538</v>
      </c>
      <c r="E1101" s="224" t="s">
        <v>539</v>
      </c>
      <c r="F1101" s="224" t="s">
        <v>540</v>
      </c>
      <c r="G1101" s="224" t="s">
        <v>77</v>
      </c>
      <c r="H1101" s="224"/>
      <c r="I1101" s="229">
        <v>4513894</v>
      </c>
      <c r="J1101" s="229">
        <v>0</v>
      </c>
      <c r="K1101" s="229">
        <v>0</v>
      </c>
      <c r="L1101" s="229">
        <v>0</v>
      </c>
      <c r="M1101" s="229">
        <v>0</v>
      </c>
      <c r="N1101" s="229">
        <v>4513894</v>
      </c>
      <c r="O1101" s="229">
        <v>0</v>
      </c>
      <c r="P1101" s="229">
        <v>0</v>
      </c>
      <c r="Q1101" s="279">
        <v>0</v>
      </c>
    </row>
    <row r="1102" spans="1:17" customFormat="1">
      <c r="A1102" s="224">
        <v>2</v>
      </c>
      <c r="B1102" s="224">
        <v>8831725</v>
      </c>
      <c r="C1102" s="224">
        <v>883172500</v>
      </c>
      <c r="D1102" s="224" t="s">
        <v>538</v>
      </c>
      <c r="E1102" s="224" t="s">
        <v>539</v>
      </c>
      <c r="F1102" s="224" t="s">
        <v>540</v>
      </c>
      <c r="G1102" s="224" t="s">
        <v>75</v>
      </c>
      <c r="H1102" s="224"/>
      <c r="I1102" s="229">
        <v>9753471</v>
      </c>
      <c r="J1102" s="229">
        <v>0</v>
      </c>
      <c r="K1102" s="229">
        <v>0</v>
      </c>
      <c r="L1102" s="229">
        <v>0</v>
      </c>
      <c r="M1102" s="229">
        <v>0</v>
      </c>
      <c r="N1102" s="229">
        <v>9753471</v>
      </c>
      <c r="O1102" s="229">
        <v>0</v>
      </c>
      <c r="P1102" s="229">
        <v>0</v>
      </c>
      <c r="Q1102" s="279">
        <v>0</v>
      </c>
    </row>
    <row r="1103" spans="1:17" customFormat="1">
      <c r="A1103" s="224">
        <v>2</v>
      </c>
      <c r="B1103" s="224">
        <v>8831728</v>
      </c>
      <c r="C1103" s="224">
        <v>883172866</v>
      </c>
      <c r="D1103" s="224" t="s">
        <v>538</v>
      </c>
      <c r="E1103" s="224" t="s">
        <v>539</v>
      </c>
      <c r="F1103" s="224" t="s">
        <v>540</v>
      </c>
      <c r="G1103" s="224" t="s">
        <v>811</v>
      </c>
      <c r="H1103" s="224" t="s">
        <v>812</v>
      </c>
      <c r="I1103" s="229">
        <v>39778</v>
      </c>
      <c r="J1103" s="229">
        <v>0</v>
      </c>
      <c r="K1103" s="229">
        <v>0</v>
      </c>
      <c r="L1103" s="229">
        <v>0</v>
      </c>
      <c r="M1103" s="229">
        <v>0</v>
      </c>
      <c r="N1103" s="229">
        <v>39778</v>
      </c>
      <c r="O1103" s="229">
        <v>0</v>
      </c>
      <c r="P1103" s="229">
        <v>0</v>
      </c>
      <c r="Q1103" s="279">
        <v>0</v>
      </c>
    </row>
    <row r="1104" spans="1:17" customFormat="1">
      <c r="A1104" s="224">
        <v>2</v>
      </c>
      <c r="B1104" s="224">
        <v>8831728</v>
      </c>
      <c r="C1104" s="224">
        <v>883172867</v>
      </c>
      <c r="D1104" s="224" t="s">
        <v>538</v>
      </c>
      <c r="E1104" s="224" t="s">
        <v>539</v>
      </c>
      <c r="F1104" s="224" t="s">
        <v>540</v>
      </c>
      <c r="G1104" s="224" t="s">
        <v>811</v>
      </c>
      <c r="H1104" s="224" t="s">
        <v>813</v>
      </c>
      <c r="I1104" s="229">
        <v>0</v>
      </c>
      <c r="J1104" s="229">
        <v>0</v>
      </c>
      <c r="K1104" s="229">
        <v>0</v>
      </c>
      <c r="L1104" s="229">
        <v>0</v>
      </c>
      <c r="M1104" s="229">
        <v>0</v>
      </c>
      <c r="N1104" s="229">
        <v>0</v>
      </c>
      <c r="O1104" s="229">
        <v>0</v>
      </c>
      <c r="P1104" s="229">
        <v>0</v>
      </c>
      <c r="Q1104" s="279">
        <v>0</v>
      </c>
    </row>
    <row r="1105" spans="1:17" customFormat="1">
      <c r="A1105" s="224">
        <v>2</v>
      </c>
      <c r="B1105" s="224">
        <v>8831729</v>
      </c>
      <c r="C1105" s="224">
        <v>883172900</v>
      </c>
      <c r="D1105" s="224" t="s">
        <v>538</v>
      </c>
      <c r="E1105" s="224" t="s">
        <v>539</v>
      </c>
      <c r="F1105" s="224" t="s">
        <v>540</v>
      </c>
      <c r="G1105" s="224" t="s">
        <v>66</v>
      </c>
      <c r="H1105" s="224"/>
      <c r="I1105" s="229">
        <v>0</v>
      </c>
      <c r="J1105" s="229">
        <v>0</v>
      </c>
      <c r="K1105" s="229">
        <v>0</v>
      </c>
      <c r="L1105" s="229">
        <v>0</v>
      </c>
      <c r="M1105" s="229">
        <v>0</v>
      </c>
      <c r="N1105" s="229">
        <v>0</v>
      </c>
      <c r="O1105" s="229">
        <v>0</v>
      </c>
      <c r="P1105" s="229">
        <v>0</v>
      </c>
      <c r="Q1105" s="279">
        <v>0</v>
      </c>
    </row>
    <row r="1106" spans="1:17" customFormat="1">
      <c r="A1106" s="224">
        <v>2</v>
      </c>
      <c r="B1106" s="224">
        <v>8831730</v>
      </c>
      <c r="C1106" s="224">
        <v>883173000</v>
      </c>
      <c r="D1106" s="224" t="s">
        <v>538</v>
      </c>
      <c r="E1106" s="224" t="s">
        <v>539</v>
      </c>
      <c r="F1106" s="224" t="s">
        <v>540</v>
      </c>
      <c r="G1106" s="224" t="s">
        <v>64</v>
      </c>
      <c r="H1106" s="224"/>
      <c r="I1106" s="229">
        <v>0</v>
      </c>
      <c r="J1106" s="229">
        <v>0</v>
      </c>
      <c r="K1106" s="229">
        <v>0</v>
      </c>
      <c r="L1106" s="229">
        <v>0</v>
      </c>
      <c r="M1106" s="229">
        <v>0</v>
      </c>
      <c r="N1106" s="229">
        <v>0</v>
      </c>
      <c r="O1106" s="229">
        <v>0</v>
      </c>
      <c r="P1106" s="229">
        <v>0</v>
      </c>
      <c r="Q1106" s="279">
        <v>0</v>
      </c>
    </row>
    <row r="1107" spans="1:17" customFormat="1">
      <c r="A1107" s="224">
        <v>2</v>
      </c>
      <c r="B1107" s="224">
        <v>8831731</v>
      </c>
      <c r="C1107" s="224">
        <v>883173100</v>
      </c>
      <c r="D1107" s="224" t="s">
        <v>538</v>
      </c>
      <c r="E1107" s="224" t="s">
        <v>539</v>
      </c>
      <c r="F1107" s="224" t="s">
        <v>540</v>
      </c>
      <c r="G1107" s="224" t="s">
        <v>62</v>
      </c>
      <c r="H1107" s="224"/>
      <c r="I1107" s="229">
        <v>998517</v>
      </c>
      <c r="J1107" s="229">
        <v>0</v>
      </c>
      <c r="K1107" s="229">
        <v>0</v>
      </c>
      <c r="L1107" s="229">
        <v>0</v>
      </c>
      <c r="M1107" s="229">
        <v>0</v>
      </c>
      <c r="N1107" s="229">
        <v>966295</v>
      </c>
      <c r="O1107" s="229">
        <v>0</v>
      </c>
      <c r="P1107" s="229">
        <v>32222</v>
      </c>
      <c r="Q1107" s="279">
        <v>0</v>
      </c>
    </row>
    <row r="1108" spans="1:17" customFormat="1">
      <c r="A1108" s="224">
        <v>2</v>
      </c>
      <c r="B1108" s="224">
        <v>8831733</v>
      </c>
      <c r="C1108" s="224">
        <v>883173300</v>
      </c>
      <c r="D1108" s="224" t="s">
        <v>538</v>
      </c>
      <c r="E1108" s="224" t="s">
        <v>539</v>
      </c>
      <c r="F1108" s="224" t="s">
        <v>540</v>
      </c>
      <c r="G1108" s="224" t="s">
        <v>822</v>
      </c>
      <c r="H1108" s="224"/>
      <c r="I1108" s="229">
        <v>0</v>
      </c>
      <c r="J1108" s="229">
        <v>0</v>
      </c>
      <c r="K1108" s="229">
        <v>0</v>
      </c>
      <c r="L1108" s="229">
        <v>0</v>
      </c>
      <c r="M1108" s="229">
        <v>0</v>
      </c>
      <c r="N1108" s="229">
        <v>0</v>
      </c>
      <c r="O1108" s="229">
        <v>0</v>
      </c>
      <c r="P1108" s="229">
        <v>0</v>
      </c>
      <c r="Q1108" s="279">
        <v>0</v>
      </c>
    </row>
    <row r="1109" spans="1:17" customFormat="1">
      <c r="A1109" s="224">
        <v>2</v>
      </c>
      <c r="B1109" s="224">
        <v>8831736</v>
      </c>
      <c r="C1109" s="224">
        <v>883173600</v>
      </c>
      <c r="D1109" s="224" t="s">
        <v>538</v>
      </c>
      <c r="E1109" s="224" t="s">
        <v>539</v>
      </c>
      <c r="F1109" s="224" t="s">
        <v>540</v>
      </c>
      <c r="G1109" s="224" t="s">
        <v>823</v>
      </c>
      <c r="H1109" s="224"/>
      <c r="I1109" s="229">
        <v>26</v>
      </c>
      <c r="J1109" s="229">
        <v>0</v>
      </c>
      <c r="K1109" s="229">
        <v>0</v>
      </c>
      <c r="L1109" s="229">
        <v>0</v>
      </c>
      <c r="M1109" s="229">
        <v>0</v>
      </c>
      <c r="N1109" s="229">
        <v>26</v>
      </c>
      <c r="O1109" s="229">
        <v>0</v>
      </c>
      <c r="P1109" s="229">
        <v>0</v>
      </c>
      <c r="Q1109" s="279">
        <v>0</v>
      </c>
    </row>
    <row r="1110" spans="1:17" customFormat="1">
      <c r="A1110" s="224">
        <v>2</v>
      </c>
      <c r="B1110" s="224">
        <v>8831737</v>
      </c>
      <c r="C1110" s="224">
        <v>883173700</v>
      </c>
      <c r="D1110" s="224" t="s">
        <v>538</v>
      </c>
      <c r="E1110" s="224" t="s">
        <v>539</v>
      </c>
      <c r="F1110" s="224" t="s">
        <v>540</v>
      </c>
      <c r="G1110" s="224" t="s">
        <v>60</v>
      </c>
      <c r="H1110" s="224"/>
      <c r="I1110" s="229">
        <v>0</v>
      </c>
      <c r="J1110" s="229">
        <v>0</v>
      </c>
      <c r="K1110" s="229">
        <v>0</v>
      </c>
      <c r="L1110" s="229">
        <v>0</v>
      </c>
      <c r="M1110" s="229">
        <v>0</v>
      </c>
      <c r="N1110" s="229">
        <v>0</v>
      </c>
      <c r="O1110" s="229">
        <v>0</v>
      </c>
      <c r="P1110" s="229">
        <v>0</v>
      </c>
      <c r="Q1110" s="279">
        <v>0</v>
      </c>
    </row>
    <row r="1111" spans="1:17" customFormat="1">
      <c r="A1111" s="224">
        <v>2</v>
      </c>
      <c r="B1111" s="224">
        <v>8831739</v>
      </c>
      <c r="C1111" s="224">
        <v>883173900</v>
      </c>
      <c r="D1111" s="224" t="s">
        <v>538</v>
      </c>
      <c r="E1111" s="224" t="s">
        <v>539</v>
      </c>
      <c r="F1111" s="224" t="s">
        <v>540</v>
      </c>
      <c r="G1111" s="224" t="s">
        <v>58</v>
      </c>
      <c r="H1111" s="224"/>
      <c r="I1111" s="229">
        <v>77348</v>
      </c>
      <c r="J1111" s="229">
        <v>0</v>
      </c>
      <c r="K1111" s="229">
        <v>0</v>
      </c>
      <c r="L1111" s="229">
        <v>0</v>
      </c>
      <c r="M1111" s="229">
        <v>0</v>
      </c>
      <c r="N1111" s="229">
        <v>0</v>
      </c>
      <c r="O1111" s="229">
        <v>77348</v>
      </c>
      <c r="P1111" s="229">
        <v>0</v>
      </c>
      <c r="Q1111" s="279">
        <v>0</v>
      </c>
    </row>
    <row r="1112" spans="1:17" customFormat="1">
      <c r="A1112" s="224">
        <v>2</v>
      </c>
      <c r="B1112" s="224">
        <v>8831740</v>
      </c>
      <c r="C1112" s="224">
        <v>883174000</v>
      </c>
      <c r="D1112" s="224" t="s">
        <v>538</v>
      </c>
      <c r="E1112" s="224" t="s">
        <v>539</v>
      </c>
      <c r="F1112" s="224" t="s">
        <v>540</v>
      </c>
      <c r="G1112" s="224" t="s">
        <v>56</v>
      </c>
      <c r="H1112" s="224"/>
      <c r="I1112" s="229">
        <v>58</v>
      </c>
      <c r="J1112" s="229">
        <v>0</v>
      </c>
      <c r="K1112" s="229">
        <v>0</v>
      </c>
      <c r="L1112" s="229">
        <v>0</v>
      </c>
      <c r="M1112" s="229">
        <v>0</v>
      </c>
      <c r="N1112" s="229">
        <v>0</v>
      </c>
      <c r="O1112" s="229">
        <v>0</v>
      </c>
      <c r="P1112" s="229">
        <v>58</v>
      </c>
      <c r="Q1112" s="279">
        <v>0</v>
      </c>
    </row>
    <row r="1113" spans="1:17" customFormat="1">
      <c r="A1113" s="224">
        <v>2</v>
      </c>
      <c r="B1113" s="224">
        <v>8831741</v>
      </c>
      <c r="C1113" s="224">
        <v>883174100</v>
      </c>
      <c r="D1113" s="224" t="s">
        <v>538</v>
      </c>
      <c r="E1113" s="224" t="s">
        <v>539</v>
      </c>
      <c r="F1113" s="224" t="s">
        <v>540</v>
      </c>
      <c r="G1113" s="224" t="s">
        <v>55</v>
      </c>
      <c r="H1113" s="224"/>
      <c r="I1113" s="229">
        <v>0</v>
      </c>
      <c r="J1113" s="229">
        <v>0</v>
      </c>
      <c r="K1113" s="229">
        <v>0</v>
      </c>
      <c r="L1113" s="229">
        <v>0</v>
      </c>
      <c r="M1113" s="229">
        <v>0</v>
      </c>
      <c r="N1113" s="229">
        <v>0</v>
      </c>
      <c r="O1113" s="229">
        <v>0</v>
      </c>
      <c r="P1113" s="229">
        <v>0</v>
      </c>
      <c r="Q1113" s="279">
        <v>0</v>
      </c>
    </row>
    <row r="1114" spans="1:17" customFormat="1">
      <c r="A1114" s="224">
        <v>2</v>
      </c>
      <c r="B1114" s="224">
        <v>8831742</v>
      </c>
      <c r="C1114" s="224">
        <v>883174201</v>
      </c>
      <c r="D1114" s="224" t="s">
        <v>538</v>
      </c>
      <c r="E1114" s="224" t="s">
        <v>539</v>
      </c>
      <c r="F1114" s="224" t="s">
        <v>540</v>
      </c>
      <c r="G1114" s="224" t="s">
        <v>53</v>
      </c>
      <c r="H1114" s="224" t="s">
        <v>108</v>
      </c>
      <c r="I1114" s="229">
        <v>0</v>
      </c>
      <c r="J1114" s="229">
        <v>0</v>
      </c>
      <c r="K1114" s="229">
        <v>0</v>
      </c>
      <c r="L1114" s="229">
        <v>0</v>
      </c>
      <c r="M1114" s="229">
        <v>0</v>
      </c>
      <c r="N1114" s="229">
        <v>0</v>
      </c>
      <c r="O1114" s="229">
        <v>0</v>
      </c>
      <c r="P1114" s="229">
        <v>0</v>
      </c>
      <c r="Q1114" s="279">
        <v>0</v>
      </c>
    </row>
    <row r="1115" spans="1:17" customFormat="1">
      <c r="A1115" s="224">
        <v>2</v>
      </c>
      <c r="B1115" s="224">
        <v>8831742</v>
      </c>
      <c r="C1115" s="224">
        <v>883174202</v>
      </c>
      <c r="D1115" s="224" t="s">
        <v>538</v>
      </c>
      <c r="E1115" s="224" t="s">
        <v>539</v>
      </c>
      <c r="F1115" s="224" t="s">
        <v>540</v>
      </c>
      <c r="G1115" s="224" t="s">
        <v>53</v>
      </c>
      <c r="H1115" s="224" t="s">
        <v>106</v>
      </c>
      <c r="I1115" s="229">
        <v>0</v>
      </c>
      <c r="J1115" s="229">
        <v>0</v>
      </c>
      <c r="K1115" s="229">
        <v>0</v>
      </c>
      <c r="L1115" s="229">
        <v>0</v>
      </c>
      <c r="M1115" s="229">
        <v>0</v>
      </c>
      <c r="N1115" s="229">
        <v>0</v>
      </c>
      <c r="O1115" s="229">
        <v>0</v>
      </c>
      <c r="P1115" s="229">
        <v>0</v>
      </c>
      <c r="Q1115" s="279">
        <v>0</v>
      </c>
    </row>
    <row r="1116" spans="1:17" customFormat="1">
      <c r="A1116" s="224">
        <v>2</v>
      </c>
      <c r="B1116" s="224">
        <v>8832043</v>
      </c>
      <c r="C1116" s="224">
        <v>883204370</v>
      </c>
      <c r="D1116" s="224" t="s">
        <v>538</v>
      </c>
      <c r="E1116" s="224" t="s">
        <v>539</v>
      </c>
      <c r="F1116" s="224" t="s">
        <v>826</v>
      </c>
      <c r="G1116" s="224" t="s">
        <v>827</v>
      </c>
      <c r="H1116" s="224" t="s">
        <v>492</v>
      </c>
      <c r="I1116" s="229">
        <v>10270824</v>
      </c>
      <c r="J1116" s="229">
        <v>0</v>
      </c>
      <c r="K1116" s="229">
        <v>0</v>
      </c>
      <c r="L1116" s="229">
        <v>0</v>
      </c>
      <c r="M1116" s="229">
        <v>0</v>
      </c>
      <c r="N1116" s="229">
        <v>0</v>
      </c>
      <c r="O1116" s="229">
        <v>0</v>
      </c>
      <c r="P1116" s="229">
        <v>10270824</v>
      </c>
      <c r="Q1116" s="279">
        <v>0</v>
      </c>
    </row>
    <row r="1117" spans="1:17" customFormat="1">
      <c r="A1117" s="224">
        <v>2</v>
      </c>
      <c r="B1117" s="224">
        <v>8832043</v>
      </c>
      <c r="C1117" s="224">
        <v>883204371</v>
      </c>
      <c r="D1117" s="224" t="s">
        <v>538</v>
      </c>
      <c r="E1117" s="224" t="s">
        <v>539</v>
      </c>
      <c r="F1117" s="224" t="s">
        <v>826</v>
      </c>
      <c r="G1117" s="224" t="s">
        <v>827</v>
      </c>
      <c r="H1117" s="224" t="s">
        <v>491</v>
      </c>
      <c r="I1117" s="229">
        <v>212330673</v>
      </c>
      <c r="J1117" s="229">
        <v>0</v>
      </c>
      <c r="K1117" s="229">
        <v>0</v>
      </c>
      <c r="L1117" s="229">
        <v>0</v>
      </c>
      <c r="M1117" s="229">
        <v>0</v>
      </c>
      <c r="N1117" s="229">
        <v>0</v>
      </c>
      <c r="O1117" s="229">
        <v>0</v>
      </c>
      <c r="P1117" s="229">
        <v>212330673</v>
      </c>
      <c r="Q1117" s="279">
        <v>0</v>
      </c>
    </row>
    <row r="1118" spans="1:17" customFormat="1">
      <c r="A1118" s="224">
        <v>2</v>
      </c>
      <c r="B1118" s="224">
        <v>8832043</v>
      </c>
      <c r="C1118" s="224">
        <v>883204372</v>
      </c>
      <c r="D1118" s="224" t="s">
        <v>538</v>
      </c>
      <c r="E1118" s="224" t="s">
        <v>539</v>
      </c>
      <c r="F1118" s="224" t="s">
        <v>826</v>
      </c>
      <c r="G1118" s="224" t="s">
        <v>827</v>
      </c>
      <c r="H1118" s="224" t="s">
        <v>490</v>
      </c>
      <c r="I1118" s="229">
        <v>74683472</v>
      </c>
      <c r="J1118" s="229">
        <v>0</v>
      </c>
      <c r="K1118" s="229">
        <v>0</v>
      </c>
      <c r="L1118" s="229">
        <v>0</v>
      </c>
      <c r="M1118" s="229">
        <v>0</v>
      </c>
      <c r="N1118" s="229">
        <v>0</v>
      </c>
      <c r="O1118" s="229">
        <v>0</v>
      </c>
      <c r="P1118" s="229">
        <v>74683472</v>
      </c>
      <c r="Q1118" s="279">
        <v>0</v>
      </c>
    </row>
    <row r="1119" spans="1:17" customFormat="1">
      <c r="A1119" s="224">
        <v>2</v>
      </c>
      <c r="B1119" s="224">
        <v>8832043</v>
      </c>
      <c r="C1119" s="224">
        <v>883204373</v>
      </c>
      <c r="D1119" s="224" t="s">
        <v>538</v>
      </c>
      <c r="E1119" s="224" t="s">
        <v>539</v>
      </c>
      <c r="F1119" s="224" t="s">
        <v>826</v>
      </c>
      <c r="G1119" s="224" t="s">
        <v>827</v>
      </c>
      <c r="H1119" s="224" t="s">
        <v>489</v>
      </c>
      <c r="I1119" s="229">
        <v>0</v>
      </c>
      <c r="J1119" s="229">
        <v>0</v>
      </c>
      <c r="K1119" s="229">
        <v>0</v>
      </c>
      <c r="L1119" s="229">
        <v>0</v>
      </c>
      <c r="M1119" s="229">
        <v>0</v>
      </c>
      <c r="N1119" s="229">
        <v>0</v>
      </c>
      <c r="O1119" s="229">
        <v>0</v>
      </c>
      <c r="P1119" s="229">
        <v>0</v>
      </c>
      <c r="Q1119" s="279">
        <v>0</v>
      </c>
    </row>
    <row r="1120" spans="1:17" customFormat="1">
      <c r="A1120" s="224">
        <v>2</v>
      </c>
      <c r="B1120" s="224">
        <v>8832043</v>
      </c>
      <c r="C1120" s="224">
        <v>883204374</v>
      </c>
      <c r="D1120" s="224" t="s">
        <v>538</v>
      </c>
      <c r="E1120" s="224" t="s">
        <v>539</v>
      </c>
      <c r="F1120" s="224" t="s">
        <v>826</v>
      </c>
      <c r="G1120" s="224" t="s">
        <v>827</v>
      </c>
      <c r="H1120" s="224" t="s">
        <v>488</v>
      </c>
      <c r="I1120" s="229">
        <v>0</v>
      </c>
      <c r="J1120" s="229">
        <v>0</v>
      </c>
      <c r="K1120" s="229">
        <v>0</v>
      </c>
      <c r="L1120" s="229">
        <v>0</v>
      </c>
      <c r="M1120" s="229">
        <v>0</v>
      </c>
      <c r="N1120" s="229">
        <v>0</v>
      </c>
      <c r="O1120" s="229">
        <v>0</v>
      </c>
      <c r="P1120" s="229">
        <v>0</v>
      </c>
      <c r="Q1120" s="279">
        <v>0</v>
      </c>
    </row>
    <row r="1121" spans="1:17" customFormat="1">
      <c r="A1121" s="224">
        <v>2</v>
      </c>
      <c r="B1121" s="224">
        <v>8832044</v>
      </c>
      <c r="C1121" s="224">
        <v>883204475</v>
      </c>
      <c r="D1121" s="224" t="s">
        <v>538</v>
      </c>
      <c r="E1121" s="224" t="s">
        <v>539</v>
      </c>
      <c r="F1121" s="224" t="s">
        <v>826</v>
      </c>
      <c r="G1121" s="224" t="s">
        <v>828</v>
      </c>
      <c r="H1121" s="224" t="s">
        <v>487</v>
      </c>
      <c r="I1121" s="229">
        <v>0</v>
      </c>
      <c r="J1121" s="229">
        <v>0</v>
      </c>
      <c r="K1121" s="229">
        <v>0</v>
      </c>
      <c r="L1121" s="229">
        <v>0</v>
      </c>
      <c r="M1121" s="229">
        <v>0</v>
      </c>
      <c r="N1121" s="229">
        <v>0</v>
      </c>
      <c r="O1121" s="229">
        <v>0</v>
      </c>
      <c r="P1121" s="229">
        <v>0</v>
      </c>
      <c r="Q1121" s="279">
        <v>0</v>
      </c>
    </row>
    <row r="1122" spans="1:17" customFormat="1">
      <c r="A1122" s="224">
        <v>2</v>
      </c>
      <c r="B1122" s="224">
        <v>8832044</v>
      </c>
      <c r="C1122" s="224">
        <v>883204476</v>
      </c>
      <c r="D1122" s="224" t="s">
        <v>538</v>
      </c>
      <c r="E1122" s="224" t="s">
        <v>539</v>
      </c>
      <c r="F1122" s="224" t="s">
        <v>826</v>
      </c>
      <c r="G1122" s="224" t="s">
        <v>828</v>
      </c>
      <c r="H1122" s="224" t="s">
        <v>486</v>
      </c>
      <c r="I1122" s="229">
        <v>0</v>
      </c>
      <c r="J1122" s="229">
        <v>0</v>
      </c>
      <c r="K1122" s="229">
        <v>0</v>
      </c>
      <c r="L1122" s="229">
        <v>0</v>
      </c>
      <c r="M1122" s="229">
        <v>0</v>
      </c>
      <c r="N1122" s="229">
        <v>0</v>
      </c>
      <c r="O1122" s="229">
        <v>0</v>
      </c>
      <c r="P1122" s="229">
        <v>0</v>
      </c>
      <c r="Q1122" s="279">
        <v>0</v>
      </c>
    </row>
    <row r="1123" spans="1:17" customFormat="1">
      <c r="A1123" s="224">
        <v>2</v>
      </c>
      <c r="B1123" s="224">
        <v>8832044</v>
      </c>
      <c r="C1123" s="224">
        <v>883204477</v>
      </c>
      <c r="D1123" s="224" t="s">
        <v>538</v>
      </c>
      <c r="E1123" s="224" t="s">
        <v>539</v>
      </c>
      <c r="F1123" s="224" t="s">
        <v>826</v>
      </c>
      <c r="G1123" s="224" t="s">
        <v>828</v>
      </c>
      <c r="H1123" s="224" t="s">
        <v>485</v>
      </c>
      <c r="I1123" s="229">
        <v>7049</v>
      </c>
      <c r="J1123" s="229">
        <v>0</v>
      </c>
      <c r="K1123" s="229">
        <v>0</v>
      </c>
      <c r="L1123" s="229">
        <v>0</v>
      </c>
      <c r="M1123" s="229">
        <v>0</v>
      </c>
      <c r="N1123" s="229">
        <v>0</v>
      </c>
      <c r="O1123" s="229">
        <v>0</v>
      </c>
      <c r="P1123" s="229">
        <v>7049</v>
      </c>
      <c r="Q1123" s="279">
        <v>0</v>
      </c>
    </row>
    <row r="1124" spans="1:17" customFormat="1">
      <c r="A1124" s="224">
        <v>2</v>
      </c>
      <c r="B1124" s="224">
        <v>8832246</v>
      </c>
      <c r="C1124" s="224">
        <v>883224600</v>
      </c>
      <c r="D1124" s="224" t="s">
        <v>538</v>
      </c>
      <c r="E1124" s="224" t="s">
        <v>539</v>
      </c>
      <c r="F1124" s="224" t="s">
        <v>829</v>
      </c>
      <c r="G1124" s="224" t="s">
        <v>495</v>
      </c>
      <c r="H1124" s="224"/>
      <c r="I1124" s="229">
        <v>1767155</v>
      </c>
      <c r="J1124" s="229">
        <v>0</v>
      </c>
      <c r="K1124" s="229">
        <v>0</v>
      </c>
      <c r="L1124" s="229">
        <v>0</v>
      </c>
      <c r="M1124" s="229">
        <v>0</v>
      </c>
      <c r="N1124" s="229">
        <v>0</v>
      </c>
      <c r="O1124" s="229">
        <v>0</v>
      </c>
      <c r="P1124" s="229">
        <v>1767155</v>
      </c>
      <c r="Q1124" s="279">
        <v>0</v>
      </c>
    </row>
    <row r="1125" spans="1:17" customFormat="1">
      <c r="A1125" s="224">
        <v>2</v>
      </c>
      <c r="B1125" s="224">
        <v>8832247</v>
      </c>
      <c r="C1125" s="224">
        <v>883224700</v>
      </c>
      <c r="D1125" s="224" t="s">
        <v>538</v>
      </c>
      <c r="E1125" s="224" t="s">
        <v>539</v>
      </c>
      <c r="F1125" s="224" t="s">
        <v>829</v>
      </c>
      <c r="G1125" s="224" t="s">
        <v>494</v>
      </c>
      <c r="H1125" s="224"/>
      <c r="I1125" s="229">
        <v>0</v>
      </c>
      <c r="J1125" s="229">
        <v>0</v>
      </c>
      <c r="K1125" s="229">
        <v>0</v>
      </c>
      <c r="L1125" s="229">
        <v>0</v>
      </c>
      <c r="M1125" s="229">
        <v>0</v>
      </c>
      <c r="N1125" s="229">
        <v>0</v>
      </c>
      <c r="O1125" s="229">
        <v>0</v>
      </c>
      <c r="P1125" s="229">
        <v>0</v>
      </c>
      <c r="Q1125" s="279">
        <v>0</v>
      </c>
    </row>
    <row r="1126" spans="1:17" customFormat="1">
      <c r="A1126" s="224">
        <v>2</v>
      </c>
      <c r="B1126" s="224">
        <v>8840251</v>
      </c>
      <c r="C1126" s="224">
        <v>884025180</v>
      </c>
      <c r="D1126" s="224" t="s">
        <v>538</v>
      </c>
      <c r="E1126" s="224" t="s">
        <v>8</v>
      </c>
      <c r="F1126" s="224" t="s">
        <v>830</v>
      </c>
      <c r="G1126" s="224" t="s">
        <v>831</v>
      </c>
      <c r="H1126" s="224" t="s">
        <v>633</v>
      </c>
      <c r="I1126" s="229">
        <v>84315300</v>
      </c>
      <c r="J1126" s="229">
        <v>0</v>
      </c>
      <c r="K1126" s="229">
        <v>0</v>
      </c>
      <c r="L1126" s="229">
        <v>0</v>
      </c>
      <c r="M1126" s="229">
        <v>0</v>
      </c>
      <c r="N1126" s="229">
        <v>0</v>
      </c>
      <c r="O1126" s="229">
        <v>84315300</v>
      </c>
      <c r="P1126" s="229">
        <v>0</v>
      </c>
      <c r="Q1126" s="279">
        <v>0</v>
      </c>
    </row>
    <row r="1127" spans="1:17" customFormat="1">
      <c r="A1127" s="224">
        <v>2</v>
      </c>
      <c r="B1127" s="224">
        <v>8840251</v>
      </c>
      <c r="C1127" s="224">
        <v>884025181</v>
      </c>
      <c r="D1127" s="224" t="s">
        <v>538</v>
      </c>
      <c r="E1127" s="224" t="s">
        <v>8</v>
      </c>
      <c r="F1127" s="224" t="s">
        <v>830</v>
      </c>
      <c r="G1127" s="224" t="s">
        <v>831</v>
      </c>
      <c r="H1127" s="224" t="s">
        <v>832</v>
      </c>
      <c r="I1127" s="229">
        <v>0</v>
      </c>
      <c r="J1127" s="229">
        <v>0</v>
      </c>
      <c r="K1127" s="229">
        <v>0</v>
      </c>
      <c r="L1127" s="229">
        <v>0</v>
      </c>
      <c r="M1127" s="229">
        <v>0</v>
      </c>
      <c r="N1127" s="229">
        <v>0</v>
      </c>
      <c r="O1127" s="229">
        <v>0</v>
      </c>
      <c r="P1127" s="229">
        <v>0</v>
      </c>
      <c r="Q1127" s="279">
        <v>0</v>
      </c>
    </row>
    <row r="1128" spans="1:17" customFormat="1">
      <c r="A1128" s="224">
        <v>2</v>
      </c>
      <c r="B1128" s="224">
        <v>8840252</v>
      </c>
      <c r="C1128" s="224">
        <v>884025200</v>
      </c>
      <c r="D1128" s="224" t="s">
        <v>538</v>
      </c>
      <c r="E1128" s="224" t="s">
        <v>8</v>
      </c>
      <c r="F1128" s="224" t="s">
        <v>830</v>
      </c>
      <c r="G1128" s="224" t="s">
        <v>504</v>
      </c>
      <c r="H1128" s="224"/>
      <c r="I1128" s="229">
        <v>244627</v>
      </c>
      <c r="J1128" s="229">
        <v>0</v>
      </c>
      <c r="K1128" s="229">
        <v>0</v>
      </c>
      <c r="L1128" s="229">
        <v>0</v>
      </c>
      <c r="M1128" s="229">
        <v>0</v>
      </c>
      <c r="N1128" s="229">
        <v>244627</v>
      </c>
      <c r="O1128" s="229">
        <v>0</v>
      </c>
      <c r="P1128" s="229">
        <v>0</v>
      </c>
      <c r="Q1128" s="279">
        <v>0</v>
      </c>
    </row>
    <row r="1129" spans="1:17" customFormat="1">
      <c r="A1129" s="224">
        <v>2</v>
      </c>
      <c r="B1129" s="224">
        <v>8840253</v>
      </c>
      <c r="C1129" s="224">
        <v>884025300</v>
      </c>
      <c r="D1129" s="224" t="s">
        <v>538</v>
      </c>
      <c r="E1129" s="224" t="s">
        <v>8</v>
      </c>
      <c r="F1129" s="224" t="s">
        <v>830</v>
      </c>
      <c r="G1129" s="224" t="s">
        <v>503</v>
      </c>
      <c r="H1129" s="224"/>
      <c r="I1129" s="229">
        <v>0</v>
      </c>
      <c r="J1129" s="229">
        <v>0</v>
      </c>
      <c r="K1129" s="229">
        <v>0</v>
      </c>
      <c r="L1129" s="229">
        <v>0</v>
      </c>
      <c r="M1129" s="229">
        <v>0</v>
      </c>
      <c r="N1129" s="229">
        <v>0</v>
      </c>
      <c r="O1129" s="229">
        <v>0</v>
      </c>
      <c r="P1129" s="229">
        <v>0</v>
      </c>
      <c r="Q1129" s="279">
        <v>0</v>
      </c>
    </row>
    <row r="1130" spans="1:17" customFormat="1">
      <c r="A1130" s="224">
        <v>2</v>
      </c>
      <c r="B1130" s="224">
        <v>8840254</v>
      </c>
      <c r="C1130" s="224">
        <v>884025400</v>
      </c>
      <c r="D1130" s="224" t="s">
        <v>538</v>
      </c>
      <c r="E1130" s="224" t="s">
        <v>8</v>
      </c>
      <c r="F1130" s="224" t="s">
        <v>830</v>
      </c>
      <c r="G1130" s="224" t="s">
        <v>502</v>
      </c>
      <c r="H1130" s="224"/>
      <c r="I1130" s="229">
        <v>0</v>
      </c>
      <c r="J1130" s="229">
        <v>0</v>
      </c>
      <c r="K1130" s="229">
        <v>0</v>
      </c>
      <c r="L1130" s="229">
        <v>0</v>
      </c>
      <c r="M1130" s="229">
        <v>0</v>
      </c>
      <c r="N1130" s="229">
        <v>0</v>
      </c>
      <c r="O1130" s="229">
        <v>0</v>
      </c>
      <c r="P1130" s="229">
        <v>0</v>
      </c>
      <c r="Q1130" s="279">
        <v>0</v>
      </c>
    </row>
    <row r="1131" spans="1:17" customFormat="1">
      <c r="A1131" s="224">
        <v>2</v>
      </c>
      <c r="B1131" s="224">
        <v>8840255</v>
      </c>
      <c r="C1131" s="224">
        <v>884025500</v>
      </c>
      <c r="D1131" s="224" t="s">
        <v>538</v>
      </c>
      <c r="E1131" s="224" t="s">
        <v>8</v>
      </c>
      <c r="F1131" s="224" t="s">
        <v>830</v>
      </c>
      <c r="G1131" s="224" t="s">
        <v>501</v>
      </c>
      <c r="H1131" s="224"/>
      <c r="I1131" s="229">
        <v>0</v>
      </c>
      <c r="J1131" s="229">
        <v>0</v>
      </c>
      <c r="K1131" s="229">
        <v>0</v>
      </c>
      <c r="L1131" s="229">
        <v>0</v>
      </c>
      <c r="M1131" s="229">
        <v>0</v>
      </c>
      <c r="N1131" s="229">
        <v>0</v>
      </c>
      <c r="O1131" s="229">
        <v>0</v>
      </c>
      <c r="P1131" s="229">
        <v>0</v>
      </c>
      <c r="Q1131" s="279">
        <v>0</v>
      </c>
    </row>
    <row r="1132" spans="1:17" customFormat="1">
      <c r="A1132" s="224">
        <v>2</v>
      </c>
      <c r="B1132" s="224">
        <v>8840456</v>
      </c>
      <c r="C1132" s="224">
        <v>884045600</v>
      </c>
      <c r="D1132" s="224" t="s">
        <v>538</v>
      </c>
      <c r="E1132" s="224" t="s">
        <v>8</v>
      </c>
      <c r="F1132" s="224" t="s">
        <v>833</v>
      </c>
      <c r="G1132" s="224" t="s">
        <v>834</v>
      </c>
      <c r="H1132" s="224"/>
      <c r="I1132" s="229">
        <v>0</v>
      </c>
      <c r="J1132" s="229">
        <v>0</v>
      </c>
      <c r="K1132" s="229">
        <v>0</v>
      </c>
      <c r="L1132" s="229">
        <v>0</v>
      </c>
      <c r="M1132" s="229">
        <v>0</v>
      </c>
      <c r="N1132" s="229">
        <v>0</v>
      </c>
      <c r="O1132" s="229">
        <v>0</v>
      </c>
      <c r="P1132" s="229">
        <v>0</v>
      </c>
      <c r="Q1132" s="279">
        <v>0</v>
      </c>
    </row>
    <row r="1133" spans="1:17" customFormat="1">
      <c r="A1133" s="224">
        <v>2</v>
      </c>
      <c r="B1133" s="224">
        <v>8840457</v>
      </c>
      <c r="C1133" s="224">
        <v>884045700</v>
      </c>
      <c r="D1133" s="224" t="s">
        <v>538</v>
      </c>
      <c r="E1133" s="224" t="s">
        <v>8</v>
      </c>
      <c r="F1133" s="224" t="s">
        <v>833</v>
      </c>
      <c r="G1133" s="224" t="s">
        <v>835</v>
      </c>
      <c r="H1133" s="224"/>
      <c r="I1133" s="229">
        <v>0</v>
      </c>
      <c r="J1133" s="229">
        <v>0</v>
      </c>
      <c r="K1133" s="229">
        <v>0</v>
      </c>
      <c r="L1133" s="229">
        <v>0</v>
      </c>
      <c r="M1133" s="229">
        <v>0</v>
      </c>
      <c r="N1133" s="229">
        <v>0</v>
      </c>
      <c r="O1133" s="229">
        <v>0</v>
      </c>
      <c r="P1133" s="229">
        <v>0</v>
      </c>
      <c r="Q1133" s="279">
        <v>0</v>
      </c>
    </row>
    <row r="1134" spans="1:17" customFormat="1">
      <c r="A1134" s="224">
        <v>2</v>
      </c>
      <c r="B1134" s="224">
        <v>8840458</v>
      </c>
      <c r="C1134" s="224">
        <v>884045800</v>
      </c>
      <c r="D1134" s="224" t="s">
        <v>538</v>
      </c>
      <c r="E1134" s="224" t="s">
        <v>8</v>
      </c>
      <c r="F1134" s="224" t="s">
        <v>833</v>
      </c>
      <c r="G1134" s="224" t="s">
        <v>836</v>
      </c>
      <c r="H1134" s="224"/>
      <c r="I1134" s="229">
        <v>0</v>
      </c>
      <c r="J1134" s="229">
        <v>0</v>
      </c>
      <c r="K1134" s="229">
        <v>0</v>
      </c>
      <c r="L1134" s="229">
        <v>0</v>
      </c>
      <c r="M1134" s="229">
        <v>0</v>
      </c>
      <c r="N1134" s="229">
        <v>0</v>
      </c>
      <c r="O1134" s="229">
        <v>0</v>
      </c>
      <c r="P1134" s="229">
        <v>0</v>
      </c>
      <c r="Q1134" s="279">
        <v>0</v>
      </c>
    </row>
    <row r="1135" spans="1:17" customFormat="1">
      <c r="A1135" s="224">
        <v>2</v>
      </c>
      <c r="B1135" s="224">
        <v>8840559</v>
      </c>
      <c r="C1135" s="224">
        <v>884055900</v>
      </c>
      <c r="D1135" s="224" t="s">
        <v>538</v>
      </c>
      <c r="E1135" s="224" t="s">
        <v>8</v>
      </c>
      <c r="F1135" s="224" t="s">
        <v>837</v>
      </c>
      <c r="G1135" s="224" t="s">
        <v>837</v>
      </c>
      <c r="H1135" s="224"/>
      <c r="I1135" s="229">
        <v>0</v>
      </c>
      <c r="J1135" s="229">
        <v>0</v>
      </c>
      <c r="K1135" s="229">
        <v>0</v>
      </c>
      <c r="L1135" s="229">
        <v>0</v>
      </c>
      <c r="M1135" s="229">
        <v>0</v>
      </c>
      <c r="N1135" s="229">
        <v>0</v>
      </c>
      <c r="O1135" s="229">
        <v>0</v>
      </c>
      <c r="P1135" s="229">
        <v>0</v>
      </c>
      <c r="Q1135" s="279">
        <v>0</v>
      </c>
    </row>
    <row r="1136" spans="1:17" customFormat="1">
      <c r="A1136" s="224">
        <v>2</v>
      </c>
      <c r="B1136" s="224">
        <v>8840662</v>
      </c>
      <c r="C1136" s="224">
        <v>884066200</v>
      </c>
      <c r="D1136" s="224" t="s">
        <v>538</v>
      </c>
      <c r="E1136" s="224" t="s">
        <v>8</v>
      </c>
      <c r="F1136" s="224" t="s">
        <v>838</v>
      </c>
      <c r="G1136" s="224" t="s">
        <v>839</v>
      </c>
      <c r="H1136" s="224"/>
      <c r="I1136" s="229">
        <v>0</v>
      </c>
      <c r="J1136" s="229">
        <v>0</v>
      </c>
      <c r="K1136" s="229">
        <v>0</v>
      </c>
      <c r="L1136" s="229">
        <v>0</v>
      </c>
      <c r="M1136" s="229">
        <v>0</v>
      </c>
      <c r="N1136" s="229">
        <v>0</v>
      </c>
      <c r="O1136" s="229">
        <v>0</v>
      </c>
      <c r="P1136" s="229">
        <v>0</v>
      </c>
      <c r="Q1136" s="279">
        <v>0</v>
      </c>
    </row>
    <row r="1137" spans="1:17" customFormat="1">
      <c r="A1137" s="224">
        <v>2</v>
      </c>
      <c r="B1137" s="224">
        <v>8840663</v>
      </c>
      <c r="C1137" s="224">
        <v>884066300</v>
      </c>
      <c r="D1137" s="224" t="s">
        <v>538</v>
      </c>
      <c r="E1137" s="224" t="s">
        <v>8</v>
      </c>
      <c r="F1137" s="224" t="s">
        <v>838</v>
      </c>
      <c r="G1137" s="224" t="s">
        <v>840</v>
      </c>
      <c r="H1137" s="224"/>
      <c r="I1137" s="229">
        <v>0</v>
      </c>
      <c r="J1137" s="229">
        <v>0</v>
      </c>
      <c r="K1137" s="229">
        <v>0</v>
      </c>
      <c r="L1137" s="229">
        <v>0</v>
      </c>
      <c r="M1137" s="229">
        <v>0</v>
      </c>
      <c r="N1137" s="229">
        <v>0</v>
      </c>
      <c r="O1137" s="229">
        <v>0</v>
      </c>
      <c r="P1137" s="229">
        <v>0</v>
      </c>
      <c r="Q1137" s="279">
        <v>0</v>
      </c>
    </row>
    <row r="1138" spans="1:17" customFormat="1">
      <c r="A1138" s="224">
        <v>2</v>
      </c>
      <c r="B1138" s="224">
        <v>8850202</v>
      </c>
      <c r="C1138" s="224">
        <v>885020200</v>
      </c>
      <c r="D1138" s="224" t="s">
        <v>538</v>
      </c>
      <c r="E1138" s="224" t="s">
        <v>5</v>
      </c>
      <c r="F1138" s="224" t="s">
        <v>841</v>
      </c>
      <c r="G1138" s="224" t="s">
        <v>841</v>
      </c>
      <c r="H1138" s="224"/>
      <c r="I1138" s="229">
        <v>0</v>
      </c>
      <c r="J1138" s="229">
        <v>0</v>
      </c>
      <c r="K1138" s="229">
        <v>0</v>
      </c>
      <c r="L1138" s="229">
        <v>0</v>
      </c>
      <c r="M1138" s="229">
        <v>0</v>
      </c>
      <c r="N1138" s="229">
        <v>0</v>
      </c>
      <c r="O1138" s="229">
        <v>0</v>
      </c>
      <c r="P1138" s="229">
        <v>0</v>
      </c>
      <c r="Q1138" s="279">
        <v>0</v>
      </c>
    </row>
    <row r="1139" spans="1:17" customFormat="1">
      <c r="A1139" s="224">
        <v>2</v>
      </c>
      <c r="B1139" s="224">
        <v>8850404</v>
      </c>
      <c r="C1139" s="224">
        <v>885040400</v>
      </c>
      <c r="D1139" s="224" t="s">
        <v>538</v>
      </c>
      <c r="E1139" s="224" t="s">
        <v>5</v>
      </c>
      <c r="F1139" s="224" t="s">
        <v>842</v>
      </c>
      <c r="G1139" s="224" t="s">
        <v>842</v>
      </c>
      <c r="H1139" s="224"/>
      <c r="I1139" s="229">
        <v>0</v>
      </c>
      <c r="J1139" s="229">
        <v>0</v>
      </c>
      <c r="K1139" s="229">
        <v>0</v>
      </c>
      <c r="L1139" s="229">
        <v>0</v>
      </c>
      <c r="M1139" s="229">
        <v>0</v>
      </c>
      <c r="N1139" s="229">
        <v>0</v>
      </c>
      <c r="O1139" s="229">
        <v>0</v>
      </c>
      <c r="P1139" s="229">
        <v>0</v>
      </c>
      <c r="Q1139" s="279">
        <v>0</v>
      </c>
    </row>
    <row r="1140" spans="1:17" customFormat="1">
      <c r="A1140" s="224">
        <v>2</v>
      </c>
      <c r="B1140" s="224">
        <v>8850606</v>
      </c>
      <c r="C1140" s="224">
        <v>885060600</v>
      </c>
      <c r="D1140" s="224" t="s">
        <v>538</v>
      </c>
      <c r="E1140" s="224" t="s">
        <v>5</v>
      </c>
      <c r="F1140" s="224" t="s">
        <v>527</v>
      </c>
      <c r="G1140" s="224" t="s">
        <v>527</v>
      </c>
      <c r="H1140" s="224"/>
      <c r="I1140" s="229">
        <v>160124</v>
      </c>
      <c r="J1140" s="229">
        <v>0</v>
      </c>
      <c r="K1140" s="229">
        <v>0</v>
      </c>
      <c r="L1140" s="229">
        <v>0</v>
      </c>
      <c r="M1140" s="229">
        <v>0</v>
      </c>
      <c r="N1140" s="229">
        <v>160124</v>
      </c>
      <c r="O1140" s="229">
        <v>0</v>
      </c>
      <c r="P1140" s="229">
        <v>0</v>
      </c>
      <c r="Q1140" s="279">
        <v>0</v>
      </c>
    </row>
    <row r="1141" spans="1:17" customFormat="1">
      <c r="A1141" s="224">
        <v>2</v>
      </c>
      <c r="B1141" s="224">
        <v>8850808</v>
      </c>
      <c r="C1141" s="224">
        <v>885080800</v>
      </c>
      <c r="D1141" s="224" t="s">
        <v>538</v>
      </c>
      <c r="E1141" s="224" t="s">
        <v>5</v>
      </c>
      <c r="F1141" s="224" t="s">
        <v>523</v>
      </c>
      <c r="G1141" s="224" t="s">
        <v>523</v>
      </c>
      <c r="H1141" s="224"/>
      <c r="I1141" s="229">
        <v>0</v>
      </c>
      <c r="J1141" s="229">
        <v>0</v>
      </c>
      <c r="K1141" s="229">
        <v>0</v>
      </c>
      <c r="L1141" s="229">
        <v>0</v>
      </c>
      <c r="M1141" s="229">
        <v>0</v>
      </c>
      <c r="N1141" s="229">
        <v>0</v>
      </c>
      <c r="O1141" s="229">
        <v>0</v>
      </c>
      <c r="P1141" s="229">
        <v>0</v>
      </c>
      <c r="Q1141" s="279">
        <v>0</v>
      </c>
    </row>
    <row r="1142" spans="1:17" customFormat="1">
      <c r="A1142" s="224">
        <v>2</v>
      </c>
      <c r="B1142" s="224">
        <v>8851010</v>
      </c>
      <c r="C1142" s="224">
        <v>885101000</v>
      </c>
      <c r="D1142" s="224" t="s">
        <v>538</v>
      </c>
      <c r="E1142" s="224" t="s">
        <v>5</v>
      </c>
      <c r="F1142" s="224" t="s">
        <v>843</v>
      </c>
      <c r="G1142" s="224" t="s">
        <v>843</v>
      </c>
      <c r="H1142" s="224"/>
      <c r="I1142" s="229">
        <v>0</v>
      </c>
      <c r="J1142" s="229">
        <v>0</v>
      </c>
      <c r="K1142" s="229">
        <v>0</v>
      </c>
      <c r="L1142" s="229">
        <v>0</v>
      </c>
      <c r="M1142" s="229">
        <v>0</v>
      </c>
      <c r="N1142" s="229">
        <v>0</v>
      </c>
      <c r="O1142" s="229">
        <v>0</v>
      </c>
      <c r="P1142" s="229">
        <v>0</v>
      </c>
      <c r="Q1142" s="279">
        <v>0</v>
      </c>
    </row>
    <row r="1143" spans="1:17" customFormat="1">
      <c r="A1143" s="224">
        <v>2</v>
      </c>
      <c r="B1143" s="224">
        <v>8900101</v>
      </c>
      <c r="C1143" s="224">
        <v>890010100</v>
      </c>
      <c r="D1143" s="224" t="s">
        <v>538</v>
      </c>
      <c r="E1143" s="224" t="s">
        <v>809</v>
      </c>
      <c r="F1143" s="224" t="s">
        <v>809</v>
      </c>
      <c r="G1143" s="224" t="s">
        <v>809</v>
      </c>
      <c r="H1143" s="224"/>
      <c r="I1143" s="229">
        <v>0</v>
      </c>
      <c r="J1143" s="229">
        <v>0</v>
      </c>
      <c r="K1143" s="229">
        <v>0</v>
      </c>
      <c r="L1143" s="229">
        <v>0</v>
      </c>
      <c r="M1143" s="229">
        <v>0</v>
      </c>
      <c r="N1143" s="229">
        <v>0</v>
      </c>
      <c r="O1143" s="229">
        <v>0</v>
      </c>
      <c r="P1143" s="229">
        <v>0</v>
      </c>
      <c r="Q1143" s="279">
        <v>0</v>
      </c>
    </row>
    <row r="1144" spans="1:17">
      <c r="A1144" s="256">
        <v>3</v>
      </c>
      <c r="B1144" s="256">
        <v>1120110</v>
      </c>
      <c r="C1144" s="256">
        <v>112011010</v>
      </c>
      <c r="D1144" s="256" t="s">
        <v>631</v>
      </c>
      <c r="E1144" s="256" t="s">
        <v>632</v>
      </c>
      <c r="F1144" s="256" t="s">
        <v>633</v>
      </c>
      <c r="G1144" s="256" t="s">
        <v>634</v>
      </c>
      <c r="H1144" s="256" t="s">
        <v>635</v>
      </c>
      <c r="I1144" s="257">
        <v>0</v>
      </c>
      <c r="J1144" s="257">
        <v>0</v>
      </c>
      <c r="K1144" s="257">
        <v>0</v>
      </c>
      <c r="L1144" s="257">
        <v>0</v>
      </c>
      <c r="M1144" s="257">
        <v>0</v>
      </c>
      <c r="N1144" s="257">
        <v>0</v>
      </c>
      <c r="O1144" s="257">
        <v>0</v>
      </c>
      <c r="P1144" s="257">
        <v>0</v>
      </c>
      <c r="Q1144" s="258">
        <v>0</v>
      </c>
    </row>
    <row r="1145" spans="1:17">
      <c r="A1145" s="256">
        <v>3</v>
      </c>
      <c r="B1145" s="256">
        <v>1120110</v>
      </c>
      <c r="C1145" s="256">
        <v>112011011</v>
      </c>
      <c r="D1145" s="256" t="s">
        <v>631</v>
      </c>
      <c r="E1145" s="256" t="s">
        <v>632</v>
      </c>
      <c r="F1145" s="256" t="s">
        <v>633</v>
      </c>
      <c r="G1145" s="256" t="s">
        <v>634</v>
      </c>
      <c r="H1145" s="256" t="s">
        <v>636</v>
      </c>
      <c r="I1145" s="257">
        <v>0</v>
      </c>
      <c r="J1145" s="257">
        <v>0</v>
      </c>
      <c r="K1145" s="257">
        <v>0</v>
      </c>
      <c r="L1145" s="257">
        <v>0</v>
      </c>
      <c r="M1145" s="257">
        <v>0</v>
      </c>
      <c r="N1145" s="257">
        <v>0</v>
      </c>
      <c r="O1145" s="257">
        <v>0</v>
      </c>
      <c r="P1145" s="257">
        <v>0</v>
      </c>
      <c r="Q1145" s="258">
        <v>0</v>
      </c>
    </row>
    <row r="1146" spans="1:17">
      <c r="A1146" s="256">
        <v>3</v>
      </c>
      <c r="B1146" s="256">
        <v>1120111</v>
      </c>
      <c r="C1146" s="256">
        <v>112011100</v>
      </c>
      <c r="D1146" s="256" t="s">
        <v>631</v>
      </c>
      <c r="E1146" s="256" t="s">
        <v>632</v>
      </c>
      <c r="F1146" s="256" t="s">
        <v>633</v>
      </c>
      <c r="G1146" s="256" t="s">
        <v>638</v>
      </c>
      <c r="H1146" s="256"/>
      <c r="I1146" s="257">
        <v>0</v>
      </c>
      <c r="J1146" s="257">
        <v>0</v>
      </c>
      <c r="K1146" s="257">
        <v>0</v>
      </c>
      <c r="L1146" s="257">
        <v>0</v>
      </c>
      <c r="M1146" s="257">
        <v>0</v>
      </c>
      <c r="N1146" s="257">
        <v>0</v>
      </c>
      <c r="O1146" s="257">
        <v>0</v>
      </c>
      <c r="P1146" s="257">
        <v>0</v>
      </c>
      <c r="Q1146" s="258">
        <v>0</v>
      </c>
    </row>
    <row r="1147" spans="1:17">
      <c r="A1147" s="256">
        <v>3</v>
      </c>
      <c r="B1147" s="256">
        <v>1120112</v>
      </c>
      <c r="C1147" s="256">
        <v>112011200</v>
      </c>
      <c r="D1147" s="256" t="s">
        <v>631</v>
      </c>
      <c r="E1147" s="256" t="s">
        <v>632</v>
      </c>
      <c r="F1147" s="256" t="s">
        <v>633</v>
      </c>
      <c r="G1147" s="256" t="s">
        <v>639</v>
      </c>
      <c r="H1147" s="256"/>
      <c r="I1147" s="257">
        <v>0</v>
      </c>
      <c r="J1147" s="257">
        <v>0</v>
      </c>
      <c r="K1147" s="257">
        <v>0</v>
      </c>
      <c r="L1147" s="257">
        <v>0</v>
      </c>
      <c r="M1147" s="257">
        <v>0</v>
      </c>
      <c r="N1147" s="257">
        <v>0</v>
      </c>
      <c r="O1147" s="257">
        <v>0</v>
      </c>
      <c r="P1147" s="257">
        <v>0</v>
      </c>
      <c r="Q1147" s="258">
        <v>0</v>
      </c>
    </row>
    <row r="1148" spans="1:17">
      <c r="A1148" s="256">
        <v>3</v>
      </c>
      <c r="B1148" s="256">
        <v>1120113</v>
      </c>
      <c r="C1148" s="256">
        <v>112011300</v>
      </c>
      <c r="D1148" s="256" t="s">
        <v>631</v>
      </c>
      <c r="E1148" s="256" t="s">
        <v>632</v>
      </c>
      <c r="F1148" s="256" t="s">
        <v>633</v>
      </c>
      <c r="G1148" s="256" t="s">
        <v>640</v>
      </c>
      <c r="H1148" s="256"/>
      <c r="I1148" s="257">
        <v>213400000</v>
      </c>
      <c r="J1148" s="257">
        <v>0</v>
      </c>
      <c r="K1148" s="257">
        <v>0</v>
      </c>
      <c r="L1148" s="257">
        <v>0</v>
      </c>
      <c r="M1148" s="257">
        <v>0</v>
      </c>
      <c r="N1148" s="257">
        <v>0</v>
      </c>
      <c r="O1148" s="257">
        <v>0</v>
      </c>
      <c r="P1148" s="257">
        <v>213400000</v>
      </c>
      <c r="Q1148" s="258">
        <v>0</v>
      </c>
    </row>
    <row r="1149" spans="1:17">
      <c r="A1149" s="256">
        <v>3</v>
      </c>
      <c r="B1149" s="256">
        <v>1120114</v>
      </c>
      <c r="C1149" s="256">
        <v>112011400</v>
      </c>
      <c r="D1149" s="256" t="s">
        <v>631</v>
      </c>
      <c r="E1149" s="256" t="s">
        <v>632</v>
      </c>
      <c r="F1149" s="256" t="s">
        <v>633</v>
      </c>
      <c r="G1149" s="256" t="s">
        <v>641</v>
      </c>
      <c r="H1149" s="256"/>
      <c r="I1149" s="257">
        <v>0</v>
      </c>
      <c r="J1149" s="257">
        <v>0</v>
      </c>
      <c r="K1149" s="257">
        <v>0</v>
      </c>
      <c r="L1149" s="257">
        <v>0</v>
      </c>
      <c r="M1149" s="257">
        <v>0</v>
      </c>
      <c r="N1149" s="257">
        <v>0</v>
      </c>
      <c r="O1149" s="257">
        <v>0</v>
      </c>
      <c r="P1149" s="257">
        <v>0</v>
      </c>
      <c r="Q1149" s="258">
        <v>0</v>
      </c>
    </row>
    <row r="1150" spans="1:17">
      <c r="A1150" s="256">
        <v>3</v>
      </c>
      <c r="B1150" s="256">
        <v>1120115</v>
      </c>
      <c r="C1150" s="256">
        <v>112011500</v>
      </c>
      <c r="D1150" s="256" t="s">
        <v>631</v>
      </c>
      <c r="E1150" s="256" t="s">
        <v>632</v>
      </c>
      <c r="F1150" s="256" t="s">
        <v>633</v>
      </c>
      <c r="G1150" s="256" t="s">
        <v>844</v>
      </c>
      <c r="H1150" s="256"/>
      <c r="I1150" s="257">
        <v>109400000</v>
      </c>
      <c r="J1150" s="257">
        <v>0</v>
      </c>
      <c r="K1150" s="257">
        <v>0</v>
      </c>
      <c r="L1150" s="257">
        <v>0</v>
      </c>
      <c r="M1150" s="257">
        <v>0</v>
      </c>
      <c r="N1150" s="257">
        <v>0</v>
      </c>
      <c r="O1150" s="257">
        <v>0</v>
      </c>
      <c r="P1150" s="257">
        <v>109400000</v>
      </c>
      <c r="Q1150" s="258">
        <v>0</v>
      </c>
    </row>
    <row r="1151" spans="1:17">
      <c r="A1151" s="256">
        <v>3</v>
      </c>
      <c r="B1151" s="256">
        <v>1120116</v>
      </c>
      <c r="C1151" s="256">
        <v>112011600</v>
      </c>
      <c r="D1151" s="256" t="s">
        <v>631</v>
      </c>
      <c r="E1151" s="256" t="s">
        <v>632</v>
      </c>
      <c r="F1151" s="256" t="s">
        <v>633</v>
      </c>
      <c r="G1151" s="256" t="s">
        <v>642</v>
      </c>
      <c r="H1151" s="256"/>
      <c r="I1151" s="257">
        <v>0</v>
      </c>
      <c r="J1151" s="257">
        <v>0</v>
      </c>
      <c r="K1151" s="257">
        <v>0</v>
      </c>
      <c r="L1151" s="257">
        <v>0</v>
      </c>
      <c r="M1151" s="257">
        <v>0</v>
      </c>
      <c r="N1151" s="257">
        <v>0</v>
      </c>
      <c r="O1151" s="257">
        <v>0</v>
      </c>
      <c r="P1151" s="257">
        <v>0</v>
      </c>
      <c r="Q1151" s="258">
        <v>0</v>
      </c>
    </row>
    <row r="1152" spans="1:17">
      <c r="A1152" s="256">
        <v>3</v>
      </c>
      <c r="B1152" s="256">
        <v>1120210</v>
      </c>
      <c r="C1152" s="256">
        <v>112021000</v>
      </c>
      <c r="D1152" s="256" t="s">
        <v>631</v>
      </c>
      <c r="E1152" s="256" t="s">
        <v>632</v>
      </c>
      <c r="F1152" s="256" t="s">
        <v>643</v>
      </c>
      <c r="G1152" s="256" t="s">
        <v>644</v>
      </c>
      <c r="H1152" s="256"/>
      <c r="I1152" s="257">
        <v>0</v>
      </c>
      <c r="J1152" s="257">
        <v>0</v>
      </c>
      <c r="K1152" s="257">
        <v>0</v>
      </c>
      <c r="L1152" s="257">
        <v>0</v>
      </c>
      <c r="M1152" s="257">
        <v>0</v>
      </c>
      <c r="N1152" s="257">
        <v>0</v>
      </c>
      <c r="O1152" s="257">
        <v>0</v>
      </c>
      <c r="P1152" s="257">
        <v>0</v>
      </c>
      <c r="Q1152" s="258">
        <v>0</v>
      </c>
    </row>
    <row r="1153" spans="1:17">
      <c r="A1153" s="256">
        <v>3</v>
      </c>
      <c r="B1153" s="256">
        <v>1120220</v>
      </c>
      <c r="C1153" s="256">
        <v>112022000</v>
      </c>
      <c r="D1153" s="256" t="s">
        <v>631</v>
      </c>
      <c r="E1153" s="256" t="s">
        <v>632</v>
      </c>
      <c r="F1153" s="256" t="s">
        <v>643</v>
      </c>
      <c r="G1153" s="256" t="s">
        <v>645</v>
      </c>
      <c r="H1153" s="256"/>
      <c r="I1153" s="257">
        <v>0</v>
      </c>
      <c r="J1153" s="257">
        <v>0</v>
      </c>
      <c r="K1153" s="257">
        <v>0</v>
      </c>
      <c r="L1153" s="257">
        <v>0</v>
      </c>
      <c r="M1153" s="257">
        <v>0</v>
      </c>
      <c r="N1153" s="257">
        <v>0</v>
      </c>
      <c r="O1153" s="257">
        <v>0</v>
      </c>
      <c r="P1153" s="257">
        <v>0</v>
      </c>
      <c r="Q1153" s="258">
        <v>0</v>
      </c>
    </row>
    <row r="1154" spans="1:17">
      <c r="A1154" s="256">
        <v>3</v>
      </c>
      <c r="B1154" s="256">
        <v>1120230</v>
      </c>
      <c r="C1154" s="256">
        <v>112023000</v>
      </c>
      <c r="D1154" s="256" t="s">
        <v>631</v>
      </c>
      <c r="E1154" s="256" t="s">
        <v>632</v>
      </c>
      <c r="F1154" s="256" t="s">
        <v>643</v>
      </c>
      <c r="G1154" s="256" t="s">
        <v>646</v>
      </c>
      <c r="H1154" s="256"/>
      <c r="I1154" s="257">
        <v>0</v>
      </c>
      <c r="J1154" s="257">
        <v>0</v>
      </c>
      <c r="K1154" s="257">
        <v>0</v>
      </c>
      <c r="L1154" s="257">
        <v>0</v>
      </c>
      <c r="M1154" s="257">
        <v>0</v>
      </c>
      <c r="N1154" s="257">
        <v>0</v>
      </c>
      <c r="O1154" s="257">
        <v>0</v>
      </c>
      <c r="P1154" s="257">
        <v>0</v>
      </c>
      <c r="Q1154" s="258">
        <v>0</v>
      </c>
    </row>
    <row r="1155" spans="1:17">
      <c r="A1155" s="256">
        <v>3</v>
      </c>
      <c r="B1155" s="256">
        <v>1140303</v>
      </c>
      <c r="C1155" s="256">
        <v>114030300</v>
      </c>
      <c r="D1155" s="256" t="s">
        <v>631</v>
      </c>
      <c r="E1155" s="256" t="s">
        <v>650</v>
      </c>
      <c r="F1155" s="256" t="s">
        <v>651</v>
      </c>
      <c r="G1155" s="256" t="s">
        <v>651</v>
      </c>
      <c r="H1155" s="256"/>
      <c r="I1155" s="257">
        <v>0</v>
      </c>
      <c r="J1155" s="257">
        <v>0</v>
      </c>
      <c r="K1155" s="257">
        <v>0</v>
      </c>
      <c r="L1155" s="257">
        <v>0</v>
      </c>
      <c r="M1155" s="257">
        <v>0</v>
      </c>
      <c r="N1155" s="257">
        <v>0</v>
      </c>
      <c r="O1155" s="257">
        <v>0</v>
      </c>
      <c r="P1155" s="257">
        <v>0</v>
      </c>
      <c r="Q1155" s="258">
        <v>0</v>
      </c>
    </row>
    <row r="1156" spans="1:17">
      <c r="A1156" s="256">
        <v>3</v>
      </c>
      <c r="B1156" s="256">
        <v>1160101</v>
      </c>
      <c r="C1156" s="256">
        <v>116010100</v>
      </c>
      <c r="D1156" s="256" t="s">
        <v>631</v>
      </c>
      <c r="E1156" s="256" t="s">
        <v>652</v>
      </c>
      <c r="F1156" s="256" t="s">
        <v>653</v>
      </c>
      <c r="G1156" s="256" t="s">
        <v>653</v>
      </c>
      <c r="H1156" s="256"/>
      <c r="I1156" s="257">
        <v>17796000</v>
      </c>
      <c r="J1156" s="257">
        <v>0</v>
      </c>
      <c r="K1156" s="257">
        <v>0</v>
      </c>
      <c r="L1156" s="257">
        <v>0</v>
      </c>
      <c r="M1156" s="257">
        <v>0</v>
      </c>
      <c r="N1156" s="257">
        <v>0</v>
      </c>
      <c r="O1156" s="257">
        <v>0</v>
      </c>
      <c r="P1156" s="257">
        <v>17796000</v>
      </c>
      <c r="Q1156" s="258">
        <v>0</v>
      </c>
    </row>
    <row r="1157" spans="1:17">
      <c r="A1157" s="256">
        <v>3</v>
      </c>
      <c r="B1157" s="256">
        <v>1160202</v>
      </c>
      <c r="C1157" s="256">
        <v>116020200</v>
      </c>
      <c r="D1157" s="256" t="s">
        <v>631</v>
      </c>
      <c r="E1157" s="256" t="s">
        <v>652</v>
      </c>
      <c r="F1157" s="256" t="s">
        <v>654</v>
      </c>
      <c r="G1157" s="256" t="s">
        <v>654</v>
      </c>
      <c r="H1157" s="256"/>
      <c r="I1157" s="257">
        <v>0</v>
      </c>
      <c r="J1157" s="257">
        <v>0</v>
      </c>
      <c r="K1157" s="257">
        <v>0</v>
      </c>
      <c r="L1157" s="257">
        <v>0</v>
      </c>
      <c r="M1157" s="257">
        <v>0</v>
      </c>
      <c r="N1157" s="257">
        <v>0</v>
      </c>
      <c r="O1157" s="257">
        <v>0</v>
      </c>
      <c r="P1157" s="257">
        <v>0</v>
      </c>
      <c r="Q1157" s="258">
        <v>0</v>
      </c>
    </row>
    <row r="1158" spans="1:17">
      <c r="A1158" s="256">
        <v>3</v>
      </c>
      <c r="B1158" s="256">
        <v>1180401</v>
      </c>
      <c r="C1158" s="256">
        <v>118040100</v>
      </c>
      <c r="D1158" s="256" t="s">
        <v>631</v>
      </c>
      <c r="E1158" s="256" t="s">
        <v>655</v>
      </c>
      <c r="F1158" s="256" t="s">
        <v>655</v>
      </c>
      <c r="G1158" s="256" t="s">
        <v>656</v>
      </c>
      <c r="H1158" s="256"/>
      <c r="I1158" s="257">
        <v>0</v>
      </c>
      <c r="J1158" s="257">
        <v>0</v>
      </c>
      <c r="K1158" s="257">
        <v>0</v>
      </c>
      <c r="L1158" s="257">
        <v>0</v>
      </c>
      <c r="M1158" s="257">
        <v>0</v>
      </c>
      <c r="N1158" s="257">
        <v>0</v>
      </c>
      <c r="O1158" s="257">
        <v>0</v>
      </c>
      <c r="P1158" s="257">
        <v>0</v>
      </c>
      <c r="Q1158" s="258">
        <v>0</v>
      </c>
    </row>
    <row r="1159" spans="1:17">
      <c r="A1159" s="256">
        <v>3</v>
      </c>
      <c r="B1159" s="256">
        <v>1180402</v>
      </c>
      <c r="C1159" s="256">
        <v>118040200</v>
      </c>
      <c r="D1159" s="256" t="s">
        <v>631</v>
      </c>
      <c r="E1159" s="256" t="s">
        <v>655</v>
      </c>
      <c r="F1159" s="256" t="s">
        <v>655</v>
      </c>
      <c r="G1159" s="256" t="s">
        <v>658</v>
      </c>
      <c r="H1159" s="256"/>
      <c r="I1159" s="257">
        <v>0</v>
      </c>
      <c r="J1159" s="257">
        <v>0</v>
      </c>
      <c r="K1159" s="257">
        <v>0</v>
      </c>
      <c r="L1159" s="257">
        <v>0</v>
      </c>
      <c r="M1159" s="257">
        <v>0</v>
      </c>
      <c r="N1159" s="257">
        <v>0</v>
      </c>
      <c r="O1159" s="257">
        <v>0</v>
      </c>
      <c r="P1159" s="257">
        <v>0</v>
      </c>
      <c r="Q1159" s="258">
        <v>0</v>
      </c>
    </row>
    <row r="1160" spans="1:17">
      <c r="A1160" s="256">
        <v>3</v>
      </c>
      <c r="B1160" s="256">
        <v>1180403</v>
      </c>
      <c r="C1160" s="256">
        <v>118040300</v>
      </c>
      <c r="D1160" s="256" t="s">
        <v>631</v>
      </c>
      <c r="E1160" s="256" t="s">
        <v>655</v>
      </c>
      <c r="F1160" s="256" t="s">
        <v>655</v>
      </c>
      <c r="G1160" s="256" t="s">
        <v>846</v>
      </c>
      <c r="H1160" s="256"/>
      <c r="I1160" s="257">
        <v>0</v>
      </c>
      <c r="J1160" s="257">
        <v>0</v>
      </c>
      <c r="K1160" s="257">
        <v>0</v>
      </c>
      <c r="L1160" s="257">
        <v>0</v>
      </c>
      <c r="M1160" s="257">
        <v>0</v>
      </c>
      <c r="N1160" s="257">
        <v>0</v>
      </c>
      <c r="O1160" s="257">
        <v>0</v>
      </c>
      <c r="P1160" s="257">
        <v>0</v>
      </c>
      <c r="Q1160" s="258">
        <v>0</v>
      </c>
    </row>
    <row r="1161" spans="1:17" customFormat="1">
      <c r="A1161" s="236">
        <v>3</v>
      </c>
      <c r="B1161" s="236">
        <v>1180404</v>
      </c>
      <c r="C1161" s="236">
        <v>118040400</v>
      </c>
      <c r="D1161" s="236" t="s">
        <v>631</v>
      </c>
      <c r="E1161" s="236" t="s">
        <v>655</v>
      </c>
      <c r="F1161" s="236" t="s">
        <v>655</v>
      </c>
      <c r="G1161" s="236" t="s">
        <v>878</v>
      </c>
      <c r="H1161" s="236"/>
      <c r="I1161" s="229">
        <v>0</v>
      </c>
      <c r="J1161" s="229">
        <v>0</v>
      </c>
      <c r="K1161" s="229">
        <v>0</v>
      </c>
      <c r="L1161" s="229">
        <v>0</v>
      </c>
      <c r="M1161" s="229">
        <v>0</v>
      </c>
      <c r="N1161" s="229">
        <v>0</v>
      </c>
      <c r="O1161" s="229">
        <v>0</v>
      </c>
      <c r="P1161" s="229">
        <v>0</v>
      </c>
      <c r="Q1161" s="279">
        <v>0</v>
      </c>
    </row>
    <row r="1162" spans="1:17">
      <c r="A1162" s="256">
        <v>3</v>
      </c>
      <c r="B1162" s="256">
        <v>1190401</v>
      </c>
      <c r="C1162" s="256">
        <v>119040100</v>
      </c>
      <c r="D1162" s="256" t="s">
        <v>631</v>
      </c>
      <c r="E1162" s="256" t="s">
        <v>715</v>
      </c>
      <c r="F1162" s="256" t="s">
        <v>715</v>
      </c>
      <c r="G1162" s="256" t="s">
        <v>855</v>
      </c>
      <c r="H1162" s="256"/>
      <c r="I1162" s="257">
        <v>0</v>
      </c>
      <c r="J1162" s="257">
        <v>0</v>
      </c>
      <c r="K1162" s="257">
        <v>0</v>
      </c>
      <c r="L1162" s="257">
        <v>0</v>
      </c>
      <c r="M1162" s="257">
        <v>0</v>
      </c>
      <c r="N1162" s="257">
        <v>0</v>
      </c>
      <c r="O1162" s="257">
        <v>0</v>
      </c>
      <c r="P1162" s="257">
        <v>0</v>
      </c>
      <c r="Q1162" s="258">
        <v>0</v>
      </c>
    </row>
    <row r="1163" spans="1:17">
      <c r="A1163" s="256">
        <v>3</v>
      </c>
      <c r="B1163" s="256">
        <v>1200630</v>
      </c>
      <c r="C1163" s="256">
        <v>120063000</v>
      </c>
      <c r="D1163" s="256" t="s">
        <v>631</v>
      </c>
      <c r="E1163" s="256" t="s">
        <v>659</v>
      </c>
      <c r="F1163" s="256" t="s">
        <v>659</v>
      </c>
      <c r="G1163" s="256" t="s">
        <v>659</v>
      </c>
      <c r="H1163" s="256"/>
      <c r="I1163" s="257">
        <v>0</v>
      </c>
      <c r="J1163" s="257">
        <v>0</v>
      </c>
      <c r="K1163" s="257">
        <v>0</v>
      </c>
      <c r="L1163" s="257">
        <v>0</v>
      </c>
      <c r="M1163" s="257">
        <v>0</v>
      </c>
      <c r="N1163" s="257">
        <v>0</v>
      </c>
      <c r="O1163" s="257">
        <v>0</v>
      </c>
      <c r="P1163" s="257">
        <v>0</v>
      </c>
      <c r="Q1163" s="258">
        <v>0</v>
      </c>
    </row>
    <row r="1164" spans="1:17">
      <c r="A1164" s="256">
        <v>3</v>
      </c>
      <c r="B1164" s="256">
        <v>1300831</v>
      </c>
      <c r="C1164" s="256">
        <v>130083100</v>
      </c>
      <c r="D1164" s="256" t="s">
        <v>631</v>
      </c>
      <c r="E1164" s="256" t="s">
        <v>660</v>
      </c>
      <c r="F1164" s="256" t="s">
        <v>660</v>
      </c>
      <c r="G1164" s="256" t="s">
        <v>660</v>
      </c>
      <c r="H1164" s="256"/>
      <c r="I1164" s="257">
        <v>0</v>
      </c>
      <c r="J1164" s="257">
        <v>0</v>
      </c>
      <c r="K1164" s="257">
        <v>0</v>
      </c>
      <c r="L1164" s="257">
        <v>0</v>
      </c>
      <c r="M1164" s="257">
        <v>0</v>
      </c>
      <c r="N1164" s="257">
        <v>0</v>
      </c>
      <c r="O1164" s="257">
        <v>0</v>
      </c>
      <c r="P1164" s="257">
        <v>0</v>
      </c>
      <c r="Q1164" s="258">
        <v>0</v>
      </c>
    </row>
    <row r="1165" spans="1:17">
      <c r="A1165" s="256">
        <v>3</v>
      </c>
      <c r="B1165" s="256">
        <v>1401010</v>
      </c>
      <c r="C1165" s="256">
        <v>140101000</v>
      </c>
      <c r="D1165" s="256" t="s">
        <v>631</v>
      </c>
      <c r="E1165" s="256" t="s">
        <v>661</v>
      </c>
      <c r="F1165" s="256" t="s">
        <v>661</v>
      </c>
      <c r="G1165" s="256" t="s">
        <v>661</v>
      </c>
      <c r="H1165" s="256"/>
      <c r="I1165" s="257">
        <v>0</v>
      </c>
      <c r="J1165" s="257">
        <v>0</v>
      </c>
      <c r="K1165" s="257">
        <v>0</v>
      </c>
      <c r="L1165" s="257">
        <v>0</v>
      </c>
      <c r="M1165" s="257">
        <v>0</v>
      </c>
      <c r="N1165" s="257">
        <v>0</v>
      </c>
      <c r="O1165" s="257">
        <v>0</v>
      </c>
      <c r="P1165" s="257">
        <v>0</v>
      </c>
      <c r="Q1165" s="258">
        <v>0</v>
      </c>
    </row>
    <row r="1166" spans="1:17">
      <c r="A1166" s="256">
        <v>3</v>
      </c>
      <c r="B1166" s="256">
        <v>1600101</v>
      </c>
      <c r="C1166" s="256">
        <v>160010100</v>
      </c>
      <c r="D1166" s="256" t="s">
        <v>631</v>
      </c>
      <c r="E1166" s="256" t="s">
        <v>662</v>
      </c>
      <c r="F1166" s="256" t="s">
        <v>662</v>
      </c>
      <c r="G1166" s="256" t="s">
        <v>662</v>
      </c>
      <c r="H1166" s="256"/>
      <c r="I1166" s="257">
        <v>0</v>
      </c>
      <c r="J1166" s="257">
        <v>0</v>
      </c>
      <c r="K1166" s="257">
        <v>0</v>
      </c>
      <c r="L1166" s="257">
        <v>0</v>
      </c>
      <c r="M1166" s="257">
        <v>0</v>
      </c>
      <c r="N1166" s="257">
        <v>0</v>
      </c>
      <c r="O1166" s="257">
        <v>0</v>
      </c>
      <c r="P1166" s="257">
        <v>0</v>
      </c>
      <c r="Q1166" s="258">
        <v>0</v>
      </c>
    </row>
    <row r="1167" spans="1:17">
      <c r="A1167" s="256">
        <v>3</v>
      </c>
      <c r="B1167" s="256">
        <v>1800707</v>
      </c>
      <c r="C1167" s="256">
        <v>180070700</v>
      </c>
      <c r="D1167" s="256" t="s">
        <v>631</v>
      </c>
      <c r="E1167" s="256" t="s">
        <v>663</v>
      </c>
      <c r="F1167" s="256" t="s">
        <v>847</v>
      </c>
      <c r="G1167" s="256" t="s">
        <v>847</v>
      </c>
      <c r="H1167" s="256"/>
      <c r="I1167" s="257">
        <v>14115880</v>
      </c>
      <c r="J1167" s="257">
        <v>0</v>
      </c>
      <c r="K1167" s="257">
        <v>0</v>
      </c>
      <c r="L1167" s="257">
        <v>0</v>
      </c>
      <c r="M1167" s="257">
        <v>0</v>
      </c>
      <c r="N1167" s="257">
        <v>0</v>
      </c>
      <c r="O1167" s="257">
        <v>0</v>
      </c>
      <c r="P1167" s="257">
        <v>14115880</v>
      </c>
      <c r="Q1167" s="258">
        <v>0</v>
      </c>
    </row>
    <row r="1168" spans="1:17">
      <c r="A1168" s="256">
        <v>3</v>
      </c>
      <c r="B1168" s="256">
        <v>1800808</v>
      </c>
      <c r="C1168" s="256">
        <v>180080800</v>
      </c>
      <c r="D1168" s="256" t="s">
        <v>631</v>
      </c>
      <c r="E1168" s="256" t="s">
        <v>663</v>
      </c>
      <c r="F1168" s="256" t="s">
        <v>665</v>
      </c>
      <c r="G1168" s="256" t="s">
        <v>665</v>
      </c>
      <c r="H1168" s="256"/>
      <c r="I1168" s="257">
        <v>0</v>
      </c>
      <c r="J1168" s="257">
        <v>0</v>
      </c>
      <c r="K1168" s="257">
        <v>0</v>
      </c>
      <c r="L1168" s="257">
        <v>0</v>
      </c>
      <c r="M1168" s="257">
        <v>0</v>
      </c>
      <c r="N1168" s="257">
        <v>0</v>
      </c>
      <c r="O1168" s="257">
        <v>0</v>
      </c>
      <c r="P1168" s="257">
        <v>0</v>
      </c>
      <c r="Q1168" s="258">
        <v>0</v>
      </c>
    </row>
    <row r="1169" spans="1:17">
      <c r="A1169" s="256">
        <v>3</v>
      </c>
      <c r="B1169" s="256">
        <v>1820101</v>
      </c>
      <c r="C1169" s="256">
        <v>182010100</v>
      </c>
      <c r="D1169" s="256" t="s">
        <v>631</v>
      </c>
      <c r="E1169" s="256" t="s">
        <v>666</v>
      </c>
      <c r="F1169" s="256" t="s">
        <v>667</v>
      </c>
      <c r="G1169" s="256" t="s">
        <v>667</v>
      </c>
      <c r="H1169" s="256"/>
      <c r="I1169" s="257">
        <v>0</v>
      </c>
      <c r="J1169" s="257">
        <v>0</v>
      </c>
      <c r="K1169" s="257">
        <v>0</v>
      </c>
      <c r="L1169" s="257">
        <v>0</v>
      </c>
      <c r="M1169" s="257">
        <v>0</v>
      </c>
      <c r="N1169" s="257">
        <v>0</v>
      </c>
      <c r="O1169" s="257">
        <v>0</v>
      </c>
      <c r="P1169" s="257">
        <v>0</v>
      </c>
      <c r="Q1169" s="258">
        <v>0</v>
      </c>
    </row>
    <row r="1170" spans="1:17">
      <c r="A1170" s="256">
        <v>3</v>
      </c>
      <c r="B1170" s="256">
        <v>1840102</v>
      </c>
      <c r="C1170" s="256">
        <v>184010200</v>
      </c>
      <c r="D1170" s="256" t="s">
        <v>631</v>
      </c>
      <c r="E1170" s="256" t="s">
        <v>668</v>
      </c>
      <c r="F1170" s="256" t="s">
        <v>669</v>
      </c>
      <c r="G1170" s="256" t="s">
        <v>670</v>
      </c>
      <c r="H1170" s="256"/>
      <c r="I1170" s="257">
        <v>0</v>
      </c>
      <c r="J1170" s="257">
        <v>0</v>
      </c>
      <c r="K1170" s="257">
        <v>0</v>
      </c>
      <c r="L1170" s="257">
        <v>0</v>
      </c>
      <c r="M1170" s="257">
        <v>0</v>
      </c>
      <c r="N1170" s="257">
        <v>0</v>
      </c>
      <c r="O1170" s="257">
        <v>0</v>
      </c>
      <c r="P1170" s="257">
        <v>0</v>
      </c>
      <c r="Q1170" s="258">
        <v>0</v>
      </c>
    </row>
    <row r="1171" spans="1:17">
      <c r="A1171" s="256">
        <v>3</v>
      </c>
      <c r="B1171" s="256">
        <v>1840304</v>
      </c>
      <c r="C1171" s="256">
        <v>184030400</v>
      </c>
      <c r="D1171" s="256" t="s">
        <v>631</v>
      </c>
      <c r="E1171" s="256" t="s">
        <v>668</v>
      </c>
      <c r="F1171" s="256" t="s">
        <v>651</v>
      </c>
      <c r="G1171" s="256" t="s">
        <v>671</v>
      </c>
      <c r="H1171" s="256"/>
      <c r="I1171" s="257">
        <v>0</v>
      </c>
      <c r="J1171" s="257">
        <v>0</v>
      </c>
      <c r="K1171" s="257">
        <v>0</v>
      </c>
      <c r="L1171" s="257">
        <v>0</v>
      </c>
      <c r="M1171" s="257">
        <v>0</v>
      </c>
      <c r="N1171" s="257">
        <v>0</v>
      </c>
      <c r="O1171" s="257">
        <v>0</v>
      </c>
      <c r="P1171" s="257">
        <v>0</v>
      </c>
      <c r="Q1171" s="258">
        <v>0</v>
      </c>
    </row>
    <row r="1172" spans="1:17">
      <c r="A1172" s="256">
        <v>3</v>
      </c>
      <c r="B1172" s="256">
        <v>1840305</v>
      </c>
      <c r="C1172" s="256">
        <v>184030500</v>
      </c>
      <c r="D1172" s="256" t="s">
        <v>631</v>
      </c>
      <c r="E1172" s="256" t="s">
        <v>668</v>
      </c>
      <c r="F1172" s="256" t="s">
        <v>651</v>
      </c>
      <c r="G1172" s="256" t="s">
        <v>672</v>
      </c>
      <c r="H1172" s="256"/>
      <c r="I1172" s="257">
        <v>0</v>
      </c>
      <c r="J1172" s="257">
        <v>0</v>
      </c>
      <c r="K1172" s="257">
        <v>0</v>
      </c>
      <c r="L1172" s="257">
        <v>0</v>
      </c>
      <c r="M1172" s="257">
        <v>0</v>
      </c>
      <c r="N1172" s="257">
        <v>0</v>
      </c>
      <c r="O1172" s="257">
        <v>0</v>
      </c>
      <c r="P1172" s="257">
        <v>0</v>
      </c>
      <c r="Q1172" s="258">
        <v>0</v>
      </c>
    </row>
    <row r="1173" spans="1:17">
      <c r="A1173" s="256">
        <v>3</v>
      </c>
      <c r="B1173" s="256">
        <v>1840306</v>
      </c>
      <c r="C1173" s="256">
        <v>184030600</v>
      </c>
      <c r="D1173" s="256" t="s">
        <v>631</v>
      </c>
      <c r="E1173" s="256" t="s">
        <v>668</v>
      </c>
      <c r="F1173" s="256" t="s">
        <v>651</v>
      </c>
      <c r="G1173" s="256" t="s">
        <v>673</v>
      </c>
      <c r="H1173" s="256"/>
      <c r="I1173" s="257">
        <v>0</v>
      </c>
      <c r="J1173" s="257">
        <v>0</v>
      </c>
      <c r="K1173" s="257">
        <v>0</v>
      </c>
      <c r="L1173" s="257">
        <v>0</v>
      </c>
      <c r="M1173" s="257">
        <v>0</v>
      </c>
      <c r="N1173" s="257">
        <v>0</v>
      </c>
      <c r="O1173" s="257">
        <v>0</v>
      </c>
      <c r="P1173" s="257">
        <v>0</v>
      </c>
      <c r="Q1173" s="258">
        <v>0</v>
      </c>
    </row>
    <row r="1174" spans="1:17">
      <c r="A1174" s="256">
        <v>3</v>
      </c>
      <c r="B1174" s="256">
        <v>1840512</v>
      </c>
      <c r="C1174" s="256">
        <v>184051200</v>
      </c>
      <c r="D1174" s="256" t="s">
        <v>631</v>
      </c>
      <c r="E1174" s="256" t="s">
        <v>668</v>
      </c>
      <c r="F1174" s="256" t="s">
        <v>674</v>
      </c>
      <c r="G1174" s="256" t="s">
        <v>856</v>
      </c>
      <c r="H1174" s="256"/>
      <c r="I1174" s="257">
        <v>738000</v>
      </c>
      <c r="J1174" s="257">
        <v>0</v>
      </c>
      <c r="K1174" s="257">
        <v>0</v>
      </c>
      <c r="L1174" s="257">
        <v>0</v>
      </c>
      <c r="M1174" s="257">
        <v>0</v>
      </c>
      <c r="N1174" s="257">
        <v>0</v>
      </c>
      <c r="O1174" s="257">
        <v>0</v>
      </c>
      <c r="P1174" s="257">
        <v>738000</v>
      </c>
      <c r="Q1174" s="258">
        <v>0</v>
      </c>
    </row>
    <row r="1175" spans="1:17">
      <c r="A1175" s="256">
        <v>3</v>
      </c>
      <c r="B1175" s="256">
        <v>1840513</v>
      </c>
      <c r="C1175" s="256">
        <v>184051300</v>
      </c>
      <c r="D1175" s="256" t="s">
        <v>631</v>
      </c>
      <c r="E1175" s="256" t="s">
        <v>668</v>
      </c>
      <c r="F1175" s="256" t="s">
        <v>674</v>
      </c>
      <c r="G1175" s="256" t="s">
        <v>857</v>
      </c>
      <c r="H1175" s="256"/>
      <c r="I1175" s="257">
        <v>350000</v>
      </c>
      <c r="J1175" s="257">
        <v>0</v>
      </c>
      <c r="K1175" s="257">
        <v>0</v>
      </c>
      <c r="L1175" s="257">
        <v>0</v>
      </c>
      <c r="M1175" s="257">
        <v>0</v>
      </c>
      <c r="N1175" s="257">
        <v>0</v>
      </c>
      <c r="O1175" s="257">
        <v>0</v>
      </c>
      <c r="P1175" s="257">
        <v>350000</v>
      </c>
      <c r="Q1175" s="258">
        <v>0</v>
      </c>
    </row>
    <row r="1176" spans="1:17">
      <c r="A1176" s="256">
        <v>3</v>
      </c>
      <c r="B1176" s="256">
        <v>1840514</v>
      </c>
      <c r="C1176" s="256">
        <v>184051400</v>
      </c>
      <c r="D1176" s="256" t="s">
        <v>631</v>
      </c>
      <c r="E1176" s="256" t="s">
        <v>668</v>
      </c>
      <c r="F1176" s="256" t="s">
        <v>674</v>
      </c>
      <c r="G1176" s="256" t="s">
        <v>858</v>
      </c>
      <c r="H1176" s="256"/>
      <c r="I1176" s="257">
        <v>0</v>
      </c>
      <c r="J1176" s="257">
        <v>0</v>
      </c>
      <c r="K1176" s="257">
        <v>0</v>
      </c>
      <c r="L1176" s="257">
        <v>0</v>
      </c>
      <c r="M1176" s="257">
        <v>0</v>
      </c>
      <c r="N1176" s="257">
        <v>0</v>
      </c>
      <c r="O1176" s="257">
        <v>0</v>
      </c>
      <c r="P1176" s="257">
        <v>0</v>
      </c>
      <c r="Q1176" s="258">
        <v>0</v>
      </c>
    </row>
    <row r="1177" spans="1:17">
      <c r="A1177" s="256">
        <v>3</v>
      </c>
      <c r="B1177" s="256">
        <v>1860303</v>
      </c>
      <c r="C1177" s="256">
        <v>186030300</v>
      </c>
      <c r="D1177" s="256" t="s">
        <v>631</v>
      </c>
      <c r="E1177" s="256" t="s">
        <v>678</v>
      </c>
      <c r="F1177" s="256" t="s">
        <v>679</v>
      </c>
      <c r="G1177" s="256" t="s">
        <v>679</v>
      </c>
      <c r="H1177" s="256"/>
      <c r="I1177" s="257">
        <v>0</v>
      </c>
      <c r="J1177" s="257">
        <v>0</v>
      </c>
      <c r="K1177" s="257">
        <v>0</v>
      </c>
      <c r="L1177" s="257">
        <v>0</v>
      </c>
      <c r="M1177" s="257">
        <v>0</v>
      </c>
      <c r="N1177" s="257">
        <v>0</v>
      </c>
      <c r="O1177" s="257">
        <v>0</v>
      </c>
      <c r="P1177" s="257">
        <v>0</v>
      </c>
      <c r="Q1177" s="258">
        <v>0</v>
      </c>
    </row>
    <row r="1178" spans="1:17">
      <c r="A1178" s="256">
        <v>3</v>
      </c>
      <c r="B1178" s="256">
        <v>1880101</v>
      </c>
      <c r="C1178" s="256">
        <v>188010100</v>
      </c>
      <c r="D1178" s="256" t="s">
        <v>631</v>
      </c>
      <c r="E1178" s="256" t="s">
        <v>680</v>
      </c>
      <c r="F1178" s="256" t="s">
        <v>681</v>
      </c>
      <c r="G1178" s="256" t="s">
        <v>681</v>
      </c>
      <c r="H1178" s="256"/>
      <c r="I1178" s="257">
        <v>0</v>
      </c>
      <c r="J1178" s="257">
        <v>0</v>
      </c>
      <c r="K1178" s="257">
        <v>0</v>
      </c>
      <c r="L1178" s="257">
        <v>0</v>
      </c>
      <c r="M1178" s="257">
        <v>0</v>
      </c>
      <c r="N1178" s="257">
        <v>0</v>
      </c>
      <c r="O1178" s="257">
        <v>0</v>
      </c>
      <c r="P1178" s="257">
        <v>0</v>
      </c>
      <c r="Q1178" s="258">
        <v>0</v>
      </c>
    </row>
    <row r="1179" spans="1:17">
      <c r="A1179" s="256">
        <v>3</v>
      </c>
      <c r="B1179" s="256">
        <v>1880202</v>
      </c>
      <c r="C1179" s="256">
        <v>188020200</v>
      </c>
      <c r="D1179" s="256" t="s">
        <v>631</v>
      </c>
      <c r="E1179" s="256" t="s">
        <v>680</v>
      </c>
      <c r="F1179" s="256" t="s">
        <v>682</v>
      </c>
      <c r="G1179" s="256" t="s">
        <v>682</v>
      </c>
      <c r="H1179" s="256"/>
      <c r="I1179" s="257">
        <v>0</v>
      </c>
      <c r="J1179" s="257">
        <v>0</v>
      </c>
      <c r="K1179" s="257">
        <v>0</v>
      </c>
      <c r="L1179" s="257">
        <v>0</v>
      </c>
      <c r="M1179" s="257">
        <v>0</v>
      </c>
      <c r="N1179" s="257">
        <v>0</v>
      </c>
      <c r="O1179" s="257">
        <v>0</v>
      </c>
      <c r="P1179" s="257">
        <v>0</v>
      </c>
      <c r="Q1179" s="258">
        <v>0</v>
      </c>
    </row>
    <row r="1180" spans="1:17">
      <c r="A1180" s="256">
        <v>3</v>
      </c>
      <c r="B1180" s="256">
        <v>1900101</v>
      </c>
      <c r="C1180" s="256">
        <v>190010100</v>
      </c>
      <c r="D1180" s="256" t="s">
        <v>631</v>
      </c>
      <c r="E1180" s="256" t="s">
        <v>683</v>
      </c>
      <c r="F1180" s="256" t="s">
        <v>684</v>
      </c>
      <c r="G1180" s="256" t="s">
        <v>684</v>
      </c>
      <c r="H1180" s="256"/>
      <c r="I1180" s="257">
        <v>0</v>
      </c>
      <c r="J1180" s="257">
        <v>0</v>
      </c>
      <c r="K1180" s="257">
        <v>0</v>
      </c>
      <c r="L1180" s="257">
        <v>0</v>
      </c>
      <c r="M1180" s="257">
        <v>0</v>
      </c>
      <c r="N1180" s="257">
        <v>0</v>
      </c>
      <c r="O1180" s="257">
        <v>0</v>
      </c>
      <c r="P1180" s="257">
        <v>0</v>
      </c>
      <c r="Q1180" s="258">
        <v>0</v>
      </c>
    </row>
    <row r="1181" spans="1:17">
      <c r="A1181" s="256">
        <v>3</v>
      </c>
      <c r="B1181" s="256">
        <v>1900202</v>
      </c>
      <c r="C1181" s="256">
        <v>190020200</v>
      </c>
      <c r="D1181" s="256" t="s">
        <v>631</v>
      </c>
      <c r="E1181" s="256" t="s">
        <v>683</v>
      </c>
      <c r="F1181" s="256" t="s">
        <v>685</v>
      </c>
      <c r="G1181" s="256" t="s">
        <v>685</v>
      </c>
      <c r="H1181" s="256"/>
      <c r="I1181" s="257">
        <v>0</v>
      </c>
      <c r="J1181" s="257">
        <v>0</v>
      </c>
      <c r="K1181" s="257">
        <v>0</v>
      </c>
      <c r="L1181" s="257">
        <v>0</v>
      </c>
      <c r="M1181" s="257">
        <v>0</v>
      </c>
      <c r="N1181" s="257">
        <v>0</v>
      </c>
      <c r="O1181" s="257">
        <v>0</v>
      </c>
      <c r="P1181" s="257">
        <v>0</v>
      </c>
      <c r="Q1181" s="258">
        <v>0</v>
      </c>
    </row>
    <row r="1182" spans="1:17">
      <c r="A1182" s="256">
        <v>3</v>
      </c>
      <c r="B1182" s="256">
        <v>1900303</v>
      </c>
      <c r="C1182" s="256">
        <v>190030300</v>
      </c>
      <c r="D1182" s="256" t="s">
        <v>631</v>
      </c>
      <c r="E1182" s="256" t="s">
        <v>683</v>
      </c>
      <c r="F1182" s="256" t="s">
        <v>683</v>
      </c>
      <c r="G1182" s="256" t="s">
        <v>683</v>
      </c>
      <c r="H1182" s="256"/>
      <c r="I1182" s="257">
        <v>0</v>
      </c>
      <c r="J1182" s="257">
        <v>0</v>
      </c>
      <c r="K1182" s="257">
        <v>0</v>
      </c>
      <c r="L1182" s="257">
        <v>0</v>
      </c>
      <c r="M1182" s="257">
        <v>0</v>
      </c>
      <c r="N1182" s="257">
        <v>0</v>
      </c>
      <c r="O1182" s="257">
        <v>0</v>
      </c>
      <c r="P1182" s="257">
        <v>0</v>
      </c>
      <c r="Q1182" s="258">
        <v>0</v>
      </c>
    </row>
    <row r="1183" spans="1:17">
      <c r="A1183" s="256">
        <v>3</v>
      </c>
      <c r="B1183" s="256">
        <v>4810202</v>
      </c>
      <c r="C1183" s="256">
        <v>481020200</v>
      </c>
      <c r="D1183" s="256" t="s">
        <v>686</v>
      </c>
      <c r="E1183" s="256" t="s">
        <v>687</v>
      </c>
      <c r="F1183" s="256" t="s">
        <v>688</v>
      </c>
      <c r="G1183" s="256" t="s">
        <v>688</v>
      </c>
      <c r="H1183" s="256"/>
      <c r="I1183" s="257">
        <v>110725924</v>
      </c>
      <c r="J1183" s="257">
        <v>0</v>
      </c>
      <c r="K1183" s="257">
        <v>0</v>
      </c>
      <c r="L1183" s="257">
        <v>0</v>
      </c>
      <c r="M1183" s="257">
        <v>0</v>
      </c>
      <c r="N1183" s="257">
        <v>110725924</v>
      </c>
      <c r="O1183" s="257">
        <v>0</v>
      </c>
      <c r="P1183" s="257">
        <v>0</v>
      </c>
      <c r="Q1183" s="258">
        <v>0</v>
      </c>
    </row>
    <row r="1184" spans="1:17">
      <c r="A1184" s="256">
        <v>3</v>
      </c>
      <c r="B1184" s="256">
        <v>4810404</v>
      </c>
      <c r="C1184" s="256">
        <v>481040411</v>
      </c>
      <c r="D1184" s="256" t="s">
        <v>686</v>
      </c>
      <c r="E1184" s="256" t="s">
        <v>687</v>
      </c>
      <c r="F1184" s="256" t="s">
        <v>689</v>
      </c>
      <c r="G1184" s="256" t="s">
        <v>690</v>
      </c>
      <c r="H1184" s="256" t="s">
        <v>691</v>
      </c>
      <c r="I1184" s="257">
        <v>499344000</v>
      </c>
      <c r="J1184" s="257">
        <v>0</v>
      </c>
      <c r="K1184" s="257">
        <v>0</v>
      </c>
      <c r="L1184" s="257">
        <v>0</v>
      </c>
      <c r="M1184" s="257">
        <v>0</v>
      </c>
      <c r="N1184" s="257">
        <v>0</v>
      </c>
      <c r="O1184" s="257">
        <v>0</v>
      </c>
      <c r="P1184" s="257">
        <v>499344000</v>
      </c>
      <c r="Q1184" s="258">
        <v>0</v>
      </c>
    </row>
    <row r="1185" spans="1:17">
      <c r="A1185" s="256">
        <v>3</v>
      </c>
      <c r="B1185" s="256">
        <v>4810404</v>
      </c>
      <c r="C1185" s="256">
        <v>481040412</v>
      </c>
      <c r="D1185" s="256" t="s">
        <v>686</v>
      </c>
      <c r="E1185" s="256" t="s">
        <v>687</v>
      </c>
      <c r="F1185" s="256" t="s">
        <v>689</v>
      </c>
      <c r="G1185" s="256" t="s">
        <v>690</v>
      </c>
      <c r="H1185" s="256" t="s">
        <v>692</v>
      </c>
      <c r="I1185" s="257">
        <v>0</v>
      </c>
      <c r="J1185" s="257">
        <v>0</v>
      </c>
      <c r="K1185" s="257">
        <v>0</v>
      </c>
      <c r="L1185" s="257">
        <v>0</v>
      </c>
      <c r="M1185" s="257">
        <v>0</v>
      </c>
      <c r="N1185" s="257">
        <v>0</v>
      </c>
      <c r="O1185" s="257">
        <v>0</v>
      </c>
      <c r="P1185" s="257">
        <v>0</v>
      </c>
      <c r="Q1185" s="258">
        <v>0</v>
      </c>
    </row>
    <row r="1186" spans="1:17">
      <c r="A1186" s="256">
        <v>3</v>
      </c>
      <c r="B1186" s="256">
        <v>4810404</v>
      </c>
      <c r="C1186" s="256">
        <v>481040413</v>
      </c>
      <c r="D1186" s="256" t="s">
        <v>686</v>
      </c>
      <c r="E1186" s="256" t="s">
        <v>687</v>
      </c>
      <c r="F1186" s="256" t="s">
        <v>689</v>
      </c>
      <c r="G1186" s="256" t="s">
        <v>690</v>
      </c>
      <c r="H1186" s="256" t="s">
        <v>693</v>
      </c>
      <c r="I1186" s="257">
        <v>114000</v>
      </c>
      <c r="J1186" s="257">
        <v>0</v>
      </c>
      <c r="K1186" s="257">
        <v>0</v>
      </c>
      <c r="L1186" s="257">
        <v>0</v>
      </c>
      <c r="M1186" s="257">
        <v>0</v>
      </c>
      <c r="N1186" s="257">
        <v>0</v>
      </c>
      <c r="O1186" s="257">
        <v>0</v>
      </c>
      <c r="P1186" s="257">
        <v>114000</v>
      </c>
      <c r="Q1186" s="258">
        <v>0</v>
      </c>
    </row>
    <row r="1187" spans="1:17">
      <c r="A1187" s="256">
        <v>3</v>
      </c>
      <c r="B1187" s="256">
        <v>4810404</v>
      </c>
      <c r="C1187" s="256">
        <v>481040415</v>
      </c>
      <c r="D1187" s="256" t="s">
        <v>686</v>
      </c>
      <c r="E1187" s="256" t="s">
        <v>687</v>
      </c>
      <c r="F1187" s="256" t="s">
        <v>689</v>
      </c>
      <c r="G1187" s="256" t="s">
        <v>690</v>
      </c>
      <c r="H1187" s="256" t="s">
        <v>694</v>
      </c>
      <c r="I1187" s="257">
        <v>0</v>
      </c>
      <c r="J1187" s="257">
        <v>0</v>
      </c>
      <c r="K1187" s="257">
        <v>0</v>
      </c>
      <c r="L1187" s="257">
        <v>0</v>
      </c>
      <c r="M1187" s="257">
        <v>0</v>
      </c>
      <c r="N1187" s="257">
        <v>0</v>
      </c>
      <c r="O1187" s="257">
        <v>0</v>
      </c>
      <c r="P1187" s="257">
        <v>0</v>
      </c>
      <c r="Q1187" s="258">
        <v>0</v>
      </c>
    </row>
    <row r="1188" spans="1:17">
      <c r="A1188" s="256">
        <v>3</v>
      </c>
      <c r="B1188" s="256">
        <v>4810406</v>
      </c>
      <c r="C1188" s="256">
        <v>481040600</v>
      </c>
      <c r="D1188" s="256" t="s">
        <v>686</v>
      </c>
      <c r="E1188" s="256" t="s">
        <v>687</v>
      </c>
      <c r="F1188" s="256" t="s">
        <v>689</v>
      </c>
      <c r="G1188" s="256" t="s">
        <v>695</v>
      </c>
      <c r="H1188" s="256"/>
      <c r="I1188" s="257">
        <v>0</v>
      </c>
      <c r="J1188" s="257">
        <v>0</v>
      </c>
      <c r="K1188" s="257">
        <v>0</v>
      </c>
      <c r="L1188" s="257">
        <v>0</v>
      </c>
      <c r="M1188" s="257">
        <v>0</v>
      </c>
      <c r="N1188" s="257">
        <v>0</v>
      </c>
      <c r="O1188" s="257">
        <v>0</v>
      </c>
      <c r="P1188" s="257">
        <v>0</v>
      </c>
      <c r="Q1188" s="258">
        <v>0</v>
      </c>
    </row>
    <row r="1189" spans="1:17">
      <c r="A1189" s="256">
        <v>3</v>
      </c>
      <c r="B1189" s="256">
        <v>4810408</v>
      </c>
      <c r="C1189" s="256">
        <v>481040800</v>
      </c>
      <c r="D1189" s="256" t="s">
        <v>686</v>
      </c>
      <c r="E1189" s="256" t="s">
        <v>687</v>
      </c>
      <c r="F1189" s="256" t="s">
        <v>689</v>
      </c>
      <c r="G1189" s="256" t="s">
        <v>696</v>
      </c>
      <c r="H1189" s="256"/>
      <c r="I1189" s="257">
        <v>0</v>
      </c>
      <c r="J1189" s="257">
        <v>0</v>
      </c>
      <c r="K1189" s="257">
        <v>0</v>
      </c>
      <c r="L1189" s="257">
        <v>0</v>
      </c>
      <c r="M1189" s="257">
        <v>0</v>
      </c>
      <c r="N1189" s="257">
        <v>0</v>
      </c>
      <c r="O1189" s="257">
        <v>0</v>
      </c>
      <c r="P1189" s="257">
        <v>0</v>
      </c>
      <c r="Q1189" s="258">
        <v>0</v>
      </c>
    </row>
    <row r="1190" spans="1:17">
      <c r="A1190" s="256">
        <v>3</v>
      </c>
      <c r="B1190" s="256">
        <v>4810409</v>
      </c>
      <c r="C1190" s="256">
        <v>481040900</v>
      </c>
      <c r="D1190" s="256" t="s">
        <v>686</v>
      </c>
      <c r="E1190" s="256" t="s">
        <v>687</v>
      </c>
      <c r="F1190" s="256" t="s">
        <v>689</v>
      </c>
      <c r="G1190" s="256" t="s">
        <v>697</v>
      </c>
      <c r="H1190" s="256"/>
      <c r="I1190" s="257">
        <v>0</v>
      </c>
      <c r="J1190" s="257">
        <v>0</v>
      </c>
      <c r="K1190" s="257">
        <v>0</v>
      </c>
      <c r="L1190" s="257">
        <v>0</v>
      </c>
      <c r="M1190" s="257">
        <v>0</v>
      </c>
      <c r="N1190" s="257">
        <v>0</v>
      </c>
      <c r="O1190" s="257">
        <v>0</v>
      </c>
      <c r="P1190" s="257">
        <v>0</v>
      </c>
      <c r="Q1190" s="258">
        <v>0</v>
      </c>
    </row>
    <row r="1191" spans="1:17">
      <c r="A1191" s="256">
        <v>3</v>
      </c>
      <c r="B1191" s="256">
        <v>4811214</v>
      </c>
      <c r="C1191" s="256">
        <v>481121400</v>
      </c>
      <c r="D1191" s="256" t="s">
        <v>686</v>
      </c>
      <c r="E1191" s="256" t="s">
        <v>687</v>
      </c>
      <c r="F1191" s="256" t="s">
        <v>699</v>
      </c>
      <c r="G1191" s="256" t="s">
        <v>699</v>
      </c>
      <c r="H1191" s="256"/>
      <c r="I1191" s="257">
        <v>0</v>
      </c>
      <c r="J1191" s="257">
        <v>0</v>
      </c>
      <c r="K1191" s="257">
        <v>0</v>
      </c>
      <c r="L1191" s="257">
        <v>0</v>
      </c>
      <c r="M1191" s="257">
        <v>0</v>
      </c>
      <c r="N1191" s="257">
        <v>0</v>
      </c>
      <c r="O1191" s="257">
        <v>0</v>
      </c>
      <c r="P1191" s="257">
        <v>0</v>
      </c>
      <c r="Q1191" s="258">
        <v>0</v>
      </c>
    </row>
    <row r="1192" spans="1:17">
      <c r="A1192" s="256">
        <v>3</v>
      </c>
      <c r="B1192" s="256">
        <v>4811417</v>
      </c>
      <c r="C1192" s="256">
        <v>481141700</v>
      </c>
      <c r="D1192" s="256" t="s">
        <v>686</v>
      </c>
      <c r="E1192" s="256" t="s">
        <v>687</v>
      </c>
      <c r="F1192" s="256" t="s">
        <v>700</v>
      </c>
      <c r="G1192" s="256" t="s">
        <v>703</v>
      </c>
      <c r="H1192" s="256"/>
      <c r="I1192" s="257">
        <v>0</v>
      </c>
      <c r="J1192" s="257">
        <v>0</v>
      </c>
      <c r="K1192" s="257">
        <v>0</v>
      </c>
      <c r="L1192" s="257">
        <v>0</v>
      </c>
      <c r="M1192" s="257">
        <v>0</v>
      </c>
      <c r="N1192" s="257">
        <v>0</v>
      </c>
      <c r="O1192" s="257">
        <v>0</v>
      </c>
      <c r="P1192" s="257">
        <v>0</v>
      </c>
      <c r="Q1192" s="258">
        <v>0</v>
      </c>
    </row>
    <row r="1193" spans="1:17">
      <c r="A1193" s="256">
        <v>3</v>
      </c>
      <c r="B1193" s="256">
        <v>4811418</v>
      </c>
      <c r="C1193" s="256">
        <v>481141800</v>
      </c>
      <c r="D1193" s="256" t="s">
        <v>686</v>
      </c>
      <c r="E1193" s="256" t="s">
        <v>687</v>
      </c>
      <c r="F1193" s="256" t="s">
        <v>700</v>
      </c>
      <c r="G1193" s="256" t="s">
        <v>64</v>
      </c>
      <c r="H1193" s="256"/>
      <c r="I1193" s="257">
        <v>0</v>
      </c>
      <c r="J1193" s="257">
        <v>0</v>
      </c>
      <c r="K1193" s="257">
        <v>0</v>
      </c>
      <c r="L1193" s="257">
        <v>0</v>
      </c>
      <c r="M1193" s="257">
        <v>0</v>
      </c>
      <c r="N1193" s="257">
        <v>0</v>
      </c>
      <c r="O1193" s="257">
        <v>0</v>
      </c>
      <c r="P1193" s="257">
        <v>0</v>
      </c>
      <c r="Q1193" s="258">
        <v>0</v>
      </c>
    </row>
    <row r="1194" spans="1:17">
      <c r="A1194" s="256">
        <v>3</v>
      </c>
      <c r="B1194" s="256">
        <v>4811419</v>
      </c>
      <c r="C1194" s="256">
        <v>481141915</v>
      </c>
      <c r="D1194" s="256" t="s">
        <v>686</v>
      </c>
      <c r="E1194" s="256" t="s">
        <v>687</v>
      </c>
      <c r="F1194" s="256" t="s">
        <v>700</v>
      </c>
      <c r="G1194" s="256" t="s">
        <v>85</v>
      </c>
      <c r="H1194" s="256" t="s">
        <v>704</v>
      </c>
      <c r="I1194" s="257">
        <v>0</v>
      </c>
      <c r="J1194" s="257">
        <v>0</v>
      </c>
      <c r="K1194" s="257">
        <v>0</v>
      </c>
      <c r="L1194" s="257">
        <v>0</v>
      </c>
      <c r="M1194" s="257">
        <v>0</v>
      </c>
      <c r="N1194" s="257">
        <v>0</v>
      </c>
      <c r="O1194" s="257">
        <v>0</v>
      </c>
      <c r="P1194" s="257">
        <v>0</v>
      </c>
      <c r="Q1194" s="258">
        <v>0</v>
      </c>
    </row>
    <row r="1195" spans="1:17">
      <c r="A1195" s="256">
        <v>3</v>
      </c>
      <c r="B1195" s="256">
        <v>4811419</v>
      </c>
      <c r="C1195" s="256">
        <v>481141916</v>
      </c>
      <c r="D1195" s="256" t="s">
        <v>686</v>
      </c>
      <c r="E1195" s="256" t="s">
        <v>687</v>
      </c>
      <c r="F1195" s="256" t="s">
        <v>700</v>
      </c>
      <c r="G1195" s="256" t="s">
        <v>85</v>
      </c>
      <c r="H1195" s="256" t="s">
        <v>705</v>
      </c>
      <c r="I1195" s="257">
        <v>0</v>
      </c>
      <c r="J1195" s="257">
        <v>0</v>
      </c>
      <c r="K1195" s="257">
        <v>0</v>
      </c>
      <c r="L1195" s="257">
        <v>0</v>
      </c>
      <c r="M1195" s="257">
        <v>0</v>
      </c>
      <c r="N1195" s="257">
        <v>0</v>
      </c>
      <c r="O1195" s="257">
        <v>0</v>
      </c>
      <c r="P1195" s="257">
        <v>0</v>
      </c>
      <c r="Q1195" s="258">
        <v>0</v>
      </c>
    </row>
    <row r="1196" spans="1:17">
      <c r="A1196" s="256">
        <v>3</v>
      </c>
      <c r="B1196" s="256">
        <v>4811419</v>
      </c>
      <c r="C1196" s="256">
        <v>481141917</v>
      </c>
      <c r="D1196" s="256" t="s">
        <v>686</v>
      </c>
      <c r="E1196" s="256" t="s">
        <v>687</v>
      </c>
      <c r="F1196" s="256" t="s">
        <v>700</v>
      </c>
      <c r="G1196" s="256" t="s">
        <v>85</v>
      </c>
      <c r="H1196" s="256" t="s">
        <v>706</v>
      </c>
      <c r="I1196" s="257">
        <v>0</v>
      </c>
      <c r="J1196" s="257">
        <v>0</v>
      </c>
      <c r="K1196" s="257">
        <v>0</v>
      </c>
      <c r="L1196" s="257">
        <v>0</v>
      </c>
      <c r="M1196" s="257">
        <v>0</v>
      </c>
      <c r="N1196" s="257">
        <v>0</v>
      </c>
      <c r="O1196" s="257">
        <v>0</v>
      </c>
      <c r="P1196" s="257">
        <v>0</v>
      </c>
      <c r="Q1196" s="258">
        <v>0</v>
      </c>
    </row>
    <row r="1197" spans="1:17">
      <c r="A1197" s="256">
        <v>3</v>
      </c>
      <c r="B1197" s="256">
        <v>4811420</v>
      </c>
      <c r="C1197" s="256">
        <v>481142000</v>
      </c>
      <c r="D1197" s="256" t="s">
        <v>686</v>
      </c>
      <c r="E1197" s="256" t="s">
        <v>687</v>
      </c>
      <c r="F1197" s="256" t="s">
        <v>700</v>
      </c>
      <c r="G1197" s="256" t="s">
        <v>707</v>
      </c>
      <c r="H1197" s="256"/>
      <c r="I1197" s="257">
        <v>0</v>
      </c>
      <c r="J1197" s="257">
        <v>0</v>
      </c>
      <c r="K1197" s="257">
        <v>0</v>
      </c>
      <c r="L1197" s="257">
        <v>0</v>
      </c>
      <c r="M1197" s="257">
        <v>0</v>
      </c>
      <c r="N1197" s="257">
        <v>0</v>
      </c>
      <c r="O1197" s="257">
        <v>0</v>
      </c>
      <c r="P1197" s="257">
        <v>0</v>
      </c>
      <c r="Q1197" s="258">
        <v>0</v>
      </c>
    </row>
    <row r="1198" spans="1:17">
      <c r="A1198" s="256">
        <v>3</v>
      </c>
      <c r="B1198" s="256">
        <v>4820221</v>
      </c>
      <c r="C1198" s="256">
        <v>482022100</v>
      </c>
      <c r="D1198" s="256" t="s">
        <v>686</v>
      </c>
      <c r="E1198" s="256" t="s">
        <v>708</v>
      </c>
      <c r="F1198" s="256" t="s">
        <v>709</v>
      </c>
      <c r="G1198" s="256" t="s">
        <v>710</v>
      </c>
      <c r="H1198" s="256"/>
      <c r="I1198" s="257">
        <v>0</v>
      </c>
      <c r="J1198" s="257">
        <v>0</v>
      </c>
      <c r="K1198" s="257">
        <v>0</v>
      </c>
      <c r="L1198" s="257">
        <v>0</v>
      </c>
      <c r="M1198" s="257">
        <v>0</v>
      </c>
      <c r="N1198" s="257">
        <v>0</v>
      </c>
      <c r="O1198" s="257">
        <v>0</v>
      </c>
      <c r="P1198" s="257">
        <v>0</v>
      </c>
      <c r="Q1198" s="258">
        <v>0</v>
      </c>
    </row>
    <row r="1199" spans="1:17">
      <c r="A1199" s="256">
        <v>3</v>
      </c>
      <c r="B1199" s="256">
        <v>4820222</v>
      </c>
      <c r="C1199" s="256">
        <v>482022200</v>
      </c>
      <c r="D1199" s="256" t="s">
        <v>686</v>
      </c>
      <c r="E1199" s="256" t="s">
        <v>708</v>
      </c>
      <c r="F1199" s="256" t="s">
        <v>709</v>
      </c>
      <c r="G1199" s="256" t="s">
        <v>711</v>
      </c>
      <c r="H1199" s="256"/>
      <c r="I1199" s="257">
        <v>0</v>
      </c>
      <c r="J1199" s="257">
        <v>0</v>
      </c>
      <c r="K1199" s="257">
        <v>0</v>
      </c>
      <c r="L1199" s="257">
        <v>0</v>
      </c>
      <c r="M1199" s="257">
        <v>0</v>
      </c>
      <c r="N1199" s="257">
        <v>0</v>
      </c>
      <c r="O1199" s="257">
        <v>0</v>
      </c>
      <c r="P1199" s="257">
        <v>0</v>
      </c>
      <c r="Q1199" s="258">
        <v>0</v>
      </c>
    </row>
    <row r="1200" spans="1:17">
      <c r="A1200" s="256">
        <v>3</v>
      </c>
      <c r="B1200" s="256">
        <v>4820224</v>
      </c>
      <c r="C1200" s="256">
        <v>482022400</v>
      </c>
      <c r="D1200" s="256" t="s">
        <v>686</v>
      </c>
      <c r="E1200" s="256" t="s">
        <v>708</v>
      </c>
      <c r="F1200" s="256" t="s">
        <v>709</v>
      </c>
      <c r="G1200" s="256" t="s">
        <v>712</v>
      </c>
      <c r="H1200" s="256"/>
      <c r="I1200" s="257">
        <v>0</v>
      </c>
      <c r="J1200" s="257">
        <v>0</v>
      </c>
      <c r="K1200" s="257">
        <v>0</v>
      </c>
      <c r="L1200" s="257">
        <v>0</v>
      </c>
      <c r="M1200" s="257">
        <v>0</v>
      </c>
      <c r="N1200" s="257">
        <v>0</v>
      </c>
      <c r="O1200" s="257">
        <v>0</v>
      </c>
      <c r="P1200" s="257">
        <v>0</v>
      </c>
      <c r="Q1200" s="258">
        <v>0</v>
      </c>
    </row>
    <row r="1201" spans="1:17">
      <c r="A1201" s="256">
        <v>3</v>
      </c>
      <c r="B1201" s="256">
        <v>4820427</v>
      </c>
      <c r="C1201" s="256">
        <v>482042700</v>
      </c>
      <c r="D1201" s="256" t="s">
        <v>686</v>
      </c>
      <c r="E1201" s="256" t="s">
        <v>708</v>
      </c>
      <c r="F1201" s="256" t="s">
        <v>655</v>
      </c>
      <c r="G1201" s="256" t="s">
        <v>713</v>
      </c>
      <c r="H1201" s="256"/>
      <c r="I1201" s="257">
        <v>0</v>
      </c>
      <c r="J1201" s="257">
        <v>0</v>
      </c>
      <c r="K1201" s="257">
        <v>0</v>
      </c>
      <c r="L1201" s="257">
        <v>0</v>
      </c>
      <c r="M1201" s="257">
        <v>0</v>
      </c>
      <c r="N1201" s="257">
        <v>0</v>
      </c>
      <c r="O1201" s="257">
        <v>0</v>
      </c>
      <c r="P1201" s="257">
        <v>0</v>
      </c>
      <c r="Q1201" s="258">
        <v>0</v>
      </c>
    </row>
    <row r="1202" spans="1:17">
      <c r="A1202" s="256">
        <v>3</v>
      </c>
      <c r="B1202" s="256">
        <v>4820428</v>
      </c>
      <c r="C1202" s="256">
        <v>482042800</v>
      </c>
      <c r="D1202" s="256" t="s">
        <v>686</v>
      </c>
      <c r="E1202" s="256" t="s">
        <v>708</v>
      </c>
      <c r="F1202" s="256" t="s">
        <v>655</v>
      </c>
      <c r="G1202" s="256" t="s">
        <v>714</v>
      </c>
      <c r="H1202" s="256"/>
      <c r="I1202" s="257">
        <v>0</v>
      </c>
      <c r="J1202" s="257">
        <v>0</v>
      </c>
      <c r="K1202" s="257">
        <v>0</v>
      </c>
      <c r="L1202" s="257">
        <v>0</v>
      </c>
      <c r="M1202" s="257">
        <v>0</v>
      </c>
      <c r="N1202" s="257">
        <v>0</v>
      </c>
      <c r="O1202" s="257">
        <v>0</v>
      </c>
      <c r="P1202" s="257">
        <v>0</v>
      </c>
      <c r="Q1202" s="258">
        <v>0</v>
      </c>
    </row>
    <row r="1203" spans="1:17">
      <c r="A1203" s="256">
        <v>3</v>
      </c>
      <c r="B1203" s="256">
        <v>4820429</v>
      </c>
      <c r="C1203" s="256">
        <v>482042900</v>
      </c>
      <c r="D1203" s="256" t="s">
        <v>686</v>
      </c>
      <c r="E1203" s="256" t="s">
        <v>708</v>
      </c>
      <c r="F1203" s="256" t="s">
        <v>655</v>
      </c>
      <c r="G1203" s="256" t="s">
        <v>658</v>
      </c>
      <c r="H1203" s="256"/>
      <c r="I1203" s="257">
        <v>0</v>
      </c>
      <c r="J1203" s="257">
        <v>0</v>
      </c>
      <c r="K1203" s="257">
        <v>0</v>
      </c>
      <c r="L1203" s="257">
        <v>0</v>
      </c>
      <c r="M1203" s="257">
        <v>0</v>
      </c>
      <c r="N1203" s="257">
        <v>0</v>
      </c>
      <c r="O1203" s="257">
        <v>0</v>
      </c>
      <c r="P1203" s="257">
        <v>0</v>
      </c>
      <c r="Q1203" s="258">
        <v>0</v>
      </c>
    </row>
    <row r="1204" spans="1:17">
      <c r="A1204" s="256">
        <v>3</v>
      </c>
      <c r="B1204" s="256">
        <v>4820501</v>
      </c>
      <c r="C1204" s="256">
        <v>482050100</v>
      </c>
      <c r="D1204" s="256" t="s">
        <v>686</v>
      </c>
      <c r="E1204" s="256" t="s">
        <v>708</v>
      </c>
      <c r="F1204" s="256" t="s">
        <v>715</v>
      </c>
      <c r="G1204" s="256" t="s">
        <v>715</v>
      </c>
      <c r="H1204" s="256"/>
      <c r="I1204" s="257">
        <v>0</v>
      </c>
      <c r="J1204" s="257">
        <v>0</v>
      </c>
      <c r="K1204" s="257">
        <v>0</v>
      </c>
      <c r="L1204" s="257">
        <v>0</v>
      </c>
      <c r="M1204" s="257">
        <v>0</v>
      </c>
      <c r="N1204" s="257">
        <v>0</v>
      </c>
      <c r="O1204" s="257">
        <v>0</v>
      </c>
      <c r="P1204" s="257">
        <v>0</v>
      </c>
      <c r="Q1204" s="258">
        <v>0</v>
      </c>
    </row>
    <row r="1205" spans="1:17">
      <c r="A1205" s="256">
        <v>3</v>
      </c>
      <c r="B1205" s="256">
        <v>4820630</v>
      </c>
      <c r="C1205" s="256">
        <v>482063000</v>
      </c>
      <c r="D1205" s="256" t="s">
        <v>686</v>
      </c>
      <c r="E1205" s="256" t="s">
        <v>708</v>
      </c>
      <c r="F1205" s="256" t="s">
        <v>659</v>
      </c>
      <c r="G1205" s="256" t="s">
        <v>659</v>
      </c>
      <c r="H1205" s="256"/>
      <c r="I1205" s="257">
        <v>0</v>
      </c>
      <c r="J1205" s="257">
        <v>0</v>
      </c>
      <c r="K1205" s="257">
        <v>0</v>
      </c>
      <c r="L1205" s="257">
        <v>0</v>
      </c>
      <c r="M1205" s="257">
        <v>0</v>
      </c>
      <c r="N1205" s="257">
        <v>0</v>
      </c>
      <c r="O1205" s="257">
        <v>0</v>
      </c>
      <c r="P1205" s="257">
        <v>0</v>
      </c>
      <c r="Q1205" s="258">
        <v>0</v>
      </c>
    </row>
    <row r="1206" spans="1:17">
      <c r="A1206" s="256">
        <v>3</v>
      </c>
      <c r="B1206" s="256">
        <v>4820831</v>
      </c>
      <c r="C1206" s="256">
        <v>482083100</v>
      </c>
      <c r="D1206" s="256" t="s">
        <v>686</v>
      </c>
      <c r="E1206" s="256" t="s">
        <v>708</v>
      </c>
      <c r="F1206" s="256" t="s">
        <v>660</v>
      </c>
      <c r="G1206" s="256" t="s">
        <v>660</v>
      </c>
      <c r="H1206" s="256"/>
      <c r="I1206" s="257">
        <v>0</v>
      </c>
      <c r="J1206" s="257">
        <v>0</v>
      </c>
      <c r="K1206" s="257">
        <v>0</v>
      </c>
      <c r="L1206" s="257">
        <v>0</v>
      </c>
      <c r="M1206" s="257">
        <v>0</v>
      </c>
      <c r="N1206" s="257">
        <v>0</v>
      </c>
      <c r="O1206" s="257">
        <v>0</v>
      </c>
      <c r="P1206" s="257">
        <v>0</v>
      </c>
      <c r="Q1206" s="258">
        <v>0</v>
      </c>
    </row>
    <row r="1207" spans="1:17">
      <c r="A1207" s="256">
        <v>3</v>
      </c>
      <c r="B1207" s="256">
        <v>4820932</v>
      </c>
      <c r="C1207" s="256">
        <v>482093200</v>
      </c>
      <c r="D1207" s="256" t="s">
        <v>686</v>
      </c>
      <c r="E1207" s="256" t="s">
        <v>708</v>
      </c>
      <c r="F1207" s="256" t="s">
        <v>663</v>
      </c>
      <c r="G1207" s="256" t="s">
        <v>716</v>
      </c>
      <c r="H1207" s="256"/>
      <c r="I1207" s="257">
        <v>0</v>
      </c>
      <c r="J1207" s="257">
        <v>0</v>
      </c>
      <c r="K1207" s="257">
        <v>0</v>
      </c>
      <c r="L1207" s="257">
        <v>0</v>
      </c>
      <c r="M1207" s="257">
        <v>0</v>
      </c>
      <c r="N1207" s="257">
        <v>0</v>
      </c>
      <c r="O1207" s="257">
        <v>0</v>
      </c>
      <c r="P1207" s="257">
        <v>0</v>
      </c>
      <c r="Q1207" s="258">
        <v>0</v>
      </c>
    </row>
    <row r="1208" spans="1:17">
      <c r="A1208" s="256">
        <v>3</v>
      </c>
      <c r="B1208" s="256">
        <v>4820933</v>
      </c>
      <c r="C1208" s="256">
        <v>482093300</v>
      </c>
      <c r="D1208" s="256" t="s">
        <v>686</v>
      </c>
      <c r="E1208" s="256" t="s">
        <v>708</v>
      </c>
      <c r="F1208" s="256" t="s">
        <v>663</v>
      </c>
      <c r="G1208" s="256" t="s">
        <v>717</v>
      </c>
      <c r="H1208" s="256"/>
      <c r="I1208" s="257">
        <v>0</v>
      </c>
      <c r="J1208" s="257">
        <v>0</v>
      </c>
      <c r="K1208" s="257">
        <v>0</v>
      </c>
      <c r="L1208" s="257">
        <v>0</v>
      </c>
      <c r="M1208" s="257">
        <v>0</v>
      </c>
      <c r="N1208" s="257">
        <v>0</v>
      </c>
      <c r="O1208" s="257">
        <v>0</v>
      </c>
      <c r="P1208" s="257">
        <v>0</v>
      </c>
      <c r="Q1208" s="258">
        <v>0</v>
      </c>
    </row>
    <row r="1209" spans="1:17">
      <c r="A1209" s="256">
        <v>3</v>
      </c>
      <c r="B1209" s="256">
        <v>4821034</v>
      </c>
      <c r="C1209" s="256">
        <v>482103411</v>
      </c>
      <c r="D1209" s="256" t="s">
        <v>686</v>
      </c>
      <c r="E1209" s="256" t="s">
        <v>708</v>
      </c>
      <c r="F1209" s="256" t="s">
        <v>661</v>
      </c>
      <c r="G1209" s="256" t="s">
        <v>718</v>
      </c>
      <c r="H1209" s="256" t="s">
        <v>691</v>
      </c>
      <c r="I1209" s="257">
        <v>0</v>
      </c>
      <c r="J1209" s="257">
        <v>0</v>
      </c>
      <c r="K1209" s="257">
        <v>0</v>
      </c>
      <c r="L1209" s="257">
        <v>0</v>
      </c>
      <c r="M1209" s="257">
        <v>0</v>
      </c>
      <c r="N1209" s="257">
        <v>0</v>
      </c>
      <c r="O1209" s="257">
        <v>0</v>
      </c>
      <c r="P1209" s="257">
        <v>0</v>
      </c>
      <c r="Q1209" s="258">
        <v>0</v>
      </c>
    </row>
    <row r="1210" spans="1:17">
      <c r="A1210" s="256">
        <v>3</v>
      </c>
      <c r="B1210" s="256">
        <v>4821034</v>
      </c>
      <c r="C1210" s="256">
        <v>482103412</v>
      </c>
      <c r="D1210" s="256" t="s">
        <v>686</v>
      </c>
      <c r="E1210" s="256" t="s">
        <v>708</v>
      </c>
      <c r="F1210" s="256" t="s">
        <v>661</v>
      </c>
      <c r="G1210" s="256" t="s">
        <v>718</v>
      </c>
      <c r="H1210" s="256" t="s">
        <v>692</v>
      </c>
      <c r="I1210" s="257">
        <v>0</v>
      </c>
      <c r="J1210" s="257">
        <v>0</v>
      </c>
      <c r="K1210" s="257">
        <v>0</v>
      </c>
      <c r="L1210" s="257">
        <v>0</v>
      </c>
      <c r="M1210" s="257">
        <v>0</v>
      </c>
      <c r="N1210" s="257">
        <v>0</v>
      </c>
      <c r="O1210" s="257">
        <v>0</v>
      </c>
      <c r="P1210" s="257">
        <v>0</v>
      </c>
      <c r="Q1210" s="258">
        <v>0</v>
      </c>
    </row>
    <row r="1211" spans="1:17">
      <c r="A1211" s="256">
        <v>3</v>
      </c>
      <c r="B1211" s="256">
        <v>4821034</v>
      </c>
      <c r="C1211" s="256">
        <v>482103413</v>
      </c>
      <c r="D1211" s="256" t="s">
        <v>686</v>
      </c>
      <c r="E1211" s="256" t="s">
        <v>708</v>
      </c>
      <c r="F1211" s="256" t="s">
        <v>661</v>
      </c>
      <c r="G1211" s="256" t="s">
        <v>718</v>
      </c>
      <c r="H1211" s="256" t="s">
        <v>693</v>
      </c>
      <c r="I1211" s="257">
        <v>0</v>
      </c>
      <c r="J1211" s="257">
        <v>0</v>
      </c>
      <c r="K1211" s="257">
        <v>0</v>
      </c>
      <c r="L1211" s="257">
        <v>0</v>
      </c>
      <c r="M1211" s="257">
        <v>0</v>
      </c>
      <c r="N1211" s="257">
        <v>0</v>
      </c>
      <c r="O1211" s="257">
        <v>0</v>
      </c>
      <c r="P1211" s="257">
        <v>0</v>
      </c>
      <c r="Q1211" s="258">
        <v>0</v>
      </c>
    </row>
    <row r="1212" spans="1:17">
      <c r="A1212" s="256">
        <v>3</v>
      </c>
      <c r="B1212" s="256">
        <v>4821034</v>
      </c>
      <c r="C1212" s="256">
        <v>482103414</v>
      </c>
      <c r="D1212" s="256" t="s">
        <v>686</v>
      </c>
      <c r="E1212" s="256" t="s">
        <v>708</v>
      </c>
      <c r="F1212" s="256" t="s">
        <v>661</v>
      </c>
      <c r="G1212" s="256" t="s">
        <v>718</v>
      </c>
      <c r="H1212" s="256" t="s">
        <v>719</v>
      </c>
      <c r="I1212" s="257">
        <v>0</v>
      </c>
      <c r="J1212" s="257">
        <v>0</v>
      </c>
      <c r="K1212" s="257">
        <v>0</v>
      </c>
      <c r="L1212" s="257">
        <v>0</v>
      </c>
      <c r="M1212" s="257">
        <v>0</v>
      </c>
      <c r="N1212" s="257">
        <v>0</v>
      </c>
      <c r="O1212" s="257">
        <v>0</v>
      </c>
      <c r="P1212" s="257">
        <v>0</v>
      </c>
      <c r="Q1212" s="258">
        <v>0</v>
      </c>
    </row>
    <row r="1213" spans="1:17">
      <c r="A1213" s="256">
        <v>3</v>
      </c>
      <c r="B1213" s="256">
        <v>4821035</v>
      </c>
      <c r="C1213" s="256">
        <v>482103500</v>
      </c>
      <c r="D1213" s="256" t="s">
        <v>686</v>
      </c>
      <c r="E1213" s="256" t="s">
        <v>708</v>
      </c>
      <c r="F1213" s="256" t="s">
        <v>661</v>
      </c>
      <c r="G1213" s="256" t="s">
        <v>720</v>
      </c>
      <c r="H1213" s="256"/>
      <c r="I1213" s="257">
        <v>0</v>
      </c>
      <c r="J1213" s="257">
        <v>0</v>
      </c>
      <c r="K1213" s="257">
        <v>0</v>
      </c>
      <c r="L1213" s="257">
        <v>0</v>
      </c>
      <c r="M1213" s="257">
        <v>0</v>
      </c>
      <c r="N1213" s="257">
        <v>0</v>
      </c>
      <c r="O1213" s="257">
        <v>0</v>
      </c>
      <c r="P1213" s="257">
        <v>0</v>
      </c>
      <c r="Q1213" s="258">
        <v>0</v>
      </c>
    </row>
    <row r="1214" spans="1:17">
      <c r="A1214" s="256">
        <v>3</v>
      </c>
      <c r="B1214" s="256">
        <v>4821137</v>
      </c>
      <c r="C1214" s="256">
        <v>482113700</v>
      </c>
      <c r="D1214" s="256" t="s">
        <v>686</v>
      </c>
      <c r="E1214" s="256" t="s">
        <v>708</v>
      </c>
      <c r="F1214" s="256" t="s">
        <v>685</v>
      </c>
      <c r="G1214" s="256" t="s">
        <v>685</v>
      </c>
      <c r="H1214" s="256"/>
      <c r="I1214" s="257">
        <v>0</v>
      </c>
      <c r="J1214" s="257">
        <v>0</v>
      </c>
      <c r="K1214" s="257">
        <v>0</v>
      </c>
      <c r="L1214" s="257">
        <v>0</v>
      </c>
      <c r="M1214" s="257">
        <v>0</v>
      </c>
      <c r="N1214" s="257">
        <v>0</v>
      </c>
      <c r="O1214" s="257">
        <v>0</v>
      </c>
      <c r="P1214" s="257">
        <v>0</v>
      </c>
      <c r="Q1214" s="258">
        <v>0</v>
      </c>
    </row>
    <row r="1215" spans="1:17">
      <c r="A1215" s="256">
        <v>3</v>
      </c>
      <c r="B1215" s="256">
        <v>4821236</v>
      </c>
      <c r="C1215" s="256">
        <v>482123600</v>
      </c>
      <c r="D1215" s="256" t="s">
        <v>686</v>
      </c>
      <c r="E1215" s="256" t="s">
        <v>708</v>
      </c>
      <c r="F1215" s="256" t="s">
        <v>707</v>
      </c>
      <c r="G1215" s="256" t="s">
        <v>722</v>
      </c>
      <c r="H1215" s="256"/>
      <c r="I1215" s="257">
        <v>0</v>
      </c>
      <c r="J1215" s="257">
        <v>0</v>
      </c>
      <c r="K1215" s="257">
        <v>0</v>
      </c>
      <c r="L1215" s="257">
        <v>0</v>
      </c>
      <c r="M1215" s="257">
        <v>0</v>
      </c>
      <c r="N1215" s="257">
        <v>0</v>
      </c>
      <c r="O1215" s="257">
        <v>0</v>
      </c>
      <c r="P1215" s="257">
        <v>0</v>
      </c>
      <c r="Q1215" s="258">
        <v>0</v>
      </c>
    </row>
    <row r="1216" spans="1:17">
      <c r="A1216" s="256">
        <v>3</v>
      </c>
      <c r="B1216" s="256">
        <v>4821240</v>
      </c>
      <c r="C1216" s="256">
        <v>482124000</v>
      </c>
      <c r="D1216" s="256" t="s">
        <v>686</v>
      </c>
      <c r="E1216" s="256" t="s">
        <v>708</v>
      </c>
      <c r="F1216" s="256" t="s">
        <v>707</v>
      </c>
      <c r="G1216" s="256" t="s">
        <v>723</v>
      </c>
      <c r="H1216" s="256"/>
      <c r="I1216" s="257">
        <v>59650</v>
      </c>
      <c r="J1216" s="257">
        <v>0</v>
      </c>
      <c r="K1216" s="257">
        <v>0</v>
      </c>
      <c r="L1216" s="257">
        <v>0</v>
      </c>
      <c r="M1216" s="257">
        <v>0</v>
      </c>
      <c r="N1216" s="257">
        <v>0</v>
      </c>
      <c r="O1216" s="257">
        <v>59650</v>
      </c>
      <c r="P1216" s="257">
        <v>0</v>
      </c>
      <c r="Q1216" s="258">
        <v>0</v>
      </c>
    </row>
    <row r="1217" spans="1:19">
      <c r="A1217" s="256">
        <v>3</v>
      </c>
      <c r="B1217" s="256">
        <v>4821301</v>
      </c>
      <c r="C1217" s="256">
        <v>482130103</v>
      </c>
      <c r="D1217" s="256" t="s">
        <v>686</v>
      </c>
      <c r="E1217" s="256" t="s">
        <v>708</v>
      </c>
      <c r="F1217" s="256" t="s">
        <v>724</v>
      </c>
      <c r="G1217" s="256" t="s">
        <v>724</v>
      </c>
      <c r="H1217" s="256" t="s">
        <v>725</v>
      </c>
      <c r="I1217" s="257">
        <v>555546</v>
      </c>
      <c r="J1217" s="257">
        <v>0</v>
      </c>
      <c r="K1217" s="257">
        <v>0</v>
      </c>
      <c r="L1217" s="257">
        <v>0</v>
      </c>
      <c r="M1217" s="257">
        <v>0</v>
      </c>
      <c r="N1217" s="257">
        <v>0</v>
      </c>
      <c r="O1217" s="257">
        <v>0</v>
      </c>
      <c r="P1217" s="257">
        <v>555546</v>
      </c>
      <c r="Q1217" s="258">
        <v>0</v>
      </c>
    </row>
    <row r="1218" spans="1:19">
      <c r="A1218" s="256">
        <v>3</v>
      </c>
      <c r="B1218" s="256">
        <v>4821301</v>
      </c>
      <c r="C1218" s="256">
        <v>482130104</v>
      </c>
      <c r="D1218" s="256" t="s">
        <v>686</v>
      </c>
      <c r="E1218" s="256" t="s">
        <v>708</v>
      </c>
      <c r="F1218" s="256" t="s">
        <v>724</v>
      </c>
      <c r="G1218" s="256" t="s">
        <v>724</v>
      </c>
      <c r="H1218" s="256" t="s">
        <v>655</v>
      </c>
      <c r="I1218" s="290">
        <v>60541484</v>
      </c>
      <c r="J1218" s="257">
        <v>0</v>
      </c>
      <c r="K1218" s="257">
        <v>0</v>
      </c>
      <c r="L1218" s="257">
        <v>0</v>
      </c>
      <c r="M1218" s="257">
        <v>0</v>
      </c>
      <c r="N1218" s="257">
        <v>0</v>
      </c>
      <c r="O1218" s="257">
        <v>0</v>
      </c>
      <c r="P1218" s="290">
        <v>60541484</v>
      </c>
      <c r="Q1218" s="258">
        <v>0</v>
      </c>
      <c r="S1218" s="259" t="s">
        <v>876</v>
      </c>
    </row>
    <row r="1219" spans="1:19">
      <c r="A1219" s="256">
        <v>3</v>
      </c>
      <c r="B1219" s="256">
        <v>4821301</v>
      </c>
      <c r="C1219" s="256">
        <v>482130105</v>
      </c>
      <c r="D1219" s="256" t="s">
        <v>686</v>
      </c>
      <c r="E1219" s="256" t="s">
        <v>708</v>
      </c>
      <c r="F1219" s="256" t="s">
        <v>724</v>
      </c>
      <c r="G1219" s="256" t="s">
        <v>724</v>
      </c>
      <c r="H1219" s="256" t="s">
        <v>715</v>
      </c>
      <c r="I1219" s="257">
        <v>135768482</v>
      </c>
      <c r="J1219" s="257">
        <v>0</v>
      </c>
      <c r="K1219" s="257">
        <v>0</v>
      </c>
      <c r="L1219" s="257">
        <v>0</v>
      </c>
      <c r="M1219" s="257">
        <v>0</v>
      </c>
      <c r="N1219" s="257">
        <v>0</v>
      </c>
      <c r="O1219" s="257">
        <v>0</v>
      </c>
      <c r="P1219" s="257">
        <v>135768482</v>
      </c>
      <c r="Q1219" s="258">
        <v>0</v>
      </c>
    </row>
    <row r="1220" spans="1:19">
      <c r="A1220" s="256">
        <v>3</v>
      </c>
      <c r="B1220" s="256">
        <v>4821301</v>
      </c>
      <c r="C1220" s="256">
        <v>482130107</v>
      </c>
      <c r="D1220" s="256" t="s">
        <v>686</v>
      </c>
      <c r="E1220" s="256" t="s">
        <v>708</v>
      </c>
      <c r="F1220" s="256" t="s">
        <v>724</v>
      </c>
      <c r="G1220" s="256" t="s">
        <v>724</v>
      </c>
      <c r="H1220" s="256" t="s">
        <v>847</v>
      </c>
      <c r="I1220" s="257">
        <v>17689764</v>
      </c>
      <c r="J1220" s="257">
        <v>0</v>
      </c>
      <c r="K1220" s="257">
        <v>0</v>
      </c>
      <c r="L1220" s="257">
        <v>0</v>
      </c>
      <c r="M1220" s="257">
        <v>0</v>
      </c>
      <c r="N1220" s="257">
        <v>0</v>
      </c>
      <c r="O1220" s="257">
        <v>0</v>
      </c>
      <c r="P1220" s="257">
        <v>17689764</v>
      </c>
      <c r="Q1220" s="258">
        <v>0</v>
      </c>
    </row>
    <row r="1221" spans="1:19">
      <c r="A1221" s="256">
        <v>3</v>
      </c>
      <c r="B1221" s="256">
        <v>4821301</v>
      </c>
      <c r="C1221" s="256">
        <v>482130108</v>
      </c>
      <c r="D1221" s="256" t="s">
        <v>686</v>
      </c>
      <c r="E1221" s="256" t="s">
        <v>708</v>
      </c>
      <c r="F1221" s="256" t="s">
        <v>724</v>
      </c>
      <c r="G1221" s="256" t="s">
        <v>724</v>
      </c>
      <c r="H1221" s="256" t="s">
        <v>665</v>
      </c>
      <c r="I1221" s="257">
        <v>9543665</v>
      </c>
      <c r="J1221" s="257">
        <v>0</v>
      </c>
      <c r="K1221" s="257">
        <v>0</v>
      </c>
      <c r="L1221" s="257">
        <v>0</v>
      </c>
      <c r="M1221" s="257">
        <v>0</v>
      </c>
      <c r="N1221" s="257">
        <v>0</v>
      </c>
      <c r="O1221" s="257">
        <v>0</v>
      </c>
      <c r="P1221" s="257">
        <v>9543665</v>
      </c>
      <c r="Q1221" s="258">
        <v>0</v>
      </c>
    </row>
    <row r="1222" spans="1:19">
      <c r="A1222" s="256">
        <v>3</v>
      </c>
      <c r="B1222" s="256">
        <v>4821301</v>
      </c>
      <c r="C1222" s="256">
        <v>482130110</v>
      </c>
      <c r="D1222" s="256" t="s">
        <v>686</v>
      </c>
      <c r="E1222" s="256" t="s">
        <v>708</v>
      </c>
      <c r="F1222" s="256" t="s">
        <v>724</v>
      </c>
      <c r="G1222" s="256" t="s">
        <v>724</v>
      </c>
      <c r="H1222" s="256" t="s">
        <v>661</v>
      </c>
      <c r="I1222" s="257">
        <v>0</v>
      </c>
      <c r="J1222" s="257">
        <v>0</v>
      </c>
      <c r="K1222" s="257">
        <v>0</v>
      </c>
      <c r="L1222" s="257">
        <v>0</v>
      </c>
      <c r="M1222" s="257">
        <v>0</v>
      </c>
      <c r="N1222" s="257">
        <v>0</v>
      </c>
      <c r="O1222" s="257">
        <v>0</v>
      </c>
      <c r="P1222" s="257">
        <v>0</v>
      </c>
      <c r="Q1222" s="258">
        <v>0</v>
      </c>
    </row>
    <row r="1223" spans="1:19">
      <c r="A1223" s="256">
        <v>3</v>
      </c>
      <c r="B1223" s="256">
        <v>4821301</v>
      </c>
      <c r="C1223" s="256">
        <v>482130120</v>
      </c>
      <c r="D1223" s="256" t="s">
        <v>686</v>
      </c>
      <c r="E1223" s="256" t="s">
        <v>708</v>
      </c>
      <c r="F1223" s="256" t="s">
        <v>724</v>
      </c>
      <c r="G1223" s="256" t="s">
        <v>724</v>
      </c>
      <c r="H1223" s="256" t="s">
        <v>726</v>
      </c>
      <c r="I1223" s="257">
        <v>51782</v>
      </c>
      <c r="J1223" s="257">
        <v>0</v>
      </c>
      <c r="K1223" s="257">
        <v>0</v>
      </c>
      <c r="L1223" s="257">
        <v>0</v>
      </c>
      <c r="M1223" s="257">
        <v>0</v>
      </c>
      <c r="N1223" s="257">
        <v>0</v>
      </c>
      <c r="O1223" s="257">
        <v>0</v>
      </c>
      <c r="P1223" s="257">
        <v>51782</v>
      </c>
      <c r="Q1223" s="258">
        <v>0</v>
      </c>
    </row>
    <row r="1224" spans="1:19">
      <c r="A1224" s="256">
        <v>3</v>
      </c>
      <c r="B1224" s="256">
        <v>4830202</v>
      </c>
      <c r="C1224" s="256">
        <v>483020200</v>
      </c>
      <c r="D1224" s="256" t="s">
        <v>686</v>
      </c>
      <c r="E1224" s="256" t="s">
        <v>727</v>
      </c>
      <c r="F1224" s="256" t="s">
        <v>728</v>
      </c>
      <c r="G1224" s="256" t="s">
        <v>728</v>
      </c>
      <c r="H1224" s="256"/>
      <c r="I1224" s="257">
        <v>0</v>
      </c>
      <c r="J1224" s="257">
        <v>0</v>
      </c>
      <c r="K1224" s="257">
        <v>0</v>
      </c>
      <c r="L1224" s="257">
        <v>0</v>
      </c>
      <c r="M1224" s="257">
        <v>0</v>
      </c>
      <c r="N1224" s="257">
        <v>0</v>
      </c>
      <c r="O1224" s="257">
        <v>0</v>
      </c>
      <c r="P1224" s="257">
        <v>0</v>
      </c>
      <c r="Q1224" s="258">
        <v>0</v>
      </c>
    </row>
    <row r="1225" spans="1:19">
      <c r="A1225" s="256">
        <v>3</v>
      </c>
      <c r="B1225" s="256">
        <v>4830404</v>
      </c>
      <c r="C1225" s="256">
        <v>483040400</v>
      </c>
      <c r="D1225" s="256" t="s">
        <v>686</v>
      </c>
      <c r="E1225" s="256" t="s">
        <v>727</v>
      </c>
      <c r="F1225" s="256" t="s">
        <v>729</v>
      </c>
      <c r="G1225" s="256" t="s">
        <v>729</v>
      </c>
      <c r="H1225" s="256"/>
      <c r="I1225" s="257">
        <v>41186</v>
      </c>
      <c r="J1225" s="257">
        <v>0</v>
      </c>
      <c r="K1225" s="257">
        <v>0</v>
      </c>
      <c r="L1225" s="257">
        <v>10517</v>
      </c>
      <c r="M1225" s="257">
        <v>0</v>
      </c>
      <c r="N1225" s="257">
        <v>30669</v>
      </c>
      <c r="O1225" s="257">
        <v>0</v>
      </c>
      <c r="P1225" s="257">
        <v>0</v>
      </c>
      <c r="Q1225" s="258">
        <v>0</v>
      </c>
    </row>
    <row r="1226" spans="1:19">
      <c r="A1226" s="256">
        <v>3</v>
      </c>
      <c r="B1226" s="256">
        <v>4830606</v>
      </c>
      <c r="C1226" s="256">
        <v>483060600</v>
      </c>
      <c r="D1226" s="256" t="s">
        <v>686</v>
      </c>
      <c r="E1226" s="256" t="s">
        <v>727</v>
      </c>
      <c r="F1226" s="256" t="s">
        <v>730</v>
      </c>
      <c r="G1226" s="256" t="s">
        <v>730</v>
      </c>
      <c r="H1226" s="256"/>
      <c r="I1226" s="257">
        <v>0</v>
      </c>
      <c r="J1226" s="257">
        <v>0</v>
      </c>
      <c r="K1226" s="257">
        <v>0</v>
      </c>
      <c r="L1226" s="257">
        <v>0</v>
      </c>
      <c r="M1226" s="257">
        <v>0</v>
      </c>
      <c r="N1226" s="257">
        <v>0</v>
      </c>
      <c r="O1226" s="257">
        <v>0</v>
      </c>
      <c r="P1226" s="257">
        <v>0</v>
      </c>
      <c r="Q1226" s="258">
        <v>0</v>
      </c>
    </row>
    <row r="1227" spans="1:19">
      <c r="A1227" s="256">
        <v>3</v>
      </c>
      <c r="B1227" s="256">
        <v>4830607</v>
      </c>
      <c r="C1227" s="256">
        <v>483060700</v>
      </c>
      <c r="D1227" s="256" t="s">
        <v>686</v>
      </c>
      <c r="E1227" s="256" t="s">
        <v>727</v>
      </c>
      <c r="F1227" s="256" t="s">
        <v>730</v>
      </c>
      <c r="G1227" s="256" t="s">
        <v>731</v>
      </c>
      <c r="H1227" s="256"/>
      <c r="I1227" s="257">
        <v>27547</v>
      </c>
      <c r="J1227" s="257">
        <v>0</v>
      </c>
      <c r="K1227" s="257">
        <v>0</v>
      </c>
      <c r="L1227" s="257">
        <v>0</v>
      </c>
      <c r="M1227" s="257">
        <v>0</v>
      </c>
      <c r="N1227" s="257">
        <v>0</v>
      </c>
      <c r="O1227" s="257">
        <v>0</v>
      </c>
      <c r="P1227" s="257">
        <v>27547</v>
      </c>
      <c r="Q1227" s="258">
        <v>0</v>
      </c>
    </row>
    <row r="1228" spans="1:19">
      <c r="A1228" s="256">
        <v>3</v>
      </c>
      <c r="B1228" s="256">
        <v>4830608</v>
      </c>
      <c r="C1228" s="256">
        <v>483060800</v>
      </c>
      <c r="D1228" s="256" t="s">
        <v>686</v>
      </c>
      <c r="E1228" s="256" t="s">
        <v>727</v>
      </c>
      <c r="F1228" s="256" t="s">
        <v>730</v>
      </c>
      <c r="G1228" s="256" t="s">
        <v>732</v>
      </c>
      <c r="H1228" s="256"/>
      <c r="I1228" s="257">
        <v>0</v>
      </c>
      <c r="J1228" s="257">
        <v>0</v>
      </c>
      <c r="K1228" s="257">
        <v>0</v>
      </c>
      <c r="L1228" s="257">
        <v>0</v>
      </c>
      <c r="M1228" s="257">
        <v>0</v>
      </c>
      <c r="N1228" s="257">
        <v>0</v>
      </c>
      <c r="O1228" s="257">
        <v>0</v>
      </c>
      <c r="P1228" s="257">
        <v>0</v>
      </c>
      <c r="Q1228" s="258">
        <v>0</v>
      </c>
    </row>
    <row r="1229" spans="1:19">
      <c r="A1229" s="256">
        <v>3</v>
      </c>
      <c r="B1229" s="256">
        <v>4830808</v>
      </c>
      <c r="C1229" s="256">
        <v>483080800</v>
      </c>
      <c r="D1229" s="256" t="s">
        <v>686</v>
      </c>
      <c r="E1229" s="256" t="s">
        <v>727</v>
      </c>
      <c r="F1229" s="256" t="s">
        <v>733</v>
      </c>
      <c r="G1229" s="256" t="s">
        <v>733</v>
      </c>
      <c r="H1229" s="256"/>
      <c r="I1229" s="257">
        <v>0</v>
      </c>
      <c r="J1229" s="257">
        <v>0</v>
      </c>
      <c r="K1229" s="257">
        <v>0</v>
      </c>
      <c r="L1229" s="257">
        <v>0</v>
      </c>
      <c r="M1229" s="257">
        <v>0</v>
      </c>
      <c r="N1229" s="257">
        <v>0</v>
      </c>
      <c r="O1229" s="257">
        <v>0</v>
      </c>
      <c r="P1229" s="257">
        <v>0</v>
      </c>
      <c r="Q1229" s="258">
        <v>0</v>
      </c>
    </row>
    <row r="1230" spans="1:19">
      <c r="A1230" s="256">
        <v>3</v>
      </c>
      <c r="B1230" s="256">
        <v>6155069</v>
      </c>
      <c r="C1230" s="256">
        <v>615506900</v>
      </c>
      <c r="D1230" s="256" t="s">
        <v>734</v>
      </c>
      <c r="E1230" s="256" t="s">
        <v>735</v>
      </c>
      <c r="F1230" s="256" t="s">
        <v>783</v>
      </c>
      <c r="G1230" s="256" t="s">
        <v>767</v>
      </c>
      <c r="H1230" s="256"/>
      <c r="I1230" s="257">
        <v>0</v>
      </c>
      <c r="J1230" s="257">
        <v>0</v>
      </c>
      <c r="K1230" s="257">
        <v>0</v>
      </c>
      <c r="L1230" s="257">
        <v>0</v>
      </c>
      <c r="M1230" s="257">
        <v>0</v>
      </c>
      <c r="N1230" s="257">
        <v>0</v>
      </c>
      <c r="O1230" s="257">
        <v>0</v>
      </c>
      <c r="P1230" s="257">
        <v>0</v>
      </c>
      <c r="Q1230" s="258">
        <v>0</v>
      </c>
    </row>
    <row r="1231" spans="1:19">
      <c r="A1231" s="256">
        <v>3</v>
      </c>
      <c r="B1231" s="256">
        <v>6155075</v>
      </c>
      <c r="C1231" s="256">
        <v>615507583</v>
      </c>
      <c r="D1231" s="256" t="s">
        <v>734</v>
      </c>
      <c r="E1231" s="256" t="s">
        <v>735</v>
      </c>
      <c r="F1231" s="256" t="s">
        <v>783</v>
      </c>
      <c r="G1231" s="256" t="s">
        <v>773</v>
      </c>
      <c r="H1231" s="256" t="s">
        <v>75</v>
      </c>
      <c r="I1231" s="257">
        <v>0</v>
      </c>
      <c r="J1231" s="257">
        <v>0</v>
      </c>
      <c r="K1231" s="257">
        <v>0</v>
      </c>
      <c r="L1231" s="257">
        <v>0</v>
      </c>
      <c r="M1231" s="257">
        <v>0</v>
      </c>
      <c r="N1231" s="257">
        <v>0</v>
      </c>
      <c r="O1231" s="257">
        <v>0</v>
      </c>
      <c r="P1231" s="257">
        <v>0</v>
      </c>
      <c r="Q1231" s="258">
        <v>0</v>
      </c>
    </row>
    <row r="1232" spans="1:19">
      <c r="A1232" s="256">
        <v>3</v>
      </c>
      <c r="B1232" s="256">
        <v>6155075</v>
      </c>
      <c r="C1232" s="256">
        <v>615507585</v>
      </c>
      <c r="D1232" s="256" t="s">
        <v>734</v>
      </c>
      <c r="E1232" s="256" t="s">
        <v>735</v>
      </c>
      <c r="F1232" s="256" t="s">
        <v>783</v>
      </c>
      <c r="G1232" s="256" t="s">
        <v>773</v>
      </c>
      <c r="H1232" s="256" t="s">
        <v>775</v>
      </c>
      <c r="I1232" s="257">
        <v>0</v>
      </c>
      <c r="J1232" s="257">
        <v>0</v>
      </c>
      <c r="K1232" s="257">
        <v>0</v>
      </c>
      <c r="L1232" s="257">
        <v>0</v>
      </c>
      <c r="M1232" s="257">
        <v>0</v>
      </c>
      <c r="N1232" s="257">
        <v>0</v>
      </c>
      <c r="O1232" s="257">
        <v>0</v>
      </c>
      <c r="P1232" s="257">
        <v>0</v>
      </c>
      <c r="Q1232" s="258">
        <v>0</v>
      </c>
    </row>
    <row r="1233" spans="1:17">
      <c r="A1233" s="256">
        <v>3</v>
      </c>
      <c r="B1233" s="256">
        <v>6155075</v>
      </c>
      <c r="C1233" s="256">
        <v>615507586</v>
      </c>
      <c r="D1233" s="256" t="s">
        <v>734</v>
      </c>
      <c r="E1233" s="256" t="s">
        <v>735</v>
      </c>
      <c r="F1233" s="256" t="s">
        <v>783</v>
      </c>
      <c r="G1233" s="256" t="s">
        <v>773</v>
      </c>
      <c r="H1233" s="256" t="s">
        <v>776</v>
      </c>
      <c r="I1233" s="257">
        <v>0</v>
      </c>
      <c r="J1233" s="257">
        <v>0</v>
      </c>
      <c r="K1233" s="257">
        <v>0</v>
      </c>
      <c r="L1233" s="257">
        <v>0</v>
      </c>
      <c r="M1233" s="257">
        <v>0</v>
      </c>
      <c r="N1233" s="257">
        <v>0</v>
      </c>
      <c r="O1233" s="257">
        <v>0</v>
      </c>
      <c r="P1233" s="257">
        <v>0</v>
      </c>
      <c r="Q1233" s="258">
        <v>0</v>
      </c>
    </row>
    <row r="1234" spans="1:17">
      <c r="A1234" s="256">
        <v>3</v>
      </c>
      <c r="B1234" s="256">
        <v>6155301</v>
      </c>
      <c r="C1234" s="256">
        <v>615530102</v>
      </c>
      <c r="D1234" s="256" t="s">
        <v>734</v>
      </c>
      <c r="E1234" s="256" t="s">
        <v>735</v>
      </c>
      <c r="F1234" s="256" t="s">
        <v>851</v>
      </c>
      <c r="G1234" s="256" t="s">
        <v>112</v>
      </c>
      <c r="H1234" s="256" t="s">
        <v>737</v>
      </c>
      <c r="I1234" s="257">
        <v>0</v>
      </c>
      <c r="J1234" s="257">
        <v>0</v>
      </c>
      <c r="K1234" s="257">
        <v>0</v>
      </c>
      <c r="L1234" s="257">
        <v>0</v>
      </c>
      <c r="M1234" s="257">
        <v>0</v>
      </c>
      <c r="N1234" s="257">
        <v>0</v>
      </c>
      <c r="O1234" s="257">
        <v>0</v>
      </c>
      <c r="P1234" s="257">
        <v>0</v>
      </c>
      <c r="Q1234" s="258">
        <v>0</v>
      </c>
    </row>
    <row r="1235" spans="1:17">
      <c r="A1235" s="256">
        <v>3</v>
      </c>
      <c r="B1235" s="256">
        <v>6155301</v>
      </c>
      <c r="C1235" s="256">
        <v>615530103</v>
      </c>
      <c r="D1235" s="256" t="s">
        <v>734</v>
      </c>
      <c r="E1235" s="256" t="s">
        <v>735</v>
      </c>
      <c r="F1235" s="256" t="s">
        <v>851</v>
      </c>
      <c r="G1235" s="256" t="s">
        <v>112</v>
      </c>
      <c r="H1235" s="256" t="s">
        <v>738</v>
      </c>
      <c r="I1235" s="257">
        <v>0</v>
      </c>
      <c r="J1235" s="257">
        <v>0</v>
      </c>
      <c r="K1235" s="257">
        <v>0</v>
      </c>
      <c r="L1235" s="257">
        <v>0</v>
      </c>
      <c r="M1235" s="257">
        <v>0</v>
      </c>
      <c r="N1235" s="257">
        <v>0</v>
      </c>
      <c r="O1235" s="257">
        <v>0</v>
      </c>
      <c r="P1235" s="257">
        <v>0</v>
      </c>
      <c r="Q1235" s="258">
        <v>0</v>
      </c>
    </row>
    <row r="1236" spans="1:17">
      <c r="A1236" s="256">
        <v>3</v>
      </c>
      <c r="B1236" s="256">
        <v>6155301</v>
      </c>
      <c r="C1236" s="256">
        <v>615530104</v>
      </c>
      <c r="D1236" s="256" t="s">
        <v>734</v>
      </c>
      <c r="E1236" s="256" t="s">
        <v>735</v>
      </c>
      <c r="F1236" s="256" t="s">
        <v>851</v>
      </c>
      <c r="G1236" s="256" t="s">
        <v>112</v>
      </c>
      <c r="H1236" s="256" t="s">
        <v>739</v>
      </c>
      <c r="I1236" s="257">
        <v>0</v>
      </c>
      <c r="J1236" s="257">
        <v>0</v>
      </c>
      <c r="K1236" s="257">
        <v>0</v>
      </c>
      <c r="L1236" s="257">
        <v>0</v>
      </c>
      <c r="M1236" s="257">
        <v>0</v>
      </c>
      <c r="N1236" s="257">
        <v>0</v>
      </c>
      <c r="O1236" s="257">
        <v>0</v>
      </c>
      <c r="P1236" s="257">
        <v>0</v>
      </c>
      <c r="Q1236" s="258">
        <v>0</v>
      </c>
    </row>
    <row r="1237" spans="1:17">
      <c r="A1237" s="236">
        <v>3</v>
      </c>
      <c r="B1237" s="236">
        <v>6155301</v>
      </c>
      <c r="C1237" s="236">
        <v>615530105</v>
      </c>
      <c r="D1237" s="236" t="s">
        <v>734</v>
      </c>
      <c r="E1237" s="236" t="s">
        <v>735</v>
      </c>
      <c r="F1237" s="236" t="s">
        <v>851</v>
      </c>
      <c r="G1237" s="236" t="s">
        <v>112</v>
      </c>
      <c r="H1237" s="236" t="s">
        <v>859</v>
      </c>
      <c r="I1237" s="257">
        <v>0</v>
      </c>
      <c r="J1237" s="257">
        <v>0</v>
      </c>
      <c r="K1237" s="257">
        <v>0</v>
      </c>
      <c r="L1237" s="257">
        <v>0</v>
      </c>
      <c r="M1237" s="257">
        <v>0</v>
      </c>
      <c r="N1237" s="257">
        <v>0</v>
      </c>
      <c r="O1237" s="257">
        <v>0</v>
      </c>
      <c r="P1237" s="257">
        <v>0</v>
      </c>
      <c r="Q1237" s="258">
        <v>0</v>
      </c>
    </row>
    <row r="1238" spans="1:17">
      <c r="A1238" s="256">
        <v>3</v>
      </c>
      <c r="B1238" s="256">
        <v>6155302</v>
      </c>
      <c r="C1238" s="256">
        <v>615530202</v>
      </c>
      <c r="D1238" s="256" t="s">
        <v>734</v>
      </c>
      <c r="E1238" s="256" t="s">
        <v>735</v>
      </c>
      <c r="F1238" s="256" t="s">
        <v>851</v>
      </c>
      <c r="G1238" s="256" t="s">
        <v>110</v>
      </c>
      <c r="H1238" s="256" t="s">
        <v>741</v>
      </c>
      <c r="I1238" s="257">
        <v>3978000</v>
      </c>
      <c r="J1238" s="257">
        <v>0</v>
      </c>
      <c r="K1238" s="257">
        <v>0</v>
      </c>
      <c r="L1238" s="257">
        <v>0</v>
      </c>
      <c r="M1238" s="257">
        <v>0</v>
      </c>
      <c r="N1238" s="257">
        <v>0</v>
      </c>
      <c r="O1238" s="257">
        <v>0</v>
      </c>
      <c r="P1238" s="257">
        <v>3978000</v>
      </c>
      <c r="Q1238" s="258">
        <v>0</v>
      </c>
    </row>
    <row r="1239" spans="1:17">
      <c r="A1239" s="256">
        <v>3</v>
      </c>
      <c r="B1239" s="256">
        <v>6155303</v>
      </c>
      <c r="C1239" s="256">
        <v>615530301</v>
      </c>
      <c r="D1239" s="256" t="s">
        <v>734</v>
      </c>
      <c r="E1239" s="256" t="s">
        <v>735</v>
      </c>
      <c r="F1239" s="256" t="s">
        <v>851</v>
      </c>
      <c r="G1239" s="256" t="s">
        <v>108</v>
      </c>
      <c r="H1239" s="256" t="s">
        <v>742</v>
      </c>
      <c r="I1239" s="257">
        <v>397800</v>
      </c>
      <c r="J1239" s="257">
        <v>0</v>
      </c>
      <c r="K1239" s="257">
        <v>0</v>
      </c>
      <c r="L1239" s="257">
        <v>0</v>
      </c>
      <c r="M1239" s="257">
        <v>0</v>
      </c>
      <c r="N1239" s="257">
        <v>0</v>
      </c>
      <c r="O1239" s="257">
        <v>0</v>
      </c>
      <c r="P1239" s="257">
        <v>397800</v>
      </c>
      <c r="Q1239" s="258">
        <v>0</v>
      </c>
    </row>
    <row r="1240" spans="1:17">
      <c r="A1240" s="256">
        <v>3</v>
      </c>
      <c r="B1240" s="256">
        <v>6155303</v>
      </c>
      <c r="C1240" s="256">
        <v>615530302</v>
      </c>
      <c r="D1240" s="256" t="s">
        <v>734</v>
      </c>
      <c r="E1240" s="256" t="s">
        <v>735</v>
      </c>
      <c r="F1240" s="256" t="s">
        <v>851</v>
      </c>
      <c r="G1240" s="256" t="s">
        <v>108</v>
      </c>
      <c r="H1240" s="256" t="s">
        <v>743</v>
      </c>
      <c r="I1240" s="257">
        <v>0</v>
      </c>
      <c r="J1240" s="257">
        <v>0</v>
      </c>
      <c r="K1240" s="257">
        <v>0</v>
      </c>
      <c r="L1240" s="257">
        <v>0</v>
      </c>
      <c r="M1240" s="257">
        <v>0</v>
      </c>
      <c r="N1240" s="257">
        <v>0</v>
      </c>
      <c r="O1240" s="257">
        <v>0</v>
      </c>
      <c r="P1240" s="257">
        <v>0</v>
      </c>
      <c r="Q1240" s="258">
        <v>0</v>
      </c>
    </row>
    <row r="1241" spans="1:17">
      <c r="A1241" s="256">
        <v>3</v>
      </c>
      <c r="B1241" s="256">
        <v>6155303</v>
      </c>
      <c r="C1241" s="256">
        <v>615530303</v>
      </c>
      <c r="D1241" s="256" t="s">
        <v>734</v>
      </c>
      <c r="E1241" s="256" t="s">
        <v>735</v>
      </c>
      <c r="F1241" s="256" t="s">
        <v>851</v>
      </c>
      <c r="G1241" s="256" t="s">
        <v>108</v>
      </c>
      <c r="H1241" s="256" t="s">
        <v>744</v>
      </c>
      <c r="I1241" s="257">
        <v>1722969</v>
      </c>
      <c r="J1241" s="257">
        <v>0</v>
      </c>
      <c r="K1241" s="257">
        <v>0</v>
      </c>
      <c r="L1241" s="257">
        <v>0</v>
      </c>
      <c r="M1241" s="257">
        <v>0</v>
      </c>
      <c r="N1241" s="257">
        <v>0</v>
      </c>
      <c r="O1241" s="257">
        <v>0</v>
      </c>
      <c r="P1241" s="257">
        <v>1722969</v>
      </c>
      <c r="Q1241" s="258">
        <v>0</v>
      </c>
    </row>
    <row r="1242" spans="1:17">
      <c r="A1242" s="256">
        <v>3</v>
      </c>
      <c r="B1242" s="256">
        <v>6155303</v>
      </c>
      <c r="C1242" s="256">
        <v>615530304</v>
      </c>
      <c r="D1242" s="256" t="s">
        <v>734</v>
      </c>
      <c r="E1242" s="256" t="s">
        <v>735</v>
      </c>
      <c r="F1242" s="256" t="s">
        <v>851</v>
      </c>
      <c r="G1242" s="256" t="s">
        <v>108</v>
      </c>
      <c r="H1242" s="256" t="s">
        <v>745</v>
      </c>
      <c r="I1242" s="257">
        <v>242040</v>
      </c>
      <c r="J1242" s="257">
        <v>0</v>
      </c>
      <c r="K1242" s="257">
        <v>0</v>
      </c>
      <c r="L1242" s="257">
        <v>0</v>
      </c>
      <c r="M1242" s="257">
        <v>0</v>
      </c>
      <c r="N1242" s="257">
        <v>242040</v>
      </c>
      <c r="O1242" s="257">
        <v>0</v>
      </c>
      <c r="P1242" s="257">
        <v>0</v>
      </c>
      <c r="Q1242" s="258">
        <v>0</v>
      </c>
    </row>
    <row r="1243" spans="1:17">
      <c r="A1243" s="256">
        <v>3</v>
      </c>
      <c r="B1243" s="256">
        <v>6155303</v>
      </c>
      <c r="C1243" s="256">
        <v>615530305</v>
      </c>
      <c r="D1243" s="256" t="s">
        <v>734</v>
      </c>
      <c r="E1243" s="256" t="s">
        <v>735</v>
      </c>
      <c r="F1243" s="256" t="s">
        <v>851</v>
      </c>
      <c r="G1243" s="256" t="s">
        <v>108</v>
      </c>
      <c r="H1243" s="256" t="s">
        <v>746</v>
      </c>
      <c r="I1243" s="257">
        <v>0</v>
      </c>
      <c r="J1243" s="257">
        <v>0</v>
      </c>
      <c r="K1243" s="257">
        <v>0</v>
      </c>
      <c r="L1243" s="257">
        <v>0</v>
      </c>
      <c r="M1243" s="257">
        <v>0</v>
      </c>
      <c r="N1243" s="257">
        <v>0</v>
      </c>
      <c r="O1243" s="257">
        <v>0</v>
      </c>
      <c r="P1243" s="257">
        <v>0</v>
      </c>
      <c r="Q1243" s="258">
        <v>0</v>
      </c>
    </row>
    <row r="1244" spans="1:17">
      <c r="A1244" s="256">
        <v>3</v>
      </c>
      <c r="B1244" s="256">
        <v>6155303</v>
      </c>
      <c r="C1244" s="256">
        <v>615530306</v>
      </c>
      <c r="D1244" s="256" t="s">
        <v>734</v>
      </c>
      <c r="E1244" s="256" t="s">
        <v>735</v>
      </c>
      <c r="F1244" s="256" t="s">
        <v>851</v>
      </c>
      <c r="G1244" s="256" t="s">
        <v>108</v>
      </c>
      <c r="H1244" s="256" t="s">
        <v>747</v>
      </c>
      <c r="I1244" s="257">
        <v>0</v>
      </c>
      <c r="J1244" s="257">
        <v>0</v>
      </c>
      <c r="K1244" s="257">
        <v>0</v>
      </c>
      <c r="L1244" s="257">
        <v>0</v>
      </c>
      <c r="M1244" s="257">
        <v>0</v>
      </c>
      <c r="N1244" s="257">
        <v>0</v>
      </c>
      <c r="O1244" s="257">
        <v>0</v>
      </c>
      <c r="P1244" s="257">
        <v>0</v>
      </c>
      <c r="Q1244" s="258">
        <v>0</v>
      </c>
    </row>
    <row r="1245" spans="1:17">
      <c r="A1245" s="256">
        <v>3</v>
      </c>
      <c r="B1245" s="256">
        <v>6155303</v>
      </c>
      <c r="C1245" s="256">
        <v>615530307</v>
      </c>
      <c r="D1245" s="256" t="s">
        <v>734</v>
      </c>
      <c r="E1245" s="256" t="s">
        <v>735</v>
      </c>
      <c r="F1245" s="256" t="s">
        <v>851</v>
      </c>
      <c r="G1245" s="256" t="s">
        <v>108</v>
      </c>
      <c r="H1245" s="256" t="s">
        <v>748</v>
      </c>
      <c r="I1245" s="257">
        <v>0</v>
      </c>
      <c r="J1245" s="257">
        <v>0</v>
      </c>
      <c r="K1245" s="257">
        <v>0</v>
      </c>
      <c r="L1245" s="257">
        <v>0</v>
      </c>
      <c r="M1245" s="257">
        <v>0</v>
      </c>
      <c r="N1245" s="257">
        <v>0</v>
      </c>
      <c r="O1245" s="257">
        <v>0</v>
      </c>
      <c r="P1245" s="257">
        <v>0</v>
      </c>
      <c r="Q1245" s="258">
        <v>0</v>
      </c>
    </row>
    <row r="1246" spans="1:17">
      <c r="A1246" s="256">
        <v>3</v>
      </c>
      <c r="B1246" s="256">
        <v>6155303</v>
      </c>
      <c r="C1246" s="256">
        <v>615530310</v>
      </c>
      <c r="D1246" s="256" t="s">
        <v>734</v>
      </c>
      <c r="E1246" s="256" t="s">
        <v>735</v>
      </c>
      <c r="F1246" s="256" t="s">
        <v>851</v>
      </c>
      <c r="G1246" s="256" t="s">
        <v>108</v>
      </c>
      <c r="H1246" s="256" t="s">
        <v>749</v>
      </c>
      <c r="I1246" s="257">
        <v>631575</v>
      </c>
      <c r="J1246" s="257">
        <v>0</v>
      </c>
      <c r="K1246" s="257">
        <v>0</v>
      </c>
      <c r="L1246" s="257">
        <v>0</v>
      </c>
      <c r="M1246" s="257">
        <v>0</v>
      </c>
      <c r="N1246" s="257">
        <v>0</v>
      </c>
      <c r="O1246" s="257">
        <v>0</v>
      </c>
      <c r="P1246" s="257">
        <v>631575</v>
      </c>
      <c r="Q1246" s="258">
        <v>0</v>
      </c>
    </row>
    <row r="1247" spans="1:17">
      <c r="A1247" s="256">
        <v>3</v>
      </c>
      <c r="B1247" s="256">
        <v>6155303</v>
      </c>
      <c r="C1247" s="256">
        <v>615530311</v>
      </c>
      <c r="D1247" s="256" t="s">
        <v>734</v>
      </c>
      <c r="E1247" s="256" t="s">
        <v>735</v>
      </c>
      <c r="F1247" s="256" t="s">
        <v>851</v>
      </c>
      <c r="G1247" s="256" t="s">
        <v>108</v>
      </c>
      <c r="H1247" s="256" t="s">
        <v>750</v>
      </c>
      <c r="I1247" s="257">
        <v>0</v>
      </c>
      <c r="J1247" s="257">
        <v>0</v>
      </c>
      <c r="K1247" s="257">
        <v>0</v>
      </c>
      <c r="L1247" s="257">
        <v>0</v>
      </c>
      <c r="M1247" s="257">
        <v>0</v>
      </c>
      <c r="N1247" s="257">
        <v>0</v>
      </c>
      <c r="O1247" s="257">
        <v>0</v>
      </c>
      <c r="P1247" s="257">
        <v>0</v>
      </c>
      <c r="Q1247" s="258">
        <v>0</v>
      </c>
    </row>
    <row r="1248" spans="1:17">
      <c r="A1248" s="256">
        <v>3</v>
      </c>
      <c r="B1248" s="256">
        <v>6155303</v>
      </c>
      <c r="C1248" s="256">
        <v>615530314</v>
      </c>
      <c r="D1248" s="256" t="s">
        <v>734</v>
      </c>
      <c r="E1248" s="256" t="s">
        <v>735</v>
      </c>
      <c r="F1248" s="256" t="s">
        <v>851</v>
      </c>
      <c r="G1248" s="256" t="s">
        <v>108</v>
      </c>
      <c r="H1248" s="256" t="s">
        <v>751</v>
      </c>
      <c r="I1248" s="257">
        <v>0</v>
      </c>
      <c r="J1248" s="257">
        <v>0</v>
      </c>
      <c r="K1248" s="257">
        <v>0</v>
      </c>
      <c r="L1248" s="257">
        <v>0</v>
      </c>
      <c r="M1248" s="257">
        <v>0</v>
      </c>
      <c r="N1248" s="257">
        <v>0</v>
      </c>
      <c r="O1248" s="257">
        <v>0</v>
      </c>
      <c r="P1248" s="257">
        <v>0</v>
      </c>
      <c r="Q1248" s="258">
        <v>0</v>
      </c>
    </row>
    <row r="1249" spans="1:17">
      <c r="A1249" s="256">
        <v>3</v>
      </c>
      <c r="B1249" s="256">
        <v>6155303</v>
      </c>
      <c r="C1249" s="256">
        <v>615530315</v>
      </c>
      <c r="D1249" s="256" t="s">
        <v>734</v>
      </c>
      <c r="E1249" s="256" t="s">
        <v>735</v>
      </c>
      <c r="F1249" s="256" t="s">
        <v>851</v>
      </c>
      <c r="G1249" s="256" t="s">
        <v>108</v>
      </c>
      <c r="H1249" s="256" t="s">
        <v>752</v>
      </c>
      <c r="I1249" s="257">
        <v>0</v>
      </c>
      <c r="J1249" s="257">
        <v>0</v>
      </c>
      <c r="K1249" s="257">
        <v>0</v>
      </c>
      <c r="L1249" s="257">
        <v>0</v>
      </c>
      <c r="M1249" s="257">
        <v>0</v>
      </c>
      <c r="N1249" s="257">
        <v>0</v>
      </c>
      <c r="O1249" s="257">
        <v>0</v>
      </c>
      <c r="P1249" s="257">
        <v>0</v>
      </c>
      <c r="Q1249" s="258">
        <v>0</v>
      </c>
    </row>
    <row r="1250" spans="1:17">
      <c r="A1250" s="256">
        <v>3</v>
      </c>
      <c r="B1250" s="256">
        <v>6155303</v>
      </c>
      <c r="C1250" s="256">
        <v>615530316</v>
      </c>
      <c r="D1250" s="256" t="s">
        <v>734</v>
      </c>
      <c r="E1250" s="256" t="s">
        <v>735</v>
      </c>
      <c r="F1250" s="256" t="s">
        <v>851</v>
      </c>
      <c r="G1250" s="256" t="s">
        <v>108</v>
      </c>
      <c r="H1250" s="256" t="s">
        <v>753</v>
      </c>
      <c r="I1250" s="257">
        <v>0</v>
      </c>
      <c r="J1250" s="257">
        <v>0</v>
      </c>
      <c r="K1250" s="257">
        <v>0</v>
      </c>
      <c r="L1250" s="257">
        <v>0</v>
      </c>
      <c r="M1250" s="257">
        <v>0</v>
      </c>
      <c r="N1250" s="257">
        <v>0</v>
      </c>
      <c r="O1250" s="257">
        <v>0</v>
      </c>
      <c r="P1250" s="257">
        <v>0</v>
      </c>
      <c r="Q1250" s="258">
        <v>0</v>
      </c>
    </row>
    <row r="1251" spans="1:17">
      <c r="A1251" s="256">
        <v>3</v>
      </c>
      <c r="B1251" s="256">
        <v>6155303</v>
      </c>
      <c r="C1251" s="256">
        <v>615530319</v>
      </c>
      <c r="D1251" s="256" t="s">
        <v>734</v>
      </c>
      <c r="E1251" s="256" t="s">
        <v>735</v>
      </c>
      <c r="F1251" s="256" t="s">
        <v>851</v>
      </c>
      <c r="G1251" s="256" t="s">
        <v>108</v>
      </c>
      <c r="H1251" s="256" t="s">
        <v>754</v>
      </c>
      <c r="I1251" s="257">
        <v>0</v>
      </c>
      <c r="J1251" s="257">
        <v>0</v>
      </c>
      <c r="K1251" s="257">
        <v>0</v>
      </c>
      <c r="L1251" s="257">
        <v>0</v>
      </c>
      <c r="M1251" s="257">
        <v>0</v>
      </c>
      <c r="N1251" s="257">
        <v>0</v>
      </c>
      <c r="O1251" s="257">
        <v>0</v>
      </c>
      <c r="P1251" s="257">
        <v>0</v>
      </c>
      <c r="Q1251" s="258">
        <v>0</v>
      </c>
    </row>
    <row r="1252" spans="1:17">
      <c r="A1252" s="256">
        <v>3</v>
      </c>
      <c r="B1252" s="256">
        <v>6155304</v>
      </c>
      <c r="C1252" s="256">
        <v>615530401</v>
      </c>
      <c r="D1252" s="256" t="s">
        <v>734</v>
      </c>
      <c r="E1252" s="256" t="s">
        <v>735</v>
      </c>
      <c r="F1252" s="256" t="s">
        <v>851</v>
      </c>
      <c r="G1252" s="256" t="s">
        <v>106</v>
      </c>
      <c r="H1252" s="256" t="s">
        <v>755</v>
      </c>
      <c r="I1252" s="257">
        <v>1040529</v>
      </c>
      <c r="J1252" s="257">
        <v>0</v>
      </c>
      <c r="K1252" s="257">
        <v>0</v>
      </c>
      <c r="L1252" s="257">
        <v>0</v>
      </c>
      <c r="M1252" s="257">
        <v>0</v>
      </c>
      <c r="N1252" s="257">
        <v>0</v>
      </c>
      <c r="O1252" s="257">
        <v>1040529</v>
      </c>
      <c r="P1252" s="257">
        <v>0</v>
      </c>
      <c r="Q1252" s="258">
        <v>0</v>
      </c>
    </row>
    <row r="1253" spans="1:17">
      <c r="A1253" s="256">
        <v>3</v>
      </c>
      <c r="B1253" s="256">
        <v>6155304</v>
      </c>
      <c r="C1253" s="256">
        <v>615530402</v>
      </c>
      <c r="D1253" s="256" t="s">
        <v>734</v>
      </c>
      <c r="E1253" s="256" t="s">
        <v>735</v>
      </c>
      <c r="F1253" s="256" t="s">
        <v>851</v>
      </c>
      <c r="G1253" s="256" t="s">
        <v>106</v>
      </c>
      <c r="H1253" s="256" t="s">
        <v>756</v>
      </c>
      <c r="I1253" s="257">
        <v>5964</v>
      </c>
      <c r="J1253" s="257">
        <v>0</v>
      </c>
      <c r="K1253" s="257">
        <v>0</v>
      </c>
      <c r="L1253" s="257">
        <v>0</v>
      </c>
      <c r="M1253" s="257">
        <v>0</v>
      </c>
      <c r="N1253" s="257">
        <v>0</v>
      </c>
      <c r="O1253" s="257">
        <v>0</v>
      </c>
      <c r="P1253" s="257">
        <v>5964</v>
      </c>
      <c r="Q1253" s="258">
        <v>0</v>
      </c>
    </row>
    <row r="1254" spans="1:17">
      <c r="A1254" s="256">
        <v>3</v>
      </c>
      <c r="B1254" s="256">
        <v>6155304</v>
      </c>
      <c r="C1254" s="256">
        <v>615530403</v>
      </c>
      <c r="D1254" s="256" t="s">
        <v>734</v>
      </c>
      <c r="E1254" s="256" t="s">
        <v>735</v>
      </c>
      <c r="F1254" s="256" t="s">
        <v>851</v>
      </c>
      <c r="G1254" s="256" t="s">
        <v>106</v>
      </c>
      <c r="H1254" s="256" t="s">
        <v>757</v>
      </c>
      <c r="I1254" s="257">
        <v>0</v>
      </c>
      <c r="J1254" s="257">
        <v>0</v>
      </c>
      <c r="K1254" s="257">
        <v>0</v>
      </c>
      <c r="L1254" s="257">
        <v>0</v>
      </c>
      <c r="M1254" s="257">
        <v>0</v>
      </c>
      <c r="N1254" s="257">
        <v>0</v>
      </c>
      <c r="O1254" s="257">
        <v>0</v>
      </c>
      <c r="P1254" s="257">
        <v>0</v>
      </c>
      <c r="Q1254" s="258">
        <v>0</v>
      </c>
    </row>
    <row r="1255" spans="1:17">
      <c r="A1255" s="256">
        <v>3</v>
      </c>
      <c r="B1255" s="256">
        <v>6155304</v>
      </c>
      <c r="C1255" s="256">
        <v>615530405</v>
      </c>
      <c r="D1255" s="256" t="s">
        <v>734</v>
      </c>
      <c r="E1255" s="256" t="s">
        <v>735</v>
      </c>
      <c r="F1255" s="256" t="s">
        <v>851</v>
      </c>
      <c r="G1255" s="256" t="s">
        <v>106</v>
      </c>
      <c r="H1255" s="256" t="s">
        <v>758</v>
      </c>
      <c r="I1255" s="257">
        <v>0</v>
      </c>
      <c r="J1255" s="257">
        <v>0</v>
      </c>
      <c r="K1255" s="257">
        <v>0</v>
      </c>
      <c r="L1255" s="257">
        <v>0</v>
      </c>
      <c r="M1255" s="257">
        <v>0</v>
      </c>
      <c r="N1255" s="257">
        <v>0</v>
      </c>
      <c r="O1255" s="257">
        <v>0</v>
      </c>
      <c r="P1255" s="257">
        <v>0</v>
      </c>
      <c r="Q1255" s="258">
        <v>0</v>
      </c>
    </row>
    <row r="1256" spans="1:17">
      <c r="A1256" s="256">
        <v>3</v>
      </c>
      <c r="B1256" s="256">
        <v>6155304</v>
      </c>
      <c r="C1256" s="256">
        <v>615530406</v>
      </c>
      <c r="D1256" s="256" t="s">
        <v>734</v>
      </c>
      <c r="E1256" s="256" t="s">
        <v>735</v>
      </c>
      <c r="F1256" s="256" t="s">
        <v>851</v>
      </c>
      <c r="G1256" s="256" t="s">
        <v>106</v>
      </c>
      <c r="H1256" s="256" t="s">
        <v>759</v>
      </c>
      <c r="I1256" s="257">
        <v>0</v>
      </c>
      <c r="J1256" s="257">
        <v>0</v>
      </c>
      <c r="K1256" s="257">
        <v>0</v>
      </c>
      <c r="L1256" s="257">
        <v>0</v>
      </c>
      <c r="M1256" s="257">
        <v>0</v>
      </c>
      <c r="N1256" s="257">
        <v>0</v>
      </c>
      <c r="O1256" s="257">
        <v>0</v>
      </c>
      <c r="P1256" s="257">
        <v>0</v>
      </c>
      <c r="Q1256" s="258">
        <v>0</v>
      </c>
    </row>
    <row r="1257" spans="1:17">
      <c r="A1257" s="256">
        <v>3</v>
      </c>
      <c r="B1257" s="256">
        <v>6155304</v>
      </c>
      <c r="C1257" s="256">
        <v>615530407</v>
      </c>
      <c r="D1257" s="256" t="s">
        <v>734</v>
      </c>
      <c r="E1257" s="256" t="s">
        <v>735</v>
      </c>
      <c r="F1257" s="256" t="s">
        <v>851</v>
      </c>
      <c r="G1257" s="256" t="s">
        <v>106</v>
      </c>
      <c r="H1257" s="256" t="s">
        <v>760</v>
      </c>
      <c r="I1257" s="257">
        <v>0</v>
      </c>
      <c r="J1257" s="257">
        <v>0</v>
      </c>
      <c r="K1257" s="257">
        <v>0</v>
      </c>
      <c r="L1257" s="257">
        <v>0</v>
      </c>
      <c r="M1257" s="257">
        <v>0</v>
      </c>
      <c r="N1257" s="257">
        <v>0</v>
      </c>
      <c r="O1257" s="257">
        <v>0</v>
      </c>
      <c r="P1257" s="257">
        <v>0</v>
      </c>
      <c r="Q1257" s="258">
        <v>0</v>
      </c>
    </row>
    <row r="1258" spans="1:17">
      <c r="A1258" s="256">
        <v>3</v>
      </c>
      <c r="B1258" s="256">
        <v>6155304</v>
      </c>
      <c r="C1258" s="256">
        <v>615530408</v>
      </c>
      <c r="D1258" s="256" t="s">
        <v>734</v>
      </c>
      <c r="E1258" s="256" t="s">
        <v>735</v>
      </c>
      <c r="F1258" s="256" t="s">
        <v>851</v>
      </c>
      <c r="G1258" s="256" t="s">
        <v>106</v>
      </c>
      <c r="H1258" s="256" t="s">
        <v>761</v>
      </c>
      <c r="I1258" s="257">
        <v>0</v>
      </c>
      <c r="J1258" s="257">
        <v>0</v>
      </c>
      <c r="K1258" s="257">
        <v>0</v>
      </c>
      <c r="L1258" s="257">
        <v>0</v>
      </c>
      <c r="M1258" s="257">
        <v>0</v>
      </c>
      <c r="N1258" s="257">
        <v>0</v>
      </c>
      <c r="O1258" s="257">
        <v>0</v>
      </c>
      <c r="P1258" s="257">
        <v>0</v>
      </c>
      <c r="Q1258" s="258">
        <v>0</v>
      </c>
    </row>
    <row r="1259" spans="1:17">
      <c r="A1259" s="256">
        <v>3</v>
      </c>
      <c r="B1259" s="256">
        <v>6155304</v>
      </c>
      <c r="C1259" s="256">
        <v>615530410</v>
      </c>
      <c r="D1259" s="256" t="s">
        <v>734</v>
      </c>
      <c r="E1259" s="256" t="s">
        <v>735</v>
      </c>
      <c r="F1259" s="256" t="s">
        <v>851</v>
      </c>
      <c r="G1259" s="256" t="s">
        <v>106</v>
      </c>
      <c r="H1259" s="256" t="s">
        <v>762</v>
      </c>
      <c r="I1259" s="257">
        <v>395370</v>
      </c>
      <c r="J1259" s="257">
        <v>0</v>
      </c>
      <c r="K1259" s="257">
        <v>0</v>
      </c>
      <c r="L1259" s="257">
        <v>0</v>
      </c>
      <c r="M1259" s="257">
        <v>0</v>
      </c>
      <c r="N1259" s="257">
        <v>0</v>
      </c>
      <c r="O1259" s="257">
        <v>395370</v>
      </c>
      <c r="P1259" s="257">
        <v>0</v>
      </c>
      <c r="Q1259" s="258">
        <v>0</v>
      </c>
    </row>
    <row r="1260" spans="1:17">
      <c r="A1260" s="256">
        <v>3</v>
      </c>
      <c r="B1260" s="256">
        <v>6155304</v>
      </c>
      <c r="C1260" s="256">
        <v>615530411</v>
      </c>
      <c r="D1260" s="256" t="s">
        <v>734</v>
      </c>
      <c r="E1260" s="256" t="s">
        <v>735</v>
      </c>
      <c r="F1260" s="256" t="s">
        <v>851</v>
      </c>
      <c r="G1260" s="256" t="s">
        <v>106</v>
      </c>
      <c r="H1260" s="256" t="s">
        <v>763</v>
      </c>
      <c r="I1260" s="257">
        <v>0</v>
      </c>
      <c r="J1260" s="257">
        <v>0</v>
      </c>
      <c r="K1260" s="257">
        <v>0</v>
      </c>
      <c r="L1260" s="257">
        <v>0</v>
      </c>
      <c r="M1260" s="257">
        <v>0</v>
      </c>
      <c r="N1260" s="257">
        <v>0</v>
      </c>
      <c r="O1260" s="257">
        <v>0</v>
      </c>
      <c r="P1260" s="257">
        <v>0</v>
      </c>
      <c r="Q1260" s="258">
        <v>0</v>
      </c>
    </row>
    <row r="1261" spans="1:17">
      <c r="A1261" s="256">
        <v>3</v>
      </c>
      <c r="B1261" s="256">
        <v>6155305</v>
      </c>
      <c r="C1261" s="256">
        <v>615530500</v>
      </c>
      <c r="D1261" s="256" t="s">
        <v>734</v>
      </c>
      <c r="E1261" s="256" t="s">
        <v>735</v>
      </c>
      <c r="F1261" s="256" t="s">
        <v>851</v>
      </c>
      <c r="G1261" s="256" t="s">
        <v>104</v>
      </c>
      <c r="H1261" s="256"/>
      <c r="I1261" s="257">
        <v>0</v>
      </c>
      <c r="J1261" s="257">
        <v>0</v>
      </c>
      <c r="K1261" s="257">
        <v>0</v>
      </c>
      <c r="L1261" s="257">
        <v>0</v>
      </c>
      <c r="M1261" s="257">
        <v>0</v>
      </c>
      <c r="N1261" s="257">
        <v>0</v>
      </c>
      <c r="O1261" s="257">
        <v>0</v>
      </c>
      <c r="P1261" s="257">
        <v>0</v>
      </c>
      <c r="Q1261" s="258">
        <v>0</v>
      </c>
    </row>
    <row r="1262" spans="1:17">
      <c r="A1262" s="256">
        <v>3</v>
      </c>
      <c r="B1262" s="256">
        <v>6155307</v>
      </c>
      <c r="C1262" s="256">
        <v>615530700</v>
      </c>
      <c r="D1262" s="256" t="s">
        <v>734</v>
      </c>
      <c r="E1262" s="256" t="s">
        <v>735</v>
      </c>
      <c r="F1262" s="256" t="s">
        <v>851</v>
      </c>
      <c r="G1262" s="256" t="s">
        <v>102</v>
      </c>
      <c r="H1262" s="256"/>
      <c r="I1262" s="257">
        <v>0</v>
      </c>
      <c r="J1262" s="257">
        <v>0</v>
      </c>
      <c r="K1262" s="257">
        <v>0</v>
      </c>
      <c r="L1262" s="257">
        <v>0</v>
      </c>
      <c r="M1262" s="257">
        <v>0</v>
      </c>
      <c r="N1262" s="257">
        <v>0</v>
      </c>
      <c r="O1262" s="257">
        <v>0</v>
      </c>
      <c r="P1262" s="257">
        <v>0</v>
      </c>
      <c r="Q1262" s="258">
        <v>0</v>
      </c>
    </row>
    <row r="1263" spans="1:17">
      <c r="A1263" s="256">
        <v>3</v>
      </c>
      <c r="B1263" s="256">
        <v>6155308</v>
      </c>
      <c r="C1263" s="256">
        <v>615530800</v>
      </c>
      <c r="D1263" s="256" t="s">
        <v>734</v>
      </c>
      <c r="E1263" s="256" t="s">
        <v>735</v>
      </c>
      <c r="F1263" s="256" t="s">
        <v>851</v>
      </c>
      <c r="G1263" s="256" t="s">
        <v>100</v>
      </c>
      <c r="H1263" s="256"/>
      <c r="I1263" s="257">
        <v>798400</v>
      </c>
      <c r="J1263" s="257">
        <v>0</v>
      </c>
      <c r="K1263" s="257">
        <v>0</v>
      </c>
      <c r="L1263" s="257">
        <v>0</v>
      </c>
      <c r="M1263" s="257">
        <v>0</v>
      </c>
      <c r="N1263" s="257">
        <v>0</v>
      </c>
      <c r="O1263" s="257">
        <v>0</v>
      </c>
      <c r="P1263" s="257">
        <v>798400</v>
      </c>
      <c r="Q1263" s="258">
        <v>0</v>
      </c>
    </row>
    <row r="1264" spans="1:17">
      <c r="A1264" s="256">
        <v>3</v>
      </c>
      <c r="B1264" s="256">
        <v>6155310</v>
      </c>
      <c r="C1264" s="256">
        <v>615531001</v>
      </c>
      <c r="D1264" s="256" t="s">
        <v>734</v>
      </c>
      <c r="E1264" s="256" t="s">
        <v>735</v>
      </c>
      <c r="F1264" s="256" t="s">
        <v>851</v>
      </c>
      <c r="G1264" s="256" t="s">
        <v>764</v>
      </c>
      <c r="H1264" s="256" t="s">
        <v>98</v>
      </c>
      <c r="I1264" s="257">
        <v>0</v>
      </c>
      <c r="J1264" s="257">
        <v>0</v>
      </c>
      <c r="K1264" s="257">
        <v>0</v>
      </c>
      <c r="L1264" s="257">
        <v>0</v>
      </c>
      <c r="M1264" s="257">
        <v>0</v>
      </c>
      <c r="N1264" s="257">
        <v>0</v>
      </c>
      <c r="O1264" s="257">
        <v>0</v>
      </c>
      <c r="P1264" s="257">
        <v>0</v>
      </c>
      <c r="Q1264" s="258">
        <v>0</v>
      </c>
    </row>
    <row r="1265" spans="1:17">
      <c r="A1265" s="256">
        <v>3</v>
      </c>
      <c r="B1265" s="256">
        <v>6155310</v>
      </c>
      <c r="C1265" s="256">
        <v>615531002</v>
      </c>
      <c r="D1265" s="256" t="s">
        <v>734</v>
      </c>
      <c r="E1265" s="256" t="s">
        <v>735</v>
      </c>
      <c r="F1265" s="256" t="s">
        <v>851</v>
      </c>
      <c r="G1265" s="256" t="s">
        <v>764</v>
      </c>
      <c r="H1265" s="256" t="s">
        <v>95</v>
      </c>
      <c r="I1265" s="257">
        <v>0</v>
      </c>
      <c r="J1265" s="257">
        <v>0</v>
      </c>
      <c r="K1265" s="257">
        <v>0</v>
      </c>
      <c r="L1265" s="257">
        <v>0</v>
      </c>
      <c r="M1265" s="257">
        <v>0</v>
      </c>
      <c r="N1265" s="257">
        <v>0</v>
      </c>
      <c r="O1265" s="257">
        <v>0</v>
      </c>
      <c r="P1265" s="257">
        <v>0</v>
      </c>
      <c r="Q1265" s="258">
        <v>0</v>
      </c>
    </row>
    <row r="1266" spans="1:17">
      <c r="A1266" s="236">
        <v>3</v>
      </c>
      <c r="B1266" s="236">
        <v>6155310</v>
      </c>
      <c r="C1266" s="236">
        <v>615531003</v>
      </c>
      <c r="D1266" s="236" t="s">
        <v>734</v>
      </c>
      <c r="E1266" s="236" t="s">
        <v>735</v>
      </c>
      <c r="F1266" s="236" t="s">
        <v>851</v>
      </c>
      <c r="G1266" s="236" t="s">
        <v>764</v>
      </c>
      <c r="H1266" s="236" t="s">
        <v>765</v>
      </c>
      <c r="I1266" s="257">
        <v>0</v>
      </c>
      <c r="J1266" s="257">
        <v>0</v>
      </c>
      <c r="K1266" s="257">
        <v>0</v>
      </c>
      <c r="L1266" s="257">
        <v>0</v>
      </c>
      <c r="M1266" s="257">
        <v>0</v>
      </c>
      <c r="N1266" s="257">
        <v>0</v>
      </c>
      <c r="O1266" s="257">
        <v>0</v>
      </c>
      <c r="P1266" s="257">
        <v>0</v>
      </c>
      <c r="Q1266" s="258">
        <v>0</v>
      </c>
    </row>
    <row r="1267" spans="1:17">
      <c r="A1267" s="256">
        <v>3</v>
      </c>
      <c r="B1267" s="256">
        <v>6155313</v>
      </c>
      <c r="C1267" s="256">
        <v>615531300</v>
      </c>
      <c r="D1267" s="256" t="s">
        <v>734</v>
      </c>
      <c r="E1267" s="256" t="s">
        <v>735</v>
      </c>
      <c r="F1267" s="256" t="s">
        <v>851</v>
      </c>
      <c r="G1267" s="256" t="s">
        <v>93</v>
      </c>
      <c r="H1267" s="256"/>
      <c r="I1267" s="257">
        <v>276770</v>
      </c>
      <c r="J1267" s="257">
        <v>0</v>
      </c>
      <c r="K1267" s="257">
        <v>0</v>
      </c>
      <c r="L1267" s="257">
        <v>0</v>
      </c>
      <c r="M1267" s="257">
        <v>0</v>
      </c>
      <c r="N1267" s="257">
        <v>276770</v>
      </c>
      <c r="O1267" s="257">
        <v>0</v>
      </c>
      <c r="P1267" s="257">
        <v>0</v>
      </c>
      <c r="Q1267" s="258">
        <v>0</v>
      </c>
    </row>
    <row r="1268" spans="1:17">
      <c r="A1268" s="256">
        <v>3</v>
      </c>
      <c r="B1268" s="256">
        <v>6155314</v>
      </c>
      <c r="C1268" s="256">
        <v>615531400</v>
      </c>
      <c r="D1268" s="256" t="s">
        <v>734</v>
      </c>
      <c r="E1268" s="256" t="s">
        <v>735</v>
      </c>
      <c r="F1268" s="256" t="s">
        <v>851</v>
      </c>
      <c r="G1268" s="256" t="s">
        <v>91</v>
      </c>
      <c r="H1268" s="256"/>
      <c r="I1268" s="257">
        <v>134790</v>
      </c>
      <c r="J1268" s="257">
        <v>0</v>
      </c>
      <c r="K1268" s="257">
        <v>0</v>
      </c>
      <c r="L1268" s="257">
        <v>0</v>
      </c>
      <c r="M1268" s="257">
        <v>0</v>
      </c>
      <c r="N1268" s="257">
        <v>134790</v>
      </c>
      <c r="O1268" s="257">
        <v>0</v>
      </c>
      <c r="P1268" s="257">
        <v>0</v>
      </c>
      <c r="Q1268" s="258">
        <v>0</v>
      </c>
    </row>
    <row r="1269" spans="1:17">
      <c r="A1269" s="256">
        <v>3</v>
      </c>
      <c r="B1269" s="256">
        <v>6155315</v>
      </c>
      <c r="C1269" s="256">
        <v>615531500</v>
      </c>
      <c r="D1269" s="256" t="s">
        <v>734</v>
      </c>
      <c r="E1269" s="256" t="s">
        <v>735</v>
      </c>
      <c r="F1269" s="256" t="s">
        <v>851</v>
      </c>
      <c r="G1269" s="256" t="s">
        <v>89</v>
      </c>
      <c r="H1269" s="256"/>
      <c r="I1269" s="257">
        <v>0</v>
      </c>
      <c r="J1269" s="257">
        <v>0</v>
      </c>
      <c r="K1269" s="257">
        <v>0</v>
      </c>
      <c r="L1269" s="257">
        <v>0</v>
      </c>
      <c r="M1269" s="257">
        <v>0</v>
      </c>
      <c r="N1269" s="257">
        <v>0</v>
      </c>
      <c r="O1269" s="257">
        <v>0</v>
      </c>
      <c r="P1269" s="257">
        <v>0</v>
      </c>
      <c r="Q1269" s="258">
        <v>0</v>
      </c>
    </row>
    <row r="1270" spans="1:17">
      <c r="A1270" s="256">
        <v>3</v>
      </c>
      <c r="B1270" s="256">
        <v>6155317</v>
      </c>
      <c r="C1270" s="256">
        <v>615531700</v>
      </c>
      <c r="D1270" s="256" t="s">
        <v>734</v>
      </c>
      <c r="E1270" s="256" t="s">
        <v>735</v>
      </c>
      <c r="F1270" s="256" t="s">
        <v>851</v>
      </c>
      <c r="G1270" s="256" t="s">
        <v>87</v>
      </c>
      <c r="H1270" s="256"/>
      <c r="I1270" s="257">
        <v>33182</v>
      </c>
      <c r="J1270" s="257">
        <v>0</v>
      </c>
      <c r="K1270" s="257">
        <v>0</v>
      </c>
      <c r="L1270" s="257">
        <v>0</v>
      </c>
      <c r="M1270" s="257">
        <v>0</v>
      </c>
      <c r="N1270" s="257">
        <v>33182</v>
      </c>
      <c r="O1270" s="257">
        <v>0</v>
      </c>
      <c r="P1270" s="257">
        <v>0</v>
      </c>
      <c r="Q1270" s="258">
        <v>0</v>
      </c>
    </row>
    <row r="1271" spans="1:17">
      <c r="A1271" s="256">
        <v>3</v>
      </c>
      <c r="B1271" s="256">
        <v>6155319</v>
      </c>
      <c r="C1271" s="256">
        <v>615531900</v>
      </c>
      <c r="D1271" s="256" t="s">
        <v>734</v>
      </c>
      <c r="E1271" s="256" t="s">
        <v>735</v>
      </c>
      <c r="F1271" s="256" t="s">
        <v>851</v>
      </c>
      <c r="G1271" s="256" t="s">
        <v>85</v>
      </c>
      <c r="H1271" s="256"/>
      <c r="I1271" s="257">
        <v>4061</v>
      </c>
      <c r="J1271" s="257">
        <v>0</v>
      </c>
      <c r="K1271" s="257">
        <v>0</v>
      </c>
      <c r="L1271" s="257">
        <v>0</v>
      </c>
      <c r="M1271" s="257">
        <v>0</v>
      </c>
      <c r="N1271" s="257">
        <v>461</v>
      </c>
      <c r="O1271" s="257">
        <v>3600</v>
      </c>
      <c r="P1271" s="257">
        <v>0</v>
      </c>
      <c r="Q1271" s="258">
        <v>0</v>
      </c>
    </row>
    <row r="1272" spans="1:17">
      <c r="A1272" s="256">
        <v>3</v>
      </c>
      <c r="B1272" s="256">
        <v>6155320</v>
      </c>
      <c r="C1272" s="256">
        <v>615532000</v>
      </c>
      <c r="D1272" s="256" t="s">
        <v>734</v>
      </c>
      <c r="E1272" s="256" t="s">
        <v>735</v>
      </c>
      <c r="F1272" s="256" t="s">
        <v>851</v>
      </c>
      <c r="G1272" s="256" t="s">
        <v>83</v>
      </c>
      <c r="H1272" s="256"/>
      <c r="I1272" s="257">
        <v>0</v>
      </c>
      <c r="J1272" s="257">
        <v>0</v>
      </c>
      <c r="K1272" s="257">
        <v>0</v>
      </c>
      <c r="L1272" s="257">
        <v>0</v>
      </c>
      <c r="M1272" s="257">
        <v>0</v>
      </c>
      <c r="N1272" s="257">
        <v>0</v>
      </c>
      <c r="O1272" s="257">
        <v>0</v>
      </c>
      <c r="P1272" s="257">
        <v>0</v>
      </c>
      <c r="Q1272" s="258">
        <v>0</v>
      </c>
    </row>
    <row r="1273" spans="1:17">
      <c r="A1273" s="256">
        <v>3</v>
      </c>
      <c r="B1273" s="256">
        <v>6155321</v>
      </c>
      <c r="C1273" s="256">
        <v>615532100</v>
      </c>
      <c r="D1273" s="256" t="s">
        <v>734</v>
      </c>
      <c r="E1273" s="256" t="s">
        <v>735</v>
      </c>
      <c r="F1273" s="256" t="s">
        <v>851</v>
      </c>
      <c r="G1273" s="256" t="s">
        <v>81</v>
      </c>
      <c r="H1273" s="256"/>
      <c r="I1273" s="257">
        <v>7072</v>
      </c>
      <c r="J1273" s="257">
        <v>0</v>
      </c>
      <c r="K1273" s="257">
        <v>0</v>
      </c>
      <c r="L1273" s="257">
        <v>0</v>
      </c>
      <c r="M1273" s="257">
        <v>0</v>
      </c>
      <c r="N1273" s="257">
        <v>7072</v>
      </c>
      <c r="O1273" s="257">
        <v>0</v>
      </c>
      <c r="P1273" s="257">
        <v>0</v>
      </c>
      <c r="Q1273" s="258">
        <v>0</v>
      </c>
    </row>
    <row r="1274" spans="1:17">
      <c r="A1274" s="256">
        <v>3</v>
      </c>
      <c r="B1274" s="256">
        <v>6155323</v>
      </c>
      <c r="C1274" s="256">
        <v>615532300</v>
      </c>
      <c r="D1274" s="256" t="s">
        <v>734</v>
      </c>
      <c r="E1274" s="256" t="s">
        <v>735</v>
      </c>
      <c r="F1274" s="256" t="s">
        <v>851</v>
      </c>
      <c r="G1274" s="256" t="s">
        <v>79</v>
      </c>
      <c r="H1274" s="256"/>
      <c r="I1274" s="257">
        <v>131873</v>
      </c>
      <c r="J1274" s="257">
        <v>0</v>
      </c>
      <c r="K1274" s="257">
        <v>0</v>
      </c>
      <c r="L1274" s="257">
        <v>0</v>
      </c>
      <c r="M1274" s="257">
        <v>0</v>
      </c>
      <c r="N1274" s="257">
        <v>131873</v>
      </c>
      <c r="O1274" s="257">
        <v>0</v>
      </c>
      <c r="P1274" s="257">
        <v>0</v>
      </c>
      <c r="Q1274" s="258">
        <v>0</v>
      </c>
    </row>
    <row r="1275" spans="1:17">
      <c r="A1275" s="256">
        <v>3</v>
      </c>
      <c r="B1275" s="256">
        <v>6155324</v>
      </c>
      <c r="C1275" s="256">
        <v>615532400</v>
      </c>
      <c r="D1275" s="256" t="s">
        <v>734</v>
      </c>
      <c r="E1275" s="256" t="s">
        <v>735</v>
      </c>
      <c r="F1275" s="256" t="s">
        <v>851</v>
      </c>
      <c r="G1275" s="256" t="s">
        <v>77</v>
      </c>
      <c r="H1275" s="256"/>
      <c r="I1275" s="257">
        <v>0</v>
      </c>
      <c r="J1275" s="257">
        <v>0</v>
      </c>
      <c r="K1275" s="257">
        <v>0</v>
      </c>
      <c r="L1275" s="257">
        <v>0</v>
      </c>
      <c r="M1275" s="257">
        <v>0</v>
      </c>
      <c r="N1275" s="257">
        <v>0</v>
      </c>
      <c r="O1275" s="257">
        <v>0</v>
      </c>
      <c r="P1275" s="257">
        <v>0</v>
      </c>
      <c r="Q1275" s="258">
        <v>0</v>
      </c>
    </row>
    <row r="1276" spans="1:17">
      <c r="A1276" s="256">
        <v>3</v>
      </c>
      <c r="B1276" s="256">
        <v>6155331</v>
      </c>
      <c r="C1276" s="256">
        <v>615533100</v>
      </c>
      <c r="D1276" s="256" t="s">
        <v>734</v>
      </c>
      <c r="E1276" s="256" t="s">
        <v>735</v>
      </c>
      <c r="F1276" s="256" t="s">
        <v>851</v>
      </c>
      <c r="G1276" s="256" t="s">
        <v>62</v>
      </c>
      <c r="H1276" s="256"/>
      <c r="I1276" s="257">
        <v>0</v>
      </c>
      <c r="J1276" s="257">
        <v>0</v>
      </c>
      <c r="K1276" s="257">
        <v>0</v>
      </c>
      <c r="L1276" s="257">
        <v>0</v>
      </c>
      <c r="M1276" s="257">
        <v>0</v>
      </c>
      <c r="N1276" s="257">
        <v>0</v>
      </c>
      <c r="O1276" s="257">
        <v>0</v>
      </c>
      <c r="P1276" s="257">
        <v>0</v>
      </c>
      <c r="Q1276" s="258">
        <v>0</v>
      </c>
    </row>
    <row r="1277" spans="1:17">
      <c r="A1277" s="256">
        <v>3</v>
      </c>
      <c r="B1277" s="256">
        <v>6155337</v>
      </c>
      <c r="C1277" s="256">
        <v>615533700</v>
      </c>
      <c r="D1277" s="256" t="s">
        <v>734</v>
      </c>
      <c r="E1277" s="256" t="s">
        <v>735</v>
      </c>
      <c r="F1277" s="256" t="s">
        <v>851</v>
      </c>
      <c r="G1277" s="256" t="s">
        <v>60</v>
      </c>
      <c r="H1277" s="256"/>
      <c r="I1277" s="257">
        <v>0</v>
      </c>
      <c r="J1277" s="257">
        <v>0</v>
      </c>
      <c r="K1277" s="257">
        <v>0</v>
      </c>
      <c r="L1277" s="257">
        <v>0</v>
      </c>
      <c r="M1277" s="257">
        <v>0</v>
      </c>
      <c r="N1277" s="257">
        <v>0</v>
      </c>
      <c r="O1277" s="257">
        <v>0</v>
      </c>
      <c r="P1277" s="257">
        <v>0</v>
      </c>
      <c r="Q1277" s="258">
        <v>0</v>
      </c>
    </row>
    <row r="1278" spans="1:17">
      <c r="A1278" s="256">
        <v>3</v>
      </c>
      <c r="B1278" s="256">
        <v>6155339</v>
      </c>
      <c r="C1278" s="256">
        <v>615533900</v>
      </c>
      <c r="D1278" s="256" t="s">
        <v>734</v>
      </c>
      <c r="E1278" s="256" t="s">
        <v>735</v>
      </c>
      <c r="F1278" s="256" t="s">
        <v>851</v>
      </c>
      <c r="G1278" s="256" t="s">
        <v>58</v>
      </c>
      <c r="H1278" s="256"/>
      <c r="I1278" s="257">
        <v>76260</v>
      </c>
      <c r="J1278" s="257">
        <v>0</v>
      </c>
      <c r="K1278" s="257">
        <v>0</v>
      </c>
      <c r="L1278" s="257">
        <v>0</v>
      </c>
      <c r="M1278" s="257">
        <v>0</v>
      </c>
      <c r="N1278" s="257">
        <v>0</v>
      </c>
      <c r="O1278" s="257">
        <v>76260</v>
      </c>
      <c r="P1278" s="257">
        <v>0</v>
      </c>
      <c r="Q1278" s="258">
        <v>0</v>
      </c>
    </row>
    <row r="1279" spans="1:17">
      <c r="A1279" s="256">
        <v>3</v>
      </c>
      <c r="B1279" s="256">
        <v>6155340</v>
      </c>
      <c r="C1279" s="256">
        <v>615534000</v>
      </c>
      <c r="D1279" s="256" t="s">
        <v>734</v>
      </c>
      <c r="E1279" s="256" t="s">
        <v>735</v>
      </c>
      <c r="F1279" s="256" t="s">
        <v>851</v>
      </c>
      <c r="G1279" s="256" t="s">
        <v>56</v>
      </c>
      <c r="H1279" s="256"/>
      <c r="I1279" s="257">
        <v>49407</v>
      </c>
      <c r="J1279" s="257">
        <v>0</v>
      </c>
      <c r="K1279" s="257">
        <v>0</v>
      </c>
      <c r="L1279" s="257">
        <v>0</v>
      </c>
      <c r="M1279" s="257">
        <v>0</v>
      </c>
      <c r="N1279" s="257">
        <v>0</v>
      </c>
      <c r="O1279" s="257">
        <v>0</v>
      </c>
      <c r="P1279" s="257">
        <v>49407</v>
      </c>
      <c r="Q1279" s="258">
        <v>0</v>
      </c>
    </row>
    <row r="1280" spans="1:17">
      <c r="A1280" s="256">
        <v>3</v>
      </c>
      <c r="B1280" s="256">
        <v>6155341</v>
      </c>
      <c r="C1280" s="256">
        <v>615534100</v>
      </c>
      <c r="D1280" s="256" t="s">
        <v>734</v>
      </c>
      <c r="E1280" s="256" t="s">
        <v>735</v>
      </c>
      <c r="F1280" s="256" t="s">
        <v>851</v>
      </c>
      <c r="G1280" s="256" t="s">
        <v>55</v>
      </c>
      <c r="H1280" s="256"/>
      <c r="I1280" s="257">
        <v>0</v>
      </c>
      <c r="J1280" s="257">
        <v>0</v>
      </c>
      <c r="K1280" s="257">
        <v>0</v>
      </c>
      <c r="L1280" s="257">
        <v>0</v>
      </c>
      <c r="M1280" s="257">
        <v>0</v>
      </c>
      <c r="N1280" s="257">
        <v>0</v>
      </c>
      <c r="O1280" s="257">
        <v>0</v>
      </c>
      <c r="P1280" s="257">
        <v>0</v>
      </c>
      <c r="Q1280" s="258">
        <v>0</v>
      </c>
    </row>
    <row r="1281" spans="1:17">
      <c r="A1281" s="256">
        <v>3</v>
      </c>
      <c r="B1281" s="256">
        <v>6155365</v>
      </c>
      <c r="C1281" s="256">
        <v>615536500</v>
      </c>
      <c r="D1281" s="256" t="s">
        <v>734</v>
      </c>
      <c r="E1281" s="256" t="s">
        <v>735</v>
      </c>
      <c r="F1281" s="256" t="s">
        <v>851</v>
      </c>
      <c r="G1281" s="256" t="s">
        <v>766</v>
      </c>
      <c r="H1281" s="256"/>
      <c r="I1281" s="257">
        <v>0</v>
      </c>
      <c r="J1281" s="257">
        <v>0</v>
      </c>
      <c r="K1281" s="257">
        <v>0</v>
      </c>
      <c r="L1281" s="257">
        <v>0</v>
      </c>
      <c r="M1281" s="257">
        <v>0</v>
      </c>
      <c r="N1281" s="257">
        <v>0</v>
      </c>
      <c r="O1281" s="257">
        <v>0</v>
      </c>
      <c r="P1281" s="257">
        <v>0</v>
      </c>
      <c r="Q1281" s="258">
        <v>0</v>
      </c>
    </row>
    <row r="1282" spans="1:17">
      <c r="A1282" s="256">
        <v>3</v>
      </c>
      <c r="B1282" s="256">
        <v>6155369</v>
      </c>
      <c r="C1282" s="256">
        <v>615536900</v>
      </c>
      <c r="D1282" s="256" t="s">
        <v>734</v>
      </c>
      <c r="E1282" s="256" t="s">
        <v>735</v>
      </c>
      <c r="F1282" s="256" t="s">
        <v>851</v>
      </c>
      <c r="G1282" s="256" t="s">
        <v>767</v>
      </c>
      <c r="H1282" s="256"/>
      <c r="I1282" s="257">
        <v>0</v>
      </c>
      <c r="J1282" s="257">
        <v>0</v>
      </c>
      <c r="K1282" s="257">
        <v>0</v>
      </c>
      <c r="L1282" s="257">
        <v>0</v>
      </c>
      <c r="M1282" s="257">
        <v>0</v>
      </c>
      <c r="N1282" s="257">
        <v>0</v>
      </c>
      <c r="O1282" s="257">
        <v>0</v>
      </c>
      <c r="P1282" s="257">
        <v>0</v>
      </c>
      <c r="Q1282" s="258">
        <v>0</v>
      </c>
    </row>
    <row r="1283" spans="1:17">
      <c r="A1283" s="256">
        <v>3</v>
      </c>
      <c r="B1283" s="256">
        <v>6155370</v>
      </c>
      <c r="C1283" s="256">
        <v>615537000</v>
      </c>
      <c r="D1283" s="256" t="s">
        <v>734</v>
      </c>
      <c r="E1283" s="256" t="s">
        <v>735</v>
      </c>
      <c r="F1283" s="256" t="s">
        <v>851</v>
      </c>
      <c r="G1283" s="256" t="s">
        <v>768</v>
      </c>
      <c r="H1283" s="256"/>
      <c r="I1283" s="257">
        <v>0</v>
      </c>
      <c r="J1283" s="257">
        <v>0</v>
      </c>
      <c r="K1283" s="257">
        <v>0</v>
      </c>
      <c r="L1283" s="257">
        <v>0</v>
      </c>
      <c r="M1283" s="257">
        <v>0</v>
      </c>
      <c r="N1283" s="257">
        <v>0</v>
      </c>
      <c r="O1283" s="257">
        <v>0</v>
      </c>
      <c r="P1283" s="257">
        <v>0</v>
      </c>
      <c r="Q1283" s="258">
        <v>0</v>
      </c>
    </row>
    <row r="1284" spans="1:17">
      <c r="A1284" s="256">
        <v>3</v>
      </c>
      <c r="B1284" s="256">
        <v>6155371</v>
      </c>
      <c r="C1284" s="256">
        <v>615537100</v>
      </c>
      <c r="D1284" s="256" t="s">
        <v>734</v>
      </c>
      <c r="E1284" s="256" t="s">
        <v>735</v>
      </c>
      <c r="F1284" s="256" t="s">
        <v>851</v>
      </c>
      <c r="G1284" s="256" t="s">
        <v>769</v>
      </c>
      <c r="H1284" s="256"/>
      <c r="I1284" s="257">
        <v>0</v>
      </c>
      <c r="J1284" s="257">
        <v>0</v>
      </c>
      <c r="K1284" s="257">
        <v>0</v>
      </c>
      <c r="L1284" s="257">
        <v>0</v>
      </c>
      <c r="M1284" s="257">
        <v>0</v>
      </c>
      <c r="N1284" s="257">
        <v>0</v>
      </c>
      <c r="O1284" s="257">
        <v>0</v>
      </c>
      <c r="P1284" s="257">
        <v>0</v>
      </c>
      <c r="Q1284" s="258">
        <v>0</v>
      </c>
    </row>
    <row r="1285" spans="1:17">
      <c r="A1285" s="256">
        <v>3</v>
      </c>
      <c r="B1285" s="256">
        <v>6155372</v>
      </c>
      <c r="C1285" s="256">
        <v>615537200</v>
      </c>
      <c r="D1285" s="256" t="s">
        <v>734</v>
      </c>
      <c r="E1285" s="256" t="s">
        <v>735</v>
      </c>
      <c r="F1285" s="256" t="s">
        <v>851</v>
      </c>
      <c r="G1285" s="256" t="s">
        <v>770</v>
      </c>
      <c r="H1285" s="256"/>
      <c r="I1285" s="257">
        <v>0</v>
      </c>
      <c r="J1285" s="257">
        <v>0</v>
      </c>
      <c r="K1285" s="257">
        <v>0</v>
      </c>
      <c r="L1285" s="257">
        <v>0</v>
      </c>
      <c r="M1285" s="257">
        <v>0</v>
      </c>
      <c r="N1285" s="257">
        <v>0</v>
      </c>
      <c r="O1285" s="257">
        <v>0</v>
      </c>
      <c r="P1285" s="257">
        <v>0</v>
      </c>
      <c r="Q1285" s="258">
        <v>0</v>
      </c>
    </row>
    <row r="1286" spans="1:17">
      <c r="A1286" s="256">
        <v>3</v>
      </c>
      <c r="B1286" s="256">
        <v>6155373</v>
      </c>
      <c r="C1286" s="256">
        <v>615537300</v>
      </c>
      <c r="D1286" s="256" t="s">
        <v>734</v>
      </c>
      <c r="E1286" s="256" t="s">
        <v>735</v>
      </c>
      <c r="F1286" s="256" t="s">
        <v>851</v>
      </c>
      <c r="G1286" s="256" t="s">
        <v>771</v>
      </c>
      <c r="H1286" s="256"/>
      <c r="I1286" s="257">
        <v>0</v>
      </c>
      <c r="J1286" s="257">
        <v>0</v>
      </c>
      <c r="K1286" s="257">
        <v>0</v>
      </c>
      <c r="L1286" s="257">
        <v>0</v>
      </c>
      <c r="M1286" s="257">
        <v>0</v>
      </c>
      <c r="N1286" s="257">
        <v>0</v>
      </c>
      <c r="O1286" s="257">
        <v>0</v>
      </c>
      <c r="P1286" s="257">
        <v>0</v>
      </c>
      <c r="Q1286" s="258">
        <v>0</v>
      </c>
    </row>
    <row r="1287" spans="1:17">
      <c r="A1287" s="256">
        <v>3</v>
      </c>
      <c r="B1287" s="256">
        <v>6155374</v>
      </c>
      <c r="C1287" s="256">
        <v>615537400</v>
      </c>
      <c r="D1287" s="256" t="s">
        <v>734</v>
      </c>
      <c r="E1287" s="256" t="s">
        <v>735</v>
      </c>
      <c r="F1287" s="256" t="s">
        <v>851</v>
      </c>
      <c r="G1287" s="256" t="s">
        <v>772</v>
      </c>
      <c r="H1287" s="256"/>
      <c r="I1287" s="257">
        <v>0</v>
      </c>
      <c r="J1287" s="257">
        <v>0</v>
      </c>
      <c r="K1287" s="257">
        <v>0</v>
      </c>
      <c r="L1287" s="257">
        <v>0</v>
      </c>
      <c r="M1287" s="257">
        <v>0</v>
      </c>
      <c r="N1287" s="257">
        <v>0</v>
      </c>
      <c r="O1287" s="257">
        <v>0</v>
      </c>
      <c r="P1287" s="257">
        <v>0</v>
      </c>
      <c r="Q1287" s="258">
        <v>0</v>
      </c>
    </row>
    <row r="1288" spans="1:17">
      <c r="A1288" s="256">
        <v>3</v>
      </c>
      <c r="B1288" s="256">
        <v>6155375</v>
      </c>
      <c r="C1288" s="256">
        <v>615537583</v>
      </c>
      <c r="D1288" s="256" t="s">
        <v>734</v>
      </c>
      <c r="E1288" s="256" t="s">
        <v>735</v>
      </c>
      <c r="F1288" s="256" t="s">
        <v>851</v>
      </c>
      <c r="G1288" s="256" t="s">
        <v>773</v>
      </c>
      <c r="H1288" s="256" t="s">
        <v>75</v>
      </c>
      <c r="I1288" s="257">
        <v>122037821</v>
      </c>
      <c r="J1288" s="257">
        <v>0</v>
      </c>
      <c r="K1288" s="257">
        <v>0</v>
      </c>
      <c r="L1288" s="257">
        <v>0</v>
      </c>
      <c r="M1288" s="257">
        <v>0</v>
      </c>
      <c r="N1288" s="257">
        <v>122037821</v>
      </c>
      <c r="O1288" s="257">
        <v>0</v>
      </c>
      <c r="P1288" s="257">
        <v>0</v>
      </c>
      <c r="Q1288" s="258">
        <v>0</v>
      </c>
    </row>
    <row r="1289" spans="1:17">
      <c r="A1289" s="256">
        <v>3</v>
      </c>
      <c r="B1289" s="256">
        <v>6155375</v>
      </c>
      <c r="C1289" s="256">
        <v>615537584</v>
      </c>
      <c r="D1289" s="256" t="s">
        <v>734</v>
      </c>
      <c r="E1289" s="256" t="s">
        <v>735</v>
      </c>
      <c r="F1289" s="256" t="s">
        <v>851</v>
      </c>
      <c r="G1289" s="256" t="s">
        <v>773</v>
      </c>
      <c r="H1289" s="256" t="s">
        <v>774</v>
      </c>
      <c r="I1289" s="257">
        <v>0</v>
      </c>
      <c r="J1289" s="257">
        <v>0</v>
      </c>
      <c r="K1289" s="257">
        <v>0</v>
      </c>
      <c r="L1289" s="257">
        <v>0</v>
      </c>
      <c r="M1289" s="257">
        <v>0</v>
      </c>
      <c r="N1289" s="257">
        <v>0</v>
      </c>
      <c r="O1289" s="257">
        <v>0</v>
      </c>
      <c r="P1289" s="257">
        <v>0</v>
      </c>
      <c r="Q1289" s="258">
        <v>0</v>
      </c>
    </row>
    <row r="1290" spans="1:17">
      <c r="A1290" s="256">
        <v>3</v>
      </c>
      <c r="B1290" s="256">
        <v>6155375</v>
      </c>
      <c r="C1290" s="256">
        <v>615537585</v>
      </c>
      <c r="D1290" s="256" t="s">
        <v>734</v>
      </c>
      <c r="E1290" s="256" t="s">
        <v>735</v>
      </c>
      <c r="F1290" s="256" t="s">
        <v>851</v>
      </c>
      <c r="G1290" s="256" t="s">
        <v>773</v>
      </c>
      <c r="H1290" s="256" t="s">
        <v>775</v>
      </c>
      <c r="I1290" s="257">
        <v>10447900</v>
      </c>
      <c r="J1290" s="257">
        <v>0</v>
      </c>
      <c r="K1290" s="257">
        <v>0</v>
      </c>
      <c r="L1290" s="257">
        <v>0</v>
      </c>
      <c r="M1290" s="257">
        <v>0</v>
      </c>
      <c r="N1290" s="257">
        <v>10447900</v>
      </c>
      <c r="O1290" s="257">
        <v>0</v>
      </c>
      <c r="P1290" s="257">
        <v>0</v>
      </c>
      <c r="Q1290" s="258">
        <v>0</v>
      </c>
    </row>
    <row r="1291" spans="1:17">
      <c r="A1291" s="256">
        <v>3</v>
      </c>
      <c r="B1291" s="256">
        <v>6155375</v>
      </c>
      <c r="C1291" s="256">
        <v>615537586</v>
      </c>
      <c r="D1291" s="256" t="s">
        <v>734</v>
      </c>
      <c r="E1291" s="256" t="s">
        <v>735</v>
      </c>
      <c r="F1291" s="256" t="s">
        <v>851</v>
      </c>
      <c r="G1291" s="256" t="s">
        <v>773</v>
      </c>
      <c r="H1291" s="256" t="s">
        <v>776</v>
      </c>
      <c r="I1291" s="257">
        <v>3268100</v>
      </c>
      <c r="J1291" s="257">
        <v>0</v>
      </c>
      <c r="K1291" s="257">
        <v>0</v>
      </c>
      <c r="L1291" s="257">
        <v>0</v>
      </c>
      <c r="M1291" s="257">
        <v>0</v>
      </c>
      <c r="N1291" s="257">
        <v>3268100</v>
      </c>
      <c r="O1291" s="257">
        <v>0</v>
      </c>
      <c r="P1291" s="257">
        <v>0</v>
      </c>
      <c r="Q1291" s="258">
        <v>0</v>
      </c>
    </row>
    <row r="1292" spans="1:17">
      <c r="A1292" s="256">
        <v>3</v>
      </c>
      <c r="B1292" s="256">
        <v>6155375</v>
      </c>
      <c r="C1292" s="256">
        <v>615537587</v>
      </c>
      <c r="D1292" s="256" t="s">
        <v>734</v>
      </c>
      <c r="E1292" s="256" t="s">
        <v>735</v>
      </c>
      <c r="F1292" s="256" t="s">
        <v>851</v>
      </c>
      <c r="G1292" s="256" t="s">
        <v>773</v>
      </c>
      <c r="H1292" s="256" t="s">
        <v>665</v>
      </c>
      <c r="I1292" s="257">
        <v>0</v>
      </c>
      <c r="J1292" s="257">
        <v>0</v>
      </c>
      <c r="K1292" s="257">
        <v>0</v>
      </c>
      <c r="L1292" s="257">
        <v>0</v>
      </c>
      <c r="M1292" s="257">
        <v>0</v>
      </c>
      <c r="N1292" s="257">
        <v>0</v>
      </c>
      <c r="O1292" s="257">
        <v>0</v>
      </c>
      <c r="P1292" s="257">
        <v>0</v>
      </c>
      <c r="Q1292" s="258">
        <v>0</v>
      </c>
    </row>
    <row r="1293" spans="1:17">
      <c r="A1293" s="256">
        <v>3</v>
      </c>
      <c r="B1293" s="256">
        <v>6155375</v>
      </c>
      <c r="C1293" s="256">
        <v>615537588</v>
      </c>
      <c r="D1293" s="256" t="s">
        <v>734</v>
      </c>
      <c r="E1293" s="256" t="s">
        <v>735</v>
      </c>
      <c r="F1293" s="256" t="s">
        <v>851</v>
      </c>
      <c r="G1293" s="256" t="s">
        <v>773</v>
      </c>
      <c r="H1293" s="256" t="s">
        <v>73</v>
      </c>
      <c r="I1293" s="257">
        <v>426920</v>
      </c>
      <c r="J1293" s="257">
        <v>0</v>
      </c>
      <c r="K1293" s="257">
        <v>0</v>
      </c>
      <c r="L1293" s="257">
        <v>0</v>
      </c>
      <c r="M1293" s="257">
        <v>0</v>
      </c>
      <c r="N1293" s="257">
        <v>0</v>
      </c>
      <c r="O1293" s="257">
        <v>426920</v>
      </c>
      <c r="P1293" s="257">
        <v>0</v>
      </c>
      <c r="Q1293" s="258">
        <v>0</v>
      </c>
    </row>
    <row r="1294" spans="1:17">
      <c r="A1294" s="256">
        <v>3</v>
      </c>
      <c r="B1294" s="256">
        <v>6160101</v>
      </c>
      <c r="C1294" s="256">
        <v>616010100</v>
      </c>
      <c r="D1294" s="256" t="s">
        <v>734</v>
      </c>
      <c r="E1294" s="256" t="s">
        <v>788</v>
      </c>
      <c r="F1294" s="256" t="s">
        <v>789</v>
      </c>
      <c r="G1294" s="256" t="s">
        <v>789</v>
      </c>
      <c r="H1294" s="256"/>
      <c r="I1294" s="257">
        <v>494560197</v>
      </c>
      <c r="J1294" s="257">
        <v>0</v>
      </c>
      <c r="K1294" s="257">
        <v>0</v>
      </c>
      <c r="L1294" s="257">
        <v>0</v>
      </c>
      <c r="M1294" s="257">
        <v>0</v>
      </c>
      <c r="N1294" s="257">
        <v>0</v>
      </c>
      <c r="O1294" s="257">
        <v>0</v>
      </c>
      <c r="P1294" s="257">
        <v>494560197</v>
      </c>
      <c r="Q1294" s="258">
        <v>0</v>
      </c>
    </row>
    <row r="1295" spans="1:17">
      <c r="A1295" s="236">
        <v>3</v>
      </c>
      <c r="B1295" s="236">
        <v>6160102</v>
      </c>
      <c r="C1295" s="236">
        <v>616010200</v>
      </c>
      <c r="D1295" s="236" t="s">
        <v>734</v>
      </c>
      <c r="E1295" s="236" t="s">
        <v>788</v>
      </c>
      <c r="F1295" s="236" t="s">
        <v>789</v>
      </c>
      <c r="G1295" s="236" t="s">
        <v>877</v>
      </c>
      <c r="H1295" s="236"/>
      <c r="I1295" s="257">
        <v>5479894</v>
      </c>
      <c r="J1295" s="257">
        <v>0</v>
      </c>
      <c r="K1295" s="257">
        <v>0</v>
      </c>
      <c r="L1295" s="257">
        <v>0</v>
      </c>
      <c r="M1295" s="257">
        <v>0</v>
      </c>
      <c r="N1295" s="257">
        <v>0</v>
      </c>
      <c r="O1295" s="257">
        <v>0</v>
      </c>
      <c r="P1295" s="257">
        <v>5479894</v>
      </c>
      <c r="Q1295" s="258">
        <v>0</v>
      </c>
    </row>
    <row r="1296" spans="1:17">
      <c r="A1296" s="256">
        <v>3</v>
      </c>
      <c r="B1296" s="256">
        <v>6160202</v>
      </c>
      <c r="C1296" s="256">
        <v>616020200</v>
      </c>
      <c r="D1296" s="256" t="s">
        <v>734</v>
      </c>
      <c r="E1296" s="256" t="s">
        <v>788</v>
      </c>
      <c r="F1296" s="256" t="s">
        <v>790</v>
      </c>
      <c r="G1296" s="256" t="s">
        <v>790</v>
      </c>
      <c r="H1296" s="256"/>
      <c r="I1296" s="257">
        <v>0</v>
      </c>
      <c r="J1296" s="257">
        <v>0</v>
      </c>
      <c r="K1296" s="257">
        <v>0</v>
      </c>
      <c r="L1296" s="257">
        <v>0</v>
      </c>
      <c r="M1296" s="257">
        <v>0</v>
      </c>
      <c r="N1296" s="257">
        <v>0</v>
      </c>
      <c r="O1296" s="257">
        <v>0</v>
      </c>
      <c r="P1296" s="257">
        <v>0</v>
      </c>
      <c r="Q1296" s="258">
        <v>0</v>
      </c>
    </row>
    <row r="1297" spans="1:17">
      <c r="A1297" s="256">
        <v>3</v>
      </c>
      <c r="B1297" s="256">
        <v>6160303</v>
      </c>
      <c r="C1297" s="256">
        <v>616030300</v>
      </c>
      <c r="D1297" s="256" t="s">
        <v>734</v>
      </c>
      <c r="E1297" s="256" t="s">
        <v>788</v>
      </c>
      <c r="F1297" s="256" t="s">
        <v>791</v>
      </c>
      <c r="G1297" s="256" t="s">
        <v>791</v>
      </c>
      <c r="H1297" s="256"/>
      <c r="I1297" s="257">
        <v>0</v>
      </c>
      <c r="J1297" s="257">
        <v>0</v>
      </c>
      <c r="K1297" s="257">
        <v>0</v>
      </c>
      <c r="L1297" s="257">
        <v>0</v>
      </c>
      <c r="M1297" s="257">
        <v>0</v>
      </c>
      <c r="N1297" s="257">
        <v>0</v>
      </c>
      <c r="O1297" s="257">
        <v>0</v>
      </c>
      <c r="P1297" s="257">
        <v>0</v>
      </c>
      <c r="Q1297" s="258">
        <v>0</v>
      </c>
    </row>
    <row r="1298" spans="1:17">
      <c r="A1298" s="256">
        <v>3</v>
      </c>
      <c r="B1298" s="256">
        <v>6170214</v>
      </c>
      <c r="C1298" s="256">
        <v>617021400</v>
      </c>
      <c r="D1298" s="256" t="s">
        <v>734</v>
      </c>
      <c r="E1298" s="256" t="s">
        <v>792</v>
      </c>
      <c r="F1298" s="256" t="s">
        <v>793</v>
      </c>
      <c r="G1298" s="256" t="s">
        <v>860</v>
      </c>
      <c r="H1298" s="256"/>
      <c r="I1298" s="257">
        <v>0</v>
      </c>
      <c r="J1298" s="257">
        <v>0</v>
      </c>
      <c r="K1298" s="257">
        <v>0</v>
      </c>
      <c r="L1298" s="257">
        <v>0</v>
      </c>
      <c r="M1298" s="257">
        <v>0</v>
      </c>
      <c r="N1298" s="257">
        <v>0</v>
      </c>
      <c r="O1298" s="257">
        <v>0</v>
      </c>
      <c r="P1298" s="257">
        <v>0</v>
      </c>
      <c r="Q1298" s="258">
        <v>0</v>
      </c>
    </row>
    <row r="1299" spans="1:17">
      <c r="A1299" s="256">
        <v>3</v>
      </c>
      <c r="B1299" s="256">
        <v>6170216</v>
      </c>
      <c r="C1299" s="256">
        <v>617021600</v>
      </c>
      <c r="D1299" s="256" t="s">
        <v>734</v>
      </c>
      <c r="E1299" s="256" t="s">
        <v>792</v>
      </c>
      <c r="F1299" s="256" t="s">
        <v>793</v>
      </c>
      <c r="G1299" s="256" t="s">
        <v>861</v>
      </c>
      <c r="H1299" s="256"/>
      <c r="I1299" s="257">
        <v>285000</v>
      </c>
      <c r="J1299" s="257">
        <v>0</v>
      </c>
      <c r="K1299" s="257">
        <v>0</v>
      </c>
      <c r="L1299" s="257">
        <v>0</v>
      </c>
      <c r="M1299" s="257">
        <v>0</v>
      </c>
      <c r="N1299" s="257">
        <v>0</v>
      </c>
      <c r="O1299" s="257">
        <v>0</v>
      </c>
      <c r="P1299" s="257">
        <v>285000</v>
      </c>
      <c r="Q1299" s="258">
        <v>0</v>
      </c>
    </row>
    <row r="1300" spans="1:17">
      <c r="A1300" s="256">
        <v>3</v>
      </c>
      <c r="B1300" s="256">
        <v>6170218</v>
      </c>
      <c r="C1300" s="256">
        <v>617021800</v>
      </c>
      <c r="D1300" s="256" t="s">
        <v>734</v>
      </c>
      <c r="E1300" s="256" t="s">
        <v>792</v>
      </c>
      <c r="F1300" s="256" t="s">
        <v>793</v>
      </c>
      <c r="G1300" s="256" t="s">
        <v>862</v>
      </c>
      <c r="H1300" s="256"/>
      <c r="I1300" s="257">
        <v>0</v>
      </c>
      <c r="J1300" s="257">
        <v>0</v>
      </c>
      <c r="K1300" s="257">
        <v>0</v>
      </c>
      <c r="L1300" s="257">
        <v>0</v>
      </c>
      <c r="M1300" s="257">
        <v>0</v>
      </c>
      <c r="N1300" s="257">
        <v>0</v>
      </c>
      <c r="O1300" s="257">
        <v>0</v>
      </c>
      <c r="P1300" s="257">
        <v>0</v>
      </c>
      <c r="Q1300" s="258">
        <v>0</v>
      </c>
    </row>
    <row r="1301" spans="1:17">
      <c r="A1301" s="256">
        <v>3</v>
      </c>
      <c r="B1301" s="256">
        <v>6170303</v>
      </c>
      <c r="C1301" s="256">
        <v>617030300</v>
      </c>
      <c r="D1301" s="256" t="s">
        <v>734</v>
      </c>
      <c r="E1301" s="256" t="s">
        <v>792</v>
      </c>
      <c r="F1301" s="256" t="s">
        <v>797</v>
      </c>
      <c r="G1301" s="256" t="s">
        <v>797</v>
      </c>
      <c r="H1301" s="256"/>
      <c r="I1301" s="257">
        <v>0</v>
      </c>
      <c r="J1301" s="257">
        <v>0</v>
      </c>
      <c r="K1301" s="257">
        <v>0</v>
      </c>
      <c r="L1301" s="257">
        <v>0</v>
      </c>
      <c r="M1301" s="257">
        <v>0</v>
      </c>
      <c r="N1301" s="257">
        <v>0</v>
      </c>
      <c r="O1301" s="257">
        <v>0</v>
      </c>
      <c r="P1301" s="257">
        <v>0</v>
      </c>
      <c r="Q1301" s="258">
        <v>0</v>
      </c>
    </row>
    <row r="1302" spans="1:17">
      <c r="A1302" s="256">
        <v>3</v>
      </c>
      <c r="B1302" s="256">
        <v>6170401</v>
      </c>
      <c r="C1302" s="256">
        <v>617040100</v>
      </c>
      <c r="D1302" s="256" t="s">
        <v>734</v>
      </c>
      <c r="E1302" s="256" t="s">
        <v>792</v>
      </c>
      <c r="F1302" s="256" t="s">
        <v>791</v>
      </c>
      <c r="G1302" s="256" t="s">
        <v>798</v>
      </c>
      <c r="H1302" s="256"/>
      <c r="I1302" s="257">
        <v>358000</v>
      </c>
      <c r="J1302" s="257">
        <v>0</v>
      </c>
      <c r="K1302" s="257">
        <v>0</v>
      </c>
      <c r="L1302" s="257">
        <v>0</v>
      </c>
      <c r="M1302" s="257">
        <v>0</v>
      </c>
      <c r="N1302" s="257">
        <v>0</v>
      </c>
      <c r="O1302" s="257">
        <v>0</v>
      </c>
      <c r="P1302" s="257">
        <v>358000</v>
      </c>
      <c r="Q1302" s="258">
        <v>0</v>
      </c>
    </row>
    <row r="1303" spans="1:17">
      <c r="A1303" s="256">
        <v>3</v>
      </c>
      <c r="B1303" s="256">
        <v>6170402</v>
      </c>
      <c r="C1303" s="256">
        <v>617040200</v>
      </c>
      <c r="D1303" s="256" t="s">
        <v>734</v>
      </c>
      <c r="E1303" s="256" t="s">
        <v>792</v>
      </c>
      <c r="F1303" s="256" t="s">
        <v>791</v>
      </c>
      <c r="G1303" s="256" t="s">
        <v>799</v>
      </c>
      <c r="H1303" s="256"/>
      <c r="I1303" s="257">
        <v>65000</v>
      </c>
      <c r="J1303" s="257">
        <v>0</v>
      </c>
      <c r="K1303" s="257">
        <v>0</v>
      </c>
      <c r="L1303" s="257">
        <v>0</v>
      </c>
      <c r="M1303" s="257">
        <v>0</v>
      </c>
      <c r="N1303" s="257">
        <v>0</v>
      </c>
      <c r="O1303" s="257">
        <v>0</v>
      </c>
      <c r="P1303" s="257">
        <v>65000</v>
      </c>
      <c r="Q1303" s="258">
        <v>0</v>
      </c>
    </row>
    <row r="1304" spans="1:17">
      <c r="A1304" s="256">
        <v>3</v>
      </c>
      <c r="B1304" s="256">
        <v>6170403</v>
      </c>
      <c r="C1304" s="256">
        <v>617040300</v>
      </c>
      <c r="D1304" s="256" t="s">
        <v>734</v>
      </c>
      <c r="E1304" s="256" t="s">
        <v>792</v>
      </c>
      <c r="F1304" s="256" t="s">
        <v>791</v>
      </c>
      <c r="G1304" s="256" t="s">
        <v>800</v>
      </c>
      <c r="H1304" s="256"/>
      <c r="I1304" s="257">
        <v>0</v>
      </c>
      <c r="J1304" s="257">
        <v>0</v>
      </c>
      <c r="K1304" s="257">
        <v>0</v>
      </c>
      <c r="L1304" s="257">
        <v>0</v>
      </c>
      <c r="M1304" s="257">
        <v>0</v>
      </c>
      <c r="N1304" s="257">
        <v>0</v>
      </c>
      <c r="O1304" s="257">
        <v>0</v>
      </c>
      <c r="P1304" s="257">
        <v>0</v>
      </c>
      <c r="Q1304" s="258">
        <v>0</v>
      </c>
    </row>
    <row r="1305" spans="1:17">
      <c r="A1305" s="256">
        <v>3</v>
      </c>
      <c r="B1305" s="256">
        <v>6181212</v>
      </c>
      <c r="C1305" s="256">
        <v>618121200</v>
      </c>
      <c r="D1305" s="256" t="s">
        <v>734</v>
      </c>
      <c r="E1305" s="256" t="s">
        <v>801</v>
      </c>
      <c r="F1305" s="256" t="s">
        <v>501</v>
      </c>
      <c r="G1305" s="256" t="s">
        <v>501</v>
      </c>
      <c r="H1305" s="256"/>
      <c r="I1305" s="257">
        <v>0</v>
      </c>
      <c r="J1305" s="257">
        <v>0</v>
      </c>
      <c r="K1305" s="257">
        <v>0</v>
      </c>
      <c r="L1305" s="257">
        <v>0</v>
      </c>
      <c r="M1305" s="257">
        <v>0</v>
      </c>
      <c r="N1305" s="257">
        <v>0</v>
      </c>
      <c r="O1305" s="257">
        <v>0</v>
      </c>
      <c r="P1305" s="257">
        <v>0</v>
      </c>
      <c r="Q1305" s="258">
        <v>0</v>
      </c>
    </row>
    <row r="1306" spans="1:17">
      <c r="A1306" s="256">
        <v>3</v>
      </c>
      <c r="B1306" s="256">
        <v>6181414</v>
      </c>
      <c r="C1306" s="256">
        <v>618141400</v>
      </c>
      <c r="D1306" s="256" t="s">
        <v>734</v>
      </c>
      <c r="E1306" s="256" t="s">
        <v>801</v>
      </c>
      <c r="F1306" s="256" t="s">
        <v>802</v>
      </c>
      <c r="G1306" s="256" t="s">
        <v>802</v>
      </c>
      <c r="H1306" s="256"/>
      <c r="I1306" s="257">
        <v>0</v>
      </c>
      <c r="J1306" s="257">
        <v>0</v>
      </c>
      <c r="K1306" s="257">
        <v>0</v>
      </c>
      <c r="L1306" s="257">
        <v>0</v>
      </c>
      <c r="M1306" s="257">
        <v>0</v>
      </c>
      <c r="N1306" s="257">
        <v>0</v>
      </c>
      <c r="O1306" s="257">
        <v>0</v>
      </c>
      <c r="P1306" s="257">
        <v>0</v>
      </c>
      <c r="Q1306" s="258">
        <v>0</v>
      </c>
    </row>
    <row r="1307" spans="1:17">
      <c r="A1307" s="256">
        <v>3</v>
      </c>
      <c r="B1307" s="256">
        <v>6182020</v>
      </c>
      <c r="C1307" s="256">
        <v>618202000</v>
      </c>
      <c r="D1307" s="256" t="s">
        <v>734</v>
      </c>
      <c r="E1307" s="256" t="s">
        <v>801</v>
      </c>
      <c r="F1307" s="256" t="s">
        <v>803</v>
      </c>
      <c r="G1307" s="256" t="s">
        <v>803</v>
      </c>
      <c r="H1307" s="256"/>
      <c r="I1307" s="257">
        <v>0</v>
      </c>
      <c r="J1307" s="257">
        <v>0</v>
      </c>
      <c r="K1307" s="257">
        <v>0</v>
      </c>
      <c r="L1307" s="257">
        <v>0</v>
      </c>
      <c r="M1307" s="257">
        <v>0</v>
      </c>
      <c r="N1307" s="257">
        <v>0</v>
      </c>
      <c r="O1307" s="257">
        <v>0</v>
      </c>
      <c r="P1307" s="257">
        <v>0</v>
      </c>
      <c r="Q1307" s="258">
        <v>0</v>
      </c>
    </row>
    <row r="1308" spans="1:17">
      <c r="A1308" s="256">
        <v>3</v>
      </c>
      <c r="B1308" s="256">
        <v>6190101</v>
      </c>
      <c r="C1308" s="256">
        <v>619010100</v>
      </c>
      <c r="D1308" s="256" t="s">
        <v>734</v>
      </c>
      <c r="E1308" s="256" t="s">
        <v>804</v>
      </c>
      <c r="F1308" s="256" t="s">
        <v>804</v>
      </c>
      <c r="G1308" s="256" t="s">
        <v>804</v>
      </c>
      <c r="H1308" s="256"/>
      <c r="I1308" s="257">
        <v>0</v>
      </c>
      <c r="J1308" s="257">
        <v>0</v>
      </c>
      <c r="K1308" s="257">
        <v>0</v>
      </c>
      <c r="L1308" s="257">
        <v>0</v>
      </c>
      <c r="M1308" s="257">
        <v>0</v>
      </c>
      <c r="N1308" s="257">
        <v>0</v>
      </c>
      <c r="O1308" s="257">
        <v>0</v>
      </c>
      <c r="P1308" s="257">
        <v>0</v>
      </c>
      <c r="Q1308" s="258">
        <v>0</v>
      </c>
    </row>
    <row r="1309" spans="1:17">
      <c r="A1309" s="256">
        <v>3</v>
      </c>
      <c r="B1309" s="256">
        <v>6200101</v>
      </c>
      <c r="C1309" s="256">
        <v>620010100</v>
      </c>
      <c r="D1309" s="256" t="s">
        <v>734</v>
      </c>
      <c r="E1309" s="256" t="s">
        <v>805</v>
      </c>
      <c r="F1309" s="256" t="s">
        <v>805</v>
      </c>
      <c r="G1309" s="256" t="s">
        <v>805</v>
      </c>
      <c r="H1309" s="256"/>
      <c r="I1309" s="257">
        <v>0</v>
      </c>
      <c r="J1309" s="257">
        <v>0</v>
      </c>
      <c r="K1309" s="257">
        <v>0</v>
      </c>
      <c r="L1309" s="257">
        <v>0</v>
      </c>
      <c r="M1309" s="257">
        <v>0</v>
      </c>
      <c r="N1309" s="257">
        <v>0</v>
      </c>
      <c r="O1309" s="257">
        <v>0</v>
      </c>
      <c r="P1309" s="257">
        <v>0</v>
      </c>
      <c r="Q1309" s="258">
        <v>0</v>
      </c>
    </row>
    <row r="1310" spans="1:17">
      <c r="A1310" s="256">
        <v>3</v>
      </c>
      <c r="B1310" s="256">
        <v>6210101</v>
      </c>
      <c r="C1310" s="256">
        <v>621010100</v>
      </c>
      <c r="D1310" s="256" t="s">
        <v>734</v>
      </c>
      <c r="E1310" s="256" t="s">
        <v>806</v>
      </c>
      <c r="F1310" s="256" t="s">
        <v>807</v>
      </c>
      <c r="G1310" s="256" t="s">
        <v>807</v>
      </c>
      <c r="H1310" s="256"/>
      <c r="I1310" s="257">
        <v>0</v>
      </c>
      <c r="J1310" s="257">
        <v>0</v>
      </c>
      <c r="K1310" s="257">
        <v>0</v>
      </c>
      <c r="L1310" s="257">
        <v>0</v>
      </c>
      <c r="M1310" s="257">
        <v>0</v>
      </c>
      <c r="N1310" s="257">
        <v>0</v>
      </c>
      <c r="O1310" s="257">
        <v>0</v>
      </c>
      <c r="P1310" s="257">
        <v>0</v>
      </c>
      <c r="Q1310" s="258">
        <v>0</v>
      </c>
    </row>
    <row r="1311" spans="1:17">
      <c r="A1311" s="256">
        <v>3</v>
      </c>
      <c r="B1311" s="256">
        <v>6900101</v>
      </c>
      <c r="C1311" s="256">
        <v>690010100</v>
      </c>
      <c r="D1311" s="256" t="s">
        <v>734</v>
      </c>
      <c r="E1311" s="256" t="s">
        <v>809</v>
      </c>
      <c r="F1311" s="256" t="s">
        <v>809</v>
      </c>
      <c r="G1311" s="256" t="s">
        <v>809</v>
      </c>
      <c r="H1311" s="256"/>
      <c r="I1311" s="257">
        <v>0</v>
      </c>
      <c r="J1311" s="257">
        <v>0</v>
      </c>
      <c r="K1311" s="257">
        <v>0</v>
      </c>
      <c r="L1311" s="257">
        <v>0</v>
      </c>
      <c r="M1311" s="257">
        <v>0</v>
      </c>
      <c r="N1311" s="257">
        <v>0</v>
      </c>
      <c r="O1311" s="257">
        <v>0</v>
      </c>
      <c r="P1311" s="257">
        <v>0</v>
      </c>
      <c r="Q1311" s="258">
        <v>0</v>
      </c>
    </row>
    <row r="1312" spans="1:17">
      <c r="A1312" s="256">
        <v>3</v>
      </c>
      <c r="B1312" s="256">
        <v>8830823</v>
      </c>
      <c r="C1312" s="256">
        <v>883082300</v>
      </c>
      <c r="D1312" s="256" t="s">
        <v>538</v>
      </c>
      <c r="E1312" s="256" t="s">
        <v>539</v>
      </c>
      <c r="F1312" s="256" t="s">
        <v>817</v>
      </c>
      <c r="G1312" s="256" t="s">
        <v>79</v>
      </c>
      <c r="H1312" s="256"/>
      <c r="I1312" s="257">
        <v>0</v>
      </c>
      <c r="J1312" s="257">
        <v>0</v>
      </c>
      <c r="K1312" s="257">
        <v>0</v>
      </c>
      <c r="L1312" s="257">
        <v>0</v>
      </c>
      <c r="M1312" s="257">
        <v>0</v>
      </c>
      <c r="N1312" s="257">
        <v>0</v>
      </c>
      <c r="O1312" s="257">
        <v>0</v>
      </c>
      <c r="P1312" s="257">
        <v>0</v>
      </c>
      <c r="Q1312" s="258">
        <v>0</v>
      </c>
    </row>
    <row r="1313" spans="1:17">
      <c r="A1313" s="256">
        <v>3</v>
      </c>
      <c r="B1313" s="256">
        <v>8831643</v>
      </c>
      <c r="C1313" s="256">
        <v>883164301</v>
      </c>
      <c r="D1313" s="256" t="s">
        <v>538</v>
      </c>
      <c r="E1313" s="256" t="s">
        <v>539</v>
      </c>
      <c r="F1313" s="256" t="s">
        <v>821</v>
      </c>
      <c r="G1313" s="256" t="s">
        <v>824</v>
      </c>
      <c r="H1313" s="256" t="s">
        <v>688</v>
      </c>
      <c r="I1313" s="257">
        <v>0</v>
      </c>
      <c r="J1313" s="257">
        <v>0</v>
      </c>
      <c r="K1313" s="257">
        <v>0</v>
      </c>
      <c r="L1313" s="257">
        <v>0</v>
      </c>
      <c r="M1313" s="257">
        <v>0</v>
      </c>
      <c r="N1313" s="257">
        <v>0</v>
      </c>
      <c r="O1313" s="257">
        <v>0</v>
      </c>
      <c r="P1313" s="257">
        <v>0</v>
      </c>
      <c r="Q1313" s="258">
        <v>0</v>
      </c>
    </row>
    <row r="1314" spans="1:17">
      <c r="A1314" s="256">
        <v>3</v>
      </c>
      <c r="B1314" s="256">
        <v>8831643</v>
      </c>
      <c r="C1314" s="256">
        <v>883164303</v>
      </c>
      <c r="D1314" s="256" t="s">
        <v>538</v>
      </c>
      <c r="E1314" s="256" t="s">
        <v>539</v>
      </c>
      <c r="F1314" s="256" t="s">
        <v>821</v>
      </c>
      <c r="G1314" s="256" t="s">
        <v>824</v>
      </c>
      <c r="H1314" s="256" t="s">
        <v>847</v>
      </c>
      <c r="I1314" s="257">
        <v>464424</v>
      </c>
      <c r="J1314" s="257">
        <v>0</v>
      </c>
      <c r="K1314" s="257">
        <v>0</v>
      </c>
      <c r="L1314" s="257">
        <v>0</v>
      </c>
      <c r="M1314" s="257">
        <v>0</v>
      </c>
      <c r="N1314" s="257">
        <v>0</v>
      </c>
      <c r="O1314" s="257">
        <v>0</v>
      </c>
      <c r="P1314" s="257">
        <v>464424</v>
      </c>
      <c r="Q1314" s="258">
        <v>0</v>
      </c>
    </row>
    <row r="1315" spans="1:17">
      <c r="A1315" s="256">
        <v>3</v>
      </c>
      <c r="B1315" s="256">
        <v>8831643</v>
      </c>
      <c r="C1315" s="256">
        <v>883164304</v>
      </c>
      <c r="D1315" s="256" t="s">
        <v>538</v>
      </c>
      <c r="E1315" s="256" t="s">
        <v>539</v>
      </c>
      <c r="F1315" s="256" t="s">
        <v>821</v>
      </c>
      <c r="G1315" s="256" t="s">
        <v>824</v>
      </c>
      <c r="H1315" s="256" t="s">
        <v>675</v>
      </c>
      <c r="I1315" s="257">
        <v>0</v>
      </c>
      <c r="J1315" s="257">
        <v>0</v>
      </c>
      <c r="K1315" s="257">
        <v>0</v>
      </c>
      <c r="L1315" s="257">
        <v>0</v>
      </c>
      <c r="M1315" s="257">
        <v>0</v>
      </c>
      <c r="N1315" s="257">
        <v>0</v>
      </c>
      <c r="O1315" s="257">
        <v>0</v>
      </c>
      <c r="P1315" s="257">
        <v>0</v>
      </c>
      <c r="Q1315" s="258">
        <v>0</v>
      </c>
    </row>
    <row r="1316" spans="1:17">
      <c r="A1316" s="256">
        <v>3</v>
      </c>
      <c r="B1316" s="256">
        <v>8831643</v>
      </c>
      <c r="C1316" s="256">
        <v>883164305</v>
      </c>
      <c r="D1316" s="256" t="s">
        <v>538</v>
      </c>
      <c r="E1316" s="256" t="s">
        <v>539</v>
      </c>
      <c r="F1316" s="256" t="s">
        <v>821</v>
      </c>
      <c r="G1316" s="256" t="s">
        <v>824</v>
      </c>
      <c r="H1316" s="256" t="s">
        <v>676</v>
      </c>
      <c r="I1316" s="257">
        <v>0</v>
      </c>
      <c r="J1316" s="257">
        <v>0</v>
      </c>
      <c r="K1316" s="257">
        <v>0</v>
      </c>
      <c r="L1316" s="257">
        <v>0</v>
      </c>
      <c r="M1316" s="257">
        <v>0</v>
      </c>
      <c r="N1316" s="257">
        <v>0</v>
      </c>
      <c r="O1316" s="257">
        <v>0</v>
      </c>
      <c r="P1316" s="257">
        <v>0</v>
      </c>
      <c r="Q1316" s="258">
        <v>0</v>
      </c>
    </row>
    <row r="1317" spans="1:17">
      <c r="A1317" s="256">
        <v>3</v>
      </c>
      <c r="B1317" s="256">
        <v>8831801</v>
      </c>
      <c r="C1317" s="256">
        <v>883180102</v>
      </c>
      <c r="D1317" s="256" t="s">
        <v>538</v>
      </c>
      <c r="E1317" s="256" t="s">
        <v>539</v>
      </c>
      <c r="F1317" s="256" t="s">
        <v>541</v>
      </c>
      <c r="G1317" s="256" t="s">
        <v>112</v>
      </c>
      <c r="H1317" s="256" t="s">
        <v>737</v>
      </c>
      <c r="I1317" s="257">
        <v>0</v>
      </c>
      <c r="J1317" s="257">
        <v>0</v>
      </c>
      <c r="K1317" s="257">
        <v>0</v>
      </c>
      <c r="L1317" s="257">
        <v>0</v>
      </c>
      <c r="M1317" s="257">
        <v>0</v>
      </c>
      <c r="N1317" s="257">
        <v>0</v>
      </c>
      <c r="O1317" s="257">
        <v>0</v>
      </c>
      <c r="P1317" s="257">
        <v>0</v>
      </c>
      <c r="Q1317" s="258">
        <v>0</v>
      </c>
    </row>
    <row r="1318" spans="1:17">
      <c r="A1318" s="256">
        <v>3</v>
      </c>
      <c r="B1318" s="256">
        <v>8831801</v>
      </c>
      <c r="C1318" s="256">
        <v>883180103</v>
      </c>
      <c r="D1318" s="256" t="s">
        <v>538</v>
      </c>
      <c r="E1318" s="256" t="s">
        <v>539</v>
      </c>
      <c r="F1318" s="256" t="s">
        <v>541</v>
      </c>
      <c r="G1318" s="256" t="s">
        <v>112</v>
      </c>
      <c r="H1318" s="256" t="s">
        <v>738</v>
      </c>
      <c r="I1318" s="257">
        <v>0</v>
      </c>
      <c r="J1318" s="257">
        <v>0</v>
      </c>
      <c r="K1318" s="257">
        <v>0</v>
      </c>
      <c r="L1318" s="257">
        <v>0</v>
      </c>
      <c r="M1318" s="257">
        <v>0</v>
      </c>
      <c r="N1318" s="257">
        <v>0</v>
      </c>
      <c r="O1318" s="257">
        <v>0</v>
      </c>
      <c r="P1318" s="257">
        <v>0</v>
      </c>
      <c r="Q1318" s="258">
        <v>0</v>
      </c>
    </row>
    <row r="1319" spans="1:17">
      <c r="A1319" s="256">
        <v>3</v>
      </c>
      <c r="B1319" s="256">
        <v>8831801</v>
      </c>
      <c r="C1319" s="256">
        <v>883180104</v>
      </c>
      <c r="D1319" s="256" t="s">
        <v>538</v>
      </c>
      <c r="E1319" s="256" t="s">
        <v>539</v>
      </c>
      <c r="F1319" s="256" t="s">
        <v>541</v>
      </c>
      <c r="G1319" s="256" t="s">
        <v>112</v>
      </c>
      <c r="H1319" s="256" t="s">
        <v>739</v>
      </c>
      <c r="I1319" s="257">
        <v>0</v>
      </c>
      <c r="J1319" s="257">
        <v>0</v>
      </c>
      <c r="K1319" s="257">
        <v>0</v>
      </c>
      <c r="L1319" s="257">
        <v>0</v>
      </c>
      <c r="M1319" s="257">
        <v>0</v>
      </c>
      <c r="N1319" s="257">
        <v>0</v>
      </c>
      <c r="O1319" s="257">
        <v>0</v>
      </c>
      <c r="P1319" s="257">
        <v>0</v>
      </c>
      <c r="Q1319" s="258">
        <v>0</v>
      </c>
    </row>
    <row r="1320" spans="1:17">
      <c r="A1320" s="236">
        <v>3</v>
      </c>
      <c r="B1320" s="236">
        <v>8831801</v>
      </c>
      <c r="C1320" s="236">
        <v>883180105</v>
      </c>
      <c r="D1320" s="236" t="s">
        <v>538</v>
      </c>
      <c r="E1320" s="236" t="s">
        <v>539</v>
      </c>
      <c r="F1320" s="236" t="s">
        <v>541</v>
      </c>
      <c r="G1320" s="236" t="s">
        <v>112</v>
      </c>
      <c r="H1320" s="236" t="s">
        <v>740</v>
      </c>
      <c r="I1320" s="257">
        <v>0</v>
      </c>
      <c r="J1320" s="257">
        <v>0</v>
      </c>
      <c r="K1320" s="257">
        <v>0</v>
      </c>
      <c r="L1320" s="257">
        <v>0</v>
      </c>
      <c r="M1320" s="257">
        <v>0</v>
      </c>
      <c r="N1320" s="257">
        <v>0</v>
      </c>
      <c r="O1320" s="257">
        <v>0</v>
      </c>
      <c r="P1320" s="257">
        <v>0</v>
      </c>
      <c r="Q1320" s="258">
        <v>0</v>
      </c>
    </row>
    <row r="1321" spans="1:17">
      <c r="A1321" s="256">
        <v>3</v>
      </c>
      <c r="B1321" s="256">
        <v>8831802</v>
      </c>
      <c r="C1321" s="256">
        <v>883180202</v>
      </c>
      <c r="D1321" s="256" t="s">
        <v>538</v>
      </c>
      <c r="E1321" s="256" t="s">
        <v>539</v>
      </c>
      <c r="F1321" s="256" t="s">
        <v>541</v>
      </c>
      <c r="G1321" s="256" t="s">
        <v>110</v>
      </c>
      <c r="H1321" s="256" t="s">
        <v>741</v>
      </c>
      <c r="I1321" s="257">
        <v>0</v>
      </c>
      <c r="J1321" s="257">
        <v>0</v>
      </c>
      <c r="K1321" s="257">
        <v>0</v>
      </c>
      <c r="L1321" s="257">
        <v>0</v>
      </c>
      <c r="M1321" s="257">
        <v>0</v>
      </c>
      <c r="N1321" s="257">
        <v>0</v>
      </c>
      <c r="O1321" s="257">
        <v>0</v>
      </c>
      <c r="P1321" s="257">
        <v>0</v>
      </c>
      <c r="Q1321" s="258">
        <v>0</v>
      </c>
    </row>
    <row r="1322" spans="1:17">
      <c r="A1322" s="256">
        <v>3</v>
      </c>
      <c r="B1322" s="256">
        <v>8831803</v>
      </c>
      <c r="C1322" s="256">
        <v>883180301</v>
      </c>
      <c r="D1322" s="256" t="s">
        <v>538</v>
      </c>
      <c r="E1322" s="256" t="s">
        <v>539</v>
      </c>
      <c r="F1322" s="256" t="s">
        <v>541</v>
      </c>
      <c r="G1322" s="256" t="s">
        <v>108</v>
      </c>
      <c r="H1322" s="256" t="s">
        <v>742</v>
      </c>
      <c r="I1322" s="257">
        <v>0</v>
      </c>
      <c r="J1322" s="257">
        <v>0</v>
      </c>
      <c r="K1322" s="257">
        <v>0</v>
      </c>
      <c r="L1322" s="257">
        <v>0</v>
      </c>
      <c r="M1322" s="257">
        <v>0</v>
      </c>
      <c r="N1322" s="257">
        <v>0</v>
      </c>
      <c r="O1322" s="257">
        <v>0</v>
      </c>
      <c r="P1322" s="257">
        <v>0</v>
      </c>
      <c r="Q1322" s="258">
        <v>0</v>
      </c>
    </row>
    <row r="1323" spans="1:17">
      <c r="A1323" s="256">
        <v>3</v>
      </c>
      <c r="B1323" s="256">
        <v>8831803</v>
      </c>
      <c r="C1323" s="256">
        <v>883180302</v>
      </c>
      <c r="D1323" s="256" t="s">
        <v>538</v>
      </c>
      <c r="E1323" s="256" t="s">
        <v>539</v>
      </c>
      <c r="F1323" s="256" t="s">
        <v>541</v>
      </c>
      <c r="G1323" s="256" t="s">
        <v>108</v>
      </c>
      <c r="H1323" s="256" t="s">
        <v>743</v>
      </c>
      <c r="I1323" s="257">
        <v>0</v>
      </c>
      <c r="J1323" s="257">
        <v>0</v>
      </c>
      <c r="K1323" s="257">
        <v>0</v>
      </c>
      <c r="L1323" s="257">
        <v>0</v>
      </c>
      <c r="M1323" s="257">
        <v>0</v>
      </c>
      <c r="N1323" s="257">
        <v>0</v>
      </c>
      <c r="O1323" s="257">
        <v>0</v>
      </c>
      <c r="P1323" s="257">
        <v>0</v>
      </c>
      <c r="Q1323" s="258">
        <v>0</v>
      </c>
    </row>
    <row r="1324" spans="1:17">
      <c r="A1324" s="256">
        <v>3</v>
      </c>
      <c r="B1324" s="256">
        <v>8831803</v>
      </c>
      <c r="C1324" s="256">
        <v>883180303</v>
      </c>
      <c r="D1324" s="256" t="s">
        <v>538</v>
      </c>
      <c r="E1324" s="256" t="s">
        <v>539</v>
      </c>
      <c r="F1324" s="256" t="s">
        <v>541</v>
      </c>
      <c r="G1324" s="256" t="s">
        <v>108</v>
      </c>
      <c r="H1324" s="256" t="s">
        <v>744</v>
      </c>
      <c r="I1324" s="257">
        <v>0</v>
      </c>
      <c r="J1324" s="257">
        <v>0</v>
      </c>
      <c r="K1324" s="257">
        <v>0</v>
      </c>
      <c r="L1324" s="257">
        <v>0</v>
      </c>
      <c r="M1324" s="257">
        <v>0</v>
      </c>
      <c r="N1324" s="257">
        <v>0</v>
      </c>
      <c r="O1324" s="257">
        <v>0</v>
      </c>
      <c r="P1324" s="257">
        <v>0</v>
      </c>
      <c r="Q1324" s="258">
        <v>0</v>
      </c>
    </row>
    <row r="1325" spans="1:17">
      <c r="A1325" s="256">
        <v>3</v>
      </c>
      <c r="B1325" s="256">
        <v>8831803</v>
      </c>
      <c r="C1325" s="256">
        <v>883180304</v>
      </c>
      <c r="D1325" s="256" t="s">
        <v>538</v>
      </c>
      <c r="E1325" s="256" t="s">
        <v>539</v>
      </c>
      <c r="F1325" s="256" t="s">
        <v>541</v>
      </c>
      <c r="G1325" s="256" t="s">
        <v>108</v>
      </c>
      <c r="H1325" s="256" t="s">
        <v>745</v>
      </c>
      <c r="I1325" s="257">
        <v>0</v>
      </c>
      <c r="J1325" s="257">
        <v>0</v>
      </c>
      <c r="K1325" s="257">
        <v>0</v>
      </c>
      <c r="L1325" s="257">
        <v>0</v>
      </c>
      <c r="M1325" s="257">
        <v>0</v>
      </c>
      <c r="N1325" s="257">
        <v>0</v>
      </c>
      <c r="O1325" s="257">
        <v>0</v>
      </c>
      <c r="P1325" s="257">
        <v>0</v>
      </c>
      <c r="Q1325" s="258">
        <v>0</v>
      </c>
    </row>
    <row r="1326" spans="1:17">
      <c r="A1326" s="256">
        <v>3</v>
      </c>
      <c r="B1326" s="256">
        <v>8831803</v>
      </c>
      <c r="C1326" s="256">
        <v>883180305</v>
      </c>
      <c r="D1326" s="256" t="s">
        <v>538</v>
      </c>
      <c r="E1326" s="256" t="s">
        <v>539</v>
      </c>
      <c r="F1326" s="256" t="s">
        <v>541</v>
      </c>
      <c r="G1326" s="256" t="s">
        <v>108</v>
      </c>
      <c r="H1326" s="256" t="s">
        <v>746</v>
      </c>
      <c r="I1326" s="257">
        <v>0</v>
      </c>
      <c r="J1326" s="257">
        <v>0</v>
      </c>
      <c r="K1326" s="257">
        <v>0</v>
      </c>
      <c r="L1326" s="257">
        <v>0</v>
      </c>
      <c r="M1326" s="257">
        <v>0</v>
      </c>
      <c r="N1326" s="257">
        <v>0</v>
      </c>
      <c r="O1326" s="257">
        <v>0</v>
      </c>
      <c r="P1326" s="257">
        <v>0</v>
      </c>
      <c r="Q1326" s="258">
        <v>0</v>
      </c>
    </row>
    <row r="1327" spans="1:17">
      <c r="A1327" s="256">
        <v>3</v>
      </c>
      <c r="B1327" s="256">
        <v>8831803</v>
      </c>
      <c r="C1327" s="256">
        <v>883180306</v>
      </c>
      <c r="D1327" s="256" t="s">
        <v>538</v>
      </c>
      <c r="E1327" s="256" t="s">
        <v>539</v>
      </c>
      <c r="F1327" s="256" t="s">
        <v>541</v>
      </c>
      <c r="G1327" s="256" t="s">
        <v>108</v>
      </c>
      <c r="H1327" s="256" t="s">
        <v>747</v>
      </c>
      <c r="I1327" s="257">
        <v>0</v>
      </c>
      <c r="J1327" s="257">
        <v>0</v>
      </c>
      <c r="K1327" s="257">
        <v>0</v>
      </c>
      <c r="L1327" s="257">
        <v>0</v>
      </c>
      <c r="M1327" s="257">
        <v>0</v>
      </c>
      <c r="N1327" s="257">
        <v>0</v>
      </c>
      <c r="O1327" s="257">
        <v>0</v>
      </c>
      <c r="P1327" s="257">
        <v>0</v>
      </c>
      <c r="Q1327" s="258">
        <v>0</v>
      </c>
    </row>
    <row r="1328" spans="1:17">
      <c r="A1328" s="256">
        <v>3</v>
      </c>
      <c r="B1328" s="256">
        <v>8831803</v>
      </c>
      <c r="C1328" s="256">
        <v>883180307</v>
      </c>
      <c r="D1328" s="256" t="s">
        <v>538</v>
      </c>
      <c r="E1328" s="256" t="s">
        <v>539</v>
      </c>
      <c r="F1328" s="256" t="s">
        <v>541</v>
      </c>
      <c r="G1328" s="256" t="s">
        <v>108</v>
      </c>
      <c r="H1328" s="256" t="s">
        <v>748</v>
      </c>
      <c r="I1328" s="257">
        <v>0</v>
      </c>
      <c r="J1328" s="257">
        <v>0</v>
      </c>
      <c r="K1328" s="257">
        <v>0</v>
      </c>
      <c r="L1328" s="257">
        <v>0</v>
      </c>
      <c r="M1328" s="257">
        <v>0</v>
      </c>
      <c r="N1328" s="257">
        <v>0</v>
      </c>
      <c r="O1328" s="257">
        <v>0</v>
      </c>
      <c r="P1328" s="257">
        <v>0</v>
      </c>
      <c r="Q1328" s="258">
        <v>0</v>
      </c>
    </row>
    <row r="1329" spans="1:17">
      <c r="A1329" s="256">
        <v>3</v>
      </c>
      <c r="B1329" s="256">
        <v>8831803</v>
      </c>
      <c r="C1329" s="256">
        <v>883180310</v>
      </c>
      <c r="D1329" s="256" t="s">
        <v>538</v>
      </c>
      <c r="E1329" s="256" t="s">
        <v>539</v>
      </c>
      <c r="F1329" s="256" t="s">
        <v>541</v>
      </c>
      <c r="G1329" s="256" t="s">
        <v>108</v>
      </c>
      <c r="H1329" s="256" t="s">
        <v>749</v>
      </c>
      <c r="I1329" s="257">
        <v>0</v>
      </c>
      <c r="J1329" s="257">
        <v>0</v>
      </c>
      <c r="K1329" s="257">
        <v>0</v>
      </c>
      <c r="L1329" s="257">
        <v>0</v>
      </c>
      <c r="M1329" s="257">
        <v>0</v>
      </c>
      <c r="N1329" s="257">
        <v>0</v>
      </c>
      <c r="O1329" s="257">
        <v>0</v>
      </c>
      <c r="P1329" s="257">
        <v>0</v>
      </c>
      <c r="Q1329" s="258">
        <v>0</v>
      </c>
    </row>
    <row r="1330" spans="1:17">
      <c r="A1330" s="256">
        <v>3</v>
      </c>
      <c r="B1330" s="256">
        <v>8831803</v>
      </c>
      <c r="C1330" s="256">
        <v>883180311</v>
      </c>
      <c r="D1330" s="256" t="s">
        <v>538</v>
      </c>
      <c r="E1330" s="256" t="s">
        <v>539</v>
      </c>
      <c r="F1330" s="256" t="s">
        <v>541</v>
      </c>
      <c r="G1330" s="256" t="s">
        <v>108</v>
      </c>
      <c r="H1330" s="256" t="s">
        <v>750</v>
      </c>
      <c r="I1330" s="257">
        <v>0</v>
      </c>
      <c r="J1330" s="257">
        <v>0</v>
      </c>
      <c r="K1330" s="257">
        <v>0</v>
      </c>
      <c r="L1330" s="257">
        <v>0</v>
      </c>
      <c r="M1330" s="257">
        <v>0</v>
      </c>
      <c r="N1330" s="257">
        <v>0</v>
      </c>
      <c r="O1330" s="257">
        <v>0</v>
      </c>
      <c r="P1330" s="257">
        <v>0</v>
      </c>
      <c r="Q1330" s="258">
        <v>0</v>
      </c>
    </row>
    <row r="1331" spans="1:17">
      <c r="A1331" s="256">
        <v>3</v>
      </c>
      <c r="B1331" s="256">
        <v>8831803</v>
      </c>
      <c r="C1331" s="256">
        <v>883180314</v>
      </c>
      <c r="D1331" s="256" t="s">
        <v>538</v>
      </c>
      <c r="E1331" s="256" t="s">
        <v>539</v>
      </c>
      <c r="F1331" s="256" t="s">
        <v>541</v>
      </c>
      <c r="G1331" s="256" t="s">
        <v>108</v>
      </c>
      <c r="H1331" s="256" t="s">
        <v>751</v>
      </c>
      <c r="I1331" s="257">
        <v>0</v>
      </c>
      <c r="J1331" s="257">
        <v>0</v>
      </c>
      <c r="K1331" s="257">
        <v>0</v>
      </c>
      <c r="L1331" s="257">
        <v>0</v>
      </c>
      <c r="M1331" s="257">
        <v>0</v>
      </c>
      <c r="N1331" s="257">
        <v>0</v>
      </c>
      <c r="O1331" s="257">
        <v>0</v>
      </c>
      <c r="P1331" s="257">
        <v>0</v>
      </c>
      <c r="Q1331" s="258">
        <v>0</v>
      </c>
    </row>
    <row r="1332" spans="1:17">
      <c r="A1332" s="256">
        <v>3</v>
      </c>
      <c r="B1332" s="256">
        <v>8831803</v>
      </c>
      <c r="C1332" s="256">
        <v>883180315</v>
      </c>
      <c r="D1332" s="256" t="s">
        <v>538</v>
      </c>
      <c r="E1332" s="256" t="s">
        <v>539</v>
      </c>
      <c r="F1332" s="256" t="s">
        <v>541</v>
      </c>
      <c r="G1332" s="256" t="s">
        <v>108</v>
      </c>
      <c r="H1332" s="256" t="s">
        <v>752</v>
      </c>
      <c r="I1332" s="257">
        <v>0</v>
      </c>
      <c r="J1332" s="257">
        <v>0</v>
      </c>
      <c r="K1332" s="257">
        <v>0</v>
      </c>
      <c r="L1332" s="257">
        <v>0</v>
      </c>
      <c r="M1332" s="257">
        <v>0</v>
      </c>
      <c r="N1332" s="257">
        <v>0</v>
      </c>
      <c r="O1332" s="257">
        <v>0</v>
      </c>
      <c r="P1332" s="257">
        <v>0</v>
      </c>
      <c r="Q1332" s="258">
        <v>0</v>
      </c>
    </row>
    <row r="1333" spans="1:17">
      <c r="A1333" s="256">
        <v>3</v>
      </c>
      <c r="B1333" s="256">
        <v>8831803</v>
      </c>
      <c r="C1333" s="256">
        <v>883180316</v>
      </c>
      <c r="D1333" s="256" t="s">
        <v>538</v>
      </c>
      <c r="E1333" s="256" t="s">
        <v>539</v>
      </c>
      <c r="F1333" s="256" t="s">
        <v>541</v>
      </c>
      <c r="G1333" s="256" t="s">
        <v>108</v>
      </c>
      <c r="H1333" s="256" t="s">
        <v>863</v>
      </c>
      <c r="I1333" s="257">
        <v>0</v>
      </c>
      <c r="J1333" s="257">
        <v>0</v>
      </c>
      <c r="K1333" s="257">
        <v>0</v>
      </c>
      <c r="L1333" s="257">
        <v>0</v>
      </c>
      <c r="M1333" s="257">
        <v>0</v>
      </c>
      <c r="N1333" s="257">
        <v>0</v>
      </c>
      <c r="O1333" s="257">
        <v>0</v>
      </c>
      <c r="P1333" s="257">
        <v>0</v>
      </c>
      <c r="Q1333" s="258">
        <v>0</v>
      </c>
    </row>
    <row r="1334" spans="1:17">
      <c r="A1334" s="256">
        <v>3</v>
      </c>
      <c r="B1334" s="256">
        <v>8831804</v>
      </c>
      <c r="C1334" s="256">
        <v>883180401</v>
      </c>
      <c r="D1334" s="256" t="s">
        <v>538</v>
      </c>
      <c r="E1334" s="256" t="s">
        <v>539</v>
      </c>
      <c r="F1334" s="256" t="s">
        <v>541</v>
      </c>
      <c r="G1334" s="256" t="s">
        <v>106</v>
      </c>
      <c r="H1334" s="256" t="s">
        <v>755</v>
      </c>
      <c r="I1334" s="257">
        <v>0</v>
      </c>
      <c r="J1334" s="257">
        <v>0</v>
      </c>
      <c r="K1334" s="257">
        <v>0</v>
      </c>
      <c r="L1334" s="257">
        <v>0</v>
      </c>
      <c r="M1334" s="257">
        <v>0</v>
      </c>
      <c r="N1334" s="257">
        <v>0</v>
      </c>
      <c r="O1334" s="257">
        <v>0</v>
      </c>
      <c r="P1334" s="257">
        <v>0</v>
      </c>
      <c r="Q1334" s="258">
        <v>0</v>
      </c>
    </row>
    <row r="1335" spans="1:17">
      <c r="A1335" s="256">
        <v>3</v>
      </c>
      <c r="B1335" s="256">
        <v>8831804</v>
      </c>
      <c r="C1335" s="256">
        <v>883180402</v>
      </c>
      <c r="D1335" s="256" t="s">
        <v>538</v>
      </c>
      <c r="E1335" s="256" t="s">
        <v>539</v>
      </c>
      <c r="F1335" s="256" t="s">
        <v>541</v>
      </c>
      <c r="G1335" s="256" t="s">
        <v>106</v>
      </c>
      <c r="H1335" s="256" t="s">
        <v>756</v>
      </c>
      <c r="I1335" s="257">
        <v>0</v>
      </c>
      <c r="J1335" s="257">
        <v>0</v>
      </c>
      <c r="K1335" s="257">
        <v>0</v>
      </c>
      <c r="L1335" s="257">
        <v>0</v>
      </c>
      <c r="M1335" s="257">
        <v>0</v>
      </c>
      <c r="N1335" s="257">
        <v>0</v>
      </c>
      <c r="O1335" s="257">
        <v>0</v>
      </c>
      <c r="P1335" s="257">
        <v>0</v>
      </c>
      <c r="Q1335" s="258">
        <v>0</v>
      </c>
    </row>
    <row r="1336" spans="1:17">
      <c r="A1336" s="256">
        <v>3</v>
      </c>
      <c r="B1336" s="256">
        <v>8831804</v>
      </c>
      <c r="C1336" s="256">
        <v>883180403</v>
      </c>
      <c r="D1336" s="256" t="s">
        <v>538</v>
      </c>
      <c r="E1336" s="256" t="s">
        <v>539</v>
      </c>
      <c r="F1336" s="256" t="s">
        <v>541</v>
      </c>
      <c r="G1336" s="256" t="s">
        <v>106</v>
      </c>
      <c r="H1336" s="256" t="s">
        <v>757</v>
      </c>
      <c r="I1336" s="257">
        <v>0</v>
      </c>
      <c r="J1336" s="257">
        <v>0</v>
      </c>
      <c r="K1336" s="257">
        <v>0</v>
      </c>
      <c r="L1336" s="257">
        <v>0</v>
      </c>
      <c r="M1336" s="257">
        <v>0</v>
      </c>
      <c r="N1336" s="257">
        <v>0</v>
      </c>
      <c r="O1336" s="257">
        <v>0</v>
      </c>
      <c r="P1336" s="257">
        <v>0</v>
      </c>
      <c r="Q1336" s="258">
        <v>0</v>
      </c>
    </row>
    <row r="1337" spans="1:17">
      <c r="A1337" s="256">
        <v>3</v>
      </c>
      <c r="B1337" s="256">
        <v>8831804</v>
      </c>
      <c r="C1337" s="256">
        <v>883180405</v>
      </c>
      <c r="D1337" s="256" t="s">
        <v>538</v>
      </c>
      <c r="E1337" s="256" t="s">
        <v>539</v>
      </c>
      <c r="F1337" s="256" t="s">
        <v>541</v>
      </c>
      <c r="G1337" s="256" t="s">
        <v>106</v>
      </c>
      <c r="H1337" s="256" t="s">
        <v>758</v>
      </c>
      <c r="I1337" s="257">
        <v>0</v>
      </c>
      <c r="J1337" s="257">
        <v>0</v>
      </c>
      <c r="K1337" s="257">
        <v>0</v>
      </c>
      <c r="L1337" s="257">
        <v>0</v>
      </c>
      <c r="M1337" s="257">
        <v>0</v>
      </c>
      <c r="N1337" s="257">
        <v>0</v>
      </c>
      <c r="O1337" s="257">
        <v>0</v>
      </c>
      <c r="P1337" s="257">
        <v>0</v>
      </c>
      <c r="Q1337" s="258">
        <v>0</v>
      </c>
    </row>
    <row r="1338" spans="1:17">
      <c r="A1338" s="256">
        <v>3</v>
      </c>
      <c r="B1338" s="256">
        <v>8831804</v>
      </c>
      <c r="C1338" s="256">
        <v>883180406</v>
      </c>
      <c r="D1338" s="256" t="s">
        <v>538</v>
      </c>
      <c r="E1338" s="256" t="s">
        <v>539</v>
      </c>
      <c r="F1338" s="256" t="s">
        <v>541</v>
      </c>
      <c r="G1338" s="256" t="s">
        <v>106</v>
      </c>
      <c r="H1338" s="256" t="s">
        <v>759</v>
      </c>
      <c r="I1338" s="257">
        <v>0</v>
      </c>
      <c r="J1338" s="257">
        <v>0</v>
      </c>
      <c r="K1338" s="257">
        <v>0</v>
      </c>
      <c r="L1338" s="257">
        <v>0</v>
      </c>
      <c r="M1338" s="257">
        <v>0</v>
      </c>
      <c r="N1338" s="257">
        <v>0</v>
      </c>
      <c r="O1338" s="257">
        <v>0</v>
      </c>
      <c r="P1338" s="257">
        <v>0</v>
      </c>
      <c r="Q1338" s="258">
        <v>0</v>
      </c>
    </row>
    <row r="1339" spans="1:17">
      <c r="A1339" s="256">
        <v>3</v>
      </c>
      <c r="B1339" s="256">
        <v>8831804</v>
      </c>
      <c r="C1339" s="256">
        <v>883180407</v>
      </c>
      <c r="D1339" s="256" t="s">
        <v>538</v>
      </c>
      <c r="E1339" s="256" t="s">
        <v>539</v>
      </c>
      <c r="F1339" s="256" t="s">
        <v>541</v>
      </c>
      <c r="G1339" s="256" t="s">
        <v>106</v>
      </c>
      <c r="H1339" s="256" t="s">
        <v>760</v>
      </c>
      <c r="I1339" s="257">
        <v>0</v>
      </c>
      <c r="J1339" s="257">
        <v>0</v>
      </c>
      <c r="K1339" s="257">
        <v>0</v>
      </c>
      <c r="L1339" s="257">
        <v>0</v>
      </c>
      <c r="M1339" s="257">
        <v>0</v>
      </c>
      <c r="N1339" s="257">
        <v>0</v>
      </c>
      <c r="O1339" s="257">
        <v>0</v>
      </c>
      <c r="P1339" s="257">
        <v>0</v>
      </c>
      <c r="Q1339" s="258">
        <v>0</v>
      </c>
    </row>
    <row r="1340" spans="1:17">
      <c r="A1340" s="256">
        <v>3</v>
      </c>
      <c r="B1340" s="256">
        <v>8831804</v>
      </c>
      <c r="C1340" s="256">
        <v>883180408</v>
      </c>
      <c r="D1340" s="256" t="s">
        <v>538</v>
      </c>
      <c r="E1340" s="256" t="s">
        <v>539</v>
      </c>
      <c r="F1340" s="256" t="s">
        <v>541</v>
      </c>
      <c r="G1340" s="256" t="s">
        <v>106</v>
      </c>
      <c r="H1340" s="256" t="s">
        <v>761</v>
      </c>
      <c r="I1340" s="257">
        <v>0</v>
      </c>
      <c r="J1340" s="257">
        <v>0</v>
      </c>
      <c r="K1340" s="257">
        <v>0</v>
      </c>
      <c r="L1340" s="257">
        <v>0</v>
      </c>
      <c r="M1340" s="257">
        <v>0</v>
      </c>
      <c r="N1340" s="257">
        <v>0</v>
      </c>
      <c r="O1340" s="257">
        <v>0</v>
      </c>
      <c r="P1340" s="257">
        <v>0</v>
      </c>
      <c r="Q1340" s="258">
        <v>0</v>
      </c>
    </row>
    <row r="1341" spans="1:17">
      <c r="A1341" s="256">
        <v>3</v>
      </c>
      <c r="B1341" s="256">
        <v>8831804</v>
      </c>
      <c r="C1341" s="256">
        <v>883180410</v>
      </c>
      <c r="D1341" s="256" t="s">
        <v>538</v>
      </c>
      <c r="E1341" s="256" t="s">
        <v>539</v>
      </c>
      <c r="F1341" s="256" t="s">
        <v>541</v>
      </c>
      <c r="G1341" s="256" t="s">
        <v>106</v>
      </c>
      <c r="H1341" s="256" t="s">
        <v>762</v>
      </c>
      <c r="I1341" s="257">
        <v>0</v>
      </c>
      <c r="J1341" s="257">
        <v>0</v>
      </c>
      <c r="K1341" s="257">
        <v>0</v>
      </c>
      <c r="L1341" s="257">
        <v>0</v>
      </c>
      <c r="M1341" s="257">
        <v>0</v>
      </c>
      <c r="N1341" s="257">
        <v>0</v>
      </c>
      <c r="O1341" s="257">
        <v>0</v>
      </c>
      <c r="P1341" s="257">
        <v>0</v>
      </c>
      <c r="Q1341" s="258">
        <v>0</v>
      </c>
    </row>
    <row r="1342" spans="1:17">
      <c r="A1342" s="256">
        <v>3</v>
      </c>
      <c r="B1342" s="256">
        <v>8831804</v>
      </c>
      <c r="C1342" s="256">
        <v>883180411</v>
      </c>
      <c r="D1342" s="256" t="s">
        <v>538</v>
      </c>
      <c r="E1342" s="256" t="s">
        <v>539</v>
      </c>
      <c r="F1342" s="256" t="s">
        <v>541</v>
      </c>
      <c r="G1342" s="256" t="s">
        <v>106</v>
      </c>
      <c r="H1342" s="256" t="s">
        <v>763</v>
      </c>
      <c r="I1342" s="257">
        <v>0</v>
      </c>
      <c r="J1342" s="257">
        <v>0</v>
      </c>
      <c r="K1342" s="257">
        <v>0</v>
      </c>
      <c r="L1342" s="257">
        <v>0</v>
      </c>
      <c r="M1342" s="257">
        <v>0</v>
      </c>
      <c r="N1342" s="257">
        <v>0</v>
      </c>
      <c r="O1342" s="257">
        <v>0</v>
      </c>
      <c r="P1342" s="257">
        <v>0</v>
      </c>
      <c r="Q1342" s="258">
        <v>0</v>
      </c>
    </row>
    <row r="1343" spans="1:17">
      <c r="A1343" s="256">
        <v>3</v>
      </c>
      <c r="B1343" s="256">
        <v>8831805</v>
      </c>
      <c r="C1343" s="256">
        <v>883180500</v>
      </c>
      <c r="D1343" s="256" t="s">
        <v>538</v>
      </c>
      <c r="E1343" s="256" t="s">
        <v>539</v>
      </c>
      <c r="F1343" s="256" t="s">
        <v>541</v>
      </c>
      <c r="G1343" s="256" t="s">
        <v>104</v>
      </c>
      <c r="H1343" s="256"/>
      <c r="I1343" s="257">
        <v>0</v>
      </c>
      <c r="J1343" s="257">
        <v>0</v>
      </c>
      <c r="K1343" s="257">
        <v>0</v>
      </c>
      <c r="L1343" s="257">
        <v>0</v>
      </c>
      <c r="M1343" s="257">
        <v>0</v>
      </c>
      <c r="N1343" s="257">
        <v>0</v>
      </c>
      <c r="O1343" s="257">
        <v>0</v>
      </c>
      <c r="P1343" s="257">
        <v>0</v>
      </c>
      <c r="Q1343" s="258">
        <v>0</v>
      </c>
    </row>
    <row r="1344" spans="1:17">
      <c r="A1344" s="256">
        <v>3</v>
      </c>
      <c r="B1344" s="256">
        <v>8831807</v>
      </c>
      <c r="C1344" s="256">
        <v>883180700</v>
      </c>
      <c r="D1344" s="256" t="s">
        <v>538</v>
      </c>
      <c r="E1344" s="256" t="s">
        <v>539</v>
      </c>
      <c r="F1344" s="256" t="s">
        <v>541</v>
      </c>
      <c r="G1344" s="256" t="s">
        <v>102</v>
      </c>
      <c r="H1344" s="256"/>
      <c r="I1344" s="257">
        <v>0</v>
      </c>
      <c r="J1344" s="257">
        <v>0</v>
      </c>
      <c r="K1344" s="257">
        <v>0</v>
      </c>
      <c r="L1344" s="257">
        <v>0</v>
      </c>
      <c r="M1344" s="257">
        <v>0</v>
      </c>
      <c r="N1344" s="257">
        <v>0</v>
      </c>
      <c r="O1344" s="257">
        <v>0</v>
      </c>
      <c r="P1344" s="257">
        <v>0</v>
      </c>
      <c r="Q1344" s="258">
        <v>0</v>
      </c>
    </row>
    <row r="1345" spans="1:17">
      <c r="A1345" s="256">
        <v>3</v>
      </c>
      <c r="B1345" s="256">
        <v>8831808</v>
      </c>
      <c r="C1345" s="256">
        <v>883180800</v>
      </c>
      <c r="D1345" s="256" t="s">
        <v>538</v>
      </c>
      <c r="E1345" s="256" t="s">
        <v>539</v>
      </c>
      <c r="F1345" s="256" t="s">
        <v>541</v>
      </c>
      <c r="G1345" s="256" t="s">
        <v>100</v>
      </c>
      <c r="H1345" s="256"/>
      <c r="I1345" s="257">
        <v>0</v>
      </c>
      <c r="J1345" s="257">
        <v>0</v>
      </c>
      <c r="K1345" s="257">
        <v>0</v>
      </c>
      <c r="L1345" s="257">
        <v>0</v>
      </c>
      <c r="M1345" s="257">
        <v>0</v>
      </c>
      <c r="N1345" s="257">
        <v>0</v>
      </c>
      <c r="O1345" s="257">
        <v>0</v>
      </c>
      <c r="P1345" s="257">
        <v>0</v>
      </c>
      <c r="Q1345" s="258">
        <v>0</v>
      </c>
    </row>
    <row r="1346" spans="1:17">
      <c r="A1346" s="256">
        <v>3</v>
      </c>
      <c r="B1346" s="256">
        <v>8831810</v>
      </c>
      <c r="C1346" s="256">
        <v>883181001</v>
      </c>
      <c r="D1346" s="256" t="s">
        <v>538</v>
      </c>
      <c r="E1346" s="256" t="s">
        <v>539</v>
      </c>
      <c r="F1346" s="256" t="s">
        <v>541</v>
      </c>
      <c r="G1346" s="256" t="s">
        <v>764</v>
      </c>
      <c r="H1346" s="256" t="s">
        <v>98</v>
      </c>
      <c r="I1346" s="257">
        <v>7966</v>
      </c>
      <c r="J1346" s="257">
        <v>0</v>
      </c>
      <c r="K1346" s="257">
        <v>0</v>
      </c>
      <c r="L1346" s="257">
        <v>0</v>
      </c>
      <c r="M1346" s="257">
        <v>0</v>
      </c>
      <c r="N1346" s="257">
        <v>7966</v>
      </c>
      <c r="O1346" s="257">
        <v>0</v>
      </c>
      <c r="P1346" s="257">
        <v>0</v>
      </c>
      <c r="Q1346" s="258">
        <v>0</v>
      </c>
    </row>
    <row r="1347" spans="1:17">
      <c r="A1347" s="256">
        <v>3</v>
      </c>
      <c r="B1347" s="256">
        <v>8831810</v>
      </c>
      <c r="C1347" s="256">
        <v>883181002</v>
      </c>
      <c r="D1347" s="256" t="s">
        <v>538</v>
      </c>
      <c r="E1347" s="256" t="s">
        <v>539</v>
      </c>
      <c r="F1347" s="256" t="s">
        <v>541</v>
      </c>
      <c r="G1347" s="256" t="s">
        <v>764</v>
      </c>
      <c r="H1347" s="256" t="s">
        <v>95</v>
      </c>
      <c r="I1347" s="257">
        <v>0</v>
      </c>
      <c r="J1347" s="257">
        <v>0</v>
      </c>
      <c r="K1347" s="257">
        <v>0</v>
      </c>
      <c r="L1347" s="257">
        <v>0</v>
      </c>
      <c r="M1347" s="257">
        <v>0</v>
      </c>
      <c r="N1347" s="257">
        <v>0</v>
      </c>
      <c r="O1347" s="257">
        <v>0</v>
      </c>
      <c r="P1347" s="257">
        <v>0</v>
      </c>
      <c r="Q1347" s="258">
        <v>0</v>
      </c>
    </row>
    <row r="1348" spans="1:17">
      <c r="A1348" s="236">
        <v>3</v>
      </c>
      <c r="B1348" s="236">
        <v>8831810</v>
      </c>
      <c r="C1348" s="236">
        <v>883181003</v>
      </c>
      <c r="D1348" s="236" t="s">
        <v>538</v>
      </c>
      <c r="E1348" s="236" t="s">
        <v>539</v>
      </c>
      <c r="F1348" s="236" t="s">
        <v>541</v>
      </c>
      <c r="G1348" s="236" t="s">
        <v>764</v>
      </c>
      <c r="H1348" s="236" t="s">
        <v>765</v>
      </c>
      <c r="I1348" s="257">
        <v>0</v>
      </c>
      <c r="J1348" s="257">
        <v>0</v>
      </c>
      <c r="K1348" s="257">
        <v>0</v>
      </c>
      <c r="L1348" s="257">
        <v>0</v>
      </c>
      <c r="M1348" s="257">
        <v>0</v>
      </c>
      <c r="N1348" s="257">
        <v>0</v>
      </c>
      <c r="O1348" s="257">
        <v>0</v>
      </c>
      <c r="P1348" s="257">
        <v>0</v>
      </c>
      <c r="Q1348" s="258">
        <v>0</v>
      </c>
    </row>
    <row r="1349" spans="1:17">
      <c r="A1349" s="256">
        <v>3</v>
      </c>
      <c r="B1349" s="256">
        <v>8831813</v>
      </c>
      <c r="C1349" s="256">
        <v>883181300</v>
      </c>
      <c r="D1349" s="256" t="s">
        <v>538</v>
      </c>
      <c r="E1349" s="256" t="s">
        <v>539</v>
      </c>
      <c r="F1349" s="256" t="s">
        <v>541</v>
      </c>
      <c r="G1349" s="256" t="s">
        <v>93</v>
      </c>
      <c r="H1349" s="256"/>
      <c r="I1349" s="257">
        <v>109131</v>
      </c>
      <c r="J1349" s="257">
        <v>0</v>
      </c>
      <c r="K1349" s="257">
        <v>0</v>
      </c>
      <c r="L1349" s="257">
        <v>0</v>
      </c>
      <c r="M1349" s="257">
        <v>5073</v>
      </c>
      <c r="N1349" s="257">
        <v>104058</v>
      </c>
      <c r="O1349" s="257">
        <v>0</v>
      </c>
      <c r="P1349" s="257">
        <v>0</v>
      </c>
      <c r="Q1349" s="258">
        <v>0</v>
      </c>
    </row>
    <row r="1350" spans="1:17">
      <c r="A1350" s="256">
        <v>3</v>
      </c>
      <c r="B1350" s="256">
        <v>8831814</v>
      </c>
      <c r="C1350" s="256">
        <v>883181400</v>
      </c>
      <c r="D1350" s="256" t="s">
        <v>538</v>
      </c>
      <c r="E1350" s="256" t="s">
        <v>539</v>
      </c>
      <c r="F1350" s="256" t="s">
        <v>541</v>
      </c>
      <c r="G1350" s="256" t="s">
        <v>91</v>
      </c>
      <c r="H1350" s="256"/>
      <c r="I1350" s="257">
        <v>1683</v>
      </c>
      <c r="J1350" s="257">
        <v>0</v>
      </c>
      <c r="K1350" s="257">
        <v>0</v>
      </c>
      <c r="L1350" s="257">
        <v>0</v>
      </c>
      <c r="M1350" s="257">
        <v>0</v>
      </c>
      <c r="N1350" s="257">
        <v>1683</v>
      </c>
      <c r="O1350" s="257">
        <v>0</v>
      </c>
      <c r="P1350" s="257">
        <v>0</v>
      </c>
      <c r="Q1350" s="258">
        <v>0</v>
      </c>
    </row>
    <row r="1351" spans="1:17">
      <c r="A1351" s="256">
        <v>3</v>
      </c>
      <c r="B1351" s="256">
        <v>8831815</v>
      </c>
      <c r="C1351" s="256">
        <v>883181500</v>
      </c>
      <c r="D1351" s="256" t="s">
        <v>538</v>
      </c>
      <c r="E1351" s="256" t="s">
        <v>539</v>
      </c>
      <c r="F1351" s="256" t="s">
        <v>541</v>
      </c>
      <c r="G1351" s="256" t="s">
        <v>89</v>
      </c>
      <c r="H1351" s="256"/>
      <c r="I1351" s="257">
        <v>25581</v>
      </c>
      <c r="J1351" s="257">
        <v>0</v>
      </c>
      <c r="K1351" s="257">
        <v>0</v>
      </c>
      <c r="L1351" s="257">
        <v>0</v>
      </c>
      <c r="M1351" s="257">
        <v>0</v>
      </c>
      <c r="N1351" s="257">
        <v>25581</v>
      </c>
      <c r="O1351" s="257">
        <v>0</v>
      </c>
      <c r="P1351" s="257">
        <v>0</v>
      </c>
      <c r="Q1351" s="258">
        <v>0</v>
      </c>
    </row>
    <row r="1352" spans="1:17">
      <c r="A1352" s="256">
        <v>3</v>
      </c>
      <c r="B1352" s="256">
        <v>8831817</v>
      </c>
      <c r="C1352" s="256">
        <v>883181700</v>
      </c>
      <c r="D1352" s="256" t="s">
        <v>538</v>
      </c>
      <c r="E1352" s="256" t="s">
        <v>539</v>
      </c>
      <c r="F1352" s="256" t="s">
        <v>541</v>
      </c>
      <c r="G1352" s="256" t="s">
        <v>87</v>
      </c>
      <c r="H1352" s="256"/>
      <c r="I1352" s="257">
        <v>827</v>
      </c>
      <c r="J1352" s="257">
        <v>0</v>
      </c>
      <c r="K1352" s="257">
        <v>0</v>
      </c>
      <c r="L1352" s="257">
        <v>0</v>
      </c>
      <c r="M1352" s="257">
        <v>0</v>
      </c>
      <c r="N1352" s="257">
        <v>827</v>
      </c>
      <c r="O1352" s="257">
        <v>0</v>
      </c>
      <c r="P1352" s="257">
        <v>0</v>
      </c>
      <c r="Q1352" s="258">
        <v>0</v>
      </c>
    </row>
    <row r="1353" spans="1:17">
      <c r="A1353" s="256">
        <v>3</v>
      </c>
      <c r="B1353" s="256">
        <v>8831819</v>
      </c>
      <c r="C1353" s="256">
        <v>883181900</v>
      </c>
      <c r="D1353" s="256" t="s">
        <v>538</v>
      </c>
      <c r="E1353" s="256" t="s">
        <v>539</v>
      </c>
      <c r="F1353" s="256" t="s">
        <v>541</v>
      </c>
      <c r="G1353" s="256" t="s">
        <v>85</v>
      </c>
      <c r="H1353" s="256"/>
      <c r="I1353" s="257">
        <v>14717</v>
      </c>
      <c r="J1353" s="257">
        <v>0</v>
      </c>
      <c r="K1353" s="257">
        <v>0</v>
      </c>
      <c r="L1353" s="257">
        <v>0</v>
      </c>
      <c r="M1353" s="257">
        <v>0</v>
      </c>
      <c r="N1353" s="257">
        <v>2980</v>
      </c>
      <c r="O1353" s="257">
        <v>11737</v>
      </c>
      <c r="P1353" s="257">
        <v>0</v>
      </c>
      <c r="Q1353" s="258">
        <v>0</v>
      </c>
    </row>
    <row r="1354" spans="1:17">
      <c r="A1354" s="256">
        <v>3</v>
      </c>
      <c r="B1354" s="256">
        <v>8831820</v>
      </c>
      <c r="C1354" s="256">
        <v>883182000</v>
      </c>
      <c r="D1354" s="256" t="s">
        <v>538</v>
      </c>
      <c r="E1354" s="256" t="s">
        <v>539</v>
      </c>
      <c r="F1354" s="256" t="s">
        <v>541</v>
      </c>
      <c r="G1354" s="256" t="s">
        <v>83</v>
      </c>
      <c r="H1354" s="256"/>
      <c r="I1354" s="257">
        <v>1186506</v>
      </c>
      <c r="J1354" s="257">
        <v>0</v>
      </c>
      <c r="K1354" s="257">
        <v>0</v>
      </c>
      <c r="L1354" s="257">
        <v>0</v>
      </c>
      <c r="M1354" s="257">
        <v>0</v>
      </c>
      <c r="N1354" s="257">
        <v>1184616</v>
      </c>
      <c r="O1354" s="257">
        <v>1890</v>
      </c>
      <c r="P1354" s="257">
        <v>0</v>
      </c>
      <c r="Q1354" s="258">
        <v>0</v>
      </c>
    </row>
    <row r="1355" spans="1:17">
      <c r="A1355" s="256">
        <v>3</v>
      </c>
      <c r="B1355" s="256">
        <v>8831821</v>
      </c>
      <c r="C1355" s="256">
        <v>883182100</v>
      </c>
      <c r="D1355" s="256" t="s">
        <v>538</v>
      </c>
      <c r="E1355" s="256" t="s">
        <v>539</v>
      </c>
      <c r="F1355" s="256" t="s">
        <v>541</v>
      </c>
      <c r="G1355" s="256" t="s">
        <v>81</v>
      </c>
      <c r="H1355" s="256"/>
      <c r="I1355" s="257">
        <v>212395907</v>
      </c>
      <c r="J1355" s="257">
        <v>0</v>
      </c>
      <c r="K1355" s="257">
        <v>0</v>
      </c>
      <c r="L1355" s="257">
        <v>0</v>
      </c>
      <c r="M1355" s="257">
        <v>0</v>
      </c>
      <c r="N1355" s="257">
        <v>212395907</v>
      </c>
      <c r="O1355" s="257">
        <v>0</v>
      </c>
      <c r="P1355" s="257">
        <v>0</v>
      </c>
      <c r="Q1355" s="258">
        <v>0</v>
      </c>
    </row>
    <row r="1356" spans="1:17">
      <c r="A1356" s="256">
        <v>3</v>
      </c>
      <c r="B1356" s="256">
        <v>8831823</v>
      </c>
      <c r="C1356" s="256">
        <v>883182300</v>
      </c>
      <c r="D1356" s="256" t="s">
        <v>538</v>
      </c>
      <c r="E1356" s="256" t="s">
        <v>539</v>
      </c>
      <c r="F1356" s="256" t="s">
        <v>541</v>
      </c>
      <c r="G1356" s="256" t="s">
        <v>79</v>
      </c>
      <c r="H1356" s="256"/>
      <c r="I1356" s="257">
        <v>16506765</v>
      </c>
      <c r="J1356" s="257">
        <v>0</v>
      </c>
      <c r="K1356" s="257">
        <v>0</v>
      </c>
      <c r="L1356" s="257">
        <v>0</v>
      </c>
      <c r="M1356" s="257">
        <v>0</v>
      </c>
      <c r="N1356" s="257">
        <v>16506765</v>
      </c>
      <c r="O1356" s="257">
        <v>0</v>
      </c>
      <c r="P1356" s="257">
        <v>0</v>
      </c>
      <c r="Q1356" s="258">
        <v>0</v>
      </c>
    </row>
    <row r="1357" spans="1:17">
      <c r="A1357" s="256">
        <v>3</v>
      </c>
      <c r="B1357" s="256">
        <v>8831824</v>
      </c>
      <c r="C1357" s="256">
        <v>883182400</v>
      </c>
      <c r="D1357" s="256" t="s">
        <v>538</v>
      </c>
      <c r="E1357" s="256" t="s">
        <v>539</v>
      </c>
      <c r="F1357" s="256" t="s">
        <v>541</v>
      </c>
      <c r="G1357" s="256" t="s">
        <v>77</v>
      </c>
      <c r="H1357" s="256"/>
      <c r="I1357" s="257">
        <v>995500</v>
      </c>
      <c r="J1357" s="257">
        <v>0</v>
      </c>
      <c r="K1357" s="257">
        <v>0</v>
      </c>
      <c r="L1357" s="257">
        <v>0</v>
      </c>
      <c r="M1357" s="257">
        <v>0</v>
      </c>
      <c r="N1357" s="257">
        <v>995500</v>
      </c>
      <c r="O1357" s="257">
        <v>0</v>
      </c>
      <c r="P1357" s="257">
        <v>0</v>
      </c>
      <c r="Q1357" s="258">
        <v>0</v>
      </c>
    </row>
    <row r="1358" spans="1:17">
      <c r="A1358" s="256">
        <v>3</v>
      </c>
      <c r="B1358" s="256">
        <v>8831825</v>
      </c>
      <c r="C1358" s="256">
        <v>883182500</v>
      </c>
      <c r="D1358" s="256" t="s">
        <v>538</v>
      </c>
      <c r="E1358" s="256" t="s">
        <v>539</v>
      </c>
      <c r="F1358" s="256" t="s">
        <v>541</v>
      </c>
      <c r="G1358" s="256" t="s">
        <v>75</v>
      </c>
      <c r="H1358" s="256"/>
      <c r="I1358" s="257">
        <v>13807574</v>
      </c>
      <c r="J1358" s="257">
        <v>0</v>
      </c>
      <c r="K1358" s="257">
        <v>0</v>
      </c>
      <c r="L1358" s="257">
        <v>0</v>
      </c>
      <c r="M1358" s="257">
        <v>0</v>
      </c>
      <c r="N1358" s="257">
        <v>13807574</v>
      </c>
      <c r="O1358" s="257">
        <v>0</v>
      </c>
      <c r="P1358" s="257">
        <v>0</v>
      </c>
      <c r="Q1358" s="258">
        <v>0</v>
      </c>
    </row>
    <row r="1359" spans="1:17">
      <c r="A1359" s="256">
        <v>3</v>
      </c>
      <c r="B1359" s="256">
        <v>8831826</v>
      </c>
      <c r="C1359" s="256">
        <v>883182600</v>
      </c>
      <c r="D1359" s="256" t="s">
        <v>538</v>
      </c>
      <c r="E1359" s="256" t="s">
        <v>539</v>
      </c>
      <c r="F1359" s="256" t="s">
        <v>541</v>
      </c>
      <c r="G1359" s="256" t="s">
        <v>73</v>
      </c>
      <c r="H1359" s="256"/>
      <c r="I1359" s="257">
        <v>0</v>
      </c>
      <c r="J1359" s="257">
        <v>0</v>
      </c>
      <c r="K1359" s="257">
        <v>0</v>
      </c>
      <c r="L1359" s="257">
        <v>0</v>
      </c>
      <c r="M1359" s="257">
        <v>0</v>
      </c>
      <c r="N1359" s="257">
        <v>0</v>
      </c>
      <c r="O1359" s="257">
        <v>0</v>
      </c>
      <c r="P1359" s="257">
        <v>0</v>
      </c>
      <c r="Q1359" s="258">
        <v>0</v>
      </c>
    </row>
    <row r="1360" spans="1:17">
      <c r="A1360" s="256">
        <v>3</v>
      </c>
      <c r="B1360" s="256">
        <v>8831828</v>
      </c>
      <c r="C1360" s="256">
        <v>883182866</v>
      </c>
      <c r="D1360" s="256" t="s">
        <v>538</v>
      </c>
      <c r="E1360" s="256" t="s">
        <v>539</v>
      </c>
      <c r="F1360" s="256" t="s">
        <v>541</v>
      </c>
      <c r="G1360" s="256" t="s">
        <v>811</v>
      </c>
      <c r="H1360" s="256" t="s">
        <v>812</v>
      </c>
      <c r="I1360" s="257">
        <v>0</v>
      </c>
      <c r="J1360" s="257">
        <v>0</v>
      </c>
      <c r="K1360" s="257">
        <v>0</v>
      </c>
      <c r="L1360" s="257">
        <v>0</v>
      </c>
      <c r="M1360" s="257">
        <v>0</v>
      </c>
      <c r="N1360" s="257">
        <v>0</v>
      </c>
      <c r="O1360" s="257">
        <v>0</v>
      </c>
      <c r="P1360" s="257">
        <v>0</v>
      </c>
      <c r="Q1360" s="258">
        <v>0</v>
      </c>
    </row>
    <row r="1361" spans="1:17">
      <c r="A1361" s="256">
        <v>3</v>
      </c>
      <c r="B1361" s="256">
        <v>8831828</v>
      </c>
      <c r="C1361" s="256">
        <v>883182867</v>
      </c>
      <c r="D1361" s="256" t="s">
        <v>538</v>
      </c>
      <c r="E1361" s="256" t="s">
        <v>539</v>
      </c>
      <c r="F1361" s="256" t="s">
        <v>541</v>
      </c>
      <c r="G1361" s="256" t="s">
        <v>811</v>
      </c>
      <c r="H1361" s="256" t="s">
        <v>813</v>
      </c>
      <c r="I1361" s="257">
        <v>0</v>
      </c>
      <c r="J1361" s="257">
        <v>0</v>
      </c>
      <c r="K1361" s="257">
        <v>0</v>
      </c>
      <c r="L1361" s="257">
        <v>0</v>
      </c>
      <c r="M1361" s="257">
        <v>0</v>
      </c>
      <c r="N1361" s="257">
        <v>0</v>
      </c>
      <c r="O1361" s="257">
        <v>0</v>
      </c>
      <c r="P1361" s="257">
        <v>0</v>
      </c>
      <c r="Q1361" s="258">
        <v>0</v>
      </c>
    </row>
    <row r="1362" spans="1:17">
      <c r="A1362" s="256">
        <v>3</v>
      </c>
      <c r="B1362" s="256">
        <v>8831829</v>
      </c>
      <c r="C1362" s="256">
        <v>883182900</v>
      </c>
      <c r="D1362" s="256" t="s">
        <v>538</v>
      </c>
      <c r="E1362" s="256" t="s">
        <v>539</v>
      </c>
      <c r="F1362" s="256" t="s">
        <v>541</v>
      </c>
      <c r="G1362" s="256" t="s">
        <v>66</v>
      </c>
      <c r="H1362" s="256"/>
      <c r="I1362" s="257">
        <v>0</v>
      </c>
      <c r="J1362" s="257">
        <v>0</v>
      </c>
      <c r="K1362" s="257">
        <v>0</v>
      </c>
      <c r="L1362" s="257">
        <v>0</v>
      </c>
      <c r="M1362" s="257">
        <v>0</v>
      </c>
      <c r="N1362" s="257">
        <v>0</v>
      </c>
      <c r="O1362" s="257">
        <v>0</v>
      </c>
      <c r="P1362" s="257">
        <v>0</v>
      </c>
      <c r="Q1362" s="258">
        <v>0</v>
      </c>
    </row>
    <row r="1363" spans="1:17">
      <c r="A1363" s="256">
        <v>3</v>
      </c>
      <c r="B1363" s="256">
        <v>8831830</v>
      </c>
      <c r="C1363" s="256">
        <v>883183000</v>
      </c>
      <c r="D1363" s="256" t="s">
        <v>538</v>
      </c>
      <c r="E1363" s="256" t="s">
        <v>539</v>
      </c>
      <c r="F1363" s="256" t="s">
        <v>541</v>
      </c>
      <c r="G1363" s="256" t="s">
        <v>64</v>
      </c>
      <c r="H1363" s="256"/>
      <c r="I1363" s="257">
        <v>0</v>
      </c>
      <c r="J1363" s="257">
        <v>0</v>
      </c>
      <c r="K1363" s="257">
        <v>0</v>
      </c>
      <c r="L1363" s="257">
        <v>0</v>
      </c>
      <c r="M1363" s="257">
        <v>0</v>
      </c>
      <c r="N1363" s="257">
        <v>0</v>
      </c>
      <c r="O1363" s="257">
        <v>0</v>
      </c>
      <c r="P1363" s="257">
        <v>0</v>
      </c>
      <c r="Q1363" s="258">
        <v>0</v>
      </c>
    </row>
    <row r="1364" spans="1:17">
      <c r="A1364" s="256">
        <v>3</v>
      </c>
      <c r="B1364" s="256">
        <v>8831831</v>
      </c>
      <c r="C1364" s="256">
        <v>883183100</v>
      </c>
      <c r="D1364" s="256" t="s">
        <v>538</v>
      </c>
      <c r="E1364" s="256" t="s">
        <v>539</v>
      </c>
      <c r="F1364" s="256" t="s">
        <v>541</v>
      </c>
      <c r="G1364" s="256" t="s">
        <v>62</v>
      </c>
      <c r="H1364" s="256"/>
      <c r="I1364" s="257">
        <v>2416327</v>
      </c>
      <c r="J1364" s="257">
        <v>0</v>
      </c>
      <c r="K1364" s="257">
        <v>0</v>
      </c>
      <c r="L1364" s="257">
        <v>0</v>
      </c>
      <c r="M1364" s="257">
        <v>0</v>
      </c>
      <c r="N1364" s="257">
        <v>2310867</v>
      </c>
      <c r="O1364" s="257">
        <v>0</v>
      </c>
      <c r="P1364" s="257">
        <v>105460</v>
      </c>
      <c r="Q1364" s="258">
        <v>0</v>
      </c>
    </row>
    <row r="1365" spans="1:17">
      <c r="A1365" s="256">
        <v>3</v>
      </c>
      <c r="B1365" s="256">
        <v>8831833</v>
      </c>
      <c r="C1365" s="256">
        <v>883183300</v>
      </c>
      <c r="D1365" s="256" t="s">
        <v>538</v>
      </c>
      <c r="E1365" s="256" t="s">
        <v>539</v>
      </c>
      <c r="F1365" s="256" t="s">
        <v>541</v>
      </c>
      <c r="G1365" s="256" t="s">
        <v>822</v>
      </c>
      <c r="H1365" s="256"/>
      <c r="I1365" s="257">
        <v>0</v>
      </c>
      <c r="J1365" s="257">
        <v>0</v>
      </c>
      <c r="K1365" s="257">
        <v>0</v>
      </c>
      <c r="L1365" s="257">
        <v>0</v>
      </c>
      <c r="M1365" s="257">
        <v>0</v>
      </c>
      <c r="N1365" s="257">
        <v>0</v>
      </c>
      <c r="O1365" s="257">
        <v>0</v>
      </c>
      <c r="P1365" s="257">
        <v>0</v>
      </c>
      <c r="Q1365" s="258">
        <v>0</v>
      </c>
    </row>
    <row r="1366" spans="1:17">
      <c r="A1366" s="256">
        <v>3</v>
      </c>
      <c r="B1366" s="256">
        <v>8831836</v>
      </c>
      <c r="C1366" s="256">
        <v>883183600</v>
      </c>
      <c r="D1366" s="256" t="s">
        <v>538</v>
      </c>
      <c r="E1366" s="256" t="s">
        <v>539</v>
      </c>
      <c r="F1366" s="256" t="s">
        <v>541</v>
      </c>
      <c r="G1366" s="256" t="s">
        <v>823</v>
      </c>
      <c r="H1366" s="256"/>
      <c r="I1366" s="257">
        <v>63</v>
      </c>
      <c r="J1366" s="257">
        <v>0</v>
      </c>
      <c r="K1366" s="257">
        <v>0</v>
      </c>
      <c r="L1366" s="257">
        <v>0</v>
      </c>
      <c r="M1366" s="257">
        <v>0</v>
      </c>
      <c r="N1366" s="257">
        <v>63</v>
      </c>
      <c r="O1366" s="257">
        <v>0</v>
      </c>
      <c r="P1366" s="257">
        <v>0</v>
      </c>
      <c r="Q1366" s="258">
        <v>0</v>
      </c>
    </row>
    <row r="1367" spans="1:17">
      <c r="A1367" s="256">
        <v>3</v>
      </c>
      <c r="B1367" s="256">
        <v>8831837</v>
      </c>
      <c r="C1367" s="256">
        <v>883183700</v>
      </c>
      <c r="D1367" s="256" t="s">
        <v>538</v>
      </c>
      <c r="E1367" s="256" t="s">
        <v>539</v>
      </c>
      <c r="F1367" s="256" t="s">
        <v>541</v>
      </c>
      <c r="G1367" s="256" t="s">
        <v>60</v>
      </c>
      <c r="H1367" s="256"/>
      <c r="I1367" s="257">
        <v>0</v>
      </c>
      <c r="J1367" s="257">
        <v>0</v>
      </c>
      <c r="K1367" s="257">
        <v>0</v>
      </c>
      <c r="L1367" s="257">
        <v>0</v>
      </c>
      <c r="M1367" s="257">
        <v>0</v>
      </c>
      <c r="N1367" s="257">
        <v>0</v>
      </c>
      <c r="O1367" s="257">
        <v>0</v>
      </c>
      <c r="P1367" s="257">
        <v>0</v>
      </c>
      <c r="Q1367" s="258">
        <v>0</v>
      </c>
    </row>
    <row r="1368" spans="1:17">
      <c r="A1368" s="256">
        <v>3</v>
      </c>
      <c r="B1368" s="256">
        <v>8831839</v>
      </c>
      <c r="C1368" s="256">
        <v>883183900</v>
      </c>
      <c r="D1368" s="256" t="s">
        <v>538</v>
      </c>
      <c r="E1368" s="256" t="s">
        <v>539</v>
      </c>
      <c r="F1368" s="256" t="s">
        <v>541</v>
      </c>
      <c r="G1368" s="256" t="s">
        <v>58</v>
      </c>
      <c r="H1368" s="256"/>
      <c r="I1368" s="257">
        <v>169338</v>
      </c>
      <c r="J1368" s="257">
        <v>0</v>
      </c>
      <c r="K1368" s="257">
        <v>0</v>
      </c>
      <c r="L1368" s="257">
        <v>0</v>
      </c>
      <c r="M1368" s="257">
        <v>0</v>
      </c>
      <c r="N1368" s="257">
        <v>0</v>
      </c>
      <c r="O1368" s="257">
        <v>169338</v>
      </c>
      <c r="P1368" s="257">
        <v>0</v>
      </c>
      <c r="Q1368" s="258">
        <v>0</v>
      </c>
    </row>
    <row r="1369" spans="1:17">
      <c r="A1369" s="256">
        <v>3</v>
      </c>
      <c r="B1369" s="256">
        <v>8831840</v>
      </c>
      <c r="C1369" s="256">
        <v>883184000</v>
      </c>
      <c r="D1369" s="256" t="s">
        <v>538</v>
      </c>
      <c r="E1369" s="256" t="s">
        <v>539</v>
      </c>
      <c r="F1369" s="256" t="s">
        <v>541</v>
      </c>
      <c r="G1369" s="256" t="s">
        <v>56</v>
      </c>
      <c r="H1369" s="256"/>
      <c r="I1369" s="257">
        <v>139</v>
      </c>
      <c r="J1369" s="257">
        <v>0</v>
      </c>
      <c r="K1369" s="257">
        <v>0</v>
      </c>
      <c r="L1369" s="257">
        <v>0</v>
      </c>
      <c r="M1369" s="257">
        <v>0</v>
      </c>
      <c r="N1369" s="257">
        <v>0</v>
      </c>
      <c r="O1369" s="257">
        <v>0</v>
      </c>
      <c r="P1369" s="257">
        <v>139</v>
      </c>
      <c r="Q1369" s="258">
        <v>0</v>
      </c>
    </row>
    <row r="1370" spans="1:17">
      <c r="A1370" s="256">
        <v>3</v>
      </c>
      <c r="B1370" s="256">
        <v>8831841</v>
      </c>
      <c r="C1370" s="256">
        <v>883184100</v>
      </c>
      <c r="D1370" s="256" t="s">
        <v>538</v>
      </c>
      <c r="E1370" s="256" t="s">
        <v>539</v>
      </c>
      <c r="F1370" s="256" t="s">
        <v>541</v>
      </c>
      <c r="G1370" s="256" t="s">
        <v>55</v>
      </c>
      <c r="H1370" s="256"/>
      <c r="I1370" s="257">
        <v>0</v>
      </c>
      <c r="J1370" s="257">
        <v>0</v>
      </c>
      <c r="K1370" s="257">
        <v>0</v>
      </c>
      <c r="L1370" s="257">
        <v>0</v>
      </c>
      <c r="M1370" s="257">
        <v>0</v>
      </c>
      <c r="N1370" s="257">
        <v>0</v>
      </c>
      <c r="O1370" s="257">
        <v>0</v>
      </c>
      <c r="P1370" s="257">
        <v>0</v>
      </c>
      <c r="Q1370" s="258">
        <v>0</v>
      </c>
    </row>
    <row r="1371" spans="1:17">
      <c r="A1371" s="256">
        <v>3</v>
      </c>
      <c r="B1371" s="256">
        <v>8831843</v>
      </c>
      <c r="C1371" s="256">
        <v>883184304</v>
      </c>
      <c r="D1371" s="256" t="s">
        <v>538</v>
      </c>
      <c r="E1371" s="256" t="s">
        <v>539</v>
      </c>
      <c r="F1371" s="256" t="s">
        <v>541</v>
      </c>
      <c r="G1371" s="256" t="s">
        <v>824</v>
      </c>
      <c r="H1371" s="256" t="s">
        <v>675</v>
      </c>
      <c r="I1371" s="257">
        <v>16000</v>
      </c>
      <c r="J1371" s="257">
        <v>0</v>
      </c>
      <c r="K1371" s="257">
        <v>0</v>
      </c>
      <c r="L1371" s="257">
        <v>0</v>
      </c>
      <c r="M1371" s="257">
        <v>0</v>
      </c>
      <c r="N1371" s="257">
        <v>0</v>
      </c>
      <c r="O1371" s="257">
        <v>0</v>
      </c>
      <c r="P1371" s="257">
        <v>16000</v>
      </c>
      <c r="Q1371" s="258">
        <v>0</v>
      </c>
    </row>
    <row r="1372" spans="1:17">
      <c r="A1372" s="256">
        <v>3</v>
      </c>
      <c r="B1372" s="256">
        <v>8832043</v>
      </c>
      <c r="C1372" s="256">
        <v>883204370</v>
      </c>
      <c r="D1372" s="256" t="s">
        <v>538</v>
      </c>
      <c r="E1372" s="256" t="s">
        <v>539</v>
      </c>
      <c r="F1372" s="256" t="s">
        <v>826</v>
      </c>
      <c r="G1372" s="256" t="s">
        <v>827</v>
      </c>
      <c r="H1372" s="256" t="s">
        <v>492</v>
      </c>
      <c r="I1372" s="257">
        <v>18007053</v>
      </c>
      <c r="J1372" s="257">
        <v>0</v>
      </c>
      <c r="K1372" s="257">
        <v>0</v>
      </c>
      <c r="L1372" s="257">
        <v>0</v>
      </c>
      <c r="M1372" s="257">
        <v>0</v>
      </c>
      <c r="N1372" s="257">
        <v>0</v>
      </c>
      <c r="O1372" s="257">
        <v>0</v>
      </c>
      <c r="P1372" s="257">
        <v>18007053</v>
      </c>
      <c r="Q1372" s="258">
        <v>0</v>
      </c>
    </row>
    <row r="1373" spans="1:17">
      <c r="A1373" s="256">
        <v>3</v>
      </c>
      <c r="B1373" s="256">
        <v>8832043</v>
      </c>
      <c r="C1373" s="256">
        <v>883204371</v>
      </c>
      <c r="D1373" s="256" t="s">
        <v>538</v>
      </c>
      <c r="E1373" s="256" t="s">
        <v>539</v>
      </c>
      <c r="F1373" s="256" t="s">
        <v>826</v>
      </c>
      <c r="G1373" s="256" t="s">
        <v>827</v>
      </c>
      <c r="H1373" s="256" t="s">
        <v>491</v>
      </c>
      <c r="I1373" s="257">
        <v>388438705</v>
      </c>
      <c r="J1373" s="257">
        <v>0</v>
      </c>
      <c r="K1373" s="257">
        <v>0</v>
      </c>
      <c r="L1373" s="257">
        <v>0</v>
      </c>
      <c r="M1373" s="257">
        <v>0</v>
      </c>
      <c r="N1373" s="257">
        <v>0</v>
      </c>
      <c r="O1373" s="257">
        <v>0</v>
      </c>
      <c r="P1373" s="257">
        <v>388438705</v>
      </c>
      <c r="Q1373" s="258">
        <v>0</v>
      </c>
    </row>
    <row r="1374" spans="1:17">
      <c r="A1374" s="256">
        <v>3</v>
      </c>
      <c r="B1374" s="256">
        <v>8832043</v>
      </c>
      <c r="C1374" s="256">
        <v>883204372</v>
      </c>
      <c r="D1374" s="256" t="s">
        <v>538</v>
      </c>
      <c r="E1374" s="256" t="s">
        <v>539</v>
      </c>
      <c r="F1374" s="256" t="s">
        <v>826</v>
      </c>
      <c r="G1374" s="256" t="s">
        <v>827</v>
      </c>
      <c r="H1374" s="256" t="s">
        <v>490</v>
      </c>
      <c r="I1374" s="257">
        <v>99952168</v>
      </c>
      <c r="J1374" s="257">
        <v>0</v>
      </c>
      <c r="K1374" s="257">
        <v>0</v>
      </c>
      <c r="L1374" s="257">
        <v>0</v>
      </c>
      <c r="M1374" s="257">
        <v>0</v>
      </c>
      <c r="N1374" s="257">
        <v>0</v>
      </c>
      <c r="O1374" s="257">
        <v>0</v>
      </c>
      <c r="P1374" s="257">
        <v>99952168</v>
      </c>
      <c r="Q1374" s="258">
        <v>0</v>
      </c>
    </row>
    <row r="1375" spans="1:17">
      <c r="A1375" s="256">
        <v>3</v>
      </c>
      <c r="B1375" s="256">
        <v>8832043</v>
      </c>
      <c r="C1375" s="256">
        <v>883204373</v>
      </c>
      <c r="D1375" s="256" t="s">
        <v>538</v>
      </c>
      <c r="E1375" s="256" t="s">
        <v>539</v>
      </c>
      <c r="F1375" s="256" t="s">
        <v>826</v>
      </c>
      <c r="G1375" s="256" t="s">
        <v>827</v>
      </c>
      <c r="H1375" s="256" t="s">
        <v>489</v>
      </c>
      <c r="I1375" s="257">
        <v>374650</v>
      </c>
      <c r="J1375" s="257">
        <v>0</v>
      </c>
      <c r="K1375" s="257">
        <v>0</v>
      </c>
      <c r="L1375" s="257">
        <v>0</v>
      </c>
      <c r="M1375" s="257">
        <v>0</v>
      </c>
      <c r="N1375" s="257">
        <v>0</v>
      </c>
      <c r="O1375" s="257">
        <v>0</v>
      </c>
      <c r="P1375" s="257">
        <v>374650</v>
      </c>
      <c r="Q1375" s="258">
        <v>0</v>
      </c>
    </row>
    <row r="1376" spans="1:17">
      <c r="A1376" s="256">
        <v>3</v>
      </c>
      <c r="B1376" s="256">
        <v>8832043</v>
      </c>
      <c r="C1376" s="256">
        <v>883204374</v>
      </c>
      <c r="D1376" s="256" t="s">
        <v>538</v>
      </c>
      <c r="E1376" s="256" t="s">
        <v>539</v>
      </c>
      <c r="F1376" s="256" t="s">
        <v>826</v>
      </c>
      <c r="G1376" s="256" t="s">
        <v>827</v>
      </c>
      <c r="H1376" s="256" t="s">
        <v>488</v>
      </c>
      <c r="I1376" s="257">
        <v>0</v>
      </c>
      <c r="J1376" s="257">
        <v>0</v>
      </c>
      <c r="K1376" s="257">
        <v>0</v>
      </c>
      <c r="L1376" s="257">
        <v>0</v>
      </c>
      <c r="M1376" s="257">
        <v>0</v>
      </c>
      <c r="N1376" s="257">
        <v>0</v>
      </c>
      <c r="O1376" s="257">
        <v>0</v>
      </c>
      <c r="P1376" s="257">
        <v>0</v>
      </c>
      <c r="Q1376" s="258">
        <v>0</v>
      </c>
    </row>
    <row r="1377" spans="1:17">
      <c r="A1377" s="256">
        <v>3</v>
      </c>
      <c r="B1377" s="256">
        <v>8832044</v>
      </c>
      <c r="C1377" s="256">
        <v>883204475</v>
      </c>
      <c r="D1377" s="256" t="s">
        <v>538</v>
      </c>
      <c r="E1377" s="256" t="s">
        <v>539</v>
      </c>
      <c r="F1377" s="256" t="s">
        <v>826</v>
      </c>
      <c r="G1377" s="256" t="s">
        <v>828</v>
      </c>
      <c r="H1377" s="256" t="s">
        <v>487</v>
      </c>
      <c r="I1377" s="257">
        <v>0</v>
      </c>
      <c r="J1377" s="257">
        <v>0</v>
      </c>
      <c r="K1377" s="257">
        <v>0</v>
      </c>
      <c r="L1377" s="257">
        <v>0</v>
      </c>
      <c r="M1377" s="257">
        <v>0</v>
      </c>
      <c r="N1377" s="257">
        <v>0</v>
      </c>
      <c r="O1377" s="257">
        <v>0</v>
      </c>
      <c r="P1377" s="257">
        <v>0</v>
      </c>
      <c r="Q1377" s="258">
        <v>0</v>
      </c>
    </row>
    <row r="1378" spans="1:17">
      <c r="A1378" s="256">
        <v>3</v>
      </c>
      <c r="B1378" s="256">
        <v>8832044</v>
      </c>
      <c r="C1378" s="256">
        <v>883204476</v>
      </c>
      <c r="D1378" s="256" t="s">
        <v>538</v>
      </c>
      <c r="E1378" s="256" t="s">
        <v>539</v>
      </c>
      <c r="F1378" s="256" t="s">
        <v>826</v>
      </c>
      <c r="G1378" s="256" t="s">
        <v>828</v>
      </c>
      <c r="H1378" s="256" t="s">
        <v>486</v>
      </c>
      <c r="I1378" s="257">
        <v>0</v>
      </c>
      <c r="J1378" s="257">
        <v>0</v>
      </c>
      <c r="K1378" s="257">
        <v>0</v>
      </c>
      <c r="L1378" s="257">
        <v>0</v>
      </c>
      <c r="M1378" s="257">
        <v>0</v>
      </c>
      <c r="N1378" s="257">
        <v>0</v>
      </c>
      <c r="O1378" s="257">
        <v>0</v>
      </c>
      <c r="P1378" s="257">
        <v>0</v>
      </c>
      <c r="Q1378" s="258">
        <v>0</v>
      </c>
    </row>
    <row r="1379" spans="1:17">
      <c r="A1379" s="256">
        <v>3</v>
      </c>
      <c r="B1379" s="256">
        <v>8832044</v>
      </c>
      <c r="C1379" s="256">
        <v>883204477</v>
      </c>
      <c r="D1379" s="256" t="s">
        <v>538</v>
      </c>
      <c r="E1379" s="256" t="s">
        <v>539</v>
      </c>
      <c r="F1379" s="256" t="s">
        <v>826</v>
      </c>
      <c r="G1379" s="256" t="s">
        <v>828</v>
      </c>
      <c r="H1379" s="256" t="s">
        <v>485</v>
      </c>
      <c r="I1379" s="257">
        <v>3300</v>
      </c>
      <c r="J1379" s="257">
        <v>0</v>
      </c>
      <c r="K1379" s="257">
        <v>0</v>
      </c>
      <c r="L1379" s="257">
        <v>0</v>
      </c>
      <c r="M1379" s="257">
        <v>0</v>
      </c>
      <c r="N1379" s="257">
        <v>0</v>
      </c>
      <c r="O1379" s="257">
        <v>0</v>
      </c>
      <c r="P1379" s="257">
        <v>3300</v>
      </c>
      <c r="Q1379" s="258">
        <v>0</v>
      </c>
    </row>
    <row r="1380" spans="1:17">
      <c r="A1380" s="256">
        <v>3</v>
      </c>
      <c r="B1380" s="256">
        <v>8832246</v>
      </c>
      <c r="C1380" s="256">
        <v>883224600</v>
      </c>
      <c r="D1380" s="256" t="s">
        <v>538</v>
      </c>
      <c r="E1380" s="256" t="s">
        <v>539</v>
      </c>
      <c r="F1380" s="256" t="s">
        <v>829</v>
      </c>
      <c r="G1380" s="256" t="s">
        <v>495</v>
      </c>
      <c r="H1380" s="256"/>
      <c r="I1380" s="257">
        <v>6526876</v>
      </c>
      <c r="J1380" s="257">
        <v>0</v>
      </c>
      <c r="K1380" s="257">
        <v>0</v>
      </c>
      <c r="L1380" s="257">
        <v>0</v>
      </c>
      <c r="M1380" s="257">
        <v>0</v>
      </c>
      <c r="N1380" s="257">
        <v>0</v>
      </c>
      <c r="O1380" s="257">
        <v>0</v>
      </c>
      <c r="P1380" s="257">
        <v>6526876</v>
      </c>
      <c r="Q1380" s="258">
        <v>0</v>
      </c>
    </row>
    <row r="1381" spans="1:17">
      <c r="A1381" s="256">
        <v>3</v>
      </c>
      <c r="B1381" s="256">
        <v>8832247</v>
      </c>
      <c r="C1381" s="256">
        <v>883224700</v>
      </c>
      <c r="D1381" s="256" t="s">
        <v>538</v>
      </c>
      <c r="E1381" s="256" t="s">
        <v>539</v>
      </c>
      <c r="F1381" s="256" t="s">
        <v>829</v>
      </c>
      <c r="G1381" s="256" t="s">
        <v>494</v>
      </c>
      <c r="H1381" s="256"/>
      <c r="I1381" s="257">
        <v>0</v>
      </c>
      <c r="J1381" s="257">
        <v>0</v>
      </c>
      <c r="K1381" s="257">
        <v>0</v>
      </c>
      <c r="L1381" s="257">
        <v>0</v>
      </c>
      <c r="M1381" s="257">
        <v>0</v>
      </c>
      <c r="N1381" s="257">
        <v>0</v>
      </c>
      <c r="O1381" s="257">
        <v>0</v>
      </c>
      <c r="P1381" s="257">
        <v>0</v>
      </c>
      <c r="Q1381" s="258">
        <v>0</v>
      </c>
    </row>
    <row r="1382" spans="1:17">
      <c r="A1382" s="256">
        <v>3</v>
      </c>
      <c r="B1382" s="256">
        <v>8840251</v>
      </c>
      <c r="C1382" s="256">
        <v>884025180</v>
      </c>
      <c r="D1382" s="256" t="s">
        <v>538</v>
      </c>
      <c r="E1382" s="256" t="s">
        <v>8</v>
      </c>
      <c r="F1382" s="256" t="s">
        <v>830</v>
      </c>
      <c r="G1382" s="256" t="s">
        <v>831</v>
      </c>
      <c r="H1382" s="256" t="s">
        <v>633</v>
      </c>
      <c r="I1382" s="257">
        <v>73142201</v>
      </c>
      <c r="J1382" s="257">
        <v>0</v>
      </c>
      <c r="K1382" s="257">
        <v>0</v>
      </c>
      <c r="L1382" s="257">
        <v>0</v>
      </c>
      <c r="M1382" s="257">
        <v>0</v>
      </c>
      <c r="N1382" s="257">
        <v>0</v>
      </c>
      <c r="O1382" s="257">
        <v>73142201</v>
      </c>
      <c r="P1382" s="257">
        <v>0</v>
      </c>
      <c r="Q1382" s="258">
        <v>0</v>
      </c>
    </row>
    <row r="1383" spans="1:17">
      <c r="A1383" s="256">
        <v>3</v>
      </c>
      <c r="B1383" s="256">
        <v>8840251</v>
      </c>
      <c r="C1383" s="256">
        <v>884025181</v>
      </c>
      <c r="D1383" s="256" t="s">
        <v>538</v>
      </c>
      <c r="E1383" s="256" t="s">
        <v>8</v>
      </c>
      <c r="F1383" s="256" t="s">
        <v>830</v>
      </c>
      <c r="G1383" s="256" t="s">
        <v>831</v>
      </c>
      <c r="H1383" s="256" t="s">
        <v>832</v>
      </c>
      <c r="I1383" s="257">
        <v>0</v>
      </c>
      <c r="J1383" s="257">
        <v>0</v>
      </c>
      <c r="K1383" s="257">
        <v>0</v>
      </c>
      <c r="L1383" s="257">
        <v>0</v>
      </c>
      <c r="M1383" s="257">
        <v>0</v>
      </c>
      <c r="N1383" s="257">
        <v>0</v>
      </c>
      <c r="O1383" s="257">
        <v>0</v>
      </c>
      <c r="P1383" s="257">
        <v>0</v>
      </c>
      <c r="Q1383" s="258">
        <v>0</v>
      </c>
    </row>
    <row r="1384" spans="1:17">
      <c r="A1384" s="256">
        <v>3</v>
      </c>
      <c r="B1384" s="256">
        <v>8840252</v>
      </c>
      <c r="C1384" s="256">
        <v>884025200</v>
      </c>
      <c r="D1384" s="256" t="s">
        <v>538</v>
      </c>
      <c r="E1384" s="256" t="s">
        <v>8</v>
      </c>
      <c r="F1384" s="256" t="s">
        <v>830</v>
      </c>
      <c r="G1384" s="256" t="s">
        <v>504</v>
      </c>
      <c r="H1384" s="256"/>
      <c r="I1384" s="257">
        <v>603610</v>
      </c>
      <c r="J1384" s="257">
        <v>0</v>
      </c>
      <c r="K1384" s="257">
        <v>0</v>
      </c>
      <c r="L1384" s="257">
        <v>0</v>
      </c>
      <c r="M1384" s="257">
        <v>0</v>
      </c>
      <c r="N1384" s="257">
        <v>603610</v>
      </c>
      <c r="O1384" s="257">
        <v>0</v>
      </c>
      <c r="P1384" s="257">
        <v>0</v>
      </c>
      <c r="Q1384" s="258">
        <v>0</v>
      </c>
    </row>
    <row r="1385" spans="1:17">
      <c r="A1385" s="256">
        <v>3</v>
      </c>
      <c r="B1385" s="256">
        <v>8840253</v>
      </c>
      <c r="C1385" s="256">
        <v>884025300</v>
      </c>
      <c r="D1385" s="256" t="s">
        <v>538</v>
      </c>
      <c r="E1385" s="256" t="s">
        <v>8</v>
      </c>
      <c r="F1385" s="256" t="s">
        <v>830</v>
      </c>
      <c r="G1385" s="256" t="s">
        <v>503</v>
      </c>
      <c r="H1385" s="256"/>
      <c r="I1385" s="257">
        <v>0</v>
      </c>
      <c r="J1385" s="257">
        <v>0</v>
      </c>
      <c r="K1385" s="257">
        <v>0</v>
      </c>
      <c r="L1385" s="257">
        <v>0</v>
      </c>
      <c r="M1385" s="257">
        <v>0</v>
      </c>
      <c r="N1385" s="257">
        <v>0</v>
      </c>
      <c r="O1385" s="257">
        <v>0</v>
      </c>
      <c r="P1385" s="257">
        <v>0</v>
      </c>
      <c r="Q1385" s="258">
        <v>0</v>
      </c>
    </row>
    <row r="1386" spans="1:17">
      <c r="A1386" s="256">
        <v>3</v>
      </c>
      <c r="B1386" s="256">
        <v>8840254</v>
      </c>
      <c r="C1386" s="256">
        <v>884025400</v>
      </c>
      <c r="D1386" s="256" t="s">
        <v>538</v>
      </c>
      <c r="E1386" s="256" t="s">
        <v>8</v>
      </c>
      <c r="F1386" s="256" t="s">
        <v>830</v>
      </c>
      <c r="G1386" s="256" t="s">
        <v>502</v>
      </c>
      <c r="H1386" s="256"/>
      <c r="I1386" s="257">
        <v>0</v>
      </c>
      <c r="J1386" s="257">
        <v>0</v>
      </c>
      <c r="K1386" s="257">
        <v>0</v>
      </c>
      <c r="L1386" s="257">
        <v>0</v>
      </c>
      <c r="M1386" s="257">
        <v>0</v>
      </c>
      <c r="N1386" s="257">
        <v>0</v>
      </c>
      <c r="O1386" s="257">
        <v>0</v>
      </c>
      <c r="P1386" s="257">
        <v>0</v>
      </c>
      <c r="Q1386" s="258">
        <v>0</v>
      </c>
    </row>
    <row r="1387" spans="1:17">
      <c r="A1387" s="256">
        <v>3</v>
      </c>
      <c r="B1387" s="256">
        <v>8840255</v>
      </c>
      <c r="C1387" s="256">
        <v>884025500</v>
      </c>
      <c r="D1387" s="256" t="s">
        <v>538</v>
      </c>
      <c r="E1387" s="256" t="s">
        <v>8</v>
      </c>
      <c r="F1387" s="256" t="s">
        <v>830</v>
      </c>
      <c r="G1387" s="256" t="s">
        <v>501</v>
      </c>
      <c r="H1387" s="256"/>
      <c r="I1387" s="257">
        <v>0</v>
      </c>
      <c r="J1387" s="257">
        <v>0</v>
      </c>
      <c r="K1387" s="257">
        <v>0</v>
      </c>
      <c r="L1387" s="257">
        <v>0</v>
      </c>
      <c r="M1387" s="257">
        <v>0</v>
      </c>
      <c r="N1387" s="257">
        <v>0</v>
      </c>
      <c r="O1387" s="257">
        <v>0</v>
      </c>
      <c r="P1387" s="257">
        <v>0</v>
      </c>
      <c r="Q1387" s="258">
        <v>0</v>
      </c>
    </row>
    <row r="1388" spans="1:17">
      <c r="A1388" s="256">
        <v>3</v>
      </c>
      <c r="B1388" s="256">
        <v>8840456</v>
      </c>
      <c r="C1388" s="256">
        <v>884045600</v>
      </c>
      <c r="D1388" s="256" t="s">
        <v>538</v>
      </c>
      <c r="E1388" s="256" t="s">
        <v>8</v>
      </c>
      <c r="F1388" s="256" t="s">
        <v>833</v>
      </c>
      <c r="G1388" s="256" t="s">
        <v>834</v>
      </c>
      <c r="H1388" s="256"/>
      <c r="I1388" s="257">
        <v>0</v>
      </c>
      <c r="J1388" s="257">
        <v>0</v>
      </c>
      <c r="K1388" s="257">
        <v>0</v>
      </c>
      <c r="L1388" s="257">
        <v>0</v>
      </c>
      <c r="M1388" s="257">
        <v>0</v>
      </c>
      <c r="N1388" s="257">
        <v>0</v>
      </c>
      <c r="O1388" s="257">
        <v>0</v>
      </c>
      <c r="P1388" s="257">
        <v>0</v>
      </c>
      <c r="Q1388" s="258">
        <v>0</v>
      </c>
    </row>
    <row r="1389" spans="1:17">
      <c r="A1389" s="256">
        <v>3</v>
      </c>
      <c r="B1389" s="256">
        <v>8840457</v>
      </c>
      <c r="C1389" s="256">
        <v>884045700</v>
      </c>
      <c r="D1389" s="256" t="s">
        <v>538</v>
      </c>
      <c r="E1389" s="256" t="s">
        <v>8</v>
      </c>
      <c r="F1389" s="256" t="s">
        <v>833</v>
      </c>
      <c r="G1389" s="256" t="s">
        <v>835</v>
      </c>
      <c r="H1389" s="256"/>
      <c r="I1389" s="257">
        <v>0</v>
      </c>
      <c r="J1389" s="257">
        <v>0</v>
      </c>
      <c r="K1389" s="257">
        <v>0</v>
      </c>
      <c r="L1389" s="257">
        <v>0</v>
      </c>
      <c r="M1389" s="257">
        <v>0</v>
      </c>
      <c r="N1389" s="257">
        <v>0</v>
      </c>
      <c r="O1389" s="257">
        <v>0</v>
      </c>
      <c r="P1389" s="257">
        <v>0</v>
      </c>
      <c r="Q1389" s="258">
        <v>0</v>
      </c>
    </row>
    <row r="1390" spans="1:17">
      <c r="A1390" s="256">
        <v>3</v>
      </c>
      <c r="B1390" s="256">
        <v>8840458</v>
      </c>
      <c r="C1390" s="256">
        <v>884045800</v>
      </c>
      <c r="D1390" s="256" t="s">
        <v>538</v>
      </c>
      <c r="E1390" s="256" t="s">
        <v>8</v>
      </c>
      <c r="F1390" s="256" t="s">
        <v>833</v>
      </c>
      <c r="G1390" s="256" t="s">
        <v>836</v>
      </c>
      <c r="H1390" s="256"/>
      <c r="I1390" s="257">
        <v>0</v>
      </c>
      <c r="J1390" s="257">
        <v>0</v>
      </c>
      <c r="K1390" s="257">
        <v>0</v>
      </c>
      <c r="L1390" s="257">
        <v>0</v>
      </c>
      <c r="M1390" s="257">
        <v>0</v>
      </c>
      <c r="N1390" s="257">
        <v>0</v>
      </c>
      <c r="O1390" s="257">
        <v>0</v>
      </c>
      <c r="P1390" s="257">
        <v>0</v>
      </c>
      <c r="Q1390" s="258">
        <v>0</v>
      </c>
    </row>
    <row r="1391" spans="1:17">
      <c r="A1391" s="256">
        <v>3</v>
      </c>
      <c r="B1391" s="256">
        <v>8840559</v>
      </c>
      <c r="C1391" s="256">
        <v>884055900</v>
      </c>
      <c r="D1391" s="256" t="s">
        <v>538</v>
      </c>
      <c r="E1391" s="256" t="s">
        <v>8</v>
      </c>
      <c r="F1391" s="256" t="s">
        <v>837</v>
      </c>
      <c r="G1391" s="256" t="s">
        <v>837</v>
      </c>
      <c r="H1391" s="256"/>
      <c r="I1391" s="257">
        <v>0</v>
      </c>
      <c r="J1391" s="257">
        <v>0</v>
      </c>
      <c r="K1391" s="257">
        <v>0</v>
      </c>
      <c r="L1391" s="257">
        <v>0</v>
      </c>
      <c r="M1391" s="257">
        <v>0</v>
      </c>
      <c r="N1391" s="257">
        <v>0</v>
      </c>
      <c r="O1391" s="257">
        <v>0</v>
      </c>
      <c r="P1391" s="257">
        <v>0</v>
      </c>
      <c r="Q1391" s="258">
        <v>0</v>
      </c>
    </row>
    <row r="1392" spans="1:17">
      <c r="A1392" s="256">
        <v>3</v>
      </c>
      <c r="B1392" s="256">
        <v>8840662</v>
      </c>
      <c r="C1392" s="256">
        <v>884066200</v>
      </c>
      <c r="D1392" s="256" t="s">
        <v>538</v>
      </c>
      <c r="E1392" s="256" t="s">
        <v>8</v>
      </c>
      <c r="F1392" s="256" t="s">
        <v>838</v>
      </c>
      <c r="G1392" s="256" t="s">
        <v>839</v>
      </c>
      <c r="H1392" s="256"/>
      <c r="I1392" s="257">
        <v>0</v>
      </c>
      <c r="J1392" s="257">
        <v>0</v>
      </c>
      <c r="K1392" s="257">
        <v>0</v>
      </c>
      <c r="L1392" s="257">
        <v>0</v>
      </c>
      <c r="M1392" s="257">
        <v>0</v>
      </c>
      <c r="N1392" s="257">
        <v>0</v>
      </c>
      <c r="O1392" s="257">
        <v>0</v>
      </c>
      <c r="P1392" s="257">
        <v>0</v>
      </c>
      <c r="Q1392" s="258">
        <v>0</v>
      </c>
    </row>
    <row r="1393" spans="1:17">
      <c r="A1393" s="256">
        <v>3</v>
      </c>
      <c r="B1393" s="256">
        <v>8840663</v>
      </c>
      <c r="C1393" s="256">
        <v>884066300</v>
      </c>
      <c r="D1393" s="256" t="s">
        <v>538</v>
      </c>
      <c r="E1393" s="256" t="s">
        <v>8</v>
      </c>
      <c r="F1393" s="256" t="s">
        <v>838</v>
      </c>
      <c r="G1393" s="256" t="s">
        <v>840</v>
      </c>
      <c r="H1393" s="256"/>
      <c r="I1393" s="257">
        <v>0</v>
      </c>
      <c r="J1393" s="257">
        <v>0</v>
      </c>
      <c r="K1393" s="257">
        <v>0</v>
      </c>
      <c r="L1393" s="257">
        <v>0</v>
      </c>
      <c r="M1393" s="257">
        <v>0</v>
      </c>
      <c r="N1393" s="257">
        <v>0</v>
      </c>
      <c r="O1393" s="257">
        <v>0</v>
      </c>
      <c r="P1393" s="257">
        <v>0</v>
      </c>
      <c r="Q1393" s="258">
        <v>0</v>
      </c>
    </row>
    <row r="1394" spans="1:17">
      <c r="A1394" s="256">
        <v>3</v>
      </c>
      <c r="B1394" s="256">
        <v>8850202</v>
      </c>
      <c r="C1394" s="256">
        <v>885020200</v>
      </c>
      <c r="D1394" s="256" t="s">
        <v>538</v>
      </c>
      <c r="E1394" s="256" t="s">
        <v>5</v>
      </c>
      <c r="F1394" s="256" t="s">
        <v>841</v>
      </c>
      <c r="G1394" s="256" t="s">
        <v>841</v>
      </c>
      <c r="H1394" s="256"/>
      <c r="I1394" s="257">
        <v>0</v>
      </c>
      <c r="J1394" s="257">
        <v>0</v>
      </c>
      <c r="K1394" s="257">
        <v>0</v>
      </c>
      <c r="L1394" s="257">
        <v>0</v>
      </c>
      <c r="M1394" s="257">
        <v>0</v>
      </c>
      <c r="N1394" s="257">
        <v>0</v>
      </c>
      <c r="O1394" s="257">
        <v>0</v>
      </c>
      <c r="P1394" s="257">
        <v>0</v>
      </c>
      <c r="Q1394" s="258">
        <v>0</v>
      </c>
    </row>
    <row r="1395" spans="1:17">
      <c r="A1395" s="256">
        <v>3</v>
      </c>
      <c r="B1395" s="256">
        <v>8850404</v>
      </c>
      <c r="C1395" s="256">
        <v>885040400</v>
      </c>
      <c r="D1395" s="256" t="s">
        <v>538</v>
      </c>
      <c r="E1395" s="256" t="s">
        <v>5</v>
      </c>
      <c r="F1395" s="256" t="s">
        <v>842</v>
      </c>
      <c r="G1395" s="256" t="s">
        <v>842</v>
      </c>
      <c r="H1395" s="256"/>
      <c r="I1395" s="257">
        <v>0</v>
      </c>
      <c r="J1395" s="257">
        <v>0</v>
      </c>
      <c r="K1395" s="257">
        <v>0</v>
      </c>
      <c r="L1395" s="257">
        <v>0</v>
      </c>
      <c r="M1395" s="257">
        <v>0</v>
      </c>
      <c r="N1395" s="257">
        <v>0</v>
      </c>
      <c r="O1395" s="257">
        <v>0</v>
      </c>
      <c r="P1395" s="257">
        <v>0</v>
      </c>
      <c r="Q1395" s="258">
        <v>0</v>
      </c>
    </row>
    <row r="1396" spans="1:17">
      <c r="A1396" s="256">
        <v>3</v>
      </c>
      <c r="B1396" s="256">
        <v>8850606</v>
      </c>
      <c r="C1396" s="256">
        <v>885060600</v>
      </c>
      <c r="D1396" s="256" t="s">
        <v>538</v>
      </c>
      <c r="E1396" s="256" t="s">
        <v>5</v>
      </c>
      <c r="F1396" s="256" t="s">
        <v>527</v>
      </c>
      <c r="G1396" s="256" t="s">
        <v>527</v>
      </c>
      <c r="H1396" s="256"/>
      <c r="I1396" s="257">
        <v>35499</v>
      </c>
      <c r="J1396" s="257">
        <v>0</v>
      </c>
      <c r="K1396" s="257">
        <v>0</v>
      </c>
      <c r="L1396" s="257">
        <v>0</v>
      </c>
      <c r="M1396" s="257">
        <v>0</v>
      </c>
      <c r="N1396" s="257">
        <v>35499</v>
      </c>
      <c r="O1396" s="257">
        <v>0</v>
      </c>
      <c r="P1396" s="257">
        <v>0</v>
      </c>
      <c r="Q1396" s="258">
        <v>0</v>
      </c>
    </row>
    <row r="1397" spans="1:17">
      <c r="A1397" s="256">
        <v>3</v>
      </c>
      <c r="B1397" s="256">
        <v>8850808</v>
      </c>
      <c r="C1397" s="256">
        <v>885080800</v>
      </c>
      <c r="D1397" s="256" t="s">
        <v>538</v>
      </c>
      <c r="E1397" s="256" t="s">
        <v>5</v>
      </c>
      <c r="F1397" s="256" t="s">
        <v>523</v>
      </c>
      <c r="G1397" s="256" t="s">
        <v>523</v>
      </c>
      <c r="H1397" s="256"/>
      <c r="I1397" s="257">
        <v>0</v>
      </c>
      <c r="J1397" s="257">
        <v>0</v>
      </c>
      <c r="K1397" s="257">
        <v>0</v>
      </c>
      <c r="L1397" s="257">
        <v>0</v>
      </c>
      <c r="M1397" s="257">
        <v>0</v>
      </c>
      <c r="N1397" s="257">
        <v>0</v>
      </c>
      <c r="O1397" s="257">
        <v>0</v>
      </c>
      <c r="P1397" s="257">
        <v>0</v>
      </c>
      <c r="Q1397" s="258">
        <v>0</v>
      </c>
    </row>
    <row r="1398" spans="1:17">
      <c r="A1398" s="256">
        <v>3</v>
      </c>
      <c r="B1398" s="256">
        <v>8851010</v>
      </c>
      <c r="C1398" s="256">
        <v>885101000</v>
      </c>
      <c r="D1398" s="256" t="s">
        <v>538</v>
      </c>
      <c r="E1398" s="256" t="s">
        <v>5</v>
      </c>
      <c r="F1398" s="256" t="s">
        <v>843</v>
      </c>
      <c r="G1398" s="256" t="s">
        <v>843</v>
      </c>
      <c r="H1398" s="256"/>
      <c r="I1398" s="257">
        <v>0</v>
      </c>
      <c r="J1398" s="257">
        <v>0</v>
      </c>
      <c r="K1398" s="257">
        <v>0</v>
      </c>
      <c r="L1398" s="257">
        <v>0</v>
      </c>
      <c r="M1398" s="257">
        <v>0</v>
      </c>
      <c r="N1398" s="257">
        <v>0</v>
      </c>
      <c r="O1398" s="257">
        <v>0</v>
      </c>
      <c r="P1398" s="257">
        <v>0</v>
      </c>
      <c r="Q1398" s="258">
        <v>0</v>
      </c>
    </row>
    <row r="1399" spans="1:17">
      <c r="A1399" s="256">
        <v>3</v>
      </c>
      <c r="B1399" s="256">
        <v>8900101</v>
      </c>
      <c r="C1399" s="256">
        <v>890010100</v>
      </c>
      <c r="D1399" s="256" t="s">
        <v>538</v>
      </c>
      <c r="E1399" s="256" t="s">
        <v>809</v>
      </c>
      <c r="F1399" s="256" t="s">
        <v>809</v>
      </c>
      <c r="G1399" s="256" t="s">
        <v>809</v>
      </c>
      <c r="H1399" s="256"/>
      <c r="I1399" s="257">
        <v>0</v>
      </c>
      <c r="J1399" s="257">
        <v>0</v>
      </c>
      <c r="K1399" s="257">
        <v>0</v>
      </c>
      <c r="L1399" s="257">
        <v>0</v>
      </c>
      <c r="M1399" s="257">
        <v>0</v>
      </c>
      <c r="N1399" s="257">
        <v>0</v>
      </c>
      <c r="O1399" s="257">
        <v>0</v>
      </c>
      <c r="P1399" s="257">
        <v>0</v>
      </c>
      <c r="Q1399" s="258">
        <v>0</v>
      </c>
    </row>
    <row r="1400" spans="1:17" customFormat="1">
      <c r="A1400" s="224">
        <v>4</v>
      </c>
      <c r="B1400" s="224">
        <v>1120110</v>
      </c>
      <c r="C1400" s="224">
        <v>112011010</v>
      </c>
      <c r="D1400" s="224" t="s">
        <v>631</v>
      </c>
      <c r="E1400" s="224" t="s">
        <v>632</v>
      </c>
      <c r="F1400" s="224" t="s">
        <v>633</v>
      </c>
      <c r="G1400" s="224" t="s">
        <v>634</v>
      </c>
      <c r="H1400" s="224" t="s">
        <v>635</v>
      </c>
      <c r="I1400" s="229">
        <v>0</v>
      </c>
      <c r="J1400" s="229">
        <v>0</v>
      </c>
      <c r="K1400" s="229">
        <v>0</v>
      </c>
      <c r="L1400" s="229">
        <v>0</v>
      </c>
      <c r="M1400" s="229">
        <v>0</v>
      </c>
      <c r="N1400" s="229">
        <v>0</v>
      </c>
      <c r="O1400" s="229">
        <v>0</v>
      </c>
      <c r="P1400" s="229">
        <v>0</v>
      </c>
      <c r="Q1400" s="279">
        <v>0</v>
      </c>
    </row>
    <row r="1401" spans="1:17" customFormat="1">
      <c r="A1401" s="224">
        <v>4</v>
      </c>
      <c r="B1401" s="224">
        <v>1120110</v>
      </c>
      <c r="C1401" s="224">
        <v>112011011</v>
      </c>
      <c r="D1401" s="224" t="s">
        <v>631</v>
      </c>
      <c r="E1401" s="224" t="s">
        <v>632</v>
      </c>
      <c r="F1401" s="224" t="s">
        <v>633</v>
      </c>
      <c r="G1401" s="224" t="s">
        <v>634</v>
      </c>
      <c r="H1401" s="224" t="s">
        <v>636</v>
      </c>
      <c r="I1401" s="229">
        <v>0</v>
      </c>
      <c r="J1401" s="229">
        <v>0</v>
      </c>
      <c r="K1401" s="229">
        <v>0</v>
      </c>
      <c r="L1401" s="229">
        <v>0</v>
      </c>
      <c r="M1401" s="229">
        <v>0</v>
      </c>
      <c r="N1401" s="229">
        <v>0</v>
      </c>
      <c r="O1401" s="229">
        <v>0</v>
      </c>
      <c r="P1401" s="229">
        <v>0</v>
      </c>
      <c r="Q1401" s="279">
        <v>0</v>
      </c>
    </row>
    <row r="1402" spans="1:17" customFormat="1">
      <c r="A1402" s="224">
        <v>4</v>
      </c>
      <c r="B1402" s="224">
        <v>1120111</v>
      </c>
      <c r="C1402" s="224">
        <v>112011100</v>
      </c>
      <c r="D1402" s="224" t="s">
        <v>631</v>
      </c>
      <c r="E1402" s="224" t="s">
        <v>632</v>
      </c>
      <c r="F1402" s="224" t="s">
        <v>633</v>
      </c>
      <c r="G1402" s="224" t="s">
        <v>638</v>
      </c>
      <c r="H1402" s="224"/>
      <c r="I1402" s="229">
        <v>0</v>
      </c>
      <c r="J1402" s="229">
        <v>0</v>
      </c>
      <c r="K1402" s="229">
        <v>0</v>
      </c>
      <c r="L1402" s="229">
        <v>0</v>
      </c>
      <c r="M1402" s="229">
        <v>0</v>
      </c>
      <c r="N1402" s="229">
        <v>0</v>
      </c>
      <c r="O1402" s="229">
        <v>0</v>
      </c>
      <c r="P1402" s="229">
        <v>0</v>
      </c>
      <c r="Q1402" s="279">
        <v>0</v>
      </c>
    </row>
    <row r="1403" spans="1:17" customFormat="1">
      <c r="A1403" s="224">
        <v>4</v>
      </c>
      <c r="B1403" s="224">
        <v>1120112</v>
      </c>
      <c r="C1403" s="224">
        <v>112011200</v>
      </c>
      <c r="D1403" s="224" t="s">
        <v>631</v>
      </c>
      <c r="E1403" s="224" t="s">
        <v>632</v>
      </c>
      <c r="F1403" s="224" t="s">
        <v>633</v>
      </c>
      <c r="G1403" s="224" t="s">
        <v>639</v>
      </c>
      <c r="H1403" s="224"/>
      <c r="I1403" s="229">
        <v>0</v>
      </c>
      <c r="J1403" s="229">
        <v>0</v>
      </c>
      <c r="K1403" s="229">
        <v>0</v>
      </c>
      <c r="L1403" s="229">
        <v>0</v>
      </c>
      <c r="M1403" s="229">
        <v>0</v>
      </c>
      <c r="N1403" s="229">
        <v>0</v>
      </c>
      <c r="O1403" s="229">
        <v>0</v>
      </c>
      <c r="P1403" s="229">
        <v>0</v>
      </c>
      <c r="Q1403" s="279">
        <v>0</v>
      </c>
    </row>
    <row r="1404" spans="1:17" customFormat="1">
      <c r="A1404" s="224">
        <v>4</v>
      </c>
      <c r="B1404" s="224">
        <v>1120113</v>
      </c>
      <c r="C1404" s="224">
        <v>112011300</v>
      </c>
      <c r="D1404" s="224" t="s">
        <v>631</v>
      </c>
      <c r="E1404" s="224" t="s">
        <v>632</v>
      </c>
      <c r="F1404" s="224" t="s">
        <v>633</v>
      </c>
      <c r="G1404" s="224" t="s">
        <v>640</v>
      </c>
      <c r="H1404" s="224"/>
      <c r="I1404" s="229">
        <v>0</v>
      </c>
      <c r="J1404" s="229">
        <v>0</v>
      </c>
      <c r="K1404" s="229">
        <v>0</v>
      </c>
      <c r="L1404" s="229">
        <v>0</v>
      </c>
      <c r="M1404" s="229">
        <v>0</v>
      </c>
      <c r="N1404" s="229">
        <v>0</v>
      </c>
      <c r="O1404" s="229">
        <v>0</v>
      </c>
      <c r="P1404" s="229">
        <v>0</v>
      </c>
      <c r="Q1404" s="279">
        <v>0</v>
      </c>
    </row>
    <row r="1405" spans="1:17" customFormat="1">
      <c r="A1405" s="224">
        <v>4</v>
      </c>
      <c r="B1405" s="224">
        <v>1120114</v>
      </c>
      <c r="C1405" s="224">
        <v>112011400</v>
      </c>
      <c r="D1405" s="224" t="s">
        <v>631</v>
      </c>
      <c r="E1405" s="224" t="s">
        <v>632</v>
      </c>
      <c r="F1405" s="224" t="s">
        <v>633</v>
      </c>
      <c r="G1405" s="224" t="s">
        <v>641</v>
      </c>
      <c r="H1405" s="224"/>
      <c r="I1405" s="229">
        <v>0</v>
      </c>
      <c r="J1405" s="229">
        <v>0</v>
      </c>
      <c r="K1405" s="229">
        <v>0</v>
      </c>
      <c r="L1405" s="229">
        <v>0</v>
      </c>
      <c r="M1405" s="229">
        <v>0</v>
      </c>
      <c r="N1405" s="229">
        <v>0</v>
      </c>
      <c r="O1405" s="229">
        <v>0</v>
      </c>
      <c r="P1405" s="229">
        <v>0</v>
      </c>
      <c r="Q1405" s="279">
        <v>0</v>
      </c>
    </row>
    <row r="1406" spans="1:17" customFormat="1">
      <c r="A1406" s="224">
        <v>4</v>
      </c>
      <c r="B1406" s="224">
        <v>1120115</v>
      </c>
      <c r="C1406" s="224">
        <v>112011500</v>
      </c>
      <c r="D1406" s="224" t="s">
        <v>631</v>
      </c>
      <c r="E1406" s="224" t="s">
        <v>632</v>
      </c>
      <c r="F1406" s="224" t="s">
        <v>633</v>
      </c>
      <c r="G1406" s="224" t="s">
        <v>844</v>
      </c>
      <c r="H1406" s="224"/>
      <c r="I1406" s="229">
        <v>65100000</v>
      </c>
      <c r="J1406" s="229">
        <v>0</v>
      </c>
      <c r="K1406" s="229">
        <v>0</v>
      </c>
      <c r="L1406" s="229">
        <v>0</v>
      </c>
      <c r="M1406" s="229">
        <v>0</v>
      </c>
      <c r="N1406" s="229">
        <v>0</v>
      </c>
      <c r="O1406" s="229">
        <v>0</v>
      </c>
      <c r="P1406" s="229">
        <v>65100000</v>
      </c>
      <c r="Q1406" s="279">
        <v>0</v>
      </c>
    </row>
    <row r="1407" spans="1:17" customFormat="1">
      <c r="A1407" s="224">
        <v>4</v>
      </c>
      <c r="B1407" s="224">
        <v>1120210</v>
      </c>
      <c r="C1407" s="224">
        <v>112021000</v>
      </c>
      <c r="D1407" s="224" t="s">
        <v>631</v>
      </c>
      <c r="E1407" s="224" t="s">
        <v>632</v>
      </c>
      <c r="F1407" s="224" t="s">
        <v>643</v>
      </c>
      <c r="G1407" s="224" t="s">
        <v>644</v>
      </c>
      <c r="H1407" s="224"/>
      <c r="I1407" s="229">
        <v>0</v>
      </c>
      <c r="J1407" s="229">
        <v>0</v>
      </c>
      <c r="K1407" s="229">
        <v>0</v>
      </c>
      <c r="L1407" s="229">
        <v>0</v>
      </c>
      <c r="M1407" s="229">
        <v>0</v>
      </c>
      <c r="N1407" s="229">
        <v>0</v>
      </c>
      <c r="O1407" s="229">
        <v>0</v>
      </c>
      <c r="P1407" s="229">
        <v>0</v>
      </c>
      <c r="Q1407" s="279">
        <v>0</v>
      </c>
    </row>
    <row r="1408" spans="1:17" customFormat="1">
      <c r="A1408" s="224">
        <v>4</v>
      </c>
      <c r="B1408" s="224">
        <v>1120220</v>
      </c>
      <c r="C1408" s="224">
        <v>112022000</v>
      </c>
      <c r="D1408" s="224" t="s">
        <v>631</v>
      </c>
      <c r="E1408" s="224" t="s">
        <v>632</v>
      </c>
      <c r="F1408" s="224" t="s">
        <v>643</v>
      </c>
      <c r="G1408" s="224" t="s">
        <v>645</v>
      </c>
      <c r="H1408" s="224"/>
      <c r="I1408" s="229">
        <v>0</v>
      </c>
      <c r="J1408" s="229">
        <v>0</v>
      </c>
      <c r="K1408" s="229">
        <v>0</v>
      </c>
      <c r="L1408" s="229">
        <v>0</v>
      </c>
      <c r="M1408" s="229">
        <v>0</v>
      </c>
      <c r="N1408" s="229">
        <v>0</v>
      </c>
      <c r="O1408" s="229">
        <v>0</v>
      </c>
      <c r="P1408" s="229">
        <v>0</v>
      </c>
      <c r="Q1408" s="279">
        <v>0</v>
      </c>
    </row>
    <row r="1409" spans="1:17" customFormat="1">
      <c r="A1409" s="224">
        <v>4</v>
      </c>
      <c r="B1409" s="224">
        <v>1140303</v>
      </c>
      <c r="C1409" s="224">
        <v>114030300</v>
      </c>
      <c r="D1409" s="224" t="s">
        <v>631</v>
      </c>
      <c r="E1409" s="224" t="s">
        <v>650</v>
      </c>
      <c r="F1409" s="224" t="s">
        <v>651</v>
      </c>
      <c r="G1409" s="224" t="s">
        <v>651</v>
      </c>
      <c r="H1409" s="224"/>
      <c r="I1409" s="229">
        <v>0</v>
      </c>
      <c r="J1409" s="229">
        <v>0</v>
      </c>
      <c r="K1409" s="229">
        <v>0</v>
      </c>
      <c r="L1409" s="229">
        <v>0</v>
      </c>
      <c r="M1409" s="229">
        <v>0</v>
      </c>
      <c r="N1409" s="229">
        <v>0</v>
      </c>
      <c r="O1409" s="229">
        <v>0</v>
      </c>
      <c r="P1409" s="229">
        <v>0</v>
      </c>
      <c r="Q1409" s="279">
        <v>0</v>
      </c>
    </row>
    <row r="1410" spans="1:17" customFormat="1">
      <c r="A1410" s="224">
        <v>4</v>
      </c>
      <c r="B1410" s="224">
        <v>1160101</v>
      </c>
      <c r="C1410" s="224">
        <v>116010100</v>
      </c>
      <c r="D1410" s="224" t="s">
        <v>631</v>
      </c>
      <c r="E1410" s="224" t="s">
        <v>652</v>
      </c>
      <c r="F1410" s="224" t="s">
        <v>653</v>
      </c>
      <c r="G1410" s="224" t="s">
        <v>653</v>
      </c>
      <c r="H1410" s="224"/>
      <c r="I1410" s="229">
        <v>6370000</v>
      </c>
      <c r="J1410" s="229">
        <v>0</v>
      </c>
      <c r="K1410" s="229">
        <v>0</v>
      </c>
      <c r="L1410" s="229">
        <v>0</v>
      </c>
      <c r="M1410" s="229">
        <v>0</v>
      </c>
      <c r="N1410" s="229">
        <v>0</v>
      </c>
      <c r="O1410" s="229">
        <v>0</v>
      </c>
      <c r="P1410" s="229">
        <v>6370000</v>
      </c>
      <c r="Q1410" s="279">
        <v>0</v>
      </c>
    </row>
    <row r="1411" spans="1:17" customFormat="1">
      <c r="A1411" s="224">
        <v>4</v>
      </c>
      <c r="B1411" s="224">
        <v>1160202</v>
      </c>
      <c r="C1411" s="224">
        <v>116020200</v>
      </c>
      <c r="D1411" s="224" t="s">
        <v>631</v>
      </c>
      <c r="E1411" s="224" t="s">
        <v>652</v>
      </c>
      <c r="F1411" s="224" t="s">
        <v>654</v>
      </c>
      <c r="G1411" s="224" t="s">
        <v>654</v>
      </c>
      <c r="H1411" s="224"/>
      <c r="I1411" s="229">
        <v>0</v>
      </c>
      <c r="J1411" s="229">
        <v>0</v>
      </c>
      <c r="K1411" s="229">
        <v>0</v>
      </c>
      <c r="L1411" s="229">
        <v>0</v>
      </c>
      <c r="M1411" s="229">
        <v>0</v>
      </c>
      <c r="N1411" s="229">
        <v>0</v>
      </c>
      <c r="O1411" s="229">
        <v>0</v>
      </c>
      <c r="P1411" s="229">
        <v>0</v>
      </c>
      <c r="Q1411" s="279">
        <v>0</v>
      </c>
    </row>
    <row r="1412" spans="1:17" customFormat="1">
      <c r="A1412" s="224">
        <v>4</v>
      </c>
      <c r="B1412" s="224">
        <v>1180401</v>
      </c>
      <c r="C1412" s="224">
        <v>118040100</v>
      </c>
      <c r="D1412" s="224" t="s">
        <v>631</v>
      </c>
      <c r="E1412" s="224" t="s">
        <v>655</v>
      </c>
      <c r="F1412" s="224" t="s">
        <v>655</v>
      </c>
      <c r="G1412" s="224" t="s">
        <v>656</v>
      </c>
      <c r="H1412" s="224"/>
      <c r="I1412" s="229">
        <v>0</v>
      </c>
      <c r="J1412" s="229">
        <v>0</v>
      </c>
      <c r="K1412" s="229">
        <v>0</v>
      </c>
      <c r="L1412" s="229">
        <v>0</v>
      </c>
      <c r="M1412" s="229">
        <v>0</v>
      </c>
      <c r="N1412" s="229">
        <v>0</v>
      </c>
      <c r="O1412" s="229">
        <v>0</v>
      </c>
      <c r="P1412" s="229">
        <v>0</v>
      </c>
      <c r="Q1412" s="279">
        <v>0</v>
      </c>
    </row>
    <row r="1413" spans="1:17" customFormat="1">
      <c r="A1413" s="224">
        <v>4</v>
      </c>
      <c r="B1413" s="224">
        <v>1180402</v>
      </c>
      <c r="C1413" s="224">
        <v>118040200</v>
      </c>
      <c r="D1413" s="224" t="s">
        <v>631</v>
      </c>
      <c r="E1413" s="224" t="s">
        <v>655</v>
      </c>
      <c r="F1413" s="224" t="s">
        <v>655</v>
      </c>
      <c r="G1413" s="224" t="s">
        <v>658</v>
      </c>
      <c r="H1413" s="224"/>
      <c r="I1413" s="229">
        <v>0</v>
      </c>
      <c r="J1413" s="229">
        <v>0</v>
      </c>
      <c r="K1413" s="229">
        <v>0</v>
      </c>
      <c r="L1413" s="229">
        <v>0</v>
      </c>
      <c r="M1413" s="229">
        <v>0</v>
      </c>
      <c r="N1413" s="229">
        <v>0</v>
      </c>
      <c r="O1413" s="229">
        <v>0</v>
      </c>
      <c r="P1413" s="229">
        <v>0</v>
      </c>
      <c r="Q1413" s="279">
        <v>0</v>
      </c>
    </row>
    <row r="1414" spans="1:17" customFormat="1">
      <c r="A1414" s="224">
        <v>4</v>
      </c>
      <c r="B1414" s="224">
        <v>1180403</v>
      </c>
      <c r="C1414" s="224">
        <v>118040300</v>
      </c>
      <c r="D1414" s="224" t="s">
        <v>631</v>
      </c>
      <c r="E1414" s="224" t="s">
        <v>655</v>
      </c>
      <c r="F1414" s="224" t="s">
        <v>655</v>
      </c>
      <c r="G1414" s="224" t="s">
        <v>846</v>
      </c>
      <c r="H1414" s="224"/>
      <c r="I1414" s="229">
        <v>0</v>
      </c>
      <c r="J1414" s="229">
        <v>0</v>
      </c>
      <c r="K1414" s="229">
        <v>0</v>
      </c>
      <c r="L1414" s="229">
        <v>0</v>
      </c>
      <c r="M1414" s="229">
        <v>0</v>
      </c>
      <c r="N1414" s="229">
        <v>0</v>
      </c>
      <c r="O1414" s="229">
        <v>0</v>
      </c>
      <c r="P1414" s="229">
        <v>0</v>
      </c>
      <c r="Q1414" s="279">
        <v>0</v>
      </c>
    </row>
    <row r="1415" spans="1:17" customFormat="1">
      <c r="A1415" s="236">
        <v>4</v>
      </c>
      <c r="B1415" s="236">
        <v>1180404</v>
      </c>
      <c r="C1415" s="236">
        <v>118040400</v>
      </c>
      <c r="D1415" s="236" t="s">
        <v>631</v>
      </c>
      <c r="E1415" s="236" t="s">
        <v>655</v>
      </c>
      <c r="F1415" s="236" t="s">
        <v>655</v>
      </c>
      <c r="G1415" s="236" t="s">
        <v>878</v>
      </c>
      <c r="H1415" s="236"/>
      <c r="I1415" s="229">
        <v>3488000</v>
      </c>
      <c r="J1415" s="229">
        <v>0</v>
      </c>
      <c r="K1415" s="229">
        <v>0</v>
      </c>
      <c r="L1415" s="229">
        <v>0</v>
      </c>
      <c r="M1415" s="229">
        <v>0</v>
      </c>
      <c r="N1415" s="229">
        <v>0</v>
      </c>
      <c r="O1415" s="229">
        <v>0</v>
      </c>
      <c r="P1415" s="229">
        <v>3488000</v>
      </c>
      <c r="Q1415" s="279">
        <v>0</v>
      </c>
    </row>
    <row r="1416" spans="1:17" customFormat="1">
      <c r="A1416" s="224">
        <v>4</v>
      </c>
      <c r="B1416" s="224">
        <v>1200630</v>
      </c>
      <c r="C1416" s="224">
        <v>120063000</v>
      </c>
      <c r="D1416" s="224" t="s">
        <v>631</v>
      </c>
      <c r="E1416" s="224" t="s">
        <v>659</v>
      </c>
      <c r="F1416" s="224" t="s">
        <v>659</v>
      </c>
      <c r="G1416" s="224" t="s">
        <v>659</v>
      </c>
      <c r="H1416" s="224"/>
      <c r="I1416" s="229">
        <v>0</v>
      </c>
      <c r="J1416" s="229">
        <v>0</v>
      </c>
      <c r="K1416" s="229">
        <v>0</v>
      </c>
      <c r="L1416" s="229">
        <v>0</v>
      </c>
      <c r="M1416" s="229">
        <v>0</v>
      </c>
      <c r="N1416" s="229">
        <v>0</v>
      </c>
      <c r="O1416" s="229">
        <v>0</v>
      </c>
      <c r="P1416" s="229">
        <v>0</v>
      </c>
      <c r="Q1416" s="279">
        <v>0</v>
      </c>
    </row>
    <row r="1417" spans="1:17" customFormat="1">
      <c r="A1417" s="224">
        <v>4</v>
      </c>
      <c r="B1417" s="224">
        <v>1300831</v>
      </c>
      <c r="C1417" s="224">
        <v>130083100</v>
      </c>
      <c r="D1417" s="224" t="s">
        <v>631</v>
      </c>
      <c r="E1417" s="224" t="s">
        <v>660</v>
      </c>
      <c r="F1417" s="224" t="s">
        <v>660</v>
      </c>
      <c r="G1417" s="224" t="s">
        <v>660</v>
      </c>
      <c r="H1417" s="224"/>
      <c r="I1417" s="229">
        <v>0</v>
      </c>
      <c r="J1417" s="229">
        <v>0</v>
      </c>
      <c r="K1417" s="229">
        <v>0</v>
      </c>
      <c r="L1417" s="229">
        <v>0</v>
      </c>
      <c r="M1417" s="229">
        <v>0</v>
      </c>
      <c r="N1417" s="229">
        <v>0</v>
      </c>
      <c r="O1417" s="229">
        <v>0</v>
      </c>
      <c r="P1417" s="229">
        <v>0</v>
      </c>
      <c r="Q1417" s="279">
        <v>0</v>
      </c>
    </row>
    <row r="1418" spans="1:17" customFormat="1">
      <c r="A1418" s="224">
        <v>4</v>
      </c>
      <c r="B1418" s="224">
        <v>1401010</v>
      </c>
      <c r="C1418" s="224">
        <v>140101000</v>
      </c>
      <c r="D1418" s="224" t="s">
        <v>631</v>
      </c>
      <c r="E1418" s="224" t="s">
        <v>661</v>
      </c>
      <c r="F1418" s="224" t="s">
        <v>661</v>
      </c>
      <c r="G1418" s="224" t="s">
        <v>661</v>
      </c>
      <c r="H1418" s="224"/>
      <c r="I1418" s="229">
        <v>0</v>
      </c>
      <c r="J1418" s="229">
        <v>0</v>
      </c>
      <c r="K1418" s="229">
        <v>0</v>
      </c>
      <c r="L1418" s="229">
        <v>0</v>
      </c>
      <c r="M1418" s="229">
        <v>0</v>
      </c>
      <c r="N1418" s="229">
        <v>0</v>
      </c>
      <c r="O1418" s="229">
        <v>0</v>
      </c>
      <c r="P1418" s="229">
        <v>0</v>
      </c>
      <c r="Q1418" s="279">
        <v>0</v>
      </c>
    </row>
    <row r="1419" spans="1:17" customFormat="1">
      <c r="A1419" s="224">
        <v>4</v>
      </c>
      <c r="B1419" s="224">
        <v>1600101</v>
      </c>
      <c r="C1419" s="224">
        <v>160010100</v>
      </c>
      <c r="D1419" s="224" t="s">
        <v>631</v>
      </c>
      <c r="E1419" s="224" t="s">
        <v>662</v>
      </c>
      <c r="F1419" s="224" t="s">
        <v>662</v>
      </c>
      <c r="G1419" s="224" t="s">
        <v>662</v>
      </c>
      <c r="H1419" s="224"/>
      <c r="I1419" s="229">
        <v>0</v>
      </c>
      <c r="J1419" s="229">
        <v>0</v>
      </c>
      <c r="K1419" s="229">
        <v>0</v>
      </c>
      <c r="L1419" s="229">
        <v>0</v>
      </c>
      <c r="M1419" s="229">
        <v>0</v>
      </c>
      <c r="N1419" s="229">
        <v>0</v>
      </c>
      <c r="O1419" s="229">
        <v>0</v>
      </c>
      <c r="P1419" s="229">
        <v>0</v>
      </c>
      <c r="Q1419" s="279">
        <v>0</v>
      </c>
    </row>
    <row r="1420" spans="1:17" customFormat="1">
      <c r="A1420" s="224">
        <v>4</v>
      </c>
      <c r="B1420" s="224">
        <v>1800707</v>
      </c>
      <c r="C1420" s="224">
        <v>180070700</v>
      </c>
      <c r="D1420" s="224" t="s">
        <v>631</v>
      </c>
      <c r="E1420" s="224" t="s">
        <v>663</v>
      </c>
      <c r="F1420" s="224" t="s">
        <v>847</v>
      </c>
      <c r="G1420" s="224" t="s">
        <v>847</v>
      </c>
      <c r="H1420" s="224"/>
      <c r="I1420" s="229">
        <v>4080000</v>
      </c>
      <c r="J1420" s="229">
        <v>0</v>
      </c>
      <c r="K1420" s="229">
        <v>0</v>
      </c>
      <c r="L1420" s="229">
        <v>0</v>
      </c>
      <c r="M1420" s="229">
        <v>0</v>
      </c>
      <c r="N1420" s="229">
        <v>0</v>
      </c>
      <c r="O1420" s="229">
        <v>0</v>
      </c>
      <c r="P1420" s="229">
        <v>4080000</v>
      </c>
      <c r="Q1420" s="279">
        <v>0</v>
      </c>
    </row>
    <row r="1421" spans="1:17" customFormat="1">
      <c r="A1421" s="224">
        <v>4</v>
      </c>
      <c r="B1421" s="224">
        <v>1800808</v>
      </c>
      <c r="C1421" s="224">
        <v>180080800</v>
      </c>
      <c r="D1421" s="224" t="s">
        <v>631</v>
      </c>
      <c r="E1421" s="224" t="s">
        <v>663</v>
      </c>
      <c r="F1421" s="224" t="s">
        <v>665</v>
      </c>
      <c r="G1421" s="224" t="s">
        <v>665</v>
      </c>
      <c r="H1421" s="224"/>
      <c r="I1421" s="229">
        <v>0</v>
      </c>
      <c r="J1421" s="229">
        <v>0</v>
      </c>
      <c r="K1421" s="229">
        <v>0</v>
      </c>
      <c r="L1421" s="229">
        <v>0</v>
      </c>
      <c r="M1421" s="229">
        <v>0</v>
      </c>
      <c r="N1421" s="229">
        <v>0</v>
      </c>
      <c r="O1421" s="229">
        <v>0</v>
      </c>
      <c r="P1421" s="229">
        <v>0</v>
      </c>
      <c r="Q1421" s="279">
        <v>0</v>
      </c>
    </row>
    <row r="1422" spans="1:17" customFormat="1">
      <c r="A1422" s="224">
        <v>4</v>
      </c>
      <c r="B1422" s="224">
        <v>1820101</v>
      </c>
      <c r="C1422" s="224">
        <v>182010100</v>
      </c>
      <c r="D1422" s="224" t="s">
        <v>631</v>
      </c>
      <c r="E1422" s="224" t="s">
        <v>666</v>
      </c>
      <c r="F1422" s="224" t="s">
        <v>667</v>
      </c>
      <c r="G1422" s="224" t="s">
        <v>667</v>
      </c>
      <c r="H1422" s="224"/>
      <c r="I1422" s="229">
        <v>0</v>
      </c>
      <c r="J1422" s="229">
        <v>0</v>
      </c>
      <c r="K1422" s="229">
        <v>0</v>
      </c>
      <c r="L1422" s="229">
        <v>0</v>
      </c>
      <c r="M1422" s="229">
        <v>0</v>
      </c>
      <c r="N1422" s="229">
        <v>0</v>
      </c>
      <c r="O1422" s="229">
        <v>0</v>
      </c>
      <c r="P1422" s="229">
        <v>0</v>
      </c>
      <c r="Q1422" s="279">
        <v>0</v>
      </c>
    </row>
    <row r="1423" spans="1:17" customFormat="1">
      <c r="A1423" s="224">
        <v>4</v>
      </c>
      <c r="B1423" s="224">
        <v>1840102</v>
      </c>
      <c r="C1423" s="224">
        <v>184010200</v>
      </c>
      <c r="D1423" s="224" t="s">
        <v>631</v>
      </c>
      <c r="E1423" s="224" t="s">
        <v>668</v>
      </c>
      <c r="F1423" s="224" t="s">
        <v>669</v>
      </c>
      <c r="G1423" s="224" t="s">
        <v>670</v>
      </c>
      <c r="H1423" s="224"/>
      <c r="I1423" s="229">
        <v>0</v>
      </c>
      <c r="J1423" s="229">
        <v>0</v>
      </c>
      <c r="K1423" s="229">
        <v>0</v>
      </c>
      <c r="L1423" s="229">
        <v>0</v>
      </c>
      <c r="M1423" s="229">
        <v>0</v>
      </c>
      <c r="N1423" s="229">
        <v>0</v>
      </c>
      <c r="O1423" s="229">
        <v>0</v>
      </c>
      <c r="P1423" s="229">
        <v>0</v>
      </c>
      <c r="Q1423" s="279">
        <v>0</v>
      </c>
    </row>
    <row r="1424" spans="1:17" customFormat="1">
      <c r="A1424" s="224">
        <v>4</v>
      </c>
      <c r="B1424" s="224">
        <v>1840304</v>
      </c>
      <c r="C1424" s="224">
        <v>184030400</v>
      </c>
      <c r="D1424" s="224" t="s">
        <v>631</v>
      </c>
      <c r="E1424" s="224" t="s">
        <v>668</v>
      </c>
      <c r="F1424" s="224" t="s">
        <v>651</v>
      </c>
      <c r="G1424" s="224" t="s">
        <v>671</v>
      </c>
      <c r="H1424" s="224"/>
      <c r="I1424" s="229">
        <v>0</v>
      </c>
      <c r="J1424" s="229">
        <v>0</v>
      </c>
      <c r="K1424" s="229">
        <v>0</v>
      </c>
      <c r="L1424" s="229">
        <v>0</v>
      </c>
      <c r="M1424" s="229">
        <v>0</v>
      </c>
      <c r="N1424" s="229">
        <v>0</v>
      </c>
      <c r="O1424" s="229">
        <v>0</v>
      </c>
      <c r="P1424" s="229">
        <v>0</v>
      </c>
      <c r="Q1424" s="279">
        <v>0</v>
      </c>
    </row>
    <row r="1425" spans="1:17" customFormat="1">
      <c r="A1425" s="224">
        <v>4</v>
      </c>
      <c r="B1425" s="224">
        <v>1840305</v>
      </c>
      <c r="C1425" s="224">
        <v>184030500</v>
      </c>
      <c r="D1425" s="224" t="s">
        <v>631</v>
      </c>
      <c r="E1425" s="224" t="s">
        <v>668</v>
      </c>
      <c r="F1425" s="224" t="s">
        <v>651</v>
      </c>
      <c r="G1425" s="224" t="s">
        <v>672</v>
      </c>
      <c r="H1425" s="224"/>
      <c r="I1425" s="229">
        <v>0</v>
      </c>
      <c r="J1425" s="229">
        <v>0</v>
      </c>
      <c r="K1425" s="229">
        <v>0</v>
      </c>
      <c r="L1425" s="229">
        <v>0</v>
      </c>
      <c r="M1425" s="229">
        <v>0</v>
      </c>
      <c r="N1425" s="229">
        <v>0</v>
      </c>
      <c r="O1425" s="229">
        <v>0</v>
      </c>
      <c r="P1425" s="229">
        <v>0</v>
      </c>
      <c r="Q1425" s="279">
        <v>0</v>
      </c>
    </row>
    <row r="1426" spans="1:17" customFormat="1">
      <c r="A1426" s="224">
        <v>4</v>
      </c>
      <c r="B1426" s="224">
        <v>1840306</v>
      </c>
      <c r="C1426" s="224">
        <v>184030600</v>
      </c>
      <c r="D1426" s="224" t="s">
        <v>631</v>
      </c>
      <c r="E1426" s="224" t="s">
        <v>668</v>
      </c>
      <c r="F1426" s="224" t="s">
        <v>651</v>
      </c>
      <c r="G1426" s="224" t="s">
        <v>673</v>
      </c>
      <c r="H1426" s="224"/>
      <c r="I1426" s="229">
        <v>0</v>
      </c>
      <c r="J1426" s="229">
        <v>0</v>
      </c>
      <c r="K1426" s="229">
        <v>0</v>
      </c>
      <c r="L1426" s="229">
        <v>0</v>
      </c>
      <c r="M1426" s="229">
        <v>0</v>
      </c>
      <c r="N1426" s="229">
        <v>0</v>
      </c>
      <c r="O1426" s="229">
        <v>0</v>
      </c>
      <c r="P1426" s="229">
        <v>0</v>
      </c>
      <c r="Q1426" s="279">
        <v>0</v>
      </c>
    </row>
    <row r="1427" spans="1:17" customFormat="1">
      <c r="A1427" s="224">
        <v>4</v>
      </c>
      <c r="B1427" s="224">
        <v>1840515</v>
      </c>
      <c r="C1427" s="224">
        <v>184051500</v>
      </c>
      <c r="D1427" s="224" t="s">
        <v>631</v>
      </c>
      <c r="E1427" s="224" t="s">
        <v>668</v>
      </c>
      <c r="F1427" s="224" t="s">
        <v>674</v>
      </c>
      <c r="G1427" s="224" t="s">
        <v>864</v>
      </c>
      <c r="H1427" s="224"/>
      <c r="I1427" s="229">
        <v>160000</v>
      </c>
      <c r="J1427" s="229">
        <v>0</v>
      </c>
      <c r="K1427" s="229">
        <v>0</v>
      </c>
      <c r="L1427" s="229">
        <v>0</v>
      </c>
      <c r="M1427" s="229">
        <v>0</v>
      </c>
      <c r="N1427" s="229">
        <v>0</v>
      </c>
      <c r="O1427" s="229">
        <v>0</v>
      </c>
      <c r="P1427" s="229">
        <v>160000</v>
      </c>
      <c r="Q1427" s="279">
        <v>0</v>
      </c>
    </row>
    <row r="1428" spans="1:17" customFormat="1">
      <c r="A1428" s="224">
        <v>4</v>
      </c>
      <c r="B1428" s="224">
        <v>1840516</v>
      </c>
      <c r="C1428" s="224">
        <v>184051600</v>
      </c>
      <c r="D1428" s="224" t="s">
        <v>631</v>
      </c>
      <c r="E1428" s="224" t="s">
        <v>668</v>
      </c>
      <c r="F1428" s="224" t="s">
        <v>674</v>
      </c>
      <c r="G1428" s="224" t="s">
        <v>865</v>
      </c>
      <c r="H1428" s="224"/>
      <c r="I1428" s="229">
        <v>0</v>
      </c>
      <c r="J1428" s="229">
        <v>0</v>
      </c>
      <c r="K1428" s="229">
        <v>0</v>
      </c>
      <c r="L1428" s="229">
        <v>0</v>
      </c>
      <c r="M1428" s="229">
        <v>0</v>
      </c>
      <c r="N1428" s="229">
        <v>0</v>
      </c>
      <c r="O1428" s="229">
        <v>0</v>
      </c>
      <c r="P1428" s="229">
        <v>0</v>
      </c>
      <c r="Q1428" s="279">
        <v>0</v>
      </c>
    </row>
    <row r="1429" spans="1:17" customFormat="1">
      <c r="A1429" s="224">
        <v>4</v>
      </c>
      <c r="B1429" s="224">
        <v>1840517</v>
      </c>
      <c r="C1429" s="224">
        <v>184051700</v>
      </c>
      <c r="D1429" s="224" t="s">
        <v>631</v>
      </c>
      <c r="E1429" s="224" t="s">
        <v>668</v>
      </c>
      <c r="F1429" s="224" t="s">
        <v>674</v>
      </c>
      <c r="G1429" s="224" t="s">
        <v>866</v>
      </c>
      <c r="H1429" s="224"/>
      <c r="I1429" s="229">
        <v>0</v>
      </c>
      <c r="J1429" s="229">
        <v>0</v>
      </c>
      <c r="K1429" s="229">
        <v>0</v>
      </c>
      <c r="L1429" s="229">
        <v>0</v>
      </c>
      <c r="M1429" s="229">
        <v>0</v>
      </c>
      <c r="N1429" s="229">
        <v>0</v>
      </c>
      <c r="O1429" s="229">
        <v>0</v>
      </c>
      <c r="P1429" s="229">
        <v>0</v>
      </c>
      <c r="Q1429" s="279">
        <v>0</v>
      </c>
    </row>
    <row r="1430" spans="1:17" customFormat="1">
      <c r="A1430" s="224">
        <v>4</v>
      </c>
      <c r="B1430" s="224">
        <v>1860303</v>
      </c>
      <c r="C1430" s="224">
        <v>186030300</v>
      </c>
      <c r="D1430" s="224" t="s">
        <v>631</v>
      </c>
      <c r="E1430" s="224" t="s">
        <v>678</v>
      </c>
      <c r="F1430" s="224" t="s">
        <v>679</v>
      </c>
      <c r="G1430" s="224" t="s">
        <v>679</v>
      </c>
      <c r="H1430" s="224"/>
      <c r="I1430" s="229">
        <v>0</v>
      </c>
      <c r="J1430" s="229">
        <v>0</v>
      </c>
      <c r="K1430" s="229">
        <v>0</v>
      </c>
      <c r="L1430" s="229">
        <v>0</v>
      </c>
      <c r="M1430" s="229">
        <v>0</v>
      </c>
      <c r="N1430" s="229">
        <v>0</v>
      </c>
      <c r="O1430" s="229">
        <v>0</v>
      </c>
      <c r="P1430" s="229">
        <v>0</v>
      </c>
      <c r="Q1430" s="279">
        <v>0</v>
      </c>
    </row>
    <row r="1431" spans="1:17" customFormat="1">
      <c r="A1431" s="224">
        <v>4</v>
      </c>
      <c r="B1431" s="224">
        <v>1880101</v>
      </c>
      <c r="C1431" s="224">
        <v>188010100</v>
      </c>
      <c r="D1431" s="224" t="s">
        <v>631</v>
      </c>
      <c r="E1431" s="224" t="s">
        <v>680</v>
      </c>
      <c r="F1431" s="224" t="s">
        <v>681</v>
      </c>
      <c r="G1431" s="224" t="s">
        <v>681</v>
      </c>
      <c r="H1431" s="224"/>
      <c r="I1431" s="229">
        <v>0</v>
      </c>
      <c r="J1431" s="229">
        <v>0</v>
      </c>
      <c r="K1431" s="229">
        <v>0</v>
      </c>
      <c r="L1431" s="229">
        <v>0</v>
      </c>
      <c r="M1431" s="229">
        <v>0</v>
      </c>
      <c r="N1431" s="229">
        <v>0</v>
      </c>
      <c r="O1431" s="229">
        <v>0</v>
      </c>
      <c r="P1431" s="229">
        <v>0</v>
      </c>
      <c r="Q1431" s="279">
        <v>0</v>
      </c>
    </row>
    <row r="1432" spans="1:17" customFormat="1">
      <c r="A1432" s="224">
        <v>4</v>
      </c>
      <c r="B1432" s="224">
        <v>1880202</v>
      </c>
      <c r="C1432" s="224">
        <v>188020200</v>
      </c>
      <c r="D1432" s="224" t="s">
        <v>631</v>
      </c>
      <c r="E1432" s="224" t="s">
        <v>680</v>
      </c>
      <c r="F1432" s="224" t="s">
        <v>682</v>
      </c>
      <c r="G1432" s="224" t="s">
        <v>682</v>
      </c>
      <c r="H1432" s="224"/>
      <c r="I1432" s="229">
        <v>0</v>
      </c>
      <c r="J1432" s="229">
        <v>0</v>
      </c>
      <c r="K1432" s="229">
        <v>0</v>
      </c>
      <c r="L1432" s="229">
        <v>0</v>
      </c>
      <c r="M1432" s="229">
        <v>0</v>
      </c>
      <c r="N1432" s="229">
        <v>0</v>
      </c>
      <c r="O1432" s="229">
        <v>0</v>
      </c>
      <c r="P1432" s="229">
        <v>0</v>
      </c>
      <c r="Q1432" s="279">
        <v>0</v>
      </c>
    </row>
    <row r="1433" spans="1:17" customFormat="1">
      <c r="A1433" s="224">
        <v>4</v>
      </c>
      <c r="B1433" s="224">
        <v>1900101</v>
      </c>
      <c r="C1433" s="224">
        <v>190010100</v>
      </c>
      <c r="D1433" s="224" t="s">
        <v>631</v>
      </c>
      <c r="E1433" s="224" t="s">
        <v>683</v>
      </c>
      <c r="F1433" s="224" t="s">
        <v>684</v>
      </c>
      <c r="G1433" s="224" t="s">
        <v>684</v>
      </c>
      <c r="H1433" s="224"/>
      <c r="I1433" s="229">
        <v>0</v>
      </c>
      <c r="J1433" s="229">
        <v>0</v>
      </c>
      <c r="K1433" s="229">
        <v>0</v>
      </c>
      <c r="L1433" s="229">
        <v>0</v>
      </c>
      <c r="M1433" s="229">
        <v>0</v>
      </c>
      <c r="N1433" s="229">
        <v>0</v>
      </c>
      <c r="O1433" s="229">
        <v>0</v>
      </c>
      <c r="P1433" s="229">
        <v>0</v>
      </c>
      <c r="Q1433" s="279">
        <v>0</v>
      </c>
    </row>
    <row r="1434" spans="1:17" customFormat="1">
      <c r="A1434" s="224">
        <v>4</v>
      </c>
      <c r="B1434" s="224">
        <v>1900202</v>
      </c>
      <c r="C1434" s="224">
        <v>190020200</v>
      </c>
      <c r="D1434" s="224" t="s">
        <v>631</v>
      </c>
      <c r="E1434" s="224" t="s">
        <v>683</v>
      </c>
      <c r="F1434" s="224" t="s">
        <v>685</v>
      </c>
      <c r="G1434" s="224" t="s">
        <v>685</v>
      </c>
      <c r="H1434" s="224"/>
      <c r="I1434" s="229">
        <v>0</v>
      </c>
      <c r="J1434" s="229">
        <v>0</v>
      </c>
      <c r="K1434" s="229">
        <v>0</v>
      </c>
      <c r="L1434" s="229">
        <v>0</v>
      </c>
      <c r="M1434" s="229">
        <v>0</v>
      </c>
      <c r="N1434" s="229">
        <v>0</v>
      </c>
      <c r="O1434" s="229">
        <v>0</v>
      </c>
      <c r="P1434" s="229">
        <v>0</v>
      </c>
      <c r="Q1434" s="279">
        <v>0</v>
      </c>
    </row>
    <row r="1435" spans="1:17" customFormat="1">
      <c r="A1435" s="224">
        <v>4</v>
      </c>
      <c r="B1435" s="224">
        <v>1900303</v>
      </c>
      <c r="C1435" s="224">
        <v>190030300</v>
      </c>
      <c r="D1435" s="224" t="s">
        <v>631</v>
      </c>
      <c r="E1435" s="224" t="s">
        <v>683</v>
      </c>
      <c r="F1435" s="224" t="s">
        <v>683</v>
      </c>
      <c r="G1435" s="224" t="s">
        <v>683</v>
      </c>
      <c r="H1435" s="224"/>
      <c r="I1435" s="229">
        <v>0</v>
      </c>
      <c r="J1435" s="229">
        <v>0</v>
      </c>
      <c r="K1435" s="229">
        <v>0</v>
      </c>
      <c r="L1435" s="229">
        <v>0</v>
      </c>
      <c r="M1435" s="229">
        <v>0</v>
      </c>
      <c r="N1435" s="229">
        <v>0</v>
      </c>
      <c r="O1435" s="229">
        <v>0</v>
      </c>
      <c r="P1435" s="229">
        <v>0</v>
      </c>
      <c r="Q1435" s="279">
        <v>0</v>
      </c>
    </row>
    <row r="1436" spans="1:17" customFormat="1">
      <c r="A1436" s="224">
        <v>4</v>
      </c>
      <c r="B1436" s="224">
        <v>4810202</v>
      </c>
      <c r="C1436" s="224">
        <v>481020200</v>
      </c>
      <c r="D1436" s="224" t="s">
        <v>686</v>
      </c>
      <c r="E1436" s="224" t="s">
        <v>687</v>
      </c>
      <c r="F1436" s="224" t="s">
        <v>688</v>
      </c>
      <c r="G1436" s="224" t="s">
        <v>688</v>
      </c>
      <c r="H1436" s="224"/>
      <c r="I1436" s="229">
        <v>13915486</v>
      </c>
      <c r="J1436" s="229">
        <v>0</v>
      </c>
      <c r="K1436" s="229">
        <v>0</v>
      </c>
      <c r="L1436" s="229">
        <v>0</v>
      </c>
      <c r="M1436" s="229">
        <v>0</v>
      </c>
      <c r="N1436" s="229">
        <v>13915486</v>
      </c>
      <c r="O1436" s="229">
        <v>0</v>
      </c>
      <c r="P1436" s="229">
        <v>0</v>
      </c>
      <c r="Q1436" s="279">
        <v>0</v>
      </c>
    </row>
    <row r="1437" spans="1:17" customFormat="1">
      <c r="A1437" s="224">
        <v>4</v>
      </c>
      <c r="B1437" s="224">
        <v>4810404</v>
      </c>
      <c r="C1437" s="224">
        <v>481040411</v>
      </c>
      <c r="D1437" s="224" t="s">
        <v>686</v>
      </c>
      <c r="E1437" s="224" t="s">
        <v>687</v>
      </c>
      <c r="F1437" s="224" t="s">
        <v>689</v>
      </c>
      <c r="G1437" s="224" t="s">
        <v>690</v>
      </c>
      <c r="H1437" s="224" t="s">
        <v>691</v>
      </c>
      <c r="I1437" s="229">
        <v>75108000</v>
      </c>
      <c r="J1437" s="229">
        <v>0</v>
      </c>
      <c r="K1437" s="229">
        <v>0</v>
      </c>
      <c r="L1437" s="229">
        <v>0</v>
      </c>
      <c r="M1437" s="229">
        <v>0</v>
      </c>
      <c r="N1437" s="229">
        <v>0</v>
      </c>
      <c r="O1437" s="229">
        <v>0</v>
      </c>
      <c r="P1437" s="229">
        <v>75108000</v>
      </c>
      <c r="Q1437" s="279">
        <v>0</v>
      </c>
    </row>
    <row r="1438" spans="1:17" customFormat="1">
      <c r="A1438" s="224">
        <v>4</v>
      </c>
      <c r="B1438" s="224">
        <v>4810404</v>
      </c>
      <c r="C1438" s="224">
        <v>481040412</v>
      </c>
      <c r="D1438" s="224" t="s">
        <v>686</v>
      </c>
      <c r="E1438" s="224" t="s">
        <v>687</v>
      </c>
      <c r="F1438" s="224" t="s">
        <v>689</v>
      </c>
      <c r="G1438" s="224" t="s">
        <v>690</v>
      </c>
      <c r="H1438" s="224" t="s">
        <v>692</v>
      </c>
      <c r="I1438" s="229">
        <v>0</v>
      </c>
      <c r="J1438" s="229">
        <v>0</v>
      </c>
      <c r="K1438" s="229">
        <v>0</v>
      </c>
      <c r="L1438" s="229">
        <v>0</v>
      </c>
      <c r="M1438" s="229">
        <v>0</v>
      </c>
      <c r="N1438" s="229">
        <v>0</v>
      </c>
      <c r="O1438" s="229">
        <v>0</v>
      </c>
      <c r="P1438" s="229">
        <v>0</v>
      </c>
      <c r="Q1438" s="279">
        <v>0</v>
      </c>
    </row>
    <row r="1439" spans="1:17" customFormat="1">
      <c r="A1439" s="224">
        <v>4</v>
      </c>
      <c r="B1439" s="224">
        <v>4810404</v>
      </c>
      <c r="C1439" s="224">
        <v>481040413</v>
      </c>
      <c r="D1439" s="224" t="s">
        <v>686</v>
      </c>
      <c r="E1439" s="224" t="s">
        <v>687</v>
      </c>
      <c r="F1439" s="224" t="s">
        <v>689</v>
      </c>
      <c r="G1439" s="224" t="s">
        <v>690</v>
      </c>
      <c r="H1439" s="224" t="s">
        <v>693</v>
      </c>
      <c r="I1439" s="229">
        <v>0</v>
      </c>
      <c r="J1439" s="229">
        <v>0</v>
      </c>
      <c r="K1439" s="229">
        <v>0</v>
      </c>
      <c r="L1439" s="229">
        <v>0</v>
      </c>
      <c r="M1439" s="229">
        <v>0</v>
      </c>
      <c r="N1439" s="229">
        <v>0</v>
      </c>
      <c r="O1439" s="229">
        <v>0</v>
      </c>
      <c r="P1439" s="229">
        <v>0</v>
      </c>
      <c r="Q1439" s="279">
        <v>0</v>
      </c>
    </row>
    <row r="1440" spans="1:17" customFormat="1">
      <c r="A1440" s="224">
        <v>4</v>
      </c>
      <c r="B1440" s="224">
        <v>4810404</v>
      </c>
      <c r="C1440" s="224">
        <v>481040415</v>
      </c>
      <c r="D1440" s="224" t="s">
        <v>686</v>
      </c>
      <c r="E1440" s="224" t="s">
        <v>687</v>
      </c>
      <c r="F1440" s="224" t="s">
        <v>689</v>
      </c>
      <c r="G1440" s="224" t="s">
        <v>690</v>
      </c>
      <c r="H1440" s="224" t="s">
        <v>694</v>
      </c>
      <c r="I1440" s="229">
        <v>0</v>
      </c>
      <c r="J1440" s="229">
        <v>0</v>
      </c>
      <c r="K1440" s="229">
        <v>0</v>
      </c>
      <c r="L1440" s="229">
        <v>0</v>
      </c>
      <c r="M1440" s="229">
        <v>0</v>
      </c>
      <c r="N1440" s="229">
        <v>0</v>
      </c>
      <c r="O1440" s="229">
        <v>0</v>
      </c>
      <c r="P1440" s="229">
        <v>0</v>
      </c>
      <c r="Q1440" s="279">
        <v>0</v>
      </c>
    </row>
    <row r="1441" spans="1:17" customFormat="1">
      <c r="A1441" s="224">
        <v>4</v>
      </c>
      <c r="B1441" s="224">
        <v>4810406</v>
      </c>
      <c r="C1441" s="224">
        <v>481040600</v>
      </c>
      <c r="D1441" s="224" t="s">
        <v>686</v>
      </c>
      <c r="E1441" s="224" t="s">
        <v>687</v>
      </c>
      <c r="F1441" s="224" t="s">
        <v>689</v>
      </c>
      <c r="G1441" s="224" t="s">
        <v>695</v>
      </c>
      <c r="H1441" s="224"/>
      <c r="I1441" s="229">
        <v>0</v>
      </c>
      <c r="J1441" s="229">
        <v>0</v>
      </c>
      <c r="K1441" s="229">
        <v>0</v>
      </c>
      <c r="L1441" s="229">
        <v>0</v>
      </c>
      <c r="M1441" s="229">
        <v>0</v>
      </c>
      <c r="N1441" s="229">
        <v>0</v>
      </c>
      <c r="O1441" s="229">
        <v>0</v>
      </c>
      <c r="P1441" s="229">
        <v>0</v>
      </c>
      <c r="Q1441" s="279">
        <v>0</v>
      </c>
    </row>
    <row r="1442" spans="1:17" customFormat="1">
      <c r="A1442" s="224">
        <v>4</v>
      </c>
      <c r="B1442" s="224">
        <v>4810408</v>
      </c>
      <c r="C1442" s="224">
        <v>481040800</v>
      </c>
      <c r="D1442" s="224" t="s">
        <v>686</v>
      </c>
      <c r="E1442" s="224" t="s">
        <v>687</v>
      </c>
      <c r="F1442" s="224" t="s">
        <v>689</v>
      </c>
      <c r="G1442" s="224" t="s">
        <v>696</v>
      </c>
      <c r="H1442" s="224"/>
      <c r="I1442" s="229">
        <v>0</v>
      </c>
      <c r="J1442" s="229">
        <v>0</v>
      </c>
      <c r="K1442" s="229">
        <v>0</v>
      </c>
      <c r="L1442" s="229">
        <v>0</v>
      </c>
      <c r="M1442" s="229">
        <v>0</v>
      </c>
      <c r="N1442" s="229">
        <v>0</v>
      </c>
      <c r="O1442" s="229">
        <v>0</v>
      </c>
      <c r="P1442" s="229">
        <v>0</v>
      </c>
      <c r="Q1442" s="279">
        <v>0</v>
      </c>
    </row>
    <row r="1443" spans="1:17" customFormat="1">
      <c r="A1443" s="224">
        <v>4</v>
      </c>
      <c r="B1443" s="224">
        <v>4810409</v>
      </c>
      <c r="C1443" s="224">
        <v>481040900</v>
      </c>
      <c r="D1443" s="224" t="s">
        <v>686</v>
      </c>
      <c r="E1443" s="224" t="s">
        <v>687</v>
      </c>
      <c r="F1443" s="224" t="s">
        <v>689</v>
      </c>
      <c r="G1443" s="224" t="s">
        <v>697</v>
      </c>
      <c r="H1443" s="224"/>
      <c r="I1443" s="229">
        <v>0</v>
      </c>
      <c r="J1443" s="229">
        <v>0</v>
      </c>
      <c r="K1443" s="229">
        <v>0</v>
      </c>
      <c r="L1443" s="229">
        <v>0</v>
      </c>
      <c r="M1443" s="229">
        <v>0</v>
      </c>
      <c r="N1443" s="229">
        <v>0</v>
      </c>
      <c r="O1443" s="229">
        <v>0</v>
      </c>
      <c r="P1443" s="229">
        <v>0</v>
      </c>
      <c r="Q1443" s="279">
        <v>0</v>
      </c>
    </row>
    <row r="1444" spans="1:17" customFormat="1">
      <c r="A1444" s="224">
        <v>4</v>
      </c>
      <c r="B1444" s="224">
        <v>4811214</v>
      </c>
      <c r="C1444" s="224">
        <v>481121400</v>
      </c>
      <c r="D1444" s="224" t="s">
        <v>686</v>
      </c>
      <c r="E1444" s="224" t="s">
        <v>687</v>
      </c>
      <c r="F1444" s="224" t="s">
        <v>699</v>
      </c>
      <c r="G1444" s="224" t="s">
        <v>699</v>
      </c>
      <c r="H1444" s="224"/>
      <c r="I1444" s="229">
        <v>0</v>
      </c>
      <c r="J1444" s="229">
        <v>0</v>
      </c>
      <c r="K1444" s="229">
        <v>0</v>
      </c>
      <c r="L1444" s="229">
        <v>0</v>
      </c>
      <c r="M1444" s="229">
        <v>0</v>
      </c>
      <c r="N1444" s="229">
        <v>0</v>
      </c>
      <c r="O1444" s="229">
        <v>0</v>
      </c>
      <c r="P1444" s="229">
        <v>0</v>
      </c>
      <c r="Q1444" s="279">
        <v>0</v>
      </c>
    </row>
    <row r="1445" spans="1:17" customFormat="1">
      <c r="A1445" s="224">
        <v>4</v>
      </c>
      <c r="B1445" s="224">
        <v>4811417</v>
      </c>
      <c r="C1445" s="224">
        <v>481141700</v>
      </c>
      <c r="D1445" s="224" t="s">
        <v>686</v>
      </c>
      <c r="E1445" s="224" t="s">
        <v>687</v>
      </c>
      <c r="F1445" s="224" t="s">
        <v>700</v>
      </c>
      <c r="G1445" s="224" t="s">
        <v>703</v>
      </c>
      <c r="H1445" s="224"/>
      <c r="I1445" s="229">
        <v>0</v>
      </c>
      <c r="J1445" s="229">
        <v>0</v>
      </c>
      <c r="K1445" s="229">
        <v>0</v>
      </c>
      <c r="L1445" s="229">
        <v>0</v>
      </c>
      <c r="M1445" s="229">
        <v>0</v>
      </c>
      <c r="N1445" s="229">
        <v>0</v>
      </c>
      <c r="O1445" s="229">
        <v>0</v>
      </c>
      <c r="P1445" s="229">
        <v>0</v>
      </c>
      <c r="Q1445" s="279">
        <v>0</v>
      </c>
    </row>
    <row r="1446" spans="1:17" customFormat="1">
      <c r="A1446" s="224">
        <v>4</v>
      </c>
      <c r="B1446" s="224">
        <v>4811418</v>
      </c>
      <c r="C1446" s="224">
        <v>481141800</v>
      </c>
      <c r="D1446" s="224" t="s">
        <v>686</v>
      </c>
      <c r="E1446" s="224" t="s">
        <v>687</v>
      </c>
      <c r="F1446" s="224" t="s">
        <v>700</v>
      </c>
      <c r="G1446" s="224" t="s">
        <v>64</v>
      </c>
      <c r="H1446" s="224"/>
      <c r="I1446" s="229">
        <v>0</v>
      </c>
      <c r="J1446" s="229">
        <v>0</v>
      </c>
      <c r="K1446" s="229">
        <v>0</v>
      </c>
      <c r="L1446" s="229">
        <v>0</v>
      </c>
      <c r="M1446" s="229">
        <v>0</v>
      </c>
      <c r="N1446" s="229">
        <v>0</v>
      </c>
      <c r="O1446" s="229">
        <v>0</v>
      </c>
      <c r="P1446" s="229">
        <v>0</v>
      </c>
      <c r="Q1446" s="279">
        <v>0</v>
      </c>
    </row>
    <row r="1447" spans="1:17" customFormat="1">
      <c r="A1447" s="224">
        <v>4</v>
      </c>
      <c r="B1447" s="224">
        <v>4811419</v>
      </c>
      <c r="C1447" s="224">
        <v>481141915</v>
      </c>
      <c r="D1447" s="224" t="s">
        <v>686</v>
      </c>
      <c r="E1447" s="224" t="s">
        <v>687</v>
      </c>
      <c r="F1447" s="224" t="s">
        <v>700</v>
      </c>
      <c r="G1447" s="224" t="s">
        <v>85</v>
      </c>
      <c r="H1447" s="224" t="s">
        <v>704</v>
      </c>
      <c r="I1447" s="229">
        <v>0</v>
      </c>
      <c r="J1447" s="229">
        <v>0</v>
      </c>
      <c r="K1447" s="229">
        <v>0</v>
      </c>
      <c r="L1447" s="229">
        <v>0</v>
      </c>
      <c r="M1447" s="229">
        <v>0</v>
      </c>
      <c r="N1447" s="229">
        <v>0</v>
      </c>
      <c r="O1447" s="229">
        <v>0</v>
      </c>
      <c r="P1447" s="229">
        <v>0</v>
      </c>
      <c r="Q1447" s="279">
        <v>0</v>
      </c>
    </row>
    <row r="1448" spans="1:17" customFormat="1">
      <c r="A1448" s="224">
        <v>4</v>
      </c>
      <c r="B1448" s="224">
        <v>4811419</v>
      </c>
      <c r="C1448" s="224">
        <v>481141916</v>
      </c>
      <c r="D1448" s="224" t="s">
        <v>686</v>
      </c>
      <c r="E1448" s="224" t="s">
        <v>687</v>
      </c>
      <c r="F1448" s="224" t="s">
        <v>700</v>
      </c>
      <c r="G1448" s="224" t="s">
        <v>85</v>
      </c>
      <c r="H1448" s="224" t="s">
        <v>705</v>
      </c>
      <c r="I1448" s="229">
        <v>0</v>
      </c>
      <c r="J1448" s="229">
        <v>0</v>
      </c>
      <c r="K1448" s="229">
        <v>0</v>
      </c>
      <c r="L1448" s="229">
        <v>0</v>
      </c>
      <c r="M1448" s="229">
        <v>0</v>
      </c>
      <c r="N1448" s="229">
        <v>0</v>
      </c>
      <c r="O1448" s="229">
        <v>0</v>
      </c>
      <c r="P1448" s="229">
        <v>0</v>
      </c>
      <c r="Q1448" s="279">
        <v>0</v>
      </c>
    </row>
    <row r="1449" spans="1:17" customFormat="1">
      <c r="A1449" s="224">
        <v>4</v>
      </c>
      <c r="B1449" s="224">
        <v>4811419</v>
      </c>
      <c r="C1449" s="224">
        <v>481141917</v>
      </c>
      <c r="D1449" s="224" t="s">
        <v>686</v>
      </c>
      <c r="E1449" s="224" t="s">
        <v>687</v>
      </c>
      <c r="F1449" s="224" t="s">
        <v>700</v>
      </c>
      <c r="G1449" s="224" t="s">
        <v>85</v>
      </c>
      <c r="H1449" s="224" t="s">
        <v>706</v>
      </c>
      <c r="I1449" s="229">
        <v>0</v>
      </c>
      <c r="J1449" s="229">
        <v>0</v>
      </c>
      <c r="K1449" s="229">
        <v>0</v>
      </c>
      <c r="L1449" s="229">
        <v>0</v>
      </c>
      <c r="M1449" s="229">
        <v>0</v>
      </c>
      <c r="N1449" s="229">
        <v>0</v>
      </c>
      <c r="O1449" s="229">
        <v>0</v>
      </c>
      <c r="P1449" s="229">
        <v>0</v>
      </c>
      <c r="Q1449" s="279">
        <v>0</v>
      </c>
    </row>
    <row r="1450" spans="1:17" customFormat="1">
      <c r="A1450" s="224">
        <v>4</v>
      </c>
      <c r="B1450" s="224">
        <v>4811420</v>
      </c>
      <c r="C1450" s="224">
        <v>481142000</v>
      </c>
      <c r="D1450" s="224" t="s">
        <v>686</v>
      </c>
      <c r="E1450" s="224" t="s">
        <v>687</v>
      </c>
      <c r="F1450" s="224" t="s">
        <v>700</v>
      </c>
      <c r="G1450" s="224" t="s">
        <v>707</v>
      </c>
      <c r="H1450" s="224"/>
      <c r="I1450" s="229">
        <v>0</v>
      </c>
      <c r="J1450" s="229">
        <v>0</v>
      </c>
      <c r="K1450" s="229">
        <v>0</v>
      </c>
      <c r="L1450" s="229">
        <v>0</v>
      </c>
      <c r="M1450" s="229">
        <v>0</v>
      </c>
      <c r="N1450" s="229">
        <v>0</v>
      </c>
      <c r="O1450" s="229">
        <v>0</v>
      </c>
      <c r="P1450" s="229">
        <v>0</v>
      </c>
      <c r="Q1450" s="279">
        <v>0</v>
      </c>
    </row>
    <row r="1451" spans="1:17" customFormat="1">
      <c r="A1451" s="224">
        <v>4</v>
      </c>
      <c r="B1451" s="224">
        <v>4820221</v>
      </c>
      <c r="C1451" s="224">
        <v>482022100</v>
      </c>
      <c r="D1451" s="224" t="s">
        <v>686</v>
      </c>
      <c r="E1451" s="224" t="s">
        <v>708</v>
      </c>
      <c r="F1451" s="224" t="s">
        <v>709</v>
      </c>
      <c r="G1451" s="224" t="s">
        <v>710</v>
      </c>
      <c r="H1451" s="224"/>
      <c r="I1451" s="229">
        <v>0</v>
      </c>
      <c r="J1451" s="229">
        <v>0</v>
      </c>
      <c r="K1451" s="229">
        <v>0</v>
      </c>
      <c r="L1451" s="229">
        <v>0</v>
      </c>
      <c r="M1451" s="229">
        <v>0</v>
      </c>
      <c r="N1451" s="229">
        <v>0</v>
      </c>
      <c r="O1451" s="229">
        <v>0</v>
      </c>
      <c r="P1451" s="229">
        <v>0</v>
      </c>
      <c r="Q1451" s="279">
        <v>0</v>
      </c>
    </row>
    <row r="1452" spans="1:17" customFormat="1">
      <c r="A1452" s="224">
        <v>4</v>
      </c>
      <c r="B1452" s="224">
        <v>4820222</v>
      </c>
      <c r="C1452" s="224">
        <v>482022200</v>
      </c>
      <c r="D1452" s="224" t="s">
        <v>686</v>
      </c>
      <c r="E1452" s="224" t="s">
        <v>708</v>
      </c>
      <c r="F1452" s="224" t="s">
        <v>709</v>
      </c>
      <c r="G1452" s="224" t="s">
        <v>711</v>
      </c>
      <c r="H1452" s="224"/>
      <c r="I1452" s="229">
        <v>0</v>
      </c>
      <c r="J1452" s="229">
        <v>0</v>
      </c>
      <c r="K1452" s="229">
        <v>0</v>
      </c>
      <c r="L1452" s="229">
        <v>0</v>
      </c>
      <c r="M1452" s="229">
        <v>0</v>
      </c>
      <c r="N1452" s="229">
        <v>0</v>
      </c>
      <c r="O1452" s="229">
        <v>0</v>
      </c>
      <c r="P1452" s="229">
        <v>0</v>
      </c>
      <c r="Q1452" s="279">
        <v>0</v>
      </c>
    </row>
    <row r="1453" spans="1:17" customFormat="1">
      <c r="A1453" s="224">
        <v>4</v>
      </c>
      <c r="B1453" s="224">
        <v>4820224</v>
      </c>
      <c r="C1453" s="224">
        <v>482022400</v>
      </c>
      <c r="D1453" s="224" t="s">
        <v>686</v>
      </c>
      <c r="E1453" s="224" t="s">
        <v>708</v>
      </c>
      <c r="F1453" s="224" t="s">
        <v>709</v>
      </c>
      <c r="G1453" s="224" t="s">
        <v>712</v>
      </c>
      <c r="H1453" s="224"/>
      <c r="I1453" s="229">
        <v>0</v>
      </c>
      <c r="J1453" s="229">
        <v>0</v>
      </c>
      <c r="K1453" s="229">
        <v>0</v>
      </c>
      <c r="L1453" s="229">
        <v>0</v>
      </c>
      <c r="M1453" s="229">
        <v>0</v>
      </c>
      <c r="N1453" s="229">
        <v>0</v>
      </c>
      <c r="O1453" s="229">
        <v>0</v>
      </c>
      <c r="P1453" s="229">
        <v>0</v>
      </c>
      <c r="Q1453" s="279">
        <v>0</v>
      </c>
    </row>
    <row r="1454" spans="1:17" customFormat="1">
      <c r="A1454" s="224">
        <v>4</v>
      </c>
      <c r="B1454" s="224">
        <v>4820427</v>
      </c>
      <c r="C1454" s="224">
        <v>482042700</v>
      </c>
      <c r="D1454" s="224" t="s">
        <v>686</v>
      </c>
      <c r="E1454" s="224" t="s">
        <v>708</v>
      </c>
      <c r="F1454" s="224" t="s">
        <v>655</v>
      </c>
      <c r="G1454" s="224" t="s">
        <v>713</v>
      </c>
      <c r="H1454" s="224"/>
      <c r="I1454" s="229">
        <v>0</v>
      </c>
      <c r="J1454" s="229">
        <v>0</v>
      </c>
      <c r="K1454" s="229">
        <v>0</v>
      </c>
      <c r="L1454" s="229">
        <v>0</v>
      </c>
      <c r="M1454" s="229">
        <v>0</v>
      </c>
      <c r="N1454" s="229">
        <v>0</v>
      </c>
      <c r="O1454" s="229">
        <v>0</v>
      </c>
      <c r="P1454" s="229">
        <v>0</v>
      </c>
      <c r="Q1454" s="279">
        <v>0</v>
      </c>
    </row>
    <row r="1455" spans="1:17" customFormat="1">
      <c r="A1455" s="224">
        <v>4</v>
      </c>
      <c r="B1455" s="224">
        <v>4820428</v>
      </c>
      <c r="C1455" s="224">
        <v>482042800</v>
      </c>
      <c r="D1455" s="224" t="s">
        <v>686</v>
      </c>
      <c r="E1455" s="224" t="s">
        <v>708</v>
      </c>
      <c r="F1455" s="224" t="s">
        <v>655</v>
      </c>
      <c r="G1455" s="224" t="s">
        <v>714</v>
      </c>
      <c r="H1455" s="224"/>
      <c r="I1455" s="229">
        <v>0</v>
      </c>
      <c r="J1455" s="229">
        <v>0</v>
      </c>
      <c r="K1455" s="229">
        <v>0</v>
      </c>
      <c r="L1455" s="229">
        <v>0</v>
      </c>
      <c r="M1455" s="229">
        <v>0</v>
      </c>
      <c r="N1455" s="229">
        <v>0</v>
      </c>
      <c r="O1455" s="229">
        <v>0</v>
      </c>
      <c r="P1455" s="229">
        <v>0</v>
      </c>
      <c r="Q1455" s="279">
        <v>0</v>
      </c>
    </row>
    <row r="1456" spans="1:17" customFormat="1">
      <c r="A1456" s="224">
        <v>4</v>
      </c>
      <c r="B1456" s="224">
        <v>4820429</v>
      </c>
      <c r="C1456" s="224">
        <v>482042900</v>
      </c>
      <c r="D1456" s="224" t="s">
        <v>686</v>
      </c>
      <c r="E1456" s="224" t="s">
        <v>708</v>
      </c>
      <c r="F1456" s="224" t="s">
        <v>655</v>
      </c>
      <c r="G1456" s="224" t="s">
        <v>658</v>
      </c>
      <c r="H1456" s="224"/>
      <c r="I1456" s="229">
        <v>0</v>
      </c>
      <c r="J1456" s="229">
        <v>0</v>
      </c>
      <c r="K1456" s="229">
        <v>0</v>
      </c>
      <c r="L1456" s="229">
        <v>0</v>
      </c>
      <c r="M1456" s="229">
        <v>0</v>
      </c>
      <c r="N1456" s="229">
        <v>0</v>
      </c>
      <c r="O1456" s="229">
        <v>0</v>
      </c>
      <c r="P1456" s="229">
        <v>0</v>
      </c>
      <c r="Q1456" s="279">
        <v>0</v>
      </c>
    </row>
    <row r="1457" spans="1:19" customFormat="1">
      <c r="A1457" s="224">
        <v>4</v>
      </c>
      <c r="B1457" s="224">
        <v>4820501</v>
      </c>
      <c r="C1457" s="224">
        <v>482050100</v>
      </c>
      <c r="D1457" s="224" t="s">
        <v>686</v>
      </c>
      <c r="E1457" s="224" t="s">
        <v>708</v>
      </c>
      <c r="F1457" s="224" t="s">
        <v>715</v>
      </c>
      <c r="G1457" s="224" t="s">
        <v>715</v>
      </c>
      <c r="H1457" s="224"/>
      <c r="I1457" s="229">
        <v>0</v>
      </c>
      <c r="J1457" s="229">
        <v>0</v>
      </c>
      <c r="K1457" s="229">
        <v>0</v>
      </c>
      <c r="L1457" s="229">
        <v>0</v>
      </c>
      <c r="M1457" s="229">
        <v>0</v>
      </c>
      <c r="N1457" s="229">
        <v>0</v>
      </c>
      <c r="O1457" s="229">
        <v>0</v>
      </c>
      <c r="P1457" s="229">
        <v>0</v>
      </c>
      <c r="Q1457" s="279">
        <v>0</v>
      </c>
    </row>
    <row r="1458" spans="1:19" customFormat="1">
      <c r="A1458" s="224">
        <v>4</v>
      </c>
      <c r="B1458" s="224">
        <v>4820630</v>
      </c>
      <c r="C1458" s="224">
        <v>482063000</v>
      </c>
      <c r="D1458" s="224" t="s">
        <v>686</v>
      </c>
      <c r="E1458" s="224" t="s">
        <v>708</v>
      </c>
      <c r="F1458" s="224" t="s">
        <v>659</v>
      </c>
      <c r="G1458" s="224" t="s">
        <v>659</v>
      </c>
      <c r="H1458" s="224"/>
      <c r="I1458" s="229">
        <v>0</v>
      </c>
      <c r="J1458" s="229">
        <v>0</v>
      </c>
      <c r="K1458" s="229">
        <v>0</v>
      </c>
      <c r="L1458" s="229">
        <v>0</v>
      </c>
      <c r="M1458" s="229">
        <v>0</v>
      </c>
      <c r="N1458" s="229">
        <v>0</v>
      </c>
      <c r="O1458" s="229">
        <v>0</v>
      </c>
      <c r="P1458" s="229">
        <v>0</v>
      </c>
      <c r="Q1458" s="279">
        <v>0</v>
      </c>
    </row>
    <row r="1459" spans="1:19" customFormat="1">
      <c r="A1459" s="224">
        <v>4</v>
      </c>
      <c r="B1459" s="224">
        <v>4820831</v>
      </c>
      <c r="C1459" s="224">
        <v>482083100</v>
      </c>
      <c r="D1459" s="224" t="s">
        <v>686</v>
      </c>
      <c r="E1459" s="224" t="s">
        <v>708</v>
      </c>
      <c r="F1459" s="224" t="s">
        <v>660</v>
      </c>
      <c r="G1459" s="224" t="s">
        <v>660</v>
      </c>
      <c r="H1459" s="224"/>
      <c r="I1459" s="229">
        <v>0</v>
      </c>
      <c r="J1459" s="229">
        <v>0</v>
      </c>
      <c r="K1459" s="229">
        <v>0</v>
      </c>
      <c r="L1459" s="229">
        <v>0</v>
      </c>
      <c r="M1459" s="229">
        <v>0</v>
      </c>
      <c r="N1459" s="229">
        <v>0</v>
      </c>
      <c r="O1459" s="229">
        <v>0</v>
      </c>
      <c r="P1459" s="229">
        <v>0</v>
      </c>
      <c r="Q1459" s="279">
        <v>0</v>
      </c>
    </row>
    <row r="1460" spans="1:19" customFormat="1">
      <c r="A1460" s="224">
        <v>4</v>
      </c>
      <c r="B1460" s="224">
        <v>4820932</v>
      </c>
      <c r="C1460" s="224">
        <v>482093200</v>
      </c>
      <c r="D1460" s="224" t="s">
        <v>686</v>
      </c>
      <c r="E1460" s="224" t="s">
        <v>708</v>
      </c>
      <c r="F1460" s="224" t="s">
        <v>663</v>
      </c>
      <c r="G1460" s="224" t="s">
        <v>716</v>
      </c>
      <c r="H1460" s="224"/>
      <c r="I1460" s="229">
        <v>0</v>
      </c>
      <c r="J1460" s="229">
        <v>0</v>
      </c>
      <c r="K1460" s="229">
        <v>0</v>
      </c>
      <c r="L1460" s="229">
        <v>0</v>
      </c>
      <c r="M1460" s="229">
        <v>0</v>
      </c>
      <c r="N1460" s="229">
        <v>0</v>
      </c>
      <c r="O1460" s="229">
        <v>0</v>
      </c>
      <c r="P1460" s="229">
        <v>0</v>
      </c>
      <c r="Q1460" s="279">
        <v>0</v>
      </c>
    </row>
    <row r="1461" spans="1:19" customFormat="1">
      <c r="A1461" s="224">
        <v>4</v>
      </c>
      <c r="B1461" s="224">
        <v>4820933</v>
      </c>
      <c r="C1461" s="224">
        <v>482093300</v>
      </c>
      <c r="D1461" s="224" t="s">
        <v>686</v>
      </c>
      <c r="E1461" s="224" t="s">
        <v>708</v>
      </c>
      <c r="F1461" s="224" t="s">
        <v>663</v>
      </c>
      <c r="G1461" s="224" t="s">
        <v>717</v>
      </c>
      <c r="H1461" s="224"/>
      <c r="I1461" s="229">
        <v>0</v>
      </c>
      <c r="J1461" s="229">
        <v>0</v>
      </c>
      <c r="K1461" s="229">
        <v>0</v>
      </c>
      <c r="L1461" s="229">
        <v>0</v>
      </c>
      <c r="M1461" s="229">
        <v>0</v>
      </c>
      <c r="N1461" s="229">
        <v>0</v>
      </c>
      <c r="O1461" s="229">
        <v>0</v>
      </c>
      <c r="P1461" s="229">
        <v>0</v>
      </c>
      <c r="Q1461" s="279">
        <v>0</v>
      </c>
    </row>
    <row r="1462" spans="1:19" customFormat="1">
      <c r="A1462" s="224">
        <v>4</v>
      </c>
      <c r="B1462" s="224">
        <v>4821034</v>
      </c>
      <c r="C1462" s="224">
        <v>482103411</v>
      </c>
      <c r="D1462" s="224" t="s">
        <v>686</v>
      </c>
      <c r="E1462" s="224" t="s">
        <v>708</v>
      </c>
      <c r="F1462" s="224" t="s">
        <v>661</v>
      </c>
      <c r="G1462" s="224" t="s">
        <v>718</v>
      </c>
      <c r="H1462" s="224" t="s">
        <v>691</v>
      </c>
      <c r="I1462" s="229">
        <v>0</v>
      </c>
      <c r="J1462" s="229">
        <v>0</v>
      </c>
      <c r="K1462" s="229">
        <v>0</v>
      </c>
      <c r="L1462" s="229">
        <v>0</v>
      </c>
      <c r="M1462" s="229">
        <v>0</v>
      </c>
      <c r="N1462" s="229">
        <v>0</v>
      </c>
      <c r="O1462" s="229">
        <v>0</v>
      </c>
      <c r="P1462" s="229">
        <v>0</v>
      </c>
      <c r="Q1462" s="279">
        <v>0</v>
      </c>
    </row>
    <row r="1463" spans="1:19" customFormat="1">
      <c r="A1463" s="224">
        <v>4</v>
      </c>
      <c r="B1463" s="224">
        <v>4821034</v>
      </c>
      <c r="C1463" s="224">
        <v>482103412</v>
      </c>
      <c r="D1463" s="224" t="s">
        <v>686</v>
      </c>
      <c r="E1463" s="224" t="s">
        <v>708</v>
      </c>
      <c r="F1463" s="224" t="s">
        <v>661</v>
      </c>
      <c r="G1463" s="224" t="s">
        <v>718</v>
      </c>
      <c r="H1463" s="224" t="s">
        <v>692</v>
      </c>
      <c r="I1463" s="229">
        <v>0</v>
      </c>
      <c r="J1463" s="229">
        <v>0</v>
      </c>
      <c r="K1463" s="229">
        <v>0</v>
      </c>
      <c r="L1463" s="229">
        <v>0</v>
      </c>
      <c r="M1463" s="229">
        <v>0</v>
      </c>
      <c r="N1463" s="229">
        <v>0</v>
      </c>
      <c r="O1463" s="229">
        <v>0</v>
      </c>
      <c r="P1463" s="229">
        <v>0</v>
      </c>
      <c r="Q1463" s="279">
        <v>0</v>
      </c>
    </row>
    <row r="1464" spans="1:19" customFormat="1">
      <c r="A1464" s="224">
        <v>4</v>
      </c>
      <c r="B1464" s="224">
        <v>4821034</v>
      </c>
      <c r="C1464" s="224">
        <v>482103413</v>
      </c>
      <c r="D1464" s="224" t="s">
        <v>686</v>
      </c>
      <c r="E1464" s="224" t="s">
        <v>708</v>
      </c>
      <c r="F1464" s="224" t="s">
        <v>661</v>
      </c>
      <c r="G1464" s="224" t="s">
        <v>718</v>
      </c>
      <c r="H1464" s="224" t="s">
        <v>693</v>
      </c>
      <c r="I1464" s="229">
        <v>0</v>
      </c>
      <c r="J1464" s="229">
        <v>0</v>
      </c>
      <c r="K1464" s="229">
        <v>0</v>
      </c>
      <c r="L1464" s="229">
        <v>0</v>
      </c>
      <c r="M1464" s="229">
        <v>0</v>
      </c>
      <c r="N1464" s="229">
        <v>0</v>
      </c>
      <c r="O1464" s="229">
        <v>0</v>
      </c>
      <c r="P1464" s="229">
        <v>0</v>
      </c>
      <c r="Q1464" s="279">
        <v>0</v>
      </c>
    </row>
    <row r="1465" spans="1:19" customFormat="1">
      <c r="A1465" s="224">
        <v>4</v>
      </c>
      <c r="B1465" s="224">
        <v>4821034</v>
      </c>
      <c r="C1465" s="224">
        <v>482103414</v>
      </c>
      <c r="D1465" s="224" t="s">
        <v>686</v>
      </c>
      <c r="E1465" s="224" t="s">
        <v>708</v>
      </c>
      <c r="F1465" s="224" t="s">
        <v>661</v>
      </c>
      <c r="G1465" s="224" t="s">
        <v>718</v>
      </c>
      <c r="H1465" s="224" t="s">
        <v>719</v>
      </c>
      <c r="I1465" s="229">
        <v>0</v>
      </c>
      <c r="J1465" s="229">
        <v>0</v>
      </c>
      <c r="K1465" s="229">
        <v>0</v>
      </c>
      <c r="L1465" s="229">
        <v>0</v>
      </c>
      <c r="M1465" s="229">
        <v>0</v>
      </c>
      <c r="N1465" s="229">
        <v>0</v>
      </c>
      <c r="O1465" s="229">
        <v>0</v>
      </c>
      <c r="P1465" s="229">
        <v>0</v>
      </c>
      <c r="Q1465" s="279">
        <v>0</v>
      </c>
    </row>
    <row r="1466" spans="1:19" customFormat="1">
      <c r="A1466" s="224">
        <v>4</v>
      </c>
      <c r="B1466" s="224">
        <v>4821035</v>
      </c>
      <c r="C1466" s="224">
        <v>482103500</v>
      </c>
      <c r="D1466" s="224" t="s">
        <v>686</v>
      </c>
      <c r="E1466" s="224" t="s">
        <v>708</v>
      </c>
      <c r="F1466" s="224" t="s">
        <v>661</v>
      </c>
      <c r="G1466" s="224" t="s">
        <v>720</v>
      </c>
      <c r="H1466" s="224"/>
      <c r="I1466" s="229">
        <v>0</v>
      </c>
      <c r="J1466" s="229">
        <v>0</v>
      </c>
      <c r="K1466" s="229">
        <v>0</v>
      </c>
      <c r="L1466" s="229">
        <v>0</v>
      </c>
      <c r="M1466" s="229">
        <v>0</v>
      </c>
      <c r="N1466" s="229">
        <v>0</v>
      </c>
      <c r="O1466" s="229">
        <v>0</v>
      </c>
      <c r="P1466" s="229">
        <v>0</v>
      </c>
      <c r="Q1466" s="279">
        <v>0</v>
      </c>
    </row>
    <row r="1467" spans="1:19" customFormat="1">
      <c r="A1467" s="224">
        <v>4</v>
      </c>
      <c r="B1467" s="224">
        <v>4821137</v>
      </c>
      <c r="C1467" s="224">
        <v>482113700</v>
      </c>
      <c r="D1467" s="224" t="s">
        <v>686</v>
      </c>
      <c r="E1467" s="224" t="s">
        <v>708</v>
      </c>
      <c r="F1467" s="224" t="s">
        <v>685</v>
      </c>
      <c r="G1467" s="224" t="s">
        <v>685</v>
      </c>
      <c r="H1467" s="224"/>
      <c r="I1467" s="229">
        <v>0</v>
      </c>
      <c r="J1467" s="229">
        <v>0</v>
      </c>
      <c r="K1467" s="229">
        <v>0</v>
      </c>
      <c r="L1467" s="229">
        <v>0</v>
      </c>
      <c r="M1467" s="229">
        <v>0</v>
      </c>
      <c r="N1467" s="229">
        <v>0</v>
      </c>
      <c r="O1467" s="229">
        <v>0</v>
      </c>
      <c r="P1467" s="229">
        <v>0</v>
      </c>
      <c r="Q1467" s="279">
        <v>0</v>
      </c>
    </row>
    <row r="1468" spans="1:19" customFormat="1">
      <c r="A1468" s="224">
        <v>4</v>
      </c>
      <c r="B1468" s="224">
        <v>4821236</v>
      </c>
      <c r="C1468" s="224">
        <v>482123600</v>
      </c>
      <c r="D1468" s="224" t="s">
        <v>686</v>
      </c>
      <c r="E1468" s="224" t="s">
        <v>708</v>
      </c>
      <c r="F1468" s="224" t="s">
        <v>707</v>
      </c>
      <c r="G1468" s="224" t="s">
        <v>722</v>
      </c>
      <c r="H1468" s="224"/>
      <c r="I1468" s="229">
        <v>0</v>
      </c>
      <c r="J1468" s="229">
        <v>0</v>
      </c>
      <c r="K1468" s="229">
        <v>0</v>
      </c>
      <c r="L1468" s="229">
        <v>0</v>
      </c>
      <c r="M1468" s="229">
        <v>0</v>
      </c>
      <c r="N1468" s="229">
        <v>0</v>
      </c>
      <c r="O1468" s="229">
        <v>0</v>
      </c>
      <c r="P1468" s="229">
        <v>0</v>
      </c>
      <c r="Q1468" s="279">
        <v>0</v>
      </c>
    </row>
    <row r="1469" spans="1:19" customFormat="1">
      <c r="A1469" s="224">
        <v>4</v>
      </c>
      <c r="B1469" s="224">
        <v>4821240</v>
      </c>
      <c r="C1469" s="224">
        <v>482124000</v>
      </c>
      <c r="D1469" s="224" t="s">
        <v>686</v>
      </c>
      <c r="E1469" s="224" t="s">
        <v>708</v>
      </c>
      <c r="F1469" s="224" t="s">
        <v>707</v>
      </c>
      <c r="G1469" s="224" t="s">
        <v>723</v>
      </c>
      <c r="H1469" s="224"/>
      <c r="I1469" s="229">
        <v>0</v>
      </c>
      <c r="J1469" s="229">
        <v>0</v>
      </c>
      <c r="K1469" s="229">
        <v>0</v>
      </c>
      <c r="L1469" s="229">
        <v>0</v>
      </c>
      <c r="M1469" s="229">
        <v>0</v>
      </c>
      <c r="N1469" s="229">
        <v>0</v>
      </c>
      <c r="O1469" s="229">
        <v>0</v>
      </c>
      <c r="P1469" s="229">
        <v>0</v>
      </c>
      <c r="Q1469" s="279">
        <v>0</v>
      </c>
    </row>
    <row r="1470" spans="1:19" customFormat="1">
      <c r="A1470" s="224">
        <v>4</v>
      </c>
      <c r="B1470" s="224">
        <v>4821301</v>
      </c>
      <c r="C1470" s="224">
        <v>482130103</v>
      </c>
      <c r="D1470" s="224" t="s">
        <v>686</v>
      </c>
      <c r="E1470" s="224" t="s">
        <v>708</v>
      </c>
      <c r="F1470" s="224" t="s">
        <v>724</v>
      </c>
      <c r="G1470" s="224" t="s">
        <v>724</v>
      </c>
      <c r="H1470" s="224" t="s">
        <v>725</v>
      </c>
      <c r="I1470" s="229">
        <v>9781154</v>
      </c>
      <c r="J1470" s="229">
        <v>0</v>
      </c>
      <c r="K1470" s="229">
        <v>0</v>
      </c>
      <c r="L1470" s="229">
        <v>0</v>
      </c>
      <c r="M1470" s="229">
        <v>0</v>
      </c>
      <c r="N1470" s="229">
        <v>0</v>
      </c>
      <c r="O1470" s="229">
        <v>0</v>
      </c>
      <c r="P1470" s="229">
        <v>9781154</v>
      </c>
      <c r="Q1470" s="279">
        <v>0</v>
      </c>
    </row>
    <row r="1471" spans="1:19" customFormat="1">
      <c r="A1471" s="224">
        <v>4</v>
      </c>
      <c r="B1471" s="224">
        <v>4821301</v>
      </c>
      <c r="C1471" s="224">
        <v>482130104</v>
      </c>
      <c r="D1471" s="224" t="s">
        <v>686</v>
      </c>
      <c r="E1471" s="224" t="s">
        <v>708</v>
      </c>
      <c r="F1471" s="224" t="s">
        <v>724</v>
      </c>
      <c r="G1471" s="224" t="s">
        <v>724</v>
      </c>
      <c r="H1471" s="224" t="s">
        <v>655</v>
      </c>
      <c r="I1471" s="290">
        <v>2448564</v>
      </c>
      <c r="J1471" s="229">
        <v>0</v>
      </c>
      <c r="K1471" s="229">
        <v>0</v>
      </c>
      <c r="L1471" s="229">
        <v>0</v>
      </c>
      <c r="M1471" s="229">
        <v>0</v>
      </c>
      <c r="N1471" s="229">
        <v>0</v>
      </c>
      <c r="O1471" s="229">
        <v>0</v>
      </c>
      <c r="P1471" s="290">
        <v>2448564</v>
      </c>
      <c r="Q1471" s="279">
        <v>0</v>
      </c>
      <c r="S1471" s="259" t="s">
        <v>876</v>
      </c>
    </row>
    <row r="1472" spans="1:19" customFormat="1">
      <c r="A1472" s="224">
        <v>4</v>
      </c>
      <c r="B1472" s="224">
        <v>4821301</v>
      </c>
      <c r="C1472" s="224">
        <v>482130107</v>
      </c>
      <c r="D1472" s="224" t="s">
        <v>686</v>
      </c>
      <c r="E1472" s="224" t="s">
        <v>708</v>
      </c>
      <c r="F1472" s="224" t="s">
        <v>724</v>
      </c>
      <c r="G1472" s="224" t="s">
        <v>724</v>
      </c>
      <c r="H1472" s="224" t="s">
        <v>847</v>
      </c>
      <c r="I1472" s="229">
        <v>1839196</v>
      </c>
      <c r="J1472" s="229">
        <v>0</v>
      </c>
      <c r="K1472" s="229">
        <v>0</v>
      </c>
      <c r="L1472" s="229">
        <v>0</v>
      </c>
      <c r="M1472" s="229">
        <v>0</v>
      </c>
      <c r="N1472" s="229">
        <v>0</v>
      </c>
      <c r="O1472" s="229">
        <v>0</v>
      </c>
      <c r="P1472" s="229">
        <v>1839196</v>
      </c>
      <c r="Q1472" s="279">
        <v>0</v>
      </c>
    </row>
    <row r="1473" spans="1:17" customFormat="1">
      <c r="A1473" s="224">
        <v>4</v>
      </c>
      <c r="B1473" s="224">
        <v>4821301</v>
      </c>
      <c r="C1473" s="224">
        <v>482130108</v>
      </c>
      <c r="D1473" s="224" t="s">
        <v>686</v>
      </c>
      <c r="E1473" s="224" t="s">
        <v>708</v>
      </c>
      <c r="F1473" s="224" t="s">
        <v>724</v>
      </c>
      <c r="G1473" s="224" t="s">
        <v>724</v>
      </c>
      <c r="H1473" s="224" t="s">
        <v>665</v>
      </c>
      <c r="I1473" s="229">
        <v>0</v>
      </c>
      <c r="J1473" s="229">
        <v>0</v>
      </c>
      <c r="K1473" s="229">
        <v>0</v>
      </c>
      <c r="L1473" s="229">
        <v>0</v>
      </c>
      <c r="M1473" s="229">
        <v>0</v>
      </c>
      <c r="N1473" s="229">
        <v>0</v>
      </c>
      <c r="O1473" s="229">
        <v>0</v>
      </c>
      <c r="P1473" s="229">
        <v>0</v>
      </c>
      <c r="Q1473" s="279">
        <v>0</v>
      </c>
    </row>
    <row r="1474" spans="1:17" customFormat="1">
      <c r="A1474" s="224">
        <v>4</v>
      </c>
      <c r="B1474" s="224">
        <v>4821301</v>
      </c>
      <c r="C1474" s="224">
        <v>482130110</v>
      </c>
      <c r="D1474" s="224" t="s">
        <v>686</v>
      </c>
      <c r="E1474" s="224" t="s">
        <v>708</v>
      </c>
      <c r="F1474" s="224" t="s">
        <v>724</v>
      </c>
      <c r="G1474" s="224" t="s">
        <v>724</v>
      </c>
      <c r="H1474" s="224" t="s">
        <v>661</v>
      </c>
      <c r="I1474" s="229">
        <v>0</v>
      </c>
      <c r="J1474" s="229">
        <v>0</v>
      </c>
      <c r="K1474" s="229">
        <v>0</v>
      </c>
      <c r="L1474" s="229">
        <v>0</v>
      </c>
      <c r="M1474" s="229">
        <v>0</v>
      </c>
      <c r="N1474" s="229">
        <v>0</v>
      </c>
      <c r="O1474" s="229">
        <v>0</v>
      </c>
      <c r="P1474" s="229">
        <v>0</v>
      </c>
      <c r="Q1474" s="279">
        <v>0</v>
      </c>
    </row>
    <row r="1475" spans="1:17" customFormat="1">
      <c r="A1475" s="224">
        <v>4</v>
      </c>
      <c r="B1475" s="224">
        <v>4821301</v>
      </c>
      <c r="C1475" s="224">
        <v>482130120</v>
      </c>
      <c r="D1475" s="224" t="s">
        <v>686</v>
      </c>
      <c r="E1475" s="224" t="s">
        <v>708</v>
      </c>
      <c r="F1475" s="224" t="s">
        <v>724</v>
      </c>
      <c r="G1475" s="224" t="s">
        <v>724</v>
      </c>
      <c r="H1475" s="224" t="s">
        <v>726</v>
      </c>
      <c r="I1475" s="229">
        <v>0</v>
      </c>
      <c r="J1475" s="229">
        <v>0</v>
      </c>
      <c r="K1475" s="229">
        <v>0</v>
      </c>
      <c r="L1475" s="229">
        <v>0</v>
      </c>
      <c r="M1475" s="229">
        <v>0</v>
      </c>
      <c r="N1475" s="229">
        <v>0</v>
      </c>
      <c r="O1475" s="229">
        <v>0</v>
      </c>
      <c r="P1475" s="229">
        <v>0</v>
      </c>
      <c r="Q1475" s="279">
        <v>0</v>
      </c>
    </row>
    <row r="1476" spans="1:17" customFormat="1">
      <c r="A1476" s="224">
        <v>4</v>
      </c>
      <c r="B1476" s="224">
        <v>4830202</v>
      </c>
      <c r="C1476" s="224">
        <v>483020200</v>
      </c>
      <c r="D1476" s="224" t="s">
        <v>686</v>
      </c>
      <c r="E1476" s="224" t="s">
        <v>727</v>
      </c>
      <c r="F1476" s="224" t="s">
        <v>728</v>
      </c>
      <c r="G1476" s="224" t="s">
        <v>728</v>
      </c>
      <c r="H1476" s="224"/>
      <c r="I1476" s="229">
        <v>0</v>
      </c>
      <c r="J1476" s="229">
        <v>0</v>
      </c>
      <c r="K1476" s="229">
        <v>0</v>
      </c>
      <c r="L1476" s="229">
        <v>0</v>
      </c>
      <c r="M1476" s="229">
        <v>0</v>
      </c>
      <c r="N1476" s="229">
        <v>0</v>
      </c>
      <c r="O1476" s="229">
        <v>0</v>
      </c>
      <c r="P1476" s="229">
        <v>0</v>
      </c>
      <c r="Q1476" s="279">
        <v>0</v>
      </c>
    </row>
    <row r="1477" spans="1:17" customFormat="1">
      <c r="A1477" s="224">
        <v>4</v>
      </c>
      <c r="B1477" s="224">
        <v>4830404</v>
      </c>
      <c r="C1477" s="224">
        <v>483040400</v>
      </c>
      <c r="D1477" s="224" t="s">
        <v>686</v>
      </c>
      <c r="E1477" s="224" t="s">
        <v>727</v>
      </c>
      <c r="F1477" s="224" t="s">
        <v>729</v>
      </c>
      <c r="G1477" s="224" t="s">
        <v>729</v>
      </c>
      <c r="H1477" s="224"/>
      <c r="I1477" s="229">
        <v>0</v>
      </c>
      <c r="J1477" s="229">
        <v>0</v>
      </c>
      <c r="K1477" s="229">
        <v>0</v>
      </c>
      <c r="L1477" s="229">
        <v>0</v>
      </c>
      <c r="M1477" s="229">
        <v>0</v>
      </c>
      <c r="N1477" s="229">
        <v>0</v>
      </c>
      <c r="O1477" s="229">
        <v>0</v>
      </c>
      <c r="P1477" s="229">
        <v>0</v>
      </c>
      <c r="Q1477" s="279">
        <v>0</v>
      </c>
    </row>
    <row r="1478" spans="1:17" customFormat="1">
      <c r="A1478" s="224">
        <v>4</v>
      </c>
      <c r="B1478" s="224">
        <v>4830606</v>
      </c>
      <c r="C1478" s="224">
        <v>483060600</v>
      </c>
      <c r="D1478" s="224" t="s">
        <v>686</v>
      </c>
      <c r="E1478" s="224" t="s">
        <v>727</v>
      </c>
      <c r="F1478" s="224" t="s">
        <v>730</v>
      </c>
      <c r="G1478" s="224" t="s">
        <v>730</v>
      </c>
      <c r="H1478" s="224"/>
      <c r="I1478" s="229">
        <v>0</v>
      </c>
      <c r="J1478" s="229">
        <v>0</v>
      </c>
      <c r="K1478" s="229">
        <v>0</v>
      </c>
      <c r="L1478" s="229">
        <v>0</v>
      </c>
      <c r="M1478" s="229">
        <v>0</v>
      </c>
      <c r="N1478" s="229">
        <v>0</v>
      </c>
      <c r="O1478" s="229">
        <v>0</v>
      </c>
      <c r="P1478" s="229">
        <v>0</v>
      </c>
      <c r="Q1478" s="279">
        <v>0</v>
      </c>
    </row>
    <row r="1479" spans="1:17" customFormat="1">
      <c r="A1479" s="224">
        <v>4</v>
      </c>
      <c r="B1479" s="224">
        <v>4830607</v>
      </c>
      <c r="C1479" s="224">
        <v>483060700</v>
      </c>
      <c r="D1479" s="224" t="s">
        <v>686</v>
      </c>
      <c r="E1479" s="224" t="s">
        <v>727</v>
      </c>
      <c r="F1479" s="224" t="s">
        <v>730</v>
      </c>
      <c r="G1479" s="224" t="s">
        <v>731</v>
      </c>
      <c r="H1479" s="224"/>
      <c r="I1479" s="229">
        <v>0</v>
      </c>
      <c r="J1479" s="229">
        <v>0</v>
      </c>
      <c r="K1479" s="229">
        <v>0</v>
      </c>
      <c r="L1479" s="229">
        <v>0</v>
      </c>
      <c r="M1479" s="229">
        <v>0</v>
      </c>
      <c r="N1479" s="229">
        <v>0</v>
      </c>
      <c r="O1479" s="229">
        <v>0</v>
      </c>
      <c r="P1479" s="229">
        <v>0</v>
      </c>
      <c r="Q1479" s="279">
        <v>0</v>
      </c>
    </row>
    <row r="1480" spans="1:17" customFormat="1">
      <c r="A1480" s="224">
        <v>4</v>
      </c>
      <c r="B1480" s="224">
        <v>4830608</v>
      </c>
      <c r="C1480" s="224">
        <v>483060800</v>
      </c>
      <c r="D1480" s="224" t="s">
        <v>686</v>
      </c>
      <c r="E1480" s="224" t="s">
        <v>727</v>
      </c>
      <c r="F1480" s="224" t="s">
        <v>730</v>
      </c>
      <c r="G1480" s="224" t="s">
        <v>732</v>
      </c>
      <c r="H1480" s="224"/>
      <c r="I1480" s="229">
        <v>0</v>
      </c>
      <c r="J1480" s="229">
        <v>0</v>
      </c>
      <c r="K1480" s="229">
        <v>0</v>
      </c>
      <c r="L1480" s="229">
        <v>0</v>
      </c>
      <c r="M1480" s="229">
        <v>0</v>
      </c>
      <c r="N1480" s="229">
        <v>0</v>
      </c>
      <c r="O1480" s="229">
        <v>0</v>
      </c>
      <c r="P1480" s="229">
        <v>0</v>
      </c>
      <c r="Q1480" s="279">
        <v>0</v>
      </c>
    </row>
    <row r="1481" spans="1:17" customFormat="1">
      <c r="A1481" s="224">
        <v>4</v>
      </c>
      <c r="B1481" s="224">
        <v>4830808</v>
      </c>
      <c r="C1481" s="224">
        <v>483080800</v>
      </c>
      <c r="D1481" s="224" t="s">
        <v>686</v>
      </c>
      <c r="E1481" s="224" t="s">
        <v>727</v>
      </c>
      <c r="F1481" s="224" t="s">
        <v>733</v>
      </c>
      <c r="G1481" s="224" t="s">
        <v>733</v>
      </c>
      <c r="H1481" s="224"/>
      <c r="I1481" s="229">
        <v>0</v>
      </c>
      <c r="J1481" s="229">
        <v>0</v>
      </c>
      <c r="K1481" s="229">
        <v>0</v>
      </c>
      <c r="L1481" s="229">
        <v>0</v>
      </c>
      <c r="M1481" s="229">
        <v>0</v>
      </c>
      <c r="N1481" s="229">
        <v>0</v>
      </c>
      <c r="O1481" s="229">
        <v>0</v>
      </c>
      <c r="P1481" s="229">
        <v>0</v>
      </c>
      <c r="Q1481" s="279">
        <v>0</v>
      </c>
    </row>
    <row r="1482" spans="1:17" customFormat="1">
      <c r="A1482" s="224">
        <v>4</v>
      </c>
      <c r="B1482" s="224">
        <v>6155277</v>
      </c>
      <c r="C1482" s="224">
        <v>615527700</v>
      </c>
      <c r="D1482" s="224" t="s">
        <v>734</v>
      </c>
      <c r="E1482" s="224" t="s">
        <v>735</v>
      </c>
      <c r="F1482" s="224" t="s">
        <v>785</v>
      </c>
      <c r="G1482" s="224" t="s">
        <v>786</v>
      </c>
      <c r="H1482" s="224"/>
      <c r="I1482" s="229">
        <v>0</v>
      </c>
      <c r="J1482" s="229">
        <v>0</v>
      </c>
      <c r="K1482" s="229">
        <v>0</v>
      </c>
      <c r="L1482" s="229">
        <v>0</v>
      </c>
      <c r="M1482" s="229">
        <v>0</v>
      </c>
      <c r="N1482" s="229">
        <v>0</v>
      </c>
      <c r="O1482" s="229">
        <v>0</v>
      </c>
      <c r="P1482" s="229">
        <v>0</v>
      </c>
      <c r="Q1482" s="279">
        <v>0</v>
      </c>
    </row>
    <row r="1483" spans="1:17" customFormat="1">
      <c r="A1483" s="224">
        <v>4</v>
      </c>
      <c r="B1483" s="224">
        <v>6155278</v>
      </c>
      <c r="C1483" s="224">
        <v>615527800</v>
      </c>
      <c r="D1483" s="224" t="s">
        <v>734</v>
      </c>
      <c r="E1483" s="224" t="s">
        <v>735</v>
      </c>
      <c r="F1483" s="224" t="s">
        <v>785</v>
      </c>
      <c r="G1483" s="224" t="s">
        <v>787</v>
      </c>
      <c r="H1483" s="224"/>
      <c r="I1483" s="229">
        <v>0</v>
      </c>
      <c r="J1483" s="229">
        <v>0</v>
      </c>
      <c r="K1483" s="229">
        <v>0</v>
      </c>
      <c r="L1483" s="229">
        <v>0</v>
      </c>
      <c r="M1483" s="229">
        <v>0</v>
      </c>
      <c r="N1483" s="229">
        <v>0</v>
      </c>
      <c r="O1483" s="229">
        <v>0</v>
      </c>
      <c r="P1483" s="229">
        <v>0</v>
      </c>
      <c r="Q1483" s="279">
        <v>0</v>
      </c>
    </row>
    <row r="1484" spans="1:17" customFormat="1">
      <c r="A1484" s="224">
        <v>4</v>
      </c>
      <c r="B1484" s="224">
        <v>6155301</v>
      </c>
      <c r="C1484" s="224">
        <v>615530102</v>
      </c>
      <c r="D1484" s="224" t="s">
        <v>734</v>
      </c>
      <c r="E1484" s="224" t="s">
        <v>735</v>
      </c>
      <c r="F1484" s="224" t="s">
        <v>851</v>
      </c>
      <c r="G1484" s="224" t="s">
        <v>112</v>
      </c>
      <c r="H1484" s="224" t="s">
        <v>737</v>
      </c>
      <c r="I1484" s="229">
        <v>0</v>
      </c>
      <c r="J1484" s="229">
        <v>0</v>
      </c>
      <c r="K1484" s="229">
        <v>0</v>
      </c>
      <c r="L1484" s="229">
        <v>0</v>
      </c>
      <c r="M1484" s="229">
        <v>0</v>
      </c>
      <c r="N1484" s="229">
        <v>0</v>
      </c>
      <c r="O1484" s="229">
        <v>0</v>
      </c>
      <c r="P1484" s="229">
        <v>0</v>
      </c>
      <c r="Q1484" s="279">
        <v>0</v>
      </c>
    </row>
    <row r="1485" spans="1:17" customFormat="1">
      <c r="A1485" s="224">
        <v>4</v>
      </c>
      <c r="B1485" s="224">
        <v>6155301</v>
      </c>
      <c r="C1485" s="224">
        <v>615530103</v>
      </c>
      <c r="D1485" s="224" t="s">
        <v>734</v>
      </c>
      <c r="E1485" s="224" t="s">
        <v>735</v>
      </c>
      <c r="F1485" s="224" t="s">
        <v>851</v>
      </c>
      <c r="G1485" s="224" t="s">
        <v>112</v>
      </c>
      <c r="H1485" s="224" t="s">
        <v>738</v>
      </c>
      <c r="I1485" s="229">
        <v>0</v>
      </c>
      <c r="J1485" s="229">
        <v>0</v>
      </c>
      <c r="K1485" s="229">
        <v>0</v>
      </c>
      <c r="L1485" s="229">
        <v>0</v>
      </c>
      <c r="M1485" s="229">
        <v>0</v>
      </c>
      <c r="N1485" s="229">
        <v>0</v>
      </c>
      <c r="O1485" s="229">
        <v>0</v>
      </c>
      <c r="P1485" s="229">
        <v>0</v>
      </c>
      <c r="Q1485" s="279">
        <v>0</v>
      </c>
    </row>
    <row r="1486" spans="1:17" customFormat="1">
      <c r="A1486" s="224">
        <v>4</v>
      </c>
      <c r="B1486" s="224">
        <v>6155301</v>
      </c>
      <c r="C1486" s="224">
        <v>615530104</v>
      </c>
      <c r="D1486" s="224" t="s">
        <v>734</v>
      </c>
      <c r="E1486" s="224" t="s">
        <v>735</v>
      </c>
      <c r="F1486" s="224" t="s">
        <v>851</v>
      </c>
      <c r="G1486" s="224" t="s">
        <v>112</v>
      </c>
      <c r="H1486" s="224" t="s">
        <v>739</v>
      </c>
      <c r="I1486" s="229">
        <v>0</v>
      </c>
      <c r="J1486" s="229">
        <v>0</v>
      </c>
      <c r="K1486" s="229">
        <v>0</v>
      </c>
      <c r="L1486" s="229">
        <v>0</v>
      </c>
      <c r="M1486" s="229">
        <v>0</v>
      </c>
      <c r="N1486" s="229">
        <v>0</v>
      </c>
      <c r="O1486" s="229">
        <v>0</v>
      </c>
      <c r="P1486" s="229">
        <v>0</v>
      </c>
      <c r="Q1486" s="279">
        <v>0</v>
      </c>
    </row>
    <row r="1487" spans="1:17" customFormat="1">
      <c r="A1487" s="236">
        <v>4</v>
      </c>
      <c r="B1487" s="236">
        <v>6155301</v>
      </c>
      <c r="C1487" s="236">
        <v>615530105</v>
      </c>
      <c r="D1487" s="236" t="s">
        <v>734</v>
      </c>
      <c r="E1487" s="236" t="s">
        <v>735</v>
      </c>
      <c r="F1487" s="236" t="s">
        <v>851</v>
      </c>
      <c r="G1487" s="236" t="s">
        <v>112</v>
      </c>
      <c r="H1487" s="236" t="s">
        <v>740</v>
      </c>
      <c r="I1487" s="229">
        <v>2110500</v>
      </c>
      <c r="J1487" s="229">
        <v>0</v>
      </c>
      <c r="K1487" s="229">
        <v>0</v>
      </c>
      <c r="L1487" s="229">
        <v>0</v>
      </c>
      <c r="M1487" s="229">
        <v>0</v>
      </c>
      <c r="N1487" s="229">
        <v>0</v>
      </c>
      <c r="O1487" s="229">
        <v>0</v>
      </c>
      <c r="P1487" s="229">
        <v>2110500</v>
      </c>
      <c r="Q1487" s="279">
        <v>0</v>
      </c>
    </row>
    <row r="1488" spans="1:17" customFormat="1">
      <c r="A1488" s="224">
        <v>4</v>
      </c>
      <c r="B1488" s="224">
        <v>6155302</v>
      </c>
      <c r="C1488" s="224">
        <v>615530202</v>
      </c>
      <c r="D1488" s="224" t="s">
        <v>734</v>
      </c>
      <c r="E1488" s="224" t="s">
        <v>735</v>
      </c>
      <c r="F1488" s="224" t="s">
        <v>851</v>
      </c>
      <c r="G1488" s="224" t="s">
        <v>110</v>
      </c>
      <c r="H1488" s="224" t="s">
        <v>741</v>
      </c>
      <c r="I1488" s="229">
        <v>2474400</v>
      </c>
      <c r="J1488" s="229">
        <v>0</v>
      </c>
      <c r="K1488" s="229">
        <v>0</v>
      </c>
      <c r="L1488" s="229">
        <v>0</v>
      </c>
      <c r="M1488" s="229">
        <v>0</v>
      </c>
      <c r="N1488" s="229">
        <v>0</v>
      </c>
      <c r="O1488" s="229">
        <v>0</v>
      </c>
      <c r="P1488" s="229">
        <v>2474400</v>
      </c>
      <c r="Q1488" s="279">
        <v>0</v>
      </c>
    </row>
    <row r="1489" spans="1:17" customFormat="1">
      <c r="A1489" s="224">
        <v>4</v>
      </c>
      <c r="B1489" s="224">
        <v>6155303</v>
      </c>
      <c r="C1489" s="224">
        <v>615530301</v>
      </c>
      <c r="D1489" s="224" t="s">
        <v>734</v>
      </c>
      <c r="E1489" s="224" t="s">
        <v>735</v>
      </c>
      <c r="F1489" s="224" t="s">
        <v>851</v>
      </c>
      <c r="G1489" s="224" t="s">
        <v>108</v>
      </c>
      <c r="H1489" s="224" t="s">
        <v>742</v>
      </c>
      <c r="I1489" s="229">
        <v>247440</v>
      </c>
      <c r="J1489" s="229">
        <v>0</v>
      </c>
      <c r="K1489" s="229">
        <v>0</v>
      </c>
      <c r="L1489" s="229">
        <v>0</v>
      </c>
      <c r="M1489" s="229">
        <v>0</v>
      </c>
      <c r="N1489" s="229">
        <v>0</v>
      </c>
      <c r="O1489" s="229">
        <v>0</v>
      </c>
      <c r="P1489" s="229">
        <v>247440</v>
      </c>
      <c r="Q1489" s="279">
        <v>0</v>
      </c>
    </row>
    <row r="1490" spans="1:17" customFormat="1">
      <c r="A1490" s="224">
        <v>4</v>
      </c>
      <c r="B1490" s="224">
        <v>6155303</v>
      </c>
      <c r="C1490" s="224">
        <v>615530302</v>
      </c>
      <c r="D1490" s="224" t="s">
        <v>734</v>
      </c>
      <c r="E1490" s="224" t="s">
        <v>735</v>
      </c>
      <c r="F1490" s="224" t="s">
        <v>851</v>
      </c>
      <c r="G1490" s="224" t="s">
        <v>108</v>
      </c>
      <c r="H1490" s="224" t="s">
        <v>743</v>
      </c>
      <c r="I1490" s="229">
        <v>0</v>
      </c>
      <c r="J1490" s="229">
        <v>0</v>
      </c>
      <c r="K1490" s="229">
        <v>0</v>
      </c>
      <c r="L1490" s="229">
        <v>0</v>
      </c>
      <c r="M1490" s="229">
        <v>0</v>
      </c>
      <c r="N1490" s="229">
        <v>0</v>
      </c>
      <c r="O1490" s="229">
        <v>0</v>
      </c>
      <c r="P1490" s="229">
        <v>0</v>
      </c>
      <c r="Q1490" s="279">
        <v>0</v>
      </c>
    </row>
    <row r="1491" spans="1:17" customFormat="1">
      <c r="A1491" s="224">
        <v>4</v>
      </c>
      <c r="B1491" s="224">
        <v>6155303</v>
      </c>
      <c r="C1491" s="224">
        <v>615530303</v>
      </c>
      <c r="D1491" s="224" t="s">
        <v>734</v>
      </c>
      <c r="E1491" s="224" t="s">
        <v>735</v>
      </c>
      <c r="F1491" s="224" t="s">
        <v>851</v>
      </c>
      <c r="G1491" s="224" t="s">
        <v>108</v>
      </c>
      <c r="H1491" s="224" t="s">
        <v>744</v>
      </c>
      <c r="I1491" s="229">
        <v>1491572</v>
      </c>
      <c r="J1491" s="229">
        <v>0</v>
      </c>
      <c r="K1491" s="229">
        <v>0</v>
      </c>
      <c r="L1491" s="229">
        <v>0</v>
      </c>
      <c r="M1491" s="229">
        <v>0</v>
      </c>
      <c r="N1491" s="229">
        <v>0</v>
      </c>
      <c r="O1491" s="229">
        <v>0</v>
      </c>
      <c r="P1491" s="229">
        <v>1491572</v>
      </c>
      <c r="Q1491" s="279">
        <v>0</v>
      </c>
    </row>
    <row r="1492" spans="1:17" customFormat="1">
      <c r="A1492" s="224">
        <v>4</v>
      </c>
      <c r="B1492" s="224">
        <v>6155303</v>
      </c>
      <c r="C1492" s="224">
        <v>615530304</v>
      </c>
      <c r="D1492" s="224" t="s">
        <v>734</v>
      </c>
      <c r="E1492" s="224" t="s">
        <v>735</v>
      </c>
      <c r="F1492" s="224" t="s">
        <v>851</v>
      </c>
      <c r="G1492" s="224" t="s">
        <v>108</v>
      </c>
      <c r="H1492" s="224" t="s">
        <v>745</v>
      </c>
      <c r="I1492" s="229">
        <v>194020</v>
      </c>
      <c r="J1492" s="229">
        <v>0</v>
      </c>
      <c r="K1492" s="229">
        <v>0</v>
      </c>
      <c r="L1492" s="229">
        <v>0</v>
      </c>
      <c r="M1492" s="229">
        <v>0</v>
      </c>
      <c r="N1492" s="229">
        <v>194020</v>
      </c>
      <c r="O1492" s="229">
        <v>0</v>
      </c>
      <c r="P1492" s="229">
        <v>0</v>
      </c>
      <c r="Q1492" s="279">
        <v>0</v>
      </c>
    </row>
    <row r="1493" spans="1:17" customFormat="1">
      <c r="A1493" s="224">
        <v>4</v>
      </c>
      <c r="B1493" s="224">
        <v>6155303</v>
      </c>
      <c r="C1493" s="224">
        <v>615530305</v>
      </c>
      <c r="D1493" s="224" t="s">
        <v>734</v>
      </c>
      <c r="E1493" s="224" t="s">
        <v>735</v>
      </c>
      <c r="F1493" s="224" t="s">
        <v>851</v>
      </c>
      <c r="G1493" s="224" t="s">
        <v>108</v>
      </c>
      <c r="H1493" s="224" t="s">
        <v>746</v>
      </c>
      <c r="I1493" s="229">
        <v>0</v>
      </c>
      <c r="J1493" s="229">
        <v>0</v>
      </c>
      <c r="K1493" s="229">
        <v>0</v>
      </c>
      <c r="L1493" s="229">
        <v>0</v>
      </c>
      <c r="M1493" s="229">
        <v>0</v>
      </c>
      <c r="N1493" s="229">
        <v>0</v>
      </c>
      <c r="O1493" s="229">
        <v>0</v>
      </c>
      <c r="P1493" s="229">
        <v>0</v>
      </c>
      <c r="Q1493" s="279">
        <v>0</v>
      </c>
    </row>
    <row r="1494" spans="1:17" customFormat="1">
      <c r="A1494" s="224">
        <v>4</v>
      </c>
      <c r="B1494" s="224">
        <v>6155303</v>
      </c>
      <c r="C1494" s="224">
        <v>615530306</v>
      </c>
      <c r="D1494" s="224" t="s">
        <v>734</v>
      </c>
      <c r="E1494" s="224" t="s">
        <v>735</v>
      </c>
      <c r="F1494" s="224" t="s">
        <v>851</v>
      </c>
      <c r="G1494" s="224" t="s">
        <v>108</v>
      </c>
      <c r="H1494" s="224" t="s">
        <v>747</v>
      </c>
      <c r="I1494" s="229">
        <v>0</v>
      </c>
      <c r="J1494" s="229">
        <v>0</v>
      </c>
      <c r="K1494" s="229">
        <v>0</v>
      </c>
      <c r="L1494" s="229">
        <v>0</v>
      </c>
      <c r="M1494" s="229">
        <v>0</v>
      </c>
      <c r="N1494" s="229">
        <v>0</v>
      </c>
      <c r="O1494" s="229">
        <v>0</v>
      </c>
      <c r="P1494" s="229">
        <v>0</v>
      </c>
      <c r="Q1494" s="279">
        <v>0</v>
      </c>
    </row>
    <row r="1495" spans="1:17" customFormat="1">
      <c r="A1495" s="224">
        <v>4</v>
      </c>
      <c r="B1495" s="224">
        <v>6155303</v>
      </c>
      <c r="C1495" s="224">
        <v>615530307</v>
      </c>
      <c r="D1495" s="224" t="s">
        <v>734</v>
      </c>
      <c r="E1495" s="224" t="s">
        <v>735</v>
      </c>
      <c r="F1495" s="224" t="s">
        <v>851</v>
      </c>
      <c r="G1495" s="224" t="s">
        <v>108</v>
      </c>
      <c r="H1495" s="224" t="s">
        <v>748</v>
      </c>
      <c r="I1495" s="229">
        <v>0</v>
      </c>
      <c r="J1495" s="229">
        <v>0</v>
      </c>
      <c r="K1495" s="229">
        <v>0</v>
      </c>
      <c r="L1495" s="229">
        <v>0</v>
      </c>
      <c r="M1495" s="229">
        <v>0</v>
      </c>
      <c r="N1495" s="229">
        <v>0</v>
      </c>
      <c r="O1495" s="229">
        <v>0</v>
      </c>
      <c r="P1495" s="229">
        <v>0</v>
      </c>
      <c r="Q1495" s="279">
        <v>0</v>
      </c>
    </row>
    <row r="1496" spans="1:17" customFormat="1">
      <c r="A1496" s="224">
        <v>4</v>
      </c>
      <c r="B1496" s="224">
        <v>6155303</v>
      </c>
      <c r="C1496" s="224">
        <v>615530310</v>
      </c>
      <c r="D1496" s="224" t="s">
        <v>734</v>
      </c>
      <c r="E1496" s="224" t="s">
        <v>735</v>
      </c>
      <c r="F1496" s="224" t="s">
        <v>851</v>
      </c>
      <c r="G1496" s="224" t="s">
        <v>108</v>
      </c>
      <c r="H1496" s="224" t="s">
        <v>749</v>
      </c>
      <c r="I1496" s="229">
        <v>753722</v>
      </c>
      <c r="J1496" s="229">
        <v>0</v>
      </c>
      <c r="K1496" s="229">
        <v>0</v>
      </c>
      <c r="L1496" s="229">
        <v>0</v>
      </c>
      <c r="M1496" s="229">
        <v>0</v>
      </c>
      <c r="N1496" s="229">
        <v>0</v>
      </c>
      <c r="O1496" s="229">
        <v>0</v>
      </c>
      <c r="P1496" s="229">
        <v>753722</v>
      </c>
      <c r="Q1496" s="279">
        <v>0</v>
      </c>
    </row>
    <row r="1497" spans="1:17" customFormat="1">
      <c r="A1497" s="224">
        <v>4</v>
      </c>
      <c r="B1497" s="224">
        <v>6155303</v>
      </c>
      <c r="C1497" s="224">
        <v>615530311</v>
      </c>
      <c r="D1497" s="224" t="s">
        <v>734</v>
      </c>
      <c r="E1497" s="224" t="s">
        <v>735</v>
      </c>
      <c r="F1497" s="224" t="s">
        <v>851</v>
      </c>
      <c r="G1497" s="224" t="s">
        <v>108</v>
      </c>
      <c r="H1497" s="224" t="s">
        <v>750</v>
      </c>
      <c r="I1497" s="229">
        <v>0</v>
      </c>
      <c r="J1497" s="229">
        <v>0</v>
      </c>
      <c r="K1497" s="229">
        <v>0</v>
      </c>
      <c r="L1497" s="229">
        <v>0</v>
      </c>
      <c r="M1497" s="229">
        <v>0</v>
      </c>
      <c r="N1497" s="229">
        <v>0</v>
      </c>
      <c r="O1497" s="229">
        <v>0</v>
      </c>
      <c r="P1497" s="229">
        <v>0</v>
      </c>
      <c r="Q1497" s="279">
        <v>0</v>
      </c>
    </row>
    <row r="1498" spans="1:17" customFormat="1">
      <c r="A1498" s="224">
        <v>4</v>
      </c>
      <c r="B1498" s="224">
        <v>6155303</v>
      </c>
      <c r="C1498" s="224">
        <v>615530314</v>
      </c>
      <c r="D1498" s="224" t="s">
        <v>734</v>
      </c>
      <c r="E1498" s="224" t="s">
        <v>735</v>
      </c>
      <c r="F1498" s="224" t="s">
        <v>851</v>
      </c>
      <c r="G1498" s="224" t="s">
        <v>108</v>
      </c>
      <c r="H1498" s="224" t="s">
        <v>751</v>
      </c>
      <c r="I1498" s="229">
        <v>324000</v>
      </c>
      <c r="J1498" s="229">
        <v>0</v>
      </c>
      <c r="K1498" s="229">
        <v>0</v>
      </c>
      <c r="L1498" s="229">
        <v>0</v>
      </c>
      <c r="M1498" s="229">
        <v>0</v>
      </c>
      <c r="N1498" s="229">
        <v>0</v>
      </c>
      <c r="O1498" s="229">
        <v>0</v>
      </c>
      <c r="P1498" s="229">
        <v>324000</v>
      </c>
      <c r="Q1498" s="279">
        <v>0</v>
      </c>
    </row>
    <row r="1499" spans="1:17" customFormat="1">
      <c r="A1499" s="224">
        <v>4</v>
      </c>
      <c r="B1499" s="224">
        <v>6155303</v>
      </c>
      <c r="C1499" s="224">
        <v>615530315</v>
      </c>
      <c r="D1499" s="224" t="s">
        <v>734</v>
      </c>
      <c r="E1499" s="224" t="s">
        <v>735</v>
      </c>
      <c r="F1499" s="224" t="s">
        <v>851</v>
      </c>
      <c r="G1499" s="224" t="s">
        <v>108</v>
      </c>
      <c r="H1499" s="224" t="s">
        <v>752</v>
      </c>
      <c r="I1499" s="229">
        <v>0</v>
      </c>
      <c r="J1499" s="229">
        <v>0</v>
      </c>
      <c r="K1499" s="229">
        <v>0</v>
      </c>
      <c r="L1499" s="229">
        <v>0</v>
      </c>
      <c r="M1499" s="229">
        <v>0</v>
      </c>
      <c r="N1499" s="229">
        <v>0</v>
      </c>
      <c r="O1499" s="229">
        <v>0</v>
      </c>
      <c r="P1499" s="229">
        <v>0</v>
      </c>
      <c r="Q1499" s="279">
        <v>0</v>
      </c>
    </row>
    <row r="1500" spans="1:17" customFormat="1">
      <c r="A1500" s="224">
        <v>4</v>
      </c>
      <c r="B1500" s="224">
        <v>6155303</v>
      </c>
      <c r="C1500" s="224">
        <v>615530316</v>
      </c>
      <c r="D1500" s="224" t="s">
        <v>734</v>
      </c>
      <c r="E1500" s="224" t="s">
        <v>735</v>
      </c>
      <c r="F1500" s="224" t="s">
        <v>851</v>
      </c>
      <c r="G1500" s="224" t="s">
        <v>108</v>
      </c>
      <c r="H1500" s="224" t="s">
        <v>753</v>
      </c>
      <c r="I1500" s="229">
        <v>0</v>
      </c>
      <c r="J1500" s="229">
        <v>0</v>
      </c>
      <c r="K1500" s="229">
        <v>0</v>
      </c>
      <c r="L1500" s="229">
        <v>0</v>
      </c>
      <c r="M1500" s="229">
        <v>0</v>
      </c>
      <c r="N1500" s="229">
        <v>0</v>
      </c>
      <c r="O1500" s="229">
        <v>0</v>
      </c>
      <c r="P1500" s="229">
        <v>0</v>
      </c>
      <c r="Q1500" s="279">
        <v>0</v>
      </c>
    </row>
    <row r="1501" spans="1:17" customFormat="1">
      <c r="A1501" s="224">
        <v>4</v>
      </c>
      <c r="B1501" s="224">
        <v>6155303</v>
      </c>
      <c r="C1501" s="224">
        <v>615530319</v>
      </c>
      <c r="D1501" s="224" t="s">
        <v>734</v>
      </c>
      <c r="E1501" s="224" t="s">
        <v>735</v>
      </c>
      <c r="F1501" s="224" t="s">
        <v>851</v>
      </c>
      <c r="G1501" s="224" t="s">
        <v>108</v>
      </c>
      <c r="H1501" s="224" t="s">
        <v>754</v>
      </c>
      <c r="I1501" s="229">
        <v>0</v>
      </c>
      <c r="J1501" s="229">
        <v>0</v>
      </c>
      <c r="K1501" s="229">
        <v>0</v>
      </c>
      <c r="L1501" s="229">
        <v>0</v>
      </c>
      <c r="M1501" s="229">
        <v>0</v>
      </c>
      <c r="N1501" s="229">
        <v>0</v>
      </c>
      <c r="O1501" s="229">
        <v>0</v>
      </c>
      <c r="P1501" s="229">
        <v>0</v>
      </c>
      <c r="Q1501" s="279">
        <v>0</v>
      </c>
    </row>
    <row r="1502" spans="1:17" customFormat="1">
      <c r="A1502" s="224">
        <v>4</v>
      </c>
      <c r="B1502" s="224">
        <v>6155304</v>
      </c>
      <c r="C1502" s="224">
        <v>615530401</v>
      </c>
      <c r="D1502" s="224" t="s">
        <v>734</v>
      </c>
      <c r="E1502" s="224" t="s">
        <v>735</v>
      </c>
      <c r="F1502" s="224" t="s">
        <v>851</v>
      </c>
      <c r="G1502" s="224" t="s">
        <v>106</v>
      </c>
      <c r="H1502" s="224" t="s">
        <v>755</v>
      </c>
      <c r="I1502" s="229">
        <v>709013</v>
      </c>
      <c r="J1502" s="229">
        <v>0</v>
      </c>
      <c r="K1502" s="229">
        <v>0</v>
      </c>
      <c r="L1502" s="229">
        <v>0</v>
      </c>
      <c r="M1502" s="229">
        <v>0</v>
      </c>
      <c r="N1502" s="229">
        <v>0</v>
      </c>
      <c r="O1502" s="229">
        <v>709013</v>
      </c>
      <c r="P1502" s="229">
        <v>0</v>
      </c>
      <c r="Q1502" s="279">
        <v>0</v>
      </c>
    </row>
    <row r="1503" spans="1:17" customFormat="1">
      <c r="A1503" s="224">
        <v>4</v>
      </c>
      <c r="B1503" s="224">
        <v>6155304</v>
      </c>
      <c r="C1503" s="224">
        <v>615530402</v>
      </c>
      <c r="D1503" s="224" t="s">
        <v>734</v>
      </c>
      <c r="E1503" s="224" t="s">
        <v>735</v>
      </c>
      <c r="F1503" s="224" t="s">
        <v>851</v>
      </c>
      <c r="G1503" s="224" t="s">
        <v>106</v>
      </c>
      <c r="H1503" s="224" t="s">
        <v>756</v>
      </c>
      <c r="I1503" s="229">
        <v>6576</v>
      </c>
      <c r="J1503" s="229">
        <v>0</v>
      </c>
      <c r="K1503" s="229">
        <v>0</v>
      </c>
      <c r="L1503" s="229">
        <v>0</v>
      </c>
      <c r="M1503" s="229">
        <v>0</v>
      </c>
      <c r="N1503" s="229">
        <v>0</v>
      </c>
      <c r="O1503" s="229">
        <v>0</v>
      </c>
      <c r="P1503" s="229">
        <v>6576</v>
      </c>
      <c r="Q1503" s="279">
        <v>0</v>
      </c>
    </row>
    <row r="1504" spans="1:17" customFormat="1">
      <c r="A1504" s="224">
        <v>4</v>
      </c>
      <c r="B1504" s="224">
        <v>6155304</v>
      </c>
      <c r="C1504" s="224">
        <v>615530403</v>
      </c>
      <c r="D1504" s="224" t="s">
        <v>734</v>
      </c>
      <c r="E1504" s="224" t="s">
        <v>735</v>
      </c>
      <c r="F1504" s="224" t="s">
        <v>851</v>
      </c>
      <c r="G1504" s="224" t="s">
        <v>106</v>
      </c>
      <c r="H1504" s="224" t="s">
        <v>757</v>
      </c>
      <c r="I1504" s="229">
        <v>0</v>
      </c>
      <c r="J1504" s="229">
        <v>0</v>
      </c>
      <c r="K1504" s="229">
        <v>0</v>
      </c>
      <c r="L1504" s="229">
        <v>0</v>
      </c>
      <c r="M1504" s="229">
        <v>0</v>
      </c>
      <c r="N1504" s="229">
        <v>0</v>
      </c>
      <c r="O1504" s="229">
        <v>0</v>
      </c>
      <c r="P1504" s="229">
        <v>0</v>
      </c>
      <c r="Q1504" s="279">
        <v>0</v>
      </c>
    </row>
    <row r="1505" spans="1:17" customFormat="1">
      <c r="A1505" s="224">
        <v>4</v>
      </c>
      <c r="B1505" s="224">
        <v>6155304</v>
      </c>
      <c r="C1505" s="224">
        <v>615530405</v>
      </c>
      <c r="D1505" s="224" t="s">
        <v>734</v>
      </c>
      <c r="E1505" s="224" t="s">
        <v>735</v>
      </c>
      <c r="F1505" s="224" t="s">
        <v>851</v>
      </c>
      <c r="G1505" s="224" t="s">
        <v>106</v>
      </c>
      <c r="H1505" s="224" t="s">
        <v>758</v>
      </c>
      <c r="I1505" s="229">
        <v>0</v>
      </c>
      <c r="J1505" s="229">
        <v>0</v>
      </c>
      <c r="K1505" s="229">
        <v>0</v>
      </c>
      <c r="L1505" s="229">
        <v>0</v>
      </c>
      <c r="M1505" s="229">
        <v>0</v>
      </c>
      <c r="N1505" s="229">
        <v>0</v>
      </c>
      <c r="O1505" s="229">
        <v>0</v>
      </c>
      <c r="P1505" s="229">
        <v>0</v>
      </c>
      <c r="Q1505" s="279">
        <v>0</v>
      </c>
    </row>
    <row r="1506" spans="1:17" customFormat="1">
      <c r="A1506" s="224">
        <v>4</v>
      </c>
      <c r="B1506" s="224">
        <v>6155304</v>
      </c>
      <c r="C1506" s="224">
        <v>615530406</v>
      </c>
      <c r="D1506" s="224" t="s">
        <v>734</v>
      </c>
      <c r="E1506" s="224" t="s">
        <v>735</v>
      </c>
      <c r="F1506" s="224" t="s">
        <v>851</v>
      </c>
      <c r="G1506" s="224" t="s">
        <v>106</v>
      </c>
      <c r="H1506" s="224" t="s">
        <v>759</v>
      </c>
      <c r="I1506" s="229">
        <v>26372</v>
      </c>
      <c r="J1506" s="229">
        <v>0</v>
      </c>
      <c r="K1506" s="229">
        <v>0</v>
      </c>
      <c r="L1506" s="229">
        <v>0</v>
      </c>
      <c r="M1506" s="229">
        <v>0</v>
      </c>
      <c r="N1506" s="229">
        <v>0</v>
      </c>
      <c r="O1506" s="229">
        <v>26372</v>
      </c>
      <c r="P1506" s="229">
        <v>0</v>
      </c>
      <c r="Q1506" s="279">
        <v>0</v>
      </c>
    </row>
    <row r="1507" spans="1:17" customFormat="1">
      <c r="A1507" s="224">
        <v>4</v>
      </c>
      <c r="B1507" s="224">
        <v>6155304</v>
      </c>
      <c r="C1507" s="224">
        <v>615530407</v>
      </c>
      <c r="D1507" s="224" t="s">
        <v>734</v>
      </c>
      <c r="E1507" s="224" t="s">
        <v>735</v>
      </c>
      <c r="F1507" s="224" t="s">
        <v>851</v>
      </c>
      <c r="G1507" s="224" t="s">
        <v>106</v>
      </c>
      <c r="H1507" s="224" t="s">
        <v>760</v>
      </c>
      <c r="I1507" s="229">
        <v>250253</v>
      </c>
      <c r="J1507" s="229">
        <v>0</v>
      </c>
      <c r="K1507" s="229">
        <v>0</v>
      </c>
      <c r="L1507" s="229">
        <v>0</v>
      </c>
      <c r="M1507" s="229">
        <v>0</v>
      </c>
      <c r="N1507" s="229">
        <v>0</v>
      </c>
      <c r="O1507" s="229">
        <v>250253</v>
      </c>
      <c r="P1507" s="229">
        <v>0</v>
      </c>
      <c r="Q1507" s="279">
        <v>0</v>
      </c>
    </row>
    <row r="1508" spans="1:17" customFormat="1">
      <c r="A1508" s="224">
        <v>4</v>
      </c>
      <c r="B1508" s="224">
        <v>6155304</v>
      </c>
      <c r="C1508" s="224">
        <v>615530408</v>
      </c>
      <c r="D1508" s="224" t="s">
        <v>734</v>
      </c>
      <c r="E1508" s="224" t="s">
        <v>735</v>
      </c>
      <c r="F1508" s="224" t="s">
        <v>851</v>
      </c>
      <c r="G1508" s="224" t="s">
        <v>106</v>
      </c>
      <c r="H1508" s="224" t="s">
        <v>761</v>
      </c>
      <c r="I1508" s="229">
        <v>9845</v>
      </c>
      <c r="J1508" s="229">
        <v>0</v>
      </c>
      <c r="K1508" s="229">
        <v>0</v>
      </c>
      <c r="L1508" s="229">
        <v>0</v>
      </c>
      <c r="M1508" s="229">
        <v>0</v>
      </c>
      <c r="N1508" s="229">
        <v>0</v>
      </c>
      <c r="O1508" s="229">
        <v>9845</v>
      </c>
      <c r="P1508" s="229">
        <v>0</v>
      </c>
      <c r="Q1508" s="279">
        <v>0</v>
      </c>
    </row>
    <row r="1509" spans="1:17" customFormat="1">
      <c r="A1509" s="224">
        <v>4</v>
      </c>
      <c r="B1509" s="224">
        <v>6155304</v>
      </c>
      <c r="C1509" s="224">
        <v>615530410</v>
      </c>
      <c r="D1509" s="224" t="s">
        <v>734</v>
      </c>
      <c r="E1509" s="224" t="s">
        <v>735</v>
      </c>
      <c r="F1509" s="224" t="s">
        <v>851</v>
      </c>
      <c r="G1509" s="224" t="s">
        <v>106</v>
      </c>
      <c r="H1509" s="224" t="s">
        <v>762</v>
      </c>
      <c r="I1509" s="229">
        <v>352921</v>
      </c>
      <c r="J1509" s="229">
        <v>0</v>
      </c>
      <c r="K1509" s="229">
        <v>0</v>
      </c>
      <c r="L1509" s="229">
        <v>0</v>
      </c>
      <c r="M1509" s="229">
        <v>0</v>
      </c>
      <c r="N1509" s="229">
        <v>0</v>
      </c>
      <c r="O1509" s="229">
        <v>352921</v>
      </c>
      <c r="P1509" s="229">
        <v>0</v>
      </c>
      <c r="Q1509" s="279">
        <v>0</v>
      </c>
    </row>
    <row r="1510" spans="1:17" customFormat="1">
      <c r="A1510" s="224">
        <v>4</v>
      </c>
      <c r="B1510" s="224">
        <v>6155304</v>
      </c>
      <c r="C1510" s="224">
        <v>615530411</v>
      </c>
      <c r="D1510" s="224" t="s">
        <v>734</v>
      </c>
      <c r="E1510" s="224" t="s">
        <v>735</v>
      </c>
      <c r="F1510" s="224" t="s">
        <v>851</v>
      </c>
      <c r="G1510" s="224" t="s">
        <v>106</v>
      </c>
      <c r="H1510" s="224" t="s">
        <v>763</v>
      </c>
      <c r="I1510" s="229">
        <v>0</v>
      </c>
      <c r="J1510" s="229">
        <v>0</v>
      </c>
      <c r="K1510" s="229">
        <v>0</v>
      </c>
      <c r="L1510" s="229">
        <v>0</v>
      </c>
      <c r="M1510" s="229">
        <v>0</v>
      </c>
      <c r="N1510" s="229">
        <v>0</v>
      </c>
      <c r="O1510" s="229">
        <v>0</v>
      </c>
      <c r="P1510" s="229">
        <v>0</v>
      </c>
      <c r="Q1510" s="279">
        <v>0</v>
      </c>
    </row>
    <row r="1511" spans="1:17" customFormat="1">
      <c r="A1511" s="224">
        <v>4</v>
      </c>
      <c r="B1511" s="224">
        <v>6155305</v>
      </c>
      <c r="C1511" s="224">
        <v>615530500</v>
      </c>
      <c r="D1511" s="224" t="s">
        <v>734</v>
      </c>
      <c r="E1511" s="224" t="s">
        <v>735</v>
      </c>
      <c r="F1511" s="224" t="s">
        <v>851</v>
      </c>
      <c r="G1511" s="224" t="s">
        <v>104</v>
      </c>
      <c r="H1511" s="224"/>
      <c r="I1511" s="229">
        <v>0</v>
      </c>
      <c r="J1511" s="229">
        <v>0</v>
      </c>
      <c r="K1511" s="229">
        <v>0</v>
      </c>
      <c r="L1511" s="229">
        <v>0</v>
      </c>
      <c r="M1511" s="229">
        <v>0</v>
      </c>
      <c r="N1511" s="229">
        <v>0</v>
      </c>
      <c r="O1511" s="229">
        <v>0</v>
      </c>
      <c r="P1511" s="229">
        <v>0</v>
      </c>
      <c r="Q1511" s="279">
        <v>0</v>
      </c>
    </row>
    <row r="1512" spans="1:17" customFormat="1">
      <c r="A1512" s="224">
        <v>4</v>
      </c>
      <c r="B1512" s="224">
        <v>6155307</v>
      </c>
      <c r="C1512" s="224">
        <v>615530700</v>
      </c>
      <c r="D1512" s="224" t="s">
        <v>734</v>
      </c>
      <c r="E1512" s="224" t="s">
        <v>735</v>
      </c>
      <c r="F1512" s="224" t="s">
        <v>851</v>
      </c>
      <c r="G1512" s="224" t="s">
        <v>102</v>
      </c>
      <c r="H1512" s="224"/>
      <c r="I1512" s="229">
        <v>0</v>
      </c>
      <c r="J1512" s="229">
        <v>0</v>
      </c>
      <c r="K1512" s="229">
        <v>0</v>
      </c>
      <c r="L1512" s="229">
        <v>0</v>
      </c>
      <c r="M1512" s="229">
        <v>0</v>
      </c>
      <c r="N1512" s="229">
        <v>0</v>
      </c>
      <c r="O1512" s="229">
        <v>0</v>
      </c>
      <c r="P1512" s="229">
        <v>0</v>
      </c>
      <c r="Q1512" s="279">
        <v>0</v>
      </c>
    </row>
    <row r="1513" spans="1:17" customFormat="1">
      <c r="A1513" s="224">
        <v>4</v>
      </c>
      <c r="B1513" s="224">
        <v>6155308</v>
      </c>
      <c r="C1513" s="224">
        <v>615530800</v>
      </c>
      <c r="D1513" s="224" t="s">
        <v>734</v>
      </c>
      <c r="E1513" s="224" t="s">
        <v>735</v>
      </c>
      <c r="F1513" s="224" t="s">
        <v>851</v>
      </c>
      <c r="G1513" s="224" t="s">
        <v>100</v>
      </c>
      <c r="H1513" s="224"/>
      <c r="I1513" s="229">
        <v>240000</v>
      </c>
      <c r="J1513" s="229">
        <v>0</v>
      </c>
      <c r="K1513" s="229">
        <v>0</v>
      </c>
      <c r="L1513" s="229">
        <v>0</v>
      </c>
      <c r="M1513" s="229">
        <v>0</v>
      </c>
      <c r="N1513" s="229">
        <v>0</v>
      </c>
      <c r="O1513" s="229">
        <v>0</v>
      </c>
      <c r="P1513" s="229">
        <v>240000</v>
      </c>
      <c r="Q1513" s="279">
        <v>0</v>
      </c>
    </row>
    <row r="1514" spans="1:17" customFormat="1">
      <c r="A1514" s="224">
        <v>4</v>
      </c>
      <c r="B1514" s="224">
        <v>6155310</v>
      </c>
      <c r="C1514" s="224">
        <v>615531001</v>
      </c>
      <c r="D1514" s="224" t="s">
        <v>734</v>
      </c>
      <c r="E1514" s="224" t="s">
        <v>735</v>
      </c>
      <c r="F1514" s="224" t="s">
        <v>851</v>
      </c>
      <c r="G1514" s="224" t="s">
        <v>764</v>
      </c>
      <c r="H1514" s="224" t="s">
        <v>98</v>
      </c>
      <c r="I1514" s="229">
        <v>0</v>
      </c>
      <c r="J1514" s="229">
        <v>0</v>
      </c>
      <c r="K1514" s="229">
        <v>0</v>
      </c>
      <c r="L1514" s="229">
        <v>0</v>
      </c>
      <c r="M1514" s="229">
        <v>0</v>
      </c>
      <c r="N1514" s="229">
        <v>0</v>
      </c>
      <c r="O1514" s="229">
        <v>0</v>
      </c>
      <c r="P1514" s="229">
        <v>0</v>
      </c>
      <c r="Q1514" s="279">
        <v>0</v>
      </c>
    </row>
    <row r="1515" spans="1:17" customFormat="1">
      <c r="A1515" s="224">
        <v>4</v>
      </c>
      <c r="B1515" s="224">
        <v>6155310</v>
      </c>
      <c r="C1515" s="224">
        <v>615531002</v>
      </c>
      <c r="D1515" s="224" t="s">
        <v>734</v>
      </c>
      <c r="E1515" s="224" t="s">
        <v>735</v>
      </c>
      <c r="F1515" s="224" t="s">
        <v>851</v>
      </c>
      <c r="G1515" s="224" t="s">
        <v>764</v>
      </c>
      <c r="H1515" s="224" t="s">
        <v>95</v>
      </c>
      <c r="I1515" s="229">
        <v>0</v>
      </c>
      <c r="J1515" s="229">
        <v>0</v>
      </c>
      <c r="K1515" s="229">
        <v>0</v>
      </c>
      <c r="L1515" s="229">
        <v>0</v>
      </c>
      <c r="M1515" s="229">
        <v>0</v>
      </c>
      <c r="N1515" s="229">
        <v>0</v>
      </c>
      <c r="O1515" s="229">
        <v>0</v>
      </c>
      <c r="P1515" s="229">
        <v>0</v>
      </c>
      <c r="Q1515" s="279">
        <v>0</v>
      </c>
    </row>
    <row r="1516" spans="1:17" customFormat="1">
      <c r="A1516" s="236">
        <v>4</v>
      </c>
      <c r="B1516" s="236">
        <v>6155310</v>
      </c>
      <c r="C1516" s="236">
        <v>615531003</v>
      </c>
      <c r="D1516" s="236" t="s">
        <v>734</v>
      </c>
      <c r="E1516" s="236" t="s">
        <v>735</v>
      </c>
      <c r="F1516" s="236" t="s">
        <v>851</v>
      </c>
      <c r="G1516" s="236" t="s">
        <v>764</v>
      </c>
      <c r="H1516" s="236" t="s">
        <v>765</v>
      </c>
      <c r="I1516" s="229">
        <v>208660</v>
      </c>
      <c r="J1516" s="229">
        <v>0</v>
      </c>
      <c r="K1516" s="229">
        <v>0</v>
      </c>
      <c r="L1516" s="229">
        <v>0</v>
      </c>
      <c r="M1516" s="229">
        <v>0</v>
      </c>
      <c r="N1516" s="229">
        <v>208660</v>
      </c>
      <c r="O1516" s="229">
        <v>0</v>
      </c>
      <c r="P1516" s="229">
        <v>0</v>
      </c>
      <c r="Q1516" s="279">
        <v>0</v>
      </c>
    </row>
    <row r="1517" spans="1:17" customFormat="1">
      <c r="A1517" s="224">
        <v>4</v>
      </c>
      <c r="B1517" s="224">
        <v>6155313</v>
      </c>
      <c r="C1517" s="224">
        <v>615531300</v>
      </c>
      <c r="D1517" s="224" t="s">
        <v>734</v>
      </c>
      <c r="E1517" s="224" t="s">
        <v>735</v>
      </c>
      <c r="F1517" s="224" t="s">
        <v>851</v>
      </c>
      <c r="G1517" s="224" t="s">
        <v>93</v>
      </c>
      <c r="H1517" s="224"/>
      <c r="I1517" s="229">
        <v>232236</v>
      </c>
      <c r="J1517" s="229">
        <v>0</v>
      </c>
      <c r="K1517" s="229">
        <v>0</v>
      </c>
      <c r="L1517" s="229">
        <v>0</v>
      </c>
      <c r="M1517" s="229">
        <v>0</v>
      </c>
      <c r="N1517" s="229">
        <v>232236</v>
      </c>
      <c r="O1517" s="229">
        <v>0</v>
      </c>
      <c r="P1517" s="229">
        <v>0</v>
      </c>
      <c r="Q1517" s="279">
        <v>0</v>
      </c>
    </row>
    <row r="1518" spans="1:17" customFormat="1">
      <c r="A1518" s="224">
        <v>4</v>
      </c>
      <c r="B1518" s="224">
        <v>6155314</v>
      </c>
      <c r="C1518" s="224">
        <v>615531400</v>
      </c>
      <c r="D1518" s="224" t="s">
        <v>734</v>
      </c>
      <c r="E1518" s="224" t="s">
        <v>735</v>
      </c>
      <c r="F1518" s="224" t="s">
        <v>851</v>
      </c>
      <c r="G1518" s="224" t="s">
        <v>91</v>
      </c>
      <c r="H1518" s="224"/>
      <c r="I1518" s="229">
        <v>0</v>
      </c>
      <c r="J1518" s="229">
        <v>0</v>
      </c>
      <c r="K1518" s="229">
        <v>0</v>
      </c>
      <c r="L1518" s="229">
        <v>0</v>
      </c>
      <c r="M1518" s="229">
        <v>0</v>
      </c>
      <c r="N1518" s="229">
        <v>0</v>
      </c>
      <c r="O1518" s="229">
        <v>0</v>
      </c>
      <c r="P1518" s="229">
        <v>0</v>
      </c>
      <c r="Q1518" s="279">
        <v>0</v>
      </c>
    </row>
    <row r="1519" spans="1:17" customFormat="1">
      <c r="A1519" s="224">
        <v>4</v>
      </c>
      <c r="B1519" s="224">
        <v>6155315</v>
      </c>
      <c r="C1519" s="224">
        <v>615531500</v>
      </c>
      <c r="D1519" s="224" t="s">
        <v>734</v>
      </c>
      <c r="E1519" s="224" t="s">
        <v>735</v>
      </c>
      <c r="F1519" s="224" t="s">
        <v>851</v>
      </c>
      <c r="G1519" s="224" t="s">
        <v>89</v>
      </c>
      <c r="H1519" s="224"/>
      <c r="I1519" s="229">
        <v>0</v>
      </c>
      <c r="J1519" s="229">
        <v>0</v>
      </c>
      <c r="K1519" s="229">
        <v>0</v>
      </c>
      <c r="L1519" s="229">
        <v>0</v>
      </c>
      <c r="M1519" s="229">
        <v>0</v>
      </c>
      <c r="N1519" s="229">
        <v>0</v>
      </c>
      <c r="O1519" s="229">
        <v>0</v>
      </c>
      <c r="P1519" s="229">
        <v>0</v>
      </c>
      <c r="Q1519" s="279">
        <v>0</v>
      </c>
    </row>
    <row r="1520" spans="1:17" customFormat="1">
      <c r="A1520" s="224">
        <v>4</v>
      </c>
      <c r="B1520" s="224">
        <v>6155317</v>
      </c>
      <c r="C1520" s="224">
        <v>615531700</v>
      </c>
      <c r="D1520" s="224" t="s">
        <v>734</v>
      </c>
      <c r="E1520" s="224" t="s">
        <v>735</v>
      </c>
      <c r="F1520" s="224" t="s">
        <v>851</v>
      </c>
      <c r="G1520" s="224" t="s">
        <v>87</v>
      </c>
      <c r="H1520" s="224"/>
      <c r="I1520" s="229">
        <v>7600</v>
      </c>
      <c r="J1520" s="229">
        <v>0</v>
      </c>
      <c r="K1520" s="229">
        <v>0</v>
      </c>
      <c r="L1520" s="229">
        <v>0</v>
      </c>
      <c r="M1520" s="229">
        <v>0</v>
      </c>
      <c r="N1520" s="229">
        <v>7600</v>
      </c>
      <c r="O1520" s="229">
        <v>0</v>
      </c>
      <c r="P1520" s="229">
        <v>0</v>
      </c>
      <c r="Q1520" s="279">
        <v>0</v>
      </c>
    </row>
    <row r="1521" spans="1:17" customFormat="1">
      <c r="A1521" s="224">
        <v>4</v>
      </c>
      <c r="B1521" s="224">
        <v>6155319</v>
      </c>
      <c r="C1521" s="224">
        <v>615531900</v>
      </c>
      <c r="D1521" s="224" t="s">
        <v>734</v>
      </c>
      <c r="E1521" s="224" t="s">
        <v>735</v>
      </c>
      <c r="F1521" s="224" t="s">
        <v>851</v>
      </c>
      <c r="G1521" s="224" t="s">
        <v>85</v>
      </c>
      <c r="H1521" s="224"/>
      <c r="I1521" s="229">
        <v>283</v>
      </c>
      <c r="J1521" s="229">
        <v>0</v>
      </c>
      <c r="K1521" s="229">
        <v>0</v>
      </c>
      <c r="L1521" s="229">
        <v>0</v>
      </c>
      <c r="M1521" s="229">
        <v>0</v>
      </c>
      <c r="N1521" s="229">
        <v>283</v>
      </c>
      <c r="O1521" s="229">
        <v>0</v>
      </c>
      <c r="P1521" s="229">
        <v>0</v>
      </c>
      <c r="Q1521" s="279">
        <v>0</v>
      </c>
    </row>
    <row r="1522" spans="1:17" customFormat="1">
      <c r="A1522" s="224">
        <v>4</v>
      </c>
      <c r="B1522" s="224">
        <v>6155320</v>
      </c>
      <c r="C1522" s="224">
        <v>615532000</v>
      </c>
      <c r="D1522" s="224" t="s">
        <v>734</v>
      </c>
      <c r="E1522" s="224" t="s">
        <v>735</v>
      </c>
      <c r="F1522" s="224" t="s">
        <v>851</v>
      </c>
      <c r="G1522" s="224" t="s">
        <v>83</v>
      </c>
      <c r="H1522" s="224"/>
      <c r="I1522" s="229">
        <v>0</v>
      </c>
      <c r="J1522" s="229">
        <v>0</v>
      </c>
      <c r="K1522" s="229">
        <v>0</v>
      </c>
      <c r="L1522" s="229">
        <v>0</v>
      </c>
      <c r="M1522" s="229">
        <v>0</v>
      </c>
      <c r="N1522" s="229">
        <v>0</v>
      </c>
      <c r="O1522" s="229">
        <v>0</v>
      </c>
      <c r="P1522" s="229">
        <v>0</v>
      </c>
      <c r="Q1522" s="279">
        <v>0</v>
      </c>
    </row>
    <row r="1523" spans="1:17" customFormat="1">
      <c r="A1523" s="224">
        <v>4</v>
      </c>
      <c r="B1523" s="224">
        <v>6155321</v>
      </c>
      <c r="C1523" s="224">
        <v>615532100</v>
      </c>
      <c r="D1523" s="224" t="s">
        <v>734</v>
      </c>
      <c r="E1523" s="224" t="s">
        <v>735</v>
      </c>
      <c r="F1523" s="224" t="s">
        <v>851</v>
      </c>
      <c r="G1523" s="224" t="s">
        <v>81</v>
      </c>
      <c r="H1523" s="224"/>
      <c r="I1523" s="229">
        <v>2041</v>
      </c>
      <c r="J1523" s="229">
        <v>0</v>
      </c>
      <c r="K1523" s="229">
        <v>0</v>
      </c>
      <c r="L1523" s="229">
        <v>0</v>
      </c>
      <c r="M1523" s="229">
        <v>0</v>
      </c>
      <c r="N1523" s="229">
        <v>2041</v>
      </c>
      <c r="O1523" s="229">
        <v>0</v>
      </c>
      <c r="P1523" s="229">
        <v>0</v>
      </c>
      <c r="Q1523" s="279">
        <v>0</v>
      </c>
    </row>
    <row r="1524" spans="1:17" customFormat="1">
      <c r="A1524" s="224">
        <v>4</v>
      </c>
      <c r="B1524" s="224">
        <v>6155323</v>
      </c>
      <c r="C1524" s="224">
        <v>615532300</v>
      </c>
      <c r="D1524" s="224" t="s">
        <v>734</v>
      </c>
      <c r="E1524" s="224" t="s">
        <v>735</v>
      </c>
      <c r="F1524" s="224" t="s">
        <v>851</v>
      </c>
      <c r="G1524" s="224" t="s">
        <v>79</v>
      </c>
      <c r="H1524" s="224"/>
      <c r="I1524" s="229">
        <v>0</v>
      </c>
      <c r="J1524" s="229">
        <v>0</v>
      </c>
      <c r="K1524" s="229">
        <v>0</v>
      </c>
      <c r="L1524" s="229">
        <v>0</v>
      </c>
      <c r="M1524" s="229">
        <v>0</v>
      </c>
      <c r="N1524" s="229">
        <v>0</v>
      </c>
      <c r="O1524" s="229">
        <v>0</v>
      </c>
      <c r="P1524" s="229">
        <v>0</v>
      </c>
      <c r="Q1524" s="279">
        <v>0</v>
      </c>
    </row>
    <row r="1525" spans="1:17" customFormat="1">
      <c r="A1525" s="224">
        <v>4</v>
      </c>
      <c r="B1525" s="224">
        <v>6155324</v>
      </c>
      <c r="C1525" s="224">
        <v>615532400</v>
      </c>
      <c r="D1525" s="224" t="s">
        <v>734</v>
      </c>
      <c r="E1525" s="224" t="s">
        <v>735</v>
      </c>
      <c r="F1525" s="224" t="s">
        <v>851</v>
      </c>
      <c r="G1525" s="224" t="s">
        <v>77</v>
      </c>
      <c r="H1525" s="224"/>
      <c r="I1525" s="229">
        <v>0</v>
      </c>
      <c r="J1525" s="229">
        <v>0</v>
      </c>
      <c r="K1525" s="229">
        <v>0</v>
      </c>
      <c r="L1525" s="229">
        <v>0</v>
      </c>
      <c r="M1525" s="229">
        <v>0</v>
      </c>
      <c r="N1525" s="229">
        <v>0</v>
      </c>
      <c r="O1525" s="229">
        <v>0</v>
      </c>
      <c r="P1525" s="229">
        <v>0</v>
      </c>
      <c r="Q1525" s="279">
        <v>0</v>
      </c>
    </row>
    <row r="1526" spans="1:17" customFormat="1">
      <c r="A1526" s="224">
        <v>4</v>
      </c>
      <c r="B1526" s="224">
        <v>6155331</v>
      </c>
      <c r="C1526" s="224">
        <v>615533100</v>
      </c>
      <c r="D1526" s="224" t="s">
        <v>734</v>
      </c>
      <c r="E1526" s="224" t="s">
        <v>735</v>
      </c>
      <c r="F1526" s="224" t="s">
        <v>851</v>
      </c>
      <c r="G1526" s="224" t="s">
        <v>62</v>
      </c>
      <c r="H1526" s="224"/>
      <c r="I1526" s="229">
        <v>0</v>
      </c>
      <c r="J1526" s="229">
        <v>0</v>
      </c>
      <c r="K1526" s="229">
        <v>0</v>
      </c>
      <c r="L1526" s="229">
        <v>0</v>
      </c>
      <c r="M1526" s="229">
        <v>0</v>
      </c>
      <c r="N1526" s="229">
        <v>0</v>
      </c>
      <c r="O1526" s="229">
        <v>0</v>
      </c>
      <c r="P1526" s="229">
        <v>0</v>
      </c>
      <c r="Q1526" s="279">
        <v>0</v>
      </c>
    </row>
    <row r="1527" spans="1:17" customFormat="1">
      <c r="A1527" s="224">
        <v>4</v>
      </c>
      <c r="B1527" s="224">
        <v>6155337</v>
      </c>
      <c r="C1527" s="224">
        <v>615533700</v>
      </c>
      <c r="D1527" s="224" t="s">
        <v>734</v>
      </c>
      <c r="E1527" s="224" t="s">
        <v>735</v>
      </c>
      <c r="F1527" s="224" t="s">
        <v>851</v>
      </c>
      <c r="G1527" s="224" t="s">
        <v>60</v>
      </c>
      <c r="H1527" s="224"/>
      <c r="I1527" s="229">
        <v>0</v>
      </c>
      <c r="J1527" s="229">
        <v>0</v>
      </c>
      <c r="K1527" s="229">
        <v>0</v>
      </c>
      <c r="L1527" s="229">
        <v>0</v>
      </c>
      <c r="M1527" s="229">
        <v>0</v>
      </c>
      <c r="N1527" s="229">
        <v>0</v>
      </c>
      <c r="O1527" s="229">
        <v>0</v>
      </c>
      <c r="P1527" s="229">
        <v>0</v>
      </c>
      <c r="Q1527" s="279">
        <v>0</v>
      </c>
    </row>
    <row r="1528" spans="1:17" customFormat="1">
      <c r="A1528" s="224">
        <v>4</v>
      </c>
      <c r="B1528" s="224">
        <v>6155339</v>
      </c>
      <c r="C1528" s="224">
        <v>615533900</v>
      </c>
      <c r="D1528" s="224" t="s">
        <v>734</v>
      </c>
      <c r="E1528" s="224" t="s">
        <v>735</v>
      </c>
      <c r="F1528" s="224" t="s">
        <v>851</v>
      </c>
      <c r="G1528" s="224" t="s">
        <v>58</v>
      </c>
      <c r="H1528" s="224"/>
      <c r="I1528" s="229">
        <v>0</v>
      </c>
      <c r="J1528" s="229">
        <v>0</v>
      </c>
      <c r="K1528" s="229">
        <v>0</v>
      </c>
      <c r="L1528" s="229">
        <v>0</v>
      </c>
      <c r="M1528" s="229">
        <v>0</v>
      </c>
      <c r="N1528" s="229">
        <v>0</v>
      </c>
      <c r="O1528" s="229">
        <v>0</v>
      </c>
      <c r="P1528" s="229">
        <v>0</v>
      </c>
      <c r="Q1528" s="279">
        <v>0</v>
      </c>
    </row>
    <row r="1529" spans="1:17" customFormat="1">
      <c r="A1529" s="224">
        <v>4</v>
      </c>
      <c r="B1529" s="224">
        <v>6155340</v>
      </c>
      <c r="C1529" s="224">
        <v>615534000</v>
      </c>
      <c r="D1529" s="224" t="s">
        <v>734</v>
      </c>
      <c r="E1529" s="224" t="s">
        <v>735</v>
      </c>
      <c r="F1529" s="224" t="s">
        <v>851</v>
      </c>
      <c r="G1529" s="224" t="s">
        <v>56</v>
      </c>
      <c r="H1529" s="224"/>
      <c r="I1529" s="229">
        <v>0</v>
      </c>
      <c r="J1529" s="229">
        <v>0</v>
      </c>
      <c r="K1529" s="229">
        <v>0</v>
      </c>
      <c r="L1529" s="229">
        <v>0</v>
      </c>
      <c r="M1529" s="229">
        <v>0</v>
      </c>
      <c r="N1529" s="229">
        <v>0</v>
      </c>
      <c r="O1529" s="229">
        <v>0</v>
      </c>
      <c r="P1529" s="229">
        <v>0</v>
      </c>
      <c r="Q1529" s="279">
        <v>0</v>
      </c>
    </row>
    <row r="1530" spans="1:17" customFormat="1">
      <c r="A1530" s="224">
        <v>4</v>
      </c>
      <c r="B1530" s="224">
        <v>6155341</v>
      </c>
      <c r="C1530" s="224">
        <v>615534100</v>
      </c>
      <c r="D1530" s="224" t="s">
        <v>734</v>
      </c>
      <c r="E1530" s="224" t="s">
        <v>735</v>
      </c>
      <c r="F1530" s="224" t="s">
        <v>851</v>
      </c>
      <c r="G1530" s="224" t="s">
        <v>55</v>
      </c>
      <c r="H1530" s="224"/>
      <c r="I1530" s="229">
        <v>0</v>
      </c>
      <c r="J1530" s="229">
        <v>0</v>
      </c>
      <c r="K1530" s="229">
        <v>0</v>
      </c>
      <c r="L1530" s="229">
        <v>0</v>
      </c>
      <c r="M1530" s="229">
        <v>0</v>
      </c>
      <c r="N1530" s="229">
        <v>0</v>
      </c>
      <c r="O1530" s="229">
        <v>0</v>
      </c>
      <c r="P1530" s="229">
        <v>0</v>
      </c>
      <c r="Q1530" s="279">
        <v>0</v>
      </c>
    </row>
    <row r="1531" spans="1:17" customFormat="1">
      <c r="A1531" s="224">
        <v>4</v>
      </c>
      <c r="B1531" s="224">
        <v>6155365</v>
      </c>
      <c r="C1531" s="224">
        <v>615536500</v>
      </c>
      <c r="D1531" s="224" t="s">
        <v>734</v>
      </c>
      <c r="E1531" s="224" t="s">
        <v>735</v>
      </c>
      <c r="F1531" s="224" t="s">
        <v>851</v>
      </c>
      <c r="G1531" s="224" t="s">
        <v>766</v>
      </c>
      <c r="H1531" s="224"/>
      <c r="I1531" s="229">
        <v>0</v>
      </c>
      <c r="J1531" s="229">
        <v>0</v>
      </c>
      <c r="K1531" s="229">
        <v>0</v>
      </c>
      <c r="L1531" s="229">
        <v>0</v>
      </c>
      <c r="M1531" s="229">
        <v>0</v>
      </c>
      <c r="N1531" s="229">
        <v>0</v>
      </c>
      <c r="O1531" s="229">
        <v>0</v>
      </c>
      <c r="P1531" s="229">
        <v>0</v>
      </c>
      <c r="Q1531" s="279">
        <v>0</v>
      </c>
    </row>
    <row r="1532" spans="1:17" customFormat="1">
      <c r="A1532" s="224">
        <v>4</v>
      </c>
      <c r="B1532" s="224">
        <v>6155369</v>
      </c>
      <c r="C1532" s="224">
        <v>615536900</v>
      </c>
      <c r="D1532" s="224" t="s">
        <v>734</v>
      </c>
      <c r="E1532" s="224" t="s">
        <v>735</v>
      </c>
      <c r="F1532" s="224" t="s">
        <v>851</v>
      </c>
      <c r="G1532" s="224" t="s">
        <v>767</v>
      </c>
      <c r="H1532" s="224"/>
      <c r="I1532" s="229">
        <v>0</v>
      </c>
      <c r="J1532" s="229">
        <v>0</v>
      </c>
      <c r="K1532" s="229">
        <v>0</v>
      </c>
      <c r="L1532" s="229">
        <v>0</v>
      </c>
      <c r="M1532" s="229">
        <v>0</v>
      </c>
      <c r="N1532" s="229">
        <v>0</v>
      </c>
      <c r="O1532" s="229">
        <v>0</v>
      </c>
      <c r="P1532" s="229">
        <v>0</v>
      </c>
      <c r="Q1532" s="279">
        <v>0</v>
      </c>
    </row>
    <row r="1533" spans="1:17" customFormat="1">
      <c r="A1533" s="224">
        <v>4</v>
      </c>
      <c r="B1533" s="224">
        <v>6155370</v>
      </c>
      <c r="C1533" s="224">
        <v>615537000</v>
      </c>
      <c r="D1533" s="224" t="s">
        <v>734</v>
      </c>
      <c r="E1533" s="224" t="s">
        <v>735</v>
      </c>
      <c r="F1533" s="224" t="s">
        <v>851</v>
      </c>
      <c r="G1533" s="224" t="s">
        <v>768</v>
      </c>
      <c r="H1533" s="224"/>
      <c r="I1533" s="229">
        <v>0</v>
      </c>
      <c r="J1533" s="229">
        <v>0</v>
      </c>
      <c r="K1533" s="229">
        <v>0</v>
      </c>
      <c r="L1533" s="229">
        <v>0</v>
      </c>
      <c r="M1533" s="229">
        <v>0</v>
      </c>
      <c r="N1533" s="229">
        <v>0</v>
      </c>
      <c r="O1533" s="229">
        <v>0</v>
      </c>
      <c r="P1533" s="229">
        <v>0</v>
      </c>
      <c r="Q1533" s="279">
        <v>0</v>
      </c>
    </row>
    <row r="1534" spans="1:17" customFormat="1">
      <c r="A1534" s="224">
        <v>4</v>
      </c>
      <c r="B1534" s="224">
        <v>6155371</v>
      </c>
      <c r="C1534" s="224">
        <v>615537100</v>
      </c>
      <c r="D1534" s="224" t="s">
        <v>734</v>
      </c>
      <c r="E1534" s="224" t="s">
        <v>735</v>
      </c>
      <c r="F1534" s="224" t="s">
        <v>851</v>
      </c>
      <c r="G1534" s="224" t="s">
        <v>769</v>
      </c>
      <c r="H1534" s="224"/>
      <c r="I1534" s="229">
        <v>0</v>
      </c>
      <c r="J1534" s="229">
        <v>0</v>
      </c>
      <c r="K1534" s="229">
        <v>0</v>
      </c>
      <c r="L1534" s="229">
        <v>0</v>
      </c>
      <c r="M1534" s="229">
        <v>0</v>
      </c>
      <c r="N1534" s="229">
        <v>0</v>
      </c>
      <c r="O1534" s="229">
        <v>0</v>
      </c>
      <c r="P1534" s="229">
        <v>0</v>
      </c>
      <c r="Q1534" s="279">
        <v>0</v>
      </c>
    </row>
    <row r="1535" spans="1:17" customFormat="1">
      <c r="A1535" s="224">
        <v>4</v>
      </c>
      <c r="B1535" s="224">
        <v>6155372</v>
      </c>
      <c r="C1535" s="224">
        <v>615537200</v>
      </c>
      <c r="D1535" s="224" t="s">
        <v>734</v>
      </c>
      <c r="E1535" s="224" t="s">
        <v>735</v>
      </c>
      <c r="F1535" s="224" t="s">
        <v>851</v>
      </c>
      <c r="G1535" s="224" t="s">
        <v>770</v>
      </c>
      <c r="H1535" s="224"/>
      <c r="I1535" s="229">
        <v>0</v>
      </c>
      <c r="J1535" s="229">
        <v>0</v>
      </c>
      <c r="K1535" s="229">
        <v>0</v>
      </c>
      <c r="L1535" s="229">
        <v>0</v>
      </c>
      <c r="M1535" s="229">
        <v>0</v>
      </c>
      <c r="N1535" s="229">
        <v>0</v>
      </c>
      <c r="O1535" s="229">
        <v>0</v>
      </c>
      <c r="P1535" s="229">
        <v>0</v>
      </c>
      <c r="Q1535" s="279">
        <v>0</v>
      </c>
    </row>
    <row r="1536" spans="1:17" customFormat="1">
      <c r="A1536" s="224">
        <v>4</v>
      </c>
      <c r="B1536" s="224">
        <v>6155373</v>
      </c>
      <c r="C1536" s="224">
        <v>615537300</v>
      </c>
      <c r="D1536" s="224" t="s">
        <v>734</v>
      </c>
      <c r="E1536" s="224" t="s">
        <v>735</v>
      </c>
      <c r="F1536" s="224" t="s">
        <v>851</v>
      </c>
      <c r="G1536" s="224" t="s">
        <v>771</v>
      </c>
      <c r="H1536" s="224"/>
      <c r="I1536" s="229">
        <v>0</v>
      </c>
      <c r="J1536" s="229">
        <v>0</v>
      </c>
      <c r="K1536" s="229">
        <v>0</v>
      </c>
      <c r="L1536" s="229">
        <v>0</v>
      </c>
      <c r="M1536" s="229">
        <v>0</v>
      </c>
      <c r="N1536" s="229">
        <v>0</v>
      </c>
      <c r="O1536" s="229">
        <v>0</v>
      </c>
      <c r="P1536" s="229">
        <v>0</v>
      </c>
      <c r="Q1536" s="279">
        <v>0</v>
      </c>
    </row>
    <row r="1537" spans="1:17" customFormat="1">
      <c r="A1537" s="224">
        <v>4</v>
      </c>
      <c r="B1537" s="224">
        <v>6155374</v>
      </c>
      <c r="C1537" s="224">
        <v>615537400</v>
      </c>
      <c r="D1537" s="224" t="s">
        <v>734</v>
      </c>
      <c r="E1537" s="224" t="s">
        <v>735</v>
      </c>
      <c r="F1537" s="224" t="s">
        <v>851</v>
      </c>
      <c r="G1537" s="224" t="s">
        <v>772</v>
      </c>
      <c r="H1537" s="224"/>
      <c r="I1537" s="229">
        <v>0</v>
      </c>
      <c r="J1537" s="229">
        <v>0</v>
      </c>
      <c r="K1537" s="229">
        <v>0</v>
      </c>
      <c r="L1537" s="229">
        <v>0</v>
      </c>
      <c r="M1537" s="229">
        <v>0</v>
      </c>
      <c r="N1537" s="229">
        <v>0</v>
      </c>
      <c r="O1537" s="229">
        <v>0</v>
      </c>
      <c r="P1537" s="229">
        <v>0</v>
      </c>
      <c r="Q1537" s="279">
        <v>0</v>
      </c>
    </row>
    <row r="1538" spans="1:17" customFormat="1">
      <c r="A1538" s="224">
        <v>4</v>
      </c>
      <c r="B1538" s="224">
        <v>6155375</v>
      </c>
      <c r="C1538" s="224">
        <v>615537583</v>
      </c>
      <c r="D1538" s="224" t="s">
        <v>734</v>
      </c>
      <c r="E1538" s="224" t="s">
        <v>735</v>
      </c>
      <c r="F1538" s="224" t="s">
        <v>851</v>
      </c>
      <c r="G1538" s="224" t="s">
        <v>773</v>
      </c>
      <c r="H1538" s="224" t="s">
        <v>75</v>
      </c>
      <c r="I1538" s="229">
        <v>59382913</v>
      </c>
      <c r="J1538" s="229">
        <v>0</v>
      </c>
      <c r="K1538" s="229">
        <v>0</v>
      </c>
      <c r="L1538" s="229">
        <v>0</v>
      </c>
      <c r="M1538" s="229">
        <v>0</v>
      </c>
      <c r="N1538" s="229">
        <v>59382913</v>
      </c>
      <c r="O1538" s="229">
        <v>0</v>
      </c>
      <c r="P1538" s="229">
        <v>0</v>
      </c>
      <c r="Q1538" s="279">
        <v>0</v>
      </c>
    </row>
    <row r="1539" spans="1:17" customFormat="1">
      <c r="A1539" s="224">
        <v>4</v>
      </c>
      <c r="B1539" s="224">
        <v>6155375</v>
      </c>
      <c r="C1539" s="224">
        <v>615537584</v>
      </c>
      <c r="D1539" s="224" t="s">
        <v>734</v>
      </c>
      <c r="E1539" s="224" t="s">
        <v>735</v>
      </c>
      <c r="F1539" s="224" t="s">
        <v>851</v>
      </c>
      <c r="G1539" s="224" t="s">
        <v>773</v>
      </c>
      <c r="H1539" s="224" t="s">
        <v>774</v>
      </c>
      <c r="I1539" s="229">
        <v>0</v>
      </c>
      <c r="J1539" s="229">
        <v>0</v>
      </c>
      <c r="K1539" s="229">
        <v>0</v>
      </c>
      <c r="L1539" s="229">
        <v>0</v>
      </c>
      <c r="M1539" s="229">
        <v>0</v>
      </c>
      <c r="N1539" s="229">
        <v>0</v>
      </c>
      <c r="O1539" s="229">
        <v>0</v>
      </c>
      <c r="P1539" s="229">
        <v>0</v>
      </c>
      <c r="Q1539" s="279">
        <v>0</v>
      </c>
    </row>
    <row r="1540" spans="1:17" customFormat="1">
      <c r="A1540" s="224">
        <v>4</v>
      </c>
      <c r="B1540" s="224">
        <v>6155375</v>
      </c>
      <c r="C1540" s="224">
        <v>615537585</v>
      </c>
      <c r="D1540" s="224" t="s">
        <v>734</v>
      </c>
      <c r="E1540" s="224" t="s">
        <v>735</v>
      </c>
      <c r="F1540" s="224" t="s">
        <v>851</v>
      </c>
      <c r="G1540" s="224" t="s">
        <v>773</v>
      </c>
      <c r="H1540" s="224" t="s">
        <v>775</v>
      </c>
      <c r="I1540" s="229">
        <v>16918900</v>
      </c>
      <c r="J1540" s="229">
        <v>0</v>
      </c>
      <c r="K1540" s="229">
        <v>0</v>
      </c>
      <c r="L1540" s="229">
        <v>0</v>
      </c>
      <c r="M1540" s="229">
        <v>0</v>
      </c>
      <c r="N1540" s="229">
        <v>16918900</v>
      </c>
      <c r="O1540" s="229">
        <v>0</v>
      </c>
      <c r="P1540" s="229">
        <v>0</v>
      </c>
      <c r="Q1540" s="279">
        <v>0</v>
      </c>
    </row>
    <row r="1541" spans="1:17" customFormat="1">
      <c r="A1541" s="224">
        <v>4</v>
      </c>
      <c r="B1541" s="224">
        <v>6155375</v>
      </c>
      <c r="C1541" s="224">
        <v>615537586</v>
      </c>
      <c r="D1541" s="224" t="s">
        <v>734</v>
      </c>
      <c r="E1541" s="224" t="s">
        <v>735</v>
      </c>
      <c r="F1541" s="224" t="s">
        <v>851</v>
      </c>
      <c r="G1541" s="224" t="s">
        <v>773</v>
      </c>
      <c r="H1541" s="224" t="s">
        <v>776</v>
      </c>
      <c r="I1541" s="229">
        <v>2450800</v>
      </c>
      <c r="J1541" s="229">
        <v>0</v>
      </c>
      <c r="K1541" s="229">
        <v>0</v>
      </c>
      <c r="L1541" s="229">
        <v>0</v>
      </c>
      <c r="M1541" s="229">
        <v>0</v>
      </c>
      <c r="N1541" s="229">
        <v>2450800</v>
      </c>
      <c r="O1541" s="229">
        <v>0</v>
      </c>
      <c r="P1541" s="229">
        <v>0</v>
      </c>
      <c r="Q1541" s="279">
        <v>0</v>
      </c>
    </row>
    <row r="1542" spans="1:17" customFormat="1">
      <c r="A1542" s="224">
        <v>4</v>
      </c>
      <c r="B1542" s="224">
        <v>6155375</v>
      </c>
      <c r="C1542" s="224">
        <v>615537587</v>
      </c>
      <c r="D1542" s="224" t="s">
        <v>734</v>
      </c>
      <c r="E1542" s="224" t="s">
        <v>735</v>
      </c>
      <c r="F1542" s="224" t="s">
        <v>851</v>
      </c>
      <c r="G1542" s="224" t="s">
        <v>773</v>
      </c>
      <c r="H1542" s="224" t="s">
        <v>665</v>
      </c>
      <c r="I1542" s="229">
        <v>0</v>
      </c>
      <c r="J1542" s="229">
        <v>0</v>
      </c>
      <c r="K1542" s="229">
        <v>0</v>
      </c>
      <c r="L1542" s="229">
        <v>0</v>
      </c>
      <c r="M1542" s="229">
        <v>0</v>
      </c>
      <c r="N1542" s="229">
        <v>0</v>
      </c>
      <c r="O1542" s="229">
        <v>0</v>
      </c>
      <c r="P1542" s="229">
        <v>0</v>
      </c>
      <c r="Q1542" s="279">
        <v>0</v>
      </c>
    </row>
    <row r="1543" spans="1:17" customFormat="1">
      <c r="A1543" s="224">
        <v>4</v>
      </c>
      <c r="B1543" s="224">
        <v>6155375</v>
      </c>
      <c r="C1543" s="224">
        <v>615537588</v>
      </c>
      <c r="D1543" s="224" t="s">
        <v>734</v>
      </c>
      <c r="E1543" s="224" t="s">
        <v>735</v>
      </c>
      <c r="F1543" s="224" t="s">
        <v>851</v>
      </c>
      <c r="G1543" s="224" t="s">
        <v>773</v>
      </c>
      <c r="H1543" s="224" t="s">
        <v>73</v>
      </c>
      <c r="I1543" s="229">
        <v>5780</v>
      </c>
      <c r="J1543" s="229">
        <v>0</v>
      </c>
      <c r="K1543" s="229">
        <v>0</v>
      </c>
      <c r="L1543" s="229">
        <v>0</v>
      </c>
      <c r="M1543" s="229">
        <v>0</v>
      </c>
      <c r="N1543" s="229">
        <v>0</v>
      </c>
      <c r="O1543" s="229">
        <v>5780</v>
      </c>
      <c r="P1543" s="229">
        <v>0</v>
      </c>
      <c r="Q1543" s="279">
        <v>0</v>
      </c>
    </row>
    <row r="1544" spans="1:17" customFormat="1">
      <c r="A1544" s="224">
        <v>4</v>
      </c>
      <c r="B1544" s="224">
        <v>6160101</v>
      </c>
      <c r="C1544" s="224">
        <v>616010100</v>
      </c>
      <c r="D1544" s="224" t="s">
        <v>734</v>
      </c>
      <c r="E1544" s="224" t="s">
        <v>788</v>
      </c>
      <c r="F1544" s="224" t="s">
        <v>789</v>
      </c>
      <c r="G1544" s="224" t="s">
        <v>789</v>
      </c>
      <c r="H1544" s="224"/>
      <c r="I1544" s="229">
        <v>7354796</v>
      </c>
      <c r="J1544" s="229">
        <v>0</v>
      </c>
      <c r="K1544" s="229">
        <v>0</v>
      </c>
      <c r="L1544" s="229">
        <v>0</v>
      </c>
      <c r="M1544" s="229">
        <v>0</v>
      </c>
      <c r="N1544" s="229">
        <v>0</v>
      </c>
      <c r="O1544" s="229">
        <v>0</v>
      </c>
      <c r="P1544" s="229">
        <v>7354796</v>
      </c>
      <c r="Q1544" s="279">
        <v>0</v>
      </c>
    </row>
    <row r="1545" spans="1:17" customFormat="1">
      <c r="A1545" s="224">
        <v>4</v>
      </c>
      <c r="B1545" s="224">
        <v>6160303</v>
      </c>
      <c r="C1545" s="224">
        <v>616030300</v>
      </c>
      <c r="D1545" s="224" t="s">
        <v>734</v>
      </c>
      <c r="E1545" s="224" t="s">
        <v>788</v>
      </c>
      <c r="F1545" s="224" t="s">
        <v>791</v>
      </c>
      <c r="G1545" s="224" t="s">
        <v>791</v>
      </c>
      <c r="H1545" s="224"/>
      <c r="I1545" s="229">
        <v>0</v>
      </c>
      <c r="J1545" s="229">
        <v>0</v>
      </c>
      <c r="K1545" s="229">
        <v>0</v>
      </c>
      <c r="L1545" s="229">
        <v>0</v>
      </c>
      <c r="M1545" s="229">
        <v>0</v>
      </c>
      <c r="N1545" s="229">
        <v>0</v>
      </c>
      <c r="O1545" s="229">
        <v>0</v>
      </c>
      <c r="P1545" s="229">
        <v>0</v>
      </c>
      <c r="Q1545" s="279">
        <v>0</v>
      </c>
    </row>
    <row r="1546" spans="1:17" customFormat="1">
      <c r="A1546" s="224">
        <v>4</v>
      </c>
      <c r="B1546" s="224">
        <v>6170220</v>
      </c>
      <c r="C1546" s="224">
        <v>617022000</v>
      </c>
      <c r="D1546" s="224" t="s">
        <v>734</v>
      </c>
      <c r="E1546" s="224" t="s">
        <v>792</v>
      </c>
      <c r="F1546" s="224" t="s">
        <v>793</v>
      </c>
      <c r="G1546" s="224" t="s">
        <v>794</v>
      </c>
      <c r="H1546" s="224"/>
      <c r="I1546" s="229">
        <v>520000</v>
      </c>
      <c r="J1546" s="229">
        <v>0</v>
      </c>
      <c r="K1546" s="229">
        <v>0</v>
      </c>
      <c r="L1546" s="229">
        <v>0</v>
      </c>
      <c r="M1546" s="229">
        <v>0</v>
      </c>
      <c r="N1546" s="229">
        <v>0</v>
      </c>
      <c r="O1546" s="229">
        <v>0</v>
      </c>
      <c r="P1546" s="229">
        <v>520000</v>
      </c>
      <c r="Q1546" s="279">
        <v>0</v>
      </c>
    </row>
    <row r="1547" spans="1:17" customFormat="1">
      <c r="A1547" s="224">
        <v>4</v>
      </c>
      <c r="B1547" s="224">
        <v>6170222</v>
      </c>
      <c r="C1547" s="224">
        <v>617022200</v>
      </c>
      <c r="D1547" s="224" t="s">
        <v>734</v>
      </c>
      <c r="E1547" s="224" t="s">
        <v>792</v>
      </c>
      <c r="F1547" s="224" t="s">
        <v>793</v>
      </c>
      <c r="G1547" s="224" t="s">
        <v>795</v>
      </c>
      <c r="H1547" s="224"/>
      <c r="I1547" s="229">
        <v>0</v>
      </c>
      <c r="J1547" s="229">
        <v>0</v>
      </c>
      <c r="K1547" s="229">
        <v>0</v>
      </c>
      <c r="L1547" s="229">
        <v>0</v>
      </c>
      <c r="M1547" s="229">
        <v>0</v>
      </c>
      <c r="N1547" s="229">
        <v>0</v>
      </c>
      <c r="O1547" s="229">
        <v>0</v>
      </c>
      <c r="P1547" s="229">
        <v>0</v>
      </c>
      <c r="Q1547" s="279">
        <v>0</v>
      </c>
    </row>
    <row r="1548" spans="1:17" customFormat="1">
      <c r="A1548" s="224">
        <v>4</v>
      </c>
      <c r="B1548" s="224">
        <v>6170224</v>
      </c>
      <c r="C1548" s="224">
        <v>617022400</v>
      </c>
      <c r="D1548" s="224" t="s">
        <v>734</v>
      </c>
      <c r="E1548" s="224" t="s">
        <v>792</v>
      </c>
      <c r="F1548" s="224" t="s">
        <v>793</v>
      </c>
      <c r="G1548" s="224" t="s">
        <v>796</v>
      </c>
      <c r="H1548" s="224"/>
      <c r="I1548" s="229">
        <v>0</v>
      </c>
      <c r="J1548" s="229">
        <v>0</v>
      </c>
      <c r="K1548" s="229">
        <v>0</v>
      </c>
      <c r="L1548" s="229">
        <v>0</v>
      </c>
      <c r="M1548" s="229">
        <v>0</v>
      </c>
      <c r="N1548" s="229">
        <v>0</v>
      </c>
      <c r="O1548" s="229">
        <v>0</v>
      </c>
      <c r="P1548" s="229">
        <v>0</v>
      </c>
      <c r="Q1548" s="279">
        <v>0</v>
      </c>
    </row>
    <row r="1549" spans="1:17" customFormat="1">
      <c r="A1549" s="224">
        <v>4</v>
      </c>
      <c r="B1549" s="224">
        <v>6170303</v>
      </c>
      <c r="C1549" s="224">
        <v>617030300</v>
      </c>
      <c r="D1549" s="224" t="s">
        <v>734</v>
      </c>
      <c r="E1549" s="224" t="s">
        <v>792</v>
      </c>
      <c r="F1549" s="224" t="s">
        <v>797</v>
      </c>
      <c r="G1549" s="224" t="s">
        <v>797</v>
      </c>
      <c r="H1549" s="224"/>
      <c r="I1549" s="229">
        <v>0</v>
      </c>
      <c r="J1549" s="229">
        <v>0</v>
      </c>
      <c r="K1549" s="229">
        <v>0</v>
      </c>
      <c r="L1549" s="229">
        <v>0</v>
      </c>
      <c r="M1549" s="229">
        <v>0</v>
      </c>
      <c r="N1549" s="229">
        <v>0</v>
      </c>
      <c r="O1549" s="229">
        <v>0</v>
      </c>
      <c r="P1549" s="229">
        <v>0</v>
      </c>
      <c r="Q1549" s="279">
        <v>0</v>
      </c>
    </row>
    <row r="1550" spans="1:17" customFormat="1">
      <c r="A1550" s="224">
        <v>4</v>
      </c>
      <c r="B1550" s="224">
        <v>6170401</v>
      </c>
      <c r="C1550" s="224">
        <v>617040100</v>
      </c>
      <c r="D1550" s="224" t="s">
        <v>734</v>
      </c>
      <c r="E1550" s="224" t="s">
        <v>792</v>
      </c>
      <c r="F1550" s="224" t="s">
        <v>791</v>
      </c>
      <c r="G1550" s="224" t="s">
        <v>798</v>
      </c>
      <c r="H1550" s="224"/>
      <c r="I1550" s="229">
        <v>0</v>
      </c>
      <c r="J1550" s="229">
        <v>0</v>
      </c>
      <c r="K1550" s="229">
        <v>0</v>
      </c>
      <c r="L1550" s="229">
        <v>0</v>
      </c>
      <c r="M1550" s="229">
        <v>0</v>
      </c>
      <c r="N1550" s="229">
        <v>0</v>
      </c>
      <c r="O1550" s="229">
        <v>0</v>
      </c>
      <c r="P1550" s="229">
        <v>0</v>
      </c>
      <c r="Q1550" s="279">
        <v>0</v>
      </c>
    </row>
    <row r="1551" spans="1:17" customFormat="1">
      <c r="A1551" s="224">
        <v>4</v>
      </c>
      <c r="B1551" s="224">
        <v>6170402</v>
      </c>
      <c r="C1551" s="224">
        <v>617040200</v>
      </c>
      <c r="D1551" s="224" t="s">
        <v>734</v>
      </c>
      <c r="E1551" s="224" t="s">
        <v>792</v>
      </c>
      <c r="F1551" s="224" t="s">
        <v>791</v>
      </c>
      <c r="G1551" s="224" t="s">
        <v>799</v>
      </c>
      <c r="H1551" s="224"/>
      <c r="I1551" s="229">
        <v>0</v>
      </c>
      <c r="J1551" s="229">
        <v>0</v>
      </c>
      <c r="K1551" s="229">
        <v>0</v>
      </c>
      <c r="L1551" s="229">
        <v>0</v>
      </c>
      <c r="M1551" s="229">
        <v>0</v>
      </c>
      <c r="N1551" s="229">
        <v>0</v>
      </c>
      <c r="O1551" s="229">
        <v>0</v>
      </c>
      <c r="P1551" s="229">
        <v>0</v>
      </c>
      <c r="Q1551" s="279">
        <v>0</v>
      </c>
    </row>
    <row r="1552" spans="1:17" customFormat="1">
      <c r="A1552" s="224">
        <v>4</v>
      </c>
      <c r="B1552" s="224">
        <v>6170403</v>
      </c>
      <c r="C1552" s="224">
        <v>617040300</v>
      </c>
      <c r="D1552" s="224" t="s">
        <v>734</v>
      </c>
      <c r="E1552" s="224" t="s">
        <v>792</v>
      </c>
      <c r="F1552" s="224" t="s">
        <v>791</v>
      </c>
      <c r="G1552" s="224" t="s">
        <v>800</v>
      </c>
      <c r="H1552" s="224"/>
      <c r="I1552" s="229">
        <v>0</v>
      </c>
      <c r="J1552" s="229">
        <v>0</v>
      </c>
      <c r="K1552" s="229">
        <v>0</v>
      </c>
      <c r="L1552" s="229">
        <v>0</v>
      </c>
      <c r="M1552" s="229">
        <v>0</v>
      </c>
      <c r="N1552" s="229">
        <v>0</v>
      </c>
      <c r="O1552" s="229">
        <v>0</v>
      </c>
      <c r="P1552" s="229">
        <v>0</v>
      </c>
      <c r="Q1552" s="279">
        <v>0</v>
      </c>
    </row>
    <row r="1553" spans="1:17" customFormat="1">
      <c r="A1553" s="224">
        <v>4</v>
      </c>
      <c r="B1553" s="224">
        <v>6181212</v>
      </c>
      <c r="C1553" s="224">
        <v>618121200</v>
      </c>
      <c r="D1553" s="224" t="s">
        <v>734</v>
      </c>
      <c r="E1553" s="224" t="s">
        <v>801</v>
      </c>
      <c r="F1553" s="224" t="s">
        <v>501</v>
      </c>
      <c r="G1553" s="224" t="s">
        <v>501</v>
      </c>
      <c r="H1553" s="224"/>
      <c r="I1553" s="229">
        <v>0</v>
      </c>
      <c r="J1553" s="229">
        <v>0</v>
      </c>
      <c r="K1553" s="229">
        <v>0</v>
      </c>
      <c r="L1553" s="229">
        <v>0</v>
      </c>
      <c r="M1553" s="229">
        <v>0</v>
      </c>
      <c r="N1553" s="229">
        <v>0</v>
      </c>
      <c r="O1553" s="229">
        <v>0</v>
      </c>
      <c r="P1553" s="229">
        <v>0</v>
      </c>
      <c r="Q1553" s="279">
        <v>0</v>
      </c>
    </row>
    <row r="1554" spans="1:17" customFormat="1">
      <c r="A1554" s="224">
        <v>4</v>
      </c>
      <c r="B1554" s="224">
        <v>6181414</v>
      </c>
      <c r="C1554" s="224">
        <v>618141400</v>
      </c>
      <c r="D1554" s="224" t="s">
        <v>734</v>
      </c>
      <c r="E1554" s="224" t="s">
        <v>801</v>
      </c>
      <c r="F1554" s="224" t="s">
        <v>802</v>
      </c>
      <c r="G1554" s="224" t="s">
        <v>802</v>
      </c>
      <c r="H1554" s="224"/>
      <c r="I1554" s="229">
        <v>0</v>
      </c>
      <c r="J1554" s="229">
        <v>0</v>
      </c>
      <c r="K1554" s="229">
        <v>0</v>
      </c>
      <c r="L1554" s="229">
        <v>0</v>
      </c>
      <c r="M1554" s="229">
        <v>0</v>
      </c>
      <c r="N1554" s="229">
        <v>0</v>
      </c>
      <c r="O1554" s="229">
        <v>0</v>
      </c>
      <c r="P1554" s="229">
        <v>0</v>
      </c>
      <c r="Q1554" s="279">
        <v>0</v>
      </c>
    </row>
    <row r="1555" spans="1:17" customFormat="1">
      <c r="A1555" s="224">
        <v>4</v>
      </c>
      <c r="B1555" s="224">
        <v>6182020</v>
      </c>
      <c r="C1555" s="224">
        <v>618202000</v>
      </c>
      <c r="D1555" s="224" t="s">
        <v>734</v>
      </c>
      <c r="E1555" s="224" t="s">
        <v>801</v>
      </c>
      <c r="F1555" s="224" t="s">
        <v>803</v>
      </c>
      <c r="G1555" s="224" t="s">
        <v>803</v>
      </c>
      <c r="H1555" s="224"/>
      <c r="I1555" s="229">
        <v>0</v>
      </c>
      <c r="J1555" s="229">
        <v>0</v>
      </c>
      <c r="K1555" s="229">
        <v>0</v>
      </c>
      <c r="L1555" s="229">
        <v>0</v>
      </c>
      <c r="M1555" s="229">
        <v>0</v>
      </c>
      <c r="N1555" s="229">
        <v>0</v>
      </c>
      <c r="O1555" s="229">
        <v>0</v>
      </c>
      <c r="P1555" s="229">
        <v>0</v>
      </c>
      <c r="Q1555" s="279">
        <v>0</v>
      </c>
    </row>
    <row r="1556" spans="1:17" customFormat="1">
      <c r="A1556" s="224">
        <v>4</v>
      </c>
      <c r="B1556" s="224">
        <v>6190101</v>
      </c>
      <c r="C1556" s="224">
        <v>619010100</v>
      </c>
      <c r="D1556" s="224" t="s">
        <v>734</v>
      </c>
      <c r="E1556" s="224" t="s">
        <v>804</v>
      </c>
      <c r="F1556" s="224" t="s">
        <v>804</v>
      </c>
      <c r="G1556" s="224" t="s">
        <v>804</v>
      </c>
      <c r="H1556" s="224"/>
      <c r="I1556" s="229">
        <v>0</v>
      </c>
      <c r="J1556" s="229">
        <v>0</v>
      </c>
      <c r="K1556" s="229">
        <v>0</v>
      </c>
      <c r="L1556" s="229">
        <v>0</v>
      </c>
      <c r="M1556" s="229">
        <v>0</v>
      </c>
      <c r="N1556" s="229">
        <v>0</v>
      </c>
      <c r="O1556" s="229">
        <v>0</v>
      </c>
      <c r="P1556" s="229">
        <v>0</v>
      </c>
      <c r="Q1556" s="279">
        <v>0</v>
      </c>
    </row>
    <row r="1557" spans="1:17" customFormat="1">
      <c r="A1557" s="224">
        <v>4</v>
      </c>
      <c r="B1557" s="224">
        <v>6200101</v>
      </c>
      <c r="C1557" s="224">
        <v>620010100</v>
      </c>
      <c r="D1557" s="224" t="s">
        <v>734</v>
      </c>
      <c r="E1557" s="224" t="s">
        <v>805</v>
      </c>
      <c r="F1557" s="224" t="s">
        <v>805</v>
      </c>
      <c r="G1557" s="224" t="s">
        <v>805</v>
      </c>
      <c r="H1557" s="224"/>
      <c r="I1557" s="229">
        <v>0</v>
      </c>
      <c r="J1557" s="229">
        <v>0</v>
      </c>
      <c r="K1557" s="229">
        <v>0</v>
      </c>
      <c r="L1557" s="229">
        <v>0</v>
      </c>
      <c r="M1557" s="229">
        <v>0</v>
      </c>
      <c r="N1557" s="229">
        <v>0</v>
      </c>
      <c r="O1557" s="229">
        <v>0</v>
      </c>
      <c r="P1557" s="229">
        <v>0</v>
      </c>
      <c r="Q1557" s="279">
        <v>0</v>
      </c>
    </row>
    <row r="1558" spans="1:17" customFormat="1">
      <c r="A1558" s="224">
        <v>4</v>
      </c>
      <c r="B1558" s="224">
        <v>6210101</v>
      </c>
      <c r="C1558" s="224">
        <v>621010100</v>
      </c>
      <c r="D1558" s="224" t="s">
        <v>734</v>
      </c>
      <c r="E1558" s="224" t="s">
        <v>806</v>
      </c>
      <c r="F1558" s="224" t="s">
        <v>807</v>
      </c>
      <c r="G1558" s="224" t="s">
        <v>807</v>
      </c>
      <c r="H1558" s="224"/>
      <c r="I1558" s="229">
        <v>0</v>
      </c>
      <c r="J1558" s="229">
        <v>0</v>
      </c>
      <c r="K1558" s="229">
        <v>0</v>
      </c>
      <c r="L1558" s="229">
        <v>0</v>
      </c>
      <c r="M1558" s="229">
        <v>0</v>
      </c>
      <c r="N1558" s="229">
        <v>0</v>
      </c>
      <c r="O1558" s="229">
        <v>0</v>
      </c>
      <c r="P1558" s="229">
        <v>0</v>
      </c>
      <c r="Q1558" s="279">
        <v>0</v>
      </c>
    </row>
    <row r="1559" spans="1:17" customFormat="1">
      <c r="A1559" s="224">
        <v>4</v>
      </c>
      <c r="B1559" s="224">
        <v>6900101</v>
      </c>
      <c r="C1559" s="224">
        <v>690010100</v>
      </c>
      <c r="D1559" s="224" t="s">
        <v>734</v>
      </c>
      <c r="E1559" s="224" t="s">
        <v>809</v>
      </c>
      <c r="F1559" s="224" t="s">
        <v>809</v>
      </c>
      <c r="G1559" s="224" t="s">
        <v>809</v>
      </c>
      <c r="H1559" s="224"/>
      <c r="I1559" s="229">
        <v>0</v>
      </c>
      <c r="J1559" s="229">
        <v>0</v>
      </c>
      <c r="K1559" s="229">
        <v>0</v>
      </c>
      <c r="L1559" s="229">
        <v>0</v>
      </c>
      <c r="M1559" s="229">
        <v>0</v>
      </c>
      <c r="N1559" s="229">
        <v>0</v>
      </c>
      <c r="O1559" s="229">
        <v>0</v>
      </c>
      <c r="P1559" s="229">
        <v>0</v>
      </c>
      <c r="Q1559" s="279">
        <v>0</v>
      </c>
    </row>
    <row r="1560" spans="1:17" customFormat="1">
      <c r="A1560" s="236">
        <v>4</v>
      </c>
      <c r="B1560" s="236">
        <v>8831643</v>
      </c>
      <c r="C1560" s="236">
        <v>883164301</v>
      </c>
      <c r="D1560" s="236" t="s">
        <v>538</v>
      </c>
      <c r="E1560" s="236" t="s">
        <v>539</v>
      </c>
      <c r="F1560" s="236" t="s">
        <v>821</v>
      </c>
      <c r="G1560" s="236" t="s">
        <v>824</v>
      </c>
      <c r="H1560" s="236" t="s">
        <v>688</v>
      </c>
      <c r="I1560" s="229">
        <v>0</v>
      </c>
      <c r="J1560" s="229">
        <v>0</v>
      </c>
      <c r="K1560" s="229">
        <v>0</v>
      </c>
      <c r="L1560" s="229">
        <v>0</v>
      </c>
      <c r="M1560" s="229">
        <v>0</v>
      </c>
      <c r="N1560" s="229">
        <v>0</v>
      </c>
      <c r="O1560" s="229">
        <v>0</v>
      </c>
      <c r="P1560" s="229">
        <v>0</v>
      </c>
      <c r="Q1560" s="279">
        <v>0</v>
      </c>
    </row>
    <row r="1561" spans="1:17" customFormat="1">
      <c r="A1561" s="224">
        <v>4</v>
      </c>
      <c r="B1561" s="224">
        <v>8831643</v>
      </c>
      <c r="C1561" s="224">
        <v>883164303</v>
      </c>
      <c r="D1561" s="224" t="s">
        <v>538</v>
      </c>
      <c r="E1561" s="224" t="s">
        <v>539</v>
      </c>
      <c r="F1561" s="224" t="s">
        <v>821</v>
      </c>
      <c r="G1561" s="224" t="s">
        <v>824</v>
      </c>
      <c r="H1561" s="224" t="s">
        <v>847</v>
      </c>
      <c r="I1561" s="229">
        <v>174406</v>
      </c>
      <c r="J1561" s="229">
        <v>0</v>
      </c>
      <c r="K1561" s="229">
        <v>0</v>
      </c>
      <c r="L1561" s="229">
        <v>0</v>
      </c>
      <c r="M1561" s="229">
        <v>0</v>
      </c>
      <c r="N1561" s="229">
        <v>0</v>
      </c>
      <c r="O1561" s="229">
        <v>0</v>
      </c>
      <c r="P1561" s="229">
        <v>174406</v>
      </c>
      <c r="Q1561" s="279">
        <v>0</v>
      </c>
    </row>
    <row r="1562" spans="1:17" customFormat="1">
      <c r="A1562" s="224">
        <v>4</v>
      </c>
      <c r="B1562" s="224">
        <v>8831901</v>
      </c>
      <c r="C1562" s="224">
        <v>883190102</v>
      </c>
      <c r="D1562" s="224" t="s">
        <v>538</v>
      </c>
      <c r="E1562" s="224" t="s">
        <v>539</v>
      </c>
      <c r="F1562" s="224" t="s">
        <v>542</v>
      </c>
      <c r="G1562" s="224" t="s">
        <v>112</v>
      </c>
      <c r="H1562" s="224" t="s">
        <v>737</v>
      </c>
      <c r="I1562" s="229">
        <v>0</v>
      </c>
      <c r="J1562" s="229">
        <v>0</v>
      </c>
      <c r="K1562" s="229">
        <v>0</v>
      </c>
      <c r="L1562" s="229">
        <v>0</v>
      </c>
      <c r="M1562" s="229">
        <v>0</v>
      </c>
      <c r="N1562" s="229">
        <v>0</v>
      </c>
      <c r="O1562" s="229">
        <v>0</v>
      </c>
      <c r="P1562" s="229">
        <v>0</v>
      </c>
      <c r="Q1562" s="279">
        <v>0</v>
      </c>
    </row>
    <row r="1563" spans="1:17" customFormat="1">
      <c r="A1563" s="224">
        <v>4</v>
      </c>
      <c r="B1563" s="224">
        <v>8831901</v>
      </c>
      <c r="C1563" s="224">
        <v>883190103</v>
      </c>
      <c r="D1563" s="224" t="s">
        <v>538</v>
      </c>
      <c r="E1563" s="224" t="s">
        <v>539</v>
      </c>
      <c r="F1563" s="224" t="s">
        <v>542</v>
      </c>
      <c r="G1563" s="224" t="s">
        <v>112</v>
      </c>
      <c r="H1563" s="224" t="s">
        <v>738</v>
      </c>
      <c r="I1563" s="229">
        <v>0</v>
      </c>
      <c r="J1563" s="229">
        <v>0</v>
      </c>
      <c r="K1563" s="229">
        <v>0</v>
      </c>
      <c r="L1563" s="229">
        <v>0</v>
      </c>
      <c r="M1563" s="229">
        <v>0</v>
      </c>
      <c r="N1563" s="229">
        <v>0</v>
      </c>
      <c r="O1563" s="229">
        <v>0</v>
      </c>
      <c r="P1563" s="229">
        <v>0</v>
      </c>
      <c r="Q1563" s="279">
        <v>0</v>
      </c>
    </row>
    <row r="1564" spans="1:17" customFormat="1">
      <c r="A1564" s="224">
        <v>4</v>
      </c>
      <c r="B1564" s="224">
        <v>8831901</v>
      </c>
      <c r="C1564" s="224">
        <v>883190104</v>
      </c>
      <c r="D1564" s="224" t="s">
        <v>538</v>
      </c>
      <c r="E1564" s="224" t="s">
        <v>539</v>
      </c>
      <c r="F1564" s="224" t="s">
        <v>542</v>
      </c>
      <c r="G1564" s="224" t="s">
        <v>112</v>
      </c>
      <c r="H1564" s="224" t="s">
        <v>739</v>
      </c>
      <c r="I1564" s="229">
        <v>0</v>
      </c>
      <c r="J1564" s="229">
        <v>0</v>
      </c>
      <c r="K1564" s="229">
        <v>0</v>
      </c>
      <c r="L1564" s="229">
        <v>0</v>
      </c>
      <c r="M1564" s="229">
        <v>0</v>
      </c>
      <c r="N1564" s="229">
        <v>0</v>
      </c>
      <c r="O1564" s="229">
        <v>0</v>
      </c>
      <c r="P1564" s="229">
        <v>0</v>
      </c>
      <c r="Q1564" s="279">
        <v>0</v>
      </c>
    </row>
    <row r="1565" spans="1:17" customFormat="1">
      <c r="A1565" s="236">
        <v>4</v>
      </c>
      <c r="B1565" s="236">
        <v>8831901</v>
      </c>
      <c r="C1565" s="236">
        <v>883190105</v>
      </c>
      <c r="D1565" s="236" t="s">
        <v>538</v>
      </c>
      <c r="E1565" s="236" t="s">
        <v>539</v>
      </c>
      <c r="F1565" s="236" t="s">
        <v>542</v>
      </c>
      <c r="G1565" s="236" t="s">
        <v>112</v>
      </c>
      <c r="H1565" s="236" t="s">
        <v>740</v>
      </c>
      <c r="I1565" s="229">
        <v>0</v>
      </c>
      <c r="J1565" s="229">
        <v>0</v>
      </c>
      <c r="K1565" s="229">
        <v>0</v>
      </c>
      <c r="L1565" s="229">
        <v>0</v>
      </c>
      <c r="M1565" s="229">
        <v>0</v>
      </c>
      <c r="N1565" s="229">
        <v>0</v>
      </c>
      <c r="O1565" s="229">
        <v>0</v>
      </c>
      <c r="P1565" s="229">
        <v>0</v>
      </c>
      <c r="Q1565" s="279">
        <v>0</v>
      </c>
    </row>
    <row r="1566" spans="1:17" customFormat="1">
      <c r="A1566" s="224">
        <v>4</v>
      </c>
      <c r="B1566" s="224">
        <v>8831902</v>
      </c>
      <c r="C1566" s="224">
        <v>883190202</v>
      </c>
      <c r="D1566" s="224" t="s">
        <v>538</v>
      </c>
      <c r="E1566" s="224" t="s">
        <v>539</v>
      </c>
      <c r="F1566" s="224" t="s">
        <v>542</v>
      </c>
      <c r="G1566" s="224" t="s">
        <v>110</v>
      </c>
      <c r="H1566" s="224" t="s">
        <v>741</v>
      </c>
      <c r="I1566" s="229">
        <v>0</v>
      </c>
      <c r="J1566" s="229">
        <v>0</v>
      </c>
      <c r="K1566" s="229">
        <v>0</v>
      </c>
      <c r="L1566" s="229">
        <v>0</v>
      </c>
      <c r="M1566" s="229">
        <v>0</v>
      </c>
      <c r="N1566" s="229">
        <v>0</v>
      </c>
      <c r="O1566" s="229">
        <v>0</v>
      </c>
      <c r="P1566" s="229">
        <v>0</v>
      </c>
      <c r="Q1566" s="279">
        <v>0</v>
      </c>
    </row>
    <row r="1567" spans="1:17" customFormat="1">
      <c r="A1567" s="224">
        <v>4</v>
      </c>
      <c r="B1567" s="224">
        <v>8831903</v>
      </c>
      <c r="C1567" s="224">
        <v>883190301</v>
      </c>
      <c r="D1567" s="224" t="s">
        <v>538</v>
      </c>
      <c r="E1567" s="224" t="s">
        <v>539</v>
      </c>
      <c r="F1567" s="224" t="s">
        <v>542</v>
      </c>
      <c r="G1567" s="224" t="s">
        <v>108</v>
      </c>
      <c r="H1567" s="224" t="s">
        <v>742</v>
      </c>
      <c r="I1567" s="229">
        <v>0</v>
      </c>
      <c r="J1567" s="229">
        <v>0</v>
      </c>
      <c r="K1567" s="229">
        <v>0</v>
      </c>
      <c r="L1567" s="229">
        <v>0</v>
      </c>
      <c r="M1567" s="229">
        <v>0</v>
      </c>
      <c r="N1567" s="229">
        <v>0</v>
      </c>
      <c r="O1567" s="229">
        <v>0</v>
      </c>
      <c r="P1567" s="229">
        <v>0</v>
      </c>
      <c r="Q1567" s="279">
        <v>0</v>
      </c>
    </row>
    <row r="1568" spans="1:17" customFormat="1">
      <c r="A1568" s="224">
        <v>4</v>
      </c>
      <c r="B1568" s="224">
        <v>8831903</v>
      </c>
      <c r="C1568" s="224">
        <v>883190302</v>
      </c>
      <c r="D1568" s="224" t="s">
        <v>538</v>
      </c>
      <c r="E1568" s="224" t="s">
        <v>539</v>
      </c>
      <c r="F1568" s="224" t="s">
        <v>542</v>
      </c>
      <c r="G1568" s="224" t="s">
        <v>108</v>
      </c>
      <c r="H1568" s="224" t="s">
        <v>743</v>
      </c>
      <c r="I1568" s="229">
        <v>0</v>
      </c>
      <c r="J1568" s="229">
        <v>0</v>
      </c>
      <c r="K1568" s="229">
        <v>0</v>
      </c>
      <c r="L1568" s="229">
        <v>0</v>
      </c>
      <c r="M1568" s="229">
        <v>0</v>
      </c>
      <c r="N1568" s="229">
        <v>0</v>
      </c>
      <c r="O1568" s="229">
        <v>0</v>
      </c>
      <c r="P1568" s="229">
        <v>0</v>
      </c>
      <c r="Q1568" s="279">
        <v>0</v>
      </c>
    </row>
    <row r="1569" spans="1:17" customFormat="1">
      <c r="A1569" s="224">
        <v>4</v>
      </c>
      <c r="B1569" s="224">
        <v>8831903</v>
      </c>
      <c r="C1569" s="224">
        <v>883190303</v>
      </c>
      <c r="D1569" s="224" t="s">
        <v>538</v>
      </c>
      <c r="E1569" s="224" t="s">
        <v>539</v>
      </c>
      <c r="F1569" s="224" t="s">
        <v>542</v>
      </c>
      <c r="G1569" s="224" t="s">
        <v>108</v>
      </c>
      <c r="H1569" s="224" t="s">
        <v>744</v>
      </c>
      <c r="I1569" s="229">
        <v>0</v>
      </c>
      <c r="J1569" s="229">
        <v>0</v>
      </c>
      <c r="K1569" s="229">
        <v>0</v>
      </c>
      <c r="L1569" s="229">
        <v>0</v>
      </c>
      <c r="M1569" s="229">
        <v>0</v>
      </c>
      <c r="N1569" s="229">
        <v>0</v>
      </c>
      <c r="O1569" s="229">
        <v>0</v>
      </c>
      <c r="P1569" s="229">
        <v>0</v>
      </c>
      <c r="Q1569" s="279">
        <v>0</v>
      </c>
    </row>
    <row r="1570" spans="1:17" customFormat="1">
      <c r="A1570" s="224">
        <v>4</v>
      </c>
      <c r="B1570" s="224">
        <v>8831903</v>
      </c>
      <c r="C1570" s="224">
        <v>883190304</v>
      </c>
      <c r="D1570" s="224" t="s">
        <v>538</v>
      </c>
      <c r="E1570" s="224" t="s">
        <v>539</v>
      </c>
      <c r="F1570" s="224" t="s">
        <v>542</v>
      </c>
      <c r="G1570" s="224" t="s">
        <v>108</v>
      </c>
      <c r="H1570" s="224" t="s">
        <v>745</v>
      </c>
      <c r="I1570" s="229">
        <v>0</v>
      </c>
      <c r="J1570" s="229">
        <v>0</v>
      </c>
      <c r="K1570" s="229">
        <v>0</v>
      </c>
      <c r="L1570" s="229">
        <v>0</v>
      </c>
      <c r="M1570" s="229">
        <v>0</v>
      </c>
      <c r="N1570" s="229">
        <v>0</v>
      </c>
      <c r="O1570" s="229">
        <v>0</v>
      </c>
      <c r="P1570" s="229">
        <v>0</v>
      </c>
      <c r="Q1570" s="279">
        <v>0</v>
      </c>
    </row>
    <row r="1571" spans="1:17" customFormat="1">
      <c r="A1571" s="224">
        <v>4</v>
      </c>
      <c r="B1571" s="224">
        <v>8831903</v>
      </c>
      <c r="C1571" s="224">
        <v>883190305</v>
      </c>
      <c r="D1571" s="224" t="s">
        <v>538</v>
      </c>
      <c r="E1571" s="224" t="s">
        <v>539</v>
      </c>
      <c r="F1571" s="224" t="s">
        <v>542</v>
      </c>
      <c r="G1571" s="224" t="s">
        <v>108</v>
      </c>
      <c r="H1571" s="224" t="s">
        <v>746</v>
      </c>
      <c r="I1571" s="229">
        <v>0</v>
      </c>
      <c r="J1571" s="229">
        <v>0</v>
      </c>
      <c r="K1571" s="229">
        <v>0</v>
      </c>
      <c r="L1571" s="229">
        <v>0</v>
      </c>
      <c r="M1571" s="229">
        <v>0</v>
      </c>
      <c r="N1571" s="229">
        <v>0</v>
      </c>
      <c r="O1571" s="229">
        <v>0</v>
      </c>
      <c r="P1571" s="229">
        <v>0</v>
      </c>
      <c r="Q1571" s="279">
        <v>0</v>
      </c>
    </row>
    <row r="1572" spans="1:17" customFormat="1">
      <c r="A1572" s="224">
        <v>4</v>
      </c>
      <c r="B1572" s="224">
        <v>8831903</v>
      </c>
      <c r="C1572" s="224">
        <v>883190306</v>
      </c>
      <c r="D1572" s="224" t="s">
        <v>538</v>
      </c>
      <c r="E1572" s="224" t="s">
        <v>539</v>
      </c>
      <c r="F1572" s="224" t="s">
        <v>542</v>
      </c>
      <c r="G1572" s="224" t="s">
        <v>108</v>
      </c>
      <c r="H1572" s="224" t="s">
        <v>747</v>
      </c>
      <c r="I1572" s="229">
        <v>0</v>
      </c>
      <c r="J1572" s="229">
        <v>0</v>
      </c>
      <c r="K1572" s="229">
        <v>0</v>
      </c>
      <c r="L1572" s="229">
        <v>0</v>
      </c>
      <c r="M1572" s="229">
        <v>0</v>
      </c>
      <c r="N1572" s="229">
        <v>0</v>
      </c>
      <c r="O1572" s="229">
        <v>0</v>
      </c>
      <c r="P1572" s="229">
        <v>0</v>
      </c>
      <c r="Q1572" s="279">
        <v>0</v>
      </c>
    </row>
    <row r="1573" spans="1:17" customFormat="1">
      <c r="A1573" s="224">
        <v>4</v>
      </c>
      <c r="B1573" s="224">
        <v>8831903</v>
      </c>
      <c r="C1573" s="224">
        <v>883190307</v>
      </c>
      <c r="D1573" s="224" t="s">
        <v>538</v>
      </c>
      <c r="E1573" s="224" t="s">
        <v>539</v>
      </c>
      <c r="F1573" s="224" t="s">
        <v>542</v>
      </c>
      <c r="G1573" s="224" t="s">
        <v>108</v>
      </c>
      <c r="H1573" s="224" t="s">
        <v>748</v>
      </c>
      <c r="I1573" s="229">
        <v>0</v>
      </c>
      <c r="J1573" s="229">
        <v>0</v>
      </c>
      <c r="K1573" s="229">
        <v>0</v>
      </c>
      <c r="L1573" s="229">
        <v>0</v>
      </c>
      <c r="M1573" s="229">
        <v>0</v>
      </c>
      <c r="N1573" s="229">
        <v>0</v>
      </c>
      <c r="O1573" s="229">
        <v>0</v>
      </c>
      <c r="P1573" s="229">
        <v>0</v>
      </c>
      <c r="Q1573" s="279">
        <v>0</v>
      </c>
    </row>
    <row r="1574" spans="1:17" customFormat="1">
      <c r="A1574" s="224">
        <v>4</v>
      </c>
      <c r="B1574" s="224">
        <v>8831903</v>
      </c>
      <c r="C1574" s="224">
        <v>883190310</v>
      </c>
      <c r="D1574" s="224" t="s">
        <v>538</v>
      </c>
      <c r="E1574" s="224" t="s">
        <v>539</v>
      </c>
      <c r="F1574" s="224" t="s">
        <v>542</v>
      </c>
      <c r="G1574" s="224" t="s">
        <v>108</v>
      </c>
      <c r="H1574" s="224" t="s">
        <v>749</v>
      </c>
      <c r="I1574" s="229">
        <v>0</v>
      </c>
      <c r="J1574" s="229">
        <v>0</v>
      </c>
      <c r="K1574" s="229">
        <v>0</v>
      </c>
      <c r="L1574" s="229">
        <v>0</v>
      </c>
      <c r="M1574" s="229">
        <v>0</v>
      </c>
      <c r="N1574" s="229">
        <v>0</v>
      </c>
      <c r="O1574" s="229">
        <v>0</v>
      </c>
      <c r="P1574" s="229">
        <v>0</v>
      </c>
      <c r="Q1574" s="279">
        <v>0</v>
      </c>
    </row>
    <row r="1575" spans="1:17" customFormat="1">
      <c r="A1575" s="224">
        <v>4</v>
      </c>
      <c r="B1575" s="224">
        <v>8831903</v>
      </c>
      <c r="C1575" s="224">
        <v>883190311</v>
      </c>
      <c r="D1575" s="224" t="s">
        <v>538</v>
      </c>
      <c r="E1575" s="224" t="s">
        <v>539</v>
      </c>
      <c r="F1575" s="224" t="s">
        <v>542</v>
      </c>
      <c r="G1575" s="224" t="s">
        <v>108</v>
      </c>
      <c r="H1575" s="224" t="s">
        <v>750</v>
      </c>
      <c r="I1575" s="229">
        <v>0</v>
      </c>
      <c r="J1575" s="229">
        <v>0</v>
      </c>
      <c r="K1575" s="229">
        <v>0</v>
      </c>
      <c r="L1575" s="229">
        <v>0</v>
      </c>
      <c r="M1575" s="229">
        <v>0</v>
      </c>
      <c r="N1575" s="229">
        <v>0</v>
      </c>
      <c r="O1575" s="229">
        <v>0</v>
      </c>
      <c r="P1575" s="229">
        <v>0</v>
      </c>
      <c r="Q1575" s="279">
        <v>0</v>
      </c>
    </row>
    <row r="1576" spans="1:17" customFormat="1">
      <c r="A1576" s="224">
        <v>4</v>
      </c>
      <c r="B1576" s="224">
        <v>8831903</v>
      </c>
      <c r="C1576" s="224">
        <v>883190314</v>
      </c>
      <c r="D1576" s="224" t="s">
        <v>538</v>
      </c>
      <c r="E1576" s="224" t="s">
        <v>539</v>
      </c>
      <c r="F1576" s="224" t="s">
        <v>542</v>
      </c>
      <c r="G1576" s="224" t="s">
        <v>108</v>
      </c>
      <c r="H1576" s="224" t="s">
        <v>751</v>
      </c>
      <c r="I1576" s="229">
        <v>0</v>
      </c>
      <c r="J1576" s="229">
        <v>0</v>
      </c>
      <c r="K1576" s="229">
        <v>0</v>
      </c>
      <c r="L1576" s="229">
        <v>0</v>
      </c>
      <c r="M1576" s="229">
        <v>0</v>
      </c>
      <c r="N1576" s="229">
        <v>0</v>
      </c>
      <c r="O1576" s="229">
        <v>0</v>
      </c>
      <c r="P1576" s="229">
        <v>0</v>
      </c>
      <c r="Q1576" s="279">
        <v>0</v>
      </c>
    </row>
    <row r="1577" spans="1:17" customFormat="1">
      <c r="A1577" s="224">
        <v>4</v>
      </c>
      <c r="B1577" s="224">
        <v>8831903</v>
      </c>
      <c r="C1577" s="224">
        <v>883190315</v>
      </c>
      <c r="D1577" s="224" t="s">
        <v>538</v>
      </c>
      <c r="E1577" s="224" t="s">
        <v>539</v>
      </c>
      <c r="F1577" s="224" t="s">
        <v>542</v>
      </c>
      <c r="G1577" s="224" t="s">
        <v>108</v>
      </c>
      <c r="H1577" s="224" t="s">
        <v>752</v>
      </c>
      <c r="I1577" s="229">
        <v>0</v>
      </c>
      <c r="J1577" s="229">
        <v>0</v>
      </c>
      <c r="K1577" s="229">
        <v>0</v>
      </c>
      <c r="L1577" s="229">
        <v>0</v>
      </c>
      <c r="M1577" s="229">
        <v>0</v>
      </c>
      <c r="N1577" s="229">
        <v>0</v>
      </c>
      <c r="O1577" s="229">
        <v>0</v>
      </c>
      <c r="P1577" s="229">
        <v>0</v>
      </c>
      <c r="Q1577" s="279">
        <v>0</v>
      </c>
    </row>
    <row r="1578" spans="1:17" customFormat="1">
      <c r="A1578" s="224">
        <v>4</v>
      </c>
      <c r="B1578" s="224">
        <v>8831903</v>
      </c>
      <c r="C1578" s="224">
        <v>883190316</v>
      </c>
      <c r="D1578" s="224" t="s">
        <v>538</v>
      </c>
      <c r="E1578" s="224" t="s">
        <v>539</v>
      </c>
      <c r="F1578" s="224" t="s">
        <v>542</v>
      </c>
      <c r="G1578" s="224" t="s">
        <v>108</v>
      </c>
      <c r="H1578" s="224" t="s">
        <v>753</v>
      </c>
      <c r="I1578" s="229">
        <v>0</v>
      </c>
      <c r="J1578" s="229">
        <v>0</v>
      </c>
      <c r="K1578" s="229">
        <v>0</v>
      </c>
      <c r="L1578" s="229">
        <v>0</v>
      </c>
      <c r="M1578" s="229">
        <v>0</v>
      </c>
      <c r="N1578" s="229">
        <v>0</v>
      </c>
      <c r="O1578" s="229">
        <v>0</v>
      </c>
      <c r="P1578" s="229">
        <v>0</v>
      </c>
      <c r="Q1578" s="279">
        <v>0</v>
      </c>
    </row>
    <row r="1579" spans="1:17" customFormat="1">
      <c r="A1579" s="224">
        <v>4</v>
      </c>
      <c r="B1579" s="224">
        <v>8831904</v>
      </c>
      <c r="C1579" s="224">
        <v>883190401</v>
      </c>
      <c r="D1579" s="224" t="s">
        <v>538</v>
      </c>
      <c r="E1579" s="224" t="s">
        <v>539</v>
      </c>
      <c r="F1579" s="224" t="s">
        <v>542</v>
      </c>
      <c r="G1579" s="224" t="s">
        <v>106</v>
      </c>
      <c r="H1579" s="224" t="s">
        <v>755</v>
      </c>
      <c r="I1579" s="229">
        <v>0</v>
      </c>
      <c r="J1579" s="229">
        <v>0</v>
      </c>
      <c r="K1579" s="229">
        <v>0</v>
      </c>
      <c r="L1579" s="229">
        <v>0</v>
      </c>
      <c r="M1579" s="229">
        <v>0</v>
      </c>
      <c r="N1579" s="229">
        <v>0</v>
      </c>
      <c r="O1579" s="229">
        <v>0</v>
      </c>
      <c r="P1579" s="229">
        <v>0</v>
      </c>
      <c r="Q1579" s="279">
        <v>0</v>
      </c>
    </row>
    <row r="1580" spans="1:17" customFormat="1">
      <c r="A1580" s="224">
        <v>4</v>
      </c>
      <c r="B1580" s="224">
        <v>8831904</v>
      </c>
      <c r="C1580" s="224">
        <v>883190402</v>
      </c>
      <c r="D1580" s="224" t="s">
        <v>538</v>
      </c>
      <c r="E1580" s="224" t="s">
        <v>539</v>
      </c>
      <c r="F1580" s="224" t="s">
        <v>542</v>
      </c>
      <c r="G1580" s="224" t="s">
        <v>106</v>
      </c>
      <c r="H1580" s="224" t="s">
        <v>756</v>
      </c>
      <c r="I1580" s="229">
        <v>0</v>
      </c>
      <c r="J1580" s="229">
        <v>0</v>
      </c>
      <c r="K1580" s="229">
        <v>0</v>
      </c>
      <c r="L1580" s="229">
        <v>0</v>
      </c>
      <c r="M1580" s="229">
        <v>0</v>
      </c>
      <c r="N1580" s="229">
        <v>0</v>
      </c>
      <c r="O1580" s="229">
        <v>0</v>
      </c>
      <c r="P1580" s="229">
        <v>0</v>
      </c>
      <c r="Q1580" s="279">
        <v>0</v>
      </c>
    </row>
    <row r="1581" spans="1:17" customFormat="1">
      <c r="A1581" s="224">
        <v>4</v>
      </c>
      <c r="B1581" s="224">
        <v>8831904</v>
      </c>
      <c r="C1581" s="224">
        <v>883190403</v>
      </c>
      <c r="D1581" s="224" t="s">
        <v>538</v>
      </c>
      <c r="E1581" s="224" t="s">
        <v>539</v>
      </c>
      <c r="F1581" s="224" t="s">
        <v>542</v>
      </c>
      <c r="G1581" s="224" t="s">
        <v>106</v>
      </c>
      <c r="H1581" s="224" t="s">
        <v>757</v>
      </c>
      <c r="I1581" s="229">
        <v>0</v>
      </c>
      <c r="J1581" s="229">
        <v>0</v>
      </c>
      <c r="K1581" s="229">
        <v>0</v>
      </c>
      <c r="L1581" s="229">
        <v>0</v>
      </c>
      <c r="M1581" s="229">
        <v>0</v>
      </c>
      <c r="N1581" s="229">
        <v>0</v>
      </c>
      <c r="O1581" s="229">
        <v>0</v>
      </c>
      <c r="P1581" s="229">
        <v>0</v>
      </c>
      <c r="Q1581" s="279">
        <v>0</v>
      </c>
    </row>
    <row r="1582" spans="1:17" customFormat="1">
      <c r="A1582" s="224">
        <v>4</v>
      </c>
      <c r="B1582" s="224">
        <v>8831904</v>
      </c>
      <c r="C1582" s="224">
        <v>883190405</v>
      </c>
      <c r="D1582" s="224" t="s">
        <v>538</v>
      </c>
      <c r="E1582" s="224" t="s">
        <v>539</v>
      </c>
      <c r="F1582" s="224" t="s">
        <v>542</v>
      </c>
      <c r="G1582" s="224" t="s">
        <v>106</v>
      </c>
      <c r="H1582" s="224" t="s">
        <v>758</v>
      </c>
      <c r="I1582" s="229">
        <v>0</v>
      </c>
      <c r="J1582" s="229">
        <v>0</v>
      </c>
      <c r="K1582" s="229">
        <v>0</v>
      </c>
      <c r="L1582" s="229">
        <v>0</v>
      </c>
      <c r="M1582" s="229">
        <v>0</v>
      </c>
      <c r="N1582" s="229">
        <v>0</v>
      </c>
      <c r="O1582" s="229">
        <v>0</v>
      </c>
      <c r="P1582" s="229">
        <v>0</v>
      </c>
      <c r="Q1582" s="279">
        <v>0</v>
      </c>
    </row>
    <row r="1583" spans="1:17" customFormat="1">
      <c r="A1583" s="224">
        <v>4</v>
      </c>
      <c r="B1583" s="224">
        <v>8831904</v>
      </c>
      <c r="C1583" s="224">
        <v>883190406</v>
      </c>
      <c r="D1583" s="224" t="s">
        <v>538</v>
      </c>
      <c r="E1583" s="224" t="s">
        <v>539</v>
      </c>
      <c r="F1583" s="224" t="s">
        <v>542</v>
      </c>
      <c r="G1583" s="224" t="s">
        <v>106</v>
      </c>
      <c r="H1583" s="224" t="s">
        <v>759</v>
      </c>
      <c r="I1583" s="229">
        <v>0</v>
      </c>
      <c r="J1583" s="229">
        <v>0</v>
      </c>
      <c r="K1583" s="229">
        <v>0</v>
      </c>
      <c r="L1583" s="229">
        <v>0</v>
      </c>
      <c r="M1583" s="229">
        <v>0</v>
      </c>
      <c r="N1583" s="229">
        <v>0</v>
      </c>
      <c r="O1583" s="229">
        <v>0</v>
      </c>
      <c r="P1583" s="229">
        <v>0</v>
      </c>
      <c r="Q1583" s="279">
        <v>0</v>
      </c>
    </row>
    <row r="1584" spans="1:17" customFormat="1">
      <c r="A1584" s="224">
        <v>4</v>
      </c>
      <c r="B1584" s="224">
        <v>8831904</v>
      </c>
      <c r="C1584" s="224">
        <v>883190407</v>
      </c>
      <c r="D1584" s="224" t="s">
        <v>538</v>
      </c>
      <c r="E1584" s="224" t="s">
        <v>539</v>
      </c>
      <c r="F1584" s="224" t="s">
        <v>542</v>
      </c>
      <c r="G1584" s="224" t="s">
        <v>106</v>
      </c>
      <c r="H1584" s="224" t="s">
        <v>760</v>
      </c>
      <c r="I1584" s="229">
        <v>0</v>
      </c>
      <c r="J1584" s="229">
        <v>0</v>
      </c>
      <c r="K1584" s="229">
        <v>0</v>
      </c>
      <c r="L1584" s="229">
        <v>0</v>
      </c>
      <c r="M1584" s="229">
        <v>0</v>
      </c>
      <c r="N1584" s="229">
        <v>0</v>
      </c>
      <c r="O1584" s="229">
        <v>0</v>
      </c>
      <c r="P1584" s="229">
        <v>0</v>
      </c>
      <c r="Q1584" s="279">
        <v>0</v>
      </c>
    </row>
    <row r="1585" spans="1:17" customFormat="1">
      <c r="A1585" s="224">
        <v>4</v>
      </c>
      <c r="B1585" s="224">
        <v>8831904</v>
      </c>
      <c r="C1585" s="224">
        <v>883190408</v>
      </c>
      <c r="D1585" s="224" t="s">
        <v>538</v>
      </c>
      <c r="E1585" s="224" t="s">
        <v>539</v>
      </c>
      <c r="F1585" s="224" t="s">
        <v>542</v>
      </c>
      <c r="G1585" s="224" t="s">
        <v>106</v>
      </c>
      <c r="H1585" s="224" t="s">
        <v>761</v>
      </c>
      <c r="I1585" s="229">
        <v>0</v>
      </c>
      <c r="J1585" s="229">
        <v>0</v>
      </c>
      <c r="K1585" s="229">
        <v>0</v>
      </c>
      <c r="L1585" s="229">
        <v>0</v>
      </c>
      <c r="M1585" s="229">
        <v>0</v>
      </c>
      <c r="N1585" s="229">
        <v>0</v>
      </c>
      <c r="O1585" s="229">
        <v>0</v>
      </c>
      <c r="P1585" s="229">
        <v>0</v>
      </c>
      <c r="Q1585" s="279">
        <v>0</v>
      </c>
    </row>
    <row r="1586" spans="1:17" customFormat="1">
      <c r="A1586" s="224">
        <v>4</v>
      </c>
      <c r="B1586" s="224">
        <v>8831904</v>
      </c>
      <c r="C1586" s="224">
        <v>883190410</v>
      </c>
      <c r="D1586" s="224" t="s">
        <v>538</v>
      </c>
      <c r="E1586" s="224" t="s">
        <v>539</v>
      </c>
      <c r="F1586" s="224" t="s">
        <v>542</v>
      </c>
      <c r="G1586" s="224" t="s">
        <v>106</v>
      </c>
      <c r="H1586" s="224" t="s">
        <v>762</v>
      </c>
      <c r="I1586" s="229">
        <v>0</v>
      </c>
      <c r="J1586" s="229">
        <v>0</v>
      </c>
      <c r="K1586" s="229">
        <v>0</v>
      </c>
      <c r="L1586" s="229">
        <v>0</v>
      </c>
      <c r="M1586" s="229">
        <v>0</v>
      </c>
      <c r="N1586" s="229">
        <v>0</v>
      </c>
      <c r="O1586" s="229">
        <v>0</v>
      </c>
      <c r="P1586" s="229">
        <v>0</v>
      </c>
      <c r="Q1586" s="279">
        <v>0</v>
      </c>
    </row>
    <row r="1587" spans="1:17" customFormat="1">
      <c r="A1587" s="224">
        <v>4</v>
      </c>
      <c r="B1587" s="224">
        <v>8831904</v>
      </c>
      <c r="C1587" s="224">
        <v>883190411</v>
      </c>
      <c r="D1587" s="224" t="s">
        <v>538</v>
      </c>
      <c r="E1587" s="224" t="s">
        <v>539</v>
      </c>
      <c r="F1587" s="224" t="s">
        <v>542</v>
      </c>
      <c r="G1587" s="224" t="s">
        <v>106</v>
      </c>
      <c r="H1587" s="224" t="s">
        <v>763</v>
      </c>
      <c r="I1587" s="229">
        <v>0</v>
      </c>
      <c r="J1587" s="229">
        <v>0</v>
      </c>
      <c r="K1587" s="229">
        <v>0</v>
      </c>
      <c r="L1587" s="229">
        <v>0</v>
      </c>
      <c r="M1587" s="229">
        <v>0</v>
      </c>
      <c r="N1587" s="229">
        <v>0</v>
      </c>
      <c r="O1587" s="229">
        <v>0</v>
      </c>
      <c r="P1587" s="229">
        <v>0</v>
      </c>
      <c r="Q1587" s="279">
        <v>0</v>
      </c>
    </row>
    <row r="1588" spans="1:17" customFormat="1">
      <c r="A1588" s="224">
        <v>4</v>
      </c>
      <c r="B1588" s="224">
        <v>8831905</v>
      </c>
      <c r="C1588" s="224">
        <v>883190500</v>
      </c>
      <c r="D1588" s="224" t="s">
        <v>538</v>
      </c>
      <c r="E1588" s="224" t="s">
        <v>539</v>
      </c>
      <c r="F1588" s="224" t="s">
        <v>542</v>
      </c>
      <c r="G1588" s="224" t="s">
        <v>104</v>
      </c>
      <c r="H1588" s="224"/>
      <c r="I1588" s="229">
        <v>0</v>
      </c>
      <c r="J1588" s="229">
        <v>0</v>
      </c>
      <c r="K1588" s="229">
        <v>0</v>
      </c>
      <c r="L1588" s="229">
        <v>0</v>
      </c>
      <c r="M1588" s="229">
        <v>0</v>
      </c>
      <c r="N1588" s="229">
        <v>0</v>
      </c>
      <c r="O1588" s="229">
        <v>0</v>
      </c>
      <c r="P1588" s="229">
        <v>0</v>
      </c>
      <c r="Q1588" s="279">
        <v>0</v>
      </c>
    </row>
    <row r="1589" spans="1:17" customFormat="1">
      <c r="A1589" s="224">
        <v>4</v>
      </c>
      <c r="B1589" s="224">
        <v>8831907</v>
      </c>
      <c r="C1589" s="224">
        <v>883190700</v>
      </c>
      <c r="D1589" s="224" t="s">
        <v>538</v>
      </c>
      <c r="E1589" s="224" t="s">
        <v>539</v>
      </c>
      <c r="F1589" s="224" t="s">
        <v>542</v>
      </c>
      <c r="G1589" s="224" t="s">
        <v>102</v>
      </c>
      <c r="H1589" s="224"/>
      <c r="I1589" s="229">
        <v>0</v>
      </c>
      <c r="J1589" s="229">
        <v>0</v>
      </c>
      <c r="K1589" s="229">
        <v>0</v>
      </c>
      <c r="L1589" s="229">
        <v>0</v>
      </c>
      <c r="M1589" s="229">
        <v>0</v>
      </c>
      <c r="N1589" s="229">
        <v>0</v>
      </c>
      <c r="O1589" s="229">
        <v>0</v>
      </c>
      <c r="P1589" s="229">
        <v>0</v>
      </c>
      <c r="Q1589" s="279">
        <v>0</v>
      </c>
    </row>
    <row r="1590" spans="1:17" customFormat="1">
      <c r="A1590" s="224">
        <v>4</v>
      </c>
      <c r="B1590" s="224">
        <v>8831908</v>
      </c>
      <c r="C1590" s="224">
        <v>883190800</v>
      </c>
      <c r="D1590" s="224" t="s">
        <v>538</v>
      </c>
      <c r="E1590" s="224" t="s">
        <v>539</v>
      </c>
      <c r="F1590" s="224" t="s">
        <v>542</v>
      </c>
      <c r="G1590" s="224" t="s">
        <v>100</v>
      </c>
      <c r="H1590" s="224"/>
      <c r="I1590" s="229">
        <v>0</v>
      </c>
      <c r="J1590" s="229">
        <v>0</v>
      </c>
      <c r="K1590" s="229">
        <v>0</v>
      </c>
      <c r="L1590" s="229">
        <v>0</v>
      </c>
      <c r="M1590" s="229">
        <v>0</v>
      </c>
      <c r="N1590" s="229">
        <v>0</v>
      </c>
      <c r="O1590" s="229">
        <v>0</v>
      </c>
      <c r="P1590" s="229">
        <v>0</v>
      </c>
      <c r="Q1590" s="279">
        <v>0</v>
      </c>
    </row>
    <row r="1591" spans="1:17" customFormat="1">
      <c r="A1591" s="224">
        <v>4</v>
      </c>
      <c r="B1591" s="224">
        <v>8831910</v>
      </c>
      <c r="C1591" s="224">
        <v>883191001</v>
      </c>
      <c r="D1591" s="224" t="s">
        <v>538</v>
      </c>
      <c r="E1591" s="224" t="s">
        <v>539</v>
      </c>
      <c r="F1591" s="224" t="s">
        <v>542</v>
      </c>
      <c r="G1591" s="224" t="s">
        <v>764</v>
      </c>
      <c r="H1591" s="224" t="s">
        <v>98</v>
      </c>
      <c r="I1591" s="229">
        <v>2401</v>
      </c>
      <c r="J1591" s="229">
        <v>0</v>
      </c>
      <c r="K1591" s="229">
        <v>0</v>
      </c>
      <c r="L1591" s="229">
        <v>0</v>
      </c>
      <c r="M1591" s="229">
        <v>0</v>
      </c>
      <c r="N1591" s="229">
        <v>2401</v>
      </c>
      <c r="O1591" s="229">
        <v>0</v>
      </c>
      <c r="P1591" s="229">
        <v>0</v>
      </c>
      <c r="Q1591" s="279">
        <v>0</v>
      </c>
    </row>
    <row r="1592" spans="1:17" customFormat="1">
      <c r="A1592" s="224">
        <v>4</v>
      </c>
      <c r="B1592" s="224">
        <v>8831910</v>
      </c>
      <c r="C1592" s="224">
        <v>883191002</v>
      </c>
      <c r="D1592" s="224" t="s">
        <v>538</v>
      </c>
      <c r="E1592" s="224" t="s">
        <v>539</v>
      </c>
      <c r="F1592" s="224" t="s">
        <v>542</v>
      </c>
      <c r="G1592" s="224" t="s">
        <v>764</v>
      </c>
      <c r="H1592" s="224" t="s">
        <v>95</v>
      </c>
      <c r="I1592" s="229">
        <v>0</v>
      </c>
      <c r="J1592" s="229">
        <v>0</v>
      </c>
      <c r="K1592" s="229">
        <v>0</v>
      </c>
      <c r="L1592" s="229">
        <v>0</v>
      </c>
      <c r="M1592" s="229">
        <v>0</v>
      </c>
      <c r="N1592" s="229">
        <v>0</v>
      </c>
      <c r="O1592" s="229">
        <v>0</v>
      </c>
      <c r="P1592" s="229">
        <v>0</v>
      </c>
      <c r="Q1592" s="279">
        <v>0</v>
      </c>
    </row>
    <row r="1593" spans="1:17" customFormat="1">
      <c r="A1593" s="236">
        <v>4</v>
      </c>
      <c r="B1593" s="236">
        <v>8831910</v>
      </c>
      <c r="C1593" s="236">
        <v>883191003</v>
      </c>
      <c r="D1593" s="236" t="s">
        <v>538</v>
      </c>
      <c r="E1593" s="236" t="s">
        <v>539</v>
      </c>
      <c r="F1593" s="236" t="s">
        <v>542</v>
      </c>
      <c r="G1593" s="236" t="s">
        <v>764</v>
      </c>
      <c r="H1593" s="236" t="s">
        <v>765</v>
      </c>
      <c r="I1593" s="229">
        <v>0</v>
      </c>
      <c r="J1593" s="229">
        <v>0</v>
      </c>
      <c r="K1593" s="229">
        <v>0</v>
      </c>
      <c r="L1593" s="229">
        <v>0</v>
      </c>
      <c r="M1593" s="229">
        <v>0</v>
      </c>
      <c r="N1593" s="229">
        <v>0</v>
      </c>
      <c r="O1593" s="229">
        <v>0</v>
      </c>
      <c r="P1593" s="229">
        <v>0</v>
      </c>
      <c r="Q1593" s="279">
        <v>0</v>
      </c>
    </row>
    <row r="1594" spans="1:17" customFormat="1">
      <c r="A1594" s="224">
        <v>4</v>
      </c>
      <c r="B1594" s="224">
        <v>8831913</v>
      </c>
      <c r="C1594" s="224">
        <v>883191300</v>
      </c>
      <c r="D1594" s="224" t="s">
        <v>538</v>
      </c>
      <c r="E1594" s="224" t="s">
        <v>539</v>
      </c>
      <c r="F1594" s="224" t="s">
        <v>542</v>
      </c>
      <c r="G1594" s="224" t="s">
        <v>93</v>
      </c>
      <c r="H1594" s="224"/>
      <c r="I1594" s="229">
        <v>36401</v>
      </c>
      <c r="J1594" s="229">
        <v>0</v>
      </c>
      <c r="K1594" s="229">
        <v>0</v>
      </c>
      <c r="L1594" s="229">
        <v>0</v>
      </c>
      <c r="M1594" s="229">
        <v>1529</v>
      </c>
      <c r="N1594" s="229">
        <v>34872</v>
      </c>
      <c r="O1594" s="229">
        <v>0</v>
      </c>
      <c r="P1594" s="229">
        <v>0</v>
      </c>
      <c r="Q1594" s="279">
        <v>0</v>
      </c>
    </row>
    <row r="1595" spans="1:17" customFormat="1">
      <c r="A1595" s="224">
        <v>4</v>
      </c>
      <c r="B1595" s="224">
        <v>8831914</v>
      </c>
      <c r="C1595" s="224">
        <v>883191400</v>
      </c>
      <c r="D1595" s="224" t="s">
        <v>538</v>
      </c>
      <c r="E1595" s="224" t="s">
        <v>539</v>
      </c>
      <c r="F1595" s="224" t="s">
        <v>542</v>
      </c>
      <c r="G1595" s="224" t="s">
        <v>91</v>
      </c>
      <c r="H1595" s="224"/>
      <c r="I1595" s="229">
        <v>507</v>
      </c>
      <c r="J1595" s="229">
        <v>0</v>
      </c>
      <c r="K1595" s="229">
        <v>0</v>
      </c>
      <c r="L1595" s="229">
        <v>0</v>
      </c>
      <c r="M1595" s="229">
        <v>0</v>
      </c>
      <c r="N1595" s="229">
        <v>507</v>
      </c>
      <c r="O1595" s="229">
        <v>0</v>
      </c>
      <c r="P1595" s="229">
        <v>0</v>
      </c>
      <c r="Q1595" s="279">
        <v>0</v>
      </c>
    </row>
    <row r="1596" spans="1:17" customFormat="1">
      <c r="A1596" s="224">
        <v>4</v>
      </c>
      <c r="B1596" s="224">
        <v>8831915</v>
      </c>
      <c r="C1596" s="224">
        <v>883191500</v>
      </c>
      <c r="D1596" s="224" t="s">
        <v>538</v>
      </c>
      <c r="E1596" s="224" t="s">
        <v>539</v>
      </c>
      <c r="F1596" s="224" t="s">
        <v>542</v>
      </c>
      <c r="G1596" s="224" t="s">
        <v>89</v>
      </c>
      <c r="H1596" s="224"/>
      <c r="I1596" s="229">
        <v>0</v>
      </c>
      <c r="J1596" s="229">
        <v>0</v>
      </c>
      <c r="K1596" s="229">
        <v>0</v>
      </c>
      <c r="L1596" s="229">
        <v>0</v>
      </c>
      <c r="M1596" s="229">
        <v>0</v>
      </c>
      <c r="N1596" s="229">
        <v>0</v>
      </c>
      <c r="O1596" s="229">
        <v>0</v>
      </c>
      <c r="P1596" s="229">
        <v>0</v>
      </c>
      <c r="Q1596" s="279">
        <v>0</v>
      </c>
    </row>
    <row r="1597" spans="1:17" customFormat="1">
      <c r="A1597" s="224">
        <v>4</v>
      </c>
      <c r="B1597" s="224">
        <v>8831917</v>
      </c>
      <c r="C1597" s="224">
        <v>883191700</v>
      </c>
      <c r="D1597" s="224" t="s">
        <v>538</v>
      </c>
      <c r="E1597" s="224" t="s">
        <v>539</v>
      </c>
      <c r="F1597" s="224" t="s">
        <v>542</v>
      </c>
      <c r="G1597" s="224" t="s">
        <v>87</v>
      </c>
      <c r="H1597" s="224"/>
      <c r="I1597" s="229">
        <v>249</v>
      </c>
      <c r="J1597" s="229">
        <v>0</v>
      </c>
      <c r="K1597" s="229">
        <v>0</v>
      </c>
      <c r="L1597" s="229">
        <v>0</v>
      </c>
      <c r="M1597" s="229">
        <v>0</v>
      </c>
      <c r="N1597" s="229">
        <v>249</v>
      </c>
      <c r="O1597" s="229">
        <v>0</v>
      </c>
      <c r="P1597" s="229">
        <v>0</v>
      </c>
      <c r="Q1597" s="279">
        <v>0</v>
      </c>
    </row>
    <row r="1598" spans="1:17" customFormat="1">
      <c r="A1598" s="224">
        <v>4</v>
      </c>
      <c r="B1598" s="224">
        <v>8831919</v>
      </c>
      <c r="C1598" s="224">
        <v>883191900</v>
      </c>
      <c r="D1598" s="224" t="s">
        <v>538</v>
      </c>
      <c r="E1598" s="224" t="s">
        <v>539</v>
      </c>
      <c r="F1598" s="224" t="s">
        <v>542</v>
      </c>
      <c r="G1598" s="224" t="s">
        <v>85</v>
      </c>
      <c r="H1598" s="224"/>
      <c r="I1598" s="229">
        <v>5444939</v>
      </c>
      <c r="J1598" s="229">
        <v>0</v>
      </c>
      <c r="K1598" s="229">
        <v>0</v>
      </c>
      <c r="L1598" s="229">
        <v>0</v>
      </c>
      <c r="M1598" s="229">
        <v>0</v>
      </c>
      <c r="N1598" s="229">
        <v>898</v>
      </c>
      <c r="O1598" s="229">
        <v>5444041</v>
      </c>
      <c r="P1598" s="229">
        <v>0</v>
      </c>
      <c r="Q1598" s="279">
        <v>0</v>
      </c>
    </row>
    <row r="1599" spans="1:17" customFormat="1">
      <c r="A1599" s="224">
        <v>4</v>
      </c>
      <c r="B1599" s="224">
        <v>8831920</v>
      </c>
      <c r="C1599" s="224">
        <v>883192000</v>
      </c>
      <c r="D1599" s="224" t="s">
        <v>538</v>
      </c>
      <c r="E1599" s="224" t="s">
        <v>539</v>
      </c>
      <c r="F1599" s="224" t="s">
        <v>542</v>
      </c>
      <c r="G1599" s="224" t="s">
        <v>83</v>
      </c>
      <c r="H1599" s="224"/>
      <c r="I1599" s="229">
        <v>1905</v>
      </c>
      <c r="J1599" s="229">
        <v>0</v>
      </c>
      <c r="K1599" s="229">
        <v>0</v>
      </c>
      <c r="L1599" s="229">
        <v>0</v>
      </c>
      <c r="M1599" s="229">
        <v>0</v>
      </c>
      <c r="N1599" s="229">
        <v>1765</v>
      </c>
      <c r="O1599" s="229">
        <v>140</v>
      </c>
      <c r="P1599" s="229">
        <v>0</v>
      </c>
      <c r="Q1599" s="279">
        <v>0</v>
      </c>
    </row>
    <row r="1600" spans="1:17" customFormat="1">
      <c r="A1600" s="224">
        <v>4</v>
      </c>
      <c r="B1600" s="224">
        <v>8831921</v>
      </c>
      <c r="C1600" s="224">
        <v>883192100</v>
      </c>
      <c r="D1600" s="224" t="s">
        <v>538</v>
      </c>
      <c r="E1600" s="224" t="s">
        <v>539</v>
      </c>
      <c r="F1600" s="224" t="s">
        <v>542</v>
      </c>
      <c r="G1600" s="224" t="s">
        <v>81</v>
      </c>
      <c r="H1600" s="224"/>
      <c r="I1600" s="229">
        <v>65215024</v>
      </c>
      <c r="J1600" s="229">
        <v>0</v>
      </c>
      <c r="K1600" s="229">
        <v>0</v>
      </c>
      <c r="L1600" s="229">
        <v>0</v>
      </c>
      <c r="M1600" s="229">
        <v>0</v>
      </c>
      <c r="N1600" s="229">
        <v>65215024</v>
      </c>
      <c r="O1600" s="229">
        <v>0</v>
      </c>
      <c r="P1600" s="229">
        <v>0</v>
      </c>
      <c r="Q1600" s="279">
        <v>0</v>
      </c>
    </row>
    <row r="1601" spans="1:17" customFormat="1">
      <c r="A1601" s="224">
        <v>4</v>
      </c>
      <c r="B1601" s="224">
        <v>8831923</v>
      </c>
      <c r="C1601" s="224">
        <v>883192300</v>
      </c>
      <c r="D1601" s="224" t="s">
        <v>538</v>
      </c>
      <c r="E1601" s="224" t="s">
        <v>539</v>
      </c>
      <c r="F1601" s="224" t="s">
        <v>542</v>
      </c>
      <c r="G1601" s="224" t="s">
        <v>79</v>
      </c>
      <c r="H1601" s="224"/>
      <c r="I1601" s="229">
        <v>4963548</v>
      </c>
      <c r="J1601" s="229">
        <v>0</v>
      </c>
      <c r="K1601" s="229">
        <v>0</v>
      </c>
      <c r="L1601" s="229">
        <v>0</v>
      </c>
      <c r="M1601" s="229">
        <v>0</v>
      </c>
      <c r="N1601" s="229">
        <v>4963548</v>
      </c>
      <c r="O1601" s="229">
        <v>0</v>
      </c>
      <c r="P1601" s="229">
        <v>0</v>
      </c>
      <c r="Q1601" s="279">
        <v>0</v>
      </c>
    </row>
    <row r="1602" spans="1:17" customFormat="1">
      <c r="A1602" s="224">
        <v>4</v>
      </c>
      <c r="B1602" s="224">
        <v>8831924</v>
      </c>
      <c r="C1602" s="224">
        <v>883192400</v>
      </c>
      <c r="D1602" s="224" t="s">
        <v>538</v>
      </c>
      <c r="E1602" s="224" t="s">
        <v>539</v>
      </c>
      <c r="F1602" s="224" t="s">
        <v>542</v>
      </c>
      <c r="G1602" s="224" t="s">
        <v>77</v>
      </c>
      <c r="H1602" s="224"/>
      <c r="I1602" s="229">
        <v>0</v>
      </c>
      <c r="J1602" s="229">
        <v>0</v>
      </c>
      <c r="K1602" s="229">
        <v>0</v>
      </c>
      <c r="L1602" s="229">
        <v>0</v>
      </c>
      <c r="M1602" s="229">
        <v>0</v>
      </c>
      <c r="N1602" s="229">
        <v>0</v>
      </c>
      <c r="O1602" s="229">
        <v>0</v>
      </c>
      <c r="P1602" s="229">
        <v>0</v>
      </c>
      <c r="Q1602" s="279">
        <v>0</v>
      </c>
    </row>
    <row r="1603" spans="1:17" customFormat="1">
      <c r="A1603" s="224">
        <v>4</v>
      </c>
      <c r="B1603" s="224">
        <v>8831925</v>
      </c>
      <c r="C1603" s="224">
        <v>883192500</v>
      </c>
      <c r="D1603" s="224" t="s">
        <v>538</v>
      </c>
      <c r="E1603" s="224" t="s">
        <v>539</v>
      </c>
      <c r="F1603" s="224" t="s">
        <v>542</v>
      </c>
      <c r="G1603" s="224" t="s">
        <v>75</v>
      </c>
      <c r="H1603" s="224"/>
      <c r="I1603" s="229">
        <v>0</v>
      </c>
      <c r="J1603" s="229">
        <v>0</v>
      </c>
      <c r="K1603" s="229">
        <v>0</v>
      </c>
      <c r="L1603" s="229">
        <v>0</v>
      </c>
      <c r="M1603" s="229">
        <v>0</v>
      </c>
      <c r="N1603" s="229">
        <v>0</v>
      </c>
      <c r="O1603" s="229">
        <v>0</v>
      </c>
      <c r="P1603" s="229">
        <v>0</v>
      </c>
      <c r="Q1603" s="279">
        <v>0</v>
      </c>
    </row>
    <row r="1604" spans="1:17" customFormat="1">
      <c r="A1604" s="224">
        <v>4</v>
      </c>
      <c r="B1604" s="224">
        <v>8831928</v>
      </c>
      <c r="C1604" s="224">
        <v>883192866</v>
      </c>
      <c r="D1604" s="224" t="s">
        <v>538</v>
      </c>
      <c r="E1604" s="224" t="s">
        <v>539</v>
      </c>
      <c r="F1604" s="224" t="s">
        <v>542</v>
      </c>
      <c r="G1604" s="224" t="s">
        <v>811</v>
      </c>
      <c r="H1604" s="224" t="s">
        <v>812</v>
      </c>
      <c r="I1604" s="229">
        <v>0</v>
      </c>
      <c r="J1604" s="229">
        <v>0</v>
      </c>
      <c r="K1604" s="229">
        <v>0</v>
      </c>
      <c r="L1604" s="229">
        <v>0</v>
      </c>
      <c r="M1604" s="229">
        <v>0</v>
      </c>
      <c r="N1604" s="229">
        <v>0</v>
      </c>
      <c r="O1604" s="229">
        <v>0</v>
      </c>
      <c r="P1604" s="229">
        <v>0</v>
      </c>
      <c r="Q1604" s="279">
        <v>0</v>
      </c>
    </row>
    <row r="1605" spans="1:17" customFormat="1">
      <c r="A1605" s="224">
        <v>4</v>
      </c>
      <c r="B1605" s="224">
        <v>8831928</v>
      </c>
      <c r="C1605" s="224">
        <v>883192867</v>
      </c>
      <c r="D1605" s="224" t="s">
        <v>538</v>
      </c>
      <c r="E1605" s="224" t="s">
        <v>539</v>
      </c>
      <c r="F1605" s="224" t="s">
        <v>542</v>
      </c>
      <c r="G1605" s="224" t="s">
        <v>811</v>
      </c>
      <c r="H1605" s="224" t="s">
        <v>813</v>
      </c>
      <c r="I1605" s="229">
        <v>0</v>
      </c>
      <c r="J1605" s="229">
        <v>0</v>
      </c>
      <c r="K1605" s="229">
        <v>0</v>
      </c>
      <c r="L1605" s="229">
        <v>0</v>
      </c>
      <c r="M1605" s="229">
        <v>0</v>
      </c>
      <c r="N1605" s="229">
        <v>0</v>
      </c>
      <c r="O1605" s="229">
        <v>0</v>
      </c>
      <c r="P1605" s="229">
        <v>0</v>
      </c>
      <c r="Q1605" s="279">
        <v>0</v>
      </c>
    </row>
    <row r="1606" spans="1:17" customFormat="1">
      <c r="A1606" s="224">
        <v>4</v>
      </c>
      <c r="B1606" s="224">
        <v>8831929</v>
      </c>
      <c r="C1606" s="224">
        <v>883192900</v>
      </c>
      <c r="D1606" s="224" t="s">
        <v>538</v>
      </c>
      <c r="E1606" s="224" t="s">
        <v>539</v>
      </c>
      <c r="F1606" s="224" t="s">
        <v>542</v>
      </c>
      <c r="G1606" s="224" t="s">
        <v>66</v>
      </c>
      <c r="H1606" s="224"/>
      <c r="I1606" s="229">
        <v>0</v>
      </c>
      <c r="J1606" s="229">
        <v>0</v>
      </c>
      <c r="K1606" s="229">
        <v>0</v>
      </c>
      <c r="L1606" s="229">
        <v>0</v>
      </c>
      <c r="M1606" s="229">
        <v>0</v>
      </c>
      <c r="N1606" s="229">
        <v>0</v>
      </c>
      <c r="O1606" s="229">
        <v>0</v>
      </c>
      <c r="P1606" s="229">
        <v>0</v>
      </c>
      <c r="Q1606" s="279">
        <v>0</v>
      </c>
    </row>
    <row r="1607" spans="1:17" customFormat="1">
      <c r="A1607" s="224">
        <v>4</v>
      </c>
      <c r="B1607" s="224">
        <v>8831930</v>
      </c>
      <c r="C1607" s="224">
        <v>883193000</v>
      </c>
      <c r="D1607" s="224" t="s">
        <v>538</v>
      </c>
      <c r="E1607" s="224" t="s">
        <v>539</v>
      </c>
      <c r="F1607" s="224" t="s">
        <v>542</v>
      </c>
      <c r="G1607" s="224" t="s">
        <v>64</v>
      </c>
      <c r="H1607" s="224"/>
      <c r="I1607" s="229">
        <v>0</v>
      </c>
      <c r="J1607" s="229">
        <v>0</v>
      </c>
      <c r="K1607" s="229">
        <v>0</v>
      </c>
      <c r="L1607" s="229">
        <v>0</v>
      </c>
      <c r="M1607" s="229">
        <v>0</v>
      </c>
      <c r="N1607" s="229">
        <v>0</v>
      </c>
      <c r="O1607" s="229">
        <v>0</v>
      </c>
      <c r="P1607" s="229">
        <v>0</v>
      </c>
      <c r="Q1607" s="279">
        <v>0</v>
      </c>
    </row>
    <row r="1608" spans="1:17" customFormat="1">
      <c r="A1608" s="224">
        <v>4</v>
      </c>
      <c r="B1608" s="224">
        <v>8831931</v>
      </c>
      <c r="C1608" s="224">
        <v>883193100</v>
      </c>
      <c r="D1608" s="224" t="s">
        <v>538</v>
      </c>
      <c r="E1608" s="224" t="s">
        <v>539</v>
      </c>
      <c r="F1608" s="224" t="s">
        <v>542</v>
      </c>
      <c r="G1608" s="224" t="s">
        <v>62</v>
      </c>
      <c r="H1608" s="224"/>
      <c r="I1608" s="229">
        <v>719709</v>
      </c>
      <c r="J1608" s="229">
        <v>0</v>
      </c>
      <c r="K1608" s="229">
        <v>0</v>
      </c>
      <c r="L1608" s="229">
        <v>0</v>
      </c>
      <c r="M1608" s="229">
        <v>0</v>
      </c>
      <c r="N1608" s="229">
        <v>696484</v>
      </c>
      <c r="O1608" s="229">
        <v>0</v>
      </c>
      <c r="P1608" s="229">
        <v>23225</v>
      </c>
      <c r="Q1608" s="279">
        <v>0</v>
      </c>
    </row>
    <row r="1609" spans="1:17" customFormat="1">
      <c r="A1609" s="224">
        <v>4</v>
      </c>
      <c r="B1609" s="224">
        <v>8831933</v>
      </c>
      <c r="C1609" s="224">
        <v>883193300</v>
      </c>
      <c r="D1609" s="224" t="s">
        <v>538</v>
      </c>
      <c r="E1609" s="224" t="s">
        <v>539</v>
      </c>
      <c r="F1609" s="224" t="s">
        <v>542</v>
      </c>
      <c r="G1609" s="224" t="s">
        <v>822</v>
      </c>
      <c r="H1609" s="224"/>
      <c r="I1609" s="229">
        <v>0</v>
      </c>
      <c r="J1609" s="229">
        <v>0</v>
      </c>
      <c r="K1609" s="229">
        <v>0</v>
      </c>
      <c r="L1609" s="229">
        <v>0</v>
      </c>
      <c r="M1609" s="229">
        <v>0</v>
      </c>
      <c r="N1609" s="229">
        <v>0</v>
      </c>
      <c r="O1609" s="229">
        <v>0</v>
      </c>
      <c r="P1609" s="229">
        <v>0</v>
      </c>
      <c r="Q1609" s="279">
        <v>0</v>
      </c>
    </row>
    <row r="1610" spans="1:17" customFormat="1">
      <c r="A1610" s="224">
        <v>4</v>
      </c>
      <c r="B1610" s="224">
        <v>8831936</v>
      </c>
      <c r="C1610" s="224">
        <v>883193600</v>
      </c>
      <c r="D1610" s="224" t="s">
        <v>538</v>
      </c>
      <c r="E1610" s="224" t="s">
        <v>539</v>
      </c>
      <c r="F1610" s="224" t="s">
        <v>542</v>
      </c>
      <c r="G1610" s="224" t="s">
        <v>823</v>
      </c>
      <c r="H1610" s="224"/>
      <c r="I1610" s="229">
        <v>19</v>
      </c>
      <c r="J1610" s="229">
        <v>0</v>
      </c>
      <c r="K1610" s="229">
        <v>0</v>
      </c>
      <c r="L1610" s="229">
        <v>0</v>
      </c>
      <c r="M1610" s="229">
        <v>0</v>
      </c>
      <c r="N1610" s="229">
        <v>19</v>
      </c>
      <c r="O1610" s="229">
        <v>0</v>
      </c>
      <c r="P1610" s="229">
        <v>0</v>
      </c>
      <c r="Q1610" s="279">
        <v>0</v>
      </c>
    </row>
    <row r="1611" spans="1:17" customFormat="1">
      <c r="A1611" s="224">
        <v>4</v>
      </c>
      <c r="B1611" s="224">
        <v>8831937</v>
      </c>
      <c r="C1611" s="224">
        <v>883193700</v>
      </c>
      <c r="D1611" s="224" t="s">
        <v>538</v>
      </c>
      <c r="E1611" s="224" t="s">
        <v>539</v>
      </c>
      <c r="F1611" s="224" t="s">
        <v>542</v>
      </c>
      <c r="G1611" s="224" t="s">
        <v>60</v>
      </c>
      <c r="H1611" s="224"/>
      <c r="I1611" s="229">
        <v>0</v>
      </c>
      <c r="J1611" s="229">
        <v>0</v>
      </c>
      <c r="K1611" s="229">
        <v>0</v>
      </c>
      <c r="L1611" s="229">
        <v>0</v>
      </c>
      <c r="M1611" s="229">
        <v>0</v>
      </c>
      <c r="N1611" s="229">
        <v>0</v>
      </c>
      <c r="O1611" s="229">
        <v>0</v>
      </c>
      <c r="P1611" s="229">
        <v>0</v>
      </c>
      <c r="Q1611" s="279">
        <v>0</v>
      </c>
    </row>
    <row r="1612" spans="1:17" customFormat="1">
      <c r="A1612" s="224">
        <v>4</v>
      </c>
      <c r="B1612" s="224">
        <v>8831939</v>
      </c>
      <c r="C1612" s="224">
        <v>883193900</v>
      </c>
      <c r="D1612" s="224" t="s">
        <v>538</v>
      </c>
      <c r="E1612" s="224" t="s">
        <v>539</v>
      </c>
      <c r="F1612" s="224" t="s">
        <v>542</v>
      </c>
      <c r="G1612" s="224" t="s">
        <v>58</v>
      </c>
      <c r="H1612" s="224"/>
      <c r="I1612" s="229">
        <v>3586</v>
      </c>
      <c r="J1612" s="229">
        <v>0</v>
      </c>
      <c r="K1612" s="229">
        <v>0</v>
      </c>
      <c r="L1612" s="229">
        <v>0</v>
      </c>
      <c r="M1612" s="229">
        <v>0</v>
      </c>
      <c r="N1612" s="229">
        <v>0</v>
      </c>
      <c r="O1612" s="229">
        <v>3586</v>
      </c>
      <c r="P1612" s="229">
        <v>0</v>
      </c>
      <c r="Q1612" s="279">
        <v>0</v>
      </c>
    </row>
    <row r="1613" spans="1:17" customFormat="1">
      <c r="A1613" s="224">
        <v>4</v>
      </c>
      <c r="B1613" s="224">
        <v>8831940</v>
      </c>
      <c r="C1613" s="224">
        <v>883194000</v>
      </c>
      <c r="D1613" s="224" t="s">
        <v>538</v>
      </c>
      <c r="E1613" s="224" t="s">
        <v>539</v>
      </c>
      <c r="F1613" s="224" t="s">
        <v>542</v>
      </c>
      <c r="G1613" s="224" t="s">
        <v>56</v>
      </c>
      <c r="H1613" s="224"/>
      <c r="I1613" s="229">
        <v>42</v>
      </c>
      <c r="J1613" s="229">
        <v>0</v>
      </c>
      <c r="K1613" s="229">
        <v>0</v>
      </c>
      <c r="L1613" s="229">
        <v>0</v>
      </c>
      <c r="M1613" s="229">
        <v>0</v>
      </c>
      <c r="N1613" s="229">
        <v>0</v>
      </c>
      <c r="O1613" s="229">
        <v>0</v>
      </c>
      <c r="P1613" s="229">
        <v>42</v>
      </c>
      <c r="Q1613" s="279">
        <v>0</v>
      </c>
    </row>
    <row r="1614" spans="1:17" customFormat="1">
      <c r="A1614" s="224">
        <v>4</v>
      </c>
      <c r="B1614" s="224">
        <v>8831941</v>
      </c>
      <c r="C1614" s="224">
        <v>883194100</v>
      </c>
      <c r="D1614" s="224" t="s">
        <v>538</v>
      </c>
      <c r="E1614" s="224" t="s">
        <v>539</v>
      </c>
      <c r="F1614" s="224" t="s">
        <v>542</v>
      </c>
      <c r="G1614" s="224" t="s">
        <v>55</v>
      </c>
      <c r="H1614" s="224"/>
      <c r="I1614" s="229">
        <v>0</v>
      </c>
      <c r="J1614" s="229">
        <v>0</v>
      </c>
      <c r="K1614" s="229">
        <v>0</v>
      </c>
      <c r="L1614" s="229">
        <v>0</v>
      </c>
      <c r="M1614" s="229">
        <v>0</v>
      </c>
      <c r="N1614" s="229">
        <v>0</v>
      </c>
      <c r="O1614" s="229">
        <v>0</v>
      </c>
      <c r="P1614" s="229">
        <v>0</v>
      </c>
      <c r="Q1614" s="279">
        <v>0</v>
      </c>
    </row>
    <row r="1615" spans="1:17" customFormat="1">
      <c r="A1615" s="224">
        <v>4</v>
      </c>
      <c r="B1615" s="224">
        <v>8832043</v>
      </c>
      <c r="C1615" s="224">
        <v>883204370</v>
      </c>
      <c r="D1615" s="224" t="s">
        <v>538</v>
      </c>
      <c r="E1615" s="224" t="s">
        <v>539</v>
      </c>
      <c r="F1615" s="224" t="s">
        <v>826</v>
      </c>
      <c r="G1615" s="224" t="s">
        <v>827</v>
      </c>
      <c r="H1615" s="224" t="s">
        <v>492</v>
      </c>
      <c r="I1615" s="229">
        <v>0</v>
      </c>
      <c r="J1615" s="229">
        <v>0</v>
      </c>
      <c r="K1615" s="229">
        <v>0</v>
      </c>
      <c r="L1615" s="229">
        <v>0</v>
      </c>
      <c r="M1615" s="229">
        <v>0</v>
      </c>
      <c r="N1615" s="229">
        <v>0</v>
      </c>
      <c r="O1615" s="229">
        <v>0</v>
      </c>
      <c r="P1615" s="229">
        <v>0</v>
      </c>
      <c r="Q1615" s="279">
        <v>0</v>
      </c>
    </row>
    <row r="1616" spans="1:17" customFormat="1">
      <c r="A1616" s="224">
        <v>4</v>
      </c>
      <c r="B1616" s="224">
        <v>8832043</v>
      </c>
      <c r="C1616" s="224">
        <v>883204371</v>
      </c>
      <c r="D1616" s="224" t="s">
        <v>538</v>
      </c>
      <c r="E1616" s="224" t="s">
        <v>539</v>
      </c>
      <c r="F1616" s="224" t="s">
        <v>826</v>
      </c>
      <c r="G1616" s="224" t="s">
        <v>827</v>
      </c>
      <c r="H1616" s="224" t="s">
        <v>491</v>
      </c>
      <c r="I1616" s="229">
        <v>27156268</v>
      </c>
      <c r="J1616" s="229">
        <v>0</v>
      </c>
      <c r="K1616" s="229">
        <v>0</v>
      </c>
      <c r="L1616" s="229">
        <v>0</v>
      </c>
      <c r="M1616" s="229">
        <v>0</v>
      </c>
      <c r="N1616" s="229">
        <v>0</v>
      </c>
      <c r="O1616" s="229">
        <v>0</v>
      </c>
      <c r="P1616" s="229">
        <v>27156268</v>
      </c>
      <c r="Q1616" s="279">
        <v>0</v>
      </c>
    </row>
    <row r="1617" spans="1:17" customFormat="1">
      <c r="A1617" s="224">
        <v>4</v>
      </c>
      <c r="B1617" s="224">
        <v>8832043</v>
      </c>
      <c r="C1617" s="224">
        <v>883204372</v>
      </c>
      <c r="D1617" s="224" t="s">
        <v>538</v>
      </c>
      <c r="E1617" s="224" t="s">
        <v>539</v>
      </c>
      <c r="F1617" s="224" t="s">
        <v>826</v>
      </c>
      <c r="G1617" s="224" t="s">
        <v>827</v>
      </c>
      <c r="H1617" s="224" t="s">
        <v>490</v>
      </c>
      <c r="I1617" s="229">
        <v>0</v>
      </c>
      <c r="J1617" s="229">
        <v>0</v>
      </c>
      <c r="K1617" s="229">
        <v>0</v>
      </c>
      <c r="L1617" s="229">
        <v>0</v>
      </c>
      <c r="M1617" s="229">
        <v>0</v>
      </c>
      <c r="N1617" s="229">
        <v>0</v>
      </c>
      <c r="O1617" s="229">
        <v>0</v>
      </c>
      <c r="P1617" s="229">
        <v>0</v>
      </c>
      <c r="Q1617" s="279">
        <v>0</v>
      </c>
    </row>
    <row r="1618" spans="1:17" customFormat="1">
      <c r="A1618" s="224">
        <v>4</v>
      </c>
      <c r="B1618" s="224">
        <v>8832043</v>
      </c>
      <c r="C1618" s="224">
        <v>883204373</v>
      </c>
      <c r="D1618" s="224" t="s">
        <v>538</v>
      </c>
      <c r="E1618" s="224" t="s">
        <v>539</v>
      </c>
      <c r="F1618" s="224" t="s">
        <v>826</v>
      </c>
      <c r="G1618" s="224" t="s">
        <v>827</v>
      </c>
      <c r="H1618" s="224" t="s">
        <v>489</v>
      </c>
      <c r="I1618" s="229">
        <v>0</v>
      </c>
      <c r="J1618" s="229">
        <v>0</v>
      </c>
      <c r="K1618" s="229">
        <v>0</v>
      </c>
      <c r="L1618" s="229">
        <v>0</v>
      </c>
      <c r="M1618" s="229">
        <v>0</v>
      </c>
      <c r="N1618" s="229">
        <v>0</v>
      </c>
      <c r="O1618" s="229">
        <v>0</v>
      </c>
      <c r="P1618" s="229">
        <v>0</v>
      </c>
      <c r="Q1618" s="279">
        <v>0</v>
      </c>
    </row>
    <row r="1619" spans="1:17" customFormat="1">
      <c r="A1619" s="224">
        <v>4</v>
      </c>
      <c r="B1619" s="224">
        <v>8832043</v>
      </c>
      <c r="C1619" s="224">
        <v>883204374</v>
      </c>
      <c r="D1619" s="224" t="s">
        <v>538</v>
      </c>
      <c r="E1619" s="224" t="s">
        <v>539</v>
      </c>
      <c r="F1619" s="224" t="s">
        <v>826</v>
      </c>
      <c r="G1619" s="224" t="s">
        <v>827</v>
      </c>
      <c r="H1619" s="224" t="s">
        <v>488</v>
      </c>
      <c r="I1619" s="229">
        <v>0</v>
      </c>
      <c r="J1619" s="229">
        <v>0</v>
      </c>
      <c r="K1619" s="229">
        <v>0</v>
      </c>
      <c r="L1619" s="229">
        <v>0</v>
      </c>
      <c r="M1619" s="229">
        <v>0</v>
      </c>
      <c r="N1619" s="229">
        <v>0</v>
      </c>
      <c r="O1619" s="229">
        <v>0</v>
      </c>
      <c r="P1619" s="229">
        <v>0</v>
      </c>
      <c r="Q1619" s="279">
        <v>0</v>
      </c>
    </row>
    <row r="1620" spans="1:17" customFormat="1">
      <c r="A1620" s="224">
        <v>4</v>
      </c>
      <c r="B1620" s="224">
        <v>8832044</v>
      </c>
      <c r="C1620" s="224">
        <v>883204475</v>
      </c>
      <c r="D1620" s="224" t="s">
        <v>538</v>
      </c>
      <c r="E1620" s="224" t="s">
        <v>539</v>
      </c>
      <c r="F1620" s="224" t="s">
        <v>826</v>
      </c>
      <c r="G1620" s="224" t="s">
        <v>828</v>
      </c>
      <c r="H1620" s="224" t="s">
        <v>487</v>
      </c>
      <c r="I1620" s="229">
        <v>0</v>
      </c>
      <c r="J1620" s="229">
        <v>0</v>
      </c>
      <c r="K1620" s="229">
        <v>0</v>
      </c>
      <c r="L1620" s="229">
        <v>0</v>
      </c>
      <c r="M1620" s="229">
        <v>0</v>
      </c>
      <c r="N1620" s="229">
        <v>0</v>
      </c>
      <c r="O1620" s="229">
        <v>0</v>
      </c>
      <c r="P1620" s="229">
        <v>0</v>
      </c>
      <c r="Q1620" s="279">
        <v>0</v>
      </c>
    </row>
    <row r="1621" spans="1:17" customFormat="1">
      <c r="A1621" s="224">
        <v>4</v>
      </c>
      <c r="B1621" s="224">
        <v>8832044</v>
      </c>
      <c r="C1621" s="224">
        <v>883204476</v>
      </c>
      <c r="D1621" s="224" t="s">
        <v>538</v>
      </c>
      <c r="E1621" s="224" t="s">
        <v>539</v>
      </c>
      <c r="F1621" s="224" t="s">
        <v>826</v>
      </c>
      <c r="G1621" s="224" t="s">
        <v>828</v>
      </c>
      <c r="H1621" s="224" t="s">
        <v>486</v>
      </c>
      <c r="I1621" s="229">
        <v>0</v>
      </c>
      <c r="J1621" s="229">
        <v>0</v>
      </c>
      <c r="K1621" s="229">
        <v>0</v>
      </c>
      <c r="L1621" s="229">
        <v>0</v>
      </c>
      <c r="M1621" s="229">
        <v>0</v>
      </c>
      <c r="N1621" s="229">
        <v>0</v>
      </c>
      <c r="O1621" s="229">
        <v>0</v>
      </c>
      <c r="P1621" s="229">
        <v>0</v>
      </c>
      <c r="Q1621" s="279">
        <v>0</v>
      </c>
    </row>
    <row r="1622" spans="1:17" customFormat="1">
      <c r="A1622" s="224">
        <v>4</v>
      </c>
      <c r="B1622" s="224">
        <v>8832044</v>
      </c>
      <c r="C1622" s="224">
        <v>883204477</v>
      </c>
      <c r="D1622" s="224" t="s">
        <v>538</v>
      </c>
      <c r="E1622" s="224" t="s">
        <v>539</v>
      </c>
      <c r="F1622" s="224" t="s">
        <v>826</v>
      </c>
      <c r="G1622" s="224" t="s">
        <v>828</v>
      </c>
      <c r="H1622" s="224" t="s">
        <v>485</v>
      </c>
      <c r="I1622" s="229">
        <v>0</v>
      </c>
      <c r="J1622" s="229">
        <v>0</v>
      </c>
      <c r="K1622" s="229">
        <v>0</v>
      </c>
      <c r="L1622" s="229">
        <v>0</v>
      </c>
      <c r="M1622" s="229">
        <v>0</v>
      </c>
      <c r="N1622" s="229">
        <v>0</v>
      </c>
      <c r="O1622" s="229">
        <v>0</v>
      </c>
      <c r="P1622" s="229">
        <v>0</v>
      </c>
      <c r="Q1622" s="279">
        <v>0</v>
      </c>
    </row>
    <row r="1623" spans="1:17" customFormat="1">
      <c r="A1623" s="224">
        <v>4</v>
      </c>
      <c r="B1623" s="224">
        <v>8832246</v>
      </c>
      <c r="C1623" s="224">
        <v>883224600</v>
      </c>
      <c r="D1623" s="224" t="s">
        <v>538</v>
      </c>
      <c r="E1623" s="224" t="s">
        <v>539</v>
      </c>
      <c r="F1623" s="224" t="s">
        <v>829</v>
      </c>
      <c r="G1623" s="224" t="s">
        <v>495</v>
      </c>
      <c r="H1623" s="224"/>
      <c r="I1623" s="229">
        <v>0</v>
      </c>
      <c r="J1623" s="229">
        <v>0</v>
      </c>
      <c r="K1623" s="229">
        <v>0</v>
      </c>
      <c r="L1623" s="229">
        <v>0</v>
      </c>
      <c r="M1623" s="229">
        <v>0</v>
      </c>
      <c r="N1623" s="229">
        <v>0</v>
      </c>
      <c r="O1623" s="229">
        <v>0</v>
      </c>
      <c r="P1623" s="229">
        <v>0</v>
      </c>
      <c r="Q1623" s="279">
        <v>0</v>
      </c>
    </row>
    <row r="1624" spans="1:17" customFormat="1">
      <c r="A1624" s="224">
        <v>4</v>
      </c>
      <c r="B1624" s="224">
        <v>8832247</v>
      </c>
      <c r="C1624" s="224">
        <v>883224700</v>
      </c>
      <c r="D1624" s="224" t="s">
        <v>538</v>
      </c>
      <c r="E1624" s="224" t="s">
        <v>539</v>
      </c>
      <c r="F1624" s="224" t="s">
        <v>829</v>
      </c>
      <c r="G1624" s="224" t="s">
        <v>494</v>
      </c>
      <c r="H1624" s="224"/>
      <c r="I1624" s="229">
        <v>0</v>
      </c>
      <c r="J1624" s="229">
        <v>0</v>
      </c>
      <c r="K1624" s="229">
        <v>0</v>
      </c>
      <c r="L1624" s="229">
        <v>0</v>
      </c>
      <c r="M1624" s="229">
        <v>0</v>
      </c>
      <c r="N1624" s="229">
        <v>0</v>
      </c>
      <c r="O1624" s="229">
        <v>0</v>
      </c>
      <c r="P1624" s="229">
        <v>0</v>
      </c>
      <c r="Q1624" s="279">
        <v>0</v>
      </c>
    </row>
    <row r="1625" spans="1:17" customFormat="1">
      <c r="A1625" s="224">
        <v>4</v>
      </c>
      <c r="B1625" s="224">
        <v>8840251</v>
      </c>
      <c r="C1625" s="224">
        <v>884025180</v>
      </c>
      <c r="D1625" s="224" t="s">
        <v>538</v>
      </c>
      <c r="E1625" s="224" t="s">
        <v>8</v>
      </c>
      <c r="F1625" s="224" t="s">
        <v>830</v>
      </c>
      <c r="G1625" s="224" t="s">
        <v>831</v>
      </c>
      <c r="H1625" s="224" t="s">
        <v>633</v>
      </c>
      <c r="I1625" s="229">
        <v>2903291</v>
      </c>
      <c r="J1625" s="229">
        <v>0</v>
      </c>
      <c r="K1625" s="229">
        <v>0</v>
      </c>
      <c r="L1625" s="229">
        <v>0</v>
      </c>
      <c r="M1625" s="229">
        <v>0</v>
      </c>
      <c r="N1625" s="229">
        <v>0</v>
      </c>
      <c r="O1625" s="229">
        <v>2903291</v>
      </c>
      <c r="P1625" s="229">
        <v>0</v>
      </c>
      <c r="Q1625" s="279">
        <v>0</v>
      </c>
    </row>
    <row r="1626" spans="1:17" customFormat="1">
      <c r="A1626" s="224">
        <v>4</v>
      </c>
      <c r="B1626" s="224">
        <v>8840251</v>
      </c>
      <c r="C1626" s="224">
        <v>884025181</v>
      </c>
      <c r="D1626" s="224" t="s">
        <v>538</v>
      </c>
      <c r="E1626" s="224" t="s">
        <v>8</v>
      </c>
      <c r="F1626" s="224" t="s">
        <v>830</v>
      </c>
      <c r="G1626" s="224" t="s">
        <v>831</v>
      </c>
      <c r="H1626" s="224" t="s">
        <v>832</v>
      </c>
      <c r="I1626" s="229">
        <v>0</v>
      </c>
      <c r="J1626" s="229">
        <v>0</v>
      </c>
      <c r="K1626" s="229">
        <v>0</v>
      </c>
      <c r="L1626" s="229">
        <v>0</v>
      </c>
      <c r="M1626" s="229">
        <v>0</v>
      </c>
      <c r="N1626" s="229">
        <v>0</v>
      </c>
      <c r="O1626" s="229">
        <v>0</v>
      </c>
      <c r="P1626" s="229">
        <v>0</v>
      </c>
      <c r="Q1626" s="279">
        <v>0</v>
      </c>
    </row>
    <row r="1627" spans="1:17" customFormat="1">
      <c r="A1627" s="224">
        <v>4</v>
      </c>
      <c r="B1627" s="224">
        <v>8840252</v>
      </c>
      <c r="C1627" s="224">
        <v>884025200</v>
      </c>
      <c r="D1627" s="224" t="s">
        <v>538</v>
      </c>
      <c r="E1627" s="224" t="s">
        <v>8</v>
      </c>
      <c r="F1627" s="224" t="s">
        <v>830</v>
      </c>
      <c r="G1627" s="224" t="s">
        <v>504</v>
      </c>
      <c r="H1627" s="224"/>
      <c r="I1627" s="229">
        <v>0</v>
      </c>
      <c r="J1627" s="229">
        <v>0</v>
      </c>
      <c r="K1627" s="229">
        <v>0</v>
      </c>
      <c r="L1627" s="229">
        <v>0</v>
      </c>
      <c r="M1627" s="229">
        <v>0</v>
      </c>
      <c r="N1627" s="229">
        <v>0</v>
      </c>
      <c r="O1627" s="229">
        <v>0</v>
      </c>
      <c r="P1627" s="229">
        <v>0</v>
      </c>
      <c r="Q1627" s="279">
        <v>0</v>
      </c>
    </row>
    <row r="1628" spans="1:17" customFormat="1">
      <c r="A1628" s="224">
        <v>4</v>
      </c>
      <c r="B1628" s="224">
        <v>8840253</v>
      </c>
      <c r="C1628" s="224">
        <v>884025300</v>
      </c>
      <c r="D1628" s="224" t="s">
        <v>538</v>
      </c>
      <c r="E1628" s="224" t="s">
        <v>8</v>
      </c>
      <c r="F1628" s="224" t="s">
        <v>830</v>
      </c>
      <c r="G1628" s="224" t="s">
        <v>503</v>
      </c>
      <c r="H1628" s="224"/>
      <c r="I1628" s="229">
        <v>0</v>
      </c>
      <c r="J1628" s="229">
        <v>0</v>
      </c>
      <c r="K1628" s="229">
        <v>0</v>
      </c>
      <c r="L1628" s="229">
        <v>0</v>
      </c>
      <c r="M1628" s="229">
        <v>0</v>
      </c>
      <c r="N1628" s="229">
        <v>0</v>
      </c>
      <c r="O1628" s="229">
        <v>0</v>
      </c>
      <c r="P1628" s="229">
        <v>0</v>
      </c>
      <c r="Q1628" s="279">
        <v>0</v>
      </c>
    </row>
    <row r="1629" spans="1:17" customFormat="1">
      <c r="A1629" s="224">
        <v>4</v>
      </c>
      <c r="B1629" s="224">
        <v>8840254</v>
      </c>
      <c r="C1629" s="224">
        <v>884025400</v>
      </c>
      <c r="D1629" s="224" t="s">
        <v>538</v>
      </c>
      <c r="E1629" s="224" t="s">
        <v>8</v>
      </c>
      <c r="F1629" s="224" t="s">
        <v>830</v>
      </c>
      <c r="G1629" s="224" t="s">
        <v>502</v>
      </c>
      <c r="H1629" s="224"/>
      <c r="I1629" s="229">
        <v>6</v>
      </c>
      <c r="J1629" s="229">
        <v>0</v>
      </c>
      <c r="K1629" s="229">
        <v>0</v>
      </c>
      <c r="L1629" s="229">
        <v>0</v>
      </c>
      <c r="M1629" s="229">
        <v>0</v>
      </c>
      <c r="N1629" s="229">
        <v>0</v>
      </c>
      <c r="O1629" s="229">
        <v>6</v>
      </c>
      <c r="P1629" s="229">
        <v>0</v>
      </c>
      <c r="Q1629" s="279">
        <v>0</v>
      </c>
    </row>
    <row r="1630" spans="1:17" customFormat="1">
      <c r="A1630" s="224">
        <v>4</v>
      </c>
      <c r="B1630" s="224">
        <v>8840255</v>
      </c>
      <c r="C1630" s="224">
        <v>884025500</v>
      </c>
      <c r="D1630" s="224" t="s">
        <v>538</v>
      </c>
      <c r="E1630" s="224" t="s">
        <v>8</v>
      </c>
      <c r="F1630" s="224" t="s">
        <v>830</v>
      </c>
      <c r="G1630" s="224" t="s">
        <v>501</v>
      </c>
      <c r="H1630" s="224"/>
      <c r="I1630" s="229">
        <v>0</v>
      </c>
      <c r="J1630" s="229">
        <v>0</v>
      </c>
      <c r="K1630" s="229">
        <v>0</v>
      </c>
      <c r="L1630" s="229">
        <v>0</v>
      </c>
      <c r="M1630" s="229">
        <v>0</v>
      </c>
      <c r="N1630" s="229">
        <v>0</v>
      </c>
      <c r="O1630" s="229">
        <v>0</v>
      </c>
      <c r="P1630" s="229">
        <v>0</v>
      </c>
      <c r="Q1630" s="279">
        <v>0</v>
      </c>
    </row>
    <row r="1631" spans="1:17" customFormat="1">
      <c r="A1631" s="224">
        <v>4</v>
      </c>
      <c r="B1631" s="224">
        <v>8840456</v>
      </c>
      <c r="C1631" s="224">
        <v>884045600</v>
      </c>
      <c r="D1631" s="224" t="s">
        <v>538</v>
      </c>
      <c r="E1631" s="224" t="s">
        <v>8</v>
      </c>
      <c r="F1631" s="224" t="s">
        <v>833</v>
      </c>
      <c r="G1631" s="224" t="s">
        <v>834</v>
      </c>
      <c r="H1631" s="224"/>
      <c r="I1631" s="229">
        <v>0</v>
      </c>
      <c r="J1631" s="229">
        <v>0</v>
      </c>
      <c r="K1631" s="229">
        <v>0</v>
      </c>
      <c r="L1631" s="229">
        <v>0</v>
      </c>
      <c r="M1631" s="229">
        <v>0</v>
      </c>
      <c r="N1631" s="229">
        <v>0</v>
      </c>
      <c r="O1631" s="229">
        <v>0</v>
      </c>
      <c r="P1631" s="229">
        <v>0</v>
      </c>
      <c r="Q1631" s="279">
        <v>0</v>
      </c>
    </row>
    <row r="1632" spans="1:17" customFormat="1">
      <c r="A1632" s="224">
        <v>4</v>
      </c>
      <c r="B1632" s="224">
        <v>8840457</v>
      </c>
      <c r="C1632" s="224">
        <v>884045700</v>
      </c>
      <c r="D1632" s="224" t="s">
        <v>538</v>
      </c>
      <c r="E1632" s="224" t="s">
        <v>8</v>
      </c>
      <c r="F1632" s="224" t="s">
        <v>833</v>
      </c>
      <c r="G1632" s="224" t="s">
        <v>835</v>
      </c>
      <c r="H1632" s="224"/>
      <c r="I1632" s="229">
        <v>0</v>
      </c>
      <c r="J1632" s="229">
        <v>0</v>
      </c>
      <c r="K1632" s="229">
        <v>0</v>
      </c>
      <c r="L1632" s="229">
        <v>0</v>
      </c>
      <c r="M1632" s="229">
        <v>0</v>
      </c>
      <c r="N1632" s="229">
        <v>0</v>
      </c>
      <c r="O1632" s="229">
        <v>0</v>
      </c>
      <c r="P1632" s="229">
        <v>0</v>
      </c>
      <c r="Q1632" s="279">
        <v>0</v>
      </c>
    </row>
    <row r="1633" spans="1:17" customFormat="1">
      <c r="A1633" s="224">
        <v>4</v>
      </c>
      <c r="B1633" s="224">
        <v>8840458</v>
      </c>
      <c r="C1633" s="224">
        <v>884045800</v>
      </c>
      <c r="D1633" s="224" t="s">
        <v>538</v>
      </c>
      <c r="E1633" s="224" t="s">
        <v>8</v>
      </c>
      <c r="F1633" s="224" t="s">
        <v>833</v>
      </c>
      <c r="G1633" s="224" t="s">
        <v>836</v>
      </c>
      <c r="H1633" s="224"/>
      <c r="I1633" s="229">
        <v>0</v>
      </c>
      <c r="J1633" s="229">
        <v>0</v>
      </c>
      <c r="K1633" s="229">
        <v>0</v>
      </c>
      <c r="L1633" s="229">
        <v>0</v>
      </c>
      <c r="M1633" s="229">
        <v>0</v>
      </c>
      <c r="N1633" s="229">
        <v>0</v>
      </c>
      <c r="O1633" s="229">
        <v>0</v>
      </c>
      <c r="P1633" s="229">
        <v>0</v>
      </c>
      <c r="Q1633" s="279">
        <v>0</v>
      </c>
    </row>
    <row r="1634" spans="1:17" customFormat="1">
      <c r="A1634" s="224">
        <v>4</v>
      </c>
      <c r="B1634" s="224">
        <v>8840559</v>
      </c>
      <c r="C1634" s="224">
        <v>884055900</v>
      </c>
      <c r="D1634" s="224" t="s">
        <v>538</v>
      </c>
      <c r="E1634" s="224" t="s">
        <v>8</v>
      </c>
      <c r="F1634" s="224" t="s">
        <v>837</v>
      </c>
      <c r="G1634" s="224" t="s">
        <v>837</v>
      </c>
      <c r="H1634" s="224"/>
      <c r="I1634" s="229">
        <v>0</v>
      </c>
      <c r="J1634" s="229">
        <v>0</v>
      </c>
      <c r="K1634" s="229">
        <v>0</v>
      </c>
      <c r="L1634" s="229">
        <v>0</v>
      </c>
      <c r="M1634" s="229">
        <v>0</v>
      </c>
      <c r="N1634" s="229">
        <v>0</v>
      </c>
      <c r="O1634" s="229">
        <v>0</v>
      </c>
      <c r="P1634" s="229">
        <v>0</v>
      </c>
      <c r="Q1634" s="279">
        <v>0</v>
      </c>
    </row>
    <row r="1635" spans="1:17" customFormat="1">
      <c r="A1635" s="224">
        <v>4</v>
      </c>
      <c r="B1635" s="224">
        <v>8840662</v>
      </c>
      <c r="C1635" s="224">
        <v>884066200</v>
      </c>
      <c r="D1635" s="224" t="s">
        <v>538</v>
      </c>
      <c r="E1635" s="224" t="s">
        <v>8</v>
      </c>
      <c r="F1635" s="224" t="s">
        <v>838</v>
      </c>
      <c r="G1635" s="224" t="s">
        <v>839</v>
      </c>
      <c r="H1635" s="224"/>
      <c r="I1635" s="229">
        <v>0</v>
      </c>
      <c r="J1635" s="229">
        <v>0</v>
      </c>
      <c r="K1635" s="229">
        <v>0</v>
      </c>
      <c r="L1635" s="229">
        <v>0</v>
      </c>
      <c r="M1635" s="229">
        <v>0</v>
      </c>
      <c r="N1635" s="229">
        <v>0</v>
      </c>
      <c r="O1635" s="229">
        <v>0</v>
      </c>
      <c r="P1635" s="229">
        <v>0</v>
      </c>
      <c r="Q1635" s="279">
        <v>0</v>
      </c>
    </row>
    <row r="1636" spans="1:17" customFormat="1">
      <c r="A1636" s="224">
        <v>4</v>
      </c>
      <c r="B1636" s="224">
        <v>8840663</v>
      </c>
      <c r="C1636" s="224">
        <v>884066300</v>
      </c>
      <c r="D1636" s="224" t="s">
        <v>538</v>
      </c>
      <c r="E1636" s="224" t="s">
        <v>8</v>
      </c>
      <c r="F1636" s="224" t="s">
        <v>838</v>
      </c>
      <c r="G1636" s="224" t="s">
        <v>840</v>
      </c>
      <c r="H1636" s="224"/>
      <c r="I1636" s="229">
        <v>0</v>
      </c>
      <c r="J1636" s="229">
        <v>0</v>
      </c>
      <c r="K1636" s="229">
        <v>0</v>
      </c>
      <c r="L1636" s="229">
        <v>0</v>
      </c>
      <c r="M1636" s="229">
        <v>0</v>
      </c>
      <c r="N1636" s="229">
        <v>0</v>
      </c>
      <c r="O1636" s="229">
        <v>0</v>
      </c>
      <c r="P1636" s="229">
        <v>0</v>
      </c>
      <c r="Q1636" s="279">
        <v>0</v>
      </c>
    </row>
    <row r="1637" spans="1:17" customFormat="1">
      <c r="A1637" s="224">
        <v>4</v>
      </c>
      <c r="B1637" s="224">
        <v>8850202</v>
      </c>
      <c r="C1637" s="224">
        <v>885020200</v>
      </c>
      <c r="D1637" s="224" t="s">
        <v>538</v>
      </c>
      <c r="E1637" s="224" t="s">
        <v>5</v>
      </c>
      <c r="F1637" s="224" t="s">
        <v>841</v>
      </c>
      <c r="G1637" s="224" t="s">
        <v>841</v>
      </c>
      <c r="H1637" s="224"/>
      <c r="I1637" s="229">
        <v>0</v>
      </c>
      <c r="J1637" s="229">
        <v>0</v>
      </c>
      <c r="K1637" s="229">
        <v>0</v>
      </c>
      <c r="L1637" s="229">
        <v>0</v>
      </c>
      <c r="M1637" s="229">
        <v>0</v>
      </c>
      <c r="N1637" s="229">
        <v>0</v>
      </c>
      <c r="O1637" s="229">
        <v>0</v>
      </c>
      <c r="P1637" s="229">
        <v>0</v>
      </c>
      <c r="Q1637" s="279">
        <v>0</v>
      </c>
    </row>
    <row r="1638" spans="1:17" customFormat="1">
      <c r="A1638" s="224">
        <v>4</v>
      </c>
      <c r="B1638" s="224">
        <v>8850404</v>
      </c>
      <c r="C1638" s="224">
        <v>885040400</v>
      </c>
      <c r="D1638" s="224" t="s">
        <v>538</v>
      </c>
      <c r="E1638" s="224" t="s">
        <v>5</v>
      </c>
      <c r="F1638" s="224" t="s">
        <v>842</v>
      </c>
      <c r="G1638" s="224" t="s">
        <v>842</v>
      </c>
      <c r="H1638" s="224"/>
      <c r="I1638" s="229">
        <v>0</v>
      </c>
      <c r="J1638" s="229">
        <v>0</v>
      </c>
      <c r="K1638" s="229">
        <v>0</v>
      </c>
      <c r="L1638" s="229">
        <v>0</v>
      </c>
      <c r="M1638" s="229">
        <v>0</v>
      </c>
      <c r="N1638" s="229">
        <v>0</v>
      </c>
      <c r="O1638" s="229">
        <v>0</v>
      </c>
      <c r="P1638" s="229">
        <v>0</v>
      </c>
      <c r="Q1638" s="279">
        <v>0</v>
      </c>
    </row>
    <row r="1639" spans="1:17" customFormat="1">
      <c r="A1639" s="224">
        <v>4</v>
      </c>
      <c r="B1639" s="224">
        <v>8850606</v>
      </c>
      <c r="C1639" s="224">
        <v>885060600</v>
      </c>
      <c r="D1639" s="224" t="s">
        <v>538</v>
      </c>
      <c r="E1639" s="224" t="s">
        <v>5</v>
      </c>
      <c r="F1639" s="224" t="s">
        <v>527</v>
      </c>
      <c r="G1639" s="224" t="s">
        <v>527</v>
      </c>
      <c r="H1639" s="224"/>
      <c r="I1639" s="229">
        <v>0</v>
      </c>
      <c r="J1639" s="229">
        <v>0</v>
      </c>
      <c r="K1639" s="229">
        <v>0</v>
      </c>
      <c r="L1639" s="229">
        <v>0</v>
      </c>
      <c r="M1639" s="229">
        <v>0</v>
      </c>
      <c r="N1639" s="229">
        <v>0</v>
      </c>
      <c r="O1639" s="229">
        <v>0</v>
      </c>
      <c r="P1639" s="229">
        <v>0</v>
      </c>
      <c r="Q1639" s="279">
        <v>0</v>
      </c>
    </row>
    <row r="1640" spans="1:17" customFormat="1">
      <c r="A1640" s="224">
        <v>4</v>
      </c>
      <c r="B1640" s="224">
        <v>8850808</v>
      </c>
      <c r="C1640" s="224">
        <v>885080800</v>
      </c>
      <c r="D1640" s="224" t="s">
        <v>538</v>
      </c>
      <c r="E1640" s="224" t="s">
        <v>5</v>
      </c>
      <c r="F1640" s="224" t="s">
        <v>523</v>
      </c>
      <c r="G1640" s="224" t="s">
        <v>523</v>
      </c>
      <c r="H1640" s="224"/>
      <c r="I1640" s="229">
        <v>0</v>
      </c>
      <c r="J1640" s="229">
        <v>0</v>
      </c>
      <c r="K1640" s="229">
        <v>0</v>
      </c>
      <c r="L1640" s="229">
        <v>0</v>
      </c>
      <c r="M1640" s="229">
        <v>0</v>
      </c>
      <c r="N1640" s="229">
        <v>0</v>
      </c>
      <c r="O1640" s="229">
        <v>0</v>
      </c>
      <c r="P1640" s="229">
        <v>0</v>
      </c>
      <c r="Q1640" s="279">
        <v>0</v>
      </c>
    </row>
    <row r="1641" spans="1:17" customFormat="1">
      <c r="A1641" s="224">
        <v>4</v>
      </c>
      <c r="B1641" s="224">
        <v>8851010</v>
      </c>
      <c r="C1641" s="224">
        <v>885101000</v>
      </c>
      <c r="D1641" s="224" t="s">
        <v>538</v>
      </c>
      <c r="E1641" s="224" t="s">
        <v>5</v>
      </c>
      <c r="F1641" s="224" t="s">
        <v>843</v>
      </c>
      <c r="G1641" s="224" t="s">
        <v>843</v>
      </c>
      <c r="H1641" s="224"/>
      <c r="I1641" s="229">
        <v>0</v>
      </c>
      <c r="J1641" s="229">
        <v>0</v>
      </c>
      <c r="K1641" s="229">
        <v>0</v>
      </c>
      <c r="L1641" s="229">
        <v>0</v>
      </c>
      <c r="M1641" s="229">
        <v>0</v>
      </c>
      <c r="N1641" s="229">
        <v>0</v>
      </c>
      <c r="O1641" s="229">
        <v>0</v>
      </c>
      <c r="P1641" s="229">
        <v>0</v>
      </c>
      <c r="Q1641" s="279">
        <v>0</v>
      </c>
    </row>
    <row r="1642" spans="1:17" customFormat="1">
      <c r="A1642" s="224">
        <v>4</v>
      </c>
      <c r="B1642" s="224">
        <v>8900101</v>
      </c>
      <c r="C1642" s="224">
        <v>890010100</v>
      </c>
      <c r="D1642" s="224" t="s">
        <v>538</v>
      </c>
      <c r="E1642" s="224" t="s">
        <v>809</v>
      </c>
      <c r="F1642" s="224" t="s">
        <v>809</v>
      </c>
      <c r="G1642" s="224" t="s">
        <v>809</v>
      </c>
      <c r="H1642" s="224"/>
      <c r="I1642" s="229">
        <v>0</v>
      </c>
      <c r="J1642" s="229">
        <v>0</v>
      </c>
      <c r="K1642" s="229">
        <v>0</v>
      </c>
      <c r="L1642" s="229">
        <v>0</v>
      </c>
      <c r="M1642" s="229">
        <v>0</v>
      </c>
      <c r="N1642" s="229">
        <v>0</v>
      </c>
      <c r="O1642" s="229">
        <v>0</v>
      </c>
      <c r="P1642" s="229">
        <v>0</v>
      </c>
      <c r="Q1642" s="279">
        <v>0</v>
      </c>
    </row>
  </sheetData>
  <autoFilter ref="A2:Q1642">
    <filterColumn colId="9" showButton="0"/>
    <filterColumn colId="10" showButton="0"/>
    <filterColumn colId="11" showButton="0"/>
    <filterColumn colId="12" showButton="0"/>
  </autoFilter>
  <mergeCells count="10">
    <mergeCell ref="J2:N2"/>
    <mergeCell ref="G2:G3"/>
    <mergeCell ref="H2:H3"/>
    <mergeCell ref="I2:I3"/>
    <mergeCell ref="A2:A3"/>
    <mergeCell ref="C2:C3"/>
    <mergeCell ref="B2:B3"/>
    <mergeCell ref="D2:D3"/>
    <mergeCell ref="E2:E3"/>
    <mergeCell ref="F2:F3"/>
  </mergeCells>
  <phoneticPr fontId="3"/>
  <pageMargins left="0.7" right="0.7" top="0.75" bottom="0.75" header="0.3" footer="0.3"/>
  <pageSetup paperSize="9" scale="25"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sheetPr>
  <dimension ref="A1:BK191"/>
  <sheetViews>
    <sheetView workbookViewId="0"/>
  </sheetViews>
  <sheetFormatPr defaultColWidth="9" defaultRowHeight="13.5" outlineLevelCol="1"/>
  <cols>
    <col min="1" max="1" width="3.375" style="237" customWidth="1"/>
    <col min="2" max="4" width="2" style="237" customWidth="1" outlineLevel="1"/>
    <col min="5" max="5" width="5.625" style="237" customWidth="1"/>
    <col min="6" max="7" width="2" style="237" customWidth="1" outlineLevel="1"/>
    <col min="8" max="8" width="20.125" style="237" customWidth="1"/>
    <col min="9" max="9" width="9" style="237" customWidth="1" outlineLevel="1"/>
    <col min="10" max="12" width="3.75" style="237" customWidth="1" outlineLevel="1"/>
    <col min="13" max="13" width="4.25" style="237" customWidth="1" outlineLevel="1"/>
    <col min="14" max="14" width="4.125" style="237" customWidth="1"/>
    <col min="15" max="15" width="3.625" style="237" customWidth="1"/>
    <col min="16" max="16" width="5.75" style="237" customWidth="1"/>
    <col min="17" max="18" width="9" style="237"/>
    <col min="19" max="19" width="4.25" style="237" customWidth="1"/>
    <col min="20" max="20" width="6.375" style="237" customWidth="1" outlineLevel="1"/>
    <col min="21" max="24" width="9" style="237" customWidth="1" outlineLevel="1"/>
    <col min="25" max="25" width="11.375" style="237" bestFit="1" customWidth="1"/>
    <col min="26" max="26" width="4.25" style="237" customWidth="1" outlineLevel="1"/>
    <col min="27" max="27" width="9" style="237" customWidth="1" outlineLevel="1"/>
    <col min="28" max="28" width="7.875" style="237" customWidth="1" outlineLevel="1"/>
    <col min="29" max="29" width="4.25" style="237" customWidth="1" outlineLevel="1"/>
    <col min="30" max="30" width="9" style="237" customWidth="1" outlineLevel="1"/>
    <col min="31" max="31" width="7.875" style="237" customWidth="1" outlineLevel="1"/>
    <col min="32" max="32" width="8" style="237" customWidth="1" outlineLevel="1"/>
    <col min="33" max="33" width="5.75" style="237" customWidth="1" outlineLevel="1"/>
    <col min="34" max="34" width="7.375" style="237" customWidth="1" outlineLevel="1"/>
    <col min="35" max="38" width="9" style="237" customWidth="1" outlineLevel="1"/>
    <col min="39" max="39" width="6.125" style="237" customWidth="1" outlineLevel="1"/>
    <col min="40" max="41" width="9" style="237" customWidth="1" outlineLevel="1"/>
    <col min="42" max="43" width="7.375" style="237" customWidth="1" outlineLevel="1"/>
    <col min="44" max="44" width="3.75" style="237" customWidth="1" outlineLevel="1"/>
    <col min="45" max="47" width="9" style="237"/>
    <col min="48" max="50" width="9.375" style="237" customWidth="1"/>
    <col min="51" max="53" width="9" style="237"/>
    <col min="54" max="54" width="11.375" style="237" bestFit="1" customWidth="1"/>
    <col min="55" max="16384" width="9" style="237"/>
  </cols>
  <sheetData>
    <row r="1" spans="1:63" ht="13.5" customHeight="1">
      <c r="R1" s="238" t="s">
        <v>554</v>
      </c>
    </row>
    <row r="2" spans="1:63">
      <c r="AU2" s="239">
        <v>1</v>
      </c>
      <c r="AV2" s="240" t="s">
        <v>555</v>
      </c>
      <c r="AW2" s="240" t="s">
        <v>556</v>
      </c>
      <c r="AX2" s="240"/>
      <c r="AY2" s="241"/>
      <c r="AZ2" s="241"/>
      <c r="BA2" s="241"/>
      <c r="BC2" s="239">
        <v>4</v>
      </c>
      <c r="BD2" s="240" t="s">
        <v>557</v>
      </c>
      <c r="BE2" s="240" t="s">
        <v>556</v>
      </c>
      <c r="BF2" s="240"/>
      <c r="BG2" s="241"/>
      <c r="BH2" s="241"/>
      <c r="BI2" s="241"/>
    </row>
    <row r="3" spans="1:63">
      <c r="Y3" s="237" t="s">
        <v>534</v>
      </c>
      <c r="AU3" s="242">
        <v>3</v>
      </c>
      <c r="AV3" s="242">
        <v>5</v>
      </c>
      <c r="AW3" s="242">
        <v>8</v>
      </c>
      <c r="AX3" s="265">
        <v>8</v>
      </c>
      <c r="AY3" s="242">
        <v>10</v>
      </c>
      <c r="AZ3" s="242" t="s">
        <v>535</v>
      </c>
      <c r="BA3" s="242" t="s">
        <v>536</v>
      </c>
      <c r="BB3" s="237" t="s">
        <v>2</v>
      </c>
      <c r="BC3" s="242">
        <v>3</v>
      </c>
      <c r="BD3" s="242">
        <v>5</v>
      </c>
      <c r="BE3" s="242">
        <v>8</v>
      </c>
      <c r="BF3" s="265">
        <v>8</v>
      </c>
      <c r="BG3" s="242">
        <v>10</v>
      </c>
      <c r="BH3" s="242" t="s">
        <v>535</v>
      </c>
      <c r="BI3" s="242" t="s">
        <v>536</v>
      </c>
      <c r="BJ3" s="237" t="s">
        <v>2</v>
      </c>
      <c r="BK3" s="237" t="s">
        <v>558</v>
      </c>
    </row>
    <row r="4" spans="1:63">
      <c r="N4" s="237">
        <v>1</v>
      </c>
      <c r="O4" s="237" t="s">
        <v>538</v>
      </c>
      <c r="P4" s="237" t="s">
        <v>539</v>
      </c>
      <c r="Q4" s="237" t="s">
        <v>559</v>
      </c>
      <c r="Y4" s="229">
        <f t="shared" ref="Y4:Y9" si="0">+SUMIFS(Y$15:Y$47,$Q$15:$Q$47,$Q4)</f>
        <v>0</v>
      </c>
      <c r="AU4" s="243">
        <f>+SUMIFS($Y$15:$Y$47,$Q$15:$Q$47,$Q4,$AT$15:$AT$47,AU$3,$M$15:$M$47,$AU$2)</f>
        <v>0</v>
      </c>
      <c r="AV4" s="243">
        <f t="shared" ref="AV4:BA9" si="1">+SUMIFS($Y$15:$Y$47,$Q$15:$Q$47,$Q4,$AT$15:$AT$47,AV$3,$M$15:$M$47,$AU$2)</f>
        <v>0</v>
      </c>
      <c r="AW4" s="243">
        <f t="shared" si="1"/>
        <v>0</v>
      </c>
      <c r="AX4" s="243">
        <f t="shared" si="1"/>
        <v>0</v>
      </c>
      <c r="AY4" s="243">
        <f t="shared" si="1"/>
        <v>0</v>
      </c>
      <c r="AZ4" s="243">
        <f t="shared" si="1"/>
        <v>0</v>
      </c>
      <c r="BA4" s="243">
        <f t="shared" si="1"/>
        <v>0</v>
      </c>
      <c r="BB4" s="244">
        <f>SUM(AU4:BA4)</f>
        <v>0</v>
      </c>
      <c r="BC4" s="243">
        <f>+SUMIFS($Y$15:$Y$47,$Q$15:$Q$47,$Q4,$AT$15:$AT$47,BC$3,$M$15:$M$47,$BC$2)</f>
        <v>0</v>
      </c>
      <c r="BD4" s="243">
        <f t="shared" ref="BD4:BI9" si="2">+SUMIFS($Y$15:$Y$47,$Q$15:$Q$47,$Q4,$AT$15:$AT$47,BD$3,$M$15:$M$47,$BC$2)</f>
        <v>0</v>
      </c>
      <c r="BE4" s="243">
        <f>+SUMIFS($Y$15:$Y$47,$Q$15:$Q$47,$Q4,$AT$15:$AT$47,BE$3,$M$15:$M$47,$BC$2)-BF4</f>
        <v>0</v>
      </c>
      <c r="BF4" s="243">
        <f t="shared" si="2"/>
        <v>0</v>
      </c>
      <c r="BG4" s="243">
        <f t="shared" si="2"/>
        <v>0</v>
      </c>
      <c r="BH4" s="243">
        <f t="shared" si="2"/>
        <v>0</v>
      </c>
      <c r="BI4" s="243">
        <f t="shared" si="2"/>
        <v>0</v>
      </c>
      <c r="BJ4" s="244">
        <f>SUM(BC4:BI4)</f>
        <v>0</v>
      </c>
      <c r="BK4" s="237" t="str">
        <f>+IF(Y4=(BB4+BJ4),"OK","エラー")</f>
        <v>OK</v>
      </c>
    </row>
    <row r="5" spans="1:63">
      <c r="N5" s="237">
        <v>1</v>
      </c>
      <c r="O5" s="237" t="s">
        <v>538</v>
      </c>
      <c r="P5" s="237" t="s">
        <v>539</v>
      </c>
      <c r="Q5" s="237" t="s">
        <v>560</v>
      </c>
      <c r="Y5" s="229">
        <f t="shared" si="0"/>
        <v>0</v>
      </c>
      <c r="AU5" s="243">
        <f t="shared" ref="AU5:AU9" si="3">+SUMIFS($Y$15:$Y$47,$Q$15:$Q$47,$Q5,$AT$15:$AT$47,AU$3,$M$15:$M$47,$AU$2)</f>
        <v>0</v>
      </c>
      <c r="AV5" s="243">
        <f t="shared" si="1"/>
        <v>0</v>
      </c>
      <c r="AW5" s="243">
        <f t="shared" si="1"/>
        <v>0</v>
      </c>
      <c r="AX5" s="243">
        <f t="shared" si="1"/>
        <v>0</v>
      </c>
      <c r="AY5" s="243">
        <f t="shared" si="1"/>
        <v>0</v>
      </c>
      <c r="AZ5" s="243">
        <f t="shared" si="1"/>
        <v>0</v>
      </c>
      <c r="BA5" s="243">
        <f t="shared" si="1"/>
        <v>0</v>
      </c>
      <c r="BB5" s="244">
        <f t="shared" ref="BB5:BB6" si="4">SUM(AU5:BA5)</f>
        <v>0</v>
      </c>
      <c r="BC5" s="243">
        <f t="shared" ref="BC5:BC9" si="5">+SUMIFS($Y$15:$Y$47,$Q$15:$Q$47,$Q5,$AT$15:$AT$47,BC$3,$M$15:$M$47,$BC$2)</f>
        <v>0</v>
      </c>
      <c r="BD5" s="243">
        <f t="shared" si="2"/>
        <v>0</v>
      </c>
      <c r="BE5" s="243">
        <f t="shared" ref="BE5:BE9" si="6">+SUMIFS($Y$15:$Y$47,$Q$15:$Q$47,$Q5,$AT$15:$AT$47,BE$3,$M$15:$M$47,$BC$2)-BF5</f>
        <v>0</v>
      </c>
      <c r="BF5" s="243">
        <f t="shared" si="2"/>
        <v>0</v>
      </c>
      <c r="BG5" s="243">
        <f t="shared" si="2"/>
        <v>0</v>
      </c>
      <c r="BH5" s="243">
        <f t="shared" si="2"/>
        <v>0</v>
      </c>
      <c r="BI5" s="243">
        <f t="shared" si="2"/>
        <v>0</v>
      </c>
      <c r="BJ5" s="244">
        <f t="shared" ref="BJ5:BJ7" si="7">SUM(BC5:BI5)</f>
        <v>0</v>
      </c>
      <c r="BK5" s="237" t="str">
        <f t="shared" ref="BK5:BK9" si="8">+IF(Y5=(BB5+BJ5),"OK","エラー")</f>
        <v>OK</v>
      </c>
    </row>
    <row r="6" spans="1:63">
      <c r="N6" s="237">
        <v>1</v>
      </c>
      <c r="O6" s="237" t="s">
        <v>538</v>
      </c>
      <c r="P6" s="237" t="s">
        <v>539</v>
      </c>
      <c r="Q6" s="237" t="s">
        <v>561</v>
      </c>
      <c r="Y6" s="229">
        <f t="shared" si="0"/>
        <v>0</v>
      </c>
      <c r="AU6" s="243">
        <f t="shared" si="3"/>
        <v>0</v>
      </c>
      <c r="AV6" s="243">
        <f t="shared" si="1"/>
        <v>0</v>
      </c>
      <c r="AW6" s="243">
        <f t="shared" si="1"/>
        <v>0</v>
      </c>
      <c r="AX6" s="243">
        <f t="shared" si="1"/>
        <v>0</v>
      </c>
      <c r="AY6" s="243">
        <f t="shared" si="1"/>
        <v>0</v>
      </c>
      <c r="AZ6" s="243">
        <f t="shared" si="1"/>
        <v>0</v>
      </c>
      <c r="BA6" s="243">
        <f t="shared" si="1"/>
        <v>0</v>
      </c>
      <c r="BB6" s="244">
        <f t="shared" si="4"/>
        <v>0</v>
      </c>
      <c r="BC6" s="243">
        <f t="shared" si="5"/>
        <v>0</v>
      </c>
      <c r="BD6" s="243">
        <f t="shared" si="2"/>
        <v>0</v>
      </c>
      <c r="BE6" s="243">
        <f t="shared" si="6"/>
        <v>0</v>
      </c>
      <c r="BF6" s="243">
        <f t="shared" si="2"/>
        <v>0</v>
      </c>
      <c r="BG6" s="243">
        <f t="shared" si="2"/>
        <v>0</v>
      </c>
      <c r="BH6" s="243">
        <f t="shared" si="2"/>
        <v>0</v>
      </c>
      <c r="BI6" s="243">
        <f t="shared" si="2"/>
        <v>0</v>
      </c>
      <c r="BJ6" s="244">
        <f t="shared" si="7"/>
        <v>0</v>
      </c>
      <c r="BK6" s="237" t="str">
        <f t="shared" si="8"/>
        <v>OK</v>
      </c>
    </row>
    <row r="7" spans="1:63">
      <c r="N7" s="245">
        <v>2</v>
      </c>
      <c r="O7" s="245" t="s">
        <v>538</v>
      </c>
      <c r="P7" s="245" t="s">
        <v>539</v>
      </c>
      <c r="Q7" s="245" t="s">
        <v>540</v>
      </c>
      <c r="R7" s="245"/>
      <c r="Y7" s="229">
        <f t="shared" si="0"/>
        <v>0</v>
      </c>
      <c r="AU7" s="243">
        <f t="shared" si="3"/>
        <v>0</v>
      </c>
      <c r="AV7" s="243">
        <f t="shared" si="1"/>
        <v>0</v>
      </c>
      <c r="AW7" s="243">
        <f t="shared" si="1"/>
        <v>0</v>
      </c>
      <c r="AX7" s="243">
        <f t="shared" si="1"/>
        <v>0</v>
      </c>
      <c r="AY7" s="243">
        <f t="shared" si="1"/>
        <v>0</v>
      </c>
      <c r="AZ7" s="243">
        <f t="shared" si="1"/>
        <v>0</v>
      </c>
      <c r="BA7" s="243">
        <f t="shared" si="1"/>
        <v>0</v>
      </c>
      <c r="BB7" s="244">
        <f>SUM(AU7:BA7)</f>
        <v>0</v>
      </c>
      <c r="BC7" s="243">
        <f t="shared" si="5"/>
        <v>0</v>
      </c>
      <c r="BD7" s="243">
        <f t="shared" si="2"/>
        <v>0</v>
      </c>
      <c r="BE7" s="243">
        <f t="shared" si="6"/>
        <v>0</v>
      </c>
      <c r="BF7" s="243">
        <f t="shared" si="2"/>
        <v>0</v>
      </c>
      <c r="BG7" s="243">
        <f t="shared" si="2"/>
        <v>0</v>
      </c>
      <c r="BH7" s="243">
        <f t="shared" si="2"/>
        <v>0</v>
      </c>
      <c r="BI7" s="243">
        <f t="shared" si="2"/>
        <v>0</v>
      </c>
      <c r="BJ7" s="244">
        <f t="shared" si="7"/>
        <v>0</v>
      </c>
      <c r="BK7" s="237" t="str">
        <f t="shared" si="8"/>
        <v>OK</v>
      </c>
    </row>
    <row r="8" spans="1:63">
      <c r="N8" s="245">
        <v>3</v>
      </c>
      <c r="O8" s="245" t="s">
        <v>538</v>
      </c>
      <c r="P8" s="245" t="s">
        <v>539</v>
      </c>
      <c r="Q8" s="245" t="s">
        <v>541</v>
      </c>
      <c r="R8" s="245"/>
      <c r="Y8" s="229">
        <f t="shared" si="0"/>
        <v>0</v>
      </c>
      <c r="AU8" s="243">
        <f t="shared" si="3"/>
        <v>0</v>
      </c>
      <c r="AV8" s="243">
        <f t="shared" si="1"/>
        <v>0</v>
      </c>
      <c r="AW8" s="243">
        <f t="shared" si="1"/>
        <v>0</v>
      </c>
      <c r="AX8" s="243">
        <f t="shared" si="1"/>
        <v>0</v>
      </c>
      <c r="AY8" s="243">
        <f t="shared" si="1"/>
        <v>0</v>
      </c>
      <c r="AZ8" s="281">
        <f>+SUMIFS($Y$15:$Y$47,$Q$15:$Q$47,$Q8,$AT$15:$AT$47,AZ$3,$M$15:$M$47,$AU$2)</f>
        <v>0</v>
      </c>
      <c r="BA8" s="243">
        <f t="shared" si="1"/>
        <v>0</v>
      </c>
      <c r="BB8" s="244">
        <f>SUM(AU8:BA8)</f>
        <v>0</v>
      </c>
      <c r="BC8" s="243">
        <f t="shared" si="5"/>
        <v>0</v>
      </c>
      <c r="BD8" s="243">
        <f t="shared" si="2"/>
        <v>0</v>
      </c>
      <c r="BE8" s="243">
        <f t="shared" si="6"/>
        <v>0</v>
      </c>
      <c r="BF8" s="243">
        <f t="shared" si="2"/>
        <v>0</v>
      </c>
      <c r="BG8" s="243">
        <f t="shared" si="2"/>
        <v>0</v>
      </c>
      <c r="BH8" s="243">
        <f t="shared" si="2"/>
        <v>0</v>
      </c>
      <c r="BI8" s="243">
        <f t="shared" si="2"/>
        <v>0</v>
      </c>
      <c r="BJ8" s="244">
        <f>SUM(BC8:BI8)</f>
        <v>0</v>
      </c>
      <c r="BK8" s="237" t="str">
        <f t="shared" si="8"/>
        <v>OK</v>
      </c>
    </row>
    <row r="9" spans="1:63">
      <c r="N9" s="245">
        <v>4</v>
      </c>
      <c r="O9" s="245" t="s">
        <v>538</v>
      </c>
      <c r="P9" s="245" t="s">
        <v>539</v>
      </c>
      <c r="Q9" s="245" t="s">
        <v>542</v>
      </c>
      <c r="R9" s="245"/>
      <c r="Y9" s="229">
        <f t="shared" si="0"/>
        <v>0</v>
      </c>
      <c r="AU9" s="243">
        <f t="shared" si="3"/>
        <v>0</v>
      </c>
      <c r="AV9" s="243">
        <f t="shared" si="1"/>
        <v>0</v>
      </c>
      <c r="AW9" s="243">
        <f t="shared" si="1"/>
        <v>0</v>
      </c>
      <c r="AX9" s="243">
        <f t="shared" si="1"/>
        <v>0</v>
      </c>
      <c r="AY9" s="243">
        <f t="shared" si="1"/>
        <v>0</v>
      </c>
      <c r="AZ9" s="243">
        <f t="shared" si="1"/>
        <v>0</v>
      </c>
      <c r="BA9" s="243">
        <f t="shared" si="1"/>
        <v>0</v>
      </c>
      <c r="BB9" s="244">
        <f>SUM(AU9:BA9)</f>
        <v>0</v>
      </c>
      <c r="BC9" s="243">
        <f t="shared" si="5"/>
        <v>0</v>
      </c>
      <c r="BD9" s="243">
        <f t="shared" si="2"/>
        <v>0</v>
      </c>
      <c r="BE9" s="243">
        <f t="shared" si="6"/>
        <v>0</v>
      </c>
      <c r="BF9" s="243">
        <f t="shared" si="2"/>
        <v>0</v>
      </c>
      <c r="BG9" s="243">
        <f t="shared" si="2"/>
        <v>0</v>
      </c>
      <c r="BH9" s="243">
        <f t="shared" si="2"/>
        <v>0</v>
      </c>
      <c r="BI9" s="243">
        <f t="shared" si="2"/>
        <v>0</v>
      </c>
      <c r="BJ9" s="244">
        <f>SUM(BC9:BI9)</f>
        <v>0</v>
      </c>
      <c r="BK9" s="237" t="str">
        <f t="shared" si="8"/>
        <v>OK</v>
      </c>
    </row>
    <row r="10" spans="1:63">
      <c r="N10" s="245"/>
      <c r="O10" s="245"/>
      <c r="P10" s="245"/>
      <c r="R10" s="245"/>
      <c r="Y10" s="229">
        <f>SUM(Y4:Y9)</f>
        <v>0</v>
      </c>
      <c r="AU10" s="243"/>
      <c r="AV10" s="243"/>
      <c r="AW10" s="243"/>
      <c r="AX10" s="243"/>
      <c r="AY10" s="243"/>
      <c r="AZ10" s="243"/>
      <c r="BA10" s="243"/>
      <c r="BB10" s="244"/>
    </row>
    <row r="11" spans="1:63">
      <c r="N11" s="245"/>
      <c r="O11" s="245"/>
      <c r="P11" s="245"/>
      <c r="Q11" s="245"/>
      <c r="R11" s="245"/>
      <c r="Y11" s="229"/>
      <c r="AU11" s="243"/>
      <c r="AV11" s="243"/>
      <c r="AW11" s="243"/>
      <c r="AX11" s="243"/>
      <c r="AY11" s="243"/>
      <c r="AZ11" s="243"/>
      <c r="BA11" s="243"/>
      <c r="BB11" s="244"/>
    </row>
    <row r="14" spans="1:63">
      <c r="V14" s="246"/>
      <c r="W14" s="246"/>
      <c r="X14" s="246"/>
      <c r="Y14" s="247"/>
      <c r="AB14" s="246"/>
      <c r="AE14" s="246"/>
      <c r="AG14" s="246"/>
      <c r="AH14" s="246"/>
      <c r="AI14" s="246"/>
      <c r="AL14" s="248" t="s">
        <v>562</v>
      </c>
      <c r="AQ14" s="237" t="s">
        <v>563</v>
      </c>
      <c r="AS14" s="248">
        <v>0</v>
      </c>
      <c r="AT14" s="248">
        <v>0</v>
      </c>
    </row>
    <row r="15" spans="1:63">
      <c r="A15" s="237" t="s">
        <v>564</v>
      </c>
      <c r="B15" s="237" t="s">
        <v>565</v>
      </c>
      <c r="C15" s="237" t="s">
        <v>566</v>
      </c>
      <c r="D15" s="237" t="s">
        <v>567</v>
      </c>
      <c r="E15" s="237" t="s">
        <v>568</v>
      </c>
      <c r="F15" s="237" t="s">
        <v>569</v>
      </c>
      <c r="G15" s="237" t="s">
        <v>570</v>
      </c>
      <c r="H15" s="237" t="s">
        <v>571</v>
      </c>
      <c r="I15" s="237" t="s">
        <v>572</v>
      </c>
      <c r="J15" s="237" t="s">
        <v>573</v>
      </c>
      <c r="K15" s="237" t="s">
        <v>574</v>
      </c>
      <c r="L15" s="237" t="s">
        <v>575</v>
      </c>
      <c r="M15" s="237" t="s">
        <v>576</v>
      </c>
      <c r="N15" s="237" t="s">
        <v>577</v>
      </c>
      <c r="O15" s="237" t="s">
        <v>578</v>
      </c>
      <c r="P15" s="237" t="s">
        <v>579</v>
      </c>
      <c r="Q15" s="237" t="s">
        <v>580</v>
      </c>
      <c r="R15" s="249" t="s">
        <v>581</v>
      </c>
      <c r="S15" s="237" t="s">
        <v>582</v>
      </c>
      <c r="T15" s="237" t="s">
        <v>583</v>
      </c>
      <c r="U15" s="237" t="s">
        <v>584</v>
      </c>
      <c r="V15" s="246" t="s">
        <v>585</v>
      </c>
      <c r="W15" s="246" t="s">
        <v>586</v>
      </c>
      <c r="X15" s="246" t="s">
        <v>587</v>
      </c>
      <c r="Y15" s="229" t="s">
        <v>588</v>
      </c>
      <c r="Z15" s="237" t="s">
        <v>589</v>
      </c>
      <c r="AA15" s="237" t="s">
        <v>590</v>
      </c>
      <c r="AB15" s="246" t="s">
        <v>591</v>
      </c>
      <c r="AC15" s="237" t="s">
        <v>592</v>
      </c>
      <c r="AD15" s="237" t="s">
        <v>593</v>
      </c>
      <c r="AE15" s="246" t="s">
        <v>594</v>
      </c>
      <c r="AF15" s="237" t="s">
        <v>595</v>
      </c>
      <c r="AG15" s="246" t="s">
        <v>596</v>
      </c>
      <c r="AH15" s="246" t="s">
        <v>597</v>
      </c>
      <c r="AI15" s="246" t="s">
        <v>598</v>
      </c>
      <c r="AJ15" s="237" t="s">
        <v>599</v>
      </c>
      <c r="AL15" s="250" t="s">
        <v>612</v>
      </c>
      <c r="AM15" s="250">
        <v>1</v>
      </c>
      <c r="AN15" s="249">
        <v>0</v>
      </c>
      <c r="AO15" s="249">
        <v>0</v>
      </c>
      <c r="AP15" s="250">
        <v>0</v>
      </c>
      <c r="AQ15" s="250" t="s">
        <v>613</v>
      </c>
      <c r="AS15" s="237" t="s">
        <v>614</v>
      </c>
      <c r="AT15" s="237" t="s">
        <v>615</v>
      </c>
      <c r="AV15" s="237" t="s">
        <v>616</v>
      </c>
      <c r="AW15" s="237" t="s">
        <v>617</v>
      </c>
      <c r="AX15" s="237" t="s">
        <v>618</v>
      </c>
      <c r="AY15" s="237" t="s">
        <v>619</v>
      </c>
      <c r="AZ15" s="237" t="s">
        <v>620</v>
      </c>
      <c r="BA15" s="237" t="s">
        <v>621</v>
      </c>
      <c r="BB15" s="237" t="s">
        <v>622</v>
      </c>
      <c r="BC15" s="237" t="s">
        <v>623</v>
      </c>
      <c r="BD15" s="237" t="s">
        <v>624</v>
      </c>
      <c r="BE15" s="237" t="s">
        <v>625</v>
      </c>
      <c r="BG15" s="237" t="s">
        <v>626</v>
      </c>
      <c r="BH15" s="237" t="s">
        <v>627</v>
      </c>
      <c r="BI15" s="237" t="s">
        <v>628</v>
      </c>
      <c r="BJ15" s="237" t="s">
        <v>629</v>
      </c>
    </row>
    <row r="16" spans="1:63" s="260" customFormat="1">
      <c r="V16" s="257"/>
      <c r="W16" s="257"/>
      <c r="X16" s="257"/>
      <c r="Y16" s="257"/>
    </row>
    <row r="17" spans="22:46" s="260" customFormat="1">
      <c r="V17" s="257"/>
      <c r="W17" s="257"/>
      <c r="X17" s="257"/>
      <c r="Y17" s="257"/>
    </row>
    <row r="18" spans="22:46" s="260" customFormat="1">
      <c r="Y18" s="257"/>
      <c r="AL18" s="251"/>
    </row>
    <row r="19" spans="22:46" s="260" customFormat="1">
      <c r="Y19" s="257"/>
      <c r="AL19" s="251"/>
    </row>
    <row r="20" spans="22:46" s="260" customFormat="1">
      <c r="Y20" s="257"/>
      <c r="AL20" s="251"/>
    </row>
    <row r="21" spans="22:46" s="260" customFormat="1">
      <c r="Y21" s="257"/>
      <c r="AL21" s="251"/>
    </row>
    <row r="22" spans="22:46">
      <c r="Y22" s="229"/>
      <c r="AL22" s="248"/>
      <c r="AS22" s="248"/>
      <c r="AT22" s="248"/>
    </row>
    <row r="23" spans="22:46">
      <c r="Y23" s="229"/>
      <c r="AL23" s="248"/>
      <c r="AS23" s="248"/>
      <c r="AT23" s="248"/>
    </row>
    <row r="24" spans="22:46">
      <c r="Y24" s="229"/>
      <c r="AL24" s="248"/>
      <c r="AS24" s="248"/>
      <c r="AT24" s="248"/>
    </row>
    <row r="25" spans="22:46">
      <c r="Y25" s="229"/>
      <c r="AL25" s="248"/>
      <c r="AS25" s="248"/>
      <c r="AT25" s="248"/>
    </row>
    <row r="26" spans="22:46">
      <c r="Y26" s="229"/>
      <c r="AL26" s="248"/>
      <c r="AS26" s="248"/>
      <c r="AT26" s="248"/>
    </row>
    <row r="27" spans="22:46">
      <c r="Y27" s="229"/>
      <c r="AL27" s="248"/>
      <c r="AS27" s="248"/>
      <c r="AT27" s="248"/>
    </row>
    <row r="28" spans="22:46">
      <c r="Y28" s="229"/>
      <c r="AL28" s="248"/>
      <c r="AS28" s="248"/>
      <c r="AT28" s="248"/>
    </row>
    <row r="29" spans="22:46">
      <c r="Y29" s="229"/>
      <c r="AL29" s="248"/>
      <c r="AS29" s="248"/>
      <c r="AT29" s="248"/>
    </row>
    <row r="30" spans="22:46">
      <c r="Y30" s="229"/>
      <c r="AL30" s="248"/>
      <c r="AS30" s="248"/>
      <c r="AT30" s="248"/>
    </row>
    <row r="31" spans="22:46">
      <c r="Y31" s="229"/>
      <c r="AL31" s="248"/>
      <c r="AS31" s="248"/>
      <c r="AT31" s="248"/>
    </row>
    <row r="32" spans="22:46">
      <c r="Y32" s="229"/>
      <c r="AL32" s="248"/>
      <c r="AS32" s="248"/>
      <c r="AT32" s="248"/>
    </row>
    <row r="33" spans="25:46">
      <c r="Y33" s="229"/>
      <c r="AL33" s="248"/>
      <c r="AS33" s="248"/>
      <c r="AT33" s="248"/>
    </row>
    <row r="34" spans="25:46">
      <c r="Y34" s="229"/>
      <c r="AL34" s="248"/>
      <c r="AS34" s="248"/>
      <c r="AT34" s="248"/>
    </row>
    <row r="35" spans="25:46">
      <c r="Y35" s="229"/>
      <c r="AL35" s="248"/>
      <c r="AS35" s="248"/>
      <c r="AT35" s="248"/>
    </row>
    <row r="36" spans="25:46">
      <c r="Y36" s="229"/>
      <c r="AL36" s="248"/>
      <c r="AS36" s="248"/>
      <c r="AT36" s="248"/>
    </row>
    <row r="37" spans="25:46">
      <c r="Y37" s="229"/>
      <c r="AL37" s="248"/>
      <c r="AS37" s="248"/>
      <c r="AT37" s="248"/>
    </row>
    <row r="38" spans="25:46">
      <c r="Y38" s="229"/>
      <c r="AL38" s="248"/>
      <c r="AS38" s="248"/>
      <c r="AT38" s="248"/>
    </row>
    <row r="39" spans="25:46">
      <c r="Y39" s="229"/>
      <c r="AL39" s="248"/>
      <c r="AS39" s="248"/>
      <c r="AT39" s="248"/>
    </row>
    <row r="40" spans="25:46">
      <c r="Y40" s="229"/>
      <c r="AL40" s="248"/>
      <c r="AS40" s="248"/>
      <c r="AT40" s="248"/>
    </row>
    <row r="41" spans="25:46">
      <c r="Y41" s="229"/>
      <c r="AL41" s="248"/>
      <c r="AS41" s="248"/>
      <c r="AT41" s="248"/>
    </row>
    <row r="42" spans="25:46">
      <c r="Y42" s="229"/>
      <c r="AL42" s="248"/>
      <c r="AS42" s="248"/>
      <c r="AT42" s="248"/>
    </row>
    <row r="43" spans="25:46">
      <c r="Y43" s="229"/>
      <c r="AL43" s="248"/>
      <c r="AS43" s="248"/>
      <c r="AT43" s="248"/>
    </row>
    <row r="44" spans="25:46">
      <c r="Y44" s="229"/>
      <c r="AL44" s="248"/>
      <c r="AS44" s="248"/>
      <c r="AT44" s="248"/>
    </row>
    <row r="45" spans="25:46">
      <c r="Y45" s="229"/>
      <c r="AL45" s="248"/>
      <c r="AS45" s="248"/>
      <c r="AT45" s="248"/>
    </row>
    <row r="46" spans="25:46">
      <c r="Y46" s="229"/>
      <c r="AL46" s="248"/>
      <c r="AS46" s="248"/>
      <c r="AT46" s="248"/>
    </row>
    <row r="47" spans="25:46">
      <c r="Y47" s="280"/>
      <c r="AL47" s="248"/>
      <c r="AS47" s="248"/>
      <c r="AT47" s="248"/>
    </row>
    <row r="48" spans="25:46">
      <c r="Y48" s="229"/>
      <c r="AL48" s="248"/>
      <c r="AS48" s="248"/>
      <c r="AT48" s="248"/>
    </row>
    <row r="49" spans="25:46">
      <c r="Y49" s="229"/>
      <c r="AL49" s="248"/>
      <c r="AS49" s="248"/>
      <c r="AT49" s="248"/>
    </row>
    <row r="50" spans="25:46">
      <c r="Y50" s="229"/>
      <c r="AL50" s="248"/>
      <c r="AS50" s="248"/>
      <c r="AT50" s="248"/>
    </row>
    <row r="51" spans="25:46">
      <c r="Y51" s="229"/>
      <c r="AL51" s="248"/>
      <c r="AS51" s="248"/>
      <c r="AT51" s="248"/>
    </row>
    <row r="52" spans="25:46">
      <c r="Y52" s="229"/>
      <c r="AL52" s="248"/>
      <c r="AS52" s="248"/>
      <c r="AT52" s="248"/>
    </row>
    <row r="53" spans="25:46">
      <c r="Y53" s="229"/>
      <c r="AL53" s="248"/>
      <c r="AS53" s="248"/>
      <c r="AT53" s="248"/>
    </row>
    <row r="54" spans="25:46">
      <c r="Y54" s="229"/>
      <c r="AL54" s="248"/>
      <c r="AS54" s="248"/>
      <c r="AT54" s="248"/>
    </row>
    <row r="55" spans="25:46">
      <c r="Y55" s="229"/>
      <c r="AL55" s="248"/>
      <c r="AS55" s="248"/>
      <c r="AT55" s="248"/>
    </row>
    <row r="56" spans="25:46">
      <c r="Y56" s="229"/>
      <c r="AL56" s="248"/>
      <c r="AS56" s="248"/>
      <c r="AT56" s="248"/>
    </row>
    <row r="57" spans="25:46">
      <c r="Y57" s="229"/>
      <c r="AL57" s="248"/>
      <c r="AS57" s="248"/>
      <c r="AT57" s="248"/>
    </row>
    <row r="58" spans="25:46">
      <c r="Y58" s="229"/>
      <c r="AL58" s="248"/>
      <c r="AS58" s="248"/>
      <c r="AT58" s="248"/>
    </row>
    <row r="59" spans="25:46">
      <c r="Y59" s="229"/>
      <c r="AL59" s="248"/>
      <c r="AS59" s="248"/>
      <c r="AT59" s="248"/>
    </row>
    <row r="60" spans="25:46">
      <c r="Y60" s="229"/>
      <c r="AL60" s="248"/>
      <c r="AS60" s="248"/>
      <c r="AT60" s="248"/>
    </row>
    <row r="61" spans="25:46">
      <c r="Y61" s="229"/>
      <c r="AL61" s="248"/>
      <c r="AS61" s="248"/>
      <c r="AT61" s="248"/>
    </row>
    <row r="62" spans="25:46">
      <c r="Y62" s="229"/>
      <c r="AL62" s="248"/>
      <c r="AS62" s="248"/>
      <c r="AT62" s="248"/>
    </row>
    <row r="63" spans="25:46">
      <c r="Y63" s="229"/>
      <c r="AL63" s="248"/>
      <c r="AS63" s="248"/>
      <c r="AT63" s="248"/>
    </row>
    <row r="64" spans="25:46">
      <c r="Y64" s="229"/>
      <c r="AL64" s="248"/>
      <c r="AS64" s="248"/>
      <c r="AT64" s="248"/>
    </row>
    <row r="65" spans="25:46">
      <c r="Y65" s="229"/>
      <c r="AL65" s="248"/>
      <c r="AS65" s="248"/>
      <c r="AT65" s="248"/>
    </row>
    <row r="66" spans="25:46">
      <c r="Y66" s="229"/>
      <c r="AL66" s="248"/>
      <c r="AS66" s="248"/>
      <c r="AT66" s="248"/>
    </row>
    <row r="67" spans="25:46">
      <c r="Y67" s="229"/>
      <c r="AL67" s="248"/>
      <c r="AS67" s="248"/>
      <c r="AT67" s="248"/>
    </row>
    <row r="68" spans="25:46">
      <c r="Y68" s="229"/>
      <c r="AL68" s="248"/>
      <c r="AS68" s="248"/>
      <c r="AT68" s="248"/>
    </row>
    <row r="69" spans="25:46">
      <c r="Y69" s="229"/>
      <c r="AL69" s="248"/>
      <c r="AS69" s="248"/>
      <c r="AT69" s="248"/>
    </row>
    <row r="70" spans="25:46">
      <c r="Y70" s="229"/>
      <c r="AL70" s="248"/>
      <c r="AS70" s="248"/>
      <c r="AT70" s="248"/>
    </row>
    <row r="71" spans="25:46">
      <c r="Y71" s="229"/>
      <c r="AL71" s="248"/>
      <c r="AS71" s="248"/>
      <c r="AT71" s="248"/>
    </row>
    <row r="72" spans="25:46">
      <c r="Y72" s="229"/>
      <c r="AL72" s="248"/>
      <c r="AS72" s="248"/>
      <c r="AT72" s="248"/>
    </row>
    <row r="73" spans="25:46">
      <c r="Y73" s="229"/>
      <c r="AL73" s="248"/>
      <c r="AS73" s="248"/>
      <c r="AT73" s="248"/>
    </row>
    <row r="74" spans="25:46">
      <c r="Y74" s="229"/>
      <c r="AL74" s="248"/>
      <c r="AS74" s="248"/>
      <c r="AT74" s="248"/>
    </row>
    <row r="75" spans="25:46">
      <c r="Y75" s="229"/>
      <c r="AL75" s="248"/>
      <c r="AS75" s="248"/>
      <c r="AT75" s="248"/>
    </row>
    <row r="76" spans="25:46">
      <c r="Y76" s="229"/>
      <c r="AL76" s="248"/>
      <c r="AS76" s="248"/>
      <c r="AT76" s="248"/>
    </row>
    <row r="77" spans="25:46">
      <c r="Y77" s="229"/>
      <c r="AL77" s="248"/>
      <c r="AS77" s="248"/>
      <c r="AT77" s="248"/>
    </row>
    <row r="78" spans="25:46">
      <c r="Y78" s="229"/>
      <c r="AL78" s="248"/>
      <c r="AS78" s="248"/>
      <c r="AT78" s="248"/>
    </row>
    <row r="79" spans="25:46">
      <c r="Y79" s="229"/>
      <c r="AL79" s="248"/>
      <c r="AS79" s="248"/>
      <c r="AT79" s="248"/>
    </row>
    <row r="80" spans="25:46">
      <c r="Y80" s="229"/>
      <c r="AL80" s="248"/>
      <c r="AS80" s="248"/>
      <c r="AT80" s="248"/>
    </row>
    <row r="81" spans="25:46">
      <c r="Y81" s="229"/>
      <c r="AL81" s="248"/>
      <c r="AS81" s="248"/>
      <c r="AT81" s="248"/>
    </row>
    <row r="82" spans="25:46">
      <c r="Y82" s="229"/>
      <c r="AL82" s="248"/>
      <c r="AS82" s="248"/>
      <c r="AT82" s="248"/>
    </row>
    <row r="83" spans="25:46">
      <c r="Y83" s="229"/>
      <c r="AL83" s="248"/>
      <c r="AS83" s="248"/>
      <c r="AT83" s="248"/>
    </row>
    <row r="84" spans="25:46">
      <c r="Y84" s="229"/>
      <c r="AL84" s="248"/>
      <c r="AS84" s="248"/>
      <c r="AT84" s="248"/>
    </row>
    <row r="85" spans="25:46">
      <c r="Y85" s="229"/>
      <c r="AL85" s="248"/>
      <c r="AS85" s="248"/>
      <c r="AT85" s="248"/>
    </row>
    <row r="86" spans="25:46">
      <c r="Y86" s="229"/>
      <c r="AL86" s="248"/>
      <c r="AS86" s="248"/>
      <c r="AT86" s="248"/>
    </row>
    <row r="87" spans="25:46">
      <c r="Y87" s="229"/>
      <c r="AL87" s="248"/>
      <c r="AS87" s="248"/>
      <c r="AT87" s="248"/>
    </row>
    <row r="88" spans="25:46">
      <c r="Y88" s="229"/>
      <c r="AL88" s="248"/>
      <c r="AS88" s="248"/>
      <c r="AT88" s="248"/>
    </row>
    <row r="89" spans="25:46">
      <c r="Y89" s="229"/>
      <c r="AL89" s="248"/>
      <c r="AS89" s="248"/>
      <c r="AT89" s="248"/>
    </row>
    <row r="90" spans="25:46">
      <c r="Y90" s="229"/>
      <c r="AL90" s="248"/>
      <c r="AS90" s="248"/>
      <c r="AT90" s="248"/>
    </row>
    <row r="91" spans="25:46">
      <c r="Y91" s="229"/>
      <c r="AL91" s="248"/>
      <c r="AS91" s="248"/>
      <c r="AT91" s="248"/>
    </row>
    <row r="92" spans="25:46">
      <c r="Y92" s="229"/>
      <c r="AL92" s="248"/>
      <c r="AS92" s="248"/>
      <c r="AT92" s="248"/>
    </row>
    <row r="93" spans="25:46">
      <c r="Y93" s="229"/>
      <c r="AL93" s="248"/>
      <c r="AS93" s="248"/>
      <c r="AT93" s="248"/>
    </row>
    <row r="94" spans="25:46">
      <c r="Y94" s="229"/>
      <c r="AL94" s="248"/>
      <c r="AS94" s="248"/>
      <c r="AT94" s="248"/>
    </row>
    <row r="95" spans="25:46">
      <c r="Y95" s="229"/>
      <c r="AL95" s="248"/>
      <c r="AS95" s="248"/>
      <c r="AT95" s="248"/>
    </row>
    <row r="96" spans="25:46">
      <c r="Y96" s="229"/>
      <c r="AL96" s="248"/>
      <c r="AS96" s="248"/>
      <c r="AT96" s="248"/>
    </row>
    <row r="97" spans="25:46">
      <c r="Y97" s="229"/>
      <c r="AL97" s="248"/>
      <c r="AS97" s="248"/>
      <c r="AT97" s="248"/>
    </row>
    <row r="98" spans="25:46">
      <c r="Y98" s="229"/>
      <c r="AL98" s="248"/>
      <c r="AS98" s="248"/>
      <c r="AT98" s="248"/>
    </row>
    <row r="99" spans="25:46">
      <c r="Y99" s="229"/>
      <c r="AL99" s="248"/>
      <c r="AS99" s="248"/>
      <c r="AT99" s="248"/>
    </row>
    <row r="100" spans="25:46">
      <c r="Y100" s="229"/>
      <c r="AL100" s="248"/>
      <c r="AS100" s="248"/>
      <c r="AT100" s="248"/>
    </row>
    <row r="101" spans="25:46">
      <c r="Y101" s="229"/>
      <c r="AL101" s="248"/>
      <c r="AS101" s="248"/>
      <c r="AT101" s="248"/>
    </row>
    <row r="102" spans="25:46">
      <c r="Y102" s="229"/>
      <c r="AL102" s="248"/>
      <c r="AS102" s="248"/>
      <c r="AT102" s="248"/>
    </row>
    <row r="103" spans="25:46">
      <c r="Y103" s="229"/>
      <c r="AL103" s="248"/>
      <c r="AS103" s="248"/>
      <c r="AT103" s="248"/>
    </row>
    <row r="104" spans="25:46">
      <c r="Y104" s="229"/>
      <c r="AL104" s="248"/>
      <c r="AS104" s="248"/>
      <c r="AT104" s="248"/>
    </row>
    <row r="105" spans="25:46">
      <c r="Y105" s="229"/>
      <c r="AL105" s="248"/>
      <c r="AS105" s="248"/>
      <c r="AT105" s="248"/>
    </row>
    <row r="106" spans="25:46">
      <c r="Y106" s="229"/>
      <c r="AL106" s="248"/>
      <c r="AS106" s="248"/>
      <c r="AT106" s="248"/>
    </row>
    <row r="107" spans="25:46">
      <c r="Y107" s="229"/>
      <c r="AL107" s="248"/>
      <c r="AS107" s="248"/>
      <c r="AT107" s="248"/>
    </row>
    <row r="108" spans="25:46">
      <c r="Y108" s="229"/>
      <c r="AL108" s="248"/>
      <c r="AS108" s="248"/>
      <c r="AT108" s="248"/>
    </row>
    <row r="109" spans="25:46">
      <c r="Y109" s="229"/>
      <c r="AL109" s="248"/>
      <c r="AS109" s="248"/>
      <c r="AT109" s="248"/>
    </row>
    <row r="110" spans="25:46">
      <c r="Y110" s="229"/>
      <c r="AL110" s="248"/>
      <c r="AS110" s="248"/>
      <c r="AT110" s="248"/>
    </row>
    <row r="111" spans="25:46">
      <c r="Y111" s="229"/>
      <c r="AL111" s="248"/>
      <c r="AS111" s="248"/>
      <c r="AT111" s="248"/>
    </row>
    <row r="112" spans="25:46">
      <c r="Y112" s="229"/>
      <c r="AL112" s="248"/>
      <c r="AS112" s="248"/>
      <c r="AT112" s="248"/>
    </row>
    <row r="113" spans="25:46">
      <c r="Y113" s="229"/>
      <c r="AL113" s="248"/>
      <c r="AS113" s="248"/>
      <c r="AT113" s="248"/>
    </row>
    <row r="114" spans="25:46">
      <c r="Y114" s="229"/>
      <c r="AL114" s="248"/>
      <c r="AS114" s="248"/>
      <c r="AT114" s="248"/>
    </row>
    <row r="115" spans="25:46">
      <c r="Y115" s="229"/>
      <c r="AL115" s="248"/>
      <c r="AS115" s="248"/>
      <c r="AT115" s="248"/>
    </row>
    <row r="116" spans="25:46">
      <c r="Y116" s="229"/>
      <c r="AL116" s="248"/>
      <c r="AS116" s="248"/>
      <c r="AT116" s="248"/>
    </row>
    <row r="117" spans="25:46">
      <c r="Y117" s="229"/>
      <c r="AL117" s="248"/>
      <c r="AS117" s="248"/>
      <c r="AT117" s="248"/>
    </row>
    <row r="118" spans="25:46">
      <c r="Y118" s="229"/>
      <c r="AL118" s="248"/>
      <c r="AS118" s="248"/>
      <c r="AT118" s="248"/>
    </row>
    <row r="119" spans="25:46">
      <c r="Y119" s="229"/>
      <c r="AL119" s="248"/>
      <c r="AS119" s="248"/>
      <c r="AT119" s="248"/>
    </row>
    <row r="120" spans="25:46">
      <c r="Y120" s="229"/>
      <c r="AL120" s="248"/>
      <c r="AS120" s="248"/>
      <c r="AT120" s="248"/>
    </row>
    <row r="121" spans="25:46">
      <c r="Y121" s="229"/>
      <c r="AL121" s="248"/>
      <c r="AS121" s="248"/>
      <c r="AT121" s="248"/>
    </row>
    <row r="122" spans="25:46">
      <c r="Y122" s="229"/>
      <c r="AL122" s="248"/>
      <c r="AS122" s="248"/>
      <c r="AT122" s="248"/>
    </row>
    <row r="123" spans="25:46">
      <c r="Y123" s="229"/>
      <c r="AL123" s="248"/>
      <c r="AS123" s="248"/>
      <c r="AT123" s="248"/>
    </row>
    <row r="124" spans="25:46">
      <c r="Y124" s="229"/>
      <c r="AL124" s="248"/>
      <c r="AS124" s="248"/>
      <c r="AT124" s="248"/>
    </row>
    <row r="125" spans="25:46">
      <c r="Y125" s="229"/>
      <c r="AL125" s="248"/>
      <c r="AS125" s="248"/>
      <c r="AT125" s="248"/>
    </row>
    <row r="126" spans="25:46">
      <c r="Y126" s="229"/>
      <c r="AL126" s="248"/>
      <c r="AS126" s="248"/>
      <c r="AT126" s="248"/>
    </row>
    <row r="127" spans="25:46">
      <c r="Y127" s="229"/>
      <c r="AL127" s="248"/>
      <c r="AS127" s="248"/>
      <c r="AT127" s="248"/>
    </row>
    <row r="128" spans="25:46">
      <c r="Y128" s="229"/>
      <c r="AL128" s="248"/>
      <c r="AS128" s="248"/>
      <c r="AT128" s="248"/>
    </row>
    <row r="129" spans="25:46">
      <c r="Y129" s="229"/>
      <c r="AL129" s="248"/>
      <c r="AS129" s="248"/>
      <c r="AT129" s="248"/>
    </row>
    <row r="130" spans="25:46">
      <c r="Y130" s="229"/>
      <c r="AL130" s="248"/>
      <c r="AS130" s="248"/>
      <c r="AT130" s="248"/>
    </row>
    <row r="131" spans="25:46">
      <c r="Y131" s="229"/>
      <c r="AL131" s="248"/>
      <c r="AS131" s="248"/>
      <c r="AT131" s="248"/>
    </row>
    <row r="132" spans="25:46">
      <c r="Y132" s="229"/>
      <c r="AL132" s="248"/>
      <c r="AS132" s="248"/>
      <c r="AT132" s="248"/>
    </row>
    <row r="133" spans="25:46">
      <c r="Y133" s="229"/>
      <c r="AL133" s="248"/>
      <c r="AS133" s="248"/>
      <c r="AT133" s="248"/>
    </row>
    <row r="134" spans="25:46">
      <c r="Y134" s="229"/>
      <c r="AL134" s="248"/>
      <c r="AS134" s="248"/>
      <c r="AT134" s="248"/>
    </row>
    <row r="135" spans="25:46">
      <c r="Y135" s="229"/>
      <c r="AL135" s="248"/>
      <c r="AS135" s="248"/>
      <c r="AT135" s="248"/>
    </row>
    <row r="136" spans="25:46">
      <c r="Y136" s="229"/>
      <c r="AL136" s="248"/>
      <c r="AS136" s="248"/>
      <c r="AT136" s="248"/>
    </row>
    <row r="137" spans="25:46">
      <c r="Y137" s="229"/>
      <c r="AL137" s="248"/>
      <c r="AS137" s="248"/>
      <c r="AT137" s="248"/>
    </row>
    <row r="138" spans="25:46">
      <c r="Y138" s="229"/>
      <c r="AL138" s="248"/>
      <c r="AS138" s="248"/>
      <c r="AT138" s="248"/>
    </row>
    <row r="139" spans="25:46">
      <c r="Y139" s="229"/>
      <c r="AL139" s="248"/>
      <c r="AS139" s="248"/>
      <c r="AT139" s="248"/>
    </row>
    <row r="140" spans="25:46">
      <c r="Y140" s="229"/>
      <c r="AL140" s="248"/>
      <c r="AS140" s="248"/>
      <c r="AT140" s="248"/>
    </row>
    <row r="141" spans="25:46">
      <c r="Y141" s="229"/>
      <c r="AL141" s="248"/>
      <c r="AS141" s="248"/>
      <c r="AT141" s="248"/>
    </row>
    <row r="142" spans="25:46">
      <c r="Y142" s="229"/>
      <c r="AL142" s="248"/>
      <c r="AS142" s="248"/>
      <c r="AT142" s="248"/>
    </row>
    <row r="143" spans="25:46">
      <c r="Y143" s="229"/>
      <c r="AL143" s="248"/>
      <c r="AS143" s="248"/>
      <c r="AT143" s="248"/>
    </row>
    <row r="144" spans="25:46">
      <c r="Y144" s="229"/>
      <c r="AL144" s="248"/>
      <c r="AS144" s="248"/>
      <c r="AT144" s="248"/>
    </row>
    <row r="145" spans="25:46">
      <c r="Y145" s="229"/>
      <c r="AL145" s="248"/>
      <c r="AS145" s="248"/>
      <c r="AT145" s="248"/>
    </row>
    <row r="146" spans="25:46">
      <c r="Y146" s="229"/>
      <c r="AL146" s="248"/>
      <c r="AS146" s="248"/>
      <c r="AT146" s="248"/>
    </row>
    <row r="147" spans="25:46">
      <c r="Y147" s="229"/>
      <c r="AL147" s="248"/>
      <c r="AS147" s="248"/>
      <c r="AT147" s="248"/>
    </row>
    <row r="148" spans="25:46">
      <c r="Y148" s="229"/>
      <c r="AL148" s="248"/>
      <c r="AS148" s="248"/>
      <c r="AT148" s="248"/>
    </row>
    <row r="149" spans="25:46">
      <c r="Y149" s="229"/>
      <c r="AL149" s="248"/>
      <c r="AS149" s="248"/>
      <c r="AT149" s="248"/>
    </row>
    <row r="150" spans="25:46">
      <c r="Y150" s="229"/>
      <c r="AL150" s="248"/>
      <c r="AS150" s="248"/>
      <c r="AT150" s="248"/>
    </row>
    <row r="151" spans="25:46">
      <c r="Y151" s="229"/>
      <c r="AL151" s="248"/>
      <c r="AS151" s="248"/>
      <c r="AT151" s="248"/>
    </row>
    <row r="152" spans="25:46">
      <c r="Y152" s="229"/>
      <c r="AL152" s="248"/>
      <c r="AS152" s="248"/>
      <c r="AT152" s="248"/>
    </row>
    <row r="153" spans="25:46">
      <c r="Y153" s="229"/>
      <c r="AL153" s="248"/>
      <c r="AS153" s="248"/>
      <c r="AT153" s="248"/>
    </row>
    <row r="154" spans="25:46">
      <c r="Y154" s="229"/>
      <c r="AL154" s="248"/>
      <c r="AS154" s="248"/>
      <c r="AT154" s="248"/>
    </row>
    <row r="155" spans="25:46">
      <c r="Y155" s="229"/>
      <c r="AL155" s="248"/>
      <c r="AS155" s="248"/>
      <c r="AT155" s="248"/>
    </row>
    <row r="156" spans="25:46">
      <c r="Y156" s="229"/>
      <c r="AL156" s="248"/>
      <c r="AS156" s="248"/>
      <c r="AT156" s="248"/>
    </row>
    <row r="157" spans="25:46">
      <c r="Y157" s="229"/>
      <c r="AL157" s="248"/>
      <c r="AS157" s="248"/>
      <c r="AT157" s="248"/>
    </row>
    <row r="158" spans="25:46">
      <c r="Y158" s="229"/>
      <c r="AL158" s="248"/>
      <c r="AS158" s="248"/>
      <c r="AT158" s="248"/>
    </row>
    <row r="159" spans="25:46">
      <c r="Y159" s="229"/>
      <c r="AL159" s="248"/>
      <c r="AS159" s="248"/>
      <c r="AT159" s="248"/>
    </row>
    <row r="160" spans="25:46">
      <c r="Y160" s="229"/>
      <c r="AL160" s="248"/>
      <c r="AS160" s="248"/>
      <c r="AT160" s="248"/>
    </row>
    <row r="161" spans="25:46">
      <c r="Y161" s="229"/>
      <c r="AL161" s="248"/>
      <c r="AS161" s="248"/>
      <c r="AT161" s="248"/>
    </row>
    <row r="162" spans="25:46">
      <c r="Y162" s="229"/>
      <c r="AL162" s="248"/>
      <c r="AS162" s="248"/>
      <c r="AT162" s="248"/>
    </row>
    <row r="163" spans="25:46">
      <c r="Y163" s="229"/>
      <c r="AL163" s="248"/>
      <c r="AS163" s="248"/>
      <c r="AT163" s="248"/>
    </row>
    <row r="164" spans="25:46">
      <c r="Y164" s="229"/>
      <c r="AL164" s="248"/>
      <c r="AS164" s="248"/>
      <c r="AT164" s="248"/>
    </row>
    <row r="165" spans="25:46">
      <c r="Y165" s="229"/>
      <c r="AL165" s="248"/>
      <c r="AS165" s="248"/>
      <c r="AT165" s="248"/>
    </row>
    <row r="166" spans="25:46">
      <c r="Y166" s="229"/>
      <c r="AL166" s="248"/>
      <c r="AS166" s="248"/>
      <c r="AT166" s="248"/>
    </row>
    <row r="167" spans="25:46">
      <c r="Y167" s="229"/>
      <c r="AL167" s="248"/>
      <c r="AS167" s="248"/>
      <c r="AT167" s="248"/>
    </row>
    <row r="168" spans="25:46">
      <c r="Y168" s="229"/>
      <c r="AL168" s="248"/>
      <c r="AS168" s="248"/>
      <c r="AT168" s="248"/>
    </row>
    <row r="169" spans="25:46">
      <c r="Y169" s="229"/>
      <c r="AL169" s="248"/>
      <c r="AS169" s="248"/>
      <c r="AT169" s="248"/>
    </row>
    <row r="170" spans="25:46">
      <c r="Y170" s="229"/>
      <c r="AL170" s="248"/>
      <c r="AS170" s="248"/>
      <c r="AT170" s="248"/>
    </row>
    <row r="171" spans="25:46">
      <c r="Y171" s="229"/>
      <c r="AL171" s="248"/>
      <c r="AS171" s="248"/>
      <c r="AT171" s="248"/>
    </row>
    <row r="172" spans="25:46">
      <c r="Y172" s="229"/>
      <c r="AL172" s="248"/>
      <c r="AS172" s="248"/>
      <c r="AT172" s="248"/>
    </row>
    <row r="173" spans="25:46">
      <c r="Y173" s="229"/>
      <c r="AL173" s="248"/>
      <c r="AS173" s="248"/>
      <c r="AT173" s="248"/>
    </row>
    <row r="174" spans="25:46">
      <c r="Y174" s="229"/>
      <c r="AL174" s="248"/>
      <c r="AS174" s="248"/>
      <c r="AT174" s="248"/>
    </row>
    <row r="175" spans="25:46">
      <c r="Y175" s="229"/>
      <c r="AL175" s="248"/>
      <c r="AS175" s="248"/>
      <c r="AT175" s="248"/>
    </row>
    <row r="176" spans="25:46">
      <c r="Y176" s="229"/>
      <c r="AL176" s="248"/>
      <c r="AS176" s="248"/>
      <c r="AT176" s="248"/>
    </row>
    <row r="177" spans="25:46">
      <c r="Y177" s="229"/>
      <c r="AL177" s="248"/>
      <c r="AS177" s="248"/>
      <c r="AT177" s="248"/>
    </row>
    <row r="178" spans="25:46">
      <c r="Y178" s="229"/>
      <c r="AL178" s="248"/>
      <c r="AS178" s="248"/>
      <c r="AT178" s="248"/>
    </row>
    <row r="179" spans="25:46">
      <c r="Y179" s="229"/>
      <c r="AL179" s="248"/>
      <c r="AS179" s="248"/>
      <c r="AT179" s="248"/>
    </row>
    <row r="180" spans="25:46">
      <c r="Y180" s="229"/>
      <c r="AL180" s="248"/>
      <c r="AS180" s="248"/>
      <c r="AT180" s="248"/>
    </row>
    <row r="181" spans="25:46">
      <c r="Y181" s="229"/>
      <c r="AL181" s="248"/>
      <c r="AS181" s="248"/>
      <c r="AT181" s="248"/>
    </row>
    <row r="182" spans="25:46">
      <c r="Y182" s="229"/>
      <c r="AL182" s="248"/>
      <c r="AS182" s="248"/>
      <c r="AT182" s="248"/>
    </row>
    <row r="183" spans="25:46">
      <c r="Y183" s="229"/>
      <c r="AL183" s="248"/>
      <c r="AS183" s="248"/>
      <c r="AT183" s="248"/>
    </row>
    <row r="184" spans="25:46">
      <c r="Y184" s="229"/>
      <c r="AL184" s="248"/>
      <c r="AS184" s="248"/>
      <c r="AT184" s="248"/>
    </row>
    <row r="185" spans="25:46">
      <c r="Y185" s="229"/>
    </row>
    <row r="186" spans="25:46">
      <c r="Y186" s="229"/>
    </row>
    <row r="187" spans="25:46">
      <c r="Y187" s="229"/>
    </row>
    <row r="188" spans="25:46">
      <c r="Y188" s="229"/>
    </row>
    <row r="189" spans="25:46">
      <c r="Y189" s="229"/>
    </row>
    <row r="190" spans="25:46">
      <c r="Y190" s="229"/>
    </row>
    <row r="191" spans="25:46">
      <c r="Y191" s="229"/>
    </row>
  </sheetData>
  <autoFilter ref="A15:AT183"/>
  <phoneticPr fontId="3"/>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pageSetUpPr fitToPage="1"/>
  </sheetPr>
  <dimension ref="A1:AI108"/>
  <sheetViews>
    <sheetView tabSelected="1" zoomScale="85" zoomScaleNormal="85" workbookViewId="0">
      <pane xSplit="5" ySplit="4" topLeftCell="F5" activePane="bottomRight" state="frozen"/>
      <selection activeCell="E30" sqref="E30"/>
      <selection pane="topRight" activeCell="E30" sqref="E30"/>
      <selection pane="bottomLeft" activeCell="E30" sqref="E30"/>
      <selection pane="bottomRight" activeCell="F5" sqref="F5"/>
    </sheetView>
  </sheetViews>
  <sheetFormatPr defaultColWidth="9" defaultRowHeight="13.5" outlineLevelCol="1"/>
  <cols>
    <col min="1" max="3" width="3.375" style="1" customWidth="1"/>
    <col min="4" max="4" width="16" style="1" customWidth="1"/>
    <col min="5" max="5" width="14.25" style="1" customWidth="1"/>
    <col min="6" max="6" width="11.375" style="1" customWidth="1" outlineLevel="1"/>
    <col min="7" max="7" width="12.625" style="1" customWidth="1"/>
    <col min="8" max="9" width="13" style="1" customWidth="1"/>
    <col min="10" max="10" width="12.375" style="1" customWidth="1"/>
    <col min="11" max="11" width="13.625" style="1" customWidth="1"/>
    <col min="12" max="12" width="13" style="1" customWidth="1"/>
    <col min="13" max="13" width="14" style="1" customWidth="1"/>
    <col min="14" max="14" width="11.375" style="3" customWidth="1" outlineLevel="1"/>
    <col min="15" max="17" width="12.625" style="3" customWidth="1"/>
    <col min="18" max="18" width="12.875" style="3" bestFit="1" customWidth="1"/>
    <col min="19" max="19" width="12.625" style="3" customWidth="1"/>
    <col min="20" max="20" width="14.125" style="1" customWidth="1"/>
    <col min="21" max="25" width="7.125" style="2" customWidth="1"/>
    <col min="26" max="30" width="6.375" style="2" customWidth="1"/>
    <col min="31" max="35" width="5.75" style="2" customWidth="1"/>
    <col min="36" max="95" width="10.625" style="1" customWidth="1"/>
    <col min="96" max="16384" width="9" style="1"/>
  </cols>
  <sheetData>
    <row r="1" spans="1:35">
      <c r="D1" s="62" t="str">
        <f>+CONCATENATE("令和",DBCS(年度!A2),"年度決算　消費税算出資料")</f>
        <v>令和５年度決算　消費税算出資料</v>
      </c>
    </row>
    <row r="2" spans="1:35">
      <c r="D2" s="1" t="s">
        <v>50</v>
      </c>
      <c r="V2" s="122"/>
      <c r="W2" s="122"/>
      <c r="X2" s="263"/>
      <c r="Y2" s="122"/>
      <c r="Z2" s="122"/>
      <c r="AA2" s="122"/>
      <c r="AB2" s="122"/>
      <c r="AC2" s="261"/>
      <c r="AD2" s="122"/>
      <c r="AE2" s="122"/>
      <c r="AF2" s="122"/>
      <c r="AG2" s="122"/>
      <c r="AH2" s="261"/>
      <c r="AI2" s="122"/>
    </row>
    <row r="3" spans="1:35">
      <c r="A3" s="321" t="s">
        <v>49</v>
      </c>
      <c r="B3" s="323" t="s">
        <v>48</v>
      </c>
      <c r="C3" s="325" t="s">
        <v>47</v>
      </c>
      <c r="D3" s="311" t="s">
        <v>28</v>
      </c>
      <c r="E3" s="311" t="s">
        <v>0</v>
      </c>
      <c r="F3" s="304" t="s">
        <v>24</v>
      </c>
      <c r="G3" s="305"/>
      <c r="H3" s="305"/>
      <c r="I3" s="305"/>
      <c r="J3" s="305"/>
      <c r="K3" s="327"/>
      <c r="L3" s="311" t="s">
        <v>46</v>
      </c>
      <c r="M3" s="311" t="s">
        <v>45</v>
      </c>
      <c r="N3" s="313" t="s">
        <v>43</v>
      </c>
      <c r="O3" s="314"/>
      <c r="P3" s="314"/>
      <c r="Q3" s="314"/>
      <c r="R3" s="314"/>
      <c r="S3" s="315"/>
      <c r="T3" s="311" t="s">
        <v>44</v>
      </c>
      <c r="U3" s="308" t="s">
        <v>42</v>
      </c>
      <c r="V3" s="309"/>
      <c r="W3" s="309"/>
      <c r="X3" s="309"/>
      <c r="Y3" s="309"/>
      <c r="Z3" s="309" t="s">
        <v>41</v>
      </c>
      <c r="AA3" s="309"/>
      <c r="AB3" s="309"/>
      <c r="AC3" s="309"/>
      <c r="AD3" s="309"/>
      <c r="AE3" s="310" t="s">
        <v>40</v>
      </c>
      <c r="AF3" s="310"/>
      <c r="AG3" s="310"/>
      <c r="AH3" s="310"/>
      <c r="AI3" s="310"/>
    </row>
    <row r="4" spans="1:35" s="121" customFormat="1">
      <c r="A4" s="322"/>
      <c r="B4" s="324"/>
      <c r="C4" s="326"/>
      <c r="D4" s="312"/>
      <c r="E4" s="312"/>
      <c r="F4" s="53">
        <v>3</v>
      </c>
      <c r="G4" s="52">
        <v>5</v>
      </c>
      <c r="H4" s="52">
        <v>8</v>
      </c>
      <c r="I4" s="266">
        <v>8</v>
      </c>
      <c r="J4" s="51">
        <v>10</v>
      </c>
      <c r="K4" s="127" t="s">
        <v>2</v>
      </c>
      <c r="L4" s="312"/>
      <c r="M4" s="312"/>
      <c r="N4" s="126">
        <v>3</v>
      </c>
      <c r="O4" s="125">
        <v>5</v>
      </c>
      <c r="P4" s="125">
        <v>8</v>
      </c>
      <c r="Q4" s="266">
        <v>8</v>
      </c>
      <c r="R4" s="124">
        <v>10</v>
      </c>
      <c r="S4" s="123" t="s">
        <v>2</v>
      </c>
      <c r="T4" s="312"/>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s="62" customFormat="1">
      <c r="A5" s="120"/>
      <c r="B5" s="119"/>
      <c r="C5" s="118"/>
      <c r="D5" s="117" t="s">
        <v>23</v>
      </c>
      <c r="E5" s="116">
        <f>+SUM(E6:E20)</f>
        <v>38667489041</v>
      </c>
      <c r="F5" s="115">
        <f t="shared" ref="F5:T5" si="0">+SUM(F6:F20)</f>
        <v>0</v>
      </c>
      <c r="G5" s="114">
        <f t="shared" si="0"/>
        <v>0</v>
      </c>
      <c r="H5" s="114">
        <f t="shared" si="0"/>
        <v>1196802</v>
      </c>
      <c r="I5" s="114">
        <f t="shared" ref="I5" si="1">+SUM(I6:I20)</f>
        <v>500878</v>
      </c>
      <c r="J5" s="113">
        <f t="shared" si="0"/>
        <v>9029006226</v>
      </c>
      <c r="K5" s="112">
        <f t="shared" si="0"/>
        <v>9030703906</v>
      </c>
      <c r="L5" s="116">
        <f t="shared" si="0"/>
        <v>417951500</v>
      </c>
      <c r="M5" s="116">
        <f t="shared" si="0"/>
        <v>29218833635</v>
      </c>
      <c r="N5" s="115">
        <f t="shared" si="0"/>
        <v>0</v>
      </c>
      <c r="O5" s="114">
        <f t="shared" si="0"/>
        <v>0</v>
      </c>
      <c r="P5" s="114">
        <f t="shared" si="0"/>
        <v>88652</v>
      </c>
      <c r="Q5" s="114">
        <f t="shared" ref="Q5" si="2">+SUM(Q6:Q20)</f>
        <v>37102</v>
      </c>
      <c r="R5" s="113">
        <f t="shared" si="0"/>
        <v>820818747</v>
      </c>
      <c r="S5" s="112">
        <f t="shared" si="0"/>
        <v>820944501</v>
      </c>
      <c r="T5" s="111">
        <f t="shared" si="0"/>
        <v>37846544540</v>
      </c>
      <c r="U5" s="107"/>
      <c r="V5" s="107"/>
      <c r="W5" s="107"/>
      <c r="X5" s="107"/>
      <c r="Y5" s="107"/>
      <c r="Z5" s="106"/>
      <c r="AA5" s="106"/>
      <c r="AB5" s="106"/>
      <c r="AC5" s="106"/>
      <c r="AD5" s="106"/>
      <c r="AE5" s="2"/>
      <c r="AF5" s="2"/>
      <c r="AG5" s="2"/>
      <c r="AH5" s="2"/>
      <c r="AI5" s="2"/>
    </row>
    <row r="6" spans="1:35" s="62" customFormat="1">
      <c r="A6" s="105"/>
      <c r="B6" s="104"/>
      <c r="C6" s="103"/>
      <c r="D6" s="102" t="s">
        <v>22</v>
      </c>
      <c r="E6" s="101">
        <f>+管!E36</f>
        <v>611819957</v>
      </c>
      <c r="F6" s="90">
        <f>+管!F36</f>
        <v>0</v>
      </c>
      <c r="G6" s="89">
        <f>+管!G36</f>
        <v>0</v>
      </c>
      <c r="H6" s="89">
        <f>+管!H36</f>
        <v>678402</v>
      </c>
      <c r="I6" s="89">
        <f>+管!I36</f>
        <v>0</v>
      </c>
      <c r="J6" s="92">
        <f>+管!J36</f>
        <v>518156070</v>
      </c>
      <c r="K6" s="34">
        <f>+管!K36</f>
        <v>518834472</v>
      </c>
      <c r="L6" s="101">
        <f>+管!L36</f>
        <v>20454735</v>
      </c>
      <c r="M6" s="101">
        <f>+管!M36</f>
        <v>72530750</v>
      </c>
      <c r="N6" s="90">
        <f t="shared" ref="N6:N20" si="3">+ROUND(F6*F$4/(100+F$4),0)+AE6</f>
        <v>0</v>
      </c>
      <c r="O6" s="89">
        <f t="shared" ref="O6:O20" si="4">+ROUND(G6*G$4/(100+G$4),0)+AF6</f>
        <v>0</v>
      </c>
      <c r="P6" s="89">
        <f t="shared" ref="P6:Q20" si="5">+ROUND(H6*H$4/(100+H$4),0)+AG6</f>
        <v>50252</v>
      </c>
      <c r="Q6" s="89">
        <f>+ROUND(I6*I$4/(100+I$4),0)+AH6</f>
        <v>0</v>
      </c>
      <c r="R6" s="92">
        <f t="shared" ref="R6:R20" si="6">+ROUND(J6*J$4/(100+J$4),0)+AI6</f>
        <v>47105097</v>
      </c>
      <c r="S6" s="34">
        <f t="shared" ref="S6:S20" si="7">SUM(N6:R6)</f>
        <v>47155349</v>
      </c>
      <c r="T6" s="109">
        <f t="shared" ref="T6:T20" si="8">+E6-S6</f>
        <v>564664608</v>
      </c>
      <c r="U6" s="107">
        <f>N6-F6*F$4/(100+F$4)</f>
        <v>0</v>
      </c>
      <c r="V6" s="107">
        <f>O6-G6*G$4/(100+G$4)</f>
        <v>0</v>
      </c>
      <c r="W6" s="107">
        <f>P6-H6*H$4/(100+H$4)</f>
        <v>0</v>
      </c>
      <c r="X6" s="107">
        <f>Q6-I6*I$4/(100+I$4)</f>
        <v>0</v>
      </c>
      <c r="Y6" s="107">
        <f>R6-J6*J$4/(100+J$4)</f>
        <v>-0.27272727340459824</v>
      </c>
      <c r="Z6" s="106">
        <f t="shared" ref="Z6:Z20" si="9">+IF(N$43=0,0,IF(N$43&lt;0,-RANK(U6,U$5:U$40,0),RANK(U6,U$5:U$40,1)))</f>
        <v>0</v>
      </c>
      <c r="AA6" s="106">
        <f t="shared" ref="AA6:AA20" si="10">+IF(O$43=0,0,IF(O$43&lt;0,-RANK(V6,V$5:V$40,0),RANK(V6,V$5:V$40,1)))</f>
        <v>0</v>
      </c>
      <c r="AB6" s="106">
        <f>+IF(P$43=0,0,IF(P$43&lt;0,-RANK(W6,W$5:W$40,0),RANK(W6,W$5:W$40,1)))</f>
        <v>0</v>
      </c>
      <c r="AC6" s="106">
        <f>+IF(Q$43=0,0,IF(Q$43&lt;0,-RANK(X6,X$5:X$40,0),RANK(X6,X$5:X$40,1)))</f>
        <v>0</v>
      </c>
      <c r="AD6" s="106">
        <f t="shared" ref="AD6:AD20" si="11">+IF(R$43=0,0,IF(R$43&lt;0,-RANK(Y6,Y$5:Y$40,0),RANK(Y6,Y$5:Y$40,1)))</f>
        <v>0</v>
      </c>
      <c r="AE6" s="2"/>
      <c r="AF6" s="2"/>
      <c r="AG6" s="2"/>
      <c r="AH6" s="2"/>
      <c r="AI6" s="2"/>
    </row>
    <row r="7" spans="1:35" s="62" customFormat="1">
      <c r="A7" s="105"/>
      <c r="B7" s="104"/>
      <c r="C7" s="103"/>
      <c r="D7" s="102" t="s">
        <v>21</v>
      </c>
      <c r="E7" s="101">
        <f>+水質!E36</f>
        <v>52443869</v>
      </c>
      <c r="F7" s="90">
        <f>+水質!F36</f>
        <v>0</v>
      </c>
      <c r="G7" s="89">
        <f>+水質!G36</f>
        <v>0</v>
      </c>
      <c r="H7" s="89">
        <f>+水質!H36</f>
        <v>0</v>
      </c>
      <c r="I7" s="89">
        <f>+水質!I36</f>
        <v>0</v>
      </c>
      <c r="J7" s="92">
        <f>+水質!J36</f>
        <v>12436317</v>
      </c>
      <c r="K7" s="34">
        <f>+水質!K36</f>
        <v>12436317</v>
      </c>
      <c r="L7" s="101">
        <f>+水質!L36</f>
        <v>6197563</v>
      </c>
      <c r="M7" s="101">
        <f>+水質!M36</f>
        <v>33809989</v>
      </c>
      <c r="N7" s="90">
        <f t="shared" si="3"/>
        <v>0</v>
      </c>
      <c r="O7" s="89">
        <f t="shared" si="4"/>
        <v>0</v>
      </c>
      <c r="P7" s="89">
        <f t="shared" si="5"/>
        <v>0</v>
      </c>
      <c r="Q7" s="89">
        <f t="shared" si="5"/>
        <v>0</v>
      </c>
      <c r="R7" s="92">
        <f t="shared" si="6"/>
        <v>1130574</v>
      </c>
      <c r="S7" s="34">
        <f t="shared" si="7"/>
        <v>1130574</v>
      </c>
      <c r="T7" s="109">
        <f t="shared" si="8"/>
        <v>51313295</v>
      </c>
      <c r="U7" s="107">
        <f t="shared" ref="U7:U20" si="12">N7-F7*F$4/(100+F$4)-AE7</f>
        <v>0</v>
      </c>
      <c r="V7" s="107">
        <f t="shared" ref="V7:V20" si="13">O7-G7*G$4/(100+G$4)-AF7</f>
        <v>0</v>
      </c>
      <c r="W7" s="107">
        <f t="shared" ref="W7:X20" si="14">P7-H7*H$4/(100+H$4)-AG7</f>
        <v>0</v>
      </c>
      <c r="X7" s="107">
        <f t="shared" si="14"/>
        <v>0</v>
      </c>
      <c r="Y7" s="107">
        <f t="shared" ref="Y7:Y20" si="15">R7-J7*J$4/(100+J$4)-AI7</f>
        <v>-0.27272727270610631</v>
      </c>
      <c r="Z7" s="106">
        <f t="shared" si="9"/>
        <v>0</v>
      </c>
      <c r="AA7" s="106">
        <f t="shared" si="10"/>
        <v>0</v>
      </c>
      <c r="AB7" s="106">
        <f t="shared" ref="AB7:AC20" si="16">+IF(P$43=0,0,IF(P$43&lt;0,-RANK(W7,W$5:W$40,0),RANK(W7,W$5:W$40,1)))</f>
        <v>0</v>
      </c>
      <c r="AC7" s="106">
        <f t="shared" si="16"/>
        <v>0</v>
      </c>
      <c r="AD7" s="106">
        <f t="shared" si="11"/>
        <v>0</v>
      </c>
      <c r="AE7" s="2"/>
      <c r="AF7" s="2"/>
      <c r="AG7" s="2"/>
      <c r="AH7" s="2"/>
      <c r="AI7" s="2"/>
    </row>
    <row r="8" spans="1:35" s="62" customFormat="1">
      <c r="A8" s="105"/>
      <c r="B8" s="104"/>
      <c r="C8" s="103"/>
      <c r="D8" s="102" t="s">
        <v>20</v>
      </c>
      <c r="E8" s="101">
        <f>+ポ!E36</f>
        <v>2356040225</v>
      </c>
      <c r="F8" s="90">
        <f>+ポ!F36</f>
        <v>0</v>
      </c>
      <c r="G8" s="89">
        <f>+ポ!G36</f>
        <v>0</v>
      </c>
      <c r="H8" s="89">
        <f>+ポ!H36</f>
        <v>0</v>
      </c>
      <c r="I8" s="89">
        <f>+ポ!I36</f>
        <v>30357</v>
      </c>
      <c r="J8" s="92">
        <f>+ポ!J36</f>
        <v>1148180103</v>
      </c>
      <c r="K8" s="34">
        <f>+ポ!K36</f>
        <v>1148210460</v>
      </c>
      <c r="L8" s="101">
        <f>+ポ!L36</f>
        <v>188585576</v>
      </c>
      <c r="M8" s="101">
        <f>+ポ!M36</f>
        <v>1019244189</v>
      </c>
      <c r="N8" s="90">
        <f t="shared" si="3"/>
        <v>0</v>
      </c>
      <c r="O8" s="89">
        <f t="shared" si="4"/>
        <v>0</v>
      </c>
      <c r="P8" s="89">
        <f t="shared" si="5"/>
        <v>0</v>
      </c>
      <c r="Q8" s="89">
        <f t="shared" si="5"/>
        <v>2249</v>
      </c>
      <c r="R8" s="92">
        <f t="shared" si="6"/>
        <v>104380009</v>
      </c>
      <c r="S8" s="34">
        <f t="shared" si="7"/>
        <v>104382258</v>
      </c>
      <c r="T8" s="109">
        <f t="shared" si="8"/>
        <v>2251657967</v>
      </c>
      <c r="U8" s="107">
        <f t="shared" si="12"/>
        <v>0</v>
      </c>
      <c r="V8" s="107">
        <f t="shared" si="13"/>
        <v>0</v>
      </c>
      <c r="W8" s="107">
        <f t="shared" si="14"/>
        <v>0</v>
      </c>
      <c r="X8" s="107">
        <f t="shared" si="14"/>
        <v>0.33333333333348492</v>
      </c>
      <c r="Y8" s="107">
        <f t="shared" si="15"/>
        <v>-0.36363635957241058</v>
      </c>
      <c r="Z8" s="106">
        <f t="shared" si="9"/>
        <v>0</v>
      </c>
      <c r="AA8" s="106">
        <f t="shared" si="10"/>
        <v>0</v>
      </c>
      <c r="AB8" s="106">
        <f t="shared" si="16"/>
        <v>0</v>
      </c>
      <c r="AC8" s="106">
        <f t="shared" si="16"/>
        <v>0</v>
      </c>
      <c r="AD8" s="106">
        <f t="shared" si="11"/>
        <v>0</v>
      </c>
      <c r="AE8" s="2"/>
      <c r="AF8" s="2"/>
      <c r="AG8" s="2"/>
      <c r="AH8" s="2"/>
      <c r="AI8" s="2"/>
    </row>
    <row r="9" spans="1:35" s="62" customFormat="1">
      <c r="A9" s="105"/>
      <c r="B9" s="104"/>
      <c r="C9" s="103"/>
      <c r="D9" s="102" t="s">
        <v>19</v>
      </c>
      <c r="E9" s="101">
        <f>+処!E36</f>
        <v>6557703864</v>
      </c>
      <c r="F9" s="90">
        <f>+処!F36</f>
        <v>0</v>
      </c>
      <c r="G9" s="89">
        <f>+処!G36</f>
        <v>0</v>
      </c>
      <c r="H9" s="89">
        <f>+処!H36</f>
        <v>518400</v>
      </c>
      <c r="I9" s="89">
        <f>+処!I36</f>
        <v>144600</v>
      </c>
      <c r="J9" s="92">
        <f>+処!J36</f>
        <v>5718291420</v>
      </c>
      <c r="K9" s="34">
        <f>+処!K36</f>
        <v>5718954420</v>
      </c>
      <c r="L9" s="101">
        <f>+処!L36</f>
        <v>130669187</v>
      </c>
      <c r="M9" s="101">
        <f>+処!M36</f>
        <v>708080257</v>
      </c>
      <c r="N9" s="90">
        <f t="shared" si="3"/>
        <v>0</v>
      </c>
      <c r="O9" s="89">
        <f t="shared" si="4"/>
        <v>0</v>
      </c>
      <c r="P9" s="89">
        <f t="shared" si="5"/>
        <v>38400</v>
      </c>
      <c r="Q9" s="89">
        <f t="shared" si="5"/>
        <v>10711</v>
      </c>
      <c r="R9" s="92">
        <f t="shared" si="6"/>
        <v>519844675</v>
      </c>
      <c r="S9" s="34">
        <f t="shared" si="7"/>
        <v>519893786</v>
      </c>
      <c r="T9" s="109">
        <f t="shared" si="8"/>
        <v>6037810078</v>
      </c>
      <c r="U9" s="107">
        <f t="shared" si="12"/>
        <v>0</v>
      </c>
      <c r="V9" s="107">
        <f t="shared" si="13"/>
        <v>0</v>
      </c>
      <c r="W9" s="107">
        <f t="shared" si="14"/>
        <v>0</v>
      </c>
      <c r="X9" s="107">
        <f t="shared" si="14"/>
        <v>-0.11111111111131322</v>
      </c>
      <c r="Y9" s="107">
        <f t="shared" si="15"/>
        <v>0.45454543828964233</v>
      </c>
      <c r="Z9" s="106">
        <f t="shared" si="9"/>
        <v>0</v>
      </c>
      <c r="AA9" s="106">
        <f t="shared" si="10"/>
        <v>0</v>
      </c>
      <c r="AB9" s="106">
        <f t="shared" si="16"/>
        <v>0</v>
      </c>
      <c r="AC9" s="106">
        <f t="shared" si="16"/>
        <v>0</v>
      </c>
      <c r="AD9" s="106">
        <f t="shared" si="11"/>
        <v>0</v>
      </c>
      <c r="AE9" s="2"/>
      <c r="AF9" s="2"/>
      <c r="AG9" s="2"/>
      <c r="AH9" s="2"/>
      <c r="AI9" s="2"/>
    </row>
    <row r="10" spans="1:35" s="62" customFormat="1">
      <c r="A10" s="105"/>
      <c r="B10" s="104"/>
      <c r="C10" s="103"/>
      <c r="D10" s="102" t="s">
        <v>18</v>
      </c>
      <c r="E10" s="101">
        <f>+受工!E36</f>
        <v>0</v>
      </c>
      <c r="F10" s="90">
        <f>+受工!F36</f>
        <v>0</v>
      </c>
      <c r="G10" s="89">
        <f>+受工!G36</f>
        <v>0</v>
      </c>
      <c r="H10" s="89">
        <f>+受工!H36</f>
        <v>0</v>
      </c>
      <c r="I10" s="89">
        <f>+受工!I36</f>
        <v>0</v>
      </c>
      <c r="J10" s="92">
        <f>+受工!J36</f>
        <v>0</v>
      </c>
      <c r="K10" s="34">
        <f>+受工!K36</f>
        <v>0</v>
      </c>
      <c r="L10" s="101">
        <f>+受工!L36</f>
        <v>0</v>
      </c>
      <c r="M10" s="101">
        <f>+受工!M36</f>
        <v>0</v>
      </c>
      <c r="N10" s="90">
        <f t="shared" si="3"/>
        <v>0</v>
      </c>
      <c r="O10" s="89">
        <f t="shared" si="4"/>
        <v>0</v>
      </c>
      <c r="P10" s="89">
        <f t="shared" si="5"/>
        <v>0</v>
      </c>
      <c r="Q10" s="89">
        <f t="shared" si="5"/>
        <v>0</v>
      </c>
      <c r="R10" s="92">
        <f t="shared" si="6"/>
        <v>0</v>
      </c>
      <c r="S10" s="34">
        <f t="shared" si="7"/>
        <v>0</v>
      </c>
      <c r="T10" s="109">
        <f t="shared" si="8"/>
        <v>0</v>
      </c>
      <c r="U10" s="107">
        <f t="shared" si="12"/>
        <v>0</v>
      </c>
      <c r="V10" s="107">
        <f t="shared" si="13"/>
        <v>0</v>
      </c>
      <c r="W10" s="107">
        <f t="shared" si="14"/>
        <v>0</v>
      </c>
      <c r="X10" s="107">
        <f t="shared" si="14"/>
        <v>0</v>
      </c>
      <c r="Y10" s="107">
        <f t="shared" si="15"/>
        <v>0</v>
      </c>
      <c r="Z10" s="106">
        <f t="shared" si="9"/>
        <v>0</v>
      </c>
      <c r="AA10" s="106">
        <f t="shared" si="10"/>
        <v>0</v>
      </c>
      <c r="AB10" s="106">
        <f t="shared" si="16"/>
        <v>0</v>
      </c>
      <c r="AC10" s="106">
        <f t="shared" si="16"/>
        <v>0</v>
      </c>
      <c r="AD10" s="106">
        <f t="shared" si="11"/>
        <v>0</v>
      </c>
      <c r="AE10" s="2"/>
      <c r="AF10" s="2"/>
      <c r="AG10" s="2"/>
      <c r="AH10" s="2"/>
      <c r="AI10" s="2"/>
    </row>
    <row r="11" spans="1:35" s="62" customFormat="1">
      <c r="A11" s="105"/>
      <c r="B11" s="104"/>
      <c r="C11" s="103"/>
      <c r="D11" s="102" t="s">
        <v>17</v>
      </c>
      <c r="E11" s="101">
        <f>+普及!E36</f>
        <v>88849549</v>
      </c>
      <c r="F11" s="90">
        <f>+普及!F36</f>
        <v>0</v>
      </c>
      <c r="G11" s="89">
        <f>+普及!G36</f>
        <v>0</v>
      </c>
      <c r="H11" s="89">
        <f>+普及!H36</f>
        <v>0</v>
      </c>
      <c r="I11" s="89">
        <f>+普及!I36</f>
        <v>0</v>
      </c>
      <c r="J11" s="92">
        <f>+普及!J36</f>
        <v>18870469</v>
      </c>
      <c r="K11" s="34">
        <f>+普及!K36</f>
        <v>18870469</v>
      </c>
      <c r="L11" s="101">
        <f>+普及!L36</f>
        <v>9614092</v>
      </c>
      <c r="M11" s="101">
        <f>+普及!M36</f>
        <v>60364988</v>
      </c>
      <c r="N11" s="90">
        <f t="shared" si="3"/>
        <v>0</v>
      </c>
      <c r="O11" s="89">
        <f t="shared" si="4"/>
        <v>0</v>
      </c>
      <c r="P11" s="89">
        <f t="shared" si="5"/>
        <v>0</v>
      </c>
      <c r="Q11" s="89">
        <f t="shared" si="5"/>
        <v>0</v>
      </c>
      <c r="R11" s="92">
        <f t="shared" si="6"/>
        <v>1715497</v>
      </c>
      <c r="S11" s="34">
        <f t="shared" si="7"/>
        <v>1715497</v>
      </c>
      <c r="T11" s="109">
        <f t="shared" si="8"/>
        <v>87134052</v>
      </c>
      <c r="U11" s="107">
        <f t="shared" si="12"/>
        <v>0</v>
      </c>
      <c r="V11" s="107">
        <f t="shared" si="13"/>
        <v>0</v>
      </c>
      <c r="W11" s="107">
        <f t="shared" si="14"/>
        <v>0</v>
      </c>
      <c r="X11" s="107">
        <f t="shared" si="14"/>
        <v>0</v>
      </c>
      <c r="Y11" s="107">
        <f t="shared" si="15"/>
        <v>-0.18181818188168108</v>
      </c>
      <c r="Z11" s="106">
        <f t="shared" si="9"/>
        <v>0</v>
      </c>
      <c r="AA11" s="106">
        <f t="shared" si="10"/>
        <v>0</v>
      </c>
      <c r="AB11" s="106">
        <f t="shared" si="16"/>
        <v>0</v>
      </c>
      <c r="AC11" s="106">
        <f t="shared" si="16"/>
        <v>0</v>
      </c>
      <c r="AD11" s="106">
        <f t="shared" si="11"/>
        <v>0</v>
      </c>
      <c r="AE11" s="2"/>
      <c r="AF11" s="2"/>
      <c r="AG11" s="2"/>
      <c r="AH11" s="2"/>
      <c r="AI11" s="2"/>
    </row>
    <row r="12" spans="1:35" s="62" customFormat="1">
      <c r="A12" s="105"/>
      <c r="B12" s="104"/>
      <c r="C12" s="103"/>
      <c r="D12" s="102" t="s">
        <v>16</v>
      </c>
      <c r="E12" s="101">
        <f>+貸付!E36</f>
        <v>10483859</v>
      </c>
      <c r="F12" s="90">
        <f>+貸付!F36</f>
        <v>0</v>
      </c>
      <c r="G12" s="89">
        <f>+貸付!G36</f>
        <v>0</v>
      </c>
      <c r="H12" s="89">
        <f>+貸付!H36</f>
        <v>0</v>
      </c>
      <c r="I12" s="89">
        <f>+貸付!I36</f>
        <v>0</v>
      </c>
      <c r="J12" s="92">
        <f>+貸付!J36</f>
        <v>963485</v>
      </c>
      <c r="K12" s="34">
        <f>+貸付!K36</f>
        <v>963485</v>
      </c>
      <c r="L12" s="101">
        <f>+貸付!L36</f>
        <v>1672623</v>
      </c>
      <c r="M12" s="101">
        <f>+貸付!M36</f>
        <v>7847751</v>
      </c>
      <c r="N12" s="90">
        <f t="shared" si="3"/>
        <v>0</v>
      </c>
      <c r="O12" s="89">
        <f t="shared" si="4"/>
        <v>0</v>
      </c>
      <c r="P12" s="89">
        <f t="shared" si="5"/>
        <v>0</v>
      </c>
      <c r="Q12" s="89">
        <f t="shared" si="5"/>
        <v>0</v>
      </c>
      <c r="R12" s="92">
        <f t="shared" si="6"/>
        <v>87589</v>
      </c>
      <c r="S12" s="34">
        <f t="shared" si="7"/>
        <v>87589</v>
      </c>
      <c r="T12" s="109">
        <f t="shared" si="8"/>
        <v>10396270</v>
      </c>
      <c r="U12" s="107">
        <f t="shared" si="12"/>
        <v>0</v>
      </c>
      <c r="V12" s="107">
        <f t="shared" si="13"/>
        <v>0</v>
      </c>
      <c r="W12" s="107">
        <f t="shared" si="14"/>
        <v>0</v>
      </c>
      <c r="X12" s="107">
        <f t="shared" si="14"/>
        <v>0</v>
      </c>
      <c r="Y12" s="107">
        <f t="shared" si="15"/>
        <v>0.45454545454413164</v>
      </c>
      <c r="Z12" s="106">
        <f t="shared" si="9"/>
        <v>0</v>
      </c>
      <c r="AA12" s="106">
        <f t="shared" si="10"/>
        <v>0</v>
      </c>
      <c r="AB12" s="106">
        <f t="shared" si="16"/>
        <v>0</v>
      </c>
      <c r="AC12" s="106">
        <f t="shared" si="16"/>
        <v>0</v>
      </c>
      <c r="AD12" s="106">
        <f t="shared" si="11"/>
        <v>0</v>
      </c>
      <c r="AE12" s="2"/>
      <c r="AF12" s="2"/>
      <c r="AG12" s="2"/>
      <c r="AH12" s="2"/>
      <c r="AI12" s="2">
        <v>-1</v>
      </c>
    </row>
    <row r="13" spans="1:35" s="62" customFormat="1">
      <c r="A13" s="105"/>
      <c r="B13" s="104"/>
      <c r="C13" s="103"/>
      <c r="D13" s="102" t="s">
        <v>15</v>
      </c>
      <c r="E13" s="101">
        <f>+業務!E36</f>
        <v>1019945143</v>
      </c>
      <c r="F13" s="90">
        <f>+業務!F36</f>
        <v>0</v>
      </c>
      <c r="G13" s="89">
        <f>+業務!G36</f>
        <v>0</v>
      </c>
      <c r="H13" s="89">
        <f>+業務!H36</f>
        <v>0</v>
      </c>
      <c r="I13" s="89">
        <f>+業務!I36</f>
        <v>0</v>
      </c>
      <c r="J13" s="92">
        <f>+業務!J36</f>
        <v>992787715</v>
      </c>
      <c r="K13" s="34">
        <f>+業務!K36</f>
        <v>992787715</v>
      </c>
      <c r="L13" s="101">
        <f>+業務!L36</f>
        <v>4195233</v>
      </c>
      <c r="M13" s="101">
        <f>+業務!M36</f>
        <v>22962195</v>
      </c>
      <c r="N13" s="90">
        <f t="shared" si="3"/>
        <v>0</v>
      </c>
      <c r="O13" s="89">
        <f t="shared" si="4"/>
        <v>0</v>
      </c>
      <c r="P13" s="89">
        <f t="shared" si="5"/>
        <v>0</v>
      </c>
      <c r="Q13" s="89">
        <f t="shared" si="5"/>
        <v>0</v>
      </c>
      <c r="R13" s="92">
        <f t="shared" si="6"/>
        <v>90253429</v>
      </c>
      <c r="S13" s="34">
        <f t="shared" si="7"/>
        <v>90253429</v>
      </c>
      <c r="T13" s="109">
        <f t="shared" si="8"/>
        <v>929691714</v>
      </c>
      <c r="U13" s="107">
        <f t="shared" si="12"/>
        <v>0</v>
      </c>
      <c r="V13" s="107">
        <f t="shared" si="13"/>
        <v>0</v>
      </c>
      <c r="W13" s="107">
        <f t="shared" si="14"/>
        <v>0</v>
      </c>
      <c r="X13" s="107">
        <f t="shared" si="14"/>
        <v>0</v>
      </c>
      <c r="Y13" s="107">
        <f t="shared" si="15"/>
        <v>0.36363635957241058</v>
      </c>
      <c r="Z13" s="106">
        <f t="shared" si="9"/>
        <v>0</v>
      </c>
      <c r="AA13" s="106">
        <f t="shared" si="10"/>
        <v>0</v>
      </c>
      <c r="AB13" s="106">
        <f t="shared" si="16"/>
        <v>0</v>
      </c>
      <c r="AC13" s="106">
        <f t="shared" si="16"/>
        <v>0</v>
      </c>
      <c r="AD13" s="106">
        <f t="shared" si="11"/>
        <v>0</v>
      </c>
      <c r="AE13" s="2"/>
      <c r="AF13" s="2"/>
      <c r="AG13" s="2"/>
      <c r="AH13" s="2"/>
      <c r="AI13" s="2"/>
    </row>
    <row r="14" spans="1:35" s="62" customFormat="1">
      <c r="A14" s="105"/>
      <c r="B14" s="104"/>
      <c r="C14" s="103"/>
      <c r="D14" s="102" t="s">
        <v>14</v>
      </c>
      <c r="E14" s="101">
        <f>+総係!E37</f>
        <v>483965214</v>
      </c>
      <c r="F14" s="90">
        <f>+総係!F37</f>
        <v>0</v>
      </c>
      <c r="G14" s="89">
        <f>+総係!G37</f>
        <v>0</v>
      </c>
      <c r="H14" s="89">
        <f>+総係!H37</f>
        <v>0</v>
      </c>
      <c r="I14" s="89">
        <f>+総係!I37</f>
        <v>317198</v>
      </c>
      <c r="J14" s="92">
        <f>+総係!J37</f>
        <v>194208395</v>
      </c>
      <c r="K14" s="34">
        <f>+総係!K37</f>
        <v>194525593</v>
      </c>
      <c r="L14" s="101">
        <f>+総係!L37</f>
        <v>50827352</v>
      </c>
      <c r="M14" s="101">
        <f>+総係!M37</f>
        <v>238612269</v>
      </c>
      <c r="N14" s="90">
        <f t="shared" si="3"/>
        <v>0</v>
      </c>
      <c r="O14" s="89">
        <f t="shared" si="4"/>
        <v>0</v>
      </c>
      <c r="P14" s="89">
        <f t="shared" si="5"/>
        <v>0</v>
      </c>
      <c r="Q14" s="89">
        <f t="shared" si="5"/>
        <v>23496</v>
      </c>
      <c r="R14" s="92">
        <f t="shared" si="6"/>
        <v>17655309</v>
      </c>
      <c r="S14" s="34">
        <f t="shared" si="7"/>
        <v>17678805</v>
      </c>
      <c r="T14" s="109">
        <f t="shared" si="8"/>
        <v>466286409</v>
      </c>
      <c r="U14" s="107">
        <f t="shared" si="12"/>
        <v>0</v>
      </c>
      <c r="V14" s="107">
        <f t="shared" si="13"/>
        <v>0</v>
      </c>
      <c r="W14" s="107">
        <f t="shared" si="14"/>
        <v>0</v>
      </c>
      <c r="X14" s="107">
        <f t="shared" si="14"/>
        <v>-0.14814814814963029</v>
      </c>
      <c r="Y14" s="107">
        <f t="shared" si="15"/>
        <v>0.36363636329770088</v>
      </c>
      <c r="Z14" s="106">
        <f t="shared" si="9"/>
        <v>0</v>
      </c>
      <c r="AA14" s="106">
        <f t="shared" si="10"/>
        <v>0</v>
      </c>
      <c r="AB14" s="106">
        <f t="shared" si="16"/>
        <v>0</v>
      </c>
      <c r="AC14" s="106">
        <f t="shared" si="16"/>
        <v>0</v>
      </c>
      <c r="AD14" s="106">
        <f t="shared" si="11"/>
        <v>0</v>
      </c>
      <c r="AE14" s="2"/>
      <c r="AF14" s="2"/>
      <c r="AG14" s="2"/>
      <c r="AH14" s="2"/>
      <c r="AI14" s="2"/>
    </row>
    <row r="15" spans="1:35" s="62" customFormat="1">
      <c r="A15" s="105"/>
      <c r="B15" s="104"/>
      <c r="C15" s="103"/>
      <c r="D15" s="102" t="s">
        <v>13</v>
      </c>
      <c r="E15" s="101">
        <f>+特環!E37</f>
        <v>106990906</v>
      </c>
      <c r="F15" s="90">
        <f>+特環!F37</f>
        <v>0</v>
      </c>
      <c r="G15" s="89">
        <f>+特環!G37</f>
        <v>0</v>
      </c>
      <c r="H15" s="89">
        <f>+特環!H37</f>
        <v>0</v>
      </c>
      <c r="I15" s="89">
        <f>+特環!I37</f>
        <v>2121</v>
      </c>
      <c r="J15" s="92">
        <f>+特環!J37</f>
        <v>106852098</v>
      </c>
      <c r="K15" s="34">
        <f>+特環!K37</f>
        <v>106854219</v>
      </c>
      <c r="L15" s="101">
        <f>+特環!L37</f>
        <v>104407</v>
      </c>
      <c r="M15" s="101">
        <f>+特環!M37</f>
        <v>32280</v>
      </c>
      <c r="N15" s="90">
        <f t="shared" si="3"/>
        <v>0</v>
      </c>
      <c r="O15" s="89">
        <f t="shared" si="4"/>
        <v>0</v>
      </c>
      <c r="P15" s="89">
        <f t="shared" si="5"/>
        <v>0</v>
      </c>
      <c r="Q15" s="89">
        <f t="shared" si="5"/>
        <v>157</v>
      </c>
      <c r="R15" s="92">
        <f t="shared" si="6"/>
        <v>9713827</v>
      </c>
      <c r="S15" s="34">
        <f t="shared" si="7"/>
        <v>9713984</v>
      </c>
      <c r="T15" s="109">
        <f t="shared" si="8"/>
        <v>97276922</v>
      </c>
      <c r="U15" s="225"/>
      <c r="V15" s="226"/>
      <c r="W15" s="226"/>
      <c r="X15" s="226"/>
      <c r="Y15" s="226"/>
      <c r="Z15" s="227"/>
      <c r="AA15" s="227"/>
      <c r="AB15" s="227"/>
      <c r="AC15" s="227"/>
      <c r="AD15" s="227"/>
      <c r="AE15" s="2"/>
      <c r="AF15" s="2"/>
      <c r="AG15" s="2"/>
      <c r="AH15" s="2"/>
      <c r="AI15" s="2"/>
    </row>
    <row r="16" spans="1:35" s="62" customFormat="1">
      <c r="A16" s="105"/>
      <c r="B16" s="104"/>
      <c r="C16" s="103"/>
      <c r="D16" s="102" t="s">
        <v>12</v>
      </c>
      <c r="E16" s="101">
        <f>+農集!E37</f>
        <v>247654024</v>
      </c>
      <c r="F16" s="90">
        <f>+農集!F37</f>
        <v>0</v>
      </c>
      <c r="G16" s="89">
        <f>+農集!G37</f>
        <v>0</v>
      </c>
      <c r="H16" s="89">
        <f>+農集!H37</f>
        <v>0</v>
      </c>
      <c r="I16" s="89">
        <f>+農集!I37</f>
        <v>5073</v>
      </c>
      <c r="J16" s="92">
        <f>+農集!J37</f>
        <v>247344387</v>
      </c>
      <c r="K16" s="34">
        <f>+農集!K37</f>
        <v>247349460</v>
      </c>
      <c r="L16" s="101">
        <f>+農集!L37</f>
        <v>182965</v>
      </c>
      <c r="M16" s="101">
        <f>+農集!M37</f>
        <v>121599</v>
      </c>
      <c r="N16" s="90">
        <f t="shared" si="3"/>
        <v>0</v>
      </c>
      <c r="O16" s="89">
        <f t="shared" si="4"/>
        <v>0</v>
      </c>
      <c r="P16" s="89">
        <f t="shared" si="5"/>
        <v>0</v>
      </c>
      <c r="Q16" s="89">
        <f t="shared" si="5"/>
        <v>376</v>
      </c>
      <c r="R16" s="92">
        <f t="shared" si="6"/>
        <v>22485853</v>
      </c>
      <c r="S16" s="34">
        <f t="shared" si="7"/>
        <v>22486229</v>
      </c>
      <c r="T16" s="109">
        <f t="shared" si="8"/>
        <v>225167795</v>
      </c>
      <c r="U16" s="225"/>
      <c r="V16" s="226"/>
      <c r="W16" s="226"/>
      <c r="X16" s="226"/>
      <c r="Y16" s="226"/>
      <c r="Z16" s="227"/>
      <c r="AA16" s="227"/>
      <c r="AB16" s="227"/>
      <c r="AC16" s="227"/>
      <c r="AD16" s="227"/>
      <c r="AE16" s="2"/>
      <c r="AF16" s="2"/>
      <c r="AG16" s="2"/>
      <c r="AH16" s="2"/>
      <c r="AI16" s="2"/>
    </row>
    <row r="17" spans="1:35" s="62" customFormat="1">
      <c r="A17" s="105"/>
      <c r="B17" s="104"/>
      <c r="C17" s="103"/>
      <c r="D17" s="102" t="s">
        <v>11</v>
      </c>
      <c r="E17" s="101">
        <f>+浄化!E37</f>
        <v>76388330</v>
      </c>
      <c r="F17" s="90">
        <f>+浄化!F37</f>
        <v>0</v>
      </c>
      <c r="G17" s="89">
        <f>+浄化!G37</f>
        <v>0</v>
      </c>
      <c r="H17" s="89">
        <f>+浄化!H37</f>
        <v>0</v>
      </c>
      <c r="I17" s="89">
        <f>+浄化!I37</f>
        <v>1529</v>
      </c>
      <c r="J17" s="92">
        <f>+浄化!J37</f>
        <v>70915767</v>
      </c>
      <c r="K17" s="34">
        <f>+浄化!K37</f>
        <v>70917296</v>
      </c>
      <c r="L17" s="101">
        <f>+浄化!L37</f>
        <v>5447767</v>
      </c>
      <c r="M17" s="101">
        <f>+浄化!M37</f>
        <v>23267</v>
      </c>
      <c r="N17" s="90">
        <f t="shared" si="3"/>
        <v>0</v>
      </c>
      <c r="O17" s="89">
        <f t="shared" si="4"/>
        <v>0</v>
      </c>
      <c r="P17" s="89">
        <f t="shared" si="5"/>
        <v>0</v>
      </c>
      <c r="Q17" s="89">
        <f t="shared" si="5"/>
        <v>113</v>
      </c>
      <c r="R17" s="92">
        <f t="shared" si="6"/>
        <v>6446888</v>
      </c>
      <c r="S17" s="34">
        <f t="shared" si="7"/>
        <v>6447001</v>
      </c>
      <c r="T17" s="109">
        <f t="shared" si="8"/>
        <v>69941329</v>
      </c>
      <c r="U17" s="225"/>
      <c r="V17" s="226"/>
      <c r="W17" s="226"/>
      <c r="X17" s="226"/>
      <c r="Y17" s="226"/>
      <c r="Z17" s="227"/>
      <c r="AA17" s="227"/>
      <c r="AB17" s="227"/>
      <c r="AC17" s="227"/>
      <c r="AD17" s="227"/>
      <c r="AE17" s="2"/>
      <c r="AF17" s="2"/>
      <c r="AG17" s="2"/>
      <c r="AH17" s="2"/>
      <c r="AI17" s="2"/>
    </row>
    <row r="18" spans="1:35" s="62" customFormat="1">
      <c r="A18" s="105"/>
      <c r="B18" s="104"/>
      <c r="C18" s="103"/>
      <c r="D18" s="102" t="s">
        <v>10</v>
      </c>
      <c r="E18" s="101">
        <f>+災!E36</f>
        <v>0</v>
      </c>
      <c r="F18" s="90">
        <f>+災!F36</f>
        <v>0</v>
      </c>
      <c r="G18" s="89">
        <f>+災!G36</f>
        <v>0</v>
      </c>
      <c r="H18" s="89">
        <f>+災!H36</f>
        <v>0</v>
      </c>
      <c r="I18" s="89">
        <f>+災!I36</f>
        <v>0</v>
      </c>
      <c r="J18" s="92">
        <f>+災!J36</f>
        <v>0</v>
      </c>
      <c r="K18" s="34">
        <f>+災!K36</f>
        <v>0</v>
      </c>
      <c r="L18" s="101">
        <f>+災!L36</f>
        <v>0</v>
      </c>
      <c r="M18" s="101">
        <f>+災!M36</f>
        <v>0</v>
      </c>
      <c r="N18" s="90">
        <f t="shared" si="3"/>
        <v>0</v>
      </c>
      <c r="O18" s="89">
        <f t="shared" si="4"/>
        <v>0</v>
      </c>
      <c r="P18" s="89">
        <f t="shared" si="5"/>
        <v>0</v>
      </c>
      <c r="Q18" s="89">
        <f t="shared" si="5"/>
        <v>0</v>
      </c>
      <c r="R18" s="92">
        <f t="shared" si="6"/>
        <v>0</v>
      </c>
      <c r="S18" s="34">
        <f t="shared" si="7"/>
        <v>0</v>
      </c>
      <c r="T18" s="109">
        <f t="shared" si="8"/>
        <v>0</v>
      </c>
      <c r="U18" s="107">
        <f t="shared" si="12"/>
        <v>0</v>
      </c>
      <c r="V18" s="107">
        <f t="shared" si="13"/>
        <v>0</v>
      </c>
      <c r="W18" s="107">
        <f t="shared" si="14"/>
        <v>0</v>
      </c>
      <c r="X18" s="107">
        <f t="shared" si="14"/>
        <v>0</v>
      </c>
      <c r="Y18" s="107">
        <f t="shared" si="15"/>
        <v>0</v>
      </c>
      <c r="Z18" s="106">
        <f t="shared" si="9"/>
        <v>0</v>
      </c>
      <c r="AA18" s="106">
        <f t="shared" si="10"/>
        <v>0</v>
      </c>
      <c r="AB18" s="106">
        <f t="shared" si="16"/>
        <v>0</v>
      </c>
      <c r="AC18" s="106">
        <f t="shared" si="16"/>
        <v>0</v>
      </c>
      <c r="AD18" s="106">
        <f t="shared" si="11"/>
        <v>0</v>
      </c>
      <c r="AE18" s="2"/>
      <c r="AF18" s="2"/>
      <c r="AG18" s="2"/>
      <c r="AH18" s="2"/>
      <c r="AI18" s="2"/>
    </row>
    <row r="19" spans="1:35" s="62" customFormat="1">
      <c r="A19" s="105"/>
      <c r="B19" s="104"/>
      <c r="C19" s="103"/>
      <c r="D19" s="102" t="s">
        <v>39</v>
      </c>
      <c r="E19" s="101">
        <f>+減価!E36</f>
        <v>26551442230</v>
      </c>
      <c r="F19" s="90">
        <f>+減価!F36</f>
        <v>0</v>
      </c>
      <c r="G19" s="89">
        <f>+減価!G36</f>
        <v>0</v>
      </c>
      <c r="H19" s="89">
        <f>+減価!H36</f>
        <v>0</v>
      </c>
      <c r="I19" s="89">
        <f>+減価!I36</f>
        <v>0</v>
      </c>
      <c r="J19" s="92">
        <f>+減価!J36</f>
        <v>0</v>
      </c>
      <c r="K19" s="34">
        <f>+減価!K36</f>
        <v>0</v>
      </c>
      <c r="L19" s="101">
        <f>+減価!L36</f>
        <v>0</v>
      </c>
      <c r="M19" s="101">
        <f>+減価!M36</f>
        <v>26551442230</v>
      </c>
      <c r="N19" s="90">
        <f t="shared" si="3"/>
        <v>0</v>
      </c>
      <c r="O19" s="89">
        <f t="shared" si="4"/>
        <v>0</v>
      </c>
      <c r="P19" s="89">
        <f t="shared" si="5"/>
        <v>0</v>
      </c>
      <c r="Q19" s="89">
        <f t="shared" si="5"/>
        <v>0</v>
      </c>
      <c r="R19" s="92">
        <f t="shared" si="6"/>
        <v>0</v>
      </c>
      <c r="S19" s="34">
        <f t="shared" si="7"/>
        <v>0</v>
      </c>
      <c r="T19" s="109">
        <f t="shared" si="8"/>
        <v>26551442230</v>
      </c>
      <c r="U19" s="107">
        <f t="shared" si="12"/>
        <v>0</v>
      </c>
      <c r="V19" s="107">
        <f t="shared" si="13"/>
        <v>0</v>
      </c>
      <c r="W19" s="107">
        <f t="shared" si="14"/>
        <v>0</v>
      </c>
      <c r="X19" s="107">
        <f t="shared" si="14"/>
        <v>0</v>
      </c>
      <c r="Y19" s="107">
        <f t="shared" si="15"/>
        <v>0</v>
      </c>
      <c r="Z19" s="106">
        <f t="shared" si="9"/>
        <v>0</v>
      </c>
      <c r="AA19" s="106">
        <f t="shared" si="10"/>
        <v>0</v>
      </c>
      <c r="AB19" s="106">
        <f t="shared" si="16"/>
        <v>0</v>
      </c>
      <c r="AC19" s="106">
        <f t="shared" si="16"/>
        <v>0</v>
      </c>
      <c r="AD19" s="106">
        <f t="shared" si="11"/>
        <v>0</v>
      </c>
      <c r="AE19" s="2"/>
      <c r="AF19" s="2"/>
      <c r="AG19" s="2"/>
      <c r="AH19" s="2"/>
      <c r="AI19" s="2"/>
    </row>
    <row r="20" spans="1:35" s="62" customFormat="1">
      <c r="A20" s="105"/>
      <c r="B20" s="104"/>
      <c r="C20" s="103"/>
      <c r="D20" s="102" t="s">
        <v>38</v>
      </c>
      <c r="E20" s="101">
        <f>+減耗!E36</f>
        <v>503761871</v>
      </c>
      <c r="F20" s="90">
        <f>+減耗!F36</f>
        <v>0</v>
      </c>
      <c r="G20" s="89">
        <f>+減耗!G36</f>
        <v>0</v>
      </c>
      <c r="H20" s="89">
        <f>+減耗!H36</f>
        <v>0</v>
      </c>
      <c r="I20" s="89">
        <f>+減耗!I36</f>
        <v>0</v>
      </c>
      <c r="J20" s="92">
        <f>+減耗!J36</f>
        <v>0</v>
      </c>
      <c r="K20" s="34">
        <f>+減耗!K36</f>
        <v>0</v>
      </c>
      <c r="L20" s="101">
        <f>+減耗!L36</f>
        <v>0</v>
      </c>
      <c r="M20" s="101">
        <f>+減耗!M36</f>
        <v>503761871</v>
      </c>
      <c r="N20" s="90">
        <f t="shared" si="3"/>
        <v>0</v>
      </c>
      <c r="O20" s="89">
        <f t="shared" si="4"/>
        <v>0</v>
      </c>
      <c r="P20" s="89">
        <f t="shared" si="5"/>
        <v>0</v>
      </c>
      <c r="Q20" s="89">
        <f t="shared" si="5"/>
        <v>0</v>
      </c>
      <c r="R20" s="92">
        <f t="shared" si="6"/>
        <v>0</v>
      </c>
      <c r="S20" s="34">
        <f t="shared" si="7"/>
        <v>0</v>
      </c>
      <c r="T20" s="109">
        <f t="shared" si="8"/>
        <v>503761871</v>
      </c>
      <c r="U20" s="107">
        <f t="shared" si="12"/>
        <v>0</v>
      </c>
      <c r="V20" s="107">
        <f t="shared" si="13"/>
        <v>0</v>
      </c>
      <c r="W20" s="107">
        <f t="shared" si="14"/>
        <v>0</v>
      </c>
      <c r="X20" s="107">
        <f t="shared" si="14"/>
        <v>0</v>
      </c>
      <c r="Y20" s="107">
        <f t="shared" si="15"/>
        <v>0</v>
      </c>
      <c r="Z20" s="106">
        <f t="shared" si="9"/>
        <v>0</v>
      </c>
      <c r="AA20" s="106">
        <f t="shared" si="10"/>
        <v>0</v>
      </c>
      <c r="AB20" s="106">
        <f t="shared" si="16"/>
        <v>0</v>
      </c>
      <c r="AC20" s="106">
        <f t="shared" si="16"/>
        <v>0</v>
      </c>
      <c r="AD20" s="106">
        <f t="shared" si="11"/>
        <v>0</v>
      </c>
      <c r="AE20" s="2"/>
      <c r="AF20" s="2"/>
      <c r="AG20" s="2"/>
      <c r="AH20" s="2"/>
      <c r="AI20" s="2"/>
    </row>
    <row r="21" spans="1:35" s="62" customFormat="1">
      <c r="A21" s="105"/>
      <c r="B21" s="104"/>
      <c r="C21" s="103"/>
      <c r="D21" s="102"/>
      <c r="E21" s="101"/>
      <c r="F21" s="90"/>
      <c r="G21" s="89"/>
      <c r="H21" s="89"/>
      <c r="I21" s="89"/>
      <c r="J21" s="92"/>
      <c r="K21" s="34"/>
      <c r="L21" s="101"/>
      <c r="M21" s="101"/>
      <c r="N21" s="90"/>
      <c r="O21" s="89"/>
      <c r="P21" s="89"/>
      <c r="Q21" s="89"/>
      <c r="R21" s="92"/>
      <c r="S21" s="34"/>
      <c r="T21" s="91"/>
      <c r="U21" s="107"/>
      <c r="V21" s="107"/>
      <c r="W21" s="107"/>
      <c r="X21" s="107"/>
      <c r="Y21" s="107"/>
      <c r="Z21" s="106"/>
      <c r="AA21" s="106"/>
      <c r="AB21" s="106"/>
      <c r="AC21" s="106"/>
      <c r="AD21" s="106"/>
      <c r="AE21" s="2"/>
      <c r="AF21" s="2"/>
      <c r="AG21" s="2"/>
      <c r="AH21" s="2"/>
      <c r="AI21" s="2"/>
    </row>
    <row r="22" spans="1:35" s="62" customFormat="1">
      <c r="A22" s="105"/>
      <c r="B22" s="104"/>
      <c r="C22" s="103"/>
      <c r="D22" s="110" t="s">
        <v>8</v>
      </c>
      <c r="E22" s="101">
        <f t="shared" ref="E22:T22" si="17">+SUM(E23:E25)</f>
        <v>3955185318</v>
      </c>
      <c r="F22" s="90">
        <f t="shared" si="17"/>
        <v>0</v>
      </c>
      <c r="G22" s="89">
        <f t="shared" si="17"/>
        <v>0</v>
      </c>
      <c r="H22" s="89">
        <f t="shared" si="17"/>
        <v>23932</v>
      </c>
      <c r="I22" s="89">
        <f t="shared" ref="I22" si="18">+SUM(I23:I25)</f>
        <v>0</v>
      </c>
      <c r="J22" s="92">
        <f t="shared" si="17"/>
        <v>67182291</v>
      </c>
      <c r="K22" s="34">
        <f t="shared" si="17"/>
        <v>67206223</v>
      </c>
      <c r="L22" s="101">
        <f t="shared" si="17"/>
        <v>3884147396</v>
      </c>
      <c r="M22" s="101">
        <f t="shared" si="17"/>
        <v>3831699</v>
      </c>
      <c r="N22" s="90">
        <f t="shared" si="17"/>
        <v>0</v>
      </c>
      <c r="O22" s="89">
        <f t="shared" si="17"/>
        <v>0</v>
      </c>
      <c r="P22" s="89">
        <f t="shared" si="17"/>
        <v>1773</v>
      </c>
      <c r="Q22" s="89">
        <f t="shared" ref="Q22" si="19">+SUM(Q23:Q25)</f>
        <v>0</v>
      </c>
      <c r="R22" s="92">
        <f t="shared" si="17"/>
        <v>6107481</v>
      </c>
      <c r="S22" s="34">
        <f t="shared" si="17"/>
        <v>6109254</v>
      </c>
      <c r="T22" s="91">
        <f t="shared" si="17"/>
        <v>4161563541</v>
      </c>
      <c r="U22" s="107">
        <f t="shared" ref="U22:X24" si="20">N22-F22*F$4/(100+F$4)-AE22</f>
        <v>0</v>
      </c>
      <c r="V22" s="107">
        <f t="shared" si="20"/>
        <v>0</v>
      </c>
      <c r="W22" s="107">
        <f t="shared" si="20"/>
        <v>0.25925925925935189</v>
      </c>
      <c r="X22" s="107">
        <f t="shared" si="20"/>
        <v>0</v>
      </c>
      <c r="Y22" s="107">
        <f>R22-J22*J$4/(100+J$4)-AI22</f>
        <v>0</v>
      </c>
      <c r="Z22" s="106">
        <f t="shared" ref="Z22:AC24" si="21">+IF(N$43=0,0,IF(N$43&lt;0,-RANK(U22,U$5:U$40,0),RANK(U22,U$5:U$40,1)))</f>
        <v>0</v>
      </c>
      <c r="AA22" s="106">
        <f t="shared" si="21"/>
        <v>0</v>
      </c>
      <c r="AB22" s="106">
        <f t="shared" si="21"/>
        <v>0</v>
      </c>
      <c r="AC22" s="106">
        <f t="shared" si="21"/>
        <v>0</v>
      </c>
      <c r="AD22" s="106">
        <f>+IF(R$43=0,0,IF(R$43&lt;0,-RANK(Y22,Y$5:Y$40,0),RANK(Y22,Y$5:Y$40,1)))</f>
        <v>0</v>
      </c>
      <c r="AE22" s="2"/>
      <c r="AF22" s="2"/>
      <c r="AG22" s="2"/>
      <c r="AH22" s="2"/>
      <c r="AI22" s="2"/>
    </row>
    <row r="23" spans="1:35" s="62" customFormat="1">
      <c r="A23" s="105"/>
      <c r="B23" s="104"/>
      <c r="C23" s="103"/>
      <c r="D23" s="102" t="s">
        <v>37</v>
      </c>
      <c r="E23" s="101">
        <f>+営外!E5</f>
        <v>3945961149</v>
      </c>
      <c r="F23" s="90">
        <f>+営外!F5</f>
        <v>0</v>
      </c>
      <c r="G23" s="89">
        <f>+営外!G5</f>
        <v>0</v>
      </c>
      <c r="H23" s="89">
        <f>+営外!H5</f>
        <v>0</v>
      </c>
      <c r="I23" s="89">
        <f>+営外!I5</f>
        <v>0</v>
      </c>
      <c r="J23" s="92">
        <f>+営外!J5</f>
        <v>61813753</v>
      </c>
      <c r="K23" s="34">
        <f>+営外!K5</f>
        <v>61813753</v>
      </c>
      <c r="L23" s="101">
        <f>+営外!L5</f>
        <v>3884147396</v>
      </c>
      <c r="M23" s="101">
        <f>+営外!M5</f>
        <v>0</v>
      </c>
      <c r="N23" s="90">
        <f t="shared" ref="N23:Q24" si="22">+ROUND(F23*F$4/(100+F$4),0)+AE23</f>
        <v>0</v>
      </c>
      <c r="O23" s="89">
        <f t="shared" si="22"/>
        <v>0</v>
      </c>
      <c r="P23" s="89">
        <f t="shared" si="22"/>
        <v>0</v>
      </c>
      <c r="Q23" s="89">
        <f t="shared" si="22"/>
        <v>0</v>
      </c>
      <c r="R23" s="92">
        <f>+ROUND(J23*J$4/(100+J$4),0)+AI23</f>
        <v>5619432</v>
      </c>
      <c r="S23" s="34">
        <f>SUM(N23:R23)</f>
        <v>5619432</v>
      </c>
      <c r="T23" s="109">
        <f>+E23-S23</f>
        <v>3940341717</v>
      </c>
      <c r="U23" s="107">
        <f t="shared" si="20"/>
        <v>0</v>
      </c>
      <c r="V23" s="107">
        <f t="shared" si="20"/>
        <v>0</v>
      </c>
      <c r="W23" s="107">
        <f t="shared" si="20"/>
        <v>0</v>
      </c>
      <c r="X23" s="107">
        <f t="shared" si="20"/>
        <v>0</v>
      </c>
      <c r="Y23" s="107">
        <f>R23-J23*J$4/(100+J$4)-AI23</f>
        <v>-9.090909082442522E-2</v>
      </c>
      <c r="Z23" s="106">
        <f t="shared" si="21"/>
        <v>0</v>
      </c>
      <c r="AA23" s="106">
        <f t="shared" si="21"/>
        <v>0</v>
      </c>
      <c r="AB23" s="106">
        <f t="shared" si="21"/>
        <v>0</v>
      </c>
      <c r="AC23" s="106">
        <f t="shared" si="21"/>
        <v>0</v>
      </c>
      <c r="AD23" s="106">
        <f>+IF(R$43=0,0,IF(R$43&lt;0,-RANK(Y23,Y$5:Y$40,0),RANK(Y23,Y$5:Y$40,1)))</f>
        <v>0</v>
      </c>
      <c r="AE23" s="2"/>
      <c r="AF23" s="2"/>
      <c r="AG23" s="2"/>
      <c r="AH23" s="2"/>
      <c r="AI23" s="2"/>
    </row>
    <row r="24" spans="1:35" s="62" customFormat="1">
      <c r="A24" s="105"/>
      <c r="B24" s="104"/>
      <c r="C24" s="103"/>
      <c r="D24" s="102" t="s">
        <v>6</v>
      </c>
      <c r="E24" s="101">
        <f>+営外!E14</f>
        <v>9224169</v>
      </c>
      <c r="F24" s="90">
        <f>+営外!F14</f>
        <v>0</v>
      </c>
      <c r="G24" s="89">
        <f>+営外!G14</f>
        <v>0</v>
      </c>
      <c r="H24" s="89">
        <f>+営外!H14</f>
        <v>23932</v>
      </c>
      <c r="I24" s="89">
        <f>+営外!I14</f>
        <v>0</v>
      </c>
      <c r="J24" s="92">
        <f>+営外!J14</f>
        <v>5368538</v>
      </c>
      <c r="K24" s="34">
        <f>+営外!K14</f>
        <v>5392470</v>
      </c>
      <c r="L24" s="101">
        <f>+営外!L14</f>
        <v>0</v>
      </c>
      <c r="M24" s="101">
        <f>+営外!M14</f>
        <v>3831699</v>
      </c>
      <c r="N24" s="90">
        <f t="shared" si="22"/>
        <v>0</v>
      </c>
      <c r="O24" s="89">
        <f t="shared" si="22"/>
        <v>0</v>
      </c>
      <c r="P24" s="89">
        <f t="shared" si="22"/>
        <v>1773</v>
      </c>
      <c r="Q24" s="89">
        <f t="shared" si="22"/>
        <v>0</v>
      </c>
      <c r="R24" s="92">
        <f>+ROUND(J24*J$4/(100+J$4),0)+AI24</f>
        <v>488049</v>
      </c>
      <c r="S24" s="34">
        <f>SUM(N24:R24)</f>
        <v>489822</v>
      </c>
      <c r="T24" s="109">
        <f>+E24-S24</f>
        <v>8734347</v>
      </c>
      <c r="U24" s="107">
        <f t="shared" si="20"/>
        <v>0</v>
      </c>
      <c r="V24" s="107">
        <f t="shared" si="20"/>
        <v>0</v>
      </c>
      <c r="W24" s="107">
        <f t="shared" si="20"/>
        <v>0.25925925925935189</v>
      </c>
      <c r="X24" s="107">
        <f t="shared" si="20"/>
        <v>0</v>
      </c>
      <c r="Y24" s="107">
        <f>R24-J24*J$4/(100+J$4)-AI24</f>
        <v>9.0909090882632881E-2</v>
      </c>
      <c r="Z24" s="106">
        <f t="shared" si="21"/>
        <v>0</v>
      </c>
      <c r="AA24" s="106">
        <f t="shared" si="21"/>
        <v>0</v>
      </c>
      <c r="AB24" s="106">
        <f t="shared" si="21"/>
        <v>0</v>
      </c>
      <c r="AC24" s="106">
        <f t="shared" si="21"/>
        <v>0</v>
      </c>
      <c r="AD24" s="106">
        <f>+IF(R$43=0,0,IF(R$43&lt;0,-RANK(Y24,Y$5:Y$40,0),RANK(Y24,Y$5:Y$40,1)))</f>
        <v>0</v>
      </c>
      <c r="AE24" s="2"/>
      <c r="AF24" s="2"/>
      <c r="AG24" s="2"/>
      <c r="AH24" s="2"/>
      <c r="AI24" s="2"/>
    </row>
    <row r="25" spans="1:35" s="62" customFormat="1">
      <c r="A25" s="105"/>
      <c r="B25" s="104"/>
      <c r="C25" s="103"/>
      <c r="D25" s="102" t="s">
        <v>537</v>
      </c>
      <c r="E25" s="282"/>
      <c r="F25" s="90"/>
      <c r="G25" s="89"/>
      <c r="H25" s="89"/>
      <c r="I25" s="89"/>
      <c r="J25" s="92"/>
      <c r="K25" s="34"/>
      <c r="L25" s="101"/>
      <c r="M25" s="101"/>
      <c r="N25" s="90"/>
      <c r="O25" s="89"/>
      <c r="P25" s="89"/>
      <c r="Q25" s="89"/>
      <c r="R25" s="92"/>
      <c r="S25" s="34"/>
      <c r="T25" s="91">
        <f>+SUM(営外!T17:T19)</f>
        <v>212487477</v>
      </c>
      <c r="U25" s="107"/>
      <c r="V25" s="107"/>
      <c r="W25" s="107"/>
      <c r="X25" s="107"/>
      <c r="Y25" s="107"/>
      <c r="Z25" s="106"/>
      <c r="AA25" s="106"/>
      <c r="AB25" s="106"/>
      <c r="AC25" s="106"/>
      <c r="AD25" s="106"/>
      <c r="AE25" s="2"/>
      <c r="AF25" s="2"/>
      <c r="AG25" s="2"/>
      <c r="AH25" s="2"/>
      <c r="AI25" s="2"/>
    </row>
    <row r="26" spans="1:35" s="62" customFormat="1">
      <c r="A26" s="105"/>
      <c r="B26" s="104"/>
      <c r="C26" s="103"/>
      <c r="D26" s="102"/>
      <c r="E26" s="101"/>
      <c r="F26" s="90"/>
      <c r="G26" s="89"/>
      <c r="H26" s="89"/>
      <c r="I26" s="89"/>
      <c r="J26" s="92"/>
      <c r="K26" s="34"/>
      <c r="L26" s="101"/>
      <c r="M26" s="101"/>
      <c r="N26" s="90"/>
      <c r="O26" s="89"/>
      <c r="P26" s="89"/>
      <c r="Q26" s="89"/>
      <c r="R26" s="92"/>
      <c r="S26" s="34"/>
      <c r="T26" s="91"/>
      <c r="U26" s="107"/>
      <c r="V26" s="107"/>
      <c r="W26" s="107"/>
      <c r="X26" s="107"/>
      <c r="Y26" s="107"/>
      <c r="Z26" s="106"/>
      <c r="AA26" s="106"/>
      <c r="AB26" s="106"/>
      <c r="AC26" s="106"/>
      <c r="AD26" s="106"/>
      <c r="AE26" s="2"/>
      <c r="AF26" s="2"/>
      <c r="AG26" s="2"/>
      <c r="AH26" s="2"/>
      <c r="AI26" s="2"/>
    </row>
    <row r="27" spans="1:35" s="62" customFormat="1">
      <c r="A27" s="105"/>
      <c r="B27" s="104"/>
      <c r="C27" s="103"/>
      <c r="D27" s="110" t="s">
        <v>5</v>
      </c>
      <c r="E27" s="101">
        <f t="shared" ref="E27:T27" si="23">+SUM(E28:E31)</f>
        <v>20995298</v>
      </c>
      <c r="F27" s="90">
        <f t="shared" si="23"/>
        <v>0</v>
      </c>
      <c r="G27" s="89">
        <f t="shared" si="23"/>
        <v>0</v>
      </c>
      <c r="H27" s="89">
        <f t="shared" si="23"/>
        <v>15407</v>
      </c>
      <c r="I27" s="89">
        <f t="shared" ref="I27" si="24">+SUM(I28:I31)</f>
        <v>0</v>
      </c>
      <c r="J27" s="92">
        <f t="shared" si="23"/>
        <v>10640333</v>
      </c>
      <c r="K27" s="34">
        <f t="shared" si="23"/>
        <v>10655740</v>
      </c>
      <c r="L27" s="101">
        <f t="shared" si="23"/>
        <v>6023</v>
      </c>
      <c r="M27" s="101">
        <f t="shared" si="23"/>
        <v>10333535</v>
      </c>
      <c r="N27" s="90">
        <f t="shared" si="23"/>
        <v>0</v>
      </c>
      <c r="O27" s="89">
        <f t="shared" si="23"/>
        <v>0</v>
      </c>
      <c r="P27" s="89">
        <f t="shared" si="23"/>
        <v>1141</v>
      </c>
      <c r="Q27" s="89">
        <f t="shared" ref="Q27" si="25">+SUM(Q28:Q31)</f>
        <v>0</v>
      </c>
      <c r="R27" s="92">
        <f t="shared" si="23"/>
        <v>967303</v>
      </c>
      <c r="S27" s="34">
        <f t="shared" si="23"/>
        <v>968444</v>
      </c>
      <c r="T27" s="91">
        <f t="shared" si="23"/>
        <v>20026854</v>
      </c>
      <c r="U27" s="107">
        <f t="shared" ref="U27:X31" si="26">N27-F27*F$4/(100+F$4)-AE27</f>
        <v>0</v>
      </c>
      <c r="V27" s="107">
        <f t="shared" si="26"/>
        <v>0</v>
      </c>
      <c r="W27" s="107">
        <f t="shared" si="26"/>
        <v>-0.25925925925935189</v>
      </c>
      <c r="X27" s="107">
        <f t="shared" si="26"/>
        <v>0</v>
      </c>
      <c r="Y27" s="107">
        <f>R27-J27*J$4/(100+J$4)-AI27</f>
        <v>0</v>
      </c>
      <c r="Z27" s="106"/>
      <c r="AA27" s="106"/>
      <c r="AB27" s="106"/>
      <c r="AC27" s="106"/>
      <c r="AD27" s="106"/>
      <c r="AE27" s="2"/>
      <c r="AF27" s="2"/>
      <c r="AG27" s="2"/>
      <c r="AH27" s="2"/>
      <c r="AI27" s="2"/>
    </row>
    <row r="28" spans="1:35" s="62" customFormat="1">
      <c r="A28" s="105"/>
      <c r="B28" s="104"/>
      <c r="C28" s="103"/>
      <c r="D28" s="102" t="s">
        <v>36</v>
      </c>
      <c r="E28" s="101">
        <f>+特損!E5</f>
        <v>10679943</v>
      </c>
      <c r="F28" s="90">
        <f>+特損!F5</f>
        <v>0</v>
      </c>
      <c r="G28" s="89">
        <f>+特損!G5</f>
        <v>0</v>
      </c>
      <c r="H28" s="89">
        <f>+特損!H5</f>
        <v>15407</v>
      </c>
      <c r="I28" s="89">
        <f>+特損!I5</f>
        <v>0</v>
      </c>
      <c r="J28" s="92">
        <f>+特損!J5</f>
        <v>10640333</v>
      </c>
      <c r="K28" s="34">
        <f>+特損!K5</f>
        <v>10655740</v>
      </c>
      <c r="L28" s="101">
        <f>+特損!L5</f>
        <v>6023</v>
      </c>
      <c r="M28" s="101">
        <f>+特損!M5</f>
        <v>18180</v>
      </c>
      <c r="N28" s="90">
        <f t="shared" ref="N28:Q31" si="27">+ROUND(F28*F$4/(100+F$4),0)+AE28</f>
        <v>0</v>
      </c>
      <c r="O28" s="89">
        <f t="shared" si="27"/>
        <v>0</v>
      </c>
      <c r="P28" s="89">
        <f t="shared" si="27"/>
        <v>1141</v>
      </c>
      <c r="Q28" s="89">
        <f t="shared" si="27"/>
        <v>0</v>
      </c>
      <c r="R28" s="92">
        <f>+ROUND(J28*J$4/(100+J$4),0)+AI28</f>
        <v>967303</v>
      </c>
      <c r="S28" s="34">
        <f>SUM(N28:R28)</f>
        <v>968444</v>
      </c>
      <c r="T28" s="109">
        <f>+E28-S28</f>
        <v>9711499</v>
      </c>
      <c r="U28" s="107">
        <f t="shared" si="26"/>
        <v>0</v>
      </c>
      <c r="V28" s="107">
        <f t="shared" si="26"/>
        <v>0</v>
      </c>
      <c r="W28" s="107">
        <f t="shared" si="26"/>
        <v>-0.25925925925935189</v>
      </c>
      <c r="X28" s="107">
        <f t="shared" si="26"/>
        <v>0</v>
      </c>
      <c r="Y28" s="107">
        <f>R28-J28*J$4/(100+J$4)-AI28</f>
        <v>0</v>
      </c>
      <c r="Z28" s="106">
        <f t="shared" ref="Z28:AC31" si="28">+IF(N$43=0,0,IF(N$43&lt;0,-RANK(U28,U$5:U$40,0),RANK(U28,U$5:U$40,1)))</f>
        <v>0</v>
      </c>
      <c r="AA28" s="106">
        <f t="shared" si="28"/>
        <v>0</v>
      </c>
      <c r="AB28" s="106">
        <f t="shared" si="28"/>
        <v>0</v>
      </c>
      <c r="AC28" s="106">
        <f t="shared" si="28"/>
        <v>0</v>
      </c>
      <c r="AD28" s="106">
        <f>+IF(R$43=0,0,IF(R$43&lt;0,-RANK(Y28,Y$5:Y$40,0),RANK(Y28,Y$5:Y$40,1)))</f>
        <v>0</v>
      </c>
      <c r="AE28" s="2"/>
      <c r="AF28" s="2"/>
      <c r="AG28" s="2"/>
      <c r="AH28" s="2"/>
      <c r="AI28" s="2"/>
    </row>
    <row r="29" spans="1:35" s="62" customFormat="1">
      <c r="A29" s="105"/>
      <c r="B29" s="104"/>
      <c r="C29" s="103"/>
      <c r="D29" s="102" t="s">
        <v>3</v>
      </c>
      <c r="E29" s="101">
        <f>+特損!E14</f>
        <v>0</v>
      </c>
      <c r="F29" s="90">
        <f>+特損!F14</f>
        <v>0</v>
      </c>
      <c r="G29" s="89">
        <f>+特損!G14</f>
        <v>0</v>
      </c>
      <c r="H29" s="89">
        <f>+特損!H14</f>
        <v>0</v>
      </c>
      <c r="I29" s="89">
        <f>+特損!I14</f>
        <v>0</v>
      </c>
      <c r="J29" s="92">
        <f>+特損!J14</f>
        <v>0</v>
      </c>
      <c r="K29" s="34">
        <f>+特損!K14</f>
        <v>0</v>
      </c>
      <c r="L29" s="101">
        <f>+特損!L14</f>
        <v>0</v>
      </c>
      <c r="M29" s="101">
        <f>+特損!M14</f>
        <v>0</v>
      </c>
      <c r="N29" s="90">
        <f t="shared" si="27"/>
        <v>0</v>
      </c>
      <c r="O29" s="89">
        <f t="shared" si="27"/>
        <v>0</v>
      </c>
      <c r="P29" s="89">
        <f t="shared" si="27"/>
        <v>0</v>
      </c>
      <c r="Q29" s="89">
        <f t="shared" si="27"/>
        <v>0</v>
      </c>
      <c r="R29" s="92">
        <f>+ROUND(J29*J$4/(100+J$4),0)+AI29</f>
        <v>0</v>
      </c>
      <c r="S29" s="34">
        <f>SUM(N29:R29)</f>
        <v>0</v>
      </c>
      <c r="T29" s="109">
        <f>+E29-S29</f>
        <v>0</v>
      </c>
      <c r="U29" s="107">
        <f t="shared" si="26"/>
        <v>0</v>
      </c>
      <c r="V29" s="107">
        <f t="shared" si="26"/>
        <v>0</v>
      </c>
      <c r="W29" s="107">
        <f t="shared" si="26"/>
        <v>0</v>
      </c>
      <c r="X29" s="107">
        <f t="shared" si="26"/>
        <v>0</v>
      </c>
      <c r="Y29" s="107">
        <f>R29-J29*J$4/(100+J$4)-AI29</f>
        <v>0</v>
      </c>
      <c r="Z29" s="106">
        <f t="shared" si="28"/>
        <v>0</v>
      </c>
      <c r="AA29" s="106">
        <f t="shared" si="28"/>
        <v>0</v>
      </c>
      <c r="AB29" s="106">
        <f t="shared" si="28"/>
        <v>0</v>
      </c>
      <c r="AC29" s="106">
        <f t="shared" si="28"/>
        <v>0</v>
      </c>
      <c r="AD29" s="106">
        <f>+IF(R$43=0,0,IF(R$43&lt;0,-RANK(Y29,Y$5:Y$40,0),RANK(Y29,Y$5:Y$40,1)))</f>
        <v>0</v>
      </c>
      <c r="AE29" s="2"/>
      <c r="AF29" s="2"/>
      <c r="AG29" s="2"/>
      <c r="AH29" s="2"/>
      <c r="AI29" s="2"/>
    </row>
    <row r="30" spans="1:35" s="62" customFormat="1">
      <c r="A30" s="105"/>
      <c r="B30" s="104"/>
      <c r="C30" s="103"/>
      <c r="D30" s="102" t="s">
        <v>35</v>
      </c>
      <c r="E30" s="101">
        <f>+特損!E32</f>
        <v>10315355</v>
      </c>
      <c r="F30" s="90">
        <f>+特損!F32</f>
        <v>0</v>
      </c>
      <c r="G30" s="89">
        <f>+特損!G32</f>
        <v>0</v>
      </c>
      <c r="H30" s="89">
        <f>+特損!H32</f>
        <v>0</v>
      </c>
      <c r="I30" s="89">
        <f>+特損!I32</f>
        <v>0</v>
      </c>
      <c r="J30" s="92">
        <f>+特損!J32</f>
        <v>0</v>
      </c>
      <c r="K30" s="34">
        <f>+特損!K32</f>
        <v>0</v>
      </c>
      <c r="L30" s="101">
        <f>+特損!L32</f>
        <v>0</v>
      </c>
      <c r="M30" s="101">
        <f>+特損!M32</f>
        <v>10315355</v>
      </c>
      <c r="N30" s="90">
        <f t="shared" si="27"/>
        <v>0</v>
      </c>
      <c r="O30" s="89">
        <f t="shared" si="27"/>
        <v>0</v>
      </c>
      <c r="P30" s="89">
        <f t="shared" si="27"/>
        <v>0</v>
      </c>
      <c r="Q30" s="89">
        <f t="shared" si="27"/>
        <v>0</v>
      </c>
      <c r="R30" s="92">
        <f>+ROUND(J30*J$4/(100+J$4),0)+AI30</f>
        <v>0</v>
      </c>
      <c r="S30" s="34">
        <f>SUM(N30:R30)</f>
        <v>0</v>
      </c>
      <c r="T30" s="109">
        <f>+E30-S30</f>
        <v>10315355</v>
      </c>
      <c r="U30" s="107">
        <f t="shared" si="26"/>
        <v>0</v>
      </c>
      <c r="V30" s="107">
        <f t="shared" si="26"/>
        <v>0</v>
      </c>
      <c r="W30" s="107">
        <f t="shared" si="26"/>
        <v>0</v>
      </c>
      <c r="X30" s="107">
        <f t="shared" si="26"/>
        <v>0</v>
      </c>
      <c r="Y30" s="107">
        <f>R30-J30*J$4/(100+J$4)-AI30</f>
        <v>0</v>
      </c>
      <c r="Z30" s="106">
        <f t="shared" si="28"/>
        <v>0</v>
      </c>
      <c r="AA30" s="106">
        <f t="shared" si="28"/>
        <v>0</v>
      </c>
      <c r="AB30" s="106">
        <f t="shared" si="28"/>
        <v>0</v>
      </c>
      <c r="AC30" s="106">
        <f t="shared" si="28"/>
        <v>0</v>
      </c>
      <c r="AD30" s="106">
        <f>+IF(R$43=0,0,IF(R$43&lt;0,-RANK(Y30,Y$5:Y$40,0),RANK(Y30,Y$5:Y$40,1)))</f>
        <v>0</v>
      </c>
      <c r="AE30" s="2"/>
      <c r="AF30" s="2"/>
      <c r="AG30" s="2"/>
      <c r="AH30" s="2"/>
      <c r="AI30" s="2"/>
    </row>
    <row r="31" spans="1:35" s="62" customFormat="1">
      <c r="A31" s="105"/>
      <c r="B31" s="104"/>
      <c r="C31" s="103"/>
      <c r="D31" s="102" t="s">
        <v>34</v>
      </c>
      <c r="E31" s="101">
        <f>+特損!E34</f>
        <v>0</v>
      </c>
      <c r="F31" s="90">
        <f>+特損!F34</f>
        <v>0</v>
      </c>
      <c r="G31" s="89">
        <f>+特損!G34</f>
        <v>0</v>
      </c>
      <c r="H31" s="89">
        <f>+特損!H34</f>
        <v>0</v>
      </c>
      <c r="I31" s="89">
        <f>+特損!I34</f>
        <v>0</v>
      </c>
      <c r="J31" s="92">
        <f>+特損!J34</f>
        <v>0</v>
      </c>
      <c r="K31" s="34">
        <f>+特損!K34</f>
        <v>0</v>
      </c>
      <c r="L31" s="101">
        <f>+特損!L34</f>
        <v>0</v>
      </c>
      <c r="M31" s="101">
        <f>+特損!M34</f>
        <v>0</v>
      </c>
      <c r="N31" s="90">
        <f t="shared" si="27"/>
        <v>0</v>
      </c>
      <c r="O31" s="89">
        <f t="shared" si="27"/>
        <v>0</v>
      </c>
      <c r="P31" s="89">
        <f t="shared" si="27"/>
        <v>0</v>
      </c>
      <c r="Q31" s="89">
        <f t="shared" si="27"/>
        <v>0</v>
      </c>
      <c r="R31" s="92">
        <f>+ROUND(J31*J$4/(100+J$4),0)+AI31</f>
        <v>0</v>
      </c>
      <c r="S31" s="34">
        <f>SUM(N31:R31)</f>
        <v>0</v>
      </c>
      <c r="T31" s="109">
        <f>+E31-S31</f>
        <v>0</v>
      </c>
      <c r="U31" s="107">
        <f t="shared" si="26"/>
        <v>0</v>
      </c>
      <c r="V31" s="107">
        <f t="shared" si="26"/>
        <v>0</v>
      </c>
      <c r="W31" s="107">
        <f t="shared" si="26"/>
        <v>0</v>
      </c>
      <c r="X31" s="107">
        <f t="shared" si="26"/>
        <v>0</v>
      </c>
      <c r="Y31" s="107">
        <f>R31-J31*J$4/(100+J$4)-AI31</f>
        <v>0</v>
      </c>
      <c r="Z31" s="106">
        <f t="shared" si="28"/>
        <v>0</v>
      </c>
      <c r="AA31" s="106">
        <f t="shared" si="28"/>
        <v>0</v>
      </c>
      <c r="AB31" s="106">
        <f t="shared" si="28"/>
        <v>0</v>
      </c>
      <c r="AC31" s="106">
        <f t="shared" si="28"/>
        <v>0</v>
      </c>
      <c r="AD31" s="106">
        <f>+IF(R$43=0,0,IF(R$43&lt;0,-RANK(Y31,Y$5:Y$40,0),RANK(Y31,Y$5:Y$40,1)))</f>
        <v>0</v>
      </c>
      <c r="AE31" s="2"/>
      <c r="AF31" s="2"/>
      <c r="AG31" s="2"/>
      <c r="AH31" s="2"/>
      <c r="AI31" s="2"/>
    </row>
    <row r="32" spans="1:35" s="62" customFormat="1" hidden="1">
      <c r="A32" s="105"/>
      <c r="B32" s="104"/>
      <c r="C32" s="103"/>
      <c r="D32" s="102"/>
      <c r="E32" s="101"/>
      <c r="F32" s="90"/>
      <c r="G32" s="89"/>
      <c r="H32" s="89"/>
      <c r="I32" s="89"/>
      <c r="J32" s="92"/>
      <c r="K32" s="34"/>
      <c r="L32" s="101"/>
      <c r="M32" s="101"/>
      <c r="N32" s="90"/>
      <c r="O32" s="89"/>
      <c r="P32" s="89"/>
      <c r="Q32" s="89"/>
      <c r="R32" s="92"/>
      <c r="S32" s="34"/>
      <c r="T32" s="91"/>
      <c r="U32" s="107"/>
      <c r="V32" s="107"/>
      <c r="W32" s="107"/>
      <c r="X32" s="107"/>
      <c r="Y32" s="107"/>
      <c r="Z32" s="106"/>
      <c r="AA32" s="106"/>
      <c r="AB32" s="106"/>
      <c r="AC32" s="106"/>
      <c r="AD32" s="106"/>
      <c r="AE32" s="2"/>
      <c r="AF32" s="2"/>
      <c r="AG32" s="2"/>
      <c r="AH32" s="2"/>
      <c r="AI32" s="2"/>
    </row>
    <row r="33" spans="1:35" s="62" customFormat="1" hidden="1">
      <c r="A33" s="105"/>
      <c r="B33" s="104"/>
      <c r="C33" s="103"/>
      <c r="D33" s="102"/>
      <c r="E33" s="101"/>
      <c r="F33" s="90"/>
      <c r="G33" s="89"/>
      <c r="H33" s="89"/>
      <c r="I33" s="89"/>
      <c r="J33" s="92"/>
      <c r="K33" s="34"/>
      <c r="L33" s="101"/>
      <c r="M33" s="101"/>
      <c r="N33" s="90"/>
      <c r="O33" s="89"/>
      <c r="P33" s="89"/>
      <c r="Q33" s="89"/>
      <c r="R33" s="92"/>
      <c r="S33" s="34"/>
      <c r="T33" s="91"/>
      <c r="U33" s="107"/>
      <c r="V33" s="107"/>
      <c r="W33" s="107"/>
      <c r="X33" s="107"/>
      <c r="Y33" s="107"/>
      <c r="Z33" s="106"/>
      <c r="AA33" s="106"/>
      <c r="AB33" s="106"/>
      <c r="AC33" s="106"/>
      <c r="AD33" s="106"/>
      <c r="AE33" s="2"/>
      <c r="AF33" s="2"/>
      <c r="AG33" s="2"/>
      <c r="AH33" s="2"/>
      <c r="AI33" s="2"/>
    </row>
    <row r="34" spans="1:35" s="62" customFormat="1" hidden="1">
      <c r="A34" s="105"/>
      <c r="B34" s="104"/>
      <c r="C34" s="103"/>
      <c r="D34" s="102"/>
      <c r="E34" s="101"/>
      <c r="F34" s="90"/>
      <c r="G34" s="89"/>
      <c r="H34" s="89"/>
      <c r="I34" s="89"/>
      <c r="J34" s="92"/>
      <c r="K34" s="34"/>
      <c r="L34" s="101"/>
      <c r="M34" s="101"/>
      <c r="N34" s="90"/>
      <c r="O34" s="89"/>
      <c r="P34" s="89"/>
      <c r="Q34" s="89"/>
      <c r="R34" s="92"/>
      <c r="S34" s="34"/>
      <c r="T34" s="91"/>
      <c r="U34" s="107"/>
      <c r="V34" s="107"/>
      <c r="W34" s="107"/>
      <c r="X34" s="107"/>
      <c r="Y34" s="107"/>
      <c r="Z34" s="106"/>
      <c r="AA34" s="106"/>
      <c r="AB34" s="106"/>
      <c r="AC34" s="106"/>
      <c r="AD34" s="106"/>
      <c r="AE34" s="2"/>
      <c r="AF34" s="2"/>
      <c r="AG34" s="2"/>
      <c r="AH34" s="2"/>
      <c r="AI34" s="2"/>
    </row>
    <row r="35" spans="1:35" s="62" customFormat="1" hidden="1">
      <c r="A35" s="105"/>
      <c r="B35" s="104"/>
      <c r="C35" s="103"/>
      <c r="D35" s="102"/>
      <c r="E35" s="101"/>
      <c r="F35" s="90"/>
      <c r="G35" s="89"/>
      <c r="H35" s="89"/>
      <c r="I35" s="89"/>
      <c r="J35" s="92"/>
      <c r="K35" s="34"/>
      <c r="L35" s="101"/>
      <c r="M35" s="101"/>
      <c r="N35" s="90"/>
      <c r="O35" s="89"/>
      <c r="P35" s="89"/>
      <c r="Q35" s="89"/>
      <c r="R35" s="92"/>
      <c r="S35" s="34"/>
      <c r="T35" s="91"/>
      <c r="U35" s="107"/>
      <c r="V35" s="107"/>
      <c r="W35" s="107"/>
      <c r="X35" s="107"/>
      <c r="Y35" s="107"/>
      <c r="Z35" s="106"/>
      <c r="AA35" s="106"/>
      <c r="AB35" s="106"/>
      <c r="AC35" s="106"/>
      <c r="AD35" s="106"/>
      <c r="AE35" s="2"/>
      <c r="AF35" s="2"/>
      <c r="AG35" s="2"/>
      <c r="AH35" s="2"/>
      <c r="AI35" s="2"/>
    </row>
    <row r="36" spans="1:35" s="62" customFormat="1" hidden="1">
      <c r="A36" s="105"/>
      <c r="B36" s="104"/>
      <c r="C36" s="103"/>
      <c r="D36" s="102"/>
      <c r="E36" s="101"/>
      <c r="F36" s="90"/>
      <c r="G36" s="89"/>
      <c r="H36" s="89"/>
      <c r="I36" s="89"/>
      <c r="J36" s="92"/>
      <c r="K36" s="34"/>
      <c r="L36" s="101"/>
      <c r="M36" s="101"/>
      <c r="N36" s="90"/>
      <c r="O36" s="89"/>
      <c r="P36" s="89"/>
      <c r="Q36" s="89"/>
      <c r="R36" s="92"/>
      <c r="S36" s="34"/>
      <c r="T36" s="91"/>
      <c r="U36" s="88" t="str">
        <f t="shared" ref="U36:V39" si="29">+IF(F36=0,"",ROUND(F36*F$4/(100+F$4),7)-N36)</f>
        <v/>
      </c>
      <c r="V36" s="88" t="str">
        <f t="shared" si="29"/>
        <v/>
      </c>
      <c r="W36" s="88"/>
      <c r="X36" s="88"/>
      <c r="Y36" s="88" t="str">
        <f>+IF(J36=0,"",ROUND(J36*J$4/(100+J$4),7)-R36)</f>
        <v/>
      </c>
      <c r="Z36" s="88"/>
      <c r="AA36" s="88"/>
      <c r="AB36" s="87" t="str">
        <f>+IF(SUM(U36:Y36)=0,"",SUM(U36:Y36))</f>
        <v/>
      </c>
      <c r="AC36" s="87"/>
      <c r="AD36" s="87"/>
      <c r="AE36" s="2"/>
      <c r="AF36" s="2"/>
      <c r="AG36" s="2"/>
      <c r="AH36" s="2"/>
      <c r="AI36" s="2"/>
    </row>
    <row r="37" spans="1:35" s="62" customFormat="1" hidden="1">
      <c r="A37" s="105"/>
      <c r="B37" s="104"/>
      <c r="C37" s="103"/>
      <c r="D37" s="102"/>
      <c r="E37" s="101"/>
      <c r="F37" s="90"/>
      <c r="G37" s="89"/>
      <c r="H37" s="89"/>
      <c r="I37" s="89"/>
      <c r="J37" s="92"/>
      <c r="K37" s="34"/>
      <c r="L37" s="101"/>
      <c r="M37" s="101"/>
      <c r="N37" s="90"/>
      <c r="O37" s="89"/>
      <c r="P37" s="89"/>
      <c r="Q37" s="89"/>
      <c r="R37" s="92"/>
      <c r="S37" s="34"/>
      <c r="T37" s="91"/>
      <c r="U37" s="88" t="str">
        <f t="shared" si="29"/>
        <v/>
      </c>
      <c r="V37" s="88" t="str">
        <f t="shared" si="29"/>
        <v/>
      </c>
      <c r="W37" s="88"/>
      <c r="X37" s="88"/>
      <c r="Y37" s="88"/>
      <c r="Z37" s="88"/>
      <c r="AA37" s="88"/>
      <c r="AB37" s="87"/>
      <c r="AC37" s="87"/>
      <c r="AD37" s="87"/>
      <c r="AE37" s="2"/>
      <c r="AF37" s="2"/>
      <c r="AG37" s="2"/>
      <c r="AH37" s="2"/>
      <c r="AI37" s="2"/>
    </row>
    <row r="38" spans="1:35" s="62" customFormat="1" hidden="1">
      <c r="A38" s="105"/>
      <c r="B38" s="104"/>
      <c r="C38" s="103"/>
      <c r="D38" s="102"/>
      <c r="E38" s="101"/>
      <c r="F38" s="90"/>
      <c r="G38" s="89"/>
      <c r="H38" s="89"/>
      <c r="I38" s="89"/>
      <c r="J38" s="92"/>
      <c r="K38" s="34"/>
      <c r="L38" s="101"/>
      <c r="M38" s="101"/>
      <c r="N38" s="90"/>
      <c r="O38" s="89"/>
      <c r="P38" s="89"/>
      <c r="Q38" s="89"/>
      <c r="R38" s="92"/>
      <c r="S38" s="34"/>
      <c r="T38" s="91"/>
      <c r="U38" s="88" t="str">
        <f t="shared" si="29"/>
        <v/>
      </c>
      <c r="V38" s="88" t="str">
        <f t="shared" si="29"/>
        <v/>
      </c>
      <c r="W38" s="88" t="str">
        <f>+IF(H38=0,"",ROUND(H38*H$4/(100+H$4),7)-P38)</f>
        <v/>
      </c>
      <c r="X38" s="88"/>
      <c r="Y38" s="88" t="str">
        <f>+IF(J38=0,"",ROUND(J38*J$4/(100+J$4),7)-R38)</f>
        <v/>
      </c>
      <c r="Z38" s="88"/>
      <c r="AA38" s="88"/>
      <c r="AB38" s="87" t="str">
        <f>+IF(SUM(U38:Y38)=0,"",SUM(U38:Y38))</f>
        <v/>
      </c>
      <c r="AC38" s="87"/>
      <c r="AD38" s="87"/>
      <c r="AE38" s="2"/>
      <c r="AF38" s="2"/>
      <c r="AG38" s="2"/>
      <c r="AH38" s="2"/>
      <c r="AI38" s="2"/>
    </row>
    <row r="39" spans="1:35" s="62" customFormat="1" hidden="1">
      <c r="A39" s="105"/>
      <c r="B39" s="104"/>
      <c r="C39" s="103"/>
      <c r="D39" s="102"/>
      <c r="E39" s="101"/>
      <c r="F39" s="90"/>
      <c r="G39" s="89"/>
      <c r="H39" s="89"/>
      <c r="I39" s="89"/>
      <c r="J39" s="92"/>
      <c r="K39" s="34"/>
      <c r="L39" s="101"/>
      <c r="M39" s="101"/>
      <c r="N39" s="90"/>
      <c r="O39" s="89"/>
      <c r="P39" s="89"/>
      <c r="Q39" s="89"/>
      <c r="R39" s="92"/>
      <c r="S39" s="34"/>
      <c r="T39" s="91"/>
      <c r="U39" s="88" t="str">
        <f t="shared" si="29"/>
        <v/>
      </c>
      <c r="V39" s="88" t="str">
        <f t="shared" si="29"/>
        <v/>
      </c>
      <c r="W39" s="88" t="str">
        <f>+IF(H39=0,"",ROUND(H39*H$4/(100+H$4),7)-P39)</f>
        <v/>
      </c>
      <c r="X39" s="88"/>
      <c r="Y39" s="88" t="str">
        <f>+IF(J39=0,"",ROUND(J39*J$4/(100+J$4),7)-R39)</f>
        <v/>
      </c>
      <c r="Z39" s="88"/>
      <c r="AA39" s="88"/>
      <c r="AB39" s="87" t="str">
        <f>+IF(SUM(U39:Y39)=0,"",SUM(U39:Y39))</f>
        <v/>
      </c>
      <c r="AC39" s="87"/>
      <c r="AD39" s="87"/>
      <c r="AE39" s="2"/>
      <c r="AF39" s="2"/>
      <c r="AG39" s="2"/>
      <c r="AH39" s="2"/>
      <c r="AI39" s="2"/>
    </row>
    <row r="40" spans="1:35" s="62" customFormat="1" ht="14.25" thickBot="1">
      <c r="A40" s="100"/>
      <c r="B40" s="99"/>
      <c r="C40" s="98"/>
      <c r="D40" s="97"/>
      <c r="E40" s="93"/>
      <c r="F40" s="96"/>
      <c r="G40" s="95"/>
      <c r="H40" s="95"/>
      <c r="I40" s="95"/>
      <c r="J40" s="94"/>
      <c r="K40" s="34"/>
      <c r="L40" s="93"/>
      <c r="M40" s="93"/>
      <c r="N40" s="90"/>
      <c r="O40" s="89"/>
      <c r="P40" s="89"/>
      <c r="Q40" s="89"/>
      <c r="R40" s="92"/>
      <c r="S40" s="34"/>
      <c r="T40" s="91"/>
      <c r="U40" s="88" t="str">
        <f>+IF(F40=0,"",ROUND(F40*F$4/(100+F$4),7)-N40)</f>
        <v/>
      </c>
      <c r="V40" s="88"/>
      <c r="W40" s="88"/>
      <c r="X40" s="88"/>
      <c r="Y40" s="88"/>
      <c r="Z40" s="88"/>
      <c r="AA40" s="88"/>
      <c r="AB40" s="87"/>
      <c r="AC40" s="87"/>
      <c r="AD40" s="87"/>
      <c r="AE40" s="2"/>
      <c r="AF40" s="2"/>
      <c r="AG40" s="2"/>
      <c r="AH40" s="2"/>
      <c r="AI40" s="2"/>
    </row>
    <row r="41" spans="1:35" s="62" customFormat="1" ht="14.25" thickTop="1">
      <c r="A41" s="86"/>
      <c r="B41" s="85"/>
      <c r="C41" s="84"/>
      <c r="D41" s="83" t="s">
        <v>2</v>
      </c>
      <c r="E41" s="79">
        <f t="shared" ref="E41:S41" si="30">+SUM(E5,E22,E27)</f>
        <v>42643669657</v>
      </c>
      <c r="F41" s="82">
        <f t="shared" si="30"/>
        <v>0</v>
      </c>
      <c r="G41" s="81">
        <f t="shared" si="30"/>
        <v>0</v>
      </c>
      <c r="H41" s="81">
        <f t="shared" si="30"/>
        <v>1236141</v>
      </c>
      <c r="I41" s="81">
        <f t="shared" ref="I41" si="31">+SUM(I5,I22,I27)</f>
        <v>500878</v>
      </c>
      <c r="J41" s="80">
        <f t="shared" si="30"/>
        <v>9106828850</v>
      </c>
      <c r="K41" s="74">
        <f t="shared" si="30"/>
        <v>9108565869</v>
      </c>
      <c r="L41" s="79">
        <f t="shared" si="30"/>
        <v>4302104919</v>
      </c>
      <c r="M41" s="79">
        <f t="shared" si="30"/>
        <v>29232998869</v>
      </c>
      <c r="N41" s="76">
        <f t="shared" si="30"/>
        <v>0</v>
      </c>
      <c r="O41" s="75">
        <f t="shared" si="30"/>
        <v>0</v>
      </c>
      <c r="P41" s="75">
        <f t="shared" si="30"/>
        <v>91566</v>
      </c>
      <c r="Q41" s="75">
        <f t="shared" ref="Q41" si="32">+SUM(Q5,Q22,Q27)</f>
        <v>37102</v>
      </c>
      <c r="R41" s="78">
        <f t="shared" si="30"/>
        <v>827893531</v>
      </c>
      <c r="S41" s="74">
        <f t="shared" si="30"/>
        <v>828022199</v>
      </c>
      <c r="T41" s="77">
        <f>+SUM(T5,T22,T27)</f>
        <v>42028134935</v>
      </c>
      <c r="U41" s="2"/>
      <c r="V41" s="2"/>
      <c r="W41" s="2"/>
      <c r="X41" s="2"/>
      <c r="Y41" s="2"/>
      <c r="Z41" s="2"/>
      <c r="AA41" s="2"/>
      <c r="AB41" s="2"/>
      <c r="AC41" s="2"/>
      <c r="AD41" s="2"/>
      <c r="AE41" s="2"/>
      <c r="AF41" s="2"/>
      <c r="AG41" s="2"/>
      <c r="AH41" s="2"/>
      <c r="AI41" s="2"/>
    </row>
    <row r="42" spans="1:35" s="62" customFormat="1">
      <c r="A42" s="73"/>
      <c r="B42" s="72"/>
      <c r="C42" s="71"/>
      <c r="D42" s="70" t="s">
        <v>1</v>
      </c>
      <c r="E42" s="65">
        <f t="shared" ref="E42:J42" si="33">+E41</f>
        <v>42643669657</v>
      </c>
      <c r="F42" s="69">
        <f t="shared" si="33"/>
        <v>0</v>
      </c>
      <c r="G42" s="68">
        <f t="shared" si="33"/>
        <v>0</v>
      </c>
      <c r="H42" s="68">
        <f t="shared" si="33"/>
        <v>1236141</v>
      </c>
      <c r="I42" s="68">
        <f t="shared" si="33"/>
        <v>500878</v>
      </c>
      <c r="J42" s="67">
        <f t="shared" si="33"/>
        <v>9106828850</v>
      </c>
      <c r="K42" s="63">
        <f>SUM(F42:J42)</f>
        <v>9108565869</v>
      </c>
      <c r="L42" s="65">
        <f>+L41</f>
        <v>4302104919</v>
      </c>
      <c r="M42" s="65">
        <f>+M41</f>
        <v>29232998869</v>
      </c>
      <c r="N42" s="64">
        <f>+ROUNDDOWN(F42*F$4/(100+F$4),0)</f>
        <v>0</v>
      </c>
      <c r="O42" s="64">
        <f>+ROUNDDOWN(G42*G$4/(100+G$4),0)</f>
        <v>0</v>
      </c>
      <c r="P42" s="64">
        <f>+ROUNDDOWN(H42*H$4/(100+H$4),0)</f>
        <v>91566</v>
      </c>
      <c r="Q42" s="64">
        <f>+ROUNDDOWN(I42*I$4/(100+I$4),0)</f>
        <v>37102</v>
      </c>
      <c r="R42" s="64">
        <f>+ROUNDDOWN(J42*J$4/(100+J$4),0)</f>
        <v>827893531</v>
      </c>
      <c r="S42" s="66">
        <f>SUM(N42:R42)</f>
        <v>828022199</v>
      </c>
      <c r="T42" s="65">
        <f>+E42-S42</f>
        <v>41815647458</v>
      </c>
      <c r="U42" s="2"/>
      <c r="V42" s="2"/>
      <c r="W42" s="2"/>
      <c r="X42" s="2"/>
      <c r="Y42" s="2"/>
      <c r="Z42" s="2"/>
      <c r="AA42" s="2"/>
      <c r="AB42" s="2"/>
      <c r="AC42" s="2"/>
      <c r="AD42" s="2"/>
      <c r="AE42" s="2"/>
      <c r="AF42" s="2"/>
      <c r="AG42" s="2"/>
      <c r="AH42" s="2"/>
      <c r="AI42" s="2"/>
    </row>
    <row r="43" spans="1:35">
      <c r="E43" s="4">
        <f t="shared" ref="E43:S43" si="34">+E42-E41</f>
        <v>0</v>
      </c>
      <c r="F43" s="4">
        <f t="shared" si="34"/>
        <v>0</v>
      </c>
      <c r="G43" s="4">
        <f t="shared" si="34"/>
        <v>0</v>
      </c>
      <c r="H43" s="4">
        <f t="shared" si="34"/>
        <v>0</v>
      </c>
      <c r="I43" s="4">
        <f t="shared" ref="I43" si="35">+I42-I41</f>
        <v>0</v>
      </c>
      <c r="J43" s="4">
        <f t="shared" si="34"/>
        <v>0</v>
      </c>
      <c r="K43" s="4">
        <f t="shared" si="34"/>
        <v>0</v>
      </c>
      <c r="L43" s="4">
        <f t="shared" si="34"/>
        <v>0</v>
      </c>
      <c r="M43" s="4">
        <f t="shared" si="34"/>
        <v>0</v>
      </c>
      <c r="N43" s="4">
        <f t="shared" si="34"/>
        <v>0</v>
      </c>
      <c r="O43" s="4">
        <f t="shared" si="34"/>
        <v>0</v>
      </c>
      <c r="P43" s="4">
        <f t="shared" si="34"/>
        <v>0</v>
      </c>
      <c r="Q43" s="4">
        <f t="shared" ref="Q43" si="36">+Q42-Q41</f>
        <v>0</v>
      </c>
      <c r="R43" s="4">
        <f t="shared" si="34"/>
        <v>0</v>
      </c>
      <c r="S43" s="4">
        <f t="shared" si="34"/>
        <v>0</v>
      </c>
      <c r="T43" s="4">
        <f>+T42-T41</f>
        <v>-212487477</v>
      </c>
    </row>
    <row r="44" spans="1:35">
      <c r="V44" s="130"/>
    </row>
    <row r="45" spans="1:35">
      <c r="C45" s="61"/>
      <c r="D45" s="60" t="s">
        <v>33</v>
      </c>
      <c r="E45" s="59">
        <f>[1]消費税!$Z$118+[1]消費税!$AF$118</f>
        <v>343538729</v>
      </c>
      <c r="F45" s="58" t="s">
        <v>32</v>
      </c>
      <c r="G45" s="57">
        <f>+営外!E39</f>
        <v>42630200</v>
      </c>
      <c r="P45" s="56" t="s">
        <v>31</v>
      </c>
      <c r="Q45" s="56"/>
      <c r="R45" s="54"/>
      <c r="S45" s="55">
        <f>'[2]3条収入'!AH69</f>
        <v>210253123</v>
      </c>
      <c r="T45" s="54"/>
    </row>
    <row r="46" spans="1:35">
      <c r="D46" s="1" t="s">
        <v>0</v>
      </c>
      <c r="E46" s="4">
        <f>+E41+E45</f>
        <v>42987208386</v>
      </c>
      <c r="P46" s="54"/>
      <c r="Q46" s="54"/>
      <c r="R46" s="54"/>
      <c r="S46" s="54">
        <f>S42</f>
        <v>828022199</v>
      </c>
      <c r="T46" s="54">
        <f>T41+S46</f>
        <v>42856157134</v>
      </c>
    </row>
    <row r="47" spans="1:35" ht="13.5" customHeight="1">
      <c r="E47" s="4"/>
      <c r="P47" s="54"/>
      <c r="Q47" s="54"/>
      <c r="R47" s="54"/>
      <c r="S47" s="54"/>
      <c r="T47" s="54">
        <f>E41-T46+S45</f>
        <v>-2234354</v>
      </c>
      <c r="U47" s="316" t="s">
        <v>30</v>
      </c>
      <c r="V47" s="316"/>
      <c r="W47" s="316"/>
      <c r="X47" s="316"/>
      <c r="Y47" s="316"/>
      <c r="Z47" s="316"/>
    </row>
    <row r="48" spans="1:35">
      <c r="P48" s="54"/>
      <c r="Q48" s="54"/>
      <c r="R48" s="54"/>
      <c r="S48" s="54"/>
      <c r="T48" s="54"/>
      <c r="U48" s="316"/>
      <c r="V48" s="316"/>
      <c r="W48" s="316"/>
      <c r="X48" s="316"/>
      <c r="Y48" s="316"/>
      <c r="Z48" s="316"/>
    </row>
    <row r="49" spans="4:26" ht="14.25" thickBot="1">
      <c r="D49" s="1" t="s">
        <v>29</v>
      </c>
      <c r="N49" s="1"/>
      <c r="S49" s="1"/>
      <c r="T49" s="3"/>
      <c r="U49" s="316"/>
      <c r="V49" s="316"/>
      <c r="W49" s="316"/>
      <c r="X49" s="316"/>
      <c r="Y49" s="316"/>
      <c r="Z49" s="316"/>
    </row>
    <row r="50" spans="4:26">
      <c r="D50" s="296" t="s">
        <v>28</v>
      </c>
      <c r="E50" s="299" t="s">
        <v>27</v>
      </c>
      <c r="F50" s="300"/>
      <c r="G50" s="300"/>
      <c r="H50" s="300"/>
      <c r="I50" s="300"/>
      <c r="J50" s="300"/>
      <c r="K50" s="301"/>
      <c r="L50" s="319" t="s">
        <v>26</v>
      </c>
      <c r="M50" s="320"/>
      <c r="N50" s="319" t="s">
        <v>25</v>
      </c>
      <c r="O50" s="320"/>
      <c r="R50" s="1"/>
      <c r="S50" s="1"/>
    </row>
    <row r="51" spans="4:26">
      <c r="D51" s="297"/>
      <c r="E51" s="302" t="s">
        <v>0</v>
      </c>
      <c r="F51" s="304" t="s">
        <v>24</v>
      </c>
      <c r="G51" s="305"/>
      <c r="H51" s="305"/>
      <c r="I51" s="305"/>
      <c r="J51" s="305"/>
      <c r="K51" s="306"/>
      <c r="L51" s="305" t="s">
        <v>0</v>
      </c>
      <c r="M51" s="317" t="s">
        <v>24</v>
      </c>
      <c r="N51" s="305" t="s">
        <v>0</v>
      </c>
      <c r="O51" s="317" t="s">
        <v>24</v>
      </c>
      <c r="R51" s="1"/>
      <c r="S51" s="1"/>
    </row>
    <row r="52" spans="4:26">
      <c r="D52" s="298"/>
      <c r="E52" s="303"/>
      <c r="F52" s="53">
        <v>3</v>
      </c>
      <c r="G52" s="52">
        <v>5</v>
      </c>
      <c r="H52" s="52">
        <v>8</v>
      </c>
      <c r="I52" s="268">
        <v>8</v>
      </c>
      <c r="J52" s="264">
        <v>10</v>
      </c>
      <c r="K52" s="50" t="s">
        <v>2</v>
      </c>
      <c r="L52" s="307"/>
      <c r="M52" s="318"/>
      <c r="N52" s="307"/>
      <c r="O52" s="318"/>
      <c r="R52" s="1"/>
      <c r="S52" s="1"/>
    </row>
    <row r="53" spans="4:26">
      <c r="D53" s="49" t="s">
        <v>23</v>
      </c>
      <c r="E53" s="293">
        <f t="shared" ref="E53:O53" si="37">+SUM(E54:E67)</f>
        <v>3688023972</v>
      </c>
      <c r="F53" s="48">
        <f t="shared" si="37"/>
        <v>0</v>
      </c>
      <c r="G53" s="47">
        <f t="shared" si="37"/>
        <v>0</v>
      </c>
      <c r="H53" s="47">
        <f t="shared" si="37"/>
        <v>496314</v>
      </c>
      <c r="I53" s="47">
        <f t="shared" ref="I53" si="38">+SUM(I54:I67)</f>
        <v>142297</v>
      </c>
      <c r="J53" s="46">
        <f t="shared" si="37"/>
        <v>2459472462</v>
      </c>
      <c r="K53" s="45">
        <f t="shared" si="37"/>
        <v>2460111073</v>
      </c>
      <c r="L53" s="44">
        <f t="shared" si="37"/>
        <v>7816908465</v>
      </c>
      <c r="M53" s="43">
        <f t="shared" si="37"/>
        <v>6547757796</v>
      </c>
      <c r="N53" s="44">
        <f t="shared" si="37"/>
        <v>107352503</v>
      </c>
      <c r="O53" s="43">
        <f t="shared" si="37"/>
        <v>22835037</v>
      </c>
      <c r="R53" s="1"/>
    </row>
    <row r="54" spans="4:26">
      <c r="D54" s="28" t="s">
        <v>22</v>
      </c>
      <c r="E54" s="32">
        <f>+E6-L54</f>
        <v>345781722</v>
      </c>
      <c r="F54" s="26">
        <f>+IFERROR(ROUND(F6*$K54/SUM($F6:$J6),0),0)</f>
        <v>0</v>
      </c>
      <c r="G54" s="25">
        <f>+IFERROR(ROUND(G6*$K54/SUM($F6:$J6),0),0)</f>
        <v>0</v>
      </c>
      <c r="H54" s="25">
        <f>+IFERROR(ROUND(H6*$K54/SUM($F6:$J6),0),0)</f>
        <v>383412</v>
      </c>
      <c r="I54" s="25">
        <f>+IFERROR(ROUND(I6*$K54/SUM($F6:$J6),0),0)</f>
        <v>0</v>
      </c>
      <c r="J54" s="23">
        <f>+IFERROR(ROUND(J6*$K54/SUM($F6:$J6),0),0)</f>
        <v>292845789</v>
      </c>
      <c r="K54" s="24">
        <f>+K6-M54</f>
        <v>293229201</v>
      </c>
      <c r="L54" s="31">
        <f>+[3]雨汚水!K7</f>
        <v>266038235</v>
      </c>
      <c r="M54" s="34">
        <f t="shared" ref="M54:M66" si="39">+IFERROR(ROUND(L54*K6/E6,0),0)</f>
        <v>225605271</v>
      </c>
      <c r="N54" s="30"/>
      <c r="O54" s="29"/>
    </row>
    <row r="55" spans="4:26">
      <c r="D55" s="42" t="s">
        <v>21</v>
      </c>
      <c r="E55" s="41"/>
      <c r="F55" s="40"/>
      <c r="G55" s="39"/>
      <c r="H55" s="39"/>
      <c r="I55" s="39"/>
      <c r="J55" s="38"/>
      <c r="K55" s="35"/>
      <c r="L55" s="31">
        <f>+[3]雨汚水!K8</f>
        <v>0</v>
      </c>
      <c r="M55" s="34">
        <f t="shared" si="39"/>
        <v>0</v>
      </c>
      <c r="N55" s="37">
        <f>+E7</f>
        <v>52443869</v>
      </c>
      <c r="O55" s="34">
        <f>+K7</f>
        <v>12436317</v>
      </c>
    </row>
    <row r="56" spans="4:26">
      <c r="D56" s="28" t="s">
        <v>20</v>
      </c>
      <c r="E56" s="32">
        <f>+E8-L56</f>
        <v>1779977149</v>
      </c>
      <c r="F56" s="26">
        <f t="shared" ref="F56:H58" si="40">+IFERROR(ROUND(F8*$K56/SUM($F8:$J8),0),0)</f>
        <v>0</v>
      </c>
      <c r="G56" s="25">
        <f t="shared" si="40"/>
        <v>0</v>
      </c>
      <c r="H56" s="25">
        <f t="shared" si="40"/>
        <v>0</v>
      </c>
      <c r="I56" s="25">
        <f t="shared" ref="I56" si="41">+IFERROR(ROUND(I8*$K56/SUM($F8:$J8),0),0)</f>
        <v>22935</v>
      </c>
      <c r="J56" s="23">
        <f>+IFERROR(ROUND(J8*$K56/SUM($F8:$J8),0),0)</f>
        <v>867444589</v>
      </c>
      <c r="K56" s="24">
        <f>+K8-M56</f>
        <v>867467524</v>
      </c>
      <c r="L56" s="31">
        <f>+[3]雨汚水!K9</f>
        <v>576063076</v>
      </c>
      <c r="M56" s="34">
        <f t="shared" si="39"/>
        <v>280742936</v>
      </c>
      <c r="N56" s="30"/>
      <c r="O56" s="29"/>
      <c r="R56" s="1"/>
      <c r="S56" s="4"/>
      <c r="T56" s="4"/>
    </row>
    <row r="57" spans="4:26">
      <c r="D57" s="28" t="s">
        <v>19</v>
      </c>
      <c r="E57" s="32">
        <f>+E9-L57</f>
        <v>1428197863</v>
      </c>
      <c r="F57" s="26">
        <f t="shared" si="40"/>
        <v>0</v>
      </c>
      <c r="G57" s="25">
        <f t="shared" si="40"/>
        <v>0</v>
      </c>
      <c r="H57" s="25">
        <f t="shared" si="40"/>
        <v>112902</v>
      </c>
      <c r="I57" s="25">
        <f t="shared" ref="I57" si="42">+IFERROR(ROUND(I9*$K57/SUM($F9:$J9),0),0)</f>
        <v>31492</v>
      </c>
      <c r="J57" s="23">
        <f>+IFERROR(ROUND(J9*$K57/SUM($F9:$J9),0),0)</f>
        <v>1245382798</v>
      </c>
      <c r="K57" s="24">
        <f>+K9-M57</f>
        <v>1245527192</v>
      </c>
      <c r="L57" s="31">
        <f>+[3]雨汚水!K10</f>
        <v>5129506001</v>
      </c>
      <c r="M57" s="34">
        <f t="shared" si="39"/>
        <v>4473427228</v>
      </c>
      <c r="N57" s="30"/>
      <c r="O57" s="29"/>
      <c r="R57" s="1"/>
      <c r="S57" s="4"/>
      <c r="T57" s="4"/>
    </row>
    <row r="58" spans="4:26">
      <c r="D58" s="28" t="s">
        <v>18</v>
      </c>
      <c r="E58" s="32">
        <f>+E10-L58</f>
        <v>0</v>
      </c>
      <c r="F58" s="26">
        <f t="shared" si="40"/>
        <v>0</v>
      </c>
      <c r="G58" s="25">
        <f t="shared" si="40"/>
        <v>0</v>
      </c>
      <c r="H58" s="25">
        <f t="shared" si="40"/>
        <v>0</v>
      </c>
      <c r="I58" s="25">
        <f t="shared" ref="I58" si="43">+IFERROR(ROUND(I10*$K58/SUM($F10:$J10),0),0)</f>
        <v>0</v>
      </c>
      <c r="J58" s="23">
        <f>+IFERROR(ROUND(J10*$K58/SUM($F10:$J10),0),0)</f>
        <v>0</v>
      </c>
      <c r="K58" s="24">
        <f>+K10-M58</f>
        <v>0</v>
      </c>
      <c r="L58" s="31">
        <f>+[3]雨汚水!K11</f>
        <v>0</v>
      </c>
      <c r="M58" s="34">
        <f t="shared" si="39"/>
        <v>0</v>
      </c>
      <c r="N58" s="30"/>
      <c r="O58" s="29"/>
      <c r="R58" s="1"/>
      <c r="S58" s="4"/>
      <c r="T58" s="4"/>
    </row>
    <row r="59" spans="4:26">
      <c r="D59" s="42" t="s">
        <v>17</v>
      </c>
      <c r="E59" s="41"/>
      <c r="F59" s="40"/>
      <c r="G59" s="39"/>
      <c r="H59" s="39"/>
      <c r="I59" s="39"/>
      <c r="J59" s="38"/>
      <c r="K59" s="35"/>
      <c r="L59" s="31">
        <f>+[3]雨汚水!K12</f>
        <v>44424774</v>
      </c>
      <c r="M59" s="34">
        <f t="shared" si="39"/>
        <v>9435234</v>
      </c>
      <c r="N59" s="37">
        <f>+E11-L59</f>
        <v>44424775</v>
      </c>
      <c r="O59" s="34">
        <f>+K11-M59</f>
        <v>9435235</v>
      </c>
      <c r="R59" s="1"/>
      <c r="S59" s="4"/>
      <c r="T59" s="4"/>
    </row>
    <row r="60" spans="4:26">
      <c r="D60" s="42" t="s">
        <v>16</v>
      </c>
      <c r="E60" s="41"/>
      <c r="F60" s="40"/>
      <c r="G60" s="39"/>
      <c r="H60" s="39"/>
      <c r="I60" s="39"/>
      <c r="J60" s="38"/>
      <c r="K60" s="35"/>
      <c r="L60" s="31">
        <f>+[3]雨汚水!K13</f>
        <v>0</v>
      </c>
      <c r="M60" s="34">
        <f t="shared" si="39"/>
        <v>0</v>
      </c>
      <c r="N60" s="37">
        <f>+E12</f>
        <v>10483859</v>
      </c>
      <c r="O60" s="34">
        <f>+K12</f>
        <v>963485</v>
      </c>
      <c r="R60" s="1"/>
      <c r="S60" s="4"/>
      <c r="T60" s="4"/>
    </row>
    <row r="61" spans="4:26">
      <c r="D61" s="28" t="s">
        <v>15</v>
      </c>
      <c r="E61" s="32">
        <f t="shared" ref="E61:E66" si="44">+E13-L61</f>
        <v>0</v>
      </c>
      <c r="F61" s="26">
        <f t="shared" ref="F61:H66" si="45">+IFERROR(ROUND(F13*$K61/SUM($F13:$J13),0),0)</f>
        <v>0</v>
      </c>
      <c r="G61" s="25">
        <f t="shared" si="45"/>
        <v>0</v>
      </c>
      <c r="H61" s="25">
        <f t="shared" si="45"/>
        <v>0</v>
      </c>
      <c r="I61" s="25">
        <f t="shared" ref="I61" si="46">+IFERROR(ROUND(I13*$K61/SUM($F13:$J13),0),0)</f>
        <v>0</v>
      </c>
      <c r="J61" s="23">
        <f t="shared" ref="J61:J66" si="47">+IFERROR(ROUND(J13*$K61/SUM($F13:$J13),0),0)</f>
        <v>0</v>
      </c>
      <c r="K61" s="24">
        <f t="shared" ref="K61:K66" si="48">+K13-M61</f>
        <v>0</v>
      </c>
      <c r="L61" s="31">
        <f>+[3]雨汚水!K14</f>
        <v>1019945143</v>
      </c>
      <c r="M61" s="34">
        <f t="shared" si="39"/>
        <v>992787715</v>
      </c>
      <c r="N61" s="30"/>
      <c r="O61" s="29"/>
      <c r="R61" s="1"/>
      <c r="S61" s="4"/>
      <c r="T61" s="4"/>
    </row>
    <row r="62" spans="4:26">
      <c r="D62" s="28" t="s">
        <v>14</v>
      </c>
      <c r="E62" s="32">
        <f t="shared" si="44"/>
        <v>134067238</v>
      </c>
      <c r="F62" s="26">
        <f t="shared" si="45"/>
        <v>0</v>
      </c>
      <c r="G62" s="25">
        <f t="shared" si="45"/>
        <v>0</v>
      </c>
      <c r="H62" s="25">
        <f t="shared" si="45"/>
        <v>0</v>
      </c>
      <c r="I62" s="25">
        <f t="shared" ref="I62" si="49">+IFERROR(ROUND(I14*$K62/SUM($F14:$J14),0),0)</f>
        <v>87870</v>
      </c>
      <c r="J62" s="23">
        <f t="shared" si="47"/>
        <v>53799286</v>
      </c>
      <c r="K62" s="24">
        <f t="shared" si="48"/>
        <v>53887156</v>
      </c>
      <c r="L62" s="31">
        <f>+[3]雨汚水!K15</f>
        <v>349897976</v>
      </c>
      <c r="M62" s="34">
        <f t="shared" si="39"/>
        <v>140638437</v>
      </c>
      <c r="N62" s="30"/>
      <c r="O62" s="29"/>
      <c r="R62" s="1"/>
      <c r="S62" s="4"/>
      <c r="T62" s="4"/>
    </row>
    <row r="63" spans="4:26">
      <c r="D63" s="28" t="s">
        <v>13</v>
      </c>
      <c r="E63" s="32">
        <f t="shared" si="44"/>
        <v>0</v>
      </c>
      <c r="F63" s="26">
        <f t="shared" si="45"/>
        <v>0</v>
      </c>
      <c r="G63" s="25">
        <f t="shared" si="45"/>
        <v>0</v>
      </c>
      <c r="H63" s="25">
        <f t="shared" si="45"/>
        <v>0</v>
      </c>
      <c r="I63" s="25">
        <f t="shared" ref="I63" si="50">+IFERROR(ROUND(I15*$K63/SUM($F15:$J15),0),0)</f>
        <v>0</v>
      </c>
      <c r="J63" s="23">
        <f t="shared" si="47"/>
        <v>0</v>
      </c>
      <c r="K63" s="24">
        <f t="shared" si="48"/>
        <v>0</v>
      </c>
      <c r="L63" s="31">
        <f>+[3]雨汚水!K16</f>
        <v>106990906</v>
      </c>
      <c r="M63" s="34">
        <f t="shared" si="39"/>
        <v>106854219</v>
      </c>
      <c r="N63" s="30"/>
      <c r="O63" s="29"/>
      <c r="R63" s="1"/>
      <c r="S63" s="4"/>
      <c r="T63" s="4"/>
    </row>
    <row r="64" spans="4:26">
      <c r="D64" s="28" t="s">
        <v>12</v>
      </c>
      <c r="E64" s="32">
        <f t="shared" si="44"/>
        <v>0</v>
      </c>
      <c r="F64" s="26">
        <f t="shared" si="45"/>
        <v>0</v>
      </c>
      <c r="G64" s="25">
        <f t="shared" si="45"/>
        <v>0</v>
      </c>
      <c r="H64" s="25">
        <f t="shared" si="45"/>
        <v>0</v>
      </c>
      <c r="I64" s="25">
        <f t="shared" ref="I64" si="51">+IFERROR(ROUND(I16*$K64/SUM($F16:$J16),0),0)</f>
        <v>0</v>
      </c>
      <c r="J64" s="23">
        <f t="shared" si="47"/>
        <v>0</v>
      </c>
      <c r="K64" s="24">
        <f t="shared" si="48"/>
        <v>0</v>
      </c>
      <c r="L64" s="31">
        <f>+[3]雨汚水!K17</f>
        <v>247654024</v>
      </c>
      <c r="M64" s="34">
        <f t="shared" si="39"/>
        <v>247349460</v>
      </c>
      <c r="N64" s="30"/>
      <c r="O64" s="29"/>
      <c r="R64" s="1"/>
      <c r="S64" s="4"/>
      <c r="T64" s="4"/>
    </row>
    <row r="65" spans="4:20">
      <c r="D65" s="28" t="s">
        <v>11</v>
      </c>
      <c r="E65" s="32">
        <f t="shared" si="44"/>
        <v>0</v>
      </c>
      <c r="F65" s="26">
        <f t="shared" si="45"/>
        <v>0</v>
      </c>
      <c r="G65" s="25">
        <f t="shared" si="45"/>
        <v>0</v>
      </c>
      <c r="H65" s="25">
        <f t="shared" si="45"/>
        <v>0</v>
      </c>
      <c r="I65" s="25">
        <f t="shared" ref="I65" si="52">+IFERROR(ROUND(I17*$K65/SUM($F17:$J17),0),0)</f>
        <v>0</v>
      </c>
      <c r="J65" s="23">
        <f t="shared" si="47"/>
        <v>0</v>
      </c>
      <c r="K65" s="24">
        <f t="shared" si="48"/>
        <v>0</v>
      </c>
      <c r="L65" s="31">
        <f>+[3]雨汚水!K18</f>
        <v>76388330</v>
      </c>
      <c r="M65" s="34">
        <f t="shared" si="39"/>
        <v>70917296</v>
      </c>
      <c r="N65" s="30"/>
      <c r="O65" s="29"/>
      <c r="R65" s="1"/>
      <c r="S65" s="4"/>
      <c r="T65" s="4"/>
    </row>
    <row r="66" spans="4:20">
      <c r="D66" s="28" t="s">
        <v>10</v>
      </c>
      <c r="E66" s="32">
        <f t="shared" si="44"/>
        <v>0</v>
      </c>
      <c r="F66" s="26">
        <f t="shared" si="45"/>
        <v>0</v>
      </c>
      <c r="G66" s="25">
        <f t="shared" si="45"/>
        <v>0</v>
      </c>
      <c r="H66" s="25">
        <f t="shared" si="45"/>
        <v>0</v>
      </c>
      <c r="I66" s="25">
        <f t="shared" ref="I66" si="53">+IFERROR(ROUND(I18*$K66/SUM($F18:$J18),0),0)</f>
        <v>0</v>
      </c>
      <c r="J66" s="23">
        <f t="shared" si="47"/>
        <v>0</v>
      </c>
      <c r="K66" s="24">
        <f t="shared" si="48"/>
        <v>0</v>
      </c>
      <c r="L66" s="31">
        <f>+[3]雨汚水!K19</f>
        <v>0</v>
      </c>
      <c r="M66" s="34">
        <f t="shared" si="39"/>
        <v>0</v>
      </c>
      <c r="N66" s="30"/>
      <c r="O66" s="29"/>
      <c r="R66" s="1"/>
      <c r="S66" s="4"/>
      <c r="T66" s="4"/>
    </row>
    <row r="67" spans="4:20">
      <c r="D67" s="28" t="s">
        <v>9</v>
      </c>
      <c r="E67" s="36">
        <f>+[3]雨汚水!F20</f>
        <v>0</v>
      </c>
      <c r="F67" s="26">
        <f>+IFERROR(ROUND(F20*$K67/SUM($F20:$J20),0),0)</f>
        <v>0</v>
      </c>
      <c r="G67" s="25">
        <f>+IFERROR(ROUND(G20*$K67/SUM($F20:$J20),0),0)</f>
        <v>0</v>
      </c>
      <c r="H67" s="25">
        <f>+IFERROR(ROUND(H20*$K67/SUM($F20:$J20),0),0)</f>
        <v>0</v>
      </c>
      <c r="I67" s="25">
        <f>+IFERROR(ROUND(I20*$K67/SUM($F20:$J20),0),0)</f>
        <v>0</v>
      </c>
      <c r="J67" s="23">
        <f>+IFERROR(ROUND(J20*$K67/SUM($F20:$J20),0),0)</f>
        <v>0</v>
      </c>
      <c r="K67" s="24">
        <f>+K20-M67</f>
        <v>0</v>
      </c>
      <c r="L67" s="31">
        <f>+[3]雨汚水!K20</f>
        <v>0</v>
      </c>
      <c r="M67" s="34">
        <f>+IFERROR(ROUND(L67*K20/E20,0),0)</f>
        <v>0</v>
      </c>
      <c r="N67" s="30"/>
      <c r="O67" s="29"/>
      <c r="R67" s="1"/>
      <c r="S67" s="4"/>
      <c r="T67" s="4"/>
    </row>
    <row r="68" spans="4:20">
      <c r="D68" s="28"/>
      <c r="E68" s="32"/>
      <c r="F68" s="26"/>
      <c r="G68" s="25"/>
      <c r="H68" s="25"/>
      <c r="I68" s="25"/>
      <c r="J68" s="23"/>
      <c r="K68" s="24"/>
      <c r="L68" s="33"/>
      <c r="M68" s="22"/>
      <c r="N68" s="33"/>
      <c r="O68" s="22"/>
      <c r="R68" s="1"/>
      <c r="S68" s="4"/>
      <c r="T68" s="4"/>
    </row>
    <row r="69" spans="4:20">
      <c r="D69" s="28" t="s">
        <v>8</v>
      </c>
      <c r="E69" s="32">
        <f t="shared" ref="E69:O69" si="54">+SUM(E70:E71)</f>
        <v>0</v>
      </c>
      <c r="F69" s="26">
        <f t="shared" si="54"/>
        <v>0</v>
      </c>
      <c r="G69" s="25">
        <f t="shared" si="54"/>
        <v>0</v>
      </c>
      <c r="H69" s="25">
        <f t="shared" si="54"/>
        <v>0</v>
      </c>
      <c r="I69" s="25">
        <f t="shared" ref="I69" si="55">+SUM(I70:I71)</f>
        <v>0</v>
      </c>
      <c r="J69" s="23">
        <f t="shared" si="54"/>
        <v>0</v>
      </c>
      <c r="K69" s="24">
        <f t="shared" si="54"/>
        <v>0</v>
      </c>
      <c r="L69" s="33">
        <f t="shared" si="54"/>
        <v>9226652</v>
      </c>
      <c r="M69" s="22">
        <f t="shared" si="54"/>
        <v>5392470</v>
      </c>
      <c r="N69" s="33">
        <f t="shared" si="54"/>
        <v>0</v>
      </c>
      <c r="O69" s="22">
        <f t="shared" si="54"/>
        <v>0</v>
      </c>
      <c r="R69" s="1"/>
      <c r="S69" s="4"/>
      <c r="T69" s="4"/>
    </row>
    <row r="70" spans="4:20">
      <c r="D70" s="28" t="s">
        <v>7</v>
      </c>
      <c r="E70" s="36">
        <f>+[3]雨汚水!E22-L70</f>
        <v>0</v>
      </c>
      <c r="F70" s="291">
        <v>0</v>
      </c>
      <c r="G70" s="209">
        <v>0</v>
      </c>
      <c r="H70" s="209">
        <v>0</v>
      </c>
      <c r="I70" s="209">
        <v>0</v>
      </c>
      <c r="J70" s="292">
        <v>0</v>
      </c>
      <c r="K70" s="35"/>
      <c r="L70" s="31">
        <f>+[3]雨汚水!K22</f>
        <v>2483</v>
      </c>
      <c r="M70" s="208">
        <v>0</v>
      </c>
      <c r="N70" s="30"/>
      <c r="O70" s="29"/>
      <c r="R70" s="1"/>
      <c r="S70" s="4"/>
      <c r="T70" s="4"/>
    </row>
    <row r="71" spans="4:20">
      <c r="D71" s="28" t="s">
        <v>6</v>
      </c>
      <c r="E71" s="32">
        <f>+E24-L71</f>
        <v>0</v>
      </c>
      <c r="F71" s="26">
        <f t="shared" ref="F71:H71" si="56">+IFERROR(ROUND(F24*$K71/SUM($F24:$J24),0),0)</f>
        <v>0</v>
      </c>
      <c r="G71" s="25">
        <f t="shared" si="56"/>
        <v>0</v>
      </c>
      <c r="H71" s="25">
        <f t="shared" si="56"/>
        <v>0</v>
      </c>
      <c r="I71" s="25">
        <f t="shared" ref="I71" si="57">+IFERROR(ROUND(I24*$K71/SUM($F24:$J24),0),0)</f>
        <v>0</v>
      </c>
      <c r="J71" s="23">
        <f>+IFERROR(ROUND(J24*$K71/SUM($F24:$J24),0),0)</f>
        <v>0</v>
      </c>
      <c r="K71" s="24">
        <f>+K24-M71</f>
        <v>0</v>
      </c>
      <c r="L71" s="31">
        <f>+[3]雨汚水!K23+[3]雨汚水!K24</f>
        <v>9224169</v>
      </c>
      <c r="M71" s="22">
        <f>+IFERROR(ROUND(L71*K24/E24,0),0)</f>
        <v>5392470</v>
      </c>
      <c r="N71" s="30"/>
      <c r="O71" s="29"/>
      <c r="R71" s="1"/>
      <c r="S71" s="4"/>
      <c r="T71" s="4"/>
    </row>
    <row r="72" spans="4:20">
      <c r="D72" s="28"/>
      <c r="E72" s="32"/>
      <c r="F72" s="26"/>
      <c r="G72" s="25"/>
      <c r="H72" s="25"/>
      <c r="I72" s="25"/>
      <c r="J72" s="23"/>
      <c r="K72" s="24"/>
      <c r="L72" s="33"/>
      <c r="M72" s="22"/>
      <c r="N72" s="33"/>
      <c r="O72" s="22"/>
      <c r="R72" s="1"/>
      <c r="S72" s="4"/>
      <c r="T72" s="4"/>
    </row>
    <row r="73" spans="4:20">
      <c r="D73" s="28" t="s">
        <v>5</v>
      </c>
      <c r="E73" s="32">
        <f t="shared" ref="E73:O73" si="58">+SUM(E74:E75)</f>
        <v>6760</v>
      </c>
      <c r="F73" s="26">
        <f t="shared" si="58"/>
        <v>0</v>
      </c>
      <c r="G73" s="25">
        <f t="shared" si="58"/>
        <v>0</v>
      </c>
      <c r="H73" s="25">
        <f t="shared" si="58"/>
        <v>10</v>
      </c>
      <c r="I73" s="25">
        <f t="shared" ref="I73" si="59">+SUM(I74:I75)</f>
        <v>0</v>
      </c>
      <c r="J73" s="23">
        <f t="shared" si="58"/>
        <v>6735</v>
      </c>
      <c r="K73" s="24">
        <f t="shared" si="58"/>
        <v>6745</v>
      </c>
      <c r="L73" s="33">
        <f t="shared" si="58"/>
        <v>10673183</v>
      </c>
      <c r="M73" s="22">
        <f t="shared" si="58"/>
        <v>10648995</v>
      </c>
      <c r="N73" s="33">
        <f t="shared" si="58"/>
        <v>0</v>
      </c>
      <c r="O73" s="22">
        <f t="shared" si="58"/>
        <v>0</v>
      </c>
      <c r="R73" s="1"/>
      <c r="S73" s="4"/>
      <c r="T73" s="4"/>
    </row>
    <row r="74" spans="4:20">
      <c r="D74" s="28" t="s">
        <v>4</v>
      </c>
      <c r="E74" s="32">
        <f>+E28-L74</f>
        <v>6760</v>
      </c>
      <c r="F74" s="26">
        <f t="shared" ref="F74:H75" si="60">+IFERROR(ROUND(F28*$K74/SUM($F28:$J28),0),0)</f>
        <v>0</v>
      </c>
      <c r="G74" s="25">
        <f t="shared" si="60"/>
        <v>0</v>
      </c>
      <c r="H74" s="25">
        <f t="shared" si="60"/>
        <v>10</v>
      </c>
      <c r="I74" s="25">
        <f t="shared" ref="I74" si="61">+IFERROR(ROUND(I28*$K74/SUM($F28:$J28),0),0)</f>
        <v>0</v>
      </c>
      <c r="J74" s="23">
        <f>+IFERROR(ROUND(J28*$K74/SUM($F28:$J28),0),0)</f>
        <v>6735</v>
      </c>
      <c r="K74" s="24">
        <f>+K28-M74</f>
        <v>6745</v>
      </c>
      <c r="L74" s="31">
        <f>+[3]雨汚水!K29</f>
        <v>10673183</v>
      </c>
      <c r="M74" s="22">
        <f>+IFERROR(ROUND(L74*K28/E28,0),0)</f>
        <v>10648995</v>
      </c>
      <c r="N74" s="30"/>
      <c r="O74" s="29"/>
      <c r="R74" s="1"/>
      <c r="S74" s="4"/>
      <c r="T74" s="4"/>
    </row>
    <row r="75" spans="4:20">
      <c r="D75" s="28" t="s">
        <v>3</v>
      </c>
      <c r="E75" s="32">
        <f>+E29-L75</f>
        <v>0</v>
      </c>
      <c r="F75" s="26">
        <f t="shared" si="60"/>
        <v>0</v>
      </c>
      <c r="G75" s="25">
        <f t="shared" si="60"/>
        <v>0</v>
      </c>
      <c r="H75" s="25">
        <f t="shared" si="60"/>
        <v>0</v>
      </c>
      <c r="I75" s="25">
        <f t="shared" ref="I75" si="62">+IFERROR(ROUND(I29*$K75/SUM($F29:$J29),0),0)</f>
        <v>0</v>
      </c>
      <c r="J75" s="23">
        <f>+IFERROR(ROUND(J29*$K75/SUM($F29:$J29),0),0)</f>
        <v>0</v>
      </c>
      <c r="K75" s="24">
        <f>+K29-M75</f>
        <v>0</v>
      </c>
      <c r="L75" s="31">
        <f>+[3]雨汚水!E30</f>
        <v>0</v>
      </c>
      <c r="M75" s="22">
        <f>+IFERROR(ROUND(L75*K29/E29,0),0)</f>
        <v>0</v>
      </c>
      <c r="N75" s="30"/>
      <c r="O75" s="29"/>
      <c r="R75" s="1"/>
      <c r="S75" s="4"/>
      <c r="T75" s="4"/>
    </row>
    <row r="76" spans="4:20" ht="14.25" thickBot="1">
      <c r="D76" s="28"/>
      <c r="E76" s="27"/>
      <c r="F76" s="26"/>
      <c r="G76" s="25"/>
      <c r="H76" s="25"/>
      <c r="I76" s="25"/>
      <c r="J76" s="23"/>
      <c r="K76" s="24"/>
      <c r="L76" s="23"/>
      <c r="M76" s="22"/>
      <c r="N76" s="23"/>
      <c r="O76" s="22"/>
      <c r="R76" s="1"/>
      <c r="S76" s="1"/>
    </row>
    <row r="77" spans="4:20" ht="14.25" thickTop="1">
      <c r="D77" s="21" t="s">
        <v>2</v>
      </c>
      <c r="E77" s="20">
        <f t="shared" ref="E77:O77" si="63">+SUM(E53,E69,E73)</f>
        <v>3688030732</v>
      </c>
      <c r="F77" s="19">
        <f t="shared" si="63"/>
        <v>0</v>
      </c>
      <c r="G77" s="18">
        <f t="shared" si="63"/>
        <v>0</v>
      </c>
      <c r="H77" s="18">
        <f t="shared" si="63"/>
        <v>496324</v>
      </c>
      <c r="I77" s="18">
        <f t="shared" ref="I77" si="64">+SUM(I53,I69,I73)</f>
        <v>142297</v>
      </c>
      <c r="J77" s="16">
        <f t="shared" si="63"/>
        <v>2459479197</v>
      </c>
      <c r="K77" s="17">
        <f t="shared" si="63"/>
        <v>2460117818</v>
      </c>
      <c r="L77" s="16">
        <f t="shared" si="63"/>
        <v>7836808300</v>
      </c>
      <c r="M77" s="15">
        <f t="shared" si="63"/>
        <v>6563799261</v>
      </c>
      <c r="N77" s="16">
        <f t="shared" si="63"/>
        <v>107352503</v>
      </c>
      <c r="O77" s="15">
        <f t="shared" si="63"/>
        <v>22835037</v>
      </c>
      <c r="R77" s="1"/>
      <c r="S77" s="1"/>
    </row>
    <row r="78" spans="4:20" ht="14.25" thickBot="1">
      <c r="D78" s="14" t="s">
        <v>1</v>
      </c>
      <c r="E78" s="13">
        <f t="shared" ref="E78:O78" si="65">+E77</f>
        <v>3688030732</v>
      </c>
      <c r="F78" s="12">
        <f t="shared" si="65"/>
        <v>0</v>
      </c>
      <c r="G78" s="11">
        <f t="shared" si="65"/>
        <v>0</v>
      </c>
      <c r="H78" s="11">
        <f t="shared" si="65"/>
        <v>496324</v>
      </c>
      <c r="I78" s="11">
        <f t="shared" ref="I78" si="66">+I77</f>
        <v>142297</v>
      </c>
      <c r="J78" s="10">
        <f t="shared" si="65"/>
        <v>2459479197</v>
      </c>
      <c r="K78" s="9">
        <f t="shared" si="65"/>
        <v>2460117818</v>
      </c>
      <c r="L78" s="8">
        <f t="shared" si="65"/>
        <v>7836808300</v>
      </c>
      <c r="M78" s="7">
        <f t="shared" si="65"/>
        <v>6563799261</v>
      </c>
      <c r="N78" s="8">
        <f t="shared" si="65"/>
        <v>107352503</v>
      </c>
      <c r="O78" s="7">
        <f t="shared" si="65"/>
        <v>22835037</v>
      </c>
      <c r="R78" s="1"/>
      <c r="S78" s="1"/>
    </row>
    <row r="79" spans="4:20">
      <c r="E79" s="4">
        <f t="shared" ref="E79:O79" si="67">+E78-E77</f>
        <v>0</v>
      </c>
      <c r="F79" s="4">
        <f t="shared" si="67"/>
        <v>0</v>
      </c>
      <c r="G79" s="4">
        <f t="shared" si="67"/>
        <v>0</v>
      </c>
      <c r="H79" s="4">
        <f t="shared" si="67"/>
        <v>0</v>
      </c>
      <c r="I79" s="4">
        <f t="shared" ref="I79" si="68">+I78-I77</f>
        <v>0</v>
      </c>
      <c r="J79" s="4">
        <f t="shared" si="67"/>
        <v>0</v>
      </c>
      <c r="K79" s="4">
        <f t="shared" si="67"/>
        <v>0</v>
      </c>
      <c r="L79" s="4">
        <f t="shared" si="67"/>
        <v>0</v>
      </c>
      <c r="M79" s="4">
        <f t="shared" si="67"/>
        <v>0</v>
      </c>
      <c r="N79" s="4">
        <f t="shared" si="67"/>
        <v>0</v>
      </c>
      <c r="O79" s="4">
        <f t="shared" si="67"/>
        <v>0</v>
      </c>
      <c r="P79" s="1"/>
      <c r="Q79" s="1"/>
      <c r="R79" s="1"/>
      <c r="S79" s="1"/>
    </row>
    <row r="81" spans="4:14">
      <c r="N81" s="6" t="s">
        <v>0</v>
      </c>
    </row>
    <row r="82" spans="4:14">
      <c r="N82" s="5">
        <f>+E77+L77+N77-[3]雨汚水!E47</f>
        <v>-10315355</v>
      </c>
    </row>
    <row r="83" spans="4:14">
      <c r="E83" s="4"/>
    </row>
    <row r="84" spans="4:14" ht="14.25" thickBot="1">
      <c r="D84" s="1" t="s">
        <v>600</v>
      </c>
    </row>
    <row r="85" spans="4:14">
      <c r="D85" s="296" t="s">
        <v>28</v>
      </c>
      <c r="E85" s="299"/>
      <c r="F85" s="300"/>
      <c r="G85" s="300"/>
      <c r="H85" s="300"/>
      <c r="I85" s="300"/>
      <c r="J85" s="300"/>
      <c r="K85" s="301"/>
    </row>
    <row r="86" spans="4:14">
      <c r="D86" s="297"/>
      <c r="E86" s="302" t="s">
        <v>0</v>
      </c>
      <c r="F86" s="304" t="s">
        <v>24</v>
      </c>
      <c r="G86" s="305"/>
      <c r="H86" s="305"/>
      <c r="I86" s="305"/>
      <c r="J86" s="305"/>
      <c r="K86" s="306"/>
    </row>
    <row r="87" spans="4:14">
      <c r="D87" s="298"/>
      <c r="E87" s="303"/>
      <c r="F87" s="53">
        <v>3</v>
      </c>
      <c r="G87" s="52">
        <v>5</v>
      </c>
      <c r="H87" s="52">
        <v>8</v>
      </c>
      <c r="I87" s="268">
        <v>8</v>
      </c>
      <c r="J87" s="264">
        <v>10</v>
      </c>
      <c r="K87" s="50" t="s">
        <v>2</v>
      </c>
    </row>
    <row r="88" spans="4:14">
      <c r="D88" s="28" t="s">
        <v>559</v>
      </c>
      <c r="E88" s="252">
        <f>+災害伝票!BB4</f>
        <v>0</v>
      </c>
      <c r="F88" s="253">
        <f>+災害伝票!AU4</f>
        <v>0</v>
      </c>
      <c r="G88" s="160">
        <f>+災害伝票!AV4</f>
        <v>0</v>
      </c>
      <c r="H88" s="160">
        <f>+災害伝票!AW4</f>
        <v>0</v>
      </c>
      <c r="I88" s="160">
        <f>+災害伝票!AX4</f>
        <v>0</v>
      </c>
      <c r="J88" s="254">
        <f>+災害伝票!AY4</f>
        <v>0</v>
      </c>
      <c r="K88" s="24">
        <f>SUM(F88:J88)</f>
        <v>0</v>
      </c>
    </row>
    <row r="89" spans="4:14">
      <c r="D89" s="28" t="s">
        <v>560</v>
      </c>
      <c r="E89" s="252">
        <f>+災害伝票!BB5</f>
        <v>0</v>
      </c>
      <c r="F89" s="253">
        <f>+災害伝票!AU5</f>
        <v>0</v>
      </c>
      <c r="G89" s="160">
        <f>+災害伝票!AV5</f>
        <v>0</v>
      </c>
      <c r="H89" s="160">
        <f>+災害伝票!AW5</f>
        <v>0</v>
      </c>
      <c r="I89" s="160">
        <f>+災害伝票!AX5</f>
        <v>0</v>
      </c>
      <c r="J89" s="254">
        <f>+災害伝票!AY5</f>
        <v>0</v>
      </c>
      <c r="K89" s="24">
        <f t="shared" ref="K89:K93" si="69">SUM(F89:J89)</f>
        <v>0</v>
      </c>
    </row>
    <row r="90" spans="4:14">
      <c r="D90" s="28" t="s">
        <v>561</v>
      </c>
      <c r="E90" s="252">
        <f>+災害伝票!BB6</f>
        <v>0</v>
      </c>
      <c r="F90" s="253">
        <f>+災害伝票!AU6</f>
        <v>0</v>
      </c>
      <c r="G90" s="160">
        <f>+災害伝票!AV6</f>
        <v>0</v>
      </c>
      <c r="H90" s="160">
        <f>+災害伝票!AW6</f>
        <v>0</v>
      </c>
      <c r="I90" s="160">
        <f>+災害伝票!AX6</f>
        <v>0</v>
      </c>
      <c r="J90" s="254">
        <f>+災害伝票!AY6</f>
        <v>0</v>
      </c>
      <c r="K90" s="24">
        <f t="shared" si="69"/>
        <v>0</v>
      </c>
    </row>
    <row r="91" spans="4:14">
      <c r="D91" s="28" t="s">
        <v>601</v>
      </c>
      <c r="E91" s="252">
        <f>+災害伝票!BB7</f>
        <v>0</v>
      </c>
      <c r="F91" s="253">
        <f>+災害伝票!AU7</f>
        <v>0</v>
      </c>
      <c r="G91" s="160">
        <f>+災害伝票!AV7</f>
        <v>0</v>
      </c>
      <c r="H91" s="160">
        <f>+災害伝票!AW7</f>
        <v>0</v>
      </c>
      <c r="I91" s="160">
        <f>+災害伝票!AX7</f>
        <v>0</v>
      </c>
      <c r="J91" s="254">
        <f>+災害伝票!AY7</f>
        <v>0</v>
      </c>
      <c r="K91" s="24">
        <f t="shared" si="69"/>
        <v>0</v>
      </c>
    </row>
    <row r="92" spans="4:14">
      <c r="D92" s="28" t="s">
        <v>602</v>
      </c>
      <c r="E92" s="252">
        <f>+災害伝票!BB8</f>
        <v>0</v>
      </c>
      <c r="F92" s="253">
        <f>+災害伝票!AU8</f>
        <v>0</v>
      </c>
      <c r="G92" s="160">
        <f>+災害伝票!AV8</f>
        <v>0</v>
      </c>
      <c r="H92" s="160">
        <f>+災害伝票!AW8</f>
        <v>0</v>
      </c>
      <c r="I92" s="160">
        <f>+災害伝票!AX8</f>
        <v>0</v>
      </c>
      <c r="J92" s="254">
        <f>+災害伝票!AY8</f>
        <v>0</v>
      </c>
      <c r="K92" s="24">
        <f t="shared" si="69"/>
        <v>0</v>
      </c>
    </row>
    <row r="93" spans="4:14" ht="14.25" thickBot="1">
      <c r="D93" s="28" t="s">
        <v>603</v>
      </c>
      <c r="E93" s="255">
        <f>+災害伝票!BB9</f>
        <v>0</v>
      </c>
      <c r="F93" s="253">
        <f>+災害伝票!AU9</f>
        <v>0</v>
      </c>
      <c r="G93" s="160">
        <f>+災害伝票!AV9</f>
        <v>0</v>
      </c>
      <c r="H93" s="160">
        <f>+災害伝票!AW9</f>
        <v>0</v>
      </c>
      <c r="I93" s="160">
        <f>+災害伝票!AX9</f>
        <v>0</v>
      </c>
      <c r="J93" s="254">
        <f>+災害伝票!AY9</f>
        <v>0</v>
      </c>
      <c r="K93" s="24">
        <f t="shared" si="69"/>
        <v>0</v>
      </c>
    </row>
    <row r="94" spans="4:14" ht="14.25" thickTop="1">
      <c r="D94" s="21" t="s">
        <v>2</v>
      </c>
      <c r="E94" s="20">
        <f>SUM(E88:E93)</f>
        <v>0</v>
      </c>
      <c r="F94" s="19">
        <f t="shared" ref="F94:K94" si="70">SUM(F88:F93)</f>
        <v>0</v>
      </c>
      <c r="G94" s="18">
        <f t="shared" si="70"/>
        <v>0</v>
      </c>
      <c r="H94" s="18">
        <f t="shared" si="70"/>
        <v>0</v>
      </c>
      <c r="I94" s="18">
        <f t="shared" ref="I94" si="71">SUM(I88:I93)</f>
        <v>0</v>
      </c>
      <c r="J94" s="16">
        <f t="shared" si="70"/>
        <v>0</v>
      </c>
      <c r="K94" s="17">
        <f t="shared" si="70"/>
        <v>0</v>
      </c>
    </row>
    <row r="95" spans="4:14" ht="14.25" thickBot="1">
      <c r="D95" s="14"/>
      <c r="E95" s="13"/>
      <c r="F95" s="12"/>
      <c r="G95" s="11"/>
      <c r="H95" s="11"/>
      <c r="I95" s="11"/>
      <c r="J95" s="10"/>
      <c r="K95" s="9"/>
    </row>
    <row r="97" spans="4:11" ht="14.25" thickBot="1">
      <c r="D97" s="1" t="s">
        <v>604</v>
      </c>
    </row>
    <row r="98" spans="4:11">
      <c r="D98" s="296" t="s">
        <v>28</v>
      </c>
      <c r="E98" s="299"/>
      <c r="F98" s="300"/>
      <c r="G98" s="300"/>
      <c r="H98" s="300"/>
      <c r="I98" s="300"/>
      <c r="J98" s="300"/>
      <c r="K98" s="301"/>
    </row>
    <row r="99" spans="4:11">
      <c r="D99" s="297"/>
      <c r="E99" s="302" t="s">
        <v>0</v>
      </c>
      <c r="F99" s="304" t="s">
        <v>24</v>
      </c>
      <c r="G99" s="305"/>
      <c r="H99" s="305"/>
      <c r="I99" s="305"/>
      <c r="J99" s="305"/>
      <c r="K99" s="306"/>
    </row>
    <row r="100" spans="4:11">
      <c r="D100" s="298"/>
      <c r="E100" s="303"/>
      <c r="F100" s="53">
        <v>3</v>
      </c>
      <c r="G100" s="52">
        <v>5</v>
      </c>
      <c r="H100" s="52">
        <v>8</v>
      </c>
      <c r="I100" s="268">
        <v>8</v>
      </c>
      <c r="J100" s="264">
        <v>10</v>
      </c>
      <c r="K100" s="50" t="s">
        <v>2</v>
      </c>
    </row>
    <row r="101" spans="4:11">
      <c r="D101" s="28" t="s">
        <v>559</v>
      </c>
      <c r="E101" s="252">
        <f>+災害伝票!BJ4</f>
        <v>0</v>
      </c>
      <c r="F101" s="253">
        <f>+災害伝票!BC4</f>
        <v>0</v>
      </c>
      <c r="G101" s="160">
        <f>+災害伝票!BD4</f>
        <v>0</v>
      </c>
      <c r="H101" s="160">
        <f>+災害伝票!BE4</f>
        <v>0</v>
      </c>
      <c r="I101" s="160">
        <f>+災害伝票!BF4</f>
        <v>0</v>
      </c>
      <c r="J101" s="254">
        <f>+災害伝票!BG4</f>
        <v>0</v>
      </c>
      <c r="K101" s="24">
        <f>SUM(F101:J101)</f>
        <v>0</v>
      </c>
    </row>
    <row r="102" spans="4:11">
      <c r="D102" s="28" t="s">
        <v>560</v>
      </c>
      <c r="E102" s="252">
        <f>+災害伝票!BJ5</f>
        <v>0</v>
      </c>
      <c r="F102" s="253">
        <f>+災害伝票!BC5</f>
        <v>0</v>
      </c>
      <c r="G102" s="160">
        <f>+災害伝票!BD5</f>
        <v>0</v>
      </c>
      <c r="H102" s="160">
        <f>+災害伝票!BE5</f>
        <v>0</v>
      </c>
      <c r="I102" s="160">
        <f>+災害伝票!BF5</f>
        <v>0</v>
      </c>
      <c r="J102" s="254">
        <f>+災害伝票!BG5</f>
        <v>0</v>
      </c>
      <c r="K102" s="24">
        <f t="shared" ref="K102:K106" si="72">SUM(F102:J102)</f>
        <v>0</v>
      </c>
    </row>
    <row r="103" spans="4:11">
      <c r="D103" s="28" t="s">
        <v>561</v>
      </c>
      <c r="E103" s="252">
        <f>+災害伝票!BJ6</f>
        <v>0</v>
      </c>
      <c r="F103" s="253">
        <f>+災害伝票!BC6</f>
        <v>0</v>
      </c>
      <c r="G103" s="160">
        <f>+災害伝票!BD6</f>
        <v>0</v>
      </c>
      <c r="H103" s="160">
        <f>+災害伝票!BE6</f>
        <v>0</v>
      </c>
      <c r="I103" s="160">
        <f>+災害伝票!BF6</f>
        <v>0</v>
      </c>
      <c r="J103" s="254">
        <f>+災害伝票!BG6</f>
        <v>0</v>
      </c>
      <c r="K103" s="24">
        <f t="shared" si="72"/>
        <v>0</v>
      </c>
    </row>
    <row r="104" spans="4:11">
      <c r="D104" s="28" t="s">
        <v>601</v>
      </c>
      <c r="E104" s="252">
        <f>+災害伝票!BJ7</f>
        <v>0</v>
      </c>
      <c r="F104" s="253">
        <f>+災害伝票!BC7</f>
        <v>0</v>
      </c>
      <c r="G104" s="160">
        <f>+災害伝票!BD7</f>
        <v>0</v>
      </c>
      <c r="H104" s="160">
        <f>+災害伝票!BE7</f>
        <v>0</v>
      </c>
      <c r="I104" s="160">
        <f>+災害伝票!BF7</f>
        <v>0</v>
      </c>
      <c r="J104" s="254">
        <f>+災害伝票!BG7</f>
        <v>0</v>
      </c>
      <c r="K104" s="24">
        <f t="shared" si="72"/>
        <v>0</v>
      </c>
    </row>
    <row r="105" spans="4:11">
      <c r="D105" s="28" t="s">
        <v>602</v>
      </c>
      <c r="E105" s="252">
        <f>+災害伝票!BJ8</f>
        <v>0</v>
      </c>
      <c r="F105" s="253">
        <f>+災害伝票!BC8</f>
        <v>0</v>
      </c>
      <c r="G105" s="160">
        <f>+災害伝票!BD8</f>
        <v>0</v>
      </c>
      <c r="H105" s="160">
        <f>+災害伝票!BE8</f>
        <v>0</v>
      </c>
      <c r="I105" s="160">
        <f>+災害伝票!BF8</f>
        <v>0</v>
      </c>
      <c r="J105" s="254">
        <f>+災害伝票!BG8</f>
        <v>0</v>
      </c>
      <c r="K105" s="24">
        <f t="shared" si="72"/>
        <v>0</v>
      </c>
    </row>
    <row r="106" spans="4:11" ht="14.25" thickBot="1">
      <c r="D106" s="28" t="s">
        <v>603</v>
      </c>
      <c r="E106" s="255">
        <f>+災害伝票!BJ9</f>
        <v>0</v>
      </c>
      <c r="F106" s="253">
        <f>+災害伝票!BC9</f>
        <v>0</v>
      </c>
      <c r="G106" s="160">
        <f>+災害伝票!BD9</f>
        <v>0</v>
      </c>
      <c r="H106" s="160">
        <f>+災害伝票!BE9</f>
        <v>0</v>
      </c>
      <c r="I106" s="160">
        <f>+災害伝票!BF9</f>
        <v>0</v>
      </c>
      <c r="J106" s="254">
        <f>+災害伝票!BG9</f>
        <v>0</v>
      </c>
      <c r="K106" s="24">
        <f t="shared" si="72"/>
        <v>0</v>
      </c>
    </row>
    <row r="107" spans="4:11" ht="14.25" thickTop="1">
      <c r="D107" s="21" t="s">
        <v>2</v>
      </c>
      <c r="E107" s="20">
        <f>SUM(E101:E106)</f>
        <v>0</v>
      </c>
      <c r="F107" s="19">
        <f t="shared" ref="F107:K107" si="73">SUM(F101:F106)</f>
        <v>0</v>
      </c>
      <c r="G107" s="18">
        <f t="shared" si="73"/>
        <v>0</v>
      </c>
      <c r="H107" s="18">
        <f t="shared" si="73"/>
        <v>0</v>
      </c>
      <c r="I107" s="18">
        <f t="shared" ref="I107" si="74">SUM(I101:I106)</f>
        <v>0</v>
      </c>
      <c r="J107" s="16">
        <f t="shared" si="73"/>
        <v>0</v>
      </c>
      <c r="K107" s="17">
        <f t="shared" si="73"/>
        <v>0</v>
      </c>
    </row>
    <row r="108" spans="4:11" ht="14.25" thickBot="1">
      <c r="D108" s="14"/>
      <c r="E108" s="13"/>
      <c r="F108" s="12"/>
      <c r="G108" s="11"/>
      <c r="H108" s="11"/>
      <c r="I108" s="11"/>
      <c r="J108" s="10"/>
      <c r="K108" s="9"/>
    </row>
  </sheetData>
  <mergeCells count="32">
    <mergeCell ref="E51:E52"/>
    <mergeCell ref="F51:K51"/>
    <mergeCell ref="E50:K50"/>
    <mergeCell ref="A3:A4"/>
    <mergeCell ref="B3:B4"/>
    <mergeCell ref="C3:C4"/>
    <mergeCell ref="D3:D4"/>
    <mergeCell ref="E3:E4"/>
    <mergeCell ref="D50:D52"/>
    <mergeCell ref="F3:K3"/>
    <mergeCell ref="N51:N52"/>
    <mergeCell ref="U3:Y3"/>
    <mergeCell ref="Z3:AD3"/>
    <mergeCell ref="AE3:AI3"/>
    <mergeCell ref="L3:L4"/>
    <mergeCell ref="M3:M4"/>
    <mergeCell ref="N3:S3"/>
    <mergeCell ref="T3:T4"/>
    <mergeCell ref="U47:Z49"/>
    <mergeCell ref="L51:L52"/>
    <mergeCell ref="O51:O52"/>
    <mergeCell ref="L50:M50"/>
    <mergeCell ref="M51:M52"/>
    <mergeCell ref="N50:O50"/>
    <mergeCell ref="D85:D87"/>
    <mergeCell ref="E85:K85"/>
    <mergeCell ref="E86:E87"/>
    <mergeCell ref="F86:K86"/>
    <mergeCell ref="D98:D100"/>
    <mergeCell ref="E98:K98"/>
    <mergeCell ref="E99:E100"/>
    <mergeCell ref="F99:K99"/>
  </mergeCells>
  <phoneticPr fontId="3"/>
  <conditionalFormatting sqref="AE36:AI37">
    <cfRule type="notContainsBlanks" dxfId="109" priority="5" stopIfTrue="1">
      <formula>LEN(TRIM(AE36))&gt;0</formula>
    </cfRule>
  </conditionalFormatting>
  <conditionalFormatting sqref="AE5:AI35">
    <cfRule type="notContainsBlanks" dxfId="108" priority="4" stopIfTrue="1">
      <formula>LEN(TRIM(AE5))&gt;0</formula>
    </cfRule>
  </conditionalFormatting>
  <conditionalFormatting sqref="Z18:AD35 Z5:AD14">
    <cfRule type="expression" dxfId="107" priority="3">
      <formula>ABS(Z5)=1</formula>
    </cfRule>
  </conditionalFormatting>
  <conditionalFormatting sqref="Z15:AD17">
    <cfRule type="expression" dxfId="106" priority="2">
      <formula>ABS(Z15)=1</formula>
    </cfRule>
  </conditionalFormatting>
  <conditionalFormatting sqref="E43:S43">
    <cfRule type="cellIs" dxfId="105" priority="1" operator="notEqual">
      <formula>0</formula>
    </cfRule>
  </conditionalFormatting>
  <printOptions horizontalCentered="1"/>
  <pageMargins left="0.19685039370078741" right="0.19685039370078741" top="0.78740157480314965" bottom="0.39370078740157483" header="0.39370078740157483" footer="0.19685039370078741"/>
  <pageSetup paperSize="9" scale="66" fitToHeight="0" orientation="landscape" blackAndWhite="1" r:id="rId1"/>
  <headerFooter>
    <oddFooter>&amp;L&amp;8&amp;Z&amp;F&amp;A&amp;R&amp;8&amp;D&amp;T</oddFooter>
  </headerFooter>
  <rowBreaks count="1" manualBreakCount="1">
    <brk id="47" min="3" max="17" man="1"/>
  </rowBreaks>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I41"/>
  <sheetViews>
    <sheetView zoomScale="70" zoomScaleNormal="70"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+'3条支出'!D1</f>
        <v>令和５年度決算　消費税算出資料</v>
      </c>
    </row>
    <row r="2" spans="1:35">
      <c r="D2" s="2" t="s">
        <v>114</v>
      </c>
      <c r="V2" s="122"/>
      <c r="W2" s="122"/>
      <c r="X2" s="261"/>
      <c r="Y2" s="122"/>
      <c r="Z2" s="122"/>
      <c r="AA2" s="122"/>
      <c r="AB2" s="122"/>
      <c r="AC2" s="261"/>
      <c r="AD2" s="122"/>
      <c r="AE2" s="122"/>
      <c r="AF2" s="122"/>
      <c r="AG2" s="122"/>
      <c r="AH2" s="261"/>
      <c r="AI2" s="122"/>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122"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177">
        <v>1</v>
      </c>
      <c r="B5" s="176" t="s">
        <v>113</v>
      </c>
      <c r="C5" s="175"/>
      <c r="D5" s="174" t="s">
        <v>112</v>
      </c>
      <c r="E5" s="170">
        <f>+IF($A5="",IF($C5="",SUMIFS(全伝票!I:I,全伝票!$B:$B,$B5),SUMIFS(全伝票!I:I,全伝票!$C:$C,$C5)),IF($C5="",SUMIFS(全伝票!I:I,全伝票!$A:$A,$A5,全伝票!$B:$B,$B5),SUMIFS(全伝票!I:I,全伝票!$A:$A,$A5,全伝票!$C:$C,$C5)))</f>
        <v>0</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275">
        <f>+IF($A5="",IF($C5="",SUMIFS(全伝票!L:L,全伝票!$B:$B,$B5),SUMIFS(全伝票!L:L,全伝票!$C:$C,$C5)),IF($C5="",SUMIFS(全伝票!L:L,全伝票!$A:$A,$A5,全伝票!$B:$B,$B5),SUMIFS(全伝票!L:L,全伝票!$A:$A,$A5,全伝票!$C:$C,$C5)))</f>
        <v>0</v>
      </c>
      <c r="I5" s="270">
        <f>+IF($A5="",IF($C5="",SUMIFS(全伝票!M:M,全伝票!$B:$B,$B5),SUMIFS(全伝票!M:M,全伝票!$C:$C,$C5)),IF($C5="",SUMIFS(全伝票!M:M,全伝票!$A:$A,$A5,全伝票!$B:$B,$B5),SUMIFS(全伝票!M:M,全伝票!$A:$A,$A5,全伝票!$C:$C,$C5)))</f>
        <v>0</v>
      </c>
      <c r="J5" s="171">
        <f>+IF($A5="",IF($C5="",SUMIFS(全伝票!N:N,全伝票!$B:$B,$B5),SUMIFS(全伝票!N:N,全伝票!$C:$C,$C5)),IF($C5="",SUMIFS(全伝票!N:N,全伝票!$A:$A,$A5,全伝票!$B:$B,$B5),SUMIFS(全伝票!N:N,全伝票!$A:$A,$A5,全伝票!$C:$C,$C5)))</f>
        <v>0</v>
      </c>
      <c r="K5" s="112">
        <f t="shared" ref="K5:K35" si="0">SUM(F5:J5)</f>
        <v>0</v>
      </c>
      <c r="L5" s="170">
        <f>+IF($A5="",IF($C5="",SUMIFS(全伝票!O:O,全伝票!$B:$B,$B5),SUMIFS(全伝票!O:O,全伝票!$C:$C,$C5)),IF($C5="",SUMIFS(全伝票!O:O,全伝票!$A:$A,$A5,全伝票!$B:$B,$B5),SUMIFS(全伝票!O:O,全伝票!$A:$A,$A5,全伝票!$C:$C,$C5)))</f>
        <v>0</v>
      </c>
      <c r="M5" s="277">
        <f>+IF($A5="",IF($C5="",SUMIFS(全伝票!P:P,全伝票!$B:$B,$B5),SUMIFS(全伝票!P:P,全伝票!$C:$C,$C5)),IF($C5="",SUMIFS(全伝票!P:P,全伝票!$A:$A,$A5,全伝票!$B:$B,$B5),SUMIFS(全伝票!P:P,全伝票!$A:$A,$A5,全伝票!$C:$C,$C5)))</f>
        <v>0</v>
      </c>
      <c r="N5" s="169">
        <f t="shared" ref="N5:N35" si="1">+ROUND(F5*F$4/(100+F$4),0)+AE5</f>
        <v>0</v>
      </c>
      <c r="O5" s="47">
        <f>+ROUND(G5*G$4/(100+G$4),0)+AF5</f>
        <v>0</v>
      </c>
      <c r="P5" s="47">
        <f t="shared" ref="P5:P35" si="2">+ROUND(H5*H$4/(100+H$4),0)+AG5</f>
        <v>0</v>
      </c>
      <c r="Q5" s="168">
        <f t="shared" ref="O5:Q35" si="3">+ROUND(I5*I$4/(100+I$4),0)+AH5</f>
        <v>0</v>
      </c>
      <c r="R5" s="168">
        <f t="shared" ref="R5:R35" si="4">+ROUND(J5*J$4/(100+J$4),0)+AI5</f>
        <v>0</v>
      </c>
      <c r="S5" s="167">
        <f t="shared" ref="S5:S35" si="5">SUM(N5:R5)</f>
        <v>0</v>
      </c>
      <c r="T5" s="166">
        <f t="shared" ref="T5:T35" si="6">+E5-S5</f>
        <v>0</v>
      </c>
      <c r="U5" s="107">
        <f t="shared" ref="U5:U35" si="7">N5-F5*F$4/(100+F$4)</f>
        <v>0</v>
      </c>
      <c r="V5" s="107">
        <f t="shared" ref="V5:V35" si="8">O5-G5*G$4/(100+G$4)</f>
        <v>0</v>
      </c>
      <c r="W5" s="107">
        <f t="shared" ref="W5:X35" si="9">P5-H5*H$4/(100+H$4)</f>
        <v>0</v>
      </c>
      <c r="X5" s="107">
        <f t="shared" si="9"/>
        <v>0</v>
      </c>
      <c r="Y5" s="107">
        <f t="shared" ref="Y5:Y35" si="10">R5-J5*J$4/(100+J$4)</f>
        <v>0</v>
      </c>
      <c r="Z5" s="106">
        <f t="shared" ref="Z5:Z35" si="11">+IF(N$38=0,0,IF(N$38&lt;0,-RANK(U5,U$5:U$35,0),RANK(U5,U$5:U$35,1)))</f>
        <v>0</v>
      </c>
      <c r="AA5" s="106">
        <f t="shared" ref="AA5:AA35" si="12">+IF(O$38=0,0,IF(O$38&lt;0,-RANK(V5,V$5:V$35,0),RANK(V5,V$5:V$35,1)))</f>
        <v>0</v>
      </c>
      <c r="AB5" s="106">
        <f t="shared" ref="AB5:AC35" si="13">+IF(P$38=0,0,IF(P$38&lt;0,-RANK(W5,W$5:W$35,0),RANK(W5,W$5:W$35,1)))</f>
        <v>0</v>
      </c>
      <c r="AC5" s="106">
        <f t="shared" si="13"/>
        <v>0</v>
      </c>
      <c r="AD5" s="106">
        <f t="shared" ref="AD5:AD35" si="14">+IF(R$38=0,0,IF(R$38&lt;0,-RANK(Y5,Y$5:Y$35,0),RANK(Y5,Y$5:Y$35,1)))</f>
        <v>0</v>
      </c>
    </row>
    <row r="6" spans="1:35">
      <c r="A6" s="165">
        <v>1</v>
      </c>
      <c r="B6" s="164" t="s">
        <v>111</v>
      </c>
      <c r="C6" s="163"/>
      <c r="D6" s="162" t="s">
        <v>110</v>
      </c>
      <c r="E6" s="158">
        <f>+IF($A6="",IF($C6="",SUMIFS(全伝票!I:I,全伝票!$B:$B,$B6),SUMIFS(全伝票!I:I,全伝票!$C:$C,$C6)),IF($C6="",SUMIFS(全伝票!I:I,全伝票!$A:$A,$A6,全伝票!$B:$B,$B6),SUMIFS(全伝票!I:I,全伝票!$A:$A,$A6,全伝票!$C:$C,$C6)))</f>
        <v>39580800</v>
      </c>
      <c r="F6" s="161">
        <f>+IF($A6="",IF($C6="",SUMIFS(全伝票!J:J,全伝票!$B:$B,$B6),SUMIFS(全伝票!J:J,全伝票!$C:$C,$C6)),IF($C6="",SUMIFS(全伝票!J:J,全伝票!$A:$A,$A6,全伝票!$B:$B,$B6),SUMIFS(全伝票!J:J,全伝票!$A:$A,$A6,全伝票!$C:$C,$C6)))</f>
        <v>0</v>
      </c>
      <c r="G6" s="160">
        <f>+IF($A6="",IF($C6="",SUMIFS(全伝票!K:K,全伝票!$B:$B,$B6),SUMIFS(全伝票!K:K,全伝票!$C:$C,$C6)),IF($C6="",SUMIFS(全伝票!K:K,全伝票!$A:$A,$A6,全伝票!$B:$B,$B6),SUMIFS(全伝票!K:K,全伝票!$A:$A,$A6,全伝票!$C:$C,$C6)))</f>
        <v>0</v>
      </c>
      <c r="H6" s="160">
        <f>+IF($A6="",IF($C6="",SUMIFS(全伝票!L:L,全伝票!$B:$B,$B6),SUMIFS(全伝票!L:L,全伝票!$C:$C,$C6)),IF($C6="",SUMIFS(全伝票!L:L,全伝票!$A:$A,$A6,全伝票!$B:$B,$B6),SUMIFS(全伝票!L:L,全伝票!$A:$A,$A6,全伝票!$C:$C,$C6)))</f>
        <v>0</v>
      </c>
      <c r="I6" s="159">
        <f>+IF($A6="",IF($C6="",SUMIFS(全伝票!M:M,全伝票!$B:$B,$B6),SUMIFS(全伝票!M:M,全伝票!$C:$C,$C6)),IF($C6="",SUMIFS(全伝票!M:M,全伝票!$A:$A,$A6,全伝票!$B:$B,$B6),SUMIFS(全伝票!M:M,全伝票!$A:$A,$A6,全伝票!$C:$C,$C6)))</f>
        <v>0</v>
      </c>
      <c r="J6" s="159">
        <f>+IF($A6="",IF($C6="",SUMIFS(全伝票!N:N,全伝票!$B:$B,$B6),SUMIFS(全伝票!N:N,全伝票!$C:$C,$C6)),IF($C6="",SUMIFS(全伝票!N:N,全伝票!$A:$A,$A6,全伝票!$B:$B,$B6),SUMIFS(全伝票!N:N,全伝票!$A:$A,$A6,全伝票!$C:$C,$C6)))</f>
        <v>0</v>
      </c>
      <c r="K6" s="34">
        <f t="shared" si="0"/>
        <v>0</v>
      </c>
      <c r="L6" s="158">
        <f>+IF($A6="",IF($C6="",SUMIFS(全伝票!O:O,全伝票!$B:$B,$B6),SUMIFS(全伝票!O:O,全伝票!$C:$C,$C6)),IF($C6="",SUMIFS(全伝票!O:O,全伝票!$A:$A,$A6,全伝票!$B:$B,$B6),SUMIFS(全伝票!O:O,全伝票!$A:$A,$A6,全伝票!$C:$C,$C6)))</f>
        <v>0</v>
      </c>
      <c r="M6" s="158">
        <f>+IF($A6="",IF($C6="",SUMIFS(全伝票!P:P,全伝票!$B:$B,$B6),SUMIFS(全伝票!P:P,全伝票!$C:$C,$C6)),IF($C6="",SUMIFS(全伝票!P:P,全伝票!$A:$A,$A6,全伝票!$B:$B,$B6),SUMIFS(全伝票!P:P,全伝票!$A:$A,$A6,全伝票!$C:$C,$C6)))</f>
        <v>39580800</v>
      </c>
      <c r="N6" s="108">
        <f t="shared" si="1"/>
        <v>0</v>
      </c>
      <c r="O6" s="25">
        <f t="shared" si="3"/>
        <v>0</v>
      </c>
      <c r="P6" s="25">
        <f t="shared" si="2"/>
        <v>0</v>
      </c>
      <c r="Q6" s="157">
        <f t="shared" si="3"/>
        <v>0</v>
      </c>
      <c r="R6" s="157">
        <f t="shared" si="4"/>
        <v>0</v>
      </c>
      <c r="S6" s="22">
        <f t="shared" si="5"/>
        <v>0</v>
      </c>
      <c r="T6" s="109">
        <f t="shared" si="6"/>
        <v>39580800</v>
      </c>
      <c r="U6" s="107">
        <f t="shared" si="7"/>
        <v>0</v>
      </c>
      <c r="V6" s="107">
        <f t="shared" si="8"/>
        <v>0</v>
      </c>
      <c r="W6" s="107">
        <f t="shared" si="9"/>
        <v>0</v>
      </c>
      <c r="X6" s="107">
        <f t="shared" si="9"/>
        <v>0</v>
      </c>
      <c r="Y6" s="107">
        <f t="shared" si="10"/>
        <v>0</v>
      </c>
      <c r="Z6" s="106">
        <f t="shared" si="11"/>
        <v>0</v>
      </c>
      <c r="AA6" s="106">
        <f t="shared" si="12"/>
        <v>0</v>
      </c>
      <c r="AB6" s="106">
        <f t="shared" si="13"/>
        <v>0</v>
      </c>
      <c r="AC6" s="106">
        <f t="shared" si="13"/>
        <v>0</v>
      </c>
      <c r="AD6" s="106">
        <f t="shared" si="14"/>
        <v>0</v>
      </c>
    </row>
    <row r="7" spans="1:35">
      <c r="A7" s="165">
        <v>1</v>
      </c>
      <c r="B7" s="164" t="s">
        <v>109</v>
      </c>
      <c r="C7" s="163"/>
      <c r="D7" s="162" t="s">
        <v>108</v>
      </c>
      <c r="E7" s="158">
        <f>+IF($A7="",IF($C7="",SUMIFS(全伝票!I:I,全伝票!$B:$B,$B7),SUMIFS(全伝票!I:I,全伝票!$C:$C,$C7)),IF($C7="",SUMIFS(全伝票!I:I,全伝票!$A:$A,$A7,全伝票!$B:$B,$B7),SUMIFS(全伝票!I:I,全伝票!$A:$A,$A7,全伝票!$C:$C,$C7)))</f>
        <v>28582995</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59">
        <f>+IF($A7="",IF($C7="",SUMIFS(全伝票!M:M,全伝票!$B:$B,$B7),SUMIFS(全伝票!M:M,全伝票!$C:$C,$C7)),IF($C7="",SUMIFS(全伝票!M:M,全伝票!$A:$A,$A7,全伝票!$B:$B,$B7),SUMIFS(全伝票!M:M,全伝票!$A:$A,$A7,全伝票!$C:$C,$C7)))</f>
        <v>0</v>
      </c>
      <c r="J7" s="159">
        <f>+IF($A7="",IF($C7="",SUMIFS(全伝票!N:N,全伝票!$B:$B,$B7),SUMIFS(全伝票!N:N,全伝票!$C:$C,$C7)),IF($C7="",SUMIFS(全伝票!N:N,全伝票!$A:$A,$A7,全伝票!$B:$B,$B7),SUMIFS(全伝票!N:N,全伝票!$A:$A,$A7,全伝票!$C:$C,$C7)))</f>
        <v>1117260</v>
      </c>
      <c r="K7" s="34">
        <f t="shared" si="0"/>
        <v>1117260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27465735</v>
      </c>
      <c r="N7" s="108">
        <f t="shared" si="1"/>
        <v>0</v>
      </c>
      <c r="O7" s="25">
        <f t="shared" si="3"/>
        <v>0</v>
      </c>
      <c r="P7" s="25">
        <f t="shared" si="2"/>
        <v>0</v>
      </c>
      <c r="Q7" s="157">
        <f t="shared" si="3"/>
        <v>0</v>
      </c>
      <c r="R7" s="157">
        <f t="shared" si="4"/>
        <v>101569</v>
      </c>
      <c r="S7" s="22">
        <f t="shared" si="5"/>
        <v>101569</v>
      </c>
      <c r="T7" s="109">
        <f t="shared" si="6"/>
        <v>28481426</v>
      </c>
      <c r="U7" s="107">
        <f t="shared" si="7"/>
        <v>0</v>
      </c>
      <c r="V7" s="107">
        <f t="shared" si="8"/>
        <v>0</v>
      </c>
      <c r="W7" s="107">
        <f t="shared" si="9"/>
        <v>0</v>
      </c>
      <c r="X7" s="107">
        <f t="shared" si="9"/>
        <v>0</v>
      </c>
      <c r="Y7" s="107">
        <f t="shared" si="10"/>
        <v>-9.0909090911736712E-2</v>
      </c>
      <c r="Z7" s="106">
        <f t="shared" si="11"/>
        <v>0</v>
      </c>
      <c r="AA7" s="106">
        <f t="shared" si="12"/>
        <v>0</v>
      </c>
      <c r="AB7" s="106">
        <f t="shared" si="13"/>
        <v>0</v>
      </c>
      <c r="AC7" s="106">
        <f t="shared" si="13"/>
        <v>0</v>
      </c>
      <c r="AD7" s="106">
        <f t="shared" si="14"/>
        <v>0</v>
      </c>
    </row>
    <row r="8" spans="1:35">
      <c r="A8" s="165">
        <v>1</v>
      </c>
      <c r="B8" s="164" t="s">
        <v>107</v>
      </c>
      <c r="C8" s="163"/>
      <c r="D8" s="162" t="s">
        <v>106</v>
      </c>
      <c r="E8" s="158">
        <f>+IF($A8="",IF($C8="",SUMIFS(全伝票!I:I,全伝票!$B:$B,$B8),SUMIFS(全伝票!I:I,全伝票!$C:$C,$C8)),IF($C8="",SUMIFS(全伝票!I:I,全伝票!$A:$A,$A8,全伝票!$B:$B,$B8),SUMIFS(全伝票!I:I,全伝票!$A:$A,$A8,全伝票!$C:$C,$C8)))</f>
        <v>13837163</v>
      </c>
      <c r="F8" s="161">
        <f>+IF($A8="",IF($C8="",SUMIFS(全伝票!J:J,全伝票!$B:$B,$B8),SUMIFS(全伝票!J:J,全伝票!$C:$C,$C8)),IF($C8="",SUMIFS(全伝票!J:J,全伝票!$A:$A,$A8,全伝票!$B:$B,$B8),SUMIFS(全伝票!J:J,全伝票!$A:$A,$A8,全伝票!$C:$C,$C8)))</f>
        <v>0</v>
      </c>
      <c r="G8" s="160">
        <f>+IF($A8="",IF($C8="",SUMIFS(全伝票!K:K,全伝票!$B:$B,$B8),SUMIFS(全伝票!K:K,全伝票!$C:$C,$C8)),IF($C8="",SUMIFS(全伝票!K:K,全伝票!$A:$A,$A8,全伝票!$B:$B,$B8),SUMIFS(全伝票!K:K,全伝票!$A:$A,$A8,全伝票!$C:$C,$C8)))</f>
        <v>0</v>
      </c>
      <c r="H8" s="160">
        <f>+IF($A8="",IF($C8="",SUMIFS(全伝票!L:L,全伝票!$B:$B,$B8),SUMIFS(全伝票!L:L,全伝票!$C:$C,$C8)),IF($C8="",SUMIFS(全伝票!L:L,全伝票!$A:$A,$A8,全伝票!$B:$B,$B8),SUMIFS(全伝票!L:L,全伝票!$A:$A,$A8,全伝票!$C:$C,$C8)))</f>
        <v>0</v>
      </c>
      <c r="I8" s="159">
        <f>+IF($A8="",IF($C8="",SUMIFS(全伝票!M:M,全伝票!$B:$B,$B8),SUMIFS(全伝票!M:M,全伝票!$C:$C,$C8)),IF($C8="",SUMIFS(全伝票!M:M,全伝票!$A:$A,$A8,全伝票!$B:$B,$B8),SUMIFS(全伝票!M:M,全伝票!$A:$A,$A8,全伝票!$C:$C,$C8)))</f>
        <v>0</v>
      </c>
      <c r="J8" s="159">
        <f>+IF($A8="",IF($C8="",SUMIFS(全伝票!N:N,全伝票!$B:$B,$B8),SUMIFS(全伝票!N:N,全伝票!$C:$C,$C8)),IF($C8="",SUMIFS(全伝票!N:N,全伝票!$A:$A,$A8,全伝票!$B:$B,$B8),SUMIFS(全伝票!N:N,全伝票!$A:$A,$A8,全伝票!$C:$C,$C8)))</f>
        <v>0</v>
      </c>
      <c r="K8" s="34">
        <f t="shared" si="0"/>
        <v>0</v>
      </c>
      <c r="L8" s="158">
        <f>+IF($A8="",IF($C8="",SUMIFS(全伝票!O:O,全伝票!$B:$B,$B8),SUMIFS(全伝票!O:O,全伝票!$C:$C,$C8)),IF($C8="",SUMIFS(全伝票!O:O,全伝票!$A:$A,$A8,全伝票!$B:$B,$B8),SUMIFS(全伝票!O:O,全伝票!$A:$A,$A8,全伝票!$C:$C,$C8)))</f>
        <v>13772507</v>
      </c>
      <c r="M8" s="158">
        <f>+IF($A8="",IF($C8="",SUMIFS(全伝票!P:P,全伝票!$B:$B,$B8),SUMIFS(全伝票!P:P,全伝票!$C:$C,$C8)),IF($C8="",SUMIFS(全伝票!P:P,全伝票!$A:$A,$A8,全伝票!$B:$B,$B8),SUMIFS(全伝票!P:P,全伝票!$A:$A,$A8,全伝票!$C:$C,$C8)))</f>
        <v>64656</v>
      </c>
      <c r="N8" s="108">
        <f t="shared" si="1"/>
        <v>0</v>
      </c>
      <c r="O8" s="25">
        <f t="shared" si="3"/>
        <v>0</v>
      </c>
      <c r="P8" s="25">
        <f t="shared" si="2"/>
        <v>0</v>
      </c>
      <c r="Q8" s="157">
        <f t="shared" si="3"/>
        <v>0</v>
      </c>
      <c r="R8" s="157">
        <f t="shared" si="4"/>
        <v>0</v>
      </c>
      <c r="S8" s="22">
        <f t="shared" si="5"/>
        <v>0</v>
      </c>
      <c r="T8" s="109">
        <f t="shared" si="6"/>
        <v>13837163</v>
      </c>
      <c r="U8" s="107">
        <f t="shared" si="7"/>
        <v>0</v>
      </c>
      <c r="V8" s="107">
        <f t="shared" si="8"/>
        <v>0</v>
      </c>
      <c r="W8" s="107">
        <f t="shared" si="9"/>
        <v>0</v>
      </c>
      <c r="X8" s="107">
        <f t="shared" si="9"/>
        <v>0</v>
      </c>
      <c r="Y8" s="107">
        <f t="shared" si="10"/>
        <v>0</v>
      </c>
      <c r="Z8" s="106">
        <f t="shared" si="11"/>
        <v>0</v>
      </c>
      <c r="AA8" s="106">
        <f t="shared" si="12"/>
        <v>0</v>
      </c>
      <c r="AB8" s="106">
        <f t="shared" si="13"/>
        <v>0</v>
      </c>
      <c r="AC8" s="106">
        <f t="shared" si="13"/>
        <v>0</v>
      </c>
      <c r="AD8" s="106">
        <f t="shared" si="14"/>
        <v>0</v>
      </c>
    </row>
    <row r="9" spans="1:35">
      <c r="A9" s="165">
        <v>1</v>
      </c>
      <c r="B9" s="164" t="s">
        <v>105</v>
      </c>
      <c r="C9" s="163"/>
      <c r="D9" s="162" t="s">
        <v>104</v>
      </c>
      <c r="E9" s="158">
        <f>+IF($A9="",IF($C9="",SUMIFS(全伝票!I:I,全伝票!$B:$B,$B9),SUMIFS(全伝票!I:I,全伝票!$C:$C,$C9)),IF($C9="",SUMIFS(全伝票!I:I,全伝票!$A:$A,$A9,全伝票!$B:$B,$B9),SUMIFS(全伝票!I:I,全伝票!$A:$A,$A9,全伝票!$C:$C,$C9)))</f>
        <v>0</v>
      </c>
      <c r="F9" s="161">
        <f>+IF($A9="",IF($C9="",SUMIFS(全伝票!J:J,全伝票!$B:$B,$B9),SUMIFS(全伝票!J:J,全伝票!$C:$C,$C9)),IF($C9="",SUMIFS(全伝票!J:J,全伝票!$A:$A,$A9,全伝票!$B:$B,$B9),SUMIFS(全伝票!J:J,全伝票!$A:$A,$A9,全伝票!$C:$C,$C9)))</f>
        <v>0</v>
      </c>
      <c r="G9" s="160">
        <f>+IF($A9="",IF($C9="",SUMIFS(全伝票!K:K,全伝票!$B:$B,$B9),SUMIFS(全伝票!K:K,全伝票!$C:$C,$C9)),IF($C9="",SUMIFS(全伝票!K:K,全伝票!$A:$A,$A9,全伝票!$B:$B,$B9),SUMIFS(全伝票!K:K,全伝票!$A:$A,$A9,全伝票!$C:$C,$C9)))</f>
        <v>0</v>
      </c>
      <c r="H9" s="160">
        <f>+IF($A9="",IF($C9="",SUMIFS(全伝票!L:L,全伝票!$B:$B,$B9),SUMIFS(全伝票!L:L,全伝票!$C:$C,$C9)),IF($C9="",SUMIFS(全伝票!L:L,全伝票!$A:$A,$A9,全伝票!$B:$B,$B9),SUMIFS(全伝票!L:L,全伝票!$A:$A,$A9,全伝票!$C:$C,$C9)))</f>
        <v>0</v>
      </c>
      <c r="I9" s="159">
        <f>+IF($A9="",IF($C9="",SUMIFS(全伝票!M:M,全伝票!$B:$B,$B9),SUMIFS(全伝票!M:M,全伝票!$C:$C,$C9)),IF($C9="",SUMIFS(全伝票!M:M,全伝票!$A:$A,$A9,全伝票!$B:$B,$B9),SUMIFS(全伝票!M:M,全伝票!$A:$A,$A9,全伝票!$C:$C,$C9)))</f>
        <v>0</v>
      </c>
      <c r="J9" s="159">
        <f>+IF($A9="",IF($C9="",SUMIFS(全伝票!N:N,全伝票!$B:$B,$B9),SUMIFS(全伝票!N:N,全伝票!$C:$C,$C9)),IF($C9="",SUMIFS(全伝票!N:N,全伝票!$A:$A,$A9,全伝票!$B:$B,$B9),SUMIFS(全伝票!N:N,全伝票!$A:$A,$A9,全伝票!$C:$C,$C9)))</f>
        <v>0</v>
      </c>
      <c r="K9" s="34">
        <f t="shared" si="0"/>
        <v>0</v>
      </c>
      <c r="L9" s="158">
        <f>+IF($A9="",IF($C9="",SUMIFS(全伝票!O:O,全伝票!$B:$B,$B9),SUMIFS(全伝票!O:O,全伝票!$C:$C,$C9)),IF($C9="",SUMIFS(全伝票!O:O,全伝票!$A:$A,$A9,全伝票!$B:$B,$B9),SUMIFS(全伝票!O:O,全伝票!$A:$A,$A9,全伝票!$C:$C,$C9)))</f>
        <v>0</v>
      </c>
      <c r="M9" s="158">
        <f>+IF($A9="",IF($C9="",SUMIFS(全伝票!P:P,全伝票!$B:$B,$B9),SUMIFS(全伝票!P:P,全伝票!$C:$C,$C9)),IF($C9="",SUMIFS(全伝票!P:P,全伝票!$A:$A,$A9,全伝票!$B:$B,$B9),SUMIFS(全伝票!P:P,全伝票!$A:$A,$A9,全伝票!$C:$C,$C9)))</f>
        <v>0</v>
      </c>
      <c r="N9" s="108">
        <f t="shared" si="1"/>
        <v>0</v>
      </c>
      <c r="O9" s="25">
        <f t="shared" si="3"/>
        <v>0</v>
      </c>
      <c r="P9" s="25">
        <f t="shared" si="2"/>
        <v>0</v>
      </c>
      <c r="Q9" s="157">
        <f t="shared" si="3"/>
        <v>0</v>
      </c>
      <c r="R9" s="157">
        <f t="shared" si="4"/>
        <v>0</v>
      </c>
      <c r="S9" s="22">
        <f t="shared" si="5"/>
        <v>0</v>
      </c>
      <c r="T9" s="109">
        <f t="shared" si="6"/>
        <v>0</v>
      </c>
      <c r="U9" s="107">
        <f t="shared" si="7"/>
        <v>0</v>
      </c>
      <c r="V9" s="107">
        <f t="shared" si="8"/>
        <v>0</v>
      </c>
      <c r="W9" s="107">
        <f t="shared" si="9"/>
        <v>0</v>
      </c>
      <c r="X9" s="107">
        <f t="shared" si="9"/>
        <v>0</v>
      </c>
      <c r="Y9" s="107">
        <f t="shared" si="10"/>
        <v>0</v>
      </c>
      <c r="Z9" s="106">
        <f t="shared" si="11"/>
        <v>0</v>
      </c>
      <c r="AA9" s="106">
        <f t="shared" si="12"/>
        <v>0</v>
      </c>
      <c r="AB9" s="106">
        <f t="shared" si="13"/>
        <v>0</v>
      </c>
      <c r="AC9" s="106">
        <f t="shared" si="13"/>
        <v>0</v>
      </c>
      <c r="AD9" s="106">
        <f t="shared" si="14"/>
        <v>0</v>
      </c>
    </row>
    <row r="10" spans="1:35">
      <c r="A10" s="165">
        <v>1</v>
      </c>
      <c r="B10" s="164" t="s">
        <v>103</v>
      </c>
      <c r="C10" s="163"/>
      <c r="D10" s="162" t="s">
        <v>102</v>
      </c>
      <c r="E10" s="158">
        <f>+IF($A10="",IF($C10="",SUMIFS(全伝票!I:I,全伝票!$B:$B,$B10),SUMIFS(全伝票!I:I,全伝票!$C:$C,$C10)),IF($C10="",SUMIFS(全伝票!I:I,全伝票!$A:$A,$A10,全伝票!$B:$B,$B10),SUMIFS(全伝票!I:I,全伝票!$A:$A,$A10,全伝票!$C:$C,$C10)))</f>
        <v>0</v>
      </c>
      <c r="F10" s="161">
        <f>+IF($A10="",IF($C10="",SUMIFS(全伝票!J:J,全伝票!$B:$B,$B10),SUMIFS(全伝票!J:J,全伝票!$C:$C,$C10)),IF($C10="",SUMIFS(全伝票!J:J,全伝票!$A:$A,$A10,全伝票!$B:$B,$B10),SUMIFS(全伝票!J:J,全伝票!$A:$A,$A10,全伝票!$C:$C,$C10)))</f>
        <v>0</v>
      </c>
      <c r="G10" s="160">
        <f>+IF($A10="",IF($C10="",SUMIFS(全伝票!K:K,全伝票!$B:$B,$B10),SUMIFS(全伝票!K:K,全伝票!$C:$C,$C10)),IF($C10="",SUMIFS(全伝票!K:K,全伝票!$A:$A,$A10,全伝票!$B:$B,$B10),SUMIFS(全伝票!K:K,全伝票!$A:$A,$A10,全伝票!$C:$C,$C10)))</f>
        <v>0</v>
      </c>
      <c r="H10" s="276">
        <f>+IF($A10="",IF($C10="",SUMIFS(全伝票!L:L,全伝票!$B:$B,$B10),SUMIFS(全伝票!L:L,全伝票!$C:$C,$C10)),IF($C10="",SUMIFS(全伝票!L:L,全伝票!$A:$A,$A10,全伝票!$B:$B,$B10),SUMIFS(全伝票!L:L,全伝票!$A:$A,$A10,全伝票!$C:$C,$C10)))</f>
        <v>0</v>
      </c>
      <c r="I10" s="271">
        <f>+IF($A10="",IF($C10="",SUMIFS(全伝票!M:M,全伝票!$B:$B,$B10),SUMIFS(全伝票!M:M,全伝票!$C:$C,$C10)),IF($C10="",SUMIFS(全伝票!M:M,全伝票!$A:$A,$A10,全伝票!$B:$B,$B10),SUMIFS(全伝票!M:M,全伝票!$A:$A,$A10,全伝票!$C:$C,$C10)))</f>
        <v>0</v>
      </c>
      <c r="J10" s="159">
        <f>+IF($A10="",IF($C10="",SUMIFS(全伝票!N:N,全伝票!$B:$B,$B10),SUMIFS(全伝票!N:N,全伝票!$C:$C,$C10)),IF($C10="",SUMIFS(全伝票!N:N,全伝票!$A:$A,$A10,全伝票!$B:$B,$B10),SUMIFS(全伝票!N:N,全伝票!$A:$A,$A10,全伝票!$C:$C,$C10)))</f>
        <v>0</v>
      </c>
      <c r="K10" s="34">
        <f t="shared" si="0"/>
        <v>0</v>
      </c>
      <c r="L10" s="158">
        <f>+IF($A10="",IF($C10="",SUMIFS(全伝票!O:O,全伝票!$B:$B,$B10),SUMIFS(全伝票!O:O,全伝票!$C:$C,$C10)),IF($C10="",SUMIFS(全伝票!O:O,全伝票!$A:$A,$A10,全伝票!$B:$B,$B10),SUMIFS(全伝票!O:O,全伝票!$A:$A,$A10,全伝票!$C:$C,$C10)))</f>
        <v>0</v>
      </c>
      <c r="M10" s="278">
        <f>+IF($A10="",IF($C10="",SUMIFS(全伝票!P:P,全伝票!$B:$B,$B10),SUMIFS(全伝票!P:P,全伝票!$C:$C,$C10)),IF($C10="",SUMIFS(全伝票!P:P,全伝票!$A:$A,$A10,全伝票!$B:$B,$B10),SUMIFS(全伝票!P:P,全伝票!$A:$A,$A10,全伝票!$C:$C,$C10)))</f>
        <v>0</v>
      </c>
      <c r="N10" s="108">
        <f t="shared" si="1"/>
        <v>0</v>
      </c>
      <c r="O10" s="25">
        <f t="shared" si="3"/>
        <v>0</v>
      </c>
      <c r="P10" s="25">
        <f t="shared" si="2"/>
        <v>0</v>
      </c>
      <c r="Q10" s="157">
        <f t="shared" si="3"/>
        <v>0</v>
      </c>
      <c r="R10" s="157">
        <f t="shared" si="4"/>
        <v>0</v>
      </c>
      <c r="S10" s="22">
        <f t="shared" si="5"/>
        <v>0</v>
      </c>
      <c r="T10" s="109">
        <f t="shared" si="6"/>
        <v>0</v>
      </c>
      <c r="U10" s="107">
        <f t="shared" si="7"/>
        <v>0</v>
      </c>
      <c r="V10" s="107">
        <f t="shared" si="8"/>
        <v>0</v>
      </c>
      <c r="W10" s="107">
        <f t="shared" si="9"/>
        <v>0</v>
      </c>
      <c r="X10" s="107">
        <f t="shared" si="9"/>
        <v>0</v>
      </c>
      <c r="Y10" s="107">
        <f t="shared" si="10"/>
        <v>0</v>
      </c>
      <c r="Z10" s="106">
        <f t="shared" si="11"/>
        <v>0</v>
      </c>
      <c r="AA10" s="106">
        <f t="shared" si="12"/>
        <v>0</v>
      </c>
      <c r="AB10" s="106">
        <f t="shared" si="13"/>
        <v>0</v>
      </c>
      <c r="AC10" s="106">
        <f t="shared" si="13"/>
        <v>0</v>
      </c>
      <c r="AD10" s="106">
        <f t="shared" si="14"/>
        <v>0</v>
      </c>
    </row>
    <row r="11" spans="1:35">
      <c r="A11" s="165">
        <v>1</v>
      </c>
      <c r="B11" s="164" t="s">
        <v>101</v>
      </c>
      <c r="C11" s="163"/>
      <c r="D11" s="162" t="s">
        <v>100</v>
      </c>
      <c r="E11" s="158">
        <f>+IF($A11="",IF($C11="",SUMIFS(全伝票!I:I,全伝票!$B:$B,$B11),SUMIFS(全伝票!I:I,全伝票!$C:$C,$C11)),IF($C11="",SUMIFS(全伝票!I:I,全伝票!$A:$A,$A11,全伝票!$B:$B,$B11),SUMIFS(全伝票!I:I,全伝票!$A:$A,$A11,全伝票!$C:$C,$C11)))</f>
        <v>45200</v>
      </c>
      <c r="F11" s="161">
        <f>+IF($A11="",IF($C11="",SUMIFS(全伝票!J:J,全伝票!$B:$B,$B11),SUMIFS(全伝票!J:J,全伝票!$C:$C,$C11)),IF($C11="",SUMIFS(全伝票!J:J,全伝票!$A:$A,$A11,全伝票!$B:$B,$B11),SUMIFS(全伝票!J:J,全伝票!$A:$A,$A11,全伝票!$C:$C,$C11)))</f>
        <v>0</v>
      </c>
      <c r="G11" s="160">
        <f>+IF($A11="",IF($C11="",SUMIFS(全伝票!K:K,全伝票!$B:$B,$B11),SUMIFS(全伝票!K:K,全伝票!$C:$C,$C11)),IF($C11="",SUMIFS(全伝票!K:K,全伝票!$A:$A,$A11,全伝票!$B:$B,$B11),SUMIFS(全伝票!K:K,全伝票!$A:$A,$A11,全伝票!$C:$C,$C11)))</f>
        <v>0</v>
      </c>
      <c r="H11" s="160">
        <f>+IF($A11="",IF($C11="",SUMIFS(全伝票!L:L,全伝票!$B:$B,$B11),SUMIFS(全伝票!L:L,全伝票!$C:$C,$C11)),IF($C11="",SUMIFS(全伝票!L:L,全伝票!$A:$A,$A11,全伝票!$B:$B,$B11),SUMIFS(全伝票!L:L,全伝票!$A:$A,$A11,全伝票!$C:$C,$C11)))</f>
        <v>0</v>
      </c>
      <c r="I11" s="159">
        <f>+IF($A11="",IF($C11="",SUMIFS(全伝票!M:M,全伝票!$B:$B,$B11),SUMIFS(全伝票!M:M,全伝票!$C:$C,$C11)),IF($C11="",SUMIFS(全伝票!M:M,全伝票!$A:$A,$A11,全伝票!$B:$B,$B11),SUMIFS(全伝票!M:M,全伝票!$A:$A,$A11,全伝票!$C:$C,$C11)))</f>
        <v>0</v>
      </c>
      <c r="J11" s="159">
        <f>+IF($A11="",IF($C11="",SUMIFS(全伝票!N:N,全伝票!$B:$B,$B11),SUMIFS(全伝票!N:N,全伝票!$C:$C,$C11)),IF($C11="",SUMIFS(全伝票!N:N,全伝票!$A:$A,$A11,全伝票!$B:$B,$B11),SUMIFS(全伝票!N:N,全伝票!$A:$A,$A11,全伝票!$C:$C,$C11)))</f>
        <v>45200</v>
      </c>
      <c r="K11" s="34">
        <f t="shared" si="0"/>
        <v>45200</v>
      </c>
      <c r="L11" s="158">
        <f>+IF($A11="",IF($C11="",SUMIFS(全伝票!O:O,全伝票!$B:$B,$B11),SUMIFS(全伝票!O:O,全伝票!$C:$C,$C11)),IF($C11="",SUMIFS(全伝票!O:O,全伝票!$A:$A,$A11,全伝票!$B:$B,$B11),SUMIFS(全伝票!O:O,全伝票!$A:$A,$A11,全伝票!$C:$C,$C11)))</f>
        <v>0</v>
      </c>
      <c r="M11" s="158">
        <f>+IF($A11="",IF($C11="",SUMIFS(全伝票!P:P,全伝票!$B:$B,$B11),SUMIFS(全伝票!P:P,全伝票!$C:$C,$C11)),IF($C11="",SUMIFS(全伝票!P:P,全伝票!$A:$A,$A11,全伝票!$B:$B,$B11),SUMIFS(全伝票!P:P,全伝票!$A:$A,$A11,全伝票!$C:$C,$C11)))</f>
        <v>0</v>
      </c>
      <c r="N11" s="108">
        <f t="shared" si="1"/>
        <v>0</v>
      </c>
      <c r="O11" s="25">
        <f t="shared" si="3"/>
        <v>0</v>
      </c>
      <c r="P11" s="25">
        <f t="shared" si="2"/>
        <v>0</v>
      </c>
      <c r="Q11" s="157">
        <f t="shared" si="3"/>
        <v>0</v>
      </c>
      <c r="R11" s="157">
        <f t="shared" si="4"/>
        <v>4109</v>
      </c>
      <c r="S11" s="22">
        <f t="shared" si="5"/>
        <v>4109</v>
      </c>
      <c r="T11" s="109">
        <f t="shared" si="6"/>
        <v>41091</v>
      </c>
      <c r="U11" s="107">
        <f t="shared" si="7"/>
        <v>0</v>
      </c>
      <c r="V11" s="107">
        <f t="shared" si="8"/>
        <v>0</v>
      </c>
      <c r="W11" s="107">
        <f t="shared" si="9"/>
        <v>0</v>
      </c>
      <c r="X11" s="107">
        <f t="shared" si="9"/>
        <v>0</v>
      </c>
      <c r="Y11" s="107">
        <f t="shared" si="10"/>
        <v>-9.0909090909008228E-2</v>
      </c>
      <c r="Z11" s="106">
        <f t="shared" si="11"/>
        <v>0</v>
      </c>
      <c r="AA11" s="106">
        <f t="shared" si="12"/>
        <v>0</v>
      </c>
      <c r="AB11" s="106">
        <f t="shared" si="13"/>
        <v>0</v>
      </c>
      <c r="AC11" s="106">
        <f t="shared" si="13"/>
        <v>0</v>
      </c>
      <c r="AD11" s="106">
        <f t="shared" si="14"/>
        <v>0</v>
      </c>
    </row>
    <row r="12" spans="1:35">
      <c r="A12" s="165">
        <v>1</v>
      </c>
      <c r="B12" s="164" t="s">
        <v>97</v>
      </c>
      <c r="C12" s="163" t="s">
        <v>99</v>
      </c>
      <c r="D12" s="162" t="s">
        <v>98</v>
      </c>
      <c r="E12" s="158">
        <f>+IF($A12="",IF($C12="",SUMIFS(全伝票!I:I,全伝票!$B:$B,$B12),SUMIFS(全伝票!I:I,全伝票!$C:$C,$C12)),IF($C12="",SUMIFS(全伝票!I:I,全伝票!$A:$A,$A12,全伝票!$B:$B,$B12),SUMIFS(全伝票!I:I,全伝票!$A:$A,$A12,全伝票!$C:$C,$C12)))</f>
        <v>0</v>
      </c>
      <c r="F12" s="161">
        <f>+IF($A12="",IF($C12="",SUMIFS(全伝票!J:J,全伝票!$B:$B,$B12),SUMIFS(全伝票!J:J,全伝票!$C:$C,$C12)),IF($C12="",SUMIFS(全伝票!J:J,全伝票!$A:$A,$A12,全伝票!$B:$B,$B12),SUMIFS(全伝票!J:J,全伝票!$A:$A,$A12,全伝票!$C:$C,$C12)))</f>
        <v>0</v>
      </c>
      <c r="G12" s="160">
        <f>+IF($A12="",IF($C12="",SUMIFS(全伝票!K:K,全伝票!$B:$B,$B12),SUMIFS(全伝票!K:K,全伝票!$C:$C,$C12)),IF($C12="",SUMIFS(全伝票!K:K,全伝票!$A:$A,$A12,全伝票!$B:$B,$B12),SUMIFS(全伝票!K:K,全伝票!$A:$A,$A12,全伝票!$C:$C,$C12)))</f>
        <v>0</v>
      </c>
      <c r="H12" s="160">
        <f>+IF($A12="",IF($C12="",SUMIFS(全伝票!L:L,全伝票!$B:$B,$B12),SUMIFS(全伝票!L:L,全伝票!$C:$C,$C12)),IF($C12="",SUMIFS(全伝票!L:L,全伝票!$A:$A,$A12,全伝票!$B:$B,$B12),SUMIFS(全伝票!L:L,全伝票!$A:$A,$A12,全伝票!$C:$C,$C12)))</f>
        <v>0</v>
      </c>
      <c r="I12" s="159">
        <f>+IF($A12="",IF($C12="",SUMIFS(全伝票!M:M,全伝票!$B:$B,$B12),SUMIFS(全伝票!M:M,全伝票!$C:$C,$C12)),IF($C12="",SUMIFS(全伝票!M:M,全伝票!$A:$A,$A12,全伝票!$B:$B,$B12),SUMIFS(全伝票!M:M,全伝票!$A:$A,$A12,全伝票!$C:$C,$C12)))</f>
        <v>0</v>
      </c>
      <c r="J12" s="159">
        <f>+IF($A12="",IF($C12="",SUMIFS(全伝票!N:N,全伝票!$B:$B,$B12),SUMIFS(全伝票!N:N,全伝票!$C:$C,$C12)),IF($C12="",SUMIFS(全伝票!N:N,全伝票!$A:$A,$A12,全伝票!$B:$B,$B12),SUMIFS(全伝票!N:N,全伝票!$A:$A,$A12,全伝票!$C:$C,$C12)))</f>
        <v>0</v>
      </c>
      <c r="K12" s="34">
        <f t="shared" si="0"/>
        <v>0</v>
      </c>
      <c r="L12" s="158">
        <f>+IF($A12="",IF($C12="",SUMIFS(全伝票!O:O,全伝票!$B:$B,$B12),SUMIFS(全伝票!O:O,全伝票!$C:$C,$C12)),IF($C12="",SUMIFS(全伝票!O:O,全伝票!$A:$A,$A12,全伝票!$B:$B,$B12),SUMIFS(全伝票!O:O,全伝票!$A:$A,$A12,全伝票!$C:$C,$C12)))</f>
        <v>0</v>
      </c>
      <c r="M12" s="158">
        <f>+IF($A12="",IF($C12="",SUMIFS(全伝票!P:P,全伝票!$B:$B,$B12),SUMIFS(全伝票!P:P,全伝票!$C:$C,$C12)),IF($C12="",SUMIFS(全伝票!P:P,全伝票!$A:$A,$A12,全伝票!$B:$B,$B12),SUMIFS(全伝票!P:P,全伝票!$A:$A,$A12,全伝票!$C:$C,$C12)))</f>
        <v>0</v>
      </c>
      <c r="N12" s="108">
        <f t="shared" si="1"/>
        <v>0</v>
      </c>
      <c r="O12" s="25">
        <f t="shared" si="3"/>
        <v>0</v>
      </c>
      <c r="P12" s="25">
        <f t="shared" si="2"/>
        <v>0</v>
      </c>
      <c r="Q12" s="157">
        <f t="shared" si="3"/>
        <v>0</v>
      </c>
      <c r="R12" s="157">
        <f t="shared" si="4"/>
        <v>0</v>
      </c>
      <c r="S12" s="22">
        <f t="shared" si="5"/>
        <v>0</v>
      </c>
      <c r="T12" s="109">
        <f t="shared" si="6"/>
        <v>0</v>
      </c>
      <c r="U12" s="107">
        <f t="shared" si="7"/>
        <v>0</v>
      </c>
      <c r="V12" s="107">
        <f t="shared" si="8"/>
        <v>0</v>
      </c>
      <c r="W12" s="107">
        <f t="shared" si="9"/>
        <v>0</v>
      </c>
      <c r="X12" s="107">
        <f t="shared" si="9"/>
        <v>0</v>
      </c>
      <c r="Y12" s="107">
        <f t="shared" si="10"/>
        <v>0</v>
      </c>
      <c r="Z12" s="106">
        <f t="shared" si="11"/>
        <v>0</v>
      </c>
      <c r="AA12" s="106">
        <f t="shared" si="12"/>
        <v>0</v>
      </c>
      <c r="AB12" s="106">
        <f t="shared" si="13"/>
        <v>0</v>
      </c>
      <c r="AC12" s="106">
        <f t="shared" si="13"/>
        <v>0</v>
      </c>
      <c r="AD12" s="106">
        <f t="shared" si="14"/>
        <v>0</v>
      </c>
    </row>
    <row r="13" spans="1:35">
      <c r="A13" s="165">
        <v>1</v>
      </c>
      <c r="B13" s="164" t="s">
        <v>97</v>
      </c>
      <c r="C13" s="163" t="s">
        <v>96</v>
      </c>
      <c r="D13" s="162" t="s">
        <v>95</v>
      </c>
      <c r="E13" s="158">
        <f>+IF($A13="",IF($C13="",SUMIFS(全伝票!I:I,全伝票!$B:$B,$B13),SUMIFS(全伝票!I:I,全伝票!$C:$C,$C13)),IF($C13="",SUMIFS(全伝票!I:I,全伝票!$A:$A,$A13,全伝票!$B:$B,$B13),SUMIFS(全伝票!I:I,全伝票!$A:$A,$A13,全伝票!$C:$C,$C13)))</f>
        <v>0</v>
      </c>
      <c r="F13" s="161">
        <f>+IF($A13="",IF($C13="",SUMIFS(全伝票!J:J,全伝票!$B:$B,$B13),SUMIFS(全伝票!J:J,全伝票!$C:$C,$C13)),IF($C13="",SUMIFS(全伝票!J:J,全伝票!$A:$A,$A13,全伝票!$B:$B,$B13),SUMIFS(全伝票!J:J,全伝票!$A:$A,$A13,全伝票!$C:$C,$C13)))</f>
        <v>0</v>
      </c>
      <c r="G13" s="160">
        <f>+IF($A13="",IF($C13="",SUMIFS(全伝票!K:K,全伝票!$B:$B,$B13),SUMIFS(全伝票!K:K,全伝票!$C:$C,$C13)),IF($C13="",SUMIFS(全伝票!K:K,全伝票!$A:$A,$A13,全伝票!$B:$B,$B13),SUMIFS(全伝票!K:K,全伝票!$A:$A,$A13,全伝票!$C:$C,$C13)))</f>
        <v>0</v>
      </c>
      <c r="H13" s="160">
        <f>+IF($A13="",IF($C13="",SUMIFS(全伝票!L:L,全伝票!$B:$B,$B13),SUMIFS(全伝票!L:L,全伝票!$C:$C,$C13)),IF($C13="",SUMIFS(全伝票!L:L,全伝票!$A:$A,$A13,全伝票!$B:$B,$B13),SUMIFS(全伝票!L:L,全伝票!$A:$A,$A13,全伝票!$C:$C,$C13)))</f>
        <v>0</v>
      </c>
      <c r="I13" s="159">
        <f>+IF($A13="",IF($C13="",SUMIFS(全伝票!M:M,全伝票!$B:$B,$B13),SUMIFS(全伝票!M:M,全伝票!$C:$C,$C13)),IF($C13="",SUMIFS(全伝票!M:M,全伝票!$A:$A,$A13,全伝票!$B:$B,$B13),SUMIFS(全伝票!M:M,全伝票!$A:$A,$A13,全伝票!$C:$C,$C13)))</f>
        <v>0</v>
      </c>
      <c r="J13" s="159">
        <f>+IF($A13="",IF($C13="",SUMIFS(全伝票!N:N,全伝票!$B:$B,$B13),SUMIFS(全伝票!N:N,全伝票!$C:$C,$C13)),IF($C13="",SUMIFS(全伝票!N:N,全伝票!$A:$A,$A13,全伝票!$B:$B,$B13),SUMIFS(全伝票!N:N,全伝票!$A:$A,$A13,全伝票!$C:$C,$C13)))</f>
        <v>0</v>
      </c>
      <c r="K13" s="34">
        <f t="shared" si="0"/>
        <v>0</v>
      </c>
      <c r="L13" s="158">
        <f>+IF($A13="",IF($C13="",SUMIFS(全伝票!O:O,全伝票!$B:$B,$B13),SUMIFS(全伝票!O:O,全伝票!$C:$C,$C13)),IF($C13="",SUMIFS(全伝票!O:O,全伝票!$A:$A,$A13,全伝票!$B:$B,$B13),SUMIFS(全伝票!O:O,全伝票!$A:$A,$A13,全伝票!$C:$C,$C13)))</f>
        <v>0</v>
      </c>
      <c r="M13" s="158">
        <f>+IF($A13="",IF($C13="",SUMIFS(全伝票!P:P,全伝票!$B:$B,$B13),SUMIFS(全伝票!P:P,全伝票!$C:$C,$C13)),IF($C13="",SUMIFS(全伝票!P:P,全伝票!$A:$A,$A13,全伝票!$B:$B,$B13),SUMIFS(全伝票!P:P,全伝票!$A:$A,$A13,全伝票!$C:$C,$C13)))</f>
        <v>0</v>
      </c>
      <c r="N13" s="108">
        <f t="shared" si="1"/>
        <v>0</v>
      </c>
      <c r="O13" s="25">
        <f t="shared" si="3"/>
        <v>0</v>
      </c>
      <c r="P13" s="25">
        <f t="shared" si="2"/>
        <v>0</v>
      </c>
      <c r="Q13" s="157">
        <f t="shared" si="3"/>
        <v>0</v>
      </c>
      <c r="R13" s="157">
        <f t="shared" si="4"/>
        <v>0</v>
      </c>
      <c r="S13" s="22">
        <f t="shared" si="5"/>
        <v>0</v>
      </c>
      <c r="T13" s="109">
        <f t="shared" si="6"/>
        <v>0</v>
      </c>
      <c r="U13" s="107">
        <f t="shared" si="7"/>
        <v>0</v>
      </c>
      <c r="V13" s="107">
        <f t="shared" si="8"/>
        <v>0</v>
      </c>
      <c r="W13" s="107">
        <f t="shared" si="9"/>
        <v>0</v>
      </c>
      <c r="X13" s="107">
        <f t="shared" si="9"/>
        <v>0</v>
      </c>
      <c r="Y13" s="107">
        <f t="shared" si="10"/>
        <v>0</v>
      </c>
      <c r="Z13" s="106">
        <f t="shared" si="11"/>
        <v>0</v>
      </c>
      <c r="AA13" s="106">
        <f t="shared" si="12"/>
        <v>0</v>
      </c>
      <c r="AB13" s="106">
        <f t="shared" si="13"/>
        <v>0</v>
      </c>
      <c r="AC13" s="106">
        <f t="shared" si="13"/>
        <v>0</v>
      </c>
      <c r="AD13" s="106">
        <f t="shared" si="14"/>
        <v>0</v>
      </c>
    </row>
    <row r="14" spans="1:35">
      <c r="A14" s="165">
        <v>1</v>
      </c>
      <c r="B14" s="164" t="s">
        <v>94</v>
      </c>
      <c r="C14" s="163"/>
      <c r="D14" s="162" t="s">
        <v>93</v>
      </c>
      <c r="E14" s="158">
        <f>+IF($A14="",IF($C14="",SUMIFS(全伝票!I:I,全伝票!$B:$B,$B14),SUMIFS(全伝票!I:I,全伝票!$C:$C,$C14)),IF($C14="",SUMIFS(全伝票!I:I,全伝票!$A:$A,$A14,全伝票!$B:$B,$B14),SUMIFS(全伝票!I:I,全伝票!$A:$A,$A14,全伝票!$C:$C,$C14)))</f>
        <v>2612281</v>
      </c>
      <c r="F14" s="161">
        <f>+IF($A14="",IF($C14="",SUMIFS(全伝票!J:J,全伝票!$B:$B,$B14),SUMIFS(全伝票!J:J,全伝票!$C:$C,$C14)),IF($C14="",SUMIFS(全伝票!J:J,全伝票!$A:$A,$A14,全伝票!$B:$B,$B14),SUMIFS(全伝票!J:J,全伝票!$A:$A,$A14,全伝票!$C:$C,$C14)))</f>
        <v>0</v>
      </c>
      <c r="G14" s="160">
        <f>+IF($A14="",IF($C14="",SUMIFS(全伝票!K:K,全伝票!$B:$B,$B14),SUMIFS(全伝票!K:K,全伝票!$C:$C,$C14)),IF($C14="",SUMIFS(全伝票!K:K,全伝票!$A:$A,$A14,全伝票!$B:$B,$B14),SUMIFS(全伝票!K:K,全伝票!$A:$A,$A14,全伝票!$C:$C,$C14)))</f>
        <v>0</v>
      </c>
      <c r="H14" s="160">
        <f>+IF($A14="",IF($C14="",SUMIFS(全伝票!L:L,全伝票!$B:$B,$B14),SUMIFS(全伝票!L:L,全伝票!$C:$C,$C14)),IF($C14="",SUMIFS(全伝票!L:L,全伝票!$A:$A,$A14,全伝票!$B:$B,$B14),SUMIFS(全伝票!L:L,全伝票!$A:$A,$A14,全伝票!$C:$C,$C14)))</f>
        <v>0</v>
      </c>
      <c r="I14" s="159">
        <f>+IF($A14="",IF($C14="",SUMIFS(全伝票!M:M,全伝票!$B:$B,$B14),SUMIFS(全伝票!M:M,全伝票!$C:$C,$C14)),IF($C14="",SUMIFS(全伝票!M:M,全伝票!$A:$A,$A14,全伝票!$B:$B,$B14),SUMIFS(全伝票!M:M,全伝票!$A:$A,$A14,全伝票!$C:$C,$C14)))</f>
        <v>0</v>
      </c>
      <c r="J14" s="159">
        <f>+IF($A14="",IF($C14="",SUMIFS(全伝票!N:N,全伝票!$B:$B,$B14),SUMIFS(全伝票!N:N,全伝票!$C:$C,$C14)),IF($C14="",SUMIFS(全伝票!N:N,全伝票!$A:$A,$A14,全伝票!$B:$B,$B14),SUMIFS(全伝票!N:N,全伝票!$A:$A,$A14,全伝票!$C:$C,$C14)))</f>
        <v>2612281</v>
      </c>
      <c r="K14" s="34">
        <f t="shared" si="0"/>
        <v>2612281</v>
      </c>
      <c r="L14" s="158">
        <f>+IF($A14="",IF($C14="",SUMIFS(全伝票!O:O,全伝票!$B:$B,$B14),SUMIFS(全伝票!O:O,全伝票!$C:$C,$C14)),IF($C14="",SUMIFS(全伝票!O:O,全伝票!$A:$A,$A14,全伝票!$B:$B,$B14),SUMIFS(全伝票!O:O,全伝票!$A:$A,$A14,全伝票!$C:$C,$C14)))</f>
        <v>0</v>
      </c>
      <c r="M14" s="158">
        <f>+IF($A14="",IF($C14="",SUMIFS(全伝票!P:P,全伝票!$B:$B,$B14),SUMIFS(全伝票!P:P,全伝票!$C:$C,$C14)),IF($C14="",SUMIFS(全伝票!P:P,全伝票!$A:$A,$A14,全伝票!$B:$B,$B14),SUMIFS(全伝票!P:P,全伝票!$A:$A,$A14,全伝票!$C:$C,$C14)))</f>
        <v>0</v>
      </c>
      <c r="N14" s="108">
        <f t="shared" si="1"/>
        <v>0</v>
      </c>
      <c r="O14" s="25">
        <f t="shared" si="3"/>
        <v>0</v>
      </c>
      <c r="P14" s="25">
        <f t="shared" si="2"/>
        <v>0</v>
      </c>
      <c r="Q14" s="157">
        <f t="shared" si="3"/>
        <v>0</v>
      </c>
      <c r="R14" s="157">
        <f t="shared" si="4"/>
        <v>237480</v>
      </c>
      <c r="S14" s="22">
        <f t="shared" si="5"/>
        <v>237480</v>
      </c>
      <c r="T14" s="109">
        <f t="shared" si="6"/>
        <v>2374801</v>
      </c>
      <c r="U14" s="107">
        <f t="shared" si="7"/>
        <v>0</v>
      </c>
      <c r="V14" s="107">
        <f t="shared" si="8"/>
        <v>0</v>
      </c>
      <c r="W14" s="107">
        <f t="shared" si="9"/>
        <v>0</v>
      </c>
      <c r="X14" s="107">
        <f t="shared" si="9"/>
        <v>0</v>
      </c>
      <c r="Y14" s="107">
        <f t="shared" si="10"/>
        <v>-9.0909090911736712E-2</v>
      </c>
      <c r="Z14" s="106">
        <f t="shared" si="11"/>
        <v>0</v>
      </c>
      <c r="AA14" s="106">
        <f t="shared" si="12"/>
        <v>0</v>
      </c>
      <c r="AB14" s="106">
        <f t="shared" si="13"/>
        <v>0</v>
      </c>
      <c r="AC14" s="106">
        <f t="shared" si="13"/>
        <v>0</v>
      </c>
      <c r="AD14" s="106">
        <f t="shared" si="14"/>
        <v>0</v>
      </c>
    </row>
    <row r="15" spans="1:35">
      <c r="A15" s="165">
        <v>1</v>
      </c>
      <c r="B15" s="164" t="s">
        <v>92</v>
      </c>
      <c r="C15" s="163"/>
      <c r="D15" s="162" t="s">
        <v>91</v>
      </c>
      <c r="E15" s="158">
        <f>+IF($A15="",IF($C15="",SUMIFS(全伝票!I:I,全伝票!$B:$B,$B15),SUMIFS(全伝票!I:I,全伝票!$C:$C,$C15)),IF($C15="",SUMIFS(全伝票!I:I,全伝票!$A:$A,$A15,全伝票!$B:$B,$B15),SUMIFS(全伝票!I:I,全伝票!$A:$A,$A15,全伝票!$C:$C,$C15)))</f>
        <v>474482</v>
      </c>
      <c r="F15" s="161">
        <f>+IF($A15="",IF($C15="",SUMIFS(全伝票!J:J,全伝票!$B:$B,$B15),SUMIFS(全伝票!J:J,全伝票!$C:$C,$C15)),IF($C15="",SUMIFS(全伝票!J:J,全伝票!$A:$A,$A15,全伝票!$B:$B,$B15),SUMIFS(全伝票!J:J,全伝票!$A:$A,$A15,全伝票!$C:$C,$C15)))</f>
        <v>0</v>
      </c>
      <c r="G15" s="160">
        <f>+IF($A15="",IF($C15="",SUMIFS(全伝票!K:K,全伝票!$B:$B,$B15),SUMIFS(全伝票!K:K,全伝票!$C:$C,$C15)),IF($C15="",SUMIFS(全伝票!K:K,全伝票!$A:$A,$A15,全伝票!$B:$B,$B15),SUMIFS(全伝票!K:K,全伝票!$A:$A,$A15,全伝票!$C:$C,$C15)))</f>
        <v>0</v>
      </c>
      <c r="H15" s="160">
        <f>+IF($A15="",IF($C15="",SUMIFS(全伝票!L:L,全伝票!$B:$B,$B15),SUMIFS(全伝票!L:L,全伝票!$C:$C,$C15)),IF($C15="",SUMIFS(全伝票!L:L,全伝票!$A:$A,$A15,全伝票!$B:$B,$B15),SUMIFS(全伝票!L:L,全伝票!$A:$A,$A15,全伝票!$C:$C,$C15)))</f>
        <v>0</v>
      </c>
      <c r="I15" s="159">
        <f>+IF($A15="",IF($C15="",SUMIFS(全伝票!M:M,全伝票!$B:$B,$B15),SUMIFS(全伝票!M:M,全伝票!$C:$C,$C15)),IF($C15="",SUMIFS(全伝票!M:M,全伝票!$A:$A,$A15,全伝票!$B:$B,$B15),SUMIFS(全伝票!M:M,全伝票!$A:$A,$A15,全伝票!$C:$C,$C15)))</f>
        <v>0</v>
      </c>
      <c r="J15" s="159">
        <f>+IF($A15="",IF($C15="",SUMIFS(全伝票!N:N,全伝票!$B:$B,$B15),SUMIFS(全伝票!N:N,全伝票!$C:$C,$C15)),IF($C15="",SUMIFS(全伝票!N:N,全伝票!$A:$A,$A15,全伝票!$B:$B,$B15),SUMIFS(全伝票!N:N,全伝票!$A:$A,$A15,全伝票!$C:$C,$C15)))</f>
        <v>474482</v>
      </c>
      <c r="K15" s="34">
        <f t="shared" si="0"/>
        <v>474482</v>
      </c>
      <c r="L15" s="158">
        <f>+IF($A15="",IF($C15="",SUMIFS(全伝票!O:O,全伝票!$B:$B,$B15),SUMIFS(全伝票!O:O,全伝票!$C:$C,$C15)),IF($C15="",SUMIFS(全伝票!O:O,全伝票!$A:$A,$A15,全伝票!$B:$B,$B15),SUMIFS(全伝票!O:O,全伝票!$A:$A,$A15,全伝票!$C:$C,$C15)))</f>
        <v>0</v>
      </c>
      <c r="M15" s="158">
        <f>+IF($A15="",IF($C15="",SUMIFS(全伝票!P:P,全伝票!$B:$B,$B15),SUMIFS(全伝票!P:P,全伝票!$C:$C,$C15)),IF($C15="",SUMIFS(全伝票!P:P,全伝票!$A:$A,$A15,全伝票!$B:$B,$B15),SUMIFS(全伝票!P:P,全伝票!$A:$A,$A15,全伝票!$C:$C,$C15)))</f>
        <v>0</v>
      </c>
      <c r="N15" s="108">
        <f t="shared" si="1"/>
        <v>0</v>
      </c>
      <c r="O15" s="25">
        <f t="shared" si="3"/>
        <v>0</v>
      </c>
      <c r="P15" s="25">
        <f t="shared" si="2"/>
        <v>0</v>
      </c>
      <c r="Q15" s="157">
        <f t="shared" si="3"/>
        <v>0</v>
      </c>
      <c r="R15" s="157">
        <f t="shared" si="4"/>
        <v>43135</v>
      </c>
      <c r="S15" s="22">
        <f t="shared" si="5"/>
        <v>43135</v>
      </c>
      <c r="T15" s="109">
        <f t="shared" si="6"/>
        <v>431347</v>
      </c>
      <c r="U15" s="107">
        <f t="shared" si="7"/>
        <v>0</v>
      </c>
      <c r="V15" s="107">
        <f t="shared" si="8"/>
        <v>0</v>
      </c>
      <c r="W15" s="107">
        <f t="shared" si="9"/>
        <v>0</v>
      </c>
      <c r="X15" s="107">
        <f t="shared" si="9"/>
        <v>0</v>
      </c>
      <c r="Y15" s="107">
        <f t="shared" si="10"/>
        <v>0.27272727272793418</v>
      </c>
      <c r="Z15" s="106">
        <f t="shared" si="11"/>
        <v>0</v>
      </c>
      <c r="AA15" s="106">
        <f t="shared" si="12"/>
        <v>0</v>
      </c>
      <c r="AB15" s="106">
        <f t="shared" si="13"/>
        <v>0</v>
      </c>
      <c r="AC15" s="106">
        <f t="shared" si="13"/>
        <v>0</v>
      </c>
      <c r="AD15" s="106">
        <f t="shared" si="14"/>
        <v>0</v>
      </c>
    </row>
    <row r="16" spans="1:35">
      <c r="A16" s="165">
        <v>1</v>
      </c>
      <c r="B16" s="164" t="s">
        <v>90</v>
      </c>
      <c r="C16" s="163"/>
      <c r="D16" s="162" t="s">
        <v>89</v>
      </c>
      <c r="E16" s="158">
        <f>+IF($A16="",IF($C16="",SUMIFS(全伝票!I:I,全伝票!$B:$B,$B16),SUMIFS(全伝票!I:I,全伝票!$C:$C,$C16)),IF($C16="",SUMIFS(全伝票!I:I,全伝票!$A:$A,$A16,全伝票!$B:$B,$B16),SUMIFS(全伝票!I:I,全伝票!$A:$A,$A16,全伝票!$C:$C,$C16)))</f>
        <v>0</v>
      </c>
      <c r="F16" s="161">
        <f>+IF($A16="",IF($C16="",SUMIFS(全伝票!J:J,全伝票!$B:$B,$B16),SUMIFS(全伝票!J:J,全伝票!$C:$C,$C16)),IF($C16="",SUMIFS(全伝票!J:J,全伝票!$A:$A,$A16,全伝票!$B:$B,$B16),SUMIFS(全伝票!J:J,全伝票!$A:$A,$A16,全伝票!$C:$C,$C16)))</f>
        <v>0</v>
      </c>
      <c r="G16" s="160">
        <f>+IF($A16="",IF($C16="",SUMIFS(全伝票!K:K,全伝票!$B:$B,$B16),SUMIFS(全伝票!K:K,全伝票!$C:$C,$C16)),IF($C16="",SUMIFS(全伝票!K:K,全伝票!$A:$A,$A16,全伝票!$B:$B,$B16),SUMIFS(全伝票!K:K,全伝票!$A:$A,$A16,全伝票!$C:$C,$C16)))</f>
        <v>0</v>
      </c>
      <c r="H16" s="160">
        <f>+IF($A16="",IF($C16="",SUMIFS(全伝票!L:L,全伝票!$B:$B,$B16),SUMIFS(全伝票!L:L,全伝票!$C:$C,$C16)),IF($C16="",SUMIFS(全伝票!L:L,全伝票!$A:$A,$A16,全伝票!$B:$B,$B16),SUMIFS(全伝票!L:L,全伝票!$A:$A,$A16,全伝票!$C:$C,$C16)))</f>
        <v>0</v>
      </c>
      <c r="I16" s="159">
        <f>+IF($A16="",IF($C16="",SUMIFS(全伝票!M:M,全伝票!$B:$B,$B16),SUMIFS(全伝票!M:M,全伝票!$C:$C,$C16)),IF($C16="",SUMIFS(全伝票!M:M,全伝票!$A:$A,$A16,全伝票!$B:$B,$B16),SUMIFS(全伝票!M:M,全伝票!$A:$A,$A16,全伝票!$C:$C,$C16)))</f>
        <v>0</v>
      </c>
      <c r="J16" s="159">
        <f>+IF($A16="",IF($C16="",SUMIFS(全伝票!N:N,全伝票!$B:$B,$B16),SUMIFS(全伝票!N:N,全伝票!$C:$C,$C16)),IF($C16="",SUMIFS(全伝票!N:N,全伝票!$A:$A,$A16,全伝票!$B:$B,$B16),SUMIFS(全伝票!N:N,全伝票!$A:$A,$A16,全伝票!$C:$C,$C16)))</f>
        <v>0</v>
      </c>
      <c r="K16" s="34">
        <f t="shared" si="0"/>
        <v>0</v>
      </c>
      <c r="L16" s="158">
        <f>+IF($A16="",IF($C16="",SUMIFS(全伝票!O:O,全伝票!$B:$B,$B16),SUMIFS(全伝票!O:O,全伝票!$C:$C,$C16)),IF($C16="",SUMIFS(全伝票!O:O,全伝票!$A:$A,$A16,全伝票!$B:$B,$B16),SUMIFS(全伝票!O:O,全伝票!$A:$A,$A16,全伝票!$C:$C,$C16)))</f>
        <v>0</v>
      </c>
      <c r="M16" s="158">
        <f>+IF($A16="",IF($C16="",SUMIFS(全伝票!P:P,全伝票!$B:$B,$B16),SUMIFS(全伝票!P:P,全伝票!$C:$C,$C16)),IF($C16="",SUMIFS(全伝票!P:P,全伝票!$A:$A,$A16,全伝票!$B:$B,$B16),SUMIFS(全伝票!P:P,全伝票!$A:$A,$A16,全伝票!$C:$C,$C16)))</f>
        <v>0</v>
      </c>
      <c r="N16" s="108">
        <f t="shared" si="1"/>
        <v>0</v>
      </c>
      <c r="O16" s="25">
        <f t="shared" si="3"/>
        <v>0</v>
      </c>
      <c r="P16" s="25">
        <f t="shared" si="2"/>
        <v>0</v>
      </c>
      <c r="Q16" s="157">
        <f t="shared" si="3"/>
        <v>0</v>
      </c>
      <c r="R16" s="157">
        <f t="shared" si="4"/>
        <v>0</v>
      </c>
      <c r="S16" s="22">
        <f t="shared" si="5"/>
        <v>0</v>
      </c>
      <c r="T16" s="109">
        <f t="shared" si="6"/>
        <v>0</v>
      </c>
      <c r="U16" s="107">
        <f t="shared" si="7"/>
        <v>0</v>
      </c>
      <c r="V16" s="107">
        <f t="shared" si="8"/>
        <v>0</v>
      </c>
      <c r="W16" s="107">
        <f t="shared" si="9"/>
        <v>0</v>
      </c>
      <c r="X16" s="107">
        <f t="shared" si="9"/>
        <v>0</v>
      </c>
      <c r="Y16" s="107">
        <f t="shared" si="10"/>
        <v>0</v>
      </c>
      <c r="Z16" s="106">
        <f t="shared" si="11"/>
        <v>0</v>
      </c>
      <c r="AA16" s="106">
        <f t="shared" si="12"/>
        <v>0</v>
      </c>
      <c r="AB16" s="106">
        <f t="shared" si="13"/>
        <v>0</v>
      </c>
      <c r="AC16" s="106">
        <f t="shared" si="13"/>
        <v>0</v>
      </c>
      <c r="AD16" s="106">
        <f t="shared" si="14"/>
        <v>0</v>
      </c>
    </row>
    <row r="17" spans="1:30">
      <c r="A17" s="165">
        <v>1</v>
      </c>
      <c r="B17" s="164" t="s">
        <v>88</v>
      </c>
      <c r="C17" s="163"/>
      <c r="D17" s="162" t="s">
        <v>87</v>
      </c>
      <c r="E17" s="158">
        <f>+IF($A17="",IF($C17="",SUMIFS(全伝票!I:I,全伝票!$B:$B,$B17),SUMIFS(全伝票!I:I,全伝票!$C:$C,$C17)),IF($C17="",SUMIFS(全伝票!I:I,全伝票!$A:$A,$A17,全伝票!$B:$B,$B17),SUMIFS(全伝票!I:I,全伝票!$A:$A,$A17,全伝票!$C:$C,$C17)))</f>
        <v>650162</v>
      </c>
      <c r="F17" s="161">
        <f>+IF($A17="",IF($C17="",SUMIFS(全伝票!J:J,全伝票!$B:$B,$B17),SUMIFS(全伝票!J:J,全伝票!$C:$C,$C17)),IF($C17="",SUMIFS(全伝票!J:J,全伝票!$A:$A,$A17,全伝票!$B:$B,$B17),SUMIFS(全伝票!J:J,全伝票!$A:$A,$A17,全伝票!$C:$C,$C17)))</f>
        <v>0</v>
      </c>
      <c r="G17" s="160">
        <f>+IF($A17="",IF($C17="",SUMIFS(全伝票!K:K,全伝票!$B:$B,$B17),SUMIFS(全伝票!K:K,全伝票!$C:$C,$C17)),IF($C17="",SUMIFS(全伝票!K:K,全伝票!$A:$A,$A17,全伝票!$B:$B,$B17),SUMIFS(全伝票!K:K,全伝票!$A:$A,$A17,全伝票!$C:$C,$C17)))</f>
        <v>0</v>
      </c>
      <c r="H17" s="160">
        <f>+IF($A17="",IF($C17="",SUMIFS(全伝票!L:L,全伝票!$B:$B,$B17),SUMIFS(全伝票!L:L,全伝票!$C:$C,$C17)),IF($C17="",SUMIFS(全伝票!L:L,全伝票!$A:$A,$A17,全伝票!$B:$B,$B17),SUMIFS(全伝票!L:L,全伝票!$A:$A,$A17,全伝票!$C:$C,$C17)))</f>
        <v>0</v>
      </c>
      <c r="I17" s="159">
        <f>+IF($A17="",IF($C17="",SUMIFS(全伝票!M:M,全伝票!$B:$B,$B17),SUMIFS(全伝票!M:M,全伝票!$C:$C,$C17)),IF($C17="",SUMIFS(全伝票!M:M,全伝票!$A:$A,$A17,全伝票!$B:$B,$B17),SUMIFS(全伝票!M:M,全伝票!$A:$A,$A17,全伝票!$C:$C,$C17)))</f>
        <v>0</v>
      </c>
      <c r="J17" s="159">
        <f>+IF($A17="",IF($C17="",SUMIFS(全伝票!N:N,全伝票!$B:$B,$B17),SUMIFS(全伝票!N:N,全伝票!$C:$C,$C17)),IF($C17="",SUMIFS(全伝票!N:N,全伝票!$A:$A,$A17,全伝票!$B:$B,$B17),SUMIFS(全伝票!N:N,全伝票!$A:$A,$A17,全伝票!$C:$C,$C17)))</f>
        <v>650162</v>
      </c>
      <c r="K17" s="34">
        <f t="shared" si="0"/>
        <v>650162</v>
      </c>
      <c r="L17" s="158">
        <f>+IF($A17="",IF($C17="",SUMIFS(全伝票!O:O,全伝票!$B:$B,$B17),SUMIFS(全伝票!O:O,全伝票!$C:$C,$C17)),IF($C17="",SUMIFS(全伝票!O:O,全伝票!$A:$A,$A17,全伝票!$B:$B,$B17),SUMIFS(全伝票!O:O,全伝票!$A:$A,$A17,全伝票!$C:$C,$C17)))</f>
        <v>0</v>
      </c>
      <c r="M17" s="158">
        <f>+IF($A17="",IF($C17="",SUMIFS(全伝票!P:P,全伝票!$B:$B,$B17),SUMIFS(全伝票!P:P,全伝票!$C:$C,$C17)),IF($C17="",SUMIFS(全伝票!P:P,全伝票!$A:$A,$A17,全伝票!$B:$B,$B17),SUMIFS(全伝票!P:P,全伝票!$A:$A,$A17,全伝票!$C:$C,$C17)))</f>
        <v>0</v>
      </c>
      <c r="N17" s="108">
        <f t="shared" si="1"/>
        <v>0</v>
      </c>
      <c r="O17" s="25">
        <f t="shared" si="3"/>
        <v>0</v>
      </c>
      <c r="P17" s="25">
        <f t="shared" si="2"/>
        <v>0</v>
      </c>
      <c r="Q17" s="157">
        <f t="shared" si="3"/>
        <v>0</v>
      </c>
      <c r="R17" s="157">
        <f t="shared" si="4"/>
        <v>59106</v>
      </c>
      <c r="S17" s="22">
        <f t="shared" si="5"/>
        <v>59106</v>
      </c>
      <c r="T17" s="109">
        <f t="shared" si="6"/>
        <v>591056</v>
      </c>
      <c r="U17" s="107">
        <f t="shared" si="7"/>
        <v>0</v>
      </c>
      <c r="V17" s="107">
        <f t="shared" si="8"/>
        <v>0</v>
      </c>
      <c r="W17" s="107">
        <f t="shared" si="9"/>
        <v>0</v>
      </c>
      <c r="X17" s="107">
        <f t="shared" si="9"/>
        <v>0</v>
      </c>
      <c r="Y17" s="107">
        <f t="shared" si="10"/>
        <v>0.36363636363967089</v>
      </c>
      <c r="Z17" s="106">
        <f t="shared" si="11"/>
        <v>0</v>
      </c>
      <c r="AA17" s="106">
        <f t="shared" si="12"/>
        <v>0</v>
      </c>
      <c r="AB17" s="106">
        <f t="shared" si="13"/>
        <v>0</v>
      </c>
      <c r="AC17" s="106">
        <f t="shared" si="13"/>
        <v>0</v>
      </c>
      <c r="AD17" s="106">
        <f t="shared" si="14"/>
        <v>0</v>
      </c>
    </row>
    <row r="18" spans="1:30">
      <c r="A18" s="165">
        <v>1</v>
      </c>
      <c r="B18" s="164" t="s">
        <v>86</v>
      </c>
      <c r="C18" s="163"/>
      <c r="D18" s="162" t="s">
        <v>85</v>
      </c>
      <c r="E18" s="158">
        <f>+IF($A18="",IF($C18="",SUMIFS(全伝票!I:I,全伝票!$B:$B,$B18),SUMIFS(全伝票!I:I,全伝票!$C:$C,$C18)),IF($C18="",SUMIFS(全伝票!I:I,全伝票!$A:$A,$A18,全伝票!$B:$B,$B18),SUMIFS(全伝票!I:I,全伝票!$A:$A,$A18,全伝票!$C:$C,$C18)))</f>
        <v>19480</v>
      </c>
      <c r="F18" s="161">
        <f>+IF($A18="",IF($C18="",SUMIFS(全伝票!J:J,全伝票!$B:$B,$B18),SUMIFS(全伝票!J:J,全伝票!$C:$C,$C18)),IF($C18="",SUMIFS(全伝票!J:J,全伝票!$A:$A,$A18,全伝票!$B:$B,$B18),SUMIFS(全伝票!J:J,全伝票!$A:$A,$A18,全伝票!$C:$C,$C18)))</f>
        <v>0</v>
      </c>
      <c r="G18" s="160">
        <f>+IF($A18="",IF($C18="",SUMIFS(全伝票!K:K,全伝票!$B:$B,$B18),SUMIFS(全伝票!K:K,全伝票!$C:$C,$C18)),IF($C18="",SUMIFS(全伝票!K:K,全伝票!$A:$A,$A18,全伝票!$B:$B,$B18),SUMIFS(全伝票!K:K,全伝票!$A:$A,$A18,全伝票!$C:$C,$C18)))</f>
        <v>0</v>
      </c>
      <c r="H18" s="160">
        <f>+IF($A18="",IF($C18="",SUMIFS(全伝票!L:L,全伝票!$B:$B,$B18),SUMIFS(全伝票!L:L,全伝票!$C:$C,$C18)),IF($C18="",SUMIFS(全伝票!L:L,全伝票!$A:$A,$A18,全伝票!$B:$B,$B18),SUMIFS(全伝票!L:L,全伝票!$A:$A,$A18,全伝票!$C:$C,$C18)))</f>
        <v>0</v>
      </c>
      <c r="I18" s="159">
        <f>+IF($A18="",IF($C18="",SUMIFS(全伝票!M:M,全伝票!$B:$B,$B18),SUMIFS(全伝票!M:M,全伝票!$C:$C,$C18)),IF($C18="",SUMIFS(全伝票!M:M,全伝票!$A:$A,$A18,全伝票!$B:$B,$B18),SUMIFS(全伝票!M:M,全伝票!$A:$A,$A18,全伝票!$C:$C,$C18)))</f>
        <v>0</v>
      </c>
      <c r="J18" s="159">
        <f>+IF($A18="",IF($C18="",SUMIFS(全伝票!N:N,全伝票!$B:$B,$B18),SUMIFS(全伝票!N:N,全伝票!$C:$C,$C18)),IF($C18="",SUMIFS(全伝票!N:N,全伝票!$A:$A,$A18,全伝票!$B:$B,$B18),SUMIFS(全伝票!N:N,全伝票!$A:$A,$A18,全伝票!$C:$C,$C18)))</f>
        <v>11880</v>
      </c>
      <c r="K18" s="34">
        <f t="shared" si="0"/>
        <v>11880</v>
      </c>
      <c r="L18" s="158">
        <f>+IF($A18="",IF($C18="",SUMIFS(全伝票!O:O,全伝票!$B:$B,$B18),SUMIFS(全伝票!O:O,全伝票!$C:$C,$C18)),IF($C18="",SUMIFS(全伝票!O:O,全伝票!$A:$A,$A18,全伝票!$B:$B,$B18),SUMIFS(全伝票!O:O,全伝票!$A:$A,$A18,全伝票!$C:$C,$C18)))</f>
        <v>7600</v>
      </c>
      <c r="M18" s="158">
        <f>+IF($A18="",IF($C18="",SUMIFS(全伝票!P:P,全伝票!$B:$B,$B18),SUMIFS(全伝票!P:P,全伝票!$C:$C,$C18)),IF($C18="",SUMIFS(全伝票!P:P,全伝票!$A:$A,$A18,全伝票!$B:$B,$B18),SUMIFS(全伝票!P:P,全伝票!$A:$A,$A18,全伝票!$C:$C,$C18)))</f>
        <v>0</v>
      </c>
      <c r="N18" s="108">
        <f t="shared" si="1"/>
        <v>0</v>
      </c>
      <c r="O18" s="25">
        <f t="shared" si="3"/>
        <v>0</v>
      </c>
      <c r="P18" s="25">
        <f t="shared" si="2"/>
        <v>0</v>
      </c>
      <c r="Q18" s="157">
        <f t="shared" si="3"/>
        <v>0</v>
      </c>
      <c r="R18" s="157">
        <f t="shared" si="4"/>
        <v>1080</v>
      </c>
      <c r="S18" s="22">
        <f t="shared" si="5"/>
        <v>1080</v>
      </c>
      <c r="T18" s="109">
        <f t="shared" si="6"/>
        <v>18400</v>
      </c>
      <c r="U18" s="107">
        <f t="shared" si="7"/>
        <v>0</v>
      </c>
      <c r="V18" s="107">
        <f t="shared" si="8"/>
        <v>0</v>
      </c>
      <c r="W18" s="107">
        <f t="shared" si="9"/>
        <v>0</v>
      </c>
      <c r="X18" s="107">
        <f t="shared" si="9"/>
        <v>0</v>
      </c>
      <c r="Y18" s="107">
        <f t="shared" si="10"/>
        <v>0</v>
      </c>
      <c r="Z18" s="106">
        <f t="shared" si="11"/>
        <v>0</v>
      </c>
      <c r="AA18" s="106">
        <f t="shared" si="12"/>
        <v>0</v>
      </c>
      <c r="AB18" s="106">
        <f t="shared" si="13"/>
        <v>0</v>
      </c>
      <c r="AC18" s="106">
        <f t="shared" si="13"/>
        <v>0</v>
      </c>
      <c r="AD18" s="106">
        <f t="shared" si="14"/>
        <v>0</v>
      </c>
    </row>
    <row r="19" spans="1:30">
      <c r="A19" s="165">
        <v>1</v>
      </c>
      <c r="B19" s="164" t="s">
        <v>84</v>
      </c>
      <c r="C19" s="163"/>
      <c r="D19" s="162" t="s">
        <v>83</v>
      </c>
      <c r="E19" s="158">
        <f>+IF($A19="",IF($C19="",SUMIFS(全伝票!I:I,全伝票!$B:$B,$B19),SUMIFS(全伝票!I:I,全伝票!$C:$C,$C19)),IF($C19="",SUMIFS(全伝票!I:I,全伝票!$A:$A,$A19,全伝票!$B:$B,$B19),SUMIFS(全伝票!I:I,全伝票!$A:$A,$A19,全伝票!$C:$C,$C19)))</f>
        <v>6446706</v>
      </c>
      <c r="F19" s="161">
        <f>+IF($A19="",IF($C19="",SUMIFS(全伝票!J:J,全伝票!$B:$B,$B19),SUMIFS(全伝票!J:J,全伝票!$C:$C,$C19)),IF($C19="",SUMIFS(全伝票!J:J,全伝票!$A:$A,$A19,全伝票!$B:$B,$B19),SUMIFS(全伝票!J:J,全伝票!$A:$A,$A19,全伝票!$C:$C,$C19)))</f>
        <v>0</v>
      </c>
      <c r="G19" s="160">
        <f>+IF($A19="",IF($C19="",SUMIFS(全伝票!K:K,全伝票!$B:$B,$B19),SUMIFS(全伝票!K:K,全伝票!$C:$C,$C19)),IF($C19="",SUMIFS(全伝票!K:K,全伝票!$A:$A,$A19,全伝票!$B:$B,$B19),SUMIFS(全伝票!K:K,全伝票!$A:$A,$A19,全伝票!$C:$C,$C19)))</f>
        <v>0</v>
      </c>
      <c r="H19" s="160">
        <f>+IF($A19="",IF($C19="",SUMIFS(全伝票!L:L,全伝票!$B:$B,$B19),SUMIFS(全伝票!L:L,全伝票!$C:$C,$C19)),IF($C19="",SUMIFS(全伝票!L:L,全伝票!$A:$A,$A19,全伝票!$B:$B,$B19),SUMIFS(全伝票!L:L,全伝票!$A:$A,$A19,全伝票!$C:$C,$C19)))</f>
        <v>678402</v>
      </c>
      <c r="I19" s="159">
        <f>+IF($A19="",IF($C19="",SUMIFS(全伝票!M:M,全伝票!$B:$B,$B19),SUMIFS(全伝票!M:M,全伝票!$C:$C,$C19)),IF($C19="",SUMIFS(全伝票!M:M,全伝票!$A:$A,$A19,全伝票!$B:$B,$B19),SUMIFS(全伝票!M:M,全伝票!$A:$A,$A19,全伝票!$C:$C,$C19)))</f>
        <v>0</v>
      </c>
      <c r="J19" s="159">
        <f>+IF($A19="",IF($C19="",SUMIFS(全伝票!N:N,全伝票!$B:$B,$B19),SUMIFS(全伝票!N:N,全伝票!$C:$C,$C19)),IF($C19="",SUMIFS(全伝票!N:N,全伝票!$A:$A,$A19,全伝票!$B:$B,$B19),SUMIFS(全伝票!N:N,全伝票!$A:$A,$A19,全伝票!$C:$C,$C19)))</f>
        <v>114697</v>
      </c>
      <c r="K19" s="34">
        <f t="shared" si="0"/>
        <v>793099</v>
      </c>
      <c r="L19" s="158">
        <f>+IF($A19="",IF($C19="",SUMIFS(全伝票!O:O,全伝票!$B:$B,$B19),SUMIFS(全伝票!O:O,全伝票!$C:$C,$C19)),IF($C19="",SUMIFS(全伝票!O:O,全伝票!$A:$A,$A19,全伝票!$B:$B,$B19),SUMIFS(全伝票!O:O,全伝票!$A:$A,$A19,全伝票!$C:$C,$C19)))</f>
        <v>5653607</v>
      </c>
      <c r="M19" s="158">
        <f>+IF($A19="",IF($C19="",SUMIFS(全伝票!P:P,全伝票!$B:$B,$B19),SUMIFS(全伝票!P:P,全伝票!$C:$C,$C19)),IF($C19="",SUMIFS(全伝票!P:P,全伝票!$A:$A,$A19,全伝票!$B:$B,$B19),SUMIFS(全伝票!P:P,全伝票!$A:$A,$A19,全伝票!$C:$C,$C19)))</f>
        <v>0</v>
      </c>
      <c r="N19" s="108">
        <f t="shared" si="1"/>
        <v>0</v>
      </c>
      <c r="O19" s="25">
        <f t="shared" si="3"/>
        <v>0</v>
      </c>
      <c r="P19" s="25">
        <f>+ROUND(H19*H$4/(100+H$4),0)+AG19</f>
        <v>50252</v>
      </c>
      <c r="Q19" s="157">
        <f t="shared" si="3"/>
        <v>0</v>
      </c>
      <c r="R19" s="157">
        <f t="shared" si="4"/>
        <v>10427</v>
      </c>
      <c r="S19" s="22">
        <f t="shared" si="5"/>
        <v>60679</v>
      </c>
      <c r="T19" s="109">
        <f t="shared" si="6"/>
        <v>6386027</v>
      </c>
      <c r="U19" s="107">
        <f t="shared" si="7"/>
        <v>0</v>
      </c>
      <c r="V19" s="107">
        <f t="shared" si="8"/>
        <v>0</v>
      </c>
      <c r="W19" s="107">
        <f t="shared" si="9"/>
        <v>0</v>
      </c>
      <c r="X19" s="107">
        <f t="shared" si="9"/>
        <v>0</v>
      </c>
      <c r="Y19" s="107">
        <f t="shared" si="10"/>
        <v>0</v>
      </c>
      <c r="Z19" s="106">
        <f t="shared" si="11"/>
        <v>0</v>
      </c>
      <c r="AA19" s="106">
        <f t="shared" si="12"/>
        <v>0</v>
      </c>
      <c r="AB19" s="106">
        <f t="shared" si="13"/>
        <v>0</v>
      </c>
      <c r="AC19" s="106">
        <f t="shared" si="13"/>
        <v>0</v>
      </c>
      <c r="AD19" s="106">
        <f t="shared" si="14"/>
        <v>0</v>
      </c>
    </row>
    <row r="20" spans="1:30">
      <c r="A20" s="165">
        <v>1</v>
      </c>
      <c r="B20" s="164" t="s">
        <v>82</v>
      </c>
      <c r="C20" s="163"/>
      <c r="D20" s="162" t="s">
        <v>81</v>
      </c>
      <c r="E20" s="158">
        <f>+IF($A20="",IF($C20="",SUMIFS(全伝票!I:I,全伝票!$B:$B,$B20),SUMIFS(全伝票!I:I,全伝票!$C:$C,$C20)),IF($C20="",SUMIFS(全伝票!I:I,全伝票!$A:$A,$A20,全伝票!$B:$B,$B20),SUMIFS(全伝票!I:I,全伝票!$A:$A,$A20,全伝票!$C:$C,$C20)))</f>
        <v>163512706</v>
      </c>
      <c r="F20" s="161">
        <f>+IF($A20="",IF($C20="",SUMIFS(全伝票!J:J,全伝票!$B:$B,$B20),SUMIFS(全伝票!J:J,全伝票!$C:$C,$C20)),IF($C20="",SUMIFS(全伝票!J:J,全伝票!$A:$A,$A20,全伝票!$B:$B,$B20),SUMIFS(全伝票!J:J,全伝票!$A:$A,$A20,全伝票!$C:$C,$C20)))</f>
        <v>0</v>
      </c>
      <c r="G20" s="160">
        <f>+IF($A20="",IF($C20="",SUMIFS(全伝票!K:K,全伝票!$B:$B,$B20),SUMIFS(全伝票!K:K,全伝票!$C:$C,$C20)),IF($C20="",SUMIFS(全伝票!K:K,全伝票!$A:$A,$A20,全伝票!$B:$B,$B20),SUMIFS(全伝票!K:K,全伝票!$A:$A,$A20,全伝票!$C:$C,$C20)))</f>
        <v>0</v>
      </c>
      <c r="H20" s="160">
        <f>+IF($A20="",IF($C20="",SUMIFS(全伝票!L:L,全伝票!$B:$B,$B20),SUMIFS(全伝票!L:L,全伝票!$C:$C,$C20)),IF($C20="",SUMIFS(全伝票!L:L,全伝票!$A:$A,$A20,全伝票!$B:$B,$B20),SUMIFS(全伝票!L:L,全伝票!$A:$A,$A20,全伝票!$C:$C,$C20)))</f>
        <v>0</v>
      </c>
      <c r="I20" s="159">
        <f>+IF($A20="",IF($C20="",SUMIFS(全伝票!M:M,全伝票!$B:$B,$B20),SUMIFS(全伝票!M:M,全伝票!$C:$C,$C20)),IF($C20="",SUMIFS(全伝票!M:M,全伝票!$A:$A,$A20,全伝票!$B:$B,$B20),SUMIFS(全伝票!M:M,全伝票!$A:$A,$A20,全伝票!$C:$C,$C20)))</f>
        <v>0</v>
      </c>
      <c r="J20" s="159">
        <f>+IF($A20="",IF($C20="",SUMIFS(全伝票!N:N,全伝票!$B:$B,$B20),SUMIFS(全伝票!N:N,全伝票!$C:$C,$C20)),IF($C20="",SUMIFS(全伝票!N:N,全伝票!$A:$A,$A20,全伝票!$B:$B,$B20),SUMIFS(全伝票!N:N,全伝票!$A:$A,$A20,全伝票!$C:$C,$C20)))</f>
        <v>163512706</v>
      </c>
      <c r="K20" s="34">
        <f t="shared" si="0"/>
        <v>163512706</v>
      </c>
      <c r="L20" s="158">
        <f>+IF($A20="",IF($C20="",SUMIFS(全伝票!O:O,全伝票!$B:$B,$B20),SUMIFS(全伝票!O:O,全伝票!$C:$C,$C20)),IF($C20="",SUMIFS(全伝票!O:O,全伝票!$A:$A,$A20,全伝票!$B:$B,$B20),SUMIFS(全伝票!O:O,全伝票!$A:$A,$A20,全伝票!$C:$C,$C20)))</f>
        <v>0</v>
      </c>
      <c r="M20" s="158">
        <f>+IF($A20="",IF($C20="",SUMIFS(全伝票!P:P,全伝票!$B:$B,$B20),SUMIFS(全伝票!P:P,全伝票!$C:$C,$C20)),IF($C20="",SUMIFS(全伝票!P:P,全伝票!$A:$A,$A20,全伝票!$B:$B,$B20),SUMIFS(全伝票!P:P,全伝票!$A:$A,$A20,全伝票!$C:$C,$C20)))</f>
        <v>0</v>
      </c>
      <c r="N20" s="108">
        <f t="shared" si="1"/>
        <v>0</v>
      </c>
      <c r="O20" s="25">
        <f t="shared" si="3"/>
        <v>0</v>
      </c>
      <c r="P20" s="25">
        <f t="shared" si="2"/>
        <v>0</v>
      </c>
      <c r="Q20" s="157">
        <f t="shared" si="3"/>
        <v>0</v>
      </c>
      <c r="R20" s="157">
        <f t="shared" si="4"/>
        <v>14864791</v>
      </c>
      <c r="S20" s="22">
        <f t="shared" si="5"/>
        <v>14864791</v>
      </c>
      <c r="T20" s="109">
        <f t="shared" si="6"/>
        <v>148647915</v>
      </c>
      <c r="U20" s="107">
        <f t="shared" si="7"/>
        <v>0</v>
      </c>
      <c r="V20" s="107">
        <f t="shared" si="8"/>
        <v>0</v>
      </c>
      <c r="W20" s="107">
        <f t="shared" si="9"/>
        <v>0</v>
      </c>
      <c r="X20" s="107">
        <f t="shared" si="9"/>
        <v>0</v>
      </c>
      <c r="Y20" s="107">
        <f t="shared" si="10"/>
        <v>-0.45454545505344868</v>
      </c>
      <c r="Z20" s="106">
        <f t="shared" si="11"/>
        <v>0</v>
      </c>
      <c r="AA20" s="106">
        <f t="shared" si="12"/>
        <v>0</v>
      </c>
      <c r="AB20" s="106">
        <f t="shared" si="13"/>
        <v>0</v>
      </c>
      <c r="AC20" s="106">
        <f t="shared" si="13"/>
        <v>0</v>
      </c>
      <c r="AD20" s="106">
        <f t="shared" si="14"/>
        <v>0</v>
      </c>
    </row>
    <row r="21" spans="1:30">
      <c r="A21" s="165">
        <v>1</v>
      </c>
      <c r="B21" s="164" t="s">
        <v>80</v>
      </c>
      <c r="C21" s="163"/>
      <c r="D21" s="162" t="s">
        <v>79</v>
      </c>
      <c r="E21" s="158">
        <f>+IF($A21="",IF($C21="",SUMIFS(全伝票!I:I,全伝票!$B:$B,$B21),SUMIFS(全伝票!I:I,全伝票!$C:$C,$C21)),IF($C21="",SUMIFS(全伝票!I:I,全伝票!$A:$A,$A21,全伝票!$B:$B,$B21),SUMIFS(全伝票!I:I,全伝票!$A:$A,$A21,全伝票!$C:$C,$C21)))</f>
        <v>12499689</v>
      </c>
      <c r="F21" s="161">
        <f>+IF($A21="",IF($C21="",SUMIFS(全伝票!J:J,全伝票!$B:$B,$B21),SUMIFS(全伝票!J:J,全伝票!$C:$C,$C21)),IF($C21="",SUMIFS(全伝票!J:J,全伝票!$A:$A,$A21,全伝票!$B:$B,$B21),SUMIFS(全伝票!J:J,全伝票!$A:$A,$A21,全伝票!$C:$C,$C21)))</f>
        <v>0</v>
      </c>
      <c r="G21" s="160">
        <f>+IF($A21="",IF($C21="",SUMIFS(全伝票!K:K,全伝票!$B:$B,$B21),SUMIFS(全伝票!K:K,全伝票!$C:$C,$C21)),IF($C21="",SUMIFS(全伝票!K:K,全伝票!$A:$A,$A21,全伝票!$B:$B,$B21),SUMIFS(全伝票!K:K,全伝票!$A:$A,$A21,全伝票!$C:$C,$C21)))</f>
        <v>0</v>
      </c>
      <c r="H21" s="160">
        <f>+IF($A21="",IF($C21="",SUMIFS(全伝票!L:L,全伝票!$B:$B,$B21),SUMIFS(全伝票!L:L,全伝票!$C:$C,$C21)),IF($C21="",SUMIFS(全伝票!L:L,全伝票!$A:$A,$A21,全伝票!$B:$B,$B21),SUMIFS(全伝票!L:L,全伝票!$A:$A,$A21,全伝票!$C:$C,$C21)))</f>
        <v>0</v>
      </c>
      <c r="I21" s="159">
        <f>+IF($A21="",IF($C21="",SUMIFS(全伝票!M:M,全伝票!$B:$B,$B21),SUMIFS(全伝票!M:M,全伝票!$C:$C,$C21)),IF($C21="",SUMIFS(全伝票!M:M,全伝票!$A:$A,$A21,全伝票!$B:$B,$B21),SUMIFS(全伝票!M:M,全伝票!$A:$A,$A21,全伝票!$C:$C,$C21)))</f>
        <v>0</v>
      </c>
      <c r="J21" s="159">
        <f>+IF($A21="",IF($C21="",SUMIFS(全伝票!N:N,全伝票!$B:$B,$B21),SUMIFS(全伝票!N:N,全伝票!$C:$C,$C21)),IF($C21="",SUMIFS(全伝票!N:N,全伝票!$A:$A,$A21,全伝票!$B:$B,$B21),SUMIFS(全伝票!N:N,全伝票!$A:$A,$A21,全伝票!$C:$C,$C21)))</f>
        <v>12499689</v>
      </c>
      <c r="K21" s="34">
        <f t="shared" si="0"/>
        <v>12499689</v>
      </c>
      <c r="L21" s="158">
        <f>+IF($A21="",IF($C21="",SUMIFS(全伝票!O:O,全伝票!$B:$B,$B21),SUMIFS(全伝票!O:O,全伝票!$C:$C,$C21)),IF($C21="",SUMIFS(全伝票!O:O,全伝票!$A:$A,$A21,全伝票!$B:$B,$B21),SUMIFS(全伝票!O:O,全伝票!$A:$A,$A21,全伝票!$C:$C,$C21)))</f>
        <v>0</v>
      </c>
      <c r="M21" s="158">
        <f>+IF($A21="",IF($C21="",SUMIFS(全伝票!P:P,全伝票!$B:$B,$B21),SUMIFS(全伝票!P:P,全伝票!$C:$C,$C21)),IF($C21="",SUMIFS(全伝票!P:P,全伝票!$A:$A,$A21,全伝票!$B:$B,$B21),SUMIFS(全伝票!P:P,全伝票!$A:$A,$A21,全伝票!$C:$C,$C21)))</f>
        <v>0</v>
      </c>
      <c r="N21" s="108">
        <f t="shared" si="1"/>
        <v>0</v>
      </c>
      <c r="O21" s="25">
        <f t="shared" si="3"/>
        <v>0</v>
      </c>
      <c r="P21" s="25">
        <f t="shared" si="2"/>
        <v>0</v>
      </c>
      <c r="Q21" s="157">
        <f t="shared" si="3"/>
        <v>0</v>
      </c>
      <c r="R21" s="157">
        <f t="shared" si="4"/>
        <v>1136335</v>
      </c>
      <c r="S21" s="22">
        <f t="shared" si="5"/>
        <v>1136335</v>
      </c>
      <c r="T21" s="109">
        <f t="shared" si="6"/>
        <v>11363354</v>
      </c>
      <c r="U21" s="107">
        <f t="shared" si="7"/>
        <v>0</v>
      </c>
      <c r="V21" s="107">
        <f t="shared" si="8"/>
        <v>0</v>
      </c>
      <c r="W21" s="107">
        <f t="shared" si="9"/>
        <v>0</v>
      </c>
      <c r="X21" s="107">
        <f t="shared" si="9"/>
        <v>0</v>
      </c>
      <c r="Y21" s="107">
        <f t="shared" si="10"/>
        <v>-0.36363636353053153</v>
      </c>
      <c r="Z21" s="106">
        <f t="shared" si="11"/>
        <v>0</v>
      </c>
      <c r="AA21" s="106">
        <f t="shared" si="12"/>
        <v>0</v>
      </c>
      <c r="AB21" s="106">
        <f t="shared" si="13"/>
        <v>0</v>
      </c>
      <c r="AC21" s="106">
        <f t="shared" si="13"/>
        <v>0</v>
      </c>
      <c r="AD21" s="106">
        <f t="shared" si="14"/>
        <v>0</v>
      </c>
    </row>
    <row r="22" spans="1:30">
      <c r="A22" s="165">
        <v>1</v>
      </c>
      <c r="B22" s="164" t="s">
        <v>78</v>
      </c>
      <c r="C22" s="163"/>
      <c r="D22" s="162" t="s">
        <v>77</v>
      </c>
      <c r="E22" s="158">
        <f>+IF($A22="",IF($C22="",SUMIFS(全伝票!I:I,全伝票!$B:$B,$B22),SUMIFS(全伝票!I:I,全伝票!$C:$C,$C22)),IF($C22="",SUMIFS(全伝票!I:I,全伝票!$A:$A,$A22,全伝票!$B:$B,$B22),SUMIFS(全伝票!I:I,全伝票!$A:$A,$A22,全伝票!$C:$C,$C22)))</f>
        <v>2121075</v>
      </c>
      <c r="F22" s="161">
        <f>+IF($A22="",IF($C22="",SUMIFS(全伝票!J:J,全伝票!$B:$B,$B22),SUMIFS(全伝票!J:J,全伝票!$C:$C,$C22)),IF($C22="",SUMIFS(全伝票!J:J,全伝票!$A:$A,$A22,全伝票!$B:$B,$B22),SUMIFS(全伝票!J:J,全伝票!$A:$A,$A22,全伝票!$C:$C,$C22)))</f>
        <v>0</v>
      </c>
      <c r="G22" s="160">
        <f>+IF($A22="",IF($C22="",SUMIFS(全伝票!K:K,全伝票!$B:$B,$B22),SUMIFS(全伝票!K:K,全伝票!$C:$C,$C22)),IF($C22="",SUMIFS(全伝票!K:K,全伝票!$A:$A,$A22,全伝票!$B:$B,$B22),SUMIFS(全伝票!K:K,全伝票!$A:$A,$A22,全伝票!$C:$C,$C22)))</f>
        <v>0</v>
      </c>
      <c r="H22" s="160">
        <f>+IF($A22="",IF($C22="",SUMIFS(全伝票!L:L,全伝票!$B:$B,$B22),SUMIFS(全伝票!L:L,全伝票!$C:$C,$C22)),IF($C22="",SUMIFS(全伝票!L:L,全伝票!$A:$A,$A22,全伝票!$B:$B,$B22),SUMIFS(全伝票!L:L,全伝票!$A:$A,$A22,全伝票!$C:$C,$C22)))</f>
        <v>0</v>
      </c>
      <c r="I22" s="159">
        <f>+IF($A22="",IF($C22="",SUMIFS(全伝票!M:M,全伝票!$B:$B,$B22),SUMIFS(全伝票!M:M,全伝票!$C:$C,$C22)),IF($C22="",SUMIFS(全伝票!M:M,全伝票!$A:$A,$A22,全伝票!$B:$B,$B22),SUMIFS(全伝票!M:M,全伝票!$A:$A,$A22,全伝票!$C:$C,$C22)))</f>
        <v>0</v>
      </c>
      <c r="J22" s="159">
        <f>+IF($A22="",IF($C22="",SUMIFS(全伝票!N:N,全伝票!$B:$B,$B22),SUMIFS(全伝票!N:N,全伝票!$C:$C,$C22)),IF($C22="",SUMIFS(全伝票!N:N,全伝票!$A:$A,$A22,全伝票!$B:$B,$B22),SUMIFS(全伝票!N:N,全伝票!$A:$A,$A22,全伝票!$C:$C,$C22)))</f>
        <v>2121075</v>
      </c>
      <c r="K22" s="34">
        <f t="shared" si="0"/>
        <v>2121075</v>
      </c>
      <c r="L22" s="158">
        <f>+IF($A22="",IF($C22="",SUMIFS(全伝票!O:O,全伝票!$B:$B,$B22),SUMIFS(全伝票!O:O,全伝票!$C:$C,$C22)),IF($C22="",SUMIFS(全伝票!O:O,全伝票!$A:$A,$A22,全伝票!$B:$B,$B22),SUMIFS(全伝票!O:O,全伝票!$A:$A,$A22,全伝票!$C:$C,$C22)))</f>
        <v>0</v>
      </c>
      <c r="M22" s="158">
        <f>+IF($A22="",IF($C22="",SUMIFS(全伝票!P:P,全伝票!$B:$B,$B22),SUMIFS(全伝票!P:P,全伝票!$C:$C,$C22)),IF($C22="",SUMIFS(全伝票!P:P,全伝票!$A:$A,$A22,全伝票!$B:$B,$B22),SUMIFS(全伝票!P:P,全伝票!$A:$A,$A22,全伝票!$C:$C,$C22)))</f>
        <v>0</v>
      </c>
      <c r="N22" s="108">
        <f t="shared" si="1"/>
        <v>0</v>
      </c>
      <c r="O22" s="25">
        <f t="shared" si="3"/>
        <v>0</v>
      </c>
      <c r="P22" s="25">
        <f t="shared" si="2"/>
        <v>0</v>
      </c>
      <c r="Q22" s="157">
        <f t="shared" si="3"/>
        <v>0</v>
      </c>
      <c r="R22" s="157">
        <f t="shared" si="4"/>
        <v>192825</v>
      </c>
      <c r="S22" s="22">
        <f t="shared" si="5"/>
        <v>192825</v>
      </c>
      <c r="T22" s="109">
        <f t="shared" si="6"/>
        <v>1928250</v>
      </c>
      <c r="U22" s="107">
        <f t="shared" si="7"/>
        <v>0</v>
      </c>
      <c r="V22" s="107">
        <f t="shared" si="8"/>
        <v>0</v>
      </c>
      <c r="W22" s="107">
        <f t="shared" si="9"/>
        <v>0</v>
      </c>
      <c r="X22" s="107">
        <f t="shared" si="9"/>
        <v>0</v>
      </c>
      <c r="Y22" s="107">
        <f t="shared" si="10"/>
        <v>0</v>
      </c>
      <c r="Z22" s="106">
        <f t="shared" si="11"/>
        <v>0</v>
      </c>
      <c r="AA22" s="106">
        <f t="shared" si="12"/>
        <v>0</v>
      </c>
      <c r="AB22" s="106">
        <f t="shared" si="13"/>
        <v>0</v>
      </c>
      <c r="AC22" s="106">
        <f t="shared" si="13"/>
        <v>0</v>
      </c>
      <c r="AD22" s="106">
        <f t="shared" si="14"/>
        <v>0</v>
      </c>
    </row>
    <row r="23" spans="1:30">
      <c r="A23" s="165">
        <v>1</v>
      </c>
      <c r="B23" s="164" t="s">
        <v>76</v>
      </c>
      <c r="C23" s="163"/>
      <c r="D23" s="162" t="s">
        <v>75</v>
      </c>
      <c r="E23" s="158">
        <f>+IF($A23="",IF($C23="",SUMIFS(全伝票!I:I,全伝票!$B:$B,$B23),SUMIFS(全伝票!I:I,全伝票!$C:$C,$C23)),IF($C23="",SUMIFS(全伝票!I:I,全伝票!$A:$A,$A23,全伝票!$B:$B,$B23),SUMIFS(全伝票!I:I,全伝票!$A:$A,$A23,全伝票!$C:$C,$C23)))</f>
        <v>299926084</v>
      </c>
      <c r="F23" s="161">
        <f>+IF($A23="",IF($C23="",SUMIFS(全伝票!J:J,全伝票!$B:$B,$B23),SUMIFS(全伝票!J:J,全伝票!$C:$C,$C23)),IF($C23="",SUMIFS(全伝票!J:J,全伝票!$A:$A,$A23,全伝票!$B:$B,$B23),SUMIFS(全伝票!J:J,全伝票!$A:$A,$A23,全伝票!$C:$C,$C23)))</f>
        <v>0</v>
      </c>
      <c r="G23" s="160">
        <f>+IF($A23="",IF($C23="",SUMIFS(全伝票!K:K,全伝票!$B:$B,$B23),SUMIFS(全伝票!K:K,全伝票!$C:$C,$C23)),IF($C23="",SUMIFS(全伝票!K:K,全伝票!$A:$A,$A23,全伝票!$B:$B,$B23),SUMIFS(全伝票!K:K,全伝票!$A:$A,$A23,全伝票!$C:$C,$C23)))</f>
        <v>0</v>
      </c>
      <c r="H23" s="160">
        <f>+IF($A23="",IF($C23="",SUMIFS(全伝票!L:L,全伝票!$B:$B,$B23),SUMIFS(全伝票!L:L,全伝票!$C:$C,$C23)),IF($C23="",SUMIFS(全伝票!L:L,全伝票!$A:$A,$A23,全伝票!$B:$B,$B23),SUMIFS(全伝票!L:L,全伝票!$A:$A,$A23,全伝票!$C:$C,$C23)))</f>
        <v>0</v>
      </c>
      <c r="I23" s="159">
        <f>+IF($A23="",IF($C23="",SUMIFS(全伝票!M:M,全伝票!$B:$B,$B23),SUMIFS(全伝票!M:M,全伝票!$C:$C,$C23)),IF($C23="",SUMIFS(全伝票!M:M,全伝票!$A:$A,$A23,全伝票!$B:$B,$B23),SUMIFS(全伝票!M:M,全伝票!$A:$A,$A23,全伝票!$C:$C,$C23)))</f>
        <v>0</v>
      </c>
      <c r="J23" s="159">
        <f>+IF($A23="",IF($C23="",SUMIFS(全伝票!N:N,全伝票!$B:$B,$B23),SUMIFS(全伝票!N:N,全伝票!$C:$C,$C23)),IF($C23="",SUMIFS(全伝票!N:N,全伝票!$A:$A,$A23,全伝票!$B:$B,$B23),SUMIFS(全伝票!N:N,全伝票!$A:$A,$A23,全伝票!$C:$C,$C23)))</f>
        <v>299926084</v>
      </c>
      <c r="K23" s="34">
        <f t="shared" si="0"/>
        <v>299926084</v>
      </c>
      <c r="L23" s="158">
        <f>+IF($A23="",IF($C23="",SUMIFS(全伝票!O:O,全伝票!$B:$B,$B23),SUMIFS(全伝票!O:O,全伝票!$C:$C,$C23)),IF($C23="",SUMIFS(全伝票!O:O,全伝票!$A:$A,$A23,全伝票!$B:$B,$B23),SUMIFS(全伝票!O:O,全伝票!$A:$A,$A23,全伝票!$C:$C,$C23)))</f>
        <v>0</v>
      </c>
      <c r="M23" s="158">
        <f>+IF($A23="",IF($C23="",SUMIFS(全伝票!P:P,全伝票!$B:$B,$B23),SUMIFS(全伝票!P:P,全伝票!$C:$C,$C23)),IF($C23="",SUMIFS(全伝票!P:P,全伝票!$A:$A,$A23,全伝票!$B:$B,$B23),SUMIFS(全伝票!P:P,全伝票!$A:$A,$A23,全伝票!$C:$C,$C23)))</f>
        <v>0</v>
      </c>
      <c r="N23" s="108">
        <f t="shared" si="1"/>
        <v>0</v>
      </c>
      <c r="O23" s="25">
        <f t="shared" si="3"/>
        <v>0</v>
      </c>
      <c r="P23" s="25">
        <f t="shared" si="2"/>
        <v>0</v>
      </c>
      <c r="Q23" s="157">
        <f t="shared" si="3"/>
        <v>0</v>
      </c>
      <c r="R23" s="157">
        <f t="shared" si="4"/>
        <v>27266008</v>
      </c>
      <c r="S23" s="22">
        <f t="shared" si="5"/>
        <v>27266008</v>
      </c>
      <c r="T23" s="109">
        <f t="shared" si="6"/>
        <v>272660076</v>
      </c>
      <c r="U23" s="107">
        <f t="shared" si="7"/>
        <v>0</v>
      </c>
      <c r="V23" s="107">
        <f t="shared" si="8"/>
        <v>0</v>
      </c>
      <c r="W23" s="107">
        <f t="shared" si="9"/>
        <v>0</v>
      </c>
      <c r="X23" s="107">
        <f t="shared" si="9"/>
        <v>0</v>
      </c>
      <c r="Y23" s="107">
        <f t="shared" si="10"/>
        <v>0.36363636329770088</v>
      </c>
      <c r="Z23" s="106">
        <f t="shared" si="11"/>
        <v>0</v>
      </c>
      <c r="AA23" s="106">
        <f t="shared" si="12"/>
        <v>0</v>
      </c>
      <c r="AB23" s="106">
        <f t="shared" si="13"/>
        <v>0</v>
      </c>
      <c r="AC23" s="106">
        <f t="shared" si="13"/>
        <v>0</v>
      </c>
      <c r="AD23" s="106">
        <f t="shared" si="14"/>
        <v>0</v>
      </c>
    </row>
    <row r="24" spans="1:30">
      <c r="A24" s="165">
        <v>1</v>
      </c>
      <c r="B24" s="164" t="s">
        <v>74</v>
      </c>
      <c r="C24" s="163"/>
      <c r="D24" s="162" t="s">
        <v>73</v>
      </c>
      <c r="E24" s="158">
        <f>+IF($A24="",IF($C24="",SUMIFS(全伝票!I:I,全伝票!$B:$B,$B24),SUMIFS(全伝票!I:I,全伝票!$C:$C,$C24)),IF($C24="",SUMIFS(全伝票!I:I,全伝票!$A:$A,$A24,全伝票!$B:$B,$B24),SUMIFS(全伝票!I:I,全伝票!$A:$A,$A24,全伝票!$C:$C,$C24)))</f>
        <v>3840</v>
      </c>
      <c r="F24" s="161">
        <f>+IF($A24="",IF($C24="",SUMIFS(全伝票!J:J,全伝票!$B:$B,$B24),SUMIFS(全伝票!J:J,全伝票!$C:$C,$C24)),IF($C24="",SUMIFS(全伝票!J:J,全伝票!$A:$A,$A24,全伝票!$B:$B,$B24),SUMIFS(全伝票!J:J,全伝票!$A:$A,$A24,全伝票!$C:$C,$C24)))</f>
        <v>0</v>
      </c>
      <c r="G24" s="160">
        <f>+IF($A24="",IF($C24="",SUMIFS(全伝票!K:K,全伝票!$B:$B,$B24),SUMIFS(全伝票!K:K,全伝票!$C:$C,$C24)),IF($C24="",SUMIFS(全伝票!K:K,全伝票!$A:$A,$A24,全伝票!$B:$B,$B24),SUMIFS(全伝票!K:K,全伝票!$A:$A,$A24,全伝票!$C:$C,$C24)))</f>
        <v>0</v>
      </c>
      <c r="H24" s="160">
        <f>+IF($A24="",IF($C24="",SUMIFS(全伝票!L:L,全伝票!$B:$B,$B24),SUMIFS(全伝票!L:L,全伝票!$C:$C,$C24)),IF($C24="",SUMIFS(全伝票!L:L,全伝票!$A:$A,$A24,全伝票!$B:$B,$B24),SUMIFS(全伝票!L:L,全伝票!$A:$A,$A24,全伝票!$C:$C,$C24)))</f>
        <v>0</v>
      </c>
      <c r="I24" s="159">
        <f>+IF($A24="",IF($C24="",SUMIFS(全伝票!M:M,全伝票!$B:$B,$B24),SUMIFS(全伝票!M:M,全伝票!$C:$C,$C24)),IF($C24="",SUMIFS(全伝票!M:M,全伝票!$A:$A,$A24,全伝票!$B:$B,$B24),SUMIFS(全伝票!M:M,全伝票!$A:$A,$A24,全伝票!$C:$C,$C24)))</f>
        <v>0</v>
      </c>
      <c r="J24" s="159">
        <f>+IF($A24="",IF($C24="",SUMIFS(全伝票!N:N,全伝票!$B:$B,$B24),SUMIFS(全伝票!N:N,全伝票!$C:$C,$C24)),IF($C24="",SUMIFS(全伝票!N:N,全伝票!$A:$A,$A24,全伝票!$B:$B,$B24),SUMIFS(全伝票!N:N,全伝票!$A:$A,$A24,全伝票!$C:$C,$C24)))</f>
        <v>0</v>
      </c>
      <c r="K24" s="34">
        <f t="shared" si="0"/>
        <v>0</v>
      </c>
      <c r="L24" s="158">
        <f>+IF($A24="",IF($C24="",SUMIFS(全伝票!O:O,全伝票!$B:$B,$B24),SUMIFS(全伝票!O:O,全伝票!$C:$C,$C24)),IF($C24="",SUMIFS(全伝票!O:O,全伝票!$A:$A,$A24,全伝票!$B:$B,$B24),SUMIFS(全伝票!O:O,全伝票!$A:$A,$A24,全伝票!$C:$C,$C24)))</f>
        <v>3840</v>
      </c>
      <c r="M24" s="158">
        <f>+IF($A24="",IF($C24="",SUMIFS(全伝票!P:P,全伝票!$B:$B,$B24),SUMIFS(全伝票!P:P,全伝票!$C:$C,$C24)),IF($C24="",SUMIFS(全伝票!P:P,全伝票!$A:$A,$A24,全伝票!$B:$B,$B24),SUMIFS(全伝票!P:P,全伝票!$A:$A,$A24,全伝票!$C:$C,$C24)))</f>
        <v>0</v>
      </c>
      <c r="N24" s="108">
        <f t="shared" si="1"/>
        <v>0</v>
      </c>
      <c r="O24" s="25">
        <f t="shared" si="3"/>
        <v>0</v>
      </c>
      <c r="P24" s="25">
        <f t="shared" si="2"/>
        <v>0</v>
      </c>
      <c r="Q24" s="157">
        <f t="shared" si="3"/>
        <v>0</v>
      </c>
      <c r="R24" s="157">
        <f t="shared" si="4"/>
        <v>0</v>
      </c>
      <c r="S24" s="22">
        <f t="shared" si="5"/>
        <v>0</v>
      </c>
      <c r="T24" s="109">
        <f t="shared" si="6"/>
        <v>3840</v>
      </c>
      <c r="U24" s="107">
        <f t="shared" si="7"/>
        <v>0</v>
      </c>
      <c r="V24" s="107">
        <f t="shared" si="8"/>
        <v>0</v>
      </c>
      <c r="W24" s="107">
        <f t="shared" si="9"/>
        <v>0</v>
      </c>
      <c r="X24" s="107">
        <f t="shared" si="9"/>
        <v>0</v>
      </c>
      <c r="Y24" s="107">
        <f t="shared" si="10"/>
        <v>0</v>
      </c>
      <c r="Z24" s="106">
        <f t="shared" si="11"/>
        <v>0</v>
      </c>
      <c r="AA24" s="106">
        <f t="shared" si="12"/>
        <v>0</v>
      </c>
      <c r="AB24" s="106">
        <f t="shared" si="13"/>
        <v>0</v>
      </c>
      <c r="AC24" s="106">
        <f t="shared" si="13"/>
        <v>0</v>
      </c>
      <c r="AD24" s="106">
        <f t="shared" si="14"/>
        <v>0</v>
      </c>
    </row>
    <row r="25" spans="1:30">
      <c r="A25" s="165">
        <v>1</v>
      </c>
      <c r="B25" s="164" t="s">
        <v>70</v>
      </c>
      <c r="C25" s="163" t="s">
        <v>72</v>
      </c>
      <c r="D25" s="162" t="s">
        <v>71</v>
      </c>
      <c r="E25" s="158">
        <f>+IF($A25="",IF($C25="",SUMIFS(全伝票!I:I,全伝票!$B:$B,$B25),SUMIFS(全伝票!I:I,全伝票!$C:$C,$C25)),IF($C25="",SUMIFS(全伝票!I:I,全伝票!$A:$A,$A25,全伝票!$B:$B,$B25),SUMIFS(全伝票!I:I,全伝票!$A:$A,$A25,全伝票!$C:$C,$C25)))</f>
        <v>1471468</v>
      </c>
      <c r="F25" s="161">
        <f>+IF($A25="",IF($C25="",SUMIFS(全伝票!J:J,全伝票!$B:$B,$B25),SUMIFS(全伝票!J:J,全伝票!$C:$C,$C25)),IF($C25="",SUMIFS(全伝票!J:J,全伝票!$A:$A,$A25,全伝票!$B:$B,$B25),SUMIFS(全伝票!J:J,全伝票!$A:$A,$A25,全伝票!$C:$C,$C25)))</f>
        <v>0</v>
      </c>
      <c r="G25" s="160">
        <f>+IF($A25="",IF($C25="",SUMIFS(全伝票!K:K,全伝票!$B:$B,$B25),SUMIFS(全伝票!K:K,全伝票!$C:$C,$C25)),IF($C25="",SUMIFS(全伝票!K:K,全伝票!$A:$A,$A25,全伝票!$B:$B,$B25),SUMIFS(全伝票!K:K,全伝票!$A:$A,$A25,全伝票!$C:$C,$C25)))</f>
        <v>0</v>
      </c>
      <c r="H25" s="160">
        <f>+IF($A25="",IF($C25="",SUMIFS(全伝票!L:L,全伝票!$B:$B,$B25),SUMIFS(全伝票!L:L,全伝票!$C:$C,$C25)),IF($C25="",SUMIFS(全伝票!L:L,全伝票!$A:$A,$A25,全伝票!$B:$B,$B25),SUMIFS(全伝票!L:L,全伝票!$A:$A,$A25,全伝票!$C:$C,$C25)))</f>
        <v>0</v>
      </c>
      <c r="I25" s="159">
        <f>+IF($A25="",IF($C25="",SUMIFS(全伝票!M:M,全伝票!$B:$B,$B25),SUMIFS(全伝票!M:M,全伝票!$C:$C,$C25)),IF($C25="",SUMIFS(全伝票!M:M,全伝票!$A:$A,$A25,全伝票!$B:$B,$B25),SUMIFS(全伝票!M:M,全伝票!$A:$A,$A25,全伝票!$C:$C,$C25)))</f>
        <v>0</v>
      </c>
      <c r="J25" s="159">
        <f>+IF($A25="",IF($C25="",SUMIFS(全伝票!N:N,全伝票!$B:$B,$B25),SUMIFS(全伝票!N:N,全伝票!$C:$C,$C25)),IF($C25="",SUMIFS(全伝票!N:N,全伝票!$A:$A,$A25,全伝票!$B:$B,$B25),SUMIFS(全伝票!N:N,全伝票!$A:$A,$A25,全伝票!$C:$C,$C25)))</f>
        <v>1471468</v>
      </c>
      <c r="K25" s="34">
        <f t="shared" si="0"/>
        <v>1471468</v>
      </c>
      <c r="L25" s="158">
        <f>+IF($A25="",IF($C25="",SUMIFS(全伝票!O:O,全伝票!$B:$B,$B25),SUMIFS(全伝票!O:O,全伝票!$C:$C,$C25)),IF($C25="",SUMIFS(全伝票!O:O,全伝票!$A:$A,$A25,全伝票!$B:$B,$B25),SUMIFS(全伝票!O:O,全伝票!$A:$A,$A25,全伝票!$C:$C,$C25)))</f>
        <v>0</v>
      </c>
      <c r="M25" s="158">
        <f>+IF($A25="",IF($C25="",SUMIFS(全伝票!P:P,全伝票!$B:$B,$B25),SUMIFS(全伝票!P:P,全伝票!$C:$C,$C25)),IF($C25="",SUMIFS(全伝票!P:P,全伝票!$A:$A,$A25,全伝票!$B:$B,$B25),SUMIFS(全伝票!P:P,全伝票!$A:$A,$A25,全伝票!$C:$C,$C25)))</f>
        <v>0</v>
      </c>
      <c r="N25" s="108">
        <f t="shared" si="1"/>
        <v>0</v>
      </c>
      <c r="O25" s="25">
        <f t="shared" si="3"/>
        <v>0</v>
      </c>
      <c r="P25" s="25">
        <f t="shared" si="2"/>
        <v>0</v>
      </c>
      <c r="Q25" s="157">
        <f t="shared" si="3"/>
        <v>0</v>
      </c>
      <c r="R25" s="157">
        <f t="shared" si="4"/>
        <v>133770</v>
      </c>
      <c r="S25" s="22">
        <f t="shared" si="5"/>
        <v>133770</v>
      </c>
      <c r="T25" s="109">
        <f t="shared" si="6"/>
        <v>1337698</v>
      </c>
      <c r="U25" s="107">
        <f t="shared" si="7"/>
        <v>0</v>
      </c>
      <c r="V25" s="107">
        <f t="shared" si="8"/>
        <v>0</v>
      </c>
      <c r="W25" s="107">
        <f t="shared" si="9"/>
        <v>0</v>
      </c>
      <c r="X25" s="107">
        <f t="shared" si="9"/>
        <v>0</v>
      </c>
      <c r="Y25" s="107">
        <f t="shared" si="10"/>
        <v>0.18181818182347342</v>
      </c>
      <c r="Z25" s="106">
        <f t="shared" si="11"/>
        <v>0</v>
      </c>
      <c r="AA25" s="106">
        <f t="shared" si="12"/>
        <v>0</v>
      </c>
      <c r="AB25" s="106">
        <f t="shared" si="13"/>
        <v>0</v>
      </c>
      <c r="AC25" s="106">
        <f t="shared" si="13"/>
        <v>0</v>
      </c>
      <c r="AD25" s="106">
        <f t="shared" si="14"/>
        <v>0</v>
      </c>
    </row>
    <row r="26" spans="1:30">
      <c r="A26" s="165">
        <v>1</v>
      </c>
      <c r="B26" s="164" t="s">
        <v>70</v>
      </c>
      <c r="C26" s="163" t="s">
        <v>69</v>
      </c>
      <c r="D26" s="162" t="s">
        <v>68</v>
      </c>
      <c r="E26" s="158">
        <f>+IF($A26="",IF($C26="",SUMIFS(全伝票!I:I,全伝票!$B:$B,$B26),SUMIFS(全伝票!I:I,全伝票!$C:$C,$C26)),IF($C26="",SUMIFS(全伝票!I:I,全伝票!$A:$A,$A26,全伝票!$B:$B,$B26),SUMIFS(全伝票!I:I,全伝票!$A:$A,$A26,全伝票!$C:$C,$C26)))</f>
        <v>0</v>
      </c>
      <c r="F26" s="161">
        <f>+IF($A26="",IF($C26="",SUMIFS(全伝票!J:J,全伝票!$B:$B,$B26),SUMIFS(全伝票!J:J,全伝票!$C:$C,$C26)),IF($C26="",SUMIFS(全伝票!J:J,全伝票!$A:$A,$A26,全伝票!$B:$B,$B26),SUMIFS(全伝票!J:J,全伝票!$A:$A,$A26,全伝票!$C:$C,$C26)))</f>
        <v>0</v>
      </c>
      <c r="G26" s="160">
        <f>+IF($A26="",IF($C26="",SUMIFS(全伝票!K:K,全伝票!$B:$B,$B26),SUMIFS(全伝票!K:K,全伝票!$C:$C,$C26)),IF($C26="",SUMIFS(全伝票!K:K,全伝票!$A:$A,$A26,全伝票!$B:$B,$B26),SUMIFS(全伝票!K:K,全伝票!$A:$A,$A26,全伝票!$C:$C,$C26)))</f>
        <v>0</v>
      </c>
      <c r="H26" s="160">
        <f>+IF($A26="",IF($C26="",SUMIFS(全伝票!L:L,全伝票!$B:$B,$B26),SUMIFS(全伝票!L:L,全伝票!$C:$C,$C26)),IF($C26="",SUMIFS(全伝票!L:L,全伝票!$A:$A,$A26,全伝票!$B:$B,$B26),SUMIFS(全伝票!L:L,全伝票!$A:$A,$A26,全伝票!$C:$C,$C26)))</f>
        <v>0</v>
      </c>
      <c r="I26" s="159">
        <f>+IF($A26="",IF($C26="",SUMIFS(全伝票!M:M,全伝票!$B:$B,$B26),SUMIFS(全伝票!M:M,全伝票!$C:$C,$C26)),IF($C26="",SUMIFS(全伝票!M:M,全伝票!$A:$A,$A26,全伝票!$B:$B,$B26),SUMIFS(全伝票!M:M,全伝票!$A:$A,$A26,全伝票!$C:$C,$C26)))</f>
        <v>0</v>
      </c>
      <c r="J26" s="159">
        <f>+IF($A26="",IF($C26="",SUMIFS(全伝票!N:N,全伝票!$B:$B,$B26),SUMIFS(全伝票!N:N,全伝票!$C:$C,$C26)),IF($C26="",SUMIFS(全伝票!N:N,全伝票!$A:$A,$A26,全伝票!$B:$B,$B26),SUMIFS(全伝票!N:N,全伝票!$A:$A,$A26,全伝票!$C:$C,$C26)))</f>
        <v>0</v>
      </c>
      <c r="K26" s="34">
        <f t="shared" si="0"/>
        <v>0</v>
      </c>
      <c r="L26" s="158">
        <f>+IF($A26="",IF($C26="",SUMIFS(全伝票!O:O,全伝票!$B:$B,$B26),SUMIFS(全伝票!O:O,全伝票!$C:$C,$C26)),IF($C26="",SUMIFS(全伝票!O:O,全伝票!$A:$A,$A26,全伝票!$B:$B,$B26),SUMIFS(全伝票!O:O,全伝票!$A:$A,$A26,全伝票!$C:$C,$C26)))</f>
        <v>0</v>
      </c>
      <c r="M26" s="158">
        <f>+IF($A26="",IF($C26="",SUMIFS(全伝票!P:P,全伝票!$B:$B,$B26),SUMIFS(全伝票!P:P,全伝票!$C:$C,$C26)),IF($C26="",SUMIFS(全伝票!P:P,全伝票!$A:$A,$A26,全伝票!$B:$B,$B26),SUMIFS(全伝票!P:P,全伝票!$A:$A,$A26,全伝票!$C:$C,$C26)))</f>
        <v>0</v>
      </c>
      <c r="N26" s="108">
        <f t="shared" si="1"/>
        <v>0</v>
      </c>
      <c r="O26" s="25">
        <f t="shared" si="3"/>
        <v>0</v>
      </c>
      <c r="P26" s="25">
        <f t="shared" si="2"/>
        <v>0</v>
      </c>
      <c r="Q26" s="157">
        <f t="shared" si="3"/>
        <v>0</v>
      </c>
      <c r="R26" s="157">
        <f t="shared" si="4"/>
        <v>0</v>
      </c>
      <c r="S26" s="22">
        <f t="shared" si="5"/>
        <v>0</v>
      </c>
      <c r="T26" s="109">
        <f t="shared" si="6"/>
        <v>0</v>
      </c>
      <c r="U26" s="107">
        <f t="shared" si="7"/>
        <v>0</v>
      </c>
      <c r="V26" s="107">
        <f t="shared" si="8"/>
        <v>0</v>
      </c>
      <c r="W26" s="107">
        <f t="shared" si="9"/>
        <v>0</v>
      </c>
      <c r="X26" s="107">
        <f t="shared" si="9"/>
        <v>0</v>
      </c>
      <c r="Y26" s="107">
        <f t="shared" si="10"/>
        <v>0</v>
      </c>
      <c r="Z26" s="106">
        <f t="shared" si="11"/>
        <v>0</v>
      </c>
      <c r="AA26" s="106">
        <f t="shared" si="12"/>
        <v>0</v>
      </c>
      <c r="AB26" s="106">
        <f t="shared" si="13"/>
        <v>0</v>
      </c>
      <c r="AC26" s="106">
        <f t="shared" si="13"/>
        <v>0</v>
      </c>
      <c r="AD26" s="106">
        <f t="shared" si="14"/>
        <v>0</v>
      </c>
    </row>
    <row r="27" spans="1:30">
      <c r="A27" s="165">
        <v>1</v>
      </c>
      <c r="B27" s="164" t="s">
        <v>67</v>
      </c>
      <c r="C27" s="163"/>
      <c r="D27" s="162" t="s">
        <v>66</v>
      </c>
      <c r="E27" s="158">
        <f>+IF($A27="",IF($C27="",SUMIFS(全伝票!I:I,全伝票!$B:$B,$B27),SUMIFS(全伝票!I:I,全伝票!$C:$C,$C27)),IF($C27="",SUMIFS(全伝票!I:I,全伝票!$A:$A,$A27,全伝票!$B:$B,$B27),SUMIFS(全伝票!I:I,全伝票!$A:$A,$A27,全伝票!$C:$C,$C27)))</f>
        <v>0</v>
      </c>
      <c r="F27" s="161">
        <f>+IF($A27="",IF($C27="",SUMIFS(全伝票!J:J,全伝票!$B:$B,$B27),SUMIFS(全伝票!J:J,全伝票!$C:$C,$C27)),IF($C27="",SUMIFS(全伝票!J:J,全伝票!$A:$A,$A27,全伝票!$B:$B,$B27),SUMIFS(全伝票!J:J,全伝票!$A:$A,$A27,全伝票!$C:$C,$C27)))</f>
        <v>0</v>
      </c>
      <c r="G27" s="160">
        <f>+IF($A27="",IF($C27="",SUMIFS(全伝票!K:K,全伝票!$B:$B,$B27),SUMIFS(全伝票!K:K,全伝票!$C:$C,$C27)),IF($C27="",SUMIFS(全伝票!K:K,全伝票!$A:$A,$A27,全伝票!$B:$B,$B27),SUMIFS(全伝票!K:K,全伝票!$A:$A,$A27,全伝票!$C:$C,$C27)))</f>
        <v>0</v>
      </c>
      <c r="H27" s="160">
        <f>+IF($A27="",IF($C27="",SUMIFS(全伝票!L:L,全伝票!$B:$B,$B27),SUMIFS(全伝票!L:L,全伝票!$C:$C,$C27)),IF($C27="",SUMIFS(全伝票!L:L,全伝票!$A:$A,$A27,全伝票!$B:$B,$B27),SUMIFS(全伝票!L:L,全伝票!$A:$A,$A27,全伝票!$C:$C,$C27)))</f>
        <v>0</v>
      </c>
      <c r="I27" s="159">
        <f>+IF($A27="",IF($C27="",SUMIFS(全伝票!M:M,全伝票!$B:$B,$B27),SUMIFS(全伝票!M:M,全伝票!$C:$C,$C27)),IF($C27="",SUMIFS(全伝票!M:M,全伝票!$A:$A,$A27,全伝票!$B:$B,$B27),SUMIFS(全伝票!M:M,全伝票!$A:$A,$A27,全伝票!$C:$C,$C27)))</f>
        <v>0</v>
      </c>
      <c r="J27" s="159">
        <f>+IF($A27="",IF($C27="",SUMIFS(全伝票!N:N,全伝票!$B:$B,$B27),SUMIFS(全伝票!N:N,全伝票!$C:$C,$C27)),IF($C27="",SUMIFS(全伝票!N:N,全伝票!$A:$A,$A27,全伝票!$B:$B,$B27),SUMIFS(全伝票!N:N,全伝票!$A:$A,$A27,全伝票!$C:$C,$C27)))</f>
        <v>0</v>
      </c>
      <c r="K27" s="34">
        <f t="shared" si="0"/>
        <v>0</v>
      </c>
      <c r="L27" s="158">
        <f>+IF($A27="",IF($C27="",SUMIFS(全伝票!O:O,全伝票!$B:$B,$B27),SUMIFS(全伝票!O:O,全伝票!$C:$C,$C27)),IF($C27="",SUMIFS(全伝票!O:O,全伝票!$A:$A,$A27,全伝票!$B:$B,$B27),SUMIFS(全伝票!O:O,全伝票!$A:$A,$A27,全伝票!$C:$C,$C27)))</f>
        <v>0</v>
      </c>
      <c r="M27" s="158">
        <f>+IF($A27="",IF($C27="",SUMIFS(全伝票!P:P,全伝票!$B:$B,$B27),SUMIFS(全伝票!P:P,全伝票!$C:$C,$C27)),IF($C27="",SUMIFS(全伝票!P:P,全伝票!$A:$A,$A27,全伝票!$B:$B,$B27),SUMIFS(全伝票!P:P,全伝票!$A:$A,$A27,全伝票!$C:$C,$C27)))</f>
        <v>0</v>
      </c>
      <c r="N27" s="108">
        <f t="shared" si="1"/>
        <v>0</v>
      </c>
      <c r="O27" s="25">
        <f t="shared" si="3"/>
        <v>0</v>
      </c>
      <c r="P27" s="25">
        <f t="shared" si="2"/>
        <v>0</v>
      </c>
      <c r="Q27" s="157">
        <f t="shared" si="3"/>
        <v>0</v>
      </c>
      <c r="R27" s="157">
        <f t="shared" si="4"/>
        <v>0</v>
      </c>
      <c r="S27" s="22">
        <f t="shared" si="5"/>
        <v>0</v>
      </c>
      <c r="T27" s="109">
        <f t="shared" si="6"/>
        <v>0</v>
      </c>
      <c r="U27" s="107">
        <f t="shared" si="7"/>
        <v>0</v>
      </c>
      <c r="V27" s="107">
        <f t="shared" si="8"/>
        <v>0</v>
      </c>
      <c r="W27" s="107">
        <f t="shared" si="9"/>
        <v>0</v>
      </c>
      <c r="X27" s="107">
        <f t="shared" si="9"/>
        <v>0</v>
      </c>
      <c r="Y27" s="107">
        <f t="shared" si="10"/>
        <v>0</v>
      </c>
      <c r="Z27" s="106">
        <f t="shared" si="11"/>
        <v>0</v>
      </c>
      <c r="AA27" s="106">
        <f t="shared" si="12"/>
        <v>0</v>
      </c>
      <c r="AB27" s="106">
        <f t="shared" si="13"/>
        <v>0</v>
      </c>
      <c r="AC27" s="106">
        <f t="shared" si="13"/>
        <v>0</v>
      </c>
      <c r="AD27" s="106">
        <f t="shared" si="14"/>
        <v>0</v>
      </c>
    </row>
    <row r="28" spans="1:30">
      <c r="A28" s="165">
        <v>1</v>
      </c>
      <c r="B28" s="164" t="s">
        <v>65</v>
      </c>
      <c r="C28" s="163"/>
      <c r="D28" s="162" t="s">
        <v>64</v>
      </c>
      <c r="E28" s="158">
        <f>+IF($A28="",IF($C28="",SUMIFS(全伝票!I:I,全伝票!$B:$B,$B28),SUMIFS(全伝票!I:I,全伝票!$C:$C,$C28)),IF($C28="",SUMIFS(全伝票!I:I,全伝票!$A:$A,$A28,全伝票!$B:$B,$B28),SUMIFS(全伝票!I:I,全伝票!$A:$A,$A28,全伝票!$C:$C,$C28)))</f>
        <v>693759</v>
      </c>
      <c r="F28" s="161">
        <f>+IF($A28="",IF($C28="",SUMIFS(全伝票!J:J,全伝票!$B:$B,$B28),SUMIFS(全伝票!J:J,全伝票!$C:$C,$C28)),IF($C28="",SUMIFS(全伝票!J:J,全伝票!$A:$A,$A28,全伝票!$B:$B,$B28),SUMIFS(全伝票!J:J,全伝票!$A:$A,$A28,全伝票!$C:$C,$C28)))</f>
        <v>0</v>
      </c>
      <c r="G28" s="160">
        <f>+IF($A28="",IF($C28="",SUMIFS(全伝票!K:K,全伝票!$B:$B,$B28),SUMIFS(全伝票!K:K,全伝票!$C:$C,$C28)),IF($C28="",SUMIFS(全伝票!K:K,全伝票!$A:$A,$A28,全伝票!$B:$B,$B28),SUMIFS(全伝票!K:K,全伝票!$A:$A,$A28,全伝票!$C:$C,$C28)))</f>
        <v>0</v>
      </c>
      <c r="H28" s="160">
        <f>+IF($A28="",IF($C28="",SUMIFS(全伝票!L:L,全伝票!$B:$B,$B28),SUMIFS(全伝票!L:L,全伝票!$C:$C,$C28)),IF($C28="",SUMIFS(全伝票!L:L,全伝票!$A:$A,$A28,全伝票!$B:$B,$B28),SUMIFS(全伝票!L:L,全伝票!$A:$A,$A28,全伝票!$C:$C,$C28)))</f>
        <v>0</v>
      </c>
      <c r="I28" s="159">
        <f>+IF($A28="",IF($C28="",SUMIFS(全伝票!M:M,全伝票!$B:$B,$B28),SUMIFS(全伝票!M:M,全伝票!$C:$C,$C28)),IF($C28="",SUMIFS(全伝票!M:M,全伝票!$A:$A,$A28,全伝票!$B:$B,$B28),SUMIFS(全伝票!M:M,全伝票!$A:$A,$A28,全伝票!$C:$C,$C28)))</f>
        <v>0</v>
      </c>
      <c r="J28" s="159">
        <f>+IF($A28="",IF($C28="",SUMIFS(全伝票!N:N,全伝票!$B:$B,$B28),SUMIFS(全伝票!N:N,全伝票!$C:$C,$C28)),IF($C28="",SUMIFS(全伝票!N:N,全伝票!$A:$A,$A28,全伝票!$B:$B,$B28),SUMIFS(全伝票!N:N,全伝票!$A:$A,$A28,全伝票!$C:$C,$C28)))</f>
        <v>0</v>
      </c>
      <c r="K28" s="34">
        <f t="shared" si="0"/>
        <v>0</v>
      </c>
      <c r="L28" s="158">
        <f>+IF($A28="",IF($C28="",SUMIFS(全伝票!O:O,全伝票!$B:$B,$B28),SUMIFS(全伝票!O:O,全伝票!$C:$C,$C28)),IF($C28="",SUMIFS(全伝票!O:O,全伝票!$A:$A,$A28,全伝票!$B:$B,$B28),SUMIFS(全伝票!O:O,全伝票!$A:$A,$A28,全伝票!$C:$C,$C28)))</f>
        <v>0</v>
      </c>
      <c r="M28" s="158">
        <f>+IF($A28="",IF($C28="",SUMIFS(全伝票!P:P,全伝票!$B:$B,$B28),SUMIFS(全伝票!P:P,全伝票!$C:$C,$C28)),IF($C28="",SUMIFS(全伝票!P:P,全伝票!$A:$A,$A28,全伝票!$B:$B,$B28),SUMIFS(全伝票!P:P,全伝票!$A:$A,$A28,全伝票!$C:$C,$C28)))</f>
        <v>693759</v>
      </c>
      <c r="N28" s="108">
        <f t="shared" si="1"/>
        <v>0</v>
      </c>
      <c r="O28" s="25">
        <f t="shared" si="3"/>
        <v>0</v>
      </c>
      <c r="P28" s="25">
        <f t="shared" si="2"/>
        <v>0</v>
      </c>
      <c r="Q28" s="157">
        <f t="shared" si="3"/>
        <v>0</v>
      </c>
      <c r="R28" s="157">
        <f t="shared" si="4"/>
        <v>0</v>
      </c>
      <c r="S28" s="22">
        <f t="shared" si="5"/>
        <v>0</v>
      </c>
      <c r="T28" s="109">
        <f t="shared" si="6"/>
        <v>693759</v>
      </c>
      <c r="U28" s="107">
        <f t="shared" si="7"/>
        <v>0</v>
      </c>
      <c r="V28" s="107">
        <f t="shared" si="8"/>
        <v>0</v>
      </c>
      <c r="W28" s="107">
        <f t="shared" si="9"/>
        <v>0</v>
      </c>
      <c r="X28" s="107">
        <f t="shared" si="9"/>
        <v>0</v>
      </c>
      <c r="Y28" s="107">
        <f t="shared" si="10"/>
        <v>0</v>
      </c>
      <c r="Z28" s="106">
        <f t="shared" si="11"/>
        <v>0</v>
      </c>
      <c r="AA28" s="106">
        <f t="shared" si="12"/>
        <v>0</v>
      </c>
      <c r="AB28" s="106">
        <f t="shared" si="13"/>
        <v>0</v>
      </c>
      <c r="AC28" s="106">
        <f t="shared" si="13"/>
        <v>0</v>
      </c>
      <c r="AD28" s="106">
        <f t="shared" si="14"/>
        <v>0</v>
      </c>
    </row>
    <row r="29" spans="1:30">
      <c r="A29" s="165">
        <v>1</v>
      </c>
      <c r="B29" s="164" t="s">
        <v>63</v>
      </c>
      <c r="C29" s="163"/>
      <c r="D29" s="162" t="s">
        <v>62</v>
      </c>
      <c r="E29" s="158">
        <f>+IF($A29="",IF($C29="",SUMIFS(全伝票!I:I,全伝票!$B:$B,$B29),SUMIFS(全伝票!I:I,全伝票!$C:$C,$C29)),IF($C29="",SUMIFS(全伝票!I:I,全伝票!$A:$A,$A29,全伝票!$B:$B,$B29),SUMIFS(全伝票!I:I,全伝票!$A:$A,$A29,全伝票!$C:$C,$C29)))</f>
        <v>34481445</v>
      </c>
      <c r="F29" s="161">
        <f>+IF($A29="",IF($C29="",SUMIFS(全伝票!J:J,全伝票!$B:$B,$B29),SUMIFS(全伝票!J:J,全伝票!$C:$C,$C29)),IF($C29="",SUMIFS(全伝票!J:J,全伝票!$A:$A,$A29,全伝票!$B:$B,$B29),SUMIFS(全伝票!J:J,全伝票!$A:$A,$A29,全伝票!$C:$C,$C29)))</f>
        <v>0</v>
      </c>
      <c r="G29" s="160">
        <f>+IF($A29="",IF($C29="",SUMIFS(全伝票!K:K,全伝票!$B:$B,$B29),SUMIFS(全伝票!K:K,全伝票!$C:$C,$C29)),IF($C29="",SUMIFS(全伝票!K:K,全伝票!$A:$A,$A29,全伝票!$B:$B,$B29),SUMIFS(全伝票!K:K,全伝票!$A:$A,$A29,全伝票!$C:$C,$C29)))</f>
        <v>0</v>
      </c>
      <c r="H29" s="160">
        <f>+IF($A29="",IF($C29="",SUMIFS(全伝票!L:L,全伝票!$B:$B,$B29),SUMIFS(全伝票!L:L,全伝票!$C:$C,$C29)),IF($C29="",SUMIFS(全伝票!L:L,全伝票!$A:$A,$A29,全伝票!$B:$B,$B29),SUMIFS(全伝票!L:L,全伝票!$A:$A,$A29,全伝票!$C:$C,$C29)))</f>
        <v>0</v>
      </c>
      <c r="I29" s="159">
        <f>+IF($A29="",IF($C29="",SUMIFS(全伝票!M:M,全伝票!$B:$B,$B29),SUMIFS(全伝票!M:M,全伝票!$C:$C,$C29)),IF($C29="",SUMIFS(全伝票!M:M,全伝票!$A:$A,$A29,全伝票!$B:$B,$B29),SUMIFS(全伝票!M:M,全伝票!$A:$A,$A29,全伝票!$C:$C,$C29)))</f>
        <v>0</v>
      </c>
      <c r="J29" s="159">
        <f>+IF($A29="",IF($C29="",SUMIFS(全伝票!N:N,全伝票!$B:$B,$B29),SUMIFS(全伝票!N:N,全伝票!$C:$C,$C29)),IF($C29="",SUMIFS(全伝票!N:N,全伝票!$A:$A,$A29,全伝票!$B:$B,$B29),SUMIFS(全伝票!N:N,全伝票!$A:$A,$A29,全伝票!$C:$C,$C29)))</f>
        <v>33599086</v>
      </c>
      <c r="K29" s="34">
        <f t="shared" si="0"/>
        <v>33599086</v>
      </c>
      <c r="L29" s="158">
        <f>+IF($A29="",IF($C29="",SUMIFS(全伝票!O:O,全伝票!$B:$B,$B29),SUMIFS(全伝票!O:O,全伝票!$C:$C,$C29)),IF($C29="",SUMIFS(全伝票!O:O,全伝票!$A:$A,$A29,全伝票!$B:$B,$B29),SUMIFS(全伝票!O:O,全伝票!$A:$A,$A29,全伝票!$C:$C,$C29)))</f>
        <v>882359</v>
      </c>
      <c r="M29" s="158">
        <f>+IF($A29="",IF($C29="",SUMIFS(全伝票!P:P,全伝票!$B:$B,$B29),SUMIFS(全伝票!P:P,全伝票!$C:$C,$C29)),IF($C29="",SUMIFS(全伝票!P:P,全伝票!$A:$A,$A29,全伝票!$B:$B,$B29),SUMIFS(全伝票!P:P,全伝票!$A:$A,$A29,全伝票!$C:$C,$C29)))</f>
        <v>0</v>
      </c>
      <c r="N29" s="108">
        <f t="shared" si="1"/>
        <v>0</v>
      </c>
      <c r="O29" s="25">
        <f t="shared" si="3"/>
        <v>0</v>
      </c>
      <c r="P29" s="25">
        <f t="shared" si="2"/>
        <v>0</v>
      </c>
      <c r="Q29" s="157">
        <f t="shared" si="3"/>
        <v>0</v>
      </c>
      <c r="R29" s="157">
        <f t="shared" si="4"/>
        <v>3054462</v>
      </c>
      <c r="S29" s="22">
        <f t="shared" si="5"/>
        <v>3054462</v>
      </c>
      <c r="T29" s="109">
        <f t="shared" si="6"/>
        <v>31426983</v>
      </c>
      <c r="U29" s="107">
        <f t="shared" si="7"/>
        <v>0</v>
      </c>
      <c r="V29" s="107">
        <f t="shared" si="8"/>
        <v>0</v>
      </c>
      <c r="W29" s="107">
        <f t="shared" si="9"/>
        <v>0</v>
      </c>
      <c r="X29" s="107">
        <f t="shared" si="9"/>
        <v>0</v>
      </c>
      <c r="Y29" s="107">
        <f t="shared" si="10"/>
        <v>-0.36363636376336217</v>
      </c>
      <c r="Z29" s="106">
        <f t="shared" si="11"/>
        <v>0</v>
      </c>
      <c r="AA29" s="106">
        <f t="shared" si="12"/>
        <v>0</v>
      </c>
      <c r="AB29" s="106">
        <f t="shared" si="13"/>
        <v>0</v>
      </c>
      <c r="AC29" s="106">
        <f t="shared" si="13"/>
        <v>0</v>
      </c>
      <c r="AD29" s="106">
        <f t="shared" si="14"/>
        <v>0</v>
      </c>
    </row>
    <row r="30" spans="1:30">
      <c r="A30" s="165">
        <v>1</v>
      </c>
      <c r="B30" s="164" t="s">
        <v>61</v>
      </c>
      <c r="C30" s="163"/>
      <c r="D30" s="162" t="s">
        <v>60</v>
      </c>
      <c r="E30" s="158">
        <f>+IF($A30="",IF($C30="",SUMIFS(全伝票!I:I,全伝票!$B:$B,$B30),SUMIFS(全伝票!I:I,全伝票!$C:$C,$C30)),IF($C30="",SUMIFS(全伝票!I:I,全伝票!$A:$A,$A30,全伝票!$B:$B,$B30),SUMIFS(全伝票!I:I,全伝票!$A:$A,$A30,全伝票!$C:$C,$C30)))</f>
        <v>0</v>
      </c>
      <c r="F30" s="161">
        <f>+IF($A30="",IF($C30="",SUMIFS(全伝票!J:J,全伝票!$B:$B,$B30),SUMIFS(全伝票!J:J,全伝票!$C:$C,$C30)),IF($C30="",SUMIFS(全伝票!J:J,全伝票!$A:$A,$A30,全伝票!$B:$B,$B30),SUMIFS(全伝票!J:J,全伝票!$A:$A,$A30,全伝票!$C:$C,$C30)))</f>
        <v>0</v>
      </c>
      <c r="G30" s="160">
        <f>+IF($A30="",IF($C30="",SUMIFS(全伝票!K:K,全伝票!$B:$B,$B30),SUMIFS(全伝票!K:K,全伝票!$C:$C,$C30)),IF($C30="",SUMIFS(全伝票!K:K,全伝票!$A:$A,$A30,全伝票!$B:$B,$B30),SUMIFS(全伝票!K:K,全伝票!$A:$A,$A30,全伝票!$C:$C,$C30)))</f>
        <v>0</v>
      </c>
      <c r="H30" s="160">
        <f>+IF($A30="",IF($C30="",SUMIFS(全伝票!L:L,全伝票!$B:$B,$B30),SUMIFS(全伝票!L:L,全伝票!$C:$C,$C30)),IF($C30="",SUMIFS(全伝票!L:L,全伝票!$A:$A,$A30,全伝票!$B:$B,$B30),SUMIFS(全伝票!L:L,全伝票!$A:$A,$A30,全伝票!$C:$C,$C30)))</f>
        <v>0</v>
      </c>
      <c r="I30" s="159">
        <f>+IF($A30="",IF($C30="",SUMIFS(全伝票!M:M,全伝票!$B:$B,$B30),SUMIFS(全伝票!M:M,全伝票!$C:$C,$C30)),IF($C30="",SUMIFS(全伝票!M:M,全伝票!$A:$A,$A30,全伝票!$B:$B,$B30),SUMIFS(全伝票!M:M,全伝票!$A:$A,$A30,全伝票!$C:$C,$C30)))</f>
        <v>0</v>
      </c>
      <c r="J30" s="159">
        <f>+IF($A30="",IF($C30="",SUMIFS(全伝票!N:N,全伝票!$B:$B,$B30),SUMIFS(全伝票!N:N,全伝票!$C:$C,$C30)),IF($C30="",SUMIFS(全伝票!N:N,全伝票!$A:$A,$A30,全伝票!$B:$B,$B30),SUMIFS(全伝票!N:N,全伝票!$A:$A,$A30,全伝票!$C:$C,$C30)))</f>
        <v>0</v>
      </c>
      <c r="K30" s="34">
        <f t="shared" si="0"/>
        <v>0</v>
      </c>
      <c r="L30" s="158">
        <f>+IF($A30="",IF($C30="",SUMIFS(全伝票!O:O,全伝票!$B:$B,$B30),SUMIFS(全伝票!O:O,全伝票!$C:$C,$C30)),IF($C30="",SUMIFS(全伝票!O:O,全伝票!$A:$A,$A30,全伝票!$B:$B,$B30),SUMIFS(全伝票!O:O,全伝票!$A:$A,$A30,全伝票!$C:$C,$C30)))</f>
        <v>0</v>
      </c>
      <c r="M30" s="158">
        <f>+IF($A30="",IF($C30="",SUMIFS(全伝票!P:P,全伝票!$B:$B,$B30),SUMIFS(全伝票!P:P,全伝票!$C:$C,$C30)),IF($C30="",SUMIFS(全伝票!P:P,全伝票!$A:$A,$A30,全伝票!$B:$B,$B30),SUMIFS(全伝票!P:P,全伝票!$A:$A,$A30,全伝票!$C:$C,$C30)))</f>
        <v>0</v>
      </c>
      <c r="N30" s="108">
        <f t="shared" si="1"/>
        <v>0</v>
      </c>
      <c r="O30" s="25">
        <f t="shared" si="3"/>
        <v>0</v>
      </c>
      <c r="P30" s="25">
        <f t="shared" si="2"/>
        <v>0</v>
      </c>
      <c r="Q30" s="157">
        <f t="shared" si="3"/>
        <v>0</v>
      </c>
      <c r="R30" s="157">
        <f t="shared" si="4"/>
        <v>0</v>
      </c>
      <c r="S30" s="22">
        <f t="shared" si="5"/>
        <v>0</v>
      </c>
      <c r="T30" s="109">
        <f t="shared" si="6"/>
        <v>0</v>
      </c>
      <c r="U30" s="107">
        <f t="shared" si="7"/>
        <v>0</v>
      </c>
      <c r="V30" s="107">
        <f t="shared" si="8"/>
        <v>0</v>
      </c>
      <c r="W30" s="107">
        <f t="shared" si="9"/>
        <v>0</v>
      </c>
      <c r="X30" s="107">
        <f t="shared" si="9"/>
        <v>0</v>
      </c>
      <c r="Y30" s="107">
        <f t="shared" si="10"/>
        <v>0</v>
      </c>
      <c r="Z30" s="106">
        <f t="shared" si="11"/>
        <v>0</v>
      </c>
      <c r="AA30" s="106">
        <f t="shared" si="12"/>
        <v>0</v>
      </c>
      <c r="AB30" s="106">
        <f t="shared" si="13"/>
        <v>0</v>
      </c>
      <c r="AC30" s="106">
        <f t="shared" si="13"/>
        <v>0</v>
      </c>
      <c r="AD30" s="106">
        <f t="shared" si="14"/>
        <v>0</v>
      </c>
    </row>
    <row r="31" spans="1:30">
      <c r="A31" s="165">
        <v>1</v>
      </c>
      <c r="B31" s="164" t="s">
        <v>59</v>
      </c>
      <c r="C31" s="163"/>
      <c r="D31" s="162" t="s">
        <v>58</v>
      </c>
      <c r="E31" s="158">
        <f>+IF($A31="",IF($C31="",SUMIFS(全伝票!I:I,全伝票!$B:$B,$B31),SUMIFS(全伝票!I:I,全伝票!$C:$C,$C31)),IF($C31="",SUMIFS(全伝票!I:I,全伝票!$A:$A,$A31,全伝票!$B:$B,$B31),SUMIFS(全伝票!I:I,全伝票!$A:$A,$A31,全伝票!$C:$C,$C31)))</f>
        <v>134822</v>
      </c>
      <c r="F31" s="161">
        <f>+IF($A31="",IF($C31="",SUMIFS(全伝票!J:J,全伝票!$B:$B,$B31),SUMIFS(全伝票!J:J,全伝票!$C:$C,$C31)),IF($C31="",SUMIFS(全伝票!J:J,全伝票!$A:$A,$A31,全伝票!$B:$B,$B31),SUMIFS(全伝票!J:J,全伝票!$A:$A,$A31,全伝票!$C:$C,$C31)))</f>
        <v>0</v>
      </c>
      <c r="G31" s="160">
        <f>+IF($A31="",IF($C31="",SUMIFS(全伝票!K:K,全伝票!$B:$B,$B31),SUMIFS(全伝票!K:K,全伝票!$C:$C,$C31)),IF($C31="",SUMIFS(全伝票!K:K,全伝票!$A:$A,$A31,全伝票!$B:$B,$B31),SUMIFS(全伝票!K:K,全伝票!$A:$A,$A31,全伝票!$C:$C,$C31)))</f>
        <v>0</v>
      </c>
      <c r="H31" s="160">
        <f>+IF($A31="",IF($C31="",SUMIFS(全伝票!L:L,全伝票!$B:$B,$B31),SUMIFS(全伝票!L:L,全伝票!$C:$C,$C31)),IF($C31="",SUMIFS(全伝票!L:L,全伝票!$A:$A,$A31,全伝票!$B:$B,$B31),SUMIFS(全伝票!L:L,全伝票!$A:$A,$A31,全伝票!$C:$C,$C31)))</f>
        <v>0</v>
      </c>
      <c r="I31" s="159">
        <f>+IF($A31="",IF($C31="",SUMIFS(全伝票!M:M,全伝票!$B:$B,$B31),SUMIFS(全伝票!M:M,全伝票!$C:$C,$C31)),IF($C31="",SUMIFS(全伝票!M:M,全伝票!$A:$A,$A31,全伝票!$B:$B,$B31),SUMIFS(全伝票!M:M,全伝票!$A:$A,$A31,全伝票!$C:$C,$C31)))</f>
        <v>0</v>
      </c>
      <c r="J31" s="159">
        <f>+IF($A31="",IF($C31="",SUMIFS(全伝票!N:N,全伝票!$B:$B,$B31),SUMIFS(全伝票!N:N,全伝票!$C:$C,$C31)),IF($C31="",SUMIFS(全伝票!N:N,全伝票!$A:$A,$A31,全伝票!$B:$B,$B31),SUMIFS(全伝票!N:N,全伝票!$A:$A,$A31,全伝票!$C:$C,$C31)))</f>
        <v>0</v>
      </c>
      <c r="K31" s="34">
        <f t="shared" si="0"/>
        <v>0</v>
      </c>
      <c r="L31" s="158">
        <f>+IF($A31="",IF($C31="",SUMIFS(全伝票!O:O,全伝票!$B:$B,$B31),SUMIFS(全伝票!O:O,全伝票!$C:$C,$C31)),IF($C31="",SUMIFS(全伝票!O:O,全伝票!$A:$A,$A31,全伝票!$B:$B,$B31),SUMIFS(全伝票!O:O,全伝票!$A:$A,$A31,全伝票!$C:$C,$C31)))</f>
        <v>134822</v>
      </c>
      <c r="M31" s="158">
        <f>+IF($A31="",IF($C31="",SUMIFS(全伝票!P:P,全伝票!$B:$B,$B31),SUMIFS(全伝票!P:P,全伝票!$C:$C,$C31)),IF($C31="",SUMIFS(全伝票!P:P,全伝票!$A:$A,$A31,全伝票!$B:$B,$B31),SUMIFS(全伝票!P:P,全伝票!$A:$A,$A31,全伝票!$C:$C,$C31)))</f>
        <v>0</v>
      </c>
      <c r="N31" s="108">
        <f t="shared" si="1"/>
        <v>0</v>
      </c>
      <c r="O31" s="25">
        <f t="shared" si="3"/>
        <v>0</v>
      </c>
      <c r="P31" s="25">
        <f t="shared" si="2"/>
        <v>0</v>
      </c>
      <c r="Q31" s="157">
        <f t="shared" si="3"/>
        <v>0</v>
      </c>
      <c r="R31" s="157">
        <f t="shared" si="4"/>
        <v>0</v>
      </c>
      <c r="S31" s="22">
        <f t="shared" si="5"/>
        <v>0</v>
      </c>
      <c r="T31" s="109">
        <f t="shared" si="6"/>
        <v>134822</v>
      </c>
      <c r="U31" s="107">
        <f t="shared" si="7"/>
        <v>0</v>
      </c>
      <c r="V31" s="107">
        <f t="shared" si="8"/>
        <v>0</v>
      </c>
      <c r="W31" s="107">
        <f t="shared" si="9"/>
        <v>0</v>
      </c>
      <c r="X31" s="107">
        <f t="shared" si="9"/>
        <v>0</v>
      </c>
      <c r="Y31" s="107">
        <f t="shared" si="10"/>
        <v>0</v>
      </c>
      <c r="Z31" s="106">
        <f t="shared" si="11"/>
        <v>0</v>
      </c>
      <c r="AA31" s="106">
        <f t="shared" si="12"/>
        <v>0</v>
      </c>
      <c r="AB31" s="106">
        <f t="shared" si="13"/>
        <v>0</v>
      </c>
      <c r="AC31" s="106">
        <f t="shared" si="13"/>
        <v>0</v>
      </c>
      <c r="AD31" s="106">
        <f t="shared" si="14"/>
        <v>0</v>
      </c>
    </row>
    <row r="32" spans="1:30">
      <c r="A32" s="165">
        <v>1</v>
      </c>
      <c r="B32" s="164" t="s">
        <v>57</v>
      </c>
      <c r="C32" s="163"/>
      <c r="D32" s="162" t="s">
        <v>56</v>
      </c>
      <c r="E32" s="158">
        <f>+IF($A32="",IF($C32="",SUMIFS(全伝票!I:I,全伝票!$B:$B,$B32),SUMIFS(全伝票!I:I,全伝票!$C:$C,$C32)),IF($C32="",SUMIFS(全伝票!I:I,全伝票!$A:$A,$A32,全伝票!$B:$B,$B32),SUMIFS(全伝票!I:I,全伝票!$A:$A,$A32,全伝票!$C:$C,$C32)))</f>
        <v>24800</v>
      </c>
      <c r="F32" s="161">
        <f>+IF($A32="",IF($C32="",SUMIFS(全伝票!J:J,全伝票!$B:$B,$B32),SUMIFS(全伝票!J:J,全伝票!$C:$C,$C32)),IF($C32="",SUMIFS(全伝票!J:J,全伝票!$A:$A,$A32,全伝票!$B:$B,$B32),SUMIFS(全伝票!J:J,全伝票!$A:$A,$A32,全伝票!$C:$C,$C32)))</f>
        <v>0</v>
      </c>
      <c r="G32" s="160">
        <f>+IF($A32="",IF($C32="",SUMIFS(全伝票!K:K,全伝票!$B:$B,$B32),SUMIFS(全伝票!K:K,全伝票!$C:$C,$C32)),IF($C32="",SUMIFS(全伝票!K:K,全伝票!$A:$A,$A32,全伝票!$B:$B,$B32),SUMIFS(全伝票!K:K,全伝票!$A:$A,$A32,全伝票!$C:$C,$C32)))</f>
        <v>0</v>
      </c>
      <c r="H32" s="160">
        <f>+IF($A32="",IF($C32="",SUMIFS(全伝票!L:L,全伝票!$B:$B,$B32),SUMIFS(全伝票!L:L,全伝票!$C:$C,$C32)),IF($C32="",SUMIFS(全伝票!L:L,全伝票!$A:$A,$A32,全伝票!$B:$B,$B32),SUMIFS(全伝票!L:L,全伝票!$A:$A,$A32,全伝票!$C:$C,$C32)))</f>
        <v>0</v>
      </c>
      <c r="I32" s="159">
        <f>+IF($A32="",IF($C32="",SUMIFS(全伝票!M:M,全伝票!$B:$B,$B32),SUMIFS(全伝票!M:M,全伝票!$C:$C,$C32)),IF($C32="",SUMIFS(全伝票!M:M,全伝票!$A:$A,$A32,全伝票!$B:$B,$B32),SUMIFS(全伝票!M:M,全伝票!$A:$A,$A32,全伝票!$C:$C,$C32)))</f>
        <v>0</v>
      </c>
      <c r="J32" s="159">
        <f>+IF($A32="",IF($C32="",SUMIFS(全伝票!N:N,全伝票!$B:$B,$B32),SUMIFS(全伝票!N:N,全伝票!$C:$C,$C32)),IF($C32="",SUMIFS(全伝票!N:N,全伝票!$A:$A,$A32,全伝票!$B:$B,$B32),SUMIFS(全伝票!N:N,全伝票!$A:$A,$A32,全伝票!$C:$C,$C32)))</f>
        <v>0</v>
      </c>
      <c r="K32" s="34">
        <f t="shared" si="0"/>
        <v>0</v>
      </c>
      <c r="L32" s="158">
        <f>+IF($A32="",IF($C32="",SUMIFS(全伝票!O:O,全伝票!$B:$B,$B32),SUMIFS(全伝票!O:O,全伝票!$C:$C,$C32)),IF($C32="",SUMIFS(全伝票!O:O,全伝票!$A:$A,$A32,全伝票!$B:$B,$B32),SUMIFS(全伝票!O:O,全伝票!$A:$A,$A32,全伝票!$C:$C,$C32)))</f>
        <v>0</v>
      </c>
      <c r="M32" s="158">
        <f>+IF($A32="",IF($C32="",SUMIFS(全伝票!P:P,全伝票!$B:$B,$B32),SUMIFS(全伝票!P:P,全伝票!$C:$C,$C32)),IF($C32="",SUMIFS(全伝票!P:P,全伝票!$A:$A,$A32,全伝票!$B:$B,$B32),SUMIFS(全伝票!P:P,全伝票!$A:$A,$A32,全伝票!$C:$C,$C32)))</f>
        <v>24800</v>
      </c>
      <c r="N32" s="108">
        <f t="shared" si="1"/>
        <v>0</v>
      </c>
      <c r="O32" s="25">
        <f t="shared" si="3"/>
        <v>0</v>
      </c>
      <c r="P32" s="25">
        <f t="shared" si="2"/>
        <v>0</v>
      </c>
      <c r="Q32" s="157">
        <f t="shared" si="3"/>
        <v>0</v>
      </c>
      <c r="R32" s="157">
        <f t="shared" si="4"/>
        <v>0</v>
      </c>
      <c r="S32" s="22">
        <f t="shared" si="5"/>
        <v>0</v>
      </c>
      <c r="T32" s="109">
        <f t="shared" si="6"/>
        <v>24800</v>
      </c>
      <c r="U32" s="107">
        <f t="shared" si="7"/>
        <v>0</v>
      </c>
      <c r="V32" s="107">
        <f t="shared" si="8"/>
        <v>0</v>
      </c>
      <c r="W32" s="107">
        <f t="shared" si="9"/>
        <v>0</v>
      </c>
      <c r="X32" s="107">
        <f t="shared" si="9"/>
        <v>0</v>
      </c>
      <c r="Y32" s="107">
        <f t="shared" si="10"/>
        <v>0</v>
      </c>
      <c r="Z32" s="106">
        <f t="shared" si="11"/>
        <v>0</v>
      </c>
      <c r="AA32" s="106">
        <f t="shared" si="12"/>
        <v>0</v>
      </c>
      <c r="AB32" s="106">
        <f t="shared" si="13"/>
        <v>0</v>
      </c>
      <c r="AC32" s="106">
        <f t="shared" si="13"/>
        <v>0</v>
      </c>
      <c r="AD32" s="106">
        <f t="shared" si="14"/>
        <v>0</v>
      </c>
    </row>
    <row r="33" spans="1:30">
      <c r="A33" s="165">
        <v>1</v>
      </c>
      <c r="B33" s="164" t="s">
        <v>97</v>
      </c>
      <c r="C33" s="163">
        <v>883021003</v>
      </c>
      <c r="D33" s="162" t="s">
        <v>608</v>
      </c>
      <c r="E33" s="158">
        <f>+IF($A33="",IF($C33="",SUMIFS(全伝票!I:I,全伝票!$B:$B,$B33),SUMIFS(全伝票!I:I,全伝票!$C:$C,$C33)),IF($C33="",SUMIFS(全伝票!I:I,全伝票!$A:$A,$A33,全伝票!$B:$B,$B33),SUMIFS(全伝票!I:I,全伝票!$A:$A,$A33,全伝票!$C:$C,$C33)))</f>
        <v>0</v>
      </c>
      <c r="F33" s="161">
        <f>+IF($A33="",IF($C33="",SUMIFS(全伝票!J:J,全伝票!$B:$B,$B33),SUMIFS(全伝票!J:J,全伝票!$C:$C,$C33)),IF($C33="",SUMIFS(全伝票!J:J,全伝票!$A:$A,$A33,全伝票!$B:$B,$B33),SUMIFS(全伝票!J:J,全伝票!$A:$A,$A33,全伝票!$C:$C,$C33)))</f>
        <v>0</v>
      </c>
      <c r="G33" s="160">
        <f>+IF($A33="",IF($C33="",SUMIFS(全伝票!K:K,全伝票!$B:$B,$B33),SUMIFS(全伝票!K:K,全伝票!$C:$C,$C33)),IF($C33="",SUMIFS(全伝票!K:K,全伝票!$A:$A,$A33,全伝票!$B:$B,$B33),SUMIFS(全伝票!K:K,全伝票!$A:$A,$A33,全伝票!$C:$C,$C33)))</f>
        <v>0</v>
      </c>
      <c r="H33" s="160">
        <f>+IF($A33="",IF($C33="",SUMIFS(全伝票!L:L,全伝票!$B:$B,$B33),SUMIFS(全伝票!L:L,全伝票!$C:$C,$C33)),IF($C33="",SUMIFS(全伝票!L:L,全伝票!$A:$A,$A33,全伝票!$B:$B,$B33),SUMIFS(全伝票!L:L,全伝票!$A:$A,$A33,全伝票!$C:$C,$C33)))</f>
        <v>0</v>
      </c>
      <c r="I33" s="159">
        <f>+IF($A33="",IF($C33="",SUMIFS(全伝票!M:M,全伝票!$B:$B,$B33),SUMIFS(全伝票!M:M,全伝票!$C:$C,$C33)),IF($C33="",SUMIFS(全伝票!M:M,全伝票!$A:$A,$A33,全伝票!$B:$B,$B33),SUMIFS(全伝票!M:M,全伝票!$A:$A,$A33,全伝票!$C:$C,$C33)))</f>
        <v>0</v>
      </c>
      <c r="J33" s="159">
        <f>+IF($A33="",IF($C33="",SUMIFS(全伝票!N:N,全伝票!$B:$B,$B33),SUMIFS(全伝票!N:N,全伝票!$C:$C,$C33)),IF($C33="",SUMIFS(全伝票!N:N,全伝票!$A:$A,$A33,全伝票!$B:$B,$B33),SUMIFS(全伝票!N:N,全伝票!$A:$A,$A33,全伝票!$C:$C,$C33)))</f>
        <v>0</v>
      </c>
      <c r="K33" s="34">
        <f t="shared" si="0"/>
        <v>0</v>
      </c>
      <c r="L33" s="158">
        <f>+IF($A33="",IF($C33="",SUMIFS(全伝票!O:O,全伝票!$B:$B,$B33),SUMIFS(全伝票!O:O,全伝票!$C:$C,$C33)),IF($C33="",SUMIFS(全伝票!O:O,全伝票!$A:$A,$A33,全伝票!$B:$B,$B33),SUMIFS(全伝票!O:O,全伝票!$A:$A,$A33,全伝票!$C:$C,$C33)))</f>
        <v>0</v>
      </c>
      <c r="M33" s="158">
        <f>+IF($A33="",IF($C33="",SUMIFS(全伝票!P:P,全伝票!$B:$B,$B33),SUMIFS(全伝票!P:P,全伝票!$C:$C,$C33)),IF($C33="",SUMIFS(全伝票!P:P,全伝票!$A:$A,$A33,全伝票!$B:$B,$B33),SUMIFS(全伝票!P:P,全伝票!$A:$A,$A33,全伝票!$C:$C,$C33)))</f>
        <v>0</v>
      </c>
      <c r="N33" s="108">
        <f t="shared" si="1"/>
        <v>0</v>
      </c>
      <c r="O33" s="25">
        <f t="shared" si="3"/>
        <v>0</v>
      </c>
      <c r="P33" s="25">
        <f t="shared" si="2"/>
        <v>0</v>
      </c>
      <c r="Q33" s="157">
        <f t="shared" si="3"/>
        <v>0</v>
      </c>
      <c r="R33" s="157">
        <f t="shared" si="4"/>
        <v>0</v>
      </c>
      <c r="S33" s="22">
        <f t="shared" si="5"/>
        <v>0</v>
      </c>
      <c r="T33" s="109">
        <f t="shared" si="6"/>
        <v>0</v>
      </c>
      <c r="U33" s="107">
        <f t="shared" si="7"/>
        <v>0</v>
      </c>
      <c r="V33" s="107">
        <f t="shared" si="8"/>
        <v>0</v>
      </c>
      <c r="W33" s="107">
        <f t="shared" si="9"/>
        <v>0</v>
      </c>
      <c r="X33" s="107">
        <f t="shared" si="9"/>
        <v>0</v>
      </c>
      <c r="Y33" s="107">
        <f t="shared" si="10"/>
        <v>0</v>
      </c>
      <c r="Z33" s="106">
        <f t="shared" si="11"/>
        <v>0</v>
      </c>
      <c r="AA33" s="106">
        <f t="shared" si="12"/>
        <v>0</v>
      </c>
      <c r="AB33" s="106">
        <f t="shared" si="13"/>
        <v>0</v>
      </c>
      <c r="AC33" s="106">
        <f t="shared" si="13"/>
        <v>0</v>
      </c>
      <c r="AD33" s="106">
        <f t="shared" si="14"/>
        <v>0</v>
      </c>
    </row>
    <row r="34" spans="1:30">
      <c r="A34" s="165">
        <v>1</v>
      </c>
      <c r="B34" s="164" t="s">
        <v>54</v>
      </c>
      <c r="C34" s="163"/>
      <c r="D34" s="162" t="s">
        <v>53</v>
      </c>
      <c r="E34" s="158">
        <f>+IF($A34="",IF($C34="",SUMIFS(全伝票!I:I,全伝票!$B:$B,$B34),SUMIFS(全伝票!I:I,全伝票!$C:$C,$C34)),IF($C34="",SUMIFS(全伝票!I:I,全伝票!$A:$A,$A34,全伝票!$B:$B,$B34),SUMIFS(全伝票!I:I,全伝票!$A:$A,$A34,全伝票!$C:$C,$C34)))</f>
        <v>4701000</v>
      </c>
      <c r="F34" s="161">
        <f>+IF($A34="",IF($C34="",SUMIFS(全伝票!J:J,全伝票!$B:$B,$B34),SUMIFS(全伝票!J:J,全伝票!$C:$C,$C34)),IF($C34="",SUMIFS(全伝票!J:J,全伝票!$A:$A,$A34,全伝票!$B:$B,$B34),SUMIFS(全伝票!J:J,全伝票!$A:$A,$A34,全伝票!$C:$C,$C34)))</f>
        <v>0</v>
      </c>
      <c r="G34" s="160">
        <f>+IF($A34="",IF($C34="",SUMIFS(全伝票!K:K,全伝票!$B:$B,$B34),SUMIFS(全伝票!K:K,全伝票!$C:$C,$C34)),IF($C34="",SUMIFS(全伝票!K:K,全伝票!$A:$A,$A34,全伝票!$B:$B,$B34),SUMIFS(全伝票!K:K,全伝票!$A:$A,$A34,全伝票!$C:$C,$C34)))</f>
        <v>0</v>
      </c>
      <c r="H34" s="160">
        <f>+IF($A34="",IF($C34="",SUMIFS(全伝票!L:L,全伝票!$B:$B,$B34),SUMIFS(全伝票!L:L,全伝票!$C:$C,$C34)),IF($C34="",SUMIFS(全伝票!L:L,全伝票!$A:$A,$A34,全伝票!$B:$B,$B34),SUMIFS(全伝票!L:L,全伝票!$A:$A,$A34,全伝票!$C:$C,$C34)))</f>
        <v>0</v>
      </c>
      <c r="I34" s="159">
        <f>+IF($A34="",IF($C34="",SUMIFS(全伝票!M:M,全伝票!$B:$B,$B34),SUMIFS(全伝票!M:M,全伝票!$C:$C,$C34)),IF($C34="",SUMIFS(全伝票!M:M,全伝票!$A:$A,$A34,全伝票!$B:$B,$B34),SUMIFS(全伝票!M:M,全伝票!$A:$A,$A34,全伝票!$C:$C,$C34)))</f>
        <v>0</v>
      </c>
      <c r="J34" s="159">
        <f>+IF($A34="",IF($C34="",SUMIFS(全伝票!N:N,全伝票!$B:$B,$B34),SUMIFS(全伝票!N:N,全伝票!$C:$C,$C34)),IF($C34="",SUMIFS(全伝票!N:N,全伝票!$A:$A,$A34,全伝票!$B:$B,$B34),SUMIFS(全伝票!N:N,全伝票!$A:$A,$A34,全伝票!$C:$C,$C34)))</f>
        <v>0</v>
      </c>
      <c r="K34" s="34">
        <f t="shared" si="0"/>
        <v>0</v>
      </c>
      <c r="L34" s="158">
        <f>+IF($A34="",IF($C34="",SUMIFS(全伝票!O:O,全伝票!$B:$B,$B34),SUMIFS(全伝票!O:O,全伝票!$C:$C,$C34)),IF($C34="",SUMIFS(全伝票!O:O,全伝票!$A:$A,$A34,全伝票!$B:$B,$B34),SUMIFS(全伝票!O:O,全伝票!$A:$A,$A34,全伝票!$C:$C,$C34)))</f>
        <v>0</v>
      </c>
      <c r="M34" s="158">
        <f>+IF($A34="",IF($C34="",SUMIFS(全伝票!P:P,全伝票!$B:$B,$B34),SUMIFS(全伝票!P:P,全伝票!$C:$C,$C34)),IF($C34="",SUMIFS(全伝票!P:P,全伝票!$A:$A,$A34,全伝票!$B:$B,$B34),SUMIFS(全伝票!P:P,全伝票!$A:$A,$A34,全伝票!$C:$C,$C34)))</f>
        <v>4701000</v>
      </c>
      <c r="N34" s="108">
        <f t="shared" si="1"/>
        <v>0</v>
      </c>
      <c r="O34" s="25">
        <f t="shared" si="3"/>
        <v>0</v>
      </c>
      <c r="P34" s="25">
        <f t="shared" si="2"/>
        <v>0</v>
      </c>
      <c r="Q34" s="157">
        <f t="shared" si="3"/>
        <v>0</v>
      </c>
      <c r="R34" s="157">
        <f t="shared" si="4"/>
        <v>0</v>
      </c>
      <c r="S34" s="22">
        <f t="shared" si="5"/>
        <v>0</v>
      </c>
      <c r="T34" s="109">
        <f t="shared" si="6"/>
        <v>4701000</v>
      </c>
      <c r="U34" s="107">
        <f t="shared" si="7"/>
        <v>0</v>
      </c>
      <c r="V34" s="107">
        <f t="shared" si="8"/>
        <v>0</v>
      </c>
      <c r="W34" s="107">
        <f t="shared" si="9"/>
        <v>0</v>
      </c>
      <c r="X34" s="107">
        <f t="shared" si="9"/>
        <v>0</v>
      </c>
      <c r="Y34" s="107">
        <f t="shared" si="10"/>
        <v>0</v>
      </c>
      <c r="Z34" s="106">
        <f t="shared" si="11"/>
        <v>0</v>
      </c>
      <c r="AA34" s="106">
        <f t="shared" si="12"/>
        <v>0</v>
      </c>
      <c r="AB34" s="106">
        <f t="shared" si="13"/>
        <v>0</v>
      </c>
      <c r="AC34" s="106">
        <f t="shared" si="13"/>
        <v>0</v>
      </c>
      <c r="AD34" s="106">
        <f t="shared" si="14"/>
        <v>0</v>
      </c>
    </row>
    <row r="35" spans="1:30" ht="14.25" thickBot="1">
      <c r="A35" s="165"/>
      <c r="B35" s="164" t="s">
        <v>52</v>
      </c>
      <c r="C35" s="163"/>
      <c r="D35" s="162" t="s">
        <v>51</v>
      </c>
      <c r="E35" s="158">
        <f>+IF($A35="",IF($C35="",SUMIFS(全伝票!I:I,全伝票!$B:$B,$B35),SUMIFS(全伝票!I:I,全伝票!$C:$C,$C35)),IF($C35="",SUMIFS(全伝票!I:I,全伝票!$A:$A,$A35,全伝票!$B:$B,$B35),SUMIFS(全伝票!I:I,全伝票!$A:$A,$A35,全伝票!$C:$C,$C35)))</f>
        <v>0</v>
      </c>
      <c r="F35" s="161">
        <f>+IF($A35="",IF($C35="",SUMIFS(全伝票!J:J,全伝票!$B:$B,$B35),SUMIFS(全伝票!J:J,全伝票!$C:$C,$C35)),IF($C35="",SUMIFS(全伝票!J:J,全伝票!$A:$A,$A35,全伝票!$B:$B,$B35),SUMIFS(全伝票!J:J,全伝票!$A:$A,$A35,全伝票!$C:$C,$C35)))</f>
        <v>0</v>
      </c>
      <c r="G35" s="160">
        <f>+IF($A35="",IF($C35="",SUMIFS(全伝票!K:K,全伝票!$B:$B,$B35),SUMIFS(全伝票!K:K,全伝票!$C:$C,$C35)),IF($C35="",SUMIFS(全伝票!K:K,全伝票!$A:$A,$A35,全伝票!$B:$B,$B35),SUMIFS(全伝票!K:K,全伝票!$A:$A,$A35,全伝票!$C:$C,$C35)))</f>
        <v>0</v>
      </c>
      <c r="H35" s="160">
        <f>+IF($A35="",IF($C35="",SUMIFS(全伝票!L:L,全伝票!$B:$B,$B35),SUMIFS(全伝票!L:L,全伝票!$C:$C,$C35)),IF($C35="",SUMIFS(全伝票!L:L,全伝票!$A:$A,$A35,全伝票!$B:$B,$B35),SUMIFS(全伝票!L:L,全伝票!$A:$A,$A35,全伝票!$C:$C,$C35)))</f>
        <v>0</v>
      </c>
      <c r="I35" s="159">
        <f>+IF($A35="",IF($C35="",SUMIFS(全伝票!M:M,全伝票!$B:$B,$B35),SUMIFS(全伝票!M:M,全伝票!$C:$C,$C35)),IF($C35="",SUMIFS(全伝票!M:M,全伝票!$A:$A,$A35,全伝票!$B:$B,$B35),SUMIFS(全伝票!M:M,全伝票!$A:$A,$A35,全伝票!$C:$C,$C35)))</f>
        <v>0</v>
      </c>
      <c r="J35" s="159">
        <f>+IF($A35="",IF($C35="",SUMIFS(全伝票!N:N,全伝票!$B:$B,$B35),SUMIFS(全伝票!N:N,全伝票!$C:$C,$C35)),IF($C35="",SUMIFS(全伝票!N:N,全伝票!$A:$A,$A35,全伝票!$B:$B,$B35),SUMIFS(全伝票!N:N,全伝票!$A:$A,$A35,全伝票!$C:$C,$C35)))</f>
        <v>0</v>
      </c>
      <c r="K35" s="34">
        <f t="shared" si="0"/>
        <v>0</v>
      </c>
      <c r="L35" s="158">
        <f>+IF($A35="",IF($C35="",SUMIFS(全伝票!O:O,全伝票!$B:$B,$B35),SUMIFS(全伝票!O:O,全伝票!$C:$C,$C35)),IF($C35="",SUMIFS(全伝票!O:O,全伝票!$A:$A,$A35,全伝票!$B:$B,$B35),SUMIFS(全伝票!O:O,全伝票!$A:$A,$A35,全伝票!$C:$C,$C35)))</f>
        <v>0</v>
      </c>
      <c r="M35" s="158">
        <f>+IF($A35="",IF($C35="",SUMIFS(全伝票!P:P,全伝票!$B:$B,$B35),SUMIFS(全伝票!P:P,全伝票!$C:$C,$C35)),IF($C35="",SUMIFS(全伝票!P:P,全伝票!$A:$A,$A35,全伝票!$B:$B,$B35),SUMIFS(全伝票!P:P,全伝票!$A:$A,$A35,全伝票!$C:$C,$C35)))</f>
        <v>0</v>
      </c>
      <c r="N35" s="108">
        <f t="shared" si="1"/>
        <v>0</v>
      </c>
      <c r="O35" s="25">
        <f t="shared" si="3"/>
        <v>0</v>
      </c>
      <c r="P35" s="25">
        <f t="shared" si="2"/>
        <v>0</v>
      </c>
      <c r="Q35" s="157">
        <f t="shared" si="3"/>
        <v>0</v>
      </c>
      <c r="R35" s="157">
        <f t="shared" si="4"/>
        <v>0</v>
      </c>
      <c r="S35" s="22">
        <f t="shared" si="5"/>
        <v>0</v>
      </c>
      <c r="T35" s="109">
        <f t="shared" si="6"/>
        <v>0</v>
      </c>
      <c r="U35" s="107">
        <f t="shared" si="7"/>
        <v>0</v>
      </c>
      <c r="V35" s="107">
        <f t="shared" si="8"/>
        <v>0</v>
      </c>
      <c r="W35" s="107">
        <f t="shared" si="9"/>
        <v>0</v>
      </c>
      <c r="X35" s="107">
        <f t="shared" si="9"/>
        <v>0</v>
      </c>
      <c r="Y35" s="107">
        <f t="shared" si="10"/>
        <v>0</v>
      </c>
      <c r="Z35" s="106">
        <f t="shared" si="11"/>
        <v>0</v>
      </c>
      <c r="AA35" s="106">
        <f t="shared" si="12"/>
        <v>0</v>
      </c>
      <c r="AB35" s="106">
        <f t="shared" si="13"/>
        <v>0</v>
      </c>
      <c r="AC35" s="106">
        <f t="shared" si="13"/>
        <v>0</v>
      </c>
      <c r="AD35" s="106">
        <f t="shared" si="14"/>
        <v>0</v>
      </c>
    </row>
    <row r="36" spans="1:30" ht="14.25" thickTop="1">
      <c r="A36" s="156"/>
      <c r="B36" s="155"/>
      <c r="C36" s="154"/>
      <c r="D36" s="153" t="s">
        <v>2</v>
      </c>
      <c r="E36" s="149">
        <f t="shared" ref="E36:T36" si="15">SUM(E5:E35)</f>
        <v>611819957</v>
      </c>
      <c r="F36" s="152">
        <f t="shared" si="15"/>
        <v>0</v>
      </c>
      <c r="G36" s="151">
        <f t="shared" si="15"/>
        <v>0</v>
      </c>
      <c r="H36" s="151">
        <f t="shared" si="15"/>
        <v>678402</v>
      </c>
      <c r="I36" s="150">
        <f t="shared" ref="I36" si="16">SUM(I5:I35)</f>
        <v>0</v>
      </c>
      <c r="J36" s="150">
        <f t="shared" si="15"/>
        <v>518156070</v>
      </c>
      <c r="K36" s="74">
        <f t="shared" si="15"/>
        <v>518834472</v>
      </c>
      <c r="L36" s="149">
        <f t="shared" si="15"/>
        <v>20454735</v>
      </c>
      <c r="M36" s="149">
        <f t="shared" si="15"/>
        <v>72530750</v>
      </c>
      <c r="N36" s="146">
        <f t="shared" si="15"/>
        <v>0</v>
      </c>
      <c r="O36" s="145">
        <f t="shared" si="15"/>
        <v>0</v>
      </c>
      <c r="P36" s="145">
        <f t="shared" si="15"/>
        <v>50252</v>
      </c>
      <c r="Q36" s="148">
        <f t="shared" ref="Q36" si="17">SUM(Q5:Q35)</f>
        <v>0</v>
      </c>
      <c r="R36" s="148">
        <f t="shared" si="15"/>
        <v>47105097</v>
      </c>
      <c r="S36" s="144">
        <f t="shared" si="15"/>
        <v>47155349</v>
      </c>
      <c r="T36" s="147">
        <f t="shared" si="15"/>
        <v>564664608</v>
      </c>
      <c r="U36" s="88" t="str">
        <f>+IF(F36=0,"",ROUND(F36*F$4/(100+F$4),7)-N36)</f>
        <v/>
      </c>
      <c r="V36" s="88"/>
      <c r="W36" s="88"/>
      <c r="X36" s="88"/>
      <c r="Y36" s="88"/>
      <c r="Z36" s="88"/>
      <c r="AA36" s="88"/>
      <c r="AB36" s="87"/>
      <c r="AC36" s="87"/>
      <c r="AD36" s="87"/>
    </row>
    <row r="37" spans="1:30">
      <c r="A37" s="143"/>
      <c r="B37" s="142"/>
      <c r="C37" s="141"/>
      <c r="D37" s="140" t="s">
        <v>1</v>
      </c>
      <c r="E37" s="136">
        <f t="shared" ref="E37:J37" si="18">+E36</f>
        <v>611819957</v>
      </c>
      <c r="F37" s="139">
        <f t="shared" si="18"/>
        <v>0</v>
      </c>
      <c r="G37" s="138">
        <f t="shared" si="18"/>
        <v>0</v>
      </c>
      <c r="H37" s="138">
        <f t="shared" si="18"/>
        <v>678402</v>
      </c>
      <c r="I37" s="137">
        <f t="shared" si="18"/>
        <v>0</v>
      </c>
      <c r="J37" s="137">
        <f t="shared" si="18"/>
        <v>518156070</v>
      </c>
      <c r="K37" s="63">
        <f>SUM(F37:J37)</f>
        <v>518834472</v>
      </c>
      <c r="L37" s="136">
        <f>+L36</f>
        <v>20454735</v>
      </c>
      <c r="M37" s="135">
        <f>+M36</f>
        <v>72530750</v>
      </c>
      <c r="N37" s="133">
        <f>+'3条支出'!N6</f>
        <v>0</v>
      </c>
      <c r="O37" s="132">
        <f>+'3条支出'!O6</f>
        <v>0</v>
      </c>
      <c r="P37" s="132">
        <f>+'3条支出'!P6</f>
        <v>50252</v>
      </c>
      <c r="Q37" s="132">
        <f>+'3条支出'!Q6</f>
        <v>0</v>
      </c>
      <c r="R37" s="132">
        <f>+'3条支出'!R6</f>
        <v>47105097</v>
      </c>
      <c r="S37" s="131">
        <f>+'3条支出'!S6</f>
        <v>47155349</v>
      </c>
      <c r="T37" s="134">
        <f>+'3条支出'!T6</f>
        <v>564664608</v>
      </c>
      <c r="U37" s="88" t="str">
        <f>+IF(F37=0,"",ROUND(F37*F$4/(100+F$4),7)-N37)</f>
        <v/>
      </c>
      <c r="V37" s="88"/>
      <c r="W37" s="88"/>
      <c r="X37" s="88"/>
      <c r="Y37" s="88"/>
      <c r="Z37" s="88"/>
      <c r="AA37" s="88"/>
      <c r="AB37" s="87"/>
      <c r="AC37" s="87"/>
      <c r="AD37" s="87"/>
    </row>
    <row r="38" spans="1:30">
      <c r="E38" s="4">
        <f t="shared" ref="E38:T38" si="19">+E37-E36</f>
        <v>0</v>
      </c>
      <c r="F38" s="4">
        <f t="shared" si="19"/>
        <v>0</v>
      </c>
      <c r="G38" s="4">
        <f t="shared" si="19"/>
        <v>0</v>
      </c>
      <c r="H38" s="4">
        <f t="shared" si="19"/>
        <v>0</v>
      </c>
      <c r="I38" s="4">
        <f t="shared" ref="I38" si="20">+I37-I36</f>
        <v>0</v>
      </c>
      <c r="J38" s="4">
        <f t="shared" si="19"/>
        <v>0</v>
      </c>
      <c r="K38" s="4">
        <f t="shared" si="19"/>
        <v>0</v>
      </c>
      <c r="L38" s="4">
        <f t="shared" si="19"/>
        <v>0</v>
      </c>
      <c r="M38" s="4">
        <f t="shared" si="19"/>
        <v>0</v>
      </c>
      <c r="N38" s="4">
        <f t="shared" si="19"/>
        <v>0</v>
      </c>
      <c r="O38" s="4">
        <f t="shared" si="19"/>
        <v>0</v>
      </c>
      <c r="P38" s="4">
        <f t="shared" si="19"/>
        <v>0</v>
      </c>
      <c r="Q38" s="4">
        <f t="shared" ref="Q38" si="21">+Q37-Q36</f>
        <v>0</v>
      </c>
      <c r="R38" s="4">
        <f t="shared" si="19"/>
        <v>0</v>
      </c>
      <c r="S38" s="4">
        <f t="shared" si="19"/>
        <v>0</v>
      </c>
      <c r="T38" s="4">
        <f t="shared" si="19"/>
        <v>0</v>
      </c>
      <c r="U38" s="88" t="str">
        <f>+IF(F38=0,"",ROUND(F38*F$4/(100+F$4),7)-N38)</f>
        <v/>
      </c>
      <c r="V38" s="88" t="str">
        <f>+IF(G38=0,"",ROUND(G38*G$4/(100+G$4),7)-O38)</f>
        <v/>
      </c>
      <c r="W38" s="88" t="str">
        <f>+IF(H38=0,"",ROUND(H38*H$4/(100+H$4),7)-P38)</f>
        <v/>
      </c>
      <c r="X38" s="88"/>
      <c r="Y38" s="88" t="str">
        <f>+IF(J38=0,"",ROUND(J38*J$4/(100+J$4),7)-R38)</f>
        <v/>
      </c>
      <c r="Z38" s="88"/>
      <c r="AA38" s="88"/>
      <c r="AB38" s="87" t="str">
        <f>+IF(SUM(U38:Y38)=0,"",SUM(U38:Y38))</f>
        <v/>
      </c>
      <c r="AC38" s="87"/>
      <c r="AD38" s="87"/>
    </row>
    <row r="39" spans="1:30">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G40" s="180"/>
      <c r="H40" s="272"/>
      <c r="I40" s="272"/>
      <c r="J40" s="272"/>
      <c r="U40" s="88" t="str">
        <f>+IF(F40=0,"",ROUND(F40*F$4/(100+F$4),7)-N40)</f>
        <v/>
      </c>
      <c r="V40" s="88"/>
      <c r="W40" s="88"/>
      <c r="X40" s="88"/>
      <c r="Y40" s="88"/>
      <c r="Z40" s="88"/>
      <c r="AA40" s="88"/>
      <c r="AB40" s="87"/>
      <c r="AC40" s="87"/>
      <c r="AD40" s="87"/>
    </row>
    <row r="41" spans="1:30">
      <c r="G41" s="180"/>
      <c r="H41" s="272"/>
      <c r="I41" s="272"/>
      <c r="J41" s="272"/>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3"/>
  <conditionalFormatting sqref="AE5:AI35">
    <cfRule type="notContainsBlanks" dxfId="104" priority="3" stopIfTrue="1">
      <formula>LEN(TRIM(AE5))&gt;0</formula>
    </cfRule>
  </conditionalFormatting>
  <conditionalFormatting sqref="AE36:AI37">
    <cfRule type="notContainsBlanks" dxfId="103" priority="4" stopIfTrue="1">
      <formula>LEN(TRIM(AE36))&gt;0</formula>
    </cfRule>
  </conditionalFormatting>
  <conditionalFormatting sqref="Z5:AD35">
    <cfRule type="expression" dxfId="102" priority="2">
      <formula>ABS(Z5)=1</formula>
    </cfRule>
  </conditionalFormatting>
  <conditionalFormatting sqref="E38:T38">
    <cfRule type="cellIs" dxfId="101" priority="1" operator="notEqual">
      <formula>0</formula>
    </cfRule>
  </conditionalFormatting>
  <pageMargins left="0.39370078740157483" right="0.39370078740157483" top="0.78740157480314965" bottom="0.39370078740157483" header="0.39370078740157483" footer="0.19685039370078741"/>
  <pageSetup paperSize="9" scale="67" orientation="landscape" blackAndWhite="1" r:id="rId1"/>
  <headerFooter>
    <oddFooter>&amp;L&amp;8&amp;Z&amp;F&amp;A&amp;R&amp;8&amp;D&amp;T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I41"/>
  <sheetViews>
    <sheetView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+'3条支出'!D1</f>
        <v>令和５年度決算　消費税算出資料</v>
      </c>
    </row>
    <row r="2" spans="1:35">
      <c r="D2" s="2" t="s">
        <v>147</v>
      </c>
      <c r="V2" s="122"/>
      <c r="W2" s="122"/>
      <c r="X2" s="261"/>
      <c r="Y2" s="122"/>
      <c r="Z2" s="122"/>
      <c r="AA2" s="122"/>
      <c r="AB2" s="122"/>
      <c r="AC2" s="261"/>
      <c r="AD2" s="122"/>
      <c r="AE2" s="122"/>
      <c r="AF2" s="122"/>
      <c r="AG2" s="122"/>
      <c r="AH2" s="261"/>
      <c r="AI2" s="122"/>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122"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177">
        <v>1</v>
      </c>
      <c r="B5" s="176" t="s">
        <v>146</v>
      </c>
      <c r="C5" s="175"/>
      <c r="D5" s="174" t="s">
        <v>112</v>
      </c>
      <c r="E5" s="170">
        <f>+IF($A5="",IF($C5="",SUMIFS(全伝票!I:I,全伝票!$B:$B,$B5),SUMIFS(全伝票!I:I,全伝票!$C:$C,$C5)),IF($C5="",SUMIFS(全伝票!I:I,全伝票!$A:$A,$A5,全伝票!$B:$B,$B5),SUMIFS(全伝票!I:I,全伝票!$A:$A,$A5,全伝票!$C:$C,$C5)))</f>
        <v>115000</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275">
        <f>+IF($A5="",IF($C5="",SUMIFS(全伝票!L:L,全伝票!$B:$B,$B5),SUMIFS(全伝票!L:L,全伝票!$C:$C,$C5)),IF($C5="",SUMIFS(全伝票!L:L,全伝票!$A:$A,$A5,全伝票!$B:$B,$B5),SUMIFS(全伝票!L:L,全伝票!$A:$A,$A5,全伝票!$C:$C,$C5)))</f>
        <v>0</v>
      </c>
      <c r="I5" s="270">
        <f>+IF($A5="",IF($C5="",SUMIFS(全伝票!M:M,全伝票!$B:$B,$B5),SUMIFS(全伝票!M:M,全伝票!$C:$C,$C5)),IF($C5="",SUMIFS(全伝票!M:M,全伝票!$A:$A,$A5,全伝票!$B:$B,$B5),SUMIFS(全伝票!M:M,全伝票!$A:$A,$A5,全伝票!$C:$C,$C5)))</f>
        <v>0</v>
      </c>
      <c r="J5" s="171">
        <f>+IF($A5="",IF($C5="",SUMIFS(全伝票!N:N,全伝票!$B:$B,$B5),SUMIFS(全伝票!N:N,全伝票!$C:$C,$C5)),IF($C5="",SUMIFS(全伝票!N:N,全伝票!$A:$A,$A5,全伝票!$B:$B,$B5),SUMIFS(全伝票!N:N,全伝票!$A:$A,$A5,全伝票!$C:$C,$C5)))</f>
        <v>0</v>
      </c>
      <c r="K5" s="112">
        <f t="shared" ref="K5:K35" si="0">SUM(F5:J5)</f>
        <v>0</v>
      </c>
      <c r="L5" s="170">
        <f>+IF($A5="",IF($C5="",SUMIFS(全伝票!O:O,全伝票!$B:$B,$B5),SUMIFS(全伝票!O:O,全伝票!$C:$C,$C5)),IF($C5="",SUMIFS(全伝票!O:O,全伝票!$A:$A,$A5,全伝票!$B:$B,$B5),SUMIFS(全伝票!O:O,全伝票!$A:$A,$A5,全伝票!$C:$C,$C5)))</f>
        <v>0</v>
      </c>
      <c r="M5" s="277">
        <f>+IF($A5="",IF($C5="",SUMIFS(全伝票!P:P,全伝票!$B:$B,$B5),SUMIFS(全伝票!P:P,全伝票!$C:$C,$C5)),IF($C5="",SUMIFS(全伝票!P:P,全伝票!$A:$A,$A5,全伝票!$B:$B,$B5),SUMIFS(全伝票!P:P,全伝票!$A:$A,$A5,全伝票!$C:$C,$C5)))</f>
        <v>115000</v>
      </c>
      <c r="N5" s="169">
        <f t="shared" ref="N5:N35" si="1">+ROUND(F5*F$4/(100+F$4),0)+AE5</f>
        <v>0</v>
      </c>
      <c r="O5" s="47">
        <f>+ROUND(G5*G$4/(100+G$4),0)+AF5</f>
        <v>0</v>
      </c>
      <c r="P5" s="47">
        <f t="shared" ref="P5:P35" si="2">+ROUND(H5*H$4/(100+H$4),0)+AG5</f>
        <v>0</v>
      </c>
      <c r="Q5" s="168">
        <f t="shared" ref="O5:Q35" si="3">+ROUND(I5*I$4/(100+I$4),0)+AH5</f>
        <v>0</v>
      </c>
      <c r="R5" s="168">
        <f t="shared" ref="R5:R35" si="4">+ROUND(J5*J$4/(100+J$4),0)+AI5</f>
        <v>0</v>
      </c>
      <c r="S5" s="167">
        <f t="shared" ref="S5:S35" si="5">SUM(N5:R5)</f>
        <v>0</v>
      </c>
      <c r="T5" s="166">
        <f t="shared" ref="T5:T35" si="6">+E5-S5</f>
        <v>115000</v>
      </c>
      <c r="U5" s="107">
        <f t="shared" ref="U5:U35" si="7">N5-F5*F$4/(100+F$4)</f>
        <v>0</v>
      </c>
      <c r="V5" s="107">
        <f t="shared" ref="V5:V35" si="8">O5-G5*G$4/(100+G$4)</f>
        <v>0</v>
      </c>
      <c r="W5" s="107">
        <f t="shared" ref="W5:X35" si="9">P5-H5*H$4/(100+H$4)</f>
        <v>0</v>
      </c>
      <c r="X5" s="107">
        <f t="shared" si="9"/>
        <v>0</v>
      </c>
      <c r="Y5" s="107">
        <f t="shared" ref="Y5:Y35" si="10">R5-J5*J$4/(100+J$4)</f>
        <v>0</v>
      </c>
      <c r="Z5" s="106">
        <f t="shared" ref="Z5:Z35" si="11">+IF(N$38=0,0,IF(N$38&lt;0,-RANK(U5,U$5:U$35,0),RANK(U5,U$5:U$35,1)))</f>
        <v>0</v>
      </c>
      <c r="AA5" s="106">
        <f t="shared" ref="AA5:AA35" si="12">+IF(O$38=0,0,IF(O$38&lt;0,-RANK(V5,V$5:V$35,0),RANK(V5,V$5:V$35,1)))</f>
        <v>0</v>
      </c>
      <c r="AB5" s="106">
        <f t="shared" ref="AB5:AC35" si="13">+IF(P$38=0,0,IF(P$38&lt;0,-RANK(W5,W$5:W$35,0),RANK(W5,W$5:W$35,1)))</f>
        <v>0</v>
      </c>
      <c r="AC5" s="106">
        <f t="shared" si="13"/>
        <v>0</v>
      </c>
      <c r="AD5" s="106">
        <f t="shared" ref="AD5:AD35" si="14">+IF(R$38=0,0,IF(R$38&lt;0,-RANK(Y5,Y$5:Y$35,0),RANK(Y5,Y$5:Y$35,1)))</f>
        <v>0</v>
      </c>
    </row>
    <row r="6" spans="1:35">
      <c r="A6" s="165">
        <v>1</v>
      </c>
      <c r="B6" s="164" t="s">
        <v>145</v>
      </c>
      <c r="C6" s="163"/>
      <c r="D6" s="162" t="s">
        <v>110</v>
      </c>
      <c r="E6" s="158">
        <f>+IF($A6="",IF($C6="",SUMIFS(全伝票!I:I,全伝票!$B:$B,$B6),SUMIFS(全伝票!I:I,全伝票!$C:$C,$C6)),IF($C6="",SUMIFS(全伝票!I:I,全伝票!$A:$A,$A6,全伝票!$B:$B,$B6),SUMIFS(全伝票!I:I,全伝票!$A:$A,$A6,全伝票!$C:$C,$C6)))</f>
        <v>19311700</v>
      </c>
      <c r="F6" s="161">
        <f>+IF($A6="",IF($C6="",SUMIFS(全伝票!J:J,全伝票!$B:$B,$B6),SUMIFS(全伝票!J:J,全伝票!$C:$C,$C6)),IF($C6="",SUMIFS(全伝票!J:J,全伝票!$A:$A,$A6,全伝票!$B:$B,$B6),SUMIFS(全伝票!J:J,全伝票!$A:$A,$A6,全伝票!$C:$C,$C6)))</f>
        <v>0</v>
      </c>
      <c r="G6" s="160">
        <f>+IF($A6="",IF($C6="",SUMIFS(全伝票!K:K,全伝票!$B:$B,$B6),SUMIFS(全伝票!K:K,全伝票!$C:$C,$C6)),IF($C6="",SUMIFS(全伝票!K:K,全伝票!$A:$A,$A6,全伝票!$B:$B,$B6),SUMIFS(全伝票!K:K,全伝票!$A:$A,$A6,全伝票!$C:$C,$C6)))</f>
        <v>0</v>
      </c>
      <c r="H6" s="160">
        <f>+IF($A6="",IF($C6="",SUMIFS(全伝票!L:L,全伝票!$B:$B,$B6),SUMIFS(全伝票!L:L,全伝票!$C:$C,$C6)),IF($C6="",SUMIFS(全伝票!L:L,全伝票!$A:$A,$A6,全伝票!$B:$B,$B6),SUMIFS(全伝票!L:L,全伝票!$A:$A,$A6,全伝票!$C:$C,$C6)))</f>
        <v>0</v>
      </c>
      <c r="I6" s="159">
        <f>+IF($A6="",IF($C6="",SUMIFS(全伝票!M:M,全伝票!$B:$B,$B6),SUMIFS(全伝票!M:M,全伝票!$C:$C,$C6)),IF($C6="",SUMIFS(全伝票!M:M,全伝票!$A:$A,$A6,全伝票!$B:$B,$B6),SUMIFS(全伝票!M:M,全伝票!$A:$A,$A6,全伝票!$C:$C,$C6)))</f>
        <v>0</v>
      </c>
      <c r="J6" s="159">
        <f>+IF($A6="",IF($C6="",SUMIFS(全伝票!N:N,全伝票!$B:$B,$B6),SUMIFS(全伝票!N:N,全伝票!$C:$C,$C6)),IF($C6="",SUMIFS(全伝票!N:N,全伝票!$A:$A,$A6,全伝票!$B:$B,$B6),SUMIFS(全伝票!N:N,全伝票!$A:$A,$A6,全伝票!$C:$C,$C6)))</f>
        <v>0</v>
      </c>
      <c r="K6" s="34">
        <f t="shared" si="0"/>
        <v>0</v>
      </c>
      <c r="L6" s="158">
        <f>+IF($A6="",IF($C6="",SUMIFS(全伝票!O:O,全伝票!$B:$B,$B6),SUMIFS(全伝票!O:O,全伝票!$C:$C,$C6)),IF($C6="",SUMIFS(全伝票!O:O,全伝票!$A:$A,$A6,全伝票!$B:$B,$B6),SUMIFS(全伝票!O:O,全伝票!$A:$A,$A6,全伝票!$C:$C,$C6)))</f>
        <v>0</v>
      </c>
      <c r="M6" s="158">
        <f>+IF($A6="",IF($C6="",SUMIFS(全伝票!P:P,全伝票!$B:$B,$B6),SUMIFS(全伝票!P:P,全伝票!$C:$C,$C6)),IF($C6="",SUMIFS(全伝票!P:P,全伝票!$A:$A,$A6,全伝票!$B:$B,$B6),SUMIFS(全伝票!P:P,全伝票!$A:$A,$A6,全伝票!$C:$C,$C6)))</f>
        <v>19311700</v>
      </c>
      <c r="N6" s="108">
        <f t="shared" si="1"/>
        <v>0</v>
      </c>
      <c r="O6" s="25">
        <f t="shared" si="3"/>
        <v>0</v>
      </c>
      <c r="P6" s="25">
        <f t="shared" si="2"/>
        <v>0</v>
      </c>
      <c r="Q6" s="157">
        <f t="shared" si="3"/>
        <v>0</v>
      </c>
      <c r="R6" s="157">
        <f t="shared" si="4"/>
        <v>0</v>
      </c>
      <c r="S6" s="22">
        <f t="shared" si="5"/>
        <v>0</v>
      </c>
      <c r="T6" s="109">
        <f t="shared" si="6"/>
        <v>19311700</v>
      </c>
      <c r="U6" s="107">
        <f t="shared" si="7"/>
        <v>0</v>
      </c>
      <c r="V6" s="107">
        <f t="shared" si="8"/>
        <v>0</v>
      </c>
      <c r="W6" s="107">
        <f t="shared" si="9"/>
        <v>0</v>
      </c>
      <c r="X6" s="107">
        <f t="shared" si="9"/>
        <v>0</v>
      </c>
      <c r="Y6" s="107">
        <f t="shared" si="10"/>
        <v>0</v>
      </c>
      <c r="Z6" s="106">
        <f t="shared" si="11"/>
        <v>0</v>
      </c>
      <c r="AA6" s="106">
        <f t="shared" si="12"/>
        <v>0</v>
      </c>
      <c r="AB6" s="106">
        <f t="shared" si="13"/>
        <v>0</v>
      </c>
      <c r="AC6" s="106">
        <f t="shared" si="13"/>
        <v>0</v>
      </c>
      <c r="AD6" s="106">
        <f t="shared" si="14"/>
        <v>0</v>
      </c>
    </row>
    <row r="7" spans="1:35">
      <c r="A7" s="165">
        <v>1</v>
      </c>
      <c r="B7" s="164" t="s">
        <v>144</v>
      </c>
      <c r="C7" s="163"/>
      <c r="D7" s="162" t="s">
        <v>108</v>
      </c>
      <c r="E7" s="158">
        <f>+IF($A7="",IF($C7="",SUMIFS(全伝票!I:I,全伝票!$B:$B,$B7),SUMIFS(全伝票!I:I,全伝票!$C:$C,$C7)),IF($C7="",SUMIFS(全伝票!I:I,全伝票!$A:$A,$A7,全伝票!$B:$B,$B7),SUMIFS(全伝票!I:I,全伝票!$A:$A,$A7,全伝票!$C:$C,$C7)))</f>
        <v>12220055</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59">
        <f>+IF($A7="",IF($C7="",SUMIFS(全伝票!M:M,全伝票!$B:$B,$B7),SUMIFS(全伝票!M:M,全伝票!$C:$C,$C7)),IF($C7="",SUMIFS(全伝票!M:M,全伝票!$A:$A,$A7,全伝票!$B:$B,$B7),SUMIFS(全伝票!M:M,全伝票!$A:$A,$A7,全伝票!$C:$C,$C7)))</f>
        <v>0</v>
      </c>
      <c r="J7" s="159">
        <f>+IF($A7="",IF($C7="",SUMIFS(全伝票!N:N,全伝票!$B:$B,$B7),SUMIFS(全伝票!N:N,全伝票!$C:$C,$C7)),IF($C7="",SUMIFS(全伝票!N:N,全伝票!$A:$A,$A7,全伝票!$B:$B,$B7),SUMIFS(全伝票!N:N,全伝票!$A:$A,$A7,全伝票!$C:$C,$C7)))</f>
        <v>371190</v>
      </c>
      <c r="K7" s="34">
        <f t="shared" si="0"/>
        <v>371190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11848865</v>
      </c>
      <c r="N7" s="108">
        <f t="shared" si="1"/>
        <v>0</v>
      </c>
      <c r="O7" s="25">
        <f t="shared" si="3"/>
        <v>0</v>
      </c>
      <c r="P7" s="25">
        <f t="shared" si="2"/>
        <v>0</v>
      </c>
      <c r="Q7" s="157">
        <f t="shared" si="3"/>
        <v>0</v>
      </c>
      <c r="R7" s="157">
        <f t="shared" si="4"/>
        <v>33745</v>
      </c>
      <c r="S7" s="22">
        <f t="shared" si="5"/>
        <v>33745</v>
      </c>
      <c r="T7" s="109">
        <f t="shared" si="6"/>
        <v>12186310</v>
      </c>
      <c r="U7" s="107">
        <f t="shared" si="7"/>
        <v>0</v>
      </c>
      <c r="V7" s="107">
        <f t="shared" si="8"/>
        <v>0</v>
      </c>
      <c r="W7" s="107">
        <f t="shared" si="9"/>
        <v>0</v>
      </c>
      <c r="X7" s="107">
        <f t="shared" si="9"/>
        <v>0</v>
      </c>
      <c r="Y7" s="107">
        <f t="shared" si="10"/>
        <v>0.45454545454413164</v>
      </c>
      <c r="Z7" s="106">
        <f t="shared" si="11"/>
        <v>0</v>
      </c>
      <c r="AA7" s="106">
        <f t="shared" si="12"/>
        <v>0</v>
      </c>
      <c r="AB7" s="106">
        <f t="shared" si="13"/>
        <v>0</v>
      </c>
      <c r="AC7" s="106">
        <f t="shared" si="13"/>
        <v>0</v>
      </c>
      <c r="AD7" s="106">
        <f t="shared" si="14"/>
        <v>0</v>
      </c>
    </row>
    <row r="8" spans="1:35">
      <c r="A8" s="165">
        <v>1</v>
      </c>
      <c r="B8" s="164" t="s">
        <v>143</v>
      </c>
      <c r="C8" s="163"/>
      <c r="D8" s="162" t="s">
        <v>106</v>
      </c>
      <c r="E8" s="158">
        <f>+IF($A8="",IF($C8="",SUMIFS(全伝票!I:I,全伝票!$B:$B,$B8),SUMIFS(全伝票!I:I,全伝票!$C:$C,$C8)),IF($C8="",SUMIFS(全伝票!I:I,全伝票!$A:$A,$A8,全伝票!$B:$B,$B8),SUMIFS(全伝票!I:I,全伝票!$A:$A,$A8,全伝票!$C:$C,$C8)))</f>
        <v>6205907</v>
      </c>
      <c r="F8" s="161">
        <f>+IF($A8="",IF($C8="",SUMIFS(全伝票!J:J,全伝票!$B:$B,$B8),SUMIFS(全伝票!J:J,全伝票!$C:$C,$C8)),IF($C8="",SUMIFS(全伝票!J:J,全伝票!$A:$A,$A8,全伝票!$B:$B,$B8),SUMIFS(全伝票!J:J,全伝票!$A:$A,$A8,全伝票!$C:$C,$C8)))</f>
        <v>0</v>
      </c>
      <c r="G8" s="160">
        <f>+IF($A8="",IF($C8="",SUMIFS(全伝票!K:K,全伝票!$B:$B,$B8),SUMIFS(全伝票!K:K,全伝票!$C:$C,$C8)),IF($C8="",SUMIFS(全伝票!K:K,全伝票!$A:$A,$A8,全伝票!$B:$B,$B8),SUMIFS(全伝票!K:K,全伝票!$A:$A,$A8,全伝票!$C:$C,$C8)))</f>
        <v>0</v>
      </c>
      <c r="H8" s="160">
        <f>+IF($A8="",IF($C8="",SUMIFS(全伝票!L:L,全伝票!$B:$B,$B8),SUMIFS(全伝票!L:L,全伝票!$C:$C,$C8)),IF($C8="",SUMIFS(全伝票!L:L,全伝票!$A:$A,$A8,全伝票!$B:$B,$B8),SUMIFS(全伝票!L:L,全伝票!$A:$A,$A8,全伝票!$C:$C,$C8)))</f>
        <v>0</v>
      </c>
      <c r="I8" s="159">
        <f>+IF($A8="",IF($C8="",SUMIFS(全伝票!M:M,全伝票!$B:$B,$B8),SUMIFS(全伝票!M:M,全伝票!$C:$C,$C8)),IF($C8="",SUMIFS(全伝票!M:M,全伝票!$A:$A,$A8,全伝票!$B:$B,$B8),SUMIFS(全伝票!M:M,全伝票!$A:$A,$A8,全伝票!$C:$C,$C8)))</f>
        <v>0</v>
      </c>
      <c r="J8" s="159">
        <f>+IF($A8="",IF($C8="",SUMIFS(全伝票!N:N,全伝票!$B:$B,$B8),SUMIFS(全伝票!N:N,全伝票!$C:$C,$C8)),IF($C8="",SUMIFS(全伝票!N:N,全伝票!$A:$A,$A8,全伝票!$B:$B,$B8),SUMIFS(全伝票!N:N,全伝票!$A:$A,$A8,全伝票!$C:$C,$C8)))</f>
        <v>0</v>
      </c>
      <c r="K8" s="34">
        <f t="shared" si="0"/>
        <v>0</v>
      </c>
      <c r="L8" s="158">
        <f>+IF($A8="",IF($C8="",SUMIFS(全伝票!O:O,全伝票!$B:$B,$B8),SUMIFS(全伝票!O:O,全伝票!$C:$C,$C8)),IF($C8="",SUMIFS(全伝票!O:O,全伝票!$A:$A,$A8,全伝票!$B:$B,$B8),SUMIFS(全伝票!O:O,全伝票!$A:$A,$A8,全伝票!$C:$C,$C8)))</f>
        <v>6176483</v>
      </c>
      <c r="M8" s="158">
        <f>+IF($A8="",IF($C8="",SUMIFS(全伝票!P:P,全伝票!$B:$B,$B8),SUMIFS(全伝票!P:P,全伝票!$C:$C,$C8)),IF($C8="",SUMIFS(全伝票!P:P,全伝票!$A:$A,$A8,全伝票!$B:$B,$B8),SUMIFS(全伝票!P:P,全伝票!$A:$A,$A8,全伝票!$C:$C,$C8)))</f>
        <v>29424</v>
      </c>
      <c r="N8" s="108">
        <f t="shared" si="1"/>
        <v>0</v>
      </c>
      <c r="O8" s="25">
        <f t="shared" si="3"/>
        <v>0</v>
      </c>
      <c r="P8" s="25">
        <f t="shared" si="2"/>
        <v>0</v>
      </c>
      <c r="Q8" s="157">
        <f t="shared" si="3"/>
        <v>0</v>
      </c>
      <c r="R8" s="157">
        <f t="shared" si="4"/>
        <v>0</v>
      </c>
      <c r="S8" s="22">
        <f t="shared" si="5"/>
        <v>0</v>
      </c>
      <c r="T8" s="109">
        <f t="shared" si="6"/>
        <v>6205907</v>
      </c>
      <c r="U8" s="107">
        <f t="shared" si="7"/>
        <v>0</v>
      </c>
      <c r="V8" s="107">
        <f t="shared" si="8"/>
        <v>0</v>
      </c>
      <c r="W8" s="107">
        <f t="shared" si="9"/>
        <v>0</v>
      </c>
      <c r="X8" s="107">
        <f t="shared" si="9"/>
        <v>0</v>
      </c>
      <c r="Y8" s="107">
        <f t="shared" si="10"/>
        <v>0</v>
      </c>
      <c r="Z8" s="106">
        <f t="shared" si="11"/>
        <v>0</v>
      </c>
      <c r="AA8" s="106">
        <f t="shared" si="12"/>
        <v>0</v>
      </c>
      <c r="AB8" s="106">
        <f t="shared" si="13"/>
        <v>0</v>
      </c>
      <c r="AC8" s="106">
        <f t="shared" si="13"/>
        <v>0</v>
      </c>
      <c r="AD8" s="106">
        <f t="shared" si="14"/>
        <v>0</v>
      </c>
    </row>
    <row r="9" spans="1:35">
      <c r="A9" s="165">
        <v>1</v>
      </c>
      <c r="B9" s="164" t="s">
        <v>142</v>
      </c>
      <c r="C9" s="163"/>
      <c r="D9" s="162" t="s">
        <v>104</v>
      </c>
      <c r="E9" s="158">
        <f>+IF($A9="",IF($C9="",SUMIFS(全伝票!I:I,全伝票!$B:$B,$B9),SUMIFS(全伝票!I:I,全伝票!$C:$C,$C9)),IF($C9="",SUMIFS(全伝票!I:I,全伝票!$A:$A,$A9,全伝票!$B:$B,$B9),SUMIFS(全伝票!I:I,全伝票!$A:$A,$A9,全伝票!$C:$C,$C9)))</f>
        <v>0</v>
      </c>
      <c r="F9" s="161">
        <f>+IF($A9="",IF($C9="",SUMIFS(全伝票!J:J,全伝票!$B:$B,$B9),SUMIFS(全伝票!J:J,全伝票!$C:$C,$C9)),IF($C9="",SUMIFS(全伝票!J:J,全伝票!$A:$A,$A9,全伝票!$B:$B,$B9),SUMIFS(全伝票!J:J,全伝票!$A:$A,$A9,全伝票!$C:$C,$C9)))</f>
        <v>0</v>
      </c>
      <c r="G9" s="160">
        <f>+IF($A9="",IF($C9="",SUMIFS(全伝票!K:K,全伝票!$B:$B,$B9),SUMIFS(全伝票!K:K,全伝票!$C:$C,$C9)),IF($C9="",SUMIFS(全伝票!K:K,全伝票!$A:$A,$A9,全伝票!$B:$B,$B9),SUMIFS(全伝票!K:K,全伝票!$A:$A,$A9,全伝票!$C:$C,$C9)))</f>
        <v>0</v>
      </c>
      <c r="H9" s="160">
        <f>+IF($A9="",IF($C9="",SUMIFS(全伝票!L:L,全伝票!$B:$B,$B9),SUMIFS(全伝票!L:L,全伝票!$C:$C,$C9)),IF($C9="",SUMIFS(全伝票!L:L,全伝票!$A:$A,$A9,全伝票!$B:$B,$B9),SUMIFS(全伝票!L:L,全伝票!$A:$A,$A9,全伝票!$C:$C,$C9)))</f>
        <v>0</v>
      </c>
      <c r="I9" s="159">
        <f>+IF($A9="",IF($C9="",SUMIFS(全伝票!M:M,全伝票!$B:$B,$B9),SUMIFS(全伝票!M:M,全伝票!$C:$C,$C9)),IF($C9="",SUMIFS(全伝票!M:M,全伝票!$A:$A,$A9,全伝票!$B:$B,$B9),SUMIFS(全伝票!M:M,全伝票!$A:$A,$A9,全伝票!$C:$C,$C9)))</f>
        <v>0</v>
      </c>
      <c r="J9" s="159">
        <f>+IF($A9="",IF($C9="",SUMIFS(全伝票!N:N,全伝票!$B:$B,$B9),SUMIFS(全伝票!N:N,全伝票!$C:$C,$C9)),IF($C9="",SUMIFS(全伝票!N:N,全伝票!$A:$A,$A9,全伝票!$B:$B,$B9),SUMIFS(全伝票!N:N,全伝票!$A:$A,$A9,全伝票!$C:$C,$C9)))</f>
        <v>0</v>
      </c>
      <c r="K9" s="34">
        <f t="shared" si="0"/>
        <v>0</v>
      </c>
      <c r="L9" s="158">
        <f>+IF($A9="",IF($C9="",SUMIFS(全伝票!O:O,全伝票!$B:$B,$B9),SUMIFS(全伝票!O:O,全伝票!$C:$C,$C9)),IF($C9="",SUMIFS(全伝票!O:O,全伝票!$A:$A,$A9,全伝票!$B:$B,$B9),SUMIFS(全伝票!O:O,全伝票!$A:$A,$A9,全伝票!$C:$C,$C9)))</f>
        <v>0</v>
      </c>
      <c r="M9" s="158">
        <f>+IF($A9="",IF($C9="",SUMIFS(全伝票!P:P,全伝票!$B:$B,$B9),SUMIFS(全伝票!P:P,全伝票!$C:$C,$C9)),IF($C9="",SUMIFS(全伝票!P:P,全伝票!$A:$A,$A9,全伝票!$B:$B,$B9),SUMIFS(全伝票!P:P,全伝票!$A:$A,$A9,全伝票!$C:$C,$C9)))</f>
        <v>0</v>
      </c>
      <c r="N9" s="108">
        <f t="shared" si="1"/>
        <v>0</v>
      </c>
      <c r="O9" s="25">
        <f t="shared" si="3"/>
        <v>0</v>
      </c>
      <c r="P9" s="25">
        <f t="shared" si="2"/>
        <v>0</v>
      </c>
      <c r="Q9" s="157">
        <f t="shared" si="3"/>
        <v>0</v>
      </c>
      <c r="R9" s="157">
        <f t="shared" si="4"/>
        <v>0</v>
      </c>
      <c r="S9" s="22">
        <f t="shared" si="5"/>
        <v>0</v>
      </c>
      <c r="T9" s="109">
        <f t="shared" si="6"/>
        <v>0</v>
      </c>
      <c r="U9" s="107">
        <f t="shared" si="7"/>
        <v>0</v>
      </c>
      <c r="V9" s="107">
        <f t="shared" si="8"/>
        <v>0</v>
      </c>
      <c r="W9" s="107">
        <f t="shared" si="9"/>
        <v>0</v>
      </c>
      <c r="X9" s="107">
        <f t="shared" si="9"/>
        <v>0</v>
      </c>
      <c r="Y9" s="107">
        <f t="shared" si="10"/>
        <v>0</v>
      </c>
      <c r="Z9" s="106">
        <f t="shared" si="11"/>
        <v>0</v>
      </c>
      <c r="AA9" s="106">
        <f t="shared" si="12"/>
        <v>0</v>
      </c>
      <c r="AB9" s="106">
        <f t="shared" si="13"/>
        <v>0</v>
      </c>
      <c r="AC9" s="106">
        <f t="shared" si="13"/>
        <v>0</v>
      </c>
      <c r="AD9" s="106">
        <f t="shared" si="14"/>
        <v>0</v>
      </c>
    </row>
    <row r="10" spans="1:35">
      <c r="A10" s="165">
        <v>1</v>
      </c>
      <c r="B10" s="164" t="s">
        <v>141</v>
      </c>
      <c r="C10" s="163"/>
      <c r="D10" s="162" t="s">
        <v>102</v>
      </c>
      <c r="E10" s="158">
        <f>+IF($A10="",IF($C10="",SUMIFS(全伝票!I:I,全伝票!$B:$B,$B10),SUMIFS(全伝票!I:I,全伝票!$C:$C,$C10)),IF($C10="",SUMIFS(全伝票!I:I,全伝票!$A:$A,$A10,全伝票!$B:$B,$B10),SUMIFS(全伝票!I:I,全伝票!$A:$A,$A10,全伝票!$C:$C,$C10)))</f>
        <v>0</v>
      </c>
      <c r="F10" s="161">
        <f>+IF($A10="",IF($C10="",SUMIFS(全伝票!J:J,全伝票!$B:$B,$B10),SUMIFS(全伝票!J:J,全伝票!$C:$C,$C10)),IF($C10="",SUMIFS(全伝票!J:J,全伝票!$A:$A,$A10,全伝票!$B:$B,$B10),SUMIFS(全伝票!J:J,全伝票!$A:$A,$A10,全伝票!$C:$C,$C10)))</f>
        <v>0</v>
      </c>
      <c r="G10" s="160">
        <f>+IF($A10="",IF($C10="",SUMIFS(全伝票!K:K,全伝票!$B:$B,$B10),SUMIFS(全伝票!K:K,全伝票!$C:$C,$C10)),IF($C10="",SUMIFS(全伝票!K:K,全伝票!$A:$A,$A10,全伝票!$B:$B,$B10),SUMIFS(全伝票!K:K,全伝票!$A:$A,$A10,全伝票!$C:$C,$C10)))</f>
        <v>0</v>
      </c>
      <c r="H10" s="276">
        <f>+IF($A10="",IF($C10="",SUMIFS(全伝票!L:L,全伝票!$B:$B,$B10),SUMIFS(全伝票!L:L,全伝票!$C:$C,$C10)),IF($C10="",SUMIFS(全伝票!L:L,全伝票!$A:$A,$A10,全伝票!$B:$B,$B10),SUMIFS(全伝票!L:L,全伝票!$A:$A,$A10,全伝票!$C:$C,$C10)))</f>
        <v>0</v>
      </c>
      <c r="I10" s="271">
        <f>+IF($A10="",IF($C10="",SUMIFS(全伝票!M:M,全伝票!$B:$B,$B10),SUMIFS(全伝票!M:M,全伝票!$C:$C,$C10)),IF($C10="",SUMIFS(全伝票!M:M,全伝票!$A:$A,$A10,全伝票!$B:$B,$B10),SUMIFS(全伝票!M:M,全伝票!$A:$A,$A10,全伝票!$C:$C,$C10)))</f>
        <v>0</v>
      </c>
      <c r="J10" s="159">
        <f>+IF($A10="",IF($C10="",SUMIFS(全伝票!N:N,全伝票!$B:$B,$B10),SUMIFS(全伝票!N:N,全伝票!$C:$C,$C10)),IF($C10="",SUMIFS(全伝票!N:N,全伝票!$A:$A,$A10,全伝票!$B:$B,$B10),SUMIFS(全伝票!N:N,全伝票!$A:$A,$A10,全伝票!$C:$C,$C10)))</f>
        <v>0</v>
      </c>
      <c r="K10" s="34">
        <f t="shared" si="0"/>
        <v>0</v>
      </c>
      <c r="L10" s="158">
        <f>+IF($A10="",IF($C10="",SUMIFS(全伝票!O:O,全伝票!$B:$B,$B10),SUMIFS(全伝票!O:O,全伝票!$C:$C,$C10)),IF($C10="",SUMIFS(全伝票!O:O,全伝票!$A:$A,$A10,全伝票!$B:$B,$B10),SUMIFS(全伝票!O:O,全伝票!$A:$A,$A10,全伝票!$C:$C,$C10)))</f>
        <v>0</v>
      </c>
      <c r="M10" s="278">
        <f>+IF($A10="",IF($C10="",SUMIFS(全伝票!P:P,全伝票!$B:$B,$B10),SUMIFS(全伝票!P:P,全伝票!$C:$C,$C10)),IF($C10="",SUMIFS(全伝票!P:P,全伝票!$A:$A,$A10,全伝票!$B:$B,$B10),SUMIFS(全伝票!P:P,全伝票!$A:$A,$A10,全伝票!$C:$C,$C10)))</f>
        <v>0</v>
      </c>
      <c r="N10" s="108">
        <f t="shared" si="1"/>
        <v>0</v>
      </c>
      <c r="O10" s="25">
        <f t="shared" si="3"/>
        <v>0</v>
      </c>
      <c r="P10" s="25">
        <f t="shared" si="2"/>
        <v>0</v>
      </c>
      <c r="Q10" s="157">
        <f t="shared" si="3"/>
        <v>0</v>
      </c>
      <c r="R10" s="157">
        <f t="shared" si="4"/>
        <v>0</v>
      </c>
      <c r="S10" s="22">
        <f t="shared" si="5"/>
        <v>0</v>
      </c>
      <c r="T10" s="109">
        <f t="shared" si="6"/>
        <v>0</v>
      </c>
      <c r="U10" s="107">
        <f t="shared" si="7"/>
        <v>0</v>
      </c>
      <c r="V10" s="107">
        <f t="shared" si="8"/>
        <v>0</v>
      </c>
      <c r="W10" s="107">
        <f t="shared" si="9"/>
        <v>0</v>
      </c>
      <c r="X10" s="107">
        <f t="shared" si="9"/>
        <v>0</v>
      </c>
      <c r="Y10" s="107">
        <f t="shared" si="10"/>
        <v>0</v>
      </c>
      <c r="Z10" s="106">
        <f t="shared" si="11"/>
        <v>0</v>
      </c>
      <c r="AA10" s="106">
        <f t="shared" si="12"/>
        <v>0</v>
      </c>
      <c r="AB10" s="106">
        <f t="shared" si="13"/>
        <v>0</v>
      </c>
      <c r="AC10" s="106">
        <f t="shared" si="13"/>
        <v>0</v>
      </c>
      <c r="AD10" s="106">
        <f t="shared" si="14"/>
        <v>0</v>
      </c>
    </row>
    <row r="11" spans="1:35">
      <c r="A11" s="165">
        <v>1</v>
      </c>
      <c r="B11" s="164" t="s">
        <v>140</v>
      </c>
      <c r="C11" s="163"/>
      <c r="D11" s="162" t="s">
        <v>100</v>
      </c>
      <c r="E11" s="158">
        <f>+IF($A11="",IF($C11="",SUMIFS(全伝票!I:I,全伝票!$B:$B,$B11),SUMIFS(全伝票!I:I,全伝票!$C:$C,$C11)),IF($C11="",SUMIFS(全伝票!I:I,全伝票!$A:$A,$A11,全伝票!$B:$B,$B11),SUMIFS(全伝票!I:I,全伝票!$A:$A,$A11,全伝票!$C:$C,$C11)))</f>
        <v>0</v>
      </c>
      <c r="F11" s="161">
        <f>+IF($A11="",IF($C11="",SUMIFS(全伝票!J:J,全伝票!$B:$B,$B11),SUMIFS(全伝票!J:J,全伝票!$C:$C,$C11)),IF($C11="",SUMIFS(全伝票!J:J,全伝票!$A:$A,$A11,全伝票!$B:$B,$B11),SUMIFS(全伝票!J:J,全伝票!$A:$A,$A11,全伝票!$C:$C,$C11)))</f>
        <v>0</v>
      </c>
      <c r="G11" s="160">
        <f>+IF($A11="",IF($C11="",SUMIFS(全伝票!K:K,全伝票!$B:$B,$B11),SUMIFS(全伝票!K:K,全伝票!$C:$C,$C11)),IF($C11="",SUMIFS(全伝票!K:K,全伝票!$A:$A,$A11,全伝票!$B:$B,$B11),SUMIFS(全伝票!K:K,全伝票!$A:$A,$A11,全伝票!$C:$C,$C11)))</f>
        <v>0</v>
      </c>
      <c r="H11" s="160">
        <f>+IF($A11="",IF($C11="",SUMIFS(全伝票!L:L,全伝票!$B:$B,$B11),SUMIFS(全伝票!L:L,全伝票!$C:$C,$C11)),IF($C11="",SUMIFS(全伝票!L:L,全伝票!$A:$A,$A11,全伝票!$B:$B,$B11),SUMIFS(全伝票!L:L,全伝票!$A:$A,$A11,全伝票!$C:$C,$C11)))</f>
        <v>0</v>
      </c>
      <c r="I11" s="159">
        <f>+IF($A11="",IF($C11="",SUMIFS(全伝票!M:M,全伝票!$B:$B,$B11),SUMIFS(全伝票!M:M,全伝票!$C:$C,$C11)),IF($C11="",SUMIFS(全伝票!M:M,全伝票!$A:$A,$A11,全伝票!$B:$B,$B11),SUMIFS(全伝票!M:M,全伝票!$A:$A,$A11,全伝票!$C:$C,$C11)))</f>
        <v>0</v>
      </c>
      <c r="J11" s="159">
        <f>+IF($A11="",IF($C11="",SUMIFS(全伝票!N:N,全伝票!$B:$B,$B11),SUMIFS(全伝票!N:N,全伝票!$C:$C,$C11)),IF($C11="",SUMIFS(全伝票!N:N,全伝票!$A:$A,$A11,全伝票!$B:$B,$B11),SUMIFS(全伝票!N:N,全伝票!$A:$A,$A11,全伝票!$C:$C,$C11)))</f>
        <v>0</v>
      </c>
      <c r="K11" s="34">
        <f t="shared" si="0"/>
        <v>0</v>
      </c>
      <c r="L11" s="158">
        <f>+IF($A11="",IF($C11="",SUMIFS(全伝票!O:O,全伝票!$B:$B,$B11),SUMIFS(全伝票!O:O,全伝票!$C:$C,$C11)),IF($C11="",SUMIFS(全伝票!O:O,全伝票!$A:$A,$A11,全伝票!$B:$B,$B11),SUMIFS(全伝票!O:O,全伝票!$A:$A,$A11,全伝票!$C:$C,$C11)))</f>
        <v>0</v>
      </c>
      <c r="M11" s="158">
        <f>+IF($A11="",IF($C11="",SUMIFS(全伝票!P:P,全伝票!$B:$B,$B11),SUMIFS(全伝票!P:P,全伝票!$C:$C,$C11)),IF($C11="",SUMIFS(全伝票!P:P,全伝票!$A:$A,$A11,全伝票!$B:$B,$B11),SUMIFS(全伝票!P:P,全伝票!$A:$A,$A11,全伝票!$C:$C,$C11)))</f>
        <v>0</v>
      </c>
      <c r="N11" s="108">
        <f t="shared" si="1"/>
        <v>0</v>
      </c>
      <c r="O11" s="25">
        <f t="shared" si="3"/>
        <v>0</v>
      </c>
      <c r="P11" s="25">
        <f t="shared" si="2"/>
        <v>0</v>
      </c>
      <c r="Q11" s="157">
        <f t="shared" si="3"/>
        <v>0</v>
      </c>
      <c r="R11" s="157">
        <f t="shared" si="4"/>
        <v>0</v>
      </c>
      <c r="S11" s="22">
        <f t="shared" si="5"/>
        <v>0</v>
      </c>
      <c r="T11" s="109">
        <f t="shared" si="6"/>
        <v>0</v>
      </c>
      <c r="U11" s="107">
        <f t="shared" si="7"/>
        <v>0</v>
      </c>
      <c r="V11" s="107">
        <f t="shared" si="8"/>
        <v>0</v>
      </c>
      <c r="W11" s="107">
        <f t="shared" si="9"/>
        <v>0</v>
      </c>
      <c r="X11" s="107">
        <f t="shared" si="9"/>
        <v>0</v>
      </c>
      <c r="Y11" s="107">
        <f t="shared" si="10"/>
        <v>0</v>
      </c>
      <c r="Z11" s="106">
        <f t="shared" si="11"/>
        <v>0</v>
      </c>
      <c r="AA11" s="106">
        <f t="shared" si="12"/>
        <v>0</v>
      </c>
      <c r="AB11" s="106">
        <f t="shared" si="13"/>
        <v>0</v>
      </c>
      <c r="AC11" s="106">
        <f t="shared" si="13"/>
        <v>0</v>
      </c>
      <c r="AD11" s="106">
        <f t="shared" si="14"/>
        <v>0</v>
      </c>
    </row>
    <row r="12" spans="1:35">
      <c r="A12" s="165">
        <v>1</v>
      </c>
      <c r="B12" s="164" t="s">
        <v>138</v>
      </c>
      <c r="C12" s="163" t="s">
        <v>139</v>
      </c>
      <c r="D12" s="162" t="s">
        <v>98</v>
      </c>
      <c r="E12" s="158">
        <f>+IF($A12="",IF($C12="",SUMIFS(全伝票!I:I,全伝票!$B:$B,$B12),SUMIFS(全伝票!I:I,全伝票!$C:$C,$C12)),IF($C12="",SUMIFS(全伝票!I:I,全伝票!$A:$A,$A12,全伝票!$B:$B,$B12),SUMIFS(全伝票!I:I,全伝票!$A:$A,$A12,全伝票!$C:$C,$C12)))</f>
        <v>0</v>
      </c>
      <c r="F12" s="161">
        <f>+IF($A12="",IF($C12="",SUMIFS(全伝票!J:J,全伝票!$B:$B,$B12),SUMIFS(全伝票!J:J,全伝票!$C:$C,$C12)),IF($C12="",SUMIFS(全伝票!J:J,全伝票!$A:$A,$A12,全伝票!$B:$B,$B12),SUMIFS(全伝票!J:J,全伝票!$A:$A,$A12,全伝票!$C:$C,$C12)))</f>
        <v>0</v>
      </c>
      <c r="G12" s="160">
        <f>+IF($A12="",IF($C12="",SUMIFS(全伝票!K:K,全伝票!$B:$B,$B12),SUMIFS(全伝票!K:K,全伝票!$C:$C,$C12)),IF($C12="",SUMIFS(全伝票!K:K,全伝票!$A:$A,$A12,全伝票!$B:$B,$B12),SUMIFS(全伝票!K:K,全伝票!$A:$A,$A12,全伝票!$C:$C,$C12)))</f>
        <v>0</v>
      </c>
      <c r="H12" s="160">
        <f>+IF($A12="",IF($C12="",SUMIFS(全伝票!L:L,全伝票!$B:$B,$B12),SUMIFS(全伝票!L:L,全伝票!$C:$C,$C12)),IF($C12="",SUMIFS(全伝票!L:L,全伝票!$A:$A,$A12,全伝票!$B:$B,$B12),SUMIFS(全伝票!L:L,全伝票!$A:$A,$A12,全伝票!$C:$C,$C12)))</f>
        <v>0</v>
      </c>
      <c r="I12" s="159">
        <f>+IF($A12="",IF($C12="",SUMIFS(全伝票!M:M,全伝票!$B:$B,$B12),SUMIFS(全伝票!M:M,全伝票!$C:$C,$C12)),IF($C12="",SUMIFS(全伝票!M:M,全伝票!$A:$A,$A12,全伝票!$B:$B,$B12),SUMIFS(全伝票!M:M,全伝票!$A:$A,$A12,全伝票!$C:$C,$C12)))</f>
        <v>0</v>
      </c>
      <c r="J12" s="159">
        <f>+IF($A12="",IF($C12="",SUMIFS(全伝票!N:N,全伝票!$B:$B,$B12),SUMIFS(全伝票!N:N,全伝票!$C:$C,$C12)),IF($C12="",SUMIFS(全伝票!N:N,全伝票!$A:$A,$A12,全伝票!$B:$B,$B12),SUMIFS(全伝票!N:N,全伝票!$A:$A,$A12,全伝票!$C:$C,$C12)))</f>
        <v>0</v>
      </c>
      <c r="K12" s="34">
        <f t="shared" si="0"/>
        <v>0</v>
      </c>
      <c r="L12" s="158">
        <f>+IF($A12="",IF($C12="",SUMIFS(全伝票!O:O,全伝票!$B:$B,$B12),SUMIFS(全伝票!O:O,全伝票!$C:$C,$C12)),IF($C12="",SUMIFS(全伝票!O:O,全伝票!$A:$A,$A12,全伝票!$B:$B,$B12),SUMIFS(全伝票!O:O,全伝票!$A:$A,$A12,全伝票!$C:$C,$C12)))</f>
        <v>0</v>
      </c>
      <c r="M12" s="158">
        <f>+IF($A12="",IF($C12="",SUMIFS(全伝票!P:P,全伝票!$B:$B,$B12),SUMIFS(全伝票!P:P,全伝票!$C:$C,$C12)),IF($C12="",SUMIFS(全伝票!P:P,全伝票!$A:$A,$A12,全伝票!$B:$B,$B12),SUMIFS(全伝票!P:P,全伝票!$A:$A,$A12,全伝票!$C:$C,$C12)))</f>
        <v>0</v>
      </c>
      <c r="N12" s="108">
        <f t="shared" si="1"/>
        <v>0</v>
      </c>
      <c r="O12" s="25">
        <f t="shared" si="3"/>
        <v>0</v>
      </c>
      <c r="P12" s="25">
        <f t="shared" si="2"/>
        <v>0</v>
      </c>
      <c r="Q12" s="157">
        <f t="shared" si="3"/>
        <v>0</v>
      </c>
      <c r="R12" s="157">
        <f t="shared" si="4"/>
        <v>0</v>
      </c>
      <c r="S12" s="22">
        <f t="shared" si="5"/>
        <v>0</v>
      </c>
      <c r="T12" s="109">
        <f t="shared" si="6"/>
        <v>0</v>
      </c>
      <c r="U12" s="107">
        <f t="shared" si="7"/>
        <v>0</v>
      </c>
      <c r="V12" s="107">
        <f t="shared" si="8"/>
        <v>0</v>
      </c>
      <c r="W12" s="107">
        <f t="shared" si="9"/>
        <v>0</v>
      </c>
      <c r="X12" s="107">
        <f t="shared" si="9"/>
        <v>0</v>
      </c>
      <c r="Y12" s="107">
        <f t="shared" si="10"/>
        <v>0</v>
      </c>
      <c r="Z12" s="106">
        <f t="shared" si="11"/>
        <v>0</v>
      </c>
      <c r="AA12" s="106">
        <f t="shared" si="12"/>
        <v>0</v>
      </c>
      <c r="AB12" s="106">
        <f t="shared" si="13"/>
        <v>0</v>
      </c>
      <c r="AC12" s="106">
        <f t="shared" si="13"/>
        <v>0</v>
      </c>
      <c r="AD12" s="106">
        <f t="shared" si="14"/>
        <v>0</v>
      </c>
    </row>
    <row r="13" spans="1:35">
      <c r="A13" s="165">
        <v>1</v>
      </c>
      <c r="B13" s="164" t="s">
        <v>138</v>
      </c>
      <c r="C13" s="163" t="s">
        <v>137</v>
      </c>
      <c r="D13" s="162" t="s">
        <v>95</v>
      </c>
      <c r="E13" s="158">
        <f>+IF($A13="",IF($C13="",SUMIFS(全伝票!I:I,全伝票!$B:$B,$B13),SUMIFS(全伝票!I:I,全伝票!$C:$C,$C13)),IF($C13="",SUMIFS(全伝票!I:I,全伝票!$A:$A,$A13,全伝票!$B:$B,$B13),SUMIFS(全伝票!I:I,全伝票!$A:$A,$A13,全伝票!$C:$C,$C13)))</f>
        <v>0</v>
      </c>
      <c r="F13" s="161">
        <f>+IF($A13="",IF($C13="",SUMIFS(全伝票!J:J,全伝票!$B:$B,$B13),SUMIFS(全伝票!J:J,全伝票!$C:$C,$C13)),IF($C13="",SUMIFS(全伝票!J:J,全伝票!$A:$A,$A13,全伝票!$B:$B,$B13),SUMIFS(全伝票!J:J,全伝票!$A:$A,$A13,全伝票!$C:$C,$C13)))</f>
        <v>0</v>
      </c>
      <c r="G13" s="160">
        <f>+IF($A13="",IF($C13="",SUMIFS(全伝票!K:K,全伝票!$B:$B,$B13),SUMIFS(全伝票!K:K,全伝票!$C:$C,$C13)),IF($C13="",SUMIFS(全伝票!K:K,全伝票!$A:$A,$A13,全伝票!$B:$B,$B13),SUMIFS(全伝票!K:K,全伝票!$A:$A,$A13,全伝票!$C:$C,$C13)))</f>
        <v>0</v>
      </c>
      <c r="H13" s="160">
        <f>+IF($A13="",IF($C13="",SUMIFS(全伝票!L:L,全伝票!$B:$B,$B13),SUMIFS(全伝票!L:L,全伝票!$C:$C,$C13)),IF($C13="",SUMIFS(全伝票!L:L,全伝票!$A:$A,$A13,全伝票!$B:$B,$B13),SUMIFS(全伝票!L:L,全伝票!$A:$A,$A13,全伝票!$C:$C,$C13)))</f>
        <v>0</v>
      </c>
      <c r="I13" s="159">
        <f>+IF($A13="",IF($C13="",SUMIFS(全伝票!M:M,全伝票!$B:$B,$B13),SUMIFS(全伝票!M:M,全伝票!$C:$C,$C13)),IF($C13="",SUMIFS(全伝票!M:M,全伝票!$A:$A,$A13,全伝票!$B:$B,$B13),SUMIFS(全伝票!M:M,全伝票!$A:$A,$A13,全伝票!$C:$C,$C13)))</f>
        <v>0</v>
      </c>
      <c r="J13" s="159">
        <f>+IF($A13="",IF($C13="",SUMIFS(全伝票!N:N,全伝票!$B:$B,$B13),SUMIFS(全伝票!N:N,全伝票!$C:$C,$C13)),IF($C13="",SUMIFS(全伝票!N:N,全伝票!$A:$A,$A13,全伝票!$B:$B,$B13),SUMIFS(全伝票!N:N,全伝票!$A:$A,$A13,全伝票!$C:$C,$C13)))</f>
        <v>0</v>
      </c>
      <c r="K13" s="34">
        <f t="shared" si="0"/>
        <v>0</v>
      </c>
      <c r="L13" s="158">
        <f>+IF($A13="",IF($C13="",SUMIFS(全伝票!O:O,全伝票!$B:$B,$B13),SUMIFS(全伝票!O:O,全伝票!$C:$C,$C13)),IF($C13="",SUMIFS(全伝票!O:O,全伝票!$A:$A,$A13,全伝票!$B:$B,$B13),SUMIFS(全伝票!O:O,全伝票!$A:$A,$A13,全伝票!$C:$C,$C13)))</f>
        <v>0</v>
      </c>
      <c r="M13" s="158">
        <f>+IF($A13="",IF($C13="",SUMIFS(全伝票!P:P,全伝票!$B:$B,$B13),SUMIFS(全伝票!P:P,全伝票!$C:$C,$C13)),IF($C13="",SUMIFS(全伝票!P:P,全伝票!$A:$A,$A13,全伝票!$B:$B,$B13),SUMIFS(全伝票!P:P,全伝票!$A:$A,$A13,全伝票!$C:$C,$C13)))</f>
        <v>0</v>
      </c>
      <c r="N13" s="108">
        <f t="shared" si="1"/>
        <v>0</v>
      </c>
      <c r="O13" s="25">
        <f t="shared" si="3"/>
        <v>0</v>
      </c>
      <c r="P13" s="25">
        <f t="shared" si="2"/>
        <v>0</v>
      </c>
      <c r="Q13" s="157">
        <f t="shared" si="3"/>
        <v>0</v>
      </c>
      <c r="R13" s="157">
        <f t="shared" si="4"/>
        <v>0</v>
      </c>
      <c r="S13" s="22">
        <f t="shared" si="5"/>
        <v>0</v>
      </c>
      <c r="T13" s="109">
        <f t="shared" si="6"/>
        <v>0</v>
      </c>
      <c r="U13" s="107">
        <f t="shared" si="7"/>
        <v>0</v>
      </c>
      <c r="V13" s="107">
        <f t="shared" si="8"/>
        <v>0</v>
      </c>
      <c r="W13" s="107">
        <f t="shared" si="9"/>
        <v>0</v>
      </c>
      <c r="X13" s="107">
        <f t="shared" si="9"/>
        <v>0</v>
      </c>
      <c r="Y13" s="107">
        <f t="shared" si="10"/>
        <v>0</v>
      </c>
      <c r="Z13" s="106">
        <f t="shared" si="11"/>
        <v>0</v>
      </c>
      <c r="AA13" s="106">
        <f t="shared" si="12"/>
        <v>0</v>
      </c>
      <c r="AB13" s="106">
        <f t="shared" si="13"/>
        <v>0</v>
      </c>
      <c r="AC13" s="106">
        <f t="shared" si="13"/>
        <v>0</v>
      </c>
      <c r="AD13" s="106">
        <f t="shared" si="14"/>
        <v>0</v>
      </c>
    </row>
    <row r="14" spans="1:35">
      <c r="A14" s="165">
        <v>1</v>
      </c>
      <c r="B14" s="164" t="s">
        <v>136</v>
      </c>
      <c r="C14" s="163"/>
      <c r="D14" s="162" t="s">
        <v>93</v>
      </c>
      <c r="E14" s="158">
        <f>+IF($A14="",IF($C14="",SUMIFS(全伝票!I:I,全伝票!$B:$B,$B14),SUMIFS(全伝票!I:I,全伝票!$C:$C,$C14)),IF($C14="",SUMIFS(全伝票!I:I,全伝票!$A:$A,$A14,全伝票!$B:$B,$B14),SUMIFS(全伝票!I:I,全伝票!$A:$A,$A14,全伝票!$C:$C,$C14)))</f>
        <v>123964</v>
      </c>
      <c r="F14" s="161">
        <f>+IF($A14="",IF($C14="",SUMIFS(全伝票!J:J,全伝票!$B:$B,$B14),SUMIFS(全伝票!J:J,全伝票!$C:$C,$C14)),IF($C14="",SUMIFS(全伝票!J:J,全伝票!$A:$A,$A14,全伝票!$B:$B,$B14),SUMIFS(全伝票!J:J,全伝票!$A:$A,$A14,全伝票!$C:$C,$C14)))</f>
        <v>0</v>
      </c>
      <c r="G14" s="160">
        <f>+IF($A14="",IF($C14="",SUMIFS(全伝票!K:K,全伝票!$B:$B,$B14),SUMIFS(全伝票!K:K,全伝票!$C:$C,$C14)),IF($C14="",SUMIFS(全伝票!K:K,全伝票!$A:$A,$A14,全伝票!$B:$B,$B14),SUMIFS(全伝票!K:K,全伝票!$A:$A,$A14,全伝票!$C:$C,$C14)))</f>
        <v>0</v>
      </c>
      <c r="H14" s="160">
        <f>+IF($A14="",IF($C14="",SUMIFS(全伝票!L:L,全伝票!$B:$B,$B14),SUMIFS(全伝票!L:L,全伝票!$C:$C,$C14)),IF($C14="",SUMIFS(全伝票!L:L,全伝票!$A:$A,$A14,全伝票!$B:$B,$B14),SUMIFS(全伝票!L:L,全伝票!$A:$A,$A14,全伝票!$C:$C,$C14)))</f>
        <v>0</v>
      </c>
      <c r="I14" s="159">
        <f>+IF($A14="",IF($C14="",SUMIFS(全伝票!M:M,全伝票!$B:$B,$B14),SUMIFS(全伝票!M:M,全伝票!$C:$C,$C14)),IF($C14="",SUMIFS(全伝票!M:M,全伝票!$A:$A,$A14,全伝票!$B:$B,$B14),SUMIFS(全伝票!M:M,全伝票!$A:$A,$A14,全伝票!$C:$C,$C14)))</f>
        <v>0</v>
      </c>
      <c r="J14" s="159">
        <f>+IF($A14="",IF($C14="",SUMIFS(全伝票!N:N,全伝票!$B:$B,$B14),SUMIFS(全伝票!N:N,全伝票!$C:$C,$C14)),IF($C14="",SUMIFS(全伝票!N:N,全伝票!$A:$A,$A14,全伝票!$B:$B,$B14),SUMIFS(全伝票!N:N,全伝票!$A:$A,$A14,全伝票!$C:$C,$C14)))</f>
        <v>123964</v>
      </c>
      <c r="K14" s="34">
        <f t="shared" si="0"/>
        <v>123964</v>
      </c>
      <c r="L14" s="158">
        <f>+IF($A14="",IF($C14="",SUMIFS(全伝票!O:O,全伝票!$B:$B,$B14),SUMIFS(全伝票!O:O,全伝票!$C:$C,$C14)),IF($C14="",SUMIFS(全伝票!O:O,全伝票!$A:$A,$A14,全伝票!$B:$B,$B14),SUMIFS(全伝票!O:O,全伝票!$A:$A,$A14,全伝票!$C:$C,$C14)))</f>
        <v>0</v>
      </c>
      <c r="M14" s="158">
        <f>+IF($A14="",IF($C14="",SUMIFS(全伝票!P:P,全伝票!$B:$B,$B14),SUMIFS(全伝票!P:P,全伝票!$C:$C,$C14)),IF($C14="",SUMIFS(全伝票!P:P,全伝票!$A:$A,$A14,全伝票!$B:$B,$B14),SUMIFS(全伝票!P:P,全伝票!$A:$A,$A14,全伝票!$C:$C,$C14)))</f>
        <v>0</v>
      </c>
      <c r="N14" s="108">
        <f t="shared" si="1"/>
        <v>0</v>
      </c>
      <c r="O14" s="25">
        <f t="shared" si="3"/>
        <v>0</v>
      </c>
      <c r="P14" s="25">
        <f t="shared" si="2"/>
        <v>0</v>
      </c>
      <c r="Q14" s="157">
        <f t="shared" si="3"/>
        <v>0</v>
      </c>
      <c r="R14" s="157">
        <f t="shared" si="4"/>
        <v>11269</v>
      </c>
      <c r="S14" s="22">
        <f t="shared" si="5"/>
        <v>11269</v>
      </c>
      <c r="T14" s="109">
        <f t="shared" si="6"/>
        <v>112695</v>
      </c>
      <c r="U14" s="107">
        <f t="shared" si="7"/>
        <v>0</v>
      </c>
      <c r="V14" s="107">
        <f t="shared" si="8"/>
        <v>0</v>
      </c>
      <c r="W14" s="107">
        <f t="shared" si="9"/>
        <v>0</v>
      </c>
      <c r="X14" s="107">
        <f t="shared" si="9"/>
        <v>0</v>
      </c>
      <c r="Y14" s="107">
        <f t="shared" si="10"/>
        <v>-0.45454545454595063</v>
      </c>
      <c r="Z14" s="106">
        <f t="shared" si="11"/>
        <v>0</v>
      </c>
      <c r="AA14" s="106">
        <f t="shared" si="12"/>
        <v>0</v>
      </c>
      <c r="AB14" s="106">
        <f t="shared" si="13"/>
        <v>0</v>
      </c>
      <c r="AC14" s="106">
        <f t="shared" si="13"/>
        <v>0</v>
      </c>
      <c r="AD14" s="106">
        <f t="shared" si="14"/>
        <v>0</v>
      </c>
    </row>
    <row r="15" spans="1:35">
      <c r="A15" s="165">
        <v>1</v>
      </c>
      <c r="B15" s="164" t="s">
        <v>135</v>
      </c>
      <c r="C15" s="163"/>
      <c r="D15" s="162" t="s">
        <v>91</v>
      </c>
      <c r="E15" s="158">
        <f>+IF($A15="",IF($C15="",SUMIFS(全伝票!I:I,全伝票!$B:$B,$B15),SUMIFS(全伝票!I:I,全伝票!$C:$C,$C15)),IF($C15="",SUMIFS(全伝票!I:I,全伝票!$A:$A,$A15,全伝票!$B:$B,$B15),SUMIFS(全伝票!I:I,全伝票!$A:$A,$A15,全伝票!$C:$C,$C15)))</f>
        <v>67172</v>
      </c>
      <c r="F15" s="161">
        <f>+IF($A15="",IF($C15="",SUMIFS(全伝票!J:J,全伝票!$B:$B,$B15),SUMIFS(全伝票!J:J,全伝票!$C:$C,$C15)),IF($C15="",SUMIFS(全伝票!J:J,全伝票!$A:$A,$A15,全伝票!$B:$B,$B15),SUMIFS(全伝票!J:J,全伝票!$A:$A,$A15,全伝票!$C:$C,$C15)))</f>
        <v>0</v>
      </c>
      <c r="G15" s="160">
        <f>+IF($A15="",IF($C15="",SUMIFS(全伝票!K:K,全伝票!$B:$B,$B15),SUMIFS(全伝票!K:K,全伝票!$C:$C,$C15)),IF($C15="",SUMIFS(全伝票!K:K,全伝票!$A:$A,$A15,全伝票!$B:$B,$B15),SUMIFS(全伝票!K:K,全伝票!$A:$A,$A15,全伝票!$C:$C,$C15)))</f>
        <v>0</v>
      </c>
      <c r="H15" s="160">
        <f>+IF($A15="",IF($C15="",SUMIFS(全伝票!L:L,全伝票!$B:$B,$B15),SUMIFS(全伝票!L:L,全伝票!$C:$C,$C15)),IF($C15="",SUMIFS(全伝票!L:L,全伝票!$A:$A,$A15,全伝票!$B:$B,$B15),SUMIFS(全伝票!L:L,全伝票!$A:$A,$A15,全伝票!$C:$C,$C15)))</f>
        <v>0</v>
      </c>
      <c r="I15" s="159">
        <f>+IF($A15="",IF($C15="",SUMIFS(全伝票!M:M,全伝票!$B:$B,$B15),SUMIFS(全伝票!M:M,全伝票!$C:$C,$C15)),IF($C15="",SUMIFS(全伝票!M:M,全伝票!$A:$A,$A15,全伝票!$B:$B,$B15),SUMIFS(全伝票!M:M,全伝票!$A:$A,$A15,全伝票!$C:$C,$C15)))</f>
        <v>0</v>
      </c>
      <c r="J15" s="159">
        <f>+IF($A15="",IF($C15="",SUMIFS(全伝票!N:N,全伝票!$B:$B,$B15),SUMIFS(全伝票!N:N,全伝票!$C:$C,$C15)),IF($C15="",SUMIFS(全伝票!N:N,全伝票!$A:$A,$A15,全伝票!$B:$B,$B15),SUMIFS(全伝票!N:N,全伝票!$A:$A,$A15,全伝票!$C:$C,$C15)))</f>
        <v>67172</v>
      </c>
      <c r="K15" s="34">
        <f t="shared" si="0"/>
        <v>67172</v>
      </c>
      <c r="L15" s="158">
        <f>+IF($A15="",IF($C15="",SUMIFS(全伝票!O:O,全伝票!$B:$B,$B15),SUMIFS(全伝票!O:O,全伝票!$C:$C,$C15)),IF($C15="",SUMIFS(全伝票!O:O,全伝票!$A:$A,$A15,全伝票!$B:$B,$B15),SUMIFS(全伝票!O:O,全伝票!$A:$A,$A15,全伝票!$C:$C,$C15)))</f>
        <v>0</v>
      </c>
      <c r="M15" s="158">
        <f>+IF($A15="",IF($C15="",SUMIFS(全伝票!P:P,全伝票!$B:$B,$B15),SUMIFS(全伝票!P:P,全伝票!$C:$C,$C15)),IF($C15="",SUMIFS(全伝票!P:P,全伝票!$A:$A,$A15,全伝票!$B:$B,$B15),SUMIFS(全伝票!P:P,全伝票!$A:$A,$A15,全伝票!$C:$C,$C15)))</f>
        <v>0</v>
      </c>
      <c r="N15" s="108">
        <f t="shared" si="1"/>
        <v>0</v>
      </c>
      <c r="O15" s="25">
        <f t="shared" si="3"/>
        <v>0</v>
      </c>
      <c r="P15" s="25">
        <f t="shared" si="2"/>
        <v>0</v>
      </c>
      <c r="Q15" s="157">
        <f t="shared" si="3"/>
        <v>0</v>
      </c>
      <c r="R15" s="157">
        <f t="shared" si="4"/>
        <v>6107</v>
      </c>
      <c r="S15" s="22">
        <f t="shared" si="5"/>
        <v>6107</v>
      </c>
      <c r="T15" s="109">
        <f t="shared" si="6"/>
        <v>61065</v>
      </c>
      <c r="U15" s="107">
        <f t="shared" si="7"/>
        <v>0</v>
      </c>
      <c r="V15" s="107">
        <f t="shared" si="8"/>
        <v>0</v>
      </c>
      <c r="W15" s="107">
        <f t="shared" si="9"/>
        <v>0</v>
      </c>
      <c r="X15" s="107">
        <f t="shared" si="9"/>
        <v>0</v>
      </c>
      <c r="Y15" s="107">
        <f t="shared" si="10"/>
        <v>0.45454545454504114</v>
      </c>
      <c r="Z15" s="106">
        <f t="shared" si="11"/>
        <v>0</v>
      </c>
      <c r="AA15" s="106">
        <f t="shared" si="12"/>
        <v>0</v>
      </c>
      <c r="AB15" s="106">
        <f t="shared" si="13"/>
        <v>0</v>
      </c>
      <c r="AC15" s="106">
        <f t="shared" si="13"/>
        <v>0</v>
      </c>
      <c r="AD15" s="106">
        <f>+IF(R$38=0,0,IF(R$38&lt;0,-RANK(Y15,Y$5:Y$35,0),RANK(Y15,Y$5:Y$35,1)))</f>
        <v>0</v>
      </c>
    </row>
    <row r="16" spans="1:35">
      <c r="A16" s="165">
        <v>1</v>
      </c>
      <c r="B16" s="164" t="s">
        <v>134</v>
      </c>
      <c r="C16" s="163"/>
      <c r="D16" s="162" t="s">
        <v>89</v>
      </c>
      <c r="E16" s="158">
        <f>+IF($A16="",IF($C16="",SUMIFS(全伝票!I:I,全伝票!$B:$B,$B16),SUMIFS(全伝票!I:I,全伝票!$C:$C,$C16)),IF($C16="",SUMIFS(全伝票!I:I,全伝票!$A:$A,$A16,全伝票!$B:$B,$B16),SUMIFS(全伝票!I:I,全伝票!$A:$A,$A16,全伝票!$C:$C,$C16)))</f>
        <v>0</v>
      </c>
      <c r="F16" s="161">
        <f>+IF($A16="",IF($C16="",SUMIFS(全伝票!J:J,全伝票!$B:$B,$B16),SUMIFS(全伝票!J:J,全伝票!$C:$C,$C16)),IF($C16="",SUMIFS(全伝票!J:J,全伝票!$A:$A,$A16,全伝票!$B:$B,$B16),SUMIFS(全伝票!J:J,全伝票!$A:$A,$A16,全伝票!$C:$C,$C16)))</f>
        <v>0</v>
      </c>
      <c r="G16" s="160">
        <f>+IF($A16="",IF($C16="",SUMIFS(全伝票!K:K,全伝票!$B:$B,$B16),SUMIFS(全伝票!K:K,全伝票!$C:$C,$C16)),IF($C16="",SUMIFS(全伝票!K:K,全伝票!$A:$A,$A16,全伝票!$B:$B,$B16),SUMIFS(全伝票!K:K,全伝票!$A:$A,$A16,全伝票!$C:$C,$C16)))</f>
        <v>0</v>
      </c>
      <c r="H16" s="160">
        <f>+IF($A16="",IF($C16="",SUMIFS(全伝票!L:L,全伝票!$B:$B,$B16),SUMIFS(全伝票!L:L,全伝票!$C:$C,$C16)),IF($C16="",SUMIFS(全伝票!L:L,全伝票!$A:$A,$A16,全伝票!$B:$B,$B16),SUMIFS(全伝票!L:L,全伝票!$A:$A,$A16,全伝票!$C:$C,$C16)))</f>
        <v>0</v>
      </c>
      <c r="I16" s="159">
        <f>+IF($A16="",IF($C16="",SUMIFS(全伝票!M:M,全伝票!$B:$B,$B16),SUMIFS(全伝票!M:M,全伝票!$C:$C,$C16)),IF($C16="",SUMIFS(全伝票!M:M,全伝票!$A:$A,$A16,全伝票!$B:$B,$B16),SUMIFS(全伝票!M:M,全伝票!$A:$A,$A16,全伝票!$C:$C,$C16)))</f>
        <v>0</v>
      </c>
      <c r="J16" s="159">
        <f>+IF($A16="",IF($C16="",SUMIFS(全伝票!N:N,全伝票!$B:$B,$B16),SUMIFS(全伝票!N:N,全伝票!$C:$C,$C16)),IF($C16="",SUMIFS(全伝票!N:N,全伝票!$A:$A,$A16,全伝票!$B:$B,$B16),SUMIFS(全伝票!N:N,全伝票!$A:$A,$A16,全伝票!$C:$C,$C16)))</f>
        <v>0</v>
      </c>
      <c r="K16" s="34">
        <f t="shared" si="0"/>
        <v>0</v>
      </c>
      <c r="L16" s="158">
        <f>+IF($A16="",IF($C16="",SUMIFS(全伝票!O:O,全伝票!$B:$B,$B16),SUMIFS(全伝票!O:O,全伝票!$C:$C,$C16)),IF($C16="",SUMIFS(全伝票!O:O,全伝票!$A:$A,$A16,全伝票!$B:$B,$B16),SUMIFS(全伝票!O:O,全伝票!$A:$A,$A16,全伝票!$C:$C,$C16)))</f>
        <v>0</v>
      </c>
      <c r="M16" s="158">
        <f>+IF($A16="",IF($C16="",SUMIFS(全伝票!P:P,全伝票!$B:$B,$B16),SUMIFS(全伝票!P:P,全伝票!$C:$C,$C16)),IF($C16="",SUMIFS(全伝票!P:P,全伝票!$A:$A,$A16,全伝票!$B:$B,$B16),SUMIFS(全伝票!P:P,全伝票!$A:$A,$A16,全伝票!$C:$C,$C16)))</f>
        <v>0</v>
      </c>
      <c r="N16" s="108">
        <f t="shared" si="1"/>
        <v>0</v>
      </c>
      <c r="O16" s="25">
        <f t="shared" si="3"/>
        <v>0</v>
      </c>
      <c r="P16" s="25">
        <f t="shared" si="2"/>
        <v>0</v>
      </c>
      <c r="Q16" s="157">
        <f t="shared" si="3"/>
        <v>0</v>
      </c>
      <c r="R16" s="157">
        <f t="shared" si="4"/>
        <v>0</v>
      </c>
      <c r="S16" s="22">
        <f t="shared" si="5"/>
        <v>0</v>
      </c>
      <c r="T16" s="109">
        <f t="shared" si="6"/>
        <v>0</v>
      </c>
      <c r="U16" s="107">
        <f t="shared" si="7"/>
        <v>0</v>
      </c>
      <c r="V16" s="107">
        <f t="shared" si="8"/>
        <v>0</v>
      </c>
      <c r="W16" s="107">
        <f t="shared" si="9"/>
        <v>0</v>
      </c>
      <c r="X16" s="107">
        <f t="shared" si="9"/>
        <v>0</v>
      </c>
      <c r="Y16" s="107">
        <f t="shared" si="10"/>
        <v>0</v>
      </c>
      <c r="Z16" s="106">
        <f t="shared" si="11"/>
        <v>0</v>
      </c>
      <c r="AA16" s="106">
        <f t="shared" si="12"/>
        <v>0</v>
      </c>
      <c r="AB16" s="106">
        <f t="shared" si="13"/>
        <v>0</v>
      </c>
      <c r="AC16" s="106">
        <f t="shared" si="13"/>
        <v>0</v>
      </c>
      <c r="AD16" s="106">
        <f t="shared" si="14"/>
        <v>0</v>
      </c>
    </row>
    <row r="17" spans="1:30">
      <c r="A17" s="165">
        <v>1</v>
      </c>
      <c r="B17" s="164" t="s">
        <v>133</v>
      </c>
      <c r="C17" s="163"/>
      <c r="D17" s="162" t="s">
        <v>87</v>
      </c>
      <c r="E17" s="158">
        <f>+IF($A17="",IF($C17="",SUMIFS(全伝票!I:I,全伝票!$B:$B,$B17),SUMIFS(全伝票!I:I,全伝票!$C:$C,$C17)),IF($C17="",SUMIFS(全伝票!I:I,全伝票!$A:$A,$A17,全伝票!$B:$B,$B17),SUMIFS(全伝票!I:I,全伝票!$A:$A,$A17,全伝票!$C:$C,$C17)))</f>
        <v>87858</v>
      </c>
      <c r="F17" s="161">
        <f>+IF($A17="",IF($C17="",SUMIFS(全伝票!J:J,全伝票!$B:$B,$B17),SUMIFS(全伝票!J:J,全伝票!$C:$C,$C17)),IF($C17="",SUMIFS(全伝票!J:J,全伝票!$A:$A,$A17,全伝票!$B:$B,$B17),SUMIFS(全伝票!J:J,全伝票!$A:$A,$A17,全伝票!$C:$C,$C17)))</f>
        <v>0</v>
      </c>
      <c r="G17" s="160">
        <f>+IF($A17="",IF($C17="",SUMIFS(全伝票!K:K,全伝票!$B:$B,$B17),SUMIFS(全伝票!K:K,全伝票!$C:$C,$C17)),IF($C17="",SUMIFS(全伝票!K:K,全伝票!$A:$A,$A17,全伝票!$B:$B,$B17),SUMIFS(全伝票!K:K,全伝票!$A:$A,$A17,全伝票!$C:$C,$C17)))</f>
        <v>0</v>
      </c>
      <c r="H17" s="160">
        <f>+IF($A17="",IF($C17="",SUMIFS(全伝票!L:L,全伝票!$B:$B,$B17),SUMIFS(全伝票!L:L,全伝票!$C:$C,$C17)),IF($C17="",SUMIFS(全伝票!L:L,全伝票!$A:$A,$A17,全伝票!$B:$B,$B17),SUMIFS(全伝票!L:L,全伝票!$A:$A,$A17,全伝票!$C:$C,$C17)))</f>
        <v>0</v>
      </c>
      <c r="I17" s="159">
        <f>+IF($A17="",IF($C17="",SUMIFS(全伝票!M:M,全伝票!$B:$B,$B17),SUMIFS(全伝票!M:M,全伝票!$C:$C,$C17)),IF($C17="",SUMIFS(全伝票!M:M,全伝票!$A:$A,$A17,全伝票!$B:$B,$B17),SUMIFS(全伝票!M:M,全伝票!$A:$A,$A17,全伝票!$C:$C,$C17)))</f>
        <v>0</v>
      </c>
      <c r="J17" s="159">
        <f>+IF($A17="",IF($C17="",SUMIFS(全伝票!N:N,全伝票!$B:$B,$B17),SUMIFS(全伝票!N:N,全伝票!$C:$C,$C17)),IF($C17="",SUMIFS(全伝票!N:N,全伝票!$A:$A,$A17,全伝票!$B:$B,$B17),SUMIFS(全伝票!N:N,全伝票!$A:$A,$A17,全伝票!$C:$C,$C17)))</f>
        <v>87858</v>
      </c>
      <c r="K17" s="34">
        <f t="shared" si="0"/>
        <v>87858</v>
      </c>
      <c r="L17" s="158">
        <f>+IF($A17="",IF($C17="",SUMIFS(全伝票!O:O,全伝票!$B:$B,$B17),SUMIFS(全伝票!O:O,全伝票!$C:$C,$C17)),IF($C17="",SUMIFS(全伝票!O:O,全伝票!$A:$A,$A17,全伝票!$B:$B,$B17),SUMIFS(全伝票!O:O,全伝票!$A:$A,$A17,全伝票!$C:$C,$C17)))</f>
        <v>0</v>
      </c>
      <c r="M17" s="158">
        <f>+IF($A17="",IF($C17="",SUMIFS(全伝票!P:P,全伝票!$B:$B,$B17),SUMIFS(全伝票!P:P,全伝票!$C:$C,$C17)),IF($C17="",SUMIFS(全伝票!P:P,全伝票!$A:$A,$A17,全伝票!$B:$B,$B17),SUMIFS(全伝票!P:P,全伝票!$A:$A,$A17,全伝票!$C:$C,$C17)))</f>
        <v>0</v>
      </c>
      <c r="N17" s="108">
        <f t="shared" si="1"/>
        <v>0</v>
      </c>
      <c r="O17" s="25">
        <f t="shared" si="3"/>
        <v>0</v>
      </c>
      <c r="P17" s="25">
        <f t="shared" si="2"/>
        <v>0</v>
      </c>
      <c r="Q17" s="157">
        <f t="shared" si="3"/>
        <v>0</v>
      </c>
      <c r="R17" s="157">
        <f t="shared" si="4"/>
        <v>7987</v>
      </c>
      <c r="S17" s="22">
        <f t="shared" si="5"/>
        <v>7987</v>
      </c>
      <c r="T17" s="109">
        <f t="shared" si="6"/>
        <v>79871</v>
      </c>
      <c r="U17" s="107">
        <f t="shared" si="7"/>
        <v>0</v>
      </c>
      <c r="V17" s="107">
        <f t="shared" si="8"/>
        <v>0</v>
      </c>
      <c r="W17" s="107">
        <f t="shared" si="9"/>
        <v>0</v>
      </c>
      <c r="X17" s="107">
        <f t="shared" si="9"/>
        <v>0</v>
      </c>
      <c r="Y17" s="107">
        <f t="shared" si="10"/>
        <v>-9.0909090909008228E-2</v>
      </c>
      <c r="Z17" s="106">
        <f t="shared" si="11"/>
        <v>0</v>
      </c>
      <c r="AA17" s="106">
        <f t="shared" si="12"/>
        <v>0</v>
      </c>
      <c r="AB17" s="106">
        <f t="shared" si="13"/>
        <v>0</v>
      </c>
      <c r="AC17" s="106">
        <f t="shared" si="13"/>
        <v>0</v>
      </c>
      <c r="AD17" s="106">
        <f t="shared" si="14"/>
        <v>0</v>
      </c>
    </row>
    <row r="18" spans="1:30">
      <c r="A18" s="165">
        <v>1</v>
      </c>
      <c r="B18" s="164" t="s">
        <v>132</v>
      </c>
      <c r="C18" s="163"/>
      <c r="D18" s="162" t="s">
        <v>85</v>
      </c>
      <c r="E18" s="158">
        <f>+IF($A18="",IF($C18="",SUMIFS(全伝票!I:I,全伝票!$B:$B,$B18),SUMIFS(全伝票!I:I,全伝票!$C:$C,$C18)),IF($C18="",SUMIFS(全伝票!I:I,全伝票!$A:$A,$A18,全伝票!$B:$B,$B18),SUMIFS(全伝票!I:I,全伝票!$A:$A,$A18,全伝票!$C:$C,$C18)))</f>
        <v>0</v>
      </c>
      <c r="F18" s="161">
        <f>+IF($A18="",IF($C18="",SUMIFS(全伝票!J:J,全伝票!$B:$B,$B18),SUMIFS(全伝票!J:J,全伝票!$C:$C,$C18)),IF($C18="",SUMIFS(全伝票!J:J,全伝票!$A:$A,$A18,全伝票!$B:$B,$B18),SUMIFS(全伝票!J:J,全伝票!$A:$A,$A18,全伝票!$C:$C,$C18)))</f>
        <v>0</v>
      </c>
      <c r="G18" s="160">
        <f>+IF($A18="",IF($C18="",SUMIFS(全伝票!K:K,全伝票!$B:$B,$B18),SUMIFS(全伝票!K:K,全伝票!$C:$C,$C18)),IF($C18="",SUMIFS(全伝票!K:K,全伝票!$A:$A,$A18,全伝票!$B:$B,$B18),SUMIFS(全伝票!K:K,全伝票!$A:$A,$A18,全伝票!$C:$C,$C18)))</f>
        <v>0</v>
      </c>
      <c r="H18" s="160">
        <f>+IF($A18="",IF($C18="",SUMIFS(全伝票!L:L,全伝票!$B:$B,$B18),SUMIFS(全伝票!L:L,全伝票!$C:$C,$C18)),IF($C18="",SUMIFS(全伝票!L:L,全伝票!$A:$A,$A18,全伝票!$B:$B,$B18),SUMIFS(全伝票!L:L,全伝票!$A:$A,$A18,全伝票!$C:$C,$C18)))</f>
        <v>0</v>
      </c>
      <c r="I18" s="159">
        <f>+IF($A18="",IF($C18="",SUMIFS(全伝票!M:M,全伝票!$B:$B,$B18),SUMIFS(全伝票!M:M,全伝票!$C:$C,$C18)),IF($C18="",SUMIFS(全伝票!M:M,全伝票!$A:$A,$A18,全伝票!$B:$B,$B18),SUMIFS(全伝票!M:M,全伝票!$A:$A,$A18,全伝票!$C:$C,$C18)))</f>
        <v>0</v>
      </c>
      <c r="J18" s="159">
        <f>+IF($A18="",IF($C18="",SUMIFS(全伝票!N:N,全伝票!$B:$B,$B18),SUMIFS(全伝票!N:N,全伝票!$C:$C,$C18)),IF($C18="",SUMIFS(全伝票!N:N,全伝票!$A:$A,$A18,全伝票!$B:$B,$B18),SUMIFS(全伝票!N:N,全伝票!$A:$A,$A18,全伝票!$C:$C,$C18)))</f>
        <v>0</v>
      </c>
      <c r="K18" s="34">
        <f t="shared" si="0"/>
        <v>0</v>
      </c>
      <c r="L18" s="158">
        <f>+IF($A18="",IF($C18="",SUMIFS(全伝票!O:O,全伝票!$B:$B,$B18),SUMIFS(全伝票!O:O,全伝票!$C:$C,$C18)),IF($C18="",SUMIFS(全伝票!O:O,全伝票!$A:$A,$A18,全伝票!$B:$B,$B18),SUMIFS(全伝票!O:O,全伝票!$A:$A,$A18,全伝票!$C:$C,$C18)))</f>
        <v>0</v>
      </c>
      <c r="M18" s="158">
        <f>+IF($A18="",IF($C18="",SUMIFS(全伝票!P:P,全伝票!$B:$B,$B18),SUMIFS(全伝票!P:P,全伝票!$C:$C,$C18)),IF($C18="",SUMIFS(全伝票!P:P,全伝票!$A:$A,$A18,全伝票!$B:$B,$B18),SUMIFS(全伝票!P:P,全伝票!$A:$A,$A18,全伝票!$C:$C,$C18)))</f>
        <v>0</v>
      </c>
      <c r="N18" s="108">
        <f t="shared" si="1"/>
        <v>0</v>
      </c>
      <c r="O18" s="25">
        <f t="shared" si="3"/>
        <v>0</v>
      </c>
      <c r="P18" s="25">
        <f t="shared" si="2"/>
        <v>0</v>
      </c>
      <c r="Q18" s="157">
        <f t="shared" si="3"/>
        <v>0</v>
      </c>
      <c r="R18" s="157">
        <f t="shared" si="4"/>
        <v>0</v>
      </c>
      <c r="S18" s="22">
        <f t="shared" si="5"/>
        <v>0</v>
      </c>
      <c r="T18" s="109">
        <f t="shared" si="6"/>
        <v>0</v>
      </c>
      <c r="U18" s="107">
        <f t="shared" si="7"/>
        <v>0</v>
      </c>
      <c r="V18" s="107">
        <f t="shared" si="8"/>
        <v>0</v>
      </c>
      <c r="W18" s="107">
        <f t="shared" si="9"/>
        <v>0</v>
      </c>
      <c r="X18" s="107">
        <f t="shared" si="9"/>
        <v>0</v>
      </c>
      <c r="Y18" s="107">
        <f t="shared" si="10"/>
        <v>0</v>
      </c>
      <c r="Z18" s="106">
        <f t="shared" si="11"/>
        <v>0</v>
      </c>
      <c r="AA18" s="106">
        <f t="shared" si="12"/>
        <v>0</v>
      </c>
      <c r="AB18" s="106">
        <f t="shared" si="13"/>
        <v>0</v>
      </c>
      <c r="AC18" s="106">
        <f t="shared" si="13"/>
        <v>0</v>
      </c>
      <c r="AD18" s="106">
        <f t="shared" si="14"/>
        <v>0</v>
      </c>
    </row>
    <row r="19" spans="1:30">
      <c r="A19" s="165">
        <v>1</v>
      </c>
      <c r="B19" s="164" t="s">
        <v>131</v>
      </c>
      <c r="C19" s="163"/>
      <c r="D19" s="162" t="s">
        <v>83</v>
      </c>
      <c r="E19" s="158">
        <f>+IF($A19="",IF($C19="",SUMIFS(全伝票!I:I,全伝票!$B:$B,$B19),SUMIFS(全伝票!I:I,全伝票!$C:$C,$C19)),IF($C19="",SUMIFS(全伝票!I:I,全伝票!$A:$A,$A19,全伝票!$B:$B,$B19),SUMIFS(全伝票!I:I,全伝票!$A:$A,$A19,全伝票!$C:$C,$C19)))</f>
        <v>1820</v>
      </c>
      <c r="F19" s="161">
        <f>+IF($A19="",IF($C19="",SUMIFS(全伝票!J:J,全伝票!$B:$B,$B19),SUMIFS(全伝票!J:J,全伝票!$C:$C,$C19)),IF($C19="",SUMIFS(全伝票!J:J,全伝票!$A:$A,$A19,全伝票!$B:$B,$B19),SUMIFS(全伝票!J:J,全伝票!$A:$A,$A19,全伝票!$C:$C,$C19)))</f>
        <v>0</v>
      </c>
      <c r="G19" s="160">
        <f>+IF($A19="",IF($C19="",SUMIFS(全伝票!K:K,全伝票!$B:$B,$B19),SUMIFS(全伝票!K:K,全伝票!$C:$C,$C19)),IF($C19="",SUMIFS(全伝票!K:K,全伝票!$A:$A,$A19,全伝票!$B:$B,$B19),SUMIFS(全伝票!K:K,全伝票!$A:$A,$A19,全伝票!$C:$C,$C19)))</f>
        <v>0</v>
      </c>
      <c r="H19" s="160">
        <f>+IF($A19="",IF($C19="",SUMIFS(全伝票!L:L,全伝票!$B:$B,$B19),SUMIFS(全伝票!L:L,全伝票!$C:$C,$C19)),IF($C19="",SUMIFS(全伝票!L:L,全伝票!$A:$A,$A19,全伝票!$B:$B,$B19),SUMIFS(全伝票!L:L,全伝票!$A:$A,$A19,全伝票!$C:$C,$C19)))</f>
        <v>0</v>
      </c>
      <c r="I19" s="159">
        <f>+IF($A19="",IF($C19="",SUMIFS(全伝票!M:M,全伝票!$B:$B,$B19),SUMIFS(全伝票!M:M,全伝票!$C:$C,$C19)),IF($C19="",SUMIFS(全伝票!M:M,全伝票!$A:$A,$A19,全伝票!$B:$B,$B19),SUMIFS(全伝票!M:M,全伝票!$A:$A,$A19,全伝票!$C:$C,$C19)))</f>
        <v>0</v>
      </c>
      <c r="J19" s="159">
        <f>+IF($A19="",IF($C19="",SUMIFS(全伝票!N:N,全伝票!$B:$B,$B19),SUMIFS(全伝票!N:N,全伝票!$C:$C,$C19)),IF($C19="",SUMIFS(全伝票!N:N,全伝票!$A:$A,$A19,全伝票!$B:$B,$B19),SUMIFS(全伝票!N:N,全伝票!$A:$A,$A19,全伝票!$C:$C,$C19)))</f>
        <v>1820</v>
      </c>
      <c r="K19" s="34">
        <f t="shared" si="0"/>
        <v>1820</v>
      </c>
      <c r="L19" s="158">
        <f>+IF($A19="",IF($C19="",SUMIFS(全伝票!O:O,全伝票!$B:$B,$B19),SUMIFS(全伝票!O:O,全伝票!$C:$C,$C19)),IF($C19="",SUMIFS(全伝票!O:O,全伝票!$A:$A,$A19,全伝票!$B:$B,$B19),SUMIFS(全伝票!O:O,全伝票!$A:$A,$A19,全伝票!$C:$C,$C19)))</f>
        <v>0</v>
      </c>
      <c r="M19" s="158">
        <f>+IF($A19="",IF($C19="",SUMIFS(全伝票!P:P,全伝票!$B:$B,$B19),SUMIFS(全伝票!P:P,全伝票!$C:$C,$C19)),IF($C19="",SUMIFS(全伝票!P:P,全伝票!$A:$A,$A19,全伝票!$B:$B,$B19),SUMIFS(全伝票!P:P,全伝票!$A:$A,$A19,全伝票!$C:$C,$C19)))</f>
        <v>0</v>
      </c>
      <c r="N19" s="108">
        <f t="shared" si="1"/>
        <v>0</v>
      </c>
      <c r="O19" s="25">
        <f t="shared" si="3"/>
        <v>0</v>
      </c>
      <c r="P19" s="25">
        <f t="shared" si="2"/>
        <v>0</v>
      </c>
      <c r="Q19" s="157">
        <f t="shared" si="3"/>
        <v>0</v>
      </c>
      <c r="R19" s="157">
        <f t="shared" si="4"/>
        <v>165</v>
      </c>
      <c r="S19" s="22">
        <f t="shared" si="5"/>
        <v>165</v>
      </c>
      <c r="T19" s="109">
        <f t="shared" si="6"/>
        <v>1655</v>
      </c>
      <c r="U19" s="107">
        <f t="shared" si="7"/>
        <v>0</v>
      </c>
      <c r="V19" s="107">
        <f t="shared" si="8"/>
        <v>0</v>
      </c>
      <c r="W19" s="107">
        <f t="shared" si="9"/>
        <v>0</v>
      </c>
      <c r="X19" s="107">
        <f t="shared" si="9"/>
        <v>0</v>
      </c>
      <c r="Y19" s="107">
        <f t="shared" si="10"/>
        <v>-0.45454545454546746</v>
      </c>
      <c r="Z19" s="106">
        <f t="shared" si="11"/>
        <v>0</v>
      </c>
      <c r="AA19" s="106">
        <f t="shared" si="12"/>
        <v>0</v>
      </c>
      <c r="AB19" s="106">
        <f t="shared" si="13"/>
        <v>0</v>
      </c>
      <c r="AC19" s="106">
        <f t="shared" si="13"/>
        <v>0</v>
      </c>
      <c r="AD19" s="106">
        <f t="shared" si="14"/>
        <v>0</v>
      </c>
    </row>
    <row r="20" spans="1:30">
      <c r="A20" s="165">
        <v>1</v>
      </c>
      <c r="B20" s="164" t="s">
        <v>130</v>
      </c>
      <c r="C20" s="163"/>
      <c r="D20" s="162" t="s">
        <v>81</v>
      </c>
      <c r="E20" s="158">
        <f>+IF($A20="",IF($C20="",SUMIFS(全伝票!I:I,全伝票!$B:$B,$B20),SUMIFS(全伝票!I:I,全伝票!$C:$C,$C20)),IF($C20="",SUMIFS(全伝票!I:I,全伝票!$A:$A,$A20,全伝票!$B:$B,$B20),SUMIFS(全伝票!I:I,全伝票!$A:$A,$A20,全伝票!$C:$C,$C20)))</f>
        <v>11727105</v>
      </c>
      <c r="F20" s="161">
        <f>+IF($A20="",IF($C20="",SUMIFS(全伝票!J:J,全伝票!$B:$B,$B20),SUMIFS(全伝票!J:J,全伝票!$C:$C,$C20)),IF($C20="",SUMIFS(全伝票!J:J,全伝票!$A:$A,$A20,全伝票!$B:$B,$B20),SUMIFS(全伝票!J:J,全伝票!$A:$A,$A20,全伝票!$C:$C,$C20)))</f>
        <v>0</v>
      </c>
      <c r="G20" s="160">
        <f>+IF($A20="",IF($C20="",SUMIFS(全伝票!K:K,全伝票!$B:$B,$B20),SUMIFS(全伝票!K:K,全伝票!$C:$C,$C20)),IF($C20="",SUMIFS(全伝票!K:K,全伝票!$A:$A,$A20,全伝票!$B:$B,$B20),SUMIFS(全伝票!K:K,全伝票!$A:$A,$A20,全伝票!$C:$C,$C20)))</f>
        <v>0</v>
      </c>
      <c r="H20" s="160">
        <f>+IF($A20="",IF($C20="",SUMIFS(全伝票!L:L,全伝票!$B:$B,$B20),SUMIFS(全伝票!L:L,全伝票!$C:$C,$C20)),IF($C20="",SUMIFS(全伝票!L:L,全伝票!$A:$A,$A20,全伝票!$B:$B,$B20),SUMIFS(全伝票!L:L,全伝票!$A:$A,$A20,全伝票!$C:$C,$C20)))</f>
        <v>0</v>
      </c>
      <c r="I20" s="159">
        <f>+IF($A20="",IF($C20="",SUMIFS(全伝票!M:M,全伝票!$B:$B,$B20),SUMIFS(全伝票!M:M,全伝票!$C:$C,$C20)),IF($C20="",SUMIFS(全伝票!M:M,全伝票!$A:$A,$A20,全伝票!$B:$B,$B20),SUMIFS(全伝票!M:M,全伝票!$A:$A,$A20,全伝票!$C:$C,$C20)))</f>
        <v>0</v>
      </c>
      <c r="J20" s="159">
        <f>+IF($A20="",IF($C20="",SUMIFS(全伝票!N:N,全伝票!$B:$B,$B20),SUMIFS(全伝票!N:N,全伝票!$C:$C,$C20)),IF($C20="",SUMIFS(全伝票!N:N,全伝票!$A:$A,$A20,全伝票!$B:$B,$B20),SUMIFS(全伝票!N:N,全伝票!$A:$A,$A20,全伝票!$C:$C,$C20)))</f>
        <v>11727105</v>
      </c>
      <c r="K20" s="34">
        <f t="shared" si="0"/>
        <v>11727105</v>
      </c>
      <c r="L20" s="158">
        <f>+IF($A20="",IF($C20="",SUMIFS(全伝票!O:O,全伝票!$B:$B,$B20),SUMIFS(全伝票!O:O,全伝票!$C:$C,$C20)),IF($C20="",SUMIFS(全伝票!O:O,全伝票!$A:$A,$A20,全伝票!$B:$B,$B20),SUMIFS(全伝票!O:O,全伝票!$A:$A,$A20,全伝票!$C:$C,$C20)))</f>
        <v>0</v>
      </c>
      <c r="M20" s="158">
        <f>+IF($A20="",IF($C20="",SUMIFS(全伝票!P:P,全伝票!$B:$B,$B20),SUMIFS(全伝票!P:P,全伝票!$C:$C,$C20)),IF($C20="",SUMIFS(全伝票!P:P,全伝票!$A:$A,$A20,全伝票!$B:$B,$B20),SUMIFS(全伝票!P:P,全伝票!$A:$A,$A20,全伝票!$C:$C,$C20)))</f>
        <v>0</v>
      </c>
      <c r="N20" s="108">
        <f t="shared" si="1"/>
        <v>0</v>
      </c>
      <c r="O20" s="25">
        <f t="shared" si="3"/>
        <v>0</v>
      </c>
      <c r="P20" s="25">
        <f t="shared" si="2"/>
        <v>0</v>
      </c>
      <c r="Q20" s="157">
        <f t="shared" si="3"/>
        <v>0</v>
      </c>
      <c r="R20" s="157">
        <f t="shared" si="4"/>
        <v>1066100</v>
      </c>
      <c r="S20" s="22">
        <f t="shared" si="5"/>
        <v>1066100</v>
      </c>
      <c r="T20" s="109">
        <f t="shared" si="6"/>
        <v>10661005</v>
      </c>
      <c r="U20" s="107">
        <f t="shared" si="7"/>
        <v>0</v>
      </c>
      <c r="V20" s="107">
        <f t="shared" si="8"/>
        <v>0</v>
      </c>
      <c r="W20" s="107">
        <f t="shared" si="9"/>
        <v>0</v>
      </c>
      <c r="X20" s="107">
        <f t="shared" si="9"/>
        <v>0</v>
      </c>
      <c r="Y20" s="107">
        <f t="shared" si="10"/>
        <v>-0.45454545458778739</v>
      </c>
      <c r="Z20" s="106">
        <f t="shared" si="11"/>
        <v>0</v>
      </c>
      <c r="AA20" s="106">
        <f t="shared" si="12"/>
        <v>0</v>
      </c>
      <c r="AB20" s="106">
        <f t="shared" si="13"/>
        <v>0</v>
      </c>
      <c r="AC20" s="106">
        <f t="shared" si="13"/>
        <v>0</v>
      </c>
      <c r="AD20" s="106">
        <f t="shared" si="14"/>
        <v>0</v>
      </c>
    </row>
    <row r="21" spans="1:30">
      <c r="A21" s="165">
        <v>1</v>
      </c>
      <c r="B21" s="164" t="s">
        <v>129</v>
      </c>
      <c r="C21" s="163"/>
      <c r="D21" s="162" t="s">
        <v>79</v>
      </c>
      <c r="E21" s="158">
        <f>+IF($A21="",IF($C21="",SUMIFS(全伝票!I:I,全伝票!$B:$B,$B21),SUMIFS(全伝票!I:I,全伝票!$C:$C,$C21)),IF($C21="",SUMIFS(全伝票!I:I,全伝票!$A:$A,$A21,全伝票!$B:$B,$B21),SUMIFS(全伝票!I:I,全伝票!$A:$A,$A21,全伝票!$C:$C,$C21)))</f>
        <v>49808</v>
      </c>
      <c r="F21" s="161">
        <f>+IF($A21="",IF($C21="",SUMIFS(全伝票!J:J,全伝票!$B:$B,$B21),SUMIFS(全伝票!J:J,全伝票!$C:$C,$C21)),IF($C21="",SUMIFS(全伝票!J:J,全伝票!$A:$A,$A21,全伝票!$B:$B,$B21),SUMIFS(全伝票!J:J,全伝票!$A:$A,$A21,全伝票!$C:$C,$C21)))</f>
        <v>0</v>
      </c>
      <c r="G21" s="160">
        <f>+IF($A21="",IF($C21="",SUMIFS(全伝票!K:K,全伝票!$B:$B,$B21),SUMIFS(全伝票!K:K,全伝票!$C:$C,$C21)),IF($C21="",SUMIFS(全伝票!K:K,全伝票!$A:$A,$A21,全伝票!$B:$B,$B21),SUMIFS(全伝票!K:K,全伝票!$A:$A,$A21,全伝票!$C:$C,$C21)))</f>
        <v>0</v>
      </c>
      <c r="H21" s="160">
        <f>+IF($A21="",IF($C21="",SUMIFS(全伝票!L:L,全伝票!$B:$B,$B21),SUMIFS(全伝票!L:L,全伝票!$C:$C,$C21)),IF($C21="",SUMIFS(全伝票!L:L,全伝票!$A:$A,$A21,全伝票!$B:$B,$B21),SUMIFS(全伝票!L:L,全伝票!$A:$A,$A21,全伝票!$C:$C,$C21)))</f>
        <v>0</v>
      </c>
      <c r="I21" s="159">
        <f>+IF($A21="",IF($C21="",SUMIFS(全伝票!M:M,全伝票!$B:$B,$B21),SUMIFS(全伝票!M:M,全伝票!$C:$C,$C21)),IF($C21="",SUMIFS(全伝票!M:M,全伝票!$A:$A,$A21,全伝票!$B:$B,$B21),SUMIFS(全伝票!M:M,全伝票!$A:$A,$A21,全伝票!$C:$C,$C21)))</f>
        <v>0</v>
      </c>
      <c r="J21" s="159">
        <f>+IF($A21="",IF($C21="",SUMIFS(全伝票!N:N,全伝票!$B:$B,$B21),SUMIFS(全伝票!N:N,全伝票!$C:$C,$C21)),IF($C21="",SUMIFS(全伝票!N:N,全伝票!$A:$A,$A21,全伝票!$B:$B,$B21),SUMIFS(全伝票!N:N,全伝票!$A:$A,$A21,全伝票!$C:$C,$C21)))</f>
        <v>49808</v>
      </c>
      <c r="K21" s="34">
        <f t="shared" si="0"/>
        <v>49808</v>
      </c>
      <c r="L21" s="158">
        <f>+IF($A21="",IF($C21="",SUMIFS(全伝票!O:O,全伝票!$B:$B,$B21),SUMIFS(全伝票!O:O,全伝票!$C:$C,$C21)),IF($C21="",SUMIFS(全伝票!O:O,全伝票!$A:$A,$A21,全伝票!$B:$B,$B21),SUMIFS(全伝票!O:O,全伝票!$A:$A,$A21,全伝票!$C:$C,$C21)))</f>
        <v>0</v>
      </c>
      <c r="M21" s="158">
        <f>+IF($A21="",IF($C21="",SUMIFS(全伝票!P:P,全伝票!$B:$B,$B21),SUMIFS(全伝票!P:P,全伝票!$C:$C,$C21)),IF($C21="",SUMIFS(全伝票!P:P,全伝票!$A:$A,$A21,全伝票!$B:$B,$B21),SUMIFS(全伝票!P:P,全伝票!$A:$A,$A21,全伝票!$C:$C,$C21)))</f>
        <v>0</v>
      </c>
      <c r="N21" s="108">
        <f t="shared" si="1"/>
        <v>0</v>
      </c>
      <c r="O21" s="25">
        <f t="shared" si="3"/>
        <v>0</v>
      </c>
      <c r="P21" s="25">
        <f t="shared" si="2"/>
        <v>0</v>
      </c>
      <c r="Q21" s="157">
        <f t="shared" si="3"/>
        <v>0</v>
      </c>
      <c r="R21" s="157">
        <f t="shared" si="4"/>
        <v>4528</v>
      </c>
      <c r="S21" s="22">
        <f t="shared" si="5"/>
        <v>4528</v>
      </c>
      <c r="T21" s="109">
        <f t="shared" si="6"/>
        <v>45280</v>
      </c>
      <c r="U21" s="107">
        <f t="shared" si="7"/>
        <v>0</v>
      </c>
      <c r="V21" s="107">
        <f t="shared" si="8"/>
        <v>0</v>
      </c>
      <c r="W21" s="107">
        <f t="shared" si="9"/>
        <v>0</v>
      </c>
      <c r="X21" s="107">
        <f t="shared" si="9"/>
        <v>0</v>
      </c>
      <c r="Y21" s="107">
        <f t="shared" si="10"/>
        <v>0</v>
      </c>
      <c r="Z21" s="106">
        <f t="shared" si="11"/>
        <v>0</v>
      </c>
      <c r="AA21" s="106">
        <f t="shared" si="12"/>
        <v>0</v>
      </c>
      <c r="AB21" s="106">
        <f t="shared" si="13"/>
        <v>0</v>
      </c>
      <c r="AC21" s="106">
        <f t="shared" si="13"/>
        <v>0</v>
      </c>
      <c r="AD21" s="106">
        <f t="shared" si="14"/>
        <v>0</v>
      </c>
    </row>
    <row r="22" spans="1:30">
      <c r="A22" s="165">
        <v>1</v>
      </c>
      <c r="B22" s="164" t="s">
        <v>128</v>
      </c>
      <c r="C22" s="163"/>
      <c r="D22" s="162" t="s">
        <v>77</v>
      </c>
      <c r="E22" s="158">
        <f>+IF($A22="",IF($C22="",SUMIFS(全伝票!I:I,全伝票!$B:$B,$B22),SUMIFS(全伝票!I:I,全伝票!$C:$C,$C22)),IF($C22="",SUMIFS(全伝票!I:I,全伝票!$A:$A,$A22,全伝票!$B:$B,$B22),SUMIFS(全伝票!I:I,全伝票!$A:$A,$A22,全伝票!$C:$C,$C22)))</f>
        <v>0</v>
      </c>
      <c r="F22" s="161">
        <f>+IF($A22="",IF($C22="",SUMIFS(全伝票!J:J,全伝票!$B:$B,$B22),SUMIFS(全伝票!J:J,全伝票!$C:$C,$C22)),IF($C22="",SUMIFS(全伝票!J:J,全伝票!$A:$A,$A22,全伝票!$B:$B,$B22),SUMIFS(全伝票!J:J,全伝票!$A:$A,$A22,全伝票!$C:$C,$C22)))</f>
        <v>0</v>
      </c>
      <c r="G22" s="160">
        <f>+IF($A22="",IF($C22="",SUMIFS(全伝票!K:K,全伝票!$B:$B,$B22),SUMIFS(全伝票!K:K,全伝票!$C:$C,$C22)),IF($C22="",SUMIFS(全伝票!K:K,全伝票!$A:$A,$A22,全伝票!$B:$B,$B22),SUMIFS(全伝票!K:K,全伝票!$A:$A,$A22,全伝票!$C:$C,$C22)))</f>
        <v>0</v>
      </c>
      <c r="H22" s="160">
        <f>+IF($A22="",IF($C22="",SUMIFS(全伝票!L:L,全伝票!$B:$B,$B22),SUMIFS(全伝票!L:L,全伝票!$C:$C,$C22)),IF($C22="",SUMIFS(全伝票!L:L,全伝票!$A:$A,$A22,全伝票!$B:$B,$B22),SUMIFS(全伝票!L:L,全伝票!$A:$A,$A22,全伝票!$C:$C,$C22)))</f>
        <v>0</v>
      </c>
      <c r="I22" s="159">
        <f>+IF($A22="",IF($C22="",SUMIFS(全伝票!M:M,全伝票!$B:$B,$B22),SUMIFS(全伝票!M:M,全伝票!$C:$C,$C22)),IF($C22="",SUMIFS(全伝票!M:M,全伝票!$A:$A,$A22,全伝票!$B:$B,$B22),SUMIFS(全伝票!M:M,全伝票!$A:$A,$A22,全伝票!$C:$C,$C22)))</f>
        <v>0</v>
      </c>
      <c r="J22" s="159">
        <f>+IF($A22="",IF($C22="",SUMIFS(全伝票!N:N,全伝票!$B:$B,$B22),SUMIFS(全伝票!N:N,全伝票!$C:$C,$C22)),IF($C22="",SUMIFS(全伝票!N:N,全伝票!$A:$A,$A22,全伝票!$B:$B,$B22),SUMIFS(全伝票!N:N,全伝票!$A:$A,$A22,全伝票!$C:$C,$C22)))</f>
        <v>0</v>
      </c>
      <c r="K22" s="34">
        <f t="shared" si="0"/>
        <v>0</v>
      </c>
      <c r="L22" s="158">
        <f>+IF($A22="",IF($C22="",SUMIFS(全伝票!O:O,全伝票!$B:$B,$B22),SUMIFS(全伝票!O:O,全伝票!$C:$C,$C22)),IF($C22="",SUMIFS(全伝票!O:O,全伝票!$A:$A,$A22,全伝票!$B:$B,$B22),SUMIFS(全伝票!O:O,全伝票!$A:$A,$A22,全伝票!$C:$C,$C22)))</f>
        <v>0</v>
      </c>
      <c r="M22" s="158">
        <f>+IF($A22="",IF($C22="",SUMIFS(全伝票!P:P,全伝票!$B:$B,$B22),SUMIFS(全伝票!P:P,全伝票!$C:$C,$C22)),IF($C22="",SUMIFS(全伝票!P:P,全伝票!$A:$A,$A22,全伝票!$B:$B,$B22),SUMIFS(全伝票!P:P,全伝票!$A:$A,$A22,全伝票!$C:$C,$C22)))</f>
        <v>0</v>
      </c>
      <c r="N22" s="108">
        <f t="shared" si="1"/>
        <v>0</v>
      </c>
      <c r="O22" s="25">
        <f t="shared" si="3"/>
        <v>0</v>
      </c>
      <c r="P22" s="25">
        <f t="shared" si="2"/>
        <v>0</v>
      </c>
      <c r="Q22" s="157">
        <f t="shared" si="3"/>
        <v>0</v>
      </c>
      <c r="R22" s="157">
        <f t="shared" si="4"/>
        <v>0</v>
      </c>
      <c r="S22" s="22">
        <f t="shared" si="5"/>
        <v>0</v>
      </c>
      <c r="T22" s="109">
        <f t="shared" si="6"/>
        <v>0</v>
      </c>
      <c r="U22" s="107">
        <f t="shared" si="7"/>
        <v>0</v>
      </c>
      <c r="V22" s="107">
        <f t="shared" si="8"/>
        <v>0</v>
      </c>
      <c r="W22" s="107">
        <f t="shared" si="9"/>
        <v>0</v>
      </c>
      <c r="X22" s="107">
        <f t="shared" si="9"/>
        <v>0</v>
      </c>
      <c r="Y22" s="107">
        <f t="shared" si="10"/>
        <v>0</v>
      </c>
      <c r="Z22" s="106">
        <f t="shared" si="11"/>
        <v>0</v>
      </c>
      <c r="AA22" s="106">
        <f t="shared" si="12"/>
        <v>0</v>
      </c>
      <c r="AB22" s="106">
        <f t="shared" si="13"/>
        <v>0</v>
      </c>
      <c r="AC22" s="106">
        <f t="shared" si="13"/>
        <v>0</v>
      </c>
      <c r="AD22" s="106">
        <f t="shared" si="14"/>
        <v>0</v>
      </c>
    </row>
    <row r="23" spans="1:30">
      <c r="A23" s="165">
        <v>1</v>
      </c>
      <c r="B23" s="164" t="s">
        <v>127</v>
      </c>
      <c r="C23" s="163"/>
      <c r="D23" s="162" t="s">
        <v>75</v>
      </c>
      <c r="E23" s="158">
        <f>+IF($A23="",IF($C23="",SUMIFS(全伝票!I:I,全伝票!$B:$B,$B23),SUMIFS(全伝票!I:I,全伝票!$C:$C,$C23)),IF($C23="",SUMIFS(全伝票!I:I,全伝票!$A:$A,$A23,全伝票!$B:$B,$B23),SUMIFS(全伝票!I:I,全伝票!$A:$A,$A23,全伝票!$C:$C,$C23)))</f>
        <v>0</v>
      </c>
      <c r="F23" s="161">
        <f>+IF($A23="",IF($C23="",SUMIFS(全伝票!J:J,全伝票!$B:$B,$B23),SUMIFS(全伝票!J:J,全伝票!$C:$C,$C23)),IF($C23="",SUMIFS(全伝票!J:J,全伝票!$A:$A,$A23,全伝票!$B:$B,$B23),SUMIFS(全伝票!J:J,全伝票!$A:$A,$A23,全伝票!$C:$C,$C23)))</f>
        <v>0</v>
      </c>
      <c r="G23" s="160">
        <f>+IF($A23="",IF($C23="",SUMIFS(全伝票!K:K,全伝票!$B:$B,$B23),SUMIFS(全伝票!K:K,全伝票!$C:$C,$C23)),IF($C23="",SUMIFS(全伝票!K:K,全伝票!$A:$A,$A23,全伝票!$B:$B,$B23),SUMIFS(全伝票!K:K,全伝票!$A:$A,$A23,全伝票!$C:$C,$C23)))</f>
        <v>0</v>
      </c>
      <c r="H23" s="160">
        <f>+IF($A23="",IF($C23="",SUMIFS(全伝票!L:L,全伝票!$B:$B,$B23),SUMIFS(全伝票!L:L,全伝票!$C:$C,$C23)),IF($C23="",SUMIFS(全伝票!L:L,全伝票!$A:$A,$A23,全伝票!$B:$B,$B23),SUMIFS(全伝票!L:L,全伝票!$A:$A,$A23,全伝票!$C:$C,$C23)))</f>
        <v>0</v>
      </c>
      <c r="I23" s="159">
        <f>+IF($A23="",IF($C23="",SUMIFS(全伝票!M:M,全伝票!$B:$B,$B23),SUMIFS(全伝票!M:M,全伝票!$C:$C,$C23)),IF($C23="",SUMIFS(全伝票!M:M,全伝票!$A:$A,$A23,全伝票!$B:$B,$B23),SUMIFS(全伝票!M:M,全伝票!$A:$A,$A23,全伝票!$C:$C,$C23)))</f>
        <v>0</v>
      </c>
      <c r="J23" s="159">
        <f>+IF($A23="",IF($C23="",SUMIFS(全伝票!N:N,全伝票!$B:$B,$B23),SUMIFS(全伝票!N:N,全伝票!$C:$C,$C23)),IF($C23="",SUMIFS(全伝票!N:N,全伝票!$A:$A,$A23,全伝票!$B:$B,$B23),SUMIFS(全伝票!N:N,全伝票!$A:$A,$A23,全伝票!$C:$C,$C23)))</f>
        <v>0</v>
      </c>
      <c r="K23" s="34">
        <f t="shared" si="0"/>
        <v>0</v>
      </c>
      <c r="L23" s="158">
        <f>+IF($A23="",IF($C23="",SUMIFS(全伝票!O:O,全伝票!$B:$B,$B23),SUMIFS(全伝票!O:O,全伝票!$C:$C,$C23)),IF($C23="",SUMIFS(全伝票!O:O,全伝票!$A:$A,$A23,全伝票!$B:$B,$B23),SUMIFS(全伝票!O:O,全伝票!$A:$A,$A23,全伝票!$C:$C,$C23)))</f>
        <v>0</v>
      </c>
      <c r="M23" s="158">
        <f>+IF($A23="",IF($C23="",SUMIFS(全伝票!P:P,全伝票!$B:$B,$B23),SUMIFS(全伝票!P:P,全伝票!$C:$C,$C23)),IF($C23="",SUMIFS(全伝票!P:P,全伝票!$A:$A,$A23,全伝票!$B:$B,$B23),SUMIFS(全伝票!P:P,全伝票!$A:$A,$A23,全伝票!$C:$C,$C23)))</f>
        <v>0</v>
      </c>
      <c r="N23" s="108">
        <f t="shared" si="1"/>
        <v>0</v>
      </c>
      <c r="O23" s="25">
        <f t="shared" si="3"/>
        <v>0</v>
      </c>
      <c r="P23" s="25">
        <f t="shared" si="2"/>
        <v>0</v>
      </c>
      <c r="Q23" s="157">
        <f t="shared" si="3"/>
        <v>0</v>
      </c>
      <c r="R23" s="157">
        <f t="shared" si="4"/>
        <v>0</v>
      </c>
      <c r="S23" s="22">
        <f t="shared" si="5"/>
        <v>0</v>
      </c>
      <c r="T23" s="109">
        <f t="shared" si="6"/>
        <v>0</v>
      </c>
      <c r="U23" s="107">
        <f t="shared" si="7"/>
        <v>0</v>
      </c>
      <c r="V23" s="107">
        <f t="shared" si="8"/>
        <v>0</v>
      </c>
      <c r="W23" s="107">
        <f t="shared" si="9"/>
        <v>0</v>
      </c>
      <c r="X23" s="107">
        <f t="shared" si="9"/>
        <v>0</v>
      </c>
      <c r="Y23" s="107">
        <f t="shared" si="10"/>
        <v>0</v>
      </c>
      <c r="Z23" s="106">
        <f t="shared" si="11"/>
        <v>0</v>
      </c>
      <c r="AA23" s="106">
        <f t="shared" si="12"/>
        <v>0</v>
      </c>
      <c r="AB23" s="106">
        <f t="shared" si="13"/>
        <v>0</v>
      </c>
      <c r="AC23" s="106">
        <f t="shared" si="13"/>
        <v>0</v>
      </c>
      <c r="AD23" s="106">
        <f t="shared" si="14"/>
        <v>0</v>
      </c>
    </row>
    <row r="24" spans="1:30">
      <c r="A24" s="165">
        <v>1</v>
      </c>
      <c r="B24" s="164" t="s">
        <v>126</v>
      </c>
      <c r="C24" s="163"/>
      <c r="D24" s="162" t="s">
        <v>73</v>
      </c>
      <c r="E24" s="158">
        <f>+IF($A24="",IF($C24="",SUMIFS(全伝票!I:I,全伝票!$B:$B,$B24),SUMIFS(全伝票!I:I,全伝票!$C:$C,$C24)),IF($C24="",SUMIFS(全伝票!I:I,全伝票!$A:$A,$A24,全伝票!$B:$B,$B24),SUMIFS(全伝票!I:I,全伝票!$A:$A,$A24,全伝票!$C:$C,$C24)))</f>
        <v>0</v>
      </c>
      <c r="F24" s="161">
        <f>+IF($A24="",IF($C24="",SUMIFS(全伝票!J:J,全伝票!$B:$B,$B24),SUMIFS(全伝票!J:J,全伝票!$C:$C,$C24)),IF($C24="",SUMIFS(全伝票!J:J,全伝票!$A:$A,$A24,全伝票!$B:$B,$B24),SUMIFS(全伝票!J:J,全伝票!$A:$A,$A24,全伝票!$C:$C,$C24)))</f>
        <v>0</v>
      </c>
      <c r="G24" s="160">
        <f>+IF($A24="",IF($C24="",SUMIFS(全伝票!K:K,全伝票!$B:$B,$B24),SUMIFS(全伝票!K:K,全伝票!$C:$C,$C24)),IF($C24="",SUMIFS(全伝票!K:K,全伝票!$A:$A,$A24,全伝票!$B:$B,$B24),SUMIFS(全伝票!K:K,全伝票!$A:$A,$A24,全伝票!$C:$C,$C24)))</f>
        <v>0</v>
      </c>
      <c r="H24" s="160">
        <f>+IF($A24="",IF($C24="",SUMIFS(全伝票!L:L,全伝票!$B:$B,$B24),SUMIFS(全伝票!L:L,全伝票!$C:$C,$C24)),IF($C24="",SUMIFS(全伝票!L:L,全伝票!$A:$A,$A24,全伝票!$B:$B,$B24),SUMIFS(全伝票!L:L,全伝票!$A:$A,$A24,全伝票!$C:$C,$C24)))</f>
        <v>0</v>
      </c>
      <c r="I24" s="159">
        <f>+IF($A24="",IF($C24="",SUMIFS(全伝票!M:M,全伝票!$B:$B,$B24),SUMIFS(全伝票!M:M,全伝票!$C:$C,$C24)),IF($C24="",SUMIFS(全伝票!M:M,全伝票!$A:$A,$A24,全伝票!$B:$B,$B24),SUMIFS(全伝票!M:M,全伝票!$A:$A,$A24,全伝票!$C:$C,$C24)))</f>
        <v>0</v>
      </c>
      <c r="J24" s="159">
        <f>+IF($A24="",IF($C24="",SUMIFS(全伝票!N:N,全伝票!$B:$B,$B24),SUMIFS(全伝票!N:N,全伝票!$C:$C,$C24)),IF($C24="",SUMIFS(全伝票!N:N,全伝票!$A:$A,$A24,全伝票!$B:$B,$B24),SUMIFS(全伝票!N:N,全伝票!$A:$A,$A24,全伝票!$C:$C,$C24)))</f>
        <v>0</v>
      </c>
      <c r="K24" s="34">
        <f t="shared" si="0"/>
        <v>0</v>
      </c>
      <c r="L24" s="158">
        <f>+IF($A24="",IF($C24="",SUMIFS(全伝票!O:O,全伝票!$B:$B,$B24),SUMIFS(全伝票!O:O,全伝票!$C:$C,$C24)),IF($C24="",SUMIFS(全伝票!O:O,全伝票!$A:$A,$A24,全伝票!$B:$B,$B24),SUMIFS(全伝票!O:O,全伝票!$A:$A,$A24,全伝票!$C:$C,$C24)))</f>
        <v>0</v>
      </c>
      <c r="M24" s="158">
        <f>+IF($A24="",IF($C24="",SUMIFS(全伝票!P:P,全伝票!$B:$B,$B24),SUMIFS(全伝票!P:P,全伝票!$C:$C,$C24)),IF($C24="",SUMIFS(全伝票!P:P,全伝票!$A:$A,$A24,全伝票!$B:$B,$B24),SUMIFS(全伝票!P:P,全伝票!$A:$A,$A24,全伝票!$C:$C,$C24)))</f>
        <v>0</v>
      </c>
      <c r="N24" s="108">
        <f t="shared" si="1"/>
        <v>0</v>
      </c>
      <c r="O24" s="25">
        <f t="shared" si="3"/>
        <v>0</v>
      </c>
      <c r="P24" s="25">
        <f t="shared" si="2"/>
        <v>0</v>
      </c>
      <c r="Q24" s="157">
        <f t="shared" si="3"/>
        <v>0</v>
      </c>
      <c r="R24" s="157">
        <f t="shared" si="4"/>
        <v>0</v>
      </c>
      <c r="S24" s="22">
        <f t="shared" si="5"/>
        <v>0</v>
      </c>
      <c r="T24" s="109">
        <f t="shared" si="6"/>
        <v>0</v>
      </c>
      <c r="U24" s="107">
        <f t="shared" si="7"/>
        <v>0</v>
      </c>
      <c r="V24" s="107">
        <f t="shared" si="8"/>
        <v>0</v>
      </c>
      <c r="W24" s="107">
        <f t="shared" si="9"/>
        <v>0</v>
      </c>
      <c r="X24" s="107">
        <f t="shared" si="9"/>
        <v>0</v>
      </c>
      <c r="Y24" s="107">
        <f t="shared" si="10"/>
        <v>0</v>
      </c>
      <c r="Z24" s="106">
        <f t="shared" si="11"/>
        <v>0</v>
      </c>
      <c r="AA24" s="106">
        <f t="shared" si="12"/>
        <v>0</v>
      </c>
      <c r="AB24" s="106">
        <f t="shared" si="13"/>
        <v>0</v>
      </c>
      <c r="AC24" s="106">
        <f t="shared" si="13"/>
        <v>0</v>
      </c>
      <c r="AD24" s="106">
        <f t="shared" si="14"/>
        <v>0</v>
      </c>
    </row>
    <row r="25" spans="1:30">
      <c r="A25" s="165">
        <v>1</v>
      </c>
      <c r="B25" s="164" t="s">
        <v>124</v>
      </c>
      <c r="C25" s="163" t="s">
        <v>125</v>
      </c>
      <c r="D25" s="162" t="s">
        <v>71</v>
      </c>
      <c r="E25" s="158">
        <f>+IF($A25="",IF($C25="",SUMIFS(全伝票!I:I,全伝票!$B:$B,$B25),SUMIFS(全伝票!I:I,全伝票!$C:$C,$C25)),IF($C25="",SUMIFS(全伝票!I:I,全伝票!$A:$A,$A25,全伝票!$B:$B,$B25),SUMIFS(全伝票!I:I,全伝票!$A:$A,$A25,全伝票!$C:$C,$C25)))</f>
        <v>0</v>
      </c>
      <c r="F25" s="161">
        <f>+IF($A25="",IF($C25="",SUMIFS(全伝票!J:J,全伝票!$B:$B,$B25),SUMIFS(全伝票!J:J,全伝票!$C:$C,$C25)),IF($C25="",SUMIFS(全伝票!J:J,全伝票!$A:$A,$A25,全伝票!$B:$B,$B25),SUMIFS(全伝票!J:J,全伝票!$A:$A,$A25,全伝票!$C:$C,$C25)))</f>
        <v>0</v>
      </c>
      <c r="G25" s="160">
        <f>+IF($A25="",IF($C25="",SUMIFS(全伝票!K:K,全伝票!$B:$B,$B25),SUMIFS(全伝票!K:K,全伝票!$C:$C,$C25)),IF($C25="",SUMIFS(全伝票!K:K,全伝票!$A:$A,$A25,全伝票!$B:$B,$B25),SUMIFS(全伝票!K:K,全伝票!$A:$A,$A25,全伝票!$C:$C,$C25)))</f>
        <v>0</v>
      </c>
      <c r="H25" s="160">
        <f>+IF($A25="",IF($C25="",SUMIFS(全伝票!L:L,全伝票!$B:$B,$B25),SUMIFS(全伝票!L:L,全伝票!$C:$C,$C25)),IF($C25="",SUMIFS(全伝票!L:L,全伝票!$A:$A,$A25,全伝票!$B:$B,$B25),SUMIFS(全伝票!L:L,全伝票!$A:$A,$A25,全伝票!$C:$C,$C25)))</f>
        <v>0</v>
      </c>
      <c r="I25" s="159">
        <f>+IF($A25="",IF($C25="",SUMIFS(全伝票!M:M,全伝票!$B:$B,$B25),SUMIFS(全伝票!M:M,全伝票!$C:$C,$C25)),IF($C25="",SUMIFS(全伝票!M:M,全伝票!$A:$A,$A25,全伝票!$B:$B,$B25),SUMIFS(全伝票!M:M,全伝票!$A:$A,$A25,全伝票!$C:$C,$C25)))</f>
        <v>0</v>
      </c>
      <c r="J25" s="159">
        <f>+IF($A25="",IF($C25="",SUMIFS(全伝票!N:N,全伝票!$B:$B,$B25),SUMIFS(全伝票!N:N,全伝票!$C:$C,$C25)),IF($C25="",SUMIFS(全伝票!N:N,全伝票!$A:$A,$A25,全伝票!$B:$B,$B25),SUMIFS(全伝票!N:N,全伝票!$A:$A,$A25,全伝票!$C:$C,$C25)))</f>
        <v>0</v>
      </c>
      <c r="K25" s="34">
        <f t="shared" si="0"/>
        <v>0</v>
      </c>
      <c r="L25" s="158">
        <f>+IF($A25="",IF($C25="",SUMIFS(全伝票!O:O,全伝票!$B:$B,$B25),SUMIFS(全伝票!O:O,全伝票!$C:$C,$C25)),IF($C25="",SUMIFS(全伝票!O:O,全伝票!$A:$A,$A25,全伝票!$B:$B,$B25),SUMIFS(全伝票!O:O,全伝票!$A:$A,$A25,全伝票!$C:$C,$C25)))</f>
        <v>0</v>
      </c>
      <c r="M25" s="158">
        <f>+IF($A25="",IF($C25="",SUMIFS(全伝票!P:P,全伝票!$B:$B,$B25),SUMIFS(全伝票!P:P,全伝票!$C:$C,$C25)),IF($C25="",SUMIFS(全伝票!P:P,全伝票!$A:$A,$A25,全伝票!$B:$B,$B25),SUMIFS(全伝票!P:P,全伝票!$A:$A,$A25,全伝票!$C:$C,$C25)))</f>
        <v>0</v>
      </c>
      <c r="N25" s="108">
        <f t="shared" si="1"/>
        <v>0</v>
      </c>
      <c r="O25" s="25">
        <f t="shared" si="3"/>
        <v>0</v>
      </c>
      <c r="P25" s="25">
        <f t="shared" si="2"/>
        <v>0</v>
      </c>
      <c r="Q25" s="157">
        <f t="shared" si="3"/>
        <v>0</v>
      </c>
      <c r="R25" s="157">
        <f t="shared" si="4"/>
        <v>0</v>
      </c>
      <c r="S25" s="22">
        <f t="shared" si="5"/>
        <v>0</v>
      </c>
      <c r="T25" s="109">
        <f t="shared" si="6"/>
        <v>0</v>
      </c>
      <c r="U25" s="107">
        <f t="shared" si="7"/>
        <v>0</v>
      </c>
      <c r="V25" s="107">
        <f t="shared" si="8"/>
        <v>0</v>
      </c>
      <c r="W25" s="107">
        <f t="shared" si="9"/>
        <v>0</v>
      </c>
      <c r="X25" s="107">
        <f t="shared" si="9"/>
        <v>0</v>
      </c>
      <c r="Y25" s="107">
        <f t="shared" si="10"/>
        <v>0</v>
      </c>
      <c r="Z25" s="106">
        <f t="shared" si="11"/>
        <v>0</v>
      </c>
      <c r="AA25" s="106">
        <f t="shared" si="12"/>
        <v>0</v>
      </c>
      <c r="AB25" s="106">
        <f t="shared" si="13"/>
        <v>0</v>
      </c>
      <c r="AC25" s="106">
        <f t="shared" si="13"/>
        <v>0</v>
      </c>
      <c r="AD25" s="106">
        <f t="shared" si="14"/>
        <v>0</v>
      </c>
    </row>
    <row r="26" spans="1:30">
      <c r="A26" s="165">
        <v>1</v>
      </c>
      <c r="B26" s="164" t="s">
        <v>124</v>
      </c>
      <c r="C26" s="163" t="s">
        <v>123</v>
      </c>
      <c r="D26" s="162" t="s">
        <v>68</v>
      </c>
      <c r="E26" s="158">
        <f>+IF($A26="",IF($C26="",SUMIFS(全伝票!I:I,全伝票!$B:$B,$B26),SUMIFS(全伝票!I:I,全伝票!$C:$C,$C26)),IF($C26="",SUMIFS(全伝票!I:I,全伝票!$A:$A,$A26,全伝票!$B:$B,$B26),SUMIFS(全伝票!I:I,全伝票!$A:$A,$A26,全伝票!$C:$C,$C26)))</f>
        <v>0</v>
      </c>
      <c r="F26" s="161">
        <f>+IF($A26="",IF($C26="",SUMIFS(全伝票!J:J,全伝票!$B:$B,$B26),SUMIFS(全伝票!J:J,全伝票!$C:$C,$C26)),IF($C26="",SUMIFS(全伝票!J:J,全伝票!$A:$A,$A26,全伝票!$B:$B,$B26),SUMIFS(全伝票!J:J,全伝票!$A:$A,$A26,全伝票!$C:$C,$C26)))</f>
        <v>0</v>
      </c>
      <c r="G26" s="160">
        <f>+IF($A26="",IF($C26="",SUMIFS(全伝票!K:K,全伝票!$B:$B,$B26),SUMIFS(全伝票!K:K,全伝票!$C:$C,$C26)),IF($C26="",SUMIFS(全伝票!K:K,全伝票!$A:$A,$A26,全伝票!$B:$B,$B26),SUMIFS(全伝票!K:K,全伝票!$A:$A,$A26,全伝票!$C:$C,$C26)))</f>
        <v>0</v>
      </c>
      <c r="H26" s="160">
        <f>+IF($A26="",IF($C26="",SUMIFS(全伝票!L:L,全伝票!$B:$B,$B26),SUMIFS(全伝票!L:L,全伝票!$C:$C,$C26)),IF($C26="",SUMIFS(全伝票!L:L,全伝票!$A:$A,$A26,全伝票!$B:$B,$B26),SUMIFS(全伝票!L:L,全伝票!$A:$A,$A26,全伝票!$C:$C,$C26)))</f>
        <v>0</v>
      </c>
      <c r="I26" s="159">
        <f>+IF($A26="",IF($C26="",SUMIFS(全伝票!M:M,全伝票!$B:$B,$B26),SUMIFS(全伝票!M:M,全伝票!$C:$C,$C26)),IF($C26="",SUMIFS(全伝票!M:M,全伝票!$A:$A,$A26,全伝票!$B:$B,$B26),SUMIFS(全伝票!M:M,全伝票!$A:$A,$A26,全伝票!$C:$C,$C26)))</f>
        <v>0</v>
      </c>
      <c r="J26" s="159">
        <f>+IF($A26="",IF($C26="",SUMIFS(全伝票!N:N,全伝票!$B:$B,$B26),SUMIFS(全伝票!N:N,全伝票!$C:$C,$C26)),IF($C26="",SUMIFS(全伝票!N:N,全伝票!$A:$A,$A26,全伝票!$B:$B,$B26),SUMIFS(全伝票!N:N,全伝票!$A:$A,$A26,全伝票!$C:$C,$C26)))</f>
        <v>0</v>
      </c>
      <c r="K26" s="34">
        <f t="shared" si="0"/>
        <v>0</v>
      </c>
      <c r="L26" s="158">
        <f>+IF($A26="",IF($C26="",SUMIFS(全伝票!O:O,全伝票!$B:$B,$B26),SUMIFS(全伝票!O:O,全伝票!$C:$C,$C26)),IF($C26="",SUMIFS(全伝票!O:O,全伝票!$A:$A,$A26,全伝票!$B:$B,$B26),SUMIFS(全伝票!O:O,全伝票!$A:$A,$A26,全伝票!$C:$C,$C26)))</f>
        <v>0</v>
      </c>
      <c r="M26" s="158">
        <f>+IF($A26="",IF($C26="",SUMIFS(全伝票!P:P,全伝票!$B:$B,$B26),SUMIFS(全伝票!P:P,全伝票!$C:$C,$C26)),IF($C26="",SUMIFS(全伝票!P:P,全伝票!$A:$A,$A26,全伝票!$B:$B,$B26),SUMIFS(全伝票!P:P,全伝票!$A:$A,$A26,全伝票!$C:$C,$C26)))</f>
        <v>0</v>
      </c>
      <c r="N26" s="108">
        <f t="shared" si="1"/>
        <v>0</v>
      </c>
      <c r="O26" s="25">
        <f t="shared" si="3"/>
        <v>0</v>
      </c>
      <c r="P26" s="25">
        <f t="shared" si="2"/>
        <v>0</v>
      </c>
      <c r="Q26" s="157">
        <f t="shared" si="3"/>
        <v>0</v>
      </c>
      <c r="R26" s="157">
        <f t="shared" si="4"/>
        <v>0</v>
      </c>
      <c r="S26" s="22">
        <f t="shared" si="5"/>
        <v>0</v>
      </c>
      <c r="T26" s="109">
        <f t="shared" si="6"/>
        <v>0</v>
      </c>
      <c r="U26" s="107">
        <f t="shared" si="7"/>
        <v>0</v>
      </c>
      <c r="V26" s="107">
        <f t="shared" si="8"/>
        <v>0</v>
      </c>
      <c r="W26" s="107">
        <f t="shared" si="9"/>
        <v>0</v>
      </c>
      <c r="X26" s="107">
        <f t="shared" si="9"/>
        <v>0</v>
      </c>
      <c r="Y26" s="107">
        <f t="shared" si="10"/>
        <v>0</v>
      </c>
      <c r="Z26" s="106">
        <f t="shared" si="11"/>
        <v>0</v>
      </c>
      <c r="AA26" s="106">
        <f t="shared" si="12"/>
        <v>0</v>
      </c>
      <c r="AB26" s="106">
        <f t="shared" si="13"/>
        <v>0</v>
      </c>
      <c r="AC26" s="106">
        <f t="shared" si="13"/>
        <v>0</v>
      </c>
      <c r="AD26" s="106">
        <f t="shared" si="14"/>
        <v>0</v>
      </c>
    </row>
    <row r="27" spans="1:30">
      <c r="A27" s="165">
        <v>1</v>
      </c>
      <c r="B27" s="164" t="s">
        <v>122</v>
      </c>
      <c r="C27" s="163"/>
      <c r="D27" s="162" t="s">
        <v>66</v>
      </c>
      <c r="E27" s="158">
        <f>+IF($A27="",IF($C27="",SUMIFS(全伝票!I:I,全伝票!$B:$B,$B27),SUMIFS(全伝票!I:I,全伝票!$C:$C,$C27)),IF($C27="",SUMIFS(全伝票!I:I,全伝票!$A:$A,$A27,全伝票!$B:$B,$B27),SUMIFS(全伝票!I:I,全伝票!$A:$A,$A27,全伝票!$C:$C,$C27)))</f>
        <v>0</v>
      </c>
      <c r="F27" s="161">
        <f>+IF($A27="",IF($C27="",SUMIFS(全伝票!J:J,全伝票!$B:$B,$B27),SUMIFS(全伝票!J:J,全伝票!$C:$C,$C27)),IF($C27="",SUMIFS(全伝票!J:J,全伝票!$A:$A,$A27,全伝票!$B:$B,$B27),SUMIFS(全伝票!J:J,全伝票!$A:$A,$A27,全伝票!$C:$C,$C27)))</f>
        <v>0</v>
      </c>
      <c r="G27" s="160">
        <f>+IF($A27="",IF($C27="",SUMIFS(全伝票!K:K,全伝票!$B:$B,$B27),SUMIFS(全伝票!K:K,全伝票!$C:$C,$C27)),IF($C27="",SUMIFS(全伝票!K:K,全伝票!$A:$A,$A27,全伝票!$B:$B,$B27),SUMIFS(全伝票!K:K,全伝票!$A:$A,$A27,全伝票!$C:$C,$C27)))</f>
        <v>0</v>
      </c>
      <c r="H27" s="160">
        <f>+IF($A27="",IF($C27="",SUMIFS(全伝票!L:L,全伝票!$B:$B,$B27),SUMIFS(全伝票!L:L,全伝票!$C:$C,$C27)),IF($C27="",SUMIFS(全伝票!L:L,全伝票!$A:$A,$A27,全伝票!$B:$B,$B27),SUMIFS(全伝票!L:L,全伝票!$A:$A,$A27,全伝票!$C:$C,$C27)))</f>
        <v>0</v>
      </c>
      <c r="I27" s="159">
        <f>+IF($A27="",IF($C27="",SUMIFS(全伝票!M:M,全伝票!$B:$B,$B27),SUMIFS(全伝票!M:M,全伝票!$C:$C,$C27)),IF($C27="",SUMIFS(全伝票!M:M,全伝票!$A:$A,$A27,全伝票!$B:$B,$B27),SUMIFS(全伝票!M:M,全伝票!$A:$A,$A27,全伝票!$C:$C,$C27)))</f>
        <v>0</v>
      </c>
      <c r="J27" s="159">
        <f>+IF($A27="",IF($C27="",SUMIFS(全伝票!N:N,全伝票!$B:$B,$B27),SUMIFS(全伝票!N:N,全伝票!$C:$C,$C27)),IF($C27="",SUMIFS(全伝票!N:N,全伝票!$A:$A,$A27,全伝票!$B:$B,$B27),SUMIFS(全伝票!N:N,全伝票!$A:$A,$A27,全伝票!$C:$C,$C27)))</f>
        <v>0</v>
      </c>
      <c r="K27" s="34">
        <f t="shared" si="0"/>
        <v>0</v>
      </c>
      <c r="L27" s="158">
        <f>+IF($A27="",IF($C27="",SUMIFS(全伝票!O:O,全伝票!$B:$B,$B27),SUMIFS(全伝票!O:O,全伝票!$C:$C,$C27)),IF($C27="",SUMIFS(全伝票!O:O,全伝票!$A:$A,$A27,全伝票!$B:$B,$B27),SUMIFS(全伝票!O:O,全伝票!$A:$A,$A27,全伝票!$C:$C,$C27)))</f>
        <v>0</v>
      </c>
      <c r="M27" s="158">
        <f>+IF($A27="",IF($C27="",SUMIFS(全伝票!P:P,全伝票!$B:$B,$B27),SUMIFS(全伝票!P:P,全伝票!$C:$C,$C27)),IF($C27="",SUMIFS(全伝票!P:P,全伝票!$A:$A,$A27,全伝票!$B:$B,$B27),SUMIFS(全伝票!P:P,全伝票!$A:$A,$A27,全伝票!$C:$C,$C27)))</f>
        <v>0</v>
      </c>
      <c r="N27" s="108">
        <f t="shared" si="1"/>
        <v>0</v>
      </c>
      <c r="O27" s="25">
        <f t="shared" si="3"/>
        <v>0</v>
      </c>
      <c r="P27" s="25">
        <f t="shared" si="2"/>
        <v>0</v>
      </c>
      <c r="Q27" s="157">
        <f t="shared" si="3"/>
        <v>0</v>
      </c>
      <c r="R27" s="157">
        <f t="shared" si="4"/>
        <v>0</v>
      </c>
      <c r="S27" s="22">
        <f t="shared" si="5"/>
        <v>0</v>
      </c>
      <c r="T27" s="109">
        <f t="shared" si="6"/>
        <v>0</v>
      </c>
      <c r="U27" s="107">
        <f t="shared" si="7"/>
        <v>0</v>
      </c>
      <c r="V27" s="107">
        <f t="shared" si="8"/>
        <v>0</v>
      </c>
      <c r="W27" s="107">
        <f t="shared" si="9"/>
        <v>0</v>
      </c>
      <c r="X27" s="107">
        <f t="shared" si="9"/>
        <v>0</v>
      </c>
      <c r="Y27" s="107">
        <f t="shared" si="10"/>
        <v>0</v>
      </c>
      <c r="Z27" s="106">
        <f t="shared" si="11"/>
        <v>0</v>
      </c>
      <c r="AA27" s="106">
        <f t="shared" si="12"/>
        <v>0</v>
      </c>
      <c r="AB27" s="106">
        <f t="shared" si="13"/>
        <v>0</v>
      </c>
      <c r="AC27" s="106">
        <f t="shared" si="13"/>
        <v>0</v>
      </c>
      <c r="AD27" s="106">
        <f t="shared" si="14"/>
        <v>0</v>
      </c>
    </row>
    <row r="28" spans="1:30">
      <c r="A28" s="165">
        <v>1</v>
      </c>
      <c r="B28" s="164" t="s">
        <v>121</v>
      </c>
      <c r="C28" s="163"/>
      <c r="D28" s="162" t="s">
        <v>64</v>
      </c>
      <c r="E28" s="158">
        <f>+IF($A28="",IF($C28="",SUMIFS(全伝票!I:I,全伝票!$B:$B,$B28),SUMIFS(全伝票!I:I,全伝票!$C:$C,$C28)),IF($C28="",SUMIFS(全伝票!I:I,全伝票!$A:$A,$A28,全伝票!$B:$B,$B28),SUMIFS(全伝票!I:I,全伝票!$A:$A,$A28,全伝票!$C:$C,$C28)))</f>
        <v>0</v>
      </c>
      <c r="F28" s="161">
        <f>+IF($A28="",IF($C28="",SUMIFS(全伝票!J:J,全伝票!$B:$B,$B28),SUMIFS(全伝票!J:J,全伝票!$C:$C,$C28)),IF($C28="",SUMIFS(全伝票!J:J,全伝票!$A:$A,$A28,全伝票!$B:$B,$B28),SUMIFS(全伝票!J:J,全伝票!$A:$A,$A28,全伝票!$C:$C,$C28)))</f>
        <v>0</v>
      </c>
      <c r="G28" s="160">
        <f>+IF($A28="",IF($C28="",SUMIFS(全伝票!K:K,全伝票!$B:$B,$B28),SUMIFS(全伝票!K:K,全伝票!$C:$C,$C28)),IF($C28="",SUMIFS(全伝票!K:K,全伝票!$A:$A,$A28,全伝票!$B:$B,$B28),SUMIFS(全伝票!K:K,全伝票!$A:$A,$A28,全伝票!$C:$C,$C28)))</f>
        <v>0</v>
      </c>
      <c r="H28" s="160">
        <f>+IF($A28="",IF($C28="",SUMIFS(全伝票!L:L,全伝票!$B:$B,$B28),SUMIFS(全伝票!L:L,全伝票!$C:$C,$C28)),IF($C28="",SUMIFS(全伝票!L:L,全伝票!$A:$A,$A28,全伝票!$B:$B,$B28),SUMIFS(全伝票!L:L,全伝票!$A:$A,$A28,全伝票!$C:$C,$C28)))</f>
        <v>0</v>
      </c>
      <c r="I28" s="159">
        <f>+IF($A28="",IF($C28="",SUMIFS(全伝票!M:M,全伝票!$B:$B,$B28),SUMIFS(全伝票!M:M,全伝票!$C:$C,$C28)),IF($C28="",SUMIFS(全伝票!M:M,全伝票!$A:$A,$A28,全伝票!$B:$B,$B28),SUMIFS(全伝票!M:M,全伝票!$A:$A,$A28,全伝票!$C:$C,$C28)))</f>
        <v>0</v>
      </c>
      <c r="J28" s="159">
        <f>+IF($A28="",IF($C28="",SUMIFS(全伝票!N:N,全伝票!$B:$B,$B28),SUMIFS(全伝票!N:N,全伝票!$C:$C,$C28)),IF($C28="",SUMIFS(全伝票!N:N,全伝票!$A:$A,$A28,全伝票!$B:$B,$B28),SUMIFS(全伝票!N:N,全伝票!$A:$A,$A28,全伝票!$C:$C,$C28)))</f>
        <v>0</v>
      </c>
      <c r="K28" s="34">
        <f t="shared" si="0"/>
        <v>0</v>
      </c>
      <c r="L28" s="158">
        <f>+IF($A28="",IF($C28="",SUMIFS(全伝票!O:O,全伝票!$B:$B,$B28),SUMIFS(全伝票!O:O,全伝票!$C:$C,$C28)),IF($C28="",SUMIFS(全伝票!O:O,全伝票!$A:$A,$A28,全伝票!$B:$B,$B28),SUMIFS(全伝票!O:O,全伝票!$A:$A,$A28,全伝票!$C:$C,$C28)))</f>
        <v>0</v>
      </c>
      <c r="M28" s="158">
        <f>+IF($A28="",IF($C28="",SUMIFS(全伝票!P:P,全伝票!$B:$B,$B28),SUMIFS(全伝票!P:P,全伝票!$C:$C,$C28)),IF($C28="",SUMIFS(全伝票!P:P,全伝票!$A:$A,$A28,全伝票!$B:$B,$B28),SUMIFS(全伝票!P:P,全伝票!$A:$A,$A28,全伝票!$C:$C,$C28)))</f>
        <v>0</v>
      </c>
      <c r="N28" s="108">
        <f t="shared" si="1"/>
        <v>0</v>
      </c>
      <c r="O28" s="25">
        <f t="shared" si="3"/>
        <v>0</v>
      </c>
      <c r="P28" s="25">
        <f t="shared" si="2"/>
        <v>0</v>
      </c>
      <c r="Q28" s="157">
        <f t="shared" si="3"/>
        <v>0</v>
      </c>
      <c r="R28" s="157">
        <f t="shared" si="4"/>
        <v>0</v>
      </c>
      <c r="S28" s="22">
        <f t="shared" si="5"/>
        <v>0</v>
      </c>
      <c r="T28" s="109">
        <f t="shared" si="6"/>
        <v>0</v>
      </c>
      <c r="U28" s="107">
        <f t="shared" si="7"/>
        <v>0</v>
      </c>
      <c r="V28" s="107">
        <f t="shared" si="8"/>
        <v>0</v>
      </c>
      <c r="W28" s="107">
        <f t="shared" si="9"/>
        <v>0</v>
      </c>
      <c r="X28" s="107">
        <f t="shared" si="9"/>
        <v>0</v>
      </c>
      <c r="Y28" s="107">
        <f t="shared" si="10"/>
        <v>0</v>
      </c>
      <c r="Z28" s="106">
        <f t="shared" si="11"/>
        <v>0</v>
      </c>
      <c r="AA28" s="106">
        <f t="shared" si="12"/>
        <v>0</v>
      </c>
      <c r="AB28" s="106">
        <f t="shared" si="13"/>
        <v>0</v>
      </c>
      <c r="AC28" s="106">
        <f t="shared" si="13"/>
        <v>0</v>
      </c>
      <c r="AD28" s="106">
        <f t="shared" si="14"/>
        <v>0</v>
      </c>
    </row>
    <row r="29" spans="1:30">
      <c r="A29" s="165">
        <v>1</v>
      </c>
      <c r="B29" s="164" t="s">
        <v>120</v>
      </c>
      <c r="C29" s="163"/>
      <c r="D29" s="162" t="s">
        <v>62</v>
      </c>
      <c r="E29" s="158">
        <f>+IF($A29="",IF($C29="",SUMIFS(全伝票!I:I,全伝票!$B:$B,$B29),SUMIFS(全伝票!I:I,全伝票!$C:$C,$C29)),IF($C29="",SUMIFS(全伝票!I:I,全伝票!$A:$A,$A29,全伝票!$B:$B,$B29),SUMIFS(全伝票!I:I,全伝票!$A:$A,$A29,全伝票!$C:$C,$C29)))</f>
        <v>0</v>
      </c>
      <c r="F29" s="161">
        <f>+IF($A29="",IF($C29="",SUMIFS(全伝票!J:J,全伝票!$B:$B,$B29),SUMIFS(全伝票!J:J,全伝票!$C:$C,$C29)),IF($C29="",SUMIFS(全伝票!J:J,全伝票!$A:$A,$A29,全伝票!$B:$B,$B29),SUMIFS(全伝票!J:J,全伝票!$A:$A,$A29,全伝票!$C:$C,$C29)))</f>
        <v>0</v>
      </c>
      <c r="G29" s="160">
        <f>+IF($A29="",IF($C29="",SUMIFS(全伝票!K:K,全伝票!$B:$B,$B29),SUMIFS(全伝票!K:K,全伝票!$C:$C,$C29)),IF($C29="",SUMIFS(全伝票!K:K,全伝票!$A:$A,$A29,全伝票!$B:$B,$B29),SUMIFS(全伝票!K:K,全伝票!$A:$A,$A29,全伝票!$C:$C,$C29)))</f>
        <v>0</v>
      </c>
      <c r="H29" s="160">
        <f>+IF($A29="",IF($C29="",SUMIFS(全伝票!L:L,全伝票!$B:$B,$B29),SUMIFS(全伝票!L:L,全伝票!$C:$C,$C29)),IF($C29="",SUMIFS(全伝票!L:L,全伝票!$A:$A,$A29,全伝票!$B:$B,$B29),SUMIFS(全伝票!L:L,全伝票!$A:$A,$A29,全伝票!$C:$C,$C29)))</f>
        <v>0</v>
      </c>
      <c r="I29" s="159">
        <f>+IF($A29="",IF($C29="",SUMIFS(全伝票!M:M,全伝票!$B:$B,$B29),SUMIFS(全伝票!M:M,全伝票!$C:$C,$C29)),IF($C29="",SUMIFS(全伝票!M:M,全伝票!$A:$A,$A29,全伝票!$B:$B,$B29),SUMIFS(全伝票!M:M,全伝票!$A:$A,$A29,全伝票!$C:$C,$C29)))</f>
        <v>0</v>
      </c>
      <c r="J29" s="159">
        <f>+IF($A29="",IF($C29="",SUMIFS(全伝票!N:N,全伝票!$B:$B,$B29),SUMIFS(全伝票!N:N,全伝票!$C:$C,$C29)),IF($C29="",SUMIFS(全伝票!N:N,全伝票!$A:$A,$A29,全伝票!$B:$B,$B29),SUMIFS(全伝票!N:N,全伝票!$A:$A,$A29,全伝票!$C:$C,$C29)))</f>
        <v>0</v>
      </c>
      <c r="K29" s="34">
        <f t="shared" si="0"/>
        <v>0</v>
      </c>
      <c r="L29" s="158">
        <f>+IF($A29="",IF($C29="",SUMIFS(全伝票!O:O,全伝票!$B:$B,$B29),SUMIFS(全伝票!O:O,全伝票!$C:$C,$C29)),IF($C29="",SUMIFS(全伝票!O:O,全伝票!$A:$A,$A29,全伝票!$B:$B,$B29),SUMIFS(全伝票!O:O,全伝票!$A:$A,$A29,全伝票!$C:$C,$C29)))</f>
        <v>0</v>
      </c>
      <c r="M29" s="158">
        <f>+IF($A29="",IF($C29="",SUMIFS(全伝票!P:P,全伝票!$B:$B,$B29),SUMIFS(全伝票!P:P,全伝票!$C:$C,$C29)),IF($C29="",SUMIFS(全伝票!P:P,全伝票!$A:$A,$A29,全伝票!$B:$B,$B29),SUMIFS(全伝票!P:P,全伝票!$A:$A,$A29,全伝票!$C:$C,$C29)))</f>
        <v>0</v>
      </c>
      <c r="N29" s="108">
        <f t="shared" si="1"/>
        <v>0</v>
      </c>
      <c r="O29" s="25">
        <f t="shared" si="3"/>
        <v>0</v>
      </c>
      <c r="P29" s="25">
        <f t="shared" si="2"/>
        <v>0</v>
      </c>
      <c r="Q29" s="157">
        <f t="shared" si="3"/>
        <v>0</v>
      </c>
      <c r="R29" s="157">
        <f t="shared" si="4"/>
        <v>0</v>
      </c>
      <c r="S29" s="22">
        <f t="shared" si="5"/>
        <v>0</v>
      </c>
      <c r="T29" s="109">
        <f t="shared" si="6"/>
        <v>0</v>
      </c>
      <c r="U29" s="107">
        <f t="shared" si="7"/>
        <v>0</v>
      </c>
      <c r="V29" s="107">
        <f t="shared" si="8"/>
        <v>0</v>
      </c>
      <c r="W29" s="107">
        <f t="shared" si="9"/>
        <v>0</v>
      </c>
      <c r="X29" s="107">
        <f t="shared" si="9"/>
        <v>0</v>
      </c>
      <c r="Y29" s="107">
        <f t="shared" si="10"/>
        <v>0</v>
      </c>
      <c r="Z29" s="106">
        <f t="shared" si="11"/>
        <v>0</v>
      </c>
      <c r="AA29" s="106">
        <f t="shared" si="12"/>
        <v>0</v>
      </c>
      <c r="AB29" s="106">
        <f t="shared" si="13"/>
        <v>0</v>
      </c>
      <c r="AC29" s="106">
        <f t="shared" si="13"/>
        <v>0</v>
      </c>
      <c r="AD29" s="106">
        <f t="shared" si="14"/>
        <v>0</v>
      </c>
    </row>
    <row r="30" spans="1:30">
      <c r="A30" s="165">
        <v>1</v>
      </c>
      <c r="B30" s="164" t="s">
        <v>119</v>
      </c>
      <c r="C30" s="163"/>
      <c r="D30" s="162" t="s">
        <v>60</v>
      </c>
      <c r="E30" s="158">
        <f>+IF($A30="",IF($C30="",SUMIFS(全伝票!I:I,全伝票!$B:$B,$B30),SUMIFS(全伝票!I:I,全伝票!$C:$C,$C30)),IF($C30="",SUMIFS(全伝票!I:I,全伝票!$A:$A,$A30,全伝票!$B:$B,$B30),SUMIFS(全伝票!I:I,全伝票!$A:$A,$A30,全伝票!$C:$C,$C30)))</f>
        <v>0</v>
      </c>
      <c r="F30" s="161">
        <f>+IF($A30="",IF($C30="",SUMIFS(全伝票!J:J,全伝票!$B:$B,$B30),SUMIFS(全伝票!J:J,全伝票!$C:$C,$C30)),IF($C30="",SUMIFS(全伝票!J:J,全伝票!$A:$A,$A30,全伝票!$B:$B,$B30),SUMIFS(全伝票!J:J,全伝票!$A:$A,$A30,全伝票!$C:$C,$C30)))</f>
        <v>0</v>
      </c>
      <c r="G30" s="160">
        <f>+IF($A30="",IF($C30="",SUMIFS(全伝票!K:K,全伝票!$B:$B,$B30),SUMIFS(全伝票!K:K,全伝票!$C:$C,$C30)),IF($C30="",SUMIFS(全伝票!K:K,全伝票!$A:$A,$A30,全伝票!$B:$B,$B30),SUMIFS(全伝票!K:K,全伝票!$A:$A,$A30,全伝票!$C:$C,$C30)))</f>
        <v>0</v>
      </c>
      <c r="H30" s="160">
        <f>+IF($A30="",IF($C30="",SUMIFS(全伝票!L:L,全伝票!$B:$B,$B30),SUMIFS(全伝票!L:L,全伝票!$C:$C,$C30)),IF($C30="",SUMIFS(全伝票!L:L,全伝票!$A:$A,$A30,全伝票!$B:$B,$B30),SUMIFS(全伝票!L:L,全伝票!$A:$A,$A30,全伝票!$C:$C,$C30)))</f>
        <v>0</v>
      </c>
      <c r="I30" s="159">
        <f>+IF($A30="",IF($C30="",SUMIFS(全伝票!M:M,全伝票!$B:$B,$B30),SUMIFS(全伝票!M:M,全伝票!$C:$C,$C30)),IF($C30="",SUMIFS(全伝票!M:M,全伝票!$A:$A,$A30,全伝票!$B:$B,$B30),SUMIFS(全伝票!M:M,全伝票!$A:$A,$A30,全伝票!$C:$C,$C30)))</f>
        <v>0</v>
      </c>
      <c r="J30" s="159">
        <f>+IF($A30="",IF($C30="",SUMIFS(全伝票!N:N,全伝票!$B:$B,$B30),SUMIFS(全伝票!N:N,全伝票!$C:$C,$C30)),IF($C30="",SUMIFS(全伝票!N:N,全伝票!$A:$A,$A30,全伝票!$B:$B,$B30),SUMIFS(全伝票!N:N,全伝票!$A:$A,$A30,全伝票!$C:$C,$C30)))</f>
        <v>0</v>
      </c>
      <c r="K30" s="34">
        <f t="shared" si="0"/>
        <v>0</v>
      </c>
      <c r="L30" s="158">
        <f>+IF($A30="",IF($C30="",SUMIFS(全伝票!O:O,全伝票!$B:$B,$B30),SUMIFS(全伝票!O:O,全伝票!$C:$C,$C30)),IF($C30="",SUMIFS(全伝票!O:O,全伝票!$A:$A,$A30,全伝票!$B:$B,$B30),SUMIFS(全伝票!O:O,全伝票!$A:$A,$A30,全伝票!$C:$C,$C30)))</f>
        <v>0</v>
      </c>
      <c r="M30" s="158">
        <f>+IF($A30="",IF($C30="",SUMIFS(全伝票!P:P,全伝票!$B:$B,$B30),SUMIFS(全伝票!P:P,全伝票!$C:$C,$C30)),IF($C30="",SUMIFS(全伝票!P:P,全伝票!$A:$A,$A30,全伝票!$B:$B,$B30),SUMIFS(全伝票!P:P,全伝票!$A:$A,$A30,全伝票!$C:$C,$C30)))</f>
        <v>0</v>
      </c>
      <c r="N30" s="108">
        <f t="shared" si="1"/>
        <v>0</v>
      </c>
      <c r="O30" s="25">
        <f t="shared" si="3"/>
        <v>0</v>
      </c>
      <c r="P30" s="25">
        <f t="shared" si="2"/>
        <v>0</v>
      </c>
      <c r="Q30" s="157">
        <f t="shared" si="3"/>
        <v>0</v>
      </c>
      <c r="R30" s="157">
        <f t="shared" si="4"/>
        <v>0</v>
      </c>
      <c r="S30" s="22">
        <f t="shared" si="5"/>
        <v>0</v>
      </c>
      <c r="T30" s="109">
        <f t="shared" si="6"/>
        <v>0</v>
      </c>
      <c r="U30" s="107">
        <f t="shared" si="7"/>
        <v>0</v>
      </c>
      <c r="V30" s="107">
        <f t="shared" si="8"/>
        <v>0</v>
      </c>
      <c r="W30" s="107">
        <f t="shared" si="9"/>
        <v>0</v>
      </c>
      <c r="X30" s="107">
        <f t="shared" si="9"/>
        <v>0</v>
      </c>
      <c r="Y30" s="107">
        <f t="shared" si="10"/>
        <v>0</v>
      </c>
      <c r="Z30" s="106">
        <f t="shared" si="11"/>
        <v>0</v>
      </c>
      <c r="AA30" s="106">
        <f t="shared" si="12"/>
        <v>0</v>
      </c>
      <c r="AB30" s="106">
        <f t="shared" si="13"/>
        <v>0</v>
      </c>
      <c r="AC30" s="106">
        <f t="shared" si="13"/>
        <v>0</v>
      </c>
      <c r="AD30" s="106">
        <f t="shared" si="14"/>
        <v>0</v>
      </c>
    </row>
    <row r="31" spans="1:30">
      <c r="A31" s="165">
        <v>1</v>
      </c>
      <c r="B31" s="164" t="s">
        <v>118</v>
      </c>
      <c r="C31" s="163"/>
      <c r="D31" s="162" t="s">
        <v>58</v>
      </c>
      <c r="E31" s="158">
        <f>+IF($A31="",IF($C31="",SUMIFS(全伝票!I:I,全伝票!$B:$B,$B31),SUMIFS(全伝票!I:I,全伝票!$C:$C,$C31)),IF($C31="",SUMIFS(全伝票!I:I,全伝票!$A:$A,$A31,全伝票!$B:$B,$B31),SUMIFS(全伝票!I:I,全伝票!$A:$A,$A31,全伝票!$C:$C,$C31)))</f>
        <v>21080</v>
      </c>
      <c r="F31" s="161">
        <f>+IF($A31="",IF($C31="",SUMIFS(全伝票!J:J,全伝票!$B:$B,$B31),SUMIFS(全伝票!J:J,全伝票!$C:$C,$C31)),IF($C31="",SUMIFS(全伝票!J:J,全伝票!$A:$A,$A31,全伝票!$B:$B,$B31),SUMIFS(全伝票!J:J,全伝票!$A:$A,$A31,全伝票!$C:$C,$C31)))</f>
        <v>0</v>
      </c>
      <c r="G31" s="160">
        <f>+IF($A31="",IF($C31="",SUMIFS(全伝票!K:K,全伝票!$B:$B,$B31),SUMIFS(全伝票!K:K,全伝票!$C:$C,$C31)),IF($C31="",SUMIFS(全伝票!K:K,全伝票!$A:$A,$A31,全伝票!$B:$B,$B31),SUMIFS(全伝票!K:K,全伝票!$A:$A,$A31,全伝票!$C:$C,$C31)))</f>
        <v>0</v>
      </c>
      <c r="H31" s="160">
        <f>+IF($A31="",IF($C31="",SUMIFS(全伝票!L:L,全伝票!$B:$B,$B31),SUMIFS(全伝票!L:L,全伝票!$C:$C,$C31)),IF($C31="",SUMIFS(全伝票!L:L,全伝票!$A:$A,$A31,全伝票!$B:$B,$B31),SUMIFS(全伝票!L:L,全伝票!$A:$A,$A31,全伝票!$C:$C,$C31)))</f>
        <v>0</v>
      </c>
      <c r="I31" s="159">
        <f>+IF($A31="",IF($C31="",SUMIFS(全伝票!M:M,全伝票!$B:$B,$B31),SUMIFS(全伝票!M:M,全伝票!$C:$C,$C31)),IF($C31="",SUMIFS(全伝票!M:M,全伝票!$A:$A,$A31,全伝票!$B:$B,$B31),SUMIFS(全伝票!M:M,全伝票!$A:$A,$A31,全伝票!$C:$C,$C31)))</f>
        <v>0</v>
      </c>
      <c r="J31" s="159">
        <f>+IF($A31="",IF($C31="",SUMIFS(全伝票!N:N,全伝票!$B:$B,$B31),SUMIFS(全伝票!N:N,全伝票!$C:$C,$C31)),IF($C31="",SUMIFS(全伝票!N:N,全伝票!$A:$A,$A31,全伝票!$B:$B,$B31),SUMIFS(全伝票!N:N,全伝票!$A:$A,$A31,全伝票!$C:$C,$C31)))</f>
        <v>0</v>
      </c>
      <c r="K31" s="34">
        <f t="shared" si="0"/>
        <v>0</v>
      </c>
      <c r="L31" s="158">
        <f>+IF($A31="",IF($C31="",SUMIFS(全伝票!O:O,全伝票!$B:$B,$B31),SUMIFS(全伝票!O:O,全伝票!$C:$C,$C31)),IF($C31="",SUMIFS(全伝票!O:O,全伝票!$A:$A,$A31,全伝票!$B:$B,$B31),SUMIFS(全伝票!O:O,全伝票!$A:$A,$A31,全伝票!$C:$C,$C31)))</f>
        <v>21080</v>
      </c>
      <c r="M31" s="158">
        <f>+IF($A31="",IF($C31="",SUMIFS(全伝票!P:P,全伝票!$B:$B,$B31),SUMIFS(全伝票!P:P,全伝票!$C:$C,$C31)),IF($C31="",SUMIFS(全伝票!P:P,全伝票!$A:$A,$A31,全伝票!$B:$B,$B31),SUMIFS(全伝票!P:P,全伝票!$A:$A,$A31,全伝票!$C:$C,$C31)))</f>
        <v>0</v>
      </c>
      <c r="N31" s="108">
        <f t="shared" si="1"/>
        <v>0</v>
      </c>
      <c r="O31" s="25">
        <f t="shared" si="3"/>
        <v>0</v>
      </c>
      <c r="P31" s="25">
        <f t="shared" si="2"/>
        <v>0</v>
      </c>
      <c r="Q31" s="157">
        <f t="shared" si="3"/>
        <v>0</v>
      </c>
      <c r="R31" s="157">
        <f t="shared" si="4"/>
        <v>0</v>
      </c>
      <c r="S31" s="22">
        <f t="shared" si="5"/>
        <v>0</v>
      </c>
      <c r="T31" s="109">
        <f t="shared" si="6"/>
        <v>21080</v>
      </c>
      <c r="U31" s="107">
        <f t="shared" si="7"/>
        <v>0</v>
      </c>
      <c r="V31" s="107">
        <f t="shared" si="8"/>
        <v>0</v>
      </c>
      <c r="W31" s="107">
        <f t="shared" si="9"/>
        <v>0</v>
      </c>
      <c r="X31" s="107">
        <f t="shared" si="9"/>
        <v>0</v>
      </c>
      <c r="Y31" s="107">
        <f t="shared" si="10"/>
        <v>0</v>
      </c>
      <c r="Z31" s="106">
        <f t="shared" si="11"/>
        <v>0</v>
      </c>
      <c r="AA31" s="106">
        <f t="shared" si="12"/>
        <v>0</v>
      </c>
      <c r="AB31" s="106">
        <f t="shared" si="13"/>
        <v>0</v>
      </c>
      <c r="AC31" s="106">
        <f t="shared" si="13"/>
        <v>0</v>
      </c>
      <c r="AD31" s="106">
        <f t="shared" si="14"/>
        <v>0</v>
      </c>
    </row>
    <row r="32" spans="1:30">
      <c r="A32" s="165">
        <v>1</v>
      </c>
      <c r="B32" s="164" t="s">
        <v>117</v>
      </c>
      <c r="C32" s="163"/>
      <c r="D32" s="162" t="s">
        <v>56</v>
      </c>
      <c r="E32" s="158">
        <f>+IF($A32="",IF($C32="",SUMIFS(全伝票!I:I,全伝票!$B:$B,$B32),SUMIFS(全伝票!I:I,全伝票!$C:$C,$C32)),IF($C32="",SUMIFS(全伝票!I:I,全伝票!$A:$A,$A32,全伝票!$B:$B,$B32),SUMIFS(全伝票!I:I,全伝票!$A:$A,$A32,全伝票!$C:$C,$C32)))</f>
        <v>0</v>
      </c>
      <c r="F32" s="161">
        <f>+IF($A32="",IF($C32="",SUMIFS(全伝票!J:J,全伝票!$B:$B,$B32),SUMIFS(全伝票!J:J,全伝票!$C:$C,$C32)),IF($C32="",SUMIFS(全伝票!J:J,全伝票!$A:$A,$A32,全伝票!$B:$B,$B32),SUMIFS(全伝票!J:J,全伝票!$A:$A,$A32,全伝票!$C:$C,$C32)))</f>
        <v>0</v>
      </c>
      <c r="G32" s="160">
        <f>+IF($A32="",IF($C32="",SUMIFS(全伝票!K:K,全伝票!$B:$B,$B32),SUMIFS(全伝票!K:K,全伝票!$C:$C,$C32)),IF($C32="",SUMIFS(全伝票!K:K,全伝票!$A:$A,$A32,全伝票!$B:$B,$B32),SUMIFS(全伝票!K:K,全伝票!$A:$A,$A32,全伝票!$C:$C,$C32)))</f>
        <v>0</v>
      </c>
      <c r="H32" s="160">
        <f>+IF($A32="",IF($C32="",SUMIFS(全伝票!L:L,全伝票!$B:$B,$B32),SUMIFS(全伝票!L:L,全伝票!$C:$C,$C32)),IF($C32="",SUMIFS(全伝票!L:L,全伝票!$A:$A,$A32,全伝票!$B:$B,$B32),SUMIFS(全伝票!L:L,全伝票!$A:$A,$A32,全伝票!$C:$C,$C32)))</f>
        <v>0</v>
      </c>
      <c r="I32" s="159">
        <f>+IF($A32="",IF($C32="",SUMIFS(全伝票!M:M,全伝票!$B:$B,$B32),SUMIFS(全伝票!M:M,全伝票!$C:$C,$C32)),IF($C32="",SUMIFS(全伝票!M:M,全伝票!$A:$A,$A32,全伝票!$B:$B,$B32),SUMIFS(全伝票!M:M,全伝票!$A:$A,$A32,全伝票!$C:$C,$C32)))</f>
        <v>0</v>
      </c>
      <c r="J32" s="159">
        <f>+IF($A32="",IF($C32="",SUMIFS(全伝票!N:N,全伝票!$B:$B,$B32),SUMIFS(全伝票!N:N,全伝票!$C:$C,$C32)),IF($C32="",SUMIFS(全伝票!N:N,全伝票!$A:$A,$A32,全伝票!$B:$B,$B32),SUMIFS(全伝票!N:N,全伝票!$A:$A,$A32,全伝票!$C:$C,$C32)))</f>
        <v>0</v>
      </c>
      <c r="K32" s="34">
        <f t="shared" si="0"/>
        <v>0</v>
      </c>
      <c r="L32" s="158">
        <f>+IF($A32="",IF($C32="",SUMIFS(全伝票!O:O,全伝票!$B:$B,$B32),SUMIFS(全伝票!O:O,全伝票!$C:$C,$C32)),IF($C32="",SUMIFS(全伝票!O:O,全伝票!$A:$A,$A32,全伝票!$B:$B,$B32),SUMIFS(全伝票!O:O,全伝票!$A:$A,$A32,全伝票!$C:$C,$C32)))</f>
        <v>0</v>
      </c>
      <c r="M32" s="158">
        <f>+IF($A32="",IF($C32="",SUMIFS(全伝票!P:P,全伝票!$B:$B,$B32),SUMIFS(全伝票!P:P,全伝票!$C:$C,$C32)),IF($C32="",SUMIFS(全伝票!P:P,全伝票!$A:$A,$A32,全伝票!$B:$B,$B32),SUMIFS(全伝票!P:P,全伝票!$A:$A,$A32,全伝票!$C:$C,$C32)))</f>
        <v>0</v>
      </c>
      <c r="N32" s="108">
        <f t="shared" si="1"/>
        <v>0</v>
      </c>
      <c r="O32" s="25">
        <f t="shared" si="3"/>
        <v>0</v>
      </c>
      <c r="P32" s="25">
        <f t="shared" si="2"/>
        <v>0</v>
      </c>
      <c r="Q32" s="157">
        <f t="shared" si="3"/>
        <v>0</v>
      </c>
      <c r="R32" s="157">
        <f t="shared" si="4"/>
        <v>0</v>
      </c>
      <c r="S32" s="22">
        <f t="shared" si="5"/>
        <v>0</v>
      </c>
      <c r="T32" s="109">
        <f t="shared" si="6"/>
        <v>0</v>
      </c>
      <c r="U32" s="107">
        <f t="shared" si="7"/>
        <v>0</v>
      </c>
      <c r="V32" s="107">
        <f t="shared" si="8"/>
        <v>0</v>
      </c>
      <c r="W32" s="107">
        <f t="shared" si="9"/>
        <v>0</v>
      </c>
      <c r="X32" s="107">
        <f t="shared" si="9"/>
        <v>0</v>
      </c>
      <c r="Y32" s="107">
        <f t="shared" si="10"/>
        <v>0</v>
      </c>
      <c r="Z32" s="106">
        <f t="shared" si="11"/>
        <v>0</v>
      </c>
      <c r="AA32" s="106">
        <f t="shared" si="12"/>
        <v>0</v>
      </c>
      <c r="AB32" s="106">
        <f t="shared" si="13"/>
        <v>0</v>
      </c>
      <c r="AC32" s="106">
        <f t="shared" si="13"/>
        <v>0</v>
      </c>
      <c r="AD32" s="106">
        <f t="shared" si="14"/>
        <v>0</v>
      </c>
    </row>
    <row r="33" spans="1:30">
      <c r="A33" s="165">
        <v>1</v>
      </c>
      <c r="B33" s="164" t="s">
        <v>138</v>
      </c>
      <c r="C33" s="163">
        <v>883041003</v>
      </c>
      <c r="D33" s="162" t="s">
        <v>609</v>
      </c>
      <c r="E33" s="158">
        <f>+IF($A33="",IF($C33="",SUMIFS(全伝票!I:I,全伝票!$B:$B,$B33),SUMIFS(全伝票!I:I,全伝票!$C:$C,$C33)),IF($C33="",SUMIFS(全伝票!I:I,全伝票!$A:$A,$A33,全伝票!$B:$B,$B33),SUMIFS(全伝票!I:I,全伝票!$A:$A,$A33,全伝票!$C:$C,$C33)))</f>
        <v>7400</v>
      </c>
      <c r="F33" s="161">
        <f>+IF($A33="",IF($C33="",SUMIFS(全伝票!J:J,全伝票!$B:$B,$B33),SUMIFS(全伝票!J:J,全伝票!$C:$C,$C33)),IF($C33="",SUMIFS(全伝票!J:J,全伝票!$A:$A,$A33,全伝票!$B:$B,$B33),SUMIFS(全伝票!J:J,全伝票!$A:$A,$A33,全伝票!$C:$C,$C33)))</f>
        <v>0</v>
      </c>
      <c r="G33" s="160">
        <f>+IF($A33="",IF($C33="",SUMIFS(全伝票!K:K,全伝票!$B:$B,$B33),SUMIFS(全伝票!K:K,全伝票!$C:$C,$C33)),IF($C33="",SUMIFS(全伝票!K:K,全伝票!$A:$A,$A33,全伝票!$B:$B,$B33),SUMIFS(全伝票!K:K,全伝票!$A:$A,$A33,全伝票!$C:$C,$C33)))</f>
        <v>0</v>
      </c>
      <c r="H33" s="160">
        <f>+IF($A33="",IF($C33="",SUMIFS(全伝票!L:L,全伝票!$B:$B,$B33),SUMIFS(全伝票!L:L,全伝票!$C:$C,$C33)),IF($C33="",SUMIFS(全伝票!L:L,全伝票!$A:$A,$A33,全伝票!$B:$B,$B33),SUMIFS(全伝票!L:L,全伝票!$A:$A,$A33,全伝票!$C:$C,$C33)))</f>
        <v>0</v>
      </c>
      <c r="I33" s="159">
        <f>+IF($A33="",IF($C33="",SUMIFS(全伝票!M:M,全伝票!$B:$B,$B33),SUMIFS(全伝票!M:M,全伝票!$C:$C,$C33)),IF($C33="",SUMIFS(全伝票!M:M,全伝票!$A:$A,$A33,全伝票!$B:$B,$B33),SUMIFS(全伝票!M:M,全伝票!$A:$A,$A33,全伝票!$C:$C,$C33)))</f>
        <v>0</v>
      </c>
      <c r="J33" s="159">
        <f>+IF($A33="",IF($C33="",SUMIFS(全伝票!N:N,全伝票!$B:$B,$B33),SUMIFS(全伝票!N:N,全伝票!$C:$C,$C33)),IF($C33="",SUMIFS(全伝票!N:N,全伝票!$A:$A,$A33,全伝票!$B:$B,$B33),SUMIFS(全伝票!N:N,全伝票!$A:$A,$A33,全伝票!$C:$C,$C33)))</f>
        <v>7400</v>
      </c>
      <c r="K33" s="34">
        <f t="shared" si="0"/>
        <v>7400</v>
      </c>
      <c r="L33" s="158">
        <f>+IF($A33="",IF($C33="",SUMIFS(全伝票!O:O,全伝票!$B:$B,$B33),SUMIFS(全伝票!O:O,全伝票!$C:$C,$C33)),IF($C33="",SUMIFS(全伝票!O:O,全伝票!$A:$A,$A33,全伝票!$B:$B,$B33),SUMIFS(全伝票!O:O,全伝票!$A:$A,$A33,全伝票!$C:$C,$C33)))</f>
        <v>0</v>
      </c>
      <c r="M33" s="158">
        <f>+IF($A33="",IF($C33="",SUMIFS(全伝票!P:P,全伝票!$B:$B,$B33),SUMIFS(全伝票!P:P,全伝票!$C:$C,$C33)),IF($C33="",SUMIFS(全伝票!P:P,全伝票!$A:$A,$A33,全伝票!$B:$B,$B33),SUMIFS(全伝票!P:P,全伝票!$A:$A,$A33,全伝票!$C:$C,$C33)))</f>
        <v>0</v>
      </c>
      <c r="N33" s="108">
        <f t="shared" si="1"/>
        <v>0</v>
      </c>
      <c r="O33" s="25">
        <f t="shared" si="3"/>
        <v>0</v>
      </c>
      <c r="P33" s="25">
        <f t="shared" si="2"/>
        <v>0</v>
      </c>
      <c r="Q33" s="157">
        <f t="shared" si="3"/>
        <v>0</v>
      </c>
      <c r="R33" s="157">
        <f t="shared" si="4"/>
        <v>673</v>
      </c>
      <c r="S33" s="22">
        <f t="shared" si="5"/>
        <v>673</v>
      </c>
      <c r="T33" s="109">
        <f t="shared" si="6"/>
        <v>6727</v>
      </c>
      <c r="U33" s="107">
        <f t="shared" si="7"/>
        <v>0</v>
      </c>
      <c r="V33" s="107">
        <f t="shared" si="8"/>
        <v>0</v>
      </c>
      <c r="W33" s="107">
        <f t="shared" si="9"/>
        <v>0</v>
      </c>
      <c r="X33" s="107">
        <f t="shared" si="9"/>
        <v>0</v>
      </c>
      <c r="Y33" s="107">
        <f t="shared" si="10"/>
        <v>0.27272727272725206</v>
      </c>
      <c r="Z33" s="106">
        <f t="shared" si="11"/>
        <v>0</v>
      </c>
      <c r="AA33" s="106">
        <f t="shared" si="12"/>
        <v>0</v>
      </c>
      <c r="AB33" s="106">
        <f t="shared" si="13"/>
        <v>0</v>
      </c>
      <c r="AC33" s="106">
        <f t="shared" si="13"/>
        <v>0</v>
      </c>
      <c r="AD33" s="106">
        <f t="shared" si="14"/>
        <v>0</v>
      </c>
    </row>
    <row r="34" spans="1:30">
      <c r="A34" s="165">
        <v>1</v>
      </c>
      <c r="B34" s="164" t="s">
        <v>116</v>
      </c>
      <c r="C34" s="163"/>
      <c r="D34" s="162" t="s">
        <v>53</v>
      </c>
      <c r="E34" s="158">
        <f>+IF($A34="",IF($C34="",SUMIFS(全伝票!I:I,全伝票!$B:$B,$B34),SUMIFS(全伝票!I:I,全伝票!$C:$C,$C34)),IF($C34="",SUMIFS(全伝票!I:I,全伝票!$A:$A,$A34,全伝票!$B:$B,$B34),SUMIFS(全伝票!I:I,全伝票!$A:$A,$A34,全伝票!$C:$C,$C34)))</f>
        <v>2505000</v>
      </c>
      <c r="F34" s="161">
        <f>+IF($A34="",IF($C34="",SUMIFS(全伝票!J:J,全伝票!$B:$B,$B34),SUMIFS(全伝票!J:J,全伝票!$C:$C,$C34)),IF($C34="",SUMIFS(全伝票!J:J,全伝票!$A:$A,$A34,全伝票!$B:$B,$B34),SUMIFS(全伝票!J:J,全伝票!$A:$A,$A34,全伝票!$C:$C,$C34)))</f>
        <v>0</v>
      </c>
      <c r="G34" s="160">
        <f>+IF($A34="",IF($C34="",SUMIFS(全伝票!K:K,全伝票!$B:$B,$B34),SUMIFS(全伝票!K:K,全伝票!$C:$C,$C34)),IF($C34="",SUMIFS(全伝票!K:K,全伝票!$A:$A,$A34,全伝票!$B:$B,$B34),SUMIFS(全伝票!K:K,全伝票!$A:$A,$A34,全伝票!$C:$C,$C34)))</f>
        <v>0</v>
      </c>
      <c r="H34" s="160">
        <f>+IF($A34="",IF($C34="",SUMIFS(全伝票!L:L,全伝票!$B:$B,$B34),SUMIFS(全伝票!L:L,全伝票!$C:$C,$C34)),IF($C34="",SUMIFS(全伝票!L:L,全伝票!$A:$A,$A34,全伝票!$B:$B,$B34),SUMIFS(全伝票!L:L,全伝票!$A:$A,$A34,全伝票!$C:$C,$C34)))</f>
        <v>0</v>
      </c>
      <c r="I34" s="159">
        <f>+IF($A34="",IF($C34="",SUMIFS(全伝票!M:M,全伝票!$B:$B,$B34),SUMIFS(全伝票!M:M,全伝票!$C:$C,$C34)),IF($C34="",SUMIFS(全伝票!M:M,全伝票!$A:$A,$A34,全伝票!$B:$B,$B34),SUMIFS(全伝票!M:M,全伝票!$A:$A,$A34,全伝票!$C:$C,$C34)))</f>
        <v>0</v>
      </c>
      <c r="J34" s="159">
        <f>+IF($A34="",IF($C34="",SUMIFS(全伝票!N:N,全伝票!$B:$B,$B34),SUMIFS(全伝票!N:N,全伝票!$C:$C,$C34)),IF($C34="",SUMIFS(全伝票!N:N,全伝票!$A:$A,$A34,全伝票!$B:$B,$B34),SUMIFS(全伝票!N:N,全伝票!$A:$A,$A34,全伝票!$C:$C,$C34)))</f>
        <v>0</v>
      </c>
      <c r="K34" s="34">
        <f t="shared" si="0"/>
        <v>0</v>
      </c>
      <c r="L34" s="158">
        <f>+IF($A34="",IF($C34="",SUMIFS(全伝票!O:O,全伝票!$B:$B,$B34),SUMIFS(全伝票!O:O,全伝票!$C:$C,$C34)),IF($C34="",SUMIFS(全伝票!O:O,全伝票!$A:$A,$A34,全伝票!$B:$B,$B34),SUMIFS(全伝票!O:O,全伝票!$A:$A,$A34,全伝票!$C:$C,$C34)))</f>
        <v>0</v>
      </c>
      <c r="M34" s="158">
        <f>+IF($A34="",IF($C34="",SUMIFS(全伝票!P:P,全伝票!$B:$B,$B34),SUMIFS(全伝票!P:P,全伝票!$C:$C,$C34)),IF($C34="",SUMIFS(全伝票!P:P,全伝票!$A:$A,$A34,全伝票!$B:$B,$B34),SUMIFS(全伝票!P:P,全伝票!$A:$A,$A34,全伝票!$C:$C,$C34)))</f>
        <v>2505000</v>
      </c>
      <c r="N34" s="108">
        <f t="shared" si="1"/>
        <v>0</v>
      </c>
      <c r="O34" s="25">
        <f t="shared" si="3"/>
        <v>0</v>
      </c>
      <c r="P34" s="25">
        <f t="shared" si="2"/>
        <v>0</v>
      </c>
      <c r="Q34" s="157">
        <f t="shared" si="3"/>
        <v>0</v>
      </c>
      <c r="R34" s="157">
        <f t="shared" si="4"/>
        <v>0</v>
      </c>
      <c r="S34" s="22">
        <f t="shared" si="5"/>
        <v>0</v>
      </c>
      <c r="T34" s="109">
        <f t="shared" si="6"/>
        <v>2505000</v>
      </c>
      <c r="U34" s="107">
        <f t="shared" si="7"/>
        <v>0</v>
      </c>
      <c r="V34" s="107">
        <f t="shared" si="8"/>
        <v>0</v>
      </c>
      <c r="W34" s="107">
        <f t="shared" si="9"/>
        <v>0</v>
      </c>
      <c r="X34" s="107">
        <f t="shared" si="9"/>
        <v>0</v>
      </c>
      <c r="Y34" s="107">
        <f t="shared" si="10"/>
        <v>0</v>
      </c>
      <c r="Z34" s="106">
        <f t="shared" si="11"/>
        <v>0</v>
      </c>
      <c r="AA34" s="106">
        <f t="shared" si="12"/>
        <v>0</v>
      </c>
      <c r="AB34" s="106">
        <f t="shared" si="13"/>
        <v>0</v>
      </c>
      <c r="AC34" s="106">
        <f t="shared" si="13"/>
        <v>0</v>
      </c>
      <c r="AD34" s="106">
        <f t="shared" si="14"/>
        <v>0</v>
      </c>
    </row>
    <row r="35" spans="1:30" ht="14.25" thickBot="1">
      <c r="A35" s="165"/>
      <c r="B35" s="164" t="s">
        <v>115</v>
      </c>
      <c r="C35" s="163"/>
      <c r="D35" s="162" t="s">
        <v>51</v>
      </c>
      <c r="E35" s="158">
        <f>+IF($A35="",IF($C35="",SUMIFS(全伝票!I:I,全伝票!$B:$B,$B35),SUMIFS(全伝票!I:I,全伝票!$C:$C,$C35)),IF($C35="",SUMIFS(全伝票!I:I,全伝票!$A:$A,$A35,全伝票!$B:$B,$B35),SUMIFS(全伝票!I:I,全伝票!$A:$A,$A35,全伝票!$C:$C,$C35)))</f>
        <v>0</v>
      </c>
      <c r="F35" s="161">
        <f>+IF($A35="",IF($C35="",SUMIFS(全伝票!J:J,全伝票!$B:$B,$B35),SUMIFS(全伝票!J:J,全伝票!$C:$C,$C35)),IF($C35="",SUMIFS(全伝票!J:J,全伝票!$A:$A,$A35,全伝票!$B:$B,$B35),SUMIFS(全伝票!J:J,全伝票!$A:$A,$A35,全伝票!$C:$C,$C35)))</f>
        <v>0</v>
      </c>
      <c r="G35" s="160">
        <f>+IF($A35="",IF($C35="",SUMIFS(全伝票!K:K,全伝票!$B:$B,$B35),SUMIFS(全伝票!K:K,全伝票!$C:$C,$C35)),IF($C35="",SUMIFS(全伝票!K:K,全伝票!$A:$A,$A35,全伝票!$B:$B,$B35),SUMIFS(全伝票!K:K,全伝票!$A:$A,$A35,全伝票!$C:$C,$C35)))</f>
        <v>0</v>
      </c>
      <c r="H35" s="160">
        <f>+IF($A35="",IF($C35="",SUMIFS(全伝票!L:L,全伝票!$B:$B,$B35),SUMIFS(全伝票!L:L,全伝票!$C:$C,$C35)),IF($C35="",SUMIFS(全伝票!L:L,全伝票!$A:$A,$A35,全伝票!$B:$B,$B35),SUMIFS(全伝票!L:L,全伝票!$A:$A,$A35,全伝票!$C:$C,$C35)))</f>
        <v>0</v>
      </c>
      <c r="I35" s="159">
        <f>+IF($A35="",IF($C35="",SUMIFS(全伝票!M:M,全伝票!$B:$B,$B35),SUMIFS(全伝票!M:M,全伝票!$C:$C,$C35)),IF($C35="",SUMIFS(全伝票!M:M,全伝票!$A:$A,$A35,全伝票!$B:$B,$B35),SUMIFS(全伝票!M:M,全伝票!$A:$A,$A35,全伝票!$C:$C,$C35)))</f>
        <v>0</v>
      </c>
      <c r="J35" s="159">
        <f>+IF($A35="",IF($C35="",SUMIFS(全伝票!N:N,全伝票!$B:$B,$B35),SUMIFS(全伝票!N:N,全伝票!$C:$C,$C35)),IF($C35="",SUMIFS(全伝票!N:N,全伝票!$A:$A,$A35,全伝票!$B:$B,$B35),SUMIFS(全伝票!N:N,全伝票!$A:$A,$A35,全伝票!$C:$C,$C35)))</f>
        <v>0</v>
      </c>
      <c r="K35" s="34">
        <f t="shared" si="0"/>
        <v>0</v>
      </c>
      <c r="L35" s="158">
        <f>+IF($A35="",IF($C35="",SUMIFS(全伝票!O:O,全伝票!$B:$B,$B35),SUMIFS(全伝票!O:O,全伝票!$C:$C,$C35)),IF($C35="",SUMIFS(全伝票!O:O,全伝票!$A:$A,$A35,全伝票!$B:$B,$B35),SUMIFS(全伝票!O:O,全伝票!$A:$A,$A35,全伝票!$C:$C,$C35)))</f>
        <v>0</v>
      </c>
      <c r="M35" s="158">
        <f>+IF($A35="",IF($C35="",SUMIFS(全伝票!P:P,全伝票!$B:$B,$B35),SUMIFS(全伝票!P:P,全伝票!$C:$C,$C35)),IF($C35="",SUMIFS(全伝票!P:P,全伝票!$A:$A,$A35,全伝票!$B:$B,$B35),SUMIFS(全伝票!P:P,全伝票!$A:$A,$A35,全伝票!$C:$C,$C35)))</f>
        <v>0</v>
      </c>
      <c r="N35" s="108">
        <f t="shared" si="1"/>
        <v>0</v>
      </c>
      <c r="O35" s="25">
        <f t="shared" si="3"/>
        <v>0</v>
      </c>
      <c r="P35" s="25">
        <f t="shared" si="2"/>
        <v>0</v>
      </c>
      <c r="Q35" s="157">
        <f t="shared" si="3"/>
        <v>0</v>
      </c>
      <c r="R35" s="157">
        <f t="shared" si="4"/>
        <v>0</v>
      </c>
      <c r="S35" s="22">
        <f t="shared" si="5"/>
        <v>0</v>
      </c>
      <c r="T35" s="109">
        <f t="shared" si="6"/>
        <v>0</v>
      </c>
      <c r="U35" s="107">
        <f t="shared" si="7"/>
        <v>0</v>
      </c>
      <c r="V35" s="107">
        <f t="shared" si="8"/>
        <v>0</v>
      </c>
      <c r="W35" s="107">
        <f t="shared" si="9"/>
        <v>0</v>
      </c>
      <c r="X35" s="107">
        <f t="shared" si="9"/>
        <v>0</v>
      </c>
      <c r="Y35" s="107">
        <f t="shared" si="10"/>
        <v>0</v>
      </c>
      <c r="Z35" s="106">
        <f t="shared" si="11"/>
        <v>0</v>
      </c>
      <c r="AA35" s="106">
        <f t="shared" si="12"/>
        <v>0</v>
      </c>
      <c r="AB35" s="106">
        <f t="shared" si="13"/>
        <v>0</v>
      </c>
      <c r="AC35" s="106">
        <f t="shared" si="13"/>
        <v>0</v>
      </c>
      <c r="AD35" s="106">
        <f t="shared" si="14"/>
        <v>0</v>
      </c>
    </row>
    <row r="36" spans="1:30" ht="14.25" thickTop="1">
      <c r="A36" s="156"/>
      <c r="B36" s="155"/>
      <c r="C36" s="154"/>
      <c r="D36" s="153" t="s">
        <v>2</v>
      </c>
      <c r="E36" s="149">
        <f t="shared" ref="E36:T36" si="15">SUM(E5:E35)</f>
        <v>52443869</v>
      </c>
      <c r="F36" s="152">
        <f t="shared" si="15"/>
        <v>0</v>
      </c>
      <c r="G36" s="151">
        <f t="shared" si="15"/>
        <v>0</v>
      </c>
      <c r="H36" s="151">
        <f t="shared" si="15"/>
        <v>0</v>
      </c>
      <c r="I36" s="150">
        <f t="shared" ref="I36" si="16">SUM(I5:I35)</f>
        <v>0</v>
      </c>
      <c r="J36" s="150">
        <f t="shared" si="15"/>
        <v>12436317</v>
      </c>
      <c r="K36" s="74">
        <f t="shared" si="15"/>
        <v>12436317</v>
      </c>
      <c r="L36" s="149">
        <f t="shared" si="15"/>
        <v>6197563</v>
      </c>
      <c r="M36" s="149">
        <f t="shared" si="15"/>
        <v>33809989</v>
      </c>
      <c r="N36" s="146">
        <f t="shared" si="15"/>
        <v>0</v>
      </c>
      <c r="O36" s="145">
        <f t="shared" si="15"/>
        <v>0</v>
      </c>
      <c r="P36" s="145">
        <f t="shared" si="15"/>
        <v>0</v>
      </c>
      <c r="Q36" s="148">
        <f t="shared" ref="Q36" si="17">SUM(Q5:Q35)</f>
        <v>0</v>
      </c>
      <c r="R36" s="148">
        <f t="shared" si="15"/>
        <v>1130574</v>
      </c>
      <c r="S36" s="144">
        <f t="shared" si="15"/>
        <v>1130574</v>
      </c>
      <c r="T36" s="147">
        <f t="shared" si="15"/>
        <v>51313295</v>
      </c>
      <c r="U36" s="88" t="str">
        <f>+IF(F36=0,"",ROUND(F36*F$4/(100+F$4),7)-N36)</f>
        <v/>
      </c>
      <c r="V36" s="88"/>
      <c r="W36" s="88"/>
      <c r="X36" s="88"/>
      <c r="Y36" s="88"/>
      <c r="Z36" s="88"/>
      <c r="AA36" s="88"/>
      <c r="AB36" s="87"/>
      <c r="AC36" s="87"/>
      <c r="AD36" s="87"/>
    </row>
    <row r="37" spans="1:30">
      <c r="A37" s="143"/>
      <c r="B37" s="142"/>
      <c r="C37" s="141"/>
      <c r="D37" s="140" t="s">
        <v>1</v>
      </c>
      <c r="E37" s="136">
        <f t="shared" ref="E37:J37" si="18">+E36</f>
        <v>52443869</v>
      </c>
      <c r="F37" s="139">
        <f t="shared" si="18"/>
        <v>0</v>
      </c>
      <c r="G37" s="138">
        <f t="shared" si="18"/>
        <v>0</v>
      </c>
      <c r="H37" s="138">
        <f t="shared" si="18"/>
        <v>0</v>
      </c>
      <c r="I37" s="137">
        <f t="shared" si="18"/>
        <v>0</v>
      </c>
      <c r="J37" s="137">
        <f t="shared" si="18"/>
        <v>12436317</v>
      </c>
      <c r="K37" s="63">
        <f>SUM(F37:J37)</f>
        <v>12436317</v>
      </c>
      <c r="L37" s="136">
        <f>+L36</f>
        <v>6197563</v>
      </c>
      <c r="M37" s="135">
        <f>+M36</f>
        <v>33809989</v>
      </c>
      <c r="N37" s="133">
        <f>+'3条支出'!N7</f>
        <v>0</v>
      </c>
      <c r="O37" s="132">
        <f>+'3条支出'!O7</f>
        <v>0</v>
      </c>
      <c r="P37" s="132">
        <f>+'3条支出'!P7</f>
        <v>0</v>
      </c>
      <c r="Q37" s="132">
        <f>+'3条支出'!Q7</f>
        <v>0</v>
      </c>
      <c r="R37" s="132">
        <f>+'3条支出'!R7</f>
        <v>1130574</v>
      </c>
      <c r="S37" s="131">
        <f>+'3条支出'!S7</f>
        <v>1130574</v>
      </c>
      <c r="T37" s="134">
        <f>+'3条支出'!T7</f>
        <v>51313295</v>
      </c>
      <c r="U37" s="88" t="str">
        <f>+IF(F37=0,"",ROUND(F37*F$4/(100+F$4),7)-N37)</f>
        <v/>
      </c>
      <c r="V37" s="88"/>
      <c r="W37" s="88"/>
      <c r="X37" s="88"/>
      <c r="Y37" s="88"/>
      <c r="Z37" s="88"/>
      <c r="AA37" s="88"/>
      <c r="AB37" s="87"/>
      <c r="AC37" s="87"/>
      <c r="AD37" s="87"/>
    </row>
    <row r="38" spans="1:30">
      <c r="E38" s="4">
        <f t="shared" ref="E38:T38" si="19">+E37-E36</f>
        <v>0</v>
      </c>
      <c r="F38" s="4">
        <f t="shared" si="19"/>
        <v>0</v>
      </c>
      <c r="G38" s="4">
        <f t="shared" si="19"/>
        <v>0</v>
      </c>
      <c r="H38" s="4">
        <f t="shared" si="19"/>
        <v>0</v>
      </c>
      <c r="I38" s="4">
        <f t="shared" ref="I38" si="20">+I37-I36</f>
        <v>0</v>
      </c>
      <c r="J38" s="4">
        <f t="shared" si="19"/>
        <v>0</v>
      </c>
      <c r="K38" s="4">
        <f t="shared" si="19"/>
        <v>0</v>
      </c>
      <c r="L38" s="4">
        <f t="shared" si="19"/>
        <v>0</v>
      </c>
      <c r="M38" s="4">
        <f t="shared" si="19"/>
        <v>0</v>
      </c>
      <c r="N38" s="4">
        <f t="shared" si="19"/>
        <v>0</v>
      </c>
      <c r="O38" s="4">
        <f t="shared" si="19"/>
        <v>0</v>
      </c>
      <c r="P38" s="4">
        <f t="shared" si="19"/>
        <v>0</v>
      </c>
      <c r="Q38" s="4">
        <f t="shared" ref="Q38" si="21">+Q37-Q36</f>
        <v>0</v>
      </c>
      <c r="R38" s="4">
        <f t="shared" si="19"/>
        <v>0</v>
      </c>
      <c r="S38" s="4">
        <f t="shared" si="19"/>
        <v>0</v>
      </c>
      <c r="T38" s="4">
        <f t="shared" si="19"/>
        <v>0</v>
      </c>
      <c r="U38" s="88" t="str">
        <f>+IF(F38=0,"",ROUND(F38*F$4/(100+F$4),7)-N38)</f>
        <v/>
      </c>
      <c r="V38" s="88" t="str">
        <f>+IF(G38=0,"",ROUND(G38*G$4/(100+G$4),7)-O38)</f>
        <v/>
      </c>
      <c r="W38" s="88" t="str">
        <f>+IF(H38=0,"",ROUND(H38*H$4/(100+H$4),7)-P38)</f>
        <v/>
      </c>
      <c r="X38" s="88"/>
      <c r="Y38" s="88" t="str">
        <f>+IF(J38=0,"",ROUND(J38*J$4/(100+J$4),7)-R38)</f>
        <v/>
      </c>
      <c r="Z38" s="88"/>
      <c r="AA38" s="88"/>
      <c r="AB38" s="87" t="str">
        <f>+IF(SUM(U38:Y38)=0,"",SUM(U38:Y38))</f>
        <v/>
      </c>
      <c r="AC38" s="87"/>
      <c r="AD38" s="87"/>
    </row>
    <row r="39" spans="1:30">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G40" s="273"/>
      <c r="H40" s="272"/>
      <c r="I40" s="272"/>
      <c r="J40" s="272"/>
      <c r="U40" s="88" t="str">
        <f>+IF(F40=0,"",ROUND(F40*F$4/(100+F$4),7)-N40)</f>
        <v/>
      </c>
      <c r="V40" s="88"/>
      <c r="W40" s="88"/>
      <c r="X40" s="88"/>
      <c r="Y40" s="88"/>
      <c r="Z40" s="88"/>
      <c r="AA40" s="88"/>
      <c r="AB40" s="87"/>
      <c r="AC40" s="87"/>
      <c r="AD40" s="87"/>
    </row>
    <row r="41" spans="1:30">
      <c r="G41" s="273"/>
      <c r="H41" s="272"/>
      <c r="I41" s="272"/>
      <c r="J41" s="272"/>
    </row>
  </sheetData>
  <mergeCells count="13">
    <mergeCell ref="F3:K3"/>
    <mergeCell ref="A3:A4"/>
    <mergeCell ref="B3:B4"/>
    <mergeCell ref="C3:C4"/>
    <mergeCell ref="D3:D4"/>
    <mergeCell ref="E3:E4"/>
    <mergeCell ref="AE3:AI3"/>
    <mergeCell ref="L3:L4"/>
    <mergeCell ref="M3:M4"/>
    <mergeCell ref="N3:S3"/>
    <mergeCell ref="T3:T4"/>
    <mergeCell ref="U3:Y3"/>
    <mergeCell ref="Z3:AD3"/>
  </mergeCells>
  <phoneticPr fontId="3"/>
  <conditionalFormatting sqref="AE36:AI37">
    <cfRule type="notContainsBlanks" dxfId="100" priority="4" stopIfTrue="1">
      <formula>LEN(TRIM(AE36))&gt;0</formula>
    </cfRule>
  </conditionalFormatting>
  <conditionalFormatting sqref="AE5:AI35">
    <cfRule type="notContainsBlanks" dxfId="99" priority="3" stopIfTrue="1">
      <formula>LEN(TRIM(AE5))&gt;0</formula>
    </cfRule>
  </conditionalFormatting>
  <conditionalFormatting sqref="Z5:AD35">
    <cfRule type="expression" dxfId="98" priority="2">
      <formula>ABS(Z5)=1</formula>
    </cfRule>
  </conditionalFormatting>
  <conditionalFormatting sqref="E38:T38">
    <cfRule type="cellIs" dxfId="97" priority="1" operator="notEqual">
      <formula>0</formula>
    </cfRule>
  </conditionalFormatting>
  <pageMargins left="0.39370078740157483" right="0.39370078740157483" top="0.78740157480314965" bottom="0.39370078740157483" header="0.39370078740157483" footer="0.19685039370078741"/>
  <pageSetup paperSize="9" scale="67" orientation="landscape" blackAndWhite="1" r:id="rId1"/>
  <headerFooter>
    <oddFooter>&amp;L&amp;8&amp;Z&amp;F&amp;A&amp;R&amp;8&amp;D&amp;T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I41"/>
  <sheetViews>
    <sheetView zoomScale="70" zoomScaleNormal="70"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+'3条支出'!D1</f>
        <v>令和５年度決算　消費税算出資料</v>
      </c>
    </row>
    <row r="2" spans="1:35">
      <c r="D2" s="2" t="s">
        <v>180</v>
      </c>
      <c r="V2" s="122"/>
      <c r="W2" s="122"/>
      <c r="X2" s="261"/>
      <c r="Y2" s="122"/>
      <c r="Z2" s="122"/>
      <c r="AA2" s="122"/>
      <c r="AB2" s="122"/>
      <c r="AC2" s="261"/>
      <c r="AD2" s="122"/>
      <c r="AE2" s="122"/>
      <c r="AF2" s="122"/>
      <c r="AG2" s="122"/>
      <c r="AH2" s="261"/>
      <c r="AI2" s="122"/>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122"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177">
        <v>1</v>
      </c>
      <c r="B5" s="176" t="s">
        <v>179</v>
      </c>
      <c r="C5" s="175"/>
      <c r="D5" s="174" t="s">
        <v>112</v>
      </c>
      <c r="E5" s="170">
        <f>+IF($A5="",IF($C5="",SUMIFS(全伝票!I:I,全伝票!$B:$B,$B5),SUMIFS(全伝票!I:I,全伝票!$C:$C,$C5)),IF($C5="",SUMIFS(全伝票!I:I,全伝票!$A:$A,$A5,全伝票!$B:$B,$B5),SUMIFS(全伝票!I:I,全伝票!$A:$A,$A5,全伝票!$C:$C,$C5)))</f>
        <v>2110500</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275">
        <f>+IF($A5="",IF($C5="",SUMIFS(全伝票!L:L,全伝票!$B:$B,$B5),SUMIFS(全伝票!L:L,全伝票!$C:$C,$C5)),IF($C5="",SUMIFS(全伝票!L:L,全伝票!$A:$A,$A5,全伝票!$B:$B,$B5),SUMIFS(全伝票!L:L,全伝票!$A:$A,$A5,全伝票!$C:$C,$C5)))</f>
        <v>0</v>
      </c>
      <c r="I5" s="270">
        <f>+IF($A5="",IF($C5="",SUMIFS(全伝票!M:M,全伝票!$B:$B,$B5),SUMIFS(全伝票!M:M,全伝票!$C:$C,$C5)),IF($C5="",SUMIFS(全伝票!M:M,全伝票!$A:$A,$A5,全伝票!$B:$B,$B5),SUMIFS(全伝票!M:M,全伝票!$A:$A,$A5,全伝票!$C:$C,$C5)))</f>
        <v>0</v>
      </c>
      <c r="J5" s="171">
        <f>+IF($A5="",IF($C5="",SUMIFS(全伝票!N:N,全伝票!$B:$B,$B5),SUMIFS(全伝票!N:N,全伝票!$C:$C,$C5)),IF($C5="",SUMIFS(全伝票!N:N,全伝票!$A:$A,$A5,全伝票!$B:$B,$B5),SUMIFS(全伝票!N:N,全伝票!$A:$A,$A5,全伝票!$C:$C,$C5)))</f>
        <v>0</v>
      </c>
      <c r="K5" s="112">
        <f t="shared" ref="K5:K35" si="0">SUM(F5:J5)</f>
        <v>0</v>
      </c>
      <c r="L5" s="170">
        <f>+IF($A5="",IF($C5="",SUMIFS(全伝票!O:O,全伝票!$B:$B,$B5),SUMIFS(全伝票!O:O,全伝票!$C:$C,$C5)),IF($C5="",SUMIFS(全伝票!O:O,全伝票!$A:$A,$A5,全伝票!$B:$B,$B5),SUMIFS(全伝票!O:O,全伝票!$A:$A,$A5,全伝票!$C:$C,$C5)))</f>
        <v>0</v>
      </c>
      <c r="M5" s="277">
        <f>+IF($A5="",IF($C5="",SUMIFS(全伝票!P:P,全伝票!$B:$B,$B5),SUMIFS(全伝票!P:P,全伝票!$C:$C,$C5)),IF($C5="",SUMIFS(全伝票!P:P,全伝票!$A:$A,$A5,全伝票!$B:$B,$B5),SUMIFS(全伝票!P:P,全伝票!$A:$A,$A5,全伝票!$C:$C,$C5)))</f>
        <v>2110500</v>
      </c>
      <c r="N5" s="169">
        <f t="shared" ref="N5:N35" si="1">+ROUND(F5*F$4/(100+F$4),0)+AE5</f>
        <v>0</v>
      </c>
      <c r="O5" s="47">
        <f>+ROUND(G5*G$4/(100+G$4),0)+AF5</f>
        <v>0</v>
      </c>
      <c r="P5" s="47">
        <f t="shared" ref="P5:P35" si="2">+ROUND(H5*H$4/(100+H$4),0)+AG5</f>
        <v>0</v>
      </c>
      <c r="Q5" s="168">
        <f t="shared" ref="O5:Q35" si="3">+ROUND(I5*I$4/(100+I$4),0)+AH5</f>
        <v>0</v>
      </c>
      <c r="R5" s="168">
        <f t="shared" ref="R5:R35" si="4">+ROUND(J5*J$4/(100+J$4),0)+AI5</f>
        <v>0</v>
      </c>
      <c r="S5" s="167">
        <f t="shared" ref="S5:S35" si="5">SUM(N5:R5)</f>
        <v>0</v>
      </c>
      <c r="T5" s="166">
        <f t="shared" ref="T5:T35" si="6">+E5-S5</f>
        <v>2110500</v>
      </c>
      <c r="U5" s="107">
        <f t="shared" ref="U5:U35" si="7">N5-F5*F$4/(100+F$4)</f>
        <v>0</v>
      </c>
      <c r="V5" s="107">
        <f t="shared" ref="V5:V35" si="8">O5-G5*G$4/(100+G$4)</f>
        <v>0</v>
      </c>
      <c r="W5" s="107">
        <f t="shared" ref="W5:X35" si="9">P5-H5*H$4/(100+H$4)</f>
        <v>0</v>
      </c>
      <c r="X5" s="107">
        <f t="shared" si="9"/>
        <v>0</v>
      </c>
      <c r="Y5" s="107">
        <f t="shared" ref="Y5:Y35" si="10">R5-J5*J$4/(100+J$4)</f>
        <v>0</v>
      </c>
      <c r="Z5" s="106">
        <f t="shared" ref="Z5:Z35" si="11">+IF(N$38=0,0,IF(N$38&lt;0,-RANK(U5,U$5:U$35,0),RANK(U5,U$5:U$35,1)))</f>
        <v>0</v>
      </c>
      <c r="AA5" s="106">
        <f t="shared" ref="AA5:AA35" si="12">+IF(O$38=0,0,IF(O$38&lt;0,-RANK(V5,V$5:V$35,0),RANK(V5,V$5:V$35,1)))</f>
        <v>0</v>
      </c>
      <c r="AB5" s="106">
        <f t="shared" ref="AB5:AC35" si="13">+IF(P$38=0,0,IF(P$38&lt;0,-RANK(W5,W$5:W$35,0),RANK(W5,W$5:W$35,1)))</f>
        <v>0</v>
      </c>
      <c r="AC5" s="106">
        <f t="shared" si="13"/>
        <v>0</v>
      </c>
      <c r="AD5" s="106">
        <f t="shared" ref="AD5:AD35" si="14">+IF(R$38=0,0,IF(R$38&lt;0,-RANK(Y5,Y$5:Y$35,0),RANK(Y5,Y$5:Y$35,1)))</f>
        <v>0</v>
      </c>
      <c r="AG5" s="130"/>
      <c r="AH5" s="130"/>
    </row>
    <row r="6" spans="1:35">
      <c r="A6" s="165">
        <v>1</v>
      </c>
      <c r="B6" s="164" t="s">
        <v>178</v>
      </c>
      <c r="C6" s="163"/>
      <c r="D6" s="162" t="s">
        <v>110</v>
      </c>
      <c r="E6" s="158">
        <f>+IF($A6="",IF($C6="",SUMIFS(全伝票!I:I,全伝票!$B:$B,$B6),SUMIFS(全伝票!I:I,全伝票!$C:$C,$C6)),IF($C6="",SUMIFS(全伝票!I:I,全伝票!$A:$A,$A6,全伝票!$B:$B,$B6),SUMIFS(全伝票!I:I,全伝票!$A:$A,$A6,全伝票!$C:$C,$C6)))</f>
        <v>517574247</v>
      </c>
      <c r="F6" s="161">
        <f>+IF($A6="",IF($C6="",SUMIFS(全伝票!J:J,全伝票!$B:$B,$B6),SUMIFS(全伝票!J:J,全伝票!$C:$C,$C6)),IF($C6="",SUMIFS(全伝票!J:J,全伝票!$A:$A,$A6,全伝票!$B:$B,$B6),SUMIFS(全伝票!J:J,全伝票!$A:$A,$A6,全伝票!$C:$C,$C6)))</f>
        <v>0</v>
      </c>
      <c r="G6" s="160">
        <f>+IF($A6="",IF($C6="",SUMIFS(全伝票!K:K,全伝票!$B:$B,$B6),SUMIFS(全伝票!K:K,全伝票!$C:$C,$C6)),IF($C6="",SUMIFS(全伝票!K:K,全伝票!$A:$A,$A6,全伝票!$B:$B,$B6),SUMIFS(全伝票!K:K,全伝票!$A:$A,$A6,全伝票!$C:$C,$C6)))</f>
        <v>0</v>
      </c>
      <c r="H6" s="160">
        <f>+IF($A6="",IF($C6="",SUMIFS(全伝票!L:L,全伝票!$B:$B,$B6),SUMIFS(全伝票!L:L,全伝票!$C:$C,$C6)),IF($C6="",SUMIFS(全伝票!L:L,全伝票!$A:$A,$A6,全伝票!$B:$B,$B6),SUMIFS(全伝票!L:L,全伝票!$A:$A,$A6,全伝票!$C:$C,$C6)))</f>
        <v>0</v>
      </c>
      <c r="I6" s="159">
        <f>+IF($A6="",IF($C6="",SUMIFS(全伝票!M:M,全伝票!$B:$B,$B6),SUMIFS(全伝票!M:M,全伝票!$C:$C,$C6)),IF($C6="",SUMIFS(全伝票!M:M,全伝票!$A:$A,$A6,全伝票!$B:$B,$B6),SUMIFS(全伝票!M:M,全伝票!$A:$A,$A6,全伝票!$C:$C,$C6)))</f>
        <v>0</v>
      </c>
      <c r="J6" s="159">
        <f>+IF($A6="",IF($C6="",SUMIFS(全伝票!N:N,全伝票!$B:$B,$B6),SUMIFS(全伝票!N:N,全伝票!$C:$C,$C6)),IF($C6="",SUMIFS(全伝票!N:N,全伝票!$A:$A,$A6,全伝票!$B:$B,$B6),SUMIFS(全伝票!N:N,全伝票!$A:$A,$A6,全伝票!$C:$C,$C6)))</f>
        <v>0</v>
      </c>
      <c r="K6" s="34">
        <f t="shared" si="0"/>
        <v>0</v>
      </c>
      <c r="L6" s="158">
        <f>+IF($A6="",IF($C6="",SUMIFS(全伝票!O:O,全伝票!$B:$B,$B6),SUMIFS(全伝票!O:O,全伝票!$C:$C,$C6)),IF($C6="",SUMIFS(全伝票!O:O,全伝票!$A:$A,$A6,全伝票!$B:$B,$B6),SUMIFS(全伝票!O:O,全伝票!$A:$A,$A6,全伝票!$C:$C,$C6)))</f>
        <v>0</v>
      </c>
      <c r="M6" s="158">
        <f>+IF($A6="",IF($C6="",SUMIFS(全伝票!P:P,全伝票!$B:$B,$B6),SUMIFS(全伝票!P:P,全伝票!$C:$C,$C6)),IF($C6="",SUMIFS(全伝票!P:P,全伝票!$A:$A,$A6,全伝票!$B:$B,$B6),SUMIFS(全伝票!P:P,全伝票!$A:$A,$A6,全伝票!$C:$C,$C6)))</f>
        <v>517574247</v>
      </c>
      <c r="N6" s="108">
        <f t="shared" si="1"/>
        <v>0</v>
      </c>
      <c r="O6" s="25">
        <f t="shared" si="3"/>
        <v>0</v>
      </c>
      <c r="P6" s="25">
        <f t="shared" si="2"/>
        <v>0</v>
      </c>
      <c r="Q6" s="157">
        <f t="shared" si="3"/>
        <v>0</v>
      </c>
      <c r="R6" s="157">
        <f t="shared" si="4"/>
        <v>0</v>
      </c>
      <c r="S6" s="22">
        <f t="shared" si="5"/>
        <v>0</v>
      </c>
      <c r="T6" s="109">
        <f t="shared" si="6"/>
        <v>517574247</v>
      </c>
      <c r="U6" s="107">
        <f t="shared" si="7"/>
        <v>0</v>
      </c>
      <c r="V6" s="107">
        <f t="shared" si="8"/>
        <v>0</v>
      </c>
      <c r="W6" s="107">
        <f t="shared" si="9"/>
        <v>0</v>
      </c>
      <c r="X6" s="107">
        <f t="shared" si="9"/>
        <v>0</v>
      </c>
      <c r="Y6" s="107">
        <f t="shared" si="10"/>
        <v>0</v>
      </c>
      <c r="Z6" s="106">
        <f t="shared" si="11"/>
        <v>0</v>
      </c>
      <c r="AA6" s="106">
        <f t="shared" si="12"/>
        <v>0</v>
      </c>
      <c r="AB6" s="106">
        <f t="shared" si="13"/>
        <v>0</v>
      </c>
      <c r="AC6" s="106">
        <f t="shared" si="13"/>
        <v>0</v>
      </c>
      <c r="AD6" s="106">
        <f t="shared" si="14"/>
        <v>0</v>
      </c>
    </row>
    <row r="7" spans="1:35">
      <c r="A7" s="165">
        <v>1</v>
      </c>
      <c r="B7" s="164" t="s">
        <v>177</v>
      </c>
      <c r="C7" s="163"/>
      <c r="D7" s="162" t="s">
        <v>108</v>
      </c>
      <c r="E7" s="158">
        <f>+IF($A7="",IF($C7="",SUMIFS(全伝票!I:I,全伝票!$B:$B,$B7),SUMIFS(全伝票!I:I,全伝票!$C:$C,$C7)),IF($C7="",SUMIFS(全伝票!I:I,全伝票!$A:$A,$A7,全伝票!$B:$B,$B7),SUMIFS(全伝票!I:I,全伝票!$A:$A,$A7,全伝票!$C:$C,$C7)))</f>
        <v>445190780</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59">
        <f>+IF($A7="",IF($C7="",SUMIFS(全伝票!M:M,全伝票!$B:$B,$B7),SUMIFS(全伝票!M:M,全伝票!$C:$C,$C7)),IF($C7="",SUMIFS(全伝票!M:M,全伝票!$A:$A,$A7,全伝票!$B:$B,$B7),SUMIFS(全伝票!M:M,全伝票!$A:$A,$A7,全伝票!$C:$C,$C7)))</f>
        <v>0</v>
      </c>
      <c r="J7" s="159">
        <f>+IF($A7="",IF($C7="",SUMIFS(全伝票!N:N,全伝票!$B:$B,$B7),SUMIFS(全伝票!N:N,全伝票!$C:$C,$C7)),IF($C7="",SUMIFS(全伝票!N:N,全伝票!$A:$A,$A7,全伝票!$B:$B,$B7),SUMIFS(全伝票!N:N,全伝票!$A:$A,$A7,全伝票!$C:$C,$C7)))</f>
        <v>11930100</v>
      </c>
      <c r="K7" s="34">
        <f t="shared" si="0"/>
        <v>11930100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433260680</v>
      </c>
      <c r="N7" s="108">
        <f t="shared" si="1"/>
        <v>0</v>
      </c>
      <c r="O7" s="25">
        <f t="shared" si="3"/>
        <v>0</v>
      </c>
      <c r="P7" s="25">
        <f t="shared" si="2"/>
        <v>0</v>
      </c>
      <c r="Q7" s="157">
        <f t="shared" si="3"/>
        <v>0</v>
      </c>
      <c r="R7" s="157">
        <f t="shared" si="4"/>
        <v>1084554</v>
      </c>
      <c r="S7" s="22">
        <f t="shared" si="5"/>
        <v>1084554</v>
      </c>
      <c r="T7" s="109">
        <f t="shared" si="6"/>
        <v>444106226</v>
      </c>
      <c r="U7" s="107">
        <f t="shared" si="7"/>
        <v>0</v>
      </c>
      <c r="V7" s="107">
        <f t="shared" si="8"/>
        <v>0</v>
      </c>
      <c r="W7" s="107">
        <f t="shared" si="9"/>
        <v>0</v>
      </c>
      <c r="X7" s="107">
        <f t="shared" si="9"/>
        <v>0</v>
      </c>
      <c r="Y7" s="107">
        <f t="shared" si="10"/>
        <v>-0.54545454541221261</v>
      </c>
      <c r="Z7" s="106">
        <f t="shared" si="11"/>
        <v>0</v>
      </c>
      <c r="AA7" s="106">
        <f t="shared" si="12"/>
        <v>0</v>
      </c>
      <c r="AB7" s="106">
        <f t="shared" si="13"/>
        <v>0</v>
      </c>
      <c r="AC7" s="106">
        <f t="shared" si="13"/>
        <v>0</v>
      </c>
      <c r="AD7" s="106">
        <f t="shared" si="14"/>
        <v>0</v>
      </c>
      <c r="AI7" s="2">
        <v>-1</v>
      </c>
    </row>
    <row r="8" spans="1:35">
      <c r="A8" s="165">
        <v>1</v>
      </c>
      <c r="B8" s="164" t="s">
        <v>176</v>
      </c>
      <c r="C8" s="163"/>
      <c r="D8" s="162" t="s">
        <v>106</v>
      </c>
      <c r="E8" s="158">
        <f>+IF($A8="",IF($C8="",SUMIFS(全伝票!I:I,全伝票!$B:$B,$B8),SUMIFS(全伝票!I:I,全伝票!$C:$C,$C8)),IF($C8="",SUMIFS(全伝票!I:I,全伝票!$A:$A,$A8,全伝票!$B:$B,$B8),SUMIFS(全伝票!I:I,全伝票!$A:$A,$A8,全伝票!$C:$C,$C8)))</f>
        <v>187988770</v>
      </c>
      <c r="F8" s="161">
        <f>+IF($A8="",IF($C8="",SUMIFS(全伝票!J:J,全伝票!$B:$B,$B8),SUMIFS(全伝票!J:J,全伝票!$C:$C,$C8)),IF($C8="",SUMIFS(全伝票!J:J,全伝票!$A:$A,$A8,全伝票!$B:$B,$B8),SUMIFS(全伝票!J:J,全伝票!$A:$A,$A8,全伝票!$C:$C,$C8)))</f>
        <v>0</v>
      </c>
      <c r="G8" s="160">
        <f>+IF($A8="",IF($C8="",SUMIFS(全伝票!K:K,全伝票!$B:$B,$B8),SUMIFS(全伝票!K:K,全伝票!$C:$C,$C8)),IF($C8="",SUMIFS(全伝票!K:K,全伝票!$A:$A,$A8,全伝票!$B:$B,$B8),SUMIFS(全伝票!K:K,全伝票!$A:$A,$A8,全伝票!$C:$C,$C8)))</f>
        <v>0</v>
      </c>
      <c r="H8" s="160">
        <f>+IF($A8="",IF($C8="",SUMIFS(全伝票!L:L,全伝票!$B:$B,$B8),SUMIFS(全伝票!L:L,全伝票!$C:$C,$C8)),IF($C8="",SUMIFS(全伝票!L:L,全伝票!$A:$A,$A8,全伝票!$B:$B,$B8),SUMIFS(全伝票!L:L,全伝票!$A:$A,$A8,全伝票!$C:$C,$C8)))</f>
        <v>0</v>
      </c>
      <c r="I8" s="159">
        <f>+IF($A8="",IF($C8="",SUMIFS(全伝票!M:M,全伝票!$B:$B,$B8),SUMIFS(全伝票!M:M,全伝票!$C:$C,$C8)),IF($C8="",SUMIFS(全伝票!M:M,全伝票!$A:$A,$A8,全伝票!$B:$B,$B8),SUMIFS(全伝票!M:M,全伝票!$A:$A,$A8,全伝票!$C:$C,$C8)))</f>
        <v>0</v>
      </c>
      <c r="J8" s="159">
        <f>+IF($A8="",IF($C8="",SUMIFS(全伝票!N:N,全伝票!$B:$B,$B8),SUMIFS(全伝票!N:N,全伝票!$C:$C,$C8)),IF($C8="",SUMIFS(全伝票!N:N,全伝票!$A:$A,$A8,全伝票!$B:$B,$B8),SUMIFS(全伝票!N:N,全伝票!$A:$A,$A8,全伝票!$C:$C,$C8)))</f>
        <v>0</v>
      </c>
      <c r="K8" s="34">
        <f t="shared" si="0"/>
        <v>0</v>
      </c>
      <c r="L8" s="158">
        <f>+IF($A8="",IF($C8="",SUMIFS(全伝票!O:O,全伝票!$B:$B,$B8),SUMIFS(全伝票!O:O,全伝票!$C:$C,$C8)),IF($C8="",SUMIFS(全伝票!O:O,全伝票!$A:$A,$A8,全伝票!$B:$B,$B8),SUMIFS(全伝票!O:O,全伝票!$A:$A,$A8,全伝票!$C:$C,$C8)))</f>
        <v>187208113</v>
      </c>
      <c r="M8" s="158">
        <f>+IF($A8="",IF($C8="",SUMIFS(全伝票!P:P,全伝票!$B:$B,$B8),SUMIFS(全伝票!P:P,全伝票!$C:$C,$C8)),IF($C8="",SUMIFS(全伝票!P:P,全伝票!$A:$A,$A8,全伝票!$B:$B,$B8),SUMIFS(全伝票!P:P,全伝票!$A:$A,$A8,全伝票!$C:$C,$C8)))</f>
        <v>780657</v>
      </c>
      <c r="N8" s="108">
        <f t="shared" si="1"/>
        <v>0</v>
      </c>
      <c r="O8" s="25">
        <f t="shared" si="3"/>
        <v>0</v>
      </c>
      <c r="P8" s="25">
        <f t="shared" si="2"/>
        <v>0</v>
      </c>
      <c r="Q8" s="157">
        <f t="shared" si="3"/>
        <v>0</v>
      </c>
      <c r="R8" s="157">
        <f t="shared" si="4"/>
        <v>0</v>
      </c>
      <c r="S8" s="22">
        <f t="shared" si="5"/>
        <v>0</v>
      </c>
      <c r="T8" s="109">
        <f t="shared" si="6"/>
        <v>187988770</v>
      </c>
      <c r="U8" s="107">
        <f t="shared" si="7"/>
        <v>0</v>
      </c>
      <c r="V8" s="107">
        <f t="shared" si="8"/>
        <v>0</v>
      </c>
      <c r="W8" s="107">
        <f t="shared" si="9"/>
        <v>0</v>
      </c>
      <c r="X8" s="107">
        <f t="shared" si="9"/>
        <v>0</v>
      </c>
      <c r="Y8" s="107">
        <f t="shared" si="10"/>
        <v>0</v>
      </c>
      <c r="Z8" s="106">
        <f t="shared" si="11"/>
        <v>0</v>
      </c>
      <c r="AA8" s="106">
        <f t="shared" si="12"/>
        <v>0</v>
      </c>
      <c r="AB8" s="106">
        <f t="shared" si="13"/>
        <v>0</v>
      </c>
      <c r="AC8" s="106">
        <f t="shared" si="13"/>
        <v>0</v>
      </c>
      <c r="AD8" s="106">
        <f t="shared" si="14"/>
        <v>0</v>
      </c>
    </row>
    <row r="9" spans="1:35">
      <c r="A9" s="165">
        <v>1</v>
      </c>
      <c r="B9" s="164" t="s">
        <v>175</v>
      </c>
      <c r="C9" s="163"/>
      <c r="D9" s="162" t="s">
        <v>104</v>
      </c>
      <c r="E9" s="158">
        <f>+IF($A9="",IF($C9="",SUMIFS(全伝票!I:I,全伝票!$B:$B,$B9),SUMIFS(全伝票!I:I,全伝票!$C:$C,$C9)),IF($C9="",SUMIFS(全伝票!I:I,全伝票!$A:$A,$A9,全伝票!$B:$B,$B9),SUMIFS(全伝票!I:I,全伝票!$A:$A,$A9,全伝票!$C:$C,$C9)))</f>
        <v>0</v>
      </c>
      <c r="F9" s="161">
        <f>+IF($A9="",IF($C9="",SUMIFS(全伝票!J:J,全伝票!$B:$B,$B9),SUMIFS(全伝票!J:J,全伝票!$C:$C,$C9)),IF($C9="",SUMIFS(全伝票!J:J,全伝票!$A:$A,$A9,全伝票!$B:$B,$B9),SUMIFS(全伝票!J:J,全伝票!$A:$A,$A9,全伝票!$C:$C,$C9)))</f>
        <v>0</v>
      </c>
      <c r="G9" s="160">
        <f>+IF($A9="",IF($C9="",SUMIFS(全伝票!K:K,全伝票!$B:$B,$B9),SUMIFS(全伝票!K:K,全伝票!$C:$C,$C9)),IF($C9="",SUMIFS(全伝票!K:K,全伝票!$A:$A,$A9,全伝票!$B:$B,$B9),SUMIFS(全伝票!K:K,全伝票!$A:$A,$A9,全伝票!$C:$C,$C9)))</f>
        <v>0</v>
      </c>
      <c r="H9" s="160">
        <f>+IF($A9="",IF($C9="",SUMIFS(全伝票!L:L,全伝票!$B:$B,$B9),SUMIFS(全伝票!L:L,全伝票!$C:$C,$C9)),IF($C9="",SUMIFS(全伝票!L:L,全伝票!$A:$A,$A9,全伝票!$B:$B,$B9),SUMIFS(全伝票!L:L,全伝票!$A:$A,$A9,全伝票!$C:$C,$C9)))</f>
        <v>0</v>
      </c>
      <c r="I9" s="159">
        <f>+IF($A9="",IF($C9="",SUMIFS(全伝票!M:M,全伝票!$B:$B,$B9),SUMIFS(全伝票!M:M,全伝票!$C:$C,$C9)),IF($C9="",SUMIFS(全伝票!M:M,全伝票!$A:$A,$A9,全伝票!$B:$B,$B9),SUMIFS(全伝票!M:M,全伝票!$A:$A,$A9,全伝票!$C:$C,$C9)))</f>
        <v>0</v>
      </c>
      <c r="J9" s="159">
        <f>+IF($A9="",IF($C9="",SUMIFS(全伝票!N:N,全伝票!$B:$B,$B9),SUMIFS(全伝票!N:N,全伝票!$C:$C,$C9)),IF($C9="",SUMIFS(全伝票!N:N,全伝票!$A:$A,$A9,全伝票!$B:$B,$B9),SUMIFS(全伝票!N:N,全伝票!$A:$A,$A9,全伝票!$C:$C,$C9)))</f>
        <v>0</v>
      </c>
      <c r="K9" s="34">
        <f t="shared" si="0"/>
        <v>0</v>
      </c>
      <c r="L9" s="158">
        <f>+IF($A9="",IF($C9="",SUMIFS(全伝票!O:O,全伝票!$B:$B,$B9),SUMIFS(全伝票!O:O,全伝票!$C:$C,$C9)),IF($C9="",SUMIFS(全伝票!O:O,全伝票!$A:$A,$A9,全伝票!$B:$B,$B9),SUMIFS(全伝票!O:O,全伝票!$A:$A,$A9,全伝票!$C:$C,$C9)))</f>
        <v>0</v>
      </c>
      <c r="M9" s="158">
        <f>+IF($A9="",IF($C9="",SUMIFS(全伝票!P:P,全伝票!$B:$B,$B9),SUMIFS(全伝票!P:P,全伝票!$C:$C,$C9)),IF($C9="",SUMIFS(全伝票!P:P,全伝票!$A:$A,$A9,全伝票!$B:$B,$B9),SUMIFS(全伝票!P:P,全伝票!$A:$A,$A9,全伝票!$C:$C,$C9)))</f>
        <v>0</v>
      </c>
      <c r="N9" s="108">
        <f t="shared" si="1"/>
        <v>0</v>
      </c>
      <c r="O9" s="25">
        <f t="shared" si="3"/>
        <v>0</v>
      </c>
      <c r="P9" s="25">
        <f t="shared" si="2"/>
        <v>0</v>
      </c>
      <c r="Q9" s="157">
        <f t="shared" si="3"/>
        <v>0</v>
      </c>
      <c r="R9" s="157">
        <f t="shared" si="4"/>
        <v>0</v>
      </c>
      <c r="S9" s="22">
        <f t="shared" si="5"/>
        <v>0</v>
      </c>
      <c r="T9" s="109">
        <f t="shared" si="6"/>
        <v>0</v>
      </c>
      <c r="U9" s="107">
        <f t="shared" si="7"/>
        <v>0</v>
      </c>
      <c r="V9" s="107">
        <f t="shared" si="8"/>
        <v>0</v>
      </c>
      <c r="W9" s="107">
        <f t="shared" si="9"/>
        <v>0</v>
      </c>
      <c r="X9" s="107">
        <f t="shared" si="9"/>
        <v>0</v>
      </c>
      <c r="Y9" s="107">
        <f t="shared" si="10"/>
        <v>0</v>
      </c>
      <c r="Z9" s="106">
        <f t="shared" si="11"/>
        <v>0</v>
      </c>
      <c r="AA9" s="106">
        <f t="shared" si="12"/>
        <v>0</v>
      </c>
      <c r="AB9" s="106">
        <f t="shared" si="13"/>
        <v>0</v>
      </c>
      <c r="AC9" s="106">
        <f t="shared" si="13"/>
        <v>0</v>
      </c>
      <c r="AD9" s="106">
        <f t="shared" si="14"/>
        <v>0</v>
      </c>
    </row>
    <row r="10" spans="1:35">
      <c r="A10" s="165">
        <v>1</v>
      </c>
      <c r="B10" s="164" t="s">
        <v>174</v>
      </c>
      <c r="C10" s="163"/>
      <c r="D10" s="162" t="s">
        <v>102</v>
      </c>
      <c r="E10" s="158">
        <f>+IF($A10="",IF($C10="",SUMIFS(全伝票!I:I,全伝票!$B:$B,$B10),SUMIFS(全伝票!I:I,全伝票!$C:$C,$C10)),IF($C10="",SUMIFS(全伝票!I:I,全伝票!$A:$A,$A10,全伝票!$B:$B,$B10),SUMIFS(全伝票!I:I,全伝票!$A:$A,$A10,全伝票!$C:$C,$C10)))</f>
        <v>0</v>
      </c>
      <c r="F10" s="161">
        <f>+IF($A10="",IF($C10="",SUMIFS(全伝票!J:J,全伝票!$B:$B,$B10),SUMIFS(全伝票!J:J,全伝票!$C:$C,$C10)),IF($C10="",SUMIFS(全伝票!J:J,全伝票!$A:$A,$A10,全伝票!$B:$B,$B10),SUMIFS(全伝票!J:J,全伝票!$A:$A,$A10,全伝票!$C:$C,$C10)))</f>
        <v>0</v>
      </c>
      <c r="G10" s="160">
        <f>+IF($A10="",IF($C10="",SUMIFS(全伝票!K:K,全伝票!$B:$B,$B10),SUMIFS(全伝票!K:K,全伝票!$C:$C,$C10)),IF($C10="",SUMIFS(全伝票!K:K,全伝票!$A:$A,$A10,全伝票!$B:$B,$B10),SUMIFS(全伝票!K:K,全伝票!$A:$A,$A10,全伝票!$C:$C,$C10)))</f>
        <v>0</v>
      </c>
      <c r="H10" s="276">
        <f>+IF($A10="",IF($C10="",SUMIFS(全伝票!L:L,全伝票!$B:$B,$B10),SUMIFS(全伝票!L:L,全伝票!$C:$C,$C10)),IF($C10="",SUMIFS(全伝票!L:L,全伝票!$A:$A,$A10,全伝票!$B:$B,$B10),SUMIFS(全伝票!L:L,全伝票!$A:$A,$A10,全伝票!$C:$C,$C10)))</f>
        <v>0</v>
      </c>
      <c r="I10" s="271">
        <f>+IF($A10="",IF($C10="",SUMIFS(全伝票!M:M,全伝票!$B:$B,$B10),SUMIFS(全伝票!M:M,全伝票!$C:$C,$C10)),IF($C10="",SUMIFS(全伝票!M:M,全伝票!$A:$A,$A10,全伝票!$B:$B,$B10),SUMIFS(全伝票!M:M,全伝票!$A:$A,$A10,全伝票!$C:$C,$C10)))</f>
        <v>0</v>
      </c>
      <c r="J10" s="159">
        <f>+IF($A10="",IF($C10="",SUMIFS(全伝票!N:N,全伝票!$B:$B,$B10),SUMIFS(全伝票!N:N,全伝票!$C:$C,$C10)),IF($C10="",SUMIFS(全伝票!N:N,全伝票!$A:$A,$A10,全伝票!$B:$B,$B10),SUMIFS(全伝票!N:N,全伝票!$A:$A,$A10,全伝票!$C:$C,$C10)))</f>
        <v>0</v>
      </c>
      <c r="K10" s="34">
        <f t="shared" si="0"/>
        <v>0</v>
      </c>
      <c r="L10" s="158">
        <f>+IF($A10="",IF($C10="",SUMIFS(全伝票!O:O,全伝票!$B:$B,$B10),SUMIFS(全伝票!O:O,全伝票!$C:$C,$C10)),IF($C10="",SUMIFS(全伝票!O:O,全伝票!$A:$A,$A10,全伝票!$B:$B,$B10),SUMIFS(全伝票!O:O,全伝票!$A:$A,$A10,全伝票!$C:$C,$C10)))</f>
        <v>0</v>
      </c>
      <c r="M10" s="278">
        <f>+IF($A10="",IF($C10="",SUMIFS(全伝票!P:P,全伝票!$B:$B,$B10),SUMIFS(全伝票!P:P,全伝票!$C:$C,$C10)),IF($C10="",SUMIFS(全伝票!P:P,全伝票!$A:$A,$A10,全伝票!$B:$B,$B10),SUMIFS(全伝票!P:P,全伝票!$A:$A,$A10,全伝票!$C:$C,$C10)))</f>
        <v>0</v>
      </c>
      <c r="N10" s="108">
        <f t="shared" si="1"/>
        <v>0</v>
      </c>
      <c r="O10" s="25">
        <f t="shared" si="3"/>
        <v>0</v>
      </c>
      <c r="P10" s="25">
        <f t="shared" si="2"/>
        <v>0</v>
      </c>
      <c r="Q10" s="157">
        <f t="shared" si="3"/>
        <v>0</v>
      </c>
      <c r="R10" s="157">
        <f t="shared" si="4"/>
        <v>0</v>
      </c>
      <c r="S10" s="22">
        <f t="shared" si="5"/>
        <v>0</v>
      </c>
      <c r="T10" s="109">
        <f t="shared" si="6"/>
        <v>0</v>
      </c>
      <c r="U10" s="107">
        <f t="shared" si="7"/>
        <v>0</v>
      </c>
      <c r="V10" s="107">
        <f t="shared" si="8"/>
        <v>0</v>
      </c>
      <c r="W10" s="107">
        <f t="shared" si="9"/>
        <v>0</v>
      </c>
      <c r="X10" s="107">
        <f t="shared" si="9"/>
        <v>0</v>
      </c>
      <c r="Y10" s="107">
        <f t="shared" si="10"/>
        <v>0</v>
      </c>
      <c r="Z10" s="106">
        <f t="shared" si="11"/>
        <v>0</v>
      </c>
      <c r="AA10" s="106">
        <f t="shared" si="12"/>
        <v>0</v>
      </c>
      <c r="AB10" s="106">
        <f t="shared" si="13"/>
        <v>0</v>
      </c>
      <c r="AC10" s="106">
        <f t="shared" si="13"/>
        <v>0</v>
      </c>
      <c r="AD10" s="106">
        <f t="shared" si="14"/>
        <v>0</v>
      </c>
    </row>
    <row r="11" spans="1:35">
      <c r="A11" s="165">
        <v>1</v>
      </c>
      <c r="B11" s="164" t="s">
        <v>173</v>
      </c>
      <c r="C11" s="163"/>
      <c r="D11" s="162" t="s">
        <v>100</v>
      </c>
      <c r="E11" s="158">
        <f>+IF($A11="",IF($C11="",SUMIFS(全伝票!I:I,全伝票!$B:$B,$B11),SUMIFS(全伝票!I:I,全伝票!$C:$C,$C11)),IF($C11="",SUMIFS(全伝票!I:I,全伝票!$A:$A,$A11,全伝票!$B:$B,$B11),SUMIFS(全伝票!I:I,全伝票!$A:$A,$A11,全伝票!$C:$C,$C11)))</f>
        <v>0</v>
      </c>
      <c r="F11" s="161">
        <f>+IF($A11="",IF($C11="",SUMIFS(全伝票!J:J,全伝票!$B:$B,$B11),SUMIFS(全伝票!J:J,全伝票!$C:$C,$C11)),IF($C11="",SUMIFS(全伝票!J:J,全伝票!$A:$A,$A11,全伝票!$B:$B,$B11),SUMIFS(全伝票!J:J,全伝票!$A:$A,$A11,全伝票!$C:$C,$C11)))</f>
        <v>0</v>
      </c>
      <c r="G11" s="160">
        <f>+IF($A11="",IF($C11="",SUMIFS(全伝票!K:K,全伝票!$B:$B,$B11),SUMIFS(全伝票!K:K,全伝票!$C:$C,$C11)),IF($C11="",SUMIFS(全伝票!K:K,全伝票!$A:$A,$A11,全伝票!$B:$B,$B11),SUMIFS(全伝票!K:K,全伝票!$A:$A,$A11,全伝票!$C:$C,$C11)))</f>
        <v>0</v>
      </c>
      <c r="H11" s="160">
        <f>+IF($A11="",IF($C11="",SUMIFS(全伝票!L:L,全伝票!$B:$B,$B11),SUMIFS(全伝票!L:L,全伝票!$C:$C,$C11)),IF($C11="",SUMIFS(全伝票!L:L,全伝票!$A:$A,$A11,全伝票!$B:$B,$B11),SUMIFS(全伝票!L:L,全伝票!$A:$A,$A11,全伝票!$C:$C,$C11)))</f>
        <v>0</v>
      </c>
      <c r="I11" s="159">
        <f>+IF($A11="",IF($C11="",SUMIFS(全伝票!M:M,全伝票!$B:$B,$B11),SUMIFS(全伝票!M:M,全伝票!$C:$C,$C11)),IF($C11="",SUMIFS(全伝票!M:M,全伝票!$A:$A,$A11,全伝票!$B:$B,$B11),SUMIFS(全伝票!M:M,全伝票!$A:$A,$A11,全伝票!$C:$C,$C11)))</f>
        <v>0</v>
      </c>
      <c r="J11" s="159">
        <f>+IF($A11="",IF($C11="",SUMIFS(全伝票!N:N,全伝票!$B:$B,$B11),SUMIFS(全伝票!N:N,全伝票!$C:$C,$C11)),IF($C11="",SUMIFS(全伝票!N:N,全伝票!$A:$A,$A11,全伝票!$B:$B,$B11),SUMIFS(全伝票!N:N,全伝票!$A:$A,$A11,全伝票!$C:$C,$C11)))</f>
        <v>0</v>
      </c>
      <c r="K11" s="34">
        <f t="shared" si="0"/>
        <v>0</v>
      </c>
      <c r="L11" s="158">
        <f>+IF($A11="",IF($C11="",SUMIFS(全伝票!O:O,全伝票!$B:$B,$B11),SUMIFS(全伝票!O:O,全伝票!$C:$C,$C11)),IF($C11="",SUMIFS(全伝票!O:O,全伝票!$A:$A,$A11,全伝票!$B:$B,$B11),SUMIFS(全伝票!O:O,全伝票!$A:$A,$A11,全伝票!$C:$C,$C11)))</f>
        <v>0</v>
      </c>
      <c r="M11" s="158">
        <f>+IF($A11="",IF($C11="",SUMIFS(全伝票!P:P,全伝票!$B:$B,$B11),SUMIFS(全伝票!P:P,全伝票!$C:$C,$C11)),IF($C11="",SUMIFS(全伝票!P:P,全伝票!$A:$A,$A11,全伝票!$B:$B,$B11),SUMIFS(全伝票!P:P,全伝票!$A:$A,$A11,全伝票!$C:$C,$C11)))</f>
        <v>0</v>
      </c>
      <c r="N11" s="108">
        <f t="shared" si="1"/>
        <v>0</v>
      </c>
      <c r="O11" s="25">
        <f t="shared" si="3"/>
        <v>0</v>
      </c>
      <c r="P11" s="25">
        <f t="shared" si="2"/>
        <v>0</v>
      </c>
      <c r="Q11" s="157">
        <f t="shared" si="3"/>
        <v>0</v>
      </c>
      <c r="R11" s="157">
        <f t="shared" si="4"/>
        <v>0</v>
      </c>
      <c r="S11" s="22">
        <f t="shared" si="5"/>
        <v>0</v>
      </c>
      <c r="T11" s="109">
        <f t="shared" si="6"/>
        <v>0</v>
      </c>
      <c r="U11" s="107">
        <f t="shared" si="7"/>
        <v>0</v>
      </c>
      <c r="V11" s="107">
        <f t="shared" si="8"/>
        <v>0</v>
      </c>
      <c r="W11" s="107">
        <f t="shared" si="9"/>
        <v>0</v>
      </c>
      <c r="X11" s="107">
        <f t="shared" si="9"/>
        <v>0</v>
      </c>
      <c r="Y11" s="107">
        <f t="shared" si="10"/>
        <v>0</v>
      </c>
      <c r="Z11" s="106">
        <f t="shared" si="11"/>
        <v>0</v>
      </c>
      <c r="AA11" s="106">
        <f t="shared" si="12"/>
        <v>0</v>
      </c>
      <c r="AB11" s="106">
        <f t="shared" si="13"/>
        <v>0</v>
      </c>
      <c r="AC11" s="106">
        <f t="shared" si="13"/>
        <v>0</v>
      </c>
      <c r="AD11" s="106">
        <f t="shared" si="14"/>
        <v>0</v>
      </c>
    </row>
    <row r="12" spans="1:35">
      <c r="A12" s="165">
        <v>1</v>
      </c>
      <c r="B12" s="164" t="s">
        <v>171</v>
      </c>
      <c r="C12" s="163" t="s">
        <v>172</v>
      </c>
      <c r="D12" s="162" t="s">
        <v>98</v>
      </c>
      <c r="E12" s="158">
        <f>+IF($A12="",IF($C12="",SUMIFS(全伝票!I:I,全伝票!$B:$B,$B12),SUMIFS(全伝票!I:I,全伝票!$C:$C,$C12)),IF($C12="",SUMIFS(全伝票!I:I,全伝票!$A:$A,$A12,全伝票!$B:$B,$B12),SUMIFS(全伝票!I:I,全伝票!$A:$A,$A12,全伝票!$C:$C,$C12)))</f>
        <v>225020</v>
      </c>
      <c r="F12" s="161">
        <f>+IF($A12="",IF($C12="",SUMIFS(全伝票!J:J,全伝票!$B:$B,$B12),SUMIFS(全伝票!J:J,全伝票!$C:$C,$C12)),IF($C12="",SUMIFS(全伝票!J:J,全伝票!$A:$A,$A12,全伝票!$B:$B,$B12),SUMIFS(全伝票!J:J,全伝票!$A:$A,$A12,全伝票!$C:$C,$C12)))</f>
        <v>0</v>
      </c>
      <c r="G12" s="160">
        <f>+IF($A12="",IF($C12="",SUMIFS(全伝票!K:K,全伝票!$B:$B,$B12),SUMIFS(全伝票!K:K,全伝票!$C:$C,$C12)),IF($C12="",SUMIFS(全伝票!K:K,全伝票!$A:$A,$A12,全伝票!$B:$B,$B12),SUMIFS(全伝票!K:K,全伝票!$A:$A,$A12,全伝票!$C:$C,$C12)))</f>
        <v>0</v>
      </c>
      <c r="H12" s="160">
        <f>+IF($A12="",IF($C12="",SUMIFS(全伝票!L:L,全伝票!$B:$B,$B12),SUMIFS(全伝票!L:L,全伝票!$C:$C,$C12)),IF($C12="",SUMIFS(全伝票!L:L,全伝票!$A:$A,$A12,全伝票!$B:$B,$B12),SUMIFS(全伝票!L:L,全伝票!$A:$A,$A12,全伝票!$C:$C,$C12)))</f>
        <v>0</v>
      </c>
      <c r="I12" s="159">
        <f>+IF($A12="",IF($C12="",SUMIFS(全伝票!M:M,全伝票!$B:$B,$B12),SUMIFS(全伝票!M:M,全伝票!$C:$C,$C12)),IF($C12="",SUMIFS(全伝票!M:M,全伝票!$A:$A,$A12,全伝票!$B:$B,$B12),SUMIFS(全伝票!M:M,全伝票!$A:$A,$A12,全伝票!$C:$C,$C12)))</f>
        <v>0</v>
      </c>
      <c r="J12" s="159">
        <f>+IF($A12="",IF($C12="",SUMIFS(全伝票!N:N,全伝票!$B:$B,$B12),SUMIFS(全伝票!N:N,全伝票!$C:$C,$C12)),IF($C12="",SUMIFS(全伝票!N:N,全伝票!$A:$A,$A12,全伝票!$B:$B,$B12),SUMIFS(全伝票!N:N,全伝票!$A:$A,$A12,全伝票!$C:$C,$C12)))</f>
        <v>225020</v>
      </c>
      <c r="K12" s="34">
        <f t="shared" si="0"/>
        <v>225020</v>
      </c>
      <c r="L12" s="158">
        <f>+IF($A12="",IF($C12="",SUMIFS(全伝票!O:O,全伝票!$B:$B,$B12),SUMIFS(全伝票!O:O,全伝票!$C:$C,$C12)),IF($C12="",SUMIFS(全伝票!O:O,全伝票!$A:$A,$A12,全伝票!$B:$B,$B12),SUMIFS(全伝票!O:O,全伝票!$A:$A,$A12,全伝票!$C:$C,$C12)))</f>
        <v>0</v>
      </c>
      <c r="M12" s="158">
        <f>+IF($A12="",IF($C12="",SUMIFS(全伝票!P:P,全伝票!$B:$B,$B12),SUMIFS(全伝票!P:P,全伝票!$C:$C,$C12)),IF($C12="",SUMIFS(全伝票!P:P,全伝票!$A:$A,$A12,全伝票!$B:$B,$B12),SUMIFS(全伝票!P:P,全伝票!$A:$A,$A12,全伝票!$C:$C,$C12)))</f>
        <v>0</v>
      </c>
      <c r="N12" s="108">
        <f t="shared" si="1"/>
        <v>0</v>
      </c>
      <c r="O12" s="25">
        <f t="shared" si="3"/>
        <v>0</v>
      </c>
      <c r="P12" s="25">
        <f t="shared" si="2"/>
        <v>0</v>
      </c>
      <c r="Q12" s="157">
        <f t="shared" si="3"/>
        <v>0</v>
      </c>
      <c r="R12" s="157">
        <f t="shared" si="4"/>
        <v>20456</v>
      </c>
      <c r="S12" s="22">
        <f t="shared" si="5"/>
        <v>20456</v>
      </c>
      <c r="T12" s="109">
        <f t="shared" si="6"/>
        <v>204564</v>
      </c>
      <c r="U12" s="107">
        <f t="shared" si="7"/>
        <v>0</v>
      </c>
      <c r="V12" s="107">
        <f t="shared" si="8"/>
        <v>0</v>
      </c>
      <c r="W12" s="107">
        <f t="shared" si="9"/>
        <v>0</v>
      </c>
      <c r="X12" s="107">
        <f t="shared" si="9"/>
        <v>0</v>
      </c>
      <c r="Y12" s="107">
        <f t="shared" si="10"/>
        <v>-0.36363636363603291</v>
      </c>
      <c r="Z12" s="106">
        <f t="shared" si="11"/>
        <v>0</v>
      </c>
      <c r="AA12" s="106">
        <f t="shared" si="12"/>
        <v>0</v>
      </c>
      <c r="AB12" s="106">
        <f t="shared" si="13"/>
        <v>0</v>
      </c>
      <c r="AC12" s="106">
        <f t="shared" si="13"/>
        <v>0</v>
      </c>
      <c r="AD12" s="106">
        <f t="shared" si="14"/>
        <v>0</v>
      </c>
    </row>
    <row r="13" spans="1:35">
      <c r="A13" s="165">
        <v>1</v>
      </c>
      <c r="B13" s="164" t="s">
        <v>171</v>
      </c>
      <c r="C13" s="163" t="s">
        <v>170</v>
      </c>
      <c r="D13" s="162" t="s">
        <v>95</v>
      </c>
      <c r="E13" s="158">
        <f>+IF($A13="",IF($C13="",SUMIFS(全伝票!I:I,全伝票!$B:$B,$B13),SUMIFS(全伝票!I:I,全伝票!$C:$C,$C13)),IF($C13="",SUMIFS(全伝票!I:I,全伝票!$A:$A,$A13,全伝票!$B:$B,$B13),SUMIFS(全伝票!I:I,全伝票!$A:$A,$A13,全伝票!$C:$C,$C13)))</f>
        <v>0</v>
      </c>
      <c r="F13" s="161">
        <f>+IF($A13="",IF($C13="",SUMIFS(全伝票!J:J,全伝票!$B:$B,$B13),SUMIFS(全伝票!J:J,全伝票!$C:$C,$C13)),IF($C13="",SUMIFS(全伝票!J:J,全伝票!$A:$A,$A13,全伝票!$B:$B,$B13),SUMIFS(全伝票!J:J,全伝票!$A:$A,$A13,全伝票!$C:$C,$C13)))</f>
        <v>0</v>
      </c>
      <c r="G13" s="160">
        <f>+IF($A13="",IF($C13="",SUMIFS(全伝票!K:K,全伝票!$B:$B,$B13),SUMIFS(全伝票!K:K,全伝票!$C:$C,$C13)),IF($C13="",SUMIFS(全伝票!K:K,全伝票!$A:$A,$A13,全伝票!$B:$B,$B13),SUMIFS(全伝票!K:K,全伝票!$A:$A,$A13,全伝票!$C:$C,$C13)))</f>
        <v>0</v>
      </c>
      <c r="H13" s="160">
        <f>+IF($A13="",IF($C13="",SUMIFS(全伝票!L:L,全伝票!$B:$B,$B13),SUMIFS(全伝票!L:L,全伝票!$C:$C,$C13)),IF($C13="",SUMIFS(全伝票!L:L,全伝票!$A:$A,$A13,全伝票!$B:$B,$B13),SUMIFS(全伝票!L:L,全伝票!$A:$A,$A13,全伝票!$C:$C,$C13)))</f>
        <v>0</v>
      </c>
      <c r="I13" s="159">
        <f>+IF($A13="",IF($C13="",SUMIFS(全伝票!M:M,全伝票!$B:$B,$B13),SUMIFS(全伝票!M:M,全伝票!$C:$C,$C13)),IF($C13="",SUMIFS(全伝票!M:M,全伝票!$A:$A,$A13,全伝票!$B:$B,$B13),SUMIFS(全伝票!M:M,全伝票!$A:$A,$A13,全伝票!$C:$C,$C13)))</f>
        <v>0</v>
      </c>
      <c r="J13" s="159">
        <f>+IF($A13="",IF($C13="",SUMIFS(全伝票!N:N,全伝票!$B:$B,$B13),SUMIFS(全伝票!N:N,全伝票!$C:$C,$C13)),IF($C13="",SUMIFS(全伝票!N:N,全伝票!$A:$A,$A13,全伝票!$B:$B,$B13),SUMIFS(全伝票!N:N,全伝票!$A:$A,$A13,全伝票!$C:$C,$C13)))</f>
        <v>0</v>
      </c>
      <c r="K13" s="34">
        <f t="shared" si="0"/>
        <v>0</v>
      </c>
      <c r="L13" s="158">
        <f>+IF($A13="",IF($C13="",SUMIFS(全伝票!O:O,全伝票!$B:$B,$B13),SUMIFS(全伝票!O:O,全伝票!$C:$C,$C13)),IF($C13="",SUMIFS(全伝票!O:O,全伝票!$A:$A,$A13,全伝票!$B:$B,$B13),SUMIFS(全伝票!O:O,全伝票!$A:$A,$A13,全伝票!$C:$C,$C13)))</f>
        <v>0</v>
      </c>
      <c r="M13" s="158">
        <f>+IF($A13="",IF($C13="",SUMIFS(全伝票!P:P,全伝票!$B:$B,$B13),SUMIFS(全伝票!P:P,全伝票!$C:$C,$C13)),IF($C13="",SUMIFS(全伝票!P:P,全伝票!$A:$A,$A13,全伝票!$B:$B,$B13),SUMIFS(全伝票!P:P,全伝票!$A:$A,$A13,全伝票!$C:$C,$C13)))</f>
        <v>0</v>
      </c>
      <c r="N13" s="108">
        <f t="shared" si="1"/>
        <v>0</v>
      </c>
      <c r="O13" s="25">
        <f t="shared" si="3"/>
        <v>0</v>
      </c>
      <c r="P13" s="25">
        <f t="shared" si="2"/>
        <v>0</v>
      </c>
      <c r="Q13" s="157">
        <f t="shared" si="3"/>
        <v>0</v>
      </c>
      <c r="R13" s="157">
        <f t="shared" si="4"/>
        <v>0</v>
      </c>
      <c r="S13" s="22">
        <f t="shared" si="5"/>
        <v>0</v>
      </c>
      <c r="T13" s="109">
        <f t="shared" si="6"/>
        <v>0</v>
      </c>
      <c r="U13" s="107">
        <f t="shared" si="7"/>
        <v>0</v>
      </c>
      <c r="V13" s="107">
        <f t="shared" si="8"/>
        <v>0</v>
      </c>
      <c r="W13" s="107">
        <f t="shared" si="9"/>
        <v>0</v>
      </c>
      <c r="X13" s="107">
        <f t="shared" si="9"/>
        <v>0</v>
      </c>
      <c r="Y13" s="107">
        <f t="shared" si="10"/>
        <v>0</v>
      </c>
      <c r="Z13" s="106">
        <f t="shared" si="11"/>
        <v>0</v>
      </c>
      <c r="AA13" s="106">
        <f t="shared" si="12"/>
        <v>0</v>
      </c>
      <c r="AB13" s="106">
        <f t="shared" si="13"/>
        <v>0</v>
      </c>
      <c r="AC13" s="106">
        <f t="shared" si="13"/>
        <v>0</v>
      </c>
      <c r="AD13" s="106">
        <f t="shared" si="14"/>
        <v>0</v>
      </c>
    </row>
    <row r="14" spans="1:35">
      <c r="A14" s="165">
        <v>1</v>
      </c>
      <c r="B14" s="164" t="s">
        <v>169</v>
      </c>
      <c r="C14" s="163"/>
      <c r="D14" s="162" t="s">
        <v>93</v>
      </c>
      <c r="E14" s="158">
        <f>+IF($A14="",IF($C14="",SUMIFS(全伝票!I:I,全伝票!$B:$B,$B14),SUMIFS(全伝票!I:I,全伝票!$C:$C,$C14)),IF($C14="",SUMIFS(全伝票!I:I,全伝票!$A:$A,$A14,全伝票!$B:$B,$B14),SUMIFS(全伝票!I:I,全伝票!$A:$A,$A14,全伝票!$C:$C,$C14)))</f>
        <v>11013390</v>
      </c>
      <c r="F14" s="161">
        <f>+IF($A14="",IF($C14="",SUMIFS(全伝票!J:J,全伝票!$B:$B,$B14),SUMIFS(全伝票!J:J,全伝票!$C:$C,$C14)),IF($C14="",SUMIFS(全伝票!J:J,全伝票!$A:$A,$A14,全伝票!$B:$B,$B14),SUMIFS(全伝票!J:J,全伝票!$A:$A,$A14,全伝票!$C:$C,$C14)))</f>
        <v>0</v>
      </c>
      <c r="G14" s="160">
        <f>+IF($A14="",IF($C14="",SUMIFS(全伝票!K:K,全伝票!$B:$B,$B14),SUMIFS(全伝票!K:K,全伝票!$C:$C,$C14)),IF($C14="",SUMIFS(全伝票!K:K,全伝票!$A:$A,$A14,全伝票!$B:$B,$B14),SUMIFS(全伝票!K:K,全伝票!$A:$A,$A14,全伝票!$C:$C,$C14)))</f>
        <v>0</v>
      </c>
      <c r="H14" s="160">
        <f>+IF($A14="",IF($C14="",SUMIFS(全伝票!L:L,全伝票!$B:$B,$B14),SUMIFS(全伝票!L:L,全伝票!$C:$C,$C14)),IF($C14="",SUMIFS(全伝票!L:L,全伝票!$A:$A,$A14,全伝票!$B:$B,$B14),SUMIFS(全伝票!L:L,全伝票!$A:$A,$A14,全伝票!$C:$C,$C14)))</f>
        <v>0</v>
      </c>
      <c r="I14" s="159">
        <f>+IF($A14="",IF($C14="",SUMIFS(全伝票!M:M,全伝票!$B:$B,$B14),SUMIFS(全伝票!M:M,全伝票!$C:$C,$C14)),IF($C14="",SUMIFS(全伝票!M:M,全伝票!$A:$A,$A14,全伝票!$B:$B,$B14),SUMIFS(全伝票!M:M,全伝票!$A:$A,$A14,全伝票!$C:$C,$C14)))</f>
        <v>30357</v>
      </c>
      <c r="J14" s="159">
        <f>+IF($A14="",IF($C14="",SUMIFS(全伝票!N:N,全伝票!$B:$B,$B14),SUMIFS(全伝票!N:N,全伝票!$C:$C,$C14)),IF($C14="",SUMIFS(全伝票!N:N,全伝票!$A:$A,$A14,全伝票!$B:$B,$B14),SUMIFS(全伝票!N:N,全伝票!$A:$A,$A14,全伝票!$C:$C,$C14)))</f>
        <v>10983033</v>
      </c>
      <c r="K14" s="34">
        <f t="shared" si="0"/>
        <v>11013390</v>
      </c>
      <c r="L14" s="158">
        <f>+IF($A14="",IF($C14="",SUMIFS(全伝票!O:O,全伝票!$B:$B,$B14),SUMIFS(全伝票!O:O,全伝票!$C:$C,$C14)),IF($C14="",SUMIFS(全伝票!O:O,全伝票!$A:$A,$A14,全伝票!$B:$B,$B14),SUMIFS(全伝票!O:O,全伝票!$A:$A,$A14,全伝票!$C:$C,$C14)))</f>
        <v>0</v>
      </c>
      <c r="M14" s="158">
        <f>+IF($A14="",IF($C14="",SUMIFS(全伝票!P:P,全伝票!$B:$B,$B14),SUMIFS(全伝票!P:P,全伝票!$C:$C,$C14)),IF($C14="",SUMIFS(全伝票!P:P,全伝票!$A:$A,$A14,全伝票!$B:$B,$B14),SUMIFS(全伝票!P:P,全伝票!$A:$A,$A14,全伝票!$C:$C,$C14)))</f>
        <v>0</v>
      </c>
      <c r="N14" s="108">
        <f t="shared" si="1"/>
        <v>0</v>
      </c>
      <c r="O14" s="25">
        <f t="shared" si="3"/>
        <v>0</v>
      </c>
      <c r="P14" s="25">
        <f t="shared" si="2"/>
        <v>0</v>
      </c>
      <c r="Q14" s="157">
        <f t="shared" si="3"/>
        <v>2249</v>
      </c>
      <c r="R14" s="157">
        <f t="shared" si="4"/>
        <v>998457</v>
      </c>
      <c r="S14" s="22">
        <f t="shared" si="5"/>
        <v>1000706</v>
      </c>
      <c r="T14" s="109">
        <f t="shared" si="6"/>
        <v>10012684</v>
      </c>
      <c r="U14" s="107">
        <f t="shared" si="7"/>
        <v>0</v>
      </c>
      <c r="V14" s="107">
        <f t="shared" si="8"/>
        <v>0</v>
      </c>
      <c r="W14" s="107">
        <f t="shared" si="9"/>
        <v>0</v>
      </c>
      <c r="X14" s="107">
        <f t="shared" si="9"/>
        <v>0.33333333333348492</v>
      </c>
      <c r="Y14" s="107">
        <f t="shared" si="10"/>
        <v>-0.54545454541221261</v>
      </c>
      <c r="Z14" s="106">
        <f t="shared" si="11"/>
        <v>0</v>
      </c>
      <c r="AA14" s="106">
        <f t="shared" si="12"/>
        <v>0</v>
      </c>
      <c r="AB14" s="106">
        <f t="shared" si="13"/>
        <v>0</v>
      </c>
      <c r="AC14" s="106">
        <f t="shared" si="13"/>
        <v>0</v>
      </c>
      <c r="AD14" s="106">
        <f t="shared" si="14"/>
        <v>0</v>
      </c>
      <c r="AI14" s="2">
        <v>-1</v>
      </c>
    </row>
    <row r="15" spans="1:35">
      <c r="A15" s="165">
        <v>1</v>
      </c>
      <c r="B15" s="164" t="s">
        <v>168</v>
      </c>
      <c r="C15" s="163"/>
      <c r="D15" s="162" t="s">
        <v>91</v>
      </c>
      <c r="E15" s="158">
        <f>+IF($A15="",IF($C15="",SUMIFS(全伝票!I:I,全伝票!$B:$B,$B15),SUMIFS(全伝票!I:I,全伝票!$C:$C,$C15)),IF($C15="",SUMIFS(全伝票!I:I,全伝票!$A:$A,$A15,全伝票!$B:$B,$B15),SUMIFS(全伝票!I:I,全伝票!$A:$A,$A15,全伝票!$C:$C,$C15)))</f>
        <v>2213663</v>
      </c>
      <c r="F15" s="161">
        <f>+IF($A15="",IF($C15="",SUMIFS(全伝票!J:J,全伝票!$B:$B,$B15),SUMIFS(全伝票!J:J,全伝票!$C:$C,$C15)),IF($C15="",SUMIFS(全伝票!J:J,全伝票!$A:$A,$A15,全伝票!$B:$B,$B15),SUMIFS(全伝票!J:J,全伝票!$A:$A,$A15,全伝票!$C:$C,$C15)))</f>
        <v>0</v>
      </c>
      <c r="G15" s="160">
        <f>+IF($A15="",IF($C15="",SUMIFS(全伝票!K:K,全伝票!$B:$B,$B15),SUMIFS(全伝票!K:K,全伝票!$C:$C,$C15)),IF($C15="",SUMIFS(全伝票!K:K,全伝票!$A:$A,$A15,全伝票!$B:$B,$B15),SUMIFS(全伝票!K:K,全伝票!$A:$A,$A15,全伝票!$C:$C,$C15)))</f>
        <v>0</v>
      </c>
      <c r="H15" s="160">
        <f>+IF($A15="",IF($C15="",SUMIFS(全伝票!L:L,全伝票!$B:$B,$B15),SUMIFS(全伝票!L:L,全伝票!$C:$C,$C15)),IF($C15="",SUMIFS(全伝票!L:L,全伝票!$A:$A,$A15,全伝票!$B:$B,$B15),SUMIFS(全伝票!L:L,全伝票!$A:$A,$A15,全伝票!$C:$C,$C15)))</f>
        <v>0</v>
      </c>
      <c r="I15" s="159">
        <f>+IF($A15="",IF($C15="",SUMIFS(全伝票!M:M,全伝票!$B:$B,$B15),SUMIFS(全伝票!M:M,全伝票!$C:$C,$C15)),IF($C15="",SUMIFS(全伝票!M:M,全伝票!$A:$A,$A15,全伝票!$B:$B,$B15),SUMIFS(全伝票!M:M,全伝票!$A:$A,$A15,全伝票!$C:$C,$C15)))</f>
        <v>0</v>
      </c>
      <c r="J15" s="159">
        <f>+IF($A15="",IF($C15="",SUMIFS(全伝票!N:N,全伝票!$B:$B,$B15),SUMIFS(全伝票!N:N,全伝票!$C:$C,$C15)),IF($C15="",SUMIFS(全伝票!N:N,全伝票!$A:$A,$A15,全伝票!$B:$B,$B15),SUMIFS(全伝票!N:N,全伝票!$A:$A,$A15,全伝票!$C:$C,$C15)))</f>
        <v>2213663</v>
      </c>
      <c r="K15" s="34">
        <f t="shared" si="0"/>
        <v>2213663</v>
      </c>
      <c r="L15" s="158">
        <f>+IF($A15="",IF($C15="",SUMIFS(全伝票!O:O,全伝票!$B:$B,$B15),SUMIFS(全伝票!O:O,全伝票!$C:$C,$C15)),IF($C15="",SUMIFS(全伝票!O:O,全伝票!$A:$A,$A15,全伝票!$B:$B,$B15),SUMIFS(全伝票!O:O,全伝票!$A:$A,$A15,全伝票!$C:$C,$C15)))</f>
        <v>0</v>
      </c>
      <c r="M15" s="158">
        <f>+IF($A15="",IF($C15="",SUMIFS(全伝票!P:P,全伝票!$B:$B,$B15),SUMIFS(全伝票!P:P,全伝票!$C:$C,$C15)),IF($C15="",SUMIFS(全伝票!P:P,全伝票!$A:$A,$A15,全伝票!$B:$B,$B15),SUMIFS(全伝票!P:P,全伝票!$A:$A,$A15,全伝票!$C:$C,$C15)))</f>
        <v>0</v>
      </c>
      <c r="N15" s="108">
        <f t="shared" si="1"/>
        <v>0</v>
      </c>
      <c r="O15" s="25">
        <f t="shared" si="3"/>
        <v>0</v>
      </c>
      <c r="P15" s="25">
        <f t="shared" si="2"/>
        <v>0</v>
      </c>
      <c r="Q15" s="157">
        <f t="shared" si="3"/>
        <v>0</v>
      </c>
      <c r="R15" s="157">
        <f t="shared" si="4"/>
        <v>201242</v>
      </c>
      <c r="S15" s="22">
        <f t="shared" si="5"/>
        <v>201242</v>
      </c>
      <c r="T15" s="109">
        <f t="shared" si="6"/>
        <v>2012421</v>
      </c>
      <c r="U15" s="107">
        <f t="shared" si="7"/>
        <v>0</v>
      </c>
      <c r="V15" s="107">
        <f t="shared" si="8"/>
        <v>0</v>
      </c>
      <c r="W15" s="107">
        <f t="shared" si="9"/>
        <v>0</v>
      </c>
      <c r="X15" s="107">
        <f t="shared" si="9"/>
        <v>0</v>
      </c>
      <c r="Y15" s="107">
        <f t="shared" si="10"/>
        <v>-9.0909090911736712E-2</v>
      </c>
      <c r="Z15" s="106">
        <f t="shared" si="11"/>
        <v>0</v>
      </c>
      <c r="AA15" s="106">
        <f t="shared" si="12"/>
        <v>0</v>
      </c>
      <c r="AB15" s="106">
        <f t="shared" si="13"/>
        <v>0</v>
      </c>
      <c r="AC15" s="106">
        <f t="shared" si="13"/>
        <v>0</v>
      </c>
      <c r="AD15" s="106">
        <f t="shared" si="14"/>
        <v>0</v>
      </c>
    </row>
    <row r="16" spans="1:35">
      <c r="A16" s="165">
        <v>1</v>
      </c>
      <c r="B16" s="164" t="s">
        <v>167</v>
      </c>
      <c r="C16" s="163"/>
      <c r="D16" s="162" t="s">
        <v>89</v>
      </c>
      <c r="E16" s="158">
        <f>+IF($A16="",IF($C16="",SUMIFS(全伝票!I:I,全伝票!$B:$B,$B16),SUMIFS(全伝票!I:I,全伝票!$C:$C,$C16)),IF($C16="",SUMIFS(全伝票!I:I,全伝票!$A:$A,$A16,全伝票!$B:$B,$B16),SUMIFS(全伝票!I:I,全伝票!$A:$A,$A16,全伝票!$C:$C,$C16)))</f>
        <v>16902233</v>
      </c>
      <c r="F16" s="161">
        <f>+IF($A16="",IF($C16="",SUMIFS(全伝票!J:J,全伝票!$B:$B,$B16),SUMIFS(全伝票!J:J,全伝票!$C:$C,$C16)),IF($C16="",SUMIFS(全伝票!J:J,全伝票!$A:$A,$A16,全伝票!$B:$B,$B16),SUMIFS(全伝票!J:J,全伝票!$A:$A,$A16,全伝票!$C:$C,$C16)))</f>
        <v>0</v>
      </c>
      <c r="G16" s="160">
        <f>+IF($A16="",IF($C16="",SUMIFS(全伝票!K:K,全伝票!$B:$B,$B16),SUMIFS(全伝票!K:K,全伝票!$C:$C,$C16)),IF($C16="",SUMIFS(全伝票!K:K,全伝票!$A:$A,$A16,全伝票!$B:$B,$B16),SUMIFS(全伝票!K:K,全伝票!$A:$A,$A16,全伝票!$C:$C,$C16)))</f>
        <v>0</v>
      </c>
      <c r="H16" s="160">
        <f>+IF($A16="",IF($C16="",SUMIFS(全伝票!L:L,全伝票!$B:$B,$B16),SUMIFS(全伝票!L:L,全伝票!$C:$C,$C16)),IF($C16="",SUMIFS(全伝票!L:L,全伝票!$A:$A,$A16,全伝票!$B:$B,$B16),SUMIFS(全伝票!L:L,全伝票!$A:$A,$A16,全伝票!$C:$C,$C16)))</f>
        <v>0</v>
      </c>
      <c r="I16" s="159">
        <f>+IF($A16="",IF($C16="",SUMIFS(全伝票!M:M,全伝票!$B:$B,$B16),SUMIFS(全伝票!M:M,全伝票!$C:$C,$C16)),IF($C16="",SUMIFS(全伝票!M:M,全伝票!$A:$A,$A16,全伝票!$B:$B,$B16),SUMIFS(全伝票!M:M,全伝票!$A:$A,$A16,全伝票!$C:$C,$C16)))</f>
        <v>0</v>
      </c>
      <c r="J16" s="159">
        <f>+IF($A16="",IF($C16="",SUMIFS(全伝票!N:N,全伝票!$B:$B,$B16),SUMIFS(全伝票!N:N,全伝票!$C:$C,$C16)),IF($C16="",SUMIFS(全伝票!N:N,全伝票!$A:$A,$A16,全伝票!$B:$B,$B16),SUMIFS(全伝票!N:N,全伝票!$A:$A,$A16,全伝票!$C:$C,$C16)))</f>
        <v>16902233</v>
      </c>
      <c r="K16" s="34">
        <f t="shared" si="0"/>
        <v>16902233</v>
      </c>
      <c r="L16" s="158">
        <f>+IF($A16="",IF($C16="",SUMIFS(全伝票!O:O,全伝票!$B:$B,$B16),SUMIFS(全伝票!O:O,全伝票!$C:$C,$C16)),IF($C16="",SUMIFS(全伝票!O:O,全伝票!$A:$A,$A16,全伝票!$B:$B,$B16),SUMIFS(全伝票!O:O,全伝票!$A:$A,$A16,全伝票!$C:$C,$C16)))</f>
        <v>0</v>
      </c>
      <c r="M16" s="158">
        <f>+IF($A16="",IF($C16="",SUMIFS(全伝票!P:P,全伝票!$B:$B,$B16),SUMIFS(全伝票!P:P,全伝票!$C:$C,$C16)),IF($C16="",SUMIFS(全伝票!P:P,全伝票!$A:$A,$A16,全伝票!$B:$B,$B16),SUMIFS(全伝票!P:P,全伝票!$A:$A,$A16,全伝票!$C:$C,$C16)))</f>
        <v>0</v>
      </c>
      <c r="N16" s="108">
        <f t="shared" si="1"/>
        <v>0</v>
      </c>
      <c r="O16" s="25">
        <f t="shared" si="3"/>
        <v>0</v>
      </c>
      <c r="P16" s="25">
        <f t="shared" si="2"/>
        <v>0</v>
      </c>
      <c r="Q16" s="157">
        <f t="shared" si="3"/>
        <v>0</v>
      </c>
      <c r="R16" s="157">
        <f t="shared" si="4"/>
        <v>1536567</v>
      </c>
      <c r="S16" s="22">
        <f t="shared" si="5"/>
        <v>1536567</v>
      </c>
      <c r="T16" s="109">
        <f t="shared" si="6"/>
        <v>15365666</v>
      </c>
      <c r="U16" s="107">
        <f t="shared" si="7"/>
        <v>0</v>
      </c>
      <c r="V16" s="107">
        <f t="shared" si="8"/>
        <v>0</v>
      </c>
      <c r="W16" s="107">
        <f t="shared" si="9"/>
        <v>0</v>
      </c>
      <c r="X16" s="107">
        <f t="shared" si="9"/>
        <v>0</v>
      </c>
      <c r="Y16" s="107">
        <f t="shared" si="10"/>
        <v>0.36363636353053153</v>
      </c>
      <c r="Z16" s="106">
        <f t="shared" si="11"/>
        <v>0</v>
      </c>
      <c r="AA16" s="106">
        <f t="shared" si="12"/>
        <v>0</v>
      </c>
      <c r="AB16" s="106">
        <f t="shared" si="13"/>
        <v>0</v>
      </c>
      <c r="AC16" s="106">
        <f t="shared" si="13"/>
        <v>0</v>
      </c>
      <c r="AD16" s="106">
        <f t="shared" si="14"/>
        <v>0</v>
      </c>
    </row>
    <row r="17" spans="1:30">
      <c r="A17" s="165">
        <v>1</v>
      </c>
      <c r="B17" s="164" t="s">
        <v>166</v>
      </c>
      <c r="C17" s="163"/>
      <c r="D17" s="162" t="s">
        <v>87</v>
      </c>
      <c r="E17" s="158">
        <f>+IF($A17="",IF($C17="",SUMIFS(全伝票!I:I,全伝票!$B:$B,$B17),SUMIFS(全伝票!I:I,全伝票!$C:$C,$C17)),IF($C17="",SUMIFS(全伝票!I:I,全伝票!$A:$A,$A17,全伝票!$B:$B,$B17),SUMIFS(全伝票!I:I,全伝票!$A:$A,$A17,全伝票!$C:$C,$C17)))</f>
        <v>12573953</v>
      </c>
      <c r="F17" s="161">
        <f>+IF($A17="",IF($C17="",SUMIFS(全伝票!J:J,全伝票!$B:$B,$B17),SUMIFS(全伝票!J:J,全伝票!$C:$C,$C17)),IF($C17="",SUMIFS(全伝票!J:J,全伝票!$A:$A,$A17,全伝票!$B:$B,$B17),SUMIFS(全伝票!J:J,全伝票!$A:$A,$A17,全伝票!$C:$C,$C17)))</f>
        <v>0</v>
      </c>
      <c r="G17" s="160">
        <f>+IF($A17="",IF($C17="",SUMIFS(全伝票!K:K,全伝票!$B:$B,$B17),SUMIFS(全伝票!K:K,全伝票!$C:$C,$C17)),IF($C17="",SUMIFS(全伝票!K:K,全伝票!$A:$A,$A17,全伝票!$B:$B,$B17),SUMIFS(全伝票!K:K,全伝票!$A:$A,$A17,全伝票!$C:$C,$C17)))</f>
        <v>0</v>
      </c>
      <c r="H17" s="160">
        <f>+IF($A17="",IF($C17="",SUMIFS(全伝票!L:L,全伝票!$B:$B,$B17),SUMIFS(全伝票!L:L,全伝票!$C:$C,$C17)),IF($C17="",SUMIFS(全伝票!L:L,全伝票!$A:$A,$A17,全伝票!$B:$B,$B17),SUMIFS(全伝票!L:L,全伝票!$A:$A,$A17,全伝票!$C:$C,$C17)))</f>
        <v>0</v>
      </c>
      <c r="I17" s="159">
        <f>+IF($A17="",IF($C17="",SUMIFS(全伝票!M:M,全伝票!$B:$B,$B17),SUMIFS(全伝票!M:M,全伝票!$C:$C,$C17)),IF($C17="",SUMIFS(全伝票!M:M,全伝票!$A:$A,$A17,全伝票!$B:$B,$B17),SUMIFS(全伝票!M:M,全伝票!$A:$A,$A17,全伝票!$C:$C,$C17)))</f>
        <v>0</v>
      </c>
      <c r="J17" s="159">
        <f>+IF($A17="",IF($C17="",SUMIFS(全伝票!N:N,全伝票!$B:$B,$B17),SUMIFS(全伝票!N:N,全伝票!$C:$C,$C17)),IF($C17="",SUMIFS(全伝票!N:N,全伝票!$A:$A,$A17,全伝票!$B:$B,$B17),SUMIFS(全伝票!N:N,全伝票!$A:$A,$A17,全伝票!$C:$C,$C17)))</f>
        <v>12573953</v>
      </c>
      <c r="K17" s="34">
        <f t="shared" si="0"/>
        <v>12573953</v>
      </c>
      <c r="L17" s="158">
        <f>+IF($A17="",IF($C17="",SUMIFS(全伝票!O:O,全伝票!$B:$B,$B17),SUMIFS(全伝票!O:O,全伝票!$C:$C,$C17)),IF($C17="",SUMIFS(全伝票!O:O,全伝票!$A:$A,$A17,全伝票!$B:$B,$B17),SUMIFS(全伝票!O:O,全伝票!$A:$A,$A17,全伝票!$C:$C,$C17)))</f>
        <v>0</v>
      </c>
      <c r="M17" s="158">
        <f>+IF($A17="",IF($C17="",SUMIFS(全伝票!P:P,全伝票!$B:$B,$B17),SUMIFS(全伝票!P:P,全伝票!$C:$C,$C17)),IF($C17="",SUMIFS(全伝票!P:P,全伝票!$A:$A,$A17,全伝票!$B:$B,$B17),SUMIFS(全伝票!P:P,全伝票!$A:$A,$A17,全伝票!$C:$C,$C17)))</f>
        <v>0</v>
      </c>
      <c r="N17" s="108">
        <f t="shared" si="1"/>
        <v>0</v>
      </c>
      <c r="O17" s="25">
        <f t="shared" si="3"/>
        <v>0</v>
      </c>
      <c r="P17" s="25">
        <f t="shared" si="2"/>
        <v>0</v>
      </c>
      <c r="Q17" s="157">
        <f t="shared" si="3"/>
        <v>0</v>
      </c>
      <c r="R17" s="157">
        <f t="shared" si="4"/>
        <v>1143087</v>
      </c>
      <c r="S17" s="22">
        <f t="shared" si="5"/>
        <v>1143087</v>
      </c>
      <c r="T17" s="109">
        <f t="shared" si="6"/>
        <v>11430866</v>
      </c>
      <c r="U17" s="107">
        <f t="shared" si="7"/>
        <v>0</v>
      </c>
      <c r="V17" s="107">
        <f t="shared" si="8"/>
        <v>0</v>
      </c>
      <c r="W17" s="107">
        <f t="shared" si="9"/>
        <v>0</v>
      </c>
      <c r="X17" s="107">
        <f t="shared" si="9"/>
        <v>0</v>
      </c>
      <c r="Y17" s="107">
        <f t="shared" si="10"/>
        <v>0.36363636353053153</v>
      </c>
      <c r="Z17" s="106">
        <f t="shared" si="11"/>
        <v>0</v>
      </c>
      <c r="AA17" s="106">
        <f t="shared" si="12"/>
        <v>0</v>
      </c>
      <c r="AB17" s="106">
        <f t="shared" si="13"/>
        <v>0</v>
      </c>
      <c r="AC17" s="106">
        <f t="shared" si="13"/>
        <v>0</v>
      </c>
      <c r="AD17" s="106">
        <f t="shared" si="14"/>
        <v>0</v>
      </c>
    </row>
    <row r="18" spans="1:30">
      <c r="A18" s="165">
        <v>1</v>
      </c>
      <c r="B18" s="164" t="s">
        <v>165</v>
      </c>
      <c r="C18" s="163"/>
      <c r="D18" s="162" t="s">
        <v>85</v>
      </c>
      <c r="E18" s="158">
        <f>+IF($A18="",IF($C18="",SUMIFS(全伝票!I:I,全伝票!$B:$B,$B18),SUMIFS(全伝票!I:I,全伝票!$C:$C,$C18)),IF($C18="",SUMIFS(全伝票!I:I,全伝票!$A:$A,$A18,全伝票!$B:$B,$B18),SUMIFS(全伝票!I:I,全伝票!$A:$A,$A18,全伝票!$C:$C,$C18)))</f>
        <v>155875</v>
      </c>
      <c r="F18" s="161">
        <f>+IF($A18="",IF($C18="",SUMIFS(全伝票!J:J,全伝票!$B:$B,$B18),SUMIFS(全伝票!J:J,全伝票!$C:$C,$C18)),IF($C18="",SUMIFS(全伝票!J:J,全伝票!$A:$A,$A18,全伝票!$B:$B,$B18),SUMIFS(全伝票!J:J,全伝票!$A:$A,$A18,全伝票!$C:$C,$C18)))</f>
        <v>0</v>
      </c>
      <c r="G18" s="160">
        <f>+IF($A18="",IF($C18="",SUMIFS(全伝票!K:K,全伝票!$B:$B,$B18),SUMIFS(全伝票!K:K,全伝票!$C:$C,$C18)),IF($C18="",SUMIFS(全伝票!K:K,全伝票!$A:$A,$A18,全伝票!$B:$B,$B18),SUMIFS(全伝票!K:K,全伝票!$A:$A,$A18,全伝票!$C:$C,$C18)))</f>
        <v>0</v>
      </c>
      <c r="H18" s="160">
        <f>+IF($A18="",IF($C18="",SUMIFS(全伝票!L:L,全伝票!$B:$B,$B18),SUMIFS(全伝票!L:L,全伝票!$C:$C,$C18)),IF($C18="",SUMIFS(全伝票!L:L,全伝票!$A:$A,$A18,全伝票!$B:$B,$B18),SUMIFS(全伝票!L:L,全伝票!$A:$A,$A18,全伝票!$C:$C,$C18)))</f>
        <v>0</v>
      </c>
      <c r="I18" s="159">
        <f>+IF($A18="",IF($C18="",SUMIFS(全伝票!M:M,全伝票!$B:$B,$B18),SUMIFS(全伝票!M:M,全伝票!$C:$C,$C18)),IF($C18="",SUMIFS(全伝票!M:M,全伝票!$A:$A,$A18,全伝票!$B:$B,$B18),SUMIFS(全伝票!M:M,全伝票!$A:$A,$A18,全伝票!$C:$C,$C18)))</f>
        <v>0</v>
      </c>
      <c r="J18" s="159">
        <f>+IF($A18="",IF($C18="",SUMIFS(全伝票!N:N,全伝票!$B:$B,$B18),SUMIFS(全伝票!N:N,全伝票!$C:$C,$C18)),IF($C18="",SUMIFS(全伝票!N:N,全伝票!$A:$A,$A18,全伝票!$B:$B,$B18),SUMIFS(全伝票!N:N,全伝票!$A:$A,$A18,全伝票!$C:$C,$C18)))</f>
        <v>97165</v>
      </c>
      <c r="K18" s="34">
        <f t="shared" si="0"/>
        <v>97165</v>
      </c>
      <c r="L18" s="158">
        <f>+IF($A18="",IF($C18="",SUMIFS(全伝票!O:O,全伝票!$B:$B,$B18),SUMIFS(全伝票!O:O,全伝票!$C:$C,$C18)),IF($C18="",SUMIFS(全伝票!O:O,全伝票!$A:$A,$A18,全伝票!$B:$B,$B18),SUMIFS(全伝票!O:O,全伝票!$A:$A,$A18,全伝票!$C:$C,$C18)))</f>
        <v>49050</v>
      </c>
      <c r="M18" s="158">
        <f>+IF($A18="",IF($C18="",SUMIFS(全伝票!P:P,全伝票!$B:$B,$B18),SUMIFS(全伝票!P:P,全伝票!$C:$C,$C18)),IF($C18="",SUMIFS(全伝票!P:P,全伝票!$A:$A,$A18,全伝票!$B:$B,$B18),SUMIFS(全伝票!P:P,全伝票!$A:$A,$A18,全伝票!$C:$C,$C18)))</f>
        <v>9660</v>
      </c>
      <c r="N18" s="108">
        <f t="shared" si="1"/>
        <v>0</v>
      </c>
      <c r="O18" s="25">
        <f t="shared" si="3"/>
        <v>0</v>
      </c>
      <c r="P18" s="25">
        <f t="shared" si="2"/>
        <v>0</v>
      </c>
      <c r="Q18" s="157">
        <f t="shared" si="3"/>
        <v>0</v>
      </c>
      <c r="R18" s="157">
        <f t="shared" si="4"/>
        <v>8833</v>
      </c>
      <c r="S18" s="22">
        <f t="shared" si="5"/>
        <v>8833</v>
      </c>
      <c r="T18" s="109">
        <f t="shared" si="6"/>
        <v>147042</v>
      </c>
      <c r="U18" s="107">
        <f t="shared" si="7"/>
        <v>0</v>
      </c>
      <c r="V18" s="107">
        <f t="shared" si="8"/>
        <v>0</v>
      </c>
      <c r="W18" s="107">
        <f t="shared" si="9"/>
        <v>0</v>
      </c>
      <c r="X18" s="107">
        <f t="shared" si="9"/>
        <v>0</v>
      </c>
      <c r="Y18" s="107">
        <f t="shared" si="10"/>
        <v>-0.18181818181801646</v>
      </c>
      <c r="Z18" s="106">
        <f t="shared" si="11"/>
        <v>0</v>
      </c>
      <c r="AA18" s="106">
        <f t="shared" si="12"/>
        <v>0</v>
      </c>
      <c r="AB18" s="106">
        <f t="shared" si="13"/>
        <v>0</v>
      </c>
      <c r="AC18" s="106">
        <f t="shared" si="13"/>
        <v>0</v>
      </c>
      <c r="AD18" s="106">
        <f t="shared" si="14"/>
        <v>0</v>
      </c>
    </row>
    <row r="19" spans="1:30">
      <c r="A19" s="165">
        <v>1</v>
      </c>
      <c r="B19" s="164" t="s">
        <v>164</v>
      </c>
      <c r="C19" s="163"/>
      <c r="D19" s="162" t="s">
        <v>83</v>
      </c>
      <c r="E19" s="158">
        <f>+IF($A19="",IF($C19="",SUMIFS(全伝票!I:I,全伝票!$B:$B,$B19),SUMIFS(全伝票!I:I,全伝票!$C:$C,$C19)),IF($C19="",SUMIFS(全伝票!I:I,全伝票!$A:$A,$A19,全伝票!$B:$B,$B19),SUMIFS(全伝票!I:I,全伝票!$A:$A,$A19,全伝票!$C:$C,$C19)))</f>
        <v>1295496</v>
      </c>
      <c r="F19" s="161">
        <f>+IF($A19="",IF($C19="",SUMIFS(全伝票!J:J,全伝票!$B:$B,$B19),SUMIFS(全伝票!J:J,全伝票!$C:$C,$C19)),IF($C19="",SUMIFS(全伝票!J:J,全伝票!$A:$A,$A19,全伝票!$B:$B,$B19),SUMIFS(全伝票!J:J,全伝票!$A:$A,$A19,全伝票!$C:$C,$C19)))</f>
        <v>0</v>
      </c>
      <c r="G19" s="160">
        <f>+IF($A19="",IF($C19="",SUMIFS(全伝票!K:K,全伝票!$B:$B,$B19),SUMIFS(全伝票!K:K,全伝票!$C:$C,$C19)),IF($C19="",SUMIFS(全伝票!K:K,全伝票!$A:$A,$A19,全伝票!$B:$B,$B19),SUMIFS(全伝票!K:K,全伝票!$A:$A,$A19,全伝票!$C:$C,$C19)))</f>
        <v>0</v>
      </c>
      <c r="H19" s="160">
        <f>+IF($A19="",IF($C19="",SUMIFS(全伝票!L:L,全伝票!$B:$B,$B19),SUMIFS(全伝票!L:L,全伝票!$C:$C,$C19)),IF($C19="",SUMIFS(全伝票!L:L,全伝票!$A:$A,$A19,全伝票!$B:$B,$B19),SUMIFS(全伝票!L:L,全伝票!$A:$A,$A19,全伝票!$C:$C,$C19)))</f>
        <v>0</v>
      </c>
      <c r="I19" s="159">
        <f>+IF($A19="",IF($C19="",SUMIFS(全伝票!M:M,全伝票!$B:$B,$B19),SUMIFS(全伝票!M:M,全伝票!$C:$C,$C19)),IF($C19="",SUMIFS(全伝票!M:M,全伝票!$A:$A,$A19,全伝票!$B:$B,$B19),SUMIFS(全伝票!M:M,全伝票!$A:$A,$A19,全伝票!$C:$C,$C19)))</f>
        <v>0</v>
      </c>
      <c r="J19" s="159">
        <f>+IF($A19="",IF($C19="",SUMIFS(全伝票!N:N,全伝票!$B:$B,$B19),SUMIFS(全伝票!N:N,全伝票!$C:$C,$C19)),IF($C19="",SUMIFS(全伝票!N:N,全伝票!$A:$A,$A19,全伝票!$B:$B,$B19),SUMIFS(全伝票!N:N,全伝票!$A:$A,$A19,全伝票!$C:$C,$C19)))</f>
        <v>786510</v>
      </c>
      <c r="K19" s="34">
        <f t="shared" si="0"/>
        <v>786510</v>
      </c>
      <c r="L19" s="158">
        <f>+IF($A19="",IF($C19="",SUMIFS(全伝票!O:O,全伝票!$B:$B,$B19),SUMIFS(全伝票!O:O,全伝票!$C:$C,$C19)),IF($C19="",SUMIFS(全伝票!O:O,全伝票!$A:$A,$A19,全伝票!$B:$B,$B19),SUMIFS(全伝票!O:O,全伝票!$A:$A,$A19,全伝票!$C:$C,$C19)))</f>
        <v>508986</v>
      </c>
      <c r="M19" s="158">
        <f>+IF($A19="",IF($C19="",SUMIFS(全伝票!P:P,全伝票!$B:$B,$B19),SUMIFS(全伝票!P:P,全伝票!$C:$C,$C19)),IF($C19="",SUMIFS(全伝票!P:P,全伝票!$A:$A,$A19,全伝票!$B:$B,$B19),SUMIFS(全伝票!P:P,全伝票!$A:$A,$A19,全伝票!$C:$C,$C19)))</f>
        <v>0</v>
      </c>
      <c r="N19" s="108">
        <f t="shared" si="1"/>
        <v>0</v>
      </c>
      <c r="O19" s="25">
        <f t="shared" si="3"/>
        <v>0</v>
      </c>
      <c r="P19" s="25">
        <f t="shared" si="2"/>
        <v>0</v>
      </c>
      <c r="Q19" s="157">
        <f t="shared" si="3"/>
        <v>0</v>
      </c>
      <c r="R19" s="157">
        <f t="shared" si="4"/>
        <v>71501</v>
      </c>
      <c r="S19" s="22">
        <f t="shared" si="5"/>
        <v>71501</v>
      </c>
      <c r="T19" s="109">
        <f t="shared" si="6"/>
        <v>1223995</v>
      </c>
      <c r="U19" s="107">
        <f t="shared" si="7"/>
        <v>0</v>
      </c>
      <c r="V19" s="107">
        <f t="shared" si="8"/>
        <v>0</v>
      </c>
      <c r="W19" s="107">
        <f t="shared" si="9"/>
        <v>0</v>
      </c>
      <c r="X19" s="107">
        <f t="shared" si="9"/>
        <v>0</v>
      </c>
      <c r="Y19" s="107">
        <f t="shared" si="10"/>
        <v>9.0909090911736712E-2</v>
      </c>
      <c r="Z19" s="106">
        <f t="shared" si="11"/>
        <v>0</v>
      </c>
      <c r="AA19" s="106">
        <f t="shared" si="12"/>
        <v>0</v>
      </c>
      <c r="AB19" s="106">
        <f t="shared" si="13"/>
        <v>0</v>
      </c>
      <c r="AC19" s="106">
        <f t="shared" si="13"/>
        <v>0</v>
      </c>
      <c r="AD19" s="106">
        <f t="shared" si="14"/>
        <v>0</v>
      </c>
    </row>
    <row r="20" spans="1:30">
      <c r="A20" s="165">
        <v>1</v>
      </c>
      <c r="B20" s="164" t="s">
        <v>163</v>
      </c>
      <c r="C20" s="163"/>
      <c r="D20" s="162" t="s">
        <v>81</v>
      </c>
      <c r="E20" s="158">
        <f>+IF($A20="",IF($C20="",SUMIFS(全伝票!I:I,全伝票!$B:$B,$B20),SUMIFS(全伝票!I:I,全伝票!$C:$C,$C20)),IF($C20="",SUMIFS(全伝票!I:I,全伝票!$A:$A,$A20,全伝票!$B:$B,$B20),SUMIFS(全伝票!I:I,全伝票!$A:$A,$A20,全伝票!$C:$C,$C20)))</f>
        <v>428095489</v>
      </c>
      <c r="F20" s="161">
        <f>+IF($A20="",IF($C20="",SUMIFS(全伝票!J:J,全伝票!$B:$B,$B20),SUMIFS(全伝票!J:J,全伝票!$C:$C,$C20)),IF($C20="",SUMIFS(全伝票!J:J,全伝票!$A:$A,$A20,全伝票!$B:$B,$B20),SUMIFS(全伝票!J:J,全伝票!$A:$A,$A20,全伝票!$C:$C,$C20)))</f>
        <v>0</v>
      </c>
      <c r="G20" s="160">
        <f>+IF($A20="",IF($C20="",SUMIFS(全伝票!K:K,全伝票!$B:$B,$B20),SUMIFS(全伝票!K:K,全伝票!$C:$C,$C20)),IF($C20="",SUMIFS(全伝票!K:K,全伝票!$A:$A,$A20,全伝票!$B:$B,$B20),SUMIFS(全伝票!K:K,全伝票!$A:$A,$A20,全伝票!$C:$C,$C20)))</f>
        <v>0</v>
      </c>
      <c r="H20" s="160">
        <f>+IF($A20="",IF($C20="",SUMIFS(全伝票!L:L,全伝票!$B:$B,$B20),SUMIFS(全伝票!L:L,全伝票!$C:$C,$C20)),IF($C20="",SUMIFS(全伝票!L:L,全伝票!$A:$A,$A20,全伝票!$B:$B,$B20),SUMIFS(全伝票!L:L,全伝票!$A:$A,$A20,全伝票!$C:$C,$C20)))</f>
        <v>0</v>
      </c>
      <c r="I20" s="159">
        <f>+IF($A20="",IF($C20="",SUMIFS(全伝票!M:M,全伝票!$B:$B,$B20),SUMIFS(全伝票!M:M,全伝票!$C:$C,$C20)),IF($C20="",SUMIFS(全伝票!M:M,全伝票!$A:$A,$A20,全伝票!$B:$B,$B20),SUMIFS(全伝票!M:M,全伝票!$A:$A,$A20,全伝票!$C:$C,$C20)))</f>
        <v>0</v>
      </c>
      <c r="J20" s="159">
        <f>+IF($A20="",IF($C20="",SUMIFS(全伝票!N:N,全伝票!$B:$B,$B20),SUMIFS(全伝票!N:N,全伝票!$C:$C,$C20)),IF($C20="",SUMIFS(全伝票!N:N,全伝票!$A:$A,$A20,全伝票!$B:$B,$B20),SUMIFS(全伝票!N:N,全伝票!$A:$A,$A20,全伝票!$C:$C,$C20)))</f>
        <v>428095489</v>
      </c>
      <c r="K20" s="34">
        <f t="shared" si="0"/>
        <v>428095489</v>
      </c>
      <c r="L20" s="158">
        <f>+IF($A20="",IF($C20="",SUMIFS(全伝票!O:O,全伝票!$B:$B,$B20),SUMIFS(全伝票!O:O,全伝票!$C:$C,$C20)),IF($C20="",SUMIFS(全伝票!O:O,全伝票!$A:$A,$A20,全伝票!$B:$B,$B20),SUMIFS(全伝票!O:O,全伝票!$A:$A,$A20,全伝票!$C:$C,$C20)))</f>
        <v>0</v>
      </c>
      <c r="M20" s="158">
        <f>+IF($A20="",IF($C20="",SUMIFS(全伝票!P:P,全伝票!$B:$B,$B20),SUMIFS(全伝票!P:P,全伝票!$C:$C,$C20)),IF($C20="",SUMIFS(全伝票!P:P,全伝票!$A:$A,$A20,全伝票!$B:$B,$B20),SUMIFS(全伝票!P:P,全伝票!$A:$A,$A20,全伝票!$C:$C,$C20)))</f>
        <v>0</v>
      </c>
      <c r="N20" s="108">
        <f t="shared" si="1"/>
        <v>0</v>
      </c>
      <c r="O20" s="25">
        <f t="shared" si="3"/>
        <v>0</v>
      </c>
      <c r="P20" s="25">
        <f t="shared" si="2"/>
        <v>0</v>
      </c>
      <c r="Q20" s="157">
        <f t="shared" si="3"/>
        <v>0</v>
      </c>
      <c r="R20" s="157">
        <f t="shared" si="4"/>
        <v>38917772</v>
      </c>
      <c r="S20" s="22">
        <f t="shared" si="5"/>
        <v>38917772</v>
      </c>
      <c r="T20" s="109">
        <f t="shared" si="6"/>
        <v>389177717</v>
      </c>
      <c r="U20" s="107">
        <f t="shared" si="7"/>
        <v>0</v>
      </c>
      <c r="V20" s="107">
        <f t="shared" si="8"/>
        <v>0</v>
      </c>
      <c r="W20" s="107">
        <f t="shared" si="9"/>
        <v>0</v>
      </c>
      <c r="X20" s="107">
        <f t="shared" si="9"/>
        <v>0</v>
      </c>
      <c r="Y20" s="107">
        <f t="shared" si="10"/>
        <v>0.27272727340459824</v>
      </c>
      <c r="Z20" s="106">
        <f t="shared" si="11"/>
        <v>0</v>
      </c>
      <c r="AA20" s="106">
        <f t="shared" si="12"/>
        <v>0</v>
      </c>
      <c r="AB20" s="106">
        <f t="shared" si="13"/>
        <v>0</v>
      </c>
      <c r="AC20" s="106">
        <f t="shared" si="13"/>
        <v>0</v>
      </c>
      <c r="AD20" s="106">
        <f t="shared" si="14"/>
        <v>0</v>
      </c>
    </row>
    <row r="21" spans="1:30">
      <c r="A21" s="165">
        <v>1</v>
      </c>
      <c r="B21" s="164" t="s">
        <v>162</v>
      </c>
      <c r="C21" s="163"/>
      <c r="D21" s="162" t="s">
        <v>79</v>
      </c>
      <c r="E21" s="158">
        <f>+IF($A21="",IF($C21="",SUMIFS(全伝票!I:I,全伝票!$B:$B,$B21),SUMIFS(全伝票!I:I,全伝票!$C:$C,$C21)),IF($C21="",SUMIFS(全伝票!I:I,全伝票!$A:$A,$A21,全伝票!$B:$B,$B21),SUMIFS(全伝票!I:I,全伝票!$A:$A,$A21,全伝票!$C:$C,$C21)))</f>
        <v>166478038</v>
      </c>
      <c r="F21" s="161">
        <f>+IF($A21="",IF($C21="",SUMIFS(全伝票!J:J,全伝票!$B:$B,$B21),SUMIFS(全伝票!J:J,全伝票!$C:$C,$C21)),IF($C21="",SUMIFS(全伝票!J:J,全伝票!$A:$A,$A21,全伝票!$B:$B,$B21),SUMIFS(全伝票!J:J,全伝票!$A:$A,$A21,全伝票!$C:$C,$C21)))</f>
        <v>0</v>
      </c>
      <c r="G21" s="160">
        <f>+IF($A21="",IF($C21="",SUMIFS(全伝票!K:K,全伝票!$B:$B,$B21),SUMIFS(全伝票!K:K,全伝票!$C:$C,$C21)),IF($C21="",SUMIFS(全伝票!K:K,全伝票!$A:$A,$A21,全伝票!$B:$B,$B21),SUMIFS(全伝票!K:K,全伝票!$A:$A,$A21,全伝票!$C:$C,$C21)))</f>
        <v>0</v>
      </c>
      <c r="H21" s="160">
        <f>+IF($A21="",IF($C21="",SUMIFS(全伝票!L:L,全伝票!$B:$B,$B21),SUMIFS(全伝票!L:L,全伝票!$C:$C,$C21)),IF($C21="",SUMIFS(全伝票!L:L,全伝票!$A:$A,$A21,全伝票!$B:$B,$B21),SUMIFS(全伝票!L:L,全伝票!$A:$A,$A21,全伝票!$C:$C,$C21)))</f>
        <v>0</v>
      </c>
      <c r="I21" s="159">
        <f>+IF($A21="",IF($C21="",SUMIFS(全伝票!M:M,全伝票!$B:$B,$B21),SUMIFS(全伝票!M:M,全伝票!$C:$C,$C21)),IF($C21="",SUMIFS(全伝票!M:M,全伝票!$A:$A,$A21,全伝票!$B:$B,$B21),SUMIFS(全伝票!M:M,全伝票!$A:$A,$A21,全伝票!$C:$C,$C21)))</f>
        <v>0</v>
      </c>
      <c r="J21" s="159">
        <f>+IF($A21="",IF($C21="",SUMIFS(全伝票!N:N,全伝票!$B:$B,$B21),SUMIFS(全伝票!N:N,全伝票!$C:$C,$C21)),IF($C21="",SUMIFS(全伝票!N:N,全伝票!$A:$A,$A21,全伝票!$B:$B,$B21),SUMIFS(全伝票!N:N,全伝票!$A:$A,$A21,全伝票!$C:$C,$C21)))</f>
        <v>166478038</v>
      </c>
      <c r="K21" s="34">
        <f t="shared" si="0"/>
        <v>166478038</v>
      </c>
      <c r="L21" s="158">
        <f>+IF($A21="",IF($C21="",SUMIFS(全伝票!O:O,全伝票!$B:$B,$B21),SUMIFS(全伝票!O:O,全伝票!$C:$C,$C21)),IF($C21="",SUMIFS(全伝票!O:O,全伝票!$A:$A,$A21,全伝票!$B:$B,$B21),SUMIFS(全伝票!O:O,全伝票!$A:$A,$A21,全伝票!$C:$C,$C21)))</f>
        <v>0</v>
      </c>
      <c r="M21" s="158">
        <f>+IF($A21="",IF($C21="",SUMIFS(全伝票!P:P,全伝票!$B:$B,$B21),SUMIFS(全伝票!P:P,全伝票!$C:$C,$C21)),IF($C21="",SUMIFS(全伝票!P:P,全伝票!$A:$A,$A21,全伝票!$B:$B,$B21),SUMIFS(全伝票!P:P,全伝票!$A:$A,$A21,全伝票!$C:$C,$C21)))</f>
        <v>0</v>
      </c>
      <c r="N21" s="108">
        <f t="shared" si="1"/>
        <v>0</v>
      </c>
      <c r="O21" s="25">
        <f t="shared" si="3"/>
        <v>0</v>
      </c>
      <c r="P21" s="25">
        <f t="shared" si="2"/>
        <v>0</v>
      </c>
      <c r="Q21" s="157">
        <f t="shared" si="3"/>
        <v>0</v>
      </c>
      <c r="R21" s="157">
        <f t="shared" si="4"/>
        <v>15134367</v>
      </c>
      <c r="S21" s="22">
        <f t="shared" si="5"/>
        <v>15134367</v>
      </c>
      <c r="T21" s="109">
        <f t="shared" si="6"/>
        <v>151343671</v>
      </c>
      <c r="U21" s="107">
        <f t="shared" si="7"/>
        <v>0</v>
      </c>
      <c r="V21" s="107">
        <f t="shared" si="8"/>
        <v>0</v>
      </c>
      <c r="W21" s="107">
        <f t="shared" si="9"/>
        <v>0</v>
      </c>
      <c r="X21" s="107">
        <f t="shared" si="9"/>
        <v>0</v>
      </c>
      <c r="Y21" s="107">
        <f t="shared" si="10"/>
        <v>-9.0909091755747795E-2</v>
      </c>
      <c r="Z21" s="106">
        <f t="shared" si="11"/>
        <v>0</v>
      </c>
      <c r="AA21" s="106">
        <f t="shared" si="12"/>
        <v>0</v>
      </c>
      <c r="AB21" s="106">
        <f t="shared" si="13"/>
        <v>0</v>
      </c>
      <c r="AC21" s="106">
        <f t="shared" si="13"/>
        <v>0</v>
      </c>
      <c r="AD21" s="106">
        <f t="shared" si="14"/>
        <v>0</v>
      </c>
    </row>
    <row r="22" spans="1:30">
      <c r="A22" s="165">
        <v>1</v>
      </c>
      <c r="B22" s="164" t="s">
        <v>161</v>
      </c>
      <c r="C22" s="163"/>
      <c r="D22" s="162" t="s">
        <v>77</v>
      </c>
      <c r="E22" s="158">
        <f>+IF($A22="",IF($C22="",SUMIFS(全伝票!I:I,全伝票!$B:$B,$B22),SUMIFS(全伝票!I:I,全伝票!$C:$C,$C22)),IF($C22="",SUMIFS(全伝票!I:I,全伝票!$A:$A,$A22,全伝票!$B:$B,$B22),SUMIFS(全伝票!I:I,全伝票!$A:$A,$A22,全伝票!$C:$C,$C22)))</f>
        <v>50100458</v>
      </c>
      <c r="F22" s="161">
        <f>+IF($A22="",IF($C22="",SUMIFS(全伝票!J:J,全伝票!$B:$B,$B22),SUMIFS(全伝票!J:J,全伝票!$C:$C,$C22)),IF($C22="",SUMIFS(全伝票!J:J,全伝票!$A:$A,$A22,全伝票!$B:$B,$B22),SUMIFS(全伝票!J:J,全伝票!$A:$A,$A22,全伝票!$C:$C,$C22)))</f>
        <v>0</v>
      </c>
      <c r="G22" s="160">
        <f>+IF($A22="",IF($C22="",SUMIFS(全伝票!K:K,全伝票!$B:$B,$B22),SUMIFS(全伝票!K:K,全伝票!$C:$C,$C22)),IF($C22="",SUMIFS(全伝票!K:K,全伝票!$A:$A,$A22,全伝票!$B:$B,$B22),SUMIFS(全伝票!K:K,全伝票!$A:$A,$A22,全伝票!$C:$C,$C22)))</f>
        <v>0</v>
      </c>
      <c r="H22" s="160">
        <f>+IF($A22="",IF($C22="",SUMIFS(全伝票!L:L,全伝票!$B:$B,$B22),SUMIFS(全伝票!L:L,全伝票!$C:$C,$C22)),IF($C22="",SUMIFS(全伝票!L:L,全伝票!$A:$A,$A22,全伝票!$B:$B,$B22),SUMIFS(全伝票!L:L,全伝票!$A:$A,$A22,全伝票!$C:$C,$C22)))</f>
        <v>0</v>
      </c>
      <c r="I22" s="159">
        <f>+IF($A22="",IF($C22="",SUMIFS(全伝票!M:M,全伝票!$B:$B,$B22),SUMIFS(全伝票!M:M,全伝票!$C:$C,$C22)),IF($C22="",SUMIFS(全伝票!M:M,全伝票!$A:$A,$A22,全伝票!$B:$B,$B22),SUMIFS(全伝票!M:M,全伝票!$A:$A,$A22,全伝票!$C:$C,$C22)))</f>
        <v>0</v>
      </c>
      <c r="J22" s="159">
        <f>+IF($A22="",IF($C22="",SUMIFS(全伝票!N:N,全伝票!$B:$B,$B22),SUMIFS(全伝票!N:N,全伝票!$C:$C,$C22)),IF($C22="",SUMIFS(全伝票!N:N,全伝票!$A:$A,$A22,全伝票!$B:$B,$B22),SUMIFS(全伝票!N:N,全伝票!$A:$A,$A22,全伝票!$C:$C,$C22)))</f>
        <v>50100458</v>
      </c>
      <c r="K22" s="34">
        <f t="shared" si="0"/>
        <v>50100458</v>
      </c>
      <c r="L22" s="158">
        <f>+IF($A22="",IF($C22="",SUMIFS(全伝票!O:O,全伝票!$B:$B,$B22),SUMIFS(全伝票!O:O,全伝票!$C:$C,$C22)),IF($C22="",SUMIFS(全伝票!O:O,全伝票!$A:$A,$A22,全伝票!$B:$B,$B22),SUMIFS(全伝票!O:O,全伝票!$A:$A,$A22,全伝票!$C:$C,$C22)))</f>
        <v>0</v>
      </c>
      <c r="M22" s="158">
        <f>+IF($A22="",IF($C22="",SUMIFS(全伝票!P:P,全伝票!$B:$B,$B22),SUMIFS(全伝票!P:P,全伝票!$C:$C,$C22)),IF($C22="",SUMIFS(全伝票!P:P,全伝票!$A:$A,$A22,全伝票!$B:$B,$B22),SUMIFS(全伝票!P:P,全伝票!$A:$A,$A22,全伝票!$C:$C,$C22)))</f>
        <v>0</v>
      </c>
      <c r="N22" s="108">
        <f t="shared" si="1"/>
        <v>0</v>
      </c>
      <c r="O22" s="25">
        <f t="shared" si="3"/>
        <v>0</v>
      </c>
      <c r="P22" s="25">
        <f t="shared" si="2"/>
        <v>0</v>
      </c>
      <c r="Q22" s="157">
        <f t="shared" si="3"/>
        <v>0</v>
      </c>
      <c r="R22" s="157">
        <f t="shared" si="4"/>
        <v>4554587</v>
      </c>
      <c r="S22" s="22">
        <f t="shared" si="5"/>
        <v>4554587</v>
      </c>
      <c r="T22" s="109">
        <f t="shared" si="6"/>
        <v>45545871</v>
      </c>
      <c r="U22" s="107">
        <f t="shared" si="7"/>
        <v>0</v>
      </c>
      <c r="V22" s="107">
        <f t="shared" si="8"/>
        <v>0</v>
      </c>
      <c r="W22" s="107">
        <f t="shared" si="9"/>
        <v>0</v>
      </c>
      <c r="X22" s="107">
        <f t="shared" si="9"/>
        <v>0</v>
      </c>
      <c r="Y22" s="107">
        <f t="shared" si="10"/>
        <v>-9.090909082442522E-2</v>
      </c>
      <c r="Z22" s="106">
        <f t="shared" si="11"/>
        <v>0</v>
      </c>
      <c r="AA22" s="106">
        <f t="shared" si="12"/>
        <v>0</v>
      </c>
      <c r="AB22" s="106">
        <f t="shared" si="13"/>
        <v>0</v>
      </c>
      <c r="AC22" s="106">
        <f t="shared" si="13"/>
        <v>0</v>
      </c>
      <c r="AD22" s="106">
        <f t="shared" si="14"/>
        <v>0</v>
      </c>
    </row>
    <row r="23" spans="1:30">
      <c r="A23" s="165">
        <v>1</v>
      </c>
      <c r="B23" s="164" t="s">
        <v>160</v>
      </c>
      <c r="C23" s="163"/>
      <c r="D23" s="162" t="s">
        <v>75</v>
      </c>
      <c r="E23" s="158">
        <f>+IF($A23="",IF($C23="",SUMIFS(全伝票!I:I,全伝票!$B:$B,$B23),SUMIFS(全伝票!I:I,全伝票!$C:$C,$C23)),IF($C23="",SUMIFS(全伝票!I:I,全伝票!$A:$A,$A23,全伝票!$B:$B,$B23),SUMIFS(全伝票!I:I,全伝票!$A:$A,$A23,全伝票!$C:$C,$C23)))</f>
        <v>25190000</v>
      </c>
      <c r="F23" s="161">
        <f>+IF($A23="",IF($C23="",SUMIFS(全伝票!J:J,全伝票!$B:$B,$B23),SUMIFS(全伝票!J:J,全伝票!$C:$C,$C23)),IF($C23="",SUMIFS(全伝票!J:J,全伝票!$A:$A,$A23,全伝票!$B:$B,$B23),SUMIFS(全伝票!J:J,全伝票!$A:$A,$A23,全伝票!$C:$C,$C23)))</f>
        <v>0</v>
      </c>
      <c r="G23" s="160">
        <f>+IF($A23="",IF($C23="",SUMIFS(全伝票!K:K,全伝票!$B:$B,$B23),SUMIFS(全伝票!K:K,全伝票!$C:$C,$C23)),IF($C23="",SUMIFS(全伝票!K:K,全伝票!$A:$A,$A23,全伝票!$B:$B,$B23),SUMIFS(全伝票!K:K,全伝票!$A:$A,$A23,全伝票!$C:$C,$C23)))</f>
        <v>0</v>
      </c>
      <c r="H23" s="160">
        <f>+IF($A23="",IF($C23="",SUMIFS(全伝票!L:L,全伝票!$B:$B,$B23),SUMIFS(全伝票!L:L,全伝票!$C:$C,$C23)),IF($C23="",SUMIFS(全伝票!L:L,全伝票!$A:$A,$A23,全伝票!$B:$B,$B23),SUMIFS(全伝票!L:L,全伝票!$A:$A,$A23,全伝票!$C:$C,$C23)))</f>
        <v>0</v>
      </c>
      <c r="I23" s="159">
        <f>+IF($A23="",IF($C23="",SUMIFS(全伝票!M:M,全伝票!$B:$B,$B23),SUMIFS(全伝票!M:M,全伝票!$C:$C,$C23)),IF($C23="",SUMIFS(全伝票!M:M,全伝票!$A:$A,$A23,全伝票!$B:$B,$B23),SUMIFS(全伝票!M:M,全伝票!$A:$A,$A23,全伝票!$C:$C,$C23)))</f>
        <v>0</v>
      </c>
      <c r="J23" s="159">
        <f>+IF($A23="",IF($C23="",SUMIFS(全伝票!N:N,全伝票!$B:$B,$B23),SUMIFS(全伝票!N:N,全伝票!$C:$C,$C23)),IF($C23="",SUMIFS(全伝票!N:N,全伝票!$A:$A,$A23,全伝票!$B:$B,$B23),SUMIFS(全伝票!N:N,全伝票!$A:$A,$A23,全伝票!$C:$C,$C23)))</f>
        <v>25190000</v>
      </c>
      <c r="K23" s="34">
        <f t="shared" si="0"/>
        <v>25190000</v>
      </c>
      <c r="L23" s="158">
        <f>+IF($A23="",IF($C23="",SUMIFS(全伝票!O:O,全伝票!$B:$B,$B23),SUMIFS(全伝票!O:O,全伝票!$C:$C,$C23)),IF($C23="",SUMIFS(全伝票!O:O,全伝票!$A:$A,$A23,全伝票!$B:$B,$B23),SUMIFS(全伝票!O:O,全伝票!$A:$A,$A23,全伝票!$C:$C,$C23)))</f>
        <v>0</v>
      </c>
      <c r="M23" s="158">
        <f>+IF($A23="",IF($C23="",SUMIFS(全伝票!P:P,全伝票!$B:$B,$B23),SUMIFS(全伝票!P:P,全伝票!$C:$C,$C23)),IF($C23="",SUMIFS(全伝票!P:P,全伝票!$A:$A,$A23,全伝票!$B:$B,$B23),SUMIFS(全伝票!P:P,全伝票!$A:$A,$A23,全伝票!$C:$C,$C23)))</f>
        <v>0</v>
      </c>
      <c r="N23" s="108">
        <f t="shared" si="1"/>
        <v>0</v>
      </c>
      <c r="O23" s="25">
        <f t="shared" si="3"/>
        <v>0</v>
      </c>
      <c r="P23" s="25">
        <f t="shared" si="2"/>
        <v>0</v>
      </c>
      <c r="Q23" s="157">
        <f t="shared" si="3"/>
        <v>0</v>
      </c>
      <c r="R23" s="157">
        <f t="shared" si="4"/>
        <v>2290000</v>
      </c>
      <c r="S23" s="22">
        <f t="shared" si="5"/>
        <v>2290000</v>
      </c>
      <c r="T23" s="109">
        <f t="shared" si="6"/>
        <v>22900000</v>
      </c>
      <c r="U23" s="107">
        <f t="shared" si="7"/>
        <v>0</v>
      </c>
      <c r="V23" s="107">
        <f t="shared" si="8"/>
        <v>0</v>
      </c>
      <c r="W23" s="107">
        <f t="shared" si="9"/>
        <v>0</v>
      </c>
      <c r="X23" s="107">
        <f t="shared" si="9"/>
        <v>0</v>
      </c>
      <c r="Y23" s="107">
        <f t="shared" si="10"/>
        <v>0</v>
      </c>
      <c r="Z23" s="106">
        <f t="shared" si="11"/>
        <v>0</v>
      </c>
      <c r="AA23" s="106">
        <f t="shared" si="12"/>
        <v>0</v>
      </c>
      <c r="AB23" s="106">
        <f t="shared" si="13"/>
        <v>0</v>
      </c>
      <c r="AC23" s="106">
        <f t="shared" si="13"/>
        <v>0</v>
      </c>
      <c r="AD23" s="106">
        <f t="shared" si="14"/>
        <v>0</v>
      </c>
    </row>
    <row r="24" spans="1:30">
      <c r="A24" s="165">
        <v>1</v>
      </c>
      <c r="B24" s="164" t="s">
        <v>159</v>
      </c>
      <c r="C24" s="163"/>
      <c r="D24" s="162" t="s">
        <v>73</v>
      </c>
      <c r="E24" s="158">
        <f>+IF($A24="",IF($C24="",SUMIFS(全伝票!I:I,全伝票!$B:$B,$B24),SUMIFS(全伝票!I:I,全伝票!$C:$C,$C24)),IF($C24="",SUMIFS(全伝票!I:I,全伝票!$A:$A,$A24,全伝票!$B:$B,$B24),SUMIFS(全伝票!I:I,全伝票!$A:$A,$A24,全伝票!$C:$C,$C24)))</f>
        <v>0</v>
      </c>
      <c r="F24" s="161">
        <f>+IF($A24="",IF($C24="",SUMIFS(全伝票!J:J,全伝票!$B:$B,$B24),SUMIFS(全伝票!J:J,全伝票!$C:$C,$C24)),IF($C24="",SUMIFS(全伝票!J:J,全伝票!$A:$A,$A24,全伝票!$B:$B,$B24),SUMIFS(全伝票!J:J,全伝票!$A:$A,$A24,全伝票!$C:$C,$C24)))</f>
        <v>0</v>
      </c>
      <c r="G24" s="160">
        <f>+IF($A24="",IF($C24="",SUMIFS(全伝票!K:K,全伝票!$B:$B,$B24),SUMIFS(全伝票!K:K,全伝票!$C:$C,$C24)),IF($C24="",SUMIFS(全伝票!K:K,全伝票!$A:$A,$A24,全伝票!$B:$B,$B24),SUMIFS(全伝票!K:K,全伝票!$A:$A,$A24,全伝票!$C:$C,$C24)))</f>
        <v>0</v>
      </c>
      <c r="H24" s="160">
        <f>+IF($A24="",IF($C24="",SUMIFS(全伝票!L:L,全伝票!$B:$B,$B24),SUMIFS(全伝票!L:L,全伝票!$C:$C,$C24)),IF($C24="",SUMIFS(全伝票!L:L,全伝票!$A:$A,$A24,全伝票!$B:$B,$B24),SUMIFS(全伝票!L:L,全伝票!$A:$A,$A24,全伝票!$C:$C,$C24)))</f>
        <v>0</v>
      </c>
      <c r="I24" s="159">
        <f>+IF($A24="",IF($C24="",SUMIFS(全伝票!M:M,全伝票!$B:$B,$B24),SUMIFS(全伝票!M:M,全伝票!$C:$C,$C24)),IF($C24="",SUMIFS(全伝票!M:M,全伝票!$A:$A,$A24,全伝票!$B:$B,$B24),SUMIFS(全伝票!M:M,全伝票!$A:$A,$A24,全伝票!$C:$C,$C24)))</f>
        <v>0</v>
      </c>
      <c r="J24" s="159">
        <f>+IF($A24="",IF($C24="",SUMIFS(全伝票!N:N,全伝票!$B:$B,$B24),SUMIFS(全伝票!N:N,全伝票!$C:$C,$C24)),IF($C24="",SUMIFS(全伝票!N:N,全伝票!$A:$A,$A24,全伝票!$B:$B,$B24),SUMIFS(全伝票!N:N,全伝票!$A:$A,$A24,全伝票!$C:$C,$C24)))</f>
        <v>0</v>
      </c>
      <c r="K24" s="34">
        <f t="shared" si="0"/>
        <v>0</v>
      </c>
      <c r="L24" s="158">
        <f>+IF($A24="",IF($C24="",SUMIFS(全伝票!O:O,全伝票!$B:$B,$B24),SUMIFS(全伝票!O:O,全伝票!$C:$C,$C24)),IF($C24="",SUMIFS(全伝票!O:O,全伝票!$A:$A,$A24,全伝票!$B:$B,$B24),SUMIFS(全伝票!O:O,全伝票!$A:$A,$A24,全伝票!$C:$C,$C24)))</f>
        <v>0</v>
      </c>
      <c r="M24" s="158">
        <f>+IF($A24="",IF($C24="",SUMIFS(全伝票!P:P,全伝票!$B:$B,$B24),SUMIFS(全伝票!P:P,全伝票!$C:$C,$C24)),IF($C24="",SUMIFS(全伝票!P:P,全伝票!$A:$A,$A24,全伝票!$B:$B,$B24),SUMIFS(全伝票!P:P,全伝票!$A:$A,$A24,全伝票!$C:$C,$C24)))</f>
        <v>0</v>
      </c>
      <c r="N24" s="108">
        <f t="shared" si="1"/>
        <v>0</v>
      </c>
      <c r="O24" s="25">
        <f t="shared" si="3"/>
        <v>0</v>
      </c>
      <c r="P24" s="25">
        <f t="shared" si="2"/>
        <v>0</v>
      </c>
      <c r="Q24" s="157">
        <f t="shared" si="3"/>
        <v>0</v>
      </c>
      <c r="R24" s="157">
        <f t="shared" si="4"/>
        <v>0</v>
      </c>
      <c r="S24" s="22">
        <f t="shared" si="5"/>
        <v>0</v>
      </c>
      <c r="T24" s="109">
        <f t="shared" si="6"/>
        <v>0</v>
      </c>
      <c r="U24" s="107">
        <f t="shared" si="7"/>
        <v>0</v>
      </c>
      <c r="V24" s="107">
        <f t="shared" si="8"/>
        <v>0</v>
      </c>
      <c r="W24" s="107">
        <f t="shared" si="9"/>
        <v>0</v>
      </c>
      <c r="X24" s="107">
        <f t="shared" si="9"/>
        <v>0</v>
      </c>
      <c r="Y24" s="107">
        <f t="shared" si="10"/>
        <v>0</v>
      </c>
      <c r="Z24" s="106">
        <f t="shared" si="11"/>
        <v>0</v>
      </c>
      <c r="AA24" s="106">
        <f t="shared" si="12"/>
        <v>0</v>
      </c>
      <c r="AB24" s="106">
        <f t="shared" si="13"/>
        <v>0</v>
      </c>
      <c r="AC24" s="106">
        <f t="shared" si="13"/>
        <v>0</v>
      </c>
      <c r="AD24" s="106">
        <f t="shared" si="14"/>
        <v>0</v>
      </c>
    </row>
    <row r="25" spans="1:30">
      <c r="A25" s="165">
        <v>1</v>
      </c>
      <c r="B25" s="164" t="s">
        <v>157</v>
      </c>
      <c r="C25" s="163" t="s">
        <v>158</v>
      </c>
      <c r="D25" s="162" t="s">
        <v>71</v>
      </c>
      <c r="E25" s="158">
        <f>+IF($A25="",IF($C25="",SUMIFS(全伝票!I:I,全伝票!$B:$B,$B25),SUMIFS(全伝票!I:I,全伝票!$C:$C,$C25)),IF($C25="",SUMIFS(全伝票!I:I,全伝票!$A:$A,$A25,全伝票!$B:$B,$B25),SUMIFS(全伝票!I:I,全伝票!$A:$A,$A25,全伝票!$C:$C,$C25)))</f>
        <v>383761300</v>
      </c>
      <c r="F25" s="161">
        <f>+IF($A25="",IF($C25="",SUMIFS(全伝票!J:J,全伝票!$B:$B,$B25),SUMIFS(全伝票!J:J,全伝票!$C:$C,$C25)),IF($C25="",SUMIFS(全伝票!J:J,全伝票!$A:$A,$A25,全伝票!$B:$B,$B25),SUMIFS(全伝票!J:J,全伝票!$A:$A,$A25,全伝票!$C:$C,$C25)))</f>
        <v>0</v>
      </c>
      <c r="G25" s="160">
        <f>+IF($A25="",IF($C25="",SUMIFS(全伝票!K:K,全伝票!$B:$B,$B25),SUMIFS(全伝票!K:K,全伝票!$C:$C,$C25)),IF($C25="",SUMIFS(全伝票!K:K,全伝票!$A:$A,$A25,全伝票!$B:$B,$B25),SUMIFS(全伝票!K:K,全伝票!$A:$A,$A25,全伝票!$C:$C,$C25)))</f>
        <v>0</v>
      </c>
      <c r="H25" s="160">
        <f>+IF($A25="",IF($C25="",SUMIFS(全伝票!L:L,全伝票!$B:$B,$B25),SUMIFS(全伝票!L:L,全伝票!$C:$C,$C25)),IF($C25="",SUMIFS(全伝票!L:L,全伝票!$A:$A,$A25,全伝票!$B:$B,$B25),SUMIFS(全伝票!L:L,全伝票!$A:$A,$A25,全伝票!$C:$C,$C25)))</f>
        <v>0</v>
      </c>
      <c r="I25" s="159">
        <f>+IF($A25="",IF($C25="",SUMIFS(全伝票!M:M,全伝票!$B:$B,$B25),SUMIFS(全伝票!M:M,全伝票!$C:$C,$C25)),IF($C25="",SUMIFS(全伝票!M:M,全伝票!$A:$A,$A25,全伝票!$B:$B,$B25),SUMIFS(全伝票!M:M,全伝票!$A:$A,$A25,全伝票!$C:$C,$C25)))</f>
        <v>0</v>
      </c>
      <c r="J25" s="159">
        <f>+IF($A25="",IF($C25="",SUMIFS(全伝票!N:N,全伝票!$B:$B,$B25),SUMIFS(全伝票!N:N,全伝票!$C:$C,$C25)),IF($C25="",SUMIFS(全伝票!N:N,全伝票!$A:$A,$A25,全伝票!$B:$B,$B25),SUMIFS(全伝票!N:N,全伝票!$A:$A,$A25,全伝票!$C:$C,$C25)))</f>
        <v>383761300</v>
      </c>
      <c r="K25" s="34">
        <f t="shared" si="0"/>
        <v>383761300</v>
      </c>
      <c r="L25" s="158">
        <f>+IF($A25="",IF($C25="",SUMIFS(全伝票!O:O,全伝票!$B:$B,$B25),SUMIFS(全伝票!O:O,全伝票!$C:$C,$C25)),IF($C25="",SUMIFS(全伝票!O:O,全伝票!$A:$A,$A25,全伝票!$B:$B,$B25),SUMIFS(全伝票!O:O,全伝票!$A:$A,$A25,全伝票!$C:$C,$C25)))</f>
        <v>0</v>
      </c>
      <c r="M25" s="158">
        <f>+IF($A25="",IF($C25="",SUMIFS(全伝票!P:P,全伝票!$B:$B,$B25),SUMIFS(全伝票!P:P,全伝票!$C:$C,$C25)),IF($C25="",SUMIFS(全伝票!P:P,全伝票!$A:$A,$A25,全伝票!$B:$B,$B25),SUMIFS(全伝票!P:P,全伝票!$A:$A,$A25,全伝票!$C:$C,$C25)))</f>
        <v>0</v>
      </c>
      <c r="N25" s="108">
        <f t="shared" si="1"/>
        <v>0</v>
      </c>
      <c r="O25" s="25">
        <f t="shared" si="3"/>
        <v>0</v>
      </c>
      <c r="P25" s="25">
        <f t="shared" si="2"/>
        <v>0</v>
      </c>
      <c r="Q25" s="157">
        <f t="shared" si="3"/>
        <v>0</v>
      </c>
      <c r="R25" s="157">
        <f t="shared" si="4"/>
        <v>34887391</v>
      </c>
      <c r="S25" s="22">
        <f t="shared" si="5"/>
        <v>34887391</v>
      </c>
      <c r="T25" s="109">
        <f t="shared" si="6"/>
        <v>348873909</v>
      </c>
      <c r="U25" s="107">
        <f t="shared" si="7"/>
        <v>0</v>
      </c>
      <c r="V25" s="107">
        <f t="shared" si="8"/>
        <v>0</v>
      </c>
      <c r="W25" s="107">
        <f t="shared" si="9"/>
        <v>0</v>
      </c>
      <c r="X25" s="107">
        <f t="shared" si="9"/>
        <v>0</v>
      </c>
      <c r="Y25" s="107">
        <f t="shared" si="10"/>
        <v>9.0909093618392944E-2</v>
      </c>
      <c r="Z25" s="106">
        <f t="shared" si="11"/>
        <v>0</v>
      </c>
      <c r="AA25" s="106">
        <f t="shared" si="12"/>
        <v>0</v>
      </c>
      <c r="AB25" s="106">
        <f t="shared" si="13"/>
        <v>0</v>
      </c>
      <c r="AC25" s="106">
        <f t="shared" si="13"/>
        <v>0</v>
      </c>
      <c r="AD25" s="106">
        <f t="shared" si="14"/>
        <v>0</v>
      </c>
    </row>
    <row r="26" spans="1:30">
      <c r="A26" s="165">
        <v>1</v>
      </c>
      <c r="B26" s="164" t="s">
        <v>157</v>
      </c>
      <c r="C26" s="163" t="s">
        <v>156</v>
      </c>
      <c r="D26" s="162" t="s">
        <v>68</v>
      </c>
      <c r="E26" s="158">
        <f>+IF($A26="",IF($C26="",SUMIFS(全伝票!I:I,全伝票!$B:$B,$B26),SUMIFS(全伝票!I:I,全伝票!$C:$C,$C26)),IF($C26="",SUMIFS(全伝票!I:I,全伝票!$A:$A,$A26,全伝票!$B:$B,$B26),SUMIFS(全伝票!I:I,全伝票!$A:$A,$A26,全伝票!$C:$C,$C26)))</f>
        <v>28445230</v>
      </c>
      <c r="F26" s="161">
        <f>+IF($A26="",IF($C26="",SUMIFS(全伝票!J:J,全伝票!$B:$B,$B26),SUMIFS(全伝票!J:J,全伝票!$C:$C,$C26)),IF($C26="",SUMIFS(全伝票!J:J,全伝票!$A:$A,$A26,全伝票!$B:$B,$B26),SUMIFS(全伝票!J:J,全伝票!$A:$A,$A26,全伝票!$C:$C,$C26)))</f>
        <v>0</v>
      </c>
      <c r="G26" s="160">
        <f>+IF($A26="",IF($C26="",SUMIFS(全伝票!K:K,全伝票!$B:$B,$B26),SUMIFS(全伝票!K:K,全伝票!$C:$C,$C26)),IF($C26="",SUMIFS(全伝票!K:K,全伝票!$A:$A,$A26,全伝票!$B:$B,$B26),SUMIFS(全伝票!K:K,全伝票!$A:$A,$A26,全伝票!$C:$C,$C26)))</f>
        <v>0</v>
      </c>
      <c r="H26" s="160">
        <f>+IF($A26="",IF($C26="",SUMIFS(全伝票!L:L,全伝票!$B:$B,$B26),SUMIFS(全伝票!L:L,全伝票!$C:$C,$C26)),IF($C26="",SUMIFS(全伝票!L:L,全伝票!$A:$A,$A26,全伝票!$B:$B,$B26),SUMIFS(全伝票!L:L,全伝票!$A:$A,$A26,全伝票!$C:$C,$C26)))</f>
        <v>0</v>
      </c>
      <c r="I26" s="159">
        <f>+IF($A26="",IF($C26="",SUMIFS(全伝票!M:M,全伝票!$B:$B,$B26),SUMIFS(全伝票!M:M,全伝票!$C:$C,$C26)),IF($C26="",SUMIFS(全伝票!M:M,全伝票!$A:$A,$A26,全伝票!$B:$B,$B26),SUMIFS(全伝票!M:M,全伝票!$A:$A,$A26,全伝票!$C:$C,$C26)))</f>
        <v>0</v>
      </c>
      <c r="J26" s="159">
        <f>+IF($A26="",IF($C26="",SUMIFS(全伝票!N:N,全伝票!$B:$B,$B26),SUMIFS(全伝票!N:N,全伝票!$C:$C,$C26)),IF($C26="",SUMIFS(全伝票!N:N,全伝票!$A:$A,$A26,全伝票!$B:$B,$B26),SUMIFS(全伝票!N:N,全伝票!$A:$A,$A26,全伝票!$C:$C,$C26)))</f>
        <v>28445230</v>
      </c>
      <c r="K26" s="34">
        <f t="shared" si="0"/>
        <v>28445230</v>
      </c>
      <c r="L26" s="158">
        <f>+IF($A26="",IF($C26="",SUMIFS(全伝票!O:O,全伝票!$B:$B,$B26),SUMIFS(全伝票!O:O,全伝票!$C:$C,$C26)),IF($C26="",SUMIFS(全伝票!O:O,全伝票!$A:$A,$A26,全伝票!$B:$B,$B26),SUMIFS(全伝票!O:O,全伝票!$A:$A,$A26,全伝票!$C:$C,$C26)))</f>
        <v>0</v>
      </c>
      <c r="M26" s="158">
        <f>+IF($A26="",IF($C26="",SUMIFS(全伝票!P:P,全伝票!$B:$B,$B26),SUMIFS(全伝票!P:P,全伝票!$C:$C,$C26)),IF($C26="",SUMIFS(全伝票!P:P,全伝票!$A:$A,$A26,全伝票!$B:$B,$B26),SUMIFS(全伝票!P:P,全伝票!$A:$A,$A26,全伝票!$C:$C,$C26)))</f>
        <v>0</v>
      </c>
      <c r="N26" s="108">
        <f t="shared" si="1"/>
        <v>0</v>
      </c>
      <c r="O26" s="25">
        <f t="shared" si="3"/>
        <v>0</v>
      </c>
      <c r="P26" s="25">
        <f t="shared" si="2"/>
        <v>0</v>
      </c>
      <c r="Q26" s="157">
        <f t="shared" si="3"/>
        <v>0</v>
      </c>
      <c r="R26" s="157">
        <f t="shared" si="4"/>
        <v>2585930</v>
      </c>
      <c r="S26" s="22">
        <f t="shared" si="5"/>
        <v>2585930</v>
      </c>
      <c r="T26" s="109">
        <f t="shared" si="6"/>
        <v>25859300</v>
      </c>
      <c r="U26" s="107">
        <f t="shared" si="7"/>
        <v>0</v>
      </c>
      <c r="V26" s="107">
        <f t="shared" si="8"/>
        <v>0</v>
      </c>
      <c r="W26" s="107">
        <f t="shared" si="9"/>
        <v>0</v>
      </c>
      <c r="X26" s="107">
        <f t="shared" si="9"/>
        <v>0</v>
      </c>
      <c r="Y26" s="107">
        <f t="shared" si="10"/>
        <v>0</v>
      </c>
      <c r="Z26" s="106">
        <f t="shared" si="11"/>
        <v>0</v>
      </c>
      <c r="AA26" s="106">
        <f t="shared" si="12"/>
        <v>0</v>
      </c>
      <c r="AB26" s="106">
        <f t="shared" si="13"/>
        <v>0</v>
      </c>
      <c r="AC26" s="106">
        <f t="shared" si="13"/>
        <v>0</v>
      </c>
      <c r="AD26" s="106">
        <f t="shared" si="14"/>
        <v>0</v>
      </c>
    </row>
    <row r="27" spans="1:30">
      <c r="A27" s="165">
        <v>1</v>
      </c>
      <c r="B27" s="164" t="s">
        <v>155</v>
      </c>
      <c r="C27" s="163"/>
      <c r="D27" s="162" t="s">
        <v>66</v>
      </c>
      <c r="E27" s="158">
        <f>+IF($A27="",IF($C27="",SUMIFS(全伝票!I:I,全伝票!$B:$B,$B27),SUMIFS(全伝票!I:I,全伝票!$C:$C,$C27)),IF($C27="",SUMIFS(全伝票!I:I,全伝票!$A:$A,$A27,全伝票!$B:$B,$B27),SUMIFS(全伝票!I:I,全伝票!$A:$A,$A27,全伝票!$C:$C,$C27)))</f>
        <v>42735</v>
      </c>
      <c r="F27" s="161">
        <f>+IF($A27="",IF($C27="",SUMIFS(全伝票!J:J,全伝票!$B:$B,$B27),SUMIFS(全伝票!J:J,全伝票!$C:$C,$C27)),IF($C27="",SUMIFS(全伝票!J:J,全伝票!$A:$A,$A27,全伝票!$B:$B,$B27),SUMIFS(全伝票!J:J,全伝票!$A:$A,$A27,全伝票!$C:$C,$C27)))</f>
        <v>0</v>
      </c>
      <c r="G27" s="160">
        <f>+IF($A27="",IF($C27="",SUMIFS(全伝票!K:K,全伝票!$B:$B,$B27),SUMIFS(全伝票!K:K,全伝票!$C:$C,$C27)),IF($C27="",SUMIFS(全伝票!K:K,全伝票!$A:$A,$A27,全伝票!$B:$B,$B27),SUMIFS(全伝票!K:K,全伝票!$A:$A,$A27,全伝票!$C:$C,$C27)))</f>
        <v>0</v>
      </c>
      <c r="H27" s="160">
        <f>+IF($A27="",IF($C27="",SUMIFS(全伝票!L:L,全伝票!$B:$B,$B27),SUMIFS(全伝票!L:L,全伝票!$C:$C,$C27)),IF($C27="",SUMIFS(全伝票!L:L,全伝票!$A:$A,$A27,全伝票!$B:$B,$B27),SUMIFS(全伝票!L:L,全伝票!$A:$A,$A27,全伝票!$C:$C,$C27)))</f>
        <v>0</v>
      </c>
      <c r="I27" s="159">
        <f>+IF($A27="",IF($C27="",SUMIFS(全伝票!M:M,全伝票!$B:$B,$B27),SUMIFS(全伝票!M:M,全伝票!$C:$C,$C27)),IF($C27="",SUMIFS(全伝票!M:M,全伝票!$A:$A,$A27,全伝票!$B:$B,$B27),SUMIFS(全伝票!M:M,全伝票!$A:$A,$A27,全伝票!$C:$C,$C27)))</f>
        <v>0</v>
      </c>
      <c r="J27" s="159">
        <f>+IF($A27="",IF($C27="",SUMIFS(全伝票!N:N,全伝票!$B:$B,$B27),SUMIFS(全伝票!N:N,全伝票!$C:$C,$C27)),IF($C27="",SUMIFS(全伝票!N:N,全伝票!$A:$A,$A27,全伝票!$B:$B,$B27),SUMIFS(全伝票!N:N,全伝票!$A:$A,$A27,全伝票!$C:$C,$C27)))</f>
        <v>42735</v>
      </c>
      <c r="K27" s="34">
        <f t="shared" si="0"/>
        <v>42735</v>
      </c>
      <c r="L27" s="158">
        <f>+IF($A27="",IF($C27="",SUMIFS(全伝票!O:O,全伝票!$B:$B,$B27),SUMIFS(全伝票!O:O,全伝票!$C:$C,$C27)),IF($C27="",SUMIFS(全伝票!O:O,全伝票!$A:$A,$A27,全伝票!$B:$B,$B27),SUMIFS(全伝票!O:O,全伝票!$A:$A,$A27,全伝票!$C:$C,$C27)))</f>
        <v>0</v>
      </c>
      <c r="M27" s="158">
        <f>+IF($A27="",IF($C27="",SUMIFS(全伝票!P:P,全伝票!$B:$B,$B27),SUMIFS(全伝票!P:P,全伝票!$C:$C,$C27)),IF($C27="",SUMIFS(全伝票!P:P,全伝票!$A:$A,$A27,全伝票!$B:$B,$B27),SUMIFS(全伝票!P:P,全伝票!$A:$A,$A27,全伝票!$C:$C,$C27)))</f>
        <v>0</v>
      </c>
      <c r="N27" s="108">
        <f t="shared" si="1"/>
        <v>0</v>
      </c>
      <c r="O27" s="25">
        <f t="shared" si="3"/>
        <v>0</v>
      </c>
      <c r="P27" s="25">
        <f t="shared" si="2"/>
        <v>0</v>
      </c>
      <c r="Q27" s="157">
        <f t="shared" si="3"/>
        <v>0</v>
      </c>
      <c r="R27" s="157">
        <f t="shared" si="4"/>
        <v>3885</v>
      </c>
      <c r="S27" s="22">
        <f t="shared" si="5"/>
        <v>3885</v>
      </c>
      <c r="T27" s="109">
        <f t="shared" si="6"/>
        <v>38850</v>
      </c>
      <c r="U27" s="107">
        <f t="shared" si="7"/>
        <v>0</v>
      </c>
      <c r="V27" s="107">
        <f t="shared" si="8"/>
        <v>0</v>
      </c>
      <c r="W27" s="107">
        <f t="shared" si="9"/>
        <v>0</v>
      </c>
      <c r="X27" s="107">
        <f t="shared" si="9"/>
        <v>0</v>
      </c>
      <c r="Y27" s="107">
        <f t="shared" si="10"/>
        <v>0</v>
      </c>
      <c r="Z27" s="106">
        <f t="shared" si="11"/>
        <v>0</v>
      </c>
      <c r="AA27" s="106">
        <f t="shared" si="12"/>
        <v>0</v>
      </c>
      <c r="AB27" s="106">
        <f t="shared" si="13"/>
        <v>0</v>
      </c>
      <c r="AC27" s="106">
        <f t="shared" si="13"/>
        <v>0</v>
      </c>
      <c r="AD27" s="106">
        <f t="shared" si="14"/>
        <v>0</v>
      </c>
    </row>
    <row r="28" spans="1:30">
      <c r="A28" s="165">
        <v>1</v>
      </c>
      <c r="B28" s="164" t="s">
        <v>154</v>
      </c>
      <c r="C28" s="163"/>
      <c r="D28" s="162" t="s">
        <v>64</v>
      </c>
      <c r="E28" s="158">
        <f>+IF($A28="",IF($C28="",SUMIFS(全伝票!I:I,全伝票!$B:$B,$B28),SUMIFS(全伝票!I:I,全伝票!$C:$C,$C28)),IF($C28="",SUMIFS(全伝票!I:I,全伝票!$A:$A,$A28,全伝票!$B:$B,$B28),SUMIFS(全伝票!I:I,全伝票!$A:$A,$A28,全伝票!$C:$C,$C28)))</f>
        <v>0</v>
      </c>
      <c r="F28" s="161">
        <f>+IF($A28="",IF($C28="",SUMIFS(全伝票!J:J,全伝票!$B:$B,$B28),SUMIFS(全伝票!J:J,全伝票!$C:$C,$C28)),IF($C28="",SUMIFS(全伝票!J:J,全伝票!$A:$A,$A28,全伝票!$B:$B,$B28),SUMIFS(全伝票!J:J,全伝票!$A:$A,$A28,全伝票!$C:$C,$C28)))</f>
        <v>0</v>
      </c>
      <c r="G28" s="160">
        <f>+IF($A28="",IF($C28="",SUMIFS(全伝票!K:K,全伝票!$B:$B,$B28),SUMIFS(全伝票!K:K,全伝票!$C:$C,$C28)),IF($C28="",SUMIFS(全伝票!K:K,全伝票!$A:$A,$A28,全伝票!$B:$B,$B28),SUMIFS(全伝票!K:K,全伝票!$A:$A,$A28,全伝票!$C:$C,$C28)))</f>
        <v>0</v>
      </c>
      <c r="H28" s="160">
        <f>+IF($A28="",IF($C28="",SUMIFS(全伝票!L:L,全伝票!$B:$B,$B28),SUMIFS(全伝票!L:L,全伝票!$C:$C,$C28)),IF($C28="",SUMIFS(全伝票!L:L,全伝票!$A:$A,$A28,全伝票!$B:$B,$B28),SUMIFS(全伝票!L:L,全伝票!$A:$A,$A28,全伝票!$C:$C,$C28)))</f>
        <v>0</v>
      </c>
      <c r="I28" s="159">
        <f>+IF($A28="",IF($C28="",SUMIFS(全伝票!M:M,全伝票!$B:$B,$B28),SUMIFS(全伝票!M:M,全伝票!$C:$C,$C28)),IF($C28="",SUMIFS(全伝票!M:M,全伝票!$A:$A,$A28,全伝票!$B:$B,$B28),SUMIFS(全伝票!M:M,全伝票!$A:$A,$A28,全伝票!$C:$C,$C28)))</f>
        <v>0</v>
      </c>
      <c r="J28" s="159">
        <f>+IF($A28="",IF($C28="",SUMIFS(全伝票!N:N,全伝票!$B:$B,$B28),SUMIFS(全伝票!N:N,全伝票!$C:$C,$C28)),IF($C28="",SUMIFS(全伝票!N:N,全伝票!$A:$A,$A28,全伝票!$B:$B,$B28),SUMIFS(全伝票!N:N,全伝票!$A:$A,$A28,全伝票!$C:$C,$C28)))</f>
        <v>0</v>
      </c>
      <c r="K28" s="34">
        <f t="shared" si="0"/>
        <v>0</v>
      </c>
      <c r="L28" s="158">
        <f>+IF($A28="",IF($C28="",SUMIFS(全伝票!O:O,全伝票!$B:$B,$B28),SUMIFS(全伝票!O:O,全伝票!$C:$C,$C28)),IF($C28="",SUMIFS(全伝票!O:O,全伝票!$A:$A,$A28,全伝票!$B:$B,$B28),SUMIFS(全伝票!O:O,全伝票!$A:$A,$A28,全伝票!$C:$C,$C28)))</f>
        <v>0</v>
      </c>
      <c r="M28" s="158">
        <f>+IF($A28="",IF($C28="",SUMIFS(全伝票!P:P,全伝票!$B:$B,$B28),SUMIFS(全伝票!P:P,全伝票!$C:$C,$C28)),IF($C28="",SUMIFS(全伝票!P:P,全伝票!$A:$A,$A28,全伝票!$B:$B,$B28),SUMIFS(全伝票!P:P,全伝票!$A:$A,$A28,全伝票!$C:$C,$C28)))</f>
        <v>0</v>
      </c>
      <c r="N28" s="108">
        <f t="shared" si="1"/>
        <v>0</v>
      </c>
      <c r="O28" s="25">
        <f t="shared" si="3"/>
        <v>0</v>
      </c>
      <c r="P28" s="25">
        <f t="shared" si="2"/>
        <v>0</v>
      </c>
      <c r="Q28" s="157">
        <f t="shared" si="3"/>
        <v>0</v>
      </c>
      <c r="R28" s="157">
        <f t="shared" si="4"/>
        <v>0</v>
      </c>
      <c r="S28" s="22">
        <f t="shared" si="5"/>
        <v>0</v>
      </c>
      <c r="T28" s="109">
        <f t="shared" si="6"/>
        <v>0</v>
      </c>
      <c r="U28" s="107">
        <f t="shared" si="7"/>
        <v>0</v>
      </c>
      <c r="V28" s="107">
        <f t="shared" si="8"/>
        <v>0</v>
      </c>
      <c r="W28" s="107">
        <f t="shared" si="9"/>
        <v>0</v>
      </c>
      <c r="X28" s="107">
        <f t="shared" si="9"/>
        <v>0</v>
      </c>
      <c r="Y28" s="107">
        <f t="shared" si="10"/>
        <v>0</v>
      </c>
      <c r="Z28" s="106">
        <f t="shared" si="11"/>
        <v>0</v>
      </c>
      <c r="AA28" s="106">
        <f t="shared" si="12"/>
        <v>0</v>
      </c>
      <c r="AB28" s="106">
        <f t="shared" si="13"/>
        <v>0</v>
      </c>
      <c r="AC28" s="106">
        <f t="shared" si="13"/>
        <v>0</v>
      </c>
      <c r="AD28" s="106">
        <f t="shared" si="14"/>
        <v>0</v>
      </c>
    </row>
    <row r="29" spans="1:30">
      <c r="A29" s="165">
        <v>1</v>
      </c>
      <c r="B29" s="164" t="s">
        <v>153</v>
      </c>
      <c r="C29" s="163"/>
      <c r="D29" s="162" t="s">
        <v>62</v>
      </c>
      <c r="E29" s="158">
        <f>+IF($A29="",IF($C29="",SUMIFS(全伝票!I:I,全伝票!$B:$B,$B29),SUMIFS(全伝票!I:I,全伝票!$C:$C,$C29)),IF($C29="",SUMIFS(全伝票!I:I,全伝票!$A:$A,$A29,全伝票!$B:$B,$B29),SUMIFS(全伝票!I:I,全伝票!$A:$A,$A29,全伝票!$C:$C,$C29)))</f>
        <v>12205239</v>
      </c>
      <c r="F29" s="161">
        <f>+IF($A29="",IF($C29="",SUMIFS(全伝票!J:J,全伝票!$B:$B,$B29),SUMIFS(全伝票!J:J,全伝票!$C:$C,$C29)),IF($C29="",SUMIFS(全伝票!J:J,全伝票!$A:$A,$A29,全伝票!$B:$B,$B29),SUMIFS(全伝票!J:J,全伝票!$A:$A,$A29,全伝票!$C:$C,$C29)))</f>
        <v>0</v>
      </c>
      <c r="G29" s="160">
        <f>+IF($A29="",IF($C29="",SUMIFS(全伝票!K:K,全伝票!$B:$B,$B29),SUMIFS(全伝票!K:K,全伝票!$C:$C,$C29)),IF($C29="",SUMIFS(全伝票!K:K,全伝票!$A:$A,$A29,全伝票!$B:$B,$B29),SUMIFS(全伝票!K:K,全伝票!$A:$A,$A29,全伝票!$C:$C,$C29)))</f>
        <v>0</v>
      </c>
      <c r="H29" s="160">
        <f>+IF($A29="",IF($C29="",SUMIFS(全伝票!L:L,全伝票!$B:$B,$B29),SUMIFS(全伝票!L:L,全伝票!$C:$C,$C29)),IF($C29="",SUMIFS(全伝票!L:L,全伝票!$A:$A,$A29,全伝票!$B:$B,$B29),SUMIFS(全伝票!L:L,全伝票!$A:$A,$A29,全伝票!$C:$C,$C29)))</f>
        <v>0</v>
      </c>
      <c r="I29" s="159">
        <f>+IF($A29="",IF($C29="",SUMIFS(全伝票!M:M,全伝票!$B:$B,$B29),SUMIFS(全伝票!M:M,全伝票!$C:$C,$C29)),IF($C29="",SUMIFS(全伝票!M:M,全伝票!$A:$A,$A29,全伝票!$B:$B,$B29),SUMIFS(全伝票!M:M,全伝票!$A:$A,$A29,全伝票!$C:$C,$C29)))</f>
        <v>0</v>
      </c>
      <c r="J29" s="159">
        <f>+IF($A29="",IF($C29="",SUMIFS(全伝票!N:N,全伝票!$B:$B,$B29),SUMIFS(全伝票!N:N,全伝票!$C:$C,$C29)),IF($C29="",SUMIFS(全伝票!N:N,全伝票!$A:$A,$A29,全伝票!$B:$B,$B29),SUMIFS(全伝票!N:N,全伝票!$A:$A,$A29,全伝票!$C:$C,$C29)))</f>
        <v>10201576</v>
      </c>
      <c r="K29" s="34">
        <f t="shared" si="0"/>
        <v>10201576</v>
      </c>
      <c r="L29" s="158">
        <f>+IF($A29="",IF($C29="",SUMIFS(全伝票!O:O,全伝票!$B:$B,$B29),SUMIFS(全伝票!O:O,全伝票!$C:$C,$C29)),IF($C29="",SUMIFS(全伝票!O:O,全伝票!$A:$A,$A29,全伝票!$B:$B,$B29),SUMIFS(全伝票!O:O,全伝票!$A:$A,$A29,全伝票!$C:$C,$C29)))</f>
        <v>0</v>
      </c>
      <c r="M29" s="158">
        <f>+IF($A29="",IF($C29="",SUMIFS(全伝票!P:P,全伝票!$B:$B,$B29),SUMIFS(全伝票!P:P,全伝票!$C:$C,$C29)),IF($C29="",SUMIFS(全伝票!P:P,全伝票!$A:$A,$A29,全伝票!$B:$B,$B29),SUMIFS(全伝票!P:P,全伝票!$A:$A,$A29,全伝票!$C:$C,$C29)))</f>
        <v>2003663</v>
      </c>
      <c r="N29" s="108">
        <f t="shared" si="1"/>
        <v>0</v>
      </c>
      <c r="O29" s="25">
        <f t="shared" si="3"/>
        <v>0</v>
      </c>
      <c r="P29" s="25">
        <f t="shared" si="2"/>
        <v>0</v>
      </c>
      <c r="Q29" s="157">
        <f t="shared" si="3"/>
        <v>0</v>
      </c>
      <c r="R29" s="157">
        <f t="shared" si="4"/>
        <v>927416</v>
      </c>
      <c r="S29" s="22">
        <f t="shared" si="5"/>
        <v>927416</v>
      </c>
      <c r="T29" s="109">
        <f t="shared" si="6"/>
        <v>11277823</v>
      </c>
      <c r="U29" s="107">
        <f t="shared" si="7"/>
        <v>0</v>
      </c>
      <c r="V29" s="107">
        <f t="shared" si="8"/>
        <v>0</v>
      </c>
      <c r="W29" s="107">
        <f t="shared" si="9"/>
        <v>0</v>
      </c>
      <c r="X29" s="107">
        <f t="shared" si="9"/>
        <v>0</v>
      </c>
      <c r="Y29" s="107">
        <f t="shared" si="10"/>
        <v>0</v>
      </c>
      <c r="Z29" s="106">
        <f t="shared" si="11"/>
        <v>0</v>
      </c>
      <c r="AA29" s="106">
        <f t="shared" si="12"/>
        <v>0</v>
      </c>
      <c r="AB29" s="106">
        <f t="shared" si="13"/>
        <v>0</v>
      </c>
      <c r="AC29" s="106">
        <f t="shared" si="13"/>
        <v>0</v>
      </c>
      <c r="AD29" s="106">
        <f t="shared" si="14"/>
        <v>0</v>
      </c>
    </row>
    <row r="30" spans="1:30">
      <c r="A30" s="165">
        <v>1</v>
      </c>
      <c r="B30" s="164" t="s">
        <v>152</v>
      </c>
      <c r="C30" s="163"/>
      <c r="D30" s="162" t="s">
        <v>60</v>
      </c>
      <c r="E30" s="158">
        <f>+IF($A30="",IF($C30="",SUMIFS(全伝票!I:I,全伝票!$B:$B,$B30),SUMIFS(全伝票!I:I,全伝票!$C:$C,$C30)),IF($C30="",SUMIFS(全伝票!I:I,全伝票!$A:$A,$A30,全伝票!$B:$B,$B30),SUMIFS(全伝票!I:I,全伝票!$A:$A,$A30,全伝票!$C:$C,$C30)))</f>
        <v>0</v>
      </c>
      <c r="F30" s="161">
        <f>+IF($A30="",IF($C30="",SUMIFS(全伝票!J:J,全伝票!$B:$B,$B30),SUMIFS(全伝票!J:J,全伝票!$C:$C,$C30)),IF($C30="",SUMIFS(全伝票!J:J,全伝票!$A:$A,$A30,全伝票!$B:$B,$B30),SUMIFS(全伝票!J:J,全伝票!$A:$A,$A30,全伝票!$C:$C,$C30)))</f>
        <v>0</v>
      </c>
      <c r="G30" s="160">
        <f>+IF($A30="",IF($C30="",SUMIFS(全伝票!K:K,全伝票!$B:$B,$B30),SUMIFS(全伝票!K:K,全伝票!$C:$C,$C30)),IF($C30="",SUMIFS(全伝票!K:K,全伝票!$A:$A,$A30,全伝票!$B:$B,$B30),SUMIFS(全伝票!K:K,全伝票!$A:$A,$A30,全伝票!$C:$C,$C30)))</f>
        <v>0</v>
      </c>
      <c r="H30" s="160">
        <f>+IF($A30="",IF($C30="",SUMIFS(全伝票!L:L,全伝票!$B:$B,$B30),SUMIFS(全伝票!L:L,全伝票!$C:$C,$C30)),IF($C30="",SUMIFS(全伝票!L:L,全伝票!$A:$A,$A30,全伝票!$B:$B,$B30),SUMIFS(全伝票!L:L,全伝票!$A:$A,$A30,全伝票!$C:$C,$C30)))</f>
        <v>0</v>
      </c>
      <c r="I30" s="159">
        <f>+IF($A30="",IF($C30="",SUMIFS(全伝票!M:M,全伝票!$B:$B,$B30),SUMIFS(全伝票!M:M,全伝票!$C:$C,$C30)),IF($C30="",SUMIFS(全伝票!M:M,全伝票!$A:$A,$A30,全伝票!$B:$B,$B30),SUMIFS(全伝票!M:M,全伝票!$A:$A,$A30,全伝票!$C:$C,$C30)))</f>
        <v>0</v>
      </c>
      <c r="J30" s="159">
        <f>+IF($A30="",IF($C30="",SUMIFS(全伝票!N:N,全伝票!$B:$B,$B30),SUMIFS(全伝票!N:N,全伝票!$C:$C,$C30)),IF($C30="",SUMIFS(全伝票!N:N,全伝票!$A:$A,$A30,全伝票!$B:$B,$B30),SUMIFS(全伝票!N:N,全伝票!$A:$A,$A30,全伝票!$C:$C,$C30)))</f>
        <v>0</v>
      </c>
      <c r="K30" s="34">
        <f t="shared" si="0"/>
        <v>0</v>
      </c>
      <c r="L30" s="158">
        <f>+IF($A30="",IF($C30="",SUMIFS(全伝票!O:O,全伝票!$B:$B,$B30),SUMIFS(全伝票!O:O,全伝票!$C:$C,$C30)),IF($C30="",SUMIFS(全伝票!O:O,全伝票!$A:$A,$A30,全伝票!$B:$B,$B30),SUMIFS(全伝票!O:O,全伝票!$A:$A,$A30,全伝票!$C:$C,$C30)))</f>
        <v>0</v>
      </c>
      <c r="M30" s="158">
        <f>+IF($A30="",IF($C30="",SUMIFS(全伝票!P:P,全伝票!$B:$B,$B30),SUMIFS(全伝票!P:P,全伝票!$C:$C,$C30)),IF($C30="",SUMIFS(全伝票!P:P,全伝票!$A:$A,$A30,全伝票!$B:$B,$B30),SUMIFS(全伝票!P:P,全伝票!$A:$A,$A30,全伝票!$C:$C,$C30)))</f>
        <v>0</v>
      </c>
      <c r="N30" s="108">
        <f t="shared" si="1"/>
        <v>0</v>
      </c>
      <c r="O30" s="25">
        <f t="shared" si="3"/>
        <v>0</v>
      </c>
      <c r="P30" s="25">
        <f t="shared" si="2"/>
        <v>0</v>
      </c>
      <c r="Q30" s="157">
        <f t="shared" si="3"/>
        <v>0</v>
      </c>
      <c r="R30" s="157">
        <f t="shared" si="4"/>
        <v>0</v>
      </c>
      <c r="S30" s="22">
        <f t="shared" si="5"/>
        <v>0</v>
      </c>
      <c r="T30" s="109">
        <f t="shared" si="6"/>
        <v>0</v>
      </c>
      <c r="U30" s="107">
        <f t="shared" si="7"/>
        <v>0</v>
      </c>
      <c r="V30" s="107">
        <f t="shared" si="8"/>
        <v>0</v>
      </c>
      <c r="W30" s="107">
        <f t="shared" si="9"/>
        <v>0</v>
      </c>
      <c r="X30" s="107">
        <f t="shared" si="9"/>
        <v>0</v>
      </c>
      <c r="Y30" s="107">
        <f t="shared" si="10"/>
        <v>0</v>
      </c>
      <c r="Z30" s="106">
        <f t="shared" si="11"/>
        <v>0</v>
      </c>
      <c r="AA30" s="106">
        <f t="shared" si="12"/>
        <v>0</v>
      </c>
      <c r="AB30" s="106">
        <f t="shared" si="13"/>
        <v>0</v>
      </c>
      <c r="AC30" s="106">
        <f t="shared" si="13"/>
        <v>0</v>
      </c>
      <c r="AD30" s="106">
        <f t="shared" si="14"/>
        <v>0</v>
      </c>
    </row>
    <row r="31" spans="1:30">
      <c r="A31" s="165">
        <v>1</v>
      </c>
      <c r="B31" s="164" t="s">
        <v>151</v>
      </c>
      <c r="C31" s="163"/>
      <c r="D31" s="162" t="s">
        <v>58</v>
      </c>
      <c r="E31" s="158">
        <f>+IF($A31="",IF($C31="",SUMIFS(全伝票!I:I,全伝票!$B:$B,$B31),SUMIFS(全伝票!I:I,全伝票!$C:$C,$C31)),IF($C31="",SUMIFS(全伝票!I:I,全伝票!$A:$A,$A31,全伝票!$B:$B,$B31),SUMIFS(全伝票!I:I,全伝票!$A:$A,$A31,全伝票!$C:$C,$C31)))</f>
        <v>819427</v>
      </c>
      <c r="F31" s="161">
        <f>+IF($A31="",IF($C31="",SUMIFS(全伝票!J:J,全伝票!$B:$B,$B31),SUMIFS(全伝票!J:J,全伝票!$C:$C,$C31)),IF($C31="",SUMIFS(全伝票!J:J,全伝票!$A:$A,$A31,全伝票!$B:$B,$B31),SUMIFS(全伝票!J:J,全伝票!$A:$A,$A31,全伝票!$C:$C,$C31)))</f>
        <v>0</v>
      </c>
      <c r="G31" s="160">
        <f>+IF($A31="",IF($C31="",SUMIFS(全伝票!K:K,全伝票!$B:$B,$B31),SUMIFS(全伝票!K:K,全伝票!$C:$C,$C31)),IF($C31="",SUMIFS(全伝票!K:K,全伝票!$A:$A,$A31,全伝票!$B:$B,$B31),SUMIFS(全伝票!K:K,全伝票!$A:$A,$A31,全伝票!$C:$C,$C31)))</f>
        <v>0</v>
      </c>
      <c r="H31" s="160">
        <f>+IF($A31="",IF($C31="",SUMIFS(全伝票!L:L,全伝票!$B:$B,$B31),SUMIFS(全伝票!L:L,全伝票!$C:$C,$C31)),IF($C31="",SUMIFS(全伝票!L:L,全伝票!$A:$A,$A31,全伝票!$B:$B,$B31),SUMIFS(全伝票!L:L,全伝票!$A:$A,$A31,全伝票!$C:$C,$C31)))</f>
        <v>0</v>
      </c>
      <c r="I31" s="159">
        <f>+IF($A31="",IF($C31="",SUMIFS(全伝票!M:M,全伝票!$B:$B,$B31),SUMIFS(全伝票!M:M,全伝票!$C:$C,$C31)),IF($C31="",SUMIFS(全伝票!M:M,全伝票!$A:$A,$A31,全伝票!$B:$B,$B31),SUMIFS(全伝票!M:M,全伝票!$A:$A,$A31,全伝票!$C:$C,$C31)))</f>
        <v>0</v>
      </c>
      <c r="J31" s="159">
        <f>+IF($A31="",IF($C31="",SUMIFS(全伝票!N:N,全伝票!$B:$B,$B31),SUMIFS(全伝票!N:N,全伝票!$C:$C,$C31)),IF($C31="",SUMIFS(全伝票!N:N,全伝票!$A:$A,$A31,全伝票!$B:$B,$B31),SUMIFS(全伝票!N:N,全伝票!$A:$A,$A31,全伝票!$C:$C,$C31)))</f>
        <v>0</v>
      </c>
      <c r="K31" s="34">
        <f t="shared" si="0"/>
        <v>0</v>
      </c>
      <c r="L31" s="158">
        <f>+IF($A31="",IF($C31="",SUMIFS(全伝票!O:O,全伝票!$B:$B,$B31),SUMIFS(全伝票!O:O,全伝票!$C:$C,$C31)),IF($C31="",SUMIFS(全伝票!O:O,全伝票!$A:$A,$A31,全伝票!$B:$B,$B31),SUMIFS(全伝票!O:O,全伝票!$A:$A,$A31,全伝票!$C:$C,$C31)))</f>
        <v>819427</v>
      </c>
      <c r="M31" s="158">
        <f>+IF($A31="",IF($C31="",SUMIFS(全伝票!P:P,全伝票!$B:$B,$B31),SUMIFS(全伝票!P:P,全伝票!$C:$C,$C31)),IF($C31="",SUMIFS(全伝票!P:P,全伝票!$A:$A,$A31,全伝票!$B:$B,$B31),SUMIFS(全伝票!P:P,全伝票!$A:$A,$A31,全伝票!$C:$C,$C31)))</f>
        <v>0</v>
      </c>
      <c r="N31" s="108">
        <f t="shared" si="1"/>
        <v>0</v>
      </c>
      <c r="O31" s="25">
        <f t="shared" si="3"/>
        <v>0</v>
      </c>
      <c r="P31" s="25">
        <f t="shared" si="2"/>
        <v>0</v>
      </c>
      <c r="Q31" s="157">
        <f t="shared" si="3"/>
        <v>0</v>
      </c>
      <c r="R31" s="157">
        <f t="shared" si="4"/>
        <v>0</v>
      </c>
      <c r="S31" s="22">
        <f t="shared" si="5"/>
        <v>0</v>
      </c>
      <c r="T31" s="109">
        <f t="shared" si="6"/>
        <v>819427</v>
      </c>
      <c r="U31" s="107">
        <f t="shared" si="7"/>
        <v>0</v>
      </c>
      <c r="V31" s="107">
        <f t="shared" si="8"/>
        <v>0</v>
      </c>
      <c r="W31" s="107">
        <f t="shared" si="9"/>
        <v>0</v>
      </c>
      <c r="X31" s="107">
        <f t="shared" si="9"/>
        <v>0</v>
      </c>
      <c r="Y31" s="107">
        <f t="shared" si="10"/>
        <v>0</v>
      </c>
      <c r="Z31" s="106">
        <f t="shared" si="11"/>
        <v>0</v>
      </c>
      <c r="AA31" s="106">
        <f t="shared" si="12"/>
        <v>0</v>
      </c>
      <c r="AB31" s="106">
        <f t="shared" si="13"/>
        <v>0</v>
      </c>
      <c r="AC31" s="106">
        <f t="shared" si="13"/>
        <v>0</v>
      </c>
      <c r="AD31" s="106">
        <f t="shared" si="14"/>
        <v>0</v>
      </c>
    </row>
    <row r="32" spans="1:30">
      <c r="A32" s="165">
        <v>1</v>
      </c>
      <c r="B32" s="164" t="s">
        <v>150</v>
      </c>
      <c r="C32" s="163"/>
      <c r="D32" s="162" t="s">
        <v>56</v>
      </c>
      <c r="E32" s="158">
        <f>+IF($A32="",IF($C32="",SUMIFS(全伝票!I:I,全伝票!$B:$B,$B32),SUMIFS(全伝票!I:I,全伝票!$C:$C,$C32)),IF($C32="",SUMIFS(全伝票!I:I,全伝票!$A:$A,$A32,全伝票!$B:$B,$B32),SUMIFS(全伝票!I:I,全伝票!$A:$A,$A32,全伝票!$C:$C,$C32)))</f>
        <v>311782</v>
      </c>
      <c r="F32" s="161">
        <f>+IF($A32="",IF($C32="",SUMIFS(全伝票!J:J,全伝票!$B:$B,$B32),SUMIFS(全伝票!J:J,全伝票!$C:$C,$C32)),IF($C32="",SUMIFS(全伝票!J:J,全伝票!$A:$A,$A32,全伝票!$B:$B,$B32),SUMIFS(全伝票!J:J,全伝票!$A:$A,$A32,全伝票!$C:$C,$C32)))</f>
        <v>0</v>
      </c>
      <c r="G32" s="160">
        <f>+IF($A32="",IF($C32="",SUMIFS(全伝票!K:K,全伝票!$B:$B,$B32),SUMIFS(全伝票!K:K,全伝票!$C:$C,$C32)),IF($C32="",SUMIFS(全伝票!K:K,全伝票!$A:$A,$A32,全伝票!$B:$B,$B32),SUMIFS(全伝票!K:K,全伝票!$A:$A,$A32,全伝票!$C:$C,$C32)))</f>
        <v>0</v>
      </c>
      <c r="H32" s="160">
        <f>+IF($A32="",IF($C32="",SUMIFS(全伝票!L:L,全伝票!$B:$B,$B32),SUMIFS(全伝票!L:L,全伝票!$C:$C,$C32)),IF($C32="",SUMIFS(全伝票!L:L,全伝票!$A:$A,$A32,全伝票!$B:$B,$B32),SUMIFS(全伝票!L:L,全伝票!$A:$A,$A32,全伝票!$C:$C,$C32)))</f>
        <v>0</v>
      </c>
      <c r="I32" s="159">
        <f>+IF($A32="",IF($C32="",SUMIFS(全伝票!M:M,全伝票!$B:$B,$B32),SUMIFS(全伝票!M:M,全伝票!$C:$C,$C32)),IF($C32="",SUMIFS(全伝票!M:M,全伝票!$A:$A,$A32,全伝票!$B:$B,$B32),SUMIFS(全伝票!M:M,全伝票!$A:$A,$A32,全伝票!$C:$C,$C32)))</f>
        <v>0</v>
      </c>
      <c r="J32" s="159">
        <f>+IF($A32="",IF($C32="",SUMIFS(全伝票!N:N,全伝票!$B:$B,$B32),SUMIFS(全伝票!N:N,全伝票!$C:$C,$C32)),IF($C32="",SUMIFS(全伝票!N:N,全伝票!$A:$A,$A32,全伝票!$B:$B,$B32),SUMIFS(全伝票!N:N,全伝票!$A:$A,$A32,全伝票!$C:$C,$C32)))</f>
        <v>0</v>
      </c>
      <c r="K32" s="34">
        <f t="shared" si="0"/>
        <v>0</v>
      </c>
      <c r="L32" s="158">
        <f>+IF($A32="",IF($C32="",SUMIFS(全伝票!O:O,全伝票!$B:$B,$B32),SUMIFS(全伝票!O:O,全伝票!$C:$C,$C32)),IF($C32="",SUMIFS(全伝票!O:O,全伝票!$A:$A,$A32,全伝票!$B:$B,$B32),SUMIFS(全伝票!O:O,全伝票!$A:$A,$A32,全伝票!$C:$C,$C32)))</f>
        <v>0</v>
      </c>
      <c r="M32" s="158">
        <f>+IF($A32="",IF($C32="",SUMIFS(全伝票!P:P,全伝票!$B:$B,$B32),SUMIFS(全伝票!P:P,全伝票!$C:$C,$C32)),IF($C32="",SUMIFS(全伝票!P:P,全伝票!$A:$A,$A32,全伝票!$B:$B,$B32),SUMIFS(全伝票!P:P,全伝票!$A:$A,$A32,全伝票!$C:$C,$C32)))</f>
        <v>311782</v>
      </c>
      <c r="N32" s="108">
        <f t="shared" si="1"/>
        <v>0</v>
      </c>
      <c r="O32" s="25">
        <f t="shared" si="3"/>
        <v>0</v>
      </c>
      <c r="P32" s="25">
        <f t="shared" si="2"/>
        <v>0</v>
      </c>
      <c r="Q32" s="157">
        <f t="shared" si="3"/>
        <v>0</v>
      </c>
      <c r="R32" s="157">
        <f t="shared" si="4"/>
        <v>0</v>
      </c>
      <c r="S32" s="22">
        <f t="shared" si="5"/>
        <v>0</v>
      </c>
      <c r="T32" s="109">
        <f t="shared" si="6"/>
        <v>311782</v>
      </c>
      <c r="U32" s="107">
        <f t="shared" si="7"/>
        <v>0</v>
      </c>
      <c r="V32" s="107">
        <f t="shared" si="8"/>
        <v>0</v>
      </c>
      <c r="W32" s="107">
        <f t="shared" si="9"/>
        <v>0</v>
      </c>
      <c r="X32" s="107">
        <f t="shared" si="9"/>
        <v>0</v>
      </c>
      <c r="Y32" s="107">
        <f t="shared" si="10"/>
        <v>0</v>
      </c>
      <c r="Z32" s="106">
        <f t="shared" si="11"/>
        <v>0</v>
      </c>
      <c r="AA32" s="106">
        <f t="shared" si="12"/>
        <v>0</v>
      </c>
      <c r="AB32" s="106">
        <f t="shared" si="13"/>
        <v>0</v>
      </c>
      <c r="AC32" s="106">
        <f t="shared" si="13"/>
        <v>0</v>
      </c>
      <c r="AD32" s="106">
        <f t="shared" si="14"/>
        <v>0</v>
      </c>
    </row>
    <row r="33" spans="1:30">
      <c r="A33" s="165">
        <v>1</v>
      </c>
      <c r="B33" s="164" t="s">
        <v>171</v>
      </c>
      <c r="C33" s="163">
        <v>883061003</v>
      </c>
      <c r="D33" s="162" t="s">
        <v>609</v>
      </c>
      <c r="E33" s="158">
        <f>+IF($A33="",IF($C33="",SUMIFS(全伝票!I:I,全伝票!$B:$B,$B33),SUMIFS(全伝票!I:I,全伝票!$C:$C,$C33)),IF($C33="",SUMIFS(全伝票!I:I,全伝票!$A:$A,$A33,全伝票!$B:$B,$B33),SUMIFS(全伝票!I:I,全伝票!$A:$A,$A33,全伝票!$C:$C,$C33)))</f>
        <v>153600</v>
      </c>
      <c r="F33" s="161">
        <f>+IF($A33="",IF($C33="",SUMIFS(全伝票!J:J,全伝票!$B:$B,$B33),SUMIFS(全伝票!J:J,全伝票!$C:$C,$C33)),IF($C33="",SUMIFS(全伝票!J:J,全伝票!$A:$A,$A33,全伝票!$B:$B,$B33),SUMIFS(全伝票!J:J,全伝票!$A:$A,$A33,全伝票!$C:$C,$C33)))</f>
        <v>0</v>
      </c>
      <c r="G33" s="160">
        <f>+IF($A33="",IF($C33="",SUMIFS(全伝票!K:K,全伝票!$B:$B,$B33),SUMIFS(全伝票!K:K,全伝票!$C:$C,$C33)),IF($C33="",SUMIFS(全伝票!K:K,全伝票!$A:$A,$A33,全伝票!$B:$B,$B33),SUMIFS(全伝票!K:K,全伝票!$A:$A,$A33,全伝票!$C:$C,$C33)))</f>
        <v>0</v>
      </c>
      <c r="H33" s="160">
        <f>+IF($A33="",IF($C33="",SUMIFS(全伝票!L:L,全伝票!$B:$B,$B33),SUMIFS(全伝票!L:L,全伝票!$C:$C,$C33)),IF($C33="",SUMIFS(全伝票!L:L,全伝票!$A:$A,$A33,全伝票!$B:$B,$B33),SUMIFS(全伝票!L:L,全伝票!$A:$A,$A33,全伝票!$C:$C,$C33)))</f>
        <v>0</v>
      </c>
      <c r="I33" s="159">
        <f>+IF($A33="",IF($C33="",SUMIFS(全伝票!M:M,全伝票!$B:$B,$B33),SUMIFS(全伝票!M:M,全伝票!$C:$C,$C33)),IF($C33="",SUMIFS(全伝票!M:M,全伝票!$A:$A,$A33,全伝票!$B:$B,$B33),SUMIFS(全伝票!M:M,全伝票!$A:$A,$A33,全伝票!$C:$C,$C33)))</f>
        <v>0</v>
      </c>
      <c r="J33" s="159">
        <f>+IF($A33="",IF($C33="",SUMIFS(全伝票!N:N,全伝票!$B:$B,$B33),SUMIFS(全伝票!N:N,全伝票!$C:$C,$C33)),IF($C33="",SUMIFS(全伝票!N:N,全伝票!$A:$A,$A33,全伝票!$B:$B,$B33),SUMIFS(全伝票!N:N,全伝票!$A:$A,$A33,全伝票!$C:$C,$C33)))</f>
        <v>153600</v>
      </c>
      <c r="K33" s="34">
        <f t="shared" si="0"/>
        <v>153600</v>
      </c>
      <c r="L33" s="158">
        <f>+IF($A33="",IF($C33="",SUMIFS(全伝票!O:O,全伝票!$B:$B,$B33),SUMIFS(全伝票!O:O,全伝票!$C:$C,$C33)),IF($C33="",SUMIFS(全伝票!O:O,全伝票!$A:$A,$A33,全伝票!$B:$B,$B33),SUMIFS(全伝票!O:O,全伝票!$A:$A,$A33,全伝票!$C:$C,$C33)))</f>
        <v>0</v>
      </c>
      <c r="M33" s="158">
        <f>+IF($A33="",IF($C33="",SUMIFS(全伝票!P:P,全伝票!$B:$B,$B33),SUMIFS(全伝票!P:P,全伝票!$C:$C,$C33)),IF($C33="",SUMIFS(全伝票!P:P,全伝票!$A:$A,$A33,全伝票!$B:$B,$B33),SUMIFS(全伝票!P:P,全伝票!$A:$A,$A33,全伝票!$C:$C,$C33)))</f>
        <v>0</v>
      </c>
      <c r="N33" s="108">
        <f t="shared" si="1"/>
        <v>0</v>
      </c>
      <c r="O33" s="25">
        <f t="shared" si="3"/>
        <v>0</v>
      </c>
      <c r="P33" s="25">
        <f t="shared" si="2"/>
        <v>0</v>
      </c>
      <c r="Q33" s="157">
        <f t="shared" si="3"/>
        <v>0</v>
      </c>
      <c r="R33" s="157">
        <f t="shared" si="4"/>
        <v>13964</v>
      </c>
      <c r="S33" s="22">
        <f t="shared" si="5"/>
        <v>13964</v>
      </c>
      <c r="T33" s="109">
        <f t="shared" si="6"/>
        <v>139636</v>
      </c>
      <c r="U33" s="107">
        <f t="shared" si="7"/>
        <v>0</v>
      </c>
      <c r="V33" s="107">
        <f t="shared" si="8"/>
        <v>0</v>
      </c>
      <c r="W33" s="107">
        <f t="shared" si="9"/>
        <v>0</v>
      </c>
      <c r="X33" s="107">
        <f t="shared" si="9"/>
        <v>0</v>
      </c>
      <c r="Y33" s="107">
        <f t="shared" si="10"/>
        <v>0.36363636363603291</v>
      </c>
      <c r="Z33" s="106">
        <f t="shared" si="11"/>
        <v>0</v>
      </c>
      <c r="AA33" s="106">
        <f t="shared" si="12"/>
        <v>0</v>
      </c>
      <c r="AB33" s="106">
        <f t="shared" si="13"/>
        <v>0</v>
      </c>
      <c r="AC33" s="106">
        <f t="shared" si="13"/>
        <v>0</v>
      </c>
      <c r="AD33" s="106">
        <f t="shared" si="14"/>
        <v>0</v>
      </c>
    </row>
    <row r="34" spans="1:30">
      <c r="A34" s="165">
        <v>1</v>
      </c>
      <c r="B34" s="164" t="s">
        <v>149</v>
      </c>
      <c r="C34" s="163"/>
      <c r="D34" s="162" t="s">
        <v>53</v>
      </c>
      <c r="E34" s="158">
        <f>+IF($A34="",IF($C34="",SUMIFS(全伝票!I:I,全伝票!$B:$B,$B34),SUMIFS(全伝票!I:I,全伝票!$C:$C,$C34)),IF($C34="",SUMIFS(全伝票!I:I,全伝票!$A:$A,$A34,全伝票!$B:$B,$B34),SUMIFS(全伝票!I:I,全伝票!$A:$A,$A34,全伝票!$C:$C,$C34)))</f>
        <v>63193000</v>
      </c>
      <c r="F34" s="161">
        <f>+IF($A34="",IF($C34="",SUMIFS(全伝票!J:J,全伝票!$B:$B,$B34),SUMIFS(全伝票!J:J,全伝票!$C:$C,$C34)),IF($C34="",SUMIFS(全伝票!J:J,全伝票!$A:$A,$A34,全伝票!$B:$B,$B34),SUMIFS(全伝票!J:J,全伝票!$A:$A,$A34,全伝票!$C:$C,$C34)))</f>
        <v>0</v>
      </c>
      <c r="G34" s="160">
        <f>+IF($A34="",IF($C34="",SUMIFS(全伝票!K:K,全伝票!$B:$B,$B34),SUMIFS(全伝票!K:K,全伝票!$C:$C,$C34)),IF($C34="",SUMIFS(全伝票!K:K,全伝票!$A:$A,$A34,全伝票!$B:$B,$B34),SUMIFS(全伝票!K:K,全伝票!$A:$A,$A34,全伝票!$C:$C,$C34)))</f>
        <v>0</v>
      </c>
      <c r="H34" s="160">
        <f>+IF($A34="",IF($C34="",SUMIFS(全伝票!L:L,全伝票!$B:$B,$B34),SUMIFS(全伝票!L:L,全伝票!$C:$C,$C34)),IF($C34="",SUMIFS(全伝票!L:L,全伝票!$A:$A,$A34,全伝票!$B:$B,$B34),SUMIFS(全伝票!L:L,全伝票!$A:$A,$A34,全伝票!$C:$C,$C34)))</f>
        <v>0</v>
      </c>
      <c r="I34" s="159">
        <f>+IF($A34="",IF($C34="",SUMIFS(全伝票!M:M,全伝票!$B:$B,$B34),SUMIFS(全伝票!M:M,全伝票!$C:$C,$C34)),IF($C34="",SUMIFS(全伝票!M:M,全伝票!$A:$A,$A34,全伝票!$B:$B,$B34),SUMIFS(全伝票!M:M,全伝票!$A:$A,$A34,全伝票!$C:$C,$C34)))</f>
        <v>0</v>
      </c>
      <c r="J34" s="159">
        <f>+IF($A34="",IF($C34="",SUMIFS(全伝票!N:N,全伝票!$B:$B,$B34),SUMIFS(全伝票!N:N,全伝票!$C:$C,$C34)),IF($C34="",SUMIFS(全伝票!N:N,全伝票!$A:$A,$A34,全伝票!$B:$B,$B34),SUMIFS(全伝票!N:N,全伝票!$A:$A,$A34,全伝票!$C:$C,$C34)))</f>
        <v>0</v>
      </c>
      <c r="K34" s="34">
        <f t="shared" si="0"/>
        <v>0</v>
      </c>
      <c r="L34" s="158">
        <f>+IF($A34="",IF($C34="",SUMIFS(全伝票!O:O,全伝票!$B:$B,$B34),SUMIFS(全伝票!O:O,全伝票!$C:$C,$C34)),IF($C34="",SUMIFS(全伝票!O:O,全伝票!$A:$A,$A34,全伝票!$B:$B,$B34),SUMIFS(全伝票!O:O,全伝票!$A:$A,$A34,全伝票!$C:$C,$C34)))</f>
        <v>0</v>
      </c>
      <c r="M34" s="158">
        <f>+IF($A34="",IF($C34="",SUMIFS(全伝票!P:P,全伝票!$B:$B,$B34),SUMIFS(全伝票!P:P,全伝票!$C:$C,$C34)),IF($C34="",SUMIFS(全伝票!P:P,全伝票!$A:$A,$A34,全伝票!$B:$B,$B34),SUMIFS(全伝票!P:P,全伝票!$A:$A,$A34,全伝票!$C:$C,$C34)))</f>
        <v>63193000</v>
      </c>
      <c r="N34" s="108">
        <f t="shared" si="1"/>
        <v>0</v>
      </c>
      <c r="O34" s="25">
        <f t="shared" si="3"/>
        <v>0</v>
      </c>
      <c r="P34" s="25">
        <f t="shared" si="2"/>
        <v>0</v>
      </c>
      <c r="Q34" s="157">
        <f t="shared" si="3"/>
        <v>0</v>
      </c>
      <c r="R34" s="157">
        <f t="shared" si="4"/>
        <v>0</v>
      </c>
      <c r="S34" s="22">
        <f t="shared" si="5"/>
        <v>0</v>
      </c>
      <c r="T34" s="109">
        <f t="shared" si="6"/>
        <v>63193000</v>
      </c>
      <c r="U34" s="107">
        <f t="shared" si="7"/>
        <v>0</v>
      </c>
      <c r="V34" s="107">
        <f t="shared" si="8"/>
        <v>0</v>
      </c>
      <c r="W34" s="107">
        <f t="shared" si="9"/>
        <v>0</v>
      </c>
      <c r="X34" s="107">
        <f t="shared" si="9"/>
        <v>0</v>
      </c>
      <c r="Y34" s="107">
        <f t="shared" si="10"/>
        <v>0</v>
      </c>
      <c r="Z34" s="106">
        <f t="shared" si="11"/>
        <v>0</v>
      </c>
      <c r="AA34" s="106">
        <f t="shared" si="12"/>
        <v>0</v>
      </c>
      <c r="AB34" s="106">
        <f t="shared" si="13"/>
        <v>0</v>
      </c>
      <c r="AC34" s="106">
        <f t="shared" si="13"/>
        <v>0</v>
      </c>
      <c r="AD34" s="106">
        <f t="shared" si="14"/>
        <v>0</v>
      </c>
    </row>
    <row r="35" spans="1:30" ht="14.25" thickBot="1">
      <c r="A35" s="165"/>
      <c r="B35" s="164" t="s">
        <v>148</v>
      </c>
      <c r="C35" s="163"/>
      <c r="D35" s="162" t="s">
        <v>51</v>
      </c>
      <c r="E35" s="158">
        <f>+IF($A35="",IF($C35="",SUMIFS(全伝票!I:I,全伝票!$B:$B,$B35),SUMIFS(全伝票!I:I,全伝票!$C:$C,$C35)),IF($C35="",SUMIFS(全伝票!I:I,全伝票!$A:$A,$A35,全伝票!$B:$B,$B35),SUMIFS(全伝票!I:I,全伝票!$A:$A,$A35,全伝票!$C:$C,$C35)))</f>
        <v>0</v>
      </c>
      <c r="F35" s="161">
        <f>+IF($A35="",IF($C35="",SUMIFS(全伝票!J:J,全伝票!$B:$B,$B35),SUMIFS(全伝票!J:J,全伝票!$C:$C,$C35)),IF($C35="",SUMIFS(全伝票!J:J,全伝票!$A:$A,$A35,全伝票!$B:$B,$B35),SUMIFS(全伝票!J:J,全伝票!$A:$A,$A35,全伝票!$C:$C,$C35)))</f>
        <v>0</v>
      </c>
      <c r="G35" s="160">
        <f>+IF($A35="",IF($C35="",SUMIFS(全伝票!K:K,全伝票!$B:$B,$B35),SUMIFS(全伝票!K:K,全伝票!$C:$C,$C35)),IF($C35="",SUMIFS(全伝票!K:K,全伝票!$A:$A,$A35,全伝票!$B:$B,$B35),SUMIFS(全伝票!K:K,全伝票!$A:$A,$A35,全伝票!$C:$C,$C35)))</f>
        <v>0</v>
      </c>
      <c r="H35" s="160">
        <f>+IF($A35="",IF($C35="",SUMIFS(全伝票!L:L,全伝票!$B:$B,$B35),SUMIFS(全伝票!L:L,全伝票!$C:$C,$C35)),IF($C35="",SUMIFS(全伝票!L:L,全伝票!$A:$A,$A35,全伝票!$B:$B,$B35),SUMIFS(全伝票!L:L,全伝票!$A:$A,$A35,全伝票!$C:$C,$C35)))</f>
        <v>0</v>
      </c>
      <c r="I35" s="159">
        <f>+IF($A35="",IF($C35="",SUMIFS(全伝票!M:M,全伝票!$B:$B,$B35),SUMIFS(全伝票!M:M,全伝票!$C:$C,$C35)),IF($C35="",SUMIFS(全伝票!M:M,全伝票!$A:$A,$A35,全伝票!$B:$B,$B35),SUMIFS(全伝票!M:M,全伝票!$A:$A,$A35,全伝票!$C:$C,$C35)))</f>
        <v>0</v>
      </c>
      <c r="J35" s="159">
        <f>+IF($A35="",IF($C35="",SUMIFS(全伝票!N:N,全伝票!$B:$B,$B35),SUMIFS(全伝票!N:N,全伝票!$C:$C,$C35)),IF($C35="",SUMIFS(全伝票!N:N,全伝票!$A:$A,$A35,全伝票!$B:$B,$B35),SUMIFS(全伝票!N:N,全伝票!$A:$A,$A35,全伝票!$C:$C,$C35)))</f>
        <v>0</v>
      </c>
      <c r="K35" s="34">
        <f t="shared" si="0"/>
        <v>0</v>
      </c>
      <c r="L35" s="158">
        <f>+IF($A35="",IF($C35="",SUMIFS(全伝票!O:O,全伝票!$B:$B,$B35),SUMIFS(全伝票!O:O,全伝票!$C:$C,$C35)),IF($C35="",SUMIFS(全伝票!O:O,全伝票!$A:$A,$A35,全伝票!$B:$B,$B35),SUMIFS(全伝票!O:O,全伝票!$A:$A,$A35,全伝票!$C:$C,$C35)))</f>
        <v>0</v>
      </c>
      <c r="M35" s="158">
        <f>+IF($A35="",IF($C35="",SUMIFS(全伝票!P:P,全伝票!$B:$B,$B35),SUMIFS(全伝票!P:P,全伝票!$C:$C,$C35)),IF($C35="",SUMIFS(全伝票!P:P,全伝票!$A:$A,$A35,全伝票!$B:$B,$B35),SUMIFS(全伝票!P:P,全伝票!$A:$A,$A35,全伝票!$C:$C,$C35)))</f>
        <v>0</v>
      </c>
      <c r="N35" s="108">
        <f t="shared" si="1"/>
        <v>0</v>
      </c>
      <c r="O35" s="25">
        <f t="shared" si="3"/>
        <v>0</v>
      </c>
      <c r="P35" s="25">
        <f t="shared" si="2"/>
        <v>0</v>
      </c>
      <c r="Q35" s="157">
        <f t="shared" si="3"/>
        <v>0</v>
      </c>
      <c r="R35" s="157">
        <f t="shared" si="4"/>
        <v>0</v>
      </c>
      <c r="S35" s="22">
        <f t="shared" si="5"/>
        <v>0</v>
      </c>
      <c r="T35" s="109">
        <f t="shared" si="6"/>
        <v>0</v>
      </c>
      <c r="U35" s="107">
        <f t="shared" si="7"/>
        <v>0</v>
      </c>
      <c r="V35" s="107">
        <f t="shared" si="8"/>
        <v>0</v>
      </c>
      <c r="W35" s="107">
        <f t="shared" si="9"/>
        <v>0</v>
      </c>
      <c r="X35" s="107">
        <f t="shared" si="9"/>
        <v>0</v>
      </c>
      <c r="Y35" s="107">
        <f t="shared" si="10"/>
        <v>0</v>
      </c>
      <c r="Z35" s="106">
        <f t="shared" si="11"/>
        <v>0</v>
      </c>
      <c r="AA35" s="106">
        <f t="shared" si="12"/>
        <v>0</v>
      </c>
      <c r="AB35" s="106">
        <f t="shared" si="13"/>
        <v>0</v>
      </c>
      <c r="AC35" s="106">
        <f t="shared" si="13"/>
        <v>0</v>
      </c>
      <c r="AD35" s="106">
        <f t="shared" si="14"/>
        <v>0</v>
      </c>
    </row>
    <row r="36" spans="1:30" ht="14.25" thickTop="1">
      <c r="A36" s="156"/>
      <c r="B36" s="155"/>
      <c r="C36" s="154"/>
      <c r="D36" s="153" t="s">
        <v>2</v>
      </c>
      <c r="E36" s="149">
        <f t="shared" ref="E36:T36" si="15">SUM(E5:E35)</f>
        <v>2356040225</v>
      </c>
      <c r="F36" s="152">
        <f t="shared" si="15"/>
        <v>0</v>
      </c>
      <c r="G36" s="151">
        <f t="shared" si="15"/>
        <v>0</v>
      </c>
      <c r="H36" s="151">
        <f t="shared" si="15"/>
        <v>0</v>
      </c>
      <c r="I36" s="150">
        <f t="shared" ref="I36" si="16">SUM(I5:I35)</f>
        <v>30357</v>
      </c>
      <c r="J36" s="150">
        <f t="shared" si="15"/>
        <v>1148180103</v>
      </c>
      <c r="K36" s="74">
        <f t="shared" si="15"/>
        <v>1148210460</v>
      </c>
      <c r="L36" s="149">
        <f t="shared" si="15"/>
        <v>188585576</v>
      </c>
      <c r="M36" s="149">
        <f t="shared" si="15"/>
        <v>1019244189</v>
      </c>
      <c r="N36" s="146">
        <f t="shared" si="15"/>
        <v>0</v>
      </c>
      <c r="O36" s="145">
        <f t="shared" si="15"/>
        <v>0</v>
      </c>
      <c r="P36" s="145">
        <f t="shared" si="15"/>
        <v>0</v>
      </c>
      <c r="Q36" s="148">
        <f t="shared" ref="Q36" si="17">SUM(Q5:Q35)</f>
        <v>2249</v>
      </c>
      <c r="R36" s="148">
        <f t="shared" si="15"/>
        <v>104380009</v>
      </c>
      <c r="S36" s="144">
        <f t="shared" si="15"/>
        <v>104382258</v>
      </c>
      <c r="T36" s="147">
        <f t="shared" si="15"/>
        <v>2251657967</v>
      </c>
      <c r="U36" s="88" t="str">
        <f>+IF(F36=0,"",ROUND(F36*F$4/(100+F$4),7)-N36)</f>
        <v/>
      </c>
      <c r="V36" s="88"/>
      <c r="W36" s="88"/>
      <c r="X36" s="88"/>
      <c r="Y36" s="88"/>
      <c r="Z36" s="88"/>
      <c r="AA36" s="88"/>
      <c r="AB36" s="87"/>
      <c r="AC36" s="87"/>
      <c r="AD36" s="87"/>
    </row>
    <row r="37" spans="1:30">
      <c r="A37" s="143"/>
      <c r="B37" s="142"/>
      <c r="C37" s="141"/>
      <c r="D37" s="140" t="s">
        <v>1</v>
      </c>
      <c r="E37" s="136">
        <f t="shared" ref="E37:J37" si="18">+E36</f>
        <v>2356040225</v>
      </c>
      <c r="F37" s="139">
        <f t="shared" si="18"/>
        <v>0</v>
      </c>
      <c r="G37" s="138">
        <f t="shared" si="18"/>
        <v>0</v>
      </c>
      <c r="H37" s="138">
        <f t="shared" si="18"/>
        <v>0</v>
      </c>
      <c r="I37" s="137">
        <f t="shared" si="18"/>
        <v>30357</v>
      </c>
      <c r="J37" s="137">
        <f t="shared" si="18"/>
        <v>1148180103</v>
      </c>
      <c r="K37" s="63">
        <f>SUM(F37:J37)</f>
        <v>1148210460</v>
      </c>
      <c r="L37" s="136">
        <f>+L36</f>
        <v>188585576</v>
      </c>
      <c r="M37" s="135">
        <f>+M36</f>
        <v>1019244189</v>
      </c>
      <c r="N37" s="133">
        <f>+'3条支出'!N8</f>
        <v>0</v>
      </c>
      <c r="O37" s="132">
        <f>+'3条支出'!O8</f>
        <v>0</v>
      </c>
      <c r="P37" s="132">
        <f>+'3条支出'!P8</f>
        <v>0</v>
      </c>
      <c r="Q37" s="132">
        <f>+'3条支出'!Q8</f>
        <v>2249</v>
      </c>
      <c r="R37" s="132">
        <f>+'3条支出'!R8</f>
        <v>104380009</v>
      </c>
      <c r="S37" s="131">
        <f>+'3条支出'!S8</f>
        <v>104382258</v>
      </c>
      <c r="T37" s="134">
        <f>+'3条支出'!T8</f>
        <v>2251657967</v>
      </c>
      <c r="U37" s="88" t="str">
        <f>+IF(F37=0,"",ROUND(F37*F$4/(100+F$4),7)-N37)</f>
        <v/>
      </c>
      <c r="V37" s="88"/>
      <c r="W37" s="88"/>
      <c r="X37" s="88"/>
      <c r="Y37" s="88"/>
      <c r="Z37" s="88"/>
      <c r="AA37" s="88"/>
      <c r="AB37" s="87"/>
      <c r="AC37" s="87"/>
      <c r="AD37" s="87"/>
    </row>
    <row r="38" spans="1:30">
      <c r="E38" s="4">
        <f t="shared" ref="E38:T38" si="19">+E37-E36</f>
        <v>0</v>
      </c>
      <c r="F38" s="4">
        <f t="shared" si="19"/>
        <v>0</v>
      </c>
      <c r="G38" s="4">
        <f t="shared" si="19"/>
        <v>0</v>
      </c>
      <c r="H38" s="4">
        <f t="shared" si="19"/>
        <v>0</v>
      </c>
      <c r="I38" s="4">
        <f t="shared" ref="I38" si="20">+I37-I36</f>
        <v>0</v>
      </c>
      <c r="J38" s="4">
        <f t="shared" si="19"/>
        <v>0</v>
      </c>
      <c r="K38" s="4">
        <f t="shared" si="19"/>
        <v>0</v>
      </c>
      <c r="L38" s="4">
        <f t="shared" si="19"/>
        <v>0</v>
      </c>
      <c r="M38" s="4">
        <f t="shared" si="19"/>
        <v>0</v>
      </c>
      <c r="N38" s="4">
        <f t="shared" si="19"/>
        <v>0</v>
      </c>
      <c r="O38" s="4">
        <f t="shared" si="19"/>
        <v>0</v>
      </c>
      <c r="P38" s="4">
        <f t="shared" si="19"/>
        <v>0</v>
      </c>
      <c r="Q38" s="4">
        <f t="shared" ref="Q38" si="21">+Q37-Q36</f>
        <v>0</v>
      </c>
      <c r="R38" s="4">
        <f t="shared" si="19"/>
        <v>0</v>
      </c>
      <c r="S38" s="4">
        <f t="shared" si="19"/>
        <v>0</v>
      </c>
      <c r="T38" s="4">
        <f t="shared" si="19"/>
        <v>0</v>
      </c>
      <c r="U38" s="88" t="str">
        <f>+IF(F38=0,"",ROUND(F38*F$4/(100+F$4),7)-N38)</f>
        <v/>
      </c>
      <c r="V38" s="88" t="str">
        <f>+IF(G38=0,"",ROUND(G38*G$4/(100+G$4),7)-O38)</f>
        <v/>
      </c>
      <c r="W38" s="88" t="str">
        <f>+IF(H38=0,"",ROUND(H38*H$4/(100+H$4),7)-P38)</f>
        <v/>
      </c>
      <c r="X38" s="88"/>
      <c r="Y38" s="88" t="str">
        <f>+IF(J38=0,"",ROUND(J38*J$4/(100+J$4),7)-R38)</f>
        <v/>
      </c>
      <c r="Z38" s="88"/>
      <c r="AA38" s="88"/>
      <c r="AB38" s="87" t="str">
        <f>+IF(SUM(U38:Y38)=0,"",SUM(U38:Y38))</f>
        <v/>
      </c>
      <c r="AC38" s="87"/>
      <c r="AD38" s="87"/>
    </row>
    <row r="39" spans="1:30">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G40" s="273"/>
      <c r="H40" s="274"/>
      <c r="I40" s="272"/>
      <c r="J40" s="274"/>
      <c r="U40" s="88" t="str">
        <f>+IF(F40=0,"",ROUND(F40*F$4/(100+F$4),7)-N40)</f>
        <v/>
      </c>
      <c r="V40" s="88"/>
      <c r="W40" s="88"/>
      <c r="X40" s="88"/>
      <c r="Y40" s="88"/>
      <c r="Z40" s="88"/>
      <c r="AA40" s="88"/>
      <c r="AB40" s="87"/>
      <c r="AC40" s="87"/>
      <c r="AD40" s="87"/>
    </row>
    <row r="41" spans="1:30">
      <c r="G41" s="273"/>
      <c r="H41" s="272"/>
      <c r="I41" s="272"/>
      <c r="J41" s="272"/>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3"/>
  <conditionalFormatting sqref="AE5:AI35">
    <cfRule type="notContainsBlanks" dxfId="96" priority="3" stopIfTrue="1">
      <formula>LEN(TRIM(AE5))&gt;0</formula>
    </cfRule>
  </conditionalFormatting>
  <conditionalFormatting sqref="AE36:AI37">
    <cfRule type="notContainsBlanks" dxfId="95" priority="4" stopIfTrue="1">
      <formula>LEN(TRIM(AE36))&gt;0</formula>
    </cfRule>
  </conditionalFormatting>
  <conditionalFormatting sqref="Z5:AD35">
    <cfRule type="expression" dxfId="94" priority="2">
      <formula>ABS(Z5)=1</formula>
    </cfRule>
  </conditionalFormatting>
  <conditionalFormatting sqref="E38:T38">
    <cfRule type="cellIs" dxfId="93" priority="1" operator="notEqual">
      <formula>0</formula>
    </cfRule>
  </conditionalFormatting>
  <pageMargins left="0.39370078740157483" right="0.39370078740157483" top="0.78740157480314965" bottom="0.39370078740157483" header="0.39370078740157483" footer="0.19685039370078741"/>
  <pageSetup paperSize="9" scale="67" orientation="landscape" blackAndWhite="1" r:id="rId1"/>
  <headerFooter>
    <oddFooter>&amp;L&amp;8&amp;Z&amp;F&amp;A&amp;R&amp;8&amp;D&amp;T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I42"/>
  <sheetViews>
    <sheetView zoomScale="70" zoomScaleNormal="70"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+'3条支出'!D1</f>
        <v>令和５年度決算　消費税算出資料</v>
      </c>
    </row>
    <row r="2" spans="1:35">
      <c r="D2" s="2" t="s">
        <v>213</v>
      </c>
      <c r="V2" s="122"/>
      <c r="W2" s="122"/>
      <c r="X2" s="261"/>
      <c r="Y2" s="122"/>
      <c r="Z2" s="122"/>
      <c r="AA2" s="122"/>
      <c r="AB2" s="122"/>
      <c r="AC2" s="261"/>
      <c r="AD2" s="122"/>
      <c r="AE2" s="122"/>
      <c r="AF2" s="122"/>
      <c r="AG2" s="122"/>
      <c r="AH2" s="261"/>
      <c r="AI2" s="122"/>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122"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177">
        <v>1</v>
      </c>
      <c r="B5" s="176" t="s">
        <v>212</v>
      </c>
      <c r="C5" s="175"/>
      <c r="D5" s="174" t="s">
        <v>112</v>
      </c>
      <c r="E5" s="170">
        <f>+IF($A5="",IF($C5="",SUMIFS(全伝票!I:I,全伝票!$B:$B,$B5),SUMIFS(全伝票!I:I,全伝票!$C:$C,$C5)),IF($C5="",SUMIFS(全伝票!I:I,全伝票!$A:$A,$A5,全伝票!$B:$B,$B5),SUMIFS(全伝票!I:I,全伝票!$A:$A,$A5,全伝票!$C:$C,$C5)))</f>
        <v>1115544</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275">
        <f>+IF($A5="",IF($C5="",SUMIFS(全伝票!L:L,全伝票!$B:$B,$B5),SUMIFS(全伝票!L:L,全伝票!$C:$C,$C5)),IF($C5="",SUMIFS(全伝票!L:L,全伝票!$A:$A,$A5,全伝票!$B:$B,$B5),SUMIFS(全伝票!L:L,全伝票!$A:$A,$A5,全伝票!$C:$C,$C5)))</f>
        <v>0</v>
      </c>
      <c r="I5" s="270">
        <f>+IF($A5="",IF($C5="",SUMIFS(全伝票!M:M,全伝票!$B:$B,$B5),SUMIFS(全伝票!M:M,全伝票!$C:$C,$C5)),IF($C5="",SUMIFS(全伝票!M:M,全伝票!$A:$A,$A5,全伝票!$B:$B,$B5),SUMIFS(全伝票!M:M,全伝票!$A:$A,$A5,全伝票!$C:$C,$C5)))</f>
        <v>0</v>
      </c>
      <c r="J5" s="171">
        <f>+IF($A5="",IF($C5="",SUMIFS(全伝票!N:N,全伝票!$B:$B,$B5),SUMIFS(全伝票!N:N,全伝票!$C:$C,$C5)),IF($C5="",SUMIFS(全伝票!N:N,全伝票!$A:$A,$A5,全伝票!$B:$B,$B5),SUMIFS(全伝票!N:N,全伝票!$A:$A,$A5,全伝票!$C:$C,$C5)))</f>
        <v>0</v>
      </c>
      <c r="K5" s="112">
        <f t="shared" ref="K5:K35" si="0">SUM(F5:J5)</f>
        <v>0</v>
      </c>
      <c r="L5" s="170">
        <f>+IF($A5="",IF($C5="",SUMIFS(全伝票!O:O,全伝票!$B:$B,$B5),SUMIFS(全伝票!O:O,全伝票!$C:$C,$C5)),IF($C5="",SUMIFS(全伝票!O:O,全伝票!$A:$A,$A5,全伝票!$B:$B,$B5),SUMIFS(全伝票!O:O,全伝票!$A:$A,$A5,全伝票!$C:$C,$C5)))</f>
        <v>0</v>
      </c>
      <c r="M5" s="277">
        <f>+IF($A5="",IF($C5="",SUMIFS(全伝票!P:P,全伝票!$B:$B,$B5),SUMIFS(全伝票!P:P,全伝票!$C:$C,$C5)),IF($C5="",SUMIFS(全伝票!P:P,全伝票!$A:$A,$A5,全伝票!$B:$B,$B5),SUMIFS(全伝票!P:P,全伝票!$A:$A,$A5,全伝票!$C:$C,$C5)))</f>
        <v>1115544</v>
      </c>
      <c r="N5" s="169">
        <f t="shared" ref="N5:N35" si="1">+ROUND(F5*F$4/(100+F$4),0)+AE5</f>
        <v>0</v>
      </c>
      <c r="O5" s="47">
        <f>+ROUND(G5*G$4/(100+G$4),0)+AF5</f>
        <v>0</v>
      </c>
      <c r="P5" s="47">
        <f t="shared" ref="P5:P35" si="2">+ROUND(H5*H$4/(100+H$4),0)+AG5</f>
        <v>0</v>
      </c>
      <c r="Q5" s="168">
        <f t="shared" ref="O5:Q35" si="3">+ROUND(I5*I$4/(100+I$4),0)+AH5</f>
        <v>0</v>
      </c>
      <c r="R5" s="168">
        <f t="shared" ref="R5:R35" si="4">+ROUND(J5*J$4/(100+J$4),0)+AI5</f>
        <v>0</v>
      </c>
      <c r="S5" s="167">
        <f t="shared" ref="S5:S35" si="5">SUM(N5:R5)</f>
        <v>0</v>
      </c>
      <c r="T5" s="166">
        <f t="shared" ref="T5:T35" si="6">+E5-S5</f>
        <v>1115544</v>
      </c>
      <c r="U5" s="107">
        <f t="shared" ref="U5:U35" si="7">N5-F5*F$4/(100+F$4)</f>
        <v>0</v>
      </c>
      <c r="V5" s="107">
        <f t="shared" ref="V5:V35" si="8">O5-G5*G$4/(100+G$4)</f>
        <v>0</v>
      </c>
      <c r="W5" s="107">
        <f t="shared" ref="W5:X35" si="9">P5-H5*H$4/(100+H$4)</f>
        <v>0</v>
      </c>
      <c r="X5" s="107">
        <f t="shared" si="9"/>
        <v>0</v>
      </c>
      <c r="Y5" s="107">
        <f t="shared" ref="Y5:Y35" si="10">R5-J5*J$4/(100+J$4)</f>
        <v>0</v>
      </c>
      <c r="Z5" s="106">
        <f t="shared" ref="Z5:Z35" si="11">+IF(N$38=0,0,IF(N$38&lt;0,-RANK(U5,U$5:U$35,0),RANK(U5,U$5:U$35,1)))</f>
        <v>0</v>
      </c>
      <c r="AA5" s="106">
        <f t="shared" ref="AA5:AA35" si="12">+IF(O$38=0,0,IF(O$38&lt;0,-RANK(V5,V$5:V$35,0),RANK(V5,V$5:V$35,1)))</f>
        <v>0</v>
      </c>
      <c r="AB5" s="106">
        <f t="shared" ref="AB5:AC35" si="13">+IF(P$38=0,0,IF(P$38&lt;0,-RANK(W5,W$5:W$35,0),RANK(W5,W$5:W$35,1)))</f>
        <v>0</v>
      </c>
      <c r="AC5" s="106">
        <f t="shared" si="13"/>
        <v>0</v>
      </c>
      <c r="AD5" s="106">
        <f t="shared" ref="AD5:AD35" si="14">+IF(R$38=0,0,IF(R$38&lt;0,-RANK(Y5,Y$5:Y$35,0),RANK(Y5,Y$5:Y$35,1)))</f>
        <v>0</v>
      </c>
    </row>
    <row r="6" spans="1:35">
      <c r="A6" s="165">
        <v>1</v>
      </c>
      <c r="B6" s="164" t="s">
        <v>211</v>
      </c>
      <c r="C6" s="163"/>
      <c r="D6" s="162" t="s">
        <v>110</v>
      </c>
      <c r="E6" s="158">
        <f>+IF($A6="",IF($C6="",SUMIFS(全伝票!I:I,全伝票!$B:$B,$B6),SUMIFS(全伝票!I:I,全伝票!$C:$C,$C6)),IF($C6="",SUMIFS(全伝票!I:I,全伝票!$A:$A,$A6,全伝票!$B:$B,$B6),SUMIFS(全伝票!I:I,全伝票!$A:$A,$A6,全伝票!$C:$C,$C6)))</f>
        <v>370587446</v>
      </c>
      <c r="F6" s="161">
        <f>+IF($A6="",IF($C6="",SUMIFS(全伝票!J:J,全伝票!$B:$B,$B6),SUMIFS(全伝票!J:J,全伝票!$C:$C,$C6)),IF($C6="",SUMIFS(全伝票!J:J,全伝票!$A:$A,$A6,全伝票!$B:$B,$B6),SUMIFS(全伝票!J:J,全伝票!$A:$A,$A6,全伝票!$C:$C,$C6)))</f>
        <v>0</v>
      </c>
      <c r="G6" s="160">
        <f>+IF($A6="",IF($C6="",SUMIFS(全伝票!K:K,全伝票!$B:$B,$B6),SUMIFS(全伝票!K:K,全伝票!$C:$C,$C6)),IF($C6="",SUMIFS(全伝票!K:K,全伝票!$A:$A,$A6,全伝票!$B:$B,$B6),SUMIFS(全伝票!K:K,全伝票!$A:$A,$A6,全伝票!$C:$C,$C6)))</f>
        <v>0</v>
      </c>
      <c r="H6" s="160">
        <f>+IF($A6="",IF($C6="",SUMIFS(全伝票!L:L,全伝票!$B:$B,$B6),SUMIFS(全伝票!L:L,全伝票!$C:$C,$C6)),IF($C6="",SUMIFS(全伝票!L:L,全伝票!$A:$A,$A6,全伝票!$B:$B,$B6),SUMIFS(全伝票!L:L,全伝票!$A:$A,$A6,全伝票!$C:$C,$C6)))</f>
        <v>0</v>
      </c>
      <c r="I6" s="159">
        <f>+IF($A6="",IF($C6="",SUMIFS(全伝票!M:M,全伝票!$B:$B,$B6),SUMIFS(全伝票!M:M,全伝票!$C:$C,$C6)),IF($C6="",SUMIFS(全伝票!M:M,全伝票!$A:$A,$A6,全伝票!$B:$B,$B6),SUMIFS(全伝票!M:M,全伝票!$A:$A,$A6,全伝票!$C:$C,$C6)))</f>
        <v>0</v>
      </c>
      <c r="J6" s="159">
        <f>+IF($A6="",IF($C6="",SUMIFS(全伝票!N:N,全伝票!$B:$B,$B6),SUMIFS(全伝票!N:N,全伝票!$C:$C,$C6)),IF($C6="",SUMIFS(全伝票!N:N,全伝票!$A:$A,$A6,全伝票!$B:$B,$B6),SUMIFS(全伝票!N:N,全伝票!$A:$A,$A6,全伝票!$C:$C,$C6)))</f>
        <v>0</v>
      </c>
      <c r="K6" s="34">
        <f t="shared" si="0"/>
        <v>0</v>
      </c>
      <c r="L6" s="158">
        <f>+IF($A6="",IF($C6="",SUMIFS(全伝票!O:O,全伝票!$B:$B,$B6),SUMIFS(全伝票!O:O,全伝票!$C:$C,$C6)),IF($C6="",SUMIFS(全伝票!O:O,全伝票!$A:$A,$A6,全伝票!$B:$B,$B6),SUMIFS(全伝票!O:O,全伝票!$A:$A,$A6,全伝票!$C:$C,$C6)))</f>
        <v>0</v>
      </c>
      <c r="M6" s="158">
        <f>+IF($A6="",IF($C6="",SUMIFS(全伝票!P:P,全伝票!$B:$B,$B6),SUMIFS(全伝票!P:P,全伝票!$C:$C,$C6)),IF($C6="",SUMIFS(全伝票!P:P,全伝票!$A:$A,$A6,全伝票!$B:$B,$B6),SUMIFS(全伝票!P:P,全伝票!$A:$A,$A6,全伝票!$C:$C,$C6)))</f>
        <v>370587446</v>
      </c>
      <c r="N6" s="108">
        <f t="shared" si="1"/>
        <v>0</v>
      </c>
      <c r="O6" s="25">
        <f t="shared" si="3"/>
        <v>0</v>
      </c>
      <c r="P6" s="25">
        <f t="shared" si="2"/>
        <v>0</v>
      </c>
      <c r="Q6" s="157">
        <f t="shared" si="3"/>
        <v>0</v>
      </c>
      <c r="R6" s="157">
        <f t="shared" si="4"/>
        <v>0</v>
      </c>
      <c r="S6" s="22">
        <f t="shared" si="5"/>
        <v>0</v>
      </c>
      <c r="T6" s="109">
        <f t="shared" si="6"/>
        <v>370587446</v>
      </c>
      <c r="U6" s="107">
        <f t="shared" si="7"/>
        <v>0</v>
      </c>
      <c r="V6" s="107">
        <f t="shared" si="8"/>
        <v>0</v>
      </c>
      <c r="W6" s="107">
        <f t="shared" si="9"/>
        <v>0</v>
      </c>
      <c r="X6" s="107">
        <f t="shared" si="9"/>
        <v>0</v>
      </c>
      <c r="Y6" s="107">
        <f t="shared" si="10"/>
        <v>0</v>
      </c>
      <c r="Z6" s="106">
        <f t="shared" si="11"/>
        <v>0</v>
      </c>
      <c r="AA6" s="106">
        <f t="shared" si="12"/>
        <v>0</v>
      </c>
      <c r="AB6" s="106">
        <f t="shared" si="13"/>
        <v>0</v>
      </c>
      <c r="AC6" s="106">
        <f t="shared" si="13"/>
        <v>0</v>
      </c>
      <c r="AD6" s="106">
        <f t="shared" si="14"/>
        <v>0</v>
      </c>
    </row>
    <row r="7" spans="1:35">
      <c r="A7" s="165">
        <v>1</v>
      </c>
      <c r="B7" s="164" t="s">
        <v>210</v>
      </c>
      <c r="C7" s="163"/>
      <c r="D7" s="162" t="s">
        <v>108</v>
      </c>
      <c r="E7" s="158">
        <f>+IF($A7="",IF($C7="",SUMIFS(全伝票!I:I,全伝票!$B:$B,$B7),SUMIFS(全伝票!I:I,全伝票!$C:$C,$C7)),IF($C7="",SUMIFS(全伝票!I:I,全伝票!$A:$A,$A7,全伝票!$B:$B,$B7),SUMIFS(全伝票!I:I,全伝票!$A:$A,$A7,全伝票!$C:$C,$C7)))</f>
        <v>294683202</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59">
        <f>+IF($A7="",IF($C7="",SUMIFS(全伝票!M:M,全伝票!$B:$B,$B7),SUMIFS(全伝票!M:M,全伝票!$C:$C,$C7)),IF($C7="",SUMIFS(全伝票!M:M,全伝票!$A:$A,$A7,全伝票!$B:$B,$B7),SUMIFS(全伝票!M:M,全伝票!$A:$A,$A7,全伝票!$C:$C,$C7)))</f>
        <v>0</v>
      </c>
      <c r="J7" s="159">
        <f>+IF($A7="",IF($C7="",SUMIFS(全伝票!N:N,全伝票!$B:$B,$B7),SUMIFS(全伝票!N:N,全伝票!$C:$C,$C7)),IF($C7="",SUMIFS(全伝票!N:N,全伝票!$A:$A,$A7,全伝票!$B:$B,$B7),SUMIFS(全伝票!N:N,全伝票!$A:$A,$A7,全伝票!$C:$C,$C7)))</f>
        <v>7777220</v>
      </c>
      <c r="K7" s="34">
        <f t="shared" si="0"/>
        <v>7777220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286905982</v>
      </c>
      <c r="N7" s="108">
        <f t="shared" si="1"/>
        <v>0</v>
      </c>
      <c r="O7" s="25">
        <f t="shared" si="3"/>
        <v>0</v>
      </c>
      <c r="P7" s="25">
        <f t="shared" si="2"/>
        <v>0</v>
      </c>
      <c r="Q7" s="157">
        <f t="shared" si="3"/>
        <v>0</v>
      </c>
      <c r="R7" s="157">
        <f t="shared" si="4"/>
        <v>707020</v>
      </c>
      <c r="S7" s="22">
        <f t="shared" si="5"/>
        <v>707020</v>
      </c>
      <c r="T7" s="109">
        <f t="shared" si="6"/>
        <v>293976182</v>
      </c>
      <c r="U7" s="107">
        <f t="shared" si="7"/>
        <v>0</v>
      </c>
      <c r="V7" s="107">
        <f t="shared" si="8"/>
        <v>0</v>
      </c>
      <c r="W7" s="107">
        <f t="shared" si="9"/>
        <v>0</v>
      </c>
      <c r="X7" s="107">
        <f t="shared" si="9"/>
        <v>0</v>
      </c>
      <c r="Y7" s="107">
        <f t="shared" si="10"/>
        <v>0</v>
      </c>
      <c r="Z7" s="106">
        <f t="shared" si="11"/>
        <v>0</v>
      </c>
      <c r="AA7" s="106">
        <f t="shared" si="12"/>
        <v>0</v>
      </c>
      <c r="AB7" s="106">
        <f t="shared" si="13"/>
        <v>0</v>
      </c>
      <c r="AC7" s="106">
        <f t="shared" si="13"/>
        <v>0</v>
      </c>
      <c r="AD7" s="106">
        <f t="shared" si="14"/>
        <v>0</v>
      </c>
    </row>
    <row r="8" spans="1:35">
      <c r="A8" s="165">
        <v>1</v>
      </c>
      <c r="B8" s="164" t="s">
        <v>209</v>
      </c>
      <c r="C8" s="163"/>
      <c r="D8" s="162" t="s">
        <v>106</v>
      </c>
      <c r="E8" s="158">
        <f>+IF($A8="",IF($C8="",SUMIFS(全伝票!I:I,全伝票!$B:$B,$B8),SUMIFS(全伝票!I:I,全伝票!$C:$C,$C8)),IF($C8="",SUMIFS(全伝票!I:I,全伝票!$A:$A,$A8,全伝票!$B:$B,$B8),SUMIFS(全伝票!I:I,全伝票!$A:$A,$A8,全伝票!$C:$C,$C8)))</f>
        <v>131079481</v>
      </c>
      <c r="F8" s="161">
        <f>+IF($A8="",IF($C8="",SUMIFS(全伝票!J:J,全伝票!$B:$B,$B8),SUMIFS(全伝票!J:J,全伝票!$C:$C,$C8)),IF($C8="",SUMIFS(全伝票!J:J,全伝票!$A:$A,$A8,全伝票!$B:$B,$B8),SUMIFS(全伝票!J:J,全伝票!$A:$A,$A8,全伝票!$C:$C,$C8)))</f>
        <v>0</v>
      </c>
      <c r="G8" s="160">
        <f>+IF($A8="",IF($C8="",SUMIFS(全伝票!K:K,全伝票!$B:$B,$B8),SUMIFS(全伝票!K:K,全伝票!$C:$C,$C8)),IF($C8="",SUMIFS(全伝票!K:K,全伝票!$A:$A,$A8,全伝票!$B:$B,$B8),SUMIFS(全伝票!K:K,全伝票!$A:$A,$A8,全伝票!$C:$C,$C8)))</f>
        <v>0</v>
      </c>
      <c r="H8" s="160">
        <f>+IF($A8="",IF($C8="",SUMIFS(全伝票!L:L,全伝票!$B:$B,$B8),SUMIFS(全伝票!L:L,全伝票!$C:$C,$C8)),IF($C8="",SUMIFS(全伝票!L:L,全伝票!$A:$A,$A8,全伝票!$B:$B,$B8),SUMIFS(全伝票!L:L,全伝票!$A:$A,$A8,全伝票!$C:$C,$C8)))</f>
        <v>0</v>
      </c>
      <c r="I8" s="159">
        <f>+IF($A8="",IF($C8="",SUMIFS(全伝票!M:M,全伝票!$B:$B,$B8),SUMIFS(全伝票!M:M,全伝票!$C:$C,$C8)),IF($C8="",SUMIFS(全伝票!M:M,全伝票!$A:$A,$A8,全伝票!$B:$B,$B8),SUMIFS(全伝票!M:M,全伝票!$A:$A,$A8,全伝票!$C:$C,$C8)))</f>
        <v>0</v>
      </c>
      <c r="J8" s="159">
        <f>+IF($A8="",IF($C8="",SUMIFS(全伝票!N:N,全伝票!$B:$B,$B8),SUMIFS(全伝票!N:N,全伝票!$C:$C,$C8)),IF($C8="",SUMIFS(全伝票!N:N,全伝票!$A:$A,$A8,全伝票!$B:$B,$B8),SUMIFS(全伝票!N:N,全伝票!$A:$A,$A8,全伝票!$C:$C,$C8)))</f>
        <v>0</v>
      </c>
      <c r="K8" s="34">
        <f t="shared" si="0"/>
        <v>0</v>
      </c>
      <c r="L8" s="158">
        <f>+IF($A8="",IF($C8="",SUMIFS(全伝票!O:O,全伝票!$B:$B,$B8),SUMIFS(全伝票!O:O,全伝票!$C:$C,$C8)),IF($C8="",SUMIFS(全伝票!O:O,全伝票!$A:$A,$A8,全伝票!$B:$B,$B8),SUMIFS(全伝票!O:O,全伝票!$A:$A,$A8,全伝票!$C:$C,$C8)))</f>
        <v>130517777</v>
      </c>
      <c r="M8" s="158">
        <f>+IF($A8="",IF($C8="",SUMIFS(全伝票!P:P,全伝票!$B:$B,$B8),SUMIFS(全伝票!P:P,全伝票!$C:$C,$C8)),IF($C8="",SUMIFS(全伝票!P:P,全伝票!$A:$A,$A8,全伝票!$B:$B,$B8),SUMIFS(全伝票!P:P,全伝票!$A:$A,$A8,全伝票!$C:$C,$C8)))</f>
        <v>561704</v>
      </c>
      <c r="N8" s="108">
        <f t="shared" si="1"/>
        <v>0</v>
      </c>
      <c r="O8" s="25">
        <f t="shared" si="3"/>
        <v>0</v>
      </c>
      <c r="P8" s="25">
        <f t="shared" si="2"/>
        <v>0</v>
      </c>
      <c r="Q8" s="157">
        <f t="shared" si="3"/>
        <v>0</v>
      </c>
      <c r="R8" s="157">
        <f t="shared" si="4"/>
        <v>0</v>
      </c>
      <c r="S8" s="22">
        <f t="shared" si="5"/>
        <v>0</v>
      </c>
      <c r="T8" s="109">
        <f t="shared" si="6"/>
        <v>131079481</v>
      </c>
      <c r="U8" s="107">
        <f t="shared" si="7"/>
        <v>0</v>
      </c>
      <c r="V8" s="107">
        <f t="shared" si="8"/>
        <v>0</v>
      </c>
      <c r="W8" s="107">
        <f t="shared" si="9"/>
        <v>0</v>
      </c>
      <c r="X8" s="107">
        <f t="shared" si="9"/>
        <v>0</v>
      </c>
      <c r="Y8" s="107">
        <f t="shared" si="10"/>
        <v>0</v>
      </c>
      <c r="Z8" s="106">
        <f t="shared" si="11"/>
        <v>0</v>
      </c>
      <c r="AA8" s="106">
        <f t="shared" si="12"/>
        <v>0</v>
      </c>
      <c r="AB8" s="106">
        <f t="shared" si="13"/>
        <v>0</v>
      </c>
      <c r="AC8" s="106">
        <f t="shared" si="13"/>
        <v>0</v>
      </c>
      <c r="AD8" s="106">
        <f t="shared" si="14"/>
        <v>0</v>
      </c>
    </row>
    <row r="9" spans="1:35">
      <c r="A9" s="165">
        <v>1</v>
      </c>
      <c r="B9" s="164" t="s">
        <v>208</v>
      </c>
      <c r="C9" s="163"/>
      <c r="D9" s="162" t="s">
        <v>104</v>
      </c>
      <c r="E9" s="158">
        <f>+IF($A9="",IF($C9="",SUMIFS(全伝票!I:I,全伝票!$B:$B,$B9),SUMIFS(全伝票!I:I,全伝票!$C:$C,$C9)),IF($C9="",SUMIFS(全伝票!I:I,全伝票!$A:$A,$A9,全伝票!$B:$B,$B9),SUMIFS(全伝票!I:I,全伝票!$A:$A,$A9,全伝票!$C:$C,$C9)))</f>
        <v>0</v>
      </c>
      <c r="F9" s="161">
        <f>+IF($A9="",IF($C9="",SUMIFS(全伝票!J:J,全伝票!$B:$B,$B9),SUMIFS(全伝票!J:J,全伝票!$C:$C,$C9)),IF($C9="",SUMIFS(全伝票!J:J,全伝票!$A:$A,$A9,全伝票!$B:$B,$B9),SUMIFS(全伝票!J:J,全伝票!$A:$A,$A9,全伝票!$C:$C,$C9)))</f>
        <v>0</v>
      </c>
      <c r="G9" s="160">
        <f>+IF($A9="",IF($C9="",SUMIFS(全伝票!K:K,全伝票!$B:$B,$B9),SUMIFS(全伝票!K:K,全伝票!$C:$C,$C9)),IF($C9="",SUMIFS(全伝票!K:K,全伝票!$A:$A,$A9,全伝票!$B:$B,$B9),SUMIFS(全伝票!K:K,全伝票!$A:$A,$A9,全伝票!$C:$C,$C9)))</f>
        <v>0</v>
      </c>
      <c r="H9" s="160">
        <f>+IF($A9="",IF($C9="",SUMIFS(全伝票!L:L,全伝票!$B:$B,$B9),SUMIFS(全伝票!L:L,全伝票!$C:$C,$C9)),IF($C9="",SUMIFS(全伝票!L:L,全伝票!$A:$A,$A9,全伝票!$B:$B,$B9),SUMIFS(全伝票!L:L,全伝票!$A:$A,$A9,全伝票!$C:$C,$C9)))</f>
        <v>0</v>
      </c>
      <c r="I9" s="159">
        <f>+IF($A9="",IF($C9="",SUMIFS(全伝票!M:M,全伝票!$B:$B,$B9),SUMIFS(全伝票!M:M,全伝票!$C:$C,$C9)),IF($C9="",SUMIFS(全伝票!M:M,全伝票!$A:$A,$A9,全伝票!$B:$B,$B9),SUMIFS(全伝票!M:M,全伝票!$A:$A,$A9,全伝票!$C:$C,$C9)))</f>
        <v>0</v>
      </c>
      <c r="J9" s="159">
        <f>+IF($A9="",IF($C9="",SUMIFS(全伝票!N:N,全伝票!$B:$B,$B9),SUMIFS(全伝票!N:N,全伝票!$C:$C,$C9)),IF($C9="",SUMIFS(全伝票!N:N,全伝票!$A:$A,$A9,全伝票!$B:$B,$B9),SUMIFS(全伝票!N:N,全伝票!$A:$A,$A9,全伝票!$C:$C,$C9)))</f>
        <v>0</v>
      </c>
      <c r="K9" s="34">
        <f t="shared" si="0"/>
        <v>0</v>
      </c>
      <c r="L9" s="158">
        <f>+IF($A9="",IF($C9="",SUMIFS(全伝票!O:O,全伝票!$B:$B,$B9),SUMIFS(全伝票!O:O,全伝票!$C:$C,$C9)),IF($C9="",SUMIFS(全伝票!O:O,全伝票!$A:$A,$A9,全伝票!$B:$B,$B9),SUMIFS(全伝票!O:O,全伝票!$A:$A,$A9,全伝票!$C:$C,$C9)))</f>
        <v>0</v>
      </c>
      <c r="M9" s="158">
        <f>+IF($A9="",IF($C9="",SUMIFS(全伝票!P:P,全伝票!$B:$B,$B9),SUMIFS(全伝票!P:P,全伝票!$C:$C,$C9)),IF($C9="",SUMIFS(全伝票!P:P,全伝票!$A:$A,$A9,全伝票!$B:$B,$B9),SUMIFS(全伝票!P:P,全伝票!$A:$A,$A9,全伝票!$C:$C,$C9)))</f>
        <v>0</v>
      </c>
      <c r="N9" s="108">
        <f t="shared" si="1"/>
        <v>0</v>
      </c>
      <c r="O9" s="25">
        <f t="shared" si="3"/>
        <v>0</v>
      </c>
      <c r="P9" s="25">
        <f t="shared" si="2"/>
        <v>0</v>
      </c>
      <c r="Q9" s="157">
        <f t="shared" si="3"/>
        <v>0</v>
      </c>
      <c r="R9" s="157">
        <f t="shared" si="4"/>
        <v>0</v>
      </c>
      <c r="S9" s="22">
        <f t="shared" si="5"/>
        <v>0</v>
      </c>
      <c r="T9" s="109">
        <f t="shared" si="6"/>
        <v>0</v>
      </c>
      <c r="U9" s="107">
        <f t="shared" si="7"/>
        <v>0</v>
      </c>
      <c r="V9" s="107">
        <f t="shared" si="8"/>
        <v>0</v>
      </c>
      <c r="W9" s="107">
        <f t="shared" si="9"/>
        <v>0</v>
      </c>
      <c r="X9" s="107">
        <f t="shared" si="9"/>
        <v>0</v>
      </c>
      <c r="Y9" s="107">
        <f t="shared" si="10"/>
        <v>0</v>
      </c>
      <c r="Z9" s="106">
        <f t="shared" si="11"/>
        <v>0</v>
      </c>
      <c r="AA9" s="106">
        <f t="shared" si="12"/>
        <v>0</v>
      </c>
      <c r="AB9" s="106">
        <f t="shared" si="13"/>
        <v>0</v>
      </c>
      <c r="AC9" s="106">
        <f t="shared" si="13"/>
        <v>0</v>
      </c>
      <c r="AD9" s="106">
        <f t="shared" si="14"/>
        <v>0</v>
      </c>
    </row>
    <row r="10" spans="1:35">
      <c r="A10" s="165">
        <v>1</v>
      </c>
      <c r="B10" s="164" t="s">
        <v>207</v>
      </c>
      <c r="C10" s="163"/>
      <c r="D10" s="162" t="s">
        <v>102</v>
      </c>
      <c r="E10" s="158">
        <f>+IF($A10="",IF($C10="",SUMIFS(全伝票!I:I,全伝票!$B:$B,$B10),SUMIFS(全伝票!I:I,全伝票!$C:$C,$C10)),IF($C10="",SUMIFS(全伝票!I:I,全伝票!$A:$A,$A10,全伝票!$B:$B,$B10),SUMIFS(全伝票!I:I,全伝票!$A:$A,$A10,全伝票!$C:$C,$C10)))</f>
        <v>0</v>
      </c>
      <c r="F10" s="161">
        <f>+IF($A10="",IF($C10="",SUMIFS(全伝票!J:J,全伝票!$B:$B,$B10),SUMIFS(全伝票!J:J,全伝票!$C:$C,$C10)),IF($C10="",SUMIFS(全伝票!J:J,全伝票!$A:$A,$A10,全伝票!$B:$B,$B10),SUMIFS(全伝票!J:J,全伝票!$A:$A,$A10,全伝票!$C:$C,$C10)))</f>
        <v>0</v>
      </c>
      <c r="G10" s="160">
        <f>+IF($A10="",IF($C10="",SUMIFS(全伝票!K:K,全伝票!$B:$B,$B10),SUMIFS(全伝票!K:K,全伝票!$C:$C,$C10)),IF($C10="",SUMIFS(全伝票!K:K,全伝票!$A:$A,$A10,全伝票!$B:$B,$B10),SUMIFS(全伝票!K:K,全伝票!$A:$A,$A10,全伝票!$C:$C,$C10)))</f>
        <v>0</v>
      </c>
      <c r="H10" s="276">
        <f>+IF($A10="",IF($C10="",SUMIFS(全伝票!L:L,全伝票!$B:$B,$B10),SUMIFS(全伝票!L:L,全伝票!$C:$C,$C10)),IF($C10="",SUMIFS(全伝票!L:L,全伝票!$A:$A,$A10,全伝票!$B:$B,$B10),SUMIFS(全伝票!L:L,全伝票!$A:$A,$A10,全伝票!$C:$C,$C10)))</f>
        <v>0</v>
      </c>
      <c r="I10" s="271">
        <f>+IF($A10="",IF($C10="",SUMIFS(全伝票!M:M,全伝票!$B:$B,$B10),SUMIFS(全伝票!M:M,全伝票!$C:$C,$C10)),IF($C10="",SUMIFS(全伝票!M:M,全伝票!$A:$A,$A10,全伝票!$B:$B,$B10),SUMIFS(全伝票!M:M,全伝票!$A:$A,$A10,全伝票!$C:$C,$C10)))</f>
        <v>0</v>
      </c>
      <c r="J10" s="159">
        <f>+IF($A10="",IF($C10="",SUMIFS(全伝票!N:N,全伝票!$B:$B,$B10),SUMIFS(全伝票!N:N,全伝票!$C:$C,$C10)),IF($C10="",SUMIFS(全伝票!N:N,全伝票!$A:$A,$A10,全伝票!$B:$B,$B10),SUMIFS(全伝票!N:N,全伝票!$A:$A,$A10,全伝票!$C:$C,$C10)))</f>
        <v>0</v>
      </c>
      <c r="K10" s="34">
        <f t="shared" si="0"/>
        <v>0</v>
      </c>
      <c r="L10" s="158">
        <f>+IF($A10="",IF($C10="",SUMIFS(全伝票!O:O,全伝票!$B:$B,$B10),SUMIFS(全伝票!O:O,全伝票!$C:$C,$C10)),IF($C10="",SUMIFS(全伝票!O:O,全伝票!$A:$A,$A10,全伝票!$B:$B,$B10),SUMIFS(全伝票!O:O,全伝票!$A:$A,$A10,全伝票!$C:$C,$C10)))</f>
        <v>0</v>
      </c>
      <c r="M10" s="278">
        <f>+IF($A10="",IF($C10="",SUMIFS(全伝票!P:P,全伝票!$B:$B,$B10),SUMIFS(全伝票!P:P,全伝票!$C:$C,$C10)),IF($C10="",SUMIFS(全伝票!P:P,全伝票!$A:$A,$A10,全伝票!$B:$B,$B10),SUMIFS(全伝票!P:P,全伝票!$A:$A,$A10,全伝票!$C:$C,$C10)))</f>
        <v>0</v>
      </c>
      <c r="N10" s="108">
        <f t="shared" si="1"/>
        <v>0</v>
      </c>
      <c r="O10" s="25">
        <f t="shared" si="3"/>
        <v>0</v>
      </c>
      <c r="P10" s="25">
        <f t="shared" si="2"/>
        <v>0</v>
      </c>
      <c r="Q10" s="157">
        <f t="shared" si="3"/>
        <v>0</v>
      </c>
      <c r="R10" s="157">
        <f t="shared" si="4"/>
        <v>0</v>
      </c>
      <c r="S10" s="22">
        <f t="shared" si="5"/>
        <v>0</v>
      </c>
      <c r="T10" s="109">
        <f t="shared" si="6"/>
        <v>0</v>
      </c>
      <c r="U10" s="107">
        <f t="shared" si="7"/>
        <v>0</v>
      </c>
      <c r="V10" s="107">
        <f t="shared" si="8"/>
        <v>0</v>
      </c>
      <c r="W10" s="107">
        <f t="shared" si="9"/>
        <v>0</v>
      </c>
      <c r="X10" s="107">
        <f t="shared" si="9"/>
        <v>0</v>
      </c>
      <c r="Y10" s="107">
        <f t="shared" si="10"/>
        <v>0</v>
      </c>
      <c r="Z10" s="106">
        <f t="shared" si="11"/>
        <v>0</v>
      </c>
      <c r="AA10" s="106">
        <f t="shared" si="12"/>
        <v>0</v>
      </c>
      <c r="AB10" s="106">
        <f t="shared" si="13"/>
        <v>0</v>
      </c>
      <c r="AC10" s="106">
        <f t="shared" si="13"/>
        <v>0</v>
      </c>
      <c r="AD10" s="106">
        <f t="shared" si="14"/>
        <v>0</v>
      </c>
    </row>
    <row r="11" spans="1:35">
      <c r="A11" s="165">
        <v>1</v>
      </c>
      <c r="B11" s="164" t="s">
        <v>206</v>
      </c>
      <c r="C11" s="163"/>
      <c r="D11" s="162" t="s">
        <v>100</v>
      </c>
      <c r="E11" s="158">
        <f>+IF($A11="",IF($C11="",SUMIFS(全伝票!I:I,全伝票!$B:$B,$B11),SUMIFS(全伝票!I:I,全伝票!$C:$C,$C11)),IF($C11="",SUMIFS(全伝票!I:I,全伝票!$A:$A,$A11,全伝票!$B:$B,$B11),SUMIFS(全伝票!I:I,全伝票!$A:$A,$A11,全伝票!$C:$C,$C11)))</f>
        <v>45200</v>
      </c>
      <c r="F11" s="161">
        <f>+IF($A11="",IF($C11="",SUMIFS(全伝票!J:J,全伝票!$B:$B,$B11),SUMIFS(全伝票!J:J,全伝票!$C:$C,$C11)),IF($C11="",SUMIFS(全伝票!J:J,全伝票!$A:$A,$A11,全伝票!$B:$B,$B11),SUMIFS(全伝票!J:J,全伝票!$A:$A,$A11,全伝票!$C:$C,$C11)))</f>
        <v>0</v>
      </c>
      <c r="G11" s="160">
        <f>+IF($A11="",IF($C11="",SUMIFS(全伝票!K:K,全伝票!$B:$B,$B11),SUMIFS(全伝票!K:K,全伝票!$C:$C,$C11)),IF($C11="",SUMIFS(全伝票!K:K,全伝票!$A:$A,$A11,全伝票!$B:$B,$B11),SUMIFS(全伝票!K:K,全伝票!$A:$A,$A11,全伝票!$C:$C,$C11)))</f>
        <v>0</v>
      </c>
      <c r="H11" s="160">
        <f>+IF($A11="",IF($C11="",SUMIFS(全伝票!L:L,全伝票!$B:$B,$B11),SUMIFS(全伝票!L:L,全伝票!$C:$C,$C11)),IF($C11="",SUMIFS(全伝票!L:L,全伝票!$A:$A,$A11,全伝票!$B:$B,$B11),SUMIFS(全伝票!L:L,全伝票!$A:$A,$A11,全伝票!$C:$C,$C11)))</f>
        <v>0</v>
      </c>
      <c r="I11" s="159">
        <f>+IF($A11="",IF($C11="",SUMIFS(全伝票!M:M,全伝票!$B:$B,$B11),SUMIFS(全伝票!M:M,全伝票!$C:$C,$C11)),IF($C11="",SUMIFS(全伝票!M:M,全伝票!$A:$A,$A11,全伝票!$B:$B,$B11),SUMIFS(全伝票!M:M,全伝票!$A:$A,$A11,全伝票!$C:$C,$C11)))</f>
        <v>0</v>
      </c>
      <c r="J11" s="159">
        <f>+IF($A11="",IF($C11="",SUMIFS(全伝票!N:N,全伝票!$B:$B,$B11),SUMIFS(全伝票!N:N,全伝票!$C:$C,$C11)),IF($C11="",SUMIFS(全伝票!N:N,全伝票!$A:$A,$A11,全伝票!$B:$B,$B11),SUMIFS(全伝票!N:N,全伝票!$A:$A,$A11,全伝票!$C:$C,$C11)))</f>
        <v>45200</v>
      </c>
      <c r="K11" s="34">
        <f t="shared" si="0"/>
        <v>45200</v>
      </c>
      <c r="L11" s="158">
        <f>+IF($A11="",IF($C11="",SUMIFS(全伝票!O:O,全伝票!$B:$B,$B11),SUMIFS(全伝票!O:O,全伝票!$C:$C,$C11)),IF($C11="",SUMIFS(全伝票!O:O,全伝票!$A:$A,$A11,全伝票!$B:$B,$B11),SUMIFS(全伝票!O:O,全伝票!$A:$A,$A11,全伝票!$C:$C,$C11)))</f>
        <v>0</v>
      </c>
      <c r="M11" s="158">
        <f>+IF($A11="",IF($C11="",SUMIFS(全伝票!P:P,全伝票!$B:$B,$B11),SUMIFS(全伝票!P:P,全伝票!$C:$C,$C11)),IF($C11="",SUMIFS(全伝票!P:P,全伝票!$A:$A,$A11,全伝票!$B:$B,$B11),SUMIFS(全伝票!P:P,全伝票!$A:$A,$A11,全伝票!$C:$C,$C11)))</f>
        <v>0</v>
      </c>
      <c r="N11" s="108">
        <f t="shared" si="1"/>
        <v>0</v>
      </c>
      <c r="O11" s="25">
        <f t="shared" si="3"/>
        <v>0</v>
      </c>
      <c r="P11" s="25">
        <f t="shared" si="2"/>
        <v>0</v>
      </c>
      <c r="Q11" s="157">
        <f t="shared" si="3"/>
        <v>0</v>
      </c>
      <c r="R11" s="157">
        <f t="shared" si="4"/>
        <v>4109</v>
      </c>
      <c r="S11" s="22">
        <f t="shared" si="5"/>
        <v>4109</v>
      </c>
      <c r="T11" s="109">
        <f t="shared" si="6"/>
        <v>41091</v>
      </c>
      <c r="U11" s="107">
        <f t="shared" si="7"/>
        <v>0</v>
      </c>
      <c r="V11" s="107">
        <f t="shared" si="8"/>
        <v>0</v>
      </c>
      <c r="W11" s="107">
        <f t="shared" si="9"/>
        <v>0</v>
      </c>
      <c r="X11" s="107">
        <f t="shared" si="9"/>
        <v>0</v>
      </c>
      <c r="Y11" s="107">
        <f t="shared" si="10"/>
        <v>-9.0909090909008228E-2</v>
      </c>
      <c r="Z11" s="106">
        <f t="shared" si="11"/>
        <v>0</v>
      </c>
      <c r="AA11" s="106">
        <f t="shared" si="12"/>
        <v>0</v>
      </c>
      <c r="AB11" s="106">
        <f t="shared" si="13"/>
        <v>0</v>
      </c>
      <c r="AC11" s="106">
        <f t="shared" si="13"/>
        <v>0</v>
      </c>
      <c r="AD11" s="106">
        <f t="shared" si="14"/>
        <v>0</v>
      </c>
    </row>
    <row r="12" spans="1:35">
      <c r="A12" s="165">
        <v>1</v>
      </c>
      <c r="B12" s="164" t="s">
        <v>204</v>
      </c>
      <c r="C12" s="163" t="s">
        <v>205</v>
      </c>
      <c r="D12" s="162" t="s">
        <v>98</v>
      </c>
      <c r="E12" s="158">
        <f>+IF($A12="",IF($C12="",SUMIFS(全伝票!I:I,全伝票!$B:$B,$B12),SUMIFS(全伝票!I:I,全伝票!$C:$C,$C12)),IF($C12="",SUMIFS(全伝票!I:I,全伝票!$A:$A,$A12,全伝票!$B:$B,$B12),SUMIFS(全伝票!I:I,全伝票!$A:$A,$A12,全伝票!$C:$C,$C12)))</f>
        <v>6600</v>
      </c>
      <c r="F12" s="161">
        <f>+IF($A12="",IF($C12="",SUMIFS(全伝票!J:J,全伝票!$B:$B,$B12),SUMIFS(全伝票!J:J,全伝票!$C:$C,$C12)),IF($C12="",SUMIFS(全伝票!J:J,全伝票!$A:$A,$A12,全伝票!$B:$B,$B12),SUMIFS(全伝票!J:J,全伝票!$A:$A,$A12,全伝票!$C:$C,$C12)))</f>
        <v>0</v>
      </c>
      <c r="G12" s="160">
        <f>+IF($A12="",IF($C12="",SUMIFS(全伝票!K:K,全伝票!$B:$B,$B12),SUMIFS(全伝票!K:K,全伝票!$C:$C,$C12)),IF($C12="",SUMIFS(全伝票!K:K,全伝票!$A:$A,$A12,全伝票!$B:$B,$B12),SUMIFS(全伝票!K:K,全伝票!$A:$A,$A12,全伝票!$C:$C,$C12)))</f>
        <v>0</v>
      </c>
      <c r="H12" s="160">
        <f>+IF($A12="",IF($C12="",SUMIFS(全伝票!L:L,全伝票!$B:$B,$B12),SUMIFS(全伝票!L:L,全伝票!$C:$C,$C12)),IF($C12="",SUMIFS(全伝票!L:L,全伝票!$A:$A,$A12,全伝票!$B:$B,$B12),SUMIFS(全伝票!L:L,全伝票!$A:$A,$A12,全伝票!$C:$C,$C12)))</f>
        <v>0</v>
      </c>
      <c r="I12" s="159">
        <f>+IF($A12="",IF($C12="",SUMIFS(全伝票!M:M,全伝票!$B:$B,$B12),SUMIFS(全伝票!M:M,全伝票!$C:$C,$C12)),IF($C12="",SUMIFS(全伝票!M:M,全伝票!$A:$A,$A12,全伝票!$B:$B,$B12),SUMIFS(全伝票!M:M,全伝票!$A:$A,$A12,全伝票!$C:$C,$C12)))</f>
        <v>0</v>
      </c>
      <c r="J12" s="159">
        <f>+IF($A12="",IF($C12="",SUMIFS(全伝票!N:N,全伝票!$B:$B,$B12),SUMIFS(全伝票!N:N,全伝票!$C:$C,$C12)),IF($C12="",SUMIFS(全伝票!N:N,全伝票!$A:$A,$A12,全伝票!$B:$B,$B12),SUMIFS(全伝票!N:N,全伝票!$A:$A,$A12,全伝票!$C:$C,$C12)))</f>
        <v>6600</v>
      </c>
      <c r="K12" s="34">
        <f t="shared" si="0"/>
        <v>6600</v>
      </c>
      <c r="L12" s="158">
        <f>+IF($A12="",IF($C12="",SUMIFS(全伝票!O:O,全伝票!$B:$B,$B12),SUMIFS(全伝票!O:O,全伝票!$C:$C,$C12)),IF($C12="",SUMIFS(全伝票!O:O,全伝票!$A:$A,$A12,全伝票!$B:$B,$B12),SUMIFS(全伝票!O:O,全伝票!$A:$A,$A12,全伝票!$C:$C,$C12)))</f>
        <v>0</v>
      </c>
      <c r="M12" s="158">
        <f>+IF($A12="",IF($C12="",SUMIFS(全伝票!P:P,全伝票!$B:$B,$B12),SUMIFS(全伝票!P:P,全伝票!$C:$C,$C12)),IF($C12="",SUMIFS(全伝票!P:P,全伝票!$A:$A,$A12,全伝票!$B:$B,$B12),SUMIFS(全伝票!P:P,全伝票!$A:$A,$A12,全伝票!$C:$C,$C12)))</f>
        <v>0</v>
      </c>
      <c r="N12" s="108">
        <f t="shared" si="1"/>
        <v>0</v>
      </c>
      <c r="O12" s="25">
        <f t="shared" si="3"/>
        <v>0</v>
      </c>
      <c r="P12" s="25">
        <f t="shared" si="2"/>
        <v>0</v>
      </c>
      <c r="Q12" s="157">
        <f t="shared" si="3"/>
        <v>0</v>
      </c>
      <c r="R12" s="157">
        <f t="shared" si="4"/>
        <v>600</v>
      </c>
      <c r="S12" s="22">
        <f t="shared" si="5"/>
        <v>600</v>
      </c>
      <c r="T12" s="109">
        <f t="shared" si="6"/>
        <v>6000</v>
      </c>
      <c r="U12" s="107">
        <f t="shared" si="7"/>
        <v>0</v>
      </c>
      <c r="V12" s="107">
        <f t="shared" si="8"/>
        <v>0</v>
      </c>
      <c r="W12" s="107">
        <f t="shared" si="9"/>
        <v>0</v>
      </c>
      <c r="X12" s="107">
        <f t="shared" si="9"/>
        <v>0</v>
      </c>
      <c r="Y12" s="107">
        <f t="shared" si="10"/>
        <v>0</v>
      </c>
      <c r="Z12" s="106">
        <f t="shared" si="11"/>
        <v>0</v>
      </c>
      <c r="AA12" s="106">
        <f t="shared" si="12"/>
        <v>0</v>
      </c>
      <c r="AB12" s="106">
        <f t="shared" si="13"/>
        <v>0</v>
      </c>
      <c r="AC12" s="106">
        <f t="shared" si="13"/>
        <v>0</v>
      </c>
      <c r="AD12" s="106">
        <f t="shared" si="14"/>
        <v>0</v>
      </c>
    </row>
    <row r="13" spans="1:35">
      <c r="A13" s="165">
        <v>1</v>
      </c>
      <c r="B13" s="164" t="s">
        <v>204</v>
      </c>
      <c r="C13" s="163" t="s">
        <v>203</v>
      </c>
      <c r="D13" s="162" t="s">
        <v>95</v>
      </c>
      <c r="E13" s="158">
        <f>+IF($A13="",IF($C13="",SUMIFS(全伝票!I:I,全伝票!$B:$B,$B13),SUMIFS(全伝票!I:I,全伝票!$C:$C,$C13)),IF($C13="",SUMIFS(全伝票!I:I,全伝票!$A:$A,$A13,全伝票!$B:$B,$B13),SUMIFS(全伝票!I:I,全伝票!$A:$A,$A13,全伝票!$C:$C,$C13)))</f>
        <v>0</v>
      </c>
      <c r="F13" s="161">
        <f>+IF($A13="",IF($C13="",SUMIFS(全伝票!J:J,全伝票!$B:$B,$B13),SUMIFS(全伝票!J:J,全伝票!$C:$C,$C13)),IF($C13="",SUMIFS(全伝票!J:J,全伝票!$A:$A,$A13,全伝票!$B:$B,$B13),SUMIFS(全伝票!J:J,全伝票!$A:$A,$A13,全伝票!$C:$C,$C13)))</f>
        <v>0</v>
      </c>
      <c r="G13" s="160">
        <f>+IF($A13="",IF($C13="",SUMIFS(全伝票!K:K,全伝票!$B:$B,$B13),SUMIFS(全伝票!K:K,全伝票!$C:$C,$C13)),IF($C13="",SUMIFS(全伝票!K:K,全伝票!$A:$A,$A13,全伝票!$B:$B,$B13),SUMIFS(全伝票!K:K,全伝票!$A:$A,$A13,全伝票!$C:$C,$C13)))</f>
        <v>0</v>
      </c>
      <c r="H13" s="160">
        <f>+IF($A13="",IF($C13="",SUMIFS(全伝票!L:L,全伝票!$B:$B,$B13),SUMIFS(全伝票!L:L,全伝票!$C:$C,$C13)),IF($C13="",SUMIFS(全伝票!L:L,全伝票!$A:$A,$A13,全伝票!$B:$B,$B13),SUMIFS(全伝票!L:L,全伝票!$A:$A,$A13,全伝票!$C:$C,$C13)))</f>
        <v>0</v>
      </c>
      <c r="I13" s="159">
        <f>+IF($A13="",IF($C13="",SUMIFS(全伝票!M:M,全伝票!$B:$B,$B13),SUMIFS(全伝票!M:M,全伝票!$C:$C,$C13)),IF($C13="",SUMIFS(全伝票!M:M,全伝票!$A:$A,$A13,全伝票!$B:$B,$B13),SUMIFS(全伝票!M:M,全伝票!$A:$A,$A13,全伝票!$C:$C,$C13)))</f>
        <v>0</v>
      </c>
      <c r="J13" s="159">
        <f>+IF($A13="",IF($C13="",SUMIFS(全伝票!N:N,全伝票!$B:$B,$B13),SUMIFS(全伝票!N:N,全伝票!$C:$C,$C13)),IF($C13="",SUMIFS(全伝票!N:N,全伝票!$A:$A,$A13,全伝票!$B:$B,$B13),SUMIFS(全伝票!N:N,全伝票!$A:$A,$A13,全伝票!$C:$C,$C13)))</f>
        <v>0</v>
      </c>
      <c r="K13" s="34">
        <f t="shared" si="0"/>
        <v>0</v>
      </c>
      <c r="L13" s="158">
        <f>+IF($A13="",IF($C13="",SUMIFS(全伝票!O:O,全伝票!$B:$B,$B13),SUMIFS(全伝票!O:O,全伝票!$C:$C,$C13)),IF($C13="",SUMIFS(全伝票!O:O,全伝票!$A:$A,$A13,全伝票!$B:$B,$B13),SUMIFS(全伝票!O:O,全伝票!$A:$A,$A13,全伝票!$C:$C,$C13)))</f>
        <v>0</v>
      </c>
      <c r="M13" s="158">
        <f>+IF($A13="",IF($C13="",SUMIFS(全伝票!P:P,全伝票!$B:$B,$B13),SUMIFS(全伝票!P:P,全伝票!$C:$C,$C13)),IF($C13="",SUMIFS(全伝票!P:P,全伝票!$A:$A,$A13,全伝票!$B:$B,$B13),SUMIFS(全伝票!P:P,全伝票!$A:$A,$A13,全伝票!$C:$C,$C13)))</f>
        <v>0</v>
      </c>
      <c r="N13" s="108">
        <f t="shared" si="1"/>
        <v>0</v>
      </c>
      <c r="O13" s="25">
        <f t="shared" si="3"/>
        <v>0</v>
      </c>
      <c r="P13" s="25">
        <f t="shared" si="2"/>
        <v>0</v>
      </c>
      <c r="Q13" s="157">
        <f t="shared" si="3"/>
        <v>0</v>
      </c>
      <c r="R13" s="157">
        <f t="shared" si="4"/>
        <v>0</v>
      </c>
      <c r="S13" s="22">
        <f t="shared" si="5"/>
        <v>0</v>
      </c>
      <c r="T13" s="109">
        <f t="shared" si="6"/>
        <v>0</v>
      </c>
      <c r="U13" s="107">
        <f t="shared" si="7"/>
        <v>0</v>
      </c>
      <c r="V13" s="107">
        <f t="shared" si="8"/>
        <v>0</v>
      </c>
      <c r="W13" s="107">
        <f t="shared" si="9"/>
        <v>0</v>
      </c>
      <c r="X13" s="107">
        <f t="shared" si="9"/>
        <v>0</v>
      </c>
      <c r="Y13" s="107">
        <f t="shared" si="10"/>
        <v>0</v>
      </c>
      <c r="Z13" s="106">
        <f t="shared" si="11"/>
        <v>0</v>
      </c>
      <c r="AA13" s="106">
        <f t="shared" si="12"/>
        <v>0</v>
      </c>
      <c r="AB13" s="106">
        <f t="shared" si="13"/>
        <v>0</v>
      </c>
      <c r="AC13" s="106">
        <f t="shared" si="13"/>
        <v>0</v>
      </c>
      <c r="AD13" s="106">
        <f t="shared" si="14"/>
        <v>0</v>
      </c>
    </row>
    <row r="14" spans="1:35">
      <c r="A14" s="165">
        <v>1</v>
      </c>
      <c r="B14" s="164" t="s">
        <v>202</v>
      </c>
      <c r="C14" s="163"/>
      <c r="D14" s="162" t="s">
        <v>93</v>
      </c>
      <c r="E14" s="158">
        <f>+IF($A14="",IF($C14="",SUMIFS(全伝票!I:I,全伝票!$B:$B,$B14),SUMIFS(全伝票!I:I,全伝票!$C:$C,$C14)),IF($C14="",SUMIFS(全伝票!I:I,全伝票!$A:$A,$A14,全伝票!$B:$B,$B14),SUMIFS(全伝票!I:I,全伝票!$A:$A,$A14,全伝票!$C:$C,$C14)))</f>
        <v>14320191</v>
      </c>
      <c r="F14" s="161">
        <f>+IF($A14="",IF($C14="",SUMIFS(全伝票!J:J,全伝票!$B:$B,$B14),SUMIFS(全伝票!J:J,全伝票!$C:$C,$C14)),IF($C14="",SUMIFS(全伝票!J:J,全伝票!$A:$A,$A14,全伝票!$B:$B,$B14),SUMIFS(全伝票!J:J,全伝票!$A:$A,$A14,全伝票!$C:$C,$C14)))</f>
        <v>0</v>
      </c>
      <c r="G14" s="160">
        <f>+IF($A14="",IF($C14="",SUMIFS(全伝票!K:K,全伝票!$B:$B,$B14),SUMIFS(全伝票!K:K,全伝票!$C:$C,$C14)),IF($C14="",SUMIFS(全伝票!K:K,全伝票!$A:$A,$A14,全伝票!$B:$B,$B14),SUMIFS(全伝票!K:K,全伝票!$A:$A,$A14,全伝票!$C:$C,$C14)))</f>
        <v>0</v>
      </c>
      <c r="H14" s="160">
        <f>+IF($A14="",IF($C14="",SUMIFS(全伝票!L:L,全伝票!$B:$B,$B14),SUMIFS(全伝票!L:L,全伝票!$C:$C,$C14)),IF($C14="",SUMIFS(全伝票!L:L,全伝票!$A:$A,$A14,全伝票!$B:$B,$B14),SUMIFS(全伝票!L:L,全伝票!$A:$A,$A14,全伝票!$C:$C,$C14)))</f>
        <v>0</v>
      </c>
      <c r="I14" s="159">
        <f>+IF($A14="",IF($C14="",SUMIFS(全伝票!M:M,全伝票!$B:$B,$B14),SUMIFS(全伝票!M:M,全伝票!$C:$C,$C14)),IF($C14="",SUMIFS(全伝票!M:M,全伝票!$A:$A,$A14,全伝票!$B:$B,$B14),SUMIFS(全伝票!M:M,全伝票!$A:$A,$A14,全伝票!$C:$C,$C14)))</f>
        <v>144600</v>
      </c>
      <c r="J14" s="159">
        <f>+IF($A14="",IF($C14="",SUMIFS(全伝票!N:N,全伝票!$B:$B,$B14),SUMIFS(全伝票!N:N,全伝票!$C:$C,$C14)),IF($C14="",SUMIFS(全伝票!N:N,全伝票!$A:$A,$A14,全伝票!$B:$B,$B14),SUMIFS(全伝票!N:N,全伝票!$A:$A,$A14,全伝票!$C:$C,$C14)))</f>
        <v>14175591</v>
      </c>
      <c r="K14" s="34">
        <f t="shared" si="0"/>
        <v>14320191</v>
      </c>
      <c r="L14" s="158">
        <f>+IF($A14="",IF($C14="",SUMIFS(全伝票!O:O,全伝票!$B:$B,$B14),SUMIFS(全伝票!O:O,全伝票!$C:$C,$C14)),IF($C14="",SUMIFS(全伝票!O:O,全伝票!$A:$A,$A14,全伝票!$B:$B,$B14),SUMIFS(全伝票!O:O,全伝票!$A:$A,$A14,全伝票!$C:$C,$C14)))</f>
        <v>0</v>
      </c>
      <c r="M14" s="158">
        <f>+IF($A14="",IF($C14="",SUMIFS(全伝票!P:P,全伝票!$B:$B,$B14),SUMIFS(全伝票!P:P,全伝票!$C:$C,$C14)),IF($C14="",SUMIFS(全伝票!P:P,全伝票!$A:$A,$A14,全伝票!$B:$B,$B14),SUMIFS(全伝票!P:P,全伝票!$A:$A,$A14,全伝票!$C:$C,$C14)))</f>
        <v>0</v>
      </c>
      <c r="N14" s="108">
        <f t="shared" si="1"/>
        <v>0</v>
      </c>
      <c r="O14" s="25">
        <f t="shared" si="3"/>
        <v>0</v>
      </c>
      <c r="P14" s="25">
        <f t="shared" si="2"/>
        <v>0</v>
      </c>
      <c r="Q14" s="157">
        <f t="shared" si="3"/>
        <v>10711</v>
      </c>
      <c r="R14" s="157">
        <f t="shared" si="4"/>
        <v>1288690</v>
      </c>
      <c r="S14" s="22">
        <f t="shared" si="5"/>
        <v>1299401</v>
      </c>
      <c r="T14" s="109">
        <f t="shared" si="6"/>
        <v>13020790</v>
      </c>
      <c r="U14" s="107">
        <f t="shared" si="7"/>
        <v>0</v>
      </c>
      <c r="V14" s="107">
        <f t="shared" si="8"/>
        <v>0</v>
      </c>
      <c r="W14" s="107">
        <f t="shared" si="9"/>
        <v>0</v>
      </c>
      <c r="X14" s="107">
        <f t="shared" si="9"/>
        <v>-0.11111111111131322</v>
      </c>
      <c r="Y14" s="107">
        <f t="shared" si="10"/>
        <v>-9.090909082442522E-2</v>
      </c>
      <c r="Z14" s="106">
        <f t="shared" si="11"/>
        <v>0</v>
      </c>
      <c r="AA14" s="106">
        <f t="shared" si="12"/>
        <v>0</v>
      </c>
      <c r="AB14" s="106">
        <f t="shared" si="13"/>
        <v>0</v>
      </c>
      <c r="AC14" s="106">
        <f t="shared" si="13"/>
        <v>0</v>
      </c>
      <c r="AD14" s="106">
        <f t="shared" si="14"/>
        <v>0</v>
      </c>
    </row>
    <row r="15" spans="1:35">
      <c r="A15" s="165">
        <v>1</v>
      </c>
      <c r="B15" s="164" t="s">
        <v>201</v>
      </c>
      <c r="C15" s="163"/>
      <c r="D15" s="162" t="s">
        <v>91</v>
      </c>
      <c r="E15" s="158">
        <f>+IF($A15="",IF($C15="",SUMIFS(全伝票!I:I,全伝票!$B:$B,$B15),SUMIFS(全伝票!I:I,全伝票!$C:$C,$C15)),IF($C15="",SUMIFS(全伝票!I:I,全伝票!$A:$A,$A15,全伝票!$B:$B,$B15),SUMIFS(全伝票!I:I,全伝票!$A:$A,$A15,全伝票!$C:$C,$C15)))</f>
        <v>333066</v>
      </c>
      <c r="F15" s="161">
        <f>+IF($A15="",IF($C15="",SUMIFS(全伝票!J:J,全伝票!$B:$B,$B15),SUMIFS(全伝票!J:J,全伝票!$C:$C,$C15)),IF($C15="",SUMIFS(全伝票!J:J,全伝票!$A:$A,$A15,全伝票!$B:$B,$B15),SUMIFS(全伝票!J:J,全伝票!$A:$A,$A15,全伝票!$C:$C,$C15)))</f>
        <v>0</v>
      </c>
      <c r="G15" s="160">
        <f>+IF($A15="",IF($C15="",SUMIFS(全伝票!K:K,全伝票!$B:$B,$B15),SUMIFS(全伝票!K:K,全伝票!$C:$C,$C15)),IF($C15="",SUMIFS(全伝票!K:K,全伝票!$A:$A,$A15,全伝票!$B:$B,$B15),SUMIFS(全伝票!K:K,全伝票!$A:$A,$A15,全伝票!$C:$C,$C15)))</f>
        <v>0</v>
      </c>
      <c r="H15" s="160">
        <f>+IF($A15="",IF($C15="",SUMIFS(全伝票!L:L,全伝票!$B:$B,$B15),SUMIFS(全伝票!L:L,全伝票!$C:$C,$C15)),IF($C15="",SUMIFS(全伝票!L:L,全伝票!$A:$A,$A15,全伝票!$B:$B,$B15),SUMIFS(全伝票!L:L,全伝票!$A:$A,$A15,全伝票!$C:$C,$C15)))</f>
        <v>0</v>
      </c>
      <c r="I15" s="159">
        <f>+IF($A15="",IF($C15="",SUMIFS(全伝票!M:M,全伝票!$B:$B,$B15),SUMIFS(全伝票!M:M,全伝票!$C:$C,$C15)),IF($C15="",SUMIFS(全伝票!M:M,全伝票!$A:$A,$A15,全伝票!$B:$B,$B15),SUMIFS(全伝票!M:M,全伝票!$A:$A,$A15,全伝票!$C:$C,$C15)))</f>
        <v>0</v>
      </c>
      <c r="J15" s="159">
        <f>+IF($A15="",IF($C15="",SUMIFS(全伝票!N:N,全伝票!$B:$B,$B15),SUMIFS(全伝票!N:N,全伝票!$C:$C,$C15)),IF($C15="",SUMIFS(全伝票!N:N,全伝票!$A:$A,$A15,全伝票!$B:$B,$B15),SUMIFS(全伝票!N:N,全伝票!$A:$A,$A15,全伝票!$C:$C,$C15)))</f>
        <v>333066</v>
      </c>
      <c r="K15" s="34">
        <f t="shared" si="0"/>
        <v>333066</v>
      </c>
      <c r="L15" s="158">
        <f>+IF($A15="",IF($C15="",SUMIFS(全伝票!O:O,全伝票!$B:$B,$B15),SUMIFS(全伝票!O:O,全伝票!$C:$C,$C15)),IF($C15="",SUMIFS(全伝票!O:O,全伝票!$A:$A,$A15,全伝票!$B:$B,$B15),SUMIFS(全伝票!O:O,全伝票!$A:$A,$A15,全伝票!$C:$C,$C15)))</f>
        <v>0</v>
      </c>
      <c r="M15" s="158">
        <f>+IF($A15="",IF($C15="",SUMIFS(全伝票!P:P,全伝票!$B:$B,$B15),SUMIFS(全伝票!P:P,全伝票!$C:$C,$C15)),IF($C15="",SUMIFS(全伝票!P:P,全伝票!$A:$A,$A15,全伝票!$B:$B,$B15),SUMIFS(全伝票!P:P,全伝票!$A:$A,$A15,全伝票!$C:$C,$C15)))</f>
        <v>0</v>
      </c>
      <c r="N15" s="108">
        <f t="shared" si="1"/>
        <v>0</v>
      </c>
      <c r="O15" s="25">
        <f t="shared" si="3"/>
        <v>0</v>
      </c>
      <c r="P15" s="25">
        <f t="shared" si="2"/>
        <v>0</v>
      </c>
      <c r="Q15" s="157">
        <f t="shared" si="3"/>
        <v>0</v>
      </c>
      <c r="R15" s="157">
        <f t="shared" si="4"/>
        <v>30279</v>
      </c>
      <c r="S15" s="22">
        <f t="shared" si="5"/>
        <v>30279</v>
      </c>
      <c r="T15" s="109">
        <f t="shared" si="6"/>
        <v>302787</v>
      </c>
      <c r="U15" s="107">
        <f t="shared" si="7"/>
        <v>0</v>
      </c>
      <c r="V15" s="107">
        <f t="shared" si="8"/>
        <v>0</v>
      </c>
      <c r="W15" s="107">
        <f t="shared" si="9"/>
        <v>0</v>
      </c>
      <c r="X15" s="107">
        <f t="shared" si="9"/>
        <v>0</v>
      </c>
      <c r="Y15" s="107">
        <f t="shared" si="10"/>
        <v>0.27272727272793418</v>
      </c>
      <c r="Z15" s="106">
        <f t="shared" si="11"/>
        <v>0</v>
      </c>
      <c r="AA15" s="106">
        <f t="shared" si="12"/>
        <v>0</v>
      </c>
      <c r="AB15" s="106">
        <f t="shared" si="13"/>
        <v>0</v>
      </c>
      <c r="AC15" s="106">
        <f t="shared" si="13"/>
        <v>0</v>
      </c>
      <c r="AD15" s="106">
        <f t="shared" si="14"/>
        <v>0</v>
      </c>
    </row>
    <row r="16" spans="1:35">
      <c r="A16" s="165">
        <v>1</v>
      </c>
      <c r="B16" s="164" t="s">
        <v>200</v>
      </c>
      <c r="C16" s="163"/>
      <c r="D16" s="162" t="s">
        <v>89</v>
      </c>
      <c r="E16" s="158">
        <f>+IF($A16="",IF($C16="",SUMIFS(全伝票!I:I,全伝票!$B:$B,$B16),SUMIFS(全伝票!I:I,全伝票!$C:$C,$C16)),IF($C16="",SUMIFS(全伝票!I:I,全伝票!$A:$A,$A16,全伝票!$B:$B,$B16),SUMIFS(全伝票!I:I,全伝票!$A:$A,$A16,全伝票!$C:$C,$C16)))</f>
        <v>12953428</v>
      </c>
      <c r="F16" s="161">
        <f>+IF($A16="",IF($C16="",SUMIFS(全伝票!J:J,全伝票!$B:$B,$B16),SUMIFS(全伝票!J:J,全伝票!$C:$C,$C16)),IF($C16="",SUMIFS(全伝票!J:J,全伝票!$A:$A,$A16,全伝票!$B:$B,$B16),SUMIFS(全伝票!J:J,全伝票!$A:$A,$A16,全伝票!$C:$C,$C16)))</f>
        <v>0</v>
      </c>
      <c r="G16" s="160">
        <f>+IF($A16="",IF($C16="",SUMIFS(全伝票!K:K,全伝票!$B:$B,$B16),SUMIFS(全伝票!K:K,全伝票!$C:$C,$C16)),IF($C16="",SUMIFS(全伝票!K:K,全伝票!$A:$A,$A16,全伝票!$B:$B,$B16),SUMIFS(全伝票!K:K,全伝票!$A:$A,$A16,全伝票!$C:$C,$C16)))</f>
        <v>0</v>
      </c>
      <c r="H16" s="160">
        <f>+IF($A16="",IF($C16="",SUMIFS(全伝票!L:L,全伝票!$B:$B,$B16),SUMIFS(全伝票!L:L,全伝票!$C:$C,$C16)),IF($C16="",SUMIFS(全伝票!L:L,全伝票!$A:$A,$A16,全伝票!$B:$B,$B16),SUMIFS(全伝票!L:L,全伝票!$A:$A,$A16,全伝票!$C:$C,$C16)))</f>
        <v>0</v>
      </c>
      <c r="I16" s="159">
        <f>+IF($A16="",IF($C16="",SUMIFS(全伝票!M:M,全伝票!$B:$B,$B16),SUMIFS(全伝票!M:M,全伝票!$C:$C,$C16)),IF($C16="",SUMIFS(全伝票!M:M,全伝票!$A:$A,$A16,全伝票!$B:$B,$B16),SUMIFS(全伝票!M:M,全伝票!$A:$A,$A16,全伝票!$C:$C,$C16)))</f>
        <v>0</v>
      </c>
      <c r="J16" s="159">
        <f>+IF($A16="",IF($C16="",SUMIFS(全伝票!N:N,全伝票!$B:$B,$B16),SUMIFS(全伝票!N:N,全伝票!$C:$C,$C16)),IF($C16="",SUMIFS(全伝票!N:N,全伝票!$A:$A,$A16,全伝票!$B:$B,$B16),SUMIFS(全伝票!N:N,全伝票!$A:$A,$A16,全伝票!$C:$C,$C16)))</f>
        <v>12953428</v>
      </c>
      <c r="K16" s="34">
        <f t="shared" si="0"/>
        <v>12953428</v>
      </c>
      <c r="L16" s="158">
        <f>+IF($A16="",IF($C16="",SUMIFS(全伝票!O:O,全伝票!$B:$B,$B16),SUMIFS(全伝票!O:O,全伝票!$C:$C,$C16)),IF($C16="",SUMIFS(全伝票!O:O,全伝票!$A:$A,$A16,全伝票!$B:$B,$B16),SUMIFS(全伝票!O:O,全伝票!$A:$A,$A16,全伝票!$C:$C,$C16)))</f>
        <v>0</v>
      </c>
      <c r="M16" s="158">
        <f>+IF($A16="",IF($C16="",SUMIFS(全伝票!P:P,全伝票!$B:$B,$B16),SUMIFS(全伝票!P:P,全伝票!$C:$C,$C16)),IF($C16="",SUMIFS(全伝票!P:P,全伝票!$A:$A,$A16,全伝票!$B:$B,$B16),SUMIFS(全伝票!P:P,全伝票!$A:$A,$A16,全伝票!$C:$C,$C16)))</f>
        <v>0</v>
      </c>
      <c r="N16" s="108">
        <f t="shared" si="1"/>
        <v>0</v>
      </c>
      <c r="O16" s="25">
        <f t="shared" si="3"/>
        <v>0</v>
      </c>
      <c r="P16" s="25">
        <f t="shared" si="2"/>
        <v>0</v>
      </c>
      <c r="Q16" s="157">
        <f t="shared" si="3"/>
        <v>0</v>
      </c>
      <c r="R16" s="157">
        <f t="shared" si="4"/>
        <v>1177584</v>
      </c>
      <c r="S16" s="22">
        <f t="shared" si="5"/>
        <v>1177584</v>
      </c>
      <c r="T16" s="109">
        <f t="shared" si="6"/>
        <v>11775844</v>
      </c>
      <c r="U16" s="107">
        <f t="shared" si="7"/>
        <v>0</v>
      </c>
      <c r="V16" s="107">
        <f t="shared" si="8"/>
        <v>0</v>
      </c>
      <c r="W16" s="107">
        <f t="shared" si="9"/>
        <v>0</v>
      </c>
      <c r="X16" s="107">
        <f t="shared" si="9"/>
        <v>0</v>
      </c>
      <c r="Y16" s="107">
        <f t="shared" si="10"/>
        <v>-0.36363636353053153</v>
      </c>
      <c r="Z16" s="106">
        <f t="shared" si="11"/>
        <v>0</v>
      </c>
      <c r="AA16" s="106">
        <f t="shared" si="12"/>
        <v>0</v>
      </c>
      <c r="AB16" s="106">
        <f t="shared" si="13"/>
        <v>0</v>
      </c>
      <c r="AC16" s="106">
        <f t="shared" si="13"/>
        <v>0</v>
      </c>
      <c r="AD16" s="106">
        <f t="shared" si="14"/>
        <v>0</v>
      </c>
    </row>
    <row r="17" spans="1:35">
      <c r="A17" s="165">
        <v>1</v>
      </c>
      <c r="B17" s="164" t="s">
        <v>199</v>
      </c>
      <c r="C17" s="163"/>
      <c r="D17" s="162" t="s">
        <v>87</v>
      </c>
      <c r="E17" s="158">
        <f>+IF($A17="",IF($C17="",SUMIFS(全伝票!I:I,全伝票!$B:$B,$B17),SUMIFS(全伝票!I:I,全伝票!$C:$C,$C17)),IF($C17="",SUMIFS(全伝票!I:I,全伝票!$A:$A,$A17,全伝票!$B:$B,$B17),SUMIFS(全伝票!I:I,全伝票!$A:$A,$A17,全伝票!$C:$C,$C17)))</f>
        <v>2514300</v>
      </c>
      <c r="F17" s="161">
        <f>+IF($A17="",IF($C17="",SUMIFS(全伝票!J:J,全伝票!$B:$B,$B17),SUMIFS(全伝票!J:J,全伝票!$C:$C,$C17)),IF($C17="",SUMIFS(全伝票!J:J,全伝票!$A:$A,$A17,全伝票!$B:$B,$B17),SUMIFS(全伝票!J:J,全伝票!$A:$A,$A17,全伝票!$C:$C,$C17)))</f>
        <v>0</v>
      </c>
      <c r="G17" s="160">
        <f>+IF($A17="",IF($C17="",SUMIFS(全伝票!K:K,全伝票!$B:$B,$B17),SUMIFS(全伝票!K:K,全伝票!$C:$C,$C17)),IF($C17="",SUMIFS(全伝票!K:K,全伝票!$A:$A,$A17,全伝票!$B:$B,$B17),SUMIFS(全伝票!K:K,全伝票!$A:$A,$A17,全伝票!$C:$C,$C17)))</f>
        <v>0</v>
      </c>
      <c r="H17" s="160">
        <f>+IF($A17="",IF($C17="",SUMIFS(全伝票!L:L,全伝票!$B:$B,$B17),SUMIFS(全伝票!L:L,全伝票!$C:$C,$C17)),IF($C17="",SUMIFS(全伝票!L:L,全伝票!$A:$A,$A17,全伝票!$B:$B,$B17),SUMIFS(全伝票!L:L,全伝票!$A:$A,$A17,全伝票!$C:$C,$C17)))</f>
        <v>0</v>
      </c>
      <c r="I17" s="159">
        <f>+IF($A17="",IF($C17="",SUMIFS(全伝票!M:M,全伝票!$B:$B,$B17),SUMIFS(全伝票!M:M,全伝票!$C:$C,$C17)),IF($C17="",SUMIFS(全伝票!M:M,全伝票!$A:$A,$A17,全伝票!$B:$B,$B17),SUMIFS(全伝票!M:M,全伝票!$A:$A,$A17,全伝票!$C:$C,$C17)))</f>
        <v>0</v>
      </c>
      <c r="J17" s="159">
        <f>+IF($A17="",IF($C17="",SUMIFS(全伝票!N:N,全伝票!$B:$B,$B17),SUMIFS(全伝票!N:N,全伝票!$C:$C,$C17)),IF($C17="",SUMIFS(全伝票!N:N,全伝票!$A:$A,$A17,全伝票!$B:$B,$B17),SUMIFS(全伝票!N:N,全伝票!$A:$A,$A17,全伝票!$C:$C,$C17)))</f>
        <v>2514300</v>
      </c>
      <c r="K17" s="34">
        <f t="shared" si="0"/>
        <v>2514300</v>
      </c>
      <c r="L17" s="158">
        <f>+IF($A17="",IF($C17="",SUMIFS(全伝票!O:O,全伝票!$B:$B,$B17),SUMIFS(全伝票!O:O,全伝票!$C:$C,$C17)),IF($C17="",SUMIFS(全伝票!O:O,全伝票!$A:$A,$A17,全伝票!$B:$B,$B17),SUMIFS(全伝票!O:O,全伝票!$A:$A,$A17,全伝票!$C:$C,$C17)))</f>
        <v>0</v>
      </c>
      <c r="M17" s="158">
        <f>+IF($A17="",IF($C17="",SUMIFS(全伝票!P:P,全伝票!$B:$B,$B17),SUMIFS(全伝票!P:P,全伝票!$C:$C,$C17)),IF($C17="",SUMIFS(全伝票!P:P,全伝票!$A:$A,$A17,全伝票!$B:$B,$B17),SUMIFS(全伝票!P:P,全伝票!$A:$A,$A17,全伝票!$C:$C,$C17)))</f>
        <v>0</v>
      </c>
      <c r="N17" s="108">
        <f t="shared" si="1"/>
        <v>0</v>
      </c>
      <c r="O17" s="25">
        <f t="shared" si="3"/>
        <v>0</v>
      </c>
      <c r="P17" s="25">
        <f t="shared" si="2"/>
        <v>0</v>
      </c>
      <c r="Q17" s="157">
        <f t="shared" si="3"/>
        <v>0</v>
      </c>
      <c r="R17" s="157">
        <f t="shared" si="4"/>
        <v>228573</v>
      </c>
      <c r="S17" s="22">
        <f t="shared" si="5"/>
        <v>228573</v>
      </c>
      <c r="T17" s="109">
        <f t="shared" si="6"/>
        <v>2285727</v>
      </c>
      <c r="U17" s="107">
        <f t="shared" si="7"/>
        <v>0</v>
      </c>
      <c r="V17" s="107">
        <f t="shared" si="8"/>
        <v>0</v>
      </c>
      <c r="W17" s="107">
        <f t="shared" si="9"/>
        <v>0</v>
      </c>
      <c r="X17" s="107">
        <f t="shared" si="9"/>
        <v>0</v>
      </c>
      <c r="Y17" s="107">
        <f t="shared" si="10"/>
        <v>0.27272727273521014</v>
      </c>
      <c r="Z17" s="106">
        <f t="shared" si="11"/>
        <v>0</v>
      </c>
      <c r="AA17" s="106">
        <f t="shared" si="12"/>
        <v>0</v>
      </c>
      <c r="AB17" s="106">
        <f t="shared" si="13"/>
        <v>0</v>
      </c>
      <c r="AC17" s="106">
        <f t="shared" si="13"/>
        <v>0</v>
      </c>
      <c r="AD17" s="106">
        <f t="shared" si="14"/>
        <v>0</v>
      </c>
    </row>
    <row r="18" spans="1:35">
      <c r="A18" s="165">
        <v>1</v>
      </c>
      <c r="B18" s="164" t="s">
        <v>198</v>
      </c>
      <c r="C18" s="163"/>
      <c r="D18" s="162" t="s">
        <v>85</v>
      </c>
      <c r="E18" s="158">
        <f>+IF($A18="",IF($C18="",SUMIFS(全伝票!I:I,全伝票!$B:$B,$B18),SUMIFS(全伝票!I:I,全伝票!$C:$C,$C18)),IF($C18="",SUMIFS(全伝票!I:I,全伝票!$A:$A,$A18,全伝票!$B:$B,$B18),SUMIFS(全伝票!I:I,全伝票!$A:$A,$A18,全伝票!$C:$C,$C18)))</f>
        <v>268755</v>
      </c>
      <c r="F18" s="161">
        <f>+IF($A18="",IF($C18="",SUMIFS(全伝票!J:J,全伝票!$B:$B,$B18),SUMIFS(全伝票!J:J,全伝票!$C:$C,$C18)),IF($C18="",SUMIFS(全伝票!J:J,全伝票!$A:$A,$A18,全伝票!$B:$B,$B18),SUMIFS(全伝票!J:J,全伝票!$A:$A,$A18,全伝票!$C:$C,$C18)))</f>
        <v>0</v>
      </c>
      <c r="G18" s="160">
        <f>+IF($A18="",IF($C18="",SUMIFS(全伝票!K:K,全伝票!$B:$B,$B18),SUMIFS(全伝票!K:K,全伝票!$C:$C,$C18)),IF($C18="",SUMIFS(全伝票!K:K,全伝票!$A:$A,$A18,全伝票!$B:$B,$B18),SUMIFS(全伝票!K:K,全伝票!$A:$A,$A18,全伝票!$C:$C,$C18)))</f>
        <v>0</v>
      </c>
      <c r="H18" s="160">
        <f>+IF($A18="",IF($C18="",SUMIFS(全伝票!L:L,全伝票!$B:$B,$B18),SUMIFS(全伝票!L:L,全伝票!$C:$C,$C18)),IF($C18="",SUMIFS(全伝票!L:L,全伝票!$A:$A,$A18,全伝票!$B:$B,$B18),SUMIFS(全伝票!L:L,全伝票!$A:$A,$A18,全伝票!$C:$C,$C18)))</f>
        <v>0</v>
      </c>
      <c r="I18" s="159">
        <f>+IF($A18="",IF($C18="",SUMIFS(全伝票!M:M,全伝票!$B:$B,$B18),SUMIFS(全伝票!M:M,全伝票!$C:$C,$C18)),IF($C18="",SUMIFS(全伝票!M:M,全伝票!$A:$A,$A18,全伝票!$B:$B,$B18),SUMIFS(全伝票!M:M,全伝票!$A:$A,$A18,全伝票!$C:$C,$C18)))</f>
        <v>0</v>
      </c>
      <c r="J18" s="159">
        <f>+IF($A18="",IF($C18="",SUMIFS(全伝票!N:N,全伝票!$B:$B,$B18),SUMIFS(全伝票!N:N,全伝票!$C:$C,$C18)),IF($C18="",SUMIFS(全伝票!N:N,全伝票!$A:$A,$A18,全伝票!$B:$B,$B18),SUMIFS(全伝票!N:N,全伝票!$A:$A,$A18,全伝票!$C:$C,$C18)))</f>
        <v>256855</v>
      </c>
      <c r="K18" s="34">
        <f t="shared" si="0"/>
        <v>256855</v>
      </c>
      <c r="L18" s="158">
        <f>+IF($A18="",IF($C18="",SUMIFS(全伝票!O:O,全伝票!$B:$B,$B18),SUMIFS(全伝票!O:O,全伝票!$C:$C,$C18)),IF($C18="",SUMIFS(全伝票!O:O,全伝票!$A:$A,$A18,全伝票!$B:$B,$B18),SUMIFS(全伝票!O:O,全伝票!$A:$A,$A18,全伝票!$C:$C,$C18)))</f>
        <v>11900</v>
      </c>
      <c r="M18" s="158">
        <f>+IF($A18="",IF($C18="",SUMIFS(全伝票!P:P,全伝票!$B:$B,$B18),SUMIFS(全伝票!P:P,全伝票!$C:$C,$C18)),IF($C18="",SUMIFS(全伝票!P:P,全伝票!$A:$A,$A18,全伝票!$B:$B,$B18),SUMIFS(全伝票!P:P,全伝票!$A:$A,$A18,全伝票!$C:$C,$C18)))</f>
        <v>0</v>
      </c>
      <c r="N18" s="108">
        <f t="shared" si="1"/>
        <v>0</v>
      </c>
      <c r="O18" s="25">
        <f t="shared" si="3"/>
        <v>0</v>
      </c>
      <c r="P18" s="25">
        <f t="shared" si="2"/>
        <v>0</v>
      </c>
      <c r="Q18" s="157">
        <f t="shared" si="3"/>
        <v>0</v>
      </c>
      <c r="R18" s="157">
        <f t="shared" si="4"/>
        <v>23351</v>
      </c>
      <c r="S18" s="22">
        <f t="shared" si="5"/>
        <v>23351</v>
      </c>
      <c r="T18" s="109">
        <f t="shared" si="6"/>
        <v>245404</v>
      </c>
      <c r="U18" s="107">
        <f t="shared" si="7"/>
        <v>0</v>
      </c>
      <c r="V18" s="107">
        <f t="shared" si="8"/>
        <v>0</v>
      </c>
      <c r="W18" s="107">
        <f t="shared" si="9"/>
        <v>0</v>
      </c>
      <c r="X18" s="107">
        <f t="shared" si="9"/>
        <v>0</v>
      </c>
      <c r="Y18" s="107">
        <f t="shared" si="10"/>
        <v>0.54545454545586836</v>
      </c>
      <c r="Z18" s="106">
        <f t="shared" si="11"/>
        <v>0</v>
      </c>
      <c r="AA18" s="106">
        <f t="shared" si="12"/>
        <v>0</v>
      </c>
      <c r="AB18" s="106">
        <f t="shared" si="13"/>
        <v>0</v>
      </c>
      <c r="AC18" s="106">
        <f t="shared" si="13"/>
        <v>0</v>
      </c>
      <c r="AD18" s="106">
        <f t="shared" si="14"/>
        <v>0</v>
      </c>
      <c r="AI18" s="2">
        <v>1</v>
      </c>
    </row>
    <row r="19" spans="1:35">
      <c r="A19" s="165">
        <v>1</v>
      </c>
      <c r="B19" s="164" t="s">
        <v>197</v>
      </c>
      <c r="C19" s="163"/>
      <c r="D19" s="162" t="s">
        <v>83</v>
      </c>
      <c r="E19" s="158">
        <f>+IF($A19="",IF($C19="",SUMIFS(全伝票!I:I,全伝票!$B:$B,$B19),SUMIFS(全伝票!I:I,全伝票!$C:$C,$C19)),IF($C19="",SUMIFS(全伝票!I:I,全伝票!$A:$A,$A19,全伝票!$B:$B,$B19),SUMIFS(全伝票!I:I,全伝票!$A:$A,$A19,全伝票!$C:$C,$C19)))</f>
        <v>1481824</v>
      </c>
      <c r="F19" s="161">
        <f>+IF($A19="",IF($C19="",SUMIFS(全伝票!J:J,全伝票!$B:$B,$B19),SUMIFS(全伝票!J:J,全伝票!$C:$C,$C19)),IF($C19="",SUMIFS(全伝票!J:J,全伝票!$A:$A,$A19,全伝票!$B:$B,$B19),SUMIFS(全伝票!J:J,全伝票!$A:$A,$A19,全伝票!$C:$C,$C19)))</f>
        <v>0</v>
      </c>
      <c r="G19" s="160">
        <f>+IF($A19="",IF($C19="",SUMIFS(全伝票!K:K,全伝票!$B:$B,$B19),SUMIFS(全伝票!K:K,全伝票!$C:$C,$C19)),IF($C19="",SUMIFS(全伝票!K:K,全伝票!$A:$A,$A19,全伝票!$B:$B,$B19),SUMIFS(全伝票!K:K,全伝票!$A:$A,$A19,全伝票!$C:$C,$C19)))</f>
        <v>0</v>
      </c>
      <c r="H19" s="160">
        <f>+IF($A19="",IF($C19="",SUMIFS(全伝票!L:L,全伝票!$B:$B,$B19),SUMIFS(全伝票!L:L,全伝票!$C:$C,$C19)),IF($C19="",SUMIFS(全伝票!L:L,全伝票!$A:$A,$A19,全伝票!$B:$B,$B19),SUMIFS(全伝票!L:L,全伝票!$A:$A,$A19,全伝票!$C:$C,$C19)))</f>
        <v>518400</v>
      </c>
      <c r="I19" s="159">
        <f>+IF($A19="",IF($C19="",SUMIFS(全伝票!M:M,全伝票!$B:$B,$B19),SUMIFS(全伝票!M:M,全伝票!$C:$C,$C19)),IF($C19="",SUMIFS(全伝票!M:M,全伝票!$A:$A,$A19,全伝票!$B:$B,$B19),SUMIFS(全伝票!M:M,全伝票!$A:$A,$A19,全伝票!$C:$C,$C19)))</f>
        <v>0</v>
      </c>
      <c r="J19" s="159">
        <f>+IF($A19="",IF($C19="",SUMIFS(全伝票!N:N,全伝票!$B:$B,$B19),SUMIFS(全伝票!N:N,全伝票!$C:$C,$C19)),IF($C19="",SUMIFS(全伝票!N:N,全伝票!$A:$A,$A19,全伝票!$B:$B,$B19),SUMIFS(全伝票!N:N,全伝票!$A:$A,$A19,全伝票!$C:$C,$C19)))</f>
        <v>963424</v>
      </c>
      <c r="K19" s="34">
        <f t="shared" si="0"/>
        <v>1481824</v>
      </c>
      <c r="L19" s="158">
        <f>+IF($A19="",IF($C19="",SUMIFS(全伝票!O:O,全伝票!$B:$B,$B19),SUMIFS(全伝票!O:O,全伝票!$C:$C,$C19)),IF($C19="",SUMIFS(全伝票!O:O,全伝票!$A:$A,$A19,全伝票!$B:$B,$B19),SUMIFS(全伝票!O:O,全伝票!$A:$A,$A19,全伝票!$C:$C,$C19)))</f>
        <v>0</v>
      </c>
      <c r="M19" s="158">
        <f>+IF($A19="",IF($C19="",SUMIFS(全伝票!P:P,全伝票!$B:$B,$B19),SUMIFS(全伝票!P:P,全伝票!$C:$C,$C19)),IF($C19="",SUMIFS(全伝票!P:P,全伝票!$A:$A,$A19,全伝票!$B:$B,$B19),SUMIFS(全伝票!P:P,全伝票!$A:$A,$A19,全伝票!$C:$C,$C19)))</f>
        <v>0</v>
      </c>
      <c r="N19" s="108">
        <f t="shared" si="1"/>
        <v>0</v>
      </c>
      <c r="O19" s="25">
        <f t="shared" si="3"/>
        <v>0</v>
      </c>
      <c r="P19" s="25">
        <f t="shared" si="2"/>
        <v>38400</v>
      </c>
      <c r="Q19" s="157">
        <f t="shared" si="3"/>
        <v>0</v>
      </c>
      <c r="R19" s="157">
        <f t="shared" si="4"/>
        <v>87584</v>
      </c>
      <c r="S19" s="22">
        <f t="shared" si="5"/>
        <v>125984</v>
      </c>
      <c r="T19" s="109">
        <f t="shared" si="6"/>
        <v>1355840</v>
      </c>
      <c r="U19" s="107">
        <f t="shared" si="7"/>
        <v>0</v>
      </c>
      <c r="V19" s="107">
        <f t="shared" si="8"/>
        <v>0</v>
      </c>
      <c r="W19" s="107">
        <f t="shared" si="9"/>
        <v>0</v>
      </c>
      <c r="X19" s="107">
        <f t="shared" si="9"/>
        <v>0</v>
      </c>
      <c r="Y19" s="107">
        <f t="shared" si="10"/>
        <v>0</v>
      </c>
      <c r="Z19" s="106">
        <f t="shared" si="11"/>
        <v>0</v>
      </c>
      <c r="AA19" s="106">
        <f t="shared" si="12"/>
        <v>0</v>
      </c>
      <c r="AB19" s="106">
        <f t="shared" si="13"/>
        <v>0</v>
      </c>
      <c r="AC19" s="106">
        <f t="shared" si="13"/>
        <v>0</v>
      </c>
      <c r="AD19" s="106">
        <f t="shared" si="14"/>
        <v>0</v>
      </c>
    </row>
    <row r="20" spans="1:35">
      <c r="A20" s="165">
        <v>1</v>
      </c>
      <c r="B20" s="164" t="s">
        <v>196</v>
      </c>
      <c r="C20" s="163"/>
      <c r="D20" s="162" t="s">
        <v>81</v>
      </c>
      <c r="E20" s="158">
        <f>+IF($A20="",IF($C20="",SUMIFS(全伝票!I:I,全伝票!$B:$B,$B20),SUMIFS(全伝票!I:I,全伝票!$C:$C,$C20)),IF($C20="",SUMIFS(全伝票!I:I,全伝票!$A:$A,$A20,全伝票!$B:$B,$B20),SUMIFS(全伝票!I:I,全伝票!$A:$A,$A20,全伝票!$C:$C,$C20)))</f>
        <v>3225357455</v>
      </c>
      <c r="F20" s="161">
        <f>+IF($A20="",IF($C20="",SUMIFS(全伝票!J:J,全伝票!$B:$B,$B20),SUMIFS(全伝票!J:J,全伝票!$C:$C,$C20)),IF($C20="",SUMIFS(全伝票!J:J,全伝票!$A:$A,$A20,全伝票!$B:$B,$B20),SUMIFS(全伝票!J:J,全伝票!$A:$A,$A20,全伝票!$C:$C,$C20)))</f>
        <v>0</v>
      </c>
      <c r="G20" s="160">
        <f>+IF($A20="",IF($C20="",SUMIFS(全伝票!K:K,全伝票!$B:$B,$B20),SUMIFS(全伝票!K:K,全伝票!$C:$C,$C20)),IF($C20="",SUMIFS(全伝票!K:K,全伝票!$A:$A,$A20,全伝票!$B:$B,$B20),SUMIFS(全伝票!K:K,全伝票!$A:$A,$A20,全伝票!$C:$C,$C20)))</f>
        <v>0</v>
      </c>
      <c r="H20" s="160">
        <f>+IF($A20="",IF($C20="",SUMIFS(全伝票!L:L,全伝票!$B:$B,$B20),SUMIFS(全伝票!L:L,全伝票!$C:$C,$C20)),IF($C20="",SUMIFS(全伝票!L:L,全伝票!$A:$A,$A20,全伝票!$B:$B,$B20),SUMIFS(全伝票!L:L,全伝票!$A:$A,$A20,全伝票!$C:$C,$C20)))</f>
        <v>0</v>
      </c>
      <c r="I20" s="159">
        <f>+IF($A20="",IF($C20="",SUMIFS(全伝票!M:M,全伝票!$B:$B,$B20),SUMIFS(全伝票!M:M,全伝票!$C:$C,$C20)),IF($C20="",SUMIFS(全伝票!M:M,全伝票!$A:$A,$A20,全伝票!$B:$B,$B20),SUMIFS(全伝票!M:M,全伝票!$A:$A,$A20,全伝票!$C:$C,$C20)))</f>
        <v>0</v>
      </c>
      <c r="J20" s="159">
        <f>+IF($A20="",IF($C20="",SUMIFS(全伝票!N:N,全伝票!$B:$B,$B20),SUMIFS(全伝票!N:N,全伝票!$C:$C,$C20)),IF($C20="",SUMIFS(全伝票!N:N,全伝票!$A:$A,$A20,全伝票!$B:$B,$B20),SUMIFS(全伝票!N:N,全伝票!$A:$A,$A20,全伝票!$C:$C,$C20)))</f>
        <v>3225357455</v>
      </c>
      <c r="K20" s="34">
        <f t="shared" si="0"/>
        <v>3225357455</v>
      </c>
      <c r="L20" s="158">
        <f>+IF($A20="",IF($C20="",SUMIFS(全伝票!O:O,全伝票!$B:$B,$B20),SUMIFS(全伝票!O:O,全伝票!$C:$C,$C20)),IF($C20="",SUMIFS(全伝票!O:O,全伝票!$A:$A,$A20,全伝票!$B:$B,$B20),SUMIFS(全伝票!O:O,全伝票!$A:$A,$A20,全伝票!$C:$C,$C20)))</f>
        <v>0</v>
      </c>
      <c r="M20" s="158">
        <f>+IF($A20="",IF($C20="",SUMIFS(全伝票!P:P,全伝票!$B:$B,$B20),SUMIFS(全伝票!P:P,全伝票!$C:$C,$C20)),IF($C20="",SUMIFS(全伝票!P:P,全伝票!$A:$A,$A20,全伝票!$B:$B,$B20),SUMIFS(全伝票!P:P,全伝票!$A:$A,$A20,全伝票!$C:$C,$C20)))</f>
        <v>0</v>
      </c>
      <c r="N20" s="108">
        <f t="shared" si="1"/>
        <v>0</v>
      </c>
      <c r="O20" s="25">
        <f t="shared" si="3"/>
        <v>0</v>
      </c>
      <c r="P20" s="25">
        <f t="shared" si="2"/>
        <v>0</v>
      </c>
      <c r="Q20" s="157">
        <f t="shared" si="3"/>
        <v>0</v>
      </c>
      <c r="R20" s="157">
        <f t="shared" si="4"/>
        <v>293214314</v>
      </c>
      <c r="S20" s="22">
        <f t="shared" si="5"/>
        <v>293214314</v>
      </c>
      <c r="T20" s="109">
        <f t="shared" si="6"/>
        <v>2932143141</v>
      </c>
      <c r="U20" s="107">
        <f t="shared" si="7"/>
        <v>0</v>
      </c>
      <c r="V20" s="107">
        <f t="shared" si="8"/>
        <v>0</v>
      </c>
      <c r="W20" s="107">
        <f t="shared" si="9"/>
        <v>0</v>
      </c>
      <c r="X20" s="107">
        <f t="shared" si="9"/>
        <v>0</v>
      </c>
      <c r="Y20" s="107">
        <f t="shared" si="10"/>
        <v>-9.0909063816070557E-2</v>
      </c>
      <c r="Z20" s="106">
        <f t="shared" si="11"/>
        <v>0</v>
      </c>
      <c r="AA20" s="106">
        <f t="shared" si="12"/>
        <v>0</v>
      </c>
      <c r="AB20" s="106">
        <f t="shared" si="13"/>
        <v>0</v>
      </c>
      <c r="AC20" s="106">
        <f t="shared" si="13"/>
        <v>0</v>
      </c>
      <c r="AD20" s="106">
        <f t="shared" si="14"/>
        <v>0</v>
      </c>
    </row>
    <row r="21" spans="1:35">
      <c r="A21" s="165">
        <v>1</v>
      </c>
      <c r="B21" s="164" t="s">
        <v>195</v>
      </c>
      <c r="C21" s="163"/>
      <c r="D21" s="162" t="s">
        <v>79</v>
      </c>
      <c r="E21" s="158">
        <f>+IF($A21="",IF($C21="",SUMIFS(全伝票!I:I,全伝票!$B:$B,$B21),SUMIFS(全伝票!I:I,全伝票!$C:$C,$C21)),IF($C21="",SUMIFS(全伝票!I:I,全伝票!$A:$A,$A21,全伝票!$B:$B,$B21),SUMIFS(全伝票!I:I,全伝票!$A:$A,$A21,全伝票!$C:$C,$C21)))</f>
        <v>216228011</v>
      </c>
      <c r="F21" s="161">
        <f>+IF($A21="",IF($C21="",SUMIFS(全伝票!J:J,全伝票!$B:$B,$B21),SUMIFS(全伝票!J:J,全伝票!$C:$C,$C21)),IF($C21="",SUMIFS(全伝票!J:J,全伝票!$A:$A,$A21,全伝票!$B:$B,$B21),SUMIFS(全伝票!J:J,全伝票!$A:$A,$A21,全伝票!$C:$C,$C21)))</f>
        <v>0</v>
      </c>
      <c r="G21" s="160">
        <f>+IF($A21="",IF($C21="",SUMIFS(全伝票!K:K,全伝票!$B:$B,$B21),SUMIFS(全伝票!K:K,全伝票!$C:$C,$C21)),IF($C21="",SUMIFS(全伝票!K:K,全伝票!$A:$A,$A21,全伝票!$B:$B,$B21),SUMIFS(全伝票!K:K,全伝票!$A:$A,$A21,全伝票!$C:$C,$C21)))</f>
        <v>0</v>
      </c>
      <c r="H21" s="160">
        <f>+IF($A21="",IF($C21="",SUMIFS(全伝票!L:L,全伝票!$B:$B,$B21),SUMIFS(全伝票!L:L,全伝票!$C:$C,$C21)),IF($C21="",SUMIFS(全伝票!L:L,全伝票!$A:$A,$A21,全伝票!$B:$B,$B21),SUMIFS(全伝票!L:L,全伝票!$A:$A,$A21,全伝票!$C:$C,$C21)))</f>
        <v>0</v>
      </c>
      <c r="I21" s="159">
        <f>+IF($A21="",IF($C21="",SUMIFS(全伝票!M:M,全伝票!$B:$B,$B21),SUMIFS(全伝票!M:M,全伝票!$C:$C,$C21)),IF($C21="",SUMIFS(全伝票!M:M,全伝票!$A:$A,$A21,全伝票!$B:$B,$B21),SUMIFS(全伝票!M:M,全伝票!$A:$A,$A21,全伝票!$C:$C,$C21)))</f>
        <v>0</v>
      </c>
      <c r="J21" s="159">
        <f>+IF($A21="",IF($C21="",SUMIFS(全伝票!N:N,全伝票!$B:$B,$B21),SUMIFS(全伝票!N:N,全伝票!$C:$C,$C21)),IF($C21="",SUMIFS(全伝票!N:N,全伝票!$A:$A,$A21,全伝票!$B:$B,$B21),SUMIFS(全伝票!N:N,全伝票!$A:$A,$A21,全伝票!$C:$C,$C21)))</f>
        <v>216228011</v>
      </c>
      <c r="K21" s="34">
        <f t="shared" si="0"/>
        <v>216228011</v>
      </c>
      <c r="L21" s="158">
        <f>+IF($A21="",IF($C21="",SUMIFS(全伝票!O:O,全伝票!$B:$B,$B21),SUMIFS(全伝票!O:O,全伝票!$C:$C,$C21)),IF($C21="",SUMIFS(全伝票!O:O,全伝票!$A:$A,$A21,全伝票!$B:$B,$B21),SUMIFS(全伝票!O:O,全伝票!$A:$A,$A21,全伝票!$C:$C,$C21)))</f>
        <v>0</v>
      </c>
      <c r="M21" s="158">
        <f>+IF($A21="",IF($C21="",SUMIFS(全伝票!P:P,全伝票!$B:$B,$B21),SUMIFS(全伝票!P:P,全伝票!$C:$C,$C21)),IF($C21="",SUMIFS(全伝票!P:P,全伝票!$A:$A,$A21,全伝票!$B:$B,$B21),SUMIFS(全伝票!P:P,全伝票!$A:$A,$A21,全伝票!$C:$C,$C21)))</f>
        <v>0</v>
      </c>
      <c r="N21" s="108">
        <f t="shared" si="1"/>
        <v>0</v>
      </c>
      <c r="O21" s="25">
        <f t="shared" si="3"/>
        <v>0</v>
      </c>
      <c r="P21" s="25">
        <f t="shared" si="2"/>
        <v>0</v>
      </c>
      <c r="Q21" s="157">
        <f t="shared" si="3"/>
        <v>0</v>
      </c>
      <c r="R21" s="157">
        <f t="shared" si="4"/>
        <v>19657092</v>
      </c>
      <c r="S21" s="22">
        <f t="shared" si="5"/>
        <v>19657092</v>
      </c>
      <c r="T21" s="109">
        <f t="shared" si="6"/>
        <v>196570919</v>
      </c>
      <c r="U21" s="107">
        <f t="shared" si="7"/>
        <v>0</v>
      </c>
      <c r="V21" s="107">
        <f t="shared" si="8"/>
        <v>0</v>
      </c>
      <c r="W21" s="107">
        <f t="shared" si="9"/>
        <v>0</v>
      </c>
      <c r="X21" s="107">
        <f t="shared" si="9"/>
        <v>0</v>
      </c>
      <c r="Y21" s="107">
        <f t="shared" si="10"/>
        <v>9.0909089893102646E-2</v>
      </c>
      <c r="Z21" s="106">
        <f t="shared" si="11"/>
        <v>0</v>
      </c>
      <c r="AA21" s="106">
        <f t="shared" si="12"/>
        <v>0</v>
      </c>
      <c r="AB21" s="106">
        <f t="shared" si="13"/>
        <v>0</v>
      </c>
      <c r="AC21" s="106">
        <f t="shared" si="13"/>
        <v>0</v>
      </c>
      <c r="AD21" s="106">
        <f t="shared" si="14"/>
        <v>0</v>
      </c>
    </row>
    <row r="22" spans="1:35">
      <c r="A22" s="165">
        <v>1</v>
      </c>
      <c r="B22" s="164" t="s">
        <v>194</v>
      </c>
      <c r="C22" s="163"/>
      <c r="D22" s="162" t="s">
        <v>77</v>
      </c>
      <c r="E22" s="158">
        <f>+IF($A22="",IF($C22="",SUMIFS(全伝票!I:I,全伝票!$B:$B,$B22),SUMIFS(全伝票!I:I,全伝票!$C:$C,$C22)),IF($C22="",SUMIFS(全伝票!I:I,全伝票!$A:$A,$A22,全伝票!$B:$B,$B22),SUMIFS(全伝票!I:I,全伝票!$A:$A,$A22,全伝票!$C:$C,$C22)))</f>
        <v>44165778</v>
      </c>
      <c r="F22" s="161">
        <f>+IF($A22="",IF($C22="",SUMIFS(全伝票!J:J,全伝票!$B:$B,$B22),SUMIFS(全伝票!J:J,全伝票!$C:$C,$C22)),IF($C22="",SUMIFS(全伝票!J:J,全伝票!$A:$A,$A22,全伝票!$B:$B,$B22),SUMIFS(全伝票!J:J,全伝票!$A:$A,$A22,全伝票!$C:$C,$C22)))</f>
        <v>0</v>
      </c>
      <c r="G22" s="160">
        <f>+IF($A22="",IF($C22="",SUMIFS(全伝票!K:K,全伝票!$B:$B,$B22),SUMIFS(全伝票!K:K,全伝票!$C:$C,$C22)),IF($C22="",SUMIFS(全伝票!K:K,全伝票!$A:$A,$A22,全伝票!$B:$B,$B22),SUMIFS(全伝票!K:K,全伝票!$A:$A,$A22,全伝票!$C:$C,$C22)))</f>
        <v>0</v>
      </c>
      <c r="H22" s="160">
        <f>+IF($A22="",IF($C22="",SUMIFS(全伝票!L:L,全伝票!$B:$B,$B22),SUMIFS(全伝票!L:L,全伝票!$C:$C,$C22)),IF($C22="",SUMIFS(全伝票!L:L,全伝票!$A:$A,$A22,全伝票!$B:$B,$B22),SUMIFS(全伝票!L:L,全伝票!$A:$A,$A22,全伝票!$C:$C,$C22)))</f>
        <v>0</v>
      </c>
      <c r="I22" s="159">
        <f>+IF($A22="",IF($C22="",SUMIFS(全伝票!M:M,全伝票!$B:$B,$B22),SUMIFS(全伝票!M:M,全伝票!$C:$C,$C22)),IF($C22="",SUMIFS(全伝票!M:M,全伝票!$A:$A,$A22,全伝票!$B:$B,$B22),SUMIFS(全伝票!M:M,全伝票!$A:$A,$A22,全伝票!$C:$C,$C22)))</f>
        <v>0</v>
      </c>
      <c r="J22" s="159">
        <f>+IF($A22="",IF($C22="",SUMIFS(全伝票!N:N,全伝票!$B:$B,$B22),SUMIFS(全伝票!N:N,全伝票!$C:$C,$C22)),IF($C22="",SUMIFS(全伝票!N:N,全伝票!$A:$A,$A22,全伝票!$B:$B,$B22),SUMIFS(全伝票!N:N,全伝票!$A:$A,$A22,全伝票!$C:$C,$C22)))</f>
        <v>44165778</v>
      </c>
      <c r="K22" s="34">
        <f t="shared" si="0"/>
        <v>44165778</v>
      </c>
      <c r="L22" s="158">
        <f>+IF($A22="",IF($C22="",SUMIFS(全伝票!O:O,全伝票!$B:$B,$B22),SUMIFS(全伝票!O:O,全伝票!$C:$C,$C22)),IF($C22="",SUMIFS(全伝票!O:O,全伝票!$A:$A,$A22,全伝票!$B:$B,$B22),SUMIFS(全伝票!O:O,全伝票!$A:$A,$A22,全伝票!$C:$C,$C22)))</f>
        <v>0</v>
      </c>
      <c r="M22" s="158">
        <f>+IF($A22="",IF($C22="",SUMIFS(全伝票!P:P,全伝票!$B:$B,$B22),SUMIFS(全伝票!P:P,全伝票!$C:$C,$C22)),IF($C22="",SUMIFS(全伝票!P:P,全伝票!$A:$A,$A22,全伝票!$B:$B,$B22),SUMIFS(全伝票!P:P,全伝票!$A:$A,$A22,全伝票!$C:$C,$C22)))</f>
        <v>0</v>
      </c>
      <c r="N22" s="108">
        <f t="shared" si="1"/>
        <v>0</v>
      </c>
      <c r="O22" s="25">
        <f t="shared" si="3"/>
        <v>0</v>
      </c>
      <c r="P22" s="25">
        <f t="shared" si="2"/>
        <v>0</v>
      </c>
      <c r="Q22" s="157">
        <f t="shared" si="3"/>
        <v>0</v>
      </c>
      <c r="R22" s="157">
        <f t="shared" si="4"/>
        <v>4015071</v>
      </c>
      <c r="S22" s="22">
        <f t="shared" si="5"/>
        <v>4015071</v>
      </c>
      <c r="T22" s="109">
        <f t="shared" si="6"/>
        <v>40150707</v>
      </c>
      <c r="U22" s="107">
        <f t="shared" si="7"/>
        <v>0</v>
      </c>
      <c r="V22" s="107">
        <f t="shared" si="8"/>
        <v>0</v>
      </c>
      <c r="W22" s="107">
        <f t="shared" si="9"/>
        <v>0</v>
      </c>
      <c r="X22" s="107">
        <f t="shared" si="9"/>
        <v>0</v>
      </c>
      <c r="Y22" s="107">
        <f t="shared" si="10"/>
        <v>0.27272727293893695</v>
      </c>
      <c r="Z22" s="106">
        <f t="shared" si="11"/>
        <v>0</v>
      </c>
      <c r="AA22" s="106">
        <f t="shared" si="12"/>
        <v>0</v>
      </c>
      <c r="AB22" s="106">
        <f t="shared" si="13"/>
        <v>0</v>
      </c>
      <c r="AC22" s="106">
        <f t="shared" si="13"/>
        <v>0</v>
      </c>
      <c r="AD22" s="106">
        <f t="shared" si="14"/>
        <v>0</v>
      </c>
    </row>
    <row r="23" spans="1:35">
      <c r="A23" s="165">
        <v>1</v>
      </c>
      <c r="B23" s="164" t="s">
        <v>193</v>
      </c>
      <c r="C23" s="163"/>
      <c r="D23" s="162" t="s">
        <v>75</v>
      </c>
      <c r="E23" s="158">
        <f>+IF($A23="",IF($C23="",SUMIFS(全伝票!I:I,全伝票!$B:$B,$B23),SUMIFS(全伝票!I:I,全伝票!$C:$C,$C23)),IF($C23="",SUMIFS(全伝票!I:I,全伝票!$A:$A,$A23,全伝票!$B:$B,$B23),SUMIFS(全伝票!I:I,全伝票!$A:$A,$A23,全伝票!$C:$C,$C23)))</f>
        <v>0</v>
      </c>
      <c r="F23" s="161">
        <f>+IF($A23="",IF($C23="",SUMIFS(全伝票!J:J,全伝票!$B:$B,$B23),SUMIFS(全伝票!J:J,全伝票!$C:$C,$C23)),IF($C23="",SUMIFS(全伝票!J:J,全伝票!$A:$A,$A23,全伝票!$B:$B,$B23),SUMIFS(全伝票!J:J,全伝票!$A:$A,$A23,全伝票!$C:$C,$C23)))</f>
        <v>0</v>
      </c>
      <c r="G23" s="160">
        <f>+IF($A23="",IF($C23="",SUMIFS(全伝票!K:K,全伝票!$B:$B,$B23),SUMIFS(全伝票!K:K,全伝票!$C:$C,$C23)),IF($C23="",SUMIFS(全伝票!K:K,全伝票!$A:$A,$A23,全伝票!$B:$B,$B23),SUMIFS(全伝票!K:K,全伝票!$A:$A,$A23,全伝票!$C:$C,$C23)))</f>
        <v>0</v>
      </c>
      <c r="H23" s="160">
        <f>+IF($A23="",IF($C23="",SUMIFS(全伝票!L:L,全伝票!$B:$B,$B23),SUMIFS(全伝票!L:L,全伝票!$C:$C,$C23)),IF($C23="",SUMIFS(全伝票!L:L,全伝票!$A:$A,$A23,全伝票!$B:$B,$B23),SUMIFS(全伝票!L:L,全伝票!$A:$A,$A23,全伝票!$C:$C,$C23)))</f>
        <v>0</v>
      </c>
      <c r="I23" s="159">
        <f>+IF($A23="",IF($C23="",SUMIFS(全伝票!M:M,全伝票!$B:$B,$B23),SUMIFS(全伝票!M:M,全伝票!$C:$C,$C23)),IF($C23="",SUMIFS(全伝票!M:M,全伝票!$A:$A,$A23,全伝票!$B:$B,$B23),SUMIFS(全伝票!M:M,全伝票!$A:$A,$A23,全伝票!$C:$C,$C23)))</f>
        <v>0</v>
      </c>
      <c r="J23" s="159">
        <f>+IF($A23="",IF($C23="",SUMIFS(全伝票!N:N,全伝票!$B:$B,$B23),SUMIFS(全伝票!N:N,全伝票!$C:$C,$C23)),IF($C23="",SUMIFS(全伝票!N:N,全伝票!$A:$A,$A23,全伝票!$B:$B,$B23),SUMIFS(全伝票!N:N,全伝票!$A:$A,$A23,全伝票!$C:$C,$C23)))</f>
        <v>0</v>
      </c>
      <c r="K23" s="34">
        <f t="shared" si="0"/>
        <v>0</v>
      </c>
      <c r="L23" s="158">
        <f>+IF($A23="",IF($C23="",SUMIFS(全伝票!O:O,全伝票!$B:$B,$B23),SUMIFS(全伝票!O:O,全伝票!$C:$C,$C23)),IF($C23="",SUMIFS(全伝票!O:O,全伝票!$A:$A,$A23,全伝票!$B:$B,$B23),SUMIFS(全伝票!O:O,全伝票!$A:$A,$A23,全伝票!$C:$C,$C23)))</f>
        <v>0</v>
      </c>
      <c r="M23" s="158">
        <f>+IF($A23="",IF($C23="",SUMIFS(全伝票!P:P,全伝票!$B:$B,$B23),SUMIFS(全伝票!P:P,全伝票!$C:$C,$C23)),IF($C23="",SUMIFS(全伝票!P:P,全伝票!$A:$A,$A23,全伝票!$B:$B,$B23),SUMIFS(全伝票!P:P,全伝票!$A:$A,$A23,全伝票!$C:$C,$C23)))</f>
        <v>0</v>
      </c>
      <c r="N23" s="108">
        <f t="shared" si="1"/>
        <v>0</v>
      </c>
      <c r="O23" s="25">
        <f t="shared" si="3"/>
        <v>0</v>
      </c>
      <c r="P23" s="25">
        <f t="shared" si="2"/>
        <v>0</v>
      </c>
      <c r="Q23" s="157">
        <f t="shared" si="3"/>
        <v>0</v>
      </c>
      <c r="R23" s="157">
        <f t="shared" si="4"/>
        <v>0</v>
      </c>
      <c r="S23" s="22">
        <f t="shared" si="5"/>
        <v>0</v>
      </c>
      <c r="T23" s="109">
        <f t="shared" si="6"/>
        <v>0</v>
      </c>
      <c r="U23" s="107">
        <f t="shared" si="7"/>
        <v>0</v>
      </c>
      <c r="V23" s="107">
        <f t="shared" si="8"/>
        <v>0</v>
      </c>
      <c r="W23" s="107">
        <f t="shared" si="9"/>
        <v>0</v>
      </c>
      <c r="X23" s="107">
        <f t="shared" si="9"/>
        <v>0</v>
      </c>
      <c r="Y23" s="107">
        <f t="shared" si="10"/>
        <v>0</v>
      </c>
      <c r="Z23" s="106">
        <f t="shared" si="11"/>
        <v>0</v>
      </c>
      <c r="AA23" s="106">
        <f t="shared" si="12"/>
        <v>0</v>
      </c>
      <c r="AB23" s="106">
        <f t="shared" si="13"/>
        <v>0</v>
      </c>
      <c r="AC23" s="106">
        <f t="shared" si="13"/>
        <v>0</v>
      </c>
      <c r="AD23" s="106">
        <f t="shared" si="14"/>
        <v>0</v>
      </c>
    </row>
    <row r="24" spans="1:35">
      <c r="A24" s="165">
        <v>1</v>
      </c>
      <c r="B24" s="164" t="s">
        <v>192</v>
      </c>
      <c r="C24" s="163"/>
      <c r="D24" s="162" t="s">
        <v>73</v>
      </c>
      <c r="E24" s="158">
        <f>+IF($A24="",IF($C24="",SUMIFS(全伝票!I:I,全伝票!$B:$B,$B24),SUMIFS(全伝票!I:I,全伝票!$C:$C,$C24)),IF($C24="",SUMIFS(全伝票!I:I,全伝票!$A:$A,$A24,全伝票!$B:$B,$B24),SUMIFS(全伝票!I:I,全伝票!$A:$A,$A24,全伝票!$C:$C,$C24)))</f>
        <v>0</v>
      </c>
      <c r="F24" s="161">
        <f>+IF($A24="",IF($C24="",SUMIFS(全伝票!J:J,全伝票!$B:$B,$B24),SUMIFS(全伝票!J:J,全伝票!$C:$C,$C24)),IF($C24="",SUMIFS(全伝票!J:J,全伝票!$A:$A,$A24,全伝票!$B:$B,$B24),SUMIFS(全伝票!J:J,全伝票!$A:$A,$A24,全伝票!$C:$C,$C24)))</f>
        <v>0</v>
      </c>
      <c r="G24" s="160">
        <f>+IF($A24="",IF($C24="",SUMIFS(全伝票!K:K,全伝票!$B:$B,$B24),SUMIFS(全伝票!K:K,全伝票!$C:$C,$C24)),IF($C24="",SUMIFS(全伝票!K:K,全伝票!$A:$A,$A24,全伝票!$B:$B,$B24),SUMIFS(全伝票!K:K,全伝票!$A:$A,$A24,全伝票!$C:$C,$C24)))</f>
        <v>0</v>
      </c>
      <c r="H24" s="160">
        <f>+IF($A24="",IF($C24="",SUMIFS(全伝票!L:L,全伝票!$B:$B,$B24),SUMIFS(全伝票!L:L,全伝票!$C:$C,$C24)),IF($C24="",SUMIFS(全伝票!L:L,全伝票!$A:$A,$A24,全伝票!$B:$B,$B24),SUMIFS(全伝票!L:L,全伝票!$A:$A,$A24,全伝票!$C:$C,$C24)))</f>
        <v>0</v>
      </c>
      <c r="I24" s="159">
        <f>+IF($A24="",IF($C24="",SUMIFS(全伝票!M:M,全伝票!$B:$B,$B24),SUMIFS(全伝票!M:M,全伝票!$C:$C,$C24)),IF($C24="",SUMIFS(全伝票!M:M,全伝票!$A:$A,$A24,全伝票!$B:$B,$B24),SUMIFS(全伝票!M:M,全伝票!$A:$A,$A24,全伝票!$C:$C,$C24)))</f>
        <v>0</v>
      </c>
      <c r="J24" s="159">
        <f>+IF($A24="",IF($C24="",SUMIFS(全伝票!N:N,全伝票!$B:$B,$B24),SUMIFS(全伝票!N:N,全伝票!$C:$C,$C24)),IF($C24="",SUMIFS(全伝票!N:N,全伝票!$A:$A,$A24,全伝票!$B:$B,$B24),SUMIFS(全伝票!N:N,全伝票!$A:$A,$A24,全伝票!$C:$C,$C24)))</f>
        <v>0</v>
      </c>
      <c r="K24" s="34">
        <f t="shared" si="0"/>
        <v>0</v>
      </c>
      <c r="L24" s="158">
        <f>+IF($A24="",IF($C24="",SUMIFS(全伝票!O:O,全伝票!$B:$B,$B24),SUMIFS(全伝票!O:O,全伝票!$C:$C,$C24)),IF($C24="",SUMIFS(全伝票!O:O,全伝票!$A:$A,$A24,全伝票!$B:$B,$B24),SUMIFS(全伝票!O:O,全伝票!$A:$A,$A24,全伝票!$C:$C,$C24)))</f>
        <v>0</v>
      </c>
      <c r="M24" s="158">
        <f>+IF($A24="",IF($C24="",SUMIFS(全伝票!P:P,全伝票!$B:$B,$B24),SUMIFS(全伝票!P:P,全伝票!$C:$C,$C24)),IF($C24="",SUMIFS(全伝票!P:P,全伝票!$A:$A,$A24,全伝票!$B:$B,$B24),SUMIFS(全伝票!P:P,全伝票!$A:$A,$A24,全伝票!$C:$C,$C24)))</f>
        <v>0</v>
      </c>
      <c r="N24" s="108">
        <f t="shared" si="1"/>
        <v>0</v>
      </c>
      <c r="O24" s="25">
        <f t="shared" si="3"/>
        <v>0</v>
      </c>
      <c r="P24" s="25">
        <f t="shared" si="2"/>
        <v>0</v>
      </c>
      <c r="Q24" s="157">
        <f t="shared" si="3"/>
        <v>0</v>
      </c>
      <c r="R24" s="157">
        <f t="shared" si="4"/>
        <v>0</v>
      </c>
      <c r="S24" s="22">
        <f t="shared" si="5"/>
        <v>0</v>
      </c>
      <c r="T24" s="109">
        <f t="shared" si="6"/>
        <v>0</v>
      </c>
      <c r="U24" s="107">
        <f t="shared" si="7"/>
        <v>0</v>
      </c>
      <c r="V24" s="107">
        <f t="shared" si="8"/>
        <v>0</v>
      </c>
      <c r="W24" s="107">
        <f t="shared" si="9"/>
        <v>0</v>
      </c>
      <c r="X24" s="107">
        <f t="shared" si="9"/>
        <v>0</v>
      </c>
      <c r="Y24" s="107">
        <f t="shared" si="10"/>
        <v>0</v>
      </c>
      <c r="Z24" s="106">
        <f t="shared" si="11"/>
        <v>0</v>
      </c>
      <c r="AA24" s="106">
        <f t="shared" si="12"/>
        <v>0</v>
      </c>
      <c r="AB24" s="106">
        <f t="shared" si="13"/>
        <v>0</v>
      </c>
      <c r="AC24" s="106">
        <f t="shared" si="13"/>
        <v>0</v>
      </c>
      <c r="AD24" s="106">
        <f t="shared" si="14"/>
        <v>0</v>
      </c>
    </row>
    <row r="25" spans="1:35">
      <c r="A25" s="165">
        <v>1</v>
      </c>
      <c r="B25" s="164" t="s">
        <v>190</v>
      </c>
      <c r="C25" s="163" t="s">
        <v>191</v>
      </c>
      <c r="D25" s="162" t="s">
        <v>71</v>
      </c>
      <c r="E25" s="158">
        <f>+IF($A25="",IF($C25="",SUMIFS(全伝票!I:I,全伝票!$B:$B,$B25),SUMIFS(全伝票!I:I,全伝票!$C:$C,$C25)),IF($C25="",SUMIFS(全伝票!I:I,全伝票!$A:$A,$A25,全伝票!$B:$B,$B25),SUMIFS(全伝票!I:I,全伝票!$A:$A,$A25,全伝票!$C:$C,$C25)))</f>
        <v>514598231</v>
      </c>
      <c r="F25" s="161">
        <f>+IF($A25="",IF($C25="",SUMIFS(全伝票!J:J,全伝票!$B:$B,$B25),SUMIFS(全伝票!J:J,全伝票!$C:$C,$C25)),IF($C25="",SUMIFS(全伝票!J:J,全伝票!$A:$A,$A25,全伝票!$B:$B,$B25),SUMIFS(全伝票!J:J,全伝票!$A:$A,$A25,全伝票!$C:$C,$C25)))</f>
        <v>0</v>
      </c>
      <c r="G25" s="160">
        <f>+IF($A25="",IF($C25="",SUMIFS(全伝票!K:K,全伝票!$B:$B,$B25),SUMIFS(全伝票!K:K,全伝票!$C:$C,$C25)),IF($C25="",SUMIFS(全伝票!K:K,全伝票!$A:$A,$A25,全伝票!$B:$B,$B25),SUMIFS(全伝票!K:K,全伝票!$A:$A,$A25,全伝票!$C:$C,$C25)))</f>
        <v>0</v>
      </c>
      <c r="H25" s="160">
        <f>+IF($A25="",IF($C25="",SUMIFS(全伝票!L:L,全伝票!$B:$B,$B25),SUMIFS(全伝票!L:L,全伝票!$C:$C,$C25)),IF($C25="",SUMIFS(全伝票!L:L,全伝票!$A:$A,$A25,全伝票!$B:$B,$B25),SUMIFS(全伝票!L:L,全伝票!$A:$A,$A25,全伝票!$C:$C,$C25)))</f>
        <v>0</v>
      </c>
      <c r="I25" s="159">
        <f>+IF($A25="",IF($C25="",SUMIFS(全伝票!M:M,全伝票!$B:$B,$B25),SUMIFS(全伝票!M:M,全伝票!$C:$C,$C25)),IF($C25="",SUMIFS(全伝票!M:M,全伝票!$A:$A,$A25,全伝票!$B:$B,$B25),SUMIFS(全伝票!M:M,全伝票!$A:$A,$A25,全伝票!$C:$C,$C25)))</f>
        <v>0</v>
      </c>
      <c r="J25" s="159">
        <f>+IF($A25="",IF($C25="",SUMIFS(全伝票!N:N,全伝票!$B:$B,$B25),SUMIFS(全伝票!N:N,全伝票!$C:$C,$C25)),IF($C25="",SUMIFS(全伝票!N:N,全伝票!$A:$A,$A25,全伝票!$B:$B,$B25),SUMIFS(全伝票!N:N,全伝票!$A:$A,$A25,全伝票!$C:$C,$C25)))</f>
        <v>514598231</v>
      </c>
      <c r="K25" s="34">
        <f t="shared" si="0"/>
        <v>514598231</v>
      </c>
      <c r="L25" s="158">
        <f>+IF($A25="",IF($C25="",SUMIFS(全伝票!O:O,全伝票!$B:$B,$B25),SUMIFS(全伝票!O:O,全伝票!$C:$C,$C25)),IF($C25="",SUMIFS(全伝票!O:O,全伝票!$A:$A,$A25,全伝票!$B:$B,$B25),SUMIFS(全伝票!O:O,全伝票!$A:$A,$A25,全伝票!$C:$C,$C25)))</f>
        <v>0</v>
      </c>
      <c r="M25" s="158">
        <f>+IF($A25="",IF($C25="",SUMIFS(全伝票!P:P,全伝票!$B:$B,$B25),SUMIFS(全伝票!P:P,全伝票!$C:$C,$C25)),IF($C25="",SUMIFS(全伝票!P:P,全伝票!$A:$A,$A25,全伝票!$B:$B,$B25),SUMIFS(全伝票!P:P,全伝票!$A:$A,$A25,全伝票!$C:$C,$C25)))</f>
        <v>0</v>
      </c>
      <c r="N25" s="108">
        <f t="shared" si="1"/>
        <v>0</v>
      </c>
      <c r="O25" s="25">
        <f t="shared" si="3"/>
        <v>0</v>
      </c>
      <c r="P25" s="25">
        <f t="shared" si="2"/>
        <v>0</v>
      </c>
      <c r="Q25" s="157">
        <f t="shared" si="3"/>
        <v>0</v>
      </c>
      <c r="R25" s="157">
        <f t="shared" si="4"/>
        <v>46781657</v>
      </c>
      <c r="S25" s="22">
        <f t="shared" si="5"/>
        <v>46781657</v>
      </c>
      <c r="T25" s="109">
        <f t="shared" si="6"/>
        <v>467816574</v>
      </c>
      <c r="U25" s="107">
        <f t="shared" si="7"/>
        <v>0</v>
      </c>
      <c r="V25" s="107">
        <f t="shared" si="8"/>
        <v>0</v>
      </c>
      <c r="W25" s="107">
        <f t="shared" si="9"/>
        <v>0</v>
      </c>
      <c r="X25" s="107">
        <f t="shared" si="9"/>
        <v>0</v>
      </c>
      <c r="Y25" s="107">
        <f t="shared" si="10"/>
        <v>-0.36363636702299118</v>
      </c>
      <c r="Z25" s="106">
        <f t="shared" si="11"/>
        <v>0</v>
      </c>
      <c r="AA25" s="106">
        <f t="shared" si="12"/>
        <v>0</v>
      </c>
      <c r="AB25" s="106">
        <f t="shared" si="13"/>
        <v>0</v>
      </c>
      <c r="AC25" s="106">
        <f t="shared" si="13"/>
        <v>0</v>
      </c>
      <c r="AD25" s="106">
        <f t="shared" si="14"/>
        <v>0</v>
      </c>
    </row>
    <row r="26" spans="1:35">
      <c r="A26" s="165">
        <v>1</v>
      </c>
      <c r="B26" s="164" t="s">
        <v>190</v>
      </c>
      <c r="C26" s="163" t="s">
        <v>189</v>
      </c>
      <c r="D26" s="162" t="s">
        <v>68</v>
      </c>
      <c r="E26" s="158">
        <f>+IF($A26="",IF($C26="",SUMIFS(全伝票!I:I,全伝票!$B:$B,$B26),SUMIFS(全伝票!I:I,全伝票!$C:$C,$C26)),IF($C26="",SUMIFS(全伝票!I:I,全伝票!$A:$A,$A26,全伝票!$B:$B,$B26),SUMIFS(全伝票!I:I,全伝票!$A:$A,$A26,全伝票!$C:$C,$C26)))</f>
        <v>270270</v>
      </c>
      <c r="F26" s="161">
        <f>+IF($A26="",IF($C26="",SUMIFS(全伝票!J:J,全伝票!$B:$B,$B26),SUMIFS(全伝票!J:J,全伝票!$C:$C,$C26)),IF($C26="",SUMIFS(全伝票!J:J,全伝票!$A:$A,$A26,全伝票!$B:$B,$B26),SUMIFS(全伝票!J:J,全伝票!$A:$A,$A26,全伝票!$C:$C,$C26)))</f>
        <v>0</v>
      </c>
      <c r="G26" s="160">
        <f>+IF($A26="",IF($C26="",SUMIFS(全伝票!K:K,全伝票!$B:$B,$B26),SUMIFS(全伝票!K:K,全伝票!$C:$C,$C26)),IF($C26="",SUMIFS(全伝票!K:K,全伝票!$A:$A,$A26,全伝票!$B:$B,$B26),SUMIFS(全伝票!K:K,全伝票!$A:$A,$A26,全伝票!$C:$C,$C26)))</f>
        <v>0</v>
      </c>
      <c r="H26" s="160">
        <f>+IF($A26="",IF($C26="",SUMIFS(全伝票!L:L,全伝票!$B:$B,$B26),SUMIFS(全伝票!L:L,全伝票!$C:$C,$C26)),IF($C26="",SUMIFS(全伝票!L:L,全伝票!$A:$A,$A26,全伝票!$B:$B,$B26),SUMIFS(全伝票!L:L,全伝票!$A:$A,$A26,全伝票!$C:$C,$C26)))</f>
        <v>0</v>
      </c>
      <c r="I26" s="159">
        <f>+IF($A26="",IF($C26="",SUMIFS(全伝票!M:M,全伝票!$B:$B,$B26),SUMIFS(全伝票!M:M,全伝票!$C:$C,$C26)),IF($C26="",SUMIFS(全伝票!M:M,全伝票!$A:$A,$A26,全伝票!$B:$B,$B26),SUMIFS(全伝票!M:M,全伝票!$A:$A,$A26,全伝票!$C:$C,$C26)))</f>
        <v>0</v>
      </c>
      <c r="J26" s="159">
        <f>+IF($A26="",IF($C26="",SUMIFS(全伝票!N:N,全伝票!$B:$B,$B26),SUMIFS(全伝票!N:N,全伝票!$C:$C,$C26)),IF($C26="",SUMIFS(全伝票!N:N,全伝票!$A:$A,$A26,全伝票!$B:$B,$B26),SUMIFS(全伝票!N:N,全伝票!$A:$A,$A26,全伝票!$C:$C,$C26)))</f>
        <v>270270</v>
      </c>
      <c r="K26" s="34">
        <f t="shared" si="0"/>
        <v>270270</v>
      </c>
      <c r="L26" s="158">
        <f>+IF($A26="",IF($C26="",SUMIFS(全伝票!O:O,全伝票!$B:$B,$B26),SUMIFS(全伝票!O:O,全伝票!$C:$C,$C26)),IF($C26="",SUMIFS(全伝票!O:O,全伝票!$A:$A,$A26,全伝票!$B:$B,$B26),SUMIFS(全伝票!O:O,全伝票!$A:$A,$A26,全伝票!$C:$C,$C26)))</f>
        <v>0</v>
      </c>
      <c r="M26" s="158">
        <f>+IF($A26="",IF($C26="",SUMIFS(全伝票!P:P,全伝票!$B:$B,$B26),SUMIFS(全伝票!P:P,全伝票!$C:$C,$C26)),IF($C26="",SUMIFS(全伝票!P:P,全伝票!$A:$A,$A26,全伝票!$B:$B,$B26),SUMIFS(全伝票!P:P,全伝票!$A:$A,$A26,全伝票!$C:$C,$C26)))</f>
        <v>0</v>
      </c>
      <c r="N26" s="108">
        <f t="shared" si="1"/>
        <v>0</v>
      </c>
      <c r="O26" s="25">
        <f t="shared" si="3"/>
        <v>0</v>
      </c>
      <c r="P26" s="25">
        <f t="shared" si="2"/>
        <v>0</v>
      </c>
      <c r="Q26" s="157">
        <f t="shared" si="3"/>
        <v>0</v>
      </c>
      <c r="R26" s="157">
        <f t="shared" si="4"/>
        <v>24570</v>
      </c>
      <c r="S26" s="22">
        <f t="shared" si="5"/>
        <v>24570</v>
      </c>
      <c r="T26" s="109">
        <f t="shared" si="6"/>
        <v>245700</v>
      </c>
      <c r="U26" s="107">
        <f t="shared" si="7"/>
        <v>0</v>
      </c>
      <c r="V26" s="107">
        <f t="shared" si="8"/>
        <v>0</v>
      </c>
      <c r="W26" s="107">
        <f t="shared" si="9"/>
        <v>0</v>
      </c>
      <c r="X26" s="107">
        <f t="shared" si="9"/>
        <v>0</v>
      </c>
      <c r="Y26" s="107">
        <f t="shared" si="10"/>
        <v>0</v>
      </c>
      <c r="Z26" s="106">
        <f t="shared" si="11"/>
        <v>0</v>
      </c>
      <c r="AA26" s="106">
        <f t="shared" si="12"/>
        <v>0</v>
      </c>
      <c r="AB26" s="106">
        <f t="shared" si="13"/>
        <v>0</v>
      </c>
      <c r="AC26" s="106">
        <f t="shared" si="13"/>
        <v>0</v>
      </c>
      <c r="AD26" s="106">
        <f t="shared" si="14"/>
        <v>0</v>
      </c>
    </row>
    <row r="27" spans="1:35">
      <c r="A27" s="165">
        <v>1</v>
      </c>
      <c r="B27" s="164" t="s">
        <v>188</v>
      </c>
      <c r="C27" s="163"/>
      <c r="D27" s="162" t="s">
        <v>66</v>
      </c>
      <c r="E27" s="158">
        <f>+IF($A27="",IF($C27="",SUMIFS(全伝票!I:I,全伝票!$B:$B,$B27),SUMIFS(全伝票!I:I,全伝票!$C:$C,$C27)),IF($C27="",SUMIFS(全伝票!I:I,全伝票!$A:$A,$A27,全伝票!$B:$B,$B27),SUMIFS(全伝票!I:I,全伝票!$A:$A,$A27,全伝票!$C:$C,$C27)))</f>
        <v>82462216</v>
      </c>
      <c r="F27" s="161">
        <f>+IF($A27="",IF($C27="",SUMIFS(全伝票!J:J,全伝票!$B:$B,$B27),SUMIFS(全伝票!J:J,全伝票!$C:$C,$C27)),IF($C27="",SUMIFS(全伝票!J:J,全伝票!$A:$A,$A27,全伝票!$B:$B,$B27),SUMIFS(全伝票!J:J,全伝票!$A:$A,$A27,全伝票!$C:$C,$C27)))</f>
        <v>0</v>
      </c>
      <c r="G27" s="160">
        <f>+IF($A27="",IF($C27="",SUMIFS(全伝票!K:K,全伝票!$B:$B,$B27),SUMIFS(全伝票!K:K,全伝票!$C:$C,$C27)),IF($C27="",SUMIFS(全伝票!K:K,全伝票!$A:$A,$A27,全伝票!$B:$B,$B27),SUMIFS(全伝票!K:K,全伝票!$A:$A,$A27,全伝票!$C:$C,$C27)))</f>
        <v>0</v>
      </c>
      <c r="H27" s="160">
        <f>+IF($A27="",IF($C27="",SUMIFS(全伝票!L:L,全伝票!$B:$B,$B27),SUMIFS(全伝票!L:L,全伝票!$C:$C,$C27)),IF($C27="",SUMIFS(全伝票!L:L,全伝票!$A:$A,$A27,全伝票!$B:$B,$B27),SUMIFS(全伝票!L:L,全伝票!$A:$A,$A27,全伝票!$C:$C,$C27)))</f>
        <v>0</v>
      </c>
      <c r="I27" s="159">
        <f>+IF($A27="",IF($C27="",SUMIFS(全伝票!M:M,全伝票!$B:$B,$B27),SUMIFS(全伝票!M:M,全伝票!$C:$C,$C27)),IF($C27="",SUMIFS(全伝票!M:M,全伝票!$A:$A,$A27,全伝票!$B:$B,$B27),SUMIFS(全伝票!M:M,全伝票!$A:$A,$A27,全伝票!$C:$C,$C27)))</f>
        <v>0</v>
      </c>
      <c r="J27" s="159">
        <f>+IF($A27="",IF($C27="",SUMIFS(全伝票!N:N,全伝票!$B:$B,$B27),SUMIFS(全伝票!N:N,全伝票!$C:$C,$C27)),IF($C27="",SUMIFS(全伝票!N:N,全伝票!$A:$A,$A27,全伝票!$B:$B,$B27),SUMIFS(全伝票!N:N,全伝票!$A:$A,$A27,全伝票!$C:$C,$C27)))</f>
        <v>82462216</v>
      </c>
      <c r="K27" s="34">
        <f t="shared" si="0"/>
        <v>82462216</v>
      </c>
      <c r="L27" s="158">
        <f>+IF($A27="",IF($C27="",SUMIFS(全伝票!O:O,全伝票!$B:$B,$B27),SUMIFS(全伝票!O:O,全伝票!$C:$C,$C27)),IF($C27="",SUMIFS(全伝票!O:O,全伝票!$A:$A,$A27,全伝票!$B:$B,$B27),SUMIFS(全伝票!O:O,全伝票!$A:$A,$A27,全伝票!$C:$C,$C27)))</f>
        <v>0</v>
      </c>
      <c r="M27" s="158">
        <f>+IF($A27="",IF($C27="",SUMIFS(全伝票!P:P,全伝票!$B:$B,$B27),SUMIFS(全伝票!P:P,全伝票!$C:$C,$C27)),IF($C27="",SUMIFS(全伝票!P:P,全伝票!$A:$A,$A27,全伝票!$B:$B,$B27),SUMIFS(全伝票!P:P,全伝票!$A:$A,$A27,全伝票!$C:$C,$C27)))</f>
        <v>0</v>
      </c>
      <c r="N27" s="108">
        <f t="shared" si="1"/>
        <v>0</v>
      </c>
      <c r="O27" s="25">
        <f t="shared" si="3"/>
        <v>0</v>
      </c>
      <c r="P27" s="25">
        <f t="shared" si="2"/>
        <v>0</v>
      </c>
      <c r="Q27" s="157">
        <f t="shared" si="3"/>
        <v>0</v>
      </c>
      <c r="R27" s="157">
        <f t="shared" si="4"/>
        <v>7496565</v>
      </c>
      <c r="S27" s="22">
        <f t="shared" si="5"/>
        <v>7496565</v>
      </c>
      <c r="T27" s="109">
        <f t="shared" si="6"/>
        <v>74965651</v>
      </c>
      <c r="U27" s="107">
        <f t="shared" si="7"/>
        <v>0</v>
      </c>
      <c r="V27" s="107">
        <f t="shared" si="8"/>
        <v>0</v>
      </c>
      <c r="W27" s="107">
        <f t="shared" si="9"/>
        <v>0</v>
      </c>
      <c r="X27" s="107">
        <f t="shared" si="9"/>
        <v>0</v>
      </c>
      <c r="Y27" s="107">
        <f t="shared" si="10"/>
        <v>-9.090909082442522E-2</v>
      </c>
      <c r="Z27" s="106">
        <f t="shared" si="11"/>
        <v>0</v>
      </c>
      <c r="AA27" s="106">
        <f t="shared" si="12"/>
        <v>0</v>
      </c>
      <c r="AB27" s="106">
        <f t="shared" si="13"/>
        <v>0</v>
      </c>
      <c r="AC27" s="106">
        <f t="shared" si="13"/>
        <v>0</v>
      </c>
      <c r="AD27" s="106">
        <f t="shared" si="14"/>
        <v>0</v>
      </c>
    </row>
    <row r="28" spans="1:35">
      <c r="A28" s="165">
        <v>1</v>
      </c>
      <c r="B28" s="164" t="s">
        <v>187</v>
      </c>
      <c r="C28" s="163"/>
      <c r="D28" s="162" t="s">
        <v>64</v>
      </c>
      <c r="E28" s="158">
        <f>+IF($A28="",IF($C28="",SUMIFS(全伝票!I:I,全伝票!$B:$B,$B28),SUMIFS(全伝票!I:I,全伝票!$C:$C,$C28)),IF($C28="",SUMIFS(全伝票!I:I,全伝票!$A:$A,$A28,全伝票!$B:$B,$B28),SUMIFS(全伝票!I:I,全伝票!$A:$A,$A28,全伝票!$C:$C,$C28)))</f>
        <v>0</v>
      </c>
      <c r="F28" s="161">
        <f>+IF($A28="",IF($C28="",SUMIFS(全伝票!J:J,全伝票!$B:$B,$B28),SUMIFS(全伝票!J:J,全伝票!$C:$C,$C28)),IF($C28="",SUMIFS(全伝票!J:J,全伝票!$A:$A,$A28,全伝票!$B:$B,$B28),SUMIFS(全伝票!J:J,全伝票!$A:$A,$A28,全伝票!$C:$C,$C28)))</f>
        <v>0</v>
      </c>
      <c r="G28" s="160">
        <f>+IF($A28="",IF($C28="",SUMIFS(全伝票!K:K,全伝票!$B:$B,$B28),SUMIFS(全伝票!K:K,全伝票!$C:$C,$C28)),IF($C28="",SUMIFS(全伝票!K:K,全伝票!$A:$A,$A28,全伝票!$B:$B,$B28),SUMIFS(全伝票!K:K,全伝票!$A:$A,$A28,全伝票!$C:$C,$C28)))</f>
        <v>0</v>
      </c>
      <c r="H28" s="160">
        <f>+IF($A28="",IF($C28="",SUMIFS(全伝票!L:L,全伝票!$B:$B,$B28),SUMIFS(全伝票!L:L,全伝票!$C:$C,$C28)),IF($C28="",SUMIFS(全伝票!L:L,全伝票!$A:$A,$A28,全伝票!$B:$B,$B28),SUMIFS(全伝票!L:L,全伝票!$A:$A,$A28,全伝票!$C:$C,$C28)))</f>
        <v>0</v>
      </c>
      <c r="I28" s="159">
        <f>+IF($A28="",IF($C28="",SUMIFS(全伝票!M:M,全伝票!$B:$B,$B28),SUMIFS(全伝票!M:M,全伝票!$C:$C,$C28)),IF($C28="",SUMIFS(全伝票!M:M,全伝票!$A:$A,$A28,全伝票!$B:$B,$B28),SUMIFS(全伝票!M:M,全伝票!$A:$A,$A28,全伝票!$C:$C,$C28)))</f>
        <v>0</v>
      </c>
      <c r="J28" s="159">
        <f>+IF($A28="",IF($C28="",SUMIFS(全伝票!N:N,全伝票!$B:$B,$B28),SUMIFS(全伝票!N:N,全伝票!$C:$C,$C28)),IF($C28="",SUMIFS(全伝票!N:N,全伝票!$A:$A,$A28,全伝票!$B:$B,$B28),SUMIFS(全伝票!N:N,全伝票!$A:$A,$A28,全伝票!$C:$C,$C28)))</f>
        <v>0</v>
      </c>
      <c r="K28" s="34">
        <f t="shared" si="0"/>
        <v>0</v>
      </c>
      <c r="L28" s="158">
        <f>+IF($A28="",IF($C28="",SUMIFS(全伝票!O:O,全伝票!$B:$B,$B28),SUMIFS(全伝票!O:O,全伝票!$C:$C,$C28)),IF($C28="",SUMIFS(全伝票!O:O,全伝票!$A:$A,$A28,全伝票!$B:$B,$B28),SUMIFS(全伝票!O:O,全伝票!$A:$A,$A28,全伝票!$C:$C,$C28)))</f>
        <v>0</v>
      </c>
      <c r="M28" s="158">
        <f>+IF($A28="",IF($C28="",SUMIFS(全伝票!P:P,全伝票!$B:$B,$B28),SUMIFS(全伝票!P:P,全伝票!$C:$C,$C28)),IF($C28="",SUMIFS(全伝票!P:P,全伝票!$A:$A,$A28,全伝票!$B:$B,$B28),SUMIFS(全伝票!P:P,全伝票!$A:$A,$A28,全伝票!$C:$C,$C28)))</f>
        <v>0</v>
      </c>
      <c r="N28" s="108">
        <f t="shared" si="1"/>
        <v>0</v>
      </c>
      <c r="O28" s="25">
        <f t="shared" si="3"/>
        <v>0</v>
      </c>
      <c r="P28" s="25">
        <f t="shared" si="2"/>
        <v>0</v>
      </c>
      <c r="Q28" s="157">
        <f t="shared" si="3"/>
        <v>0</v>
      </c>
      <c r="R28" s="157">
        <f t="shared" si="4"/>
        <v>0</v>
      </c>
      <c r="S28" s="22">
        <f t="shared" si="5"/>
        <v>0</v>
      </c>
      <c r="T28" s="109">
        <f t="shared" si="6"/>
        <v>0</v>
      </c>
      <c r="U28" s="107">
        <f t="shared" si="7"/>
        <v>0</v>
      </c>
      <c r="V28" s="107">
        <f t="shared" si="8"/>
        <v>0</v>
      </c>
      <c r="W28" s="107">
        <f t="shared" si="9"/>
        <v>0</v>
      </c>
      <c r="X28" s="107">
        <f t="shared" si="9"/>
        <v>0</v>
      </c>
      <c r="Y28" s="107">
        <f t="shared" si="10"/>
        <v>0</v>
      </c>
      <c r="Z28" s="106">
        <f t="shared" si="11"/>
        <v>0</v>
      </c>
      <c r="AA28" s="106">
        <f t="shared" si="12"/>
        <v>0</v>
      </c>
      <c r="AB28" s="106">
        <f t="shared" si="13"/>
        <v>0</v>
      </c>
      <c r="AC28" s="106">
        <f t="shared" si="13"/>
        <v>0</v>
      </c>
      <c r="AD28" s="106">
        <f t="shared" si="14"/>
        <v>0</v>
      </c>
    </row>
    <row r="29" spans="1:35">
      <c r="A29" s="165">
        <v>1</v>
      </c>
      <c r="B29" s="164" t="s">
        <v>186</v>
      </c>
      <c r="C29" s="163"/>
      <c r="D29" s="162" t="s">
        <v>62</v>
      </c>
      <c r="E29" s="158">
        <f>+IF($A29="",IF($C29="",SUMIFS(全伝票!I:I,全伝票!$B:$B,$B29),SUMIFS(全伝票!I:I,全伝票!$C:$C,$C29)),IF($C29="",SUMIFS(全伝票!I:I,全伝票!$A:$A,$A29,全伝票!$B:$B,$B29),SUMIFS(全伝票!I:I,全伝票!$A:$A,$A29,全伝票!$C:$C,$C29)))</f>
        <v>1598889696</v>
      </c>
      <c r="F29" s="161">
        <f>+IF($A29="",IF($C29="",SUMIFS(全伝票!J:J,全伝票!$B:$B,$B29),SUMIFS(全伝票!J:J,全伝票!$C:$C,$C29)),IF($C29="",SUMIFS(全伝票!J:J,全伝票!$A:$A,$A29,全伝票!$B:$B,$B29),SUMIFS(全伝票!J:J,全伝票!$A:$A,$A29,全伝票!$C:$C,$C29)))</f>
        <v>0</v>
      </c>
      <c r="G29" s="160">
        <f>+IF($A29="",IF($C29="",SUMIFS(全伝票!K:K,全伝票!$B:$B,$B29),SUMIFS(全伝票!K:K,全伝票!$C:$C,$C29)),IF($C29="",SUMIFS(全伝票!K:K,全伝票!$A:$A,$A29,全伝票!$B:$B,$B29),SUMIFS(全伝票!K:K,全伝票!$A:$A,$A29,全伝票!$C:$C,$C29)))</f>
        <v>0</v>
      </c>
      <c r="H29" s="160">
        <f>+IF($A29="",IF($C29="",SUMIFS(全伝票!L:L,全伝票!$B:$B,$B29),SUMIFS(全伝票!L:L,全伝票!$C:$C,$C29)),IF($C29="",SUMIFS(全伝票!L:L,全伝票!$A:$A,$A29,全伝票!$B:$B,$B29),SUMIFS(全伝票!L:L,全伝票!$A:$A,$A29,全伝票!$C:$C,$C29)))</f>
        <v>0</v>
      </c>
      <c r="I29" s="159">
        <f>+IF($A29="",IF($C29="",SUMIFS(全伝票!M:M,全伝票!$B:$B,$B29),SUMIFS(全伝票!M:M,全伝票!$C:$C,$C29)),IF($C29="",SUMIFS(全伝票!M:M,全伝票!$A:$A,$A29,全伝票!$B:$B,$B29),SUMIFS(全伝票!M:M,全伝票!$A:$A,$A29,全伝票!$C:$C,$C29)))</f>
        <v>0</v>
      </c>
      <c r="J29" s="159">
        <f>+IF($A29="",IF($C29="",SUMIFS(全伝票!N:N,全伝票!$B:$B,$B29),SUMIFS(全伝票!N:N,全伝票!$C:$C,$C29)),IF($C29="",SUMIFS(全伝票!N:N,全伝票!$A:$A,$A29,全伝票!$B:$B,$B29),SUMIFS(全伝票!N:N,全伝票!$A:$A,$A29,全伝票!$C:$C,$C29)))</f>
        <v>1596158815</v>
      </c>
      <c r="K29" s="34">
        <f t="shared" si="0"/>
        <v>1596158815</v>
      </c>
      <c r="L29" s="158">
        <f>+IF($A29="",IF($C29="",SUMIFS(全伝票!O:O,全伝票!$B:$B,$B29),SUMIFS(全伝票!O:O,全伝票!$C:$C,$C29)),IF($C29="",SUMIFS(全伝票!O:O,全伝票!$A:$A,$A29,全伝票!$B:$B,$B29),SUMIFS(全伝票!O:O,全伝票!$A:$A,$A29,全伝票!$C:$C,$C29)))</f>
        <v>15600</v>
      </c>
      <c r="M29" s="158">
        <f>+IF($A29="",IF($C29="",SUMIFS(全伝票!P:P,全伝票!$B:$B,$B29),SUMIFS(全伝票!P:P,全伝票!$C:$C,$C29)),IF($C29="",SUMIFS(全伝票!P:P,全伝票!$A:$A,$A29,全伝票!$B:$B,$B29),SUMIFS(全伝票!P:P,全伝票!$A:$A,$A29,全伝票!$C:$C,$C29)))</f>
        <v>2715281</v>
      </c>
      <c r="N29" s="108">
        <f t="shared" si="1"/>
        <v>0</v>
      </c>
      <c r="O29" s="25">
        <f t="shared" si="3"/>
        <v>0</v>
      </c>
      <c r="P29" s="25">
        <f t="shared" si="2"/>
        <v>0</v>
      </c>
      <c r="Q29" s="157">
        <f t="shared" si="3"/>
        <v>0</v>
      </c>
      <c r="R29" s="157">
        <f t="shared" si="4"/>
        <v>145105347</v>
      </c>
      <c r="S29" s="22">
        <f t="shared" si="5"/>
        <v>145105347</v>
      </c>
      <c r="T29" s="109">
        <f t="shared" si="6"/>
        <v>1453784349</v>
      </c>
      <c r="U29" s="107">
        <f t="shared" si="7"/>
        <v>0</v>
      </c>
      <c r="V29" s="107">
        <f t="shared" si="8"/>
        <v>0</v>
      </c>
      <c r="W29" s="107">
        <f t="shared" si="9"/>
        <v>0</v>
      </c>
      <c r="X29" s="107">
        <f t="shared" si="9"/>
        <v>0</v>
      </c>
      <c r="Y29" s="107">
        <f t="shared" si="10"/>
        <v>0.18181818723678589</v>
      </c>
      <c r="Z29" s="106">
        <f t="shared" si="11"/>
        <v>0</v>
      </c>
      <c r="AA29" s="106">
        <f t="shared" si="12"/>
        <v>0</v>
      </c>
      <c r="AB29" s="106">
        <f t="shared" si="13"/>
        <v>0</v>
      </c>
      <c r="AC29" s="106">
        <f t="shared" si="13"/>
        <v>0</v>
      </c>
      <c r="AD29" s="106">
        <f t="shared" si="14"/>
        <v>0</v>
      </c>
    </row>
    <row r="30" spans="1:35">
      <c r="A30" s="165">
        <v>1</v>
      </c>
      <c r="B30" s="164" t="s">
        <v>185</v>
      </c>
      <c r="C30" s="163"/>
      <c r="D30" s="162" t="s">
        <v>60</v>
      </c>
      <c r="E30" s="158">
        <f>+IF($A30="",IF($C30="",SUMIFS(全伝票!I:I,全伝票!$B:$B,$B30),SUMIFS(全伝票!I:I,全伝票!$C:$C,$C30)),IF($C30="",SUMIFS(全伝票!I:I,全伝票!$A:$A,$A30,全伝票!$B:$B,$B30),SUMIFS(全伝票!I:I,全伝票!$A:$A,$A30,全伝票!$C:$C,$C30)))</f>
        <v>0</v>
      </c>
      <c r="F30" s="161">
        <f>+IF($A30="",IF($C30="",SUMIFS(全伝票!J:J,全伝票!$B:$B,$B30),SUMIFS(全伝票!J:J,全伝票!$C:$C,$C30)),IF($C30="",SUMIFS(全伝票!J:J,全伝票!$A:$A,$A30,全伝票!$B:$B,$B30),SUMIFS(全伝票!J:J,全伝票!$A:$A,$A30,全伝票!$C:$C,$C30)))</f>
        <v>0</v>
      </c>
      <c r="G30" s="160">
        <f>+IF($A30="",IF($C30="",SUMIFS(全伝票!K:K,全伝票!$B:$B,$B30),SUMIFS(全伝票!K:K,全伝票!$C:$C,$C30)),IF($C30="",SUMIFS(全伝票!K:K,全伝票!$A:$A,$A30,全伝票!$B:$B,$B30),SUMIFS(全伝票!K:K,全伝票!$A:$A,$A30,全伝票!$C:$C,$C30)))</f>
        <v>0</v>
      </c>
      <c r="H30" s="160">
        <f>+IF($A30="",IF($C30="",SUMIFS(全伝票!L:L,全伝票!$B:$B,$B30),SUMIFS(全伝票!L:L,全伝票!$C:$C,$C30)),IF($C30="",SUMIFS(全伝票!L:L,全伝票!$A:$A,$A30,全伝票!$B:$B,$B30),SUMIFS(全伝票!L:L,全伝票!$A:$A,$A30,全伝票!$C:$C,$C30)))</f>
        <v>0</v>
      </c>
      <c r="I30" s="159">
        <f>+IF($A30="",IF($C30="",SUMIFS(全伝票!M:M,全伝票!$B:$B,$B30),SUMIFS(全伝票!M:M,全伝票!$C:$C,$C30)),IF($C30="",SUMIFS(全伝票!M:M,全伝票!$A:$A,$A30,全伝票!$B:$B,$B30),SUMIFS(全伝票!M:M,全伝票!$A:$A,$A30,全伝票!$C:$C,$C30)))</f>
        <v>0</v>
      </c>
      <c r="J30" s="159">
        <f>+IF($A30="",IF($C30="",SUMIFS(全伝票!N:N,全伝票!$B:$B,$B30),SUMIFS(全伝票!N:N,全伝票!$C:$C,$C30)),IF($C30="",SUMIFS(全伝票!N:N,全伝票!$A:$A,$A30,全伝票!$B:$B,$B30),SUMIFS(全伝票!N:N,全伝票!$A:$A,$A30,全伝票!$C:$C,$C30)))</f>
        <v>0</v>
      </c>
      <c r="K30" s="34">
        <f t="shared" si="0"/>
        <v>0</v>
      </c>
      <c r="L30" s="158">
        <f>+IF($A30="",IF($C30="",SUMIFS(全伝票!O:O,全伝票!$B:$B,$B30),SUMIFS(全伝票!O:O,全伝票!$C:$C,$C30)),IF($C30="",SUMIFS(全伝票!O:O,全伝票!$A:$A,$A30,全伝票!$B:$B,$B30),SUMIFS(全伝票!O:O,全伝票!$A:$A,$A30,全伝票!$C:$C,$C30)))</f>
        <v>0</v>
      </c>
      <c r="M30" s="158">
        <f>+IF($A30="",IF($C30="",SUMIFS(全伝票!P:P,全伝票!$B:$B,$B30),SUMIFS(全伝票!P:P,全伝票!$C:$C,$C30)),IF($C30="",SUMIFS(全伝票!P:P,全伝票!$A:$A,$A30,全伝票!$B:$B,$B30),SUMIFS(全伝票!P:P,全伝票!$A:$A,$A30,全伝票!$C:$C,$C30)))</f>
        <v>0</v>
      </c>
      <c r="N30" s="108">
        <f t="shared" si="1"/>
        <v>0</v>
      </c>
      <c r="O30" s="25">
        <f t="shared" si="3"/>
        <v>0</v>
      </c>
      <c r="P30" s="25">
        <f t="shared" si="2"/>
        <v>0</v>
      </c>
      <c r="Q30" s="157">
        <f t="shared" si="3"/>
        <v>0</v>
      </c>
      <c r="R30" s="157">
        <f t="shared" si="4"/>
        <v>0</v>
      </c>
      <c r="S30" s="22">
        <f t="shared" si="5"/>
        <v>0</v>
      </c>
      <c r="T30" s="109">
        <f t="shared" si="6"/>
        <v>0</v>
      </c>
      <c r="U30" s="107">
        <f t="shared" si="7"/>
        <v>0</v>
      </c>
      <c r="V30" s="107">
        <f t="shared" si="8"/>
        <v>0</v>
      </c>
      <c r="W30" s="107">
        <f t="shared" si="9"/>
        <v>0</v>
      </c>
      <c r="X30" s="107">
        <f t="shared" si="9"/>
        <v>0</v>
      </c>
      <c r="Y30" s="107">
        <f t="shared" si="10"/>
        <v>0</v>
      </c>
      <c r="Z30" s="106">
        <f t="shared" si="11"/>
        <v>0</v>
      </c>
      <c r="AA30" s="106">
        <f t="shared" si="12"/>
        <v>0</v>
      </c>
      <c r="AB30" s="106">
        <f t="shared" si="13"/>
        <v>0</v>
      </c>
      <c r="AC30" s="106">
        <f t="shared" si="13"/>
        <v>0</v>
      </c>
      <c r="AD30" s="106">
        <f t="shared" si="14"/>
        <v>0</v>
      </c>
    </row>
    <row r="31" spans="1:35">
      <c r="A31" s="165">
        <v>1</v>
      </c>
      <c r="B31" s="164" t="s">
        <v>184</v>
      </c>
      <c r="C31" s="163"/>
      <c r="D31" s="162" t="s">
        <v>58</v>
      </c>
      <c r="E31" s="158">
        <f>+IF($A31="",IF($C31="",SUMIFS(全伝票!I:I,全伝票!$B:$B,$B31),SUMIFS(全伝票!I:I,全伝票!$C:$C,$C31)),IF($C31="",SUMIFS(全伝票!I:I,全伝票!$A:$A,$A31,全伝票!$B:$B,$B31),SUMIFS(全伝票!I:I,全伝票!$A:$A,$A31,全伝票!$C:$C,$C31)))</f>
        <v>123910</v>
      </c>
      <c r="F31" s="161">
        <f>+IF($A31="",IF($C31="",SUMIFS(全伝票!J:J,全伝票!$B:$B,$B31),SUMIFS(全伝票!J:J,全伝票!$C:$C,$C31)),IF($C31="",SUMIFS(全伝票!J:J,全伝票!$A:$A,$A31,全伝票!$B:$B,$B31),SUMIFS(全伝票!J:J,全伝票!$A:$A,$A31,全伝票!$C:$C,$C31)))</f>
        <v>0</v>
      </c>
      <c r="G31" s="160">
        <f>+IF($A31="",IF($C31="",SUMIFS(全伝票!K:K,全伝票!$B:$B,$B31),SUMIFS(全伝票!K:K,全伝票!$C:$C,$C31)),IF($C31="",SUMIFS(全伝票!K:K,全伝票!$A:$A,$A31,全伝票!$B:$B,$B31),SUMIFS(全伝票!K:K,全伝票!$A:$A,$A31,全伝票!$C:$C,$C31)))</f>
        <v>0</v>
      </c>
      <c r="H31" s="160">
        <f>+IF($A31="",IF($C31="",SUMIFS(全伝票!L:L,全伝票!$B:$B,$B31),SUMIFS(全伝票!L:L,全伝票!$C:$C,$C31)),IF($C31="",SUMIFS(全伝票!L:L,全伝票!$A:$A,$A31,全伝票!$B:$B,$B31),SUMIFS(全伝票!L:L,全伝票!$A:$A,$A31,全伝票!$C:$C,$C31)))</f>
        <v>0</v>
      </c>
      <c r="I31" s="159">
        <f>+IF($A31="",IF($C31="",SUMIFS(全伝票!M:M,全伝票!$B:$B,$B31),SUMIFS(全伝票!M:M,全伝票!$C:$C,$C31)),IF($C31="",SUMIFS(全伝票!M:M,全伝票!$A:$A,$A31,全伝票!$B:$B,$B31),SUMIFS(全伝票!M:M,全伝票!$A:$A,$A31,全伝票!$C:$C,$C31)))</f>
        <v>0</v>
      </c>
      <c r="J31" s="159">
        <f>+IF($A31="",IF($C31="",SUMIFS(全伝票!N:N,全伝票!$B:$B,$B31),SUMIFS(全伝票!N:N,全伝票!$C:$C,$C31)),IF($C31="",SUMIFS(全伝票!N:N,全伝票!$A:$A,$A31,全伝票!$B:$B,$B31),SUMIFS(全伝票!N:N,全伝票!$A:$A,$A31,全伝票!$C:$C,$C31)))</f>
        <v>0</v>
      </c>
      <c r="K31" s="34">
        <f t="shared" si="0"/>
        <v>0</v>
      </c>
      <c r="L31" s="158">
        <f>+IF($A31="",IF($C31="",SUMIFS(全伝票!O:O,全伝票!$B:$B,$B31),SUMIFS(全伝票!O:O,全伝票!$C:$C,$C31)),IF($C31="",SUMIFS(全伝票!O:O,全伝票!$A:$A,$A31,全伝票!$B:$B,$B31),SUMIFS(全伝票!O:O,全伝票!$A:$A,$A31,全伝票!$C:$C,$C31)))</f>
        <v>123910</v>
      </c>
      <c r="M31" s="158">
        <f>+IF($A31="",IF($C31="",SUMIFS(全伝票!P:P,全伝票!$B:$B,$B31),SUMIFS(全伝票!P:P,全伝票!$C:$C,$C31)),IF($C31="",SUMIFS(全伝票!P:P,全伝票!$A:$A,$A31,全伝票!$B:$B,$B31),SUMIFS(全伝票!P:P,全伝票!$A:$A,$A31,全伝票!$C:$C,$C31)))</f>
        <v>0</v>
      </c>
      <c r="N31" s="108">
        <f t="shared" si="1"/>
        <v>0</v>
      </c>
      <c r="O31" s="25">
        <f t="shared" si="3"/>
        <v>0</v>
      </c>
      <c r="P31" s="25">
        <f t="shared" si="2"/>
        <v>0</v>
      </c>
      <c r="Q31" s="157">
        <f t="shared" si="3"/>
        <v>0</v>
      </c>
      <c r="R31" s="157">
        <f t="shared" si="4"/>
        <v>0</v>
      </c>
      <c r="S31" s="22">
        <f t="shared" si="5"/>
        <v>0</v>
      </c>
      <c r="T31" s="109">
        <f t="shared" si="6"/>
        <v>123910</v>
      </c>
      <c r="U31" s="107">
        <f t="shared" si="7"/>
        <v>0</v>
      </c>
      <c r="V31" s="107">
        <f t="shared" si="8"/>
        <v>0</v>
      </c>
      <c r="W31" s="107">
        <f t="shared" si="9"/>
        <v>0</v>
      </c>
      <c r="X31" s="107">
        <f t="shared" si="9"/>
        <v>0</v>
      </c>
      <c r="Y31" s="107">
        <f t="shared" si="10"/>
        <v>0</v>
      </c>
      <c r="Z31" s="106">
        <f t="shared" si="11"/>
        <v>0</v>
      </c>
      <c r="AA31" s="106">
        <f t="shared" si="12"/>
        <v>0</v>
      </c>
      <c r="AB31" s="106">
        <f t="shared" si="13"/>
        <v>0</v>
      </c>
      <c r="AC31" s="106">
        <f t="shared" si="13"/>
        <v>0</v>
      </c>
      <c r="AD31" s="106">
        <f t="shared" si="14"/>
        <v>0</v>
      </c>
    </row>
    <row r="32" spans="1:35">
      <c r="A32" s="165">
        <v>1</v>
      </c>
      <c r="B32" s="164" t="s">
        <v>183</v>
      </c>
      <c r="C32" s="163"/>
      <c r="D32" s="162" t="s">
        <v>56</v>
      </c>
      <c r="E32" s="158">
        <f>+IF($A32="",IF($C32="",SUMIFS(全伝票!I:I,全伝票!$B:$B,$B32),SUMIFS(全伝票!I:I,全伝票!$C:$C,$C32)),IF($C32="",SUMIFS(全伝票!I:I,全伝票!$A:$A,$A32,全伝票!$B:$B,$B32),SUMIFS(全伝票!I:I,全伝票!$A:$A,$A32,全伝票!$C:$C,$C32)))</f>
        <v>31300</v>
      </c>
      <c r="F32" s="161">
        <f>+IF($A32="",IF($C32="",SUMIFS(全伝票!J:J,全伝票!$B:$B,$B32),SUMIFS(全伝票!J:J,全伝票!$C:$C,$C32)),IF($C32="",SUMIFS(全伝票!J:J,全伝票!$A:$A,$A32,全伝票!$B:$B,$B32),SUMIFS(全伝票!J:J,全伝票!$A:$A,$A32,全伝票!$C:$C,$C32)))</f>
        <v>0</v>
      </c>
      <c r="G32" s="160">
        <f>+IF($A32="",IF($C32="",SUMIFS(全伝票!K:K,全伝票!$B:$B,$B32),SUMIFS(全伝票!K:K,全伝票!$C:$C,$C32)),IF($C32="",SUMIFS(全伝票!K:K,全伝票!$A:$A,$A32,全伝票!$B:$B,$B32),SUMIFS(全伝票!K:K,全伝票!$A:$A,$A32,全伝票!$C:$C,$C32)))</f>
        <v>0</v>
      </c>
      <c r="H32" s="160">
        <f>+IF($A32="",IF($C32="",SUMIFS(全伝票!L:L,全伝票!$B:$B,$B32),SUMIFS(全伝票!L:L,全伝票!$C:$C,$C32)),IF($C32="",SUMIFS(全伝票!L:L,全伝票!$A:$A,$A32,全伝票!$B:$B,$B32),SUMIFS(全伝票!L:L,全伝票!$A:$A,$A32,全伝票!$C:$C,$C32)))</f>
        <v>0</v>
      </c>
      <c r="I32" s="159">
        <f>+IF($A32="",IF($C32="",SUMIFS(全伝票!M:M,全伝票!$B:$B,$B32),SUMIFS(全伝票!M:M,全伝票!$C:$C,$C32)),IF($C32="",SUMIFS(全伝票!M:M,全伝票!$A:$A,$A32,全伝票!$B:$B,$B32),SUMIFS(全伝票!M:M,全伝票!$A:$A,$A32,全伝票!$C:$C,$C32)))</f>
        <v>0</v>
      </c>
      <c r="J32" s="159">
        <f>+IF($A32="",IF($C32="",SUMIFS(全伝票!N:N,全伝票!$B:$B,$B32),SUMIFS(全伝票!N:N,全伝票!$C:$C,$C32)),IF($C32="",SUMIFS(全伝票!N:N,全伝票!$A:$A,$A32,全伝票!$B:$B,$B32),SUMIFS(全伝票!N:N,全伝票!$A:$A,$A32,全伝票!$C:$C,$C32)))</f>
        <v>0</v>
      </c>
      <c r="K32" s="34">
        <f t="shared" si="0"/>
        <v>0</v>
      </c>
      <c r="L32" s="158">
        <f>+IF($A32="",IF($C32="",SUMIFS(全伝票!O:O,全伝票!$B:$B,$B32),SUMIFS(全伝票!O:O,全伝票!$C:$C,$C32)),IF($C32="",SUMIFS(全伝票!O:O,全伝票!$A:$A,$A32,全伝票!$B:$B,$B32),SUMIFS(全伝票!O:O,全伝票!$A:$A,$A32,全伝票!$C:$C,$C32)))</f>
        <v>0</v>
      </c>
      <c r="M32" s="158">
        <f>+IF($A32="",IF($C32="",SUMIFS(全伝票!P:P,全伝票!$B:$B,$B32),SUMIFS(全伝票!P:P,全伝票!$C:$C,$C32)),IF($C32="",SUMIFS(全伝票!P:P,全伝票!$A:$A,$A32,全伝票!$B:$B,$B32),SUMIFS(全伝票!P:P,全伝票!$A:$A,$A32,全伝票!$C:$C,$C32)))</f>
        <v>31300</v>
      </c>
      <c r="N32" s="108">
        <f t="shared" si="1"/>
        <v>0</v>
      </c>
      <c r="O32" s="25">
        <f t="shared" si="3"/>
        <v>0</v>
      </c>
      <c r="P32" s="25">
        <f t="shared" si="2"/>
        <v>0</v>
      </c>
      <c r="Q32" s="157">
        <f t="shared" si="3"/>
        <v>0</v>
      </c>
      <c r="R32" s="157">
        <f t="shared" si="4"/>
        <v>0</v>
      </c>
      <c r="S32" s="22">
        <f t="shared" si="5"/>
        <v>0</v>
      </c>
      <c r="T32" s="109">
        <f t="shared" si="6"/>
        <v>31300</v>
      </c>
      <c r="U32" s="107">
        <f t="shared" si="7"/>
        <v>0</v>
      </c>
      <c r="V32" s="107">
        <f t="shared" si="8"/>
        <v>0</v>
      </c>
      <c r="W32" s="107">
        <f t="shared" si="9"/>
        <v>0</v>
      </c>
      <c r="X32" s="107">
        <f t="shared" si="9"/>
        <v>0</v>
      </c>
      <c r="Y32" s="107">
        <f t="shared" si="10"/>
        <v>0</v>
      </c>
      <c r="Z32" s="106">
        <f t="shared" si="11"/>
        <v>0</v>
      </c>
      <c r="AA32" s="106">
        <f t="shared" si="12"/>
        <v>0</v>
      </c>
      <c r="AB32" s="106">
        <f t="shared" si="13"/>
        <v>0</v>
      </c>
      <c r="AC32" s="106">
        <f t="shared" si="13"/>
        <v>0</v>
      </c>
      <c r="AD32" s="106">
        <f t="shared" si="14"/>
        <v>0</v>
      </c>
    </row>
    <row r="33" spans="1:30">
      <c r="A33" s="165">
        <v>1</v>
      </c>
      <c r="B33" s="164" t="s">
        <v>204</v>
      </c>
      <c r="C33" s="163">
        <v>883081003</v>
      </c>
      <c r="D33" s="162" t="s">
        <v>609</v>
      </c>
      <c r="E33" s="158">
        <f>+IF($A33="",IF($C33="",SUMIFS(全伝票!I:I,全伝票!$B:$B,$B33),SUMIFS(全伝票!I:I,全伝票!$C:$C,$C33)),IF($C33="",SUMIFS(全伝票!I:I,全伝票!$A:$A,$A33,全伝票!$B:$B,$B33),SUMIFS(全伝票!I:I,全伝票!$A:$A,$A33,全伝票!$C:$C,$C33)))</f>
        <v>24960</v>
      </c>
      <c r="F33" s="161">
        <f>+IF($A33="",IF($C33="",SUMIFS(全伝票!J:J,全伝票!$B:$B,$B33),SUMIFS(全伝票!J:J,全伝票!$C:$C,$C33)),IF($C33="",SUMIFS(全伝票!J:J,全伝票!$A:$A,$A33,全伝票!$B:$B,$B33),SUMIFS(全伝票!J:J,全伝票!$A:$A,$A33,全伝票!$C:$C,$C33)))</f>
        <v>0</v>
      </c>
      <c r="G33" s="160">
        <f>+IF($A33="",IF($C33="",SUMIFS(全伝票!K:K,全伝票!$B:$B,$B33),SUMIFS(全伝票!K:K,全伝票!$C:$C,$C33)),IF($C33="",SUMIFS(全伝票!K:K,全伝票!$A:$A,$A33,全伝票!$B:$B,$B33),SUMIFS(全伝票!K:K,全伝票!$A:$A,$A33,全伝票!$C:$C,$C33)))</f>
        <v>0</v>
      </c>
      <c r="H33" s="160">
        <f>+IF($A33="",IF($C33="",SUMIFS(全伝票!L:L,全伝票!$B:$B,$B33),SUMIFS(全伝票!L:L,全伝票!$C:$C,$C33)),IF($C33="",SUMIFS(全伝票!L:L,全伝票!$A:$A,$A33,全伝票!$B:$B,$B33),SUMIFS(全伝票!L:L,全伝票!$A:$A,$A33,全伝票!$C:$C,$C33)))</f>
        <v>0</v>
      </c>
      <c r="I33" s="159">
        <f>+IF($A33="",IF($C33="",SUMIFS(全伝票!M:M,全伝票!$B:$B,$B33),SUMIFS(全伝票!M:M,全伝票!$C:$C,$C33)),IF($C33="",SUMIFS(全伝票!M:M,全伝票!$A:$A,$A33,全伝票!$B:$B,$B33),SUMIFS(全伝票!M:M,全伝票!$A:$A,$A33,全伝票!$C:$C,$C33)))</f>
        <v>0</v>
      </c>
      <c r="J33" s="159">
        <f>+IF($A33="",IF($C33="",SUMIFS(全伝票!N:N,全伝票!$B:$B,$B33),SUMIFS(全伝票!N:N,全伝票!$C:$C,$C33)),IF($C33="",SUMIFS(全伝票!N:N,全伝票!$A:$A,$A33,全伝票!$B:$B,$B33),SUMIFS(全伝票!N:N,全伝票!$A:$A,$A33,全伝票!$C:$C,$C33)))</f>
        <v>24960</v>
      </c>
      <c r="K33" s="34">
        <f t="shared" si="0"/>
        <v>24960</v>
      </c>
      <c r="L33" s="158">
        <f>+IF($A33="",IF($C33="",SUMIFS(全伝票!O:O,全伝票!$B:$B,$B33),SUMIFS(全伝票!O:O,全伝票!$C:$C,$C33)),IF($C33="",SUMIFS(全伝票!O:O,全伝票!$A:$A,$A33,全伝票!$B:$B,$B33),SUMIFS(全伝票!O:O,全伝票!$A:$A,$A33,全伝票!$C:$C,$C33)))</f>
        <v>0</v>
      </c>
      <c r="M33" s="158">
        <f>+IF($A33="",IF($C33="",SUMIFS(全伝票!P:P,全伝票!$B:$B,$B33),SUMIFS(全伝票!P:P,全伝票!$C:$C,$C33)),IF($C33="",SUMIFS(全伝票!P:P,全伝票!$A:$A,$A33,全伝票!$B:$B,$B33),SUMIFS(全伝票!P:P,全伝票!$A:$A,$A33,全伝票!$C:$C,$C33)))</f>
        <v>0</v>
      </c>
      <c r="N33" s="108">
        <f t="shared" si="1"/>
        <v>0</v>
      </c>
      <c r="O33" s="25">
        <f t="shared" si="3"/>
        <v>0</v>
      </c>
      <c r="P33" s="25">
        <f t="shared" si="2"/>
        <v>0</v>
      </c>
      <c r="Q33" s="157">
        <f t="shared" si="3"/>
        <v>0</v>
      </c>
      <c r="R33" s="157">
        <f t="shared" si="4"/>
        <v>2269</v>
      </c>
      <c r="S33" s="22">
        <f t="shared" si="5"/>
        <v>2269</v>
      </c>
      <c r="T33" s="109">
        <f t="shared" si="6"/>
        <v>22691</v>
      </c>
      <c r="U33" s="107">
        <f t="shared" si="7"/>
        <v>0</v>
      </c>
      <c r="V33" s="107">
        <f t="shared" si="8"/>
        <v>0</v>
      </c>
      <c r="W33" s="107">
        <f t="shared" si="9"/>
        <v>0</v>
      </c>
      <c r="X33" s="107">
        <f t="shared" si="9"/>
        <v>0</v>
      </c>
      <c r="Y33" s="107">
        <f t="shared" si="10"/>
        <v>-9.0909090909008228E-2</v>
      </c>
      <c r="Z33" s="106">
        <f t="shared" si="11"/>
        <v>0</v>
      </c>
      <c r="AA33" s="106">
        <f t="shared" si="12"/>
        <v>0</v>
      </c>
      <c r="AB33" s="106">
        <f t="shared" si="13"/>
        <v>0</v>
      </c>
      <c r="AC33" s="106">
        <f t="shared" si="13"/>
        <v>0</v>
      </c>
      <c r="AD33" s="106">
        <f t="shared" si="14"/>
        <v>0</v>
      </c>
    </row>
    <row r="34" spans="1:30">
      <c r="A34" s="165">
        <v>1</v>
      </c>
      <c r="B34" s="164" t="s">
        <v>182</v>
      </c>
      <c r="C34" s="163"/>
      <c r="D34" s="162" t="s">
        <v>53</v>
      </c>
      <c r="E34" s="158">
        <f>+IF($A34="",IF($C34="",SUMIFS(全伝票!I:I,全伝票!$B:$B,$B34),SUMIFS(全伝票!I:I,全伝票!$C:$C,$C34)),IF($C34="",SUMIFS(全伝票!I:I,全伝票!$A:$A,$A34,全伝票!$B:$B,$B34),SUMIFS(全伝票!I:I,全伝票!$A:$A,$A34,全伝票!$C:$C,$C34)))</f>
        <v>46163000</v>
      </c>
      <c r="F34" s="161">
        <f>+IF($A34="",IF($C34="",SUMIFS(全伝票!J:J,全伝票!$B:$B,$B34),SUMIFS(全伝票!J:J,全伝票!$C:$C,$C34)),IF($C34="",SUMIFS(全伝票!J:J,全伝票!$A:$A,$A34,全伝票!$B:$B,$B34),SUMIFS(全伝票!J:J,全伝票!$A:$A,$A34,全伝票!$C:$C,$C34)))</f>
        <v>0</v>
      </c>
      <c r="G34" s="160">
        <f>+IF($A34="",IF($C34="",SUMIFS(全伝票!K:K,全伝票!$B:$B,$B34),SUMIFS(全伝票!K:K,全伝票!$C:$C,$C34)),IF($C34="",SUMIFS(全伝票!K:K,全伝票!$A:$A,$A34,全伝票!$B:$B,$B34),SUMIFS(全伝票!K:K,全伝票!$A:$A,$A34,全伝票!$C:$C,$C34)))</f>
        <v>0</v>
      </c>
      <c r="H34" s="160">
        <f>+IF($A34="",IF($C34="",SUMIFS(全伝票!L:L,全伝票!$B:$B,$B34),SUMIFS(全伝票!L:L,全伝票!$C:$C,$C34)),IF($C34="",SUMIFS(全伝票!L:L,全伝票!$A:$A,$A34,全伝票!$B:$B,$B34),SUMIFS(全伝票!L:L,全伝票!$A:$A,$A34,全伝票!$C:$C,$C34)))</f>
        <v>0</v>
      </c>
      <c r="I34" s="159">
        <f>+IF($A34="",IF($C34="",SUMIFS(全伝票!M:M,全伝票!$B:$B,$B34),SUMIFS(全伝票!M:M,全伝票!$C:$C,$C34)),IF($C34="",SUMIFS(全伝票!M:M,全伝票!$A:$A,$A34,全伝票!$B:$B,$B34),SUMIFS(全伝票!M:M,全伝票!$A:$A,$A34,全伝票!$C:$C,$C34)))</f>
        <v>0</v>
      </c>
      <c r="J34" s="159">
        <f>+IF($A34="",IF($C34="",SUMIFS(全伝票!N:N,全伝票!$B:$B,$B34),SUMIFS(全伝票!N:N,全伝票!$C:$C,$C34)),IF($C34="",SUMIFS(全伝票!N:N,全伝票!$A:$A,$A34,全伝票!$B:$B,$B34),SUMIFS(全伝票!N:N,全伝票!$A:$A,$A34,全伝票!$C:$C,$C34)))</f>
        <v>0</v>
      </c>
      <c r="K34" s="34">
        <f t="shared" si="0"/>
        <v>0</v>
      </c>
      <c r="L34" s="158">
        <f>+IF($A34="",IF($C34="",SUMIFS(全伝票!O:O,全伝票!$B:$B,$B34),SUMIFS(全伝票!O:O,全伝票!$C:$C,$C34)),IF($C34="",SUMIFS(全伝票!O:O,全伝票!$A:$A,$A34,全伝票!$B:$B,$B34),SUMIFS(全伝票!O:O,全伝票!$A:$A,$A34,全伝票!$C:$C,$C34)))</f>
        <v>0</v>
      </c>
      <c r="M34" s="158">
        <f>+IF($A34="",IF($C34="",SUMIFS(全伝票!P:P,全伝票!$B:$B,$B34),SUMIFS(全伝票!P:P,全伝票!$C:$C,$C34)),IF($C34="",SUMIFS(全伝票!P:P,全伝票!$A:$A,$A34,全伝票!$B:$B,$B34),SUMIFS(全伝票!P:P,全伝票!$A:$A,$A34,全伝票!$C:$C,$C34)))</f>
        <v>46163000</v>
      </c>
      <c r="N34" s="108">
        <f t="shared" si="1"/>
        <v>0</v>
      </c>
      <c r="O34" s="25">
        <f t="shared" si="3"/>
        <v>0</v>
      </c>
      <c r="P34" s="25">
        <f t="shared" si="2"/>
        <v>0</v>
      </c>
      <c r="Q34" s="157">
        <f t="shared" si="3"/>
        <v>0</v>
      </c>
      <c r="R34" s="157">
        <f t="shared" si="4"/>
        <v>0</v>
      </c>
      <c r="S34" s="22">
        <f t="shared" si="5"/>
        <v>0</v>
      </c>
      <c r="T34" s="109">
        <f t="shared" si="6"/>
        <v>46163000</v>
      </c>
      <c r="U34" s="107">
        <f t="shared" si="7"/>
        <v>0</v>
      </c>
      <c r="V34" s="107">
        <f t="shared" si="8"/>
        <v>0</v>
      </c>
      <c r="W34" s="107">
        <f t="shared" si="9"/>
        <v>0</v>
      </c>
      <c r="X34" s="107">
        <f t="shared" si="9"/>
        <v>0</v>
      </c>
      <c r="Y34" s="107">
        <f t="shared" si="10"/>
        <v>0</v>
      </c>
      <c r="Z34" s="106">
        <f t="shared" si="11"/>
        <v>0</v>
      </c>
      <c r="AA34" s="106">
        <f t="shared" si="12"/>
        <v>0</v>
      </c>
      <c r="AB34" s="106">
        <f t="shared" si="13"/>
        <v>0</v>
      </c>
      <c r="AC34" s="106">
        <f t="shared" si="13"/>
        <v>0</v>
      </c>
      <c r="AD34" s="106">
        <f t="shared" si="14"/>
        <v>0</v>
      </c>
    </row>
    <row r="35" spans="1:30" ht="14.25" thickBot="1">
      <c r="A35" s="165"/>
      <c r="B35" s="164" t="s">
        <v>181</v>
      </c>
      <c r="C35" s="163"/>
      <c r="D35" s="162" t="s">
        <v>51</v>
      </c>
      <c r="E35" s="158">
        <f>+IF($A35="",IF($C35="",SUMIFS(全伝票!I:I,全伝票!$B:$B,$B35),SUMIFS(全伝票!I:I,全伝票!$C:$C,$C35)),IF($C35="",SUMIFS(全伝票!I:I,全伝票!$A:$A,$A35,全伝票!$B:$B,$B35),SUMIFS(全伝票!I:I,全伝票!$A:$A,$A35,全伝票!$C:$C,$C35)))</f>
        <v>0</v>
      </c>
      <c r="F35" s="161">
        <f>+IF($A35="",IF($C35="",SUMIFS(全伝票!J:J,全伝票!$B:$B,$B35),SUMIFS(全伝票!J:J,全伝票!$C:$C,$C35)),IF($C35="",SUMIFS(全伝票!J:J,全伝票!$A:$A,$A35,全伝票!$B:$B,$B35),SUMIFS(全伝票!J:J,全伝票!$A:$A,$A35,全伝票!$C:$C,$C35)))</f>
        <v>0</v>
      </c>
      <c r="G35" s="160">
        <f>+IF($A35="",IF($C35="",SUMIFS(全伝票!K:K,全伝票!$B:$B,$B35),SUMIFS(全伝票!K:K,全伝票!$C:$C,$C35)),IF($C35="",SUMIFS(全伝票!K:K,全伝票!$A:$A,$A35,全伝票!$B:$B,$B35),SUMIFS(全伝票!K:K,全伝票!$A:$A,$A35,全伝票!$C:$C,$C35)))</f>
        <v>0</v>
      </c>
      <c r="H35" s="160">
        <f>+IF($A35="",IF($C35="",SUMIFS(全伝票!L:L,全伝票!$B:$B,$B35),SUMIFS(全伝票!L:L,全伝票!$C:$C,$C35)),IF($C35="",SUMIFS(全伝票!L:L,全伝票!$A:$A,$A35,全伝票!$B:$B,$B35),SUMIFS(全伝票!L:L,全伝票!$A:$A,$A35,全伝票!$C:$C,$C35)))</f>
        <v>0</v>
      </c>
      <c r="I35" s="159">
        <f>+IF($A35="",IF($C35="",SUMIFS(全伝票!M:M,全伝票!$B:$B,$B35),SUMIFS(全伝票!M:M,全伝票!$C:$C,$C35)),IF($C35="",SUMIFS(全伝票!M:M,全伝票!$A:$A,$A35,全伝票!$B:$B,$B35),SUMIFS(全伝票!M:M,全伝票!$A:$A,$A35,全伝票!$C:$C,$C35)))</f>
        <v>0</v>
      </c>
      <c r="J35" s="159">
        <f>+IF($A35="",IF($C35="",SUMIFS(全伝票!N:N,全伝票!$B:$B,$B35),SUMIFS(全伝票!N:N,全伝票!$C:$C,$C35)),IF($C35="",SUMIFS(全伝票!N:N,全伝票!$A:$A,$A35,全伝票!$B:$B,$B35),SUMIFS(全伝票!N:N,全伝票!$A:$A,$A35,全伝票!$C:$C,$C35)))</f>
        <v>0</v>
      </c>
      <c r="K35" s="34">
        <f t="shared" si="0"/>
        <v>0</v>
      </c>
      <c r="L35" s="158">
        <f>+IF($A35="",IF($C35="",SUMIFS(全伝票!O:O,全伝票!$B:$B,$B35),SUMIFS(全伝票!O:O,全伝票!$C:$C,$C35)),IF($C35="",SUMIFS(全伝票!O:O,全伝票!$A:$A,$A35,全伝票!$B:$B,$B35),SUMIFS(全伝票!O:O,全伝票!$A:$A,$A35,全伝票!$C:$C,$C35)))</f>
        <v>0</v>
      </c>
      <c r="M35" s="158">
        <f>+IF($A35="",IF($C35="",SUMIFS(全伝票!P:P,全伝票!$B:$B,$B35),SUMIFS(全伝票!P:P,全伝票!$C:$C,$C35)),IF($C35="",SUMIFS(全伝票!P:P,全伝票!$A:$A,$A35,全伝票!$B:$B,$B35),SUMIFS(全伝票!P:P,全伝票!$A:$A,$A35,全伝票!$C:$C,$C35)))</f>
        <v>0</v>
      </c>
      <c r="N35" s="108">
        <f t="shared" si="1"/>
        <v>0</v>
      </c>
      <c r="O35" s="25">
        <f t="shared" si="3"/>
        <v>0</v>
      </c>
      <c r="P35" s="25">
        <f t="shared" si="2"/>
        <v>0</v>
      </c>
      <c r="Q35" s="157">
        <f t="shared" si="3"/>
        <v>0</v>
      </c>
      <c r="R35" s="157">
        <f t="shared" si="4"/>
        <v>0</v>
      </c>
      <c r="S35" s="22">
        <f t="shared" si="5"/>
        <v>0</v>
      </c>
      <c r="T35" s="109">
        <f t="shared" si="6"/>
        <v>0</v>
      </c>
      <c r="U35" s="107">
        <f t="shared" si="7"/>
        <v>0</v>
      </c>
      <c r="V35" s="107">
        <f t="shared" si="8"/>
        <v>0</v>
      </c>
      <c r="W35" s="107">
        <f t="shared" si="9"/>
        <v>0</v>
      </c>
      <c r="X35" s="107">
        <f t="shared" si="9"/>
        <v>0</v>
      </c>
      <c r="Y35" s="107">
        <f t="shared" si="10"/>
        <v>0</v>
      </c>
      <c r="Z35" s="106">
        <f t="shared" si="11"/>
        <v>0</v>
      </c>
      <c r="AA35" s="106">
        <f t="shared" si="12"/>
        <v>0</v>
      </c>
      <c r="AB35" s="106">
        <f t="shared" si="13"/>
        <v>0</v>
      </c>
      <c r="AC35" s="106">
        <f t="shared" si="13"/>
        <v>0</v>
      </c>
      <c r="AD35" s="106">
        <f t="shared" si="14"/>
        <v>0</v>
      </c>
    </row>
    <row r="36" spans="1:30" ht="14.25" thickTop="1">
      <c r="A36" s="156"/>
      <c r="B36" s="155"/>
      <c r="C36" s="154"/>
      <c r="D36" s="153" t="s">
        <v>2</v>
      </c>
      <c r="E36" s="149">
        <f t="shared" ref="E36:T36" si="15">SUM(E5:E35)</f>
        <v>6557703864</v>
      </c>
      <c r="F36" s="152">
        <f t="shared" si="15"/>
        <v>0</v>
      </c>
      <c r="G36" s="151">
        <f t="shared" si="15"/>
        <v>0</v>
      </c>
      <c r="H36" s="151">
        <f t="shared" si="15"/>
        <v>518400</v>
      </c>
      <c r="I36" s="150">
        <f t="shared" ref="I36" si="16">SUM(I5:I35)</f>
        <v>144600</v>
      </c>
      <c r="J36" s="150">
        <f t="shared" si="15"/>
        <v>5718291420</v>
      </c>
      <c r="K36" s="74">
        <f t="shared" si="15"/>
        <v>5718954420</v>
      </c>
      <c r="L36" s="149">
        <f t="shared" si="15"/>
        <v>130669187</v>
      </c>
      <c r="M36" s="149">
        <f t="shared" si="15"/>
        <v>708080257</v>
      </c>
      <c r="N36" s="146">
        <f t="shared" si="15"/>
        <v>0</v>
      </c>
      <c r="O36" s="145">
        <f t="shared" si="15"/>
        <v>0</v>
      </c>
      <c r="P36" s="145">
        <f t="shared" si="15"/>
        <v>38400</v>
      </c>
      <c r="Q36" s="148">
        <f t="shared" ref="Q36" si="17">SUM(Q5:Q35)</f>
        <v>10711</v>
      </c>
      <c r="R36" s="148">
        <f t="shared" si="15"/>
        <v>519844675</v>
      </c>
      <c r="S36" s="144">
        <f t="shared" si="15"/>
        <v>519893786</v>
      </c>
      <c r="T36" s="147">
        <f t="shared" si="15"/>
        <v>6037810078</v>
      </c>
      <c r="U36" s="88" t="str">
        <f>+IF(F36=0,"",ROUND(F36*F$4/(100+F$4),7)-N36)</f>
        <v/>
      </c>
      <c r="V36" s="88"/>
      <c r="W36" s="88"/>
      <c r="X36" s="88"/>
      <c r="Y36" s="88"/>
      <c r="Z36" s="88"/>
      <c r="AA36" s="88"/>
      <c r="AB36" s="87"/>
      <c r="AC36" s="87"/>
      <c r="AD36" s="87"/>
    </row>
    <row r="37" spans="1:30">
      <c r="A37" s="143"/>
      <c r="B37" s="142"/>
      <c r="C37" s="141"/>
      <c r="D37" s="140" t="s">
        <v>1</v>
      </c>
      <c r="E37" s="136">
        <f t="shared" ref="E37:J37" si="18">+E36</f>
        <v>6557703864</v>
      </c>
      <c r="F37" s="139">
        <f t="shared" si="18"/>
        <v>0</v>
      </c>
      <c r="G37" s="138">
        <f t="shared" si="18"/>
        <v>0</v>
      </c>
      <c r="H37" s="138">
        <f t="shared" si="18"/>
        <v>518400</v>
      </c>
      <c r="I37" s="137">
        <f t="shared" si="18"/>
        <v>144600</v>
      </c>
      <c r="J37" s="137">
        <f t="shared" si="18"/>
        <v>5718291420</v>
      </c>
      <c r="K37" s="63">
        <f>SUM(F37:J37)</f>
        <v>5718954420</v>
      </c>
      <c r="L37" s="136">
        <f>+L36</f>
        <v>130669187</v>
      </c>
      <c r="M37" s="135">
        <f>+M36</f>
        <v>708080257</v>
      </c>
      <c r="N37" s="133">
        <f>+'3条支出'!N9</f>
        <v>0</v>
      </c>
      <c r="O37" s="132">
        <f>+'3条支出'!O9</f>
        <v>0</v>
      </c>
      <c r="P37" s="132">
        <f>+'3条支出'!P9</f>
        <v>38400</v>
      </c>
      <c r="Q37" s="132">
        <f>+'3条支出'!Q9</f>
        <v>10711</v>
      </c>
      <c r="R37" s="132">
        <f>+'3条支出'!R9</f>
        <v>519844675</v>
      </c>
      <c r="S37" s="131">
        <f>+'3条支出'!S9</f>
        <v>519893786</v>
      </c>
      <c r="T37" s="134">
        <f>+'3条支出'!T9</f>
        <v>6037810078</v>
      </c>
      <c r="U37" s="88" t="str">
        <f>+IF(F37=0,"",ROUND(F37*F$4/(100+F$4),7)-N37)</f>
        <v/>
      </c>
      <c r="V37" s="88"/>
      <c r="W37" s="88"/>
      <c r="X37" s="88"/>
      <c r="Y37" s="88"/>
      <c r="Z37" s="88"/>
      <c r="AA37" s="88"/>
      <c r="AB37" s="87"/>
      <c r="AC37" s="87"/>
      <c r="AD37" s="87"/>
    </row>
    <row r="38" spans="1:30">
      <c r="E38" s="4">
        <f t="shared" ref="E38:T38" si="19">+E37-E36</f>
        <v>0</v>
      </c>
      <c r="F38" s="4">
        <f t="shared" si="19"/>
        <v>0</v>
      </c>
      <c r="G38" s="4">
        <f t="shared" si="19"/>
        <v>0</v>
      </c>
      <c r="H38" s="4">
        <f t="shared" si="19"/>
        <v>0</v>
      </c>
      <c r="I38" s="4">
        <f t="shared" ref="I38" si="20">+I37-I36</f>
        <v>0</v>
      </c>
      <c r="J38" s="4">
        <f t="shared" si="19"/>
        <v>0</v>
      </c>
      <c r="K38" s="4">
        <f t="shared" si="19"/>
        <v>0</v>
      </c>
      <c r="L38" s="4">
        <f t="shared" si="19"/>
        <v>0</v>
      </c>
      <c r="M38" s="4">
        <f t="shared" si="19"/>
        <v>0</v>
      </c>
      <c r="N38" s="4">
        <f t="shared" si="19"/>
        <v>0</v>
      </c>
      <c r="O38" s="4">
        <f t="shared" si="19"/>
        <v>0</v>
      </c>
      <c r="P38" s="4">
        <f t="shared" si="19"/>
        <v>0</v>
      </c>
      <c r="Q38" s="4">
        <f t="shared" ref="Q38" si="21">+Q37-Q36</f>
        <v>0</v>
      </c>
      <c r="R38" s="4">
        <f t="shared" si="19"/>
        <v>0</v>
      </c>
      <c r="S38" s="4">
        <f t="shared" si="19"/>
        <v>0</v>
      </c>
      <c r="T38" s="4">
        <f t="shared" si="19"/>
        <v>0</v>
      </c>
      <c r="U38" s="88" t="str">
        <f>+IF(F38=0,"",ROUND(F38*F$4/(100+F$4),7)-N38)</f>
        <v/>
      </c>
      <c r="V38" s="88" t="str">
        <f>+IF(G38=0,"",ROUND(G38*G$4/(100+G$4),7)-O38)</f>
        <v/>
      </c>
      <c r="W38" s="88" t="str">
        <f>+IF(H38=0,"",ROUND(H38*H$4/(100+H$4),7)-P38)</f>
        <v/>
      </c>
      <c r="X38" s="88"/>
      <c r="Y38" s="88" t="str">
        <f>+IF(J38=0,"",ROUND(J38*J$4/(100+J$4),7)-R38)</f>
        <v/>
      </c>
      <c r="Z38" s="88"/>
      <c r="AA38" s="88"/>
      <c r="AB38" s="87" t="str">
        <f>+IF(SUM(U38:Y38)=0,"",SUM(U38:Y38))</f>
        <v/>
      </c>
      <c r="AC38" s="87"/>
      <c r="AD38" s="87"/>
    </row>
    <row r="39" spans="1:30">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G40" s="129"/>
      <c r="H40" s="272"/>
      <c r="I40" s="272"/>
      <c r="J40" s="272"/>
      <c r="U40" s="88" t="str">
        <f>+IF(F40=0,"",ROUND(F40*F$4/(100+F$4),7)-N40)</f>
        <v/>
      </c>
      <c r="V40" s="88"/>
      <c r="W40" s="88"/>
      <c r="X40" s="88"/>
      <c r="Y40" s="88"/>
      <c r="Z40" s="88"/>
      <c r="AA40" s="88"/>
      <c r="AB40" s="87"/>
      <c r="AC40" s="87"/>
      <c r="AD40" s="87"/>
    </row>
    <row r="41" spans="1:30">
      <c r="G41" s="129"/>
      <c r="H41" s="272"/>
      <c r="I41" s="272"/>
      <c r="J41" s="272"/>
    </row>
    <row r="42" spans="1:30">
      <c r="H42" s="272"/>
      <c r="I42" s="272"/>
      <c r="J42" s="272"/>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3"/>
  <conditionalFormatting sqref="AE5:AI35">
    <cfRule type="notContainsBlanks" dxfId="92" priority="3" stopIfTrue="1">
      <formula>LEN(TRIM(AE5))&gt;0</formula>
    </cfRule>
  </conditionalFormatting>
  <conditionalFormatting sqref="AE36:AI37">
    <cfRule type="notContainsBlanks" dxfId="91" priority="4" stopIfTrue="1">
      <formula>LEN(TRIM(AE36))&gt;0</formula>
    </cfRule>
  </conditionalFormatting>
  <conditionalFormatting sqref="Z5:AD35">
    <cfRule type="expression" dxfId="90" priority="2">
      <formula>ABS(Z5)=1</formula>
    </cfRule>
  </conditionalFormatting>
  <conditionalFormatting sqref="E38:T38">
    <cfRule type="cellIs" dxfId="89" priority="1" operator="notEqual">
      <formula>0</formula>
    </cfRule>
  </conditionalFormatting>
  <pageMargins left="0.39370078740157483" right="0.39370078740157483" top="0.78740157480314965" bottom="0.39370078740157483" header="0.39370078740157483" footer="0.19685039370078741"/>
  <pageSetup paperSize="9" scale="67" orientation="landscape" blackAndWhite="1" r:id="rId1"/>
  <headerFooter>
    <oddFooter>&amp;L&amp;8&amp;Z&amp;F&amp;A&amp;R&amp;8&amp;D&amp;T</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I42"/>
  <sheetViews>
    <sheetView zoomScale="70" zoomScaleNormal="70"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+'3条支出'!D1</f>
        <v>令和５年度決算　消費税算出資料</v>
      </c>
    </row>
    <row r="2" spans="1:35">
      <c r="D2" s="2" t="s">
        <v>246</v>
      </c>
      <c r="V2" s="122"/>
      <c r="W2" s="122"/>
      <c r="X2" s="261"/>
      <c r="Y2" s="122"/>
      <c r="Z2" s="122"/>
      <c r="AA2" s="122"/>
      <c r="AB2" s="122"/>
      <c r="AC2" s="261"/>
      <c r="AD2" s="122"/>
      <c r="AE2" s="122"/>
      <c r="AF2" s="122"/>
      <c r="AG2" s="122"/>
      <c r="AH2" s="261"/>
      <c r="AI2" s="122"/>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122"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177">
        <v>1</v>
      </c>
      <c r="B5" s="176" t="s">
        <v>245</v>
      </c>
      <c r="C5" s="175"/>
      <c r="D5" s="174" t="s">
        <v>112</v>
      </c>
      <c r="E5" s="170">
        <f>+IF($A5="",IF($C5="",SUMIFS(全伝票!I:I,全伝票!$B:$B,$B5),SUMIFS(全伝票!I:I,全伝票!$C:$C,$C5)),IF($C5="",SUMIFS(全伝票!I:I,全伝票!$A:$A,$A5,全伝票!$B:$B,$B5),SUMIFS(全伝票!I:I,全伝票!$A:$A,$A5,全伝票!$C:$C,$C5)))</f>
        <v>0</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275">
        <f>+IF($A5="",IF($C5="",SUMIFS(全伝票!L:L,全伝票!$B:$B,$B5),SUMIFS(全伝票!L:L,全伝票!$C:$C,$C5)),IF($C5="",SUMIFS(全伝票!L:L,全伝票!$A:$A,$A5,全伝票!$B:$B,$B5),SUMIFS(全伝票!L:L,全伝票!$A:$A,$A5,全伝票!$C:$C,$C5)))</f>
        <v>0</v>
      </c>
      <c r="I5" s="270">
        <f>+IF($A5="",IF($C5="",SUMIFS(全伝票!M:M,全伝票!$B:$B,$B5),SUMIFS(全伝票!M:M,全伝票!$C:$C,$C5)),IF($C5="",SUMIFS(全伝票!M:M,全伝票!$A:$A,$A5,全伝票!$B:$B,$B5),SUMIFS(全伝票!M:M,全伝票!$A:$A,$A5,全伝票!$C:$C,$C5)))</f>
        <v>0</v>
      </c>
      <c r="J5" s="171">
        <f>+IF($A5="",IF($C5="",SUMIFS(全伝票!N:N,全伝票!$B:$B,$B5),SUMIFS(全伝票!N:N,全伝票!$C:$C,$C5)),IF($C5="",SUMIFS(全伝票!N:N,全伝票!$A:$A,$A5,全伝票!$B:$B,$B5),SUMIFS(全伝票!N:N,全伝票!$A:$A,$A5,全伝票!$C:$C,$C5)))</f>
        <v>0</v>
      </c>
      <c r="K5" s="112">
        <f t="shared" ref="K5:K35" si="0">SUM(F5:J5)</f>
        <v>0</v>
      </c>
      <c r="L5" s="170">
        <f>+IF($A5="",IF($C5="",SUMIFS(全伝票!O:O,全伝票!$B:$B,$B5),SUMIFS(全伝票!O:O,全伝票!$C:$C,$C5)),IF($C5="",SUMIFS(全伝票!O:O,全伝票!$A:$A,$A5,全伝票!$B:$B,$B5),SUMIFS(全伝票!O:O,全伝票!$A:$A,$A5,全伝票!$C:$C,$C5)))</f>
        <v>0</v>
      </c>
      <c r="M5" s="277">
        <f>+IF($A5="",IF($C5="",SUMIFS(全伝票!P:P,全伝票!$B:$B,$B5),SUMIFS(全伝票!P:P,全伝票!$C:$C,$C5)),IF($C5="",SUMIFS(全伝票!P:P,全伝票!$A:$A,$A5,全伝票!$B:$B,$B5),SUMIFS(全伝票!P:P,全伝票!$A:$A,$A5,全伝票!$C:$C,$C5)))</f>
        <v>0</v>
      </c>
      <c r="N5" s="169">
        <f t="shared" ref="N5:N35" si="1">+ROUND(F5*F$4/(100+F$4),0)+AE5</f>
        <v>0</v>
      </c>
      <c r="O5" s="47">
        <f>+ROUND(G5*G$4/(100+G$4),0)+AF5</f>
        <v>0</v>
      </c>
      <c r="P5" s="47">
        <f t="shared" ref="P5:P35" si="2">+ROUND(H5*H$4/(100+H$4),0)+AG5</f>
        <v>0</v>
      </c>
      <c r="Q5" s="168">
        <f t="shared" ref="O5:Q35" si="3">+ROUND(I5*I$4/(100+I$4),0)+AH5</f>
        <v>0</v>
      </c>
      <c r="R5" s="168">
        <f t="shared" ref="R5:R35" si="4">+ROUND(J5*J$4/(100+J$4),0)+AI5</f>
        <v>0</v>
      </c>
      <c r="S5" s="167">
        <f t="shared" ref="S5:S35" si="5">SUM(N5:R5)</f>
        <v>0</v>
      </c>
      <c r="T5" s="166">
        <f t="shared" ref="T5:T35" si="6">+E5-S5</f>
        <v>0</v>
      </c>
      <c r="U5" s="107">
        <f t="shared" ref="U5:U35" si="7">N5-F5*F$4/(100+F$4)</f>
        <v>0</v>
      </c>
      <c r="V5" s="107">
        <f t="shared" ref="V5:V35" si="8">O5-G5*G$4/(100+G$4)</f>
        <v>0</v>
      </c>
      <c r="W5" s="107">
        <f t="shared" ref="W5:X35" si="9">P5-H5*H$4/(100+H$4)</f>
        <v>0</v>
      </c>
      <c r="X5" s="107">
        <f t="shared" si="9"/>
        <v>0</v>
      </c>
      <c r="Y5" s="107">
        <f t="shared" ref="Y5:Y35" si="10">R5-J5*J$4/(100+J$4)</f>
        <v>0</v>
      </c>
      <c r="Z5" s="106">
        <f t="shared" ref="Z5:Z35" si="11">+IF(N$38=0,0,IF(N$38&lt;0,-RANK(U5,U$5:U$35,0),RANK(U5,U$5:U$35,1)))</f>
        <v>0</v>
      </c>
      <c r="AA5" s="106">
        <f t="shared" ref="AA5:AA35" si="12">+IF(O$38=0,0,IF(O$38&lt;0,-RANK(V5,V$5:V$35,0),RANK(V5,V$5:V$35,1)))</f>
        <v>0</v>
      </c>
      <c r="AB5" s="106">
        <f t="shared" ref="AB5:AC35" si="13">+IF(P$38=0,0,IF(P$38&lt;0,-RANK(W5,W$5:W$35,0),RANK(W5,W$5:W$35,1)))</f>
        <v>0</v>
      </c>
      <c r="AC5" s="106">
        <f t="shared" si="13"/>
        <v>0</v>
      </c>
      <c r="AD5" s="106">
        <f t="shared" ref="AD5:AD35" si="14">+IF(R$38=0,0,IF(R$38&lt;0,-RANK(Y5,Y$5:Y$35,0),RANK(Y5,Y$5:Y$35,1)))</f>
        <v>0</v>
      </c>
    </row>
    <row r="6" spans="1:35">
      <c r="A6" s="165">
        <v>1</v>
      </c>
      <c r="B6" s="164" t="s">
        <v>244</v>
      </c>
      <c r="C6" s="163"/>
      <c r="D6" s="162" t="s">
        <v>110</v>
      </c>
      <c r="E6" s="158">
        <f>+IF($A6="",IF($C6="",SUMIFS(全伝票!I:I,全伝票!$B:$B,$B6),SUMIFS(全伝票!I:I,全伝票!$C:$C,$C6)),IF($C6="",SUMIFS(全伝票!I:I,全伝票!$A:$A,$A6,全伝票!$B:$B,$B6),SUMIFS(全伝票!I:I,全伝票!$A:$A,$A6,全伝票!$C:$C,$C6)))</f>
        <v>0</v>
      </c>
      <c r="F6" s="161">
        <f>+IF($A6="",IF($C6="",SUMIFS(全伝票!J:J,全伝票!$B:$B,$B6),SUMIFS(全伝票!J:J,全伝票!$C:$C,$C6)),IF($C6="",SUMIFS(全伝票!J:J,全伝票!$A:$A,$A6,全伝票!$B:$B,$B6),SUMIFS(全伝票!J:J,全伝票!$A:$A,$A6,全伝票!$C:$C,$C6)))</f>
        <v>0</v>
      </c>
      <c r="G6" s="160">
        <f>+IF($A6="",IF($C6="",SUMIFS(全伝票!K:K,全伝票!$B:$B,$B6),SUMIFS(全伝票!K:K,全伝票!$C:$C,$C6)),IF($C6="",SUMIFS(全伝票!K:K,全伝票!$A:$A,$A6,全伝票!$B:$B,$B6),SUMIFS(全伝票!K:K,全伝票!$A:$A,$A6,全伝票!$C:$C,$C6)))</f>
        <v>0</v>
      </c>
      <c r="H6" s="160">
        <f>+IF($A6="",IF($C6="",SUMIFS(全伝票!L:L,全伝票!$B:$B,$B6),SUMIFS(全伝票!L:L,全伝票!$C:$C,$C6)),IF($C6="",SUMIFS(全伝票!L:L,全伝票!$A:$A,$A6,全伝票!$B:$B,$B6),SUMIFS(全伝票!L:L,全伝票!$A:$A,$A6,全伝票!$C:$C,$C6)))</f>
        <v>0</v>
      </c>
      <c r="I6" s="159">
        <f>+IF($A6="",IF($C6="",SUMIFS(全伝票!M:M,全伝票!$B:$B,$B6),SUMIFS(全伝票!M:M,全伝票!$C:$C,$C6)),IF($C6="",SUMIFS(全伝票!M:M,全伝票!$A:$A,$A6,全伝票!$B:$B,$B6),SUMIFS(全伝票!M:M,全伝票!$A:$A,$A6,全伝票!$C:$C,$C6)))</f>
        <v>0</v>
      </c>
      <c r="J6" s="159">
        <f>+IF($A6="",IF($C6="",SUMIFS(全伝票!N:N,全伝票!$B:$B,$B6),SUMIFS(全伝票!N:N,全伝票!$C:$C,$C6)),IF($C6="",SUMIFS(全伝票!N:N,全伝票!$A:$A,$A6,全伝票!$B:$B,$B6),SUMIFS(全伝票!N:N,全伝票!$A:$A,$A6,全伝票!$C:$C,$C6)))</f>
        <v>0</v>
      </c>
      <c r="K6" s="34">
        <f t="shared" si="0"/>
        <v>0</v>
      </c>
      <c r="L6" s="158">
        <f>+IF($A6="",IF($C6="",SUMIFS(全伝票!O:O,全伝票!$B:$B,$B6),SUMIFS(全伝票!O:O,全伝票!$C:$C,$C6)),IF($C6="",SUMIFS(全伝票!O:O,全伝票!$A:$A,$A6,全伝票!$B:$B,$B6),SUMIFS(全伝票!O:O,全伝票!$A:$A,$A6,全伝票!$C:$C,$C6)))</f>
        <v>0</v>
      </c>
      <c r="M6" s="158">
        <f>+IF($A6="",IF($C6="",SUMIFS(全伝票!P:P,全伝票!$B:$B,$B6),SUMIFS(全伝票!P:P,全伝票!$C:$C,$C6)),IF($C6="",SUMIFS(全伝票!P:P,全伝票!$A:$A,$A6,全伝票!$B:$B,$B6),SUMIFS(全伝票!P:P,全伝票!$A:$A,$A6,全伝票!$C:$C,$C6)))</f>
        <v>0</v>
      </c>
      <c r="N6" s="108">
        <f t="shared" si="1"/>
        <v>0</v>
      </c>
      <c r="O6" s="25">
        <f t="shared" si="3"/>
        <v>0</v>
      </c>
      <c r="P6" s="25">
        <f t="shared" si="2"/>
        <v>0</v>
      </c>
      <c r="Q6" s="157">
        <f t="shared" si="3"/>
        <v>0</v>
      </c>
      <c r="R6" s="157">
        <f t="shared" si="4"/>
        <v>0</v>
      </c>
      <c r="S6" s="22">
        <f t="shared" si="5"/>
        <v>0</v>
      </c>
      <c r="T6" s="109">
        <f t="shared" si="6"/>
        <v>0</v>
      </c>
      <c r="U6" s="107">
        <f t="shared" si="7"/>
        <v>0</v>
      </c>
      <c r="V6" s="107">
        <f t="shared" si="8"/>
        <v>0</v>
      </c>
      <c r="W6" s="107">
        <f t="shared" si="9"/>
        <v>0</v>
      </c>
      <c r="X6" s="107">
        <f t="shared" si="9"/>
        <v>0</v>
      </c>
      <c r="Y6" s="107">
        <f t="shared" si="10"/>
        <v>0</v>
      </c>
      <c r="Z6" s="106">
        <f t="shared" si="11"/>
        <v>0</v>
      </c>
      <c r="AA6" s="106">
        <f t="shared" si="12"/>
        <v>0</v>
      </c>
      <c r="AB6" s="106">
        <f t="shared" si="13"/>
        <v>0</v>
      </c>
      <c r="AC6" s="106">
        <f t="shared" si="13"/>
        <v>0</v>
      </c>
      <c r="AD6" s="106">
        <f t="shared" si="14"/>
        <v>0</v>
      </c>
    </row>
    <row r="7" spans="1:35">
      <c r="A7" s="165">
        <v>1</v>
      </c>
      <c r="B7" s="164" t="s">
        <v>243</v>
      </c>
      <c r="C7" s="163"/>
      <c r="D7" s="162" t="s">
        <v>108</v>
      </c>
      <c r="E7" s="158">
        <f>+IF($A7="",IF($C7="",SUMIFS(全伝票!I:I,全伝票!$B:$B,$B7),SUMIFS(全伝票!I:I,全伝票!$C:$C,$C7)),IF($C7="",SUMIFS(全伝票!I:I,全伝票!$A:$A,$A7,全伝票!$B:$B,$B7),SUMIFS(全伝票!I:I,全伝票!$A:$A,$A7,全伝票!$C:$C,$C7)))</f>
        <v>0</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59">
        <f>+IF($A7="",IF($C7="",SUMIFS(全伝票!M:M,全伝票!$B:$B,$B7),SUMIFS(全伝票!M:M,全伝票!$C:$C,$C7)),IF($C7="",SUMIFS(全伝票!M:M,全伝票!$A:$A,$A7,全伝票!$B:$B,$B7),SUMIFS(全伝票!M:M,全伝票!$A:$A,$A7,全伝票!$C:$C,$C7)))</f>
        <v>0</v>
      </c>
      <c r="J7" s="159">
        <f>+IF($A7="",IF($C7="",SUMIFS(全伝票!N:N,全伝票!$B:$B,$B7),SUMIFS(全伝票!N:N,全伝票!$C:$C,$C7)),IF($C7="",SUMIFS(全伝票!N:N,全伝票!$A:$A,$A7,全伝票!$B:$B,$B7),SUMIFS(全伝票!N:N,全伝票!$A:$A,$A7,全伝票!$C:$C,$C7)))</f>
        <v>0</v>
      </c>
      <c r="K7" s="34">
        <f t="shared" si="0"/>
        <v>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0</v>
      </c>
      <c r="N7" s="108">
        <f t="shared" si="1"/>
        <v>0</v>
      </c>
      <c r="O7" s="25">
        <f t="shared" si="3"/>
        <v>0</v>
      </c>
      <c r="P7" s="25">
        <f t="shared" si="2"/>
        <v>0</v>
      </c>
      <c r="Q7" s="157">
        <f t="shared" si="3"/>
        <v>0</v>
      </c>
      <c r="R7" s="157">
        <f t="shared" si="4"/>
        <v>0</v>
      </c>
      <c r="S7" s="22">
        <f t="shared" si="5"/>
        <v>0</v>
      </c>
      <c r="T7" s="109">
        <f t="shared" si="6"/>
        <v>0</v>
      </c>
      <c r="U7" s="107">
        <f t="shared" si="7"/>
        <v>0</v>
      </c>
      <c r="V7" s="107">
        <f t="shared" si="8"/>
        <v>0</v>
      </c>
      <c r="W7" s="107">
        <f t="shared" si="9"/>
        <v>0</v>
      </c>
      <c r="X7" s="107">
        <f t="shared" si="9"/>
        <v>0</v>
      </c>
      <c r="Y7" s="107">
        <f t="shared" si="10"/>
        <v>0</v>
      </c>
      <c r="Z7" s="106">
        <f t="shared" si="11"/>
        <v>0</v>
      </c>
      <c r="AA7" s="106">
        <f t="shared" si="12"/>
        <v>0</v>
      </c>
      <c r="AB7" s="106">
        <f t="shared" si="13"/>
        <v>0</v>
      </c>
      <c r="AC7" s="106">
        <f t="shared" si="13"/>
        <v>0</v>
      </c>
      <c r="AD7" s="106">
        <f t="shared" si="14"/>
        <v>0</v>
      </c>
    </row>
    <row r="8" spans="1:35">
      <c r="A8" s="165">
        <v>1</v>
      </c>
      <c r="B8" s="164" t="s">
        <v>242</v>
      </c>
      <c r="C8" s="163"/>
      <c r="D8" s="162" t="s">
        <v>106</v>
      </c>
      <c r="E8" s="158">
        <f>+IF($A8="",IF($C8="",SUMIFS(全伝票!I:I,全伝票!$B:$B,$B8),SUMIFS(全伝票!I:I,全伝票!$C:$C,$C8)),IF($C8="",SUMIFS(全伝票!I:I,全伝票!$A:$A,$A8,全伝票!$B:$B,$B8),SUMIFS(全伝票!I:I,全伝票!$A:$A,$A8,全伝票!$C:$C,$C8)))</f>
        <v>0</v>
      </c>
      <c r="F8" s="161">
        <f>+IF($A8="",IF($C8="",SUMIFS(全伝票!J:J,全伝票!$B:$B,$B8),SUMIFS(全伝票!J:J,全伝票!$C:$C,$C8)),IF($C8="",SUMIFS(全伝票!J:J,全伝票!$A:$A,$A8,全伝票!$B:$B,$B8),SUMIFS(全伝票!J:J,全伝票!$A:$A,$A8,全伝票!$C:$C,$C8)))</f>
        <v>0</v>
      </c>
      <c r="G8" s="160">
        <f>+IF($A8="",IF($C8="",SUMIFS(全伝票!K:K,全伝票!$B:$B,$B8),SUMIFS(全伝票!K:K,全伝票!$C:$C,$C8)),IF($C8="",SUMIFS(全伝票!K:K,全伝票!$A:$A,$A8,全伝票!$B:$B,$B8),SUMIFS(全伝票!K:K,全伝票!$A:$A,$A8,全伝票!$C:$C,$C8)))</f>
        <v>0</v>
      </c>
      <c r="H8" s="160">
        <f>+IF($A8="",IF($C8="",SUMIFS(全伝票!L:L,全伝票!$B:$B,$B8),SUMIFS(全伝票!L:L,全伝票!$C:$C,$C8)),IF($C8="",SUMIFS(全伝票!L:L,全伝票!$A:$A,$A8,全伝票!$B:$B,$B8),SUMIFS(全伝票!L:L,全伝票!$A:$A,$A8,全伝票!$C:$C,$C8)))</f>
        <v>0</v>
      </c>
      <c r="I8" s="159">
        <f>+IF($A8="",IF($C8="",SUMIFS(全伝票!M:M,全伝票!$B:$B,$B8),SUMIFS(全伝票!M:M,全伝票!$C:$C,$C8)),IF($C8="",SUMIFS(全伝票!M:M,全伝票!$A:$A,$A8,全伝票!$B:$B,$B8),SUMIFS(全伝票!M:M,全伝票!$A:$A,$A8,全伝票!$C:$C,$C8)))</f>
        <v>0</v>
      </c>
      <c r="J8" s="159">
        <f>+IF($A8="",IF($C8="",SUMIFS(全伝票!N:N,全伝票!$B:$B,$B8),SUMIFS(全伝票!N:N,全伝票!$C:$C,$C8)),IF($C8="",SUMIFS(全伝票!N:N,全伝票!$A:$A,$A8,全伝票!$B:$B,$B8),SUMIFS(全伝票!N:N,全伝票!$A:$A,$A8,全伝票!$C:$C,$C8)))</f>
        <v>0</v>
      </c>
      <c r="K8" s="34">
        <f t="shared" si="0"/>
        <v>0</v>
      </c>
      <c r="L8" s="158">
        <f>+IF($A8="",IF($C8="",SUMIFS(全伝票!O:O,全伝票!$B:$B,$B8),SUMIFS(全伝票!O:O,全伝票!$C:$C,$C8)),IF($C8="",SUMIFS(全伝票!O:O,全伝票!$A:$A,$A8,全伝票!$B:$B,$B8),SUMIFS(全伝票!O:O,全伝票!$A:$A,$A8,全伝票!$C:$C,$C8)))</f>
        <v>0</v>
      </c>
      <c r="M8" s="158">
        <f>+IF($A8="",IF($C8="",SUMIFS(全伝票!P:P,全伝票!$B:$B,$B8),SUMIFS(全伝票!P:P,全伝票!$C:$C,$C8)),IF($C8="",SUMIFS(全伝票!P:P,全伝票!$A:$A,$A8,全伝票!$B:$B,$B8),SUMIFS(全伝票!P:P,全伝票!$A:$A,$A8,全伝票!$C:$C,$C8)))</f>
        <v>0</v>
      </c>
      <c r="N8" s="108">
        <f t="shared" si="1"/>
        <v>0</v>
      </c>
      <c r="O8" s="25">
        <f t="shared" si="3"/>
        <v>0</v>
      </c>
      <c r="P8" s="25">
        <f t="shared" si="2"/>
        <v>0</v>
      </c>
      <c r="Q8" s="157">
        <f t="shared" si="3"/>
        <v>0</v>
      </c>
      <c r="R8" s="157">
        <f t="shared" si="4"/>
        <v>0</v>
      </c>
      <c r="S8" s="22">
        <f t="shared" si="5"/>
        <v>0</v>
      </c>
      <c r="T8" s="109">
        <f t="shared" si="6"/>
        <v>0</v>
      </c>
      <c r="U8" s="107">
        <f t="shared" si="7"/>
        <v>0</v>
      </c>
      <c r="V8" s="107">
        <f t="shared" si="8"/>
        <v>0</v>
      </c>
      <c r="W8" s="107">
        <f t="shared" si="9"/>
        <v>0</v>
      </c>
      <c r="X8" s="107">
        <f t="shared" si="9"/>
        <v>0</v>
      </c>
      <c r="Y8" s="107">
        <f t="shared" si="10"/>
        <v>0</v>
      </c>
      <c r="Z8" s="106">
        <f t="shared" si="11"/>
        <v>0</v>
      </c>
      <c r="AA8" s="106">
        <f t="shared" si="12"/>
        <v>0</v>
      </c>
      <c r="AB8" s="106">
        <f t="shared" si="13"/>
        <v>0</v>
      </c>
      <c r="AC8" s="106">
        <f t="shared" si="13"/>
        <v>0</v>
      </c>
      <c r="AD8" s="106">
        <f t="shared" si="14"/>
        <v>0</v>
      </c>
    </row>
    <row r="9" spans="1:35">
      <c r="A9" s="165">
        <v>1</v>
      </c>
      <c r="B9" s="164" t="s">
        <v>241</v>
      </c>
      <c r="C9" s="163"/>
      <c r="D9" s="162" t="s">
        <v>104</v>
      </c>
      <c r="E9" s="158">
        <f>+IF($A9="",IF($C9="",SUMIFS(全伝票!I:I,全伝票!$B:$B,$B9),SUMIFS(全伝票!I:I,全伝票!$C:$C,$C9)),IF($C9="",SUMIFS(全伝票!I:I,全伝票!$A:$A,$A9,全伝票!$B:$B,$B9),SUMIFS(全伝票!I:I,全伝票!$A:$A,$A9,全伝票!$C:$C,$C9)))</f>
        <v>0</v>
      </c>
      <c r="F9" s="161">
        <f>+IF($A9="",IF($C9="",SUMIFS(全伝票!J:J,全伝票!$B:$B,$B9),SUMIFS(全伝票!J:J,全伝票!$C:$C,$C9)),IF($C9="",SUMIFS(全伝票!J:J,全伝票!$A:$A,$A9,全伝票!$B:$B,$B9),SUMIFS(全伝票!J:J,全伝票!$A:$A,$A9,全伝票!$C:$C,$C9)))</f>
        <v>0</v>
      </c>
      <c r="G9" s="160">
        <f>+IF($A9="",IF($C9="",SUMIFS(全伝票!K:K,全伝票!$B:$B,$B9),SUMIFS(全伝票!K:K,全伝票!$C:$C,$C9)),IF($C9="",SUMIFS(全伝票!K:K,全伝票!$A:$A,$A9,全伝票!$B:$B,$B9),SUMIFS(全伝票!K:K,全伝票!$A:$A,$A9,全伝票!$C:$C,$C9)))</f>
        <v>0</v>
      </c>
      <c r="H9" s="160">
        <f>+IF($A9="",IF($C9="",SUMIFS(全伝票!L:L,全伝票!$B:$B,$B9),SUMIFS(全伝票!L:L,全伝票!$C:$C,$C9)),IF($C9="",SUMIFS(全伝票!L:L,全伝票!$A:$A,$A9,全伝票!$B:$B,$B9),SUMIFS(全伝票!L:L,全伝票!$A:$A,$A9,全伝票!$C:$C,$C9)))</f>
        <v>0</v>
      </c>
      <c r="I9" s="159">
        <f>+IF($A9="",IF($C9="",SUMIFS(全伝票!M:M,全伝票!$B:$B,$B9),SUMIFS(全伝票!M:M,全伝票!$C:$C,$C9)),IF($C9="",SUMIFS(全伝票!M:M,全伝票!$A:$A,$A9,全伝票!$B:$B,$B9),SUMIFS(全伝票!M:M,全伝票!$A:$A,$A9,全伝票!$C:$C,$C9)))</f>
        <v>0</v>
      </c>
      <c r="J9" s="159">
        <f>+IF($A9="",IF($C9="",SUMIFS(全伝票!N:N,全伝票!$B:$B,$B9),SUMIFS(全伝票!N:N,全伝票!$C:$C,$C9)),IF($C9="",SUMIFS(全伝票!N:N,全伝票!$A:$A,$A9,全伝票!$B:$B,$B9),SUMIFS(全伝票!N:N,全伝票!$A:$A,$A9,全伝票!$C:$C,$C9)))</f>
        <v>0</v>
      </c>
      <c r="K9" s="34">
        <f t="shared" si="0"/>
        <v>0</v>
      </c>
      <c r="L9" s="158">
        <f>+IF($A9="",IF($C9="",SUMIFS(全伝票!O:O,全伝票!$B:$B,$B9),SUMIFS(全伝票!O:O,全伝票!$C:$C,$C9)),IF($C9="",SUMIFS(全伝票!O:O,全伝票!$A:$A,$A9,全伝票!$B:$B,$B9),SUMIFS(全伝票!O:O,全伝票!$A:$A,$A9,全伝票!$C:$C,$C9)))</f>
        <v>0</v>
      </c>
      <c r="M9" s="158">
        <f>+IF($A9="",IF($C9="",SUMIFS(全伝票!P:P,全伝票!$B:$B,$B9),SUMIFS(全伝票!P:P,全伝票!$C:$C,$C9)),IF($C9="",SUMIFS(全伝票!P:P,全伝票!$A:$A,$A9,全伝票!$B:$B,$B9),SUMIFS(全伝票!P:P,全伝票!$A:$A,$A9,全伝票!$C:$C,$C9)))</f>
        <v>0</v>
      </c>
      <c r="N9" s="108">
        <f t="shared" si="1"/>
        <v>0</v>
      </c>
      <c r="O9" s="25">
        <f t="shared" si="3"/>
        <v>0</v>
      </c>
      <c r="P9" s="25">
        <f t="shared" si="2"/>
        <v>0</v>
      </c>
      <c r="Q9" s="157">
        <f t="shared" si="3"/>
        <v>0</v>
      </c>
      <c r="R9" s="157">
        <f t="shared" si="4"/>
        <v>0</v>
      </c>
      <c r="S9" s="22">
        <f t="shared" si="5"/>
        <v>0</v>
      </c>
      <c r="T9" s="109">
        <f t="shared" si="6"/>
        <v>0</v>
      </c>
      <c r="U9" s="107">
        <f t="shared" si="7"/>
        <v>0</v>
      </c>
      <c r="V9" s="107">
        <f t="shared" si="8"/>
        <v>0</v>
      </c>
      <c r="W9" s="107">
        <f t="shared" si="9"/>
        <v>0</v>
      </c>
      <c r="X9" s="107">
        <f t="shared" si="9"/>
        <v>0</v>
      </c>
      <c r="Y9" s="107">
        <f t="shared" si="10"/>
        <v>0</v>
      </c>
      <c r="Z9" s="106">
        <f t="shared" si="11"/>
        <v>0</v>
      </c>
      <c r="AA9" s="106">
        <f t="shared" si="12"/>
        <v>0</v>
      </c>
      <c r="AB9" s="106">
        <f t="shared" si="13"/>
        <v>0</v>
      </c>
      <c r="AC9" s="106">
        <f t="shared" si="13"/>
        <v>0</v>
      </c>
      <c r="AD9" s="106">
        <f t="shared" si="14"/>
        <v>0</v>
      </c>
    </row>
    <row r="10" spans="1:35">
      <c r="A10" s="165">
        <v>1</v>
      </c>
      <c r="B10" s="164" t="s">
        <v>240</v>
      </c>
      <c r="C10" s="163"/>
      <c r="D10" s="162" t="s">
        <v>102</v>
      </c>
      <c r="E10" s="158">
        <f>+IF($A10="",IF($C10="",SUMIFS(全伝票!I:I,全伝票!$B:$B,$B10),SUMIFS(全伝票!I:I,全伝票!$C:$C,$C10)),IF($C10="",SUMIFS(全伝票!I:I,全伝票!$A:$A,$A10,全伝票!$B:$B,$B10),SUMIFS(全伝票!I:I,全伝票!$A:$A,$A10,全伝票!$C:$C,$C10)))</f>
        <v>0</v>
      </c>
      <c r="F10" s="161">
        <f>+IF($A10="",IF($C10="",SUMIFS(全伝票!J:J,全伝票!$B:$B,$B10),SUMIFS(全伝票!J:J,全伝票!$C:$C,$C10)),IF($C10="",SUMIFS(全伝票!J:J,全伝票!$A:$A,$A10,全伝票!$B:$B,$B10),SUMIFS(全伝票!J:J,全伝票!$A:$A,$A10,全伝票!$C:$C,$C10)))</f>
        <v>0</v>
      </c>
      <c r="G10" s="160">
        <f>+IF($A10="",IF($C10="",SUMIFS(全伝票!K:K,全伝票!$B:$B,$B10),SUMIFS(全伝票!K:K,全伝票!$C:$C,$C10)),IF($C10="",SUMIFS(全伝票!K:K,全伝票!$A:$A,$A10,全伝票!$B:$B,$B10),SUMIFS(全伝票!K:K,全伝票!$A:$A,$A10,全伝票!$C:$C,$C10)))</f>
        <v>0</v>
      </c>
      <c r="H10" s="276">
        <f>+IF($A10="",IF($C10="",SUMIFS(全伝票!L:L,全伝票!$B:$B,$B10),SUMIFS(全伝票!L:L,全伝票!$C:$C,$C10)),IF($C10="",SUMIFS(全伝票!L:L,全伝票!$A:$A,$A10,全伝票!$B:$B,$B10),SUMIFS(全伝票!L:L,全伝票!$A:$A,$A10,全伝票!$C:$C,$C10)))</f>
        <v>0</v>
      </c>
      <c r="I10" s="271">
        <f>+IF($A10="",IF($C10="",SUMIFS(全伝票!M:M,全伝票!$B:$B,$B10),SUMIFS(全伝票!M:M,全伝票!$C:$C,$C10)),IF($C10="",SUMIFS(全伝票!M:M,全伝票!$A:$A,$A10,全伝票!$B:$B,$B10),SUMIFS(全伝票!M:M,全伝票!$A:$A,$A10,全伝票!$C:$C,$C10)))</f>
        <v>0</v>
      </c>
      <c r="J10" s="159">
        <f>+IF($A10="",IF($C10="",SUMIFS(全伝票!N:N,全伝票!$B:$B,$B10),SUMIFS(全伝票!N:N,全伝票!$C:$C,$C10)),IF($C10="",SUMIFS(全伝票!N:N,全伝票!$A:$A,$A10,全伝票!$B:$B,$B10),SUMIFS(全伝票!N:N,全伝票!$A:$A,$A10,全伝票!$C:$C,$C10)))</f>
        <v>0</v>
      </c>
      <c r="K10" s="34">
        <f t="shared" si="0"/>
        <v>0</v>
      </c>
      <c r="L10" s="158">
        <f>+IF($A10="",IF($C10="",SUMIFS(全伝票!O:O,全伝票!$B:$B,$B10),SUMIFS(全伝票!O:O,全伝票!$C:$C,$C10)),IF($C10="",SUMIFS(全伝票!O:O,全伝票!$A:$A,$A10,全伝票!$B:$B,$B10),SUMIFS(全伝票!O:O,全伝票!$A:$A,$A10,全伝票!$C:$C,$C10)))</f>
        <v>0</v>
      </c>
      <c r="M10" s="278">
        <f>+IF($A10="",IF($C10="",SUMIFS(全伝票!P:P,全伝票!$B:$B,$B10),SUMIFS(全伝票!P:P,全伝票!$C:$C,$C10)),IF($C10="",SUMIFS(全伝票!P:P,全伝票!$A:$A,$A10,全伝票!$B:$B,$B10),SUMIFS(全伝票!P:P,全伝票!$A:$A,$A10,全伝票!$C:$C,$C10)))</f>
        <v>0</v>
      </c>
      <c r="N10" s="108">
        <f t="shared" si="1"/>
        <v>0</v>
      </c>
      <c r="O10" s="25">
        <f t="shared" si="3"/>
        <v>0</v>
      </c>
      <c r="P10" s="25">
        <f t="shared" si="2"/>
        <v>0</v>
      </c>
      <c r="Q10" s="157">
        <f t="shared" si="3"/>
        <v>0</v>
      </c>
      <c r="R10" s="157">
        <f t="shared" si="4"/>
        <v>0</v>
      </c>
      <c r="S10" s="22">
        <f t="shared" si="5"/>
        <v>0</v>
      </c>
      <c r="T10" s="109">
        <f t="shared" si="6"/>
        <v>0</v>
      </c>
      <c r="U10" s="107">
        <f t="shared" si="7"/>
        <v>0</v>
      </c>
      <c r="V10" s="107">
        <f t="shared" si="8"/>
        <v>0</v>
      </c>
      <c r="W10" s="107">
        <f t="shared" si="9"/>
        <v>0</v>
      </c>
      <c r="X10" s="107">
        <f t="shared" si="9"/>
        <v>0</v>
      </c>
      <c r="Y10" s="107">
        <f t="shared" si="10"/>
        <v>0</v>
      </c>
      <c r="Z10" s="106">
        <f t="shared" si="11"/>
        <v>0</v>
      </c>
      <c r="AA10" s="106">
        <f t="shared" si="12"/>
        <v>0</v>
      </c>
      <c r="AB10" s="106">
        <f t="shared" si="13"/>
        <v>0</v>
      </c>
      <c r="AC10" s="106">
        <f t="shared" si="13"/>
        <v>0</v>
      </c>
      <c r="AD10" s="106">
        <f t="shared" si="14"/>
        <v>0</v>
      </c>
    </row>
    <row r="11" spans="1:35">
      <c r="A11" s="165">
        <v>1</v>
      </c>
      <c r="B11" s="164" t="s">
        <v>239</v>
      </c>
      <c r="C11" s="163"/>
      <c r="D11" s="162" t="s">
        <v>100</v>
      </c>
      <c r="E11" s="158">
        <f>+IF($A11="",IF($C11="",SUMIFS(全伝票!I:I,全伝票!$B:$B,$B11),SUMIFS(全伝票!I:I,全伝票!$C:$C,$C11)),IF($C11="",SUMIFS(全伝票!I:I,全伝票!$A:$A,$A11,全伝票!$B:$B,$B11),SUMIFS(全伝票!I:I,全伝票!$A:$A,$A11,全伝票!$C:$C,$C11)))</f>
        <v>0</v>
      </c>
      <c r="F11" s="161">
        <f>+IF($A11="",IF($C11="",SUMIFS(全伝票!J:J,全伝票!$B:$B,$B11),SUMIFS(全伝票!J:J,全伝票!$C:$C,$C11)),IF($C11="",SUMIFS(全伝票!J:J,全伝票!$A:$A,$A11,全伝票!$B:$B,$B11),SUMIFS(全伝票!J:J,全伝票!$A:$A,$A11,全伝票!$C:$C,$C11)))</f>
        <v>0</v>
      </c>
      <c r="G11" s="160">
        <f>+IF($A11="",IF($C11="",SUMIFS(全伝票!K:K,全伝票!$B:$B,$B11),SUMIFS(全伝票!K:K,全伝票!$C:$C,$C11)),IF($C11="",SUMIFS(全伝票!K:K,全伝票!$A:$A,$A11,全伝票!$B:$B,$B11),SUMIFS(全伝票!K:K,全伝票!$A:$A,$A11,全伝票!$C:$C,$C11)))</f>
        <v>0</v>
      </c>
      <c r="H11" s="160">
        <f>+IF($A11="",IF($C11="",SUMIFS(全伝票!L:L,全伝票!$B:$B,$B11),SUMIFS(全伝票!L:L,全伝票!$C:$C,$C11)),IF($C11="",SUMIFS(全伝票!L:L,全伝票!$A:$A,$A11,全伝票!$B:$B,$B11),SUMIFS(全伝票!L:L,全伝票!$A:$A,$A11,全伝票!$C:$C,$C11)))</f>
        <v>0</v>
      </c>
      <c r="I11" s="159">
        <f>+IF($A11="",IF($C11="",SUMIFS(全伝票!M:M,全伝票!$B:$B,$B11),SUMIFS(全伝票!M:M,全伝票!$C:$C,$C11)),IF($C11="",SUMIFS(全伝票!M:M,全伝票!$A:$A,$A11,全伝票!$B:$B,$B11),SUMIFS(全伝票!M:M,全伝票!$A:$A,$A11,全伝票!$C:$C,$C11)))</f>
        <v>0</v>
      </c>
      <c r="J11" s="159">
        <f>+IF($A11="",IF($C11="",SUMIFS(全伝票!N:N,全伝票!$B:$B,$B11),SUMIFS(全伝票!N:N,全伝票!$C:$C,$C11)),IF($C11="",SUMIFS(全伝票!N:N,全伝票!$A:$A,$A11,全伝票!$B:$B,$B11),SUMIFS(全伝票!N:N,全伝票!$A:$A,$A11,全伝票!$C:$C,$C11)))</f>
        <v>0</v>
      </c>
      <c r="K11" s="34">
        <f t="shared" si="0"/>
        <v>0</v>
      </c>
      <c r="L11" s="158">
        <f>+IF($A11="",IF($C11="",SUMIFS(全伝票!O:O,全伝票!$B:$B,$B11),SUMIFS(全伝票!O:O,全伝票!$C:$C,$C11)),IF($C11="",SUMIFS(全伝票!O:O,全伝票!$A:$A,$A11,全伝票!$B:$B,$B11),SUMIFS(全伝票!O:O,全伝票!$A:$A,$A11,全伝票!$C:$C,$C11)))</f>
        <v>0</v>
      </c>
      <c r="M11" s="158">
        <f>+IF($A11="",IF($C11="",SUMIFS(全伝票!P:P,全伝票!$B:$B,$B11),SUMIFS(全伝票!P:P,全伝票!$C:$C,$C11)),IF($C11="",SUMIFS(全伝票!P:P,全伝票!$A:$A,$A11,全伝票!$B:$B,$B11),SUMIFS(全伝票!P:P,全伝票!$A:$A,$A11,全伝票!$C:$C,$C11)))</f>
        <v>0</v>
      </c>
      <c r="N11" s="108">
        <f t="shared" si="1"/>
        <v>0</v>
      </c>
      <c r="O11" s="25">
        <f t="shared" si="3"/>
        <v>0</v>
      </c>
      <c r="P11" s="25">
        <f t="shared" si="2"/>
        <v>0</v>
      </c>
      <c r="Q11" s="157">
        <f t="shared" si="3"/>
        <v>0</v>
      </c>
      <c r="R11" s="157">
        <f t="shared" si="4"/>
        <v>0</v>
      </c>
      <c r="S11" s="22">
        <f t="shared" si="5"/>
        <v>0</v>
      </c>
      <c r="T11" s="109">
        <f t="shared" si="6"/>
        <v>0</v>
      </c>
      <c r="U11" s="107">
        <f t="shared" si="7"/>
        <v>0</v>
      </c>
      <c r="V11" s="107">
        <f t="shared" si="8"/>
        <v>0</v>
      </c>
      <c r="W11" s="107">
        <f t="shared" si="9"/>
        <v>0</v>
      </c>
      <c r="X11" s="107">
        <f t="shared" si="9"/>
        <v>0</v>
      </c>
      <c r="Y11" s="107">
        <f t="shared" si="10"/>
        <v>0</v>
      </c>
      <c r="Z11" s="106">
        <f t="shared" si="11"/>
        <v>0</v>
      </c>
      <c r="AA11" s="106">
        <f t="shared" si="12"/>
        <v>0</v>
      </c>
      <c r="AB11" s="106">
        <f t="shared" si="13"/>
        <v>0</v>
      </c>
      <c r="AC11" s="106">
        <f t="shared" si="13"/>
        <v>0</v>
      </c>
      <c r="AD11" s="106">
        <f t="shared" si="14"/>
        <v>0</v>
      </c>
    </row>
    <row r="12" spans="1:35">
      <c r="A12" s="165">
        <v>1</v>
      </c>
      <c r="B12" s="164" t="s">
        <v>237</v>
      </c>
      <c r="C12" s="163" t="s">
        <v>238</v>
      </c>
      <c r="D12" s="162" t="s">
        <v>98</v>
      </c>
      <c r="E12" s="158">
        <f>+IF($A12="",IF($C12="",SUMIFS(全伝票!I:I,全伝票!$B:$B,$B12),SUMIFS(全伝票!I:I,全伝票!$C:$C,$C12)),IF($C12="",SUMIFS(全伝票!I:I,全伝票!$A:$A,$A12,全伝票!$B:$B,$B12),SUMIFS(全伝票!I:I,全伝票!$A:$A,$A12,全伝票!$C:$C,$C12)))</f>
        <v>0</v>
      </c>
      <c r="F12" s="161">
        <f>+IF($A12="",IF($C12="",SUMIFS(全伝票!J:J,全伝票!$B:$B,$B12),SUMIFS(全伝票!J:J,全伝票!$C:$C,$C12)),IF($C12="",SUMIFS(全伝票!J:J,全伝票!$A:$A,$A12,全伝票!$B:$B,$B12),SUMIFS(全伝票!J:J,全伝票!$A:$A,$A12,全伝票!$C:$C,$C12)))</f>
        <v>0</v>
      </c>
      <c r="G12" s="160">
        <f>+IF($A12="",IF($C12="",SUMIFS(全伝票!K:K,全伝票!$B:$B,$B12),SUMIFS(全伝票!K:K,全伝票!$C:$C,$C12)),IF($C12="",SUMIFS(全伝票!K:K,全伝票!$A:$A,$A12,全伝票!$B:$B,$B12),SUMIFS(全伝票!K:K,全伝票!$A:$A,$A12,全伝票!$C:$C,$C12)))</f>
        <v>0</v>
      </c>
      <c r="H12" s="160">
        <f>+IF($A12="",IF($C12="",SUMIFS(全伝票!L:L,全伝票!$B:$B,$B12),SUMIFS(全伝票!L:L,全伝票!$C:$C,$C12)),IF($C12="",SUMIFS(全伝票!L:L,全伝票!$A:$A,$A12,全伝票!$B:$B,$B12),SUMIFS(全伝票!L:L,全伝票!$A:$A,$A12,全伝票!$C:$C,$C12)))</f>
        <v>0</v>
      </c>
      <c r="I12" s="159">
        <f>+IF($A12="",IF($C12="",SUMIFS(全伝票!M:M,全伝票!$B:$B,$B12),SUMIFS(全伝票!M:M,全伝票!$C:$C,$C12)),IF($C12="",SUMIFS(全伝票!M:M,全伝票!$A:$A,$A12,全伝票!$B:$B,$B12),SUMIFS(全伝票!M:M,全伝票!$A:$A,$A12,全伝票!$C:$C,$C12)))</f>
        <v>0</v>
      </c>
      <c r="J12" s="159">
        <f>+IF($A12="",IF($C12="",SUMIFS(全伝票!N:N,全伝票!$B:$B,$B12),SUMIFS(全伝票!N:N,全伝票!$C:$C,$C12)),IF($C12="",SUMIFS(全伝票!N:N,全伝票!$A:$A,$A12,全伝票!$B:$B,$B12),SUMIFS(全伝票!N:N,全伝票!$A:$A,$A12,全伝票!$C:$C,$C12)))</f>
        <v>0</v>
      </c>
      <c r="K12" s="34">
        <f t="shared" si="0"/>
        <v>0</v>
      </c>
      <c r="L12" s="158">
        <f>+IF($A12="",IF($C12="",SUMIFS(全伝票!O:O,全伝票!$B:$B,$B12),SUMIFS(全伝票!O:O,全伝票!$C:$C,$C12)),IF($C12="",SUMIFS(全伝票!O:O,全伝票!$A:$A,$A12,全伝票!$B:$B,$B12),SUMIFS(全伝票!O:O,全伝票!$A:$A,$A12,全伝票!$C:$C,$C12)))</f>
        <v>0</v>
      </c>
      <c r="M12" s="158">
        <f>+IF($A12="",IF($C12="",SUMIFS(全伝票!P:P,全伝票!$B:$B,$B12),SUMIFS(全伝票!P:P,全伝票!$C:$C,$C12)),IF($C12="",SUMIFS(全伝票!P:P,全伝票!$A:$A,$A12,全伝票!$B:$B,$B12),SUMIFS(全伝票!P:P,全伝票!$A:$A,$A12,全伝票!$C:$C,$C12)))</f>
        <v>0</v>
      </c>
      <c r="N12" s="108">
        <f t="shared" si="1"/>
        <v>0</v>
      </c>
      <c r="O12" s="25">
        <f t="shared" si="3"/>
        <v>0</v>
      </c>
      <c r="P12" s="25">
        <f t="shared" si="2"/>
        <v>0</v>
      </c>
      <c r="Q12" s="157">
        <f t="shared" si="3"/>
        <v>0</v>
      </c>
      <c r="R12" s="157">
        <f t="shared" si="4"/>
        <v>0</v>
      </c>
      <c r="S12" s="22">
        <f t="shared" si="5"/>
        <v>0</v>
      </c>
      <c r="T12" s="109">
        <f t="shared" si="6"/>
        <v>0</v>
      </c>
      <c r="U12" s="107">
        <f t="shared" si="7"/>
        <v>0</v>
      </c>
      <c r="V12" s="107">
        <f t="shared" si="8"/>
        <v>0</v>
      </c>
      <c r="W12" s="107">
        <f t="shared" si="9"/>
        <v>0</v>
      </c>
      <c r="X12" s="107">
        <f t="shared" si="9"/>
        <v>0</v>
      </c>
      <c r="Y12" s="107">
        <f t="shared" si="10"/>
        <v>0</v>
      </c>
      <c r="Z12" s="106">
        <f t="shared" si="11"/>
        <v>0</v>
      </c>
      <c r="AA12" s="106">
        <f t="shared" si="12"/>
        <v>0</v>
      </c>
      <c r="AB12" s="106">
        <f t="shared" si="13"/>
        <v>0</v>
      </c>
      <c r="AC12" s="106">
        <f t="shared" si="13"/>
        <v>0</v>
      </c>
      <c r="AD12" s="106">
        <f t="shared" si="14"/>
        <v>0</v>
      </c>
    </row>
    <row r="13" spans="1:35">
      <c r="A13" s="165">
        <v>1</v>
      </c>
      <c r="B13" s="164" t="s">
        <v>237</v>
      </c>
      <c r="C13" s="163" t="s">
        <v>236</v>
      </c>
      <c r="D13" s="162" t="s">
        <v>95</v>
      </c>
      <c r="E13" s="158">
        <f>+IF($A13="",IF($C13="",SUMIFS(全伝票!I:I,全伝票!$B:$B,$B13),SUMIFS(全伝票!I:I,全伝票!$C:$C,$C13)),IF($C13="",SUMIFS(全伝票!I:I,全伝票!$A:$A,$A13,全伝票!$B:$B,$B13),SUMIFS(全伝票!I:I,全伝票!$A:$A,$A13,全伝票!$C:$C,$C13)))</f>
        <v>0</v>
      </c>
      <c r="F13" s="161">
        <f>+IF($A13="",IF($C13="",SUMIFS(全伝票!J:J,全伝票!$B:$B,$B13),SUMIFS(全伝票!J:J,全伝票!$C:$C,$C13)),IF($C13="",SUMIFS(全伝票!J:J,全伝票!$A:$A,$A13,全伝票!$B:$B,$B13),SUMIFS(全伝票!J:J,全伝票!$A:$A,$A13,全伝票!$C:$C,$C13)))</f>
        <v>0</v>
      </c>
      <c r="G13" s="160">
        <f>+IF($A13="",IF($C13="",SUMIFS(全伝票!K:K,全伝票!$B:$B,$B13),SUMIFS(全伝票!K:K,全伝票!$C:$C,$C13)),IF($C13="",SUMIFS(全伝票!K:K,全伝票!$A:$A,$A13,全伝票!$B:$B,$B13),SUMIFS(全伝票!K:K,全伝票!$A:$A,$A13,全伝票!$C:$C,$C13)))</f>
        <v>0</v>
      </c>
      <c r="H13" s="160">
        <f>+IF($A13="",IF($C13="",SUMIFS(全伝票!L:L,全伝票!$B:$B,$B13),SUMIFS(全伝票!L:L,全伝票!$C:$C,$C13)),IF($C13="",SUMIFS(全伝票!L:L,全伝票!$A:$A,$A13,全伝票!$B:$B,$B13),SUMIFS(全伝票!L:L,全伝票!$A:$A,$A13,全伝票!$C:$C,$C13)))</f>
        <v>0</v>
      </c>
      <c r="I13" s="159">
        <f>+IF($A13="",IF($C13="",SUMIFS(全伝票!M:M,全伝票!$B:$B,$B13),SUMIFS(全伝票!M:M,全伝票!$C:$C,$C13)),IF($C13="",SUMIFS(全伝票!M:M,全伝票!$A:$A,$A13,全伝票!$B:$B,$B13),SUMIFS(全伝票!M:M,全伝票!$A:$A,$A13,全伝票!$C:$C,$C13)))</f>
        <v>0</v>
      </c>
      <c r="J13" s="159">
        <f>+IF($A13="",IF($C13="",SUMIFS(全伝票!N:N,全伝票!$B:$B,$B13),SUMIFS(全伝票!N:N,全伝票!$C:$C,$C13)),IF($C13="",SUMIFS(全伝票!N:N,全伝票!$A:$A,$A13,全伝票!$B:$B,$B13),SUMIFS(全伝票!N:N,全伝票!$A:$A,$A13,全伝票!$C:$C,$C13)))</f>
        <v>0</v>
      </c>
      <c r="K13" s="34">
        <f t="shared" si="0"/>
        <v>0</v>
      </c>
      <c r="L13" s="158">
        <f>+IF($A13="",IF($C13="",SUMIFS(全伝票!O:O,全伝票!$B:$B,$B13),SUMIFS(全伝票!O:O,全伝票!$C:$C,$C13)),IF($C13="",SUMIFS(全伝票!O:O,全伝票!$A:$A,$A13,全伝票!$B:$B,$B13),SUMIFS(全伝票!O:O,全伝票!$A:$A,$A13,全伝票!$C:$C,$C13)))</f>
        <v>0</v>
      </c>
      <c r="M13" s="158">
        <f>+IF($A13="",IF($C13="",SUMIFS(全伝票!P:P,全伝票!$B:$B,$B13),SUMIFS(全伝票!P:P,全伝票!$C:$C,$C13)),IF($C13="",SUMIFS(全伝票!P:P,全伝票!$A:$A,$A13,全伝票!$B:$B,$B13),SUMIFS(全伝票!P:P,全伝票!$A:$A,$A13,全伝票!$C:$C,$C13)))</f>
        <v>0</v>
      </c>
      <c r="N13" s="108">
        <f t="shared" si="1"/>
        <v>0</v>
      </c>
      <c r="O13" s="25">
        <f t="shared" si="3"/>
        <v>0</v>
      </c>
      <c r="P13" s="25">
        <f t="shared" si="2"/>
        <v>0</v>
      </c>
      <c r="Q13" s="157">
        <f t="shared" si="3"/>
        <v>0</v>
      </c>
      <c r="R13" s="157">
        <f t="shared" si="4"/>
        <v>0</v>
      </c>
      <c r="S13" s="22">
        <f t="shared" si="5"/>
        <v>0</v>
      </c>
      <c r="T13" s="109">
        <f t="shared" si="6"/>
        <v>0</v>
      </c>
      <c r="U13" s="107">
        <f t="shared" si="7"/>
        <v>0</v>
      </c>
      <c r="V13" s="107">
        <f t="shared" si="8"/>
        <v>0</v>
      </c>
      <c r="W13" s="107">
        <f t="shared" si="9"/>
        <v>0</v>
      </c>
      <c r="X13" s="107">
        <f t="shared" si="9"/>
        <v>0</v>
      </c>
      <c r="Y13" s="107">
        <f t="shared" si="10"/>
        <v>0</v>
      </c>
      <c r="Z13" s="106">
        <f t="shared" si="11"/>
        <v>0</v>
      </c>
      <c r="AA13" s="106">
        <f t="shared" si="12"/>
        <v>0</v>
      </c>
      <c r="AB13" s="106">
        <f t="shared" si="13"/>
        <v>0</v>
      </c>
      <c r="AC13" s="106">
        <f t="shared" si="13"/>
        <v>0</v>
      </c>
      <c r="AD13" s="106">
        <f t="shared" si="14"/>
        <v>0</v>
      </c>
    </row>
    <row r="14" spans="1:35">
      <c r="A14" s="165">
        <v>1</v>
      </c>
      <c r="B14" s="164" t="s">
        <v>235</v>
      </c>
      <c r="C14" s="163"/>
      <c r="D14" s="162" t="s">
        <v>93</v>
      </c>
      <c r="E14" s="158">
        <f>+IF($A14="",IF($C14="",SUMIFS(全伝票!I:I,全伝票!$B:$B,$B14),SUMIFS(全伝票!I:I,全伝票!$C:$C,$C14)),IF($C14="",SUMIFS(全伝票!I:I,全伝票!$A:$A,$A14,全伝票!$B:$B,$B14),SUMIFS(全伝票!I:I,全伝票!$A:$A,$A14,全伝票!$C:$C,$C14)))</f>
        <v>0</v>
      </c>
      <c r="F14" s="161">
        <f>+IF($A14="",IF($C14="",SUMIFS(全伝票!J:J,全伝票!$B:$B,$B14),SUMIFS(全伝票!J:J,全伝票!$C:$C,$C14)),IF($C14="",SUMIFS(全伝票!J:J,全伝票!$A:$A,$A14,全伝票!$B:$B,$B14),SUMIFS(全伝票!J:J,全伝票!$A:$A,$A14,全伝票!$C:$C,$C14)))</f>
        <v>0</v>
      </c>
      <c r="G14" s="160">
        <f>+IF($A14="",IF($C14="",SUMIFS(全伝票!K:K,全伝票!$B:$B,$B14),SUMIFS(全伝票!K:K,全伝票!$C:$C,$C14)),IF($C14="",SUMIFS(全伝票!K:K,全伝票!$A:$A,$A14,全伝票!$B:$B,$B14),SUMIFS(全伝票!K:K,全伝票!$A:$A,$A14,全伝票!$C:$C,$C14)))</f>
        <v>0</v>
      </c>
      <c r="H14" s="160">
        <f>+IF($A14="",IF($C14="",SUMIFS(全伝票!L:L,全伝票!$B:$B,$B14),SUMIFS(全伝票!L:L,全伝票!$C:$C,$C14)),IF($C14="",SUMIFS(全伝票!L:L,全伝票!$A:$A,$A14,全伝票!$B:$B,$B14),SUMIFS(全伝票!L:L,全伝票!$A:$A,$A14,全伝票!$C:$C,$C14)))</f>
        <v>0</v>
      </c>
      <c r="I14" s="159">
        <f>+IF($A14="",IF($C14="",SUMIFS(全伝票!M:M,全伝票!$B:$B,$B14),SUMIFS(全伝票!M:M,全伝票!$C:$C,$C14)),IF($C14="",SUMIFS(全伝票!M:M,全伝票!$A:$A,$A14,全伝票!$B:$B,$B14),SUMIFS(全伝票!M:M,全伝票!$A:$A,$A14,全伝票!$C:$C,$C14)))</f>
        <v>0</v>
      </c>
      <c r="J14" s="159">
        <f>+IF($A14="",IF($C14="",SUMIFS(全伝票!N:N,全伝票!$B:$B,$B14),SUMIFS(全伝票!N:N,全伝票!$C:$C,$C14)),IF($C14="",SUMIFS(全伝票!N:N,全伝票!$A:$A,$A14,全伝票!$B:$B,$B14),SUMIFS(全伝票!N:N,全伝票!$A:$A,$A14,全伝票!$C:$C,$C14)))</f>
        <v>0</v>
      </c>
      <c r="K14" s="34">
        <f t="shared" si="0"/>
        <v>0</v>
      </c>
      <c r="L14" s="158">
        <f>+IF($A14="",IF($C14="",SUMIFS(全伝票!O:O,全伝票!$B:$B,$B14),SUMIFS(全伝票!O:O,全伝票!$C:$C,$C14)),IF($C14="",SUMIFS(全伝票!O:O,全伝票!$A:$A,$A14,全伝票!$B:$B,$B14),SUMIFS(全伝票!O:O,全伝票!$A:$A,$A14,全伝票!$C:$C,$C14)))</f>
        <v>0</v>
      </c>
      <c r="M14" s="158">
        <f>+IF($A14="",IF($C14="",SUMIFS(全伝票!P:P,全伝票!$B:$B,$B14),SUMIFS(全伝票!P:P,全伝票!$C:$C,$C14)),IF($C14="",SUMIFS(全伝票!P:P,全伝票!$A:$A,$A14,全伝票!$B:$B,$B14),SUMIFS(全伝票!P:P,全伝票!$A:$A,$A14,全伝票!$C:$C,$C14)))</f>
        <v>0</v>
      </c>
      <c r="N14" s="108">
        <f t="shared" si="1"/>
        <v>0</v>
      </c>
      <c r="O14" s="25">
        <f t="shared" si="3"/>
        <v>0</v>
      </c>
      <c r="P14" s="25">
        <f t="shared" si="2"/>
        <v>0</v>
      </c>
      <c r="Q14" s="157">
        <f t="shared" si="3"/>
        <v>0</v>
      </c>
      <c r="R14" s="157">
        <f t="shared" si="4"/>
        <v>0</v>
      </c>
      <c r="S14" s="22">
        <f t="shared" si="5"/>
        <v>0</v>
      </c>
      <c r="T14" s="109">
        <f t="shared" si="6"/>
        <v>0</v>
      </c>
      <c r="U14" s="107">
        <f t="shared" si="7"/>
        <v>0</v>
      </c>
      <c r="V14" s="107">
        <f t="shared" si="8"/>
        <v>0</v>
      </c>
      <c r="W14" s="107">
        <f t="shared" si="9"/>
        <v>0</v>
      </c>
      <c r="X14" s="107">
        <f t="shared" si="9"/>
        <v>0</v>
      </c>
      <c r="Y14" s="107">
        <f t="shared" si="10"/>
        <v>0</v>
      </c>
      <c r="Z14" s="106">
        <f t="shared" si="11"/>
        <v>0</v>
      </c>
      <c r="AA14" s="106">
        <f t="shared" si="12"/>
        <v>0</v>
      </c>
      <c r="AB14" s="106">
        <f t="shared" si="13"/>
        <v>0</v>
      </c>
      <c r="AC14" s="106">
        <f t="shared" si="13"/>
        <v>0</v>
      </c>
      <c r="AD14" s="106">
        <f t="shared" si="14"/>
        <v>0</v>
      </c>
    </row>
    <row r="15" spans="1:35">
      <c r="A15" s="165">
        <v>1</v>
      </c>
      <c r="B15" s="164" t="s">
        <v>234</v>
      </c>
      <c r="C15" s="163"/>
      <c r="D15" s="162" t="s">
        <v>91</v>
      </c>
      <c r="E15" s="158">
        <f>+IF($A15="",IF($C15="",SUMIFS(全伝票!I:I,全伝票!$B:$B,$B15),SUMIFS(全伝票!I:I,全伝票!$C:$C,$C15)),IF($C15="",SUMIFS(全伝票!I:I,全伝票!$A:$A,$A15,全伝票!$B:$B,$B15),SUMIFS(全伝票!I:I,全伝票!$A:$A,$A15,全伝票!$C:$C,$C15)))</f>
        <v>0</v>
      </c>
      <c r="F15" s="161">
        <f>+IF($A15="",IF($C15="",SUMIFS(全伝票!J:J,全伝票!$B:$B,$B15),SUMIFS(全伝票!J:J,全伝票!$C:$C,$C15)),IF($C15="",SUMIFS(全伝票!J:J,全伝票!$A:$A,$A15,全伝票!$B:$B,$B15),SUMIFS(全伝票!J:J,全伝票!$A:$A,$A15,全伝票!$C:$C,$C15)))</f>
        <v>0</v>
      </c>
      <c r="G15" s="160">
        <f>+IF($A15="",IF($C15="",SUMIFS(全伝票!K:K,全伝票!$B:$B,$B15),SUMIFS(全伝票!K:K,全伝票!$C:$C,$C15)),IF($C15="",SUMIFS(全伝票!K:K,全伝票!$A:$A,$A15,全伝票!$B:$B,$B15),SUMIFS(全伝票!K:K,全伝票!$A:$A,$A15,全伝票!$C:$C,$C15)))</f>
        <v>0</v>
      </c>
      <c r="H15" s="160">
        <f>+IF($A15="",IF($C15="",SUMIFS(全伝票!L:L,全伝票!$B:$B,$B15),SUMIFS(全伝票!L:L,全伝票!$C:$C,$C15)),IF($C15="",SUMIFS(全伝票!L:L,全伝票!$A:$A,$A15,全伝票!$B:$B,$B15),SUMIFS(全伝票!L:L,全伝票!$A:$A,$A15,全伝票!$C:$C,$C15)))</f>
        <v>0</v>
      </c>
      <c r="I15" s="159">
        <f>+IF($A15="",IF($C15="",SUMIFS(全伝票!M:M,全伝票!$B:$B,$B15),SUMIFS(全伝票!M:M,全伝票!$C:$C,$C15)),IF($C15="",SUMIFS(全伝票!M:M,全伝票!$A:$A,$A15,全伝票!$B:$B,$B15),SUMIFS(全伝票!M:M,全伝票!$A:$A,$A15,全伝票!$C:$C,$C15)))</f>
        <v>0</v>
      </c>
      <c r="J15" s="159">
        <f>+IF($A15="",IF($C15="",SUMIFS(全伝票!N:N,全伝票!$B:$B,$B15),SUMIFS(全伝票!N:N,全伝票!$C:$C,$C15)),IF($C15="",SUMIFS(全伝票!N:N,全伝票!$A:$A,$A15,全伝票!$B:$B,$B15),SUMIFS(全伝票!N:N,全伝票!$A:$A,$A15,全伝票!$C:$C,$C15)))</f>
        <v>0</v>
      </c>
      <c r="K15" s="34">
        <f t="shared" si="0"/>
        <v>0</v>
      </c>
      <c r="L15" s="158">
        <f>+IF($A15="",IF($C15="",SUMIFS(全伝票!O:O,全伝票!$B:$B,$B15),SUMIFS(全伝票!O:O,全伝票!$C:$C,$C15)),IF($C15="",SUMIFS(全伝票!O:O,全伝票!$A:$A,$A15,全伝票!$B:$B,$B15),SUMIFS(全伝票!O:O,全伝票!$A:$A,$A15,全伝票!$C:$C,$C15)))</f>
        <v>0</v>
      </c>
      <c r="M15" s="158">
        <f>+IF($A15="",IF($C15="",SUMIFS(全伝票!P:P,全伝票!$B:$B,$B15),SUMIFS(全伝票!P:P,全伝票!$C:$C,$C15)),IF($C15="",SUMIFS(全伝票!P:P,全伝票!$A:$A,$A15,全伝票!$B:$B,$B15),SUMIFS(全伝票!P:P,全伝票!$A:$A,$A15,全伝票!$C:$C,$C15)))</f>
        <v>0</v>
      </c>
      <c r="N15" s="108">
        <f t="shared" si="1"/>
        <v>0</v>
      </c>
      <c r="O15" s="25">
        <f t="shared" si="3"/>
        <v>0</v>
      </c>
      <c r="P15" s="25">
        <f t="shared" si="2"/>
        <v>0</v>
      </c>
      <c r="Q15" s="157">
        <f t="shared" si="3"/>
        <v>0</v>
      </c>
      <c r="R15" s="157">
        <f t="shared" si="4"/>
        <v>0</v>
      </c>
      <c r="S15" s="22">
        <f t="shared" si="5"/>
        <v>0</v>
      </c>
      <c r="T15" s="109">
        <f t="shared" si="6"/>
        <v>0</v>
      </c>
      <c r="U15" s="107">
        <f t="shared" si="7"/>
        <v>0</v>
      </c>
      <c r="V15" s="107">
        <f t="shared" si="8"/>
        <v>0</v>
      </c>
      <c r="W15" s="107">
        <f t="shared" si="9"/>
        <v>0</v>
      </c>
      <c r="X15" s="107">
        <f t="shared" si="9"/>
        <v>0</v>
      </c>
      <c r="Y15" s="107">
        <f t="shared" si="10"/>
        <v>0</v>
      </c>
      <c r="Z15" s="106">
        <f t="shared" si="11"/>
        <v>0</v>
      </c>
      <c r="AA15" s="106">
        <f t="shared" si="12"/>
        <v>0</v>
      </c>
      <c r="AB15" s="106">
        <f t="shared" si="13"/>
        <v>0</v>
      </c>
      <c r="AC15" s="106">
        <f t="shared" si="13"/>
        <v>0</v>
      </c>
      <c r="AD15" s="106">
        <f t="shared" si="14"/>
        <v>0</v>
      </c>
    </row>
    <row r="16" spans="1:35">
      <c r="A16" s="165">
        <v>1</v>
      </c>
      <c r="B16" s="164" t="s">
        <v>233</v>
      </c>
      <c r="C16" s="163"/>
      <c r="D16" s="162" t="s">
        <v>89</v>
      </c>
      <c r="E16" s="158">
        <f>+IF($A16="",IF($C16="",SUMIFS(全伝票!I:I,全伝票!$B:$B,$B16),SUMIFS(全伝票!I:I,全伝票!$C:$C,$C16)),IF($C16="",SUMIFS(全伝票!I:I,全伝票!$A:$A,$A16,全伝票!$B:$B,$B16),SUMIFS(全伝票!I:I,全伝票!$A:$A,$A16,全伝票!$C:$C,$C16)))</f>
        <v>0</v>
      </c>
      <c r="F16" s="161">
        <f>+IF($A16="",IF($C16="",SUMIFS(全伝票!J:J,全伝票!$B:$B,$B16),SUMIFS(全伝票!J:J,全伝票!$C:$C,$C16)),IF($C16="",SUMIFS(全伝票!J:J,全伝票!$A:$A,$A16,全伝票!$B:$B,$B16),SUMIFS(全伝票!J:J,全伝票!$A:$A,$A16,全伝票!$C:$C,$C16)))</f>
        <v>0</v>
      </c>
      <c r="G16" s="160">
        <f>+IF($A16="",IF($C16="",SUMIFS(全伝票!K:K,全伝票!$B:$B,$B16),SUMIFS(全伝票!K:K,全伝票!$C:$C,$C16)),IF($C16="",SUMIFS(全伝票!K:K,全伝票!$A:$A,$A16,全伝票!$B:$B,$B16),SUMIFS(全伝票!K:K,全伝票!$A:$A,$A16,全伝票!$C:$C,$C16)))</f>
        <v>0</v>
      </c>
      <c r="H16" s="160">
        <f>+IF($A16="",IF($C16="",SUMIFS(全伝票!L:L,全伝票!$B:$B,$B16),SUMIFS(全伝票!L:L,全伝票!$C:$C,$C16)),IF($C16="",SUMIFS(全伝票!L:L,全伝票!$A:$A,$A16,全伝票!$B:$B,$B16),SUMIFS(全伝票!L:L,全伝票!$A:$A,$A16,全伝票!$C:$C,$C16)))</f>
        <v>0</v>
      </c>
      <c r="I16" s="159">
        <f>+IF($A16="",IF($C16="",SUMIFS(全伝票!M:M,全伝票!$B:$B,$B16),SUMIFS(全伝票!M:M,全伝票!$C:$C,$C16)),IF($C16="",SUMIFS(全伝票!M:M,全伝票!$A:$A,$A16,全伝票!$B:$B,$B16),SUMIFS(全伝票!M:M,全伝票!$A:$A,$A16,全伝票!$C:$C,$C16)))</f>
        <v>0</v>
      </c>
      <c r="J16" s="159">
        <f>+IF($A16="",IF($C16="",SUMIFS(全伝票!N:N,全伝票!$B:$B,$B16),SUMIFS(全伝票!N:N,全伝票!$C:$C,$C16)),IF($C16="",SUMIFS(全伝票!N:N,全伝票!$A:$A,$A16,全伝票!$B:$B,$B16),SUMIFS(全伝票!N:N,全伝票!$A:$A,$A16,全伝票!$C:$C,$C16)))</f>
        <v>0</v>
      </c>
      <c r="K16" s="34">
        <f t="shared" si="0"/>
        <v>0</v>
      </c>
      <c r="L16" s="158">
        <f>+IF($A16="",IF($C16="",SUMIFS(全伝票!O:O,全伝票!$B:$B,$B16),SUMIFS(全伝票!O:O,全伝票!$C:$C,$C16)),IF($C16="",SUMIFS(全伝票!O:O,全伝票!$A:$A,$A16,全伝票!$B:$B,$B16),SUMIFS(全伝票!O:O,全伝票!$A:$A,$A16,全伝票!$C:$C,$C16)))</f>
        <v>0</v>
      </c>
      <c r="M16" s="158">
        <f>+IF($A16="",IF($C16="",SUMIFS(全伝票!P:P,全伝票!$B:$B,$B16),SUMIFS(全伝票!P:P,全伝票!$C:$C,$C16)),IF($C16="",SUMIFS(全伝票!P:P,全伝票!$A:$A,$A16,全伝票!$B:$B,$B16),SUMIFS(全伝票!P:P,全伝票!$A:$A,$A16,全伝票!$C:$C,$C16)))</f>
        <v>0</v>
      </c>
      <c r="N16" s="108">
        <f t="shared" si="1"/>
        <v>0</v>
      </c>
      <c r="O16" s="25">
        <f t="shared" si="3"/>
        <v>0</v>
      </c>
      <c r="P16" s="25">
        <f t="shared" si="2"/>
        <v>0</v>
      </c>
      <c r="Q16" s="157">
        <f t="shared" si="3"/>
        <v>0</v>
      </c>
      <c r="R16" s="157">
        <f t="shared" si="4"/>
        <v>0</v>
      </c>
      <c r="S16" s="22">
        <f t="shared" si="5"/>
        <v>0</v>
      </c>
      <c r="T16" s="109">
        <f t="shared" si="6"/>
        <v>0</v>
      </c>
      <c r="U16" s="107">
        <f t="shared" si="7"/>
        <v>0</v>
      </c>
      <c r="V16" s="107">
        <f t="shared" si="8"/>
        <v>0</v>
      </c>
      <c r="W16" s="107">
        <f t="shared" si="9"/>
        <v>0</v>
      </c>
      <c r="X16" s="107">
        <f t="shared" si="9"/>
        <v>0</v>
      </c>
      <c r="Y16" s="107">
        <f t="shared" si="10"/>
        <v>0</v>
      </c>
      <c r="Z16" s="106">
        <f t="shared" si="11"/>
        <v>0</v>
      </c>
      <c r="AA16" s="106">
        <f t="shared" si="12"/>
        <v>0</v>
      </c>
      <c r="AB16" s="106">
        <f t="shared" si="13"/>
        <v>0</v>
      </c>
      <c r="AC16" s="106">
        <f t="shared" si="13"/>
        <v>0</v>
      </c>
      <c r="AD16" s="106">
        <f t="shared" si="14"/>
        <v>0</v>
      </c>
    </row>
    <row r="17" spans="1:30">
      <c r="A17" s="165">
        <v>1</v>
      </c>
      <c r="B17" s="164" t="s">
        <v>232</v>
      </c>
      <c r="C17" s="163"/>
      <c r="D17" s="162" t="s">
        <v>87</v>
      </c>
      <c r="E17" s="158">
        <f>+IF($A17="",IF($C17="",SUMIFS(全伝票!I:I,全伝票!$B:$B,$B17),SUMIFS(全伝票!I:I,全伝票!$C:$C,$C17)),IF($C17="",SUMIFS(全伝票!I:I,全伝票!$A:$A,$A17,全伝票!$B:$B,$B17),SUMIFS(全伝票!I:I,全伝票!$A:$A,$A17,全伝票!$C:$C,$C17)))</f>
        <v>0</v>
      </c>
      <c r="F17" s="161">
        <f>+IF($A17="",IF($C17="",SUMIFS(全伝票!J:J,全伝票!$B:$B,$B17),SUMIFS(全伝票!J:J,全伝票!$C:$C,$C17)),IF($C17="",SUMIFS(全伝票!J:J,全伝票!$A:$A,$A17,全伝票!$B:$B,$B17),SUMIFS(全伝票!J:J,全伝票!$A:$A,$A17,全伝票!$C:$C,$C17)))</f>
        <v>0</v>
      </c>
      <c r="G17" s="160">
        <f>+IF($A17="",IF($C17="",SUMIFS(全伝票!K:K,全伝票!$B:$B,$B17),SUMIFS(全伝票!K:K,全伝票!$C:$C,$C17)),IF($C17="",SUMIFS(全伝票!K:K,全伝票!$A:$A,$A17,全伝票!$B:$B,$B17),SUMIFS(全伝票!K:K,全伝票!$A:$A,$A17,全伝票!$C:$C,$C17)))</f>
        <v>0</v>
      </c>
      <c r="H17" s="160">
        <f>+IF($A17="",IF($C17="",SUMIFS(全伝票!L:L,全伝票!$B:$B,$B17),SUMIFS(全伝票!L:L,全伝票!$C:$C,$C17)),IF($C17="",SUMIFS(全伝票!L:L,全伝票!$A:$A,$A17,全伝票!$B:$B,$B17),SUMIFS(全伝票!L:L,全伝票!$A:$A,$A17,全伝票!$C:$C,$C17)))</f>
        <v>0</v>
      </c>
      <c r="I17" s="159">
        <f>+IF($A17="",IF($C17="",SUMIFS(全伝票!M:M,全伝票!$B:$B,$B17),SUMIFS(全伝票!M:M,全伝票!$C:$C,$C17)),IF($C17="",SUMIFS(全伝票!M:M,全伝票!$A:$A,$A17,全伝票!$B:$B,$B17),SUMIFS(全伝票!M:M,全伝票!$A:$A,$A17,全伝票!$C:$C,$C17)))</f>
        <v>0</v>
      </c>
      <c r="J17" s="159">
        <f>+IF($A17="",IF($C17="",SUMIFS(全伝票!N:N,全伝票!$B:$B,$B17),SUMIFS(全伝票!N:N,全伝票!$C:$C,$C17)),IF($C17="",SUMIFS(全伝票!N:N,全伝票!$A:$A,$A17,全伝票!$B:$B,$B17),SUMIFS(全伝票!N:N,全伝票!$A:$A,$A17,全伝票!$C:$C,$C17)))</f>
        <v>0</v>
      </c>
      <c r="K17" s="34">
        <f t="shared" si="0"/>
        <v>0</v>
      </c>
      <c r="L17" s="158">
        <f>+IF($A17="",IF($C17="",SUMIFS(全伝票!O:O,全伝票!$B:$B,$B17),SUMIFS(全伝票!O:O,全伝票!$C:$C,$C17)),IF($C17="",SUMIFS(全伝票!O:O,全伝票!$A:$A,$A17,全伝票!$B:$B,$B17),SUMIFS(全伝票!O:O,全伝票!$A:$A,$A17,全伝票!$C:$C,$C17)))</f>
        <v>0</v>
      </c>
      <c r="M17" s="158">
        <f>+IF($A17="",IF($C17="",SUMIFS(全伝票!P:P,全伝票!$B:$B,$B17),SUMIFS(全伝票!P:P,全伝票!$C:$C,$C17)),IF($C17="",SUMIFS(全伝票!P:P,全伝票!$A:$A,$A17,全伝票!$B:$B,$B17),SUMIFS(全伝票!P:P,全伝票!$A:$A,$A17,全伝票!$C:$C,$C17)))</f>
        <v>0</v>
      </c>
      <c r="N17" s="108">
        <f t="shared" si="1"/>
        <v>0</v>
      </c>
      <c r="O17" s="25">
        <f t="shared" si="3"/>
        <v>0</v>
      </c>
      <c r="P17" s="25">
        <f t="shared" si="2"/>
        <v>0</v>
      </c>
      <c r="Q17" s="157">
        <f t="shared" si="3"/>
        <v>0</v>
      </c>
      <c r="R17" s="157">
        <f t="shared" si="4"/>
        <v>0</v>
      </c>
      <c r="S17" s="22">
        <f t="shared" si="5"/>
        <v>0</v>
      </c>
      <c r="T17" s="109">
        <f t="shared" si="6"/>
        <v>0</v>
      </c>
      <c r="U17" s="107">
        <f t="shared" si="7"/>
        <v>0</v>
      </c>
      <c r="V17" s="107">
        <f t="shared" si="8"/>
        <v>0</v>
      </c>
      <c r="W17" s="107">
        <f t="shared" si="9"/>
        <v>0</v>
      </c>
      <c r="X17" s="107">
        <f t="shared" si="9"/>
        <v>0</v>
      </c>
      <c r="Y17" s="107">
        <f t="shared" si="10"/>
        <v>0</v>
      </c>
      <c r="Z17" s="106">
        <f t="shared" si="11"/>
        <v>0</v>
      </c>
      <c r="AA17" s="106">
        <f t="shared" si="12"/>
        <v>0</v>
      </c>
      <c r="AB17" s="106">
        <f t="shared" si="13"/>
        <v>0</v>
      </c>
      <c r="AC17" s="106">
        <f t="shared" si="13"/>
        <v>0</v>
      </c>
      <c r="AD17" s="106">
        <f t="shared" si="14"/>
        <v>0</v>
      </c>
    </row>
    <row r="18" spans="1:30">
      <c r="A18" s="165">
        <v>1</v>
      </c>
      <c r="B18" s="164" t="s">
        <v>231</v>
      </c>
      <c r="C18" s="163"/>
      <c r="D18" s="162" t="s">
        <v>85</v>
      </c>
      <c r="E18" s="158">
        <f>+IF($A18="",IF($C18="",SUMIFS(全伝票!I:I,全伝票!$B:$B,$B18),SUMIFS(全伝票!I:I,全伝票!$C:$C,$C18)),IF($C18="",SUMIFS(全伝票!I:I,全伝票!$A:$A,$A18,全伝票!$B:$B,$B18),SUMIFS(全伝票!I:I,全伝票!$A:$A,$A18,全伝票!$C:$C,$C18)))</f>
        <v>0</v>
      </c>
      <c r="F18" s="161">
        <f>+IF($A18="",IF($C18="",SUMIFS(全伝票!J:J,全伝票!$B:$B,$B18),SUMIFS(全伝票!J:J,全伝票!$C:$C,$C18)),IF($C18="",SUMIFS(全伝票!J:J,全伝票!$A:$A,$A18,全伝票!$B:$B,$B18),SUMIFS(全伝票!J:J,全伝票!$A:$A,$A18,全伝票!$C:$C,$C18)))</f>
        <v>0</v>
      </c>
      <c r="G18" s="160">
        <f>+IF($A18="",IF($C18="",SUMIFS(全伝票!K:K,全伝票!$B:$B,$B18),SUMIFS(全伝票!K:K,全伝票!$C:$C,$C18)),IF($C18="",SUMIFS(全伝票!K:K,全伝票!$A:$A,$A18,全伝票!$B:$B,$B18),SUMIFS(全伝票!K:K,全伝票!$A:$A,$A18,全伝票!$C:$C,$C18)))</f>
        <v>0</v>
      </c>
      <c r="H18" s="160">
        <f>+IF($A18="",IF($C18="",SUMIFS(全伝票!L:L,全伝票!$B:$B,$B18),SUMIFS(全伝票!L:L,全伝票!$C:$C,$C18)),IF($C18="",SUMIFS(全伝票!L:L,全伝票!$A:$A,$A18,全伝票!$B:$B,$B18),SUMIFS(全伝票!L:L,全伝票!$A:$A,$A18,全伝票!$C:$C,$C18)))</f>
        <v>0</v>
      </c>
      <c r="I18" s="159">
        <f>+IF($A18="",IF($C18="",SUMIFS(全伝票!M:M,全伝票!$B:$B,$B18),SUMIFS(全伝票!M:M,全伝票!$C:$C,$C18)),IF($C18="",SUMIFS(全伝票!M:M,全伝票!$A:$A,$A18,全伝票!$B:$B,$B18),SUMIFS(全伝票!M:M,全伝票!$A:$A,$A18,全伝票!$C:$C,$C18)))</f>
        <v>0</v>
      </c>
      <c r="J18" s="159">
        <f>+IF($A18="",IF($C18="",SUMIFS(全伝票!N:N,全伝票!$B:$B,$B18),SUMIFS(全伝票!N:N,全伝票!$C:$C,$C18)),IF($C18="",SUMIFS(全伝票!N:N,全伝票!$A:$A,$A18,全伝票!$B:$B,$B18),SUMIFS(全伝票!N:N,全伝票!$A:$A,$A18,全伝票!$C:$C,$C18)))</f>
        <v>0</v>
      </c>
      <c r="K18" s="34">
        <f t="shared" si="0"/>
        <v>0</v>
      </c>
      <c r="L18" s="158">
        <f>+IF($A18="",IF($C18="",SUMIFS(全伝票!O:O,全伝票!$B:$B,$B18),SUMIFS(全伝票!O:O,全伝票!$C:$C,$C18)),IF($C18="",SUMIFS(全伝票!O:O,全伝票!$A:$A,$A18,全伝票!$B:$B,$B18),SUMIFS(全伝票!O:O,全伝票!$A:$A,$A18,全伝票!$C:$C,$C18)))</f>
        <v>0</v>
      </c>
      <c r="M18" s="158">
        <f>+IF($A18="",IF($C18="",SUMIFS(全伝票!P:P,全伝票!$B:$B,$B18),SUMIFS(全伝票!P:P,全伝票!$C:$C,$C18)),IF($C18="",SUMIFS(全伝票!P:P,全伝票!$A:$A,$A18,全伝票!$B:$B,$B18),SUMIFS(全伝票!P:P,全伝票!$A:$A,$A18,全伝票!$C:$C,$C18)))</f>
        <v>0</v>
      </c>
      <c r="N18" s="108">
        <f t="shared" si="1"/>
        <v>0</v>
      </c>
      <c r="O18" s="25">
        <f t="shared" si="3"/>
        <v>0</v>
      </c>
      <c r="P18" s="25">
        <f t="shared" si="2"/>
        <v>0</v>
      </c>
      <c r="Q18" s="157">
        <f t="shared" si="3"/>
        <v>0</v>
      </c>
      <c r="R18" s="157">
        <f t="shared" si="4"/>
        <v>0</v>
      </c>
      <c r="S18" s="22">
        <f t="shared" si="5"/>
        <v>0</v>
      </c>
      <c r="T18" s="109">
        <f t="shared" si="6"/>
        <v>0</v>
      </c>
      <c r="U18" s="107">
        <f t="shared" si="7"/>
        <v>0</v>
      </c>
      <c r="V18" s="107">
        <f t="shared" si="8"/>
        <v>0</v>
      </c>
      <c r="W18" s="107">
        <f t="shared" si="9"/>
        <v>0</v>
      </c>
      <c r="X18" s="107">
        <f t="shared" si="9"/>
        <v>0</v>
      </c>
      <c r="Y18" s="107">
        <f t="shared" si="10"/>
        <v>0</v>
      </c>
      <c r="Z18" s="106">
        <f t="shared" si="11"/>
        <v>0</v>
      </c>
      <c r="AA18" s="106">
        <f t="shared" si="12"/>
        <v>0</v>
      </c>
      <c r="AB18" s="106">
        <f t="shared" si="13"/>
        <v>0</v>
      </c>
      <c r="AC18" s="106">
        <f t="shared" si="13"/>
        <v>0</v>
      </c>
      <c r="AD18" s="106">
        <f t="shared" si="14"/>
        <v>0</v>
      </c>
    </row>
    <row r="19" spans="1:30">
      <c r="A19" s="165">
        <v>1</v>
      </c>
      <c r="B19" s="164" t="s">
        <v>230</v>
      </c>
      <c r="C19" s="163"/>
      <c r="D19" s="162" t="s">
        <v>83</v>
      </c>
      <c r="E19" s="158">
        <f>+IF($A19="",IF($C19="",SUMIFS(全伝票!I:I,全伝票!$B:$B,$B19),SUMIFS(全伝票!I:I,全伝票!$C:$C,$C19)),IF($C19="",SUMIFS(全伝票!I:I,全伝票!$A:$A,$A19,全伝票!$B:$B,$B19),SUMIFS(全伝票!I:I,全伝票!$A:$A,$A19,全伝票!$C:$C,$C19)))</f>
        <v>0</v>
      </c>
      <c r="F19" s="161">
        <f>+IF($A19="",IF($C19="",SUMIFS(全伝票!J:J,全伝票!$B:$B,$B19),SUMIFS(全伝票!J:J,全伝票!$C:$C,$C19)),IF($C19="",SUMIFS(全伝票!J:J,全伝票!$A:$A,$A19,全伝票!$B:$B,$B19),SUMIFS(全伝票!J:J,全伝票!$A:$A,$A19,全伝票!$C:$C,$C19)))</f>
        <v>0</v>
      </c>
      <c r="G19" s="160">
        <f>+IF($A19="",IF($C19="",SUMIFS(全伝票!K:K,全伝票!$B:$B,$B19),SUMIFS(全伝票!K:K,全伝票!$C:$C,$C19)),IF($C19="",SUMIFS(全伝票!K:K,全伝票!$A:$A,$A19,全伝票!$B:$B,$B19),SUMIFS(全伝票!K:K,全伝票!$A:$A,$A19,全伝票!$C:$C,$C19)))</f>
        <v>0</v>
      </c>
      <c r="H19" s="160">
        <f>+IF($A19="",IF($C19="",SUMIFS(全伝票!L:L,全伝票!$B:$B,$B19),SUMIFS(全伝票!L:L,全伝票!$C:$C,$C19)),IF($C19="",SUMIFS(全伝票!L:L,全伝票!$A:$A,$A19,全伝票!$B:$B,$B19),SUMIFS(全伝票!L:L,全伝票!$A:$A,$A19,全伝票!$C:$C,$C19)))</f>
        <v>0</v>
      </c>
      <c r="I19" s="159">
        <f>+IF($A19="",IF($C19="",SUMIFS(全伝票!M:M,全伝票!$B:$B,$B19),SUMIFS(全伝票!M:M,全伝票!$C:$C,$C19)),IF($C19="",SUMIFS(全伝票!M:M,全伝票!$A:$A,$A19,全伝票!$B:$B,$B19),SUMIFS(全伝票!M:M,全伝票!$A:$A,$A19,全伝票!$C:$C,$C19)))</f>
        <v>0</v>
      </c>
      <c r="J19" s="159">
        <f>+IF($A19="",IF($C19="",SUMIFS(全伝票!N:N,全伝票!$B:$B,$B19),SUMIFS(全伝票!N:N,全伝票!$C:$C,$C19)),IF($C19="",SUMIFS(全伝票!N:N,全伝票!$A:$A,$A19,全伝票!$B:$B,$B19),SUMIFS(全伝票!N:N,全伝票!$A:$A,$A19,全伝票!$C:$C,$C19)))</f>
        <v>0</v>
      </c>
      <c r="K19" s="34">
        <f t="shared" si="0"/>
        <v>0</v>
      </c>
      <c r="L19" s="158">
        <f>+IF($A19="",IF($C19="",SUMIFS(全伝票!O:O,全伝票!$B:$B,$B19),SUMIFS(全伝票!O:O,全伝票!$C:$C,$C19)),IF($C19="",SUMIFS(全伝票!O:O,全伝票!$A:$A,$A19,全伝票!$B:$B,$B19),SUMIFS(全伝票!O:O,全伝票!$A:$A,$A19,全伝票!$C:$C,$C19)))</f>
        <v>0</v>
      </c>
      <c r="M19" s="158">
        <f>+IF($A19="",IF($C19="",SUMIFS(全伝票!P:P,全伝票!$B:$B,$B19),SUMIFS(全伝票!P:P,全伝票!$C:$C,$C19)),IF($C19="",SUMIFS(全伝票!P:P,全伝票!$A:$A,$A19,全伝票!$B:$B,$B19),SUMIFS(全伝票!P:P,全伝票!$A:$A,$A19,全伝票!$C:$C,$C19)))</f>
        <v>0</v>
      </c>
      <c r="N19" s="108">
        <f t="shared" si="1"/>
        <v>0</v>
      </c>
      <c r="O19" s="25">
        <f t="shared" si="3"/>
        <v>0</v>
      </c>
      <c r="P19" s="25">
        <f t="shared" si="2"/>
        <v>0</v>
      </c>
      <c r="Q19" s="157">
        <f t="shared" si="3"/>
        <v>0</v>
      </c>
      <c r="R19" s="157">
        <f t="shared" si="4"/>
        <v>0</v>
      </c>
      <c r="S19" s="22">
        <f t="shared" si="5"/>
        <v>0</v>
      </c>
      <c r="T19" s="109">
        <f t="shared" si="6"/>
        <v>0</v>
      </c>
      <c r="U19" s="107">
        <f t="shared" si="7"/>
        <v>0</v>
      </c>
      <c r="V19" s="107">
        <f t="shared" si="8"/>
        <v>0</v>
      </c>
      <c r="W19" s="107">
        <f t="shared" si="9"/>
        <v>0</v>
      </c>
      <c r="X19" s="107">
        <f t="shared" si="9"/>
        <v>0</v>
      </c>
      <c r="Y19" s="107">
        <f t="shared" si="10"/>
        <v>0</v>
      </c>
      <c r="Z19" s="106">
        <f t="shared" si="11"/>
        <v>0</v>
      </c>
      <c r="AA19" s="106">
        <f t="shared" si="12"/>
        <v>0</v>
      </c>
      <c r="AB19" s="106">
        <f t="shared" si="13"/>
        <v>0</v>
      </c>
      <c r="AC19" s="106">
        <f t="shared" si="13"/>
        <v>0</v>
      </c>
      <c r="AD19" s="106">
        <f t="shared" si="14"/>
        <v>0</v>
      </c>
    </row>
    <row r="20" spans="1:30">
      <c r="A20" s="165">
        <v>1</v>
      </c>
      <c r="B20" s="164" t="s">
        <v>229</v>
      </c>
      <c r="C20" s="163"/>
      <c r="D20" s="162" t="s">
        <v>81</v>
      </c>
      <c r="E20" s="158">
        <f>+IF($A20="",IF($C20="",SUMIFS(全伝票!I:I,全伝票!$B:$B,$B20),SUMIFS(全伝票!I:I,全伝票!$C:$C,$C20)),IF($C20="",SUMIFS(全伝票!I:I,全伝票!$A:$A,$A20,全伝票!$B:$B,$B20),SUMIFS(全伝票!I:I,全伝票!$A:$A,$A20,全伝票!$C:$C,$C20)))</f>
        <v>0</v>
      </c>
      <c r="F20" s="161">
        <f>+IF($A20="",IF($C20="",SUMIFS(全伝票!J:J,全伝票!$B:$B,$B20),SUMIFS(全伝票!J:J,全伝票!$C:$C,$C20)),IF($C20="",SUMIFS(全伝票!J:J,全伝票!$A:$A,$A20,全伝票!$B:$B,$B20),SUMIFS(全伝票!J:J,全伝票!$A:$A,$A20,全伝票!$C:$C,$C20)))</f>
        <v>0</v>
      </c>
      <c r="G20" s="160">
        <f>+IF($A20="",IF($C20="",SUMIFS(全伝票!K:K,全伝票!$B:$B,$B20),SUMIFS(全伝票!K:K,全伝票!$C:$C,$C20)),IF($C20="",SUMIFS(全伝票!K:K,全伝票!$A:$A,$A20,全伝票!$B:$B,$B20),SUMIFS(全伝票!K:K,全伝票!$A:$A,$A20,全伝票!$C:$C,$C20)))</f>
        <v>0</v>
      </c>
      <c r="H20" s="160">
        <f>+IF($A20="",IF($C20="",SUMIFS(全伝票!L:L,全伝票!$B:$B,$B20),SUMIFS(全伝票!L:L,全伝票!$C:$C,$C20)),IF($C20="",SUMIFS(全伝票!L:L,全伝票!$A:$A,$A20,全伝票!$B:$B,$B20),SUMIFS(全伝票!L:L,全伝票!$A:$A,$A20,全伝票!$C:$C,$C20)))</f>
        <v>0</v>
      </c>
      <c r="I20" s="159">
        <f>+IF($A20="",IF($C20="",SUMIFS(全伝票!M:M,全伝票!$B:$B,$B20),SUMIFS(全伝票!M:M,全伝票!$C:$C,$C20)),IF($C20="",SUMIFS(全伝票!M:M,全伝票!$A:$A,$A20,全伝票!$B:$B,$B20),SUMIFS(全伝票!M:M,全伝票!$A:$A,$A20,全伝票!$C:$C,$C20)))</f>
        <v>0</v>
      </c>
      <c r="J20" s="159">
        <f>+IF($A20="",IF($C20="",SUMIFS(全伝票!N:N,全伝票!$B:$B,$B20),SUMIFS(全伝票!N:N,全伝票!$C:$C,$C20)),IF($C20="",SUMIFS(全伝票!N:N,全伝票!$A:$A,$A20,全伝票!$B:$B,$B20),SUMIFS(全伝票!N:N,全伝票!$A:$A,$A20,全伝票!$C:$C,$C20)))</f>
        <v>0</v>
      </c>
      <c r="K20" s="34">
        <f t="shared" si="0"/>
        <v>0</v>
      </c>
      <c r="L20" s="158">
        <f>+IF($A20="",IF($C20="",SUMIFS(全伝票!O:O,全伝票!$B:$B,$B20),SUMIFS(全伝票!O:O,全伝票!$C:$C,$C20)),IF($C20="",SUMIFS(全伝票!O:O,全伝票!$A:$A,$A20,全伝票!$B:$B,$B20),SUMIFS(全伝票!O:O,全伝票!$A:$A,$A20,全伝票!$C:$C,$C20)))</f>
        <v>0</v>
      </c>
      <c r="M20" s="158">
        <f>+IF($A20="",IF($C20="",SUMIFS(全伝票!P:P,全伝票!$B:$B,$B20),SUMIFS(全伝票!P:P,全伝票!$C:$C,$C20)),IF($C20="",SUMIFS(全伝票!P:P,全伝票!$A:$A,$A20,全伝票!$B:$B,$B20),SUMIFS(全伝票!P:P,全伝票!$A:$A,$A20,全伝票!$C:$C,$C20)))</f>
        <v>0</v>
      </c>
      <c r="N20" s="108">
        <f t="shared" si="1"/>
        <v>0</v>
      </c>
      <c r="O20" s="25">
        <f t="shared" si="3"/>
        <v>0</v>
      </c>
      <c r="P20" s="25">
        <f t="shared" si="2"/>
        <v>0</v>
      </c>
      <c r="Q20" s="157">
        <f t="shared" si="3"/>
        <v>0</v>
      </c>
      <c r="R20" s="157">
        <f t="shared" si="4"/>
        <v>0</v>
      </c>
      <c r="S20" s="22">
        <f t="shared" si="5"/>
        <v>0</v>
      </c>
      <c r="T20" s="109">
        <f t="shared" si="6"/>
        <v>0</v>
      </c>
      <c r="U20" s="107">
        <f t="shared" si="7"/>
        <v>0</v>
      </c>
      <c r="V20" s="107">
        <f t="shared" si="8"/>
        <v>0</v>
      </c>
      <c r="W20" s="107">
        <f t="shared" si="9"/>
        <v>0</v>
      </c>
      <c r="X20" s="107">
        <f t="shared" si="9"/>
        <v>0</v>
      </c>
      <c r="Y20" s="107">
        <f t="shared" si="10"/>
        <v>0</v>
      </c>
      <c r="Z20" s="106">
        <f t="shared" si="11"/>
        <v>0</v>
      </c>
      <c r="AA20" s="106">
        <f t="shared" si="12"/>
        <v>0</v>
      </c>
      <c r="AB20" s="106">
        <f t="shared" si="13"/>
        <v>0</v>
      </c>
      <c r="AC20" s="106">
        <f t="shared" si="13"/>
        <v>0</v>
      </c>
      <c r="AD20" s="106">
        <f t="shared" si="14"/>
        <v>0</v>
      </c>
    </row>
    <row r="21" spans="1:30">
      <c r="A21" s="165">
        <v>1</v>
      </c>
      <c r="B21" s="164" t="s">
        <v>228</v>
      </c>
      <c r="C21" s="163"/>
      <c r="D21" s="162" t="s">
        <v>79</v>
      </c>
      <c r="E21" s="158">
        <f>+IF($A21="",IF($C21="",SUMIFS(全伝票!I:I,全伝票!$B:$B,$B21),SUMIFS(全伝票!I:I,全伝票!$C:$C,$C21)),IF($C21="",SUMIFS(全伝票!I:I,全伝票!$A:$A,$A21,全伝票!$B:$B,$B21),SUMIFS(全伝票!I:I,全伝票!$A:$A,$A21,全伝票!$C:$C,$C21)))</f>
        <v>0</v>
      </c>
      <c r="F21" s="161">
        <f>+IF($A21="",IF($C21="",SUMIFS(全伝票!J:J,全伝票!$B:$B,$B21),SUMIFS(全伝票!J:J,全伝票!$C:$C,$C21)),IF($C21="",SUMIFS(全伝票!J:J,全伝票!$A:$A,$A21,全伝票!$B:$B,$B21),SUMIFS(全伝票!J:J,全伝票!$A:$A,$A21,全伝票!$C:$C,$C21)))</f>
        <v>0</v>
      </c>
      <c r="G21" s="160">
        <f>+IF($A21="",IF($C21="",SUMIFS(全伝票!K:K,全伝票!$B:$B,$B21),SUMIFS(全伝票!K:K,全伝票!$C:$C,$C21)),IF($C21="",SUMIFS(全伝票!K:K,全伝票!$A:$A,$A21,全伝票!$B:$B,$B21),SUMIFS(全伝票!K:K,全伝票!$A:$A,$A21,全伝票!$C:$C,$C21)))</f>
        <v>0</v>
      </c>
      <c r="H21" s="160">
        <f>+IF($A21="",IF($C21="",SUMIFS(全伝票!L:L,全伝票!$B:$B,$B21),SUMIFS(全伝票!L:L,全伝票!$C:$C,$C21)),IF($C21="",SUMIFS(全伝票!L:L,全伝票!$A:$A,$A21,全伝票!$B:$B,$B21),SUMIFS(全伝票!L:L,全伝票!$A:$A,$A21,全伝票!$C:$C,$C21)))</f>
        <v>0</v>
      </c>
      <c r="I21" s="159">
        <f>+IF($A21="",IF($C21="",SUMIFS(全伝票!M:M,全伝票!$B:$B,$B21),SUMIFS(全伝票!M:M,全伝票!$C:$C,$C21)),IF($C21="",SUMIFS(全伝票!M:M,全伝票!$A:$A,$A21,全伝票!$B:$B,$B21),SUMIFS(全伝票!M:M,全伝票!$A:$A,$A21,全伝票!$C:$C,$C21)))</f>
        <v>0</v>
      </c>
      <c r="J21" s="159">
        <f>+IF($A21="",IF($C21="",SUMIFS(全伝票!N:N,全伝票!$B:$B,$B21),SUMIFS(全伝票!N:N,全伝票!$C:$C,$C21)),IF($C21="",SUMIFS(全伝票!N:N,全伝票!$A:$A,$A21,全伝票!$B:$B,$B21),SUMIFS(全伝票!N:N,全伝票!$A:$A,$A21,全伝票!$C:$C,$C21)))</f>
        <v>0</v>
      </c>
      <c r="K21" s="34">
        <f t="shared" si="0"/>
        <v>0</v>
      </c>
      <c r="L21" s="158">
        <f>+IF($A21="",IF($C21="",SUMIFS(全伝票!O:O,全伝票!$B:$B,$B21),SUMIFS(全伝票!O:O,全伝票!$C:$C,$C21)),IF($C21="",SUMIFS(全伝票!O:O,全伝票!$A:$A,$A21,全伝票!$B:$B,$B21),SUMIFS(全伝票!O:O,全伝票!$A:$A,$A21,全伝票!$C:$C,$C21)))</f>
        <v>0</v>
      </c>
      <c r="M21" s="158">
        <f>+IF($A21="",IF($C21="",SUMIFS(全伝票!P:P,全伝票!$B:$B,$B21),SUMIFS(全伝票!P:P,全伝票!$C:$C,$C21)),IF($C21="",SUMIFS(全伝票!P:P,全伝票!$A:$A,$A21,全伝票!$B:$B,$B21),SUMIFS(全伝票!P:P,全伝票!$A:$A,$A21,全伝票!$C:$C,$C21)))</f>
        <v>0</v>
      </c>
      <c r="N21" s="108">
        <f t="shared" si="1"/>
        <v>0</v>
      </c>
      <c r="O21" s="25">
        <f t="shared" si="3"/>
        <v>0</v>
      </c>
      <c r="P21" s="25">
        <f t="shared" si="2"/>
        <v>0</v>
      </c>
      <c r="Q21" s="157">
        <f t="shared" si="3"/>
        <v>0</v>
      </c>
      <c r="R21" s="157">
        <f t="shared" si="4"/>
        <v>0</v>
      </c>
      <c r="S21" s="22">
        <f t="shared" si="5"/>
        <v>0</v>
      </c>
      <c r="T21" s="109">
        <f t="shared" si="6"/>
        <v>0</v>
      </c>
      <c r="U21" s="107">
        <f t="shared" si="7"/>
        <v>0</v>
      </c>
      <c r="V21" s="107">
        <f t="shared" si="8"/>
        <v>0</v>
      </c>
      <c r="W21" s="107">
        <f t="shared" si="9"/>
        <v>0</v>
      </c>
      <c r="X21" s="107">
        <f t="shared" si="9"/>
        <v>0</v>
      </c>
      <c r="Y21" s="107">
        <f t="shared" si="10"/>
        <v>0</v>
      </c>
      <c r="Z21" s="106">
        <f t="shared" si="11"/>
        <v>0</v>
      </c>
      <c r="AA21" s="106">
        <f t="shared" si="12"/>
        <v>0</v>
      </c>
      <c r="AB21" s="106">
        <f t="shared" si="13"/>
        <v>0</v>
      </c>
      <c r="AC21" s="106">
        <f t="shared" si="13"/>
        <v>0</v>
      </c>
      <c r="AD21" s="106">
        <f t="shared" si="14"/>
        <v>0</v>
      </c>
    </row>
    <row r="22" spans="1:30">
      <c r="A22" s="165">
        <v>1</v>
      </c>
      <c r="B22" s="164" t="s">
        <v>227</v>
      </c>
      <c r="C22" s="163"/>
      <c r="D22" s="162" t="s">
        <v>77</v>
      </c>
      <c r="E22" s="158">
        <f>+IF($A22="",IF($C22="",SUMIFS(全伝票!I:I,全伝票!$B:$B,$B22),SUMIFS(全伝票!I:I,全伝票!$C:$C,$C22)),IF($C22="",SUMIFS(全伝票!I:I,全伝票!$A:$A,$A22,全伝票!$B:$B,$B22),SUMIFS(全伝票!I:I,全伝票!$A:$A,$A22,全伝票!$C:$C,$C22)))</f>
        <v>0</v>
      </c>
      <c r="F22" s="161">
        <f>+IF($A22="",IF($C22="",SUMIFS(全伝票!J:J,全伝票!$B:$B,$B22),SUMIFS(全伝票!J:J,全伝票!$C:$C,$C22)),IF($C22="",SUMIFS(全伝票!J:J,全伝票!$A:$A,$A22,全伝票!$B:$B,$B22),SUMIFS(全伝票!J:J,全伝票!$A:$A,$A22,全伝票!$C:$C,$C22)))</f>
        <v>0</v>
      </c>
      <c r="G22" s="160">
        <f>+IF($A22="",IF($C22="",SUMIFS(全伝票!K:K,全伝票!$B:$B,$B22),SUMIFS(全伝票!K:K,全伝票!$C:$C,$C22)),IF($C22="",SUMIFS(全伝票!K:K,全伝票!$A:$A,$A22,全伝票!$B:$B,$B22),SUMIFS(全伝票!K:K,全伝票!$A:$A,$A22,全伝票!$C:$C,$C22)))</f>
        <v>0</v>
      </c>
      <c r="H22" s="160">
        <f>+IF($A22="",IF($C22="",SUMIFS(全伝票!L:L,全伝票!$B:$B,$B22),SUMIFS(全伝票!L:L,全伝票!$C:$C,$C22)),IF($C22="",SUMIFS(全伝票!L:L,全伝票!$A:$A,$A22,全伝票!$B:$B,$B22),SUMIFS(全伝票!L:L,全伝票!$A:$A,$A22,全伝票!$C:$C,$C22)))</f>
        <v>0</v>
      </c>
      <c r="I22" s="159">
        <f>+IF($A22="",IF($C22="",SUMIFS(全伝票!M:M,全伝票!$B:$B,$B22),SUMIFS(全伝票!M:M,全伝票!$C:$C,$C22)),IF($C22="",SUMIFS(全伝票!M:M,全伝票!$A:$A,$A22,全伝票!$B:$B,$B22),SUMIFS(全伝票!M:M,全伝票!$A:$A,$A22,全伝票!$C:$C,$C22)))</f>
        <v>0</v>
      </c>
      <c r="J22" s="159">
        <f>+IF($A22="",IF($C22="",SUMIFS(全伝票!N:N,全伝票!$B:$B,$B22),SUMIFS(全伝票!N:N,全伝票!$C:$C,$C22)),IF($C22="",SUMIFS(全伝票!N:N,全伝票!$A:$A,$A22,全伝票!$B:$B,$B22),SUMIFS(全伝票!N:N,全伝票!$A:$A,$A22,全伝票!$C:$C,$C22)))</f>
        <v>0</v>
      </c>
      <c r="K22" s="34">
        <f t="shared" si="0"/>
        <v>0</v>
      </c>
      <c r="L22" s="158">
        <f>+IF($A22="",IF($C22="",SUMIFS(全伝票!O:O,全伝票!$B:$B,$B22),SUMIFS(全伝票!O:O,全伝票!$C:$C,$C22)),IF($C22="",SUMIFS(全伝票!O:O,全伝票!$A:$A,$A22,全伝票!$B:$B,$B22),SUMIFS(全伝票!O:O,全伝票!$A:$A,$A22,全伝票!$C:$C,$C22)))</f>
        <v>0</v>
      </c>
      <c r="M22" s="158">
        <f>+IF($A22="",IF($C22="",SUMIFS(全伝票!P:P,全伝票!$B:$B,$B22),SUMIFS(全伝票!P:P,全伝票!$C:$C,$C22)),IF($C22="",SUMIFS(全伝票!P:P,全伝票!$A:$A,$A22,全伝票!$B:$B,$B22),SUMIFS(全伝票!P:P,全伝票!$A:$A,$A22,全伝票!$C:$C,$C22)))</f>
        <v>0</v>
      </c>
      <c r="N22" s="108">
        <f t="shared" si="1"/>
        <v>0</v>
      </c>
      <c r="O22" s="25">
        <f t="shared" si="3"/>
        <v>0</v>
      </c>
      <c r="P22" s="25">
        <f t="shared" si="2"/>
        <v>0</v>
      </c>
      <c r="Q22" s="157">
        <f t="shared" si="3"/>
        <v>0</v>
      </c>
      <c r="R22" s="157">
        <f t="shared" si="4"/>
        <v>0</v>
      </c>
      <c r="S22" s="22">
        <f t="shared" si="5"/>
        <v>0</v>
      </c>
      <c r="T22" s="109">
        <f t="shared" si="6"/>
        <v>0</v>
      </c>
      <c r="U22" s="107">
        <f t="shared" si="7"/>
        <v>0</v>
      </c>
      <c r="V22" s="107">
        <f t="shared" si="8"/>
        <v>0</v>
      </c>
      <c r="W22" s="107">
        <f t="shared" si="9"/>
        <v>0</v>
      </c>
      <c r="X22" s="107">
        <f t="shared" si="9"/>
        <v>0</v>
      </c>
      <c r="Y22" s="107">
        <f t="shared" si="10"/>
        <v>0</v>
      </c>
      <c r="Z22" s="106">
        <f t="shared" si="11"/>
        <v>0</v>
      </c>
      <c r="AA22" s="106">
        <f t="shared" si="12"/>
        <v>0</v>
      </c>
      <c r="AB22" s="106">
        <f t="shared" si="13"/>
        <v>0</v>
      </c>
      <c r="AC22" s="106">
        <f t="shared" si="13"/>
        <v>0</v>
      </c>
      <c r="AD22" s="106">
        <f t="shared" si="14"/>
        <v>0</v>
      </c>
    </row>
    <row r="23" spans="1:30">
      <c r="A23" s="165">
        <v>1</v>
      </c>
      <c r="B23" s="164" t="s">
        <v>226</v>
      </c>
      <c r="C23" s="163"/>
      <c r="D23" s="162" t="s">
        <v>75</v>
      </c>
      <c r="E23" s="158">
        <f>+IF($A23="",IF($C23="",SUMIFS(全伝票!I:I,全伝票!$B:$B,$B23),SUMIFS(全伝票!I:I,全伝票!$C:$C,$C23)),IF($C23="",SUMIFS(全伝票!I:I,全伝票!$A:$A,$A23,全伝票!$B:$B,$B23),SUMIFS(全伝票!I:I,全伝票!$A:$A,$A23,全伝票!$C:$C,$C23)))</f>
        <v>0</v>
      </c>
      <c r="F23" s="161">
        <f>+IF($A23="",IF($C23="",SUMIFS(全伝票!J:J,全伝票!$B:$B,$B23),SUMIFS(全伝票!J:J,全伝票!$C:$C,$C23)),IF($C23="",SUMIFS(全伝票!J:J,全伝票!$A:$A,$A23,全伝票!$B:$B,$B23),SUMIFS(全伝票!J:J,全伝票!$A:$A,$A23,全伝票!$C:$C,$C23)))</f>
        <v>0</v>
      </c>
      <c r="G23" s="160">
        <f>+IF($A23="",IF($C23="",SUMIFS(全伝票!K:K,全伝票!$B:$B,$B23),SUMIFS(全伝票!K:K,全伝票!$C:$C,$C23)),IF($C23="",SUMIFS(全伝票!K:K,全伝票!$A:$A,$A23,全伝票!$B:$B,$B23),SUMIFS(全伝票!K:K,全伝票!$A:$A,$A23,全伝票!$C:$C,$C23)))</f>
        <v>0</v>
      </c>
      <c r="H23" s="160">
        <f>+IF($A23="",IF($C23="",SUMIFS(全伝票!L:L,全伝票!$B:$B,$B23),SUMIFS(全伝票!L:L,全伝票!$C:$C,$C23)),IF($C23="",SUMIFS(全伝票!L:L,全伝票!$A:$A,$A23,全伝票!$B:$B,$B23),SUMIFS(全伝票!L:L,全伝票!$A:$A,$A23,全伝票!$C:$C,$C23)))</f>
        <v>0</v>
      </c>
      <c r="I23" s="159">
        <f>+IF($A23="",IF($C23="",SUMIFS(全伝票!M:M,全伝票!$B:$B,$B23),SUMIFS(全伝票!M:M,全伝票!$C:$C,$C23)),IF($C23="",SUMIFS(全伝票!M:M,全伝票!$A:$A,$A23,全伝票!$B:$B,$B23),SUMIFS(全伝票!M:M,全伝票!$A:$A,$A23,全伝票!$C:$C,$C23)))</f>
        <v>0</v>
      </c>
      <c r="J23" s="159">
        <f>+IF($A23="",IF($C23="",SUMIFS(全伝票!N:N,全伝票!$B:$B,$B23),SUMIFS(全伝票!N:N,全伝票!$C:$C,$C23)),IF($C23="",SUMIFS(全伝票!N:N,全伝票!$A:$A,$A23,全伝票!$B:$B,$B23),SUMIFS(全伝票!N:N,全伝票!$A:$A,$A23,全伝票!$C:$C,$C23)))</f>
        <v>0</v>
      </c>
      <c r="K23" s="34">
        <f t="shared" si="0"/>
        <v>0</v>
      </c>
      <c r="L23" s="158">
        <f>+IF($A23="",IF($C23="",SUMIFS(全伝票!O:O,全伝票!$B:$B,$B23),SUMIFS(全伝票!O:O,全伝票!$C:$C,$C23)),IF($C23="",SUMIFS(全伝票!O:O,全伝票!$A:$A,$A23,全伝票!$B:$B,$B23),SUMIFS(全伝票!O:O,全伝票!$A:$A,$A23,全伝票!$C:$C,$C23)))</f>
        <v>0</v>
      </c>
      <c r="M23" s="158">
        <f>+IF($A23="",IF($C23="",SUMIFS(全伝票!P:P,全伝票!$B:$B,$B23),SUMIFS(全伝票!P:P,全伝票!$C:$C,$C23)),IF($C23="",SUMIFS(全伝票!P:P,全伝票!$A:$A,$A23,全伝票!$B:$B,$B23),SUMIFS(全伝票!P:P,全伝票!$A:$A,$A23,全伝票!$C:$C,$C23)))</f>
        <v>0</v>
      </c>
      <c r="N23" s="108">
        <f t="shared" si="1"/>
        <v>0</v>
      </c>
      <c r="O23" s="25">
        <f t="shared" si="3"/>
        <v>0</v>
      </c>
      <c r="P23" s="25">
        <f t="shared" si="2"/>
        <v>0</v>
      </c>
      <c r="Q23" s="157">
        <f t="shared" si="3"/>
        <v>0</v>
      </c>
      <c r="R23" s="157">
        <f t="shared" si="4"/>
        <v>0</v>
      </c>
      <c r="S23" s="22">
        <f t="shared" si="5"/>
        <v>0</v>
      </c>
      <c r="T23" s="109">
        <f t="shared" si="6"/>
        <v>0</v>
      </c>
      <c r="U23" s="107">
        <f t="shared" si="7"/>
        <v>0</v>
      </c>
      <c r="V23" s="107">
        <f t="shared" si="8"/>
        <v>0</v>
      </c>
      <c r="W23" s="107">
        <f t="shared" si="9"/>
        <v>0</v>
      </c>
      <c r="X23" s="107">
        <f t="shared" si="9"/>
        <v>0</v>
      </c>
      <c r="Y23" s="107">
        <f t="shared" si="10"/>
        <v>0</v>
      </c>
      <c r="Z23" s="106">
        <f t="shared" si="11"/>
        <v>0</v>
      </c>
      <c r="AA23" s="106">
        <f t="shared" si="12"/>
        <v>0</v>
      </c>
      <c r="AB23" s="106">
        <f t="shared" si="13"/>
        <v>0</v>
      </c>
      <c r="AC23" s="106">
        <f t="shared" si="13"/>
        <v>0</v>
      </c>
      <c r="AD23" s="106">
        <f t="shared" si="14"/>
        <v>0</v>
      </c>
    </row>
    <row r="24" spans="1:30">
      <c r="A24" s="165">
        <v>1</v>
      </c>
      <c r="B24" s="164" t="s">
        <v>225</v>
      </c>
      <c r="C24" s="163"/>
      <c r="D24" s="162" t="s">
        <v>73</v>
      </c>
      <c r="E24" s="158">
        <f>+IF($A24="",IF($C24="",SUMIFS(全伝票!I:I,全伝票!$B:$B,$B24),SUMIFS(全伝票!I:I,全伝票!$C:$C,$C24)),IF($C24="",SUMIFS(全伝票!I:I,全伝票!$A:$A,$A24,全伝票!$B:$B,$B24),SUMIFS(全伝票!I:I,全伝票!$A:$A,$A24,全伝票!$C:$C,$C24)))</f>
        <v>0</v>
      </c>
      <c r="F24" s="161">
        <f>+IF($A24="",IF($C24="",SUMIFS(全伝票!J:J,全伝票!$B:$B,$B24),SUMIFS(全伝票!J:J,全伝票!$C:$C,$C24)),IF($C24="",SUMIFS(全伝票!J:J,全伝票!$A:$A,$A24,全伝票!$B:$B,$B24),SUMIFS(全伝票!J:J,全伝票!$A:$A,$A24,全伝票!$C:$C,$C24)))</f>
        <v>0</v>
      </c>
      <c r="G24" s="160">
        <f>+IF($A24="",IF($C24="",SUMIFS(全伝票!K:K,全伝票!$B:$B,$B24),SUMIFS(全伝票!K:K,全伝票!$C:$C,$C24)),IF($C24="",SUMIFS(全伝票!K:K,全伝票!$A:$A,$A24,全伝票!$B:$B,$B24),SUMIFS(全伝票!K:K,全伝票!$A:$A,$A24,全伝票!$C:$C,$C24)))</f>
        <v>0</v>
      </c>
      <c r="H24" s="160">
        <f>+IF($A24="",IF($C24="",SUMIFS(全伝票!L:L,全伝票!$B:$B,$B24),SUMIFS(全伝票!L:L,全伝票!$C:$C,$C24)),IF($C24="",SUMIFS(全伝票!L:L,全伝票!$A:$A,$A24,全伝票!$B:$B,$B24),SUMIFS(全伝票!L:L,全伝票!$A:$A,$A24,全伝票!$C:$C,$C24)))</f>
        <v>0</v>
      </c>
      <c r="I24" s="159">
        <f>+IF($A24="",IF($C24="",SUMIFS(全伝票!M:M,全伝票!$B:$B,$B24),SUMIFS(全伝票!M:M,全伝票!$C:$C,$C24)),IF($C24="",SUMIFS(全伝票!M:M,全伝票!$A:$A,$A24,全伝票!$B:$B,$B24),SUMIFS(全伝票!M:M,全伝票!$A:$A,$A24,全伝票!$C:$C,$C24)))</f>
        <v>0</v>
      </c>
      <c r="J24" s="159">
        <f>+IF($A24="",IF($C24="",SUMIFS(全伝票!N:N,全伝票!$B:$B,$B24),SUMIFS(全伝票!N:N,全伝票!$C:$C,$C24)),IF($C24="",SUMIFS(全伝票!N:N,全伝票!$A:$A,$A24,全伝票!$B:$B,$B24),SUMIFS(全伝票!N:N,全伝票!$A:$A,$A24,全伝票!$C:$C,$C24)))</f>
        <v>0</v>
      </c>
      <c r="K24" s="34">
        <f t="shared" si="0"/>
        <v>0</v>
      </c>
      <c r="L24" s="158">
        <f>+IF($A24="",IF($C24="",SUMIFS(全伝票!O:O,全伝票!$B:$B,$B24),SUMIFS(全伝票!O:O,全伝票!$C:$C,$C24)),IF($C24="",SUMIFS(全伝票!O:O,全伝票!$A:$A,$A24,全伝票!$B:$B,$B24),SUMIFS(全伝票!O:O,全伝票!$A:$A,$A24,全伝票!$C:$C,$C24)))</f>
        <v>0</v>
      </c>
      <c r="M24" s="158">
        <f>+IF($A24="",IF($C24="",SUMIFS(全伝票!P:P,全伝票!$B:$B,$B24),SUMIFS(全伝票!P:P,全伝票!$C:$C,$C24)),IF($C24="",SUMIFS(全伝票!P:P,全伝票!$A:$A,$A24,全伝票!$B:$B,$B24),SUMIFS(全伝票!P:P,全伝票!$A:$A,$A24,全伝票!$C:$C,$C24)))</f>
        <v>0</v>
      </c>
      <c r="N24" s="108">
        <f t="shared" si="1"/>
        <v>0</v>
      </c>
      <c r="O24" s="25">
        <f t="shared" si="3"/>
        <v>0</v>
      </c>
      <c r="P24" s="25">
        <f t="shared" si="2"/>
        <v>0</v>
      </c>
      <c r="Q24" s="157">
        <f t="shared" si="3"/>
        <v>0</v>
      </c>
      <c r="R24" s="157">
        <f t="shared" si="4"/>
        <v>0</v>
      </c>
      <c r="S24" s="22">
        <f t="shared" si="5"/>
        <v>0</v>
      </c>
      <c r="T24" s="109">
        <f t="shared" si="6"/>
        <v>0</v>
      </c>
      <c r="U24" s="107">
        <f t="shared" si="7"/>
        <v>0</v>
      </c>
      <c r="V24" s="107">
        <f t="shared" si="8"/>
        <v>0</v>
      </c>
      <c r="W24" s="107">
        <f t="shared" si="9"/>
        <v>0</v>
      </c>
      <c r="X24" s="107">
        <f t="shared" si="9"/>
        <v>0</v>
      </c>
      <c r="Y24" s="107">
        <f t="shared" si="10"/>
        <v>0</v>
      </c>
      <c r="Z24" s="106">
        <f t="shared" si="11"/>
        <v>0</v>
      </c>
      <c r="AA24" s="106">
        <f t="shared" si="12"/>
        <v>0</v>
      </c>
      <c r="AB24" s="106">
        <f t="shared" si="13"/>
        <v>0</v>
      </c>
      <c r="AC24" s="106">
        <f t="shared" si="13"/>
        <v>0</v>
      </c>
      <c r="AD24" s="106">
        <f t="shared" si="14"/>
        <v>0</v>
      </c>
    </row>
    <row r="25" spans="1:30">
      <c r="A25" s="165">
        <v>1</v>
      </c>
      <c r="B25" s="164" t="s">
        <v>223</v>
      </c>
      <c r="C25" s="163" t="s">
        <v>224</v>
      </c>
      <c r="D25" s="162" t="s">
        <v>71</v>
      </c>
      <c r="E25" s="158">
        <f>+IF($A25="",IF($C25="",SUMIFS(全伝票!I:I,全伝票!$B:$B,$B25),SUMIFS(全伝票!I:I,全伝票!$C:$C,$C25)),IF($C25="",SUMIFS(全伝票!I:I,全伝票!$A:$A,$A25,全伝票!$B:$B,$B25),SUMIFS(全伝票!I:I,全伝票!$A:$A,$A25,全伝票!$C:$C,$C25)))</f>
        <v>0</v>
      </c>
      <c r="F25" s="161">
        <f>+IF($A25="",IF($C25="",SUMIFS(全伝票!J:J,全伝票!$B:$B,$B25),SUMIFS(全伝票!J:J,全伝票!$C:$C,$C25)),IF($C25="",SUMIFS(全伝票!J:J,全伝票!$A:$A,$A25,全伝票!$B:$B,$B25),SUMIFS(全伝票!J:J,全伝票!$A:$A,$A25,全伝票!$C:$C,$C25)))</f>
        <v>0</v>
      </c>
      <c r="G25" s="160">
        <f>+IF($A25="",IF($C25="",SUMIFS(全伝票!K:K,全伝票!$B:$B,$B25),SUMIFS(全伝票!K:K,全伝票!$C:$C,$C25)),IF($C25="",SUMIFS(全伝票!K:K,全伝票!$A:$A,$A25,全伝票!$B:$B,$B25),SUMIFS(全伝票!K:K,全伝票!$A:$A,$A25,全伝票!$C:$C,$C25)))</f>
        <v>0</v>
      </c>
      <c r="H25" s="160">
        <f>+IF($A25="",IF($C25="",SUMIFS(全伝票!L:L,全伝票!$B:$B,$B25),SUMIFS(全伝票!L:L,全伝票!$C:$C,$C25)),IF($C25="",SUMIFS(全伝票!L:L,全伝票!$A:$A,$A25,全伝票!$B:$B,$B25),SUMIFS(全伝票!L:L,全伝票!$A:$A,$A25,全伝票!$C:$C,$C25)))</f>
        <v>0</v>
      </c>
      <c r="I25" s="159">
        <f>+IF($A25="",IF($C25="",SUMIFS(全伝票!M:M,全伝票!$B:$B,$B25),SUMIFS(全伝票!M:M,全伝票!$C:$C,$C25)),IF($C25="",SUMIFS(全伝票!M:M,全伝票!$A:$A,$A25,全伝票!$B:$B,$B25),SUMIFS(全伝票!M:M,全伝票!$A:$A,$A25,全伝票!$C:$C,$C25)))</f>
        <v>0</v>
      </c>
      <c r="J25" s="159">
        <f>+IF($A25="",IF($C25="",SUMIFS(全伝票!N:N,全伝票!$B:$B,$B25),SUMIFS(全伝票!N:N,全伝票!$C:$C,$C25)),IF($C25="",SUMIFS(全伝票!N:N,全伝票!$A:$A,$A25,全伝票!$B:$B,$B25),SUMIFS(全伝票!N:N,全伝票!$A:$A,$A25,全伝票!$C:$C,$C25)))</f>
        <v>0</v>
      </c>
      <c r="K25" s="34">
        <f t="shared" si="0"/>
        <v>0</v>
      </c>
      <c r="L25" s="158">
        <f>+IF($A25="",IF($C25="",SUMIFS(全伝票!O:O,全伝票!$B:$B,$B25),SUMIFS(全伝票!O:O,全伝票!$C:$C,$C25)),IF($C25="",SUMIFS(全伝票!O:O,全伝票!$A:$A,$A25,全伝票!$B:$B,$B25),SUMIFS(全伝票!O:O,全伝票!$A:$A,$A25,全伝票!$C:$C,$C25)))</f>
        <v>0</v>
      </c>
      <c r="M25" s="158">
        <f>+IF($A25="",IF($C25="",SUMIFS(全伝票!P:P,全伝票!$B:$B,$B25),SUMIFS(全伝票!P:P,全伝票!$C:$C,$C25)),IF($C25="",SUMIFS(全伝票!P:P,全伝票!$A:$A,$A25,全伝票!$B:$B,$B25),SUMIFS(全伝票!P:P,全伝票!$A:$A,$A25,全伝票!$C:$C,$C25)))</f>
        <v>0</v>
      </c>
      <c r="N25" s="108">
        <f t="shared" si="1"/>
        <v>0</v>
      </c>
      <c r="O25" s="25">
        <f t="shared" si="3"/>
        <v>0</v>
      </c>
      <c r="P25" s="25">
        <f t="shared" si="2"/>
        <v>0</v>
      </c>
      <c r="Q25" s="157">
        <f t="shared" si="3"/>
        <v>0</v>
      </c>
      <c r="R25" s="157">
        <f t="shared" si="4"/>
        <v>0</v>
      </c>
      <c r="S25" s="22">
        <f t="shared" si="5"/>
        <v>0</v>
      </c>
      <c r="T25" s="109">
        <f t="shared" si="6"/>
        <v>0</v>
      </c>
      <c r="U25" s="107">
        <f t="shared" si="7"/>
        <v>0</v>
      </c>
      <c r="V25" s="107">
        <f t="shared" si="8"/>
        <v>0</v>
      </c>
      <c r="W25" s="107">
        <f t="shared" si="9"/>
        <v>0</v>
      </c>
      <c r="X25" s="107">
        <f t="shared" si="9"/>
        <v>0</v>
      </c>
      <c r="Y25" s="107">
        <f t="shared" si="10"/>
        <v>0</v>
      </c>
      <c r="Z25" s="106">
        <f t="shared" si="11"/>
        <v>0</v>
      </c>
      <c r="AA25" s="106">
        <f t="shared" si="12"/>
        <v>0</v>
      </c>
      <c r="AB25" s="106">
        <f t="shared" si="13"/>
        <v>0</v>
      </c>
      <c r="AC25" s="106">
        <f t="shared" si="13"/>
        <v>0</v>
      </c>
      <c r="AD25" s="106">
        <f t="shared" si="14"/>
        <v>0</v>
      </c>
    </row>
    <row r="26" spans="1:30">
      <c r="A26" s="165">
        <v>1</v>
      </c>
      <c r="B26" s="164" t="s">
        <v>223</v>
      </c>
      <c r="C26" s="163" t="s">
        <v>222</v>
      </c>
      <c r="D26" s="162" t="s">
        <v>68</v>
      </c>
      <c r="E26" s="158">
        <f>+IF($A26="",IF($C26="",SUMIFS(全伝票!I:I,全伝票!$B:$B,$B26),SUMIFS(全伝票!I:I,全伝票!$C:$C,$C26)),IF($C26="",SUMIFS(全伝票!I:I,全伝票!$A:$A,$A26,全伝票!$B:$B,$B26),SUMIFS(全伝票!I:I,全伝票!$A:$A,$A26,全伝票!$C:$C,$C26)))</f>
        <v>0</v>
      </c>
      <c r="F26" s="161">
        <f>+IF($A26="",IF($C26="",SUMIFS(全伝票!J:J,全伝票!$B:$B,$B26),SUMIFS(全伝票!J:J,全伝票!$C:$C,$C26)),IF($C26="",SUMIFS(全伝票!J:J,全伝票!$A:$A,$A26,全伝票!$B:$B,$B26),SUMIFS(全伝票!J:J,全伝票!$A:$A,$A26,全伝票!$C:$C,$C26)))</f>
        <v>0</v>
      </c>
      <c r="G26" s="160">
        <f>+IF($A26="",IF($C26="",SUMIFS(全伝票!K:K,全伝票!$B:$B,$B26),SUMIFS(全伝票!K:K,全伝票!$C:$C,$C26)),IF($C26="",SUMIFS(全伝票!K:K,全伝票!$A:$A,$A26,全伝票!$B:$B,$B26),SUMIFS(全伝票!K:K,全伝票!$A:$A,$A26,全伝票!$C:$C,$C26)))</f>
        <v>0</v>
      </c>
      <c r="H26" s="160">
        <f>+IF($A26="",IF($C26="",SUMIFS(全伝票!L:L,全伝票!$B:$B,$B26),SUMIFS(全伝票!L:L,全伝票!$C:$C,$C26)),IF($C26="",SUMIFS(全伝票!L:L,全伝票!$A:$A,$A26,全伝票!$B:$B,$B26),SUMIFS(全伝票!L:L,全伝票!$A:$A,$A26,全伝票!$C:$C,$C26)))</f>
        <v>0</v>
      </c>
      <c r="I26" s="159">
        <f>+IF($A26="",IF($C26="",SUMIFS(全伝票!M:M,全伝票!$B:$B,$B26),SUMIFS(全伝票!M:M,全伝票!$C:$C,$C26)),IF($C26="",SUMIFS(全伝票!M:M,全伝票!$A:$A,$A26,全伝票!$B:$B,$B26),SUMIFS(全伝票!M:M,全伝票!$A:$A,$A26,全伝票!$C:$C,$C26)))</f>
        <v>0</v>
      </c>
      <c r="J26" s="159">
        <f>+IF($A26="",IF($C26="",SUMIFS(全伝票!N:N,全伝票!$B:$B,$B26),SUMIFS(全伝票!N:N,全伝票!$C:$C,$C26)),IF($C26="",SUMIFS(全伝票!N:N,全伝票!$A:$A,$A26,全伝票!$B:$B,$B26),SUMIFS(全伝票!N:N,全伝票!$A:$A,$A26,全伝票!$C:$C,$C26)))</f>
        <v>0</v>
      </c>
      <c r="K26" s="34">
        <f t="shared" si="0"/>
        <v>0</v>
      </c>
      <c r="L26" s="158">
        <f>+IF($A26="",IF($C26="",SUMIFS(全伝票!O:O,全伝票!$B:$B,$B26),SUMIFS(全伝票!O:O,全伝票!$C:$C,$C26)),IF($C26="",SUMIFS(全伝票!O:O,全伝票!$A:$A,$A26,全伝票!$B:$B,$B26),SUMIFS(全伝票!O:O,全伝票!$A:$A,$A26,全伝票!$C:$C,$C26)))</f>
        <v>0</v>
      </c>
      <c r="M26" s="158">
        <f>+IF($A26="",IF($C26="",SUMIFS(全伝票!P:P,全伝票!$B:$B,$B26),SUMIFS(全伝票!P:P,全伝票!$C:$C,$C26)),IF($C26="",SUMIFS(全伝票!P:P,全伝票!$A:$A,$A26,全伝票!$B:$B,$B26),SUMIFS(全伝票!P:P,全伝票!$A:$A,$A26,全伝票!$C:$C,$C26)))</f>
        <v>0</v>
      </c>
      <c r="N26" s="108">
        <f t="shared" si="1"/>
        <v>0</v>
      </c>
      <c r="O26" s="25">
        <f t="shared" si="3"/>
        <v>0</v>
      </c>
      <c r="P26" s="25">
        <f t="shared" si="2"/>
        <v>0</v>
      </c>
      <c r="Q26" s="157">
        <f t="shared" si="3"/>
        <v>0</v>
      </c>
      <c r="R26" s="157">
        <f t="shared" si="4"/>
        <v>0</v>
      </c>
      <c r="S26" s="22">
        <f t="shared" si="5"/>
        <v>0</v>
      </c>
      <c r="T26" s="109">
        <f t="shared" si="6"/>
        <v>0</v>
      </c>
      <c r="U26" s="107">
        <f t="shared" si="7"/>
        <v>0</v>
      </c>
      <c r="V26" s="107">
        <f t="shared" si="8"/>
        <v>0</v>
      </c>
      <c r="W26" s="107">
        <f t="shared" si="9"/>
        <v>0</v>
      </c>
      <c r="X26" s="107">
        <f t="shared" si="9"/>
        <v>0</v>
      </c>
      <c r="Y26" s="107">
        <f t="shared" si="10"/>
        <v>0</v>
      </c>
      <c r="Z26" s="106">
        <f t="shared" si="11"/>
        <v>0</v>
      </c>
      <c r="AA26" s="106">
        <f t="shared" si="12"/>
        <v>0</v>
      </c>
      <c r="AB26" s="106">
        <f t="shared" si="13"/>
        <v>0</v>
      </c>
      <c r="AC26" s="106">
        <f t="shared" si="13"/>
        <v>0</v>
      </c>
      <c r="AD26" s="106">
        <f t="shared" si="14"/>
        <v>0</v>
      </c>
    </row>
    <row r="27" spans="1:30">
      <c r="A27" s="165">
        <v>1</v>
      </c>
      <c r="B27" s="164" t="s">
        <v>221</v>
      </c>
      <c r="C27" s="163"/>
      <c r="D27" s="162" t="s">
        <v>66</v>
      </c>
      <c r="E27" s="158">
        <f>+IF($A27="",IF($C27="",SUMIFS(全伝票!I:I,全伝票!$B:$B,$B27),SUMIFS(全伝票!I:I,全伝票!$C:$C,$C27)),IF($C27="",SUMIFS(全伝票!I:I,全伝票!$A:$A,$A27,全伝票!$B:$B,$B27),SUMIFS(全伝票!I:I,全伝票!$A:$A,$A27,全伝票!$C:$C,$C27)))</f>
        <v>0</v>
      </c>
      <c r="F27" s="161">
        <f>+IF($A27="",IF($C27="",SUMIFS(全伝票!J:J,全伝票!$B:$B,$B27),SUMIFS(全伝票!J:J,全伝票!$C:$C,$C27)),IF($C27="",SUMIFS(全伝票!J:J,全伝票!$A:$A,$A27,全伝票!$B:$B,$B27),SUMIFS(全伝票!J:J,全伝票!$A:$A,$A27,全伝票!$C:$C,$C27)))</f>
        <v>0</v>
      </c>
      <c r="G27" s="160">
        <f>+IF($A27="",IF($C27="",SUMIFS(全伝票!K:K,全伝票!$B:$B,$B27),SUMIFS(全伝票!K:K,全伝票!$C:$C,$C27)),IF($C27="",SUMIFS(全伝票!K:K,全伝票!$A:$A,$A27,全伝票!$B:$B,$B27),SUMIFS(全伝票!K:K,全伝票!$A:$A,$A27,全伝票!$C:$C,$C27)))</f>
        <v>0</v>
      </c>
      <c r="H27" s="160">
        <f>+IF($A27="",IF($C27="",SUMIFS(全伝票!L:L,全伝票!$B:$B,$B27),SUMIFS(全伝票!L:L,全伝票!$C:$C,$C27)),IF($C27="",SUMIFS(全伝票!L:L,全伝票!$A:$A,$A27,全伝票!$B:$B,$B27),SUMIFS(全伝票!L:L,全伝票!$A:$A,$A27,全伝票!$C:$C,$C27)))</f>
        <v>0</v>
      </c>
      <c r="I27" s="159">
        <f>+IF($A27="",IF($C27="",SUMIFS(全伝票!M:M,全伝票!$B:$B,$B27),SUMIFS(全伝票!M:M,全伝票!$C:$C,$C27)),IF($C27="",SUMIFS(全伝票!M:M,全伝票!$A:$A,$A27,全伝票!$B:$B,$B27),SUMIFS(全伝票!M:M,全伝票!$A:$A,$A27,全伝票!$C:$C,$C27)))</f>
        <v>0</v>
      </c>
      <c r="J27" s="159">
        <f>+IF($A27="",IF($C27="",SUMIFS(全伝票!N:N,全伝票!$B:$B,$B27),SUMIFS(全伝票!N:N,全伝票!$C:$C,$C27)),IF($C27="",SUMIFS(全伝票!N:N,全伝票!$A:$A,$A27,全伝票!$B:$B,$B27),SUMIFS(全伝票!N:N,全伝票!$A:$A,$A27,全伝票!$C:$C,$C27)))</f>
        <v>0</v>
      </c>
      <c r="K27" s="34">
        <f t="shared" si="0"/>
        <v>0</v>
      </c>
      <c r="L27" s="158">
        <f>+IF($A27="",IF($C27="",SUMIFS(全伝票!O:O,全伝票!$B:$B,$B27),SUMIFS(全伝票!O:O,全伝票!$C:$C,$C27)),IF($C27="",SUMIFS(全伝票!O:O,全伝票!$A:$A,$A27,全伝票!$B:$B,$B27),SUMIFS(全伝票!O:O,全伝票!$A:$A,$A27,全伝票!$C:$C,$C27)))</f>
        <v>0</v>
      </c>
      <c r="M27" s="158">
        <f>+IF($A27="",IF($C27="",SUMIFS(全伝票!P:P,全伝票!$B:$B,$B27),SUMIFS(全伝票!P:P,全伝票!$C:$C,$C27)),IF($C27="",SUMIFS(全伝票!P:P,全伝票!$A:$A,$A27,全伝票!$B:$B,$B27),SUMIFS(全伝票!P:P,全伝票!$A:$A,$A27,全伝票!$C:$C,$C27)))</f>
        <v>0</v>
      </c>
      <c r="N27" s="108">
        <f t="shared" si="1"/>
        <v>0</v>
      </c>
      <c r="O27" s="25">
        <f t="shared" si="3"/>
        <v>0</v>
      </c>
      <c r="P27" s="25">
        <f t="shared" si="2"/>
        <v>0</v>
      </c>
      <c r="Q27" s="157">
        <f t="shared" si="3"/>
        <v>0</v>
      </c>
      <c r="R27" s="157">
        <f t="shared" si="4"/>
        <v>0</v>
      </c>
      <c r="S27" s="22">
        <f t="shared" si="5"/>
        <v>0</v>
      </c>
      <c r="T27" s="109">
        <f t="shared" si="6"/>
        <v>0</v>
      </c>
      <c r="U27" s="107">
        <f t="shared" si="7"/>
        <v>0</v>
      </c>
      <c r="V27" s="107">
        <f t="shared" si="8"/>
        <v>0</v>
      </c>
      <c r="W27" s="107">
        <f t="shared" si="9"/>
        <v>0</v>
      </c>
      <c r="X27" s="107">
        <f t="shared" si="9"/>
        <v>0</v>
      </c>
      <c r="Y27" s="107">
        <f t="shared" si="10"/>
        <v>0</v>
      </c>
      <c r="Z27" s="106">
        <f t="shared" si="11"/>
        <v>0</v>
      </c>
      <c r="AA27" s="106">
        <f t="shared" si="12"/>
        <v>0</v>
      </c>
      <c r="AB27" s="106">
        <f t="shared" si="13"/>
        <v>0</v>
      </c>
      <c r="AC27" s="106">
        <f t="shared" si="13"/>
        <v>0</v>
      </c>
      <c r="AD27" s="106">
        <f t="shared" si="14"/>
        <v>0</v>
      </c>
    </row>
    <row r="28" spans="1:30">
      <c r="A28" s="165">
        <v>1</v>
      </c>
      <c r="B28" s="164" t="s">
        <v>220</v>
      </c>
      <c r="C28" s="163"/>
      <c r="D28" s="162" t="s">
        <v>64</v>
      </c>
      <c r="E28" s="158">
        <f>+IF($A28="",IF($C28="",SUMIFS(全伝票!I:I,全伝票!$B:$B,$B28),SUMIFS(全伝票!I:I,全伝票!$C:$C,$C28)),IF($C28="",SUMIFS(全伝票!I:I,全伝票!$A:$A,$A28,全伝票!$B:$B,$B28),SUMIFS(全伝票!I:I,全伝票!$A:$A,$A28,全伝票!$C:$C,$C28)))</f>
        <v>0</v>
      </c>
      <c r="F28" s="161">
        <f>+IF($A28="",IF($C28="",SUMIFS(全伝票!J:J,全伝票!$B:$B,$B28),SUMIFS(全伝票!J:J,全伝票!$C:$C,$C28)),IF($C28="",SUMIFS(全伝票!J:J,全伝票!$A:$A,$A28,全伝票!$B:$B,$B28),SUMIFS(全伝票!J:J,全伝票!$A:$A,$A28,全伝票!$C:$C,$C28)))</f>
        <v>0</v>
      </c>
      <c r="G28" s="160">
        <f>+IF($A28="",IF($C28="",SUMIFS(全伝票!K:K,全伝票!$B:$B,$B28),SUMIFS(全伝票!K:K,全伝票!$C:$C,$C28)),IF($C28="",SUMIFS(全伝票!K:K,全伝票!$A:$A,$A28,全伝票!$B:$B,$B28),SUMIFS(全伝票!K:K,全伝票!$A:$A,$A28,全伝票!$C:$C,$C28)))</f>
        <v>0</v>
      </c>
      <c r="H28" s="160">
        <f>+IF($A28="",IF($C28="",SUMIFS(全伝票!L:L,全伝票!$B:$B,$B28),SUMIFS(全伝票!L:L,全伝票!$C:$C,$C28)),IF($C28="",SUMIFS(全伝票!L:L,全伝票!$A:$A,$A28,全伝票!$B:$B,$B28),SUMIFS(全伝票!L:L,全伝票!$A:$A,$A28,全伝票!$C:$C,$C28)))</f>
        <v>0</v>
      </c>
      <c r="I28" s="159">
        <f>+IF($A28="",IF($C28="",SUMIFS(全伝票!M:M,全伝票!$B:$B,$B28),SUMIFS(全伝票!M:M,全伝票!$C:$C,$C28)),IF($C28="",SUMIFS(全伝票!M:M,全伝票!$A:$A,$A28,全伝票!$B:$B,$B28),SUMIFS(全伝票!M:M,全伝票!$A:$A,$A28,全伝票!$C:$C,$C28)))</f>
        <v>0</v>
      </c>
      <c r="J28" s="159">
        <f>+IF($A28="",IF($C28="",SUMIFS(全伝票!N:N,全伝票!$B:$B,$B28),SUMIFS(全伝票!N:N,全伝票!$C:$C,$C28)),IF($C28="",SUMIFS(全伝票!N:N,全伝票!$A:$A,$A28,全伝票!$B:$B,$B28),SUMIFS(全伝票!N:N,全伝票!$A:$A,$A28,全伝票!$C:$C,$C28)))</f>
        <v>0</v>
      </c>
      <c r="K28" s="34">
        <f t="shared" si="0"/>
        <v>0</v>
      </c>
      <c r="L28" s="158">
        <f>+IF($A28="",IF($C28="",SUMIFS(全伝票!O:O,全伝票!$B:$B,$B28),SUMIFS(全伝票!O:O,全伝票!$C:$C,$C28)),IF($C28="",SUMIFS(全伝票!O:O,全伝票!$A:$A,$A28,全伝票!$B:$B,$B28),SUMIFS(全伝票!O:O,全伝票!$A:$A,$A28,全伝票!$C:$C,$C28)))</f>
        <v>0</v>
      </c>
      <c r="M28" s="158">
        <f>+IF($A28="",IF($C28="",SUMIFS(全伝票!P:P,全伝票!$B:$B,$B28),SUMIFS(全伝票!P:P,全伝票!$C:$C,$C28)),IF($C28="",SUMIFS(全伝票!P:P,全伝票!$A:$A,$A28,全伝票!$B:$B,$B28),SUMIFS(全伝票!P:P,全伝票!$A:$A,$A28,全伝票!$C:$C,$C28)))</f>
        <v>0</v>
      </c>
      <c r="N28" s="108">
        <f t="shared" si="1"/>
        <v>0</v>
      </c>
      <c r="O28" s="25">
        <f t="shared" si="3"/>
        <v>0</v>
      </c>
      <c r="P28" s="25">
        <f t="shared" si="2"/>
        <v>0</v>
      </c>
      <c r="Q28" s="157">
        <f t="shared" si="3"/>
        <v>0</v>
      </c>
      <c r="R28" s="157">
        <f t="shared" si="4"/>
        <v>0</v>
      </c>
      <c r="S28" s="22">
        <f t="shared" si="5"/>
        <v>0</v>
      </c>
      <c r="T28" s="109">
        <f t="shared" si="6"/>
        <v>0</v>
      </c>
      <c r="U28" s="107">
        <f t="shared" si="7"/>
        <v>0</v>
      </c>
      <c r="V28" s="107">
        <f t="shared" si="8"/>
        <v>0</v>
      </c>
      <c r="W28" s="107">
        <f t="shared" si="9"/>
        <v>0</v>
      </c>
      <c r="X28" s="107">
        <f t="shared" si="9"/>
        <v>0</v>
      </c>
      <c r="Y28" s="107">
        <f t="shared" si="10"/>
        <v>0</v>
      </c>
      <c r="Z28" s="106">
        <f t="shared" si="11"/>
        <v>0</v>
      </c>
      <c r="AA28" s="106">
        <f t="shared" si="12"/>
        <v>0</v>
      </c>
      <c r="AB28" s="106">
        <f t="shared" si="13"/>
        <v>0</v>
      </c>
      <c r="AC28" s="106">
        <f t="shared" si="13"/>
        <v>0</v>
      </c>
      <c r="AD28" s="106">
        <f t="shared" si="14"/>
        <v>0</v>
      </c>
    </row>
    <row r="29" spans="1:30">
      <c r="A29" s="165">
        <v>1</v>
      </c>
      <c r="B29" s="164" t="s">
        <v>219</v>
      </c>
      <c r="C29" s="163"/>
      <c r="D29" s="162" t="s">
        <v>62</v>
      </c>
      <c r="E29" s="158">
        <f>+IF($A29="",IF($C29="",SUMIFS(全伝票!I:I,全伝票!$B:$B,$B29),SUMIFS(全伝票!I:I,全伝票!$C:$C,$C29)),IF($C29="",SUMIFS(全伝票!I:I,全伝票!$A:$A,$A29,全伝票!$B:$B,$B29),SUMIFS(全伝票!I:I,全伝票!$A:$A,$A29,全伝票!$C:$C,$C29)))</f>
        <v>0</v>
      </c>
      <c r="F29" s="161">
        <f>+IF($A29="",IF($C29="",SUMIFS(全伝票!J:J,全伝票!$B:$B,$B29),SUMIFS(全伝票!J:J,全伝票!$C:$C,$C29)),IF($C29="",SUMIFS(全伝票!J:J,全伝票!$A:$A,$A29,全伝票!$B:$B,$B29),SUMIFS(全伝票!J:J,全伝票!$A:$A,$A29,全伝票!$C:$C,$C29)))</f>
        <v>0</v>
      </c>
      <c r="G29" s="160">
        <f>+IF($A29="",IF($C29="",SUMIFS(全伝票!K:K,全伝票!$B:$B,$B29),SUMIFS(全伝票!K:K,全伝票!$C:$C,$C29)),IF($C29="",SUMIFS(全伝票!K:K,全伝票!$A:$A,$A29,全伝票!$B:$B,$B29),SUMIFS(全伝票!K:K,全伝票!$A:$A,$A29,全伝票!$C:$C,$C29)))</f>
        <v>0</v>
      </c>
      <c r="H29" s="160">
        <f>+IF($A29="",IF($C29="",SUMIFS(全伝票!L:L,全伝票!$B:$B,$B29),SUMIFS(全伝票!L:L,全伝票!$C:$C,$C29)),IF($C29="",SUMIFS(全伝票!L:L,全伝票!$A:$A,$A29,全伝票!$B:$B,$B29),SUMIFS(全伝票!L:L,全伝票!$A:$A,$A29,全伝票!$C:$C,$C29)))</f>
        <v>0</v>
      </c>
      <c r="I29" s="159">
        <f>+IF($A29="",IF($C29="",SUMIFS(全伝票!M:M,全伝票!$B:$B,$B29),SUMIFS(全伝票!M:M,全伝票!$C:$C,$C29)),IF($C29="",SUMIFS(全伝票!M:M,全伝票!$A:$A,$A29,全伝票!$B:$B,$B29),SUMIFS(全伝票!M:M,全伝票!$A:$A,$A29,全伝票!$C:$C,$C29)))</f>
        <v>0</v>
      </c>
      <c r="J29" s="159">
        <f>+IF($A29="",IF($C29="",SUMIFS(全伝票!N:N,全伝票!$B:$B,$B29),SUMIFS(全伝票!N:N,全伝票!$C:$C,$C29)),IF($C29="",SUMIFS(全伝票!N:N,全伝票!$A:$A,$A29,全伝票!$B:$B,$B29),SUMIFS(全伝票!N:N,全伝票!$A:$A,$A29,全伝票!$C:$C,$C29)))</f>
        <v>0</v>
      </c>
      <c r="K29" s="34">
        <f t="shared" si="0"/>
        <v>0</v>
      </c>
      <c r="L29" s="158">
        <f>+IF($A29="",IF($C29="",SUMIFS(全伝票!O:O,全伝票!$B:$B,$B29),SUMIFS(全伝票!O:O,全伝票!$C:$C,$C29)),IF($C29="",SUMIFS(全伝票!O:O,全伝票!$A:$A,$A29,全伝票!$B:$B,$B29),SUMIFS(全伝票!O:O,全伝票!$A:$A,$A29,全伝票!$C:$C,$C29)))</f>
        <v>0</v>
      </c>
      <c r="M29" s="158">
        <f>+IF($A29="",IF($C29="",SUMIFS(全伝票!P:P,全伝票!$B:$B,$B29),SUMIFS(全伝票!P:P,全伝票!$C:$C,$C29)),IF($C29="",SUMIFS(全伝票!P:P,全伝票!$A:$A,$A29,全伝票!$B:$B,$B29),SUMIFS(全伝票!P:P,全伝票!$A:$A,$A29,全伝票!$C:$C,$C29)))</f>
        <v>0</v>
      </c>
      <c r="N29" s="108">
        <f t="shared" si="1"/>
        <v>0</v>
      </c>
      <c r="O29" s="25">
        <f t="shared" si="3"/>
        <v>0</v>
      </c>
      <c r="P29" s="25">
        <f t="shared" si="2"/>
        <v>0</v>
      </c>
      <c r="Q29" s="157">
        <f t="shared" si="3"/>
        <v>0</v>
      </c>
      <c r="R29" s="157">
        <f t="shared" si="4"/>
        <v>0</v>
      </c>
      <c r="S29" s="22">
        <f t="shared" si="5"/>
        <v>0</v>
      </c>
      <c r="T29" s="109">
        <f t="shared" si="6"/>
        <v>0</v>
      </c>
      <c r="U29" s="107">
        <f t="shared" si="7"/>
        <v>0</v>
      </c>
      <c r="V29" s="107">
        <f t="shared" si="8"/>
        <v>0</v>
      </c>
      <c r="W29" s="107">
        <f t="shared" si="9"/>
        <v>0</v>
      </c>
      <c r="X29" s="107">
        <f t="shared" si="9"/>
        <v>0</v>
      </c>
      <c r="Y29" s="107">
        <f t="shared" si="10"/>
        <v>0</v>
      </c>
      <c r="Z29" s="106">
        <f t="shared" si="11"/>
        <v>0</v>
      </c>
      <c r="AA29" s="106">
        <f t="shared" si="12"/>
        <v>0</v>
      </c>
      <c r="AB29" s="106">
        <f t="shared" si="13"/>
        <v>0</v>
      </c>
      <c r="AC29" s="106">
        <f t="shared" si="13"/>
        <v>0</v>
      </c>
      <c r="AD29" s="106">
        <f t="shared" si="14"/>
        <v>0</v>
      </c>
    </row>
    <row r="30" spans="1:30">
      <c r="A30" s="165">
        <v>1</v>
      </c>
      <c r="B30" s="164" t="s">
        <v>218</v>
      </c>
      <c r="C30" s="163"/>
      <c r="D30" s="162" t="s">
        <v>60</v>
      </c>
      <c r="E30" s="158">
        <f>+IF($A30="",IF($C30="",SUMIFS(全伝票!I:I,全伝票!$B:$B,$B30),SUMIFS(全伝票!I:I,全伝票!$C:$C,$C30)),IF($C30="",SUMIFS(全伝票!I:I,全伝票!$A:$A,$A30,全伝票!$B:$B,$B30),SUMIFS(全伝票!I:I,全伝票!$A:$A,$A30,全伝票!$C:$C,$C30)))</f>
        <v>0</v>
      </c>
      <c r="F30" s="161">
        <f>+IF($A30="",IF($C30="",SUMIFS(全伝票!J:J,全伝票!$B:$B,$B30),SUMIFS(全伝票!J:J,全伝票!$C:$C,$C30)),IF($C30="",SUMIFS(全伝票!J:J,全伝票!$A:$A,$A30,全伝票!$B:$B,$B30),SUMIFS(全伝票!J:J,全伝票!$A:$A,$A30,全伝票!$C:$C,$C30)))</f>
        <v>0</v>
      </c>
      <c r="G30" s="160">
        <f>+IF($A30="",IF($C30="",SUMIFS(全伝票!K:K,全伝票!$B:$B,$B30),SUMIFS(全伝票!K:K,全伝票!$C:$C,$C30)),IF($C30="",SUMIFS(全伝票!K:K,全伝票!$A:$A,$A30,全伝票!$B:$B,$B30),SUMIFS(全伝票!K:K,全伝票!$A:$A,$A30,全伝票!$C:$C,$C30)))</f>
        <v>0</v>
      </c>
      <c r="H30" s="160">
        <f>+IF($A30="",IF($C30="",SUMIFS(全伝票!L:L,全伝票!$B:$B,$B30),SUMIFS(全伝票!L:L,全伝票!$C:$C,$C30)),IF($C30="",SUMIFS(全伝票!L:L,全伝票!$A:$A,$A30,全伝票!$B:$B,$B30),SUMIFS(全伝票!L:L,全伝票!$A:$A,$A30,全伝票!$C:$C,$C30)))</f>
        <v>0</v>
      </c>
      <c r="I30" s="159">
        <f>+IF($A30="",IF($C30="",SUMIFS(全伝票!M:M,全伝票!$B:$B,$B30),SUMIFS(全伝票!M:M,全伝票!$C:$C,$C30)),IF($C30="",SUMIFS(全伝票!M:M,全伝票!$A:$A,$A30,全伝票!$B:$B,$B30),SUMIFS(全伝票!M:M,全伝票!$A:$A,$A30,全伝票!$C:$C,$C30)))</f>
        <v>0</v>
      </c>
      <c r="J30" s="159">
        <f>+IF($A30="",IF($C30="",SUMIFS(全伝票!N:N,全伝票!$B:$B,$B30),SUMIFS(全伝票!N:N,全伝票!$C:$C,$C30)),IF($C30="",SUMIFS(全伝票!N:N,全伝票!$A:$A,$A30,全伝票!$B:$B,$B30),SUMIFS(全伝票!N:N,全伝票!$A:$A,$A30,全伝票!$C:$C,$C30)))</f>
        <v>0</v>
      </c>
      <c r="K30" s="34">
        <f t="shared" si="0"/>
        <v>0</v>
      </c>
      <c r="L30" s="158">
        <f>+IF($A30="",IF($C30="",SUMIFS(全伝票!O:O,全伝票!$B:$B,$B30),SUMIFS(全伝票!O:O,全伝票!$C:$C,$C30)),IF($C30="",SUMIFS(全伝票!O:O,全伝票!$A:$A,$A30,全伝票!$B:$B,$B30),SUMIFS(全伝票!O:O,全伝票!$A:$A,$A30,全伝票!$C:$C,$C30)))</f>
        <v>0</v>
      </c>
      <c r="M30" s="158">
        <f>+IF($A30="",IF($C30="",SUMIFS(全伝票!P:P,全伝票!$B:$B,$B30),SUMIFS(全伝票!P:P,全伝票!$C:$C,$C30)),IF($C30="",SUMIFS(全伝票!P:P,全伝票!$A:$A,$A30,全伝票!$B:$B,$B30),SUMIFS(全伝票!P:P,全伝票!$A:$A,$A30,全伝票!$C:$C,$C30)))</f>
        <v>0</v>
      </c>
      <c r="N30" s="108">
        <f t="shared" si="1"/>
        <v>0</v>
      </c>
      <c r="O30" s="25">
        <f t="shared" si="3"/>
        <v>0</v>
      </c>
      <c r="P30" s="25">
        <f t="shared" si="2"/>
        <v>0</v>
      </c>
      <c r="Q30" s="157">
        <f t="shared" si="3"/>
        <v>0</v>
      </c>
      <c r="R30" s="157">
        <f t="shared" si="4"/>
        <v>0</v>
      </c>
      <c r="S30" s="22">
        <f t="shared" si="5"/>
        <v>0</v>
      </c>
      <c r="T30" s="109">
        <f t="shared" si="6"/>
        <v>0</v>
      </c>
      <c r="U30" s="107">
        <f t="shared" si="7"/>
        <v>0</v>
      </c>
      <c r="V30" s="107">
        <f t="shared" si="8"/>
        <v>0</v>
      </c>
      <c r="W30" s="107">
        <f t="shared" si="9"/>
        <v>0</v>
      </c>
      <c r="X30" s="107">
        <f t="shared" si="9"/>
        <v>0</v>
      </c>
      <c r="Y30" s="107">
        <f t="shared" si="10"/>
        <v>0</v>
      </c>
      <c r="Z30" s="106">
        <f t="shared" si="11"/>
        <v>0</v>
      </c>
      <c r="AA30" s="106">
        <f t="shared" si="12"/>
        <v>0</v>
      </c>
      <c r="AB30" s="106">
        <f t="shared" si="13"/>
        <v>0</v>
      </c>
      <c r="AC30" s="106">
        <f t="shared" si="13"/>
        <v>0</v>
      </c>
      <c r="AD30" s="106">
        <f t="shared" si="14"/>
        <v>0</v>
      </c>
    </row>
    <row r="31" spans="1:30">
      <c r="A31" s="165">
        <v>1</v>
      </c>
      <c r="B31" s="164" t="s">
        <v>217</v>
      </c>
      <c r="C31" s="163"/>
      <c r="D31" s="162" t="s">
        <v>58</v>
      </c>
      <c r="E31" s="158">
        <f>+IF($A31="",IF($C31="",SUMIFS(全伝票!I:I,全伝票!$B:$B,$B31),SUMIFS(全伝票!I:I,全伝票!$C:$C,$C31)),IF($C31="",SUMIFS(全伝票!I:I,全伝票!$A:$A,$A31,全伝票!$B:$B,$B31),SUMIFS(全伝票!I:I,全伝票!$A:$A,$A31,全伝票!$C:$C,$C31)))</f>
        <v>0</v>
      </c>
      <c r="F31" s="161">
        <f>+IF($A31="",IF($C31="",SUMIFS(全伝票!J:J,全伝票!$B:$B,$B31),SUMIFS(全伝票!J:J,全伝票!$C:$C,$C31)),IF($C31="",SUMIFS(全伝票!J:J,全伝票!$A:$A,$A31,全伝票!$B:$B,$B31),SUMIFS(全伝票!J:J,全伝票!$A:$A,$A31,全伝票!$C:$C,$C31)))</f>
        <v>0</v>
      </c>
      <c r="G31" s="160">
        <f>+IF($A31="",IF($C31="",SUMIFS(全伝票!K:K,全伝票!$B:$B,$B31),SUMIFS(全伝票!K:K,全伝票!$C:$C,$C31)),IF($C31="",SUMIFS(全伝票!K:K,全伝票!$A:$A,$A31,全伝票!$B:$B,$B31),SUMIFS(全伝票!K:K,全伝票!$A:$A,$A31,全伝票!$C:$C,$C31)))</f>
        <v>0</v>
      </c>
      <c r="H31" s="160">
        <f>+IF($A31="",IF($C31="",SUMIFS(全伝票!L:L,全伝票!$B:$B,$B31),SUMIFS(全伝票!L:L,全伝票!$C:$C,$C31)),IF($C31="",SUMIFS(全伝票!L:L,全伝票!$A:$A,$A31,全伝票!$B:$B,$B31),SUMIFS(全伝票!L:L,全伝票!$A:$A,$A31,全伝票!$C:$C,$C31)))</f>
        <v>0</v>
      </c>
      <c r="I31" s="159">
        <f>+IF($A31="",IF($C31="",SUMIFS(全伝票!M:M,全伝票!$B:$B,$B31),SUMIFS(全伝票!M:M,全伝票!$C:$C,$C31)),IF($C31="",SUMIFS(全伝票!M:M,全伝票!$A:$A,$A31,全伝票!$B:$B,$B31),SUMIFS(全伝票!M:M,全伝票!$A:$A,$A31,全伝票!$C:$C,$C31)))</f>
        <v>0</v>
      </c>
      <c r="J31" s="159">
        <f>+IF($A31="",IF($C31="",SUMIFS(全伝票!N:N,全伝票!$B:$B,$B31),SUMIFS(全伝票!N:N,全伝票!$C:$C,$C31)),IF($C31="",SUMIFS(全伝票!N:N,全伝票!$A:$A,$A31,全伝票!$B:$B,$B31),SUMIFS(全伝票!N:N,全伝票!$A:$A,$A31,全伝票!$C:$C,$C31)))</f>
        <v>0</v>
      </c>
      <c r="K31" s="34">
        <f t="shared" si="0"/>
        <v>0</v>
      </c>
      <c r="L31" s="158">
        <f>+IF($A31="",IF($C31="",SUMIFS(全伝票!O:O,全伝票!$B:$B,$B31),SUMIFS(全伝票!O:O,全伝票!$C:$C,$C31)),IF($C31="",SUMIFS(全伝票!O:O,全伝票!$A:$A,$A31,全伝票!$B:$B,$B31),SUMIFS(全伝票!O:O,全伝票!$A:$A,$A31,全伝票!$C:$C,$C31)))</f>
        <v>0</v>
      </c>
      <c r="M31" s="158">
        <f>+IF($A31="",IF($C31="",SUMIFS(全伝票!P:P,全伝票!$B:$B,$B31),SUMIFS(全伝票!P:P,全伝票!$C:$C,$C31)),IF($C31="",SUMIFS(全伝票!P:P,全伝票!$A:$A,$A31,全伝票!$B:$B,$B31),SUMIFS(全伝票!P:P,全伝票!$A:$A,$A31,全伝票!$C:$C,$C31)))</f>
        <v>0</v>
      </c>
      <c r="N31" s="108">
        <f t="shared" si="1"/>
        <v>0</v>
      </c>
      <c r="O31" s="25">
        <f t="shared" si="3"/>
        <v>0</v>
      </c>
      <c r="P31" s="25">
        <f t="shared" si="2"/>
        <v>0</v>
      </c>
      <c r="Q31" s="157">
        <f t="shared" si="3"/>
        <v>0</v>
      </c>
      <c r="R31" s="157">
        <f t="shared" si="4"/>
        <v>0</v>
      </c>
      <c r="S31" s="22">
        <f t="shared" si="5"/>
        <v>0</v>
      </c>
      <c r="T31" s="109">
        <f t="shared" si="6"/>
        <v>0</v>
      </c>
      <c r="U31" s="107">
        <f t="shared" si="7"/>
        <v>0</v>
      </c>
      <c r="V31" s="107">
        <f t="shared" si="8"/>
        <v>0</v>
      </c>
      <c r="W31" s="107">
        <f t="shared" si="9"/>
        <v>0</v>
      </c>
      <c r="X31" s="107">
        <f t="shared" si="9"/>
        <v>0</v>
      </c>
      <c r="Y31" s="107">
        <f t="shared" si="10"/>
        <v>0</v>
      </c>
      <c r="Z31" s="106">
        <f t="shared" si="11"/>
        <v>0</v>
      </c>
      <c r="AA31" s="106">
        <f t="shared" si="12"/>
        <v>0</v>
      </c>
      <c r="AB31" s="106">
        <f t="shared" si="13"/>
        <v>0</v>
      </c>
      <c r="AC31" s="106">
        <f t="shared" si="13"/>
        <v>0</v>
      </c>
      <c r="AD31" s="106">
        <f t="shared" si="14"/>
        <v>0</v>
      </c>
    </row>
    <row r="32" spans="1:30">
      <c r="A32" s="165">
        <v>1</v>
      </c>
      <c r="B32" s="164" t="s">
        <v>216</v>
      </c>
      <c r="C32" s="163"/>
      <c r="D32" s="162" t="s">
        <v>56</v>
      </c>
      <c r="E32" s="158">
        <f>+IF($A32="",IF($C32="",SUMIFS(全伝票!I:I,全伝票!$B:$B,$B32),SUMIFS(全伝票!I:I,全伝票!$C:$C,$C32)),IF($C32="",SUMIFS(全伝票!I:I,全伝票!$A:$A,$A32,全伝票!$B:$B,$B32),SUMIFS(全伝票!I:I,全伝票!$A:$A,$A32,全伝票!$C:$C,$C32)))</f>
        <v>0</v>
      </c>
      <c r="F32" s="161">
        <f>+IF($A32="",IF($C32="",SUMIFS(全伝票!J:J,全伝票!$B:$B,$B32),SUMIFS(全伝票!J:J,全伝票!$C:$C,$C32)),IF($C32="",SUMIFS(全伝票!J:J,全伝票!$A:$A,$A32,全伝票!$B:$B,$B32),SUMIFS(全伝票!J:J,全伝票!$A:$A,$A32,全伝票!$C:$C,$C32)))</f>
        <v>0</v>
      </c>
      <c r="G32" s="160">
        <f>+IF($A32="",IF($C32="",SUMIFS(全伝票!K:K,全伝票!$B:$B,$B32),SUMIFS(全伝票!K:K,全伝票!$C:$C,$C32)),IF($C32="",SUMIFS(全伝票!K:K,全伝票!$A:$A,$A32,全伝票!$B:$B,$B32),SUMIFS(全伝票!K:K,全伝票!$A:$A,$A32,全伝票!$C:$C,$C32)))</f>
        <v>0</v>
      </c>
      <c r="H32" s="160">
        <f>+IF($A32="",IF($C32="",SUMIFS(全伝票!L:L,全伝票!$B:$B,$B32),SUMIFS(全伝票!L:L,全伝票!$C:$C,$C32)),IF($C32="",SUMIFS(全伝票!L:L,全伝票!$A:$A,$A32,全伝票!$B:$B,$B32),SUMIFS(全伝票!L:L,全伝票!$A:$A,$A32,全伝票!$C:$C,$C32)))</f>
        <v>0</v>
      </c>
      <c r="I32" s="159">
        <f>+IF($A32="",IF($C32="",SUMIFS(全伝票!M:M,全伝票!$B:$B,$B32),SUMIFS(全伝票!M:M,全伝票!$C:$C,$C32)),IF($C32="",SUMIFS(全伝票!M:M,全伝票!$A:$A,$A32,全伝票!$B:$B,$B32),SUMIFS(全伝票!M:M,全伝票!$A:$A,$A32,全伝票!$C:$C,$C32)))</f>
        <v>0</v>
      </c>
      <c r="J32" s="159">
        <f>+IF($A32="",IF($C32="",SUMIFS(全伝票!N:N,全伝票!$B:$B,$B32),SUMIFS(全伝票!N:N,全伝票!$C:$C,$C32)),IF($C32="",SUMIFS(全伝票!N:N,全伝票!$A:$A,$A32,全伝票!$B:$B,$B32),SUMIFS(全伝票!N:N,全伝票!$A:$A,$A32,全伝票!$C:$C,$C32)))</f>
        <v>0</v>
      </c>
      <c r="K32" s="34">
        <f t="shared" si="0"/>
        <v>0</v>
      </c>
      <c r="L32" s="158">
        <f>+IF($A32="",IF($C32="",SUMIFS(全伝票!O:O,全伝票!$B:$B,$B32),SUMIFS(全伝票!O:O,全伝票!$C:$C,$C32)),IF($C32="",SUMIFS(全伝票!O:O,全伝票!$A:$A,$A32,全伝票!$B:$B,$B32),SUMIFS(全伝票!O:O,全伝票!$A:$A,$A32,全伝票!$C:$C,$C32)))</f>
        <v>0</v>
      </c>
      <c r="M32" s="158">
        <f>+IF($A32="",IF($C32="",SUMIFS(全伝票!P:P,全伝票!$B:$B,$B32),SUMIFS(全伝票!P:P,全伝票!$C:$C,$C32)),IF($C32="",SUMIFS(全伝票!P:P,全伝票!$A:$A,$A32,全伝票!$B:$B,$B32),SUMIFS(全伝票!P:P,全伝票!$A:$A,$A32,全伝票!$C:$C,$C32)))</f>
        <v>0</v>
      </c>
      <c r="N32" s="108">
        <f t="shared" si="1"/>
        <v>0</v>
      </c>
      <c r="O32" s="25">
        <f t="shared" si="3"/>
        <v>0</v>
      </c>
      <c r="P32" s="25">
        <f t="shared" si="2"/>
        <v>0</v>
      </c>
      <c r="Q32" s="157">
        <f t="shared" si="3"/>
        <v>0</v>
      </c>
      <c r="R32" s="157">
        <f t="shared" si="4"/>
        <v>0</v>
      </c>
      <c r="S32" s="22">
        <f t="shared" si="5"/>
        <v>0</v>
      </c>
      <c r="T32" s="109">
        <f t="shared" si="6"/>
        <v>0</v>
      </c>
      <c r="U32" s="107">
        <f t="shared" si="7"/>
        <v>0</v>
      </c>
      <c r="V32" s="107">
        <f t="shared" si="8"/>
        <v>0</v>
      </c>
      <c r="W32" s="107">
        <f t="shared" si="9"/>
        <v>0</v>
      </c>
      <c r="X32" s="107">
        <f t="shared" si="9"/>
        <v>0</v>
      </c>
      <c r="Y32" s="107">
        <f t="shared" si="10"/>
        <v>0</v>
      </c>
      <c r="Z32" s="106">
        <f t="shared" si="11"/>
        <v>0</v>
      </c>
      <c r="AA32" s="106">
        <f t="shared" si="12"/>
        <v>0</v>
      </c>
      <c r="AB32" s="106">
        <f t="shared" si="13"/>
        <v>0</v>
      </c>
      <c r="AC32" s="106">
        <f t="shared" si="13"/>
        <v>0</v>
      </c>
      <c r="AD32" s="106">
        <f t="shared" si="14"/>
        <v>0</v>
      </c>
    </row>
    <row r="33" spans="1:30">
      <c r="A33" s="165">
        <v>1</v>
      </c>
      <c r="B33" s="164" t="s">
        <v>237</v>
      </c>
      <c r="C33" s="163">
        <v>883101003</v>
      </c>
      <c r="D33" s="162" t="s">
        <v>609</v>
      </c>
      <c r="E33" s="158">
        <f>+IF($A33="",IF($C33="",SUMIFS(全伝票!I:I,全伝票!$B:$B,$B33),SUMIFS(全伝票!I:I,全伝票!$C:$C,$C33)),IF($C33="",SUMIFS(全伝票!I:I,全伝票!$A:$A,$A33,全伝票!$B:$B,$B33),SUMIFS(全伝票!I:I,全伝票!$A:$A,$A33,全伝票!$C:$C,$C33)))</f>
        <v>0</v>
      </c>
      <c r="F33" s="161">
        <f>+IF($A33="",IF($C33="",SUMIFS(全伝票!J:J,全伝票!$B:$B,$B33),SUMIFS(全伝票!J:J,全伝票!$C:$C,$C33)),IF($C33="",SUMIFS(全伝票!J:J,全伝票!$A:$A,$A33,全伝票!$B:$B,$B33),SUMIFS(全伝票!J:J,全伝票!$A:$A,$A33,全伝票!$C:$C,$C33)))</f>
        <v>0</v>
      </c>
      <c r="G33" s="160">
        <f>+IF($A33="",IF($C33="",SUMIFS(全伝票!K:K,全伝票!$B:$B,$B33),SUMIFS(全伝票!K:K,全伝票!$C:$C,$C33)),IF($C33="",SUMIFS(全伝票!K:K,全伝票!$A:$A,$A33,全伝票!$B:$B,$B33),SUMIFS(全伝票!K:K,全伝票!$A:$A,$A33,全伝票!$C:$C,$C33)))</f>
        <v>0</v>
      </c>
      <c r="H33" s="160">
        <f>+IF($A33="",IF($C33="",SUMIFS(全伝票!L:L,全伝票!$B:$B,$B33),SUMIFS(全伝票!L:L,全伝票!$C:$C,$C33)),IF($C33="",SUMIFS(全伝票!L:L,全伝票!$A:$A,$A33,全伝票!$B:$B,$B33),SUMIFS(全伝票!L:L,全伝票!$A:$A,$A33,全伝票!$C:$C,$C33)))</f>
        <v>0</v>
      </c>
      <c r="I33" s="159">
        <f>+IF($A33="",IF($C33="",SUMIFS(全伝票!M:M,全伝票!$B:$B,$B33),SUMIFS(全伝票!M:M,全伝票!$C:$C,$C33)),IF($C33="",SUMIFS(全伝票!M:M,全伝票!$A:$A,$A33,全伝票!$B:$B,$B33),SUMIFS(全伝票!M:M,全伝票!$A:$A,$A33,全伝票!$C:$C,$C33)))</f>
        <v>0</v>
      </c>
      <c r="J33" s="159">
        <f>+IF($A33="",IF($C33="",SUMIFS(全伝票!N:N,全伝票!$B:$B,$B33),SUMIFS(全伝票!N:N,全伝票!$C:$C,$C33)),IF($C33="",SUMIFS(全伝票!N:N,全伝票!$A:$A,$A33,全伝票!$B:$B,$B33),SUMIFS(全伝票!N:N,全伝票!$A:$A,$A33,全伝票!$C:$C,$C33)))</f>
        <v>0</v>
      </c>
      <c r="K33" s="34">
        <f t="shared" si="0"/>
        <v>0</v>
      </c>
      <c r="L33" s="158">
        <f>+IF($A33="",IF($C33="",SUMIFS(全伝票!O:O,全伝票!$B:$B,$B33),SUMIFS(全伝票!O:O,全伝票!$C:$C,$C33)),IF($C33="",SUMIFS(全伝票!O:O,全伝票!$A:$A,$A33,全伝票!$B:$B,$B33),SUMIFS(全伝票!O:O,全伝票!$A:$A,$A33,全伝票!$C:$C,$C33)))</f>
        <v>0</v>
      </c>
      <c r="M33" s="158">
        <f>+IF($A33="",IF($C33="",SUMIFS(全伝票!P:P,全伝票!$B:$B,$B33),SUMIFS(全伝票!P:P,全伝票!$C:$C,$C33)),IF($C33="",SUMIFS(全伝票!P:P,全伝票!$A:$A,$A33,全伝票!$B:$B,$B33),SUMIFS(全伝票!P:P,全伝票!$A:$A,$A33,全伝票!$C:$C,$C33)))</f>
        <v>0</v>
      </c>
      <c r="N33" s="108">
        <f t="shared" si="1"/>
        <v>0</v>
      </c>
      <c r="O33" s="25">
        <f t="shared" si="3"/>
        <v>0</v>
      </c>
      <c r="P33" s="25">
        <f t="shared" si="2"/>
        <v>0</v>
      </c>
      <c r="Q33" s="157">
        <f t="shared" si="3"/>
        <v>0</v>
      </c>
      <c r="R33" s="157">
        <f t="shared" si="4"/>
        <v>0</v>
      </c>
      <c r="S33" s="22">
        <f t="shared" si="5"/>
        <v>0</v>
      </c>
      <c r="T33" s="109">
        <f t="shared" si="6"/>
        <v>0</v>
      </c>
      <c r="U33" s="107">
        <f t="shared" si="7"/>
        <v>0</v>
      </c>
      <c r="V33" s="107">
        <f t="shared" si="8"/>
        <v>0</v>
      </c>
      <c r="W33" s="107">
        <f t="shared" si="9"/>
        <v>0</v>
      </c>
      <c r="X33" s="107">
        <f t="shared" si="9"/>
        <v>0</v>
      </c>
      <c r="Y33" s="107">
        <f t="shared" si="10"/>
        <v>0</v>
      </c>
      <c r="Z33" s="106">
        <f t="shared" si="11"/>
        <v>0</v>
      </c>
      <c r="AA33" s="106">
        <f t="shared" si="12"/>
        <v>0</v>
      </c>
      <c r="AB33" s="106">
        <f t="shared" si="13"/>
        <v>0</v>
      </c>
      <c r="AC33" s="106">
        <f t="shared" si="13"/>
        <v>0</v>
      </c>
      <c r="AD33" s="106">
        <f t="shared" si="14"/>
        <v>0</v>
      </c>
    </row>
    <row r="34" spans="1:30">
      <c r="A34" s="165">
        <v>1</v>
      </c>
      <c r="B34" s="164" t="s">
        <v>215</v>
      </c>
      <c r="C34" s="163"/>
      <c r="D34" s="162" t="s">
        <v>53</v>
      </c>
      <c r="E34" s="158">
        <f>+IF($A34="",IF($C34="",SUMIFS(全伝票!I:I,全伝票!$B:$B,$B34),SUMIFS(全伝票!I:I,全伝票!$C:$C,$C34)),IF($C34="",SUMIFS(全伝票!I:I,全伝票!$A:$A,$A34,全伝票!$B:$B,$B34),SUMIFS(全伝票!I:I,全伝票!$A:$A,$A34,全伝票!$C:$C,$C34)))</f>
        <v>0</v>
      </c>
      <c r="F34" s="161">
        <f>+IF($A34="",IF($C34="",SUMIFS(全伝票!J:J,全伝票!$B:$B,$B34),SUMIFS(全伝票!J:J,全伝票!$C:$C,$C34)),IF($C34="",SUMIFS(全伝票!J:J,全伝票!$A:$A,$A34,全伝票!$B:$B,$B34),SUMIFS(全伝票!J:J,全伝票!$A:$A,$A34,全伝票!$C:$C,$C34)))</f>
        <v>0</v>
      </c>
      <c r="G34" s="160">
        <f>+IF($A34="",IF($C34="",SUMIFS(全伝票!K:K,全伝票!$B:$B,$B34),SUMIFS(全伝票!K:K,全伝票!$C:$C,$C34)),IF($C34="",SUMIFS(全伝票!K:K,全伝票!$A:$A,$A34,全伝票!$B:$B,$B34),SUMIFS(全伝票!K:K,全伝票!$A:$A,$A34,全伝票!$C:$C,$C34)))</f>
        <v>0</v>
      </c>
      <c r="H34" s="160">
        <f>+IF($A34="",IF($C34="",SUMIFS(全伝票!L:L,全伝票!$B:$B,$B34),SUMIFS(全伝票!L:L,全伝票!$C:$C,$C34)),IF($C34="",SUMIFS(全伝票!L:L,全伝票!$A:$A,$A34,全伝票!$B:$B,$B34),SUMIFS(全伝票!L:L,全伝票!$A:$A,$A34,全伝票!$C:$C,$C34)))</f>
        <v>0</v>
      </c>
      <c r="I34" s="159">
        <f>+IF($A34="",IF($C34="",SUMIFS(全伝票!M:M,全伝票!$B:$B,$B34),SUMIFS(全伝票!M:M,全伝票!$C:$C,$C34)),IF($C34="",SUMIFS(全伝票!M:M,全伝票!$A:$A,$A34,全伝票!$B:$B,$B34),SUMIFS(全伝票!M:M,全伝票!$A:$A,$A34,全伝票!$C:$C,$C34)))</f>
        <v>0</v>
      </c>
      <c r="J34" s="159">
        <f>+IF($A34="",IF($C34="",SUMIFS(全伝票!N:N,全伝票!$B:$B,$B34),SUMIFS(全伝票!N:N,全伝票!$C:$C,$C34)),IF($C34="",SUMIFS(全伝票!N:N,全伝票!$A:$A,$A34,全伝票!$B:$B,$B34),SUMIFS(全伝票!N:N,全伝票!$A:$A,$A34,全伝票!$C:$C,$C34)))</f>
        <v>0</v>
      </c>
      <c r="K34" s="34">
        <f t="shared" si="0"/>
        <v>0</v>
      </c>
      <c r="L34" s="158">
        <f>+IF($A34="",IF($C34="",SUMIFS(全伝票!O:O,全伝票!$B:$B,$B34),SUMIFS(全伝票!O:O,全伝票!$C:$C,$C34)),IF($C34="",SUMIFS(全伝票!O:O,全伝票!$A:$A,$A34,全伝票!$B:$B,$B34),SUMIFS(全伝票!O:O,全伝票!$A:$A,$A34,全伝票!$C:$C,$C34)))</f>
        <v>0</v>
      </c>
      <c r="M34" s="158">
        <f>+IF($A34="",IF($C34="",SUMIFS(全伝票!P:P,全伝票!$B:$B,$B34),SUMIFS(全伝票!P:P,全伝票!$C:$C,$C34)),IF($C34="",SUMIFS(全伝票!P:P,全伝票!$A:$A,$A34,全伝票!$B:$B,$B34),SUMIFS(全伝票!P:P,全伝票!$A:$A,$A34,全伝票!$C:$C,$C34)))</f>
        <v>0</v>
      </c>
      <c r="N34" s="108">
        <f t="shared" si="1"/>
        <v>0</v>
      </c>
      <c r="O34" s="25">
        <f t="shared" si="3"/>
        <v>0</v>
      </c>
      <c r="P34" s="25">
        <f t="shared" si="2"/>
        <v>0</v>
      </c>
      <c r="Q34" s="157">
        <f t="shared" si="3"/>
        <v>0</v>
      </c>
      <c r="R34" s="157">
        <f t="shared" si="4"/>
        <v>0</v>
      </c>
      <c r="S34" s="22">
        <f t="shared" si="5"/>
        <v>0</v>
      </c>
      <c r="T34" s="109">
        <f t="shared" si="6"/>
        <v>0</v>
      </c>
      <c r="U34" s="107">
        <f t="shared" si="7"/>
        <v>0</v>
      </c>
      <c r="V34" s="107">
        <f t="shared" si="8"/>
        <v>0</v>
      </c>
      <c r="W34" s="107">
        <f t="shared" si="9"/>
        <v>0</v>
      </c>
      <c r="X34" s="107">
        <f t="shared" si="9"/>
        <v>0</v>
      </c>
      <c r="Y34" s="107">
        <f t="shared" si="10"/>
        <v>0</v>
      </c>
      <c r="Z34" s="106">
        <f t="shared" si="11"/>
        <v>0</v>
      </c>
      <c r="AA34" s="106">
        <f t="shared" si="12"/>
        <v>0</v>
      </c>
      <c r="AB34" s="106">
        <f t="shared" si="13"/>
        <v>0</v>
      </c>
      <c r="AC34" s="106">
        <f t="shared" si="13"/>
        <v>0</v>
      </c>
      <c r="AD34" s="106">
        <f t="shared" si="14"/>
        <v>0</v>
      </c>
    </row>
    <row r="35" spans="1:30" ht="14.25" thickBot="1">
      <c r="A35" s="165"/>
      <c r="B35" s="164" t="s">
        <v>214</v>
      </c>
      <c r="C35" s="163"/>
      <c r="D35" s="162" t="s">
        <v>51</v>
      </c>
      <c r="E35" s="158">
        <f>+IF($A35="",IF($C35="",SUMIFS(全伝票!I:I,全伝票!$B:$B,$B35),SUMIFS(全伝票!I:I,全伝票!$C:$C,$C35)),IF($C35="",SUMIFS(全伝票!I:I,全伝票!$A:$A,$A35,全伝票!$B:$B,$B35),SUMIFS(全伝票!I:I,全伝票!$A:$A,$A35,全伝票!$C:$C,$C35)))</f>
        <v>0</v>
      </c>
      <c r="F35" s="161">
        <f>+IF($A35="",IF($C35="",SUMIFS(全伝票!J:J,全伝票!$B:$B,$B35),SUMIFS(全伝票!J:J,全伝票!$C:$C,$C35)),IF($C35="",SUMIFS(全伝票!J:J,全伝票!$A:$A,$A35,全伝票!$B:$B,$B35),SUMIFS(全伝票!J:J,全伝票!$A:$A,$A35,全伝票!$C:$C,$C35)))</f>
        <v>0</v>
      </c>
      <c r="G35" s="160">
        <f>+IF($A35="",IF($C35="",SUMIFS(全伝票!K:K,全伝票!$B:$B,$B35),SUMIFS(全伝票!K:K,全伝票!$C:$C,$C35)),IF($C35="",SUMIFS(全伝票!K:K,全伝票!$A:$A,$A35,全伝票!$B:$B,$B35),SUMIFS(全伝票!K:K,全伝票!$A:$A,$A35,全伝票!$C:$C,$C35)))</f>
        <v>0</v>
      </c>
      <c r="H35" s="160">
        <f>+IF($A35="",IF($C35="",SUMIFS(全伝票!L:L,全伝票!$B:$B,$B35),SUMIFS(全伝票!L:L,全伝票!$C:$C,$C35)),IF($C35="",SUMIFS(全伝票!L:L,全伝票!$A:$A,$A35,全伝票!$B:$B,$B35),SUMIFS(全伝票!L:L,全伝票!$A:$A,$A35,全伝票!$C:$C,$C35)))</f>
        <v>0</v>
      </c>
      <c r="I35" s="159">
        <f>+IF($A35="",IF($C35="",SUMIFS(全伝票!M:M,全伝票!$B:$B,$B35),SUMIFS(全伝票!M:M,全伝票!$C:$C,$C35)),IF($C35="",SUMIFS(全伝票!M:M,全伝票!$A:$A,$A35,全伝票!$B:$B,$B35),SUMIFS(全伝票!M:M,全伝票!$A:$A,$A35,全伝票!$C:$C,$C35)))</f>
        <v>0</v>
      </c>
      <c r="J35" s="159">
        <f>+IF($A35="",IF($C35="",SUMIFS(全伝票!N:N,全伝票!$B:$B,$B35),SUMIFS(全伝票!N:N,全伝票!$C:$C,$C35)),IF($C35="",SUMIFS(全伝票!N:N,全伝票!$A:$A,$A35,全伝票!$B:$B,$B35),SUMIFS(全伝票!N:N,全伝票!$A:$A,$A35,全伝票!$C:$C,$C35)))</f>
        <v>0</v>
      </c>
      <c r="K35" s="34">
        <f t="shared" si="0"/>
        <v>0</v>
      </c>
      <c r="L35" s="158">
        <f>+IF($A35="",IF($C35="",SUMIFS(全伝票!O:O,全伝票!$B:$B,$B35),SUMIFS(全伝票!O:O,全伝票!$C:$C,$C35)),IF($C35="",SUMIFS(全伝票!O:O,全伝票!$A:$A,$A35,全伝票!$B:$B,$B35),SUMIFS(全伝票!O:O,全伝票!$A:$A,$A35,全伝票!$C:$C,$C35)))</f>
        <v>0</v>
      </c>
      <c r="M35" s="158">
        <f>+IF($A35="",IF($C35="",SUMIFS(全伝票!P:P,全伝票!$B:$B,$B35),SUMIFS(全伝票!P:P,全伝票!$C:$C,$C35)),IF($C35="",SUMIFS(全伝票!P:P,全伝票!$A:$A,$A35,全伝票!$B:$B,$B35),SUMIFS(全伝票!P:P,全伝票!$A:$A,$A35,全伝票!$C:$C,$C35)))</f>
        <v>0</v>
      </c>
      <c r="N35" s="108">
        <f t="shared" si="1"/>
        <v>0</v>
      </c>
      <c r="O35" s="25">
        <f t="shared" si="3"/>
        <v>0</v>
      </c>
      <c r="P35" s="25">
        <f t="shared" si="2"/>
        <v>0</v>
      </c>
      <c r="Q35" s="157">
        <f t="shared" si="3"/>
        <v>0</v>
      </c>
      <c r="R35" s="157">
        <f t="shared" si="4"/>
        <v>0</v>
      </c>
      <c r="S35" s="22">
        <f t="shared" si="5"/>
        <v>0</v>
      </c>
      <c r="T35" s="109">
        <f t="shared" si="6"/>
        <v>0</v>
      </c>
      <c r="U35" s="107">
        <f t="shared" si="7"/>
        <v>0</v>
      </c>
      <c r="V35" s="107">
        <f t="shared" si="8"/>
        <v>0</v>
      </c>
      <c r="W35" s="107">
        <f t="shared" si="9"/>
        <v>0</v>
      </c>
      <c r="X35" s="107">
        <f t="shared" si="9"/>
        <v>0</v>
      </c>
      <c r="Y35" s="107">
        <f t="shared" si="10"/>
        <v>0</v>
      </c>
      <c r="Z35" s="106">
        <f t="shared" si="11"/>
        <v>0</v>
      </c>
      <c r="AA35" s="106">
        <f t="shared" si="12"/>
        <v>0</v>
      </c>
      <c r="AB35" s="106">
        <f t="shared" si="13"/>
        <v>0</v>
      </c>
      <c r="AC35" s="106">
        <f t="shared" si="13"/>
        <v>0</v>
      </c>
      <c r="AD35" s="106">
        <f t="shared" si="14"/>
        <v>0</v>
      </c>
    </row>
    <row r="36" spans="1:30" ht="14.25" thickTop="1">
      <c r="A36" s="156"/>
      <c r="B36" s="155"/>
      <c r="C36" s="154"/>
      <c r="D36" s="153" t="s">
        <v>2</v>
      </c>
      <c r="E36" s="149">
        <f t="shared" ref="E36:T36" si="15">SUM(E5:E35)</f>
        <v>0</v>
      </c>
      <c r="F36" s="152">
        <f t="shared" si="15"/>
        <v>0</v>
      </c>
      <c r="G36" s="151">
        <f t="shared" si="15"/>
        <v>0</v>
      </c>
      <c r="H36" s="151">
        <f t="shared" si="15"/>
        <v>0</v>
      </c>
      <c r="I36" s="150">
        <f t="shared" ref="I36" si="16">SUM(I5:I35)</f>
        <v>0</v>
      </c>
      <c r="J36" s="150">
        <f t="shared" si="15"/>
        <v>0</v>
      </c>
      <c r="K36" s="74">
        <f t="shared" si="15"/>
        <v>0</v>
      </c>
      <c r="L36" s="149">
        <f t="shared" si="15"/>
        <v>0</v>
      </c>
      <c r="M36" s="149">
        <f t="shared" si="15"/>
        <v>0</v>
      </c>
      <c r="N36" s="146">
        <f t="shared" si="15"/>
        <v>0</v>
      </c>
      <c r="O36" s="145">
        <f t="shared" si="15"/>
        <v>0</v>
      </c>
      <c r="P36" s="145">
        <f t="shared" si="15"/>
        <v>0</v>
      </c>
      <c r="Q36" s="148">
        <f t="shared" ref="Q36" si="17">SUM(Q5:Q35)</f>
        <v>0</v>
      </c>
      <c r="R36" s="148">
        <f t="shared" si="15"/>
        <v>0</v>
      </c>
      <c r="S36" s="144">
        <f t="shared" si="15"/>
        <v>0</v>
      </c>
      <c r="T36" s="147">
        <f t="shared" si="15"/>
        <v>0</v>
      </c>
      <c r="U36" s="88" t="str">
        <f>+IF(F36=0,"",ROUND(F36*F$4/(100+F$4),7)-N36)</f>
        <v/>
      </c>
      <c r="V36" s="88"/>
      <c r="W36" s="88"/>
      <c r="X36" s="88"/>
      <c r="Y36" s="88"/>
      <c r="Z36" s="88"/>
      <c r="AA36" s="88"/>
      <c r="AB36" s="87"/>
      <c r="AC36" s="87"/>
      <c r="AD36" s="87"/>
    </row>
    <row r="37" spans="1:30">
      <c r="A37" s="143"/>
      <c r="B37" s="142"/>
      <c r="C37" s="141"/>
      <c r="D37" s="140" t="s">
        <v>1</v>
      </c>
      <c r="E37" s="136">
        <f t="shared" ref="E37:J37" si="18">+E36</f>
        <v>0</v>
      </c>
      <c r="F37" s="139">
        <f t="shared" si="18"/>
        <v>0</v>
      </c>
      <c r="G37" s="138">
        <f t="shared" si="18"/>
        <v>0</v>
      </c>
      <c r="H37" s="138">
        <f t="shared" si="18"/>
        <v>0</v>
      </c>
      <c r="I37" s="137">
        <f t="shared" si="18"/>
        <v>0</v>
      </c>
      <c r="J37" s="137">
        <f t="shared" si="18"/>
        <v>0</v>
      </c>
      <c r="K37" s="63">
        <f>SUM(F37:J37)</f>
        <v>0</v>
      </c>
      <c r="L37" s="136">
        <f>+L36</f>
        <v>0</v>
      </c>
      <c r="M37" s="135">
        <f>+M36</f>
        <v>0</v>
      </c>
      <c r="N37" s="133">
        <f>+'3条支出'!N10</f>
        <v>0</v>
      </c>
      <c r="O37" s="132">
        <f>+'3条支出'!O10</f>
        <v>0</v>
      </c>
      <c r="P37" s="132">
        <f>+'3条支出'!P10</f>
        <v>0</v>
      </c>
      <c r="Q37" s="132">
        <f>+'3条支出'!Q10</f>
        <v>0</v>
      </c>
      <c r="R37" s="132">
        <f>+'3条支出'!R10</f>
        <v>0</v>
      </c>
      <c r="S37" s="131">
        <f>+'3条支出'!S10</f>
        <v>0</v>
      </c>
      <c r="T37" s="134">
        <f>+'3条支出'!T10</f>
        <v>0</v>
      </c>
      <c r="U37" s="88" t="str">
        <f>+IF(F37=0,"",ROUND(F37*F$4/(100+F$4),7)-N37)</f>
        <v/>
      </c>
      <c r="V37" s="88"/>
      <c r="W37" s="88"/>
      <c r="X37" s="88"/>
      <c r="Y37" s="88"/>
      <c r="Z37" s="88"/>
      <c r="AA37" s="88"/>
      <c r="AB37" s="87"/>
      <c r="AC37" s="87"/>
      <c r="AD37" s="87"/>
    </row>
    <row r="38" spans="1:30">
      <c r="E38" s="4">
        <f t="shared" ref="E38:T38" si="19">+E37-E36</f>
        <v>0</v>
      </c>
      <c r="F38" s="4">
        <f t="shared" si="19"/>
        <v>0</v>
      </c>
      <c r="G38" s="4">
        <f t="shared" si="19"/>
        <v>0</v>
      </c>
      <c r="H38" s="4">
        <f t="shared" si="19"/>
        <v>0</v>
      </c>
      <c r="I38" s="4">
        <f t="shared" ref="I38" si="20">+I37-I36</f>
        <v>0</v>
      </c>
      <c r="J38" s="4">
        <f t="shared" si="19"/>
        <v>0</v>
      </c>
      <c r="K38" s="4">
        <f t="shared" si="19"/>
        <v>0</v>
      </c>
      <c r="L38" s="4">
        <f t="shared" si="19"/>
        <v>0</v>
      </c>
      <c r="M38" s="4">
        <f t="shared" si="19"/>
        <v>0</v>
      </c>
      <c r="N38" s="4">
        <f t="shared" si="19"/>
        <v>0</v>
      </c>
      <c r="O38" s="4">
        <f t="shared" si="19"/>
        <v>0</v>
      </c>
      <c r="P38" s="4">
        <f t="shared" si="19"/>
        <v>0</v>
      </c>
      <c r="Q38" s="4">
        <f t="shared" ref="Q38" si="21">+Q37-Q36</f>
        <v>0</v>
      </c>
      <c r="R38" s="4">
        <f t="shared" si="19"/>
        <v>0</v>
      </c>
      <c r="S38" s="4">
        <f t="shared" si="19"/>
        <v>0</v>
      </c>
      <c r="T38" s="4">
        <f t="shared" si="19"/>
        <v>0</v>
      </c>
      <c r="U38" s="88" t="str">
        <f>+IF(F38=0,"",ROUND(F38*F$4/(100+F$4),7)-N38)</f>
        <v/>
      </c>
      <c r="V38" s="88" t="str">
        <f>+IF(G38=0,"",ROUND(G38*G$4/(100+G$4),7)-O38)</f>
        <v/>
      </c>
      <c r="W38" s="88" t="str">
        <f>+IF(H38=0,"",ROUND(H38*H$4/(100+H$4),7)-P38)</f>
        <v/>
      </c>
      <c r="X38" s="88"/>
      <c r="Y38" s="88" t="str">
        <f>+IF(J38=0,"",ROUND(J38*J$4/(100+J$4),7)-R38)</f>
        <v/>
      </c>
      <c r="Z38" s="88"/>
      <c r="AA38" s="88"/>
      <c r="AB38" s="87" t="str">
        <f>+IF(SUM(U38:Y38)=0,"",SUM(U38:Y38))</f>
        <v/>
      </c>
      <c r="AC38" s="87"/>
      <c r="AD38" s="87"/>
    </row>
    <row r="39" spans="1:30">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G40" s="273"/>
      <c r="H40" s="272"/>
      <c r="I40" s="272"/>
      <c r="J40" s="272"/>
      <c r="U40" s="88" t="str">
        <f>+IF(F40=0,"",ROUND(F40*F$4/(100+F$4),7)-N40)</f>
        <v/>
      </c>
      <c r="V40" s="88"/>
      <c r="W40" s="88"/>
      <c r="X40" s="88"/>
      <c r="Y40" s="88"/>
      <c r="Z40" s="88"/>
      <c r="AA40" s="88"/>
      <c r="AB40" s="87"/>
      <c r="AC40" s="87"/>
      <c r="AD40" s="87"/>
    </row>
    <row r="41" spans="1:30">
      <c r="G41" s="273"/>
      <c r="H41" s="272"/>
      <c r="I41" s="272"/>
      <c r="J41" s="272"/>
    </row>
    <row r="42" spans="1:30">
      <c r="G42" s="272"/>
      <c r="H42" s="272"/>
      <c r="I42" s="272"/>
      <c r="J42" s="272"/>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3"/>
  <conditionalFormatting sqref="AE5:AI35">
    <cfRule type="notContainsBlanks" dxfId="88" priority="3" stopIfTrue="1">
      <formula>LEN(TRIM(AE5))&gt;0</formula>
    </cfRule>
  </conditionalFormatting>
  <conditionalFormatting sqref="AE36:AI37">
    <cfRule type="notContainsBlanks" dxfId="87" priority="4" stopIfTrue="1">
      <formula>LEN(TRIM(AE36))&gt;0</formula>
    </cfRule>
  </conditionalFormatting>
  <conditionalFormatting sqref="Z5:AD35">
    <cfRule type="expression" dxfId="86" priority="2">
      <formula>ABS(Z5)=1</formula>
    </cfRule>
  </conditionalFormatting>
  <conditionalFormatting sqref="E38:T38">
    <cfRule type="cellIs" dxfId="85" priority="1" operator="notEqual">
      <formula>0</formula>
    </cfRule>
  </conditionalFormatting>
  <pageMargins left="0.39370078740157483" right="0.39370078740157483" top="0.59055118110236227" bottom="0.39370078740157483" header="0.39370078740157483" footer="0.19685039370078741"/>
  <pageSetup paperSize="9" scale="67" orientation="landscape" blackAndWhite="1" r:id="rId1"/>
  <headerFooter>
    <oddFooter>&amp;L&amp;8&amp;Z&amp;F&amp;A&amp;R&amp;8&amp;D&amp;T</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I41"/>
  <sheetViews>
    <sheetView zoomScale="70" zoomScaleNormal="70"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+'3条支出'!D1</f>
        <v>令和５年度決算　消費税算出資料</v>
      </c>
    </row>
    <row r="2" spans="1:35">
      <c r="D2" s="2" t="s">
        <v>279</v>
      </c>
      <c r="V2" s="122"/>
      <c r="W2" s="122"/>
      <c r="X2" s="261"/>
      <c r="Y2" s="122"/>
      <c r="Z2" s="122"/>
      <c r="AA2" s="122"/>
      <c r="AB2" s="122"/>
      <c r="AC2" s="261"/>
      <c r="AD2" s="122"/>
      <c r="AE2" s="122"/>
      <c r="AF2" s="122"/>
      <c r="AG2" s="122"/>
      <c r="AH2" s="261"/>
      <c r="AI2" s="122"/>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122"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177">
        <v>1</v>
      </c>
      <c r="B5" s="176" t="s">
        <v>278</v>
      </c>
      <c r="C5" s="175"/>
      <c r="D5" s="174" t="s">
        <v>112</v>
      </c>
      <c r="E5" s="170">
        <f>+IF($A5="",IF($C5="",SUMIFS(全伝票!I:I,全伝票!$B:$B,$B5),SUMIFS(全伝票!I:I,全伝票!$C:$C,$C5)),IF($C5="",SUMIFS(全伝票!I:I,全伝票!$A:$A,$A5,全伝票!$B:$B,$B5),SUMIFS(全伝票!I:I,全伝票!$A:$A,$A5,全伝票!$C:$C,$C5)))</f>
        <v>19274556</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275">
        <f>+IF($A5="",IF($C5="",SUMIFS(全伝票!L:L,全伝票!$B:$B,$B5),SUMIFS(全伝票!L:L,全伝票!$C:$C,$C5)),IF($C5="",SUMIFS(全伝票!L:L,全伝票!$A:$A,$A5,全伝票!$B:$B,$B5),SUMIFS(全伝票!L:L,全伝票!$A:$A,$A5,全伝票!$C:$C,$C5)))</f>
        <v>0</v>
      </c>
      <c r="I5" s="270">
        <f>+IF($A5="",IF($C5="",SUMIFS(全伝票!M:M,全伝票!$B:$B,$B5),SUMIFS(全伝票!M:M,全伝票!$C:$C,$C5)),IF($C5="",SUMIFS(全伝票!M:M,全伝票!$A:$A,$A5,全伝票!$B:$B,$B5),SUMIFS(全伝票!M:M,全伝票!$A:$A,$A5,全伝票!$C:$C,$C5)))</f>
        <v>0</v>
      </c>
      <c r="J5" s="171">
        <f>+IF($A5="",IF($C5="",SUMIFS(全伝票!N:N,全伝票!$B:$B,$B5),SUMIFS(全伝票!N:N,全伝票!$C:$C,$C5)),IF($C5="",SUMIFS(全伝票!N:N,全伝票!$A:$A,$A5,全伝票!$B:$B,$B5),SUMIFS(全伝票!N:N,全伝票!$A:$A,$A5,全伝票!$C:$C,$C5)))</f>
        <v>0</v>
      </c>
      <c r="K5" s="112">
        <f t="shared" ref="K5:K35" si="0">SUM(F5:J5)</f>
        <v>0</v>
      </c>
      <c r="L5" s="170">
        <f>+IF($A5="",IF($C5="",SUMIFS(全伝票!O:O,全伝票!$B:$B,$B5),SUMIFS(全伝票!O:O,全伝票!$C:$C,$C5)),IF($C5="",SUMIFS(全伝票!O:O,全伝票!$A:$A,$A5,全伝票!$B:$B,$B5),SUMIFS(全伝票!O:O,全伝票!$A:$A,$A5,全伝票!$C:$C,$C5)))</f>
        <v>0</v>
      </c>
      <c r="M5" s="277">
        <f>+IF($A5="",IF($C5="",SUMIFS(全伝票!P:P,全伝票!$B:$B,$B5),SUMIFS(全伝票!P:P,全伝票!$C:$C,$C5)),IF($C5="",SUMIFS(全伝票!P:P,全伝票!$A:$A,$A5,全伝票!$B:$B,$B5),SUMIFS(全伝票!P:P,全伝票!$A:$A,$A5,全伝票!$C:$C,$C5)))</f>
        <v>19274556</v>
      </c>
      <c r="N5" s="169">
        <f t="shared" ref="N5:N35" si="1">+ROUND(F5*F$4/(100+F$4),0)+AE5</f>
        <v>0</v>
      </c>
      <c r="O5" s="47">
        <f>+ROUND(G5*G$4/(100+G$4),0)+AF5</f>
        <v>0</v>
      </c>
      <c r="P5" s="47">
        <f t="shared" ref="P5:P35" si="2">+ROUND(H5*H$4/(100+H$4),0)+AG5</f>
        <v>0</v>
      </c>
      <c r="Q5" s="168">
        <f t="shared" ref="O5:Q35" si="3">+ROUND(I5*I$4/(100+I$4),0)+AH5</f>
        <v>0</v>
      </c>
      <c r="R5" s="168">
        <f t="shared" ref="R5:R35" si="4">+ROUND(J5*J$4/(100+J$4),0)+AI5</f>
        <v>0</v>
      </c>
      <c r="S5" s="167">
        <f t="shared" ref="S5:S35" si="5">SUM(N5:R5)</f>
        <v>0</v>
      </c>
      <c r="T5" s="166">
        <f t="shared" ref="T5:T35" si="6">+E5-S5</f>
        <v>19274556</v>
      </c>
      <c r="U5" s="107">
        <f t="shared" ref="U5:U35" si="7">N5-F5*F$4/(100+F$4)</f>
        <v>0</v>
      </c>
      <c r="V5" s="107">
        <f t="shared" ref="V5:V35" si="8">O5-G5*G$4/(100+G$4)</f>
        <v>0</v>
      </c>
      <c r="W5" s="107">
        <f t="shared" ref="W5:X35" si="9">P5-H5*H$4/(100+H$4)</f>
        <v>0</v>
      </c>
      <c r="X5" s="107">
        <f t="shared" si="9"/>
        <v>0</v>
      </c>
      <c r="Y5" s="107">
        <f t="shared" ref="Y5:Y35" si="10">R5-J5*J$4/(100+J$4)</f>
        <v>0</v>
      </c>
      <c r="Z5" s="106">
        <f t="shared" ref="Z5:Z35" si="11">+IF(N$38=0,0,IF(N$38&lt;0,-RANK(U5,U$5:U$35,0),RANK(U5,U$5:U$35,1)))</f>
        <v>0</v>
      </c>
      <c r="AA5" s="106">
        <f t="shared" ref="AA5:AA35" si="12">+IF(O$38=0,0,IF(O$38&lt;0,-RANK(V5,V$5:V$35,0),RANK(V5,V$5:V$35,1)))</f>
        <v>0</v>
      </c>
      <c r="AB5" s="106">
        <f t="shared" ref="AB5:AC35" si="13">+IF(P$38=0,0,IF(P$38&lt;0,-RANK(W5,W$5:W$35,0),RANK(W5,W$5:W$35,1)))</f>
        <v>0</v>
      </c>
      <c r="AC5" s="106">
        <f t="shared" si="13"/>
        <v>0</v>
      </c>
      <c r="AD5" s="106">
        <f t="shared" ref="AD5:AD35" si="14">+IF(R$38=0,0,IF(R$38&lt;0,-RANK(Y5,Y$5:Y$35,0),RANK(Y5,Y$5:Y$35,1)))</f>
        <v>0</v>
      </c>
    </row>
    <row r="6" spans="1:35">
      <c r="A6" s="165">
        <v>1</v>
      </c>
      <c r="B6" s="164" t="s">
        <v>277</v>
      </c>
      <c r="C6" s="163"/>
      <c r="D6" s="162" t="s">
        <v>110</v>
      </c>
      <c r="E6" s="158">
        <f>+IF($A6="",IF($C6="",SUMIFS(全伝票!I:I,全伝票!$B:$B,$B6),SUMIFS(全伝票!I:I,全伝票!$C:$C,$C6)),IF($C6="",SUMIFS(全伝票!I:I,全伝票!$A:$A,$A6,全伝票!$B:$B,$B6),SUMIFS(全伝票!I:I,全伝票!$A:$A,$A6,全伝票!$C:$C,$C6)))</f>
        <v>22985320</v>
      </c>
      <c r="F6" s="161">
        <f>+IF($A6="",IF($C6="",SUMIFS(全伝票!J:J,全伝票!$B:$B,$B6),SUMIFS(全伝票!J:J,全伝票!$C:$C,$C6)),IF($C6="",SUMIFS(全伝票!J:J,全伝票!$A:$A,$A6,全伝票!$B:$B,$B6),SUMIFS(全伝票!J:J,全伝票!$A:$A,$A6,全伝票!$C:$C,$C6)))</f>
        <v>0</v>
      </c>
      <c r="G6" s="160">
        <f>+IF($A6="",IF($C6="",SUMIFS(全伝票!K:K,全伝票!$B:$B,$B6),SUMIFS(全伝票!K:K,全伝票!$C:$C,$C6)),IF($C6="",SUMIFS(全伝票!K:K,全伝票!$A:$A,$A6,全伝票!$B:$B,$B6),SUMIFS(全伝票!K:K,全伝票!$A:$A,$A6,全伝票!$C:$C,$C6)))</f>
        <v>0</v>
      </c>
      <c r="H6" s="160">
        <f>+IF($A6="",IF($C6="",SUMIFS(全伝票!L:L,全伝票!$B:$B,$B6),SUMIFS(全伝票!L:L,全伝票!$C:$C,$C6)),IF($C6="",SUMIFS(全伝票!L:L,全伝票!$A:$A,$A6,全伝票!$B:$B,$B6),SUMIFS(全伝票!L:L,全伝票!$A:$A,$A6,全伝票!$C:$C,$C6)))</f>
        <v>0</v>
      </c>
      <c r="I6" s="159">
        <f>+IF($A6="",IF($C6="",SUMIFS(全伝票!M:M,全伝票!$B:$B,$B6),SUMIFS(全伝票!M:M,全伝票!$C:$C,$C6)),IF($C6="",SUMIFS(全伝票!M:M,全伝票!$A:$A,$A6,全伝票!$B:$B,$B6),SUMIFS(全伝票!M:M,全伝票!$A:$A,$A6,全伝票!$C:$C,$C6)))</f>
        <v>0</v>
      </c>
      <c r="J6" s="159">
        <f>+IF($A6="",IF($C6="",SUMIFS(全伝票!N:N,全伝票!$B:$B,$B6),SUMIFS(全伝票!N:N,全伝票!$C:$C,$C6)),IF($C6="",SUMIFS(全伝票!N:N,全伝票!$A:$A,$A6,全伝票!$B:$B,$B6),SUMIFS(全伝票!N:N,全伝票!$A:$A,$A6,全伝票!$C:$C,$C6)))</f>
        <v>0</v>
      </c>
      <c r="K6" s="34">
        <f t="shared" si="0"/>
        <v>0</v>
      </c>
      <c r="L6" s="158">
        <f>+IF($A6="",IF($C6="",SUMIFS(全伝票!O:O,全伝票!$B:$B,$B6),SUMIFS(全伝票!O:O,全伝票!$C:$C,$C6)),IF($C6="",SUMIFS(全伝票!O:O,全伝票!$A:$A,$A6,全伝票!$B:$B,$B6),SUMIFS(全伝票!O:O,全伝票!$A:$A,$A6,全伝票!$C:$C,$C6)))</f>
        <v>0</v>
      </c>
      <c r="M6" s="158">
        <f>+IF($A6="",IF($C6="",SUMIFS(全伝票!P:P,全伝票!$B:$B,$B6),SUMIFS(全伝票!P:P,全伝票!$C:$C,$C6)),IF($C6="",SUMIFS(全伝票!P:P,全伝票!$A:$A,$A6,全伝票!$B:$B,$B6),SUMIFS(全伝票!P:P,全伝票!$A:$A,$A6,全伝票!$C:$C,$C6)))</f>
        <v>22985320</v>
      </c>
      <c r="N6" s="108">
        <f t="shared" si="1"/>
        <v>0</v>
      </c>
      <c r="O6" s="25">
        <f t="shared" si="3"/>
        <v>0</v>
      </c>
      <c r="P6" s="25">
        <f t="shared" si="2"/>
        <v>0</v>
      </c>
      <c r="Q6" s="157">
        <f t="shared" si="3"/>
        <v>0</v>
      </c>
      <c r="R6" s="157">
        <f t="shared" si="4"/>
        <v>0</v>
      </c>
      <c r="S6" s="22">
        <f t="shared" si="5"/>
        <v>0</v>
      </c>
      <c r="T6" s="109">
        <f t="shared" si="6"/>
        <v>22985320</v>
      </c>
      <c r="U6" s="107">
        <f t="shared" si="7"/>
        <v>0</v>
      </c>
      <c r="V6" s="107">
        <f t="shared" si="8"/>
        <v>0</v>
      </c>
      <c r="W6" s="107">
        <f t="shared" si="9"/>
        <v>0</v>
      </c>
      <c r="X6" s="107">
        <f t="shared" si="9"/>
        <v>0</v>
      </c>
      <c r="Y6" s="107">
        <f t="shared" si="10"/>
        <v>0</v>
      </c>
      <c r="Z6" s="106">
        <f t="shared" si="11"/>
        <v>0</v>
      </c>
      <c r="AA6" s="106">
        <f t="shared" si="12"/>
        <v>0</v>
      </c>
      <c r="AB6" s="106">
        <f t="shared" si="13"/>
        <v>0</v>
      </c>
      <c r="AC6" s="106">
        <f t="shared" si="13"/>
        <v>0</v>
      </c>
      <c r="AD6" s="106">
        <f t="shared" si="14"/>
        <v>0</v>
      </c>
    </row>
    <row r="7" spans="1:35">
      <c r="A7" s="165">
        <v>1</v>
      </c>
      <c r="B7" s="164" t="s">
        <v>276</v>
      </c>
      <c r="C7" s="163"/>
      <c r="D7" s="162" t="s">
        <v>108</v>
      </c>
      <c r="E7" s="158">
        <f>+IF($A7="",IF($C7="",SUMIFS(全伝票!I:I,全伝票!$B:$B,$B7),SUMIFS(全伝票!I:I,全伝票!$C:$C,$C7)),IF($C7="",SUMIFS(全伝票!I:I,全伝票!$A:$A,$A7,全伝票!$B:$B,$B7),SUMIFS(全伝票!I:I,全伝票!$A:$A,$A7,全伝票!$C:$C,$C7)))</f>
        <v>14699444</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59">
        <f>+IF($A7="",IF($C7="",SUMIFS(全伝票!M:M,全伝票!$B:$B,$B7),SUMIFS(全伝票!M:M,全伝票!$C:$C,$C7)),IF($C7="",SUMIFS(全伝票!M:M,全伝票!$A:$A,$A7,全伝票!$B:$B,$B7),SUMIFS(全伝票!M:M,全伝票!$A:$A,$A7,全伝票!$C:$C,$C7)))</f>
        <v>0</v>
      </c>
      <c r="J7" s="159">
        <f>+IF($A7="",IF($C7="",SUMIFS(全伝票!N:N,全伝票!$B:$B,$B7),SUMIFS(全伝票!N:N,全伝票!$C:$C,$C7)),IF($C7="",SUMIFS(全伝票!N:N,全伝票!$A:$A,$A7,全伝票!$B:$B,$B7),SUMIFS(全伝票!N:N,全伝票!$A:$A,$A7,全伝票!$C:$C,$C7)))</f>
        <v>517080</v>
      </c>
      <c r="K7" s="34">
        <f t="shared" si="0"/>
        <v>517080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14182364</v>
      </c>
      <c r="N7" s="108">
        <f t="shared" si="1"/>
        <v>0</v>
      </c>
      <c r="O7" s="25">
        <f t="shared" si="3"/>
        <v>0</v>
      </c>
      <c r="P7" s="25">
        <f t="shared" si="2"/>
        <v>0</v>
      </c>
      <c r="Q7" s="157">
        <f t="shared" si="3"/>
        <v>0</v>
      </c>
      <c r="R7" s="157">
        <f t="shared" si="4"/>
        <v>47007</v>
      </c>
      <c r="S7" s="22">
        <f t="shared" si="5"/>
        <v>47007</v>
      </c>
      <c r="T7" s="109">
        <f t="shared" si="6"/>
        <v>14652437</v>
      </c>
      <c r="U7" s="107">
        <f t="shared" si="7"/>
        <v>0</v>
      </c>
      <c r="V7" s="107">
        <f t="shared" si="8"/>
        <v>0</v>
      </c>
      <c r="W7" s="107">
        <f t="shared" si="9"/>
        <v>0</v>
      </c>
      <c r="X7" s="107">
        <f t="shared" si="9"/>
        <v>0</v>
      </c>
      <c r="Y7" s="107">
        <f t="shared" si="10"/>
        <v>-0.27272727272793418</v>
      </c>
      <c r="Z7" s="106">
        <f t="shared" si="11"/>
        <v>0</v>
      </c>
      <c r="AA7" s="106">
        <f t="shared" si="12"/>
        <v>0</v>
      </c>
      <c r="AB7" s="106">
        <f t="shared" si="13"/>
        <v>0</v>
      </c>
      <c r="AC7" s="106">
        <f t="shared" si="13"/>
        <v>0</v>
      </c>
      <c r="AD7" s="106">
        <f t="shared" si="14"/>
        <v>0</v>
      </c>
    </row>
    <row r="8" spans="1:35">
      <c r="A8" s="165">
        <v>1</v>
      </c>
      <c r="B8" s="164" t="s">
        <v>275</v>
      </c>
      <c r="C8" s="163"/>
      <c r="D8" s="162" t="s">
        <v>106</v>
      </c>
      <c r="E8" s="158">
        <f>+IF($A8="",IF($C8="",SUMIFS(全伝票!I:I,全伝票!$B:$B,$B8),SUMIFS(全伝票!I:I,全伝票!$C:$C,$C8)),IF($C8="",SUMIFS(全伝票!I:I,全伝票!$A:$A,$A8,全伝票!$B:$B,$B8),SUMIFS(全伝票!I:I,全伝票!$A:$A,$A8,全伝票!$C:$C,$C8)))</f>
        <v>9592854</v>
      </c>
      <c r="F8" s="161">
        <f>+IF($A8="",IF($C8="",SUMIFS(全伝票!J:J,全伝票!$B:$B,$B8),SUMIFS(全伝票!J:J,全伝票!$C:$C,$C8)),IF($C8="",SUMIFS(全伝票!J:J,全伝票!$A:$A,$A8,全伝票!$B:$B,$B8),SUMIFS(全伝票!J:J,全伝票!$A:$A,$A8,全伝票!$C:$C,$C8)))</f>
        <v>0</v>
      </c>
      <c r="G8" s="160">
        <f>+IF($A8="",IF($C8="",SUMIFS(全伝票!K:K,全伝票!$B:$B,$B8),SUMIFS(全伝票!K:K,全伝票!$C:$C,$C8)),IF($C8="",SUMIFS(全伝票!K:K,全伝票!$A:$A,$A8,全伝票!$B:$B,$B8),SUMIFS(全伝票!K:K,全伝票!$A:$A,$A8,全伝票!$C:$C,$C8)))</f>
        <v>0</v>
      </c>
      <c r="H8" s="160">
        <f>+IF($A8="",IF($C8="",SUMIFS(全伝票!L:L,全伝票!$B:$B,$B8),SUMIFS(全伝票!L:L,全伝票!$C:$C,$C8)),IF($C8="",SUMIFS(全伝票!L:L,全伝票!$A:$A,$A8,全伝票!$B:$B,$B8),SUMIFS(全伝票!L:L,全伝票!$A:$A,$A8,全伝票!$C:$C,$C8)))</f>
        <v>0</v>
      </c>
      <c r="I8" s="159">
        <f>+IF($A8="",IF($C8="",SUMIFS(全伝票!M:M,全伝票!$B:$B,$B8),SUMIFS(全伝票!M:M,全伝票!$C:$C,$C8)),IF($C8="",SUMIFS(全伝票!M:M,全伝票!$A:$A,$A8,全伝票!$B:$B,$B8),SUMIFS(全伝票!M:M,全伝票!$A:$A,$A8,全伝票!$C:$C,$C8)))</f>
        <v>0</v>
      </c>
      <c r="J8" s="159">
        <f>+IF($A8="",IF($C8="",SUMIFS(全伝票!N:N,全伝票!$B:$B,$B8),SUMIFS(全伝票!N:N,全伝票!$C:$C,$C8)),IF($C8="",SUMIFS(全伝票!N:N,全伝票!$A:$A,$A8,全伝票!$B:$B,$B8),SUMIFS(全伝票!N:N,全伝票!$A:$A,$A8,全伝票!$C:$C,$C8)))</f>
        <v>0</v>
      </c>
      <c r="K8" s="34">
        <f t="shared" si="0"/>
        <v>0</v>
      </c>
      <c r="L8" s="158">
        <f>+IF($A8="",IF($C8="",SUMIFS(全伝票!O:O,全伝票!$B:$B,$B8),SUMIFS(全伝票!O:O,全伝票!$C:$C,$C8)),IF($C8="",SUMIFS(全伝票!O:O,全伝票!$A:$A,$A8,全伝票!$B:$B,$B8),SUMIFS(全伝票!O:O,全伝票!$A:$A,$A8,全伝票!$C:$C,$C8)))</f>
        <v>9532106</v>
      </c>
      <c r="M8" s="158">
        <f>+IF($A8="",IF($C8="",SUMIFS(全伝票!P:P,全伝票!$B:$B,$B8),SUMIFS(全伝票!P:P,全伝票!$C:$C,$C8)),IF($C8="",SUMIFS(全伝票!P:P,全伝票!$A:$A,$A8,全伝票!$B:$B,$B8),SUMIFS(全伝票!P:P,全伝票!$A:$A,$A8,全伝票!$C:$C,$C8)))</f>
        <v>60748</v>
      </c>
      <c r="N8" s="108">
        <f t="shared" si="1"/>
        <v>0</v>
      </c>
      <c r="O8" s="25">
        <f t="shared" si="3"/>
        <v>0</v>
      </c>
      <c r="P8" s="25">
        <f t="shared" si="2"/>
        <v>0</v>
      </c>
      <c r="Q8" s="157">
        <f t="shared" si="3"/>
        <v>0</v>
      </c>
      <c r="R8" s="157">
        <f t="shared" si="4"/>
        <v>0</v>
      </c>
      <c r="S8" s="22">
        <f t="shared" si="5"/>
        <v>0</v>
      </c>
      <c r="T8" s="109">
        <f t="shared" si="6"/>
        <v>9592854</v>
      </c>
      <c r="U8" s="107">
        <f t="shared" si="7"/>
        <v>0</v>
      </c>
      <c r="V8" s="107">
        <f t="shared" si="8"/>
        <v>0</v>
      </c>
      <c r="W8" s="107">
        <f t="shared" si="9"/>
        <v>0</v>
      </c>
      <c r="X8" s="107">
        <f t="shared" si="9"/>
        <v>0</v>
      </c>
      <c r="Y8" s="107">
        <f t="shared" si="10"/>
        <v>0</v>
      </c>
      <c r="Z8" s="106">
        <f t="shared" si="11"/>
        <v>0</v>
      </c>
      <c r="AA8" s="106">
        <f t="shared" si="12"/>
        <v>0</v>
      </c>
      <c r="AB8" s="106">
        <f t="shared" si="13"/>
        <v>0</v>
      </c>
      <c r="AC8" s="106">
        <f t="shared" si="13"/>
        <v>0</v>
      </c>
      <c r="AD8" s="106">
        <f t="shared" si="14"/>
        <v>0</v>
      </c>
    </row>
    <row r="9" spans="1:35">
      <c r="A9" s="165">
        <v>1</v>
      </c>
      <c r="B9" s="164" t="s">
        <v>274</v>
      </c>
      <c r="C9" s="163"/>
      <c r="D9" s="162" t="s">
        <v>104</v>
      </c>
      <c r="E9" s="158">
        <f>+IF($A9="",IF($C9="",SUMIFS(全伝票!I:I,全伝票!$B:$B,$B9),SUMIFS(全伝票!I:I,全伝票!$C:$C,$C9)),IF($C9="",SUMIFS(全伝票!I:I,全伝票!$A:$A,$A9,全伝票!$B:$B,$B9),SUMIFS(全伝票!I:I,全伝票!$A:$A,$A9,全伝票!$C:$C,$C9)))</f>
        <v>0</v>
      </c>
      <c r="F9" s="161">
        <f>+IF($A9="",IF($C9="",SUMIFS(全伝票!J:J,全伝票!$B:$B,$B9),SUMIFS(全伝票!J:J,全伝票!$C:$C,$C9)),IF($C9="",SUMIFS(全伝票!J:J,全伝票!$A:$A,$A9,全伝票!$B:$B,$B9),SUMIFS(全伝票!J:J,全伝票!$A:$A,$A9,全伝票!$C:$C,$C9)))</f>
        <v>0</v>
      </c>
      <c r="G9" s="160">
        <f>+IF($A9="",IF($C9="",SUMIFS(全伝票!K:K,全伝票!$B:$B,$B9),SUMIFS(全伝票!K:K,全伝票!$C:$C,$C9)),IF($C9="",SUMIFS(全伝票!K:K,全伝票!$A:$A,$A9,全伝票!$B:$B,$B9),SUMIFS(全伝票!K:K,全伝票!$A:$A,$A9,全伝票!$C:$C,$C9)))</f>
        <v>0</v>
      </c>
      <c r="H9" s="160">
        <f>+IF($A9="",IF($C9="",SUMIFS(全伝票!L:L,全伝票!$B:$B,$B9),SUMIFS(全伝票!L:L,全伝票!$C:$C,$C9)),IF($C9="",SUMIFS(全伝票!L:L,全伝票!$A:$A,$A9,全伝票!$B:$B,$B9),SUMIFS(全伝票!L:L,全伝票!$A:$A,$A9,全伝票!$C:$C,$C9)))</f>
        <v>0</v>
      </c>
      <c r="I9" s="159">
        <f>+IF($A9="",IF($C9="",SUMIFS(全伝票!M:M,全伝票!$B:$B,$B9),SUMIFS(全伝票!M:M,全伝票!$C:$C,$C9)),IF($C9="",SUMIFS(全伝票!M:M,全伝票!$A:$A,$A9,全伝票!$B:$B,$B9),SUMIFS(全伝票!M:M,全伝票!$A:$A,$A9,全伝票!$C:$C,$C9)))</f>
        <v>0</v>
      </c>
      <c r="J9" s="159">
        <f>+IF($A9="",IF($C9="",SUMIFS(全伝票!N:N,全伝票!$B:$B,$B9),SUMIFS(全伝票!N:N,全伝票!$C:$C,$C9)),IF($C9="",SUMIFS(全伝票!N:N,全伝票!$A:$A,$A9,全伝票!$B:$B,$B9),SUMIFS(全伝票!N:N,全伝票!$A:$A,$A9,全伝票!$C:$C,$C9)))</f>
        <v>0</v>
      </c>
      <c r="K9" s="34">
        <f t="shared" si="0"/>
        <v>0</v>
      </c>
      <c r="L9" s="158">
        <f>+IF($A9="",IF($C9="",SUMIFS(全伝票!O:O,全伝票!$B:$B,$B9),SUMIFS(全伝票!O:O,全伝票!$C:$C,$C9)),IF($C9="",SUMIFS(全伝票!O:O,全伝票!$A:$A,$A9,全伝票!$B:$B,$B9),SUMIFS(全伝票!O:O,全伝票!$A:$A,$A9,全伝票!$C:$C,$C9)))</f>
        <v>0</v>
      </c>
      <c r="M9" s="158">
        <f>+IF($A9="",IF($C9="",SUMIFS(全伝票!P:P,全伝票!$B:$B,$B9),SUMIFS(全伝票!P:P,全伝票!$C:$C,$C9)),IF($C9="",SUMIFS(全伝票!P:P,全伝票!$A:$A,$A9,全伝票!$B:$B,$B9),SUMIFS(全伝票!P:P,全伝票!$A:$A,$A9,全伝票!$C:$C,$C9)))</f>
        <v>0</v>
      </c>
      <c r="N9" s="108">
        <f t="shared" si="1"/>
        <v>0</v>
      </c>
      <c r="O9" s="25">
        <f t="shared" si="3"/>
        <v>0</v>
      </c>
      <c r="P9" s="25">
        <f t="shared" si="2"/>
        <v>0</v>
      </c>
      <c r="Q9" s="157">
        <f t="shared" si="3"/>
        <v>0</v>
      </c>
      <c r="R9" s="157">
        <f t="shared" si="4"/>
        <v>0</v>
      </c>
      <c r="S9" s="22">
        <f t="shared" si="5"/>
        <v>0</v>
      </c>
      <c r="T9" s="109">
        <f t="shared" si="6"/>
        <v>0</v>
      </c>
      <c r="U9" s="107">
        <f t="shared" si="7"/>
        <v>0</v>
      </c>
      <c r="V9" s="107">
        <f t="shared" si="8"/>
        <v>0</v>
      </c>
      <c r="W9" s="107">
        <f t="shared" si="9"/>
        <v>0</v>
      </c>
      <c r="X9" s="107">
        <f t="shared" si="9"/>
        <v>0</v>
      </c>
      <c r="Y9" s="107">
        <f t="shared" si="10"/>
        <v>0</v>
      </c>
      <c r="Z9" s="106">
        <f t="shared" si="11"/>
        <v>0</v>
      </c>
      <c r="AA9" s="106">
        <f t="shared" si="12"/>
        <v>0</v>
      </c>
      <c r="AB9" s="106">
        <f t="shared" si="13"/>
        <v>0</v>
      </c>
      <c r="AC9" s="106">
        <f t="shared" si="13"/>
        <v>0</v>
      </c>
      <c r="AD9" s="106">
        <f t="shared" si="14"/>
        <v>0</v>
      </c>
    </row>
    <row r="10" spans="1:35">
      <c r="A10" s="165">
        <v>1</v>
      </c>
      <c r="B10" s="164" t="s">
        <v>273</v>
      </c>
      <c r="C10" s="163"/>
      <c r="D10" s="162" t="s">
        <v>102</v>
      </c>
      <c r="E10" s="158">
        <f>+IF($A10="",IF($C10="",SUMIFS(全伝票!I:I,全伝票!$B:$B,$B10),SUMIFS(全伝票!I:I,全伝票!$C:$C,$C10)),IF($C10="",SUMIFS(全伝票!I:I,全伝票!$A:$A,$A10,全伝票!$B:$B,$B10),SUMIFS(全伝票!I:I,全伝票!$A:$A,$A10,全伝票!$C:$C,$C10)))</f>
        <v>0</v>
      </c>
      <c r="F10" s="161">
        <f>+IF($A10="",IF($C10="",SUMIFS(全伝票!J:J,全伝票!$B:$B,$B10),SUMIFS(全伝票!J:J,全伝票!$C:$C,$C10)),IF($C10="",SUMIFS(全伝票!J:J,全伝票!$A:$A,$A10,全伝票!$B:$B,$B10),SUMIFS(全伝票!J:J,全伝票!$A:$A,$A10,全伝票!$C:$C,$C10)))</f>
        <v>0</v>
      </c>
      <c r="G10" s="160">
        <f>+IF($A10="",IF($C10="",SUMIFS(全伝票!K:K,全伝票!$B:$B,$B10),SUMIFS(全伝票!K:K,全伝票!$C:$C,$C10)),IF($C10="",SUMIFS(全伝票!K:K,全伝票!$A:$A,$A10,全伝票!$B:$B,$B10),SUMIFS(全伝票!K:K,全伝票!$A:$A,$A10,全伝票!$C:$C,$C10)))</f>
        <v>0</v>
      </c>
      <c r="H10" s="276">
        <f>+IF($A10="",IF($C10="",SUMIFS(全伝票!L:L,全伝票!$B:$B,$B10),SUMIFS(全伝票!L:L,全伝票!$C:$C,$C10)),IF($C10="",SUMIFS(全伝票!L:L,全伝票!$A:$A,$A10,全伝票!$B:$B,$B10),SUMIFS(全伝票!L:L,全伝票!$A:$A,$A10,全伝票!$C:$C,$C10)))</f>
        <v>0</v>
      </c>
      <c r="I10" s="271">
        <f>+IF($A10="",IF($C10="",SUMIFS(全伝票!M:M,全伝票!$B:$B,$B10),SUMIFS(全伝票!M:M,全伝票!$C:$C,$C10)),IF($C10="",SUMIFS(全伝票!M:M,全伝票!$A:$A,$A10,全伝票!$B:$B,$B10),SUMIFS(全伝票!M:M,全伝票!$A:$A,$A10,全伝票!$C:$C,$C10)))</f>
        <v>0</v>
      </c>
      <c r="J10" s="159">
        <f>+IF($A10="",IF($C10="",SUMIFS(全伝票!N:N,全伝票!$B:$B,$B10),SUMIFS(全伝票!N:N,全伝票!$C:$C,$C10)),IF($C10="",SUMIFS(全伝票!N:N,全伝票!$A:$A,$A10,全伝票!$B:$B,$B10),SUMIFS(全伝票!N:N,全伝票!$A:$A,$A10,全伝票!$C:$C,$C10)))</f>
        <v>0</v>
      </c>
      <c r="K10" s="34">
        <f t="shared" si="0"/>
        <v>0</v>
      </c>
      <c r="L10" s="158">
        <f>+IF($A10="",IF($C10="",SUMIFS(全伝票!O:O,全伝票!$B:$B,$B10),SUMIFS(全伝票!O:O,全伝票!$C:$C,$C10)),IF($C10="",SUMIFS(全伝票!O:O,全伝票!$A:$A,$A10,全伝票!$B:$B,$B10),SUMIFS(全伝票!O:O,全伝票!$A:$A,$A10,全伝票!$C:$C,$C10)))</f>
        <v>0</v>
      </c>
      <c r="M10" s="278">
        <f>+IF($A10="",IF($C10="",SUMIFS(全伝票!P:P,全伝票!$B:$B,$B10),SUMIFS(全伝票!P:P,全伝票!$C:$C,$C10)),IF($C10="",SUMIFS(全伝票!P:P,全伝票!$A:$A,$A10,全伝票!$B:$B,$B10),SUMIFS(全伝票!P:P,全伝票!$A:$A,$A10,全伝票!$C:$C,$C10)))</f>
        <v>0</v>
      </c>
      <c r="N10" s="108">
        <f t="shared" si="1"/>
        <v>0</v>
      </c>
      <c r="O10" s="25">
        <f t="shared" si="3"/>
        <v>0</v>
      </c>
      <c r="P10" s="25">
        <f t="shared" si="2"/>
        <v>0</v>
      </c>
      <c r="Q10" s="157">
        <f t="shared" si="3"/>
        <v>0</v>
      </c>
      <c r="R10" s="157">
        <f t="shared" si="4"/>
        <v>0</v>
      </c>
      <c r="S10" s="22">
        <f t="shared" si="5"/>
        <v>0</v>
      </c>
      <c r="T10" s="109">
        <f t="shared" si="6"/>
        <v>0</v>
      </c>
      <c r="U10" s="107">
        <f t="shared" si="7"/>
        <v>0</v>
      </c>
      <c r="V10" s="107">
        <f t="shared" si="8"/>
        <v>0</v>
      </c>
      <c r="W10" s="107">
        <f t="shared" si="9"/>
        <v>0</v>
      </c>
      <c r="X10" s="107">
        <f t="shared" si="9"/>
        <v>0</v>
      </c>
      <c r="Y10" s="107">
        <f t="shared" si="10"/>
        <v>0</v>
      </c>
      <c r="Z10" s="106">
        <f t="shared" si="11"/>
        <v>0</v>
      </c>
      <c r="AA10" s="106">
        <f t="shared" si="12"/>
        <v>0</v>
      </c>
      <c r="AB10" s="106">
        <f t="shared" si="13"/>
        <v>0</v>
      </c>
      <c r="AC10" s="106">
        <f t="shared" si="13"/>
        <v>0</v>
      </c>
      <c r="AD10" s="106">
        <f t="shared" si="14"/>
        <v>0</v>
      </c>
    </row>
    <row r="11" spans="1:35">
      <c r="A11" s="165">
        <v>1</v>
      </c>
      <c r="B11" s="164" t="s">
        <v>272</v>
      </c>
      <c r="C11" s="163"/>
      <c r="D11" s="162" t="s">
        <v>100</v>
      </c>
      <c r="E11" s="158">
        <f>+IF($A11="",IF($C11="",SUMIFS(全伝票!I:I,全伝票!$B:$B,$B11),SUMIFS(全伝票!I:I,全伝票!$C:$C,$C11)),IF($C11="",SUMIFS(全伝票!I:I,全伝票!$A:$A,$A11,全伝票!$B:$B,$B11),SUMIFS(全伝票!I:I,全伝票!$A:$A,$A11,全伝票!$C:$C,$C11)))</f>
        <v>0</v>
      </c>
      <c r="F11" s="161">
        <f>+IF($A11="",IF($C11="",SUMIFS(全伝票!J:J,全伝票!$B:$B,$B11),SUMIFS(全伝票!J:J,全伝票!$C:$C,$C11)),IF($C11="",SUMIFS(全伝票!J:J,全伝票!$A:$A,$A11,全伝票!$B:$B,$B11),SUMIFS(全伝票!J:J,全伝票!$A:$A,$A11,全伝票!$C:$C,$C11)))</f>
        <v>0</v>
      </c>
      <c r="G11" s="160">
        <f>+IF($A11="",IF($C11="",SUMIFS(全伝票!K:K,全伝票!$B:$B,$B11),SUMIFS(全伝票!K:K,全伝票!$C:$C,$C11)),IF($C11="",SUMIFS(全伝票!K:K,全伝票!$A:$A,$A11,全伝票!$B:$B,$B11),SUMIFS(全伝票!K:K,全伝票!$A:$A,$A11,全伝票!$C:$C,$C11)))</f>
        <v>0</v>
      </c>
      <c r="H11" s="160">
        <f>+IF($A11="",IF($C11="",SUMIFS(全伝票!L:L,全伝票!$B:$B,$B11),SUMIFS(全伝票!L:L,全伝票!$C:$C,$C11)),IF($C11="",SUMIFS(全伝票!L:L,全伝票!$A:$A,$A11,全伝票!$B:$B,$B11),SUMIFS(全伝票!L:L,全伝票!$A:$A,$A11,全伝票!$C:$C,$C11)))</f>
        <v>0</v>
      </c>
      <c r="I11" s="159">
        <f>+IF($A11="",IF($C11="",SUMIFS(全伝票!M:M,全伝票!$B:$B,$B11),SUMIFS(全伝票!M:M,全伝票!$C:$C,$C11)),IF($C11="",SUMIFS(全伝票!M:M,全伝票!$A:$A,$A11,全伝票!$B:$B,$B11),SUMIFS(全伝票!M:M,全伝票!$A:$A,$A11,全伝票!$C:$C,$C11)))</f>
        <v>0</v>
      </c>
      <c r="J11" s="159">
        <f>+IF($A11="",IF($C11="",SUMIFS(全伝票!N:N,全伝票!$B:$B,$B11),SUMIFS(全伝票!N:N,全伝票!$C:$C,$C11)),IF($C11="",SUMIFS(全伝票!N:N,全伝票!$A:$A,$A11,全伝票!$B:$B,$B11),SUMIFS(全伝票!N:N,全伝票!$A:$A,$A11,全伝票!$C:$C,$C11)))</f>
        <v>0</v>
      </c>
      <c r="K11" s="34">
        <f t="shared" si="0"/>
        <v>0</v>
      </c>
      <c r="L11" s="158">
        <f>+IF($A11="",IF($C11="",SUMIFS(全伝票!O:O,全伝票!$B:$B,$B11),SUMIFS(全伝票!O:O,全伝票!$C:$C,$C11)),IF($C11="",SUMIFS(全伝票!O:O,全伝票!$A:$A,$A11,全伝票!$B:$B,$B11),SUMIFS(全伝票!O:O,全伝票!$A:$A,$A11,全伝票!$C:$C,$C11)))</f>
        <v>0</v>
      </c>
      <c r="M11" s="158">
        <f>+IF($A11="",IF($C11="",SUMIFS(全伝票!P:P,全伝票!$B:$B,$B11),SUMIFS(全伝票!P:P,全伝票!$C:$C,$C11)),IF($C11="",SUMIFS(全伝票!P:P,全伝票!$A:$A,$A11,全伝票!$B:$B,$B11),SUMIFS(全伝票!P:P,全伝票!$A:$A,$A11,全伝票!$C:$C,$C11)))</f>
        <v>0</v>
      </c>
      <c r="N11" s="108">
        <f t="shared" si="1"/>
        <v>0</v>
      </c>
      <c r="O11" s="25">
        <f t="shared" si="3"/>
        <v>0</v>
      </c>
      <c r="P11" s="25">
        <f t="shared" si="2"/>
        <v>0</v>
      </c>
      <c r="Q11" s="157">
        <f t="shared" si="3"/>
        <v>0</v>
      </c>
      <c r="R11" s="157">
        <f t="shared" si="4"/>
        <v>0</v>
      </c>
      <c r="S11" s="22">
        <f t="shared" si="5"/>
        <v>0</v>
      </c>
      <c r="T11" s="109">
        <f t="shared" si="6"/>
        <v>0</v>
      </c>
      <c r="U11" s="107">
        <f t="shared" si="7"/>
        <v>0</v>
      </c>
      <c r="V11" s="107">
        <f t="shared" si="8"/>
        <v>0</v>
      </c>
      <c r="W11" s="107">
        <f t="shared" si="9"/>
        <v>0</v>
      </c>
      <c r="X11" s="107">
        <f t="shared" si="9"/>
        <v>0</v>
      </c>
      <c r="Y11" s="107">
        <f t="shared" si="10"/>
        <v>0</v>
      </c>
      <c r="Z11" s="106">
        <f t="shared" si="11"/>
        <v>0</v>
      </c>
      <c r="AA11" s="106">
        <f t="shared" si="12"/>
        <v>0</v>
      </c>
      <c r="AB11" s="106">
        <f t="shared" si="13"/>
        <v>0</v>
      </c>
      <c r="AC11" s="106">
        <f t="shared" si="13"/>
        <v>0</v>
      </c>
      <c r="AD11" s="106">
        <f t="shared" si="14"/>
        <v>0</v>
      </c>
    </row>
    <row r="12" spans="1:35">
      <c r="A12" s="165">
        <v>1</v>
      </c>
      <c r="B12" s="164" t="s">
        <v>270</v>
      </c>
      <c r="C12" s="163" t="s">
        <v>271</v>
      </c>
      <c r="D12" s="162" t="s">
        <v>98</v>
      </c>
      <c r="E12" s="158">
        <f>+IF($A12="",IF($C12="",SUMIFS(全伝票!I:I,全伝票!$B:$B,$B12),SUMIFS(全伝票!I:I,全伝票!$C:$C,$C12)),IF($C12="",SUMIFS(全伝票!I:I,全伝票!$A:$A,$A12,全伝票!$B:$B,$B12),SUMIFS(全伝票!I:I,全伝票!$A:$A,$A12,全伝票!$C:$C,$C12)))</f>
        <v>0</v>
      </c>
      <c r="F12" s="161">
        <f>+IF($A12="",IF($C12="",SUMIFS(全伝票!J:J,全伝票!$B:$B,$B12),SUMIFS(全伝票!J:J,全伝票!$C:$C,$C12)),IF($C12="",SUMIFS(全伝票!J:J,全伝票!$A:$A,$A12,全伝票!$B:$B,$B12),SUMIFS(全伝票!J:J,全伝票!$A:$A,$A12,全伝票!$C:$C,$C12)))</f>
        <v>0</v>
      </c>
      <c r="G12" s="160">
        <f>+IF($A12="",IF($C12="",SUMIFS(全伝票!K:K,全伝票!$B:$B,$B12),SUMIFS(全伝票!K:K,全伝票!$C:$C,$C12)),IF($C12="",SUMIFS(全伝票!K:K,全伝票!$A:$A,$A12,全伝票!$B:$B,$B12),SUMIFS(全伝票!K:K,全伝票!$A:$A,$A12,全伝票!$C:$C,$C12)))</f>
        <v>0</v>
      </c>
      <c r="H12" s="160">
        <f>+IF($A12="",IF($C12="",SUMIFS(全伝票!L:L,全伝票!$B:$B,$B12),SUMIFS(全伝票!L:L,全伝票!$C:$C,$C12)),IF($C12="",SUMIFS(全伝票!L:L,全伝票!$A:$A,$A12,全伝票!$B:$B,$B12),SUMIFS(全伝票!L:L,全伝票!$A:$A,$A12,全伝票!$C:$C,$C12)))</f>
        <v>0</v>
      </c>
      <c r="I12" s="159">
        <f>+IF($A12="",IF($C12="",SUMIFS(全伝票!M:M,全伝票!$B:$B,$B12),SUMIFS(全伝票!M:M,全伝票!$C:$C,$C12)),IF($C12="",SUMIFS(全伝票!M:M,全伝票!$A:$A,$A12,全伝票!$B:$B,$B12),SUMIFS(全伝票!M:M,全伝票!$A:$A,$A12,全伝票!$C:$C,$C12)))</f>
        <v>0</v>
      </c>
      <c r="J12" s="159">
        <f>+IF($A12="",IF($C12="",SUMIFS(全伝票!N:N,全伝票!$B:$B,$B12),SUMIFS(全伝票!N:N,全伝票!$C:$C,$C12)),IF($C12="",SUMIFS(全伝票!N:N,全伝票!$A:$A,$A12,全伝票!$B:$B,$B12),SUMIFS(全伝票!N:N,全伝票!$A:$A,$A12,全伝票!$C:$C,$C12)))</f>
        <v>0</v>
      </c>
      <c r="K12" s="34">
        <f t="shared" si="0"/>
        <v>0</v>
      </c>
      <c r="L12" s="158">
        <f>+IF($A12="",IF($C12="",SUMIFS(全伝票!O:O,全伝票!$B:$B,$B12),SUMIFS(全伝票!O:O,全伝票!$C:$C,$C12)),IF($C12="",SUMIFS(全伝票!O:O,全伝票!$A:$A,$A12,全伝票!$B:$B,$B12),SUMIFS(全伝票!O:O,全伝票!$A:$A,$A12,全伝票!$C:$C,$C12)))</f>
        <v>0</v>
      </c>
      <c r="M12" s="158">
        <f>+IF($A12="",IF($C12="",SUMIFS(全伝票!P:P,全伝票!$B:$B,$B12),SUMIFS(全伝票!P:P,全伝票!$C:$C,$C12)),IF($C12="",SUMIFS(全伝票!P:P,全伝票!$A:$A,$A12,全伝票!$B:$B,$B12),SUMIFS(全伝票!P:P,全伝票!$A:$A,$A12,全伝票!$C:$C,$C12)))</f>
        <v>0</v>
      </c>
      <c r="N12" s="108">
        <f t="shared" si="1"/>
        <v>0</v>
      </c>
      <c r="O12" s="25">
        <f t="shared" si="3"/>
        <v>0</v>
      </c>
      <c r="P12" s="25">
        <f t="shared" si="2"/>
        <v>0</v>
      </c>
      <c r="Q12" s="157">
        <f t="shared" si="3"/>
        <v>0</v>
      </c>
      <c r="R12" s="157">
        <f t="shared" si="4"/>
        <v>0</v>
      </c>
      <c r="S12" s="22">
        <f t="shared" si="5"/>
        <v>0</v>
      </c>
      <c r="T12" s="109">
        <f t="shared" si="6"/>
        <v>0</v>
      </c>
      <c r="U12" s="107">
        <f t="shared" si="7"/>
        <v>0</v>
      </c>
      <c r="V12" s="107">
        <f t="shared" si="8"/>
        <v>0</v>
      </c>
      <c r="W12" s="107">
        <f t="shared" si="9"/>
        <v>0</v>
      </c>
      <c r="X12" s="107">
        <f t="shared" si="9"/>
        <v>0</v>
      </c>
      <c r="Y12" s="107">
        <f t="shared" si="10"/>
        <v>0</v>
      </c>
      <c r="Z12" s="106">
        <f t="shared" si="11"/>
        <v>0</v>
      </c>
      <c r="AA12" s="106">
        <f t="shared" si="12"/>
        <v>0</v>
      </c>
      <c r="AB12" s="106">
        <f t="shared" si="13"/>
        <v>0</v>
      </c>
      <c r="AC12" s="106">
        <f t="shared" si="13"/>
        <v>0</v>
      </c>
      <c r="AD12" s="106">
        <f t="shared" si="14"/>
        <v>0</v>
      </c>
    </row>
    <row r="13" spans="1:35">
      <c r="A13" s="165">
        <v>1</v>
      </c>
      <c r="B13" s="164" t="s">
        <v>270</v>
      </c>
      <c r="C13" s="163" t="s">
        <v>269</v>
      </c>
      <c r="D13" s="162" t="s">
        <v>95</v>
      </c>
      <c r="E13" s="158">
        <f>+IF($A13="",IF($C13="",SUMIFS(全伝票!I:I,全伝票!$B:$B,$B13),SUMIFS(全伝票!I:I,全伝票!$C:$C,$C13)),IF($C13="",SUMIFS(全伝票!I:I,全伝票!$A:$A,$A13,全伝票!$B:$B,$B13),SUMIFS(全伝票!I:I,全伝票!$A:$A,$A13,全伝票!$C:$C,$C13)))</f>
        <v>0</v>
      </c>
      <c r="F13" s="161">
        <f>+IF($A13="",IF($C13="",SUMIFS(全伝票!J:J,全伝票!$B:$B,$B13),SUMIFS(全伝票!J:J,全伝票!$C:$C,$C13)),IF($C13="",SUMIFS(全伝票!J:J,全伝票!$A:$A,$A13,全伝票!$B:$B,$B13),SUMIFS(全伝票!J:J,全伝票!$A:$A,$A13,全伝票!$C:$C,$C13)))</f>
        <v>0</v>
      </c>
      <c r="G13" s="160">
        <f>+IF($A13="",IF($C13="",SUMIFS(全伝票!K:K,全伝票!$B:$B,$B13),SUMIFS(全伝票!K:K,全伝票!$C:$C,$C13)),IF($C13="",SUMIFS(全伝票!K:K,全伝票!$A:$A,$A13,全伝票!$B:$B,$B13),SUMIFS(全伝票!K:K,全伝票!$A:$A,$A13,全伝票!$C:$C,$C13)))</f>
        <v>0</v>
      </c>
      <c r="H13" s="160">
        <f>+IF($A13="",IF($C13="",SUMIFS(全伝票!L:L,全伝票!$B:$B,$B13),SUMIFS(全伝票!L:L,全伝票!$C:$C,$C13)),IF($C13="",SUMIFS(全伝票!L:L,全伝票!$A:$A,$A13,全伝票!$B:$B,$B13),SUMIFS(全伝票!L:L,全伝票!$A:$A,$A13,全伝票!$C:$C,$C13)))</f>
        <v>0</v>
      </c>
      <c r="I13" s="159">
        <f>+IF($A13="",IF($C13="",SUMIFS(全伝票!M:M,全伝票!$B:$B,$B13),SUMIFS(全伝票!M:M,全伝票!$C:$C,$C13)),IF($C13="",SUMIFS(全伝票!M:M,全伝票!$A:$A,$A13,全伝票!$B:$B,$B13),SUMIFS(全伝票!M:M,全伝票!$A:$A,$A13,全伝票!$C:$C,$C13)))</f>
        <v>0</v>
      </c>
      <c r="J13" s="159">
        <f>+IF($A13="",IF($C13="",SUMIFS(全伝票!N:N,全伝票!$B:$B,$B13),SUMIFS(全伝票!N:N,全伝票!$C:$C,$C13)),IF($C13="",SUMIFS(全伝票!N:N,全伝票!$A:$A,$A13,全伝票!$B:$B,$B13),SUMIFS(全伝票!N:N,全伝票!$A:$A,$A13,全伝票!$C:$C,$C13)))</f>
        <v>0</v>
      </c>
      <c r="K13" s="34">
        <f t="shared" si="0"/>
        <v>0</v>
      </c>
      <c r="L13" s="158">
        <f>+IF($A13="",IF($C13="",SUMIFS(全伝票!O:O,全伝票!$B:$B,$B13),SUMIFS(全伝票!O:O,全伝票!$C:$C,$C13)),IF($C13="",SUMIFS(全伝票!O:O,全伝票!$A:$A,$A13,全伝票!$B:$B,$B13),SUMIFS(全伝票!O:O,全伝票!$A:$A,$A13,全伝票!$C:$C,$C13)))</f>
        <v>0</v>
      </c>
      <c r="M13" s="158">
        <f>+IF($A13="",IF($C13="",SUMIFS(全伝票!P:P,全伝票!$B:$B,$B13),SUMIFS(全伝票!P:P,全伝票!$C:$C,$C13)),IF($C13="",SUMIFS(全伝票!P:P,全伝票!$A:$A,$A13,全伝票!$B:$B,$B13),SUMIFS(全伝票!P:P,全伝票!$A:$A,$A13,全伝票!$C:$C,$C13)))</f>
        <v>0</v>
      </c>
      <c r="N13" s="108">
        <f t="shared" si="1"/>
        <v>0</v>
      </c>
      <c r="O13" s="25">
        <f t="shared" si="3"/>
        <v>0</v>
      </c>
      <c r="P13" s="25">
        <f t="shared" si="2"/>
        <v>0</v>
      </c>
      <c r="Q13" s="157">
        <f t="shared" si="3"/>
        <v>0</v>
      </c>
      <c r="R13" s="157">
        <f t="shared" si="4"/>
        <v>0</v>
      </c>
      <c r="S13" s="22">
        <f t="shared" si="5"/>
        <v>0</v>
      </c>
      <c r="T13" s="109">
        <f t="shared" si="6"/>
        <v>0</v>
      </c>
      <c r="U13" s="107">
        <f t="shared" si="7"/>
        <v>0</v>
      </c>
      <c r="V13" s="107">
        <f t="shared" si="8"/>
        <v>0</v>
      </c>
      <c r="W13" s="107">
        <f t="shared" si="9"/>
        <v>0</v>
      </c>
      <c r="X13" s="107">
        <f t="shared" si="9"/>
        <v>0</v>
      </c>
      <c r="Y13" s="107">
        <f t="shared" si="10"/>
        <v>0</v>
      </c>
      <c r="Z13" s="106">
        <f t="shared" si="11"/>
        <v>0</v>
      </c>
      <c r="AA13" s="106">
        <f t="shared" si="12"/>
        <v>0</v>
      </c>
      <c r="AB13" s="106">
        <f t="shared" si="13"/>
        <v>0</v>
      </c>
      <c r="AC13" s="106">
        <f t="shared" si="13"/>
        <v>0</v>
      </c>
      <c r="AD13" s="106">
        <f t="shared" si="14"/>
        <v>0</v>
      </c>
    </row>
    <row r="14" spans="1:35">
      <c r="A14" s="165">
        <v>1</v>
      </c>
      <c r="B14" s="164" t="s">
        <v>268</v>
      </c>
      <c r="C14" s="163"/>
      <c r="D14" s="162" t="s">
        <v>93</v>
      </c>
      <c r="E14" s="158">
        <f>+IF($A14="",IF($C14="",SUMIFS(全伝票!I:I,全伝票!$B:$B,$B14),SUMIFS(全伝票!I:I,全伝票!$C:$C,$C14)),IF($C14="",SUMIFS(全伝票!I:I,全伝票!$A:$A,$A14,全伝票!$B:$B,$B14),SUMIFS(全伝票!I:I,全伝票!$A:$A,$A14,全伝票!$C:$C,$C14)))</f>
        <v>524214</v>
      </c>
      <c r="F14" s="161">
        <f>+IF($A14="",IF($C14="",SUMIFS(全伝票!J:J,全伝票!$B:$B,$B14),SUMIFS(全伝票!J:J,全伝票!$C:$C,$C14)),IF($C14="",SUMIFS(全伝票!J:J,全伝票!$A:$A,$A14,全伝票!$B:$B,$B14),SUMIFS(全伝票!J:J,全伝票!$A:$A,$A14,全伝票!$C:$C,$C14)))</f>
        <v>0</v>
      </c>
      <c r="G14" s="160">
        <f>+IF($A14="",IF($C14="",SUMIFS(全伝票!K:K,全伝票!$B:$B,$B14),SUMIFS(全伝票!K:K,全伝票!$C:$C,$C14)),IF($C14="",SUMIFS(全伝票!K:K,全伝票!$A:$A,$A14,全伝票!$B:$B,$B14),SUMIFS(全伝票!K:K,全伝票!$A:$A,$A14,全伝票!$C:$C,$C14)))</f>
        <v>0</v>
      </c>
      <c r="H14" s="160">
        <f>+IF($A14="",IF($C14="",SUMIFS(全伝票!L:L,全伝票!$B:$B,$B14),SUMIFS(全伝票!L:L,全伝票!$C:$C,$C14)),IF($C14="",SUMIFS(全伝票!L:L,全伝票!$A:$A,$A14,全伝票!$B:$B,$B14),SUMIFS(全伝票!L:L,全伝票!$A:$A,$A14,全伝票!$C:$C,$C14)))</f>
        <v>0</v>
      </c>
      <c r="I14" s="159">
        <f>+IF($A14="",IF($C14="",SUMIFS(全伝票!M:M,全伝票!$B:$B,$B14),SUMIFS(全伝票!M:M,全伝票!$C:$C,$C14)),IF($C14="",SUMIFS(全伝票!M:M,全伝票!$A:$A,$A14,全伝票!$B:$B,$B14),SUMIFS(全伝票!M:M,全伝票!$A:$A,$A14,全伝票!$C:$C,$C14)))</f>
        <v>0</v>
      </c>
      <c r="J14" s="159">
        <f>+IF($A14="",IF($C14="",SUMIFS(全伝票!N:N,全伝票!$B:$B,$B14),SUMIFS(全伝票!N:N,全伝票!$C:$C,$C14)),IF($C14="",SUMIFS(全伝票!N:N,全伝票!$A:$A,$A14,全伝票!$B:$B,$B14),SUMIFS(全伝票!N:N,全伝票!$A:$A,$A14,全伝票!$C:$C,$C14)))</f>
        <v>524214</v>
      </c>
      <c r="K14" s="34">
        <f t="shared" si="0"/>
        <v>524214</v>
      </c>
      <c r="L14" s="158">
        <f>+IF($A14="",IF($C14="",SUMIFS(全伝票!O:O,全伝票!$B:$B,$B14),SUMIFS(全伝票!O:O,全伝票!$C:$C,$C14)),IF($C14="",SUMIFS(全伝票!O:O,全伝票!$A:$A,$A14,全伝票!$B:$B,$B14),SUMIFS(全伝票!O:O,全伝票!$A:$A,$A14,全伝票!$C:$C,$C14)))</f>
        <v>0</v>
      </c>
      <c r="M14" s="158">
        <f>+IF($A14="",IF($C14="",SUMIFS(全伝票!P:P,全伝票!$B:$B,$B14),SUMIFS(全伝票!P:P,全伝票!$C:$C,$C14)),IF($C14="",SUMIFS(全伝票!P:P,全伝票!$A:$A,$A14,全伝票!$B:$B,$B14),SUMIFS(全伝票!P:P,全伝票!$A:$A,$A14,全伝票!$C:$C,$C14)))</f>
        <v>0</v>
      </c>
      <c r="N14" s="108">
        <f t="shared" si="1"/>
        <v>0</v>
      </c>
      <c r="O14" s="25">
        <f t="shared" si="3"/>
        <v>0</v>
      </c>
      <c r="P14" s="25">
        <f t="shared" si="2"/>
        <v>0</v>
      </c>
      <c r="Q14" s="157">
        <f t="shared" si="3"/>
        <v>0</v>
      </c>
      <c r="R14" s="157">
        <f t="shared" si="4"/>
        <v>47656</v>
      </c>
      <c r="S14" s="22">
        <f t="shared" si="5"/>
        <v>47656</v>
      </c>
      <c r="T14" s="109">
        <f t="shared" si="6"/>
        <v>476558</v>
      </c>
      <c r="U14" s="107">
        <f t="shared" si="7"/>
        <v>0</v>
      </c>
      <c r="V14" s="107">
        <f t="shared" si="8"/>
        <v>0</v>
      </c>
      <c r="W14" s="107">
        <f t="shared" si="9"/>
        <v>0</v>
      </c>
      <c r="X14" s="107">
        <f t="shared" si="9"/>
        <v>0</v>
      </c>
      <c r="Y14" s="107">
        <f t="shared" si="10"/>
        <v>0.18181818181619747</v>
      </c>
      <c r="Z14" s="106">
        <f t="shared" si="11"/>
        <v>0</v>
      </c>
      <c r="AA14" s="106">
        <f t="shared" si="12"/>
        <v>0</v>
      </c>
      <c r="AB14" s="106">
        <f t="shared" si="13"/>
        <v>0</v>
      </c>
      <c r="AC14" s="106">
        <f t="shared" si="13"/>
        <v>0</v>
      </c>
      <c r="AD14" s="106">
        <f t="shared" si="14"/>
        <v>0</v>
      </c>
    </row>
    <row r="15" spans="1:35">
      <c r="A15" s="165">
        <v>1</v>
      </c>
      <c r="B15" s="164" t="s">
        <v>267</v>
      </c>
      <c r="C15" s="163"/>
      <c r="D15" s="162" t="s">
        <v>91</v>
      </c>
      <c r="E15" s="158">
        <f>+IF($A15="",IF($C15="",SUMIFS(全伝票!I:I,全伝票!$B:$B,$B15),SUMIFS(全伝票!I:I,全伝票!$C:$C,$C15)),IF($C15="",SUMIFS(全伝票!I:I,全伝票!$A:$A,$A15,全伝票!$B:$B,$B15),SUMIFS(全伝票!I:I,全伝票!$A:$A,$A15,全伝票!$C:$C,$C15)))</f>
        <v>14678</v>
      </c>
      <c r="F15" s="161">
        <f>+IF($A15="",IF($C15="",SUMIFS(全伝票!J:J,全伝票!$B:$B,$B15),SUMIFS(全伝票!J:J,全伝票!$C:$C,$C15)),IF($C15="",SUMIFS(全伝票!J:J,全伝票!$A:$A,$A15,全伝票!$B:$B,$B15),SUMIFS(全伝票!J:J,全伝票!$A:$A,$A15,全伝票!$C:$C,$C15)))</f>
        <v>0</v>
      </c>
      <c r="G15" s="160">
        <f>+IF($A15="",IF($C15="",SUMIFS(全伝票!K:K,全伝票!$B:$B,$B15),SUMIFS(全伝票!K:K,全伝票!$C:$C,$C15)),IF($C15="",SUMIFS(全伝票!K:K,全伝票!$A:$A,$A15,全伝票!$B:$B,$B15),SUMIFS(全伝票!K:K,全伝票!$A:$A,$A15,全伝票!$C:$C,$C15)))</f>
        <v>0</v>
      </c>
      <c r="H15" s="160">
        <f>+IF($A15="",IF($C15="",SUMIFS(全伝票!L:L,全伝票!$B:$B,$B15),SUMIFS(全伝票!L:L,全伝票!$C:$C,$C15)),IF($C15="",SUMIFS(全伝票!L:L,全伝票!$A:$A,$A15,全伝票!$B:$B,$B15),SUMIFS(全伝票!L:L,全伝票!$A:$A,$A15,全伝票!$C:$C,$C15)))</f>
        <v>0</v>
      </c>
      <c r="I15" s="159">
        <f>+IF($A15="",IF($C15="",SUMIFS(全伝票!M:M,全伝票!$B:$B,$B15),SUMIFS(全伝票!M:M,全伝票!$C:$C,$C15)),IF($C15="",SUMIFS(全伝票!M:M,全伝票!$A:$A,$A15,全伝票!$B:$B,$B15),SUMIFS(全伝票!M:M,全伝票!$A:$A,$A15,全伝票!$C:$C,$C15)))</f>
        <v>0</v>
      </c>
      <c r="J15" s="159">
        <f>+IF($A15="",IF($C15="",SUMIFS(全伝票!N:N,全伝票!$B:$B,$B15),SUMIFS(全伝票!N:N,全伝票!$C:$C,$C15)),IF($C15="",SUMIFS(全伝票!N:N,全伝票!$A:$A,$A15,全伝票!$B:$B,$B15),SUMIFS(全伝票!N:N,全伝票!$A:$A,$A15,全伝票!$C:$C,$C15)))</f>
        <v>14678</v>
      </c>
      <c r="K15" s="34">
        <f t="shared" si="0"/>
        <v>14678</v>
      </c>
      <c r="L15" s="158">
        <f>+IF($A15="",IF($C15="",SUMIFS(全伝票!O:O,全伝票!$B:$B,$B15),SUMIFS(全伝票!O:O,全伝票!$C:$C,$C15)),IF($C15="",SUMIFS(全伝票!O:O,全伝票!$A:$A,$A15,全伝票!$B:$B,$B15),SUMIFS(全伝票!O:O,全伝票!$A:$A,$A15,全伝票!$C:$C,$C15)))</f>
        <v>0</v>
      </c>
      <c r="M15" s="158">
        <f>+IF($A15="",IF($C15="",SUMIFS(全伝票!P:P,全伝票!$B:$B,$B15),SUMIFS(全伝票!P:P,全伝票!$C:$C,$C15)),IF($C15="",SUMIFS(全伝票!P:P,全伝票!$A:$A,$A15,全伝票!$B:$B,$B15),SUMIFS(全伝票!P:P,全伝票!$A:$A,$A15,全伝票!$C:$C,$C15)))</f>
        <v>0</v>
      </c>
      <c r="N15" s="108">
        <f t="shared" si="1"/>
        <v>0</v>
      </c>
      <c r="O15" s="25">
        <f t="shared" si="3"/>
        <v>0</v>
      </c>
      <c r="P15" s="25">
        <f t="shared" si="2"/>
        <v>0</v>
      </c>
      <c r="Q15" s="157">
        <f t="shared" si="3"/>
        <v>0</v>
      </c>
      <c r="R15" s="157">
        <f t="shared" si="4"/>
        <v>1334</v>
      </c>
      <c r="S15" s="22">
        <f t="shared" si="5"/>
        <v>1334</v>
      </c>
      <c r="T15" s="109">
        <f t="shared" si="6"/>
        <v>13344</v>
      </c>
      <c r="U15" s="107">
        <f t="shared" si="7"/>
        <v>0</v>
      </c>
      <c r="V15" s="107">
        <f t="shared" si="8"/>
        <v>0</v>
      </c>
      <c r="W15" s="107">
        <f t="shared" si="9"/>
        <v>0</v>
      </c>
      <c r="X15" s="107">
        <f t="shared" si="9"/>
        <v>0</v>
      </c>
      <c r="Y15" s="107">
        <f t="shared" si="10"/>
        <v>-0.36363636363626028</v>
      </c>
      <c r="Z15" s="106">
        <f t="shared" si="11"/>
        <v>0</v>
      </c>
      <c r="AA15" s="106">
        <f t="shared" si="12"/>
        <v>0</v>
      </c>
      <c r="AB15" s="106">
        <f t="shared" si="13"/>
        <v>0</v>
      </c>
      <c r="AC15" s="106">
        <f t="shared" si="13"/>
        <v>0</v>
      </c>
      <c r="AD15" s="106">
        <f t="shared" si="14"/>
        <v>0</v>
      </c>
    </row>
    <row r="16" spans="1:35">
      <c r="A16" s="165">
        <v>1</v>
      </c>
      <c r="B16" s="164" t="s">
        <v>266</v>
      </c>
      <c r="C16" s="163"/>
      <c r="D16" s="162" t="s">
        <v>89</v>
      </c>
      <c r="E16" s="158">
        <f>+IF($A16="",IF($C16="",SUMIFS(全伝票!I:I,全伝票!$B:$B,$B16),SUMIFS(全伝票!I:I,全伝票!$C:$C,$C16)),IF($C16="",SUMIFS(全伝票!I:I,全伝票!$A:$A,$A16,全伝票!$B:$B,$B16),SUMIFS(全伝票!I:I,全伝票!$A:$A,$A16,全伝票!$C:$C,$C16)))</f>
        <v>0</v>
      </c>
      <c r="F16" s="161">
        <f>+IF($A16="",IF($C16="",SUMIFS(全伝票!J:J,全伝票!$B:$B,$B16),SUMIFS(全伝票!J:J,全伝票!$C:$C,$C16)),IF($C16="",SUMIFS(全伝票!J:J,全伝票!$A:$A,$A16,全伝票!$B:$B,$B16),SUMIFS(全伝票!J:J,全伝票!$A:$A,$A16,全伝票!$C:$C,$C16)))</f>
        <v>0</v>
      </c>
      <c r="G16" s="160">
        <f>+IF($A16="",IF($C16="",SUMIFS(全伝票!K:K,全伝票!$B:$B,$B16),SUMIFS(全伝票!K:K,全伝票!$C:$C,$C16)),IF($C16="",SUMIFS(全伝票!K:K,全伝票!$A:$A,$A16,全伝票!$B:$B,$B16),SUMIFS(全伝票!K:K,全伝票!$A:$A,$A16,全伝票!$C:$C,$C16)))</f>
        <v>0</v>
      </c>
      <c r="H16" s="160">
        <f>+IF($A16="",IF($C16="",SUMIFS(全伝票!L:L,全伝票!$B:$B,$B16),SUMIFS(全伝票!L:L,全伝票!$C:$C,$C16)),IF($C16="",SUMIFS(全伝票!L:L,全伝票!$A:$A,$A16,全伝票!$B:$B,$B16),SUMIFS(全伝票!L:L,全伝票!$A:$A,$A16,全伝票!$C:$C,$C16)))</f>
        <v>0</v>
      </c>
      <c r="I16" s="159">
        <f>+IF($A16="",IF($C16="",SUMIFS(全伝票!M:M,全伝票!$B:$B,$B16),SUMIFS(全伝票!M:M,全伝票!$C:$C,$C16)),IF($C16="",SUMIFS(全伝票!M:M,全伝票!$A:$A,$A16,全伝票!$B:$B,$B16),SUMIFS(全伝票!M:M,全伝票!$A:$A,$A16,全伝票!$C:$C,$C16)))</f>
        <v>0</v>
      </c>
      <c r="J16" s="159">
        <f>+IF($A16="",IF($C16="",SUMIFS(全伝票!N:N,全伝票!$B:$B,$B16),SUMIFS(全伝票!N:N,全伝票!$C:$C,$C16)),IF($C16="",SUMIFS(全伝票!N:N,全伝票!$A:$A,$A16,全伝票!$B:$B,$B16),SUMIFS(全伝票!N:N,全伝票!$A:$A,$A16,全伝票!$C:$C,$C16)))</f>
        <v>0</v>
      </c>
      <c r="K16" s="34">
        <f t="shared" si="0"/>
        <v>0</v>
      </c>
      <c r="L16" s="158">
        <f>+IF($A16="",IF($C16="",SUMIFS(全伝票!O:O,全伝票!$B:$B,$B16),SUMIFS(全伝票!O:O,全伝票!$C:$C,$C16)),IF($C16="",SUMIFS(全伝票!O:O,全伝票!$A:$A,$A16,全伝票!$B:$B,$B16),SUMIFS(全伝票!O:O,全伝票!$A:$A,$A16,全伝票!$C:$C,$C16)))</f>
        <v>0</v>
      </c>
      <c r="M16" s="158">
        <f>+IF($A16="",IF($C16="",SUMIFS(全伝票!P:P,全伝票!$B:$B,$B16),SUMIFS(全伝票!P:P,全伝票!$C:$C,$C16)),IF($C16="",SUMIFS(全伝票!P:P,全伝票!$A:$A,$A16,全伝票!$B:$B,$B16),SUMIFS(全伝票!P:P,全伝票!$A:$A,$A16,全伝票!$C:$C,$C16)))</f>
        <v>0</v>
      </c>
      <c r="N16" s="108">
        <f t="shared" si="1"/>
        <v>0</v>
      </c>
      <c r="O16" s="25">
        <f t="shared" si="3"/>
        <v>0</v>
      </c>
      <c r="P16" s="25">
        <f t="shared" si="2"/>
        <v>0</v>
      </c>
      <c r="Q16" s="157">
        <f t="shared" si="3"/>
        <v>0</v>
      </c>
      <c r="R16" s="157">
        <f t="shared" si="4"/>
        <v>0</v>
      </c>
      <c r="S16" s="22">
        <f t="shared" si="5"/>
        <v>0</v>
      </c>
      <c r="T16" s="109">
        <f t="shared" si="6"/>
        <v>0</v>
      </c>
      <c r="U16" s="107">
        <f t="shared" si="7"/>
        <v>0</v>
      </c>
      <c r="V16" s="107">
        <f t="shared" si="8"/>
        <v>0</v>
      </c>
      <c r="W16" s="107">
        <f t="shared" si="9"/>
        <v>0</v>
      </c>
      <c r="X16" s="107">
        <f t="shared" si="9"/>
        <v>0</v>
      </c>
      <c r="Y16" s="107">
        <f t="shared" si="10"/>
        <v>0</v>
      </c>
      <c r="Z16" s="106">
        <f t="shared" si="11"/>
        <v>0</v>
      </c>
      <c r="AA16" s="106">
        <f t="shared" si="12"/>
        <v>0</v>
      </c>
      <c r="AB16" s="106">
        <f t="shared" si="13"/>
        <v>0</v>
      </c>
      <c r="AC16" s="106">
        <f t="shared" si="13"/>
        <v>0</v>
      </c>
      <c r="AD16" s="106">
        <f t="shared" si="14"/>
        <v>0</v>
      </c>
    </row>
    <row r="17" spans="1:30">
      <c r="A17" s="165">
        <v>1</v>
      </c>
      <c r="B17" s="164" t="s">
        <v>265</v>
      </c>
      <c r="C17" s="163"/>
      <c r="D17" s="162" t="s">
        <v>87</v>
      </c>
      <c r="E17" s="158">
        <f>+IF($A17="",IF($C17="",SUMIFS(全伝票!I:I,全伝票!$B:$B,$B17),SUMIFS(全伝票!I:I,全伝票!$C:$C,$C17)),IF($C17="",SUMIFS(全伝票!I:I,全伝票!$A:$A,$A17,全伝票!$B:$B,$B17),SUMIFS(全伝票!I:I,全伝票!$A:$A,$A17,全伝票!$C:$C,$C17)))</f>
        <v>265731</v>
      </c>
      <c r="F17" s="161">
        <f>+IF($A17="",IF($C17="",SUMIFS(全伝票!J:J,全伝票!$B:$B,$B17),SUMIFS(全伝票!J:J,全伝票!$C:$C,$C17)),IF($C17="",SUMIFS(全伝票!J:J,全伝票!$A:$A,$A17,全伝票!$B:$B,$B17),SUMIFS(全伝票!J:J,全伝票!$A:$A,$A17,全伝票!$C:$C,$C17)))</f>
        <v>0</v>
      </c>
      <c r="G17" s="160">
        <f>+IF($A17="",IF($C17="",SUMIFS(全伝票!K:K,全伝票!$B:$B,$B17),SUMIFS(全伝票!K:K,全伝票!$C:$C,$C17)),IF($C17="",SUMIFS(全伝票!K:K,全伝票!$A:$A,$A17,全伝票!$B:$B,$B17),SUMIFS(全伝票!K:K,全伝票!$A:$A,$A17,全伝票!$C:$C,$C17)))</f>
        <v>0</v>
      </c>
      <c r="H17" s="160">
        <f>+IF($A17="",IF($C17="",SUMIFS(全伝票!L:L,全伝票!$B:$B,$B17),SUMIFS(全伝票!L:L,全伝票!$C:$C,$C17)),IF($C17="",SUMIFS(全伝票!L:L,全伝票!$A:$A,$A17,全伝票!$B:$B,$B17),SUMIFS(全伝票!L:L,全伝票!$A:$A,$A17,全伝票!$C:$C,$C17)))</f>
        <v>0</v>
      </c>
      <c r="I17" s="159">
        <f>+IF($A17="",IF($C17="",SUMIFS(全伝票!M:M,全伝票!$B:$B,$B17),SUMIFS(全伝票!M:M,全伝票!$C:$C,$C17)),IF($C17="",SUMIFS(全伝票!M:M,全伝票!$A:$A,$A17,全伝票!$B:$B,$B17),SUMIFS(全伝票!M:M,全伝票!$A:$A,$A17,全伝票!$C:$C,$C17)))</f>
        <v>0</v>
      </c>
      <c r="J17" s="159">
        <f>+IF($A17="",IF($C17="",SUMIFS(全伝票!N:N,全伝票!$B:$B,$B17),SUMIFS(全伝票!N:N,全伝票!$C:$C,$C17)),IF($C17="",SUMIFS(全伝票!N:N,全伝票!$A:$A,$A17,全伝票!$B:$B,$B17),SUMIFS(全伝票!N:N,全伝票!$A:$A,$A17,全伝票!$C:$C,$C17)))</f>
        <v>265731</v>
      </c>
      <c r="K17" s="34">
        <f t="shared" si="0"/>
        <v>265731</v>
      </c>
      <c r="L17" s="158">
        <f>+IF($A17="",IF($C17="",SUMIFS(全伝票!O:O,全伝票!$B:$B,$B17),SUMIFS(全伝票!O:O,全伝票!$C:$C,$C17)),IF($C17="",SUMIFS(全伝票!O:O,全伝票!$A:$A,$A17,全伝票!$B:$B,$B17),SUMIFS(全伝票!O:O,全伝票!$A:$A,$A17,全伝票!$C:$C,$C17)))</f>
        <v>0</v>
      </c>
      <c r="M17" s="158">
        <f>+IF($A17="",IF($C17="",SUMIFS(全伝票!P:P,全伝票!$B:$B,$B17),SUMIFS(全伝票!P:P,全伝票!$C:$C,$C17)),IF($C17="",SUMIFS(全伝票!P:P,全伝票!$A:$A,$A17,全伝票!$B:$B,$B17),SUMIFS(全伝票!P:P,全伝票!$A:$A,$A17,全伝票!$C:$C,$C17)))</f>
        <v>0</v>
      </c>
      <c r="N17" s="108">
        <f t="shared" si="1"/>
        <v>0</v>
      </c>
      <c r="O17" s="25">
        <f t="shared" si="3"/>
        <v>0</v>
      </c>
      <c r="P17" s="25">
        <f t="shared" si="2"/>
        <v>0</v>
      </c>
      <c r="Q17" s="157">
        <f t="shared" si="3"/>
        <v>0</v>
      </c>
      <c r="R17" s="157">
        <f t="shared" si="4"/>
        <v>24157</v>
      </c>
      <c r="S17" s="22">
        <f t="shared" si="5"/>
        <v>24157</v>
      </c>
      <c r="T17" s="109">
        <f t="shared" si="6"/>
        <v>241574</v>
      </c>
      <c r="U17" s="107">
        <f t="shared" si="7"/>
        <v>0</v>
      </c>
      <c r="V17" s="107">
        <f t="shared" si="8"/>
        <v>0</v>
      </c>
      <c r="W17" s="107">
        <f t="shared" si="9"/>
        <v>0</v>
      </c>
      <c r="X17" s="107">
        <f t="shared" si="9"/>
        <v>0</v>
      </c>
      <c r="Y17" s="107">
        <f t="shared" si="10"/>
        <v>-0.36363636363603291</v>
      </c>
      <c r="Z17" s="106">
        <f t="shared" si="11"/>
        <v>0</v>
      </c>
      <c r="AA17" s="106">
        <f t="shared" si="12"/>
        <v>0</v>
      </c>
      <c r="AB17" s="106">
        <f t="shared" si="13"/>
        <v>0</v>
      </c>
      <c r="AC17" s="106">
        <f t="shared" si="13"/>
        <v>0</v>
      </c>
      <c r="AD17" s="106">
        <f t="shared" si="14"/>
        <v>0</v>
      </c>
    </row>
    <row r="18" spans="1:30">
      <c r="A18" s="165">
        <v>1</v>
      </c>
      <c r="B18" s="164" t="s">
        <v>264</v>
      </c>
      <c r="C18" s="163"/>
      <c r="D18" s="162" t="s">
        <v>85</v>
      </c>
      <c r="E18" s="158">
        <f>+IF($A18="",IF($C18="",SUMIFS(全伝票!I:I,全伝票!$B:$B,$B18),SUMIFS(全伝票!I:I,全伝票!$C:$C,$C18)),IF($C18="",SUMIFS(全伝票!I:I,全伝票!$A:$A,$A18,全伝票!$B:$B,$B18),SUMIFS(全伝票!I:I,全伝票!$A:$A,$A18,全伝票!$C:$C,$C18)))</f>
        <v>0</v>
      </c>
      <c r="F18" s="161">
        <f>+IF($A18="",IF($C18="",SUMIFS(全伝票!J:J,全伝票!$B:$B,$B18),SUMIFS(全伝票!J:J,全伝票!$C:$C,$C18)),IF($C18="",SUMIFS(全伝票!J:J,全伝票!$A:$A,$A18,全伝票!$B:$B,$B18),SUMIFS(全伝票!J:J,全伝票!$A:$A,$A18,全伝票!$C:$C,$C18)))</f>
        <v>0</v>
      </c>
      <c r="G18" s="160">
        <f>+IF($A18="",IF($C18="",SUMIFS(全伝票!K:K,全伝票!$B:$B,$B18),SUMIFS(全伝票!K:K,全伝票!$C:$C,$C18)),IF($C18="",SUMIFS(全伝票!K:K,全伝票!$A:$A,$A18,全伝票!$B:$B,$B18),SUMIFS(全伝票!K:K,全伝票!$A:$A,$A18,全伝票!$C:$C,$C18)))</f>
        <v>0</v>
      </c>
      <c r="H18" s="160">
        <f>+IF($A18="",IF($C18="",SUMIFS(全伝票!L:L,全伝票!$B:$B,$B18),SUMIFS(全伝票!L:L,全伝票!$C:$C,$C18)),IF($C18="",SUMIFS(全伝票!L:L,全伝票!$A:$A,$A18,全伝票!$B:$B,$B18),SUMIFS(全伝票!L:L,全伝票!$A:$A,$A18,全伝票!$C:$C,$C18)))</f>
        <v>0</v>
      </c>
      <c r="I18" s="159">
        <f>+IF($A18="",IF($C18="",SUMIFS(全伝票!M:M,全伝票!$B:$B,$B18),SUMIFS(全伝票!M:M,全伝票!$C:$C,$C18)),IF($C18="",SUMIFS(全伝票!M:M,全伝票!$A:$A,$A18,全伝票!$B:$B,$B18),SUMIFS(全伝票!M:M,全伝票!$A:$A,$A18,全伝票!$C:$C,$C18)))</f>
        <v>0</v>
      </c>
      <c r="J18" s="159">
        <f>+IF($A18="",IF($C18="",SUMIFS(全伝票!N:N,全伝票!$B:$B,$B18),SUMIFS(全伝票!N:N,全伝票!$C:$C,$C18)),IF($C18="",SUMIFS(全伝票!N:N,全伝票!$A:$A,$A18,全伝票!$B:$B,$B18),SUMIFS(全伝票!N:N,全伝票!$A:$A,$A18,全伝票!$C:$C,$C18)))</f>
        <v>0</v>
      </c>
      <c r="K18" s="34">
        <f t="shared" si="0"/>
        <v>0</v>
      </c>
      <c r="L18" s="158">
        <f>+IF($A18="",IF($C18="",SUMIFS(全伝票!O:O,全伝票!$B:$B,$B18),SUMIFS(全伝票!O:O,全伝票!$C:$C,$C18)),IF($C18="",SUMIFS(全伝票!O:O,全伝票!$A:$A,$A18,全伝票!$B:$B,$B18),SUMIFS(全伝票!O:O,全伝票!$A:$A,$A18,全伝票!$C:$C,$C18)))</f>
        <v>0</v>
      </c>
      <c r="M18" s="158">
        <f>+IF($A18="",IF($C18="",SUMIFS(全伝票!P:P,全伝票!$B:$B,$B18),SUMIFS(全伝票!P:P,全伝票!$C:$C,$C18)),IF($C18="",SUMIFS(全伝票!P:P,全伝票!$A:$A,$A18,全伝票!$B:$B,$B18),SUMIFS(全伝票!P:P,全伝票!$A:$A,$A18,全伝票!$C:$C,$C18)))</f>
        <v>0</v>
      </c>
      <c r="N18" s="108">
        <f t="shared" si="1"/>
        <v>0</v>
      </c>
      <c r="O18" s="25">
        <f t="shared" si="3"/>
        <v>0</v>
      </c>
      <c r="P18" s="25">
        <f t="shared" si="2"/>
        <v>0</v>
      </c>
      <c r="Q18" s="157">
        <f t="shared" si="3"/>
        <v>0</v>
      </c>
      <c r="R18" s="157">
        <f t="shared" si="4"/>
        <v>0</v>
      </c>
      <c r="S18" s="22">
        <f t="shared" si="5"/>
        <v>0</v>
      </c>
      <c r="T18" s="109">
        <f t="shared" si="6"/>
        <v>0</v>
      </c>
      <c r="U18" s="107">
        <f t="shared" si="7"/>
        <v>0</v>
      </c>
      <c r="V18" s="107">
        <f t="shared" si="8"/>
        <v>0</v>
      </c>
      <c r="W18" s="107">
        <f t="shared" si="9"/>
        <v>0</v>
      </c>
      <c r="X18" s="107">
        <f t="shared" si="9"/>
        <v>0</v>
      </c>
      <c r="Y18" s="107">
        <f t="shared" si="10"/>
        <v>0</v>
      </c>
      <c r="Z18" s="106">
        <f t="shared" si="11"/>
        <v>0</v>
      </c>
      <c r="AA18" s="106">
        <f t="shared" si="12"/>
        <v>0</v>
      </c>
      <c r="AB18" s="106">
        <f t="shared" si="13"/>
        <v>0</v>
      </c>
      <c r="AC18" s="106">
        <f t="shared" si="13"/>
        <v>0</v>
      </c>
      <c r="AD18" s="106">
        <f t="shared" si="14"/>
        <v>0</v>
      </c>
    </row>
    <row r="19" spans="1:30">
      <c r="A19" s="165">
        <v>1</v>
      </c>
      <c r="B19" s="164" t="s">
        <v>263</v>
      </c>
      <c r="C19" s="163"/>
      <c r="D19" s="162" t="s">
        <v>83</v>
      </c>
      <c r="E19" s="158">
        <f>+IF($A19="",IF($C19="",SUMIFS(全伝票!I:I,全伝票!$B:$B,$B19),SUMIFS(全伝票!I:I,全伝票!$C:$C,$C19)),IF($C19="",SUMIFS(全伝票!I:I,全伝票!$A:$A,$A19,全伝票!$B:$B,$B19),SUMIFS(全伝票!I:I,全伝票!$A:$A,$A19,全伝票!$C:$C,$C19)))</f>
        <v>0</v>
      </c>
      <c r="F19" s="161">
        <f>+IF($A19="",IF($C19="",SUMIFS(全伝票!J:J,全伝票!$B:$B,$B19),SUMIFS(全伝票!J:J,全伝票!$C:$C,$C19)),IF($C19="",SUMIFS(全伝票!J:J,全伝票!$A:$A,$A19,全伝票!$B:$B,$B19),SUMIFS(全伝票!J:J,全伝票!$A:$A,$A19,全伝票!$C:$C,$C19)))</f>
        <v>0</v>
      </c>
      <c r="G19" s="160">
        <f>+IF($A19="",IF($C19="",SUMIFS(全伝票!K:K,全伝票!$B:$B,$B19),SUMIFS(全伝票!K:K,全伝票!$C:$C,$C19)),IF($C19="",SUMIFS(全伝票!K:K,全伝票!$A:$A,$A19,全伝票!$B:$B,$B19),SUMIFS(全伝票!K:K,全伝票!$A:$A,$A19,全伝票!$C:$C,$C19)))</f>
        <v>0</v>
      </c>
      <c r="H19" s="160">
        <f>+IF($A19="",IF($C19="",SUMIFS(全伝票!L:L,全伝票!$B:$B,$B19),SUMIFS(全伝票!L:L,全伝票!$C:$C,$C19)),IF($C19="",SUMIFS(全伝票!L:L,全伝票!$A:$A,$A19,全伝票!$B:$B,$B19),SUMIFS(全伝票!L:L,全伝票!$A:$A,$A19,全伝票!$C:$C,$C19)))</f>
        <v>0</v>
      </c>
      <c r="I19" s="159">
        <f>+IF($A19="",IF($C19="",SUMIFS(全伝票!M:M,全伝票!$B:$B,$B19),SUMIFS(全伝票!M:M,全伝票!$C:$C,$C19)),IF($C19="",SUMIFS(全伝票!M:M,全伝票!$A:$A,$A19,全伝票!$B:$B,$B19),SUMIFS(全伝票!M:M,全伝票!$A:$A,$A19,全伝票!$C:$C,$C19)))</f>
        <v>0</v>
      </c>
      <c r="J19" s="159">
        <f>+IF($A19="",IF($C19="",SUMIFS(全伝票!N:N,全伝票!$B:$B,$B19),SUMIFS(全伝票!N:N,全伝票!$C:$C,$C19)),IF($C19="",SUMIFS(全伝票!N:N,全伝票!$A:$A,$A19,全伝票!$B:$B,$B19),SUMIFS(全伝票!N:N,全伝票!$A:$A,$A19,全伝票!$C:$C,$C19)))</f>
        <v>0</v>
      </c>
      <c r="K19" s="34">
        <f t="shared" si="0"/>
        <v>0</v>
      </c>
      <c r="L19" s="158">
        <f>+IF($A19="",IF($C19="",SUMIFS(全伝票!O:O,全伝票!$B:$B,$B19),SUMIFS(全伝票!O:O,全伝票!$C:$C,$C19)),IF($C19="",SUMIFS(全伝票!O:O,全伝票!$A:$A,$A19,全伝票!$B:$B,$B19),SUMIFS(全伝票!O:O,全伝票!$A:$A,$A19,全伝票!$C:$C,$C19)))</f>
        <v>0</v>
      </c>
      <c r="M19" s="158">
        <f>+IF($A19="",IF($C19="",SUMIFS(全伝票!P:P,全伝票!$B:$B,$B19),SUMIFS(全伝票!P:P,全伝票!$C:$C,$C19)),IF($C19="",SUMIFS(全伝票!P:P,全伝票!$A:$A,$A19,全伝票!$B:$B,$B19),SUMIFS(全伝票!P:P,全伝票!$A:$A,$A19,全伝票!$C:$C,$C19)))</f>
        <v>0</v>
      </c>
      <c r="N19" s="108">
        <f t="shared" si="1"/>
        <v>0</v>
      </c>
      <c r="O19" s="25">
        <f t="shared" si="3"/>
        <v>0</v>
      </c>
      <c r="P19" s="25">
        <f t="shared" si="2"/>
        <v>0</v>
      </c>
      <c r="Q19" s="157">
        <f t="shared" si="3"/>
        <v>0</v>
      </c>
      <c r="R19" s="157">
        <f t="shared" si="4"/>
        <v>0</v>
      </c>
      <c r="S19" s="22">
        <f t="shared" si="5"/>
        <v>0</v>
      </c>
      <c r="T19" s="109">
        <f t="shared" si="6"/>
        <v>0</v>
      </c>
      <c r="U19" s="107">
        <f t="shared" si="7"/>
        <v>0</v>
      </c>
      <c r="V19" s="107">
        <f t="shared" si="8"/>
        <v>0</v>
      </c>
      <c r="W19" s="107">
        <f t="shared" si="9"/>
        <v>0</v>
      </c>
      <c r="X19" s="107">
        <f t="shared" si="9"/>
        <v>0</v>
      </c>
      <c r="Y19" s="107">
        <f t="shared" si="10"/>
        <v>0</v>
      </c>
      <c r="Z19" s="106">
        <f t="shared" si="11"/>
        <v>0</v>
      </c>
      <c r="AA19" s="106">
        <f t="shared" si="12"/>
        <v>0</v>
      </c>
      <c r="AB19" s="106">
        <f t="shared" si="13"/>
        <v>0</v>
      </c>
      <c r="AC19" s="106">
        <f t="shared" si="13"/>
        <v>0</v>
      </c>
      <c r="AD19" s="106">
        <f t="shared" si="14"/>
        <v>0</v>
      </c>
    </row>
    <row r="20" spans="1:30">
      <c r="A20" s="165">
        <v>1</v>
      </c>
      <c r="B20" s="164" t="s">
        <v>262</v>
      </c>
      <c r="C20" s="163"/>
      <c r="D20" s="162" t="s">
        <v>81</v>
      </c>
      <c r="E20" s="158">
        <f>+IF($A20="",IF($C20="",SUMIFS(全伝票!I:I,全伝票!$B:$B,$B20),SUMIFS(全伝票!I:I,全伝票!$C:$C,$C20)),IF($C20="",SUMIFS(全伝票!I:I,全伝票!$A:$A,$A20,全伝票!$B:$B,$B20),SUMIFS(全伝票!I:I,全伝票!$A:$A,$A20,全伝票!$C:$C,$C20)))</f>
        <v>16474337</v>
      </c>
      <c r="F20" s="161">
        <f>+IF($A20="",IF($C20="",SUMIFS(全伝票!J:J,全伝票!$B:$B,$B20),SUMIFS(全伝票!J:J,全伝票!$C:$C,$C20)),IF($C20="",SUMIFS(全伝票!J:J,全伝票!$A:$A,$A20,全伝票!$B:$B,$B20),SUMIFS(全伝票!J:J,全伝票!$A:$A,$A20,全伝票!$C:$C,$C20)))</f>
        <v>0</v>
      </c>
      <c r="G20" s="160">
        <f>+IF($A20="",IF($C20="",SUMIFS(全伝票!K:K,全伝票!$B:$B,$B20),SUMIFS(全伝票!K:K,全伝票!$C:$C,$C20)),IF($C20="",SUMIFS(全伝票!K:K,全伝票!$A:$A,$A20,全伝票!$B:$B,$B20),SUMIFS(全伝票!K:K,全伝票!$A:$A,$A20,全伝票!$C:$C,$C20)))</f>
        <v>0</v>
      </c>
      <c r="H20" s="160">
        <f>+IF($A20="",IF($C20="",SUMIFS(全伝票!L:L,全伝票!$B:$B,$B20),SUMIFS(全伝票!L:L,全伝票!$C:$C,$C20)),IF($C20="",SUMIFS(全伝票!L:L,全伝票!$A:$A,$A20,全伝票!$B:$B,$B20),SUMIFS(全伝票!L:L,全伝票!$A:$A,$A20,全伝票!$C:$C,$C20)))</f>
        <v>0</v>
      </c>
      <c r="I20" s="159">
        <f>+IF($A20="",IF($C20="",SUMIFS(全伝票!M:M,全伝票!$B:$B,$B20),SUMIFS(全伝票!M:M,全伝票!$C:$C,$C20)),IF($C20="",SUMIFS(全伝票!M:M,全伝票!$A:$A,$A20,全伝票!$B:$B,$B20),SUMIFS(全伝票!M:M,全伝票!$A:$A,$A20,全伝票!$C:$C,$C20)))</f>
        <v>0</v>
      </c>
      <c r="J20" s="159">
        <f>+IF($A20="",IF($C20="",SUMIFS(全伝票!N:N,全伝票!$B:$B,$B20),SUMIFS(全伝票!N:N,全伝票!$C:$C,$C20)),IF($C20="",SUMIFS(全伝票!N:N,全伝票!$A:$A,$A20,全伝票!$B:$B,$B20),SUMIFS(全伝票!N:N,全伝票!$A:$A,$A20,全伝票!$C:$C,$C20)))</f>
        <v>16474337</v>
      </c>
      <c r="K20" s="34">
        <f t="shared" si="0"/>
        <v>16474337</v>
      </c>
      <c r="L20" s="158">
        <f>+IF($A20="",IF($C20="",SUMIFS(全伝票!O:O,全伝票!$B:$B,$B20),SUMIFS(全伝票!O:O,全伝票!$C:$C,$C20)),IF($C20="",SUMIFS(全伝票!O:O,全伝票!$A:$A,$A20,全伝票!$B:$B,$B20),SUMIFS(全伝票!O:O,全伝票!$A:$A,$A20,全伝票!$C:$C,$C20)))</f>
        <v>0</v>
      </c>
      <c r="M20" s="158">
        <f>+IF($A20="",IF($C20="",SUMIFS(全伝票!P:P,全伝票!$B:$B,$B20),SUMIFS(全伝票!P:P,全伝票!$C:$C,$C20)),IF($C20="",SUMIFS(全伝票!P:P,全伝票!$A:$A,$A20,全伝票!$B:$B,$B20),SUMIFS(全伝票!P:P,全伝票!$A:$A,$A20,全伝票!$C:$C,$C20)))</f>
        <v>0</v>
      </c>
      <c r="N20" s="108">
        <f t="shared" si="1"/>
        <v>0</v>
      </c>
      <c r="O20" s="25">
        <f t="shared" si="3"/>
        <v>0</v>
      </c>
      <c r="P20" s="25">
        <f t="shared" si="2"/>
        <v>0</v>
      </c>
      <c r="Q20" s="157">
        <f t="shared" si="3"/>
        <v>0</v>
      </c>
      <c r="R20" s="157">
        <f t="shared" si="4"/>
        <v>1497667</v>
      </c>
      <c r="S20" s="22">
        <f t="shared" si="5"/>
        <v>1497667</v>
      </c>
      <c r="T20" s="109">
        <f t="shared" si="6"/>
        <v>14976670</v>
      </c>
      <c r="U20" s="107">
        <f t="shared" si="7"/>
        <v>0</v>
      </c>
      <c r="V20" s="107">
        <f t="shared" si="8"/>
        <v>0</v>
      </c>
      <c r="W20" s="107">
        <f t="shared" si="9"/>
        <v>0</v>
      </c>
      <c r="X20" s="107">
        <f t="shared" si="9"/>
        <v>0</v>
      </c>
      <c r="Y20" s="107">
        <f t="shared" si="10"/>
        <v>0</v>
      </c>
      <c r="Z20" s="106">
        <f t="shared" si="11"/>
        <v>0</v>
      </c>
      <c r="AA20" s="106">
        <f t="shared" si="12"/>
        <v>0</v>
      </c>
      <c r="AB20" s="106">
        <f t="shared" si="13"/>
        <v>0</v>
      </c>
      <c r="AC20" s="106">
        <f t="shared" si="13"/>
        <v>0</v>
      </c>
      <c r="AD20" s="106">
        <f t="shared" si="14"/>
        <v>0</v>
      </c>
    </row>
    <row r="21" spans="1:30">
      <c r="A21" s="165">
        <v>1</v>
      </c>
      <c r="B21" s="164" t="s">
        <v>261</v>
      </c>
      <c r="C21" s="163"/>
      <c r="D21" s="162" t="s">
        <v>79</v>
      </c>
      <c r="E21" s="158">
        <f>+IF($A21="",IF($C21="",SUMIFS(全伝票!I:I,全伝票!$B:$B,$B21),SUMIFS(全伝票!I:I,全伝票!$C:$C,$C21)),IF($C21="",SUMIFS(全伝票!I:I,全伝票!$A:$A,$A21,全伝票!$B:$B,$B21),SUMIFS(全伝票!I:I,全伝票!$A:$A,$A21,全伝票!$C:$C,$C21)))</f>
        <v>116949</v>
      </c>
      <c r="F21" s="161">
        <f>+IF($A21="",IF($C21="",SUMIFS(全伝票!J:J,全伝票!$B:$B,$B21),SUMIFS(全伝票!J:J,全伝票!$C:$C,$C21)),IF($C21="",SUMIFS(全伝票!J:J,全伝票!$A:$A,$A21,全伝票!$B:$B,$B21),SUMIFS(全伝票!J:J,全伝票!$A:$A,$A21,全伝票!$C:$C,$C21)))</f>
        <v>0</v>
      </c>
      <c r="G21" s="160">
        <f>+IF($A21="",IF($C21="",SUMIFS(全伝票!K:K,全伝票!$B:$B,$B21),SUMIFS(全伝票!K:K,全伝票!$C:$C,$C21)),IF($C21="",SUMIFS(全伝票!K:K,全伝票!$A:$A,$A21,全伝票!$B:$B,$B21),SUMIFS(全伝票!K:K,全伝票!$A:$A,$A21,全伝票!$C:$C,$C21)))</f>
        <v>0</v>
      </c>
      <c r="H21" s="160">
        <f>+IF($A21="",IF($C21="",SUMIFS(全伝票!L:L,全伝票!$B:$B,$B21),SUMIFS(全伝票!L:L,全伝票!$C:$C,$C21)),IF($C21="",SUMIFS(全伝票!L:L,全伝票!$A:$A,$A21,全伝票!$B:$B,$B21),SUMIFS(全伝票!L:L,全伝票!$A:$A,$A21,全伝票!$C:$C,$C21)))</f>
        <v>0</v>
      </c>
      <c r="I21" s="159">
        <f>+IF($A21="",IF($C21="",SUMIFS(全伝票!M:M,全伝票!$B:$B,$B21),SUMIFS(全伝票!M:M,全伝票!$C:$C,$C21)),IF($C21="",SUMIFS(全伝票!M:M,全伝票!$A:$A,$A21,全伝票!$B:$B,$B21),SUMIFS(全伝票!M:M,全伝票!$A:$A,$A21,全伝票!$C:$C,$C21)))</f>
        <v>0</v>
      </c>
      <c r="J21" s="159">
        <f>+IF($A21="",IF($C21="",SUMIFS(全伝票!N:N,全伝票!$B:$B,$B21),SUMIFS(全伝票!N:N,全伝票!$C:$C,$C21)),IF($C21="",SUMIFS(全伝票!N:N,全伝票!$A:$A,$A21,全伝票!$B:$B,$B21),SUMIFS(全伝票!N:N,全伝票!$A:$A,$A21,全伝票!$C:$C,$C21)))</f>
        <v>116949</v>
      </c>
      <c r="K21" s="34">
        <f t="shared" si="0"/>
        <v>116949</v>
      </c>
      <c r="L21" s="158">
        <f>+IF($A21="",IF($C21="",SUMIFS(全伝票!O:O,全伝票!$B:$B,$B21),SUMIFS(全伝票!O:O,全伝票!$C:$C,$C21)),IF($C21="",SUMIFS(全伝票!O:O,全伝票!$A:$A,$A21,全伝票!$B:$B,$B21),SUMIFS(全伝票!O:O,全伝票!$A:$A,$A21,全伝票!$C:$C,$C21)))</f>
        <v>0</v>
      </c>
      <c r="M21" s="158">
        <f>+IF($A21="",IF($C21="",SUMIFS(全伝票!P:P,全伝票!$B:$B,$B21),SUMIFS(全伝票!P:P,全伝票!$C:$C,$C21)),IF($C21="",SUMIFS(全伝票!P:P,全伝票!$A:$A,$A21,全伝票!$B:$B,$B21),SUMIFS(全伝票!P:P,全伝票!$A:$A,$A21,全伝票!$C:$C,$C21)))</f>
        <v>0</v>
      </c>
      <c r="N21" s="108">
        <f t="shared" si="1"/>
        <v>0</v>
      </c>
      <c r="O21" s="25">
        <f t="shared" si="3"/>
        <v>0</v>
      </c>
      <c r="P21" s="25">
        <f t="shared" si="2"/>
        <v>0</v>
      </c>
      <c r="Q21" s="157">
        <f t="shared" si="3"/>
        <v>0</v>
      </c>
      <c r="R21" s="157">
        <f t="shared" si="4"/>
        <v>10632</v>
      </c>
      <c r="S21" s="22">
        <f t="shared" si="5"/>
        <v>10632</v>
      </c>
      <c r="T21" s="109">
        <f t="shared" si="6"/>
        <v>106317</v>
      </c>
      <c r="U21" s="107">
        <f t="shared" si="7"/>
        <v>0</v>
      </c>
      <c r="V21" s="107">
        <f t="shared" si="8"/>
        <v>0</v>
      </c>
      <c r="W21" s="107">
        <f t="shared" si="9"/>
        <v>0</v>
      </c>
      <c r="X21" s="107">
        <f t="shared" si="9"/>
        <v>0</v>
      </c>
      <c r="Y21" s="107">
        <f t="shared" si="10"/>
        <v>0.27272727272793418</v>
      </c>
      <c r="Z21" s="106">
        <f t="shared" si="11"/>
        <v>0</v>
      </c>
      <c r="AA21" s="106">
        <f t="shared" si="12"/>
        <v>0</v>
      </c>
      <c r="AB21" s="106">
        <f t="shared" si="13"/>
        <v>0</v>
      </c>
      <c r="AC21" s="106">
        <f t="shared" si="13"/>
        <v>0</v>
      </c>
      <c r="AD21" s="106">
        <f t="shared" si="14"/>
        <v>0</v>
      </c>
    </row>
    <row r="22" spans="1:30">
      <c r="A22" s="165">
        <v>1</v>
      </c>
      <c r="B22" s="164" t="s">
        <v>260</v>
      </c>
      <c r="C22" s="163"/>
      <c r="D22" s="162" t="s">
        <v>77</v>
      </c>
      <c r="E22" s="158">
        <f>+IF($A22="",IF($C22="",SUMIFS(全伝票!I:I,全伝票!$B:$B,$B22),SUMIFS(全伝票!I:I,全伝票!$C:$C,$C22)),IF($C22="",SUMIFS(全伝票!I:I,全伝票!$A:$A,$A22,全伝票!$B:$B,$B22),SUMIFS(全伝票!I:I,全伝票!$A:$A,$A22,全伝票!$C:$C,$C22)))</f>
        <v>0</v>
      </c>
      <c r="F22" s="161">
        <f>+IF($A22="",IF($C22="",SUMIFS(全伝票!J:J,全伝票!$B:$B,$B22),SUMIFS(全伝票!J:J,全伝票!$C:$C,$C22)),IF($C22="",SUMIFS(全伝票!J:J,全伝票!$A:$A,$A22,全伝票!$B:$B,$B22),SUMIFS(全伝票!J:J,全伝票!$A:$A,$A22,全伝票!$C:$C,$C22)))</f>
        <v>0</v>
      </c>
      <c r="G22" s="160">
        <f>+IF($A22="",IF($C22="",SUMIFS(全伝票!K:K,全伝票!$B:$B,$B22),SUMIFS(全伝票!K:K,全伝票!$C:$C,$C22)),IF($C22="",SUMIFS(全伝票!K:K,全伝票!$A:$A,$A22,全伝票!$B:$B,$B22),SUMIFS(全伝票!K:K,全伝票!$A:$A,$A22,全伝票!$C:$C,$C22)))</f>
        <v>0</v>
      </c>
      <c r="H22" s="160">
        <f>+IF($A22="",IF($C22="",SUMIFS(全伝票!L:L,全伝票!$B:$B,$B22),SUMIFS(全伝票!L:L,全伝票!$C:$C,$C22)),IF($C22="",SUMIFS(全伝票!L:L,全伝票!$A:$A,$A22,全伝票!$B:$B,$B22),SUMIFS(全伝票!L:L,全伝票!$A:$A,$A22,全伝票!$C:$C,$C22)))</f>
        <v>0</v>
      </c>
      <c r="I22" s="159">
        <f>+IF($A22="",IF($C22="",SUMIFS(全伝票!M:M,全伝票!$B:$B,$B22),SUMIFS(全伝票!M:M,全伝票!$C:$C,$C22)),IF($C22="",SUMIFS(全伝票!M:M,全伝票!$A:$A,$A22,全伝票!$B:$B,$B22),SUMIFS(全伝票!M:M,全伝票!$A:$A,$A22,全伝票!$C:$C,$C22)))</f>
        <v>0</v>
      </c>
      <c r="J22" s="159">
        <f>+IF($A22="",IF($C22="",SUMIFS(全伝票!N:N,全伝票!$B:$B,$B22),SUMIFS(全伝票!N:N,全伝票!$C:$C,$C22)),IF($C22="",SUMIFS(全伝票!N:N,全伝票!$A:$A,$A22,全伝票!$B:$B,$B22),SUMIFS(全伝票!N:N,全伝票!$A:$A,$A22,全伝票!$C:$C,$C22)))</f>
        <v>0</v>
      </c>
      <c r="K22" s="34">
        <f t="shared" si="0"/>
        <v>0</v>
      </c>
      <c r="L22" s="158">
        <f>+IF($A22="",IF($C22="",SUMIFS(全伝票!O:O,全伝票!$B:$B,$B22),SUMIFS(全伝票!O:O,全伝票!$C:$C,$C22)),IF($C22="",SUMIFS(全伝票!O:O,全伝票!$A:$A,$A22,全伝票!$B:$B,$B22),SUMIFS(全伝票!O:O,全伝票!$A:$A,$A22,全伝票!$C:$C,$C22)))</f>
        <v>0</v>
      </c>
      <c r="M22" s="158">
        <f>+IF($A22="",IF($C22="",SUMIFS(全伝票!P:P,全伝票!$B:$B,$B22),SUMIFS(全伝票!P:P,全伝票!$C:$C,$C22)),IF($C22="",SUMIFS(全伝票!P:P,全伝票!$A:$A,$A22,全伝票!$B:$B,$B22),SUMIFS(全伝票!P:P,全伝票!$A:$A,$A22,全伝票!$C:$C,$C22)))</f>
        <v>0</v>
      </c>
      <c r="N22" s="108">
        <f t="shared" si="1"/>
        <v>0</v>
      </c>
      <c r="O22" s="25">
        <f t="shared" si="3"/>
        <v>0</v>
      </c>
      <c r="P22" s="25">
        <f t="shared" si="2"/>
        <v>0</v>
      </c>
      <c r="Q22" s="157">
        <f t="shared" si="3"/>
        <v>0</v>
      </c>
      <c r="R22" s="157">
        <f t="shared" si="4"/>
        <v>0</v>
      </c>
      <c r="S22" s="22">
        <f t="shared" si="5"/>
        <v>0</v>
      </c>
      <c r="T22" s="109">
        <f t="shared" si="6"/>
        <v>0</v>
      </c>
      <c r="U22" s="107">
        <f t="shared" si="7"/>
        <v>0</v>
      </c>
      <c r="V22" s="107">
        <f t="shared" si="8"/>
        <v>0</v>
      </c>
      <c r="W22" s="107">
        <f t="shared" si="9"/>
        <v>0</v>
      </c>
      <c r="X22" s="107">
        <f t="shared" si="9"/>
        <v>0</v>
      </c>
      <c r="Y22" s="107">
        <f t="shared" si="10"/>
        <v>0</v>
      </c>
      <c r="Z22" s="106">
        <f t="shared" si="11"/>
        <v>0</v>
      </c>
      <c r="AA22" s="106">
        <f t="shared" si="12"/>
        <v>0</v>
      </c>
      <c r="AB22" s="106">
        <f t="shared" si="13"/>
        <v>0</v>
      </c>
      <c r="AC22" s="106">
        <f t="shared" si="13"/>
        <v>0</v>
      </c>
      <c r="AD22" s="106">
        <f t="shared" si="14"/>
        <v>0</v>
      </c>
    </row>
    <row r="23" spans="1:30">
      <c r="A23" s="165">
        <v>1</v>
      </c>
      <c r="B23" s="164" t="s">
        <v>259</v>
      </c>
      <c r="C23" s="163"/>
      <c r="D23" s="162" t="s">
        <v>75</v>
      </c>
      <c r="E23" s="158">
        <f>+IF($A23="",IF($C23="",SUMIFS(全伝票!I:I,全伝票!$B:$B,$B23),SUMIFS(全伝票!I:I,全伝票!$C:$C,$C23)),IF($C23="",SUMIFS(全伝票!I:I,全伝票!$A:$A,$A23,全伝票!$B:$B,$B23),SUMIFS(全伝票!I:I,全伝票!$A:$A,$A23,全伝票!$C:$C,$C23)))</f>
        <v>0</v>
      </c>
      <c r="F23" s="161">
        <f>+IF($A23="",IF($C23="",SUMIFS(全伝票!J:J,全伝票!$B:$B,$B23),SUMIFS(全伝票!J:J,全伝票!$C:$C,$C23)),IF($C23="",SUMIFS(全伝票!J:J,全伝票!$A:$A,$A23,全伝票!$B:$B,$B23),SUMIFS(全伝票!J:J,全伝票!$A:$A,$A23,全伝票!$C:$C,$C23)))</f>
        <v>0</v>
      </c>
      <c r="G23" s="160">
        <f>+IF($A23="",IF($C23="",SUMIFS(全伝票!K:K,全伝票!$B:$B,$B23),SUMIFS(全伝票!K:K,全伝票!$C:$C,$C23)),IF($C23="",SUMIFS(全伝票!K:K,全伝票!$A:$A,$A23,全伝票!$B:$B,$B23),SUMIFS(全伝票!K:K,全伝票!$A:$A,$A23,全伝票!$C:$C,$C23)))</f>
        <v>0</v>
      </c>
      <c r="H23" s="160">
        <f>+IF($A23="",IF($C23="",SUMIFS(全伝票!L:L,全伝票!$B:$B,$B23),SUMIFS(全伝票!L:L,全伝票!$C:$C,$C23)),IF($C23="",SUMIFS(全伝票!L:L,全伝票!$A:$A,$A23,全伝票!$B:$B,$B23),SUMIFS(全伝票!L:L,全伝票!$A:$A,$A23,全伝票!$C:$C,$C23)))</f>
        <v>0</v>
      </c>
      <c r="I23" s="159">
        <f>+IF($A23="",IF($C23="",SUMIFS(全伝票!M:M,全伝票!$B:$B,$B23),SUMIFS(全伝票!M:M,全伝票!$C:$C,$C23)),IF($C23="",SUMIFS(全伝票!M:M,全伝票!$A:$A,$A23,全伝票!$B:$B,$B23),SUMIFS(全伝票!M:M,全伝票!$A:$A,$A23,全伝票!$C:$C,$C23)))</f>
        <v>0</v>
      </c>
      <c r="J23" s="159">
        <f>+IF($A23="",IF($C23="",SUMIFS(全伝票!N:N,全伝票!$B:$B,$B23),SUMIFS(全伝票!N:N,全伝票!$C:$C,$C23)),IF($C23="",SUMIFS(全伝票!N:N,全伝票!$A:$A,$A23,全伝票!$B:$B,$B23),SUMIFS(全伝票!N:N,全伝票!$A:$A,$A23,全伝票!$C:$C,$C23)))</f>
        <v>0</v>
      </c>
      <c r="K23" s="34">
        <f t="shared" si="0"/>
        <v>0</v>
      </c>
      <c r="L23" s="158">
        <f>+IF($A23="",IF($C23="",SUMIFS(全伝票!O:O,全伝票!$B:$B,$B23),SUMIFS(全伝票!O:O,全伝票!$C:$C,$C23)),IF($C23="",SUMIFS(全伝票!O:O,全伝票!$A:$A,$A23,全伝票!$B:$B,$B23),SUMIFS(全伝票!O:O,全伝票!$A:$A,$A23,全伝票!$C:$C,$C23)))</f>
        <v>0</v>
      </c>
      <c r="M23" s="158">
        <f>+IF($A23="",IF($C23="",SUMIFS(全伝票!P:P,全伝票!$B:$B,$B23),SUMIFS(全伝票!P:P,全伝票!$C:$C,$C23)),IF($C23="",SUMIFS(全伝票!P:P,全伝票!$A:$A,$A23,全伝票!$B:$B,$B23),SUMIFS(全伝票!P:P,全伝票!$A:$A,$A23,全伝票!$C:$C,$C23)))</f>
        <v>0</v>
      </c>
      <c r="N23" s="108">
        <f t="shared" si="1"/>
        <v>0</v>
      </c>
      <c r="O23" s="25">
        <f t="shared" si="3"/>
        <v>0</v>
      </c>
      <c r="P23" s="25">
        <f t="shared" si="2"/>
        <v>0</v>
      </c>
      <c r="Q23" s="157">
        <f t="shared" si="3"/>
        <v>0</v>
      </c>
      <c r="R23" s="157">
        <f t="shared" si="4"/>
        <v>0</v>
      </c>
      <c r="S23" s="22">
        <f t="shared" si="5"/>
        <v>0</v>
      </c>
      <c r="T23" s="109">
        <f t="shared" si="6"/>
        <v>0</v>
      </c>
      <c r="U23" s="107">
        <f t="shared" si="7"/>
        <v>0</v>
      </c>
      <c r="V23" s="107">
        <f t="shared" si="8"/>
        <v>0</v>
      </c>
      <c r="W23" s="107">
        <f t="shared" si="9"/>
        <v>0</v>
      </c>
      <c r="X23" s="107">
        <f t="shared" si="9"/>
        <v>0</v>
      </c>
      <c r="Y23" s="107">
        <f t="shared" si="10"/>
        <v>0</v>
      </c>
      <c r="Z23" s="106">
        <f t="shared" si="11"/>
        <v>0</v>
      </c>
      <c r="AA23" s="106">
        <f t="shared" si="12"/>
        <v>0</v>
      </c>
      <c r="AB23" s="106">
        <f t="shared" si="13"/>
        <v>0</v>
      </c>
      <c r="AC23" s="106">
        <f t="shared" si="13"/>
        <v>0</v>
      </c>
      <c r="AD23" s="106">
        <f t="shared" si="14"/>
        <v>0</v>
      </c>
    </row>
    <row r="24" spans="1:30">
      <c r="A24" s="165">
        <v>1</v>
      </c>
      <c r="B24" s="164" t="s">
        <v>258</v>
      </c>
      <c r="C24" s="163"/>
      <c r="D24" s="162" t="s">
        <v>73</v>
      </c>
      <c r="E24" s="158">
        <f>+IF($A24="",IF($C24="",SUMIFS(全伝票!I:I,全伝票!$B:$B,$B24),SUMIFS(全伝票!I:I,全伝票!$C:$C,$C24)),IF($C24="",SUMIFS(全伝票!I:I,全伝票!$A:$A,$A24,全伝票!$B:$B,$B24),SUMIFS(全伝票!I:I,全伝票!$A:$A,$A24,全伝票!$C:$C,$C24)))</f>
        <v>0</v>
      </c>
      <c r="F24" s="161">
        <f>+IF($A24="",IF($C24="",SUMIFS(全伝票!J:J,全伝票!$B:$B,$B24),SUMIFS(全伝票!J:J,全伝票!$C:$C,$C24)),IF($C24="",SUMIFS(全伝票!J:J,全伝票!$A:$A,$A24,全伝票!$B:$B,$B24),SUMIFS(全伝票!J:J,全伝票!$A:$A,$A24,全伝票!$C:$C,$C24)))</f>
        <v>0</v>
      </c>
      <c r="G24" s="160">
        <f>+IF($A24="",IF($C24="",SUMIFS(全伝票!K:K,全伝票!$B:$B,$B24),SUMIFS(全伝票!K:K,全伝票!$C:$C,$C24)),IF($C24="",SUMIFS(全伝票!K:K,全伝票!$A:$A,$A24,全伝票!$B:$B,$B24),SUMIFS(全伝票!K:K,全伝票!$A:$A,$A24,全伝票!$C:$C,$C24)))</f>
        <v>0</v>
      </c>
      <c r="H24" s="160">
        <f>+IF($A24="",IF($C24="",SUMIFS(全伝票!L:L,全伝票!$B:$B,$B24),SUMIFS(全伝票!L:L,全伝票!$C:$C,$C24)),IF($C24="",SUMIFS(全伝票!L:L,全伝票!$A:$A,$A24,全伝票!$B:$B,$B24),SUMIFS(全伝票!L:L,全伝票!$A:$A,$A24,全伝票!$C:$C,$C24)))</f>
        <v>0</v>
      </c>
      <c r="I24" s="159">
        <f>+IF($A24="",IF($C24="",SUMIFS(全伝票!M:M,全伝票!$B:$B,$B24),SUMIFS(全伝票!M:M,全伝票!$C:$C,$C24)),IF($C24="",SUMIFS(全伝票!M:M,全伝票!$A:$A,$A24,全伝票!$B:$B,$B24),SUMIFS(全伝票!M:M,全伝票!$A:$A,$A24,全伝票!$C:$C,$C24)))</f>
        <v>0</v>
      </c>
      <c r="J24" s="159">
        <f>+IF($A24="",IF($C24="",SUMIFS(全伝票!N:N,全伝票!$B:$B,$B24),SUMIFS(全伝票!N:N,全伝票!$C:$C,$C24)),IF($C24="",SUMIFS(全伝票!N:N,全伝票!$A:$A,$A24,全伝票!$B:$B,$B24),SUMIFS(全伝票!N:N,全伝票!$A:$A,$A24,全伝票!$C:$C,$C24)))</f>
        <v>0</v>
      </c>
      <c r="K24" s="34">
        <f t="shared" si="0"/>
        <v>0</v>
      </c>
      <c r="L24" s="158">
        <f>+IF($A24="",IF($C24="",SUMIFS(全伝票!O:O,全伝票!$B:$B,$B24),SUMIFS(全伝票!O:O,全伝票!$C:$C,$C24)),IF($C24="",SUMIFS(全伝票!O:O,全伝票!$A:$A,$A24,全伝票!$B:$B,$B24),SUMIFS(全伝票!O:O,全伝票!$A:$A,$A24,全伝票!$C:$C,$C24)))</f>
        <v>0</v>
      </c>
      <c r="M24" s="158">
        <f>+IF($A24="",IF($C24="",SUMIFS(全伝票!P:P,全伝票!$B:$B,$B24),SUMIFS(全伝票!P:P,全伝票!$C:$C,$C24)),IF($C24="",SUMIFS(全伝票!P:P,全伝票!$A:$A,$A24,全伝票!$B:$B,$B24),SUMIFS(全伝票!P:P,全伝票!$A:$A,$A24,全伝票!$C:$C,$C24)))</f>
        <v>0</v>
      </c>
      <c r="N24" s="108">
        <f t="shared" si="1"/>
        <v>0</v>
      </c>
      <c r="O24" s="25">
        <f t="shared" si="3"/>
        <v>0</v>
      </c>
      <c r="P24" s="25">
        <f t="shared" si="2"/>
        <v>0</v>
      </c>
      <c r="Q24" s="157">
        <f t="shared" si="3"/>
        <v>0</v>
      </c>
      <c r="R24" s="157">
        <f t="shared" si="4"/>
        <v>0</v>
      </c>
      <c r="S24" s="22">
        <f t="shared" si="5"/>
        <v>0</v>
      </c>
      <c r="T24" s="109">
        <f t="shared" si="6"/>
        <v>0</v>
      </c>
      <c r="U24" s="107">
        <f t="shared" si="7"/>
        <v>0</v>
      </c>
      <c r="V24" s="107">
        <f t="shared" si="8"/>
        <v>0</v>
      </c>
      <c r="W24" s="107">
        <f t="shared" si="9"/>
        <v>0</v>
      </c>
      <c r="X24" s="107">
        <f t="shared" si="9"/>
        <v>0</v>
      </c>
      <c r="Y24" s="107">
        <f t="shared" si="10"/>
        <v>0</v>
      </c>
      <c r="Z24" s="106">
        <f t="shared" si="11"/>
        <v>0</v>
      </c>
      <c r="AA24" s="106">
        <f t="shared" si="12"/>
        <v>0</v>
      </c>
      <c r="AB24" s="106">
        <f t="shared" si="13"/>
        <v>0</v>
      </c>
      <c r="AC24" s="106">
        <f t="shared" si="13"/>
        <v>0</v>
      </c>
      <c r="AD24" s="106">
        <f t="shared" si="14"/>
        <v>0</v>
      </c>
    </row>
    <row r="25" spans="1:30">
      <c r="A25" s="165">
        <v>1</v>
      </c>
      <c r="B25" s="164" t="s">
        <v>256</v>
      </c>
      <c r="C25" s="163" t="s">
        <v>257</v>
      </c>
      <c r="D25" s="162" t="s">
        <v>71</v>
      </c>
      <c r="E25" s="158">
        <f>+IF($A25="",IF($C25="",SUMIFS(全伝票!I:I,全伝票!$B:$B,$B25),SUMIFS(全伝票!I:I,全伝票!$C:$C,$C25)),IF($C25="",SUMIFS(全伝票!I:I,全伝票!$A:$A,$A25,全伝票!$B:$B,$B25),SUMIFS(全伝票!I:I,全伝票!$A:$A,$A25,全伝票!$C:$C,$C25)))</f>
        <v>0</v>
      </c>
      <c r="F25" s="161">
        <f>+IF($A25="",IF($C25="",SUMIFS(全伝票!J:J,全伝票!$B:$B,$B25),SUMIFS(全伝票!J:J,全伝票!$C:$C,$C25)),IF($C25="",SUMIFS(全伝票!J:J,全伝票!$A:$A,$A25,全伝票!$B:$B,$B25),SUMIFS(全伝票!J:J,全伝票!$A:$A,$A25,全伝票!$C:$C,$C25)))</f>
        <v>0</v>
      </c>
      <c r="G25" s="160">
        <f>+IF($A25="",IF($C25="",SUMIFS(全伝票!K:K,全伝票!$B:$B,$B25),SUMIFS(全伝票!K:K,全伝票!$C:$C,$C25)),IF($C25="",SUMIFS(全伝票!K:K,全伝票!$A:$A,$A25,全伝票!$B:$B,$B25),SUMIFS(全伝票!K:K,全伝票!$A:$A,$A25,全伝票!$C:$C,$C25)))</f>
        <v>0</v>
      </c>
      <c r="H25" s="160">
        <f>+IF($A25="",IF($C25="",SUMIFS(全伝票!L:L,全伝票!$B:$B,$B25),SUMIFS(全伝票!L:L,全伝票!$C:$C,$C25)),IF($C25="",SUMIFS(全伝票!L:L,全伝票!$A:$A,$A25,全伝票!$B:$B,$B25),SUMIFS(全伝票!L:L,全伝票!$A:$A,$A25,全伝票!$C:$C,$C25)))</f>
        <v>0</v>
      </c>
      <c r="I25" s="159">
        <f>+IF($A25="",IF($C25="",SUMIFS(全伝票!M:M,全伝票!$B:$B,$B25),SUMIFS(全伝票!M:M,全伝票!$C:$C,$C25)),IF($C25="",SUMIFS(全伝票!M:M,全伝票!$A:$A,$A25,全伝票!$B:$B,$B25),SUMIFS(全伝票!M:M,全伝票!$A:$A,$A25,全伝票!$C:$C,$C25)))</f>
        <v>0</v>
      </c>
      <c r="J25" s="159">
        <f>+IF($A25="",IF($C25="",SUMIFS(全伝票!N:N,全伝票!$B:$B,$B25),SUMIFS(全伝票!N:N,全伝票!$C:$C,$C25)),IF($C25="",SUMIFS(全伝票!N:N,全伝票!$A:$A,$A25,全伝票!$B:$B,$B25),SUMIFS(全伝票!N:N,全伝票!$A:$A,$A25,全伝票!$C:$C,$C25)))</f>
        <v>0</v>
      </c>
      <c r="K25" s="34">
        <f t="shared" si="0"/>
        <v>0</v>
      </c>
      <c r="L25" s="158">
        <f>+IF($A25="",IF($C25="",SUMIFS(全伝票!O:O,全伝票!$B:$B,$B25),SUMIFS(全伝票!O:O,全伝票!$C:$C,$C25)),IF($C25="",SUMIFS(全伝票!O:O,全伝票!$A:$A,$A25,全伝票!$B:$B,$B25),SUMIFS(全伝票!O:O,全伝票!$A:$A,$A25,全伝票!$C:$C,$C25)))</f>
        <v>0</v>
      </c>
      <c r="M25" s="158">
        <f>+IF($A25="",IF($C25="",SUMIFS(全伝票!P:P,全伝票!$B:$B,$B25),SUMIFS(全伝票!P:P,全伝票!$C:$C,$C25)),IF($C25="",SUMIFS(全伝票!P:P,全伝票!$A:$A,$A25,全伝票!$B:$B,$B25),SUMIFS(全伝票!P:P,全伝票!$A:$A,$A25,全伝票!$C:$C,$C25)))</f>
        <v>0</v>
      </c>
      <c r="N25" s="108">
        <f t="shared" si="1"/>
        <v>0</v>
      </c>
      <c r="O25" s="25">
        <f t="shared" si="3"/>
        <v>0</v>
      </c>
      <c r="P25" s="25">
        <f t="shared" si="2"/>
        <v>0</v>
      </c>
      <c r="Q25" s="157">
        <f t="shared" si="3"/>
        <v>0</v>
      </c>
      <c r="R25" s="157">
        <f t="shared" si="4"/>
        <v>0</v>
      </c>
      <c r="S25" s="22">
        <f t="shared" si="5"/>
        <v>0</v>
      </c>
      <c r="T25" s="109">
        <f t="shared" si="6"/>
        <v>0</v>
      </c>
      <c r="U25" s="107">
        <f t="shared" si="7"/>
        <v>0</v>
      </c>
      <c r="V25" s="107">
        <f t="shared" si="8"/>
        <v>0</v>
      </c>
      <c r="W25" s="107">
        <f t="shared" si="9"/>
        <v>0</v>
      </c>
      <c r="X25" s="107">
        <f t="shared" si="9"/>
        <v>0</v>
      </c>
      <c r="Y25" s="107">
        <f t="shared" si="10"/>
        <v>0</v>
      </c>
      <c r="Z25" s="106">
        <f t="shared" si="11"/>
        <v>0</v>
      </c>
      <c r="AA25" s="106">
        <f t="shared" si="12"/>
        <v>0</v>
      </c>
      <c r="AB25" s="106">
        <f t="shared" si="13"/>
        <v>0</v>
      </c>
      <c r="AC25" s="106">
        <f t="shared" si="13"/>
        <v>0</v>
      </c>
      <c r="AD25" s="106">
        <f t="shared" si="14"/>
        <v>0</v>
      </c>
    </row>
    <row r="26" spans="1:30">
      <c r="A26" s="165">
        <v>1</v>
      </c>
      <c r="B26" s="164" t="s">
        <v>256</v>
      </c>
      <c r="C26" s="163" t="s">
        <v>255</v>
      </c>
      <c r="D26" s="162" t="s">
        <v>68</v>
      </c>
      <c r="E26" s="158">
        <f>+IF($A26="",IF($C26="",SUMIFS(全伝票!I:I,全伝票!$B:$B,$B26),SUMIFS(全伝票!I:I,全伝票!$C:$C,$C26)),IF($C26="",SUMIFS(全伝票!I:I,全伝票!$A:$A,$A26,全伝票!$B:$B,$B26),SUMIFS(全伝票!I:I,全伝票!$A:$A,$A26,全伝票!$C:$C,$C26)))</f>
        <v>0</v>
      </c>
      <c r="F26" s="161">
        <f>+IF($A26="",IF($C26="",SUMIFS(全伝票!J:J,全伝票!$B:$B,$B26),SUMIFS(全伝票!J:J,全伝票!$C:$C,$C26)),IF($C26="",SUMIFS(全伝票!J:J,全伝票!$A:$A,$A26,全伝票!$B:$B,$B26),SUMIFS(全伝票!J:J,全伝票!$A:$A,$A26,全伝票!$C:$C,$C26)))</f>
        <v>0</v>
      </c>
      <c r="G26" s="160">
        <f>+IF($A26="",IF($C26="",SUMIFS(全伝票!K:K,全伝票!$B:$B,$B26),SUMIFS(全伝票!K:K,全伝票!$C:$C,$C26)),IF($C26="",SUMIFS(全伝票!K:K,全伝票!$A:$A,$A26,全伝票!$B:$B,$B26),SUMIFS(全伝票!K:K,全伝票!$A:$A,$A26,全伝票!$C:$C,$C26)))</f>
        <v>0</v>
      </c>
      <c r="H26" s="160">
        <f>+IF($A26="",IF($C26="",SUMIFS(全伝票!L:L,全伝票!$B:$B,$B26),SUMIFS(全伝票!L:L,全伝票!$C:$C,$C26)),IF($C26="",SUMIFS(全伝票!L:L,全伝票!$A:$A,$A26,全伝票!$B:$B,$B26),SUMIFS(全伝票!L:L,全伝票!$A:$A,$A26,全伝票!$C:$C,$C26)))</f>
        <v>0</v>
      </c>
      <c r="I26" s="159">
        <f>+IF($A26="",IF($C26="",SUMIFS(全伝票!M:M,全伝票!$B:$B,$B26),SUMIFS(全伝票!M:M,全伝票!$C:$C,$C26)),IF($C26="",SUMIFS(全伝票!M:M,全伝票!$A:$A,$A26,全伝票!$B:$B,$B26),SUMIFS(全伝票!M:M,全伝票!$A:$A,$A26,全伝票!$C:$C,$C26)))</f>
        <v>0</v>
      </c>
      <c r="J26" s="159">
        <f>+IF($A26="",IF($C26="",SUMIFS(全伝票!N:N,全伝票!$B:$B,$B26),SUMIFS(全伝票!N:N,全伝票!$C:$C,$C26)),IF($C26="",SUMIFS(全伝票!N:N,全伝票!$A:$A,$A26,全伝票!$B:$B,$B26),SUMIFS(全伝票!N:N,全伝票!$A:$A,$A26,全伝票!$C:$C,$C26)))</f>
        <v>0</v>
      </c>
      <c r="K26" s="34">
        <f t="shared" si="0"/>
        <v>0</v>
      </c>
      <c r="L26" s="158">
        <f>+IF($A26="",IF($C26="",SUMIFS(全伝票!O:O,全伝票!$B:$B,$B26),SUMIFS(全伝票!O:O,全伝票!$C:$C,$C26)),IF($C26="",SUMIFS(全伝票!O:O,全伝票!$A:$A,$A26,全伝票!$B:$B,$B26),SUMIFS(全伝票!O:O,全伝票!$A:$A,$A26,全伝票!$C:$C,$C26)))</f>
        <v>0</v>
      </c>
      <c r="M26" s="158">
        <f>+IF($A26="",IF($C26="",SUMIFS(全伝票!P:P,全伝票!$B:$B,$B26),SUMIFS(全伝票!P:P,全伝票!$C:$C,$C26)),IF($C26="",SUMIFS(全伝票!P:P,全伝票!$A:$A,$A26,全伝票!$B:$B,$B26),SUMIFS(全伝票!P:P,全伝票!$A:$A,$A26,全伝票!$C:$C,$C26)))</f>
        <v>0</v>
      </c>
      <c r="N26" s="108">
        <f t="shared" si="1"/>
        <v>0</v>
      </c>
      <c r="O26" s="25">
        <f t="shared" si="3"/>
        <v>0</v>
      </c>
      <c r="P26" s="25">
        <f t="shared" si="2"/>
        <v>0</v>
      </c>
      <c r="Q26" s="157">
        <f t="shared" si="3"/>
        <v>0</v>
      </c>
      <c r="R26" s="157">
        <f t="shared" si="4"/>
        <v>0</v>
      </c>
      <c r="S26" s="22">
        <f t="shared" si="5"/>
        <v>0</v>
      </c>
      <c r="T26" s="109">
        <f t="shared" si="6"/>
        <v>0</v>
      </c>
      <c r="U26" s="107">
        <f t="shared" si="7"/>
        <v>0</v>
      </c>
      <c r="V26" s="107">
        <f t="shared" si="8"/>
        <v>0</v>
      </c>
      <c r="W26" s="107">
        <f t="shared" si="9"/>
        <v>0</v>
      </c>
      <c r="X26" s="107">
        <f t="shared" si="9"/>
        <v>0</v>
      </c>
      <c r="Y26" s="107">
        <f t="shared" si="10"/>
        <v>0</v>
      </c>
      <c r="Z26" s="106">
        <f t="shared" si="11"/>
        <v>0</v>
      </c>
      <c r="AA26" s="106">
        <f t="shared" si="12"/>
        <v>0</v>
      </c>
      <c r="AB26" s="106">
        <f t="shared" si="13"/>
        <v>0</v>
      </c>
      <c r="AC26" s="106">
        <f t="shared" si="13"/>
        <v>0</v>
      </c>
      <c r="AD26" s="106">
        <f t="shared" si="14"/>
        <v>0</v>
      </c>
    </row>
    <row r="27" spans="1:30">
      <c r="A27" s="165">
        <v>1</v>
      </c>
      <c r="B27" s="164" t="s">
        <v>254</v>
      </c>
      <c r="C27" s="163"/>
      <c r="D27" s="162" t="s">
        <v>66</v>
      </c>
      <c r="E27" s="158">
        <f>+IF($A27="",IF($C27="",SUMIFS(全伝票!I:I,全伝票!$B:$B,$B27),SUMIFS(全伝票!I:I,全伝票!$C:$C,$C27)),IF($C27="",SUMIFS(全伝票!I:I,全伝票!$A:$A,$A27,全伝票!$B:$B,$B27),SUMIFS(全伝票!I:I,全伝票!$A:$A,$A27,全伝票!$C:$C,$C27)))</f>
        <v>0</v>
      </c>
      <c r="F27" s="161">
        <f>+IF($A27="",IF($C27="",SUMIFS(全伝票!J:J,全伝票!$B:$B,$B27),SUMIFS(全伝票!J:J,全伝票!$C:$C,$C27)),IF($C27="",SUMIFS(全伝票!J:J,全伝票!$A:$A,$A27,全伝票!$B:$B,$B27),SUMIFS(全伝票!J:J,全伝票!$A:$A,$A27,全伝票!$C:$C,$C27)))</f>
        <v>0</v>
      </c>
      <c r="G27" s="160">
        <f>+IF($A27="",IF($C27="",SUMIFS(全伝票!K:K,全伝票!$B:$B,$B27),SUMIFS(全伝票!K:K,全伝票!$C:$C,$C27)),IF($C27="",SUMIFS(全伝票!K:K,全伝票!$A:$A,$A27,全伝票!$B:$B,$B27),SUMIFS(全伝票!K:K,全伝票!$A:$A,$A27,全伝票!$C:$C,$C27)))</f>
        <v>0</v>
      </c>
      <c r="H27" s="160">
        <f>+IF($A27="",IF($C27="",SUMIFS(全伝票!L:L,全伝票!$B:$B,$B27),SUMIFS(全伝票!L:L,全伝票!$C:$C,$C27)),IF($C27="",SUMIFS(全伝票!L:L,全伝票!$A:$A,$A27,全伝票!$B:$B,$B27),SUMIFS(全伝票!L:L,全伝票!$A:$A,$A27,全伝票!$C:$C,$C27)))</f>
        <v>0</v>
      </c>
      <c r="I27" s="159">
        <f>+IF($A27="",IF($C27="",SUMIFS(全伝票!M:M,全伝票!$B:$B,$B27),SUMIFS(全伝票!M:M,全伝票!$C:$C,$C27)),IF($C27="",SUMIFS(全伝票!M:M,全伝票!$A:$A,$A27,全伝票!$B:$B,$B27),SUMIFS(全伝票!M:M,全伝票!$A:$A,$A27,全伝票!$C:$C,$C27)))</f>
        <v>0</v>
      </c>
      <c r="J27" s="159">
        <f>+IF($A27="",IF($C27="",SUMIFS(全伝票!N:N,全伝票!$B:$B,$B27),SUMIFS(全伝票!N:N,全伝票!$C:$C,$C27)),IF($C27="",SUMIFS(全伝票!N:N,全伝票!$A:$A,$A27,全伝票!$B:$B,$B27),SUMIFS(全伝票!N:N,全伝票!$A:$A,$A27,全伝票!$C:$C,$C27)))</f>
        <v>0</v>
      </c>
      <c r="K27" s="34">
        <f t="shared" si="0"/>
        <v>0</v>
      </c>
      <c r="L27" s="158">
        <f>+IF($A27="",IF($C27="",SUMIFS(全伝票!O:O,全伝票!$B:$B,$B27),SUMIFS(全伝票!O:O,全伝票!$C:$C,$C27)),IF($C27="",SUMIFS(全伝票!O:O,全伝票!$A:$A,$A27,全伝票!$B:$B,$B27),SUMIFS(全伝票!O:O,全伝票!$A:$A,$A27,全伝票!$C:$C,$C27)))</f>
        <v>0</v>
      </c>
      <c r="M27" s="158">
        <f>+IF($A27="",IF($C27="",SUMIFS(全伝票!P:P,全伝票!$B:$B,$B27),SUMIFS(全伝票!P:P,全伝票!$C:$C,$C27)),IF($C27="",SUMIFS(全伝票!P:P,全伝票!$A:$A,$A27,全伝票!$B:$B,$B27),SUMIFS(全伝票!P:P,全伝票!$A:$A,$A27,全伝票!$C:$C,$C27)))</f>
        <v>0</v>
      </c>
      <c r="N27" s="108">
        <f t="shared" si="1"/>
        <v>0</v>
      </c>
      <c r="O27" s="25">
        <f t="shared" si="3"/>
        <v>0</v>
      </c>
      <c r="P27" s="25">
        <f t="shared" si="2"/>
        <v>0</v>
      </c>
      <c r="Q27" s="157">
        <f t="shared" si="3"/>
        <v>0</v>
      </c>
      <c r="R27" s="157">
        <f t="shared" si="4"/>
        <v>0</v>
      </c>
      <c r="S27" s="22">
        <f t="shared" si="5"/>
        <v>0</v>
      </c>
      <c r="T27" s="109">
        <f t="shared" si="6"/>
        <v>0</v>
      </c>
      <c r="U27" s="107">
        <f t="shared" si="7"/>
        <v>0</v>
      </c>
      <c r="V27" s="107">
        <f t="shared" si="8"/>
        <v>0</v>
      </c>
      <c r="W27" s="107">
        <f t="shared" si="9"/>
        <v>0</v>
      </c>
      <c r="X27" s="107">
        <f t="shared" si="9"/>
        <v>0</v>
      </c>
      <c r="Y27" s="107">
        <f t="shared" si="10"/>
        <v>0</v>
      </c>
      <c r="Z27" s="106">
        <f t="shared" si="11"/>
        <v>0</v>
      </c>
      <c r="AA27" s="106">
        <f t="shared" si="12"/>
        <v>0</v>
      </c>
      <c r="AB27" s="106">
        <f t="shared" si="13"/>
        <v>0</v>
      </c>
      <c r="AC27" s="106">
        <f t="shared" si="13"/>
        <v>0</v>
      </c>
      <c r="AD27" s="106">
        <f t="shared" si="14"/>
        <v>0</v>
      </c>
    </row>
    <row r="28" spans="1:30">
      <c r="A28" s="165">
        <v>1</v>
      </c>
      <c r="B28" s="164" t="s">
        <v>253</v>
      </c>
      <c r="C28" s="163"/>
      <c r="D28" s="162" t="s">
        <v>64</v>
      </c>
      <c r="E28" s="158">
        <f>+IF($A28="",IF($C28="",SUMIFS(全伝票!I:I,全伝票!$B:$B,$B28),SUMIFS(全伝票!I:I,全伝票!$C:$C,$C28)),IF($C28="",SUMIFS(全伝票!I:I,全伝票!$A:$A,$A28,全伝票!$B:$B,$B28),SUMIFS(全伝票!I:I,全伝票!$A:$A,$A28,全伝票!$C:$C,$C28)))</f>
        <v>0</v>
      </c>
      <c r="F28" s="161">
        <f>+IF($A28="",IF($C28="",SUMIFS(全伝票!J:J,全伝票!$B:$B,$B28),SUMIFS(全伝票!J:J,全伝票!$C:$C,$C28)),IF($C28="",SUMIFS(全伝票!J:J,全伝票!$A:$A,$A28,全伝票!$B:$B,$B28),SUMIFS(全伝票!J:J,全伝票!$A:$A,$A28,全伝票!$C:$C,$C28)))</f>
        <v>0</v>
      </c>
      <c r="G28" s="160">
        <f>+IF($A28="",IF($C28="",SUMIFS(全伝票!K:K,全伝票!$B:$B,$B28),SUMIFS(全伝票!K:K,全伝票!$C:$C,$C28)),IF($C28="",SUMIFS(全伝票!K:K,全伝票!$A:$A,$A28,全伝票!$B:$B,$B28),SUMIFS(全伝票!K:K,全伝票!$A:$A,$A28,全伝票!$C:$C,$C28)))</f>
        <v>0</v>
      </c>
      <c r="H28" s="160">
        <f>+IF($A28="",IF($C28="",SUMIFS(全伝票!L:L,全伝票!$B:$B,$B28),SUMIFS(全伝票!L:L,全伝票!$C:$C,$C28)),IF($C28="",SUMIFS(全伝票!L:L,全伝票!$A:$A,$A28,全伝票!$B:$B,$B28),SUMIFS(全伝票!L:L,全伝票!$A:$A,$A28,全伝票!$C:$C,$C28)))</f>
        <v>0</v>
      </c>
      <c r="I28" s="159">
        <f>+IF($A28="",IF($C28="",SUMIFS(全伝票!M:M,全伝票!$B:$B,$B28),SUMIFS(全伝票!M:M,全伝票!$C:$C,$C28)),IF($C28="",SUMIFS(全伝票!M:M,全伝票!$A:$A,$A28,全伝票!$B:$B,$B28),SUMIFS(全伝票!M:M,全伝票!$A:$A,$A28,全伝票!$C:$C,$C28)))</f>
        <v>0</v>
      </c>
      <c r="J28" s="159">
        <f>+IF($A28="",IF($C28="",SUMIFS(全伝票!N:N,全伝票!$B:$B,$B28),SUMIFS(全伝票!N:N,全伝票!$C:$C,$C28)),IF($C28="",SUMIFS(全伝票!N:N,全伝票!$A:$A,$A28,全伝票!$B:$B,$B28),SUMIFS(全伝票!N:N,全伝票!$A:$A,$A28,全伝票!$C:$C,$C28)))</f>
        <v>0</v>
      </c>
      <c r="K28" s="34">
        <f t="shared" si="0"/>
        <v>0</v>
      </c>
      <c r="L28" s="158">
        <f>+IF($A28="",IF($C28="",SUMIFS(全伝票!O:O,全伝票!$B:$B,$B28),SUMIFS(全伝票!O:O,全伝票!$C:$C,$C28)),IF($C28="",SUMIFS(全伝票!O:O,全伝票!$A:$A,$A28,全伝票!$B:$B,$B28),SUMIFS(全伝票!O:O,全伝票!$A:$A,$A28,全伝票!$C:$C,$C28)))</f>
        <v>0</v>
      </c>
      <c r="M28" s="158">
        <f>+IF($A28="",IF($C28="",SUMIFS(全伝票!P:P,全伝票!$B:$B,$B28),SUMIFS(全伝票!P:P,全伝票!$C:$C,$C28)),IF($C28="",SUMIFS(全伝票!P:P,全伝票!$A:$A,$A28,全伝票!$B:$B,$B28),SUMIFS(全伝票!P:P,全伝票!$A:$A,$A28,全伝票!$C:$C,$C28)))</f>
        <v>0</v>
      </c>
      <c r="N28" s="108">
        <f t="shared" si="1"/>
        <v>0</v>
      </c>
      <c r="O28" s="25">
        <f t="shared" si="3"/>
        <v>0</v>
      </c>
      <c r="P28" s="25">
        <f t="shared" si="2"/>
        <v>0</v>
      </c>
      <c r="Q28" s="157">
        <f t="shared" si="3"/>
        <v>0</v>
      </c>
      <c r="R28" s="157">
        <f t="shared" si="4"/>
        <v>0</v>
      </c>
      <c r="S28" s="22">
        <f t="shared" si="5"/>
        <v>0</v>
      </c>
      <c r="T28" s="109">
        <f t="shared" si="6"/>
        <v>0</v>
      </c>
      <c r="U28" s="107">
        <f t="shared" si="7"/>
        <v>0</v>
      </c>
      <c r="V28" s="107">
        <f t="shared" si="8"/>
        <v>0</v>
      </c>
      <c r="W28" s="107">
        <f t="shared" si="9"/>
        <v>0</v>
      </c>
      <c r="X28" s="107">
        <f t="shared" si="9"/>
        <v>0</v>
      </c>
      <c r="Y28" s="107">
        <f t="shared" si="10"/>
        <v>0</v>
      </c>
      <c r="Z28" s="106">
        <f t="shared" si="11"/>
        <v>0</v>
      </c>
      <c r="AA28" s="106">
        <f t="shared" si="12"/>
        <v>0</v>
      </c>
      <c r="AB28" s="106">
        <f t="shared" si="13"/>
        <v>0</v>
      </c>
      <c r="AC28" s="106">
        <f t="shared" si="13"/>
        <v>0</v>
      </c>
      <c r="AD28" s="106">
        <f t="shared" si="14"/>
        <v>0</v>
      </c>
    </row>
    <row r="29" spans="1:30">
      <c r="A29" s="165">
        <v>1</v>
      </c>
      <c r="B29" s="164" t="s">
        <v>252</v>
      </c>
      <c r="C29" s="163"/>
      <c r="D29" s="162" t="s">
        <v>62</v>
      </c>
      <c r="E29" s="158">
        <f>+IF($A29="",IF($C29="",SUMIFS(全伝票!I:I,全伝票!$B:$B,$B29),SUMIFS(全伝票!I:I,全伝票!$C:$C,$C29)),IF($C29="",SUMIFS(全伝票!I:I,全伝票!$A:$A,$A29,全伝票!$B:$B,$B29),SUMIFS(全伝票!I:I,全伝票!$A:$A,$A29,全伝票!$C:$C,$C29)))</f>
        <v>0</v>
      </c>
      <c r="F29" s="161">
        <f>+IF($A29="",IF($C29="",SUMIFS(全伝票!J:J,全伝票!$B:$B,$B29),SUMIFS(全伝票!J:J,全伝票!$C:$C,$C29)),IF($C29="",SUMIFS(全伝票!J:J,全伝票!$A:$A,$A29,全伝票!$B:$B,$B29),SUMIFS(全伝票!J:J,全伝票!$A:$A,$A29,全伝票!$C:$C,$C29)))</f>
        <v>0</v>
      </c>
      <c r="G29" s="160">
        <f>+IF($A29="",IF($C29="",SUMIFS(全伝票!K:K,全伝票!$B:$B,$B29),SUMIFS(全伝票!K:K,全伝票!$C:$C,$C29)),IF($C29="",SUMIFS(全伝票!K:K,全伝票!$A:$A,$A29,全伝票!$B:$B,$B29),SUMIFS(全伝票!K:K,全伝票!$A:$A,$A29,全伝票!$C:$C,$C29)))</f>
        <v>0</v>
      </c>
      <c r="H29" s="160">
        <f>+IF($A29="",IF($C29="",SUMIFS(全伝票!L:L,全伝票!$B:$B,$B29),SUMIFS(全伝票!L:L,全伝票!$C:$C,$C29)),IF($C29="",SUMIFS(全伝票!L:L,全伝票!$A:$A,$A29,全伝票!$B:$B,$B29),SUMIFS(全伝票!L:L,全伝票!$A:$A,$A29,全伝票!$C:$C,$C29)))</f>
        <v>0</v>
      </c>
      <c r="I29" s="159">
        <f>+IF($A29="",IF($C29="",SUMIFS(全伝票!M:M,全伝票!$B:$B,$B29),SUMIFS(全伝票!M:M,全伝票!$C:$C,$C29)),IF($C29="",SUMIFS(全伝票!M:M,全伝票!$A:$A,$A29,全伝票!$B:$B,$B29),SUMIFS(全伝票!M:M,全伝票!$A:$A,$A29,全伝票!$C:$C,$C29)))</f>
        <v>0</v>
      </c>
      <c r="J29" s="159">
        <f>+IF($A29="",IF($C29="",SUMIFS(全伝票!N:N,全伝票!$B:$B,$B29),SUMIFS(全伝票!N:N,全伝票!$C:$C,$C29)),IF($C29="",SUMIFS(全伝票!N:N,全伝票!$A:$A,$A29,全伝票!$B:$B,$B29),SUMIFS(全伝票!N:N,全伝票!$A:$A,$A29,全伝票!$C:$C,$C29)))</f>
        <v>0</v>
      </c>
      <c r="K29" s="34">
        <f t="shared" si="0"/>
        <v>0</v>
      </c>
      <c r="L29" s="158">
        <f>+IF($A29="",IF($C29="",SUMIFS(全伝票!O:O,全伝票!$B:$B,$B29),SUMIFS(全伝票!O:O,全伝票!$C:$C,$C29)),IF($C29="",SUMIFS(全伝票!O:O,全伝票!$A:$A,$A29,全伝票!$B:$B,$B29),SUMIFS(全伝票!O:O,全伝票!$A:$A,$A29,全伝票!$C:$C,$C29)))</f>
        <v>0</v>
      </c>
      <c r="M29" s="158">
        <f>+IF($A29="",IF($C29="",SUMIFS(全伝票!P:P,全伝票!$B:$B,$B29),SUMIFS(全伝票!P:P,全伝票!$C:$C,$C29)),IF($C29="",SUMIFS(全伝票!P:P,全伝票!$A:$A,$A29,全伝票!$B:$B,$B29),SUMIFS(全伝票!P:P,全伝票!$A:$A,$A29,全伝票!$C:$C,$C29)))</f>
        <v>0</v>
      </c>
      <c r="N29" s="108">
        <f t="shared" si="1"/>
        <v>0</v>
      </c>
      <c r="O29" s="25">
        <f t="shared" si="3"/>
        <v>0</v>
      </c>
      <c r="P29" s="25">
        <f t="shared" si="2"/>
        <v>0</v>
      </c>
      <c r="Q29" s="157">
        <f t="shared" si="3"/>
        <v>0</v>
      </c>
      <c r="R29" s="157">
        <f t="shared" si="4"/>
        <v>0</v>
      </c>
      <c r="S29" s="22">
        <f t="shared" si="5"/>
        <v>0</v>
      </c>
      <c r="T29" s="109">
        <f t="shared" si="6"/>
        <v>0</v>
      </c>
      <c r="U29" s="107">
        <f t="shared" si="7"/>
        <v>0</v>
      </c>
      <c r="V29" s="107">
        <f t="shared" si="8"/>
        <v>0</v>
      </c>
      <c r="W29" s="107">
        <f t="shared" si="9"/>
        <v>0</v>
      </c>
      <c r="X29" s="107">
        <f t="shared" si="9"/>
        <v>0</v>
      </c>
      <c r="Y29" s="107">
        <f t="shared" si="10"/>
        <v>0</v>
      </c>
      <c r="Z29" s="106">
        <f t="shared" si="11"/>
        <v>0</v>
      </c>
      <c r="AA29" s="106">
        <f t="shared" si="12"/>
        <v>0</v>
      </c>
      <c r="AB29" s="106">
        <f t="shared" si="13"/>
        <v>0</v>
      </c>
      <c r="AC29" s="106">
        <f t="shared" si="13"/>
        <v>0</v>
      </c>
      <c r="AD29" s="106">
        <f t="shared" si="14"/>
        <v>0</v>
      </c>
    </row>
    <row r="30" spans="1:30">
      <c r="A30" s="165">
        <v>1</v>
      </c>
      <c r="B30" s="164" t="s">
        <v>251</v>
      </c>
      <c r="C30" s="163"/>
      <c r="D30" s="162" t="s">
        <v>60</v>
      </c>
      <c r="E30" s="158">
        <f>+IF($A30="",IF($C30="",SUMIFS(全伝票!I:I,全伝票!$B:$B,$B30),SUMIFS(全伝票!I:I,全伝票!$C:$C,$C30)),IF($C30="",SUMIFS(全伝票!I:I,全伝票!$A:$A,$A30,全伝票!$B:$B,$B30),SUMIFS(全伝票!I:I,全伝票!$A:$A,$A30,全伝票!$C:$C,$C30)))</f>
        <v>0</v>
      </c>
      <c r="F30" s="161">
        <f>+IF($A30="",IF($C30="",SUMIFS(全伝票!J:J,全伝票!$B:$B,$B30),SUMIFS(全伝票!J:J,全伝票!$C:$C,$C30)),IF($C30="",SUMIFS(全伝票!J:J,全伝票!$A:$A,$A30,全伝票!$B:$B,$B30),SUMIFS(全伝票!J:J,全伝票!$A:$A,$A30,全伝票!$C:$C,$C30)))</f>
        <v>0</v>
      </c>
      <c r="G30" s="160">
        <f>+IF($A30="",IF($C30="",SUMIFS(全伝票!K:K,全伝票!$B:$B,$B30),SUMIFS(全伝票!K:K,全伝票!$C:$C,$C30)),IF($C30="",SUMIFS(全伝票!K:K,全伝票!$A:$A,$A30,全伝票!$B:$B,$B30),SUMIFS(全伝票!K:K,全伝票!$A:$A,$A30,全伝票!$C:$C,$C30)))</f>
        <v>0</v>
      </c>
      <c r="H30" s="160">
        <f>+IF($A30="",IF($C30="",SUMIFS(全伝票!L:L,全伝票!$B:$B,$B30),SUMIFS(全伝票!L:L,全伝票!$C:$C,$C30)),IF($C30="",SUMIFS(全伝票!L:L,全伝票!$A:$A,$A30,全伝票!$B:$B,$B30),SUMIFS(全伝票!L:L,全伝票!$A:$A,$A30,全伝票!$C:$C,$C30)))</f>
        <v>0</v>
      </c>
      <c r="I30" s="159">
        <f>+IF($A30="",IF($C30="",SUMIFS(全伝票!M:M,全伝票!$B:$B,$B30),SUMIFS(全伝票!M:M,全伝票!$C:$C,$C30)),IF($C30="",SUMIFS(全伝票!M:M,全伝票!$A:$A,$A30,全伝票!$B:$B,$B30),SUMIFS(全伝票!M:M,全伝票!$A:$A,$A30,全伝票!$C:$C,$C30)))</f>
        <v>0</v>
      </c>
      <c r="J30" s="159">
        <f>+IF($A30="",IF($C30="",SUMIFS(全伝票!N:N,全伝票!$B:$B,$B30),SUMIFS(全伝票!N:N,全伝票!$C:$C,$C30)),IF($C30="",SUMIFS(全伝票!N:N,全伝票!$A:$A,$A30,全伝票!$B:$B,$B30),SUMIFS(全伝票!N:N,全伝票!$A:$A,$A30,全伝票!$C:$C,$C30)))</f>
        <v>0</v>
      </c>
      <c r="K30" s="34">
        <f t="shared" si="0"/>
        <v>0</v>
      </c>
      <c r="L30" s="158">
        <f>+IF($A30="",IF($C30="",SUMIFS(全伝票!O:O,全伝票!$B:$B,$B30),SUMIFS(全伝票!O:O,全伝票!$C:$C,$C30)),IF($C30="",SUMIFS(全伝票!O:O,全伝票!$A:$A,$A30,全伝票!$B:$B,$B30),SUMIFS(全伝票!O:O,全伝票!$A:$A,$A30,全伝票!$C:$C,$C30)))</f>
        <v>0</v>
      </c>
      <c r="M30" s="158">
        <f>+IF($A30="",IF($C30="",SUMIFS(全伝票!P:P,全伝票!$B:$B,$B30),SUMIFS(全伝票!P:P,全伝票!$C:$C,$C30)),IF($C30="",SUMIFS(全伝票!P:P,全伝票!$A:$A,$A30,全伝票!$B:$B,$B30),SUMIFS(全伝票!P:P,全伝票!$A:$A,$A30,全伝票!$C:$C,$C30)))</f>
        <v>0</v>
      </c>
      <c r="N30" s="108">
        <f t="shared" si="1"/>
        <v>0</v>
      </c>
      <c r="O30" s="25">
        <f t="shared" si="3"/>
        <v>0</v>
      </c>
      <c r="P30" s="25">
        <f t="shared" si="2"/>
        <v>0</v>
      </c>
      <c r="Q30" s="157">
        <f t="shared" si="3"/>
        <v>0</v>
      </c>
      <c r="R30" s="157">
        <f t="shared" si="4"/>
        <v>0</v>
      </c>
      <c r="S30" s="22">
        <f t="shared" si="5"/>
        <v>0</v>
      </c>
      <c r="T30" s="109">
        <f t="shared" si="6"/>
        <v>0</v>
      </c>
      <c r="U30" s="107">
        <f t="shared" si="7"/>
        <v>0</v>
      </c>
      <c r="V30" s="107">
        <f t="shared" si="8"/>
        <v>0</v>
      </c>
      <c r="W30" s="107">
        <f t="shared" si="9"/>
        <v>0</v>
      </c>
      <c r="X30" s="107">
        <f t="shared" si="9"/>
        <v>0</v>
      </c>
      <c r="Y30" s="107">
        <f t="shared" si="10"/>
        <v>0</v>
      </c>
      <c r="Z30" s="106">
        <f t="shared" si="11"/>
        <v>0</v>
      </c>
      <c r="AA30" s="106">
        <f t="shared" si="12"/>
        <v>0</v>
      </c>
      <c r="AB30" s="106">
        <f t="shared" si="13"/>
        <v>0</v>
      </c>
      <c r="AC30" s="106">
        <f t="shared" si="13"/>
        <v>0</v>
      </c>
      <c r="AD30" s="106">
        <f t="shared" si="14"/>
        <v>0</v>
      </c>
    </row>
    <row r="31" spans="1:30">
      <c r="A31" s="165">
        <v>1</v>
      </c>
      <c r="B31" s="164" t="s">
        <v>250</v>
      </c>
      <c r="C31" s="163"/>
      <c r="D31" s="162" t="s">
        <v>58</v>
      </c>
      <c r="E31" s="158">
        <f>+IF($A31="",IF($C31="",SUMIFS(全伝票!I:I,全伝票!$B:$B,$B31),SUMIFS(全伝票!I:I,全伝票!$C:$C,$C31)),IF($C31="",SUMIFS(全伝票!I:I,全伝票!$A:$A,$A31,全伝票!$B:$B,$B31),SUMIFS(全伝票!I:I,全伝票!$A:$A,$A31,全伝票!$C:$C,$C31)))</f>
        <v>81986</v>
      </c>
      <c r="F31" s="161">
        <f>+IF($A31="",IF($C31="",SUMIFS(全伝票!J:J,全伝票!$B:$B,$B31),SUMIFS(全伝票!J:J,全伝票!$C:$C,$C31)),IF($C31="",SUMIFS(全伝票!J:J,全伝票!$A:$A,$A31,全伝票!$B:$B,$B31),SUMIFS(全伝票!J:J,全伝票!$A:$A,$A31,全伝票!$C:$C,$C31)))</f>
        <v>0</v>
      </c>
      <c r="G31" s="160">
        <f>+IF($A31="",IF($C31="",SUMIFS(全伝票!K:K,全伝票!$B:$B,$B31),SUMIFS(全伝票!K:K,全伝票!$C:$C,$C31)),IF($C31="",SUMIFS(全伝票!K:K,全伝票!$A:$A,$A31,全伝票!$B:$B,$B31),SUMIFS(全伝票!K:K,全伝票!$A:$A,$A31,全伝票!$C:$C,$C31)))</f>
        <v>0</v>
      </c>
      <c r="H31" s="160">
        <f>+IF($A31="",IF($C31="",SUMIFS(全伝票!L:L,全伝票!$B:$B,$B31),SUMIFS(全伝票!L:L,全伝票!$C:$C,$C31)),IF($C31="",SUMIFS(全伝票!L:L,全伝票!$A:$A,$A31,全伝票!$B:$B,$B31),SUMIFS(全伝票!L:L,全伝票!$A:$A,$A31,全伝票!$C:$C,$C31)))</f>
        <v>0</v>
      </c>
      <c r="I31" s="159">
        <f>+IF($A31="",IF($C31="",SUMIFS(全伝票!M:M,全伝票!$B:$B,$B31),SUMIFS(全伝票!M:M,全伝票!$C:$C,$C31)),IF($C31="",SUMIFS(全伝票!M:M,全伝票!$A:$A,$A31,全伝票!$B:$B,$B31),SUMIFS(全伝票!M:M,全伝票!$A:$A,$A31,全伝票!$C:$C,$C31)))</f>
        <v>0</v>
      </c>
      <c r="J31" s="159">
        <f>+IF($A31="",IF($C31="",SUMIFS(全伝票!N:N,全伝票!$B:$B,$B31),SUMIFS(全伝票!N:N,全伝票!$C:$C,$C31)),IF($C31="",SUMIFS(全伝票!N:N,全伝票!$A:$A,$A31,全伝票!$B:$B,$B31),SUMIFS(全伝票!N:N,全伝票!$A:$A,$A31,全伝票!$C:$C,$C31)))</f>
        <v>0</v>
      </c>
      <c r="K31" s="34">
        <f t="shared" si="0"/>
        <v>0</v>
      </c>
      <c r="L31" s="158">
        <f>+IF($A31="",IF($C31="",SUMIFS(全伝票!O:O,全伝票!$B:$B,$B31),SUMIFS(全伝票!O:O,全伝票!$C:$C,$C31)),IF($C31="",SUMIFS(全伝票!O:O,全伝票!$A:$A,$A31,全伝票!$B:$B,$B31),SUMIFS(全伝票!O:O,全伝票!$A:$A,$A31,全伝票!$C:$C,$C31)))</f>
        <v>81986</v>
      </c>
      <c r="M31" s="158">
        <f>+IF($A31="",IF($C31="",SUMIFS(全伝票!P:P,全伝票!$B:$B,$B31),SUMIFS(全伝票!P:P,全伝票!$C:$C,$C31)),IF($C31="",SUMIFS(全伝票!P:P,全伝票!$A:$A,$A31,全伝票!$B:$B,$B31),SUMIFS(全伝票!P:P,全伝票!$A:$A,$A31,全伝票!$C:$C,$C31)))</f>
        <v>0</v>
      </c>
      <c r="N31" s="108">
        <f t="shared" si="1"/>
        <v>0</v>
      </c>
      <c r="O31" s="25">
        <f t="shared" si="3"/>
        <v>0</v>
      </c>
      <c r="P31" s="25">
        <f t="shared" si="2"/>
        <v>0</v>
      </c>
      <c r="Q31" s="157">
        <f t="shared" si="3"/>
        <v>0</v>
      </c>
      <c r="R31" s="157">
        <f t="shared" si="4"/>
        <v>0</v>
      </c>
      <c r="S31" s="22">
        <f t="shared" si="5"/>
        <v>0</v>
      </c>
      <c r="T31" s="109">
        <f t="shared" si="6"/>
        <v>81986</v>
      </c>
      <c r="U31" s="107">
        <f t="shared" si="7"/>
        <v>0</v>
      </c>
      <c r="V31" s="107">
        <f t="shared" si="8"/>
        <v>0</v>
      </c>
      <c r="W31" s="107">
        <f t="shared" si="9"/>
        <v>0</v>
      </c>
      <c r="X31" s="107">
        <f t="shared" si="9"/>
        <v>0</v>
      </c>
      <c r="Y31" s="107">
        <f t="shared" si="10"/>
        <v>0</v>
      </c>
      <c r="Z31" s="106">
        <f t="shared" si="11"/>
        <v>0</v>
      </c>
      <c r="AA31" s="106">
        <f t="shared" si="12"/>
        <v>0</v>
      </c>
      <c r="AB31" s="106">
        <f t="shared" si="13"/>
        <v>0</v>
      </c>
      <c r="AC31" s="106">
        <f t="shared" si="13"/>
        <v>0</v>
      </c>
      <c r="AD31" s="106">
        <f t="shared" si="14"/>
        <v>0</v>
      </c>
    </row>
    <row r="32" spans="1:30">
      <c r="A32" s="165">
        <v>1</v>
      </c>
      <c r="B32" s="164" t="s">
        <v>249</v>
      </c>
      <c r="C32" s="163"/>
      <c r="D32" s="162" t="s">
        <v>56</v>
      </c>
      <c r="E32" s="158">
        <f>+IF($A32="",IF($C32="",SUMIFS(全伝票!I:I,全伝票!$B:$B,$B32),SUMIFS(全伝票!I:I,全伝票!$C:$C,$C32)),IF($C32="",SUMIFS(全伝票!I:I,全伝票!$A:$A,$A32,全伝票!$B:$B,$B32),SUMIFS(全伝票!I:I,全伝票!$A:$A,$A32,全伝票!$C:$C,$C32)))</f>
        <v>0</v>
      </c>
      <c r="F32" s="161">
        <f>+IF($A32="",IF($C32="",SUMIFS(全伝票!J:J,全伝票!$B:$B,$B32),SUMIFS(全伝票!J:J,全伝票!$C:$C,$C32)),IF($C32="",SUMIFS(全伝票!J:J,全伝票!$A:$A,$A32,全伝票!$B:$B,$B32),SUMIFS(全伝票!J:J,全伝票!$A:$A,$A32,全伝票!$C:$C,$C32)))</f>
        <v>0</v>
      </c>
      <c r="G32" s="160">
        <f>+IF($A32="",IF($C32="",SUMIFS(全伝票!K:K,全伝票!$B:$B,$B32),SUMIFS(全伝票!K:K,全伝票!$C:$C,$C32)),IF($C32="",SUMIFS(全伝票!K:K,全伝票!$A:$A,$A32,全伝票!$B:$B,$B32),SUMIFS(全伝票!K:K,全伝票!$A:$A,$A32,全伝票!$C:$C,$C32)))</f>
        <v>0</v>
      </c>
      <c r="H32" s="160">
        <f>+IF($A32="",IF($C32="",SUMIFS(全伝票!L:L,全伝票!$B:$B,$B32),SUMIFS(全伝票!L:L,全伝票!$C:$C,$C32)),IF($C32="",SUMIFS(全伝票!L:L,全伝票!$A:$A,$A32,全伝票!$B:$B,$B32),SUMIFS(全伝票!L:L,全伝票!$A:$A,$A32,全伝票!$C:$C,$C32)))</f>
        <v>0</v>
      </c>
      <c r="I32" s="159">
        <f>+IF($A32="",IF($C32="",SUMIFS(全伝票!M:M,全伝票!$B:$B,$B32),SUMIFS(全伝票!M:M,全伝票!$C:$C,$C32)),IF($C32="",SUMIFS(全伝票!M:M,全伝票!$A:$A,$A32,全伝票!$B:$B,$B32),SUMIFS(全伝票!M:M,全伝票!$A:$A,$A32,全伝票!$C:$C,$C32)))</f>
        <v>0</v>
      </c>
      <c r="J32" s="159">
        <f>+IF($A32="",IF($C32="",SUMIFS(全伝票!N:N,全伝票!$B:$B,$B32),SUMIFS(全伝票!N:N,全伝票!$C:$C,$C32)),IF($C32="",SUMIFS(全伝票!N:N,全伝票!$A:$A,$A32,全伝票!$B:$B,$B32),SUMIFS(全伝票!N:N,全伝票!$A:$A,$A32,全伝票!$C:$C,$C32)))</f>
        <v>0</v>
      </c>
      <c r="K32" s="34">
        <f t="shared" si="0"/>
        <v>0</v>
      </c>
      <c r="L32" s="158">
        <f>+IF($A32="",IF($C32="",SUMIFS(全伝票!O:O,全伝票!$B:$B,$B32),SUMIFS(全伝票!O:O,全伝票!$C:$C,$C32)),IF($C32="",SUMIFS(全伝票!O:O,全伝票!$A:$A,$A32,全伝票!$B:$B,$B32),SUMIFS(全伝票!O:O,全伝票!$A:$A,$A32,全伝票!$C:$C,$C32)))</f>
        <v>0</v>
      </c>
      <c r="M32" s="158">
        <f>+IF($A32="",IF($C32="",SUMIFS(全伝票!P:P,全伝票!$B:$B,$B32),SUMIFS(全伝票!P:P,全伝票!$C:$C,$C32)),IF($C32="",SUMIFS(全伝票!P:P,全伝票!$A:$A,$A32,全伝票!$B:$B,$B32),SUMIFS(全伝票!P:P,全伝票!$A:$A,$A32,全伝票!$C:$C,$C32)))</f>
        <v>0</v>
      </c>
      <c r="N32" s="108">
        <f t="shared" si="1"/>
        <v>0</v>
      </c>
      <c r="O32" s="25">
        <f t="shared" si="3"/>
        <v>0</v>
      </c>
      <c r="P32" s="25">
        <f t="shared" si="2"/>
        <v>0</v>
      </c>
      <c r="Q32" s="157">
        <f t="shared" si="3"/>
        <v>0</v>
      </c>
      <c r="R32" s="157">
        <f t="shared" si="4"/>
        <v>0</v>
      </c>
      <c r="S32" s="22">
        <f t="shared" si="5"/>
        <v>0</v>
      </c>
      <c r="T32" s="109">
        <f t="shared" si="6"/>
        <v>0</v>
      </c>
      <c r="U32" s="107">
        <f t="shared" si="7"/>
        <v>0</v>
      </c>
      <c r="V32" s="107">
        <f t="shared" si="8"/>
        <v>0</v>
      </c>
      <c r="W32" s="107">
        <f t="shared" si="9"/>
        <v>0</v>
      </c>
      <c r="X32" s="107">
        <f t="shared" si="9"/>
        <v>0</v>
      </c>
      <c r="Y32" s="107">
        <f t="shared" si="10"/>
        <v>0</v>
      </c>
      <c r="Z32" s="106">
        <f t="shared" si="11"/>
        <v>0</v>
      </c>
      <c r="AA32" s="106">
        <f t="shared" si="12"/>
        <v>0</v>
      </c>
      <c r="AB32" s="106">
        <f t="shared" si="13"/>
        <v>0</v>
      </c>
      <c r="AC32" s="106">
        <f t="shared" si="13"/>
        <v>0</v>
      </c>
      <c r="AD32" s="106">
        <f t="shared" si="14"/>
        <v>0</v>
      </c>
    </row>
    <row r="33" spans="1:30">
      <c r="A33" s="165">
        <v>1</v>
      </c>
      <c r="B33" s="164" t="s">
        <v>270</v>
      </c>
      <c r="C33" s="163">
        <v>883121003</v>
      </c>
      <c r="D33" s="162" t="s">
        <v>609</v>
      </c>
      <c r="E33" s="158">
        <f>+IF($A33="",IF($C33="",SUMIFS(全伝票!I:I,全伝票!$B:$B,$B33),SUMIFS(全伝票!I:I,全伝票!$C:$C,$C33)),IF($C33="",SUMIFS(全伝票!I:I,全伝票!$A:$A,$A33,全伝票!$B:$B,$B33),SUMIFS(全伝票!I:I,全伝票!$A:$A,$A33,全伝票!$C:$C,$C33)))</f>
        <v>957480</v>
      </c>
      <c r="F33" s="161">
        <f>+IF($A33="",IF($C33="",SUMIFS(全伝票!J:J,全伝票!$B:$B,$B33),SUMIFS(全伝票!J:J,全伝票!$C:$C,$C33)),IF($C33="",SUMIFS(全伝票!J:J,全伝票!$A:$A,$A33,全伝票!$B:$B,$B33),SUMIFS(全伝票!J:J,全伝票!$A:$A,$A33,全伝票!$C:$C,$C33)))</f>
        <v>0</v>
      </c>
      <c r="G33" s="160">
        <f>+IF($A33="",IF($C33="",SUMIFS(全伝票!K:K,全伝票!$B:$B,$B33),SUMIFS(全伝票!K:K,全伝票!$C:$C,$C33)),IF($C33="",SUMIFS(全伝票!K:K,全伝票!$A:$A,$A33,全伝票!$B:$B,$B33),SUMIFS(全伝票!K:K,全伝票!$A:$A,$A33,全伝票!$C:$C,$C33)))</f>
        <v>0</v>
      </c>
      <c r="H33" s="160">
        <f>+IF($A33="",IF($C33="",SUMIFS(全伝票!L:L,全伝票!$B:$B,$B33),SUMIFS(全伝票!L:L,全伝票!$C:$C,$C33)),IF($C33="",SUMIFS(全伝票!L:L,全伝票!$A:$A,$A33,全伝票!$B:$B,$B33),SUMIFS(全伝票!L:L,全伝票!$A:$A,$A33,全伝票!$C:$C,$C33)))</f>
        <v>0</v>
      </c>
      <c r="I33" s="159">
        <f>+IF($A33="",IF($C33="",SUMIFS(全伝票!M:M,全伝票!$B:$B,$B33),SUMIFS(全伝票!M:M,全伝票!$C:$C,$C33)),IF($C33="",SUMIFS(全伝票!M:M,全伝票!$A:$A,$A33,全伝票!$B:$B,$B33),SUMIFS(全伝票!M:M,全伝票!$A:$A,$A33,全伝票!$C:$C,$C33)))</f>
        <v>0</v>
      </c>
      <c r="J33" s="159">
        <f>+IF($A33="",IF($C33="",SUMIFS(全伝票!N:N,全伝票!$B:$B,$B33),SUMIFS(全伝票!N:N,全伝票!$C:$C,$C33)),IF($C33="",SUMIFS(全伝票!N:N,全伝票!$A:$A,$A33,全伝票!$B:$B,$B33),SUMIFS(全伝票!N:N,全伝票!$A:$A,$A33,全伝票!$C:$C,$C33)))</f>
        <v>957480</v>
      </c>
      <c r="K33" s="34">
        <f t="shared" si="0"/>
        <v>957480</v>
      </c>
      <c r="L33" s="158">
        <f>+IF($A33="",IF($C33="",SUMIFS(全伝票!O:O,全伝票!$B:$B,$B33),SUMIFS(全伝票!O:O,全伝票!$C:$C,$C33)),IF($C33="",SUMIFS(全伝票!O:O,全伝票!$A:$A,$A33,全伝票!$B:$B,$B33),SUMIFS(全伝票!O:O,全伝票!$A:$A,$A33,全伝票!$C:$C,$C33)))</f>
        <v>0</v>
      </c>
      <c r="M33" s="158">
        <f>+IF($A33="",IF($C33="",SUMIFS(全伝票!P:P,全伝票!$B:$B,$B33),SUMIFS(全伝票!P:P,全伝票!$C:$C,$C33)),IF($C33="",SUMIFS(全伝票!P:P,全伝票!$A:$A,$A33,全伝票!$B:$B,$B33),SUMIFS(全伝票!P:P,全伝票!$A:$A,$A33,全伝票!$C:$C,$C33)))</f>
        <v>0</v>
      </c>
      <c r="N33" s="108">
        <f t="shared" si="1"/>
        <v>0</v>
      </c>
      <c r="O33" s="25">
        <f t="shared" si="3"/>
        <v>0</v>
      </c>
      <c r="P33" s="25">
        <f t="shared" si="2"/>
        <v>0</v>
      </c>
      <c r="Q33" s="157">
        <f t="shared" si="3"/>
        <v>0</v>
      </c>
      <c r="R33" s="157">
        <f t="shared" si="4"/>
        <v>87044</v>
      </c>
      <c r="S33" s="22">
        <f t="shared" si="5"/>
        <v>87044</v>
      </c>
      <c r="T33" s="109">
        <f t="shared" si="6"/>
        <v>870436</v>
      </c>
      <c r="U33" s="107">
        <f t="shared" si="7"/>
        <v>0</v>
      </c>
      <c r="V33" s="107">
        <f t="shared" si="8"/>
        <v>0</v>
      </c>
      <c r="W33" s="107">
        <f t="shared" si="9"/>
        <v>0</v>
      </c>
      <c r="X33" s="107">
        <f t="shared" si="9"/>
        <v>0</v>
      </c>
      <c r="Y33" s="107">
        <f t="shared" si="10"/>
        <v>0.36363636363239493</v>
      </c>
      <c r="Z33" s="106">
        <f t="shared" si="11"/>
        <v>0</v>
      </c>
      <c r="AA33" s="106">
        <f t="shared" si="12"/>
        <v>0</v>
      </c>
      <c r="AB33" s="106">
        <f t="shared" si="13"/>
        <v>0</v>
      </c>
      <c r="AC33" s="106">
        <f t="shared" si="13"/>
        <v>0</v>
      </c>
      <c r="AD33" s="106">
        <f t="shared" si="14"/>
        <v>0</v>
      </c>
    </row>
    <row r="34" spans="1:30">
      <c r="A34" s="165">
        <v>1</v>
      </c>
      <c r="B34" s="164" t="s">
        <v>248</v>
      </c>
      <c r="C34" s="163"/>
      <c r="D34" s="162" t="s">
        <v>53</v>
      </c>
      <c r="E34" s="158">
        <f>+IF($A34="",IF($C34="",SUMIFS(全伝票!I:I,全伝票!$B:$B,$B34),SUMIFS(全伝票!I:I,全伝票!$C:$C,$C34)),IF($C34="",SUMIFS(全伝票!I:I,全伝票!$A:$A,$A34,全伝票!$B:$B,$B34),SUMIFS(全伝票!I:I,全伝票!$A:$A,$A34,全伝票!$C:$C,$C34)))</f>
        <v>3862000</v>
      </c>
      <c r="F34" s="161">
        <f>+IF($A34="",IF($C34="",SUMIFS(全伝票!J:J,全伝票!$B:$B,$B34),SUMIFS(全伝票!J:J,全伝票!$C:$C,$C34)),IF($C34="",SUMIFS(全伝票!J:J,全伝票!$A:$A,$A34,全伝票!$B:$B,$B34),SUMIFS(全伝票!J:J,全伝票!$A:$A,$A34,全伝票!$C:$C,$C34)))</f>
        <v>0</v>
      </c>
      <c r="G34" s="160">
        <f>+IF($A34="",IF($C34="",SUMIFS(全伝票!K:K,全伝票!$B:$B,$B34),SUMIFS(全伝票!K:K,全伝票!$C:$C,$C34)),IF($C34="",SUMIFS(全伝票!K:K,全伝票!$A:$A,$A34,全伝票!$B:$B,$B34),SUMIFS(全伝票!K:K,全伝票!$A:$A,$A34,全伝票!$C:$C,$C34)))</f>
        <v>0</v>
      </c>
      <c r="H34" s="160">
        <f>+IF($A34="",IF($C34="",SUMIFS(全伝票!L:L,全伝票!$B:$B,$B34),SUMIFS(全伝票!L:L,全伝票!$C:$C,$C34)),IF($C34="",SUMIFS(全伝票!L:L,全伝票!$A:$A,$A34,全伝票!$B:$B,$B34),SUMIFS(全伝票!L:L,全伝票!$A:$A,$A34,全伝票!$C:$C,$C34)))</f>
        <v>0</v>
      </c>
      <c r="I34" s="159">
        <f>+IF($A34="",IF($C34="",SUMIFS(全伝票!M:M,全伝票!$B:$B,$B34),SUMIFS(全伝票!M:M,全伝票!$C:$C,$C34)),IF($C34="",SUMIFS(全伝票!M:M,全伝票!$A:$A,$A34,全伝票!$B:$B,$B34),SUMIFS(全伝票!M:M,全伝票!$A:$A,$A34,全伝票!$C:$C,$C34)))</f>
        <v>0</v>
      </c>
      <c r="J34" s="159">
        <f>+IF($A34="",IF($C34="",SUMIFS(全伝票!N:N,全伝票!$B:$B,$B34),SUMIFS(全伝票!N:N,全伝票!$C:$C,$C34)),IF($C34="",SUMIFS(全伝票!N:N,全伝票!$A:$A,$A34,全伝票!$B:$B,$B34),SUMIFS(全伝票!N:N,全伝票!$A:$A,$A34,全伝票!$C:$C,$C34)))</f>
        <v>0</v>
      </c>
      <c r="K34" s="34">
        <f t="shared" si="0"/>
        <v>0</v>
      </c>
      <c r="L34" s="158">
        <f>+IF($A34="",IF($C34="",SUMIFS(全伝票!O:O,全伝票!$B:$B,$B34),SUMIFS(全伝票!O:O,全伝票!$C:$C,$C34)),IF($C34="",SUMIFS(全伝票!O:O,全伝票!$A:$A,$A34,全伝票!$B:$B,$B34),SUMIFS(全伝票!O:O,全伝票!$A:$A,$A34,全伝票!$C:$C,$C34)))</f>
        <v>0</v>
      </c>
      <c r="M34" s="158">
        <f>+IF($A34="",IF($C34="",SUMIFS(全伝票!P:P,全伝票!$B:$B,$B34),SUMIFS(全伝票!P:P,全伝票!$C:$C,$C34)),IF($C34="",SUMIFS(全伝票!P:P,全伝票!$A:$A,$A34,全伝票!$B:$B,$B34),SUMIFS(全伝票!P:P,全伝票!$A:$A,$A34,全伝票!$C:$C,$C34)))</f>
        <v>3862000</v>
      </c>
      <c r="N34" s="108">
        <f t="shared" si="1"/>
        <v>0</v>
      </c>
      <c r="O34" s="25">
        <f t="shared" si="3"/>
        <v>0</v>
      </c>
      <c r="P34" s="25">
        <f t="shared" si="2"/>
        <v>0</v>
      </c>
      <c r="Q34" s="157">
        <f t="shared" si="3"/>
        <v>0</v>
      </c>
      <c r="R34" s="157">
        <f t="shared" si="4"/>
        <v>0</v>
      </c>
      <c r="S34" s="22">
        <f t="shared" si="5"/>
        <v>0</v>
      </c>
      <c r="T34" s="109">
        <f t="shared" si="6"/>
        <v>3862000</v>
      </c>
      <c r="U34" s="107">
        <f t="shared" si="7"/>
        <v>0</v>
      </c>
      <c r="V34" s="107">
        <f t="shared" si="8"/>
        <v>0</v>
      </c>
      <c r="W34" s="107">
        <f t="shared" si="9"/>
        <v>0</v>
      </c>
      <c r="X34" s="107">
        <f t="shared" si="9"/>
        <v>0</v>
      </c>
      <c r="Y34" s="107">
        <f t="shared" si="10"/>
        <v>0</v>
      </c>
      <c r="Z34" s="106">
        <f t="shared" si="11"/>
        <v>0</v>
      </c>
      <c r="AA34" s="106">
        <f t="shared" si="12"/>
        <v>0</v>
      </c>
      <c r="AB34" s="106">
        <f t="shared" si="13"/>
        <v>0</v>
      </c>
      <c r="AC34" s="106">
        <f t="shared" si="13"/>
        <v>0</v>
      </c>
      <c r="AD34" s="106">
        <f t="shared" si="14"/>
        <v>0</v>
      </c>
    </row>
    <row r="35" spans="1:30" ht="14.25" thickBot="1">
      <c r="A35" s="165"/>
      <c r="B35" s="164" t="s">
        <v>247</v>
      </c>
      <c r="C35" s="163"/>
      <c r="D35" s="162" t="s">
        <v>51</v>
      </c>
      <c r="E35" s="158">
        <f>+IF($A35="",IF($C35="",SUMIFS(全伝票!I:I,全伝票!$B:$B,$B35),SUMIFS(全伝票!I:I,全伝票!$C:$C,$C35)),IF($C35="",SUMIFS(全伝票!I:I,全伝票!$A:$A,$A35,全伝票!$B:$B,$B35),SUMIFS(全伝票!I:I,全伝票!$A:$A,$A35,全伝票!$C:$C,$C35)))</f>
        <v>0</v>
      </c>
      <c r="F35" s="161">
        <f>+IF($A35="",IF($C35="",SUMIFS(全伝票!J:J,全伝票!$B:$B,$B35),SUMIFS(全伝票!J:J,全伝票!$C:$C,$C35)),IF($C35="",SUMIFS(全伝票!J:J,全伝票!$A:$A,$A35,全伝票!$B:$B,$B35),SUMIFS(全伝票!J:J,全伝票!$A:$A,$A35,全伝票!$C:$C,$C35)))</f>
        <v>0</v>
      </c>
      <c r="G35" s="160">
        <f>+IF($A35="",IF($C35="",SUMIFS(全伝票!K:K,全伝票!$B:$B,$B35),SUMIFS(全伝票!K:K,全伝票!$C:$C,$C35)),IF($C35="",SUMIFS(全伝票!K:K,全伝票!$A:$A,$A35,全伝票!$B:$B,$B35),SUMIFS(全伝票!K:K,全伝票!$A:$A,$A35,全伝票!$C:$C,$C35)))</f>
        <v>0</v>
      </c>
      <c r="H35" s="160">
        <f>+IF($A35="",IF($C35="",SUMIFS(全伝票!L:L,全伝票!$B:$B,$B35),SUMIFS(全伝票!L:L,全伝票!$C:$C,$C35)),IF($C35="",SUMIFS(全伝票!L:L,全伝票!$A:$A,$A35,全伝票!$B:$B,$B35),SUMIFS(全伝票!L:L,全伝票!$A:$A,$A35,全伝票!$C:$C,$C35)))</f>
        <v>0</v>
      </c>
      <c r="I35" s="159">
        <f>+IF($A35="",IF($C35="",SUMIFS(全伝票!M:M,全伝票!$B:$B,$B35),SUMIFS(全伝票!M:M,全伝票!$C:$C,$C35)),IF($C35="",SUMIFS(全伝票!M:M,全伝票!$A:$A,$A35,全伝票!$B:$B,$B35),SUMIFS(全伝票!M:M,全伝票!$A:$A,$A35,全伝票!$C:$C,$C35)))</f>
        <v>0</v>
      </c>
      <c r="J35" s="159">
        <f>+IF($A35="",IF($C35="",SUMIFS(全伝票!N:N,全伝票!$B:$B,$B35),SUMIFS(全伝票!N:N,全伝票!$C:$C,$C35)),IF($C35="",SUMIFS(全伝票!N:N,全伝票!$A:$A,$A35,全伝票!$B:$B,$B35),SUMIFS(全伝票!N:N,全伝票!$A:$A,$A35,全伝票!$C:$C,$C35)))</f>
        <v>0</v>
      </c>
      <c r="K35" s="34">
        <f t="shared" si="0"/>
        <v>0</v>
      </c>
      <c r="L35" s="158">
        <f>+IF($A35="",IF($C35="",SUMIFS(全伝票!O:O,全伝票!$B:$B,$B35),SUMIFS(全伝票!O:O,全伝票!$C:$C,$C35)),IF($C35="",SUMIFS(全伝票!O:O,全伝票!$A:$A,$A35,全伝票!$B:$B,$B35),SUMIFS(全伝票!O:O,全伝票!$A:$A,$A35,全伝票!$C:$C,$C35)))</f>
        <v>0</v>
      </c>
      <c r="M35" s="158">
        <f>+IF($A35="",IF($C35="",SUMIFS(全伝票!P:P,全伝票!$B:$B,$B35),SUMIFS(全伝票!P:P,全伝票!$C:$C,$C35)),IF($C35="",SUMIFS(全伝票!P:P,全伝票!$A:$A,$A35,全伝票!$B:$B,$B35),SUMIFS(全伝票!P:P,全伝票!$A:$A,$A35,全伝票!$C:$C,$C35)))</f>
        <v>0</v>
      </c>
      <c r="N35" s="108">
        <f t="shared" si="1"/>
        <v>0</v>
      </c>
      <c r="O35" s="25">
        <f t="shared" si="3"/>
        <v>0</v>
      </c>
      <c r="P35" s="25">
        <f t="shared" si="2"/>
        <v>0</v>
      </c>
      <c r="Q35" s="157">
        <f t="shared" si="3"/>
        <v>0</v>
      </c>
      <c r="R35" s="157">
        <f t="shared" si="4"/>
        <v>0</v>
      </c>
      <c r="S35" s="22">
        <f t="shared" si="5"/>
        <v>0</v>
      </c>
      <c r="T35" s="109">
        <f t="shared" si="6"/>
        <v>0</v>
      </c>
      <c r="U35" s="107">
        <f t="shared" si="7"/>
        <v>0</v>
      </c>
      <c r="V35" s="107">
        <f t="shared" si="8"/>
        <v>0</v>
      </c>
      <c r="W35" s="107">
        <f t="shared" si="9"/>
        <v>0</v>
      </c>
      <c r="X35" s="107">
        <f t="shared" si="9"/>
        <v>0</v>
      </c>
      <c r="Y35" s="107">
        <f t="shared" si="10"/>
        <v>0</v>
      </c>
      <c r="Z35" s="106">
        <f t="shared" si="11"/>
        <v>0</v>
      </c>
      <c r="AA35" s="106">
        <f t="shared" si="12"/>
        <v>0</v>
      </c>
      <c r="AB35" s="106">
        <f t="shared" si="13"/>
        <v>0</v>
      </c>
      <c r="AC35" s="106">
        <f t="shared" si="13"/>
        <v>0</v>
      </c>
      <c r="AD35" s="106">
        <f t="shared" si="14"/>
        <v>0</v>
      </c>
    </row>
    <row r="36" spans="1:30" ht="14.25" thickTop="1">
      <c r="A36" s="156"/>
      <c r="B36" s="155"/>
      <c r="C36" s="154"/>
      <c r="D36" s="153" t="s">
        <v>2</v>
      </c>
      <c r="E36" s="149">
        <f t="shared" ref="E36:T36" si="15">SUM(E5:E35)</f>
        <v>88849549</v>
      </c>
      <c r="F36" s="152">
        <f t="shared" si="15"/>
        <v>0</v>
      </c>
      <c r="G36" s="151">
        <f t="shared" si="15"/>
        <v>0</v>
      </c>
      <c r="H36" s="151">
        <f t="shared" si="15"/>
        <v>0</v>
      </c>
      <c r="I36" s="150">
        <f t="shared" ref="I36" si="16">SUM(I5:I35)</f>
        <v>0</v>
      </c>
      <c r="J36" s="150">
        <f t="shared" si="15"/>
        <v>18870469</v>
      </c>
      <c r="K36" s="74">
        <f t="shared" si="15"/>
        <v>18870469</v>
      </c>
      <c r="L36" s="149">
        <f t="shared" si="15"/>
        <v>9614092</v>
      </c>
      <c r="M36" s="149">
        <f t="shared" si="15"/>
        <v>60364988</v>
      </c>
      <c r="N36" s="146">
        <f t="shared" si="15"/>
        <v>0</v>
      </c>
      <c r="O36" s="145">
        <f t="shared" si="15"/>
        <v>0</v>
      </c>
      <c r="P36" s="145">
        <f t="shared" si="15"/>
        <v>0</v>
      </c>
      <c r="Q36" s="148">
        <f t="shared" ref="Q36" si="17">SUM(Q5:Q35)</f>
        <v>0</v>
      </c>
      <c r="R36" s="148">
        <f t="shared" si="15"/>
        <v>1715497</v>
      </c>
      <c r="S36" s="144">
        <f t="shared" si="15"/>
        <v>1715497</v>
      </c>
      <c r="T36" s="147">
        <f t="shared" si="15"/>
        <v>87134052</v>
      </c>
      <c r="U36" s="88" t="str">
        <f>+IF(F36=0,"",ROUND(F36*F$4/(100+F$4),7)-N36)</f>
        <v/>
      </c>
      <c r="V36" s="88"/>
      <c r="W36" s="88"/>
      <c r="X36" s="88"/>
      <c r="Y36" s="88"/>
      <c r="Z36" s="88"/>
      <c r="AA36" s="88"/>
      <c r="AB36" s="87"/>
      <c r="AC36" s="87"/>
      <c r="AD36" s="87"/>
    </row>
    <row r="37" spans="1:30">
      <c r="A37" s="143"/>
      <c r="B37" s="142"/>
      <c r="C37" s="141"/>
      <c r="D37" s="140" t="s">
        <v>1</v>
      </c>
      <c r="E37" s="136">
        <f t="shared" ref="E37:J37" si="18">+E36</f>
        <v>88849549</v>
      </c>
      <c r="F37" s="139">
        <f t="shared" si="18"/>
        <v>0</v>
      </c>
      <c r="G37" s="138">
        <f t="shared" si="18"/>
        <v>0</v>
      </c>
      <c r="H37" s="138">
        <f t="shared" si="18"/>
        <v>0</v>
      </c>
      <c r="I37" s="137">
        <f t="shared" si="18"/>
        <v>0</v>
      </c>
      <c r="J37" s="137">
        <f t="shared" si="18"/>
        <v>18870469</v>
      </c>
      <c r="K37" s="63">
        <f>SUM(F37:J37)</f>
        <v>18870469</v>
      </c>
      <c r="L37" s="136">
        <f>+L36</f>
        <v>9614092</v>
      </c>
      <c r="M37" s="135">
        <f>+M36</f>
        <v>60364988</v>
      </c>
      <c r="N37" s="133">
        <f>+'3条支出'!N11</f>
        <v>0</v>
      </c>
      <c r="O37" s="132">
        <f>+'3条支出'!O11</f>
        <v>0</v>
      </c>
      <c r="P37" s="132">
        <f>+'3条支出'!P11</f>
        <v>0</v>
      </c>
      <c r="Q37" s="132">
        <f>+'3条支出'!Q11</f>
        <v>0</v>
      </c>
      <c r="R37" s="132">
        <f>+'3条支出'!R11</f>
        <v>1715497</v>
      </c>
      <c r="S37" s="131">
        <f>+'3条支出'!S11</f>
        <v>1715497</v>
      </c>
      <c r="T37" s="134">
        <f>+'3条支出'!T11</f>
        <v>87134052</v>
      </c>
      <c r="U37" s="88" t="str">
        <f>+IF(F37=0,"",ROUND(F37*F$4/(100+F$4),7)-N37)</f>
        <v/>
      </c>
      <c r="V37" s="88"/>
      <c r="W37" s="88"/>
      <c r="X37" s="88"/>
      <c r="Y37" s="88"/>
      <c r="Z37" s="88"/>
      <c r="AA37" s="88"/>
      <c r="AB37" s="87"/>
      <c r="AC37" s="87"/>
      <c r="AD37" s="87"/>
    </row>
    <row r="38" spans="1:30">
      <c r="E38" s="4">
        <f t="shared" ref="E38:T38" si="19">+E37-E36</f>
        <v>0</v>
      </c>
      <c r="F38" s="4">
        <f t="shared" si="19"/>
        <v>0</v>
      </c>
      <c r="G38" s="4">
        <f t="shared" si="19"/>
        <v>0</v>
      </c>
      <c r="H38" s="4">
        <f t="shared" si="19"/>
        <v>0</v>
      </c>
      <c r="I38" s="4">
        <f t="shared" ref="I38" si="20">+I37-I36</f>
        <v>0</v>
      </c>
      <c r="J38" s="4">
        <f t="shared" si="19"/>
        <v>0</v>
      </c>
      <c r="K38" s="4">
        <f t="shared" si="19"/>
        <v>0</v>
      </c>
      <c r="L38" s="4">
        <f t="shared" si="19"/>
        <v>0</v>
      </c>
      <c r="M38" s="4">
        <f t="shared" si="19"/>
        <v>0</v>
      </c>
      <c r="N38" s="4">
        <f t="shared" si="19"/>
        <v>0</v>
      </c>
      <c r="O38" s="4">
        <f t="shared" si="19"/>
        <v>0</v>
      </c>
      <c r="P38" s="4">
        <f t="shared" si="19"/>
        <v>0</v>
      </c>
      <c r="Q38" s="4">
        <f t="shared" ref="Q38" si="21">+Q37-Q36</f>
        <v>0</v>
      </c>
      <c r="R38" s="4">
        <f t="shared" si="19"/>
        <v>0</v>
      </c>
      <c r="S38" s="4">
        <f t="shared" si="19"/>
        <v>0</v>
      </c>
      <c r="T38" s="4">
        <f t="shared" si="19"/>
        <v>0</v>
      </c>
      <c r="U38" s="88" t="str">
        <f>+IF(F38=0,"",ROUND(F38*F$4/(100+F$4),7)-N38)</f>
        <v/>
      </c>
      <c r="V38" s="88" t="str">
        <f>+IF(G38=0,"",ROUND(G38*G$4/(100+G$4),7)-O38)</f>
        <v/>
      </c>
      <c r="W38" s="88" t="str">
        <f>+IF(H38=0,"",ROUND(H38*H$4/(100+H$4),7)-P38)</f>
        <v/>
      </c>
      <c r="X38" s="88"/>
      <c r="Y38" s="88" t="str">
        <f>+IF(J38=0,"",ROUND(J38*J$4/(100+J$4),7)-R38)</f>
        <v/>
      </c>
      <c r="Z38" s="88"/>
      <c r="AA38" s="88"/>
      <c r="AB38" s="87" t="str">
        <f>+IF(SUM(U38:Y38)=0,"",SUM(U38:Y38))</f>
        <v/>
      </c>
      <c r="AC38" s="87"/>
      <c r="AD38" s="87"/>
    </row>
    <row r="39" spans="1:30">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G40" s="273"/>
      <c r="H40" s="274"/>
      <c r="I40" s="272"/>
      <c r="J40" s="274"/>
      <c r="U40" s="88" t="str">
        <f>+IF(F40=0,"",ROUND(F40*F$4/(100+F$4),7)-N40)</f>
        <v/>
      </c>
      <c r="V40" s="88"/>
      <c r="W40" s="88"/>
      <c r="X40" s="88"/>
      <c r="Y40" s="88"/>
      <c r="Z40" s="88"/>
      <c r="AA40" s="88"/>
      <c r="AB40" s="87"/>
      <c r="AC40" s="87"/>
      <c r="AD40" s="87"/>
    </row>
    <row r="41" spans="1:30">
      <c r="G41" s="273"/>
      <c r="H41" s="274"/>
      <c r="I41" s="272"/>
      <c r="J41" s="274"/>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3"/>
  <conditionalFormatting sqref="AE5:AI35">
    <cfRule type="notContainsBlanks" dxfId="84" priority="3" stopIfTrue="1">
      <formula>LEN(TRIM(AE5))&gt;0</formula>
    </cfRule>
  </conditionalFormatting>
  <conditionalFormatting sqref="AE36:AI37">
    <cfRule type="notContainsBlanks" dxfId="83" priority="4" stopIfTrue="1">
      <formula>LEN(TRIM(AE36))&gt;0</formula>
    </cfRule>
  </conditionalFormatting>
  <conditionalFormatting sqref="Z5:AD35">
    <cfRule type="expression" dxfId="82" priority="2">
      <formula>ABS(Z5)=1</formula>
    </cfRule>
  </conditionalFormatting>
  <conditionalFormatting sqref="E38:T38">
    <cfRule type="cellIs" dxfId="81" priority="1" operator="notEqual">
      <formula>0</formula>
    </cfRule>
  </conditionalFormatting>
  <pageMargins left="0.39370078740157483" right="0.39370078740157483" top="0.78740157480314965" bottom="0.39370078740157483" header="0.39370078740157483" footer="0.19685039370078741"/>
  <pageSetup paperSize="9" scale="67" orientation="landscape" blackAndWhite="1" r:id="rId1"/>
  <headerFooter>
    <oddFooter>&amp;L&amp;8&amp;Z&amp;F&amp;A&amp;R&amp;8&amp;D&amp;T</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I41"/>
  <sheetViews>
    <sheetView zoomScale="70" zoomScaleNormal="70" workbookViewId="0">
      <pane xSplit="5" ySplit="4" topLeftCell="F5" activePane="bottomRight" state="frozen"/>
      <selection activeCell="E30" sqref="E30"/>
      <selection pane="topRight" activeCell="E30" sqref="E30"/>
      <selection pane="bottomLeft" activeCell="E30" sqref="E30"/>
      <selection pane="bottomRight" activeCell="F5" sqref="F5"/>
    </sheetView>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+'3条支出'!D1</f>
        <v>令和５年度決算　消費税算出資料</v>
      </c>
    </row>
    <row r="2" spans="1:35">
      <c r="D2" s="2" t="s">
        <v>312</v>
      </c>
      <c r="V2" s="122"/>
      <c r="W2" s="122"/>
      <c r="X2" s="261"/>
      <c r="Y2" s="122"/>
      <c r="Z2" s="122"/>
      <c r="AA2" s="122"/>
      <c r="AB2" s="122"/>
      <c r="AC2" s="261"/>
      <c r="AD2" s="122"/>
      <c r="AE2" s="122"/>
      <c r="AF2" s="122"/>
      <c r="AG2" s="122"/>
      <c r="AH2" s="261"/>
      <c r="AI2" s="122"/>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122"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177">
        <v>1</v>
      </c>
      <c r="B5" s="176" t="s">
        <v>311</v>
      </c>
      <c r="C5" s="175"/>
      <c r="D5" s="174" t="s">
        <v>112</v>
      </c>
      <c r="E5" s="170">
        <f>+IF($A5="",IF($C5="",SUMIFS(全伝票!I:I,全伝票!$B:$B,$B5),SUMIFS(全伝票!I:I,全伝票!$C:$C,$C5)),IF($C5="",SUMIFS(全伝票!I:I,全伝票!$A:$A,$A5,全伝票!$B:$B,$B5),SUMIFS(全伝票!I:I,全伝票!$A:$A,$A5,全伝票!$C:$C,$C5)))</f>
        <v>0</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275">
        <f>+IF($A5="",IF($C5="",SUMIFS(全伝票!L:L,全伝票!$B:$B,$B5),SUMIFS(全伝票!L:L,全伝票!$C:$C,$C5)),IF($C5="",SUMIFS(全伝票!L:L,全伝票!$A:$A,$A5,全伝票!$B:$B,$B5),SUMIFS(全伝票!L:L,全伝票!$A:$A,$A5,全伝票!$C:$C,$C5)))</f>
        <v>0</v>
      </c>
      <c r="I5" s="270">
        <f>+IF($A5="",IF($C5="",SUMIFS(全伝票!M:M,全伝票!$B:$B,$B5),SUMIFS(全伝票!M:M,全伝票!$C:$C,$C5)),IF($C5="",SUMIFS(全伝票!M:M,全伝票!$A:$A,$A5,全伝票!$B:$B,$B5),SUMIFS(全伝票!M:M,全伝票!$A:$A,$A5,全伝票!$C:$C,$C5)))</f>
        <v>0</v>
      </c>
      <c r="J5" s="171">
        <f>+IF($A5="",IF($C5="",SUMIFS(全伝票!N:N,全伝票!$B:$B,$B5),SUMIFS(全伝票!N:N,全伝票!$C:$C,$C5)),IF($C5="",SUMIFS(全伝票!N:N,全伝票!$A:$A,$A5,全伝票!$B:$B,$B5),SUMIFS(全伝票!N:N,全伝票!$A:$A,$A5,全伝票!$C:$C,$C5)))</f>
        <v>0</v>
      </c>
      <c r="K5" s="112">
        <f t="shared" ref="K5:K35" si="0">SUM(F5:J5)</f>
        <v>0</v>
      </c>
      <c r="L5" s="170">
        <f>+IF($A5="",IF($C5="",SUMIFS(全伝票!O:O,全伝票!$B:$B,$B5),SUMIFS(全伝票!O:O,全伝票!$C:$C,$C5)),IF($C5="",SUMIFS(全伝票!O:O,全伝票!$A:$A,$A5,全伝票!$B:$B,$B5),SUMIFS(全伝票!O:O,全伝票!$A:$A,$A5,全伝票!$C:$C,$C5)))</f>
        <v>0</v>
      </c>
      <c r="M5" s="277">
        <f>+IF($A5="",IF($C5="",SUMIFS(全伝票!P:P,全伝票!$B:$B,$B5),SUMIFS(全伝票!P:P,全伝票!$C:$C,$C5)),IF($C5="",SUMIFS(全伝票!P:P,全伝票!$A:$A,$A5,全伝票!$B:$B,$B5),SUMIFS(全伝票!P:P,全伝票!$A:$A,$A5,全伝票!$C:$C,$C5)))</f>
        <v>0</v>
      </c>
      <c r="N5" s="169">
        <f t="shared" ref="N5:N35" si="1">+ROUND(F5*F$4/(100+F$4),0)+AE5</f>
        <v>0</v>
      </c>
      <c r="O5" s="47">
        <f>+ROUND(G5*G$4/(100+G$4),0)+AF5</f>
        <v>0</v>
      </c>
      <c r="P5" s="47">
        <f t="shared" ref="P5:P35" si="2">+ROUND(H5*H$4/(100+H$4),0)+AG5</f>
        <v>0</v>
      </c>
      <c r="Q5" s="168">
        <f t="shared" ref="O5:Q35" si="3">+ROUND(I5*I$4/(100+I$4),0)+AH5</f>
        <v>0</v>
      </c>
      <c r="R5" s="168">
        <f t="shared" ref="R5:R35" si="4">+ROUND(J5*J$4/(100+J$4),0)+AI5</f>
        <v>0</v>
      </c>
      <c r="S5" s="167">
        <f t="shared" ref="S5:S35" si="5">SUM(N5:R5)</f>
        <v>0</v>
      </c>
      <c r="T5" s="166">
        <f t="shared" ref="T5:T35" si="6">+E5-S5</f>
        <v>0</v>
      </c>
      <c r="U5" s="107">
        <f t="shared" ref="U5:U35" si="7">N5-F5*F$4/(100+F$4)</f>
        <v>0</v>
      </c>
      <c r="V5" s="107">
        <f t="shared" ref="V5:V35" si="8">O5-G5*G$4/(100+G$4)</f>
        <v>0</v>
      </c>
      <c r="W5" s="107">
        <f t="shared" ref="W5:X35" si="9">P5-H5*H$4/(100+H$4)</f>
        <v>0</v>
      </c>
      <c r="X5" s="107">
        <f t="shared" si="9"/>
        <v>0</v>
      </c>
      <c r="Y5" s="107">
        <f t="shared" ref="Y5:Y35" si="10">R5-J5*J$4/(100+J$4)</f>
        <v>0</v>
      </c>
      <c r="Z5" s="106">
        <f t="shared" ref="Z5:Z35" si="11">+IF(N$38=0,0,IF(N$38&lt;0,-RANK(U5,U$5:U$35,0),RANK(U5,U$5:U$35,1)))</f>
        <v>0</v>
      </c>
      <c r="AA5" s="106">
        <f t="shared" ref="AA5:AA35" si="12">+IF(O$38=0,0,IF(O$38&lt;0,-RANK(V5,V$5:V$35,0),RANK(V5,V$5:V$35,1)))</f>
        <v>0</v>
      </c>
      <c r="AB5" s="106">
        <f t="shared" ref="AB5:AC35" si="13">+IF(P$38=0,0,IF(P$38&lt;0,-RANK(W5,W$5:W$35,0),RANK(W5,W$5:W$35,1)))</f>
        <v>0</v>
      </c>
      <c r="AC5" s="106">
        <f t="shared" si="13"/>
        <v>0</v>
      </c>
      <c r="AD5" s="106">
        <f t="shared" ref="AD5:AD35" si="14">+IF(R$38=0,0,IF(R$38&lt;0,-RANK(Y5,Y$5:Y$35,0),RANK(Y5,Y$5:Y$35,1)))</f>
        <v>0</v>
      </c>
    </row>
    <row r="6" spans="1:35">
      <c r="A6" s="165">
        <v>1</v>
      </c>
      <c r="B6" s="164" t="s">
        <v>310</v>
      </c>
      <c r="C6" s="163"/>
      <c r="D6" s="162" t="s">
        <v>110</v>
      </c>
      <c r="E6" s="158">
        <f>+IF($A6="",IF($C6="",SUMIFS(全伝票!I:I,全伝票!$B:$B,$B6),SUMIFS(全伝票!I:I,全伝票!$C:$C,$C6)),IF($C6="",SUMIFS(全伝票!I:I,全伝票!$A:$A,$A6,全伝票!$B:$B,$B6),SUMIFS(全伝票!I:I,全伝票!$A:$A,$A6,全伝票!$C:$C,$C6)))</f>
        <v>4418400</v>
      </c>
      <c r="F6" s="161">
        <f>+IF($A6="",IF($C6="",SUMIFS(全伝票!J:J,全伝票!$B:$B,$B6),SUMIFS(全伝票!J:J,全伝票!$C:$C,$C6)),IF($C6="",SUMIFS(全伝票!J:J,全伝票!$A:$A,$A6,全伝票!$B:$B,$B6),SUMIFS(全伝票!J:J,全伝票!$A:$A,$A6,全伝票!$C:$C,$C6)))</f>
        <v>0</v>
      </c>
      <c r="G6" s="160">
        <f>+IF($A6="",IF($C6="",SUMIFS(全伝票!K:K,全伝票!$B:$B,$B6),SUMIFS(全伝票!K:K,全伝票!$C:$C,$C6)),IF($C6="",SUMIFS(全伝票!K:K,全伝票!$A:$A,$A6,全伝票!$B:$B,$B6),SUMIFS(全伝票!K:K,全伝票!$A:$A,$A6,全伝票!$C:$C,$C6)))</f>
        <v>0</v>
      </c>
      <c r="H6" s="160">
        <f>+IF($A6="",IF($C6="",SUMIFS(全伝票!L:L,全伝票!$B:$B,$B6),SUMIFS(全伝票!L:L,全伝票!$C:$C,$C6)),IF($C6="",SUMIFS(全伝票!L:L,全伝票!$A:$A,$A6,全伝票!$B:$B,$B6),SUMIFS(全伝票!L:L,全伝票!$A:$A,$A6,全伝票!$C:$C,$C6)))</f>
        <v>0</v>
      </c>
      <c r="I6" s="159">
        <f>+IF($A6="",IF($C6="",SUMIFS(全伝票!M:M,全伝票!$B:$B,$B6),SUMIFS(全伝票!M:M,全伝票!$C:$C,$C6)),IF($C6="",SUMIFS(全伝票!M:M,全伝票!$A:$A,$A6,全伝票!$B:$B,$B6),SUMIFS(全伝票!M:M,全伝票!$A:$A,$A6,全伝票!$C:$C,$C6)))</f>
        <v>0</v>
      </c>
      <c r="J6" s="159">
        <f>+IF($A6="",IF($C6="",SUMIFS(全伝票!N:N,全伝票!$B:$B,$B6),SUMIFS(全伝票!N:N,全伝票!$C:$C,$C6)),IF($C6="",SUMIFS(全伝票!N:N,全伝票!$A:$A,$A6,全伝票!$B:$B,$B6),SUMIFS(全伝票!N:N,全伝票!$A:$A,$A6,全伝票!$C:$C,$C6)))</f>
        <v>0</v>
      </c>
      <c r="K6" s="34">
        <f t="shared" si="0"/>
        <v>0</v>
      </c>
      <c r="L6" s="158">
        <f>+IF($A6="",IF($C6="",SUMIFS(全伝票!O:O,全伝票!$B:$B,$B6),SUMIFS(全伝票!O:O,全伝票!$C:$C,$C6)),IF($C6="",SUMIFS(全伝票!O:O,全伝票!$A:$A,$A6,全伝票!$B:$B,$B6),SUMIFS(全伝票!O:O,全伝票!$A:$A,$A6,全伝票!$C:$C,$C6)))</f>
        <v>0</v>
      </c>
      <c r="M6" s="158">
        <f>+IF($A6="",IF($C6="",SUMIFS(全伝票!P:P,全伝票!$B:$B,$B6),SUMIFS(全伝票!P:P,全伝票!$C:$C,$C6)),IF($C6="",SUMIFS(全伝票!P:P,全伝票!$A:$A,$A6,全伝票!$B:$B,$B6),SUMIFS(全伝票!P:P,全伝票!$A:$A,$A6,全伝票!$C:$C,$C6)))</f>
        <v>4418400</v>
      </c>
      <c r="N6" s="108">
        <f t="shared" si="1"/>
        <v>0</v>
      </c>
      <c r="O6" s="25">
        <f t="shared" si="3"/>
        <v>0</v>
      </c>
      <c r="P6" s="25">
        <f t="shared" si="2"/>
        <v>0</v>
      </c>
      <c r="Q6" s="157">
        <f t="shared" si="3"/>
        <v>0</v>
      </c>
      <c r="R6" s="157">
        <f t="shared" si="4"/>
        <v>0</v>
      </c>
      <c r="S6" s="22">
        <f t="shared" si="5"/>
        <v>0</v>
      </c>
      <c r="T6" s="109">
        <f t="shared" si="6"/>
        <v>4418400</v>
      </c>
      <c r="U6" s="107">
        <f t="shared" si="7"/>
        <v>0</v>
      </c>
      <c r="V6" s="107">
        <f t="shared" si="8"/>
        <v>0</v>
      </c>
      <c r="W6" s="107">
        <f t="shared" si="9"/>
        <v>0</v>
      </c>
      <c r="X6" s="107">
        <f t="shared" si="9"/>
        <v>0</v>
      </c>
      <c r="Y6" s="107">
        <f t="shared" si="10"/>
        <v>0</v>
      </c>
      <c r="Z6" s="106">
        <f t="shared" si="11"/>
        <v>0</v>
      </c>
      <c r="AA6" s="106">
        <f t="shared" si="12"/>
        <v>0</v>
      </c>
      <c r="AB6" s="106">
        <f t="shared" si="13"/>
        <v>0</v>
      </c>
      <c r="AC6" s="106">
        <f t="shared" si="13"/>
        <v>0</v>
      </c>
      <c r="AD6" s="106">
        <f t="shared" si="14"/>
        <v>0</v>
      </c>
    </row>
    <row r="7" spans="1:35">
      <c r="A7" s="165">
        <v>1</v>
      </c>
      <c r="B7" s="164" t="s">
        <v>309</v>
      </c>
      <c r="C7" s="163"/>
      <c r="D7" s="162" t="s">
        <v>108</v>
      </c>
      <c r="E7" s="158">
        <f>+IF($A7="",IF($C7="",SUMIFS(全伝票!I:I,全伝票!$B:$B,$B7),SUMIFS(全伝票!I:I,全伝票!$C:$C,$C7)),IF($C7="",SUMIFS(全伝票!I:I,全伝票!$A:$A,$A7,全伝票!$B:$B,$B7),SUMIFS(全伝票!I:I,全伝票!$A:$A,$A7,全伝票!$C:$C,$C7)))</f>
        <v>2835307</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59">
        <f>+IF($A7="",IF($C7="",SUMIFS(全伝票!M:M,全伝票!$B:$B,$B7),SUMIFS(全伝票!M:M,全伝票!$C:$C,$C7)),IF($C7="",SUMIFS(全伝票!M:M,全伝票!$A:$A,$A7,全伝票!$B:$B,$B7),SUMIFS(全伝票!M:M,全伝票!$A:$A,$A7,全伝票!$C:$C,$C7)))</f>
        <v>0</v>
      </c>
      <c r="J7" s="159">
        <f>+IF($A7="",IF($C7="",SUMIFS(全伝票!N:N,全伝票!$B:$B,$B7),SUMIFS(全伝票!N:N,全伝票!$C:$C,$C7)),IF($C7="",SUMIFS(全伝票!N:N,全伝票!$A:$A,$A7,全伝票!$B:$B,$B7),SUMIFS(全伝票!N:N,全伝票!$A:$A,$A7,全伝票!$C:$C,$C7)))</f>
        <v>0</v>
      </c>
      <c r="K7" s="34">
        <f t="shared" si="0"/>
        <v>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2835307</v>
      </c>
      <c r="N7" s="108">
        <f t="shared" si="1"/>
        <v>0</v>
      </c>
      <c r="O7" s="25">
        <f t="shared" si="3"/>
        <v>0</v>
      </c>
      <c r="P7" s="25">
        <f t="shared" si="2"/>
        <v>0</v>
      </c>
      <c r="Q7" s="157">
        <f t="shared" si="3"/>
        <v>0</v>
      </c>
      <c r="R7" s="157">
        <f t="shared" si="4"/>
        <v>0</v>
      </c>
      <c r="S7" s="22">
        <f t="shared" si="5"/>
        <v>0</v>
      </c>
      <c r="T7" s="109">
        <f t="shared" si="6"/>
        <v>2835307</v>
      </c>
      <c r="U7" s="107">
        <f t="shared" si="7"/>
        <v>0</v>
      </c>
      <c r="V7" s="107">
        <f t="shared" si="8"/>
        <v>0</v>
      </c>
      <c r="W7" s="107">
        <f t="shared" si="9"/>
        <v>0</v>
      </c>
      <c r="X7" s="107">
        <f t="shared" si="9"/>
        <v>0</v>
      </c>
      <c r="Y7" s="107">
        <f t="shared" si="10"/>
        <v>0</v>
      </c>
      <c r="Z7" s="106">
        <f t="shared" si="11"/>
        <v>0</v>
      </c>
      <c r="AA7" s="106">
        <f t="shared" si="12"/>
        <v>0</v>
      </c>
      <c r="AB7" s="106">
        <f t="shared" si="13"/>
        <v>0</v>
      </c>
      <c r="AC7" s="106">
        <f t="shared" si="13"/>
        <v>0</v>
      </c>
      <c r="AD7" s="106">
        <f t="shared" si="14"/>
        <v>0</v>
      </c>
    </row>
    <row r="8" spans="1:35">
      <c r="A8" s="165">
        <v>1</v>
      </c>
      <c r="B8" s="164" t="s">
        <v>308</v>
      </c>
      <c r="C8" s="163"/>
      <c r="D8" s="162" t="s">
        <v>106</v>
      </c>
      <c r="E8" s="158">
        <f>+IF($A8="",IF($C8="",SUMIFS(全伝票!I:I,全伝票!$B:$B,$B8),SUMIFS(全伝票!I:I,全伝票!$C:$C,$C8)),IF($C8="",SUMIFS(全伝票!I:I,全伝票!$A:$A,$A8,全伝票!$B:$B,$B8),SUMIFS(全伝票!I:I,全伝票!$A:$A,$A8,全伝票!$C:$C,$C8)))</f>
        <v>1569273</v>
      </c>
      <c r="F8" s="161">
        <f>+IF($A8="",IF($C8="",SUMIFS(全伝票!J:J,全伝票!$B:$B,$B8),SUMIFS(全伝票!J:J,全伝票!$C:$C,$C8)),IF($C8="",SUMIFS(全伝票!J:J,全伝票!$A:$A,$A8,全伝票!$B:$B,$B8),SUMIFS(全伝票!J:J,全伝票!$A:$A,$A8,全伝票!$C:$C,$C8)))</f>
        <v>0</v>
      </c>
      <c r="G8" s="160">
        <f>+IF($A8="",IF($C8="",SUMIFS(全伝票!K:K,全伝票!$B:$B,$B8),SUMIFS(全伝票!K:K,全伝票!$C:$C,$C8)),IF($C8="",SUMIFS(全伝票!K:K,全伝票!$A:$A,$A8,全伝票!$B:$B,$B8),SUMIFS(全伝票!K:K,全伝票!$A:$A,$A8,全伝票!$C:$C,$C8)))</f>
        <v>0</v>
      </c>
      <c r="H8" s="160">
        <f>+IF($A8="",IF($C8="",SUMIFS(全伝票!L:L,全伝票!$B:$B,$B8),SUMIFS(全伝票!L:L,全伝票!$C:$C,$C8)),IF($C8="",SUMIFS(全伝票!L:L,全伝票!$A:$A,$A8,全伝票!$B:$B,$B8),SUMIFS(全伝票!L:L,全伝票!$A:$A,$A8,全伝票!$C:$C,$C8)))</f>
        <v>0</v>
      </c>
      <c r="I8" s="159">
        <f>+IF($A8="",IF($C8="",SUMIFS(全伝票!M:M,全伝票!$B:$B,$B8),SUMIFS(全伝票!M:M,全伝票!$C:$C,$C8)),IF($C8="",SUMIFS(全伝票!M:M,全伝票!$A:$A,$A8,全伝票!$B:$B,$B8),SUMIFS(全伝票!M:M,全伝票!$A:$A,$A8,全伝票!$C:$C,$C8)))</f>
        <v>0</v>
      </c>
      <c r="J8" s="159">
        <f>+IF($A8="",IF($C8="",SUMIFS(全伝票!N:N,全伝票!$B:$B,$B8),SUMIFS(全伝票!N:N,全伝票!$C:$C,$C8)),IF($C8="",SUMIFS(全伝票!N:N,全伝票!$A:$A,$A8,全伝票!$B:$B,$B8),SUMIFS(全伝票!N:N,全伝票!$A:$A,$A8,全伝票!$C:$C,$C8)))</f>
        <v>0</v>
      </c>
      <c r="K8" s="34">
        <f t="shared" si="0"/>
        <v>0</v>
      </c>
      <c r="L8" s="158">
        <f>+IF($A8="",IF($C8="",SUMIFS(全伝票!O:O,全伝票!$B:$B,$B8),SUMIFS(全伝票!O:O,全伝票!$C:$C,$C8)),IF($C8="",SUMIFS(全伝票!O:O,全伝票!$A:$A,$A8,全伝票!$B:$B,$B8),SUMIFS(全伝票!O:O,全伝票!$A:$A,$A8,全伝票!$C:$C,$C8)))</f>
        <v>1562649</v>
      </c>
      <c r="M8" s="158">
        <f>+IF($A8="",IF($C8="",SUMIFS(全伝票!P:P,全伝票!$B:$B,$B8),SUMIFS(全伝票!P:P,全伝票!$C:$C,$C8)),IF($C8="",SUMIFS(全伝票!P:P,全伝票!$A:$A,$A8,全伝票!$B:$B,$B8),SUMIFS(全伝票!P:P,全伝票!$A:$A,$A8,全伝票!$C:$C,$C8)))</f>
        <v>6624</v>
      </c>
      <c r="N8" s="108">
        <f t="shared" si="1"/>
        <v>0</v>
      </c>
      <c r="O8" s="25">
        <f t="shared" si="3"/>
        <v>0</v>
      </c>
      <c r="P8" s="25">
        <f t="shared" si="2"/>
        <v>0</v>
      </c>
      <c r="Q8" s="157">
        <f t="shared" si="3"/>
        <v>0</v>
      </c>
      <c r="R8" s="157">
        <f t="shared" si="4"/>
        <v>0</v>
      </c>
      <c r="S8" s="22">
        <f t="shared" si="5"/>
        <v>0</v>
      </c>
      <c r="T8" s="109">
        <f t="shared" si="6"/>
        <v>1569273</v>
      </c>
      <c r="U8" s="107">
        <f t="shared" si="7"/>
        <v>0</v>
      </c>
      <c r="V8" s="107">
        <f t="shared" si="8"/>
        <v>0</v>
      </c>
      <c r="W8" s="107">
        <f t="shared" si="9"/>
        <v>0</v>
      </c>
      <c r="X8" s="107">
        <f t="shared" si="9"/>
        <v>0</v>
      </c>
      <c r="Y8" s="107">
        <f t="shared" si="10"/>
        <v>0</v>
      </c>
      <c r="Z8" s="106">
        <f t="shared" si="11"/>
        <v>0</v>
      </c>
      <c r="AA8" s="106">
        <f t="shared" si="12"/>
        <v>0</v>
      </c>
      <c r="AB8" s="106">
        <f t="shared" si="13"/>
        <v>0</v>
      </c>
      <c r="AC8" s="106">
        <f t="shared" si="13"/>
        <v>0</v>
      </c>
      <c r="AD8" s="106">
        <f t="shared" si="14"/>
        <v>0</v>
      </c>
    </row>
    <row r="9" spans="1:35">
      <c r="A9" s="165">
        <v>1</v>
      </c>
      <c r="B9" s="164" t="s">
        <v>307</v>
      </c>
      <c r="C9" s="163"/>
      <c r="D9" s="162" t="s">
        <v>104</v>
      </c>
      <c r="E9" s="158">
        <f>+IF($A9="",IF($C9="",SUMIFS(全伝票!I:I,全伝票!$B:$B,$B9),SUMIFS(全伝票!I:I,全伝票!$C:$C,$C9)),IF($C9="",SUMIFS(全伝票!I:I,全伝票!$A:$A,$A9,全伝票!$B:$B,$B9),SUMIFS(全伝票!I:I,全伝票!$A:$A,$A9,全伝票!$C:$C,$C9)))</f>
        <v>0</v>
      </c>
      <c r="F9" s="161">
        <f>+IF($A9="",IF($C9="",SUMIFS(全伝票!J:J,全伝票!$B:$B,$B9),SUMIFS(全伝票!J:J,全伝票!$C:$C,$C9)),IF($C9="",SUMIFS(全伝票!J:J,全伝票!$A:$A,$A9,全伝票!$B:$B,$B9),SUMIFS(全伝票!J:J,全伝票!$A:$A,$A9,全伝票!$C:$C,$C9)))</f>
        <v>0</v>
      </c>
      <c r="G9" s="160">
        <f>+IF($A9="",IF($C9="",SUMIFS(全伝票!K:K,全伝票!$B:$B,$B9),SUMIFS(全伝票!K:K,全伝票!$C:$C,$C9)),IF($C9="",SUMIFS(全伝票!K:K,全伝票!$A:$A,$A9,全伝票!$B:$B,$B9),SUMIFS(全伝票!K:K,全伝票!$A:$A,$A9,全伝票!$C:$C,$C9)))</f>
        <v>0</v>
      </c>
      <c r="H9" s="160">
        <f>+IF($A9="",IF($C9="",SUMIFS(全伝票!L:L,全伝票!$B:$B,$B9),SUMIFS(全伝票!L:L,全伝票!$C:$C,$C9)),IF($C9="",SUMIFS(全伝票!L:L,全伝票!$A:$A,$A9,全伝票!$B:$B,$B9),SUMIFS(全伝票!L:L,全伝票!$A:$A,$A9,全伝票!$C:$C,$C9)))</f>
        <v>0</v>
      </c>
      <c r="I9" s="159">
        <f>+IF($A9="",IF($C9="",SUMIFS(全伝票!M:M,全伝票!$B:$B,$B9),SUMIFS(全伝票!M:M,全伝票!$C:$C,$C9)),IF($C9="",SUMIFS(全伝票!M:M,全伝票!$A:$A,$A9,全伝票!$B:$B,$B9),SUMIFS(全伝票!M:M,全伝票!$A:$A,$A9,全伝票!$C:$C,$C9)))</f>
        <v>0</v>
      </c>
      <c r="J9" s="159">
        <f>+IF($A9="",IF($C9="",SUMIFS(全伝票!N:N,全伝票!$B:$B,$B9),SUMIFS(全伝票!N:N,全伝票!$C:$C,$C9)),IF($C9="",SUMIFS(全伝票!N:N,全伝票!$A:$A,$A9,全伝票!$B:$B,$B9),SUMIFS(全伝票!N:N,全伝票!$A:$A,$A9,全伝票!$C:$C,$C9)))</f>
        <v>0</v>
      </c>
      <c r="K9" s="34">
        <f t="shared" si="0"/>
        <v>0</v>
      </c>
      <c r="L9" s="158">
        <f>+IF($A9="",IF($C9="",SUMIFS(全伝票!O:O,全伝票!$B:$B,$B9),SUMIFS(全伝票!O:O,全伝票!$C:$C,$C9)),IF($C9="",SUMIFS(全伝票!O:O,全伝票!$A:$A,$A9,全伝票!$B:$B,$B9),SUMIFS(全伝票!O:O,全伝票!$A:$A,$A9,全伝票!$C:$C,$C9)))</f>
        <v>0</v>
      </c>
      <c r="M9" s="158">
        <f>+IF($A9="",IF($C9="",SUMIFS(全伝票!P:P,全伝票!$B:$B,$B9),SUMIFS(全伝票!P:P,全伝票!$C:$C,$C9)),IF($C9="",SUMIFS(全伝票!P:P,全伝票!$A:$A,$A9,全伝票!$B:$B,$B9),SUMIFS(全伝票!P:P,全伝票!$A:$A,$A9,全伝票!$C:$C,$C9)))</f>
        <v>0</v>
      </c>
      <c r="N9" s="108">
        <f t="shared" si="1"/>
        <v>0</v>
      </c>
      <c r="O9" s="25">
        <f t="shared" si="3"/>
        <v>0</v>
      </c>
      <c r="P9" s="25">
        <f t="shared" si="2"/>
        <v>0</v>
      </c>
      <c r="Q9" s="157">
        <f t="shared" si="3"/>
        <v>0</v>
      </c>
      <c r="R9" s="157">
        <f t="shared" si="4"/>
        <v>0</v>
      </c>
      <c r="S9" s="22">
        <f t="shared" si="5"/>
        <v>0</v>
      </c>
      <c r="T9" s="109">
        <f t="shared" si="6"/>
        <v>0</v>
      </c>
      <c r="U9" s="107">
        <f t="shared" si="7"/>
        <v>0</v>
      </c>
      <c r="V9" s="107">
        <f t="shared" si="8"/>
        <v>0</v>
      </c>
      <c r="W9" s="107">
        <f t="shared" si="9"/>
        <v>0</v>
      </c>
      <c r="X9" s="107">
        <f t="shared" si="9"/>
        <v>0</v>
      </c>
      <c r="Y9" s="107">
        <f t="shared" si="10"/>
        <v>0</v>
      </c>
      <c r="Z9" s="106">
        <f t="shared" si="11"/>
        <v>0</v>
      </c>
      <c r="AA9" s="106">
        <f t="shared" si="12"/>
        <v>0</v>
      </c>
      <c r="AB9" s="106">
        <f t="shared" si="13"/>
        <v>0</v>
      </c>
      <c r="AC9" s="106">
        <f t="shared" si="13"/>
        <v>0</v>
      </c>
      <c r="AD9" s="106">
        <f t="shared" si="14"/>
        <v>0</v>
      </c>
    </row>
    <row r="10" spans="1:35">
      <c r="A10" s="165">
        <v>1</v>
      </c>
      <c r="B10" s="164" t="s">
        <v>306</v>
      </c>
      <c r="C10" s="163"/>
      <c r="D10" s="162" t="s">
        <v>102</v>
      </c>
      <c r="E10" s="158">
        <f>+IF($A10="",IF($C10="",SUMIFS(全伝票!I:I,全伝票!$B:$B,$B10),SUMIFS(全伝票!I:I,全伝票!$C:$C,$C10)),IF($C10="",SUMIFS(全伝票!I:I,全伝票!$A:$A,$A10,全伝票!$B:$B,$B10),SUMIFS(全伝票!I:I,全伝票!$A:$A,$A10,全伝票!$C:$C,$C10)))</f>
        <v>0</v>
      </c>
      <c r="F10" s="161">
        <f>+IF($A10="",IF($C10="",SUMIFS(全伝票!J:J,全伝票!$B:$B,$B10),SUMIFS(全伝票!J:J,全伝票!$C:$C,$C10)),IF($C10="",SUMIFS(全伝票!J:J,全伝票!$A:$A,$A10,全伝票!$B:$B,$B10),SUMIFS(全伝票!J:J,全伝票!$A:$A,$A10,全伝票!$C:$C,$C10)))</f>
        <v>0</v>
      </c>
      <c r="G10" s="160">
        <f>+IF($A10="",IF($C10="",SUMIFS(全伝票!K:K,全伝票!$B:$B,$B10),SUMIFS(全伝票!K:K,全伝票!$C:$C,$C10)),IF($C10="",SUMIFS(全伝票!K:K,全伝票!$A:$A,$A10,全伝票!$B:$B,$B10),SUMIFS(全伝票!K:K,全伝票!$A:$A,$A10,全伝票!$C:$C,$C10)))</f>
        <v>0</v>
      </c>
      <c r="H10" s="276">
        <f>+IF($A10="",IF($C10="",SUMIFS(全伝票!L:L,全伝票!$B:$B,$B10),SUMIFS(全伝票!L:L,全伝票!$C:$C,$C10)),IF($C10="",SUMIFS(全伝票!L:L,全伝票!$A:$A,$A10,全伝票!$B:$B,$B10),SUMIFS(全伝票!L:L,全伝票!$A:$A,$A10,全伝票!$C:$C,$C10)))</f>
        <v>0</v>
      </c>
      <c r="I10" s="271">
        <f>+IF($A10="",IF($C10="",SUMIFS(全伝票!M:M,全伝票!$B:$B,$B10),SUMIFS(全伝票!M:M,全伝票!$C:$C,$C10)),IF($C10="",SUMIFS(全伝票!M:M,全伝票!$A:$A,$A10,全伝票!$B:$B,$B10),SUMIFS(全伝票!M:M,全伝票!$A:$A,$A10,全伝票!$C:$C,$C10)))</f>
        <v>0</v>
      </c>
      <c r="J10" s="159">
        <f>+IF($A10="",IF($C10="",SUMIFS(全伝票!N:N,全伝票!$B:$B,$B10),SUMIFS(全伝票!N:N,全伝票!$C:$C,$C10)),IF($C10="",SUMIFS(全伝票!N:N,全伝票!$A:$A,$A10,全伝票!$B:$B,$B10),SUMIFS(全伝票!N:N,全伝票!$A:$A,$A10,全伝票!$C:$C,$C10)))</f>
        <v>0</v>
      </c>
      <c r="K10" s="34">
        <f t="shared" si="0"/>
        <v>0</v>
      </c>
      <c r="L10" s="158">
        <f>+IF($A10="",IF($C10="",SUMIFS(全伝票!O:O,全伝票!$B:$B,$B10),SUMIFS(全伝票!O:O,全伝票!$C:$C,$C10)),IF($C10="",SUMIFS(全伝票!O:O,全伝票!$A:$A,$A10,全伝票!$B:$B,$B10),SUMIFS(全伝票!O:O,全伝票!$A:$A,$A10,全伝票!$C:$C,$C10)))</f>
        <v>0</v>
      </c>
      <c r="M10" s="278">
        <f>+IF($A10="",IF($C10="",SUMIFS(全伝票!P:P,全伝票!$B:$B,$B10),SUMIFS(全伝票!P:P,全伝票!$C:$C,$C10)),IF($C10="",SUMIFS(全伝票!P:P,全伝票!$A:$A,$A10,全伝票!$B:$B,$B10),SUMIFS(全伝票!P:P,全伝票!$A:$A,$A10,全伝票!$C:$C,$C10)))</f>
        <v>0</v>
      </c>
      <c r="N10" s="108">
        <f t="shared" si="1"/>
        <v>0</v>
      </c>
      <c r="O10" s="25">
        <f t="shared" si="3"/>
        <v>0</v>
      </c>
      <c r="P10" s="25">
        <f t="shared" si="2"/>
        <v>0</v>
      </c>
      <c r="Q10" s="157">
        <f t="shared" si="3"/>
        <v>0</v>
      </c>
      <c r="R10" s="157">
        <f t="shared" si="4"/>
        <v>0</v>
      </c>
      <c r="S10" s="22">
        <f t="shared" si="5"/>
        <v>0</v>
      </c>
      <c r="T10" s="109">
        <f t="shared" si="6"/>
        <v>0</v>
      </c>
      <c r="U10" s="107">
        <f t="shared" si="7"/>
        <v>0</v>
      </c>
      <c r="V10" s="107">
        <f t="shared" si="8"/>
        <v>0</v>
      </c>
      <c r="W10" s="107">
        <f t="shared" si="9"/>
        <v>0</v>
      </c>
      <c r="X10" s="107">
        <f t="shared" si="9"/>
        <v>0</v>
      </c>
      <c r="Y10" s="107">
        <f t="shared" si="10"/>
        <v>0</v>
      </c>
      <c r="Z10" s="106">
        <f t="shared" si="11"/>
        <v>0</v>
      </c>
      <c r="AA10" s="106">
        <f t="shared" si="12"/>
        <v>0</v>
      </c>
      <c r="AB10" s="106">
        <f t="shared" si="13"/>
        <v>0</v>
      </c>
      <c r="AC10" s="106">
        <f t="shared" si="13"/>
        <v>0</v>
      </c>
      <c r="AD10" s="106">
        <f t="shared" si="14"/>
        <v>0</v>
      </c>
    </row>
    <row r="11" spans="1:35">
      <c r="A11" s="165">
        <v>1</v>
      </c>
      <c r="B11" s="164" t="s">
        <v>305</v>
      </c>
      <c r="C11" s="163"/>
      <c r="D11" s="162" t="s">
        <v>100</v>
      </c>
      <c r="E11" s="158">
        <f>+IF($A11="",IF($C11="",SUMIFS(全伝票!I:I,全伝票!$B:$B,$B11),SUMIFS(全伝票!I:I,全伝票!$C:$C,$C11)),IF($C11="",SUMIFS(全伝票!I:I,全伝票!$A:$A,$A11,全伝票!$B:$B,$B11),SUMIFS(全伝票!I:I,全伝票!$A:$A,$A11,全伝票!$C:$C,$C11)))</f>
        <v>0</v>
      </c>
      <c r="F11" s="161">
        <f>+IF($A11="",IF($C11="",SUMIFS(全伝票!J:J,全伝票!$B:$B,$B11),SUMIFS(全伝票!J:J,全伝票!$C:$C,$C11)),IF($C11="",SUMIFS(全伝票!J:J,全伝票!$A:$A,$A11,全伝票!$B:$B,$B11),SUMIFS(全伝票!J:J,全伝票!$A:$A,$A11,全伝票!$C:$C,$C11)))</f>
        <v>0</v>
      </c>
      <c r="G11" s="160">
        <f>+IF($A11="",IF($C11="",SUMIFS(全伝票!K:K,全伝票!$B:$B,$B11),SUMIFS(全伝票!K:K,全伝票!$C:$C,$C11)),IF($C11="",SUMIFS(全伝票!K:K,全伝票!$A:$A,$A11,全伝票!$B:$B,$B11),SUMIFS(全伝票!K:K,全伝票!$A:$A,$A11,全伝票!$C:$C,$C11)))</f>
        <v>0</v>
      </c>
      <c r="H11" s="160">
        <f>+IF($A11="",IF($C11="",SUMIFS(全伝票!L:L,全伝票!$B:$B,$B11),SUMIFS(全伝票!L:L,全伝票!$C:$C,$C11)),IF($C11="",SUMIFS(全伝票!L:L,全伝票!$A:$A,$A11,全伝票!$B:$B,$B11),SUMIFS(全伝票!L:L,全伝票!$A:$A,$A11,全伝票!$C:$C,$C11)))</f>
        <v>0</v>
      </c>
      <c r="I11" s="159">
        <f>+IF($A11="",IF($C11="",SUMIFS(全伝票!M:M,全伝票!$B:$B,$B11),SUMIFS(全伝票!M:M,全伝票!$C:$C,$C11)),IF($C11="",SUMIFS(全伝票!M:M,全伝票!$A:$A,$A11,全伝票!$B:$B,$B11),SUMIFS(全伝票!M:M,全伝票!$A:$A,$A11,全伝票!$C:$C,$C11)))</f>
        <v>0</v>
      </c>
      <c r="J11" s="159">
        <f>+IF($A11="",IF($C11="",SUMIFS(全伝票!N:N,全伝票!$B:$B,$B11),SUMIFS(全伝票!N:N,全伝票!$C:$C,$C11)),IF($C11="",SUMIFS(全伝票!N:N,全伝票!$A:$A,$A11,全伝票!$B:$B,$B11),SUMIFS(全伝票!N:N,全伝票!$A:$A,$A11,全伝票!$C:$C,$C11)))</f>
        <v>0</v>
      </c>
      <c r="K11" s="34">
        <f t="shared" si="0"/>
        <v>0</v>
      </c>
      <c r="L11" s="158">
        <f>+IF($A11="",IF($C11="",SUMIFS(全伝票!O:O,全伝票!$B:$B,$B11),SUMIFS(全伝票!O:O,全伝票!$C:$C,$C11)),IF($C11="",SUMIFS(全伝票!O:O,全伝票!$A:$A,$A11,全伝票!$B:$B,$B11),SUMIFS(全伝票!O:O,全伝票!$A:$A,$A11,全伝票!$C:$C,$C11)))</f>
        <v>0</v>
      </c>
      <c r="M11" s="158">
        <f>+IF($A11="",IF($C11="",SUMIFS(全伝票!P:P,全伝票!$B:$B,$B11),SUMIFS(全伝票!P:P,全伝票!$C:$C,$C11)),IF($C11="",SUMIFS(全伝票!P:P,全伝票!$A:$A,$A11,全伝票!$B:$B,$B11),SUMIFS(全伝票!P:P,全伝票!$A:$A,$A11,全伝票!$C:$C,$C11)))</f>
        <v>0</v>
      </c>
      <c r="N11" s="108">
        <f t="shared" si="1"/>
        <v>0</v>
      </c>
      <c r="O11" s="25">
        <f t="shared" si="3"/>
        <v>0</v>
      </c>
      <c r="P11" s="25">
        <f t="shared" si="2"/>
        <v>0</v>
      </c>
      <c r="Q11" s="157">
        <f t="shared" si="3"/>
        <v>0</v>
      </c>
      <c r="R11" s="157">
        <f t="shared" si="4"/>
        <v>0</v>
      </c>
      <c r="S11" s="22">
        <f t="shared" si="5"/>
        <v>0</v>
      </c>
      <c r="T11" s="109">
        <f t="shared" si="6"/>
        <v>0</v>
      </c>
      <c r="U11" s="107">
        <f t="shared" si="7"/>
        <v>0</v>
      </c>
      <c r="V11" s="107">
        <f t="shared" si="8"/>
        <v>0</v>
      </c>
      <c r="W11" s="107">
        <f t="shared" si="9"/>
        <v>0</v>
      </c>
      <c r="X11" s="107">
        <f t="shared" si="9"/>
        <v>0</v>
      </c>
      <c r="Y11" s="107">
        <f t="shared" si="10"/>
        <v>0</v>
      </c>
      <c r="Z11" s="106">
        <f t="shared" si="11"/>
        <v>0</v>
      </c>
      <c r="AA11" s="106">
        <f t="shared" si="12"/>
        <v>0</v>
      </c>
      <c r="AB11" s="106">
        <f t="shared" si="13"/>
        <v>0</v>
      </c>
      <c r="AC11" s="106">
        <f t="shared" si="13"/>
        <v>0</v>
      </c>
      <c r="AD11" s="106">
        <f t="shared" si="14"/>
        <v>0</v>
      </c>
    </row>
    <row r="12" spans="1:35">
      <c r="A12" s="165">
        <v>1</v>
      </c>
      <c r="B12" s="164" t="s">
        <v>303</v>
      </c>
      <c r="C12" s="163" t="s">
        <v>304</v>
      </c>
      <c r="D12" s="162" t="s">
        <v>98</v>
      </c>
      <c r="E12" s="158">
        <f>+IF($A12="",IF($C12="",SUMIFS(全伝票!I:I,全伝票!$B:$B,$B12),SUMIFS(全伝票!I:I,全伝票!$C:$C,$C12)),IF($C12="",SUMIFS(全伝票!I:I,全伝票!$A:$A,$A12,全伝票!$B:$B,$B12),SUMIFS(全伝票!I:I,全伝票!$A:$A,$A12,全伝票!$C:$C,$C12)))</f>
        <v>0</v>
      </c>
      <c r="F12" s="161">
        <f>+IF($A12="",IF($C12="",SUMIFS(全伝票!J:J,全伝票!$B:$B,$B12),SUMIFS(全伝票!J:J,全伝票!$C:$C,$C12)),IF($C12="",SUMIFS(全伝票!J:J,全伝票!$A:$A,$A12,全伝票!$B:$B,$B12),SUMIFS(全伝票!J:J,全伝票!$A:$A,$A12,全伝票!$C:$C,$C12)))</f>
        <v>0</v>
      </c>
      <c r="G12" s="160">
        <f>+IF($A12="",IF($C12="",SUMIFS(全伝票!K:K,全伝票!$B:$B,$B12),SUMIFS(全伝票!K:K,全伝票!$C:$C,$C12)),IF($C12="",SUMIFS(全伝票!K:K,全伝票!$A:$A,$A12,全伝票!$B:$B,$B12),SUMIFS(全伝票!K:K,全伝票!$A:$A,$A12,全伝票!$C:$C,$C12)))</f>
        <v>0</v>
      </c>
      <c r="H12" s="160">
        <f>+IF($A12="",IF($C12="",SUMIFS(全伝票!L:L,全伝票!$B:$B,$B12),SUMIFS(全伝票!L:L,全伝票!$C:$C,$C12)),IF($C12="",SUMIFS(全伝票!L:L,全伝票!$A:$A,$A12,全伝票!$B:$B,$B12),SUMIFS(全伝票!L:L,全伝票!$A:$A,$A12,全伝票!$C:$C,$C12)))</f>
        <v>0</v>
      </c>
      <c r="I12" s="159">
        <f>+IF($A12="",IF($C12="",SUMIFS(全伝票!M:M,全伝票!$B:$B,$B12),SUMIFS(全伝票!M:M,全伝票!$C:$C,$C12)),IF($C12="",SUMIFS(全伝票!M:M,全伝票!$A:$A,$A12,全伝票!$B:$B,$B12),SUMIFS(全伝票!M:M,全伝票!$A:$A,$A12,全伝票!$C:$C,$C12)))</f>
        <v>0</v>
      </c>
      <c r="J12" s="159">
        <f>+IF($A12="",IF($C12="",SUMIFS(全伝票!N:N,全伝票!$B:$B,$B12),SUMIFS(全伝票!N:N,全伝票!$C:$C,$C12)),IF($C12="",SUMIFS(全伝票!N:N,全伝票!$A:$A,$A12,全伝票!$B:$B,$B12),SUMIFS(全伝票!N:N,全伝票!$A:$A,$A12,全伝票!$C:$C,$C12)))</f>
        <v>0</v>
      </c>
      <c r="K12" s="34">
        <f t="shared" si="0"/>
        <v>0</v>
      </c>
      <c r="L12" s="158">
        <f>+IF($A12="",IF($C12="",SUMIFS(全伝票!O:O,全伝票!$B:$B,$B12),SUMIFS(全伝票!O:O,全伝票!$C:$C,$C12)),IF($C12="",SUMIFS(全伝票!O:O,全伝票!$A:$A,$A12,全伝票!$B:$B,$B12),SUMIFS(全伝票!O:O,全伝票!$A:$A,$A12,全伝票!$C:$C,$C12)))</f>
        <v>0</v>
      </c>
      <c r="M12" s="158">
        <f>+IF($A12="",IF($C12="",SUMIFS(全伝票!P:P,全伝票!$B:$B,$B12),SUMIFS(全伝票!P:P,全伝票!$C:$C,$C12)),IF($C12="",SUMIFS(全伝票!P:P,全伝票!$A:$A,$A12,全伝票!$B:$B,$B12),SUMIFS(全伝票!P:P,全伝票!$A:$A,$A12,全伝票!$C:$C,$C12)))</f>
        <v>0</v>
      </c>
      <c r="N12" s="108">
        <f t="shared" si="1"/>
        <v>0</v>
      </c>
      <c r="O12" s="25">
        <f t="shared" si="3"/>
        <v>0</v>
      </c>
      <c r="P12" s="25">
        <f t="shared" si="2"/>
        <v>0</v>
      </c>
      <c r="Q12" s="157">
        <f t="shared" si="3"/>
        <v>0</v>
      </c>
      <c r="R12" s="157">
        <f t="shared" si="4"/>
        <v>0</v>
      </c>
      <c r="S12" s="22">
        <f t="shared" si="5"/>
        <v>0</v>
      </c>
      <c r="T12" s="109">
        <f t="shared" si="6"/>
        <v>0</v>
      </c>
      <c r="U12" s="107">
        <f t="shared" si="7"/>
        <v>0</v>
      </c>
      <c r="V12" s="107">
        <f t="shared" si="8"/>
        <v>0</v>
      </c>
      <c r="W12" s="107">
        <f t="shared" si="9"/>
        <v>0</v>
      </c>
      <c r="X12" s="107">
        <f t="shared" si="9"/>
        <v>0</v>
      </c>
      <c r="Y12" s="107">
        <f t="shared" si="10"/>
        <v>0</v>
      </c>
      <c r="Z12" s="106">
        <f t="shared" si="11"/>
        <v>0</v>
      </c>
      <c r="AA12" s="106">
        <f t="shared" si="12"/>
        <v>0</v>
      </c>
      <c r="AB12" s="106">
        <f t="shared" si="13"/>
        <v>0</v>
      </c>
      <c r="AC12" s="106">
        <f t="shared" si="13"/>
        <v>0</v>
      </c>
      <c r="AD12" s="106">
        <f t="shared" si="14"/>
        <v>0</v>
      </c>
    </row>
    <row r="13" spans="1:35">
      <c r="A13" s="165">
        <v>1</v>
      </c>
      <c r="B13" s="164" t="s">
        <v>303</v>
      </c>
      <c r="C13" s="163" t="s">
        <v>302</v>
      </c>
      <c r="D13" s="162" t="s">
        <v>95</v>
      </c>
      <c r="E13" s="158">
        <f>+IF($A13="",IF($C13="",SUMIFS(全伝票!I:I,全伝票!$B:$B,$B13),SUMIFS(全伝票!I:I,全伝票!$C:$C,$C13)),IF($C13="",SUMIFS(全伝票!I:I,全伝票!$A:$A,$A13,全伝票!$B:$B,$B13),SUMIFS(全伝票!I:I,全伝票!$A:$A,$A13,全伝票!$C:$C,$C13)))</f>
        <v>0</v>
      </c>
      <c r="F13" s="161">
        <f>+IF($A13="",IF($C13="",SUMIFS(全伝票!J:J,全伝票!$B:$B,$B13),SUMIFS(全伝票!J:J,全伝票!$C:$C,$C13)),IF($C13="",SUMIFS(全伝票!J:J,全伝票!$A:$A,$A13,全伝票!$B:$B,$B13),SUMIFS(全伝票!J:J,全伝票!$A:$A,$A13,全伝票!$C:$C,$C13)))</f>
        <v>0</v>
      </c>
      <c r="G13" s="160">
        <f>+IF($A13="",IF($C13="",SUMIFS(全伝票!K:K,全伝票!$B:$B,$B13),SUMIFS(全伝票!K:K,全伝票!$C:$C,$C13)),IF($C13="",SUMIFS(全伝票!K:K,全伝票!$A:$A,$A13,全伝票!$B:$B,$B13),SUMIFS(全伝票!K:K,全伝票!$A:$A,$A13,全伝票!$C:$C,$C13)))</f>
        <v>0</v>
      </c>
      <c r="H13" s="160">
        <f>+IF($A13="",IF($C13="",SUMIFS(全伝票!L:L,全伝票!$B:$B,$B13),SUMIFS(全伝票!L:L,全伝票!$C:$C,$C13)),IF($C13="",SUMIFS(全伝票!L:L,全伝票!$A:$A,$A13,全伝票!$B:$B,$B13),SUMIFS(全伝票!L:L,全伝票!$A:$A,$A13,全伝票!$C:$C,$C13)))</f>
        <v>0</v>
      </c>
      <c r="I13" s="159">
        <f>+IF($A13="",IF($C13="",SUMIFS(全伝票!M:M,全伝票!$B:$B,$B13),SUMIFS(全伝票!M:M,全伝票!$C:$C,$C13)),IF($C13="",SUMIFS(全伝票!M:M,全伝票!$A:$A,$A13,全伝票!$B:$B,$B13),SUMIFS(全伝票!M:M,全伝票!$A:$A,$A13,全伝票!$C:$C,$C13)))</f>
        <v>0</v>
      </c>
      <c r="J13" s="159">
        <f>+IF($A13="",IF($C13="",SUMIFS(全伝票!N:N,全伝票!$B:$B,$B13),SUMIFS(全伝票!N:N,全伝票!$C:$C,$C13)),IF($C13="",SUMIFS(全伝票!N:N,全伝票!$A:$A,$A13,全伝票!$B:$B,$B13),SUMIFS(全伝票!N:N,全伝票!$A:$A,$A13,全伝票!$C:$C,$C13)))</f>
        <v>0</v>
      </c>
      <c r="K13" s="34">
        <f t="shared" si="0"/>
        <v>0</v>
      </c>
      <c r="L13" s="158">
        <f>+IF($A13="",IF($C13="",SUMIFS(全伝票!O:O,全伝票!$B:$B,$B13),SUMIFS(全伝票!O:O,全伝票!$C:$C,$C13)),IF($C13="",SUMIFS(全伝票!O:O,全伝票!$A:$A,$A13,全伝票!$B:$B,$B13),SUMIFS(全伝票!O:O,全伝票!$A:$A,$A13,全伝票!$C:$C,$C13)))</f>
        <v>0</v>
      </c>
      <c r="M13" s="158">
        <f>+IF($A13="",IF($C13="",SUMIFS(全伝票!P:P,全伝票!$B:$B,$B13),SUMIFS(全伝票!P:P,全伝票!$C:$C,$C13)),IF($C13="",SUMIFS(全伝票!P:P,全伝票!$A:$A,$A13,全伝票!$B:$B,$B13),SUMIFS(全伝票!P:P,全伝票!$A:$A,$A13,全伝票!$C:$C,$C13)))</f>
        <v>0</v>
      </c>
      <c r="N13" s="108">
        <f t="shared" si="1"/>
        <v>0</v>
      </c>
      <c r="O13" s="25">
        <f t="shared" si="3"/>
        <v>0</v>
      </c>
      <c r="P13" s="25">
        <f t="shared" si="2"/>
        <v>0</v>
      </c>
      <c r="Q13" s="157">
        <f t="shared" si="3"/>
        <v>0</v>
      </c>
      <c r="R13" s="157">
        <f t="shared" si="4"/>
        <v>0</v>
      </c>
      <c r="S13" s="22">
        <f t="shared" si="5"/>
        <v>0</v>
      </c>
      <c r="T13" s="109">
        <f t="shared" si="6"/>
        <v>0</v>
      </c>
      <c r="U13" s="107">
        <f t="shared" si="7"/>
        <v>0</v>
      </c>
      <c r="V13" s="107">
        <f t="shared" si="8"/>
        <v>0</v>
      </c>
      <c r="W13" s="107">
        <f t="shared" si="9"/>
        <v>0</v>
      </c>
      <c r="X13" s="107">
        <f t="shared" si="9"/>
        <v>0</v>
      </c>
      <c r="Y13" s="107">
        <f t="shared" si="10"/>
        <v>0</v>
      </c>
      <c r="Z13" s="106">
        <f t="shared" si="11"/>
        <v>0</v>
      </c>
      <c r="AA13" s="106">
        <f t="shared" si="12"/>
        <v>0</v>
      </c>
      <c r="AB13" s="106">
        <f t="shared" si="13"/>
        <v>0</v>
      </c>
      <c r="AC13" s="106">
        <f t="shared" si="13"/>
        <v>0</v>
      </c>
      <c r="AD13" s="106">
        <f t="shared" si="14"/>
        <v>0</v>
      </c>
    </row>
    <row r="14" spans="1:35">
      <c r="A14" s="165">
        <v>1</v>
      </c>
      <c r="B14" s="164" t="s">
        <v>301</v>
      </c>
      <c r="C14" s="163"/>
      <c r="D14" s="162" t="s">
        <v>93</v>
      </c>
      <c r="E14" s="158">
        <f>+IF($A14="",IF($C14="",SUMIFS(全伝票!I:I,全伝票!$B:$B,$B14),SUMIFS(全伝票!I:I,全伝票!$C:$C,$C14)),IF($C14="",SUMIFS(全伝票!I:I,全伝票!$A:$A,$A14,全伝票!$B:$B,$B14),SUMIFS(全伝票!I:I,全伝票!$A:$A,$A14,全伝票!$C:$C,$C14)))</f>
        <v>314753</v>
      </c>
      <c r="F14" s="161">
        <f>+IF($A14="",IF($C14="",SUMIFS(全伝票!J:J,全伝票!$B:$B,$B14),SUMIFS(全伝票!J:J,全伝票!$C:$C,$C14)),IF($C14="",SUMIFS(全伝票!J:J,全伝票!$A:$A,$A14,全伝票!$B:$B,$B14),SUMIFS(全伝票!J:J,全伝票!$A:$A,$A14,全伝票!$C:$C,$C14)))</f>
        <v>0</v>
      </c>
      <c r="G14" s="160">
        <f>+IF($A14="",IF($C14="",SUMIFS(全伝票!K:K,全伝票!$B:$B,$B14),SUMIFS(全伝票!K:K,全伝票!$C:$C,$C14)),IF($C14="",SUMIFS(全伝票!K:K,全伝票!$A:$A,$A14,全伝票!$B:$B,$B14),SUMIFS(全伝票!K:K,全伝票!$A:$A,$A14,全伝票!$C:$C,$C14)))</f>
        <v>0</v>
      </c>
      <c r="H14" s="160">
        <f>+IF($A14="",IF($C14="",SUMIFS(全伝票!L:L,全伝票!$B:$B,$B14),SUMIFS(全伝票!L:L,全伝票!$C:$C,$C14)),IF($C14="",SUMIFS(全伝票!L:L,全伝票!$A:$A,$A14,全伝票!$B:$B,$B14),SUMIFS(全伝票!L:L,全伝票!$A:$A,$A14,全伝票!$C:$C,$C14)))</f>
        <v>0</v>
      </c>
      <c r="I14" s="159">
        <f>+IF($A14="",IF($C14="",SUMIFS(全伝票!M:M,全伝票!$B:$B,$B14),SUMIFS(全伝票!M:M,全伝票!$C:$C,$C14)),IF($C14="",SUMIFS(全伝票!M:M,全伝票!$A:$A,$A14,全伝票!$B:$B,$B14),SUMIFS(全伝票!M:M,全伝票!$A:$A,$A14,全伝票!$C:$C,$C14)))</f>
        <v>0</v>
      </c>
      <c r="J14" s="159">
        <f>+IF($A14="",IF($C14="",SUMIFS(全伝票!N:N,全伝票!$B:$B,$B14),SUMIFS(全伝票!N:N,全伝票!$C:$C,$C14)),IF($C14="",SUMIFS(全伝票!N:N,全伝票!$A:$A,$A14,全伝票!$B:$B,$B14),SUMIFS(全伝票!N:N,全伝票!$A:$A,$A14,全伝票!$C:$C,$C14)))</f>
        <v>314753</v>
      </c>
      <c r="K14" s="34">
        <f t="shared" si="0"/>
        <v>314753</v>
      </c>
      <c r="L14" s="158">
        <f>+IF($A14="",IF($C14="",SUMIFS(全伝票!O:O,全伝票!$B:$B,$B14),SUMIFS(全伝票!O:O,全伝票!$C:$C,$C14)),IF($C14="",SUMIFS(全伝票!O:O,全伝票!$A:$A,$A14,全伝票!$B:$B,$B14),SUMIFS(全伝票!O:O,全伝票!$A:$A,$A14,全伝票!$C:$C,$C14)))</f>
        <v>0</v>
      </c>
      <c r="M14" s="158">
        <f>+IF($A14="",IF($C14="",SUMIFS(全伝票!P:P,全伝票!$B:$B,$B14),SUMIFS(全伝票!P:P,全伝票!$C:$C,$C14)),IF($C14="",SUMIFS(全伝票!P:P,全伝票!$A:$A,$A14,全伝票!$B:$B,$B14),SUMIFS(全伝票!P:P,全伝票!$A:$A,$A14,全伝票!$C:$C,$C14)))</f>
        <v>0</v>
      </c>
      <c r="N14" s="108">
        <f t="shared" si="1"/>
        <v>0</v>
      </c>
      <c r="O14" s="25">
        <f t="shared" si="3"/>
        <v>0</v>
      </c>
      <c r="P14" s="25">
        <f t="shared" si="2"/>
        <v>0</v>
      </c>
      <c r="Q14" s="157">
        <f t="shared" si="3"/>
        <v>0</v>
      </c>
      <c r="R14" s="157">
        <f t="shared" si="4"/>
        <v>28614</v>
      </c>
      <c r="S14" s="22">
        <f t="shared" si="5"/>
        <v>28614</v>
      </c>
      <c r="T14" s="109">
        <f t="shared" si="6"/>
        <v>286139</v>
      </c>
      <c r="U14" s="107">
        <f t="shared" si="7"/>
        <v>0</v>
      </c>
      <c r="V14" s="107">
        <f t="shared" si="8"/>
        <v>0</v>
      </c>
      <c r="W14" s="107">
        <f t="shared" si="9"/>
        <v>0</v>
      </c>
      <c r="X14" s="107">
        <f t="shared" si="9"/>
        <v>0</v>
      </c>
      <c r="Y14" s="107">
        <f t="shared" si="10"/>
        <v>9.0909090908098733E-2</v>
      </c>
      <c r="Z14" s="106">
        <f t="shared" si="11"/>
        <v>0</v>
      </c>
      <c r="AA14" s="106">
        <f t="shared" si="12"/>
        <v>0</v>
      </c>
      <c r="AB14" s="106">
        <f t="shared" si="13"/>
        <v>0</v>
      </c>
      <c r="AC14" s="106">
        <f t="shared" si="13"/>
        <v>0</v>
      </c>
      <c r="AD14" s="106">
        <f t="shared" si="14"/>
        <v>0</v>
      </c>
    </row>
    <row r="15" spans="1:35">
      <c r="A15" s="165">
        <v>1</v>
      </c>
      <c r="B15" s="164" t="s">
        <v>300</v>
      </c>
      <c r="C15" s="163"/>
      <c r="D15" s="162" t="s">
        <v>91</v>
      </c>
      <c r="E15" s="158">
        <f>+IF($A15="",IF($C15="",SUMIFS(全伝票!I:I,全伝票!$B:$B,$B15),SUMIFS(全伝票!I:I,全伝票!$C:$C,$C15)),IF($C15="",SUMIFS(全伝票!I:I,全伝票!$A:$A,$A15,全伝票!$B:$B,$B15),SUMIFS(全伝票!I:I,全伝票!$A:$A,$A15,全伝票!$C:$C,$C15)))</f>
        <v>205816</v>
      </c>
      <c r="F15" s="161">
        <f>+IF($A15="",IF($C15="",SUMIFS(全伝票!J:J,全伝票!$B:$B,$B15),SUMIFS(全伝票!J:J,全伝票!$C:$C,$C15)),IF($C15="",SUMIFS(全伝票!J:J,全伝票!$A:$A,$A15,全伝票!$B:$B,$B15),SUMIFS(全伝票!J:J,全伝票!$A:$A,$A15,全伝票!$C:$C,$C15)))</f>
        <v>0</v>
      </c>
      <c r="G15" s="160">
        <f>+IF($A15="",IF($C15="",SUMIFS(全伝票!K:K,全伝票!$B:$B,$B15),SUMIFS(全伝票!K:K,全伝票!$C:$C,$C15)),IF($C15="",SUMIFS(全伝票!K:K,全伝票!$A:$A,$A15,全伝票!$B:$B,$B15),SUMIFS(全伝票!K:K,全伝票!$A:$A,$A15,全伝票!$C:$C,$C15)))</f>
        <v>0</v>
      </c>
      <c r="H15" s="160">
        <f>+IF($A15="",IF($C15="",SUMIFS(全伝票!L:L,全伝票!$B:$B,$B15),SUMIFS(全伝票!L:L,全伝票!$C:$C,$C15)),IF($C15="",SUMIFS(全伝票!L:L,全伝票!$A:$A,$A15,全伝票!$B:$B,$B15),SUMIFS(全伝票!L:L,全伝票!$A:$A,$A15,全伝票!$C:$C,$C15)))</f>
        <v>0</v>
      </c>
      <c r="I15" s="159">
        <f>+IF($A15="",IF($C15="",SUMIFS(全伝票!M:M,全伝票!$B:$B,$B15),SUMIFS(全伝票!M:M,全伝票!$C:$C,$C15)),IF($C15="",SUMIFS(全伝票!M:M,全伝票!$A:$A,$A15,全伝票!$B:$B,$B15),SUMIFS(全伝票!M:M,全伝票!$A:$A,$A15,全伝票!$C:$C,$C15)))</f>
        <v>0</v>
      </c>
      <c r="J15" s="159">
        <f>+IF($A15="",IF($C15="",SUMIFS(全伝票!N:N,全伝票!$B:$B,$B15),SUMIFS(全伝票!N:N,全伝票!$C:$C,$C15)),IF($C15="",SUMIFS(全伝票!N:N,全伝票!$A:$A,$A15,全伝票!$B:$B,$B15),SUMIFS(全伝票!N:N,全伝票!$A:$A,$A15,全伝票!$C:$C,$C15)))</f>
        <v>205816</v>
      </c>
      <c r="K15" s="34">
        <f t="shared" si="0"/>
        <v>205816</v>
      </c>
      <c r="L15" s="158">
        <f>+IF($A15="",IF($C15="",SUMIFS(全伝票!O:O,全伝票!$B:$B,$B15),SUMIFS(全伝票!O:O,全伝票!$C:$C,$C15)),IF($C15="",SUMIFS(全伝票!O:O,全伝票!$A:$A,$A15,全伝票!$B:$B,$B15),SUMIFS(全伝票!O:O,全伝票!$A:$A,$A15,全伝票!$C:$C,$C15)))</f>
        <v>0</v>
      </c>
      <c r="M15" s="158">
        <f>+IF($A15="",IF($C15="",SUMIFS(全伝票!P:P,全伝票!$B:$B,$B15),SUMIFS(全伝票!P:P,全伝票!$C:$C,$C15)),IF($C15="",SUMIFS(全伝票!P:P,全伝票!$A:$A,$A15,全伝票!$B:$B,$B15),SUMIFS(全伝票!P:P,全伝票!$A:$A,$A15,全伝票!$C:$C,$C15)))</f>
        <v>0</v>
      </c>
      <c r="N15" s="108">
        <f t="shared" si="1"/>
        <v>0</v>
      </c>
      <c r="O15" s="25">
        <f t="shared" si="3"/>
        <v>0</v>
      </c>
      <c r="P15" s="25">
        <f t="shared" si="2"/>
        <v>0</v>
      </c>
      <c r="Q15" s="157">
        <f t="shared" si="3"/>
        <v>0</v>
      </c>
      <c r="R15" s="157">
        <f t="shared" si="4"/>
        <v>18710</v>
      </c>
      <c r="S15" s="22">
        <f t="shared" si="5"/>
        <v>18710</v>
      </c>
      <c r="T15" s="109">
        <f t="shared" si="6"/>
        <v>187106</v>
      </c>
      <c r="U15" s="107">
        <f t="shared" si="7"/>
        <v>0</v>
      </c>
      <c r="V15" s="107">
        <f t="shared" si="8"/>
        <v>0</v>
      </c>
      <c r="W15" s="107">
        <f t="shared" si="9"/>
        <v>0</v>
      </c>
      <c r="X15" s="107">
        <f t="shared" si="9"/>
        <v>0</v>
      </c>
      <c r="Y15" s="107">
        <f t="shared" si="10"/>
        <v>-0.54545454545586836</v>
      </c>
      <c r="Z15" s="106">
        <f t="shared" si="11"/>
        <v>0</v>
      </c>
      <c r="AA15" s="106">
        <f t="shared" si="12"/>
        <v>0</v>
      </c>
      <c r="AB15" s="106">
        <f t="shared" si="13"/>
        <v>0</v>
      </c>
      <c r="AC15" s="106">
        <f t="shared" si="13"/>
        <v>0</v>
      </c>
      <c r="AD15" s="106">
        <f t="shared" si="14"/>
        <v>0</v>
      </c>
      <c r="AI15" s="2">
        <v>-1</v>
      </c>
    </row>
    <row r="16" spans="1:35">
      <c r="A16" s="165">
        <v>1</v>
      </c>
      <c r="B16" s="164" t="s">
        <v>299</v>
      </c>
      <c r="C16" s="163"/>
      <c r="D16" s="162" t="s">
        <v>89</v>
      </c>
      <c r="E16" s="158">
        <f>+IF($A16="",IF($C16="",SUMIFS(全伝票!I:I,全伝票!$B:$B,$B16),SUMIFS(全伝票!I:I,全伝票!$C:$C,$C16)),IF($C16="",SUMIFS(全伝票!I:I,全伝票!$A:$A,$A16,全伝票!$B:$B,$B16),SUMIFS(全伝票!I:I,全伝票!$A:$A,$A16,全伝票!$C:$C,$C16)))</f>
        <v>0</v>
      </c>
      <c r="F16" s="161">
        <f>+IF($A16="",IF($C16="",SUMIFS(全伝票!J:J,全伝票!$B:$B,$B16),SUMIFS(全伝票!J:J,全伝票!$C:$C,$C16)),IF($C16="",SUMIFS(全伝票!J:J,全伝票!$A:$A,$A16,全伝票!$B:$B,$B16),SUMIFS(全伝票!J:J,全伝票!$A:$A,$A16,全伝票!$C:$C,$C16)))</f>
        <v>0</v>
      </c>
      <c r="G16" s="160">
        <f>+IF($A16="",IF($C16="",SUMIFS(全伝票!K:K,全伝票!$B:$B,$B16),SUMIFS(全伝票!K:K,全伝票!$C:$C,$C16)),IF($C16="",SUMIFS(全伝票!K:K,全伝票!$A:$A,$A16,全伝票!$B:$B,$B16),SUMIFS(全伝票!K:K,全伝票!$A:$A,$A16,全伝票!$C:$C,$C16)))</f>
        <v>0</v>
      </c>
      <c r="H16" s="160">
        <f>+IF($A16="",IF($C16="",SUMIFS(全伝票!L:L,全伝票!$B:$B,$B16),SUMIFS(全伝票!L:L,全伝票!$C:$C,$C16)),IF($C16="",SUMIFS(全伝票!L:L,全伝票!$A:$A,$A16,全伝票!$B:$B,$B16),SUMIFS(全伝票!L:L,全伝票!$A:$A,$A16,全伝票!$C:$C,$C16)))</f>
        <v>0</v>
      </c>
      <c r="I16" s="159">
        <f>+IF($A16="",IF($C16="",SUMIFS(全伝票!M:M,全伝票!$B:$B,$B16),SUMIFS(全伝票!M:M,全伝票!$C:$C,$C16)),IF($C16="",SUMIFS(全伝票!M:M,全伝票!$A:$A,$A16,全伝票!$B:$B,$B16),SUMIFS(全伝票!M:M,全伝票!$A:$A,$A16,全伝票!$C:$C,$C16)))</f>
        <v>0</v>
      </c>
      <c r="J16" s="159">
        <f>+IF($A16="",IF($C16="",SUMIFS(全伝票!N:N,全伝票!$B:$B,$B16),SUMIFS(全伝票!N:N,全伝票!$C:$C,$C16)),IF($C16="",SUMIFS(全伝票!N:N,全伝票!$A:$A,$A16,全伝票!$B:$B,$B16),SUMIFS(全伝票!N:N,全伝票!$A:$A,$A16,全伝票!$C:$C,$C16)))</f>
        <v>0</v>
      </c>
      <c r="K16" s="34">
        <f t="shared" si="0"/>
        <v>0</v>
      </c>
      <c r="L16" s="158">
        <f>+IF($A16="",IF($C16="",SUMIFS(全伝票!O:O,全伝票!$B:$B,$B16),SUMIFS(全伝票!O:O,全伝票!$C:$C,$C16)),IF($C16="",SUMIFS(全伝票!O:O,全伝票!$A:$A,$A16,全伝票!$B:$B,$B16),SUMIFS(全伝票!O:O,全伝票!$A:$A,$A16,全伝票!$C:$C,$C16)))</f>
        <v>0</v>
      </c>
      <c r="M16" s="158">
        <f>+IF($A16="",IF($C16="",SUMIFS(全伝票!P:P,全伝票!$B:$B,$B16),SUMIFS(全伝票!P:P,全伝票!$C:$C,$C16)),IF($C16="",SUMIFS(全伝票!P:P,全伝票!$A:$A,$A16,全伝票!$B:$B,$B16),SUMIFS(全伝票!P:P,全伝票!$A:$A,$A16,全伝票!$C:$C,$C16)))</f>
        <v>0</v>
      </c>
      <c r="N16" s="108">
        <f t="shared" si="1"/>
        <v>0</v>
      </c>
      <c r="O16" s="25">
        <f t="shared" si="3"/>
        <v>0</v>
      </c>
      <c r="P16" s="25">
        <f t="shared" si="2"/>
        <v>0</v>
      </c>
      <c r="Q16" s="157">
        <f t="shared" si="3"/>
        <v>0</v>
      </c>
      <c r="R16" s="157">
        <f t="shared" si="4"/>
        <v>0</v>
      </c>
      <c r="S16" s="22">
        <f t="shared" si="5"/>
        <v>0</v>
      </c>
      <c r="T16" s="109">
        <f t="shared" si="6"/>
        <v>0</v>
      </c>
      <c r="U16" s="107">
        <f t="shared" si="7"/>
        <v>0</v>
      </c>
      <c r="V16" s="107">
        <f t="shared" si="8"/>
        <v>0</v>
      </c>
      <c r="W16" s="107">
        <f t="shared" si="9"/>
        <v>0</v>
      </c>
      <c r="X16" s="107">
        <f t="shared" si="9"/>
        <v>0</v>
      </c>
      <c r="Y16" s="107">
        <f t="shared" si="10"/>
        <v>0</v>
      </c>
      <c r="Z16" s="106">
        <f t="shared" si="11"/>
        <v>0</v>
      </c>
      <c r="AA16" s="106">
        <f t="shared" si="12"/>
        <v>0</v>
      </c>
      <c r="AB16" s="106">
        <f t="shared" si="13"/>
        <v>0</v>
      </c>
      <c r="AC16" s="106">
        <f t="shared" si="13"/>
        <v>0</v>
      </c>
      <c r="AD16" s="106">
        <f t="shared" si="14"/>
        <v>0</v>
      </c>
    </row>
    <row r="17" spans="1:30">
      <c r="A17" s="165">
        <v>1</v>
      </c>
      <c r="B17" s="164" t="s">
        <v>298</v>
      </c>
      <c r="C17" s="163"/>
      <c r="D17" s="162" t="s">
        <v>87</v>
      </c>
      <c r="E17" s="158">
        <f>+IF($A17="",IF($C17="",SUMIFS(全伝票!I:I,全伝票!$B:$B,$B17),SUMIFS(全伝票!I:I,全伝票!$C:$C,$C17)),IF($C17="",SUMIFS(全伝票!I:I,全伝票!$A:$A,$A17,全伝票!$B:$B,$B17),SUMIFS(全伝票!I:I,全伝票!$A:$A,$A17,全伝票!$C:$C,$C17)))</f>
        <v>25200</v>
      </c>
      <c r="F17" s="161">
        <f>+IF($A17="",IF($C17="",SUMIFS(全伝票!J:J,全伝票!$B:$B,$B17),SUMIFS(全伝票!J:J,全伝票!$C:$C,$C17)),IF($C17="",SUMIFS(全伝票!J:J,全伝票!$A:$A,$A17,全伝票!$B:$B,$B17),SUMIFS(全伝票!J:J,全伝票!$A:$A,$A17,全伝票!$C:$C,$C17)))</f>
        <v>0</v>
      </c>
      <c r="G17" s="160">
        <f>+IF($A17="",IF($C17="",SUMIFS(全伝票!K:K,全伝票!$B:$B,$B17),SUMIFS(全伝票!K:K,全伝票!$C:$C,$C17)),IF($C17="",SUMIFS(全伝票!K:K,全伝票!$A:$A,$A17,全伝票!$B:$B,$B17),SUMIFS(全伝票!K:K,全伝票!$A:$A,$A17,全伝票!$C:$C,$C17)))</f>
        <v>0</v>
      </c>
      <c r="H17" s="160">
        <f>+IF($A17="",IF($C17="",SUMIFS(全伝票!L:L,全伝票!$B:$B,$B17),SUMIFS(全伝票!L:L,全伝票!$C:$C,$C17)),IF($C17="",SUMIFS(全伝票!L:L,全伝票!$A:$A,$A17,全伝票!$B:$B,$B17),SUMIFS(全伝票!L:L,全伝票!$A:$A,$A17,全伝票!$C:$C,$C17)))</f>
        <v>0</v>
      </c>
      <c r="I17" s="159">
        <f>+IF($A17="",IF($C17="",SUMIFS(全伝票!M:M,全伝票!$B:$B,$B17),SUMIFS(全伝票!M:M,全伝票!$C:$C,$C17)),IF($C17="",SUMIFS(全伝票!M:M,全伝票!$A:$A,$A17,全伝票!$B:$B,$B17),SUMIFS(全伝票!M:M,全伝票!$A:$A,$A17,全伝票!$C:$C,$C17)))</f>
        <v>0</v>
      </c>
      <c r="J17" s="159">
        <f>+IF($A17="",IF($C17="",SUMIFS(全伝票!N:N,全伝票!$B:$B,$B17),SUMIFS(全伝票!N:N,全伝票!$C:$C,$C17)),IF($C17="",SUMIFS(全伝票!N:N,全伝票!$A:$A,$A17,全伝票!$B:$B,$B17),SUMIFS(全伝票!N:N,全伝票!$A:$A,$A17,全伝票!$C:$C,$C17)))</f>
        <v>25200</v>
      </c>
      <c r="K17" s="34">
        <f t="shared" si="0"/>
        <v>25200</v>
      </c>
      <c r="L17" s="158">
        <f>+IF($A17="",IF($C17="",SUMIFS(全伝票!O:O,全伝票!$B:$B,$B17),SUMIFS(全伝票!O:O,全伝票!$C:$C,$C17)),IF($C17="",SUMIFS(全伝票!O:O,全伝票!$A:$A,$A17,全伝票!$B:$B,$B17),SUMIFS(全伝票!O:O,全伝票!$A:$A,$A17,全伝票!$C:$C,$C17)))</f>
        <v>0</v>
      </c>
      <c r="M17" s="158">
        <f>+IF($A17="",IF($C17="",SUMIFS(全伝票!P:P,全伝票!$B:$B,$B17),SUMIFS(全伝票!P:P,全伝票!$C:$C,$C17)),IF($C17="",SUMIFS(全伝票!P:P,全伝票!$A:$A,$A17,全伝票!$B:$B,$B17),SUMIFS(全伝票!P:P,全伝票!$A:$A,$A17,全伝票!$C:$C,$C17)))</f>
        <v>0</v>
      </c>
      <c r="N17" s="108">
        <f t="shared" si="1"/>
        <v>0</v>
      </c>
      <c r="O17" s="25">
        <f t="shared" si="3"/>
        <v>0</v>
      </c>
      <c r="P17" s="25">
        <f t="shared" si="2"/>
        <v>0</v>
      </c>
      <c r="Q17" s="157">
        <f t="shared" si="3"/>
        <v>0</v>
      </c>
      <c r="R17" s="157">
        <f t="shared" si="4"/>
        <v>2291</v>
      </c>
      <c r="S17" s="22">
        <f t="shared" si="5"/>
        <v>2291</v>
      </c>
      <c r="T17" s="109">
        <f t="shared" si="6"/>
        <v>22909</v>
      </c>
      <c r="U17" s="107">
        <f t="shared" si="7"/>
        <v>0</v>
      </c>
      <c r="V17" s="107">
        <f t="shared" si="8"/>
        <v>0</v>
      </c>
      <c r="W17" s="107">
        <f t="shared" si="9"/>
        <v>0</v>
      </c>
      <c r="X17" s="107">
        <f t="shared" si="9"/>
        <v>0</v>
      </c>
      <c r="Y17" s="107">
        <f t="shared" si="10"/>
        <v>9.0909090909008228E-2</v>
      </c>
      <c r="Z17" s="106">
        <f t="shared" si="11"/>
        <v>0</v>
      </c>
      <c r="AA17" s="106">
        <f t="shared" si="12"/>
        <v>0</v>
      </c>
      <c r="AB17" s="106">
        <f t="shared" si="13"/>
        <v>0</v>
      </c>
      <c r="AC17" s="106">
        <f t="shared" si="13"/>
        <v>0</v>
      </c>
      <c r="AD17" s="106">
        <f t="shared" si="14"/>
        <v>0</v>
      </c>
    </row>
    <row r="18" spans="1:30">
      <c r="A18" s="165">
        <v>1</v>
      </c>
      <c r="B18" s="164" t="s">
        <v>297</v>
      </c>
      <c r="C18" s="163"/>
      <c r="D18" s="162" t="s">
        <v>85</v>
      </c>
      <c r="E18" s="158">
        <f>+IF($A18="",IF($C18="",SUMIFS(全伝票!I:I,全伝票!$B:$B,$B18),SUMIFS(全伝票!I:I,全伝票!$C:$C,$C18)),IF($C18="",SUMIFS(全伝票!I:I,全伝票!$A:$A,$A18,全伝票!$B:$B,$B18),SUMIFS(全伝票!I:I,全伝票!$A:$A,$A18,全伝票!$C:$C,$C18)))</f>
        <v>31159</v>
      </c>
      <c r="F18" s="161">
        <f>+IF($A18="",IF($C18="",SUMIFS(全伝票!J:J,全伝票!$B:$B,$B18),SUMIFS(全伝票!J:J,全伝票!$C:$C,$C18)),IF($C18="",SUMIFS(全伝票!J:J,全伝票!$A:$A,$A18,全伝票!$B:$B,$B18),SUMIFS(全伝票!J:J,全伝票!$A:$A,$A18,全伝票!$C:$C,$C18)))</f>
        <v>0</v>
      </c>
      <c r="G18" s="160">
        <f>+IF($A18="",IF($C18="",SUMIFS(全伝票!K:K,全伝票!$B:$B,$B18),SUMIFS(全伝票!K:K,全伝票!$C:$C,$C18)),IF($C18="",SUMIFS(全伝票!K:K,全伝票!$A:$A,$A18,全伝票!$B:$B,$B18),SUMIFS(全伝票!K:K,全伝票!$A:$A,$A18,全伝票!$C:$C,$C18)))</f>
        <v>0</v>
      </c>
      <c r="H18" s="160">
        <f>+IF($A18="",IF($C18="",SUMIFS(全伝票!L:L,全伝票!$B:$B,$B18),SUMIFS(全伝票!L:L,全伝票!$C:$C,$C18)),IF($C18="",SUMIFS(全伝票!L:L,全伝票!$A:$A,$A18,全伝票!$B:$B,$B18),SUMIFS(全伝票!L:L,全伝票!$A:$A,$A18,全伝票!$C:$C,$C18)))</f>
        <v>0</v>
      </c>
      <c r="I18" s="159">
        <f>+IF($A18="",IF($C18="",SUMIFS(全伝票!M:M,全伝票!$B:$B,$B18),SUMIFS(全伝票!M:M,全伝票!$C:$C,$C18)),IF($C18="",SUMIFS(全伝票!M:M,全伝票!$A:$A,$A18,全伝票!$B:$B,$B18),SUMIFS(全伝票!M:M,全伝票!$A:$A,$A18,全伝票!$C:$C,$C18)))</f>
        <v>0</v>
      </c>
      <c r="J18" s="159">
        <f>+IF($A18="",IF($C18="",SUMIFS(全伝票!N:N,全伝票!$B:$B,$B18),SUMIFS(全伝票!N:N,全伝票!$C:$C,$C18)),IF($C18="",SUMIFS(全伝票!N:N,全伝票!$A:$A,$A18,全伝票!$B:$B,$B18),SUMIFS(全伝票!N:N,全伝票!$A:$A,$A18,全伝票!$C:$C,$C18)))</f>
        <v>3839</v>
      </c>
      <c r="K18" s="34">
        <f t="shared" si="0"/>
        <v>3839</v>
      </c>
      <c r="L18" s="158">
        <f>+IF($A18="",IF($C18="",SUMIFS(全伝票!O:O,全伝票!$B:$B,$B18),SUMIFS(全伝票!O:O,全伝票!$C:$C,$C18)),IF($C18="",SUMIFS(全伝票!O:O,全伝票!$A:$A,$A18,全伝票!$B:$B,$B18),SUMIFS(全伝票!O:O,全伝票!$A:$A,$A18,全伝票!$C:$C,$C18)))</f>
        <v>12900</v>
      </c>
      <c r="M18" s="158">
        <f>+IF($A18="",IF($C18="",SUMIFS(全伝票!P:P,全伝票!$B:$B,$B18),SUMIFS(全伝票!P:P,全伝票!$C:$C,$C18)),IF($C18="",SUMIFS(全伝票!P:P,全伝票!$A:$A,$A18,全伝票!$B:$B,$B18),SUMIFS(全伝票!P:P,全伝票!$A:$A,$A18,全伝票!$C:$C,$C18)))</f>
        <v>14420</v>
      </c>
      <c r="N18" s="108">
        <f t="shared" si="1"/>
        <v>0</v>
      </c>
      <c r="O18" s="25">
        <f t="shared" si="3"/>
        <v>0</v>
      </c>
      <c r="P18" s="25">
        <f t="shared" si="2"/>
        <v>0</v>
      </c>
      <c r="Q18" s="157">
        <f t="shared" si="3"/>
        <v>0</v>
      </c>
      <c r="R18" s="157">
        <f t="shared" si="4"/>
        <v>349</v>
      </c>
      <c r="S18" s="22">
        <f t="shared" si="5"/>
        <v>349</v>
      </c>
      <c r="T18" s="109">
        <f t="shared" si="6"/>
        <v>30810</v>
      </c>
      <c r="U18" s="107">
        <f t="shared" si="7"/>
        <v>0</v>
      </c>
      <c r="V18" s="107">
        <f t="shared" si="8"/>
        <v>0</v>
      </c>
      <c r="W18" s="107">
        <f t="shared" si="9"/>
        <v>0</v>
      </c>
      <c r="X18" s="107">
        <f t="shared" si="9"/>
        <v>0</v>
      </c>
      <c r="Y18" s="107">
        <f t="shared" si="10"/>
        <v>0</v>
      </c>
      <c r="Z18" s="106">
        <f t="shared" si="11"/>
        <v>0</v>
      </c>
      <c r="AA18" s="106">
        <f t="shared" si="12"/>
        <v>0</v>
      </c>
      <c r="AB18" s="106">
        <f t="shared" si="13"/>
        <v>0</v>
      </c>
      <c r="AC18" s="106">
        <f t="shared" si="13"/>
        <v>0</v>
      </c>
      <c r="AD18" s="106">
        <f t="shared" si="14"/>
        <v>0</v>
      </c>
    </row>
    <row r="19" spans="1:30">
      <c r="A19" s="165">
        <v>1</v>
      </c>
      <c r="B19" s="164" t="s">
        <v>296</v>
      </c>
      <c r="C19" s="163"/>
      <c r="D19" s="162" t="s">
        <v>83</v>
      </c>
      <c r="E19" s="158">
        <f>+IF($A19="",IF($C19="",SUMIFS(全伝票!I:I,全伝票!$B:$B,$B19),SUMIFS(全伝票!I:I,全伝票!$C:$C,$C19)),IF($C19="",SUMIFS(全伝票!I:I,全伝票!$A:$A,$A19,全伝票!$B:$B,$B19),SUMIFS(全伝票!I:I,全伝票!$A:$A,$A19,全伝票!$C:$C,$C19)))</f>
        <v>0</v>
      </c>
      <c r="F19" s="161">
        <f>+IF($A19="",IF($C19="",SUMIFS(全伝票!J:J,全伝票!$B:$B,$B19),SUMIFS(全伝票!J:J,全伝票!$C:$C,$C19)),IF($C19="",SUMIFS(全伝票!J:J,全伝票!$A:$A,$A19,全伝票!$B:$B,$B19),SUMIFS(全伝票!J:J,全伝票!$A:$A,$A19,全伝票!$C:$C,$C19)))</f>
        <v>0</v>
      </c>
      <c r="G19" s="160">
        <f>+IF($A19="",IF($C19="",SUMIFS(全伝票!K:K,全伝票!$B:$B,$B19),SUMIFS(全伝票!K:K,全伝票!$C:$C,$C19)),IF($C19="",SUMIFS(全伝票!K:K,全伝票!$A:$A,$A19,全伝票!$B:$B,$B19),SUMIFS(全伝票!K:K,全伝票!$A:$A,$A19,全伝票!$C:$C,$C19)))</f>
        <v>0</v>
      </c>
      <c r="H19" s="160">
        <f>+IF($A19="",IF($C19="",SUMIFS(全伝票!L:L,全伝票!$B:$B,$B19),SUMIFS(全伝票!L:L,全伝票!$C:$C,$C19)),IF($C19="",SUMIFS(全伝票!L:L,全伝票!$A:$A,$A19,全伝票!$B:$B,$B19),SUMIFS(全伝票!L:L,全伝票!$A:$A,$A19,全伝票!$C:$C,$C19)))</f>
        <v>0</v>
      </c>
      <c r="I19" s="159">
        <f>+IF($A19="",IF($C19="",SUMIFS(全伝票!M:M,全伝票!$B:$B,$B19),SUMIFS(全伝票!M:M,全伝票!$C:$C,$C19)),IF($C19="",SUMIFS(全伝票!M:M,全伝票!$A:$A,$A19,全伝票!$B:$B,$B19),SUMIFS(全伝票!M:M,全伝票!$A:$A,$A19,全伝票!$C:$C,$C19)))</f>
        <v>0</v>
      </c>
      <c r="J19" s="159">
        <f>+IF($A19="",IF($C19="",SUMIFS(全伝票!N:N,全伝票!$B:$B,$B19),SUMIFS(全伝票!N:N,全伝票!$C:$C,$C19)),IF($C19="",SUMIFS(全伝票!N:N,全伝票!$A:$A,$A19,全伝票!$B:$B,$B19),SUMIFS(全伝票!N:N,全伝票!$A:$A,$A19,全伝票!$C:$C,$C19)))</f>
        <v>0</v>
      </c>
      <c r="K19" s="34">
        <f t="shared" si="0"/>
        <v>0</v>
      </c>
      <c r="L19" s="158">
        <f>+IF($A19="",IF($C19="",SUMIFS(全伝票!O:O,全伝票!$B:$B,$B19),SUMIFS(全伝票!O:O,全伝票!$C:$C,$C19)),IF($C19="",SUMIFS(全伝票!O:O,全伝票!$A:$A,$A19,全伝票!$B:$B,$B19),SUMIFS(全伝票!O:O,全伝票!$A:$A,$A19,全伝票!$C:$C,$C19)))</f>
        <v>0</v>
      </c>
      <c r="M19" s="158">
        <f>+IF($A19="",IF($C19="",SUMIFS(全伝票!P:P,全伝票!$B:$B,$B19),SUMIFS(全伝票!P:P,全伝票!$C:$C,$C19)),IF($C19="",SUMIFS(全伝票!P:P,全伝票!$A:$A,$A19,全伝票!$B:$B,$B19),SUMIFS(全伝票!P:P,全伝票!$A:$A,$A19,全伝票!$C:$C,$C19)))</f>
        <v>0</v>
      </c>
      <c r="N19" s="108">
        <f t="shared" si="1"/>
        <v>0</v>
      </c>
      <c r="O19" s="25">
        <f t="shared" si="3"/>
        <v>0</v>
      </c>
      <c r="P19" s="25">
        <f t="shared" si="2"/>
        <v>0</v>
      </c>
      <c r="Q19" s="157">
        <f t="shared" si="3"/>
        <v>0</v>
      </c>
      <c r="R19" s="157">
        <f t="shared" si="4"/>
        <v>0</v>
      </c>
      <c r="S19" s="22">
        <f t="shared" si="5"/>
        <v>0</v>
      </c>
      <c r="T19" s="109">
        <f t="shared" si="6"/>
        <v>0</v>
      </c>
      <c r="U19" s="107">
        <f t="shared" si="7"/>
        <v>0</v>
      </c>
      <c r="V19" s="107">
        <f t="shared" si="8"/>
        <v>0</v>
      </c>
      <c r="W19" s="107">
        <f t="shared" si="9"/>
        <v>0</v>
      </c>
      <c r="X19" s="107">
        <f t="shared" si="9"/>
        <v>0</v>
      </c>
      <c r="Y19" s="107">
        <f t="shared" si="10"/>
        <v>0</v>
      </c>
      <c r="Z19" s="106">
        <f t="shared" si="11"/>
        <v>0</v>
      </c>
      <c r="AA19" s="106">
        <f t="shared" si="12"/>
        <v>0</v>
      </c>
      <c r="AB19" s="106">
        <f t="shared" si="13"/>
        <v>0</v>
      </c>
      <c r="AC19" s="106">
        <f t="shared" si="13"/>
        <v>0</v>
      </c>
      <c r="AD19" s="106">
        <f t="shared" si="14"/>
        <v>0</v>
      </c>
    </row>
    <row r="20" spans="1:30">
      <c r="A20" s="165">
        <v>1</v>
      </c>
      <c r="B20" s="164" t="s">
        <v>295</v>
      </c>
      <c r="C20" s="163"/>
      <c r="D20" s="162" t="s">
        <v>81</v>
      </c>
      <c r="E20" s="158">
        <f>+IF($A20="",IF($C20="",SUMIFS(全伝票!I:I,全伝票!$B:$B,$B20),SUMIFS(全伝票!I:I,全伝票!$C:$C,$C20)),IF($C20="",SUMIFS(全伝票!I:I,全伝票!$A:$A,$A20,全伝票!$B:$B,$B20),SUMIFS(全伝票!I:I,全伝票!$A:$A,$A20,全伝票!$C:$C,$C20)))</f>
        <v>223630</v>
      </c>
      <c r="F20" s="161">
        <f>+IF($A20="",IF($C20="",SUMIFS(全伝票!J:J,全伝票!$B:$B,$B20),SUMIFS(全伝票!J:J,全伝票!$C:$C,$C20)),IF($C20="",SUMIFS(全伝票!J:J,全伝票!$A:$A,$A20,全伝票!$B:$B,$B20),SUMIFS(全伝票!J:J,全伝票!$A:$A,$A20,全伝票!$C:$C,$C20)))</f>
        <v>0</v>
      </c>
      <c r="G20" s="160">
        <f>+IF($A20="",IF($C20="",SUMIFS(全伝票!K:K,全伝票!$B:$B,$B20),SUMIFS(全伝票!K:K,全伝票!$C:$C,$C20)),IF($C20="",SUMIFS(全伝票!K:K,全伝票!$A:$A,$A20,全伝票!$B:$B,$B20),SUMIFS(全伝票!K:K,全伝票!$A:$A,$A20,全伝票!$C:$C,$C20)))</f>
        <v>0</v>
      </c>
      <c r="H20" s="160">
        <f>+IF($A20="",IF($C20="",SUMIFS(全伝票!L:L,全伝票!$B:$B,$B20),SUMIFS(全伝票!L:L,全伝票!$C:$C,$C20)),IF($C20="",SUMIFS(全伝票!L:L,全伝票!$A:$A,$A20,全伝票!$B:$B,$B20),SUMIFS(全伝票!L:L,全伝票!$A:$A,$A20,全伝票!$C:$C,$C20)))</f>
        <v>0</v>
      </c>
      <c r="I20" s="159">
        <f>+IF($A20="",IF($C20="",SUMIFS(全伝票!M:M,全伝票!$B:$B,$B20),SUMIFS(全伝票!M:M,全伝票!$C:$C,$C20)),IF($C20="",SUMIFS(全伝票!M:M,全伝票!$A:$A,$A20,全伝票!$B:$B,$B20),SUMIFS(全伝票!M:M,全伝票!$A:$A,$A20,全伝票!$C:$C,$C20)))</f>
        <v>0</v>
      </c>
      <c r="J20" s="159">
        <f>+IF($A20="",IF($C20="",SUMIFS(全伝票!N:N,全伝票!$B:$B,$B20),SUMIFS(全伝票!N:N,全伝票!$C:$C,$C20)),IF($C20="",SUMIFS(全伝票!N:N,全伝票!$A:$A,$A20,全伝票!$B:$B,$B20),SUMIFS(全伝票!N:N,全伝票!$A:$A,$A20,全伝票!$C:$C,$C20)))</f>
        <v>223630</v>
      </c>
      <c r="K20" s="34">
        <f t="shared" si="0"/>
        <v>223630</v>
      </c>
      <c r="L20" s="158">
        <f>+IF($A20="",IF($C20="",SUMIFS(全伝票!O:O,全伝票!$B:$B,$B20),SUMIFS(全伝票!O:O,全伝票!$C:$C,$C20)),IF($C20="",SUMIFS(全伝票!O:O,全伝票!$A:$A,$A20,全伝票!$B:$B,$B20),SUMIFS(全伝票!O:O,全伝票!$A:$A,$A20,全伝票!$C:$C,$C20)))</f>
        <v>0</v>
      </c>
      <c r="M20" s="158">
        <f>+IF($A20="",IF($C20="",SUMIFS(全伝票!P:P,全伝票!$B:$B,$B20),SUMIFS(全伝票!P:P,全伝票!$C:$C,$C20)),IF($C20="",SUMIFS(全伝票!P:P,全伝票!$A:$A,$A20,全伝票!$B:$B,$B20),SUMIFS(全伝票!P:P,全伝票!$A:$A,$A20,全伝票!$C:$C,$C20)))</f>
        <v>0</v>
      </c>
      <c r="N20" s="108">
        <f t="shared" si="1"/>
        <v>0</v>
      </c>
      <c r="O20" s="25">
        <f t="shared" si="3"/>
        <v>0</v>
      </c>
      <c r="P20" s="25">
        <f t="shared" si="2"/>
        <v>0</v>
      </c>
      <c r="Q20" s="157">
        <f t="shared" si="3"/>
        <v>0</v>
      </c>
      <c r="R20" s="157">
        <f t="shared" si="4"/>
        <v>20330</v>
      </c>
      <c r="S20" s="22">
        <f t="shared" si="5"/>
        <v>20330</v>
      </c>
      <c r="T20" s="109">
        <f t="shared" si="6"/>
        <v>203300</v>
      </c>
      <c r="U20" s="107">
        <f t="shared" si="7"/>
        <v>0</v>
      </c>
      <c r="V20" s="107">
        <f t="shared" si="8"/>
        <v>0</v>
      </c>
      <c r="W20" s="107">
        <f t="shared" si="9"/>
        <v>0</v>
      </c>
      <c r="X20" s="107">
        <f t="shared" si="9"/>
        <v>0</v>
      </c>
      <c r="Y20" s="107">
        <f t="shared" si="10"/>
        <v>0</v>
      </c>
      <c r="Z20" s="106">
        <f t="shared" si="11"/>
        <v>0</v>
      </c>
      <c r="AA20" s="106">
        <f t="shared" si="12"/>
        <v>0</v>
      </c>
      <c r="AB20" s="106">
        <f t="shared" si="13"/>
        <v>0</v>
      </c>
      <c r="AC20" s="106">
        <f t="shared" si="13"/>
        <v>0</v>
      </c>
      <c r="AD20" s="106">
        <f t="shared" si="14"/>
        <v>0</v>
      </c>
    </row>
    <row r="21" spans="1:30">
      <c r="A21" s="165">
        <v>1</v>
      </c>
      <c r="B21" s="164" t="s">
        <v>294</v>
      </c>
      <c r="C21" s="163"/>
      <c r="D21" s="162" t="s">
        <v>79</v>
      </c>
      <c r="E21" s="158">
        <f>+IF($A21="",IF($C21="",SUMIFS(全伝票!I:I,全伝票!$B:$B,$B21),SUMIFS(全伝票!I:I,全伝票!$C:$C,$C21)),IF($C21="",SUMIFS(全伝票!I:I,全伝票!$A:$A,$A21,全伝票!$B:$B,$B21),SUMIFS(全伝票!I:I,全伝票!$A:$A,$A21,全伝票!$C:$C,$C21)))</f>
        <v>190247</v>
      </c>
      <c r="F21" s="161">
        <f>+IF($A21="",IF($C21="",SUMIFS(全伝票!J:J,全伝票!$B:$B,$B21),SUMIFS(全伝票!J:J,全伝票!$C:$C,$C21)),IF($C21="",SUMIFS(全伝票!J:J,全伝票!$A:$A,$A21,全伝票!$B:$B,$B21),SUMIFS(全伝票!J:J,全伝票!$A:$A,$A21,全伝票!$C:$C,$C21)))</f>
        <v>0</v>
      </c>
      <c r="G21" s="160">
        <f>+IF($A21="",IF($C21="",SUMIFS(全伝票!K:K,全伝票!$B:$B,$B21),SUMIFS(全伝票!K:K,全伝票!$C:$C,$C21)),IF($C21="",SUMIFS(全伝票!K:K,全伝票!$A:$A,$A21,全伝票!$B:$B,$B21),SUMIFS(全伝票!K:K,全伝票!$A:$A,$A21,全伝票!$C:$C,$C21)))</f>
        <v>0</v>
      </c>
      <c r="H21" s="160">
        <f>+IF($A21="",IF($C21="",SUMIFS(全伝票!L:L,全伝票!$B:$B,$B21),SUMIFS(全伝票!L:L,全伝票!$C:$C,$C21)),IF($C21="",SUMIFS(全伝票!L:L,全伝票!$A:$A,$A21,全伝票!$B:$B,$B21),SUMIFS(全伝票!L:L,全伝票!$A:$A,$A21,全伝票!$C:$C,$C21)))</f>
        <v>0</v>
      </c>
      <c r="I21" s="159">
        <f>+IF($A21="",IF($C21="",SUMIFS(全伝票!M:M,全伝票!$B:$B,$B21),SUMIFS(全伝票!M:M,全伝票!$C:$C,$C21)),IF($C21="",SUMIFS(全伝票!M:M,全伝票!$A:$A,$A21,全伝票!$B:$B,$B21),SUMIFS(全伝票!M:M,全伝票!$A:$A,$A21,全伝票!$C:$C,$C21)))</f>
        <v>0</v>
      </c>
      <c r="J21" s="159">
        <f>+IF($A21="",IF($C21="",SUMIFS(全伝票!N:N,全伝票!$B:$B,$B21),SUMIFS(全伝票!N:N,全伝票!$C:$C,$C21)),IF($C21="",SUMIFS(全伝票!N:N,全伝票!$A:$A,$A21,全伝票!$B:$B,$B21),SUMIFS(全伝票!N:N,全伝票!$A:$A,$A21,全伝票!$C:$C,$C21)))</f>
        <v>190247</v>
      </c>
      <c r="K21" s="34">
        <f t="shared" si="0"/>
        <v>190247</v>
      </c>
      <c r="L21" s="158">
        <f>+IF($A21="",IF($C21="",SUMIFS(全伝票!O:O,全伝票!$B:$B,$B21),SUMIFS(全伝票!O:O,全伝票!$C:$C,$C21)),IF($C21="",SUMIFS(全伝票!O:O,全伝票!$A:$A,$A21,全伝票!$B:$B,$B21),SUMIFS(全伝票!O:O,全伝票!$A:$A,$A21,全伝票!$C:$C,$C21)))</f>
        <v>0</v>
      </c>
      <c r="M21" s="158">
        <f>+IF($A21="",IF($C21="",SUMIFS(全伝票!P:P,全伝票!$B:$B,$B21),SUMIFS(全伝票!P:P,全伝票!$C:$C,$C21)),IF($C21="",SUMIFS(全伝票!P:P,全伝票!$A:$A,$A21,全伝票!$B:$B,$B21),SUMIFS(全伝票!P:P,全伝票!$A:$A,$A21,全伝票!$C:$C,$C21)))</f>
        <v>0</v>
      </c>
      <c r="N21" s="108">
        <f t="shared" si="1"/>
        <v>0</v>
      </c>
      <c r="O21" s="25">
        <f t="shared" si="3"/>
        <v>0</v>
      </c>
      <c r="P21" s="25">
        <f t="shared" si="2"/>
        <v>0</v>
      </c>
      <c r="Q21" s="157">
        <f t="shared" si="3"/>
        <v>0</v>
      </c>
      <c r="R21" s="157">
        <f t="shared" si="4"/>
        <v>17295</v>
      </c>
      <c r="S21" s="22">
        <f t="shared" si="5"/>
        <v>17295</v>
      </c>
      <c r="T21" s="109">
        <f t="shared" si="6"/>
        <v>172952</v>
      </c>
      <c r="U21" s="107">
        <f t="shared" si="7"/>
        <v>0</v>
      </c>
      <c r="V21" s="107">
        <f t="shared" si="8"/>
        <v>0</v>
      </c>
      <c r="W21" s="107">
        <f t="shared" si="9"/>
        <v>0</v>
      </c>
      <c r="X21" s="107">
        <f t="shared" si="9"/>
        <v>0</v>
      </c>
      <c r="Y21" s="107">
        <f t="shared" si="10"/>
        <v>-0.18181818181983544</v>
      </c>
      <c r="Z21" s="106">
        <f t="shared" si="11"/>
        <v>0</v>
      </c>
      <c r="AA21" s="106">
        <f t="shared" si="12"/>
        <v>0</v>
      </c>
      <c r="AB21" s="106">
        <f t="shared" si="13"/>
        <v>0</v>
      </c>
      <c r="AC21" s="106">
        <f t="shared" si="13"/>
        <v>0</v>
      </c>
      <c r="AD21" s="106">
        <f t="shared" si="14"/>
        <v>0</v>
      </c>
    </row>
    <row r="22" spans="1:30">
      <c r="A22" s="165">
        <v>1</v>
      </c>
      <c r="B22" s="164" t="s">
        <v>293</v>
      </c>
      <c r="C22" s="163"/>
      <c r="D22" s="162" t="s">
        <v>77</v>
      </c>
      <c r="E22" s="158">
        <f>+IF($A22="",IF($C22="",SUMIFS(全伝票!I:I,全伝票!$B:$B,$B22),SUMIFS(全伝票!I:I,全伝票!$C:$C,$C22)),IF($C22="",SUMIFS(全伝票!I:I,全伝票!$A:$A,$A22,全伝票!$B:$B,$B22),SUMIFS(全伝票!I:I,全伝票!$A:$A,$A22,全伝票!$C:$C,$C22)))</f>
        <v>0</v>
      </c>
      <c r="F22" s="161">
        <f>+IF($A22="",IF($C22="",SUMIFS(全伝票!J:J,全伝票!$B:$B,$B22),SUMIFS(全伝票!J:J,全伝票!$C:$C,$C22)),IF($C22="",SUMIFS(全伝票!J:J,全伝票!$A:$A,$A22,全伝票!$B:$B,$B22),SUMIFS(全伝票!J:J,全伝票!$A:$A,$A22,全伝票!$C:$C,$C22)))</f>
        <v>0</v>
      </c>
      <c r="G22" s="160">
        <f>+IF($A22="",IF($C22="",SUMIFS(全伝票!K:K,全伝票!$B:$B,$B22),SUMIFS(全伝票!K:K,全伝票!$C:$C,$C22)),IF($C22="",SUMIFS(全伝票!K:K,全伝票!$A:$A,$A22,全伝票!$B:$B,$B22),SUMIFS(全伝票!K:K,全伝票!$A:$A,$A22,全伝票!$C:$C,$C22)))</f>
        <v>0</v>
      </c>
      <c r="H22" s="160">
        <f>+IF($A22="",IF($C22="",SUMIFS(全伝票!L:L,全伝票!$B:$B,$B22),SUMIFS(全伝票!L:L,全伝票!$C:$C,$C22)),IF($C22="",SUMIFS(全伝票!L:L,全伝票!$A:$A,$A22,全伝票!$B:$B,$B22),SUMIFS(全伝票!L:L,全伝票!$A:$A,$A22,全伝票!$C:$C,$C22)))</f>
        <v>0</v>
      </c>
      <c r="I22" s="159">
        <f>+IF($A22="",IF($C22="",SUMIFS(全伝票!M:M,全伝票!$B:$B,$B22),SUMIFS(全伝票!M:M,全伝票!$C:$C,$C22)),IF($C22="",SUMIFS(全伝票!M:M,全伝票!$A:$A,$A22,全伝票!$B:$B,$B22),SUMIFS(全伝票!M:M,全伝票!$A:$A,$A22,全伝票!$C:$C,$C22)))</f>
        <v>0</v>
      </c>
      <c r="J22" s="159">
        <f>+IF($A22="",IF($C22="",SUMIFS(全伝票!N:N,全伝票!$B:$B,$B22),SUMIFS(全伝票!N:N,全伝票!$C:$C,$C22)),IF($C22="",SUMIFS(全伝票!N:N,全伝票!$A:$A,$A22,全伝票!$B:$B,$B22),SUMIFS(全伝票!N:N,全伝票!$A:$A,$A22,全伝票!$C:$C,$C22)))</f>
        <v>0</v>
      </c>
      <c r="K22" s="34">
        <f t="shared" si="0"/>
        <v>0</v>
      </c>
      <c r="L22" s="158">
        <f>+IF($A22="",IF($C22="",SUMIFS(全伝票!O:O,全伝票!$B:$B,$B22),SUMIFS(全伝票!O:O,全伝票!$C:$C,$C22)),IF($C22="",SUMIFS(全伝票!O:O,全伝票!$A:$A,$A22,全伝票!$B:$B,$B22),SUMIFS(全伝票!O:O,全伝票!$A:$A,$A22,全伝票!$C:$C,$C22)))</f>
        <v>0</v>
      </c>
      <c r="M22" s="158">
        <f>+IF($A22="",IF($C22="",SUMIFS(全伝票!P:P,全伝票!$B:$B,$B22),SUMIFS(全伝票!P:P,全伝票!$C:$C,$C22)),IF($C22="",SUMIFS(全伝票!P:P,全伝票!$A:$A,$A22,全伝票!$B:$B,$B22),SUMIFS(全伝票!P:P,全伝票!$A:$A,$A22,全伝票!$C:$C,$C22)))</f>
        <v>0</v>
      </c>
      <c r="N22" s="108">
        <f t="shared" si="1"/>
        <v>0</v>
      </c>
      <c r="O22" s="25">
        <f t="shared" si="3"/>
        <v>0</v>
      </c>
      <c r="P22" s="25">
        <f t="shared" si="2"/>
        <v>0</v>
      </c>
      <c r="Q22" s="157">
        <f t="shared" si="3"/>
        <v>0</v>
      </c>
      <c r="R22" s="157">
        <f t="shared" si="4"/>
        <v>0</v>
      </c>
      <c r="S22" s="22">
        <f t="shared" si="5"/>
        <v>0</v>
      </c>
      <c r="T22" s="109">
        <f t="shared" si="6"/>
        <v>0</v>
      </c>
      <c r="U22" s="107">
        <f t="shared" si="7"/>
        <v>0</v>
      </c>
      <c r="V22" s="107">
        <f t="shared" si="8"/>
        <v>0</v>
      </c>
      <c r="W22" s="107">
        <f t="shared" si="9"/>
        <v>0</v>
      </c>
      <c r="X22" s="107">
        <f t="shared" si="9"/>
        <v>0</v>
      </c>
      <c r="Y22" s="107">
        <f t="shared" si="10"/>
        <v>0</v>
      </c>
      <c r="Z22" s="106">
        <f t="shared" si="11"/>
        <v>0</v>
      </c>
      <c r="AA22" s="106">
        <f t="shared" si="12"/>
        <v>0</v>
      </c>
      <c r="AB22" s="106">
        <f t="shared" si="13"/>
        <v>0</v>
      </c>
      <c r="AC22" s="106">
        <f t="shared" si="13"/>
        <v>0</v>
      </c>
      <c r="AD22" s="106">
        <f t="shared" si="14"/>
        <v>0</v>
      </c>
    </row>
    <row r="23" spans="1:30">
      <c r="A23" s="165">
        <v>1</v>
      </c>
      <c r="B23" s="164" t="s">
        <v>292</v>
      </c>
      <c r="C23" s="163"/>
      <c r="D23" s="162" t="s">
        <v>75</v>
      </c>
      <c r="E23" s="158">
        <f>+IF($A23="",IF($C23="",SUMIFS(全伝票!I:I,全伝票!$B:$B,$B23),SUMIFS(全伝票!I:I,全伝票!$C:$C,$C23)),IF($C23="",SUMIFS(全伝票!I:I,全伝票!$A:$A,$A23,全伝票!$B:$B,$B23),SUMIFS(全伝票!I:I,全伝票!$A:$A,$A23,全伝票!$C:$C,$C23)))</f>
        <v>0</v>
      </c>
      <c r="F23" s="161">
        <f>+IF($A23="",IF($C23="",SUMIFS(全伝票!J:J,全伝票!$B:$B,$B23),SUMIFS(全伝票!J:J,全伝票!$C:$C,$C23)),IF($C23="",SUMIFS(全伝票!J:J,全伝票!$A:$A,$A23,全伝票!$B:$B,$B23),SUMIFS(全伝票!J:J,全伝票!$A:$A,$A23,全伝票!$C:$C,$C23)))</f>
        <v>0</v>
      </c>
      <c r="G23" s="160">
        <f>+IF($A23="",IF($C23="",SUMIFS(全伝票!K:K,全伝票!$B:$B,$B23),SUMIFS(全伝票!K:K,全伝票!$C:$C,$C23)),IF($C23="",SUMIFS(全伝票!K:K,全伝票!$A:$A,$A23,全伝票!$B:$B,$B23),SUMIFS(全伝票!K:K,全伝票!$A:$A,$A23,全伝票!$C:$C,$C23)))</f>
        <v>0</v>
      </c>
      <c r="H23" s="160">
        <f>+IF($A23="",IF($C23="",SUMIFS(全伝票!L:L,全伝票!$B:$B,$B23),SUMIFS(全伝票!L:L,全伝票!$C:$C,$C23)),IF($C23="",SUMIFS(全伝票!L:L,全伝票!$A:$A,$A23,全伝票!$B:$B,$B23),SUMIFS(全伝票!L:L,全伝票!$A:$A,$A23,全伝票!$C:$C,$C23)))</f>
        <v>0</v>
      </c>
      <c r="I23" s="159">
        <f>+IF($A23="",IF($C23="",SUMIFS(全伝票!M:M,全伝票!$B:$B,$B23),SUMIFS(全伝票!M:M,全伝票!$C:$C,$C23)),IF($C23="",SUMIFS(全伝票!M:M,全伝票!$A:$A,$A23,全伝票!$B:$B,$B23),SUMIFS(全伝票!M:M,全伝票!$A:$A,$A23,全伝票!$C:$C,$C23)))</f>
        <v>0</v>
      </c>
      <c r="J23" s="159">
        <f>+IF($A23="",IF($C23="",SUMIFS(全伝票!N:N,全伝票!$B:$B,$B23),SUMIFS(全伝票!N:N,全伝票!$C:$C,$C23)),IF($C23="",SUMIFS(全伝票!N:N,全伝票!$A:$A,$A23,全伝票!$B:$B,$B23),SUMIFS(全伝票!N:N,全伝票!$A:$A,$A23,全伝票!$C:$C,$C23)))</f>
        <v>0</v>
      </c>
      <c r="K23" s="34">
        <f t="shared" si="0"/>
        <v>0</v>
      </c>
      <c r="L23" s="158">
        <f>+IF($A23="",IF($C23="",SUMIFS(全伝票!O:O,全伝票!$B:$B,$B23),SUMIFS(全伝票!O:O,全伝票!$C:$C,$C23)),IF($C23="",SUMIFS(全伝票!O:O,全伝票!$A:$A,$A23,全伝票!$B:$B,$B23),SUMIFS(全伝票!O:O,全伝票!$A:$A,$A23,全伝票!$C:$C,$C23)))</f>
        <v>0</v>
      </c>
      <c r="M23" s="158">
        <f>+IF($A23="",IF($C23="",SUMIFS(全伝票!P:P,全伝票!$B:$B,$B23),SUMIFS(全伝票!P:P,全伝票!$C:$C,$C23)),IF($C23="",SUMIFS(全伝票!P:P,全伝票!$A:$A,$A23,全伝票!$B:$B,$B23),SUMIFS(全伝票!P:P,全伝票!$A:$A,$A23,全伝票!$C:$C,$C23)))</f>
        <v>0</v>
      </c>
      <c r="N23" s="108">
        <f t="shared" si="1"/>
        <v>0</v>
      </c>
      <c r="O23" s="25">
        <f t="shared" si="3"/>
        <v>0</v>
      </c>
      <c r="P23" s="25">
        <f t="shared" si="2"/>
        <v>0</v>
      </c>
      <c r="Q23" s="157">
        <f t="shared" si="3"/>
        <v>0</v>
      </c>
      <c r="R23" s="157">
        <f t="shared" si="4"/>
        <v>0</v>
      </c>
      <c r="S23" s="22">
        <f t="shared" si="5"/>
        <v>0</v>
      </c>
      <c r="T23" s="109">
        <f t="shared" si="6"/>
        <v>0</v>
      </c>
      <c r="U23" s="107">
        <f t="shared" si="7"/>
        <v>0</v>
      </c>
      <c r="V23" s="107">
        <f t="shared" si="8"/>
        <v>0</v>
      </c>
      <c r="W23" s="107">
        <f t="shared" si="9"/>
        <v>0</v>
      </c>
      <c r="X23" s="107">
        <f t="shared" si="9"/>
        <v>0</v>
      </c>
      <c r="Y23" s="107">
        <f t="shared" si="10"/>
        <v>0</v>
      </c>
      <c r="Z23" s="106">
        <f t="shared" si="11"/>
        <v>0</v>
      </c>
      <c r="AA23" s="106">
        <f t="shared" si="12"/>
        <v>0</v>
      </c>
      <c r="AB23" s="106">
        <f t="shared" si="13"/>
        <v>0</v>
      </c>
      <c r="AC23" s="106">
        <f t="shared" si="13"/>
        <v>0</v>
      </c>
      <c r="AD23" s="106">
        <f t="shared" si="14"/>
        <v>0</v>
      </c>
    </row>
    <row r="24" spans="1:30">
      <c r="A24" s="165">
        <v>1</v>
      </c>
      <c r="B24" s="164" t="s">
        <v>291</v>
      </c>
      <c r="C24" s="163"/>
      <c r="D24" s="162" t="s">
        <v>73</v>
      </c>
      <c r="E24" s="158">
        <f>+IF($A24="",IF($C24="",SUMIFS(全伝票!I:I,全伝票!$B:$B,$B24),SUMIFS(全伝票!I:I,全伝票!$C:$C,$C24)),IF($C24="",SUMIFS(全伝票!I:I,全伝票!$A:$A,$A24,全伝票!$B:$B,$B24),SUMIFS(全伝票!I:I,全伝票!$A:$A,$A24,全伝票!$C:$C,$C24)))</f>
        <v>0</v>
      </c>
      <c r="F24" s="161">
        <f>+IF($A24="",IF($C24="",SUMIFS(全伝票!J:J,全伝票!$B:$B,$B24),SUMIFS(全伝票!J:J,全伝票!$C:$C,$C24)),IF($C24="",SUMIFS(全伝票!J:J,全伝票!$A:$A,$A24,全伝票!$B:$B,$B24),SUMIFS(全伝票!J:J,全伝票!$A:$A,$A24,全伝票!$C:$C,$C24)))</f>
        <v>0</v>
      </c>
      <c r="G24" s="160">
        <f>+IF($A24="",IF($C24="",SUMIFS(全伝票!K:K,全伝票!$B:$B,$B24),SUMIFS(全伝票!K:K,全伝票!$C:$C,$C24)),IF($C24="",SUMIFS(全伝票!K:K,全伝票!$A:$A,$A24,全伝票!$B:$B,$B24),SUMIFS(全伝票!K:K,全伝票!$A:$A,$A24,全伝票!$C:$C,$C24)))</f>
        <v>0</v>
      </c>
      <c r="H24" s="160">
        <f>+IF($A24="",IF($C24="",SUMIFS(全伝票!L:L,全伝票!$B:$B,$B24),SUMIFS(全伝票!L:L,全伝票!$C:$C,$C24)),IF($C24="",SUMIFS(全伝票!L:L,全伝票!$A:$A,$A24,全伝票!$B:$B,$B24),SUMIFS(全伝票!L:L,全伝票!$A:$A,$A24,全伝票!$C:$C,$C24)))</f>
        <v>0</v>
      </c>
      <c r="I24" s="159">
        <f>+IF($A24="",IF($C24="",SUMIFS(全伝票!M:M,全伝票!$B:$B,$B24),SUMIFS(全伝票!M:M,全伝票!$C:$C,$C24)),IF($C24="",SUMIFS(全伝票!M:M,全伝票!$A:$A,$A24,全伝票!$B:$B,$B24),SUMIFS(全伝票!M:M,全伝票!$A:$A,$A24,全伝票!$C:$C,$C24)))</f>
        <v>0</v>
      </c>
      <c r="J24" s="159">
        <f>+IF($A24="",IF($C24="",SUMIFS(全伝票!N:N,全伝票!$B:$B,$B24),SUMIFS(全伝票!N:N,全伝票!$C:$C,$C24)),IF($C24="",SUMIFS(全伝票!N:N,全伝票!$A:$A,$A24,全伝票!$B:$B,$B24),SUMIFS(全伝票!N:N,全伝票!$A:$A,$A24,全伝票!$C:$C,$C24)))</f>
        <v>0</v>
      </c>
      <c r="K24" s="34">
        <f t="shared" si="0"/>
        <v>0</v>
      </c>
      <c r="L24" s="158">
        <f>+IF($A24="",IF($C24="",SUMIFS(全伝票!O:O,全伝票!$B:$B,$B24),SUMIFS(全伝票!O:O,全伝票!$C:$C,$C24)),IF($C24="",SUMIFS(全伝票!O:O,全伝票!$A:$A,$A24,全伝票!$B:$B,$B24),SUMIFS(全伝票!O:O,全伝票!$A:$A,$A24,全伝票!$C:$C,$C24)))</f>
        <v>0</v>
      </c>
      <c r="M24" s="158">
        <f>+IF($A24="",IF($C24="",SUMIFS(全伝票!P:P,全伝票!$B:$B,$B24),SUMIFS(全伝票!P:P,全伝票!$C:$C,$C24)),IF($C24="",SUMIFS(全伝票!P:P,全伝票!$A:$A,$A24,全伝票!$B:$B,$B24),SUMIFS(全伝票!P:P,全伝票!$A:$A,$A24,全伝票!$C:$C,$C24)))</f>
        <v>0</v>
      </c>
      <c r="N24" s="108">
        <f t="shared" si="1"/>
        <v>0</v>
      </c>
      <c r="O24" s="25">
        <f t="shared" si="3"/>
        <v>0</v>
      </c>
      <c r="P24" s="25">
        <f t="shared" si="2"/>
        <v>0</v>
      </c>
      <c r="Q24" s="157">
        <f t="shared" si="3"/>
        <v>0</v>
      </c>
      <c r="R24" s="157">
        <f t="shared" si="4"/>
        <v>0</v>
      </c>
      <c r="S24" s="22">
        <f t="shared" si="5"/>
        <v>0</v>
      </c>
      <c r="T24" s="109">
        <f t="shared" si="6"/>
        <v>0</v>
      </c>
      <c r="U24" s="107">
        <f t="shared" si="7"/>
        <v>0</v>
      </c>
      <c r="V24" s="107">
        <f t="shared" si="8"/>
        <v>0</v>
      </c>
      <c r="W24" s="107">
        <f t="shared" si="9"/>
        <v>0</v>
      </c>
      <c r="X24" s="107">
        <f t="shared" si="9"/>
        <v>0</v>
      </c>
      <c r="Y24" s="107">
        <f t="shared" si="10"/>
        <v>0</v>
      </c>
      <c r="Z24" s="106">
        <f t="shared" si="11"/>
        <v>0</v>
      </c>
      <c r="AA24" s="106">
        <f t="shared" si="12"/>
        <v>0</v>
      </c>
      <c r="AB24" s="106">
        <f t="shared" si="13"/>
        <v>0</v>
      </c>
      <c r="AC24" s="106">
        <f t="shared" si="13"/>
        <v>0</v>
      </c>
      <c r="AD24" s="106">
        <f t="shared" si="14"/>
        <v>0</v>
      </c>
    </row>
    <row r="25" spans="1:30">
      <c r="A25" s="165">
        <v>1</v>
      </c>
      <c r="B25" s="164" t="s">
        <v>289</v>
      </c>
      <c r="C25" s="163" t="s">
        <v>290</v>
      </c>
      <c r="D25" s="162" t="s">
        <v>71</v>
      </c>
      <c r="E25" s="158">
        <f>+IF($A25="",IF($C25="",SUMIFS(全伝票!I:I,全伝票!$B:$B,$B25),SUMIFS(全伝票!I:I,全伝票!$C:$C,$C25)),IF($C25="",SUMIFS(全伝票!I:I,全伝票!$A:$A,$A25,全伝票!$B:$B,$B25),SUMIFS(全伝票!I:I,全伝票!$A:$A,$A25,全伝票!$C:$C,$C25)))</f>
        <v>0</v>
      </c>
      <c r="F25" s="161">
        <f>+IF($A25="",IF($C25="",SUMIFS(全伝票!J:J,全伝票!$B:$B,$B25),SUMIFS(全伝票!J:J,全伝票!$C:$C,$C25)),IF($C25="",SUMIFS(全伝票!J:J,全伝票!$A:$A,$A25,全伝票!$B:$B,$B25),SUMIFS(全伝票!J:J,全伝票!$A:$A,$A25,全伝票!$C:$C,$C25)))</f>
        <v>0</v>
      </c>
      <c r="G25" s="160">
        <f>+IF($A25="",IF($C25="",SUMIFS(全伝票!K:K,全伝票!$B:$B,$B25),SUMIFS(全伝票!K:K,全伝票!$C:$C,$C25)),IF($C25="",SUMIFS(全伝票!K:K,全伝票!$A:$A,$A25,全伝票!$B:$B,$B25),SUMIFS(全伝票!K:K,全伝票!$A:$A,$A25,全伝票!$C:$C,$C25)))</f>
        <v>0</v>
      </c>
      <c r="H25" s="160">
        <f>+IF($A25="",IF($C25="",SUMIFS(全伝票!L:L,全伝票!$B:$B,$B25),SUMIFS(全伝票!L:L,全伝票!$C:$C,$C25)),IF($C25="",SUMIFS(全伝票!L:L,全伝票!$A:$A,$A25,全伝票!$B:$B,$B25),SUMIFS(全伝票!L:L,全伝票!$A:$A,$A25,全伝票!$C:$C,$C25)))</f>
        <v>0</v>
      </c>
      <c r="I25" s="159">
        <f>+IF($A25="",IF($C25="",SUMIFS(全伝票!M:M,全伝票!$B:$B,$B25),SUMIFS(全伝票!M:M,全伝票!$C:$C,$C25)),IF($C25="",SUMIFS(全伝票!M:M,全伝票!$A:$A,$A25,全伝票!$B:$B,$B25),SUMIFS(全伝票!M:M,全伝票!$A:$A,$A25,全伝票!$C:$C,$C25)))</f>
        <v>0</v>
      </c>
      <c r="J25" s="159">
        <f>+IF($A25="",IF($C25="",SUMIFS(全伝票!N:N,全伝票!$B:$B,$B25),SUMIFS(全伝票!N:N,全伝票!$C:$C,$C25)),IF($C25="",SUMIFS(全伝票!N:N,全伝票!$A:$A,$A25,全伝票!$B:$B,$B25),SUMIFS(全伝票!N:N,全伝票!$A:$A,$A25,全伝票!$C:$C,$C25)))</f>
        <v>0</v>
      </c>
      <c r="K25" s="34">
        <f t="shared" si="0"/>
        <v>0</v>
      </c>
      <c r="L25" s="158">
        <f>+IF($A25="",IF($C25="",SUMIFS(全伝票!O:O,全伝票!$B:$B,$B25),SUMIFS(全伝票!O:O,全伝票!$C:$C,$C25)),IF($C25="",SUMIFS(全伝票!O:O,全伝票!$A:$A,$A25,全伝票!$B:$B,$B25),SUMIFS(全伝票!O:O,全伝票!$A:$A,$A25,全伝票!$C:$C,$C25)))</f>
        <v>0</v>
      </c>
      <c r="M25" s="158">
        <f>+IF($A25="",IF($C25="",SUMIFS(全伝票!P:P,全伝票!$B:$B,$B25),SUMIFS(全伝票!P:P,全伝票!$C:$C,$C25)),IF($C25="",SUMIFS(全伝票!P:P,全伝票!$A:$A,$A25,全伝票!$B:$B,$B25),SUMIFS(全伝票!P:P,全伝票!$A:$A,$A25,全伝票!$C:$C,$C25)))</f>
        <v>0</v>
      </c>
      <c r="N25" s="108">
        <f t="shared" si="1"/>
        <v>0</v>
      </c>
      <c r="O25" s="25">
        <f t="shared" si="3"/>
        <v>0</v>
      </c>
      <c r="P25" s="25">
        <f t="shared" si="2"/>
        <v>0</v>
      </c>
      <c r="Q25" s="157">
        <f t="shared" si="3"/>
        <v>0</v>
      </c>
      <c r="R25" s="157">
        <f t="shared" si="4"/>
        <v>0</v>
      </c>
      <c r="S25" s="22">
        <f t="shared" si="5"/>
        <v>0</v>
      </c>
      <c r="T25" s="109">
        <f t="shared" si="6"/>
        <v>0</v>
      </c>
      <c r="U25" s="107">
        <f t="shared" si="7"/>
        <v>0</v>
      </c>
      <c r="V25" s="107">
        <f t="shared" si="8"/>
        <v>0</v>
      </c>
      <c r="W25" s="107">
        <f t="shared" si="9"/>
        <v>0</v>
      </c>
      <c r="X25" s="107">
        <f t="shared" si="9"/>
        <v>0</v>
      </c>
      <c r="Y25" s="107">
        <f t="shared" si="10"/>
        <v>0</v>
      </c>
      <c r="Z25" s="106">
        <f t="shared" si="11"/>
        <v>0</v>
      </c>
      <c r="AA25" s="106">
        <f t="shared" si="12"/>
        <v>0</v>
      </c>
      <c r="AB25" s="106">
        <f t="shared" si="13"/>
        <v>0</v>
      </c>
      <c r="AC25" s="106">
        <f t="shared" si="13"/>
        <v>0</v>
      </c>
      <c r="AD25" s="106">
        <f t="shared" si="14"/>
        <v>0</v>
      </c>
    </row>
    <row r="26" spans="1:30">
      <c r="A26" s="165">
        <v>1</v>
      </c>
      <c r="B26" s="164" t="s">
        <v>289</v>
      </c>
      <c r="C26" s="163" t="s">
        <v>288</v>
      </c>
      <c r="D26" s="162" t="s">
        <v>68</v>
      </c>
      <c r="E26" s="158">
        <f>+IF($A26="",IF($C26="",SUMIFS(全伝票!I:I,全伝票!$B:$B,$B26),SUMIFS(全伝票!I:I,全伝票!$C:$C,$C26)),IF($C26="",SUMIFS(全伝票!I:I,全伝票!$A:$A,$A26,全伝票!$B:$B,$B26),SUMIFS(全伝票!I:I,全伝票!$A:$A,$A26,全伝票!$C:$C,$C26)))</f>
        <v>0</v>
      </c>
      <c r="F26" s="161">
        <f>+IF($A26="",IF($C26="",SUMIFS(全伝票!J:J,全伝票!$B:$B,$B26),SUMIFS(全伝票!J:J,全伝票!$C:$C,$C26)),IF($C26="",SUMIFS(全伝票!J:J,全伝票!$A:$A,$A26,全伝票!$B:$B,$B26),SUMIFS(全伝票!J:J,全伝票!$A:$A,$A26,全伝票!$C:$C,$C26)))</f>
        <v>0</v>
      </c>
      <c r="G26" s="160">
        <f>+IF($A26="",IF($C26="",SUMIFS(全伝票!K:K,全伝票!$B:$B,$B26),SUMIFS(全伝票!K:K,全伝票!$C:$C,$C26)),IF($C26="",SUMIFS(全伝票!K:K,全伝票!$A:$A,$A26,全伝票!$B:$B,$B26),SUMIFS(全伝票!K:K,全伝票!$A:$A,$A26,全伝票!$C:$C,$C26)))</f>
        <v>0</v>
      </c>
      <c r="H26" s="160">
        <f>+IF($A26="",IF($C26="",SUMIFS(全伝票!L:L,全伝票!$B:$B,$B26),SUMIFS(全伝票!L:L,全伝票!$C:$C,$C26)),IF($C26="",SUMIFS(全伝票!L:L,全伝票!$A:$A,$A26,全伝票!$B:$B,$B26),SUMIFS(全伝票!L:L,全伝票!$A:$A,$A26,全伝票!$C:$C,$C26)))</f>
        <v>0</v>
      </c>
      <c r="I26" s="159">
        <f>+IF($A26="",IF($C26="",SUMIFS(全伝票!M:M,全伝票!$B:$B,$B26),SUMIFS(全伝票!M:M,全伝票!$C:$C,$C26)),IF($C26="",SUMIFS(全伝票!M:M,全伝票!$A:$A,$A26,全伝票!$B:$B,$B26),SUMIFS(全伝票!M:M,全伝票!$A:$A,$A26,全伝票!$C:$C,$C26)))</f>
        <v>0</v>
      </c>
      <c r="J26" s="159">
        <f>+IF($A26="",IF($C26="",SUMIFS(全伝票!N:N,全伝票!$B:$B,$B26),SUMIFS(全伝票!N:N,全伝票!$C:$C,$C26)),IF($C26="",SUMIFS(全伝票!N:N,全伝票!$A:$A,$A26,全伝票!$B:$B,$B26),SUMIFS(全伝票!N:N,全伝票!$A:$A,$A26,全伝票!$C:$C,$C26)))</f>
        <v>0</v>
      </c>
      <c r="K26" s="34">
        <f t="shared" si="0"/>
        <v>0</v>
      </c>
      <c r="L26" s="158">
        <f>+IF($A26="",IF($C26="",SUMIFS(全伝票!O:O,全伝票!$B:$B,$B26),SUMIFS(全伝票!O:O,全伝票!$C:$C,$C26)),IF($C26="",SUMIFS(全伝票!O:O,全伝票!$A:$A,$A26,全伝票!$B:$B,$B26),SUMIFS(全伝票!O:O,全伝票!$A:$A,$A26,全伝票!$C:$C,$C26)))</f>
        <v>0</v>
      </c>
      <c r="M26" s="158">
        <f>+IF($A26="",IF($C26="",SUMIFS(全伝票!P:P,全伝票!$B:$B,$B26),SUMIFS(全伝票!P:P,全伝票!$C:$C,$C26)),IF($C26="",SUMIFS(全伝票!P:P,全伝票!$A:$A,$A26,全伝票!$B:$B,$B26),SUMIFS(全伝票!P:P,全伝票!$A:$A,$A26,全伝票!$C:$C,$C26)))</f>
        <v>0</v>
      </c>
      <c r="N26" s="108">
        <f t="shared" si="1"/>
        <v>0</v>
      </c>
      <c r="O26" s="25">
        <f t="shared" si="3"/>
        <v>0</v>
      </c>
      <c r="P26" s="25">
        <f t="shared" si="2"/>
        <v>0</v>
      </c>
      <c r="Q26" s="157">
        <f t="shared" si="3"/>
        <v>0</v>
      </c>
      <c r="R26" s="157">
        <f t="shared" si="4"/>
        <v>0</v>
      </c>
      <c r="S26" s="22">
        <f t="shared" si="5"/>
        <v>0</v>
      </c>
      <c r="T26" s="109">
        <f t="shared" si="6"/>
        <v>0</v>
      </c>
      <c r="U26" s="107">
        <f t="shared" si="7"/>
        <v>0</v>
      </c>
      <c r="V26" s="107">
        <f t="shared" si="8"/>
        <v>0</v>
      </c>
      <c r="W26" s="107">
        <f t="shared" si="9"/>
        <v>0</v>
      </c>
      <c r="X26" s="107">
        <f t="shared" si="9"/>
        <v>0</v>
      </c>
      <c r="Y26" s="107">
        <f t="shared" si="10"/>
        <v>0</v>
      </c>
      <c r="Z26" s="106">
        <f t="shared" si="11"/>
        <v>0</v>
      </c>
      <c r="AA26" s="106">
        <f t="shared" si="12"/>
        <v>0</v>
      </c>
      <c r="AB26" s="106">
        <f t="shared" si="13"/>
        <v>0</v>
      </c>
      <c r="AC26" s="106">
        <f t="shared" si="13"/>
        <v>0</v>
      </c>
      <c r="AD26" s="106">
        <f t="shared" si="14"/>
        <v>0</v>
      </c>
    </row>
    <row r="27" spans="1:30">
      <c r="A27" s="165">
        <v>1</v>
      </c>
      <c r="B27" s="164" t="s">
        <v>287</v>
      </c>
      <c r="C27" s="163"/>
      <c r="D27" s="162" t="s">
        <v>66</v>
      </c>
      <c r="E27" s="158">
        <f>+IF($A27="",IF($C27="",SUMIFS(全伝票!I:I,全伝票!$B:$B,$B27),SUMIFS(全伝票!I:I,全伝票!$C:$C,$C27)),IF($C27="",SUMIFS(全伝票!I:I,全伝票!$A:$A,$A27,全伝票!$B:$B,$B27),SUMIFS(全伝票!I:I,全伝票!$A:$A,$A27,全伝票!$C:$C,$C27)))</f>
        <v>0</v>
      </c>
      <c r="F27" s="161">
        <f>+IF($A27="",IF($C27="",SUMIFS(全伝票!J:J,全伝票!$B:$B,$B27),SUMIFS(全伝票!J:J,全伝票!$C:$C,$C27)),IF($C27="",SUMIFS(全伝票!J:J,全伝票!$A:$A,$A27,全伝票!$B:$B,$B27),SUMIFS(全伝票!J:J,全伝票!$A:$A,$A27,全伝票!$C:$C,$C27)))</f>
        <v>0</v>
      </c>
      <c r="G27" s="160">
        <f>+IF($A27="",IF($C27="",SUMIFS(全伝票!K:K,全伝票!$B:$B,$B27),SUMIFS(全伝票!K:K,全伝票!$C:$C,$C27)),IF($C27="",SUMIFS(全伝票!K:K,全伝票!$A:$A,$A27,全伝票!$B:$B,$B27),SUMIFS(全伝票!K:K,全伝票!$A:$A,$A27,全伝票!$C:$C,$C27)))</f>
        <v>0</v>
      </c>
      <c r="H27" s="160">
        <f>+IF($A27="",IF($C27="",SUMIFS(全伝票!L:L,全伝票!$B:$B,$B27),SUMIFS(全伝票!L:L,全伝票!$C:$C,$C27)),IF($C27="",SUMIFS(全伝票!L:L,全伝票!$A:$A,$A27,全伝票!$B:$B,$B27),SUMIFS(全伝票!L:L,全伝票!$A:$A,$A27,全伝票!$C:$C,$C27)))</f>
        <v>0</v>
      </c>
      <c r="I27" s="159">
        <f>+IF($A27="",IF($C27="",SUMIFS(全伝票!M:M,全伝票!$B:$B,$B27),SUMIFS(全伝票!M:M,全伝票!$C:$C,$C27)),IF($C27="",SUMIFS(全伝票!M:M,全伝票!$A:$A,$A27,全伝票!$B:$B,$B27),SUMIFS(全伝票!M:M,全伝票!$A:$A,$A27,全伝票!$C:$C,$C27)))</f>
        <v>0</v>
      </c>
      <c r="J27" s="159">
        <f>+IF($A27="",IF($C27="",SUMIFS(全伝票!N:N,全伝票!$B:$B,$B27),SUMIFS(全伝票!N:N,全伝票!$C:$C,$C27)),IF($C27="",SUMIFS(全伝票!N:N,全伝票!$A:$A,$A27,全伝票!$B:$B,$B27),SUMIFS(全伝票!N:N,全伝票!$A:$A,$A27,全伝票!$C:$C,$C27)))</f>
        <v>0</v>
      </c>
      <c r="K27" s="34">
        <f t="shared" si="0"/>
        <v>0</v>
      </c>
      <c r="L27" s="158">
        <f>+IF($A27="",IF($C27="",SUMIFS(全伝票!O:O,全伝票!$B:$B,$B27),SUMIFS(全伝票!O:O,全伝票!$C:$C,$C27)),IF($C27="",SUMIFS(全伝票!O:O,全伝票!$A:$A,$A27,全伝票!$B:$B,$B27),SUMIFS(全伝票!O:O,全伝票!$A:$A,$A27,全伝票!$C:$C,$C27)))</f>
        <v>0</v>
      </c>
      <c r="M27" s="158">
        <f>+IF($A27="",IF($C27="",SUMIFS(全伝票!P:P,全伝票!$B:$B,$B27),SUMIFS(全伝票!P:P,全伝票!$C:$C,$C27)),IF($C27="",SUMIFS(全伝票!P:P,全伝票!$A:$A,$A27,全伝票!$B:$B,$B27),SUMIFS(全伝票!P:P,全伝票!$A:$A,$A27,全伝票!$C:$C,$C27)))</f>
        <v>0</v>
      </c>
      <c r="N27" s="108">
        <f t="shared" si="1"/>
        <v>0</v>
      </c>
      <c r="O27" s="25">
        <f t="shared" si="3"/>
        <v>0</v>
      </c>
      <c r="P27" s="25">
        <f t="shared" si="2"/>
        <v>0</v>
      </c>
      <c r="Q27" s="157">
        <f t="shared" si="3"/>
        <v>0</v>
      </c>
      <c r="R27" s="157">
        <f t="shared" si="4"/>
        <v>0</v>
      </c>
      <c r="S27" s="22">
        <f t="shared" si="5"/>
        <v>0</v>
      </c>
      <c r="T27" s="109">
        <f t="shared" si="6"/>
        <v>0</v>
      </c>
      <c r="U27" s="107">
        <f t="shared" si="7"/>
        <v>0</v>
      </c>
      <c r="V27" s="107">
        <f t="shared" si="8"/>
        <v>0</v>
      </c>
      <c r="W27" s="107">
        <f t="shared" si="9"/>
        <v>0</v>
      </c>
      <c r="X27" s="107">
        <f t="shared" si="9"/>
        <v>0</v>
      </c>
      <c r="Y27" s="107">
        <f t="shared" si="10"/>
        <v>0</v>
      </c>
      <c r="Z27" s="106">
        <f t="shared" si="11"/>
        <v>0</v>
      </c>
      <c r="AA27" s="106">
        <f t="shared" si="12"/>
        <v>0</v>
      </c>
      <c r="AB27" s="106">
        <f t="shared" si="13"/>
        <v>0</v>
      </c>
      <c r="AC27" s="106">
        <f t="shared" si="13"/>
        <v>0</v>
      </c>
      <c r="AD27" s="106">
        <f t="shared" si="14"/>
        <v>0</v>
      </c>
    </row>
    <row r="28" spans="1:30">
      <c r="A28" s="165">
        <v>1</v>
      </c>
      <c r="B28" s="164" t="s">
        <v>286</v>
      </c>
      <c r="C28" s="163"/>
      <c r="D28" s="162" t="s">
        <v>64</v>
      </c>
      <c r="E28" s="158">
        <f>+IF($A28="",IF($C28="",SUMIFS(全伝票!I:I,全伝票!$B:$B,$B28),SUMIFS(全伝票!I:I,全伝票!$C:$C,$C28)),IF($C28="",SUMIFS(全伝票!I:I,全伝票!$A:$A,$A28,全伝票!$B:$B,$B28),SUMIFS(全伝票!I:I,全伝票!$A:$A,$A28,全伝票!$C:$C,$C28)))</f>
        <v>0</v>
      </c>
      <c r="F28" s="161">
        <f>+IF($A28="",IF($C28="",SUMIFS(全伝票!J:J,全伝票!$B:$B,$B28),SUMIFS(全伝票!J:J,全伝票!$C:$C,$C28)),IF($C28="",SUMIFS(全伝票!J:J,全伝票!$A:$A,$A28,全伝票!$B:$B,$B28),SUMIFS(全伝票!J:J,全伝票!$A:$A,$A28,全伝票!$C:$C,$C28)))</f>
        <v>0</v>
      </c>
      <c r="G28" s="160">
        <f>+IF($A28="",IF($C28="",SUMIFS(全伝票!K:K,全伝票!$B:$B,$B28),SUMIFS(全伝票!K:K,全伝票!$C:$C,$C28)),IF($C28="",SUMIFS(全伝票!K:K,全伝票!$A:$A,$A28,全伝票!$B:$B,$B28),SUMIFS(全伝票!K:K,全伝票!$A:$A,$A28,全伝票!$C:$C,$C28)))</f>
        <v>0</v>
      </c>
      <c r="H28" s="160">
        <f>+IF($A28="",IF($C28="",SUMIFS(全伝票!L:L,全伝票!$B:$B,$B28),SUMIFS(全伝票!L:L,全伝票!$C:$C,$C28)),IF($C28="",SUMIFS(全伝票!L:L,全伝票!$A:$A,$A28,全伝票!$B:$B,$B28),SUMIFS(全伝票!L:L,全伝票!$A:$A,$A28,全伝票!$C:$C,$C28)))</f>
        <v>0</v>
      </c>
      <c r="I28" s="159">
        <f>+IF($A28="",IF($C28="",SUMIFS(全伝票!M:M,全伝票!$B:$B,$B28),SUMIFS(全伝票!M:M,全伝票!$C:$C,$C28)),IF($C28="",SUMIFS(全伝票!M:M,全伝票!$A:$A,$A28,全伝票!$B:$B,$B28),SUMIFS(全伝票!M:M,全伝票!$A:$A,$A28,全伝票!$C:$C,$C28)))</f>
        <v>0</v>
      </c>
      <c r="J28" s="159">
        <f>+IF($A28="",IF($C28="",SUMIFS(全伝票!N:N,全伝票!$B:$B,$B28),SUMIFS(全伝票!N:N,全伝票!$C:$C,$C28)),IF($C28="",SUMIFS(全伝票!N:N,全伝票!$A:$A,$A28,全伝票!$B:$B,$B28),SUMIFS(全伝票!N:N,全伝票!$A:$A,$A28,全伝票!$C:$C,$C28)))</f>
        <v>0</v>
      </c>
      <c r="K28" s="34">
        <f t="shared" si="0"/>
        <v>0</v>
      </c>
      <c r="L28" s="158">
        <f>+IF($A28="",IF($C28="",SUMIFS(全伝票!O:O,全伝票!$B:$B,$B28),SUMIFS(全伝票!O:O,全伝票!$C:$C,$C28)),IF($C28="",SUMIFS(全伝票!O:O,全伝票!$A:$A,$A28,全伝票!$B:$B,$B28),SUMIFS(全伝票!O:O,全伝票!$A:$A,$A28,全伝票!$C:$C,$C28)))</f>
        <v>0</v>
      </c>
      <c r="M28" s="158">
        <f>+IF($A28="",IF($C28="",SUMIFS(全伝票!P:P,全伝票!$B:$B,$B28),SUMIFS(全伝票!P:P,全伝票!$C:$C,$C28)),IF($C28="",SUMIFS(全伝票!P:P,全伝票!$A:$A,$A28,全伝票!$B:$B,$B28),SUMIFS(全伝票!P:P,全伝票!$A:$A,$A28,全伝票!$C:$C,$C28)))</f>
        <v>0</v>
      </c>
      <c r="N28" s="108">
        <f t="shared" si="1"/>
        <v>0</v>
      </c>
      <c r="O28" s="25">
        <f t="shared" si="3"/>
        <v>0</v>
      </c>
      <c r="P28" s="25">
        <f t="shared" si="2"/>
        <v>0</v>
      </c>
      <c r="Q28" s="157">
        <f t="shared" si="3"/>
        <v>0</v>
      </c>
      <c r="R28" s="157">
        <f t="shared" si="4"/>
        <v>0</v>
      </c>
      <c r="S28" s="22">
        <f t="shared" si="5"/>
        <v>0</v>
      </c>
      <c r="T28" s="109">
        <f t="shared" si="6"/>
        <v>0</v>
      </c>
      <c r="U28" s="107">
        <f t="shared" si="7"/>
        <v>0</v>
      </c>
      <c r="V28" s="107">
        <f t="shared" si="8"/>
        <v>0</v>
      </c>
      <c r="W28" s="107">
        <f t="shared" si="9"/>
        <v>0</v>
      </c>
      <c r="X28" s="107">
        <f t="shared" si="9"/>
        <v>0</v>
      </c>
      <c r="Y28" s="107">
        <f t="shared" si="10"/>
        <v>0</v>
      </c>
      <c r="Z28" s="106">
        <f t="shared" si="11"/>
        <v>0</v>
      </c>
      <c r="AA28" s="106">
        <f t="shared" si="12"/>
        <v>0</v>
      </c>
      <c r="AB28" s="106">
        <f t="shared" si="13"/>
        <v>0</v>
      </c>
      <c r="AC28" s="106">
        <f t="shared" si="13"/>
        <v>0</v>
      </c>
      <c r="AD28" s="106">
        <f t="shared" si="14"/>
        <v>0</v>
      </c>
    </row>
    <row r="29" spans="1:30">
      <c r="A29" s="165">
        <v>1</v>
      </c>
      <c r="B29" s="164" t="s">
        <v>285</v>
      </c>
      <c r="C29" s="163"/>
      <c r="D29" s="162" t="s">
        <v>62</v>
      </c>
      <c r="E29" s="158">
        <f>+IF($A29="",IF($C29="",SUMIFS(全伝票!I:I,全伝票!$B:$B,$B29),SUMIFS(全伝票!I:I,全伝票!$C:$C,$C29)),IF($C29="",SUMIFS(全伝票!I:I,全伝票!$A:$A,$A29,全伝票!$B:$B,$B29),SUMIFS(全伝票!I:I,全伝票!$A:$A,$A29,全伝票!$C:$C,$C29)))</f>
        <v>0</v>
      </c>
      <c r="F29" s="161">
        <f>+IF($A29="",IF($C29="",SUMIFS(全伝票!J:J,全伝票!$B:$B,$B29),SUMIFS(全伝票!J:J,全伝票!$C:$C,$C29)),IF($C29="",SUMIFS(全伝票!J:J,全伝票!$A:$A,$A29,全伝票!$B:$B,$B29),SUMIFS(全伝票!J:J,全伝票!$A:$A,$A29,全伝票!$C:$C,$C29)))</f>
        <v>0</v>
      </c>
      <c r="G29" s="160">
        <f>+IF($A29="",IF($C29="",SUMIFS(全伝票!K:K,全伝票!$B:$B,$B29),SUMIFS(全伝票!K:K,全伝票!$C:$C,$C29)),IF($C29="",SUMIFS(全伝票!K:K,全伝票!$A:$A,$A29,全伝票!$B:$B,$B29),SUMIFS(全伝票!K:K,全伝票!$A:$A,$A29,全伝票!$C:$C,$C29)))</f>
        <v>0</v>
      </c>
      <c r="H29" s="160">
        <f>+IF($A29="",IF($C29="",SUMIFS(全伝票!L:L,全伝票!$B:$B,$B29),SUMIFS(全伝票!L:L,全伝票!$C:$C,$C29)),IF($C29="",SUMIFS(全伝票!L:L,全伝票!$A:$A,$A29,全伝票!$B:$B,$B29),SUMIFS(全伝票!L:L,全伝票!$A:$A,$A29,全伝票!$C:$C,$C29)))</f>
        <v>0</v>
      </c>
      <c r="I29" s="159">
        <f>+IF($A29="",IF($C29="",SUMIFS(全伝票!M:M,全伝票!$B:$B,$B29),SUMIFS(全伝票!M:M,全伝票!$C:$C,$C29)),IF($C29="",SUMIFS(全伝票!M:M,全伝票!$A:$A,$A29,全伝票!$B:$B,$B29),SUMIFS(全伝票!M:M,全伝票!$A:$A,$A29,全伝票!$C:$C,$C29)))</f>
        <v>0</v>
      </c>
      <c r="J29" s="159">
        <f>+IF($A29="",IF($C29="",SUMIFS(全伝票!N:N,全伝票!$B:$B,$B29),SUMIFS(全伝票!N:N,全伝票!$C:$C,$C29)),IF($C29="",SUMIFS(全伝票!N:N,全伝票!$A:$A,$A29,全伝票!$B:$B,$B29),SUMIFS(全伝票!N:N,全伝票!$A:$A,$A29,全伝票!$C:$C,$C29)))</f>
        <v>0</v>
      </c>
      <c r="K29" s="34">
        <f t="shared" si="0"/>
        <v>0</v>
      </c>
      <c r="L29" s="158">
        <f>+IF($A29="",IF($C29="",SUMIFS(全伝票!O:O,全伝票!$B:$B,$B29),SUMIFS(全伝票!O:O,全伝票!$C:$C,$C29)),IF($C29="",SUMIFS(全伝票!O:O,全伝票!$A:$A,$A29,全伝票!$B:$B,$B29),SUMIFS(全伝票!O:O,全伝票!$A:$A,$A29,全伝票!$C:$C,$C29)))</f>
        <v>0</v>
      </c>
      <c r="M29" s="158">
        <f>+IF($A29="",IF($C29="",SUMIFS(全伝票!P:P,全伝票!$B:$B,$B29),SUMIFS(全伝票!P:P,全伝票!$C:$C,$C29)),IF($C29="",SUMIFS(全伝票!P:P,全伝票!$A:$A,$A29,全伝票!$B:$B,$B29),SUMIFS(全伝票!P:P,全伝票!$A:$A,$A29,全伝票!$C:$C,$C29)))</f>
        <v>0</v>
      </c>
      <c r="N29" s="108">
        <f t="shared" si="1"/>
        <v>0</v>
      </c>
      <c r="O29" s="25">
        <f t="shared" si="3"/>
        <v>0</v>
      </c>
      <c r="P29" s="25">
        <f t="shared" si="2"/>
        <v>0</v>
      </c>
      <c r="Q29" s="157">
        <f t="shared" si="3"/>
        <v>0</v>
      </c>
      <c r="R29" s="157">
        <f t="shared" si="4"/>
        <v>0</v>
      </c>
      <c r="S29" s="22">
        <f t="shared" si="5"/>
        <v>0</v>
      </c>
      <c r="T29" s="109">
        <f t="shared" si="6"/>
        <v>0</v>
      </c>
      <c r="U29" s="107">
        <f t="shared" si="7"/>
        <v>0</v>
      </c>
      <c r="V29" s="107">
        <f t="shared" si="8"/>
        <v>0</v>
      </c>
      <c r="W29" s="107">
        <f t="shared" si="9"/>
        <v>0</v>
      </c>
      <c r="X29" s="107">
        <f t="shared" si="9"/>
        <v>0</v>
      </c>
      <c r="Y29" s="107">
        <f t="shared" si="10"/>
        <v>0</v>
      </c>
      <c r="Z29" s="106">
        <f t="shared" si="11"/>
        <v>0</v>
      </c>
      <c r="AA29" s="106">
        <f t="shared" si="12"/>
        <v>0</v>
      </c>
      <c r="AB29" s="106">
        <f t="shared" si="13"/>
        <v>0</v>
      </c>
      <c r="AC29" s="106">
        <f t="shared" si="13"/>
        <v>0</v>
      </c>
      <c r="AD29" s="106">
        <f t="shared" si="14"/>
        <v>0</v>
      </c>
    </row>
    <row r="30" spans="1:30">
      <c r="A30" s="165">
        <v>1</v>
      </c>
      <c r="B30" s="164" t="s">
        <v>284</v>
      </c>
      <c r="C30" s="163"/>
      <c r="D30" s="162" t="s">
        <v>60</v>
      </c>
      <c r="E30" s="158">
        <f>+IF($A30="",IF($C30="",SUMIFS(全伝票!I:I,全伝票!$B:$B,$B30),SUMIFS(全伝票!I:I,全伝票!$C:$C,$C30)),IF($C30="",SUMIFS(全伝票!I:I,全伝票!$A:$A,$A30,全伝票!$B:$B,$B30),SUMIFS(全伝票!I:I,全伝票!$A:$A,$A30,全伝票!$C:$C,$C30)))</f>
        <v>0</v>
      </c>
      <c r="F30" s="161">
        <f>+IF($A30="",IF($C30="",SUMIFS(全伝票!J:J,全伝票!$B:$B,$B30),SUMIFS(全伝票!J:J,全伝票!$C:$C,$C30)),IF($C30="",SUMIFS(全伝票!J:J,全伝票!$A:$A,$A30,全伝票!$B:$B,$B30),SUMIFS(全伝票!J:J,全伝票!$A:$A,$A30,全伝票!$C:$C,$C30)))</f>
        <v>0</v>
      </c>
      <c r="G30" s="160">
        <f>+IF($A30="",IF($C30="",SUMIFS(全伝票!K:K,全伝票!$B:$B,$B30),SUMIFS(全伝票!K:K,全伝票!$C:$C,$C30)),IF($C30="",SUMIFS(全伝票!K:K,全伝票!$A:$A,$A30,全伝票!$B:$B,$B30),SUMIFS(全伝票!K:K,全伝票!$A:$A,$A30,全伝票!$C:$C,$C30)))</f>
        <v>0</v>
      </c>
      <c r="H30" s="160">
        <f>+IF($A30="",IF($C30="",SUMIFS(全伝票!L:L,全伝票!$B:$B,$B30),SUMIFS(全伝票!L:L,全伝票!$C:$C,$C30)),IF($C30="",SUMIFS(全伝票!L:L,全伝票!$A:$A,$A30,全伝票!$B:$B,$B30),SUMIFS(全伝票!L:L,全伝票!$A:$A,$A30,全伝票!$C:$C,$C30)))</f>
        <v>0</v>
      </c>
      <c r="I30" s="159">
        <f>+IF($A30="",IF($C30="",SUMIFS(全伝票!M:M,全伝票!$B:$B,$B30),SUMIFS(全伝票!M:M,全伝票!$C:$C,$C30)),IF($C30="",SUMIFS(全伝票!M:M,全伝票!$A:$A,$A30,全伝票!$B:$B,$B30),SUMIFS(全伝票!M:M,全伝票!$A:$A,$A30,全伝票!$C:$C,$C30)))</f>
        <v>0</v>
      </c>
      <c r="J30" s="159">
        <f>+IF($A30="",IF($C30="",SUMIFS(全伝票!N:N,全伝票!$B:$B,$B30),SUMIFS(全伝票!N:N,全伝票!$C:$C,$C30)),IF($C30="",SUMIFS(全伝票!N:N,全伝票!$A:$A,$A30,全伝票!$B:$B,$B30),SUMIFS(全伝票!N:N,全伝票!$A:$A,$A30,全伝票!$C:$C,$C30)))</f>
        <v>0</v>
      </c>
      <c r="K30" s="34">
        <f t="shared" si="0"/>
        <v>0</v>
      </c>
      <c r="L30" s="158">
        <f>+IF($A30="",IF($C30="",SUMIFS(全伝票!O:O,全伝票!$B:$B,$B30),SUMIFS(全伝票!O:O,全伝票!$C:$C,$C30)),IF($C30="",SUMIFS(全伝票!O:O,全伝票!$A:$A,$A30,全伝票!$B:$B,$B30),SUMIFS(全伝票!O:O,全伝票!$A:$A,$A30,全伝票!$C:$C,$C30)))</f>
        <v>0</v>
      </c>
      <c r="M30" s="158">
        <f>+IF($A30="",IF($C30="",SUMIFS(全伝票!P:P,全伝票!$B:$B,$B30),SUMIFS(全伝票!P:P,全伝票!$C:$C,$C30)),IF($C30="",SUMIFS(全伝票!P:P,全伝票!$A:$A,$A30,全伝票!$B:$B,$B30),SUMIFS(全伝票!P:P,全伝票!$A:$A,$A30,全伝票!$C:$C,$C30)))</f>
        <v>0</v>
      </c>
      <c r="N30" s="108">
        <f t="shared" si="1"/>
        <v>0</v>
      </c>
      <c r="O30" s="25">
        <f t="shared" si="3"/>
        <v>0</v>
      </c>
      <c r="P30" s="25">
        <f t="shared" si="2"/>
        <v>0</v>
      </c>
      <c r="Q30" s="157">
        <f t="shared" si="3"/>
        <v>0</v>
      </c>
      <c r="R30" s="157">
        <f t="shared" si="4"/>
        <v>0</v>
      </c>
      <c r="S30" s="22">
        <f t="shared" si="5"/>
        <v>0</v>
      </c>
      <c r="T30" s="109">
        <f t="shared" si="6"/>
        <v>0</v>
      </c>
      <c r="U30" s="107">
        <f t="shared" si="7"/>
        <v>0</v>
      </c>
      <c r="V30" s="107">
        <f t="shared" si="8"/>
        <v>0</v>
      </c>
      <c r="W30" s="107">
        <f t="shared" si="9"/>
        <v>0</v>
      </c>
      <c r="X30" s="107">
        <f t="shared" si="9"/>
        <v>0</v>
      </c>
      <c r="Y30" s="107">
        <f t="shared" si="10"/>
        <v>0</v>
      </c>
      <c r="Z30" s="106">
        <f t="shared" si="11"/>
        <v>0</v>
      </c>
      <c r="AA30" s="106">
        <f t="shared" si="12"/>
        <v>0</v>
      </c>
      <c r="AB30" s="106">
        <f t="shared" si="13"/>
        <v>0</v>
      </c>
      <c r="AC30" s="106">
        <f t="shared" si="13"/>
        <v>0</v>
      </c>
      <c r="AD30" s="106">
        <f t="shared" si="14"/>
        <v>0</v>
      </c>
    </row>
    <row r="31" spans="1:30">
      <c r="A31" s="165">
        <v>1</v>
      </c>
      <c r="B31" s="164" t="s">
        <v>283</v>
      </c>
      <c r="C31" s="163"/>
      <c r="D31" s="162" t="s">
        <v>58</v>
      </c>
      <c r="E31" s="158">
        <f>+IF($A31="",IF($C31="",SUMIFS(全伝票!I:I,全伝票!$B:$B,$B31),SUMIFS(全伝票!I:I,全伝票!$C:$C,$C31)),IF($C31="",SUMIFS(全伝票!I:I,全伝票!$A:$A,$A31,全伝票!$B:$B,$B31),SUMIFS(全伝票!I:I,全伝票!$A:$A,$A31,全伝票!$C:$C,$C31)))</f>
        <v>97074</v>
      </c>
      <c r="F31" s="161">
        <f>+IF($A31="",IF($C31="",SUMIFS(全伝票!J:J,全伝票!$B:$B,$B31),SUMIFS(全伝票!J:J,全伝票!$C:$C,$C31)),IF($C31="",SUMIFS(全伝票!J:J,全伝票!$A:$A,$A31,全伝票!$B:$B,$B31),SUMIFS(全伝票!J:J,全伝票!$A:$A,$A31,全伝票!$C:$C,$C31)))</f>
        <v>0</v>
      </c>
      <c r="G31" s="160">
        <f>+IF($A31="",IF($C31="",SUMIFS(全伝票!K:K,全伝票!$B:$B,$B31),SUMIFS(全伝票!K:K,全伝票!$C:$C,$C31)),IF($C31="",SUMIFS(全伝票!K:K,全伝票!$A:$A,$A31,全伝票!$B:$B,$B31),SUMIFS(全伝票!K:K,全伝票!$A:$A,$A31,全伝票!$C:$C,$C31)))</f>
        <v>0</v>
      </c>
      <c r="H31" s="160">
        <f>+IF($A31="",IF($C31="",SUMIFS(全伝票!L:L,全伝票!$B:$B,$B31),SUMIFS(全伝票!L:L,全伝票!$C:$C,$C31)),IF($C31="",SUMIFS(全伝票!L:L,全伝票!$A:$A,$A31,全伝票!$B:$B,$B31),SUMIFS(全伝票!L:L,全伝票!$A:$A,$A31,全伝票!$C:$C,$C31)))</f>
        <v>0</v>
      </c>
      <c r="I31" s="159">
        <f>+IF($A31="",IF($C31="",SUMIFS(全伝票!M:M,全伝票!$B:$B,$B31),SUMIFS(全伝票!M:M,全伝票!$C:$C,$C31)),IF($C31="",SUMIFS(全伝票!M:M,全伝票!$A:$A,$A31,全伝票!$B:$B,$B31),SUMIFS(全伝票!M:M,全伝票!$A:$A,$A31,全伝票!$C:$C,$C31)))</f>
        <v>0</v>
      </c>
      <c r="J31" s="159">
        <f>+IF($A31="",IF($C31="",SUMIFS(全伝票!N:N,全伝票!$B:$B,$B31),SUMIFS(全伝票!N:N,全伝票!$C:$C,$C31)),IF($C31="",SUMIFS(全伝票!N:N,全伝票!$A:$A,$A31,全伝票!$B:$B,$B31),SUMIFS(全伝票!N:N,全伝票!$A:$A,$A31,全伝票!$C:$C,$C31)))</f>
        <v>0</v>
      </c>
      <c r="K31" s="34">
        <f t="shared" si="0"/>
        <v>0</v>
      </c>
      <c r="L31" s="158">
        <f>+IF($A31="",IF($C31="",SUMIFS(全伝票!O:O,全伝票!$B:$B,$B31),SUMIFS(全伝票!O:O,全伝票!$C:$C,$C31)),IF($C31="",SUMIFS(全伝票!O:O,全伝票!$A:$A,$A31,全伝票!$B:$B,$B31),SUMIFS(全伝票!O:O,全伝票!$A:$A,$A31,全伝票!$C:$C,$C31)))</f>
        <v>97074</v>
      </c>
      <c r="M31" s="158">
        <f>+IF($A31="",IF($C31="",SUMIFS(全伝票!P:P,全伝票!$B:$B,$B31),SUMIFS(全伝票!P:P,全伝票!$C:$C,$C31)),IF($C31="",SUMIFS(全伝票!P:P,全伝票!$A:$A,$A31,全伝票!$B:$B,$B31),SUMIFS(全伝票!P:P,全伝票!$A:$A,$A31,全伝票!$C:$C,$C31)))</f>
        <v>0</v>
      </c>
      <c r="N31" s="108">
        <f t="shared" si="1"/>
        <v>0</v>
      </c>
      <c r="O31" s="25">
        <f t="shared" si="3"/>
        <v>0</v>
      </c>
      <c r="P31" s="25">
        <f t="shared" si="2"/>
        <v>0</v>
      </c>
      <c r="Q31" s="157">
        <f t="shared" si="3"/>
        <v>0</v>
      </c>
      <c r="R31" s="157">
        <f t="shared" si="4"/>
        <v>0</v>
      </c>
      <c r="S31" s="22">
        <f t="shared" si="5"/>
        <v>0</v>
      </c>
      <c r="T31" s="109">
        <f t="shared" si="6"/>
        <v>97074</v>
      </c>
      <c r="U31" s="107">
        <f t="shared" si="7"/>
        <v>0</v>
      </c>
      <c r="V31" s="107">
        <f t="shared" si="8"/>
        <v>0</v>
      </c>
      <c r="W31" s="107">
        <f t="shared" si="9"/>
        <v>0</v>
      </c>
      <c r="X31" s="107">
        <f t="shared" si="9"/>
        <v>0</v>
      </c>
      <c r="Y31" s="107">
        <f t="shared" si="10"/>
        <v>0</v>
      </c>
      <c r="Z31" s="106">
        <f t="shared" si="11"/>
        <v>0</v>
      </c>
      <c r="AA31" s="106">
        <f t="shared" si="12"/>
        <v>0</v>
      </c>
      <c r="AB31" s="106">
        <f t="shared" si="13"/>
        <v>0</v>
      </c>
      <c r="AC31" s="106">
        <f t="shared" si="13"/>
        <v>0</v>
      </c>
      <c r="AD31" s="106">
        <f t="shared" si="14"/>
        <v>0</v>
      </c>
    </row>
    <row r="32" spans="1:30">
      <c r="A32" s="165">
        <v>1</v>
      </c>
      <c r="B32" s="164" t="s">
        <v>282</v>
      </c>
      <c r="C32" s="163"/>
      <c r="D32" s="162" t="s">
        <v>56</v>
      </c>
      <c r="E32" s="158">
        <f>+IF($A32="",IF($C32="",SUMIFS(全伝票!I:I,全伝票!$B:$B,$B32),SUMIFS(全伝票!I:I,全伝票!$C:$C,$C32)),IF($C32="",SUMIFS(全伝票!I:I,全伝票!$A:$A,$A32,全伝票!$B:$B,$B32),SUMIFS(全伝票!I:I,全伝票!$A:$A,$A32,全伝票!$C:$C,$C32)))</f>
        <v>0</v>
      </c>
      <c r="F32" s="161">
        <f>+IF($A32="",IF($C32="",SUMIFS(全伝票!J:J,全伝票!$B:$B,$B32),SUMIFS(全伝票!J:J,全伝票!$C:$C,$C32)),IF($C32="",SUMIFS(全伝票!J:J,全伝票!$A:$A,$A32,全伝票!$B:$B,$B32),SUMIFS(全伝票!J:J,全伝票!$A:$A,$A32,全伝票!$C:$C,$C32)))</f>
        <v>0</v>
      </c>
      <c r="G32" s="160">
        <f>+IF($A32="",IF($C32="",SUMIFS(全伝票!K:K,全伝票!$B:$B,$B32),SUMIFS(全伝票!K:K,全伝票!$C:$C,$C32)),IF($C32="",SUMIFS(全伝票!K:K,全伝票!$A:$A,$A32,全伝票!$B:$B,$B32),SUMIFS(全伝票!K:K,全伝票!$A:$A,$A32,全伝票!$C:$C,$C32)))</f>
        <v>0</v>
      </c>
      <c r="H32" s="160">
        <f>+IF($A32="",IF($C32="",SUMIFS(全伝票!L:L,全伝票!$B:$B,$B32),SUMIFS(全伝票!L:L,全伝票!$C:$C,$C32)),IF($C32="",SUMIFS(全伝票!L:L,全伝票!$A:$A,$A32,全伝票!$B:$B,$B32),SUMIFS(全伝票!L:L,全伝票!$A:$A,$A32,全伝票!$C:$C,$C32)))</f>
        <v>0</v>
      </c>
      <c r="I32" s="159">
        <f>+IF($A32="",IF($C32="",SUMIFS(全伝票!M:M,全伝票!$B:$B,$B32),SUMIFS(全伝票!M:M,全伝票!$C:$C,$C32)),IF($C32="",SUMIFS(全伝票!M:M,全伝票!$A:$A,$A32,全伝票!$B:$B,$B32),SUMIFS(全伝票!M:M,全伝票!$A:$A,$A32,全伝票!$C:$C,$C32)))</f>
        <v>0</v>
      </c>
      <c r="J32" s="159">
        <f>+IF($A32="",IF($C32="",SUMIFS(全伝票!N:N,全伝票!$B:$B,$B32),SUMIFS(全伝票!N:N,全伝票!$C:$C,$C32)),IF($C32="",SUMIFS(全伝票!N:N,全伝票!$A:$A,$A32,全伝票!$B:$B,$B32),SUMIFS(全伝票!N:N,全伝票!$A:$A,$A32,全伝票!$C:$C,$C32)))</f>
        <v>0</v>
      </c>
      <c r="K32" s="34">
        <f t="shared" si="0"/>
        <v>0</v>
      </c>
      <c r="L32" s="158">
        <f>+IF($A32="",IF($C32="",SUMIFS(全伝票!O:O,全伝票!$B:$B,$B32),SUMIFS(全伝票!O:O,全伝票!$C:$C,$C32)),IF($C32="",SUMIFS(全伝票!O:O,全伝票!$A:$A,$A32,全伝票!$B:$B,$B32),SUMIFS(全伝票!O:O,全伝票!$A:$A,$A32,全伝票!$C:$C,$C32)))</f>
        <v>0</v>
      </c>
      <c r="M32" s="158">
        <f>+IF($A32="",IF($C32="",SUMIFS(全伝票!P:P,全伝票!$B:$B,$B32),SUMIFS(全伝票!P:P,全伝票!$C:$C,$C32)),IF($C32="",SUMIFS(全伝票!P:P,全伝票!$A:$A,$A32,全伝票!$B:$B,$B32),SUMIFS(全伝票!P:P,全伝票!$A:$A,$A32,全伝票!$C:$C,$C32)))</f>
        <v>0</v>
      </c>
      <c r="N32" s="108">
        <f t="shared" si="1"/>
        <v>0</v>
      </c>
      <c r="O32" s="25">
        <f t="shared" si="3"/>
        <v>0</v>
      </c>
      <c r="P32" s="25">
        <f t="shared" si="2"/>
        <v>0</v>
      </c>
      <c r="Q32" s="157">
        <f t="shared" si="3"/>
        <v>0</v>
      </c>
      <c r="R32" s="157">
        <f t="shared" si="4"/>
        <v>0</v>
      </c>
      <c r="S32" s="22">
        <f t="shared" si="5"/>
        <v>0</v>
      </c>
      <c r="T32" s="109">
        <f t="shared" si="6"/>
        <v>0</v>
      </c>
      <c r="U32" s="107">
        <f t="shared" si="7"/>
        <v>0</v>
      </c>
      <c r="V32" s="107">
        <f t="shared" si="8"/>
        <v>0</v>
      </c>
      <c r="W32" s="107">
        <f t="shared" si="9"/>
        <v>0</v>
      </c>
      <c r="X32" s="107">
        <f t="shared" si="9"/>
        <v>0</v>
      </c>
      <c r="Y32" s="107">
        <f t="shared" si="10"/>
        <v>0</v>
      </c>
      <c r="Z32" s="106">
        <f t="shared" si="11"/>
        <v>0</v>
      </c>
      <c r="AA32" s="106">
        <f t="shared" si="12"/>
        <v>0</v>
      </c>
      <c r="AB32" s="106">
        <f t="shared" si="13"/>
        <v>0</v>
      </c>
      <c r="AC32" s="106">
        <f t="shared" si="13"/>
        <v>0</v>
      </c>
      <c r="AD32" s="106">
        <f t="shared" si="14"/>
        <v>0</v>
      </c>
    </row>
    <row r="33" spans="1:30">
      <c r="A33" s="165">
        <v>1</v>
      </c>
      <c r="B33" s="164" t="s">
        <v>303</v>
      </c>
      <c r="C33" s="163">
        <v>883131003</v>
      </c>
      <c r="D33" s="162" t="s">
        <v>609</v>
      </c>
      <c r="E33" s="158">
        <f>+IF($A33="",IF($C33="",SUMIFS(全伝票!I:I,全伝票!$B:$B,$B33),SUMIFS(全伝票!I:I,全伝票!$C:$C,$C33)),IF($C33="",SUMIFS(全伝票!I:I,全伝票!$A:$A,$A33,全伝票!$B:$B,$B33),SUMIFS(全伝票!I:I,全伝票!$A:$A,$A33,全伝票!$C:$C,$C33)))</f>
        <v>0</v>
      </c>
      <c r="F33" s="161">
        <f>+IF($A33="",IF($C33="",SUMIFS(全伝票!J:J,全伝票!$B:$B,$B33),SUMIFS(全伝票!J:J,全伝票!$C:$C,$C33)),IF($C33="",SUMIFS(全伝票!J:J,全伝票!$A:$A,$A33,全伝票!$B:$B,$B33),SUMIFS(全伝票!J:J,全伝票!$A:$A,$A33,全伝票!$C:$C,$C33)))</f>
        <v>0</v>
      </c>
      <c r="G33" s="160">
        <f>+IF($A33="",IF($C33="",SUMIFS(全伝票!K:K,全伝票!$B:$B,$B33),SUMIFS(全伝票!K:K,全伝票!$C:$C,$C33)),IF($C33="",SUMIFS(全伝票!K:K,全伝票!$A:$A,$A33,全伝票!$B:$B,$B33),SUMIFS(全伝票!K:K,全伝票!$A:$A,$A33,全伝票!$C:$C,$C33)))</f>
        <v>0</v>
      </c>
      <c r="H33" s="160">
        <f>+IF($A33="",IF($C33="",SUMIFS(全伝票!L:L,全伝票!$B:$B,$B33),SUMIFS(全伝票!L:L,全伝票!$C:$C,$C33)),IF($C33="",SUMIFS(全伝票!L:L,全伝票!$A:$A,$A33,全伝票!$B:$B,$B33),SUMIFS(全伝票!L:L,全伝票!$A:$A,$A33,全伝票!$C:$C,$C33)))</f>
        <v>0</v>
      </c>
      <c r="I33" s="159">
        <f>+IF($A33="",IF($C33="",SUMIFS(全伝票!M:M,全伝票!$B:$B,$B33),SUMIFS(全伝票!M:M,全伝票!$C:$C,$C33)),IF($C33="",SUMIFS(全伝票!M:M,全伝票!$A:$A,$A33,全伝票!$B:$B,$B33),SUMIFS(全伝票!M:M,全伝票!$A:$A,$A33,全伝票!$C:$C,$C33)))</f>
        <v>0</v>
      </c>
      <c r="J33" s="159">
        <f>+IF($A33="",IF($C33="",SUMIFS(全伝票!N:N,全伝票!$B:$B,$B33),SUMIFS(全伝票!N:N,全伝票!$C:$C,$C33)),IF($C33="",SUMIFS(全伝票!N:N,全伝票!$A:$A,$A33,全伝票!$B:$B,$B33),SUMIFS(全伝票!N:N,全伝票!$A:$A,$A33,全伝票!$C:$C,$C33)))</f>
        <v>0</v>
      </c>
      <c r="K33" s="34">
        <f t="shared" si="0"/>
        <v>0</v>
      </c>
      <c r="L33" s="158">
        <f>+IF($A33="",IF($C33="",SUMIFS(全伝票!O:O,全伝票!$B:$B,$B33),SUMIFS(全伝票!O:O,全伝票!$C:$C,$C33)),IF($C33="",SUMIFS(全伝票!O:O,全伝票!$A:$A,$A33,全伝票!$B:$B,$B33),SUMIFS(全伝票!O:O,全伝票!$A:$A,$A33,全伝票!$C:$C,$C33)))</f>
        <v>0</v>
      </c>
      <c r="M33" s="158">
        <f>+IF($A33="",IF($C33="",SUMIFS(全伝票!P:P,全伝票!$B:$B,$B33),SUMIFS(全伝票!P:P,全伝票!$C:$C,$C33)),IF($C33="",SUMIFS(全伝票!P:P,全伝票!$A:$A,$A33,全伝票!$B:$B,$B33),SUMIFS(全伝票!P:P,全伝票!$A:$A,$A33,全伝票!$C:$C,$C33)))</f>
        <v>0</v>
      </c>
      <c r="N33" s="108">
        <f t="shared" si="1"/>
        <v>0</v>
      </c>
      <c r="O33" s="25">
        <f t="shared" si="3"/>
        <v>0</v>
      </c>
      <c r="P33" s="25">
        <f t="shared" si="2"/>
        <v>0</v>
      </c>
      <c r="Q33" s="157">
        <f t="shared" si="3"/>
        <v>0</v>
      </c>
      <c r="R33" s="157">
        <f t="shared" si="4"/>
        <v>0</v>
      </c>
      <c r="S33" s="22">
        <f t="shared" si="5"/>
        <v>0</v>
      </c>
      <c r="T33" s="109">
        <f t="shared" si="6"/>
        <v>0</v>
      </c>
      <c r="U33" s="107">
        <f t="shared" si="7"/>
        <v>0</v>
      </c>
      <c r="V33" s="107">
        <f t="shared" si="8"/>
        <v>0</v>
      </c>
      <c r="W33" s="107">
        <f t="shared" si="9"/>
        <v>0</v>
      </c>
      <c r="X33" s="107">
        <f t="shared" si="9"/>
        <v>0</v>
      </c>
      <c r="Y33" s="107">
        <f t="shared" si="10"/>
        <v>0</v>
      </c>
      <c r="Z33" s="106">
        <f t="shared" si="11"/>
        <v>0</v>
      </c>
      <c r="AA33" s="106">
        <f t="shared" si="12"/>
        <v>0</v>
      </c>
      <c r="AB33" s="106">
        <f t="shared" si="13"/>
        <v>0</v>
      </c>
      <c r="AC33" s="106">
        <f t="shared" si="13"/>
        <v>0</v>
      </c>
      <c r="AD33" s="106">
        <f t="shared" si="14"/>
        <v>0</v>
      </c>
    </row>
    <row r="34" spans="1:30">
      <c r="A34" s="165">
        <v>1</v>
      </c>
      <c r="B34" s="164" t="s">
        <v>281</v>
      </c>
      <c r="C34" s="163"/>
      <c r="D34" s="162" t="s">
        <v>53</v>
      </c>
      <c r="E34" s="158">
        <f>+IF($A34="",IF($C34="",SUMIFS(全伝票!I:I,全伝票!$B:$B,$B34),SUMIFS(全伝票!I:I,全伝票!$C:$C,$C34)),IF($C34="",SUMIFS(全伝票!I:I,全伝票!$A:$A,$A34,全伝票!$B:$B,$B34),SUMIFS(全伝票!I:I,全伝票!$A:$A,$A34,全伝票!$C:$C,$C34)))</f>
        <v>573000</v>
      </c>
      <c r="F34" s="161">
        <f>+IF($A34="",IF($C34="",SUMIFS(全伝票!J:J,全伝票!$B:$B,$B34),SUMIFS(全伝票!J:J,全伝票!$C:$C,$C34)),IF($C34="",SUMIFS(全伝票!J:J,全伝票!$A:$A,$A34,全伝票!$B:$B,$B34),SUMIFS(全伝票!J:J,全伝票!$A:$A,$A34,全伝票!$C:$C,$C34)))</f>
        <v>0</v>
      </c>
      <c r="G34" s="160">
        <f>+IF($A34="",IF($C34="",SUMIFS(全伝票!K:K,全伝票!$B:$B,$B34),SUMIFS(全伝票!K:K,全伝票!$C:$C,$C34)),IF($C34="",SUMIFS(全伝票!K:K,全伝票!$A:$A,$A34,全伝票!$B:$B,$B34),SUMIFS(全伝票!K:K,全伝票!$A:$A,$A34,全伝票!$C:$C,$C34)))</f>
        <v>0</v>
      </c>
      <c r="H34" s="160">
        <f>+IF($A34="",IF($C34="",SUMIFS(全伝票!L:L,全伝票!$B:$B,$B34),SUMIFS(全伝票!L:L,全伝票!$C:$C,$C34)),IF($C34="",SUMIFS(全伝票!L:L,全伝票!$A:$A,$A34,全伝票!$B:$B,$B34),SUMIFS(全伝票!L:L,全伝票!$A:$A,$A34,全伝票!$C:$C,$C34)))</f>
        <v>0</v>
      </c>
      <c r="I34" s="159">
        <f>+IF($A34="",IF($C34="",SUMIFS(全伝票!M:M,全伝票!$B:$B,$B34),SUMIFS(全伝票!M:M,全伝票!$C:$C,$C34)),IF($C34="",SUMIFS(全伝票!M:M,全伝票!$A:$A,$A34,全伝票!$B:$B,$B34),SUMIFS(全伝票!M:M,全伝票!$A:$A,$A34,全伝票!$C:$C,$C34)))</f>
        <v>0</v>
      </c>
      <c r="J34" s="159">
        <f>+IF($A34="",IF($C34="",SUMIFS(全伝票!N:N,全伝票!$B:$B,$B34),SUMIFS(全伝票!N:N,全伝票!$C:$C,$C34)),IF($C34="",SUMIFS(全伝票!N:N,全伝票!$A:$A,$A34,全伝票!$B:$B,$B34),SUMIFS(全伝票!N:N,全伝票!$A:$A,$A34,全伝票!$C:$C,$C34)))</f>
        <v>0</v>
      </c>
      <c r="K34" s="34">
        <f t="shared" si="0"/>
        <v>0</v>
      </c>
      <c r="L34" s="158">
        <f>+IF($A34="",IF($C34="",SUMIFS(全伝票!O:O,全伝票!$B:$B,$B34),SUMIFS(全伝票!O:O,全伝票!$C:$C,$C34)),IF($C34="",SUMIFS(全伝票!O:O,全伝票!$A:$A,$A34,全伝票!$B:$B,$B34),SUMIFS(全伝票!O:O,全伝票!$A:$A,$A34,全伝票!$C:$C,$C34)))</f>
        <v>0</v>
      </c>
      <c r="M34" s="158">
        <f>+IF($A34="",IF($C34="",SUMIFS(全伝票!P:P,全伝票!$B:$B,$B34),SUMIFS(全伝票!P:P,全伝票!$C:$C,$C34)),IF($C34="",SUMIFS(全伝票!P:P,全伝票!$A:$A,$A34,全伝票!$B:$B,$B34),SUMIFS(全伝票!P:P,全伝票!$A:$A,$A34,全伝票!$C:$C,$C34)))</f>
        <v>573000</v>
      </c>
      <c r="N34" s="108">
        <f t="shared" si="1"/>
        <v>0</v>
      </c>
      <c r="O34" s="25">
        <f t="shared" si="3"/>
        <v>0</v>
      </c>
      <c r="P34" s="25">
        <f t="shared" si="2"/>
        <v>0</v>
      </c>
      <c r="Q34" s="157">
        <f t="shared" si="3"/>
        <v>0</v>
      </c>
      <c r="R34" s="157">
        <f t="shared" si="4"/>
        <v>0</v>
      </c>
      <c r="S34" s="22">
        <f t="shared" si="5"/>
        <v>0</v>
      </c>
      <c r="T34" s="109">
        <f t="shared" si="6"/>
        <v>573000</v>
      </c>
      <c r="U34" s="107">
        <f t="shared" si="7"/>
        <v>0</v>
      </c>
      <c r="V34" s="107">
        <f t="shared" si="8"/>
        <v>0</v>
      </c>
      <c r="W34" s="107">
        <f t="shared" si="9"/>
        <v>0</v>
      </c>
      <c r="X34" s="107">
        <f t="shared" si="9"/>
        <v>0</v>
      </c>
      <c r="Y34" s="107">
        <f t="shared" si="10"/>
        <v>0</v>
      </c>
      <c r="Z34" s="106">
        <f t="shared" si="11"/>
        <v>0</v>
      </c>
      <c r="AA34" s="106">
        <f t="shared" si="12"/>
        <v>0</v>
      </c>
      <c r="AB34" s="106">
        <f t="shared" si="13"/>
        <v>0</v>
      </c>
      <c r="AC34" s="106">
        <f t="shared" si="13"/>
        <v>0</v>
      </c>
      <c r="AD34" s="106">
        <f t="shared" si="14"/>
        <v>0</v>
      </c>
    </row>
    <row r="35" spans="1:30" ht="14.25" thickBot="1">
      <c r="A35" s="165"/>
      <c r="B35" s="164" t="s">
        <v>280</v>
      </c>
      <c r="C35" s="163"/>
      <c r="D35" s="162" t="s">
        <v>51</v>
      </c>
      <c r="E35" s="158">
        <f>+IF($A35="",IF($C35="",SUMIFS(全伝票!I:I,全伝票!$B:$B,$B35),SUMIFS(全伝票!I:I,全伝票!$C:$C,$C35)),IF($C35="",SUMIFS(全伝票!I:I,全伝票!$A:$A,$A35,全伝票!$B:$B,$B35),SUMIFS(全伝票!I:I,全伝票!$A:$A,$A35,全伝票!$C:$C,$C35)))</f>
        <v>0</v>
      </c>
      <c r="F35" s="161">
        <f>+IF($A35="",IF($C35="",SUMIFS(全伝票!J:J,全伝票!$B:$B,$B35),SUMIFS(全伝票!J:J,全伝票!$C:$C,$C35)),IF($C35="",SUMIFS(全伝票!J:J,全伝票!$A:$A,$A35,全伝票!$B:$B,$B35),SUMIFS(全伝票!J:J,全伝票!$A:$A,$A35,全伝票!$C:$C,$C35)))</f>
        <v>0</v>
      </c>
      <c r="G35" s="160">
        <f>+IF($A35="",IF($C35="",SUMIFS(全伝票!K:K,全伝票!$B:$B,$B35),SUMIFS(全伝票!K:K,全伝票!$C:$C,$C35)),IF($C35="",SUMIFS(全伝票!K:K,全伝票!$A:$A,$A35,全伝票!$B:$B,$B35),SUMIFS(全伝票!K:K,全伝票!$A:$A,$A35,全伝票!$C:$C,$C35)))</f>
        <v>0</v>
      </c>
      <c r="H35" s="160">
        <f>+IF($A35="",IF($C35="",SUMIFS(全伝票!L:L,全伝票!$B:$B,$B35),SUMIFS(全伝票!L:L,全伝票!$C:$C,$C35)),IF($C35="",SUMIFS(全伝票!L:L,全伝票!$A:$A,$A35,全伝票!$B:$B,$B35),SUMIFS(全伝票!L:L,全伝票!$A:$A,$A35,全伝票!$C:$C,$C35)))</f>
        <v>0</v>
      </c>
      <c r="I35" s="159">
        <f>+IF($A35="",IF($C35="",SUMIFS(全伝票!M:M,全伝票!$B:$B,$B35),SUMIFS(全伝票!M:M,全伝票!$C:$C,$C35)),IF($C35="",SUMIFS(全伝票!M:M,全伝票!$A:$A,$A35,全伝票!$B:$B,$B35),SUMIFS(全伝票!M:M,全伝票!$A:$A,$A35,全伝票!$C:$C,$C35)))</f>
        <v>0</v>
      </c>
      <c r="J35" s="159">
        <f>+IF($A35="",IF($C35="",SUMIFS(全伝票!N:N,全伝票!$B:$B,$B35),SUMIFS(全伝票!N:N,全伝票!$C:$C,$C35)),IF($C35="",SUMIFS(全伝票!N:N,全伝票!$A:$A,$A35,全伝票!$B:$B,$B35),SUMIFS(全伝票!N:N,全伝票!$A:$A,$A35,全伝票!$C:$C,$C35)))</f>
        <v>0</v>
      </c>
      <c r="K35" s="34">
        <f t="shared" si="0"/>
        <v>0</v>
      </c>
      <c r="L35" s="158">
        <f>+IF($A35="",IF($C35="",SUMIFS(全伝票!O:O,全伝票!$B:$B,$B35),SUMIFS(全伝票!O:O,全伝票!$C:$C,$C35)),IF($C35="",SUMIFS(全伝票!O:O,全伝票!$A:$A,$A35,全伝票!$B:$B,$B35),SUMIFS(全伝票!O:O,全伝票!$A:$A,$A35,全伝票!$C:$C,$C35)))</f>
        <v>0</v>
      </c>
      <c r="M35" s="158">
        <f>+IF($A35="",IF($C35="",SUMIFS(全伝票!P:P,全伝票!$B:$B,$B35),SUMIFS(全伝票!P:P,全伝票!$C:$C,$C35)),IF($C35="",SUMIFS(全伝票!P:P,全伝票!$A:$A,$A35,全伝票!$B:$B,$B35),SUMIFS(全伝票!P:P,全伝票!$A:$A,$A35,全伝票!$C:$C,$C35)))</f>
        <v>0</v>
      </c>
      <c r="N35" s="108">
        <f t="shared" si="1"/>
        <v>0</v>
      </c>
      <c r="O35" s="25">
        <f t="shared" si="3"/>
        <v>0</v>
      </c>
      <c r="P35" s="25">
        <f t="shared" si="2"/>
        <v>0</v>
      </c>
      <c r="Q35" s="157">
        <f t="shared" si="3"/>
        <v>0</v>
      </c>
      <c r="R35" s="157">
        <f t="shared" si="4"/>
        <v>0</v>
      </c>
      <c r="S35" s="22">
        <f t="shared" si="5"/>
        <v>0</v>
      </c>
      <c r="T35" s="109">
        <f t="shared" si="6"/>
        <v>0</v>
      </c>
      <c r="U35" s="107">
        <f t="shared" si="7"/>
        <v>0</v>
      </c>
      <c r="V35" s="107">
        <f t="shared" si="8"/>
        <v>0</v>
      </c>
      <c r="W35" s="107">
        <f t="shared" si="9"/>
        <v>0</v>
      </c>
      <c r="X35" s="107">
        <f t="shared" si="9"/>
        <v>0</v>
      </c>
      <c r="Y35" s="107">
        <f t="shared" si="10"/>
        <v>0</v>
      </c>
      <c r="Z35" s="106">
        <f t="shared" si="11"/>
        <v>0</v>
      </c>
      <c r="AA35" s="106">
        <f t="shared" si="12"/>
        <v>0</v>
      </c>
      <c r="AB35" s="106">
        <f t="shared" si="13"/>
        <v>0</v>
      </c>
      <c r="AC35" s="106">
        <f t="shared" si="13"/>
        <v>0</v>
      </c>
      <c r="AD35" s="106">
        <f t="shared" si="14"/>
        <v>0</v>
      </c>
    </row>
    <row r="36" spans="1:30" ht="14.25" thickTop="1">
      <c r="A36" s="156"/>
      <c r="B36" s="155"/>
      <c r="C36" s="154"/>
      <c r="D36" s="153" t="s">
        <v>2</v>
      </c>
      <c r="E36" s="149">
        <f t="shared" ref="E36:T36" si="15">SUM(E5:E35)</f>
        <v>10483859</v>
      </c>
      <c r="F36" s="152">
        <f t="shared" si="15"/>
        <v>0</v>
      </c>
      <c r="G36" s="151">
        <f t="shared" si="15"/>
        <v>0</v>
      </c>
      <c r="H36" s="151">
        <f t="shared" si="15"/>
        <v>0</v>
      </c>
      <c r="I36" s="150">
        <f t="shared" ref="I36" si="16">SUM(I5:I35)</f>
        <v>0</v>
      </c>
      <c r="J36" s="150">
        <f t="shared" si="15"/>
        <v>963485</v>
      </c>
      <c r="K36" s="74">
        <f t="shared" si="15"/>
        <v>963485</v>
      </c>
      <c r="L36" s="149">
        <f t="shared" si="15"/>
        <v>1672623</v>
      </c>
      <c r="M36" s="149">
        <f t="shared" si="15"/>
        <v>7847751</v>
      </c>
      <c r="N36" s="146">
        <f t="shared" si="15"/>
        <v>0</v>
      </c>
      <c r="O36" s="145">
        <f t="shared" si="15"/>
        <v>0</v>
      </c>
      <c r="P36" s="145">
        <f t="shared" si="15"/>
        <v>0</v>
      </c>
      <c r="Q36" s="148">
        <f t="shared" ref="Q36" si="17">SUM(Q5:Q35)</f>
        <v>0</v>
      </c>
      <c r="R36" s="148">
        <f t="shared" si="15"/>
        <v>87589</v>
      </c>
      <c r="S36" s="144">
        <f t="shared" si="15"/>
        <v>87589</v>
      </c>
      <c r="T36" s="147">
        <f t="shared" si="15"/>
        <v>10396270</v>
      </c>
      <c r="U36" s="88" t="str">
        <f>+IF(F36=0,"",ROUND(F36*F$4/(100+F$4),7)-N36)</f>
        <v/>
      </c>
      <c r="V36" s="88"/>
      <c r="W36" s="88"/>
      <c r="X36" s="88"/>
      <c r="Y36" s="88"/>
      <c r="Z36" s="88"/>
      <c r="AA36" s="88"/>
      <c r="AB36" s="87"/>
      <c r="AC36" s="87"/>
      <c r="AD36" s="87"/>
    </row>
    <row r="37" spans="1:30">
      <c r="A37" s="143"/>
      <c r="B37" s="142"/>
      <c r="C37" s="141"/>
      <c r="D37" s="140" t="s">
        <v>1</v>
      </c>
      <c r="E37" s="136">
        <f t="shared" ref="E37:J37" si="18">+E36</f>
        <v>10483859</v>
      </c>
      <c r="F37" s="139">
        <f t="shared" si="18"/>
        <v>0</v>
      </c>
      <c r="G37" s="138">
        <f t="shared" si="18"/>
        <v>0</v>
      </c>
      <c r="H37" s="138">
        <f t="shared" si="18"/>
        <v>0</v>
      </c>
      <c r="I37" s="137">
        <f t="shared" si="18"/>
        <v>0</v>
      </c>
      <c r="J37" s="137">
        <f t="shared" si="18"/>
        <v>963485</v>
      </c>
      <c r="K37" s="63">
        <f>SUM(F37:J37)</f>
        <v>963485</v>
      </c>
      <c r="L37" s="136">
        <f>+L36</f>
        <v>1672623</v>
      </c>
      <c r="M37" s="135">
        <f>+M36</f>
        <v>7847751</v>
      </c>
      <c r="N37" s="133">
        <f>+'3条支出'!N12</f>
        <v>0</v>
      </c>
      <c r="O37" s="132">
        <f>+'3条支出'!O12</f>
        <v>0</v>
      </c>
      <c r="P37" s="132">
        <f>+'3条支出'!P12</f>
        <v>0</v>
      </c>
      <c r="Q37" s="132">
        <f>+'3条支出'!Q12</f>
        <v>0</v>
      </c>
      <c r="R37" s="132">
        <f>+'3条支出'!R12</f>
        <v>87589</v>
      </c>
      <c r="S37" s="131">
        <f>+'3条支出'!S12</f>
        <v>87589</v>
      </c>
      <c r="T37" s="134">
        <f>+'3条支出'!T12</f>
        <v>10396270</v>
      </c>
      <c r="U37" s="88" t="str">
        <f>+IF(F37=0,"",ROUND(F37*F$4/(100+F$4),7)-N37)</f>
        <v/>
      </c>
      <c r="V37" s="88"/>
      <c r="W37" s="88"/>
      <c r="X37" s="88"/>
      <c r="Y37" s="88"/>
      <c r="Z37" s="88"/>
      <c r="AA37" s="88"/>
      <c r="AB37" s="87"/>
      <c r="AC37" s="87"/>
      <c r="AD37" s="87"/>
    </row>
    <row r="38" spans="1:30">
      <c r="E38" s="4">
        <f t="shared" ref="E38:T38" si="19">+E37-E36</f>
        <v>0</v>
      </c>
      <c r="F38" s="4">
        <f t="shared" si="19"/>
        <v>0</v>
      </c>
      <c r="G38" s="4">
        <f t="shared" si="19"/>
        <v>0</v>
      </c>
      <c r="H38" s="4">
        <f t="shared" si="19"/>
        <v>0</v>
      </c>
      <c r="I38" s="4">
        <f t="shared" ref="I38" si="20">+I37-I36</f>
        <v>0</v>
      </c>
      <c r="J38" s="4">
        <f t="shared" si="19"/>
        <v>0</v>
      </c>
      <c r="K38" s="4">
        <f t="shared" si="19"/>
        <v>0</v>
      </c>
      <c r="L38" s="4">
        <f t="shared" si="19"/>
        <v>0</v>
      </c>
      <c r="M38" s="4">
        <f t="shared" si="19"/>
        <v>0</v>
      </c>
      <c r="N38" s="4">
        <f t="shared" si="19"/>
        <v>0</v>
      </c>
      <c r="O38" s="4">
        <f t="shared" si="19"/>
        <v>0</v>
      </c>
      <c r="P38" s="4">
        <f t="shared" si="19"/>
        <v>0</v>
      </c>
      <c r="Q38" s="4">
        <f t="shared" ref="Q38" si="21">+Q37-Q36</f>
        <v>0</v>
      </c>
      <c r="R38" s="4">
        <f t="shared" si="19"/>
        <v>0</v>
      </c>
      <c r="S38" s="4">
        <f t="shared" si="19"/>
        <v>0</v>
      </c>
      <c r="T38" s="4">
        <f t="shared" si="19"/>
        <v>0</v>
      </c>
      <c r="U38" s="88" t="str">
        <f>+IF(F38=0,"",ROUND(F38*F$4/(100+F$4),7)-N38)</f>
        <v/>
      </c>
      <c r="V38" s="88" t="str">
        <f>+IF(G38=0,"",ROUND(G38*G$4/(100+G$4),7)-O38)</f>
        <v/>
      </c>
      <c r="W38" s="88" t="str">
        <f>+IF(H38=0,"",ROUND(H38*H$4/(100+H$4),7)-P38)</f>
        <v/>
      </c>
      <c r="X38" s="88"/>
      <c r="Y38" s="88" t="str">
        <f>+IF(J38=0,"",ROUND(J38*J$4/(100+J$4),7)-R38)</f>
        <v/>
      </c>
      <c r="Z38" s="88"/>
      <c r="AA38" s="88"/>
      <c r="AB38" s="87" t="str">
        <f>+IF(SUM(U38:Y38)=0,"",SUM(U38:Y38))</f>
        <v/>
      </c>
      <c r="AC38" s="87"/>
      <c r="AD38" s="87"/>
    </row>
    <row r="39" spans="1:30">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G40" s="273"/>
      <c r="H40" s="272"/>
      <c r="I40" s="272"/>
      <c r="J40" s="272"/>
      <c r="U40" s="88" t="str">
        <f>+IF(F40=0,"",ROUND(F40*F$4/(100+F$4),7)-N40)</f>
        <v/>
      </c>
      <c r="V40" s="88"/>
      <c r="W40" s="88"/>
      <c r="X40" s="88"/>
      <c r="Y40" s="88"/>
      <c r="Z40" s="88"/>
      <c r="AA40" s="88"/>
      <c r="AB40" s="87"/>
      <c r="AC40" s="87"/>
      <c r="AD40" s="87"/>
    </row>
    <row r="41" spans="1:30">
      <c r="G41" s="273"/>
      <c r="H41" s="272"/>
      <c r="I41" s="272"/>
      <c r="J41" s="272"/>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3"/>
  <conditionalFormatting sqref="AE5:AI35">
    <cfRule type="notContainsBlanks" dxfId="80" priority="3" stopIfTrue="1">
      <formula>LEN(TRIM(AE5))&gt;0</formula>
    </cfRule>
  </conditionalFormatting>
  <conditionalFormatting sqref="AE36:AI37">
    <cfRule type="notContainsBlanks" dxfId="79" priority="4" stopIfTrue="1">
      <formula>LEN(TRIM(AE36))&gt;0</formula>
    </cfRule>
  </conditionalFormatting>
  <conditionalFormatting sqref="Z5:AD35">
    <cfRule type="expression" dxfId="78" priority="2">
      <formula>ABS(Z5)=1</formula>
    </cfRule>
  </conditionalFormatting>
  <conditionalFormatting sqref="E38:T38">
    <cfRule type="cellIs" dxfId="77" priority="1" operator="notEqual">
      <formula>0</formula>
    </cfRule>
  </conditionalFormatting>
  <pageMargins left="0.39370078740157483" right="0.39370078740157483" top="0.78740157480314965" bottom="0.39370078740157483" header="0.39370078740157483" footer="0.19685039370078741"/>
  <pageSetup paperSize="9" scale="67" orientation="landscape" blackAndWhite="1" r:id="rId1"/>
  <headerFooter>
    <oddFooter>&amp;L&amp;8&amp;Z&amp;F&amp;A&amp;R&amp;8&amp;D&amp;T</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I41"/>
  <sheetViews>
    <sheetView zoomScale="55" zoomScaleNormal="55"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+'3条支出'!D1</f>
        <v>令和５年度決算　消費税算出資料</v>
      </c>
    </row>
    <row r="2" spans="1:35">
      <c r="D2" s="2" t="s">
        <v>345</v>
      </c>
      <c r="V2" s="122"/>
      <c r="W2" s="122"/>
      <c r="X2" s="261"/>
      <c r="Y2" s="122"/>
      <c r="Z2" s="122"/>
      <c r="AA2" s="122"/>
      <c r="AB2" s="122"/>
      <c r="AC2" s="261"/>
      <c r="AD2" s="122"/>
      <c r="AE2" s="122"/>
      <c r="AF2" s="122"/>
      <c r="AG2" s="122"/>
      <c r="AH2" s="261"/>
      <c r="AI2" s="122"/>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122"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177">
        <v>1</v>
      </c>
      <c r="B5" s="176" t="s">
        <v>344</v>
      </c>
      <c r="C5" s="175"/>
      <c r="D5" s="174" t="s">
        <v>112</v>
      </c>
      <c r="E5" s="170">
        <f>+IF($A5="",IF($C5="",SUMIFS(全伝票!I:I,全伝票!$B:$B,$B5),SUMIFS(全伝票!I:I,全伝票!$C:$C,$C5)),IF($C5="",SUMIFS(全伝票!I:I,全伝票!$A:$A,$A5,全伝票!$B:$B,$B5),SUMIFS(全伝票!I:I,全伝票!$A:$A,$A5,全伝票!$C:$C,$C5)))</f>
        <v>2132308</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275">
        <f>+IF($A5="",IF($C5="",SUMIFS(全伝票!L:L,全伝票!$B:$B,$B5),SUMIFS(全伝票!L:L,全伝票!$C:$C,$C5)),IF($C5="",SUMIFS(全伝票!L:L,全伝票!$A:$A,$A5,全伝票!$B:$B,$B5),SUMIFS(全伝票!L:L,全伝票!$A:$A,$A5,全伝票!$C:$C,$C5)))</f>
        <v>0</v>
      </c>
      <c r="I5" s="270">
        <f>+IF($A5="",IF($C5="",SUMIFS(全伝票!M:M,全伝票!$B:$B,$B5),SUMIFS(全伝票!M:M,全伝票!$C:$C,$C5)),IF($C5="",SUMIFS(全伝票!M:M,全伝票!$A:$A,$A5,全伝票!$B:$B,$B5),SUMIFS(全伝票!M:M,全伝票!$A:$A,$A5,全伝票!$C:$C,$C5)))</f>
        <v>0</v>
      </c>
      <c r="J5" s="171">
        <f>+IF($A5="",IF($C5="",SUMIFS(全伝票!N:N,全伝票!$B:$B,$B5),SUMIFS(全伝票!N:N,全伝票!$C:$C,$C5)),IF($C5="",SUMIFS(全伝票!N:N,全伝票!$A:$A,$A5,全伝票!$B:$B,$B5),SUMIFS(全伝票!N:N,全伝票!$A:$A,$A5,全伝票!$C:$C,$C5)))</f>
        <v>0</v>
      </c>
      <c r="K5" s="112">
        <f t="shared" ref="K5:K35" si="0">SUM(F5:J5)</f>
        <v>0</v>
      </c>
      <c r="L5" s="170">
        <f>+IF($A5="",IF($C5="",SUMIFS(全伝票!O:O,全伝票!$B:$B,$B5),SUMIFS(全伝票!O:O,全伝票!$C:$C,$C5)),IF($C5="",SUMIFS(全伝票!O:O,全伝票!$A:$A,$A5,全伝票!$B:$B,$B5),SUMIFS(全伝票!O:O,全伝票!$A:$A,$A5,全伝票!$C:$C,$C5)))</f>
        <v>0</v>
      </c>
      <c r="M5" s="277">
        <f>+IF($A5="",IF($C5="",SUMIFS(全伝票!P:P,全伝票!$B:$B,$B5),SUMIFS(全伝票!P:P,全伝票!$C:$C,$C5)),IF($C5="",SUMIFS(全伝票!P:P,全伝票!$A:$A,$A5,全伝票!$B:$B,$B5),SUMIFS(全伝票!P:P,全伝票!$A:$A,$A5,全伝票!$C:$C,$C5)))</f>
        <v>2132308</v>
      </c>
      <c r="N5" s="169">
        <f t="shared" ref="N5:N35" si="1">+ROUND(F5*F$4/(100+F$4),0)+AE5</f>
        <v>0</v>
      </c>
      <c r="O5" s="47">
        <f>+ROUND(G5*G$4/(100+G$4),0)+AF5</f>
        <v>0</v>
      </c>
      <c r="P5" s="47">
        <f t="shared" ref="P5:P35" si="2">+ROUND(H5*H$4/(100+H$4),0)+AG5</f>
        <v>0</v>
      </c>
      <c r="Q5" s="168">
        <f t="shared" ref="O5:Q35" si="3">+ROUND(I5*I$4/(100+I$4),0)+AH5</f>
        <v>0</v>
      </c>
      <c r="R5" s="168">
        <f t="shared" ref="R5:R35" si="4">+ROUND(J5*J$4/(100+J$4),0)+AI5</f>
        <v>0</v>
      </c>
      <c r="S5" s="167">
        <f t="shared" ref="S5:S35" si="5">SUM(N5:R5)</f>
        <v>0</v>
      </c>
      <c r="T5" s="166">
        <f t="shared" ref="T5:T35" si="6">+E5-S5</f>
        <v>2132308</v>
      </c>
      <c r="U5" s="107">
        <f t="shared" ref="U5:U35" si="7">N5-F5*F$4/(100+F$4)</f>
        <v>0</v>
      </c>
      <c r="V5" s="107">
        <f t="shared" ref="V5:V35" si="8">O5-G5*G$4/(100+G$4)</f>
        <v>0</v>
      </c>
      <c r="W5" s="107">
        <f t="shared" ref="W5:X35" si="9">P5-H5*H$4/(100+H$4)</f>
        <v>0</v>
      </c>
      <c r="X5" s="107">
        <f t="shared" si="9"/>
        <v>0</v>
      </c>
      <c r="Y5" s="107">
        <f t="shared" ref="Y5:Y35" si="10">R5-J5*J$4/(100+J$4)</f>
        <v>0</v>
      </c>
      <c r="Z5" s="106">
        <f t="shared" ref="Z5:Z35" si="11">+IF(N$38=0,0,IF(N$38&lt;0,-RANK(U5,U$5:U$35,0),RANK(U5,U$5:U$35,1)))</f>
        <v>0</v>
      </c>
      <c r="AA5" s="106">
        <f t="shared" ref="AA5:AA35" si="12">+IF(O$38=0,0,IF(O$38&lt;0,-RANK(V5,V$5:V$35,0),RANK(V5,V$5:V$35,1)))</f>
        <v>0</v>
      </c>
      <c r="AB5" s="106">
        <f t="shared" ref="AB5:AC35" si="13">+IF(P$38=0,0,IF(P$38&lt;0,-RANK(W5,W$5:W$35,0),RANK(W5,W$5:W$35,1)))</f>
        <v>0</v>
      </c>
      <c r="AC5" s="106">
        <f t="shared" si="13"/>
        <v>0</v>
      </c>
      <c r="AD5" s="106">
        <f t="shared" ref="AD5:AD35" si="14">+IF(R$38=0,0,IF(R$38&lt;0,-RANK(Y5,Y$5:Y$35,0),RANK(Y5,Y$5:Y$35,1)))</f>
        <v>0</v>
      </c>
    </row>
    <row r="6" spans="1:35">
      <c r="A6" s="165">
        <v>1</v>
      </c>
      <c r="B6" s="164" t="s">
        <v>343</v>
      </c>
      <c r="C6" s="163"/>
      <c r="D6" s="162" t="s">
        <v>110</v>
      </c>
      <c r="E6" s="158">
        <f>+IF($A6="",IF($C6="",SUMIFS(全伝票!I:I,全伝票!$B:$B,$B6),SUMIFS(全伝票!I:I,全伝票!$C:$C,$C6)),IF($C6="",SUMIFS(全伝票!I:I,全伝票!$A:$A,$A6,全伝票!$B:$B,$B6),SUMIFS(全伝票!I:I,全伝票!$A:$A,$A6,全伝票!$C:$C,$C6)))</f>
        <v>12502020</v>
      </c>
      <c r="F6" s="161">
        <f>+IF($A6="",IF($C6="",SUMIFS(全伝票!J:J,全伝票!$B:$B,$B6),SUMIFS(全伝票!J:J,全伝票!$C:$C,$C6)),IF($C6="",SUMIFS(全伝票!J:J,全伝票!$A:$A,$A6,全伝票!$B:$B,$B6),SUMIFS(全伝票!J:J,全伝票!$A:$A,$A6,全伝票!$C:$C,$C6)))</f>
        <v>0</v>
      </c>
      <c r="G6" s="160">
        <f>+IF($A6="",IF($C6="",SUMIFS(全伝票!K:K,全伝票!$B:$B,$B6),SUMIFS(全伝票!K:K,全伝票!$C:$C,$C6)),IF($C6="",SUMIFS(全伝票!K:K,全伝票!$A:$A,$A6,全伝票!$B:$B,$B6),SUMIFS(全伝票!K:K,全伝票!$A:$A,$A6,全伝票!$C:$C,$C6)))</f>
        <v>0</v>
      </c>
      <c r="H6" s="160">
        <f>+IF($A6="",IF($C6="",SUMIFS(全伝票!L:L,全伝票!$B:$B,$B6),SUMIFS(全伝票!L:L,全伝票!$C:$C,$C6)),IF($C6="",SUMIFS(全伝票!L:L,全伝票!$A:$A,$A6,全伝票!$B:$B,$B6),SUMIFS(全伝票!L:L,全伝票!$A:$A,$A6,全伝票!$C:$C,$C6)))</f>
        <v>0</v>
      </c>
      <c r="I6" s="159">
        <f>+IF($A6="",IF($C6="",SUMIFS(全伝票!M:M,全伝票!$B:$B,$B6),SUMIFS(全伝票!M:M,全伝票!$C:$C,$C6)),IF($C6="",SUMIFS(全伝票!M:M,全伝票!$A:$A,$A6,全伝票!$B:$B,$B6),SUMIFS(全伝票!M:M,全伝票!$A:$A,$A6,全伝票!$C:$C,$C6)))</f>
        <v>0</v>
      </c>
      <c r="J6" s="159">
        <f>+IF($A6="",IF($C6="",SUMIFS(全伝票!N:N,全伝票!$B:$B,$B6),SUMIFS(全伝票!N:N,全伝票!$C:$C,$C6)),IF($C6="",SUMIFS(全伝票!N:N,全伝票!$A:$A,$A6,全伝票!$B:$B,$B6),SUMIFS(全伝票!N:N,全伝票!$A:$A,$A6,全伝票!$C:$C,$C6)))</f>
        <v>0</v>
      </c>
      <c r="K6" s="34">
        <f t="shared" si="0"/>
        <v>0</v>
      </c>
      <c r="L6" s="158">
        <f>+IF($A6="",IF($C6="",SUMIFS(全伝票!O:O,全伝票!$B:$B,$B6),SUMIFS(全伝票!O:O,全伝票!$C:$C,$C6)),IF($C6="",SUMIFS(全伝票!O:O,全伝票!$A:$A,$A6,全伝票!$B:$B,$B6),SUMIFS(全伝票!O:O,全伝票!$A:$A,$A6,全伝票!$C:$C,$C6)))</f>
        <v>0</v>
      </c>
      <c r="M6" s="158">
        <f>+IF($A6="",IF($C6="",SUMIFS(全伝票!P:P,全伝票!$B:$B,$B6),SUMIFS(全伝票!P:P,全伝票!$C:$C,$C6)),IF($C6="",SUMIFS(全伝票!P:P,全伝票!$A:$A,$A6,全伝票!$B:$B,$B6),SUMIFS(全伝票!P:P,全伝票!$A:$A,$A6,全伝票!$C:$C,$C6)))</f>
        <v>12502020</v>
      </c>
      <c r="N6" s="108">
        <f t="shared" si="1"/>
        <v>0</v>
      </c>
      <c r="O6" s="25">
        <f t="shared" si="3"/>
        <v>0</v>
      </c>
      <c r="P6" s="25">
        <f t="shared" si="2"/>
        <v>0</v>
      </c>
      <c r="Q6" s="157">
        <f t="shared" si="3"/>
        <v>0</v>
      </c>
      <c r="R6" s="157">
        <f t="shared" si="4"/>
        <v>0</v>
      </c>
      <c r="S6" s="22">
        <f t="shared" si="5"/>
        <v>0</v>
      </c>
      <c r="T6" s="109">
        <f t="shared" si="6"/>
        <v>12502020</v>
      </c>
      <c r="U6" s="107">
        <f t="shared" si="7"/>
        <v>0</v>
      </c>
      <c r="V6" s="107">
        <f t="shared" si="8"/>
        <v>0</v>
      </c>
      <c r="W6" s="107">
        <f t="shared" si="9"/>
        <v>0</v>
      </c>
      <c r="X6" s="107">
        <f t="shared" si="9"/>
        <v>0</v>
      </c>
      <c r="Y6" s="107">
        <f t="shared" si="10"/>
        <v>0</v>
      </c>
      <c r="Z6" s="106">
        <f t="shared" si="11"/>
        <v>0</v>
      </c>
      <c r="AA6" s="106">
        <f t="shared" si="12"/>
        <v>0</v>
      </c>
      <c r="AB6" s="106">
        <f t="shared" si="13"/>
        <v>0</v>
      </c>
      <c r="AC6" s="106">
        <f t="shared" si="13"/>
        <v>0</v>
      </c>
      <c r="AD6" s="106">
        <f t="shared" si="14"/>
        <v>0</v>
      </c>
    </row>
    <row r="7" spans="1:35">
      <c r="A7" s="165">
        <v>1</v>
      </c>
      <c r="B7" s="164" t="s">
        <v>342</v>
      </c>
      <c r="C7" s="163"/>
      <c r="D7" s="162" t="s">
        <v>108</v>
      </c>
      <c r="E7" s="158">
        <f>+IF($A7="",IF($C7="",SUMIFS(全伝票!I:I,全伝票!$B:$B,$B7),SUMIFS(全伝票!I:I,全伝票!$C:$C,$C7)),IF($C7="",SUMIFS(全伝票!I:I,全伝票!$A:$A,$A7,全伝票!$B:$B,$B7),SUMIFS(全伝票!I:I,全伝票!$A:$A,$A7,全伝票!$C:$C,$C7)))</f>
        <v>7395331</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59">
        <f>+IF($A7="",IF($C7="",SUMIFS(全伝票!M:M,全伝票!$B:$B,$B7),SUMIFS(全伝票!M:M,全伝票!$C:$C,$C7)),IF($C7="",SUMIFS(全伝票!M:M,全伝票!$A:$A,$A7,全伝票!$B:$B,$B7),SUMIFS(全伝票!M:M,全伝票!$A:$A,$A7,全伝票!$C:$C,$C7)))</f>
        <v>0</v>
      </c>
      <c r="J7" s="159">
        <f>+IF($A7="",IF($C7="",SUMIFS(全伝票!N:N,全伝票!$B:$B,$B7),SUMIFS(全伝票!N:N,全伝票!$C:$C,$C7)),IF($C7="",SUMIFS(全伝票!N:N,全伝票!$A:$A,$A7,全伝票!$B:$B,$B7),SUMIFS(全伝票!N:N,全伝票!$A:$A,$A7,全伝票!$C:$C,$C7)))</f>
        <v>587260</v>
      </c>
      <c r="K7" s="34">
        <f t="shared" si="0"/>
        <v>587260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6808071</v>
      </c>
      <c r="N7" s="108">
        <f t="shared" si="1"/>
        <v>0</v>
      </c>
      <c r="O7" s="25">
        <f t="shared" si="3"/>
        <v>0</v>
      </c>
      <c r="P7" s="25">
        <f t="shared" si="2"/>
        <v>0</v>
      </c>
      <c r="Q7" s="157">
        <f t="shared" si="3"/>
        <v>0</v>
      </c>
      <c r="R7" s="157">
        <f t="shared" si="4"/>
        <v>53387</v>
      </c>
      <c r="S7" s="22">
        <f t="shared" si="5"/>
        <v>53387</v>
      </c>
      <c r="T7" s="109">
        <f t="shared" si="6"/>
        <v>7341944</v>
      </c>
      <c r="U7" s="107">
        <f t="shared" si="7"/>
        <v>0</v>
      </c>
      <c r="V7" s="107">
        <f t="shared" si="8"/>
        <v>0</v>
      </c>
      <c r="W7" s="107">
        <f t="shared" si="9"/>
        <v>0</v>
      </c>
      <c r="X7" s="107">
        <f t="shared" si="9"/>
        <v>0</v>
      </c>
      <c r="Y7" s="107">
        <f t="shared" si="10"/>
        <v>-0.27272727272793418</v>
      </c>
      <c r="Z7" s="106">
        <f t="shared" si="11"/>
        <v>0</v>
      </c>
      <c r="AA7" s="106">
        <f t="shared" si="12"/>
        <v>0</v>
      </c>
      <c r="AB7" s="106">
        <f t="shared" si="13"/>
        <v>0</v>
      </c>
      <c r="AC7" s="106">
        <f t="shared" si="13"/>
        <v>0</v>
      </c>
      <c r="AD7" s="106">
        <f t="shared" si="14"/>
        <v>0</v>
      </c>
    </row>
    <row r="8" spans="1:35">
      <c r="A8" s="165">
        <v>1</v>
      </c>
      <c r="B8" s="164" t="s">
        <v>341</v>
      </c>
      <c r="C8" s="163"/>
      <c r="D8" s="162" t="s">
        <v>106</v>
      </c>
      <c r="E8" s="158">
        <f>+IF($A8="",IF($C8="",SUMIFS(全伝票!I:I,全伝票!$B:$B,$B8),SUMIFS(全伝票!I:I,全伝票!$C:$C,$C8)),IF($C8="",SUMIFS(全伝票!I:I,全伝票!$A:$A,$A8,全伝票!$B:$B,$B8),SUMIFS(全伝票!I:I,全伝票!$A:$A,$A8,全伝票!$C:$C,$C8)))</f>
        <v>4205489</v>
      </c>
      <c r="F8" s="161">
        <f>+IF($A8="",IF($C8="",SUMIFS(全伝票!J:J,全伝票!$B:$B,$B8),SUMIFS(全伝票!J:J,全伝票!$C:$C,$C8)),IF($C8="",SUMIFS(全伝票!J:J,全伝票!$A:$A,$A8,全伝票!$B:$B,$B8),SUMIFS(全伝票!J:J,全伝票!$A:$A,$A8,全伝票!$C:$C,$C8)))</f>
        <v>0</v>
      </c>
      <c r="G8" s="160">
        <f>+IF($A8="",IF($C8="",SUMIFS(全伝票!K:K,全伝票!$B:$B,$B8),SUMIFS(全伝票!K:K,全伝票!$C:$C,$C8)),IF($C8="",SUMIFS(全伝票!K:K,全伝票!$A:$A,$A8,全伝票!$B:$B,$B8),SUMIFS(全伝票!K:K,全伝票!$A:$A,$A8,全伝票!$C:$C,$C8)))</f>
        <v>0</v>
      </c>
      <c r="H8" s="160">
        <f>+IF($A8="",IF($C8="",SUMIFS(全伝票!L:L,全伝票!$B:$B,$B8),SUMIFS(全伝票!L:L,全伝票!$C:$C,$C8)),IF($C8="",SUMIFS(全伝票!L:L,全伝票!$A:$A,$A8,全伝票!$B:$B,$B8),SUMIFS(全伝票!L:L,全伝票!$A:$A,$A8,全伝票!$C:$C,$C8)))</f>
        <v>0</v>
      </c>
      <c r="I8" s="159">
        <f>+IF($A8="",IF($C8="",SUMIFS(全伝票!M:M,全伝票!$B:$B,$B8),SUMIFS(全伝票!M:M,全伝票!$C:$C,$C8)),IF($C8="",SUMIFS(全伝票!M:M,全伝票!$A:$A,$A8,全伝票!$B:$B,$B8),SUMIFS(全伝票!M:M,全伝票!$A:$A,$A8,全伝票!$C:$C,$C8)))</f>
        <v>0</v>
      </c>
      <c r="J8" s="159">
        <f>+IF($A8="",IF($C8="",SUMIFS(全伝票!N:N,全伝票!$B:$B,$B8),SUMIFS(全伝票!N:N,全伝票!$C:$C,$C8)),IF($C8="",SUMIFS(全伝票!N:N,全伝票!$A:$A,$A8,全伝票!$B:$B,$B8),SUMIFS(全伝票!N:N,全伝票!$A:$A,$A8,全伝票!$C:$C,$C8)))</f>
        <v>0</v>
      </c>
      <c r="K8" s="34">
        <f t="shared" si="0"/>
        <v>0</v>
      </c>
      <c r="L8" s="158">
        <f>+IF($A8="",IF($C8="",SUMIFS(全伝票!O:O,全伝票!$B:$B,$B8),SUMIFS(全伝票!O:O,全伝票!$C:$C,$C8)),IF($C8="",SUMIFS(全伝票!O:O,全伝票!$A:$A,$A8,全伝票!$B:$B,$B8),SUMIFS(全伝票!O:O,全伝票!$A:$A,$A8,全伝票!$C:$C,$C8)))</f>
        <v>4184693</v>
      </c>
      <c r="M8" s="158">
        <f>+IF($A8="",IF($C8="",SUMIFS(全伝票!P:P,全伝票!$B:$B,$B8),SUMIFS(全伝票!P:P,全伝票!$C:$C,$C8)),IF($C8="",SUMIFS(全伝票!P:P,全伝票!$A:$A,$A8,全伝票!$B:$B,$B8),SUMIFS(全伝票!P:P,全伝票!$A:$A,$A8,全伝票!$C:$C,$C8)))</f>
        <v>20796</v>
      </c>
      <c r="N8" s="108">
        <f t="shared" si="1"/>
        <v>0</v>
      </c>
      <c r="O8" s="25">
        <f t="shared" si="3"/>
        <v>0</v>
      </c>
      <c r="P8" s="25">
        <f t="shared" si="2"/>
        <v>0</v>
      </c>
      <c r="Q8" s="157">
        <f t="shared" si="3"/>
        <v>0</v>
      </c>
      <c r="R8" s="157">
        <f t="shared" si="4"/>
        <v>0</v>
      </c>
      <c r="S8" s="22">
        <f t="shared" si="5"/>
        <v>0</v>
      </c>
      <c r="T8" s="109">
        <f t="shared" si="6"/>
        <v>4205489</v>
      </c>
      <c r="U8" s="107">
        <f t="shared" si="7"/>
        <v>0</v>
      </c>
      <c r="V8" s="107">
        <f t="shared" si="8"/>
        <v>0</v>
      </c>
      <c r="W8" s="107">
        <f t="shared" si="9"/>
        <v>0</v>
      </c>
      <c r="X8" s="107">
        <f t="shared" si="9"/>
        <v>0</v>
      </c>
      <c r="Y8" s="107">
        <f t="shared" si="10"/>
        <v>0</v>
      </c>
      <c r="Z8" s="106">
        <f t="shared" si="11"/>
        <v>0</v>
      </c>
      <c r="AA8" s="106">
        <f t="shared" si="12"/>
        <v>0</v>
      </c>
      <c r="AB8" s="106">
        <f t="shared" si="13"/>
        <v>0</v>
      </c>
      <c r="AC8" s="106">
        <f t="shared" si="13"/>
        <v>0</v>
      </c>
      <c r="AD8" s="106">
        <f t="shared" si="14"/>
        <v>0</v>
      </c>
    </row>
    <row r="9" spans="1:35">
      <c r="A9" s="165">
        <v>1</v>
      </c>
      <c r="B9" s="164" t="s">
        <v>340</v>
      </c>
      <c r="C9" s="163"/>
      <c r="D9" s="162" t="s">
        <v>104</v>
      </c>
      <c r="E9" s="158">
        <f>+IF($A9="",IF($C9="",SUMIFS(全伝票!I:I,全伝票!$B:$B,$B9),SUMIFS(全伝票!I:I,全伝票!$C:$C,$C9)),IF($C9="",SUMIFS(全伝票!I:I,全伝票!$A:$A,$A9,全伝票!$B:$B,$B9),SUMIFS(全伝票!I:I,全伝票!$A:$A,$A9,全伝票!$C:$C,$C9)))</f>
        <v>0</v>
      </c>
      <c r="F9" s="161">
        <f>+IF($A9="",IF($C9="",SUMIFS(全伝票!J:J,全伝票!$B:$B,$B9),SUMIFS(全伝票!J:J,全伝票!$C:$C,$C9)),IF($C9="",SUMIFS(全伝票!J:J,全伝票!$A:$A,$A9,全伝票!$B:$B,$B9),SUMIFS(全伝票!J:J,全伝票!$A:$A,$A9,全伝票!$C:$C,$C9)))</f>
        <v>0</v>
      </c>
      <c r="G9" s="160">
        <f>+IF($A9="",IF($C9="",SUMIFS(全伝票!K:K,全伝票!$B:$B,$B9),SUMIFS(全伝票!K:K,全伝票!$C:$C,$C9)),IF($C9="",SUMIFS(全伝票!K:K,全伝票!$A:$A,$A9,全伝票!$B:$B,$B9),SUMIFS(全伝票!K:K,全伝票!$A:$A,$A9,全伝票!$C:$C,$C9)))</f>
        <v>0</v>
      </c>
      <c r="H9" s="160">
        <f>+IF($A9="",IF($C9="",SUMIFS(全伝票!L:L,全伝票!$B:$B,$B9),SUMIFS(全伝票!L:L,全伝票!$C:$C,$C9)),IF($C9="",SUMIFS(全伝票!L:L,全伝票!$A:$A,$A9,全伝票!$B:$B,$B9),SUMIFS(全伝票!L:L,全伝票!$A:$A,$A9,全伝票!$C:$C,$C9)))</f>
        <v>0</v>
      </c>
      <c r="I9" s="159">
        <f>+IF($A9="",IF($C9="",SUMIFS(全伝票!M:M,全伝票!$B:$B,$B9),SUMIFS(全伝票!M:M,全伝票!$C:$C,$C9)),IF($C9="",SUMIFS(全伝票!M:M,全伝票!$A:$A,$A9,全伝票!$B:$B,$B9),SUMIFS(全伝票!M:M,全伝票!$A:$A,$A9,全伝票!$C:$C,$C9)))</f>
        <v>0</v>
      </c>
      <c r="J9" s="159">
        <f>+IF($A9="",IF($C9="",SUMIFS(全伝票!N:N,全伝票!$B:$B,$B9),SUMIFS(全伝票!N:N,全伝票!$C:$C,$C9)),IF($C9="",SUMIFS(全伝票!N:N,全伝票!$A:$A,$A9,全伝票!$B:$B,$B9),SUMIFS(全伝票!N:N,全伝票!$A:$A,$A9,全伝票!$C:$C,$C9)))</f>
        <v>0</v>
      </c>
      <c r="K9" s="34">
        <f t="shared" si="0"/>
        <v>0</v>
      </c>
      <c r="L9" s="158">
        <f>+IF($A9="",IF($C9="",SUMIFS(全伝票!O:O,全伝票!$B:$B,$B9),SUMIFS(全伝票!O:O,全伝票!$C:$C,$C9)),IF($C9="",SUMIFS(全伝票!O:O,全伝票!$A:$A,$A9,全伝票!$B:$B,$B9),SUMIFS(全伝票!O:O,全伝票!$A:$A,$A9,全伝票!$C:$C,$C9)))</f>
        <v>0</v>
      </c>
      <c r="M9" s="158">
        <f>+IF($A9="",IF($C9="",SUMIFS(全伝票!P:P,全伝票!$B:$B,$B9),SUMIFS(全伝票!P:P,全伝票!$C:$C,$C9)),IF($C9="",SUMIFS(全伝票!P:P,全伝票!$A:$A,$A9,全伝票!$B:$B,$B9),SUMIFS(全伝票!P:P,全伝票!$A:$A,$A9,全伝票!$C:$C,$C9)))</f>
        <v>0</v>
      </c>
      <c r="N9" s="108">
        <f t="shared" si="1"/>
        <v>0</v>
      </c>
      <c r="O9" s="25">
        <f t="shared" si="3"/>
        <v>0</v>
      </c>
      <c r="P9" s="25">
        <f t="shared" si="2"/>
        <v>0</v>
      </c>
      <c r="Q9" s="157">
        <f t="shared" si="3"/>
        <v>0</v>
      </c>
      <c r="R9" s="157">
        <f t="shared" si="4"/>
        <v>0</v>
      </c>
      <c r="S9" s="22">
        <f t="shared" si="5"/>
        <v>0</v>
      </c>
      <c r="T9" s="109">
        <f t="shared" si="6"/>
        <v>0</v>
      </c>
      <c r="U9" s="107">
        <f t="shared" si="7"/>
        <v>0</v>
      </c>
      <c r="V9" s="107">
        <f t="shared" si="8"/>
        <v>0</v>
      </c>
      <c r="W9" s="107">
        <f t="shared" si="9"/>
        <v>0</v>
      </c>
      <c r="X9" s="107">
        <f t="shared" si="9"/>
        <v>0</v>
      </c>
      <c r="Y9" s="107">
        <f t="shared" si="10"/>
        <v>0</v>
      </c>
      <c r="Z9" s="106">
        <f t="shared" si="11"/>
        <v>0</v>
      </c>
      <c r="AA9" s="106">
        <f t="shared" si="12"/>
        <v>0</v>
      </c>
      <c r="AB9" s="106">
        <f t="shared" si="13"/>
        <v>0</v>
      </c>
      <c r="AC9" s="106">
        <f t="shared" si="13"/>
        <v>0</v>
      </c>
      <c r="AD9" s="106">
        <f t="shared" si="14"/>
        <v>0</v>
      </c>
    </row>
    <row r="10" spans="1:35">
      <c r="A10" s="165">
        <v>1</v>
      </c>
      <c r="B10" s="164" t="s">
        <v>339</v>
      </c>
      <c r="C10" s="163"/>
      <c r="D10" s="162" t="s">
        <v>102</v>
      </c>
      <c r="E10" s="158">
        <f>+IF($A10="",IF($C10="",SUMIFS(全伝票!I:I,全伝票!$B:$B,$B10),SUMIFS(全伝票!I:I,全伝票!$C:$C,$C10)),IF($C10="",SUMIFS(全伝票!I:I,全伝票!$A:$A,$A10,全伝票!$B:$B,$B10),SUMIFS(全伝票!I:I,全伝票!$A:$A,$A10,全伝票!$C:$C,$C10)))</f>
        <v>0</v>
      </c>
      <c r="F10" s="161">
        <f>+IF($A10="",IF($C10="",SUMIFS(全伝票!J:J,全伝票!$B:$B,$B10),SUMIFS(全伝票!J:J,全伝票!$C:$C,$C10)),IF($C10="",SUMIFS(全伝票!J:J,全伝票!$A:$A,$A10,全伝票!$B:$B,$B10),SUMIFS(全伝票!J:J,全伝票!$A:$A,$A10,全伝票!$C:$C,$C10)))</f>
        <v>0</v>
      </c>
      <c r="G10" s="160">
        <f>+IF($A10="",IF($C10="",SUMIFS(全伝票!K:K,全伝票!$B:$B,$B10),SUMIFS(全伝票!K:K,全伝票!$C:$C,$C10)),IF($C10="",SUMIFS(全伝票!K:K,全伝票!$A:$A,$A10,全伝票!$B:$B,$B10),SUMIFS(全伝票!K:K,全伝票!$A:$A,$A10,全伝票!$C:$C,$C10)))</f>
        <v>0</v>
      </c>
      <c r="H10" s="276">
        <f>+IF($A10="",IF($C10="",SUMIFS(全伝票!L:L,全伝票!$B:$B,$B10),SUMIFS(全伝票!L:L,全伝票!$C:$C,$C10)),IF($C10="",SUMIFS(全伝票!L:L,全伝票!$A:$A,$A10,全伝票!$B:$B,$B10),SUMIFS(全伝票!L:L,全伝票!$A:$A,$A10,全伝票!$C:$C,$C10)))</f>
        <v>0</v>
      </c>
      <c r="I10" s="271">
        <f>+IF($A10="",IF($C10="",SUMIFS(全伝票!M:M,全伝票!$B:$B,$B10),SUMIFS(全伝票!M:M,全伝票!$C:$C,$C10)),IF($C10="",SUMIFS(全伝票!M:M,全伝票!$A:$A,$A10,全伝票!$B:$B,$B10),SUMIFS(全伝票!M:M,全伝票!$A:$A,$A10,全伝票!$C:$C,$C10)))</f>
        <v>0</v>
      </c>
      <c r="J10" s="159">
        <f>+IF($A10="",IF($C10="",SUMIFS(全伝票!N:N,全伝票!$B:$B,$B10),SUMIFS(全伝票!N:N,全伝票!$C:$C,$C10)),IF($C10="",SUMIFS(全伝票!N:N,全伝票!$A:$A,$A10,全伝票!$B:$B,$B10),SUMIFS(全伝票!N:N,全伝票!$A:$A,$A10,全伝票!$C:$C,$C10)))</f>
        <v>0</v>
      </c>
      <c r="K10" s="34">
        <f t="shared" si="0"/>
        <v>0</v>
      </c>
      <c r="L10" s="158">
        <f>+IF($A10="",IF($C10="",SUMIFS(全伝票!O:O,全伝票!$B:$B,$B10),SUMIFS(全伝票!O:O,全伝票!$C:$C,$C10)),IF($C10="",SUMIFS(全伝票!O:O,全伝票!$A:$A,$A10,全伝票!$B:$B,$B10),SUMIFS(全伝票!O:O,全伝票!$A:$A,$A10,全伝票!$C:$C,$C10)))</f>
        <v>0</v>
      </c>
      <c r="M10" s="278">
        <f>+IF($A10="",IF($C10="",SUMIFS(全伝票!P:P,全伝票!$B:$B,$B10),SUMIFS(全伝票!P:P,全伝票!$C:$C,$C10)),IF($C10="",SUMIFS(全伝票!P:P,全伝票!$A:$A,$A10,全伝票!$B:$B,$B10),SUMIFS(全伝票!P:P,全伝票!$A:$A,$A10,全伝票!$C:$C,$C10)))</f>
        <v>0</v>
      </c>
      <c r="N10" s="108">
        <f t="shared" si="1"/>
        <v>0</v>
      </c>
      <c r="O10" s="25">
        <f t="shared" si="3"/>
        <v>0</v>
      </c>
      <c r="P10" s="25">
        <f t="shared" si="2"/>
        <v>0</v>
      </c>
      <c r="Q10" s="157">
        <f t="shared" si="3"/>
        <v>0</v>
      </c>
      <c r="R10" s="157">
        <f t="shared" si="4"/>
        <v>0</v>
      </c>
      <c r="S10" s="22">
        <f t="shared" si="5"/>
        <v>0</v>
      </c>
      <c r="T10" s="109">
        <f t="shared" si="6"/>
        <v>0</v>
      </c>
      <c r="U10" s="107">
        <f t="shared" si="7"/>
        <v>0</v>
      </c>
      <c r="V10" s="107">
        <f t="shared" si="8"/>
        <v>0</v>
      </c>
      <c r="W10" s="107">
        <f t="shared" si="9"/>
        <v>0</v>
      </c>
      <c r="X10" s="107">
        <f t="shared" si="9"/>
        <v>0</v>
      </c>
      <c r="Y10" s="107">
        <f t="shared" si="10"/>
        <v>0</v>
      </c>
      <c r="Z10" s="106">
        <f t="shared" si="11"/>
        <v>0</v>
      </c>
      <c r="AA10" s="106">
        <f t="shared" si="12"/>
        <v>0</v>
      </c>
      <c r="AB10" s="106">
        <f t="shared" si="13"/>
        <v>0</v>
      </c>
      <c r="AC10" s="106">
        <f t="shared" si="13"/>
        <v>0</v>
      </c>
      <c r="AD10" s="106">
        <f t="shared" si="14"/>
        <v>0</v>
      </c>
    </row>
    <row r="11" spans="1:35">
      <c r="A11" s="165">
        <v>1</v>
      </c>
      <c r="B11" s="164" t="s">
        <v>338</v>
      </c>
      <c r="C11" s="163"/>
      <c r="D11" s="162" t="s">
        <v>100</v>
      </c>
      <c r="E11" s="158">
        <f>+IF($A11="",IF($C11="",SUMIFS(全伝票!I:I,全伝票!$B:$B,$B11),SUMIFS(全伝票!I:I,全伝票!$C:$C,$C11)),IF($C11="",SUMIFS(全伝票!I:I,全伝票!$A:$A,$A11,全伝票!$B:$B,$B11),SUMIFS(全伝票!I:I,全伝票!$A:$A,$A11,全伝票!$C:$C,$C11)))</f>
        <v>0</v>
      </c>
      <c r="F11" s="161">
        <f>+IF($A11="",IF($C11="",SUMIFS(全伝票!J:J,全伝票!$B:$B,$B11),SUMIFS(全伝票!J:J,全伝票!$C:$C,$C11)),IF($C11="",SUMIFS(全伝票!J:J,全伝票!$A:$A,$A11,全伝票!$B:$B,$B11),SUMIFS(全伝票!J:J,全伝票!$A:$A,$A11,全伝票!$C:$C,$C11)))</f>
        <v>0</v>
      </c>
      <c r="G11" s="160">
        <f>+IF($A11="",IF($C11="",SUMIFS(全伝票!K:K,全伝票!$B:$B,$B11),SUMIFS(全伝票!K:K,全伝票!$C:$C,$C11)),IF($C11="",SUMIFS(全伝票!K:K,全伝票!$A:$A,$A11,全伝票!$B:$B,$B11),SUMIFS(全伝票!K:K,全伝票!$A:$A,$A11,全伝票!$C:$C,$C11)))</f>
        <v>0</v>
      </c>
      <c r="H11" s="160">
        <f>+IF($A11="",IF($C11="",SUMIFS(全伝票!L:L,全伝票!$B:$B,$B11),SUMIFS(全伝票!L:L,全伝票!$C:$C,$C11)),IF($C11="",SUMIFS(全伝票!L:L,全伝票!$A:$A,$A11,全伝票!$B:$B,$B11),SUMIFS(全伝票!L:L,全伝票!$A:$A,$A11,全伝票!$C:$C,$C11)))</f>
        <v>0</v>
      </c>
      <c r="I11" s="159">
        <f>+IF($A11="",IF($C11="",SUMIFS(全伝票!M:M,全伝票!$B:$B,$B11),SUMIFS(全伝票!M:M,全伝票!$C:$C,$C11)),IF($C11="",SUMIFS(全伝票!M:M,全伝票!$A:$A,$A11,全伝票!$B:$B,$B11),SUMIFS(全伝票!M:M,全伝票!$A:$A,$A11,全伝票!$C:$C,$C11)))</f>
        <v>0</v>
      </c>
      <c r="J11" s="159">
        <f>+IF($A11="",IF($C11="",SUMIFS(全伝票!N:N,全伝票!$B:$B,$B11),SUMIFS(全伝票!N:N,全伝票!$C:$C,$C11)),IF($C11="",SUMIFS(全伝票!N:N,全伝票!$A:$A,$A11,全伝票!$B:$B,$B11),SUMIFS(全伝票!N:N,全伝票!$A:$A,$A11,全伝票!$C:$C,$C11)))</f>
        <v>0</v>
      </c>
      <c r="K11" s="34">
        <f t="shared" si="0"/>
        <v>0</v>
      </c>
      <c r="L11" s="158">
        <f>+IF($A11="",IF($C11="",SUMIFS(全伝票!O:O,全伝票!$B:$B,$B11),SUMIFS(全伝票!O:O,全伝票!$C:$C,$C11)),IF($C11="",SUMIFS(全伝票!O:O,全伝票!$A:$A,$A11,全伝票!$B:$B,$B11),SUMIFS(全伝票!O:O,全伝票!$A:$A,$A11,全伝票!$C:$C,$C11)))</f>
        <v>0</v>
      </c>
      <c r="M11" s="158">
        <f>+IF($A11="",IF($C11="",SUMIFS(全伝票!P:P,全伝票!$B:$B,$B11),SUMIFS(全伝票!P:P,全伝票!$C:$C,$C11)),IF($C11="",SUMIFS(全伝票!P:P,全伝票!$A:$A,$A11,全伝票!$B:$B,$B11),SUMIFS(全伝票!P:P,全伝票!$A:$A,$A11,全伝票!$C:$C,$C11)))</f>
        <v>0</v>
      </c>
      <c r="N11" s="108">
        <f t="shared" si="1"/>
        <v>0</v>
      </c>
      <c r="O11" s="25">
        <f t="shared" si="3"/>
        <v>0</v>
      </c>
      <c r="P11" s="25">
        <f t="shared" si="2"/>
        <v>0</v>
      </c>
      <c r="Q11" s="157">
        <f t="shared" si="3"/>
        <v>0</v>
      </c>
      <c r="R11" s="157">
        <f t="shared" si="4"/>
        <v>0</v>
      </c>
      <c r="S11" s="22">
        <f t="shared" si="5"/>
        <v>0</v>
      </c>
      <c r="T11" s="109">
        <f t="shared" si="6"/>
        <v>0</v>
      </c>
      <c r="U11" s="107">
        <f t="shared" si="7"/>
        <v>0</v>
      </c>
      <c r="V11" s="107">
        <f t="shared" si="8"/>
        <v>0</v>
      </c>
      <c r="W11" s="107">
        <f t="shared" si="9"/>
        <v>0</v>
      </c>
      <c r="X11" s="107">
        <f t="shared" si="9"/>
        <v>0</v>
      </c>
      <c r="Y11" s="107">
        <f t="shared" si="10"/>
        <v>0</v>
      </c>
      <c r="Z11" s="106">
        <f t="shared" si="11"/>
        <v>0</v>
      </c>
      <c r="AA11" s="106">
        <f t="shared" si="12"/>
        <v>0</v>
      </c>
      <c r="AB11" s="106">
        <f t="shared" si="13"/>
        <v>0</v>
      </c>
      <c r="AC11" s="106">
        <f t="shared" si="13"/>
        <v>0</v>
      </c>
      <c r="AD11" s="106">
        <f t="shared" si="14"/>
        <v>0</v>
      </c>
    </row>
    <row r="12" spans="1:35">
      <c r="A12" s="165">
        <v>1</v>
      </c>
      <c r="B12" s="164" t="s">
        <v>336</v>
      </c>
      <c r="C12" s="163" t="s">
        <v>337</v>
      </c>
      <c r="D12" s="162" t="s">
        <v>98</v>
      </c>
      <c r="E12" s="158">
        <f>+IF($A12="",IF($C12="",SUMIFS(全伝票!I:I,全伝票!$B:$B,$B12),SUMIFS(全伝票!I:I,全伝票!$C:$C,$C12)),IF($C12="",SUMIFS(全伝票!I:I,全伝票!$A:$A,$A12,全伝票!$B:$B,$B12),SUMIFS(全伝票!I:I,全伝票!$A:$A,$A12,全伝票!$C:$C,$C12)))</f>
        <v>0</v>
      </c>
      <c r="F12" s="161">
        <f>+IF($A12="",IF($C12="",SUMIFS(全伝票!J:J,全伝票!$B:$B,$B12),SUMIFS(全伝票!J:J,全伝票!$C:$C,$C12)),IF($C12="",SUMIFS(全伝票!J:J,全伝票!$A:$A,$A12,全伝票!$B:$B,$B12),SUMIFS(全伝票!J:J,全伝票!$A:$A,$A12,全伝票!$C:$C,$C12)))</f>
        <v>0</v>
      </c>
      <c r="G12" s="160">
        <f>+IF($A12="",IF($C12="",SUMIFS(全伝票!K:K,全伝票!$B:$B,$B12),SUMIFS(全伝票!K:K,全伝票!$C:$C,$C12)),IF($C12="",SUMIFS(全伝票!K:K,全伝票!$A:$A,$A12,全伝票!$B:$B,$B12),SUMIFS(全伝票!K:K,全伝票!$A:$A,$A12,全伝票!$C:$C,$C12)))</f>
        <v>0</v>
      </c>
      <c r="H12" s="160">
        <f>+IF($A12="",IF($C12="",SUMIFS(全伝票!L:L,全伝票!$B:$B,$B12),SUMIFS(全伝票!L:L,全伝票!$C:$C,$C12)),IF($C12="",SUMIFS(全伝票!L:L,全伝票!$A:$A,$A12,全伝票!$B:$B,$B12),SUMIFS(全伝票!L:L,全伝票!$A:$A,$A12,全伝票!$C:$C,$C12)))</f>
        <v>0</v>
      </c>
      <c r="I12" s="159">
        <f>+IF($A12="",IF($C12="",SUMIFS(全伝票!M:M,全伝票!$B:$B,$B12),SUMIFS(全伝票!M:M,全伝票!$C:$C,$C12)),IF($C12="",SUMIFS(全伝票!M:M,全伝票!$A:$A,$A12,全伝票!$B:$B,$B12),SUMIFS(全伝票!M:M,全伝票!$A:$A,$A12,全伝票!$C:$C,$C12)))</f>
        <v>0</v>
      </c>
      <c r="J12" s="159">
        <f>+IF($A12="",IF($C12="",SUMIFS(全伝票!N:N,全伝票!$B:$B,$B12),SUMIFS(全伝票!N:N,全伝票!$C:$C,$C12)),IF($C12="",SUMIFS(全伝票!N:N,全伝票!$A:$A,$A12,全伝票!$B:$B,$B12),SUMIFS(全伝票!N:N,全伝票!$A:$A,$A12,全伝票!$C:$C,$C12)))</f>
        <v>0</v>
      </c>
      <c r="K12" s="34">
        <f t="shared" si="0"/>
        <v>0</v>
      </c>
      <c r="L12" s="158">
        <f>+IF($A12="",IF($C12="",SUMIFS(全伝票!O:O,全伝票!$B:$B,$B12),SUMIFS(全伝票!O:O,全伝票!$C:$C,$C12)),IF($C12="",SUMIFS(全伝票!O:O,全伝票!$A:$A,$A12,全伝票!$B:$B,$B12),SUMIFS(全伝票!O:O,全伝票!$A:$A,$A12,全伝票!$C:$C,$C12)))</f>
        <v>0</v>
      </c>
      <c r="M12" s="158">
        <f>+IF($A12="",IF($C12="",SUMIFS(全伝票!P:P,全伝票!$B:$B,$B12),SUMIFS(全伝票!P:P,全伝票!$C:$C,$C12)),IF($C12="",SUMIFS(全伝票!P:P,全伝票!$A:$A,$A12,全伝票!$B:$B,$B12),SUMIFS(全伝票!P:P,全伝票!$A:$A,$A12,全伝票!$C:$C,$C12)))</f>
        <v>0</v>
      </c>
      <c r="N12" s="108">
        <f t="shared" si="1"/>
        <v>0</v>
      </c>
      <c r="O12" s="25">
        <f t="shared" si="3"/>
        <v>0</v>
      </c>
      <c r="P12" s="25">
        <f t="shared" si="2"/>
        <v>0</v>
      </c>
      <c r="Q12" s="157">
        <f t="shared" si="3"/>
        <v>0</v>
      </c>
      <c r="R12" s="157">
        <f t="shared" si="4"/>
        <v>0</v>
      </c>
      <c r="S12" s="22">
        <f t="shared" si="5"/>
        <v>0</v>
      </c>
      <c r="T12" s="109">
        <f t="shared" si="6"/>
        <v>0</v>
      </c>
      <c r="U12" s="107">
        <f t="shared" si="7"/>
        <v>0</v>
      </c>
      <c r="V12" s="107">
        <f t="shared" si="8"/>
        <v>0</v>
      </c>
      <c r="W12" s="107">
        <f t="shared" si="9"/>
        <v>0</v>
      </c>
      <c r="X12" s="107">
        <f t="shared" si="9"/>
        <v>0</v>
      </c>
      <c r="Y12" s="107">
        <f t="shared" si="10"/>
        <v>0</v>
      </c>
      <c r="Z12" s="106">
        <f t="shared" si="11"/>
        <v>0</v>
      </c>
      <c r="AA12" s="106">
        <f t="shared" si="12"/>
        <v>0</v>
      </c>
      <c r="AB12" s="106">
        <f t="shared" si="13"/>
        <v>0</v>
      </c>
      <c r="AC12" s="106">
        <f t="shared" si="13"/>
        <v>0</v>
      </c>
      <c r="AD12" s="106">
        <f t="shared" si="14"/>
        <v>0</v>
      </c>
    </row>
    <row r="13" spans="1:35">
      <c r="A13" s="165">
        <v>1</v>
      </c>
      <c r="B13" s="164" t="s">
        <v>336</v>
      </c>
      <c r="C13" s="163" t="s">
        <v>335</v>
      </c>
      <c r="D13" s="162" t="s">
        <v>95</v>
      </c>
      <c r="E13" s="158">
        <f>+IF($A13="",IF($C13="",SUMIFS(全伝票!I:I,全伝票!$B:$B,$B13),SUMIFS(全伝票!I:I,全伝票!$C:$C,$C13)),IF($C13="",SUMIFS(全伝票!I:I,全伝票!$A:$A,$A13,全伝票!$B:$B,$B13),SUMIFS(全伝票!I:I,全伝票!$A:$A,$A13,全伝票!$C:$C,$C13)))</f>
        <v>0</v>
      </c>
      <c r="F13" s="161">
        <f>+IF($A13="",IF($C13="",SUMIFS(全伝票!J:J,全伝票!$B:$B,$B13),SUMIFS(全伝票!J:J,全伝票!$C:$C,$C13)),IF($C13="",SUMIFS(全伝票!J:J,全伝票!$A:$A,$A13,全伝票!$B:$B,$B13),SUMIFS(全伝票!J:J,全伝票!$A:$A,$A13,全伝票!$C:$C,$C13)))</f>
        <v>0</v>
      </c>
      <c r="G13" s="160">
        <f>+IF($A13="",IF($C13="",SUMIFS(全伝票!K:K,全伝票!$B:$B,$B13),SUMIFS(全伝票!K:K,全伝票!$C:$C,$C13)),IF($C13="",SUMIFS(全伝票!K:K,全伝票!$A:$A,$A13,全伝票!$B:$B,$B13),SUMIFS(全伝票!K:K,全伝票!$A:$A,$A13,全伝票!$C:$C,$C13)))</f>
        <v>0</v>
      </c>
      <c r="H13" s="160">
        <f>+IF($A13="",IF($C13="",SUMIFS(全伝票!L:L,全伝票!$B:$B,$B13),SUMIFS(全伝票!L:L,全伝票!$C:$C,$C13)),IF($C13="",SUMIFS(全伝票!L:L,全伝票!$A:$A,$A13,全伝票!$B:$B,$B13),SUMIFS(全伝票!L:L,全伝票!$A:$A,$A13,全伝票!$C:$C,$C13)))</f>
        <v>0</v>
      </c>
      <c r="I13" s="159">
        <f>+IF($A13="",IF($C13="",SUMIFS(全伝票!M:M,全伝票!$B:$B,$B13),SUMIFS(全伝票!M:M,全伝票!$C:$C,$C13)),IF($C13="",SUMIFS(全伝票!M:M,全伝票!$A:$A,$A13,全伝票!$B:$B,$B13),SUMIFS(全伝票!M:M,全伝票!$A:$A,$A13,全伝票!$C:$C,$C13)))</f>
        <v>0</v>
      </c>
      <c r="J13" s="159">
        <f>+IF($A13="",IF($C13="",SUMIFS(全伝票!N:N,全伝票!$B:$B,$B13),SUMIFS(全伝票!N:N,全伝票!$C:$C,$C13)),IF($C13="",SUMIFS(全伝票!N:N,全伝票!$A:$A,$A13,全伝票!$B:$B,$B13),SUMIFS(全伝票!N:N,全伝票!$A:$A,$A13,全伝票!$C:$C,$C13)))</f>
        <v>0</v>
      </c>
      <c r="K13" s="34">
        <f t="shared" si="0"/>
        <v>0</v>
      </c>
      <c r="L13" s="158">
        <f>+IF($A13="",IF($C13="",SUMIFS(全伝票!O:O,全伝票!$B:$B,$B13),SUMIFS(全伝票!O:O,全伝票!$C:$C,$C13)),IF($C13="",SUMIFS(全伝票!O:O,全伝票!$A:$A,$A13,全伝票!$B:$B,$B13),SUMIFS(全伝票!O:O,全伝票!$A:$A,$A13,全伝票!$C:$C,$C13)))</f>
        <v>0</v>
      </c>
      <c r="M13" s="158">
        <f>+IF($A13="",IF($C13="",SUMIFS(全伝票!P:P,全伝票!$B:$B,$B13),SUMIFS(全伝票!P:P,全伝票!$C:$C,$C13)),IF($C13="",SUMIFS(全伝票!P:P,全伝票!$A:$A,$A13,全伝票!$B:$B,$B13),SUMIFS(全伝票!P:P,全伝票!$A:$A,$A13,全伝票!$C:$C,$C13)))</f>
        <v>0</v>
      </c>
      <c r="N13" s="108">
        <f t="shared" si="1"/>
        <v>0</v>
      </c>
      <c r="O13" s="25">
        <f t="shared" si="3"/>
        <v>0</v>
      </c>
      <c r="P13" s="25">
        <f t="shared" si="2"/>
        <v>0</v>
      </c>
      <c r="Q13" s="157">
        <f t="shared" si="3"/>
        <v>0</v>
      </c>
      <c r="R13" s="157">
        <f t="shared" si="4"/>
        <v>0</v>
      </c>
      <c r="S13" s="22">
        <f t="shared" si="5"/>
        <v>0</v>
      </c>
      <c r="T13" s="109">
        <f t="shared" si="6"/>
        <v>0</v>
      </c>
      <c r="U13" s="107">
        <f t="shared" si="7"/>
        <v>0</v>
      </c>
      <c r="V13" s="107">
        <f t="shared" si="8"/>
        <v>0</v>
      </c>
      <c r="W13" s="107">
        <f t="shared" si="9"/>
        <v>0</v>
      </c>
      <c r="X13" s="107">
        <f t="shared" si="9"/>
        <v>0</v>
      </c>
      <c r="Y13" s="107">
        <f t="shared" si="10"/>
        <v>0</v>
      </c>
      <c r="Z13" s="106">
        <f t="shared" si="11"/>
        <v>0</v>
      </c>
      <c r="AA13" s="106">
        <f t="shared" si="12"/>
        <v>0</v>
      </c>
      <c r="AB13" s="106">
        <f t="shared" si="13"/>
        <v>0</v>
      </c>
      <c r="AC13" s="106">
        <f t="shared" si="13"/>
        <v>0</v>
      </c>
      <c r="AD13" s="106">
        <f t="shared" si="14"/>
        <v>0</v>
      </c>
    </row>
    <row r="14" spans="1:35">
      <c r="A14" s="165">
        <v>1</v>
      </c>
      <c r="B14" s="164" t="s">
        <v>334</v>
      </c>
      <c r="C14" s="163"/>
      <c r="D14" s="162" t="s">
        <v>93</v>
      </c>
      <c r="E14" s="158">
        <f>+IF($A14="",IF($C14="",SUMIFS(全伝票!I:I,全伝票!$B:$B,$B14),SUMIFS(全伝票!I:I,全伝票!$C:$C,$C14)),IF($C14="",SUMIFS(全伝票!I:I,全伝票!$A:$A,$A14,全伝票!$B:$B,$B14),SUMIFS(全伝票!I:I,全伝票!$A:$A,$A14,全伝票!$C:$C,$C14)))</f>
        <v>127781</v>
      </c>
      <c r="F14" s="161">
        <f>+IF($A14="",IF($C14="",SUMIFS(全伝票!J:J,全伝票!$B:$B,$B14),SUMIFS(全伝票!J:J,全伝票!$C:$C,$C14)),IF($C14="",SUMIFS(全伝票!J:J,全伝票!$A:$A,$A14,全伝票!$B:$B,$B14),SUMIFS(全伝票!J:J,全伝票!$A:$A,$A14,全伝票!$C:$C,$C14)))</f>
        <v>0</v>
      </c>
      <c r="G14" s="160">
        <f>+IF($A14="",IF($C14="",SUMIFS(全伝票!K:K,全伝票!$B:$B,$B14),SUMIFS(全伝票!K:K,全伝票!$C:$C,$C14)),IF($C14="",SUMIFS(全伝票!K:K,全伝票!$A:$A,$A14,全伝票!$B:$B,$B14),SUMIFS(全伝票!K:K,全伝票!$A:$A,$A14,全伝票!$C:$C,$C14)))</f>
        <v>0</v>
      </c>
      <c r="H14" s="160">
        <f>+IF($A14="",IF($C14="",SUMIFS(全伝票!L:L,全伝票!$B:$B,$B14),SUMIFS(全伝票!L:L,全伝票!$C:$C,$C14)),IF($C14="",SUMIFS(全伝票!L:L,全伝票!$A:$A,$A14,全伝票!$B:$B,$B14),SUMIFS(全伝票!L:L,全伝票!$A:$A,$A14,全伝票!$C:$C,$C14)))</f>
        <v>0</v>
      </c>
      <c r="I14" s="159">
        <f>+IF($A14="",IF($C14="",SUMIFS(全伝票!M:M,全伝票!$B:$B,$B14),SUMIFS(全伝票!M:M,全伝票!$C:$C,$C14)),IF($C14="",SUMIFS(全伝票!M:M,全伝票!$A:$A,$A14,全伝票!$B:$B,$B14),SUMIFS(全伝票!M:M,全伝票!$A:$A,$A14,全伝票!$C:$C,$C14)))</f>
        <v>0</v>
      </c>
      <c r="J14" s="159">
        <f>+IF($A14="",IF($C14="",SUMIFS(全伝票!N:N,全伝票!$B:$B,$B14),SUMIFS(全伝票!N:N,全伝票!$C:$C,$C14)),IF($C14="",SUMIFS(全伝票!N:N,全伝票!$A:$A,$A14,全伝票!$B:$B,$B14),SUMIFS(全伝票!N:N,全伝票!$A:$A,$A14,全伝票!$C:$C,$C14)))</f>
        <v>127781</v>
      </c>
      <c r="K14" s="34">
        <f t="shared" si="0"/>
        <v>127781</v>
      </c>
      <c r="L14" s="158">
        <f>+IF($A14="",IF($C14="",SUMIFS(全伝票!O:O,全伝票!$B:$B,$B14),SUMIFS(全伝票!O:O,全伝票!$C:$C,$C14)),IF($C14="",SUMIFS(全伝票!O:O,全伝票!$A:$A,$A14,全伝票!$B:$B,$B14),SUMIFS(全伝票!O:O,全伝票!$A:$A,$A14,全伝票!$C:$C,$C14)))</f>
        <v>0</v>
      </c>
      <c r="M14" s="158">
        <f>+IF($A14="",IF($C14="",SUMIFS(全伝票!P:P,全伝票!$B:$B,$B14),SUMIFS(全伝票!P:P,全伝票!$C:$C,$C14)),IF($C14="",SUMIFS(全伝票!P:P,全伝票!$A:$A,$A14,全伝票!$B:$B,$B14),SUMIFS(全伝票!P:P,全伝票!$A:$A,$A14,全伝票!$C:$C,$C14)))</f>
        <v>0</v>
      </c>
      <c r="N14" s="108">
        <f t="shared" si="1"/>
        <v>0</v>
      </c>
      <c r="O14" s="25">
        <f t="shared" si="3"/>
        <v>0</v>
      </c>
      <c r="P14" s="25">
        <f t="shared" si="2"/>
        <v>0</v>
      </c>
      <c r="Q14" s="157">
        <f t="shared" si="3"/>
        <v>0</v>
      </c>
      <c r="R14" s="157">
        <f t="shared" si="4"/>
        <v>11617</v>
      </c>
      <c r="S14" s="22">
        <f t="shared" si="5"/>
        <v>11617</v>
      </c>
      <c r="T14" s="109">
        <f t="shared" si="6"/>
        <v>116164</v>
      </c>
      <c r="U14" s="107">
        <f t="shared" si="7"/>
        <v>0</v>
      </c>
      <c r="V14" s="107">
        <f t="shared" si="8"/>
        <v>0</v>
      </c>
      <c r="W14" s="107">
        <f t="shared" si="9"/>
        <v>0</v>
      </c>
      <c r="X14" s="107">
        <f t="shared" si="9"/>
        <v>0</v>
      </c>
      <c r="Y14" s="107">
        <f t="shared" si="10"/>
        <v>0.54545454545404937</v>
      </c>
      <c r="Z14" s="106">
        <f t="shared" si="11"/>
        <v>0</v>
      </c>
      <c r="AA14" s="106">
        <f t="shared" si="12"/>
        <v>0</v>
      </c>
      <c r="AB14" s="106">
        <f t="shared" si="13"/>
        <v>0</v>
      </c>
      <c r="AC14" s="106">
        <f t="shared" si="13"/>
        <v>0</v>
      </c>
      <c r="AD14" s="106">
        <f t="shared" si="14"/>
        <v>0</v>
      </c>
      <c r="AI14" s="2">
        <v>1</v>
      </c>
    </row>
    <row r="15" spans="1:35">
      <c r="A15" s="165">
        <v>1</v>
      </c>
      <c r="B15" s="164" t="s">
        <v>333</v>
      </c>
      <c r="C15" s="163"/>
      <c r="D15" s="162" t="s">
        <v>91</v>
      </c>
      <c r="E15" s="158">
        <f>+IF($A15="",IF($C15="",SUMIFS(全伝票!I:I,全伝票!$B:$B,$B15),SUMIFS(全伝票!I:I,全伝票!$C:$C,$C15)),IF($C15="",SUMIFS(全伝票!I:I,全伝票!$A:$A,$A15,全伝票!$B:$B,$B15),SUMIFS(全伝票!I:I,全伝票!$A:$A,$A15,全伝票!$C:$C,$C15)))</f>
        <v>31107</v>
      </c>
      <c r="F15" s="161">
        <f>+IF($A15="",IF($C15="",SUMIFS(全伝票!J:J,全伝票!$B:$B,$B15),SUMIFS(全伝票!J:J,全伝票!$C:$C,$C15)),IF($C15="",SUMIFS(全伝票!J:J,全伝票!$A:$A,$A15,全伝票!$B:$B,$B15),SUMIFS(全伝票!J:J,全伝票!$A:$A,$A15,全伝票!$C:$C,$C15)))</f>
        <v>0</v>
      </c>
      <c r="G15" s="160">
        <f>+IF($A15="",IF($C15="",SUMIFS(全伝票!K:K,全伝票!$B:$B,$B15),SUMIFS(全伝票!K:K,全伝票!$C:$C,$C15)),IF($C15="",SUMIFS(全伝票!K:K,全伝票!$A:$A,$A15,全伝票!$B:$B,$B15),SUMIFS(全伝票!K:K,全伝票!$A:$A,$A15,全伝票!$C:$C,$C15)))</f>
        <v>0</v>
      </c>
      <c r="H15" s="160">
        <f>+IF($A15="",IF($C15="",SUMIFS(全伝票!L:L,全伝票!$B:$B,$B15),SUMIFS(全伝票!L:L,全伝票!$C:$C,$C15)),IF($C15="",SUMIFS(全伝票!L:L,全伝票!$A:$A,$A15,全伝票!$B:$B,$B15),SUMIFS(全伝票!L:L,全伝票!$A:$A,$A15,全伝票!$C:$C,$C15)))</f>
        <v>0</v>
      </c>
      <c r="I15" s="159">
        <f>+IF($A15="",IF($C15="",SUMIFS(全伝票!M:M,全伝票!$B:$B,$B15),SUMIFS(全伝票!M:M,全伝票!$C:$C,$C15)),IF($C15="",SUMIFS(全伝票!M:M,全伝票!$A:$A,$A15,全伝票!$B:$B,$B15),SUMIFS(全伝票!M:M,全伝票!$A:$A,$A15,全伝票!$C:$C,$C15)))</f>
        <v>0</v>
      </c>
      <c r="J15" s="159">
        <f>+IF($A15="",IF($C15="",SUMIFS(全伝票!N:N,全伝票!$B:$B,$B15),SUMIFS(全伝票!N:N,全伝票!$C:$C,$C15)),IF($C15="",SUMIFS(全伝票!N:N,全伝票!$A:$A,$A15,全伝票!$B:$B,$B15),SUMIFS(全伝票!N:N,全伝票!$A:$A,$A15,全伝票!$C:$C,$C15)))</f>
        <v>31107</v>
      </c>
      <c r="K15" s="34">
        <f t="shared" si="0"/>
        <v>31107</v>
      </c>
      <c r="L15" s="158">
        <f>+IF($A15="",IF($C15="",SUMIFS(全伝票!O:O,全伝票!$B:$B,$B15),SUMIFS(全伝票!O:O,全伝票!$C:$C,$C15)),IF($C15="",SUMIFS(全伝票!O:O,全伝票!$A:$A,$A15,全伝票!$B:$B,$B15),SUMIFS(全伝票!O:O,全伝票!$A:$A,$A15,全伝票!$C:$C,$C15)))</f>
        <v>0</v>
      </c>
      <c r="M15" s="158">
        <f>+IF($A15="",IF($C15="",SUMIFS(全伝票!P:P,全伝票!$B:$B,$B15),SUMIFS(全伝票!P:P,全伝票!$C:$C,$C15)),IF($C15="",SUMIFS(全伝票!P:P,全伝票!$A:$A,$A15,全伝票!$B:$B,$B15),SUMIFS(全伝票!P:P,全伝票!$A:$A,$A15,全伝票!$C:$C,$C15)))</f>
        <v>0</v>
      </c>
      <c r="N15" s="108">
        <f t="shared" si="1"/>
        <v>0</v>
      </c>
      <c r="O15" s="25">
        <f t="shared" si="3"/>
        <v>0</v>
      </c>
      <c r="P15" s="25">
        <f t="shared" si="2"/>
        <v>0</v>
      </c>
      <c r="Q15" s="157">
        <f t="shared" si="3"/>
        <v>0</v>
      </c>
      <c r="R15" s="157">
        <f t="shared" si="4"/>
        <v>2828</v>
      </c>
      <c r="S15" s="22">
        <f t="shared" si="5"/>
        <v>2828</v>
      </c>
      <c r="T15" s="109">
        <f t="shared" si="6"/>
        <v>28279</v>
      </c>
      <c r="U15" s="107">
        <f t="shared" si="7"/>
        <v>0</v>
      </c>
      <c r="V15" s="107">
        <f t="shared" si="8"/>
        <v>0</v>
      </c>
      <c r="W15" s="107">
        <f t="shared" si="9"/>
        <v>0</v>
      </c>
      <c r="X15" s="107">
        <f t="shared" si="9"/>
        <v>0</v>
      </c>
      <c r="Y15" s="107">
        <f t="shared" si="10"/>
        <v>9.0909090909008228E-2</v>
      </c>
      <c r="Z15" s="106">
        <f t="shared" si="11"/>
        <v>0</v>
      </c>
      <c r="AA15" s="106">
        <f t="shared" si="12"/>
        <v>0</v>
      </c>
      <c r="AB15" s="106">
        <f t="shared" si="13"/>
        <v>0</v>
      </c>
      <c r="AC15" s="106">
        <f t="shared" si="13"/>
        <v>0</v>
      </c>
      <c r="AD15" s="106">
        <f t="shared" si="14"/>
        <v>0</v>
      </c>
    </row>
    <row r="16" spans="1:35">
      <c r="A16" s="165">
        <v>1</v>
      </c>
      <c r="B16" s="164" t="s">
        <v>332</v>
      </c>
      <c r="C16" s="163"/>
      <c r="D16" s="162" t="s">
        <v>89</v>
      </c>
      <c r="E16" s="158">
        <f>+IF($A16="",IF($C16="",SUMIFS(全伝票!I:I,全伝票!$B:$B,$B16),SUMIFS(全伝票!I:I,全伝票!$C:$C,$C16)),IF($C16="",SUMIFS(全伝票!I:I,全伝票!$A:$A,$A16,全伝票!$B:$B,$B16),SUMIFS(全伝票!I:I,全伝票!$A:$A,$A16,全伝票!$C:$C,$C16)))</f>
        <v>0</v>
      </c>
      <c r="F16" s="161">
        <f>+IF($A16="",IF($C16="",SUMIFS(全伝票!J:J,全伝票!$B:$B,$B16),SUMIFS(全伝票!J:J,全伝票!$C:$C,$C16)),IF($C16="",SUMIFS(全伝票!J:J,全伝票!$A:$A,$A16,全伝票!$B:$B,$B16),SUMIFS(全伝票!J:J,全伝票!$A:$A,$A16,全伝票!$C:$C,$C16)))</f>
        <v>0</v>
      </c>
      <c r="G16" s="160">
        <f>+IF($A16="",IF($C16="",SUMIFS(全伝票!K:K,全伝票!$B:$B,$B16),SUMIFS(全伝票!K:K,全伝票!$C:$C,$C16)),IF($C16="",SUMIFS(全伝票!K:K,全伝票!$A:$A,$A16,全伝票!$B:$B,$B16),SUMIFS(全伝票!K:K,全伝票!$A:$A,$A16,全伝票!$C:$C,$C16)))</f>
        <v>0</v>
      </c>
      <c r="H16" s="160">
        <f>+IF($A16="",IF($C16="",SUMIFS(全伝票!L:L,全伝票!$B:$B,$B16),SUMIFS(全伝票!L:L,全伝票!$C:$C,$C16)),IF($C16="",SUMIFS(全伝票!L:L,全伝票!$A:$A,$A16,全伝票!$B:$B,$B16),SUMIFS(全伝票!L:L,全伝票!$A:$A,$A16,全伝票!$C:$C,$C16)))</f>
        <v>0</v>
      </c>
      <c r="I16" s="159">
        <f>+IF($A16="",IF($C16="",SUMIFS(全伝票!M:M,全伝票!$B:$B,$B16),SUMIFS(全伝票!M:M,全伝票!$C:$C,$C16)),IF($C16="",SUMIFS(全伝票!M:M,全伝票!$A:$A,$A16,全伝票!$B:$B,$B16),SUMIFS(全伝票!M:M,全伝票!$A:$A,$A16,全伝票!$C:$C,$C16)))</f>
        <v>0</v>
      </c>
      <c r="J16" s="159">
        <f>+IF($A16="",IF($C16="",SUMIFS(全伝票!N:N,全伝票!$B:$B,$B16),SUMIFS(全伝票!N:N,全伝票!$C:$C,$C16)),IF($C16="",SUMIFS(全伝票!N:N,全伝票!$A:$A,$A16,全伝票!$B:$B,$B16),SUMIFS(全伝票!N:N,全伝票!$A:$A,$A16,全伝票!$C:$C,$C16)))</f>
        <v>0</v>
      </c>
      <c r="K16" s="34">
        <f t="shared" si="0"/>
        <v>0</v>
      </c>
      <c r="L16" s="158">
        <f>+IF($A16="",IF($C16="",SUMIFS(全伝票!O:O,全伝票!$B:$B,$B16),SUMIFS(全伝票!O:O,全伝票!$C:$C,$C16)),IF($C16="",SUMIFS(全伝票!O:O,全伝票!$A:$A,$A16,全伝票!$B:$B,$B16),SUMIFS(全伝票!O:O,全伝票!$A:$A,$A16,全伝票!$C:$C,$C16)))</f>
        <v>0</v>
      </c>
      <c r="M16" s="158">
        <f>+IF($A16="",IF($C16="",SUMIFS(全伝票!P:P,全伝票!$B:$B,$B16),SUMIFS(全伝票!P:P,全伝票!$C:$C,$C16)),IF($C16="",SUMIFS(全伝票!P:P,全伝票!$A:$A,$A16,全伝票!$B:$B,$B16),SUMIFS(全伝票!P:P,全伝票!$A:$A,$A16,全伝票!$C:$C,$C16)))</f>
        <v>0</v>
      </c>
      <c r="N16" s="108">
        <f t="shared" si="1"/>
        <v>0</v>
      </c>
      <c r="O16" s="25">
        <f t="shared" si="3"/>
        <v>0</v>
      </c>
      <c r="P16" s="25">
        <f t="shared" si="2"/>
        <v>0</v>
      </c>
      <c r="Q16" s="157">
        <f t="shared" si="3"/>
        <v>0</v>
      </c>
      <c r="R16" s="157">
        <f t="shared" si="4"/>
        <v>0</v>
      </c>
      <c r="S16" s="22">
        <f t="shared" si="5"/>
        <v>0</v>
      </c>
      <c r="T16" s="109">
        <f t="shared" si="6"/>
        <v>0</v>
      </c>
      <c r="U16" s="107">
        <f t="shared" si="7"/>
        <v>0</v>
      </c>
      <c r="V16" s="107">
        <f t="shared" si="8"/>
        <v>0</v>
      </c>
      <c r="W16" s="107">
        <f t="shared" si="9"/>
        <v>0</v>
      </c>
      <c r="X16" s="107">
        <f t="shared" si="9"/>
        <v>0</v>
      </c>
      <c r="Y16" s="107">
        <f t="shared" si="10"/>
        <v>0</v>
      </c>
      <c r="Z16" s="106">
        <f t="shared" si="11"/>
        <v>0</v>
      </c>
      <c r="AA16" s="106">
        <f t="shared" si="12"/>
        <v>0</v>
      </c>
      <c r="AB16" s="106">
        <f t="shared" si="13"/>
        <v>0</v>
      </c>
      <c r="AC16" s="106">
        <f t="shared" si="13"/>
        <v>0</v>
      </c>
      <c r="AD16" s="106">
        <f t="shared" si="14"/>
        <v>0</v>
      </c>
    </row>
    <row r="17" spans="1:30">
      <c r="A17" s="165">
        <v>1</v>
      </c>
      <c r="B17" s="164" t="s">
        <v>331</v>
      </c>
      <c r="C17" s="163"/>
      <c r="D17" s="162" t="s">
        <v>87</v>
      </c>
      <c r="E17" s="158">
        <f>+IF($A17="",IF($C17="",SUMIFS(全伝票!I:I,全伝票!$B:$B,$B17),SUMIFS(全伝票!I:I,全伝票!$C:$C,$C17)),IF($C17="",SUMIFS(全伝票!I:I,全伝票!$A:$A,$A17,全伝票!$B:$B,$B17),SUMIFS(全伝票!I:I,全伝票!$A:$A,$A17,全伝票!$C:$C,$C17)))</f>
        <v>615774</v>
      </c>
      <c r="F17" s="161">
        <f>+IF($A17="",IF($C17="",SUMIFS(全伝票!J:J,全伝票!$B:$B,$B17),SUMIFS(全伝票!J:J,全伝票!$C:$C,$C17)),IF($C17="",SUMIFS(全伝票!J:J,全伝票!$A:$A,$A17,全伝票!$B:$B,$B17),SUMIFS(全伝票!J:J,全伝票!$A:$A,$A17,全伝票!$C:$C,$C17)))</f>
        <v>0</v>
      </c>
      <c r="G17" s="160">
        <f>+IF($A17="",IF($C17="",SUMIFS(全伝票!K:K,全伝票!$B:$B,$B17),SUMIFS(全伝票!K:K,全伝票!$C:$C,$C17)),IF($C17="",SUMIFS(全伝票!K:K,全伝票!$A:$A,$A17,全伝票!$B:$B,$B17),SUMIFS(全伝票!K:K,全伝票!$A:$A,$A17,全伝票!$C:$C,$C17)))</f>
        <v>0</v>
      </c>
      <c r="H17" s="160">
        <f>+IF($A17="",IF($C17="",SUMIFS(全伝票!L:L,全伝票!$B:$B,$B17),SUMIFS(全伝票!L:L,全伝票!$C:$C,$C17)),IF($C17="",SUMIFS(全伝票!L:L,全伝票!$A:$A,$A17,全伝票!$B:$B,$B17),SUMIFS(全伝票!L:L,全伝票!$A:$A,$A17,全伝票!$C:$C,$C17)))</f>
        <v>0</v>
      </c>
      <c r="I17" s="159">
        <f>+IF($A17="",IF($C17="",SUMIFS(全伝票!M:M,全伝票!$B:$B,$B17),SUMIFS(全伝票!M:M,全伝票!$C:$C,$C17)),IF($C17="",SUMIFS(全伝票!M:M,全伝票!$A:$A,$A17,全伝票!$B:$B,$B17),SUMIFS(全伝票!M:M,全伝票!$A:$A,$A17,全伝票!$C:$C,$C17)))</f>
        <v>0</v>
      </c>
      <c r="J17" s="159">
        <f>+IF($A17="",IF($C17="",SUMIFS(全伝票!N:N,全伝票!$B:$B,$B17),SUMIFS(全伝票!N:N,全伝票!$C:$C,$C17)),IF($C17="",SUMIFS(全伝票!N:N,全伝票!$A:$A,$A17,全伝票!$B:$B,$B17),SUMIFS(全伝票!N:N,全伝票!$A:$A,$A17,全伝票!$C:$C,$C17)))</f>
        <v>615774</v>
      </c>
      <c r="K17" s="34">
        <f t="shared" si="0"/>
        <v>615774</v>
      </c>
      <c r="L17" s="158">
        <f>+IF($A17="",IF($C17="",SUMIFS(全伝票!O:O,全伝票!$B:$B,$B17),SUMIFS(全伝票!O:O,全伝票!$C:$C,$C17)),IF($C17="",SUMIFS(全伝票!O:O,全伝票!$A:$A,$A17,全伝票!$B:$B,$B17),SUMIFS(全伝票!O:O,全伝票!$A:$A,$A17,全伝票!$C:$C,$C17)))</f>
        <v>0</v>
      </c>
      <c r="M17" s="158">
        <f>+IF($A17="",IF($C17="",SUMIFS(全伝票!P:P,全伝票!$B:$B,$B17),SUMIFS(全伝票!P:P,全伝票!$C:$C,$C17)),IF($C17="",SUMIFS(全伝票!P:P,全伝票!$A:$A,$A17,全伝票!$B:$B,$B17),SUMIFS(全伝票!P:P,全伝票!$A:$A,$A17,全伝票!$C:$C,$C17)))</f>
        <v>0</v>
      </c>
      <c r="N17" s="108">
        <f t="shared" si="1"/>
        <v>0</v>
      </c>
      <c r="O17" s="25">
        <f t="shared" si="3"/>
        <v>0</v>
      </c>
      <c r="P17" s="25">
        <f t="shared" si="2"/>
        <v>0</v>
      </c>
      <c r="Q17" s="157">
        <f t="shared" si="3"/>
        <v>0</v>
      </c>
      <c r="R17" s="157">
        <f t="shared" si="4"/>
        <v>55979</v>
      </c>
      <c r="S17" s="22">
        <f t="shared" si="5"/>
        <v>55979</v>
      </c>
      <c r="T17" s="109">
        <f t="shared" si="6"/>
        <v>559795</v>
      </c>
      <c r="U17" s="107">
        <f t="shared" si="7"/>
        <v>0</v>
      </c>
      <c r="V17" s="107">
        <f t="shared" si="8"/>
        <v>0</v>
      </c>
      <c r="W17" s="107">
        <f t="shared" si="9"/>
        <v>0</v>
      </c>
      <c r="X17" s="107">
        <f t="shared" si="9"/>
        <v>0</v>
      </c>
      <c r="Y17" s="107">
        <f t="shared" si="10"/>
        <v>-0.45454545454413164</v>
      </c>
      <c r="Z17" s="106">
        <f t="shared" si="11"/>
        <v>0</v>
      </c>
      <c r="AA17" s="106">
        <f t="shared" si="12"/>
        <v>0</v>
      </c>
      <c r="AB17" s="106">
        <f t="shared" si="13"/>
        <v>0</v>
      </c>
      <c r="AC17" s="106">
        <f t="shared" si="13"/>
        <v>0</v>
      </c>
      <c r="AD17" s="106">
        <f t="shared" si="14"/>
        <v>0</v>
      </c>
    </row>
    <row r="18" spans="1:30">
      <c r="A18" s="165">
        <v>1</v>
      </c>
      <c r="B18" s="164" t="s">
        <v>330</v>
      </c>
      <c r="C18" s="163"/>
      <c r="D18" s="162" t="s">
        <v>85</v>
      </c>
      <c r="E18" s="158">
        <f>+IF($A18="",IF($C18="",SUMIFS(全伝票!I:I,全伝票!$B:$B,$B18),SUMIFS(全伝票!I:I,全伝票!$C:$C,$C18)),IF($C18="",SUMIFS(全伝票!I:I,全伝票!$A:$A,$A18,全伝票!$B:$B,$B18),SUMIFS(全伝票!I:I,全伝票!$A:$A,$A18,全伝票!$C:$C,$C18)))</f>
        <v>1406</v>
      </c>
      <c r="F18" s="161">
        <f>+IF($A18="",IF($C18="",SUMIFS(全伝票!J:J,全伝票!$B:$B,$B18),SUMIFS(全伝票!J:J,全伝票!$C:$C,$C18)),IF($C18="",SUMIFS(全伝票!J:J,全伝票!$A:$A,$A18,全伝票!$B:$B,$B18),SUMIFS(全伝票!J:J,全伝票!$A:$A,$A18,全伝票!$C:$C,$C18)))</f>
        <v>0</v>
      </c>
      <c r="G18" s="160">
        <f>+IF($A18="",IF($C18="",SUMIFS(全伝票!K:K,全伝票!$B:$B,$B18),SUMIFS(全伝票!K:K,全伝票!$C:$C,$C18)),IF($C18="",SUMIFS(全伝票!K:K,全伝票!$A:$A,$A18,全伝票!$B:$B,$B18),SUMIFS(全伝票!K:K,全伝票!$A:$A,$A18,全伝票!$C:$C,$C18)))</f>
        <v>0</v>
      </c>
      <c r="H18" s="160">
        <f>+IF($A18="",IF($C18="",SUMIFS(全伝票!L:L,全伝票!$B:$B,$B18),SUMIFS(全伝票!L:L,全伝票!$C:$C,$C18)),IF($C18="",SUMIFS(全伝票!L:L,全伝票!$A:$A,$A18,全伝票!$B:$B,$B18),SUMIFS(全伝票!L:L,全伝票!$A:$A,$A18,全伝票!$C:$C,$C18)))</f>
        <v>0</v>
      </c>
      <c r="I18" s="159">
        <f>+IF($A18="",IF($C18="",SUMIFS(全伝票!M:M,全伝票!$B:$B,$B18),SUMIFS(全伝票!M:M,全伝票!$C:$C,$C18)),IF($C18="",SUMIFS(全伝票!M:M,全伝票!$A:$A,$A18,全伝票!$B:$B,$B18),SUMIFS(全伝票!M:M,全伝票!$A:$A,$A18,全伝票!$C:$C,$C18)))</f>
        <v>0</v>
      </c>
      <c r="J18" s="159">
        <f>+IF($A18="",IF($C18="",SUMIFS(全伝票!N:N,全伝票!$B:$B,$B18),SUMIFS(全伝票!N:N,全伝票!$C:$C,$C18)),IF($C18="",SUMIFS(全伝票!N:N,全伝票!$A:$A,$A18,全伝票!$B:$B,$B18),SUMIFS(全伝票!N:N,全伝票!$A:$A,$A18,全伝票!$C:$C,$C18)))</f>
        <v>1406</v>
      </c>
      <c r="K18" s="34">
        <f t="shared" si="0"/>
        <v>1406</v>
      </c>
      <c r="L18" s="158">
        <f>+IF($A18="",IF($C18="",SUMIFS(全伝票!O:O,全伝票!$B:$B,$B18),SUMIFS(全伝票!O:O,全伝票!$C:$C,$C18)),IF($C18="",SUMIFS(全伝票!O:O,全伝票!$A:$A,$A18,全伝票!$B:$B,$B18),SUMIFS(全伝票!O:O,全伝票!$A:$A,$A18,全伝票!$C:$C,$C18)))</f>
        <v>0</v>
      </c>
      <c r="M18" s="158">
        <f>+IF($A18="",IF($C18="",SUMIFS(全伝票!P:P,全伝票!$B:$B,$B18),SUMIFS(全伝票!P:P,全伝票!$C:$C,$C18)),IF($C18="",SUMIFS(全伝票!P:P,全伝票!$A:$A,$A18,全伝票!$B:$B,$B18),SUMIFS(全伝票!P:P,全伝票!$A:$A,$A18,全伝票!$C:$C,$C18)))</f>
        <v>0</v>
      </c>
      <c r="N18" s="108">
        <f t="shared" si="1"/>
        <v>0</v>
      </c>
      <c r="O18" s="25">
        <f t="shared" si="3"/>
        <v>0</v>
      </c>
      <c r="P18" s="25">
        <f t="shared" si="2"/>
        <v>0</v>
      </c>
      <c r="Q18" s="157">
        <f t="shared" si="3"/>
        <v>0</v>
      </c>
      <c r="R18" s="157">
        <f t="shared" si="4"/>
        <v>128</v>
      </c>
      <c r="S18" s="22">
        <f t="shared" si="5"/>
        <v>128</v>
      </c>
      <c r="T18" s="109">
        <f t="shared" si="6"/>
        <v>1278</v>
      </c>
      <c r="U18" s="107">
        <f t="shared" si="7"/>
        <v>0</v>
      </c>
      <c r="V18" s="107">
        <f t="shared" si="8"/>
        <v>0</v>
      </c>
      <c r="W18" s="107">
        <f t="shared" si="9"/>
        <v>0</v>
      </c>
      <c r="X18" s="107">
        <f t="shared" si="9"/>
        <v>0</v>
      </c>
      <c r="Y18" s="107">
        <f t="shared" si="10"/>
        <v>0.18181818181818699</v>
      </c>
      <c r="Z18" s="106">
        <f t="shared" si="11"/>
        <v>0</v>
      </c>
      <c r="AA18" s="106">
        <f t="shared" si="12"/>
        <v>0</v>
      </c>
      <c r="AB18" s="106">
        <f t="shared" si="13"/>
        <v>0</v>
      </c>
      <c r="AC18" s="106">
        <f t="shared" si="13"/>
        <v>0</v>
      </c>
      <c r="AD18" s="106">
        <f t="shared" si="14"/>
        <v>0</v>
      </c>
    </row>
    <row r="19" spans="1:30">
      <c r="A19" s="165">
        <v>1</v>
      </c>
      <c r="B19" s="164" t="s">
        <v>329</v>
      </c>
      <c r="C19" s="163"/>
      <c r="D19" s="162" t="s">
        <v>83</v>
      </c>
      <c r="E19" s="158">
        <f>+IF($A19="",IF($C19="",SUMIFS(全伝票!I:I,全伝票!$B:$B,$B19),SUMIFS(全伝票!I:I,全伝票!$C:$C,$C19)),IF($C19="",SUMIFS(全伝票!I:I,全伝票!$A:$A,$A19,全伝票!$B:$B,$B19),SUMIFS(全伝票!I:I,全伝票!$A:$A,$A19,全伝票!$C:$C,$C19)))</f>
        <v>0</v>
      </c>
      <c r="F19" s="161">
        <f>+IF($A19="",IF($C19="",SUMIFS(全伝票!J:J,全伝票!$B:$B,$B19),SUMIFS(全伝票!J:J,全伝票!$C:$C,$C19)),IF($C19="",SUMIFS(全伝票!J:J,全伝票!$A:$A,$A19,全伝票!$B:$B,$B19),SUMIFS(全伝票!J:J,全伝票!$A:$A,$A19,全伝票!$C:$C,$C19)))</f>
        <v>0</v>
      </c>
      <c r="G19" s="160">
        <f>+IF($A19="",IF($C19="",SUMIFS(全伝票!K:K,全伝票!$B:$B,$B19),SUMIFS(全伝票!K:K,全伝票!$C:$C,$C19)),IF($C19="",SUMIFS(全伝票!K:K,全伝票!$A:$A,$A19,全伝票!$B:$B,$B19),SUMIFS(全伝票!K:K,全伝票!$A:$A,$A19,全伝票!$C:$C,$C19)))</f>
        <v>0</v>
      </c>
      <c r="H19" s="160">
        <f>+IF($A19="",IF($C19="",SUMIFS(全伝票!L:L,全伝票!$B:$B,$B19),SUMIFS(全伝票!L:L,全伝票!$C:$C,$C19)),IF($C19="",SUMIFS(全伝票!L:L,全伝票!$A:$A,$A19,全伝票!$B:$B,$B19),SUMIFS(全伝票!L:L,全伝票!$A:$A,$A19,全伝票!$C:$C,$C19)))</f>
        <v>0</v>
      </c>
      <c r="I19" s="159">
        <f>+IF($A19="",IF($C19="",SUMIFS(全伝票!M:M,全伝票!$B:$B,$B19),SUMIFS(全伝票!M:M,全伝票!$C:$C,$C19)),IF($C19="",SUMIFS(全伝票!M:M,全伝票!$A:$A,$A19,全伝票!$B:$B,$B19),SUMIFS(全伝票!M:M,全伝票!$A:$A,$A19,全伝票!$C:$C,$C19)))</f>
        <v>0</v>
      </c>
      <c r="J19" s="159">
        <f>+IF($A19="",IF($C19="",SUMIFS(全伝票!N:N,全伝票!$B:$B,$B19),SUMIFS(全伝票!N:N,全伝票!$C:$C,$C19)),IF($C19="",SUMIFS(全伝票!N:N,全伝票!$A:$A,$A19,全伝票!$B:$B,$B19),SUMIFS(全伝票!N:N,全伝票!$A:$A,$A19,全伝票!$C:$C,$C19)))</f>
        <v>0</v>
      </c>
      <c r="K19" s="34">
        <f t="shared" si="0"/>
        <v>0</v>
      </c>
      <c r="L19" s="158">
        <f>+IF($A19="",IF($C19="",SUMIFS(全伝票!O:O,全伝票!$B:$B,$B19),SUMIFS(全伝票!O:O,全伝票!$C:$C,$C19)),IF($C19="",SUMIFS(全伝票!O:O,全伝票!$A:$A,$A19,全伝票!$B:$B,$B19),SUMIFS(全伝票!O:O,全伝票!$A:$A,$A19,全伝票!$C:$C,$C19)))</f>
        <v>0</v>
      </c>
      <c r="M19" s="158">
        <f>+IF($A19="",IF($C19="",SUMIFS(全伝票!P:P,全伝票!$B:$B,$B19),SUMIFS(全伝票!P:P,全伝票!$C:$C,$C19)),IF($C19="",SUMIFS(全伝票!P:P,全伝票!$A:$A,$A19,全伝票!$B:$B,$B19),SUMIFS(全伝票!P:P,全伝票!$A:$A,$A19,全伝票!$C:$C,$C19)))</f>
        <v>0</v>
      </c>
      <c r="N19" s="108">
        <f t="shared" si="1"/>
        <v>0</v>
      </c>
      <c r="O19" s="25">
        <f t="shared" si="3"/>
        <v>0</v>
      </c>
      <c r="P19" s="25">
        <f t="shared" si="2"/>
        <v>0</v>
      </c>
      <c r="Q19" s="157">
        <f t="shared" si="3"/>
        <v>0</v>
      </c>
      <c r="R19" s="157">
        <f t="shared" si="4"/>
        <v>0</v>
      </c>
      <c r="S19" s="22">
        <f t="shared" si="5"/>
        <v>0</v>
      </c>
      <c r="T19" s="109">
        <f t="shared" si="6"/>
        <v>0</v>
      </c>
      <c r="U19" s="107">
        <f t="shared" si="7"/>
        <v>0</v>
      </c>
      <c r="V19" s="107">
        <f t="shared" si="8"/>
        <v>0</v>
      </c>
      <c r="W19" s="107">
        <f t="shared" si="9"/>
        <v>0</v>
      </c>
      <c r="X19" s="107">
        <f t="shared" si="9"/>
        <v>0</v>
      </c>
      <c r="Y19" s="107">
        <f t="shared" si="10"/>
        <v>0</v>
      </c>
      <c r="Z19" s="106">
        <f t="shared" si="11"/>
        <v>0</v>
      </c>
      <c r="AA19" s="106">
        <f t="shared" si="12"/>
        <v>0</v>
      </c>
      <c r="AB19" s="106">
        <f t="shared" si="13"/>
        <v>0</v>
      </c>
      <c r="AC19" s="106">
        <f t="shared" si="13"/>
        <v>0</v>
      </c>
      <c r="AD19" s="106">
        <f t="shared" si="14"/>
        <v>0</v>
      </c>
    </row>
    <row r="20" spans="1:30">
      <c r="A20" s="165">
        <v>1</v>
      </c>
      <c r="B20" s="164" t="s">
        <v>328</v>
      </c>
      <c r="C20" s="163"/>
      <c r="D20" s="162" t="s">
        <v>81</v>
      </c>
      <c r="E20" s="158">
        <f>+IF($A20="",IF($C20="",SUMIFS(全伝票!I:I,全伝票!$B:$B,$B20),SUMIFS(全伝票!I:I,全伝票!$C:$C,$C20)),IF($C20="",SUMIFS(全伝票!I:I,全伝票!$A:$A,$A20,全伝票!$B:$B,$B20),SUMIFS(全伝票!I:I,全伝票!$A:$A,$A20,全伝票!$C:$C,$C20)))</f>
        <v>991166277</v>
      </c>
      <c r="F20" s="161">
        <f>+IF($A20="",IF($C20="",SUMIFS(全伝票!J:J,全伝票!$B:$B,$B20),SUMIFS(全伝票!J:J,全伝票!$C:$C,$C20)),IF($C20="",SUMIFS(全伝票!J:J,全伝票!$A:$A,$A20,全伝票!$B:$B,$B20),SUMIFS(全伝票!J:J,全伝票!$A:$A,$A20,全伝票!$C:$C,$C20)))</f>
        <v>0</v>
      </c>
      <c r="G20" s="160">
        <f>+IF($A20="",IF($C20="",SUMIFS(全伝票!K:K,全伝票!$B:$B,$B20),SUMIFS(全伝票!K:K,全伝票!$C:$C,$C20)),IF($C20="",SUMIFS(全伝票!K:K,全伝票!$A:$A,$A20,全伝票!$B:$B,$B20),SUMIFS(全伝票!K:K,全伝票!$A:$A,$A20,全伝票!$C:$C,$C20)))</f>
        <v>0</v>
      </c>
      <c r="H20" s="160">
        <f>+IF($A20="",IF($C20="",SUMIFS(全伝票!L:L,全伝票!$B:$B,$B20),SUMIFS(全伝票!L:L,全伝票!$C:$C,$C20)),IF($C20="",SUMIFS(全伝票!L:L,全伝票!$A:$A,$A20,全伝票!$B:$B,$B20),SUMIFS(全伝票!L:L,全伝票!$A:$A,$A20,全伝票!$C:$C,$C20)))</f>
        <v>0</v>
      </c>
      <c r="I20" s="159">
        <f>+IF($A20="",IF($C20="",SUMIFS(全伝票!M:M,全伝票!$B:$B,$B20),SUMIFS(全伝票!M:M,全伝票!$C:$C,$C20)),IF($C20="",SUMIFS(全伝票!M:M,全伝票!$A:$A,$A20,全伝票!$B:$B,$B20),SUMIFS(全伝票!M:M,全伝票!$A:$A,$A20,全伝票!$C:$C,$C20)))</f>
        <v>0</v>
      </c>
      <c r="J20" s="159">
        <f>+IF($A20="",IF($C20="",SUMIFS(全伝票!N:N,全伝票!$B:$B,$B20),SUMIFS(全伝票!N:N,全伝票!$C:$C,$C20)),IF($C20="",SUMIFS(全伝票!N:N,全伝票!$A:$A,$A20,全伝票!$B:$B,$B20),SUMIFS(全伝票!N:N,全伝票!$A:$A,$A20,全伝票!$C:$C,$C20)))</f>
        <v>991166277</v>
      </c>
      <c r="K20" s="34">
        <f t="shared" si="0"/>
        <v>991166277</v>
      </c>
      <c r="L20" s="158">
        <f>+IF($A20="",IF($C20="",SUMIFS(全伝票!O:O,全伝票!$B:$B,$B20),SUMIFS(全伝票!O:O,全伝票!$C:$C,$C20)),IF($C20="",SUMIFS(全伝票!O:O,全伝票!$A:$A,$A20,全伝票!$B:$B,$B20),SUMIFS(全伝票!O:O,全伝票!$A:$A,$A20,全伝票!$C:$C,$C20)))</f>
        <v>0</v>
      </c>
      <c r="M20" s="158">
        <f>+IF($A20="",IF($C20="",SUMIFS(全伝票!P:P,全伝票!$B:$B,$B20),SUMIFS(全伝票!P:P,全伝票!$C:$C,$C20)),IF($C20="",SUMIFS(全伝票!P:P,全伝票!$A:$A,$A20,全伝票!$B:$B,$B20),SUMIFS(全伝票!P:P,全伝票!$A:$A,$A20,全伝票!$C:$C,$C20)))</f>
        <v>0</v>
      </c>
      <c r="N20" s="108">
        <f t="shared" si="1"/>
        <v>0</v>
      </c>
      <c r="O20" s="25">
        <f t="shared" si="3"/>
        <v>0</v>
      </c>
      <c r="P20" s="25">
        <f t="shared" si="2"/>
        <v>0</v>
      </c>
      <c r="Q20" s="157">
        <f t="shared" si="3"/>
        <v>0</v>
      </c>
      <c r="R20" s="157">
        <f t="shared" si="4"/>
        <v>90106025</v>
      </c>
      <c r="S20" s="22">
        <f t="shared" si="5"/>
        <v>90106025</v>
      </c>
      <c r="T20" s="109">
        <f t="shared" si="6"/>
        <v>901060252</v>
      </c>
      <c r="U20" s="107">
        <f t="shared" si="7"/>
        <v>0</v>
      </c>
      <c r="V20" s="107">
        <f t="shared" si="8"/>
        <v>0</v>
      </c>
      <c r="W20" s="107">
        <f t="shared" si="9"/>
        <v>0</v>
      </c>
      <c r="X20" s="107">
        <f t="shared" si="9"/>
        <v>0</v>
      </c>
      <c r="Y20" s="107">
        <f t="shared" si="10"/>
        <v>-0.18181818723678589</v>
      </c>
      <c r="Z20" s="106">
        <f t="shared" si="11"/>
        <v>0</v>
      </c>
      <c r="AA20" s="106">
        <f t="shared" si="12"/>
        <v>0</v>
      </c>
      <c r="AB20" s="106">
        <f t="shared" si="13"/>
        <v>0</v>
      </c>
      <c r="AC20" s="106">
        <f t="shared" si="13"/>
        <v>0</v>
      </c>
      <c r="AD20" s="106">
        <f t="shared" si="14"/>
        <v>0</v>
      </c>
    </row>
    <row r="21" spans="1:30">
      <c r="A21" s="165">
        <v>1</v>
      </c>
      <c r="B21" s="164" t="s">
        <v>327</v>
      </c>
      <c r="C21" s="163"/>
      <c r="D21" s="162" t="s">
        <v>79</v>
      </c>
      <c r="E21" s="158">
        <f>+IF($A21="",IF($C21="",SUMIFS(全伝票!I:I,全伝票!$B:$B,$B21),SUMIFS(全伝票!I:I,全伝票!$C:$C,$C21)),IF($C21="",SUMIFS(全伝票!I:I,全伝票!$A:$A,$A21,全伝票!$B:$B,$B21),SUMIFS(全伝票!I:I,全伝票!$A:$A,$A21,全伝票!$C:$C,$C21)))</f>
        <v>0</v>
      </c>
      <c r="F21" s="161">
        <f>+IF($A21="",IF($C21="",SUMIFS(全伝票!J:J,全伝票!$B:$B,$B21),SUMIFS(全伝票!J:J,全伝票!$C:$C,$C21)),IF($C21="",SUMIFS(全伝票!J:J,全伝票!$A:$A,$A21,全伝票!$B:$B,$B21),SUMIFS(全伝票!J:J,全伝票!$A:$A,$A21,全伝票!$C:$C,$C21)))</f>
        <v>0</v>
      </c>
      <c r="G21" s="160">
        <f>+IF($A21="",IF($C21="",SUMIFS(全伝票!K:K,全伝票!$B:$B,$B21),SUMIFS(全伝票!K:K,全伝票!$C:$C,$C21)),IF($C21="",SUMIFS(全伝票!K:K,全伝票!$A:$A,$A21,全伝票!$B:$B,$B21),SUMIFS(全伝票!K:K,全伝票!$A:$A,$A21,全伝票!$C:$C,$C21)))</f>
        <v>0</v>
      </c>
      <c r="H21" s="160">
        <f>+IF($A21="",IF($C21="",SUMIFS(全伝票!L:L,全伝票!$B:$B,$B21),SUMIFS(全伝票!L:L,全伝票!$C:$C,$C21)),IF($C21="",SUMIFS(全伝票!L:L,全伝票!$A:$A,$A21,全伝票!$B:$B,$B21),SUMIFS(全伝票!L:L,全伝票!$A:$A,$A21,全伝票!$C:$C,$C21)))</f>
        <v>0</v>
      </c>
      <c r="I21" s="159">
        <f>+IF($A21="",IF($C21="",SUMIFS(全伝票!M:M,全伝票!$B:$B,$B21),SUMIFS(全伝票!M:M,全伝票!$C:$C,$C21)),IF($C21="",SUMIFS(全伝票!M:M,全伝票!$A:$A,$A21,全伝票!$B:$B,$B21),SUMIFS(全伝票!M:M,全伝票!$A:$A,$A21,全伝票!$C:$C,$C21)))</f>
        <v>0</v>
      </c>
      <c r="J21" s="159">
        <f>+IF($A21="",IF($C21="",SUMIFS(全伝票!N:N,全伝票!$B:$B,$B21),SUMIFS(全伝票!N:N,全伝票!$C:$C,$C21)),IF($C21="",SUMIFS(全伝票!N:N,全伝票!$A:$A,$A21,全伝票!$B:$B,$B21),SUMIFS(全伝票!N:N,全伝票!$A:$A,$A21,全伝票!$C:$C,$C21)))</f>
        <v>0</v>
      </c>
      <c r="K21" s="34">
        <f t="shared" si="0"/>
        <v>0</v>
      </c>
      <c r="L21" s="158">
        <f>+IF($A21="",IF($C21="",SUMIFS(全伝票!O:O,全伝票!$B:$B,$B21),SUMIFS(全伝票!O:O,全伝票!$C:$C,$C21)),IF($C21="",SUMIFS(全伝票!O:O,全伝票!$A:$A,$A21,全伝票!$B:$B,$B21),SUMIFS(全伝票!O:O,全伝票!$A:$A,$A21,全伝票!$C:$C,$C21)))</f>
        <v>0</v>
      </c>
      <c r="M21" s="158">
        <f>+IF($A21="",IF($C21="",SUMIFS(全伝票!P:P,全伝票!$B:$B,$B21),SUMIFS(全伝票!P:P,全伝票!$C:$C,$C21)),IF($C21="",SUMIFS(全伝票!P:P,全伝票!$A:$A,$A21,全伝票!$B:$B,$B21),SUMIFS(全伝票!P:P,全伝票!$A:$A,$A21,全伝票!$C:$C,$C21)))</f>
        <v>0</v>
      </c>
      <c r="N21" s="108">
        <f t="shared" si="1"/>
        <v>0</v>
      </c>
      <c r="O21" s="25">
        <f t="shared" si="3"/>
        <v>0</v>
      </c>
      <c r="P21" s="25">
        <f t="shared" si="2"/>
        <v>0</v>
      </c>
      <c r="Q21" s="157">
        <f t="shared" si="3"/>
        <v>0</v>
      </c>
      <c r="R21" s="157">
        <f t="shared" si="4"/>
        <v>0</v>
      </c>
      <c r="S21" s="22">
        <f t="shared" si="5"/>
        <v>0</v>
      </c>
      <c r="T21" s="109">
        <f t="shared" si="6"/>
        <v>0</v>
      </c>
      <c r="U21" s="107">
        <f t="shared" si="7"/>
        <v>0</v>
      </c>
      <c r="V21" s="107">
        <f t="shared" si="8"/>
        <v>0</v>
      </c>
      <c r="W21" s="107">
        <f t="shared" si="9"/>
        <v>0</v>
      </c>
      <c r="X21" s="107">
        <f t="shared" si="9"/>
        <v>0</v>
      </c>
      <c r="Y21" s="107">
        <f t="shared" si="10"/>
        <v>0</v>
      </c>
      <c r="Z21" s="106">
        <f t="shared" si="11"/>
        <v>0</v>
      </c>
      <c r="AA21" s="106">
        <f t="shared" si="12"/>
        <v>0</v>
      </c>
      <c r="AB21" s="106">
        <f t="shared" si="13"/>
        <v>0</v>
      </c>
      <c r="AC21" s="106">
        <f t="shared" si="13"/>
        <v>0</v>
      </c>
      <c r="AD21" s="106">
        <f t="shared" si="14"/>
        <v>0</v>
      </c>
    </row>
    <row r="22" spans="1:30">
      <c r="A22" s="165">
        <v>1</v>
      </c>
      <c r="B22" s="164" t="s">
        <v>326</v>
      </c>
      <c r="C22" s="163"/>
      <c r="D22" s="162" t="s">
        <v>77</v>
      </c>
      <c r="E22" s="158">
        <f>+IF($A22="",IF($C22="",SUMIFS(全伝票!I:I,全伝票!$B:$B,$B22),SUMIFS(全伝票!I:I,全伝票!$C:$C,$C22)),IF($C22="",SUMIFS(全伝票!I:I,全伝票!$A:$A,$A22,全伝票!$B:$B,$B22),SUMIFS(全伝票!I:I,全伝票!$A:$A,$A22,全伝票!$C:$C,$C22)))</f>
        <v>0</v>
      </c>
      <c r="F22" s="161">
        <f>+IF($A22="",IF($C22="",SUMIFS(全伝票!J:J,全伝票!$B:$B,$B22),SUMIFS(全伝票!J:J,全伝票!$C:$C,$C22)),IF($C22="",SUMIFS(全伝票!J:J,全伝票!$A:$A,$A22,全伝票!$B:$B,$B22),SUMIFS(全伝票!J:J,全伝票!$A:$A,$A22,全伝票!$C:$C,$C22)))</f>
        <v>0</v>
      </c>
      <c r="G22" s="160">
        <f>+IF($A22="",IF($C22="",SUMIFS(全伝票!K:K,全伝票!$B:$B,$B22),SUMIFS(全伝票!K:K,全伝票!$C:$C,$C22)),IF($C22="",SUMIFS(全伝票!K:K,全伝票!$A:$A,$A22,全伝票!$B:$B,$B22),SUMIFS(全伝票!K:K,全伝票!$A:$A,$A22,全伝票!$C:$C,$C22)))</f>
        <v>0</v>
      </c>
      <c r="H22" s="160">
        <f>+IF($A22="",IF($C22="",SUMIFS(全伝票!L:L,全伝票!$B:$B,$B22),SUMIFS(全伝票!L:L,全伝票!$C:$C,$C22)),IF($C22="",SUMIFS(全伝票!L:L,全伝票!$A:$A,$A22,全伝票!$B:$B,$B22),SUMIFS(全伝票!L:L,全伝票!$A:$A,$A22,全伝票!$C:$C,$C22)))</f>
        <v>0</v>
      </c>
      <c r="I22" s="159">
        <f>+IF($A22="",IF($C22="",SUMIFS(全伝票!M:M,全伝票!$B:$B,$B22),SUMIFS(全伝票!M:M,全伝票!$C:$C,$C22)),IF($C22="",SUMIFS(全伝票!M:M,全伝票!$A:$A,$A22,全伝票!$B:$B,$B22),SUMIFS(全伝票!M:M,全伝票!$A:$A,$A22,全伝票!$C:$C,$C22)))</f>
        <v>0</v>
      </c>
      <c r="J22" s="159">
        <f>+IF($A22="",IF($C22="",SUMIFS(全伝票!N:N,全伝票!$B:$B,$B22),SUMIFS(全伝票!N:N,全伝票!$C:$C,$C22)),IF($C22="",SUMIFS(全伝票!N:N,全伝票!$A:$A,$A22,全伝票!$B:$B,$B22),SUMIFS(全伝票!N:N,全伝票!$A:$A,$A22,全伝票!$C:$C,$C22)))</f>
        <v>0</v>
      </c>
      <c r="K22" s="34">
        <f t="shared" si="0"/>
        <v>0</v>
      </c>
      <c r="L22" s="158">
        <f>+IF($A22="",IF($C22="",SUMIFS(全伝票!O:O,全伝票!$B:$B,$B22),SUMIFS(全伝票!O:O,全伝票!$C:$C,$C22)),IF($C22="",SUMIFS(全伝票!O:O,全伝票!$A:$A,$A22,全伝票!$B:$B,$B22),SUMIFS(全伝票!O:O,全伝票!$A:$A,$A22,全伝票!$C:$C,$C22)))</f>
        <v>0</v>
      </c>
      <c r="M22" s="158">
        <f>+IF($A22="",IF($C22="",SUMIFS(全伝票!P:P,全伝票!$B:$B,$B22),SUMIFS(全伝票!P:P,全伝票!$C:$C,$C22)),IF($C22="",SUMIFS(全伝票!P:P,全伝票!$A:$A,$A22,全伝票!$B:$B,$B22),SUMIFS(全伝票!P:P,全伝票!$A:$A,$A22,全伝票!$C:$C,$C22)))</f>
        <v>0</v>
      </c>
      <c r="N22" s="108">
        <f t="shared" si="1"/>
        <v>0</v>
      </c>
      <c r="O22" s="25">
        <f t="shared" si="3"/>
        <v>0</v>
      </c>
      <c r="P22" s="25">
        <f t="shared" si="2"/>
        <v>0</v>
      </c>
      <c r="Q22" s="157">
        <f t="shared" si="3"/>
        <v>0</v>
      </c>
      <c r="R22" s="157">
        <f t="shared" si="4"/>
        <v>0</v>
      </c>
      <c r="S22" s="22">
        <f t="shared" si="5"/>
        <v>0</v>
      </c>
      <c r="T22" s="109">
        <f t="shared" si="6"/>
        <v>0</v>
      </c>
      <c r="U22" s="107">
        <f t="shared" si="7"/>
        <v>0</v>
      </c>
      <c r="V22" s="107">
        <f t="shared" si="8"/>
        <v>0</v>
      </c>
      <c r="W22" s="107">
        <f t="shared" si="9"/>
        <v>0</v>
      </c>
      <c r="X22" s="107">
        <f t="shared" si="9"/>
        <v>0</v>
      </c>
      <c r="Y22" s="107">
        <f t="shared" si="10"/>
        <v>0</v>
      </c>
      <c r="Z22" s="106">
        <f t="shared" si="11"/>
        <v>0</v>
      </c>
      <c r="AA22" s="106">
        <f t="shared" si="12"/>
        <v>0</v>
      </c>
      <c r="AB22" s="106">
        <f t="shared" si="13"/>
        <v>0</v>
      </c>
      <c r="AC22" s="106">
        <f t="shared" si="13"/>
        <v>0</v>
      </c>
      <c r="AD22" s="106">
        <f t="shared" si="14"/>
        <v>0</v>
      </c>
    </row>
    <row r="23" spans="1:30">
      <c r="A23" s="165">
        <v>1</v>
      </c>
      <c r="B23" s="164" t="s">
        <v>325</v>
      </c>
      <c r="C23" s="163"/>
      <c r="D23" s="162" t="s">
        <v>75</v>
      </c>
      <c r="E23" s="158">
        <f>+IF($A23="",IF($C23="",SUMIFS(全伝票!I:I,全伝票!$B:$B,$B23),SUMIFS(全伝票!I:I,全伝票!$C:$C,$C23)),IF($C23="",SUMIFS(全伝票!I:I,全伝票!$A:$A,$A23,全伝票!$B:$B,$B23),SUMIFS(全伝票!I:I,全伝票!$A:$A,$A23,全伝票!$C:$C,$C23)))</f>
        <v>0</v>
      </c>
      <c r="F23" s="161">
        <f>+IF($A23="",IF($C23="",SUMIFS(全伝票!J:J,全伝票!$B:$B,$B23),SUMIFS(全伝票!J:J,全伝票!$C:$C,$C23)),IF($C23="",SUMIFS(全伝票!J:J,全伝票!$A:$A,$A23,全伝票!$B:$B,$B23),SUMIFS(全伝票!J:J,全伝票!$A:$A,$A23,全伝票!$C:$C,$C23)))</f>
        <v>0</v>
      </c>
      <c r="G23" s="160">
        <f>+IF($A23="",IF($C23="",SUMIFS(全伝票!K:K,全伝票!$B:$B,$B23),SUMIFS(全伝票!K:K,全伝票!$C:$C,$C23)),IF($C23="",SUMIFS(全伝票!K:K,全伝票!$A:$A,$A23,全伝票!$B:$B,$B23),SUMIFS(全伝票!K:K,全伝票!$A:$A,$A23,全伝票!$C:$C,$C23)))</f>
        <v>0</v>
      </c>
      <c r="H23" s="160">
        <f>+IF($A23="",IF($C23="",SUMIFS(全伝票!L:L,全伝票!$B:$B,$B23),SUMIFS(全伝票!L:L,全伝票!$C:$C,$C23)),IF($C23="",SUMIFS(全伝票!L:L,全伝票!$A:$A,$A23,全伝票!$B:$B,$B23),SUMIFS(全伝票!L:L,全伝票!$A:$A,$A23,全伝票!$C:$C,$C23)))</f>
        <v>0</v>
      </c>
      <c r="I23" s="159">
        <f>+IF($A23="",IF($C23="",SUMIFS(全伝票!M:M,全伝票!$B:$B,$B23),SUMIFS(全伝票!M:M,全伝票!$C:$C,$C23)),IF($C23="",SUMIFS(全伝票!M:M,全伝票!$A:$A,$A23,全伝票!$B:$B,$B23),SUMIFS(全伝票!M:M,全伝票!$A:$A,$A23,全伝票!$C:$C,$C23)))</f>
        <v>0</v>
      </c>
      <c r="J23" s="159">
        <f>+IF($A23="",IF($C23="",SUMIFS(全伝票!N:N,全伝票!$B:$B,$B23),SUMIFS(全伝票!N:N,全伝票!$C:$C,$C23)),IF($C23="",SUMIFS(全伝票!N:N,全伝票!$A:$A,$A23,全伝票!$B:$B,$B23),SUMIFS(全伝票!N:N,全伝票!$A:$A,$A23,全伝票!$C:$C,$C23)))</f>
        <v>0</v>
      </c>
      <c r="K23" s="34">
        <f t="shared" si="0"/>
        <v>0</v>
      </c>
      <c r="L23" s="158">
        <f>+IF($A23="",IF($C23="",SUMIFS(全伝票!O:O,全伝票!$B:$B,$B23),SUMIFS(全伝票!O:O,全伝票!$C:$C,$C23)),IF($C23="",SUMIFS(全伝票!O:O,全伝票!$A:$A,$A23,全伝票!$B:$B,$B23),SUMIFS(全伝票!O:O,全伝票!$A:$A,$A23,全伝票!$C:$C,$C23)))</f>
        <v>0</v>
      </c>
      <c r="M23" s="158">
        <f>+IF($A23="",IF($C23="",SUMIFS(全伝票!P:P,全伝票!$B:$B,$B23),SUMIFS(全伝票!P:P,全伝票!$C:$C,$C23)),IF($C23="",SUMIFS(全伝票!P:P,全伝票!$A:$A,$A23,全伝票!$B:$B,$B23),SUMIFS(全伝票!P:P,全伝票!$A:$A,$A23,全伝票!$C:$C,$C23)))</f>
        <v>0</v>
      </c>
      <c r="N23" s="108">
        <f t="shared" si="1"/>
        <v>0</v>
      </c>
      <c r="O23" s="25">
        <f t="shared" si="3"/>
        <v>0</v>
      </c>
      <c r="P23" s="25">
        <f t="shared" si="2"/>
        <v>0</v>
      </c>
      <c r="Q23" s="157">
        <f t="shared" si="3"/>
        <v>0</v>
      </c>
      <c r="R23" s="157">
        <f t="shared" si="4"/>
        <v>0</v>
      </c>
      <c r="S23" s="22">
        <f t="shared" si="5"/>
        <v>0</v>
      </c>
      <c r="T23" s="109">
        <f t="shared" si="6"/>
        <v>0</v>
      </c>
      <c r="U23" s="107">
        <f t="shared" si="7"/>
        <v>0</v>
      </c>
      <c r="V23" s="107">
        <f t="shared" si="8"/>
        <v>0</v>
      </c>
      <c r="W23" s="107">
        <f t="shared" si="9"/>
        <v>0</v>
      </c>
      <c r="X23" s="107">
        <f t="shared" si="9"/>
        <v>0</v>
      </c>
      <c r="Y23" s="107">
        <f t="shared" si="10"/>
        <v>0</v>
      </c>
      <c r="Z23" s="106">
        <f t="shared" si="11"/>
        <v>0</v>
      </c>
      <c r="AA23" s="106">
        <f t="shared" si="12"/>
        <v>0</v>
      </c>
      <c r="AB23" s="106">
        <f t="shared" si="13"/>
        <v>0</v>
      </c>
      <c r="AC23" s="106">
        <f t="shared" si="13"/>
        <v>0</v>
      </c>
      <c r="AD23" s="106">
        <f t="shared" si="14"/>
        <v>0</v>
      </c>
    </row>
    <row r="24" spans="1:30">
      <c r="A24" s="165">
        <v>1</v>
      </c>
      <c r="B24" s="164" t="s">
        <v>324</v>
      </c>
      <c r="C24" s="163"/>
      <c r="D24" s="162" t="s">
        <v>73</v>
      </c>
      <c r="E24" s="158">
        <f>+IF($A24="",IF($C24="",SUMIFS(全伝票!I:I,全伝票!$B:$B,$B24),SUMIFS(全伝票!I:I,全伝票!$C:$C,$C24)),IF($C24="",SUMIFS(全伝票!I:I,全伝票!$A:$A,$A24,全伝票!$B:$B,$B24),SUMIFS(全伝票!I:I,全伝票!$A:$A,$A24,全伝票!$C:$C,$C24)))</f>
        <v>0</v>
      </c>
      <c r="F24" s="161">
        <f>+IF($A24="",IF($C24="",SUMIFS(全伝票!J:J,全伝票!$B:$B,$B24),SUMIFS(全伝票!J:J,全伝票!$C:$C,$C24)),IF($C24="",SUMIFS(全伝票!J:J,全伝票!$A:$A,$A24,全伝票!$B:$B,$B24),SUMIFS(全伝票!J:J,全伝票!$A:$A,$A24,全伝票!$C:$C,$C24)))</f>
        <v>0</v>
      </c>
      <c r="G24" s="160">
        <f>+IF($A24="",IF($C24="",SUMIFS(全伝票!K:K,全伝票!$B:$B,$B24),SUMIFS(全伝票!K:K,全伝票!$C:$C,$C24)),IF($C24="",SUMIFS(全伝票!K:K,全伝票!$A:$A,$A24,全伝票!$B:$B,$B24),SUMIFS(全伝票!K:K,全伝票!$A:$A,$A24,全伝票!$C:$C,$C24)))</f>
        <v>0</v>
      </c>
      <c r="H24" s="160">
        <f>+IF($A24="",IF($C24="",SUMIFS(全伝票!L:L,全伝票!$B:$B,$B24),SUMIFS(全伝票!L:L,全伝票!$C:$C,$C24)),IF($C24="",SUMIFS(全伝票!L:L,全伝票!$A:$A,$A24,全伝票!$B:$B,$B24),SUMIFS(全伝票!L:L,全伝票!$A:$A,$A24,全伝票!$C:$C,$C24)))</f>
        <v>0</v>
      </c>
      <c r="I24" s="159">
        <f>+IF($A24="",IF($C24="",SUMIFS(全伝票!M:M,全伝票!$B:$B,$B24),SUMIFS(全伝票!M:M,全伝票!$C:$C,$C24)),IF($C24="",SUMIFS(全伝票!M:M,全伝票!$A:$A,$A24,全伝票!$B:$B,$B24),SUMIFS(全伝票!M:M,全伝票!$A:$A,$A24,全伝票!$C:$C,$C24)))</f>
        <v>0</v>
      </c>
      <c r="J24" s="159">
        <f>+IF($A24="",IF($C24="",SUMIFS(全伝票!N:N,全伝票!$B:$B,$B24),SUMIFS(全伝票!N:N,全伝票!$C:$C,$C24)),IF($C24="",SUMIFS(全伝票!N:N,全伝票!$A:$A,$A24,全伝票!$B:$B,$B24),SUMIFS(全伝票!N:N,全伝票!$A:$A,$A24,全伝票!$C:$C,$C24)))</f>
        <v>0</v>
      </c>
      <c r="K24" s="34">
        <f t="shared" si="0"/>
        <v>0</v>
      </c>
      <c r="L24" s="158">
        <f>+IF($A24="",IF($C24="",SUMIFS(全伝票!O:O,全伝票!$B:$B,$B24),SUMIFS(全伝票!O:O,全伝票!$C:$C,$C24)),IF($C24="",SUMIFS(全伝票!O:O,全伝票!$A:$A,$A24,全伝票!$B:$B,$B24),SUMIFS(全伝票!O:O,全伝票!$A:$A,$A24,全伝票!$C:$C,$C24)))</f>
        <v>0</v>
      </c>
      <c r="M24" s="158">
        <f>+IF($A24="",IF($C24="",SUMIFS(全伝票!P:P,全伝票!$B:$B,$B24),SUMIFS(全伝票!P:P,全伝票!$C:$C,$C24)),IF($C24="",SUMIFS(全伝票!P:P,全伝票!$A:$A,$A24,全伝票!$B:$B,$B24),SUMIFS(全伝票!P:P,全伝票!$A:$A,$A24,全伝票!$C:$C,$C24)))</f>
        <v>0</v>
      </c>
      <c r="N24" s="108">
        <f t="shared" si="1"/>
        <v>0</v>
      </c>
      <c r="O24" s="25">
        <f t="shared" si="3"/>
        <v>0</v>
      </c>
      <c r="P24" s="25">
        <f t="shared" si="2"/>
        <v>0</v>
      </c>
      <c r="Q24" s="157">
        <f t="shared" si="3"/>
        <v>0</v>
      </c>
      <c r="R24" s="157">
        <f t="shared" si="4"/>
        <v>0</v>
      </c>
      <c r="S24" s="22">
        <f t="shared" si="5"/>
        <v>0</v>
      </c>
      <c r="T24" s="109">
        <f t="shared" si="6"/>
        <v>0</v>
      </c>
      <c r="U24" s="107">
        <f t="shared" si="7"/>
        <v>0</v>
      </c>
      <c r="V24" s="107">
        <f t="shared" si="8"/>
        <v>0</v>
      </c>
      <c r="W24" s="107">
        <f t="shared" si="9"/>
        <v>0</v>
      </c>
      <c r="X24" s="107">
        <f t="shared" si="9"/>
        <v>0</v>
      </c>
      <c r="Y24" s="107">
        <f t="shared" si="10"/>
        <v>0</v>
      </c>
      <c r="Z24" s="106">
        <f t="shared" si="11"/>
        <v>0</v>
      </c>
      <c r="AA24" s="106">
        <f t="shared" si="12"/>
        <v>0</v>
      </c>
      <c r="AB24" s="106">
        <f t="shared" si="13"/>
        <v>0</v>
      </c>
      <c r="AC24" s="106">
        <f t="shared" si="13"/>
        <v>0</v>
      </c>
      <c r="AD24" s="106">
        <f t="shared" si="14"/>
        <v>0</v>
      </c>
    </row>
    <row r="25" spans="1:30">
      <c r="A25" s="165">
        <v>1</v>
      </c>
      <c r="B25" s="164" t="s">
        <v>322</v>
      </c>
      <c r="C25" s="163" t="s">
        <v>323</v>
      </c>
      <c r="D25" s="162" t="s">
        <v>71</v>
      </c>
      <c r="E25" s="158">
        <f>+IF($A25="",IF($C25="",SUMIFS(全伝票!I:I,全伝票!$B:$B,$B25),SUMIFS(全伝票!I:I,全伝票!$C:$C,$C25)),IF($C25="",SUMIFS(全伝票!I:I,全伝票!$A:$A,$A25,全伝票!$B:$B,$B25),SUMIFS(全伝票!I:I,全伝票!$A:$A,$A25,全伝票!$C:$C,$C25)))</f>
        <v>0</v>
      </c>
      <c r="F25" s="161">
        <f>+IF($A25="",IF($C25="",SUMIFS(全伝票!J:J,全伝票!$B:$B,$B25),SUMIFS(全伝票!J:J,全伝票!$C:$C,$C25)),IF($C25="",SUMIFS(全伝票!J:J,全伝票!$A:$A,$A25,全伝票!$B:$B,$B25),SUMIFS(全伝票!J:J,全伝票!$A:$A,$A25,全伝票!$C:$C,$C25)))</f>
        <v>0</v>
      </c>
      <c r="G25" s="160">
        <f>+IF($A25="",IF($C25="",SUMIFS(全伝票!K:K,全伝票!$B:$B,$B25),SUMIFS(全伝票!K:K,全伝票!$C:$C,$C25)),IF($C25="",SUMIFS(全伝票!K:K,全伝票!$A:$A,$A25,全伝票!$B:$B,$B25),SUMIFS(全伝票!K:K,全伝票!$A:$A,$A25,全伝票!$C:$C,$C25)))</f>
        <v>0</v>
      </c>
      <c r="H25" s="160">
        <f>+IF($A25="",IF($C25="",SUMIFS(全伝票!L:L,全伝票!$B:$B,$B25),SUMIFS(全伝票!L:L,全伝票!$C:$C,$C25)),IF($C25="",SUMIFS(全伝票!L:L,全伝票!$A:$A,$A25,全伝票!$B:$B,$B25),SUMIFS(全伝票!L:L,全伝票!$A:$A,$A25,全伝票!$C:$C,$C25)))</f>
        <v>0</v>
      </c>
      <c r="I25" s="159">
        <f>+IF($A25="",IF($C25="",SUMIFS(全伝票!M:M,全伝票!$B:$B,$B25),SUMIFS(全伝票!M:M,全伝票!$C:$C,$C25)),IF($C25="",SUMIFS(全伝票!M:M,全伝票!$A:$A,$A25,全伝票!$B:$B,$B25),SUMIFS(全伝票!M:M,全伝票!$A:$A,$A25,全伝票!$C:$C,$C25)))</f>
        <v>0</v>
      </c>
      <c r="J25" s="159">
        <f>+IF($A25="",IF($C25="",SUMIFS(全伝票!N:N,全伝票!$B:$B,$B25),SUMIFS(全伝票!N:N,全伝票!$C:$C,$C25)),IF($C25="",SUMIFS(全伝票!N:N,全伝票!$A:$A,$A25,全伝票!$B:$B,$B25),SUMIFS(全伝票!N:N,全伝票!$A:$A,$A25,全伝票!$C:$C,$C25)))</f>
        <v>0</v>
      </c>
      <c r="K25" s="34">
        <f t="shared" si="0"/>
        <v>0</v>
      </c>
      <c r="L25" s="158">
        <f>+IF($A25="",IF($C25="",SUMIFS(全伝票!O:O,全伝票!$B:$B,$B25),SUMIFS(全伝票!O:O,全伝票!$C:$C,$C25)),IF($C25="",SUMIFS(全伝票!O:O,全伝票!$A:$A,$A25,全伝票!$B:$B,$B25),SUMIFS(全伝票!O:O,全伝票!$A:$A,$A25,全伝票!$C:$C,$C25)))</f>
        <v>0</v>
      </c>
      <c r="M25" s="158">
        <f>+IF($A25="",IF($C25="",SUMIFS(全伝票!P:P,全伝票!$B:$B,$B25),SUMIFS(全伝票!P:P,全伝票!$C:$C,$C25)),IF($C25="",SUMIFS(全伝票!P:P,全伝票!$A:$A,$A25,全伝票!$B:$B,$B25),SUMIFS(全伝票!P:P,全伝票!$A:$A,$A25,全伝票!$C:$C,$C25)))</f>
        <v>0</v>
      </c>
      <c r="N25" s="108">
        <f t="shared" si="1"/>
        <v>0</v>
      </c>
      <c r="O25" s="25">
        <f t="shared" si="3"/>
        <v>0</v>
      </c>
      <c r="P25" s="25">
        <f t="shared" si="2"/>
        <v>0</v>
      </c>
      <c r="Q25" s="157">
        <f t="shared" si="3"/>
        <v>0</v>
      </c>
      <c r="R25" s="157">
        <f t="shared" si="4"/>
        <v>0</v>
      </c>
      <c r="S25" s="22">
        <f t="shared" si="5"/>
        <v>0</v>
      </c>
      <c r="T25" s="109">
        <f t="shared" si="6"/>
        <v>0</v>
      </c>
      <c r="U25" s="107">
        <f t="shared" si="7"/>
        <v>0</v>
      </c>
      <c r="V25" s="107">
        <f t="shared" si="8"/>
        <v>0</v>
      </c>
      <c r="W25" s="107">
        <f t="shared" si="9"/>
        <v>0</v>
      </c>
      <c r="X25" s="107">
        <f t="shared" si="9"/>
        <v>0</v>
      </c>
      <c r="Y25" s="107">
        <f t="shared" si="10"/>
        <v>0</v>
      </c>
      <c r="Z25" s="106">
        <f t="shared" si="11"/>
        <v>0</v>
      </c>
      <c r="AA25" s="106">
        <f t="shared" si="12"/>
        <v>0</v>
      </c>
      <c r="AB25" s="106">
        <f t="shared" si="13"/>
        <v>0</v>
      </c>
      <c r="AC25" s="106">
        <f t="shared" si="13"/>
        <v>0</v>
      </c>
      <c r="AD25" s="106">
        <f t="shared" si="14"/>
        <v>0</v>
      </c>
    </row>
    <row r="26" spans="1:30">
      <c r="A26" s="165">
        <v>1</v>
      </c>
      <c r="B26" s="164" t="s">
        <v>322</v>
      </c>
      <c r="C26" s="163" t="s">
        <v>321</v>
      </c>
      <c r="D26" s="162" t="s">
        <v>68</v>
      </c>
      <c r="E26" s="158">
        <f>+IF($A26="",IF($C26="",SUMIFS(全伝票!I:I,全伝票!$B:$B,$B26),SUMIFS(全伝票!I:I,全伝票!$C:$C,$C26)),IF($C26="",SUMIFS(全伝票!I:I,全伝票!$A:$A,$A26,全伝票!$B:$B,$B26),SUMIFS(全伝票!I:I,全伝票!$A:$A,$A26,全伝票!$C:$C,$C26)))</f>
        <v>0</v>
      </c>
      <c r="F26" s="161">
        <f>+IF($A26="",IF($C26="",SUMIFS(全伝票!J:J,全伝票!$B:$B,$B26),SUMIFS(全伝票!J:J,全伝票!$C:$C,$C26)),IF($C26="",SUMIFS(全伝票!J:J,全伝票!$A:$A,$A26,全伝票!$B:$B,$B26),SUMIFS(全伝票!J:J,全伝票!$A:$A,$A26,全伝票!$C:$C,$C26)))</f>
        <v>0</v>
      </c>
      <c r="G26" s="160">
        <f>+IF($A26="",IF($C26="",SUMIFS(全伝票!K:K,全伝票!$B:$B,$B26),SUMIFS(全伝票!K:K,全伝票!$C:$C,$C26)),IF($C26="",SUMIFS(全伝票!K:K,全伝票!$A:$A,$A26,全伝票!$B:$B,$B26),SUMIFS(全伝票!K:K,全伝票!$A:$A,$A26,全伝票!$C:$C,$C26)))</f>
        <v>0</v>
      </c>
      <c r="H26" s="160">
        <f>+IF($A26="",IF($C26="",SUMIFS(全伝票!L:L,全伝票!$B:$B,$B26),SUMIFS(全伝票!L:L,全伝票!$C:$C,$C26)),IF($C26="",SUMIFS(全伝票!L:L,全伝票!$A:$A,$A26,全伝票!$B:$B,$B26),SUMIFS(全伝票!L:L,全伝票!$A:$A,$A26,全伝票!$C:$C,$C26)))</f>
        <v>0</v>
      </c>
      <c r="I26" s="159">
        <f>+IF($A26="",IF($C26="",SUMIFS(全伝票!M:M,全伝票!$B:$B,$B26),SUMIFS(全伝票!M:M,全伝票!$C:$C,$C26)),IF($C26="",SUMIFS(全伝票!M:M,全伝票!$A:$A,$A26,全伝票!$B:$B,$B26),SUMIFS(全伝票!M:M,全伝票!$A:$A,$A26,全伝票!$C:$C,$C26)))</f>
        <v>0</v>
      </c>
      <c r="J26" s="159">
        <f>+IF($A26="",IF($C26="",SUMIFS(全伝票!N:N,全伝票!$B:$B,$B26),SUMIFS(全伝票!N:N,全伝票!$C:$C,$C26)),IF($C26="",SUMIFS(全伝票!N:N,全伝票!$A:$A,$A26,全伝票!$B:$B,$B26),SUMIFS(全伝票!N:N,全伝票!$A:$A,$A26,全伝票!$C:$C,$C26)))</f>
        <v>0</v>
      </c>
      <c r="K26" s="34">
        <f t="shared" si="0"/>
        <v>0</v>
      </c>
      <c r="L26" s="158">
        <f>+IF($A26="",IF($C26="",SUMIFS(全伝票!O:O,全伝票!$B:$B,$B26),SUMIFS(全伝票!O:O,全伝票!$C:$C,$C26)),IF($C26="",SUMIFS(全伝票!O:O,全伝票!$A:$A,$A26,全伝票!$B:$B,$B26),SUMIFS(全伝票!O:O,全伝票!$A:$A,$A26,全伝票!$C:$C,$C26)))</f>
        <v>0</v>
      </c>
      <c r="M26" s="158">
        <f>+IF($A26="",IF($C26="",SUMIFS(全伝票!P:P,全伝票!$B:$B,$B26),SUMIFS(全伝票!P:P,全伝票!$C:$C,$C26)),IF($C26="",SUMIFS(全伝票!P:P,全伝票!$A:$A,$A26,全伝票!$B:$B,$B26),SUMIFS(全伝票!P:P,全伝票!$A:$A,$A26,全伝票!$C:$C,$C26)))</f>
        <v>0</v>
      </c>
      <c r="N26" s="108">
        <f t="shared" si="1"/>
        <v>0</v>
      </c>
      <c r="O26" s="25">
        <f t="shared" si="3"/>
        <v>0</v>
      </c>
      <c r="P26" s="25">
        <f t="shared" si="2"/>
        <v>0</v>
      </c>
      <c r="Q26" s="157">
        <f t="shared" si="3"/>
        <v>0</v>
      </c>
      <c r="R26" s="157">
        <f t="shared" si="4"/>
        <v>0</v>
      </c>
      <c r="S26" s="22">
        <f t="shared" si="5"/>
        <v>0</v>
      </c>
      <c r="T26" s="109">
        <f t="shared" si="6"/>
        <v>0</v>
      </c>
      <c r="U26" s="107">
        <f t="shared" si="7"/>
        <v>0</v>
      </c>
      <c r="V26" s="107">
        <f t="shared" si="8"/>
        <v>0</v>
      </c>
      <c r="W26" s="107">
        <f t="shared" si="9"/>
        <v>0</v>
      </c>
      <c r="X26" s="107">
        <f t="shared" si="9"/>
        <v>0</v>
      </c>
      <c r="Y26" s="107">
        <f t="shared" si="10"/>
        <v>0</v>
      </c>
      <c r="Z26" s="106">
        <f t="shared" si="11"/>
        <v>0</v>
      </c>
      <c r="AA26" s="106">
        <f t="shared" si="12"/>
        <v>0</v>
      </c>
      <c r="AB26" s="106">
        <f t="shared" si="13"/>
        <v>0</v>
      </c>
      <c r="AC26" s="106">
        <f t="shared" si="13"/>
        <v>0</v>
      </c>
      <c r="AD26" s="106">
        <f t="shared" si="14"/>
        <v>0</v>
      </c>
    </row>
    <row r="27" spans="1:30">
      <c r="A27" s="165">
        <v>1</v>
      </c>
      <c r="B27" s="164" t="s">
        <v>320</v>
      </c>
      <c r="C27" s="163"/>
      <c r="D27" s="162" t="s">
        <v>66</v>
      </c>
      <c r="E27" s="158">
        <f>+IF($A27="",IF($C27="",SUMIFS(全伝票!I:I,全伝票!$B:$B,$B27),SUMIFS(全伝票!I:I,全伝票!$C:$C,$C27)),IF($C27="",SUMIFS(全伝票!I:I,全伝票!$A:$A,$A27,全伝票!$B:$B,$B27),SUMIFS(全伝票!I:I,全伝票!$A:$A,$A27,全伝票!$C:$C,$C27)))</f>
        <v>0</v>
      </c>
      <c r="F27" s="161">
        <f>+IF($A27="",IF($C27="",SUMIFS(全伝票!J:J,全伝票!$B:$B,$B27),SUMIFS(全伝票!J:J,全伝票!$C:$C,$C27)),IF($C27="",SUMIFS(全伝票!J:J,全伝票!$A:$A,$A27,全伝票!$B:$B,$B27),SUMIFS(全伝票!J:J,全伝票!$A:$A,$A27,全伝票!$C:$C,$C27)))</f>
        <v>0</v>
      </c>
      <c r="G27" s="160">
        <f>+IF($A27="",IF($C27="",SUMIFS(全伝票!K:K,全伝票!$B:$B,$B27),SUMIFS(全伝票!K:K,全伝票!$C:$C,$C27)),IF($C27="",SUMIFS(全伝票!K:K,全伝票!$A:$A,$A27,全伝票!$B:$B,$B27),SUMIFS(全伝票!K:K,全伝票!$A:$A,$A27,全伝票!$C:$C,$C27)))</f>
        <v>0</v>
      </c>
      <c r="H27" s="160">
        <f>+IF($A27="",IF($C27="",SUMIFS(全伝票!L:L,全伝票!$B:$B,$B27),SUMIFS(全伝票!L:L,全伝票!$C:$C,$C27)),IF($C27="",SUMIFS(全伝票!L:L,全伝票!$A:$A,$A27,全伝票!$B:$B,$B27),SUMIFS(全伝票!L:L,全伝票!$A:$A,$A27,全伝票!$C:$C,$C27)))</f>
        <v>0</v>
      </c>
      <c r="I27" s="159">
        <f>+IF($A27="",IF($C27="",SUMIFS(全伝票!M:M,全伝票!$B:$B,$B27),SUMIFS(全伝票!M:M,全伝票!$C:$C,$C27)),IF($C27="",SUMIFS(全伝票!M:M,全伝票!$A:$A,$A27,全伝票!$B:$B,$B27),SUMIFS(全伝票!M:M,全伝票!$A:$A,$A27,全伝票!$C:$C,$C27)))</f>
        <v>0</v>
      </c>
      <c r="J27" s="159">
        <f>+IF($A27="",IF($C27="",SUMIFS(全伝票!N:N,全伝票!$B:$B,$B27),SUMIFS(全伝票!N:N,全伝票!$C:$C,$C27)),IF($C27="",SUMIFS(全伝票!N:N,全伝票!$A:$A,$A27,全伝票!$B:$B,$B27),SUMIFS(全伝票!N:N,全伝票!$A:$A,$A27,全伝票!$C:$C,$C27)))</f>
        <v>0</v>
      </c>
      <c r="K27" s="34">
        <f t="shared" si="0"/>
        <v>0</v>
      </c>
      <c r="L27" s="158">
        <f>+IF($A27="",IF($C27="",SUMIFS(全伝票!O:O,全伝票!$B:$B,$B27),SUMIFS(全伝票!O:O,全伝票!$C:$C,$C27)),IF($C27="",SUMIFS(全伝票!O:O,全伝票!$A:$A,$A27,全伝票!$B:$B,$B27),SUMIFS(全伝票!O:O,全伝票!$A:$A,$A27,全伝票!$C:$C,$C27)))</f>
        <v>0</v>
      </c>
      <c r="M27" s="158">
        <f>+IF($A27="",IF($C27="",SUMIFS(全伝票!P:P,全伝票!$B:$B,$B27),SUMIFS(全伝票!P:P,全伝票!$C:$C,$C27)),IF($C27="",SUMIFS(全伝票!P:P,全伝票!$A:$A,$A27,全伝票!$B:$B,$B27),SUMIFS(全伝票!P:P,全伝票!$A:$A,$A27,全伝票!$C:$C,$C27)))</f>
        <v>0</v>
      </c>
      <c r="N27" s="108">
        <f t="shared" si="1"/>
        <v>0</v>
      </c>
      <c r="O27" s="25">
        <f t="shared" si="3"/>
        <v>0</v>
      </c>
      <c r="P27" s="25">
        <f t="shared" si="2"/>
        <v>0</v>
      </c>
      <c r="Q27" s="157">
        <f t="shared" si="3"/>
        <v>0</v>
      </c>
      <c r="R27" s="157">
        <f t="shared" si="4"/>
        <v>0</v>
      </c>
      <c r="S27" s="22">
        <f t="shared" si="5"/>
        <v>0</v>
      </c>
      <c r="T27" s="109">
        <f t="shared" si="6"/>
        <v>0</v>
      </c>
      <c r="U27" s="107">
        <f t="shared" si="7"/>
        <v>0</v>
      </c>
      <c r="V27" s="107">
        <f t="shared" si="8"/>
        <v>0</v>
      </c>
      <c r="W27" s="107">
        <f t="shared" si="9"/>
        <v>0</v>
      </c>
      <c r="X27" s="107">
        <f t="shared" si="9"/>
        <v>0</v>
      </c>
      <c r="Y27" s="107">
        <f t="shared" si="10"/>
        <v>0</v>
      </c>
      <c r="Z27" s="106">
        <f t="shared" si="11"/>
        <v>0</v>
      </c>
      <c r="AA27" s="106">
        <f t="shared" si="12"/>
        <v>0</v>
      </c>
      <c r="AB27" s="106">
        <f t="shared" si="13"/>
        <v>0</v>
      </c>
      <c r="AC27" s="106">
        <f t="shared" si="13"/>
        <v>0</v>
      </c>
      <c r="AD27" s="106">
        <f t="shared" si="14"/>
        <v>0</v>
      </c>
    </row>
    <row r="28" spans="1:30">
      <c r="A28" s="165">
        <v>1</v>
      </c>
      <c r="B28" s="164" t="s">
        <v>319</v>
      </c>
      <c r="C28" s="163"/>
      <c r="D28" s="162" t="s">
        <v>64</v>
      </c>
      <c r="E28" s="158">
        <f>+IF($A28="",IF($C28="",SUMIFS(全伝票!I:I,全伝票!$B:$B,$B28),SUMIFS(全伝票!I:I,全伝票!$C:$C,$C28)),IF($C28="",SUMIFS(全伝票!I:I,全伝票!$A:$A,$A28,全伝票!$B:$B,$B28),SUMIFS(全伝票!I:I,全伝票!$A:$A,$A28,全伝票!$C:$C,$C28)))</f>
        <v>0</v>
      </c>
      <c r="F28" s="161">
        <f>+IF($A28="",IF($C28="",SUMIFS(全伝票!J:J,全伝票!$B:$B,$B28),SUMIFS(全伝票!J:J,全伝票!$C:$C,$C28)),IF($C28="",SUMIFS(全伝票!J:J,全伝票!$A:$A,$A28,全伝票!$B:$B,$B28),SUMIFS(全伝票!J:J,全伝票!$A:$A,$A28,全伝票!$C:$C,$C28)))</f>
        <v>0</v>
      </c>
      <c r="G28" s="160">
        <f>+IF($A28="",IF($C28="",SUMIFS(全伝票!K:K,全伝票!$B:$B,$B28),SUMIFS(全伝票!K:K,全伝票!$C:$C,$C28)),IF($C28="",SUMIFS(全伝票!K:K,全伝票!$A:$A,$A28,全伝票!$B:$B,$B28),SUMIFS(全伝票!K:K,全伝票!$A:$A,$A28,全伝票!$C:$C,$C28)))</f>
        <v>0</v>
      </c>
      <c r="H28" s="160">
        <f>+IF($A28="",IF($C28="",SUMIFS(全伝票!L:L,全伝票!$B:$B,$B28),SUMIFS(全伝票!L:L,全伝票!$C:$C,$C28)),IF($C28="",SUMIFS(全伝票!L:L,全伝票!$A:$A,$A28,全伝票!$B:$B,$B28),SUMIFS(全伝票!L:L,全伝票!$A:$A,$A28,全伝票!$C:$C,$C28)))</f>
        <v>0</v>
      </c>
      <c r="I28" s="159">
        <f>+IF($A28="",IF($C28="",SUMIFS(全伝票!M:M,全伝票!$B:$B,$B28),SUMIFS(全伝票!M:M,全伝票!$C:$C,$C28)),IF($C28="",SUMIFS(全伝票!M:M,全伝票!$A:$A,$A28,全伝票!$B:$B,$B28),SUMIFS(全伝票!M:M,全伝票!$A:$A,$A28,全伝票!$C:$C,$C28)))</f>
        <v>0</v>
      </c>
      <c r="J28" s="159">
        <f>+IF($A28="",IF($C28="",SUMIFS(全伝票!N:N,全伝票!$B:$B,$B28),SUMIFS(全伝票!N:N,全伝票!$C:$C,$C28)),IF($C28="",SUMIFS(全伝票!N:N,全伝票!$A:$A,$A28,全伝票!$B:$B,$B28),SUMIFS(全伝票!N:N,全伝票!$A:$A,$A28,全伝票!$C:$C,$C28)))</f>
        <v>0</v>
      </c>
      <c r="K28" s="34">
        <f t="shared" si="0"/>
        <v>0</v>
      </c>
      <c r="L28" s="158">
        <f>+IF($A28="",IF($C28="",SUMIFS(全伝票!O:O,全伝票!$B:$B,$B28),SUMIFS(全伝票!O:O,全伝票!$C:$C,$C28)),IF($C28="",SUMIFS(全伝票!O:O,全伝票!$A:$A,$A28,全伝票!$B:$B,$B28),SUMIFS(全伝票!O:O,全伝票!$A:$A,$A28,全伝票!$C:$C,$C28)))</f>
        <v>0</v>
      </c>
      <c r="M28" s="158">
        <f>+IF($A28="",IF($C28="",SUMIFS(全伝票!P:P,全伝票!$B:$B,$B28),SUMIFS(全伝票!P:P,全伝票!$C:$C,$C28)),IF($C28="",SUMIFS(全伝票!P:P,全伝票!$A:$A,$A28,全伝票!$B:$B,$B28),SUMIFS(全伝票!P:P,全伝票!$A:$A,$A28,全伝票!$C:$C,$C28)))</f>
        <v>0</v>
      </c>
      <c r="N28" s="108">
        <f t="shared" si="1"/>
        <v>0</v>
      </c>
      <c r="O28" s="25">
        <f t="shared" si="3"/>
        <v>0</v>
      </c>
      <c r="P28" s="25">
        <f t="shared" si="2"/>
        <v>0</v>
      </c>
      <c r="Q28" s="157">
        <f t="shared" si="3"/>
        <v>0</v>
      </c>
      <c r="R28" s="157">
        <f t="shared" si="4"/>
        <v>0</v>
      </c>
      <c r="S28" s="22">
        <f t="shared" si="5"/>
        <v>0</v>
      </c>
      <c r="T28" s="109">
        <f t="shared" si="6"/>
        <v>0</v>
      </c>
      <c r="U28" s="107">
        <f t="shared" si="7"/>
        <v>0</v>
      </c>
      <c r="V28" s="107">
        <f t="shared" si="8"/>
        <v>0</v>
      </c>
      <c r="W28" s="107">
        <f t="shared" si="9"/>
        <v>0</v>
      </c>
      <c r="X28" s="107">
        <f t="shared" si="9"/>
        <v>0</v>
      </c>
      <c r="Y28" s="107">
        <f t="shared" si="10"/>
        <v>0</v>
      </c>
      <c r="Z28" s="106">
        <f t="shared" si="11"/>
        <v>0</v>
      </c>
      <c r="AA28" s="106">
        <f t="shared" si="12"/>
        <v>0</v>
      </c>
      <c r="AB28" s="106">
        <f t="shared" si="13"/>
        <v>0</v>
      </c>
      <c r="AC28" s="106">
        <f t="shared" si="13"/>
        <v>0</v>
      </c>
      <c r="AD28" s="106">
        <f t="shared" si="14"/>
        <v>0</v>
      </c>
    </row>
    <row r="29" spans="1:30">
      <c r="A29" s="165">
        <v>1</v>
      </c>
      <c r="B29" s="164" t="s">
        <v>318</v>
      </c>
      <c r="C29" s="163"/>
      <c r="D29" s="162" t="s">
        <v>62</v>
      </c>
      <c r="E29" s="158">
        <f>+IF($A29="",IF($C29="",SUMIFS(全伝票!I:I,全伝票!$B:$B,$B29),SUMIFS(全伝票!I:I,全伝票!$C:$C,$C29)),IF($C29="",SUMIFS(全伝票!I:I,全伝票!$A:$A,$A29,全伝票!$B:$B,$B29),SUMIFS(全伝票!I:I,全伝票!$A:$A,$A29,全伝票!$C:$C,$C29)))</f>
        <v>0</v>
      </c>
      <c r="F29" s="161">
        <f>+IF($A29="",IF($C29="",SUMIFS(全伝票!J:J,全伝票!$B:$B,$B29),SUMIFS(全伝票!J:J,全伝票!$C:$C,$C29)),IF($C29="",SUMIFS(全伝票!J:J,全伝票!$A:$A,$A29,全伝票!$B:$B,$B29),SUMIFS(全伝票!J:J,全伝票!$A:$A,$A29,全伝票!$C:$C,$C29)))</f>
        <v>0</v>
      </c>
      <c r="G29" s="160">
        <f>+IF($A29="",IF($C29="",SUMIFS(全伝票!K:K,全伝票!$B:$B,$B29),SUMIFS(全伝票!K:K,全伝票!$C:$C,$C29)),IF($C29="",SUMIFS(全伝票!K:K,全伝票!$A:$A,$A29,全伝票!$B:$B,$B29),SUMIFS(全伝票!K:K,全伝票!$A:$A,$A29,全伝票!$C:$C,$C29)))</f>
        <v>0</v>
      </c>
      <c r="H29" s="160">
        <f>+IF($A29="",IF($C29="",SUMIFS(全伝票!L:L,全伝票!$B:$B,$B29),SUMIFS(全伝票!L:L,全伝票!$C:$C,$C29)),IF($C29="",SUMIFS(全伝票!L:L,全伝票!$A:$A,$A29,全伝票!$B:$B,$B29),SUMIFS(全伝票!L:L,全伝票!$A:$A,$A29,全伝票!$C:$C,$C29)))</f>
        <v>0</v>
      </c>
      <c r="I29" s="159">
        <f>+IF($A29="",IF($C29="",SUMIFS(全伝票!M:M,全伝票!$B:$B,$B29),SUMIFS(全伝票!M:M,全伝票!$C:$C,$C29)),IF($C29="",SUMIFS(全伝票!M:M,全伝票!$A:$A,$A29,全伝票!$B:$B,$B29),SUMIFS(全伝票!M:M,全伝票!$A:$A,$A29,全伝票!$C:$C,$C29)))</f>
        <v>0</v>
      </c>
      <c r="J29" s="159">
        <f>+IF($A29="",IF($C29="",SUMIFS(全伝票!N:N,全伝票!$B:$B,$B29),SUMIFS(全伝票!N:N,全伝票!$C:$C,$C29)),IF($C29="",SUMIFS(全伝票!N:N,全伝票!$A:$A,$A29,全伝票!$B:$B,$B29),SUMIFS(全伝票!N:N,全伝票!$A:$A,$A29,全伝票!$C:$C,$C29)))</f>
        <v>0</v>
      </c>
      <c r="K29" s="34">
        <f t="shared" si="0"/>
        <v>0</v>
      </c>
      <c r="L29" s="158">
        <f>+IF($A29="",IF($C29="",SUMIFS(全伝票!O:O,全伝票!$B:$B,$B29),SUMIFS(全伝票!O:O,全伝票!$C:$C,$C29)),IF($C29="",SUMIFS(全伝票!O:O,全伝票!$A:$A,$A29,全伝票!$B:$B,$B29),SUMIFS(全伝票!O:O,全伝票!$A:$A,$A29,全伝票!$C:$C,$C29)))</f>
        <v>0</v>
      </c>
      <c r="M29" s="158">
        <f>+IF($A29="",IF($C29="",SUMIFS(全伝票!P:P,全伝票!$B:$B,$B29),SUMIFS(全伝票!P:P,全伝票!$C:$C,$C29)),IF($C29="",SUMIFS(全伝票!P:P,全伝票!$A:$A,$A29,全伝票!$B:$B,$B29),SUMIFS(全伝票!P:P,全伝票!$A:$A,$A29,全伝票!$C:$C,$C29)))</f>
        <v>0</v>
      </c>
      <c r="N29" s="108">
        <f t="shared" si="1"/>
        <v>0</v>
      </c>
      <c r="O29" s="25">
        <f t="shared" si="3"/>
        <v>0</v>
      </c>
      <c r="P29" s="25">
        <f t="shared" si="2"/>
        <v>0</v>
      </c>
      <c r="Q29" s="157">
        <f t="shared" si="3"/>
        <v>0</v>
      </c>
      <c r="R29" s="157">
        <f t="shared" si="4"/>
        <v>0</v>
      </c>
      <c r="S29" s="22">
        <f t="shared" si="5"/>
        <v>0</v>
      </c>
      <c r="T29" s="109">
        <f t="shared" si="6"/>
        <v>0</v>
      </c>
      <c r="U29" s="107">
        <f t="shared" si="7"/>
        <v>0</v>
      </c>
      <c r="V29" s="107">
        <f t="shared" si="8"/>
        <v>0</v>
      </c>
      <c r="W29" s="107">
        <f t="shared" si="9"/>
        <v>0</v>
      </c>
      <c r="X29" s="107">
        <f t="shared" si="9"/>
        <v>0</v>
      </c>
      <c r="Y29" s="107">
        <f t="shared" si="10"/>
        <v>0</v>
      </c>
      <c r="Z29" s="106">
        <f t="shared" si="11"/>
        <v>0</v>
      </c>
      <c r="AA29" s="106">
        <f t="shared" si="12"/>
        <v>0</v>
      </c>
      <c r="AB29" s="106">
        <f t="shared" si="13"/>
        <v>0</v>
      </c>
      <c r="AC29" s="106">
        <f t="shared" si="13"/>
        <v>0</v>
      </c>
      <c r="AD29" s="106">
        <f t="shared" si="14"/>
        <v>0</v>
      </c>
    </row>
    <row r="30" spans="1:30">
      <c r="A30" s="165">
        <v>1</v>
      </c>
      <c r="B30" s="164" t="s">
        <v>317</v>
      </c>
      <c r="C30" s="163"/>
      <c r="D30" s="162" t="s">
        <v>60</v>
      </c>
      <c r="E30" s="158">
        <f>+IF($A30="",IF($C30="",SUMIFS(全伝票!I:I,全伝票!$B:$B,$B30),SUMIFS(全伝票!I:I,全伝票!$C:$C,$C30)),IF($C30="",SUMIFS(全伝票!I:I,全伝票!$A:$A,$A30,全伝票!$B:$B,$B30),SUMIFS(全伝票!I:I,全伝票!$A:$A,$A30,全伝票!$C:$C,$C30)))</f>
        <v>0</v>
      </c>
      <c r="F30" s="161">
        <f>+IF($A30="",IF($C30="",SUMIFS(全伝票!J:J,全伝票!$B:$B,$B30),SUMIFS(全伝票!J:J,全伝票!$C:$C,$C30)),IF($C30="",SUMIFS(全伝票!J:J,全伝票!$A:$A,$A30,全伝票!$B:$B,$B30),SUMIFS(全伝票!J:J,全伝票!$A:$A,$A30,全伝票!$C:$C,$C30)))</f>
        <v>0</v>
      </c>
      <c r="G30" s="160">
        <f>+IF($A30="",IF($C30="",SUMIFS(全伝票!K:K,全伝票!$B:$B,$B30),SUMIFS(全伝票!K:K,全伝票!$C:$C,$C30)),IF($C30="",SUMIFS(全伝票!K:K,全伝票!$A:$A,$A30,全伝票!$B:$B,$B30),SUMIFS(全伝票!K:K,全伝票!$A:$A,$A30,全伝票!$C:$C,$C30)))</f>
        <v>0</v>
      </c>
      <c r="H30" s="160">
        <f>+IF($A30="",IF($C30="",SUMIFS(全伝票!L:L,全伝票!$B:$B,$B30),SUMIFS(全伝票!L:L,全伝票!$C:$C,$C30)),IF($C30="",SUMIFS(全伝票!L:L,全伝票!$A:$A,$A30,全伝票!$B:$B,$B30),SUMIFS(全伝票!L:L,全伝票!$A:$A,$A30,全伝票!$C:$C,$C30)))</f>
        <v>0</v>
      </c>
      <c r="I30" s="159">
        <f>+IF($A30="",IF($C30="",SUMIFS(全伝票!M:M,全伝票!$B:$B,$B30),SUMIFS(全伝票!M:M,全伝票!$C:$C,$C30)),IF($C30="",SUMIFS(全伝票!M:M,全伝票!$A:$A,$A30,全伝票!$B:$B,$B30),SUMIFS(全伝票!M:M,全伝票!$A:$A,$A30,全伝票!$C:$C,$C30)))</f>
        <v>0</v>
      </c>
      <c r="J30" s="159">
        <f>+IF($A30="",IF($C30="",SUMIFS(全伝票!N:N,全伝票!$B:$B,$B30),SUMIFS(全伝票!N:N,全伝票!$C:$C,$C30)),IF($C30="",SUMIFS(全伝票!N:N,全伝票!$A:$A,$A30,全伝票!$B:$B,$B30),SUMIFS(全伝票!N:N,全伝票!$A:$A,$A30,全伝票!$C:$C,$C30)))</f>
        <v>0</v>
      </c>
      <c r="K30" s="34">
        <f t="shared" si="0"/>
        <v>0</v>
      </c>
      <c r="L30" s="158">
        <f>+IF($A30="",IF($C30="",SUMIFS(全伝票!O:O,全伝票!$B:$B,$B30),SUMIFS(全伝票!O:O,全伝票!$C:$C,$C30)),IF($C30="",SUMIFS(全伝票!O:O,全伝票!$A:$A,$A30,全伝票!$B:$B,$B30),SUMIFS(全伝票!O:O,全伝票!$A:$A,$A30,全伝票!$C:$C,$C30)))</f>
        <v>0</v>
      </c>
      <c r="M30" s="158">
        <f>+IF($A30="",IF($C30="",SUMIFS(全伝票!P:P,全伝票!$B:$B,$B30),SUMIFS(全伝票!P:P,全伝票!$C:$C,$C30)),IF($C30="",SUMIFS(全伝票!P:P,全伝票!$A:$A,$A30,全伝票!$B:$B,$B30),SUMIFS(全伝票!P:P,全伝票!$A:$A,$A30,全伝票!$C:$C,$C30)))</f>
        <v>0</v>
      </c>
      <c r="N30" s="108">
        <f t="shared" si="1"/>
        <v>0</v>
      </c>
      <c r="O30" s="25">
        <f t="shared" si="3"/>
        <v>0</v>
      </c>
      <c r="P30" s="25">
        <f t="shared" si="2"/>
        <v>0</v>
      </c>
      <c r="Q30" s="157">
        <f t="shared" si="3"/>
        <v>0</v>
      </c>
      <c r="R30" s="157">
        <f t="shared" si="4"/>
        <v>0</v>
      </c>
      <c r="S30" s="22">
        <f t="shared" si="5"/>
        <v>0</v>
      </c>
      <c r="T30" s="109">
        <f t="shared" si="6"/>
        <v>0</v>
      </c>
      <c r="U30" s="107">
        <f t="shared" si="7"/>
        <v>0</v>
      </c>
      <c r="V30" s="107">
        <f t="shared" si="8"/>
        <v>0</v>
      </c>
      <c r="W30" s="107">
        <f t="shared" si="9"/>
        <v>0</v>
      </c>
      <c r="X30" s="107">
        <f t="shared" si="9"/>
        <v>0</v>
      </c>
      <c r="Y30" s="107">
        <f t="shared" si="10"/>
        <v>0</v>
      </c>
      <c r="Z30" s="106">
        <f t="shared" si="11"/>
        <v>0</v>
      </c>
      <c r="AA30" s="106">
        <f t="shared" si="12"/>
        <v>0</v>
      </c>
      <c r="AB30" s="106">
        <f t="shared" si="13"/>
        <v>0</v>
      </c>
      <c r="AC30" s="106">
        <f t="shared" si="13"/>
        <v>0</v>
      </c>
      <c r="AD30" s="106">
        <f t="shared" si="14"/>
        <v>0</v>
      </c>
    </row>
    <row r="31" spans="1:30">
      <c r="A31" s="165">
        <v>1</v>
      </c>
      <c r="B31" s="164" t="s">
        <v>316</v>
      </c>
      <c r="C31" s="163"/>
      <c r="D31" s="162" t="s">
        <v>58</v>
      </c>
      <c r="E31" s="158">
        <f>+IF($A31="",IF($C31="",SUMIFS(全伝票!I:I,全伝票!$B:$B,$B31),SUMIFS(全伝票!I:I,全伝票!$C:$C,$C31)),IF($C31="",SUMIFS(全伝票!I:I,全伝票!$A:$A,$A31,全伝票!$B:$B,$B31),SUMIFS(全伝票!I:I,全伝票!$A:$A,$A31,全伝票!$C:$C,$C31)))</f>
        <v>10540</v>
      </c>
      <c r="F31" s="161">
        <f>+IF($A31="",IF($C31="",SUMIFS(全伝票!J:J,全伝票!$B:$B,$B31),SUMIFS(全伝票!J:J,全伝票!$C:$C,$C31)),IF($C31="",SUMIFS(全伝票!J:J,全伝票!$A:$A,$A31,全伝票!$B:$B,$B31),SUMIFS(全伝票!J:J,全伝票!$A:$A,$A31,全伝票!$C:$C,$C31)))</f>
        <v>0</v>
      </c>
      <c r="G31" s="160">
        <f>+IF($A31="",IF($C31="",SUMIFS(全伝票!K:K,全伝票!$B:$B,$B31),SUMIFS(全伝票!K:K,全伝票!$C:$C,$C31)),IF($C31="",SUMIFS(全伝票!K:K,全伝票!$A:$A,$A31,全伝票!$B:$B,$B31),SUMIFS(全伝票!K:K,全伝票!$A:$A,$A31,全伝票!$C:$C,$C31)))</f>
        <v>0</v>
      </c>
      <c r="H31" s="160">
        <f>+IF($A31="",IF($C31="",SUMIFS(全伝票!L:L,全伝票!$B:$B,$B31),SUMIFS(全伝票!L:L,全伝票!$C:$C,$C31)),IF($C31="",SUMIFS(全伝票!L:L,全伝票!$A:$A,$A31,全伝票!$B:$B,$B31),SUMIFS(全伝票!L:L,全伝票!$A:$A,$A31,全伝票!$C:$C,$C31)))</f>
        <v>0</v>
      </c>
      <c r="I31" s="159">
        <f>+IF($A31="",IF($C31="",SUMIFS(全伝票!M:M,全伝票!$B:$B,$B31),SUMIFS(全伝票!M:M,全伝票!$C:$C,$C31)),IF($C31="",SUMIFS(全伝票!M:M,全伝票!$A:$A,$A31,全伝票!$B:$B,$B31),SUMIFS(全伝票!M:M,全伝票!$A:$A,$A31,全伝票!$C:$C,$C31)))</f>
        <v>0</v>
      </c>
      <c r="J31" s="159">
        <f>+IF($A31="",IF($C31="",SUMIFS(全伝票!N:N,全伝票!$B:$B,$B31),SUMIFS(全伝票!N:N,全伝票!$C:$C,$C31)),IF($C31="",SUMIFS(全伝票!N:N,全伝票!$A:$A,$A31,全伝票!$B:$B,$B31),SUMIFS(全伝票!N:N,全伝票!$A:$A,$A31,全伝票!$C:$C,$C31)))</f>
        <v>0</v>
      </c>
      <c r="K31" s="34">
        <f t="shared" si="0"/>
        <v>0</v>
      </c>
      <c r="L31" s="158">
        <f>+IF($A31="",IF($C31="",SUMIFS(全伝票!O:O,全伝票!$B:$B,$B31),SUMIFS(全伝票!O:O,全伝票!$C:$C,$C31)),IF($C31="",SUMIFS(全伝票!O:O,全伝票!$A:$A,$A31,全伝票!$B:$B,$B31),SUMIFS(全伝票!O:O,全伝票!$A:$A,$A31,全伝票!$C:$C,$C31)))</f>
        <v>10540</v>
      </c>
      <c r="M31" s="158">
        <f>+IF($A31="",IF($C31="",SUMIFS(全伝票!P:P,全伝票!$B:$B,$B31),SUMIFS(全伝票!P:P,全伝票!$C:$C,$C31)),IF($C31="",SUMIFS(全伝票!P:P,全伝票!$A:$A,$A31,全伝票!$B:$B,$B31),SUMIFS(全伝票!P:P,全伝票!$A:$A,$A31,全伝票!$C:$C,$C31)))</f>
        <v>0</v>
      </c>
      <c r="N31" s="108">
        <f t="shared" si="1"/>
        <v>0</v>
      </c>
      <c r="O31" s="25">
        <f t="shared" si="3"/>
        <v>0</v>
      </c>
      <c r="P31" s="25">
        <f t="shared" si="2"/>
        <v>0</v>
      </c>
      <c r="Q31" s="157">
        <f t="shared" si="3"/>
        <v>0</v>
      </c>
      <c r="R31" s="157">
        <f t="shared" si="4"/>
        <v>0</v>
      </c>
      <c r="S31" s="22">
        <f t="shared" si="5"/>
        <v>0</v>
      </c>
      <c r="T31" s="109">
        <f t="shared" si="6"/>
        <v>10540</v>
      </c>
      <c r="U31" s="107">
        <f t="shared" si="7"/>
        <v>0</v>
      </c>
      <c r="V31" s="107">
        <f t="shared" si="8"/>
        <v>0</v>
      </c>
      <c r="W31" s="107">
        <f t="shared" si="9"/>
        <v>0</v>
      </c>
      <c r="X31" s="107">
        <f t="shared" si="9"/>
        <v>0</v>
      </c>
      <c r="Y31" s="107">
        <f t="shared" si="10"/>
        <v>0</v>
      </c>
      <c r="Z31" s="106">
        <f t="shared" si="11"/>
        <v>0</v>
      </c>
      <c r="AA31" s="106">
        <f t="shared" si="12"/>
        <v>0</v>
      </c>
      <c r="AB31" s="106">
        <f t="shared" si="13"/>
        <v>0</v>
      </c>
      <c r="AC31" s="106">
        <f t="shared" si="13"/>
        <v>0</v>
      </c>
      <c r="AD31" s="106">
        <f t="shared" si="14"/>
        <v>0</v>
      </c>
    </row>
    <row r="32" spans="1:30">
      <c r="A32" s="165">
        <v>1</v>
      </c>
      <c r="B32" s="164" t="s">
        <v>315</v>
      </c>
      <c r="C32" s="163"/>
      <c r="D32" s="162" t="s">
        <v>56</v>
      </c>
      <c r="E32" s="158">
        <f>+IF($A32="",IF($C32="",SUMIFS(全伝票!I:I,全伝票!$B:$B,$B32),SUMIFS(全伝票!I:I,全伝票!$C:$C,$C32)),IF($C32="",SUMIFS(全伝票!I:I,全伝票!$A:$A,$A32,全伝票!$B:$B,$B32),SUMIFS(全伝票!I:I,全伝票!$A:$A,$A32,全伝票!$C:$C,$C32)))</f>
        <v>0</v>
      </c>
      <c r="F32" s="161">
        <f>+IF($A32="",IF($C32="",SUMIFS(全伝票!J:J,全伝票!$B:$B,$B32),SUMIFS(全伝票!J:J,全伝票!$C:$C,$C32)),IF($C32="",SUMIFS(全伝票!J:J,全伝票!$A:$A,$A32,全伝票!$B:$B,$B32),SUMIFS(全伝票!J:J,全伝票!$A:$A,$A32,全伝票!$C:$C,$C32)))</f>
        <v>0</v>
      </c>
      <c r="G32" s="160">
        <f>+IF($A32="",IF($C32="",SUMIFS(全伝票!K:K,全伝票!$B:$B,$B32),SUMIFS(全伝票!K:K,全伝票!$C:$C,$C32)),IF($C32="",SUMIFS(全伝票!K:K,全伝票!$A:$A,$A32,全伝票!$B:$B,$B32),SUMIFS(全伝票!K:K,全伝票!$A:$A,$A32,全伝票!$C:$C,$C32)))</f>
        <v>0</v>
      </c>
      <c r="H32" s="160">
        <f>+IF($A32="",IF($C32="",SUMIFS(全伝票!L:L,全伝票!$B:$B,$B32),SUMIFS(全伝票!L:L,全伝票!$C:$C,$C32)),IF($C32="",SUMIFS(全伝票!L:L,全伝票!$A:$A,$A32,全伝票!$B:$B,$B32),SUMIFS(全伝票!L:L,全伝票!$A:$A,$A32,全伝票!$C:$C,$C32)))</f>
        <v>0</v>
      </c>
      <c r="I32" s="159">
        <f>+IF($A32="",IF($C32="",SUMIFS(全伝票!M:M,全伝票!$B:$B,$B32),SUMIFS(全伝票!M:M,全伝票!$C:$C,$C32)),IF($C32="",SUMIFS(全伝票!M:M,全伝票!$A:$A,$A32,全伝票!$B:$B,$B32),SUMIFS(全伝票!M:M,全伝票!$A:$A,$A32,全伝票!$C:$C,$C32)))</f>
        <v>0</v>
      </c>
      <c r="J32" s="159">
        <f>+IF($A32="",IF($C32="",SUMIFS(全伝票!N:N,全伝票!$B:$B,$B32),SUMIFS(全伝票!N:N,全伝票!$C:$C,$C32)),IF($C32="",SUMIFS(全伝票!N:N,全伝票!$A:$A,$A32,全伝票!$B:$B,$B32),SUMIFS(全伝票!N:N,全伝票!$A:$A,$A32,全伝票!$C:$C,$C32)))</f>
        <v>0</v>
      </c>
      <c r="K32" s="34">
        <f t="shared" si="0"/>
        <v>0</v>
      </c>
      <c r="L32" s="158">
        <f>+IF($A32="",IF($C32="",SUMIFS(全伝票!O:O,全伝票!$B:$B,$B32),SUMIFS(全伝票!O:O,全伝票!$C:$C,$C32)),IF($C32="",SUMIFS(全伝票!O:O,全伝票!$A:$A,$A32,全伝票!$B:$B,$B32),SUMIFS(全伝票!O:O,全伝票!$A:$A,$A32,全伝票!$C:$C,$C32)))</f>
        <v>0</v>
      </c>
      <c r="M32" s="158">
        <f>+IF($A32="",IF($C32="",SUMIFS(全伝票!P:P,全伝票!$B:$B,$B32),SUMIFS(全伝票!P:P,全伝票!$C:$C,$C32)),IF($C32="",SUMIFS(全伝票!P:P,全伝票!$A:$A,$A32,全伝票!$B:$B,$B32),SUMIFS(全伝票!P:P,全伝票!$A:$A,$A32,全伝票!$C:$C,$C32)))</f>
        <v>0</v>
      </c>
      <c r="N32" s="108">
        <f t="shared" si="1"/>
        <v>0</v>
      </c>
      <c r="O32" s="25">
        <f t="shared" si="3"/>
        <v>0</v>
      </c>
      <c r="P32" s="25">
        <f t="shared" si="2"/>
        <v>0</v>
      </c>
      <c r="Q32" s="157">
        <f t="shared" si="3"/>
        <v>0</v>
      </c>
      <c r="R32" s="157">
        <f t="shared" si="4"/>
        <v>0</v>
      </c>
      <c r="S32" s="22">
        <f t="shared" si="5"/>
        <v>0</v>
      </c>
      <c r="T32" s="109">
        <f t="shared" si="6"/>
        <v>0</v>
      </c>
      <c r="U32" s="107">
        <f t="shared" si="7"/>
        <v>0</v>
      </c>
      <c r="V32" s="107">
        <f t="shared" si="8"/>
        <v>0</v>
      </c>
      <c r="W32" s="107">
        <f t="shared" si="9"/>
        <v>0</v>
      </c>
      <c r="X32" s="107">
        <f t="shared" si="9"/>
        <v>0</v>
      </c>
      <c r="Y32" s="107">
        <f t="shared" si="10"/>
        <v>0</v>
      </c>
      <c r="Z32" s="106">
        <f t="shared" si="11"/>
        <v>0</v>
      </c>
      <c r="AA32" s="106">
        <f t="shared" si="12"/>
        <v>0</v>
      </c>
      <c r="AB32" s="106">
        <f t="shared" si="13"/>
        <v>0</v>
      </c>
      <c r="AC32" s="106">
        <f t="shared" si="13"/>
        <v>0</v>
      </c>
      <c r="AD32" s="106">
        <f t="shared" si="14"/>
        <v>0</v>
      </c>
    </row>
    <row r="33" spans="1:30">
      <c r="A33" s="165">
        <v>1</v>
      </c>
      <c r="B33" s="164" t="s">
        <v>336</v>
      </c>
      <c r="C33" s="163">
        <v>883141003</v>
      </c>
      <c r="D33" s="162" t="s">
        <v>609</v>
      </c>
      <c r="E33" s="158">
        <f>+IF($A33="",IF($C33="",SUMIFS(全伝票!I:I,全伝票!$B:$B,$B33),SUMIFS(全伝票!I:I,全伝票!$C:$C,$C33)),IF($C33="",SUMIFS(全伝票!I:I,全伝票!$A:$A,$A33,全伝票!$B:$B,$B33),SUMIFS(全伝票!I:I,全伝票!$A:$A,$A33,全伝票!$C:$C,$C33)))</f>
        <v>258110</v>
      </c>
      <c r="F33" s="161">
        <f>+IF($A33="",IF($C33="",SUMIFS(全伝票!J:J,全伝票!$B:$B,$B33),SUMIFS(全伝票!J:J,全伝票!$C:$C,$C33)),IF($C33="",SUMIFS(全伝票!J:J,全伝票!$A:$A,$A33,全伝票!$B:$B,$B33),SUMIFS(全伝票!J:J,全伝票!$A:$A,$A33,全伝票!$C:$C,$C33)))</f>
        <v>0</v>
      </c>
      <c r="G33" s="160">
        <f>+IF($A33="",IF($C33="",SUMIFS(全伝票!K:K,全伝票!$B:$B,$B33),SUMIFS(全伝票!K:K,全伝票!$C:$C,$C33)),IF($C33="",SUMIFS(全伝票!K:K,全伝票!$A:$A,$A33,全伝票!$B:$B,$B33),SUMIFS(全伝票!K:K,全伝票!$A:$A,$A33,全伝票!$C:$C,$C33)))</f>
        <v>0</v>
      </c>
      <c r="H33" s="160">
        <f>+IF($A33="",IF($C33="",SUMIFS(全伝票!L:L,全伝票!$B:$B,$B33),SUMIFS(全伝票!L:L,全伝票!$C:$C,$C33)),IF($C33="",SUMIFS(全伝票!L:L,全伝票!$A:$A,$A33,全伝票!$B:$B,$B33),SUMIFS(全伝票!L:L,全伝票!$A:$A,$A33,全伝票!$C:$C,$C33)))</f>
        <v>0</v>
      </c>
      <c r="I33" s="159">
        <f>+IF($A33="",IF($C33="",SUMIFS(全伝票!M:M,全伝票!$B:$B,$B33),SUMIFS(全伝票!M:M,全伝票!$C:$C,$C33)),IF($C33="",SUMIFS(全伝票!M:M,全伝票!$A:$A,$A33,全伝票!$B:$B,$B33),SUMIFS(全伝票!M:M,全伝票!$A:$A,$A33,全伝票!$C:$C,$C33)))</f>
        <v>0</v>
      </c>
      <c r="J33" s="159">
        <f>+IF($A33="",IF($C33="",SUMIFS(全伝票!N:N,全伝票!$B:$B,$B33),SUMIFS(全伝票!N:N,全伝票!$C:$C,$C33)),IF($C33="",SUMIFS(全伝票!N:N,全伝票!$A:$A,$A33,全伝票!$B:$B,$B33),SUMIFS(全伝票!N:N,全伝票!$A:$A,$A33,全伝票!$C:$C,$C33)))</f>
        <v>258110</v>
      </c>
      <c r="K33" s="34">
        <f t="shared" si="0"/>
        <v>258110</v>
      </c>
      <c r="L33" s="158">
        <f>+IF($A33="",IF($C33="",SUMIFS(全伝票!O:O,全伝票!$B:$B,$B33),SUMIFS(全伝票!O:O,全伝票!$C:$C,$C33)),IF($C33="",SUMIFS(全伝票!O:O,全伝票!$A:$A,$A33,全伝票!$B:$B,$B33),SUMIFS(全伝票!O:O,全伝票!$A:$A,$A33,全伝票!$C:$C,$C33)))</f>
        <v>0</v>
      </c>
      <c r="M33" s="158">
        <f>+IF($A33="",IF($C33="",SUMIFS(全伝票!P:P,全伝票!$B:$B,$B33),SUMIFS(全伝票!P:P,全伝票!$C:$C,$C33)),IF($C33="",SUMIFS(全伝票!P:P,全伝票!$A:$A,$A33,全伝票!$B:$B,$B33),SUMIFS(全伝票!P:P,全伝票!$A:$A,$A33,全伝票!$C:$C,$C33)))</f>
        <v>0</v>
      </c>
      <c r="N33" s="108">
        <f t="shared" si="1"/>
        <v>0</v>
      </c>
      <c r="O33" s="25">
        <f t="shared" si="3"/>
        <v>0</v>
      </c>
      <c r="P33" s="25">
        <f t="shared" si="2"/>
        <v>0</v>
      </c>
      <c r="Q33" s="157">
        <f t="shared" si="3"/>
        <v>0</v>
      </c>
      <c r="R33" s="157">
        <f t="shared" si="4"/>
        <v>23465</v>
      </c>
      <c r="S33" s="22">
        <f t="shared" si="5"/>
        <v>23465</v>
      </c>
      <c r="T33" s="109">
        <f t="shared" si="6"/>
        <v>234645</v>
      </c>
      <c r="U33" s="107">
        <f t="shared" si="7"/>
        <v>0</v>
      </c>
      <c r="V33" s="107">
        <f t="shared" si="8"/>
        <v>0</v>
      </c>
      <c r="W33" s="107">
        <f t="shared" si="9"/>
        <v>0</v>
      </c>
      <c r="X33" s="107">
        <f t="shared" si="9"/>
        <v>0</v>
      </c>
      <c r="Y33" s="107">
        <f t="shared" si="10"/>
        <v>0.45454545454413164</v>
      </c>
      <c r="Z33" s="106">
        <f t="shared" si="11"/>
        <v>0</v>
      </c>
      <c r="AA33" s="106">
        <f t="shared" si="12"/>
        <v>0</v>
      </c>
      <c r="AB33" s="106">
        <f t="shared" si="13"/>
        <v>0</v>
      </c>
      <c r="AC33" s="106">
        <f t="shared" si="13"/>
        <v>0</v>
      </c>
      <c r="AD33" s="106">
        <f t="shared" si="14"/>
        <v>0</v>
      </c>
    </row>
    <row r="34" spans="1:30">
      <c r="A34" s="165">
        <v>1</v>
      </c>
      <c r="B34" s="164" t="s">
        <v>314</v>
      </c>
      <c r="C34" s="163"/>
      <c r="D34" s="162" t="s">
        <v>53</v>
      </c>
      <c r="E34" s="158">
        <f>+IF($A34="",IF($C34="",SUMIFS(全伝票!I:I,全伝票!$B:$B,$B34),SUMIFS(全伝票!I:I,全伝票!$C:$C,$C34)),IF($C34="",SUMIFS(全伝票!I:I,全伝票!$A:$A,$A34,全伝票!$B:$B,$B34),SUMIFS(全伝票!I:I,全伝票!$A:$A,$A34,全伝票!$C:$C,$C34)))</f>
        <v>1499000</v>
      </c>
      <c r="F34" s="161">
        <f>+IF($A34="",IF($C34="",SUMIFS(全伝票!J:J,全伝票!$B:$B,$B34),SUMIFS(全伝票!J:J,全伝票!$C:$C,$C34)),IF($C34="",SUMIFS(全伝票!J:J,全伝票!$A:$A,$A34,全伝票!$B:$B,$B34),SUMIFS(全伝票!J:J,全伝票!$A:$A,$A34,全伝票!$C:$C,$C34)))</f>
        <v>0</v>
      </c>
      <c r="G34" s="160">
        <f>+IF($A34="",IF($C34="",SUMIFS(全伝票!K:K,全伝票!$B:$B,$B34),SUMIFS(全伝票!K:K,全伝票!$C:$C,$C34)),IF($C34="",SUMIFS(全伝票!K:K,全伝票!$A:$A,$A34,全伝票!$B:$B,$B34),SUMIFS(全伝票!K:K,全伝票!$A:$A,$A34,全伝票!$C:$C,$C34)))</f>
        <v>0</v>
      </c>
      <c r="H34" s="160">
        <f>+IF($A34="",IF($C34="",SUMIFS(全伝票!L:L,全伝票!$B:$B,$B34),SUMIFS(全伝票!L:L,全伝票!$C:$C,$C34)),IF($C34="",SUMIFS(全伝票!L:L,全伝票!$A:$A,$A34,全伝票!$B:$B,$B34),SUMIFS(全伝票!L:L,全伝票!$A:$A,$A34,全伝票!$C:$C,$C34)))</f>
        <v>0</v>
      </c>
      <c r="I34" s="159">
        <f>+IF($A34="",IF($C34="",SUMIFS(全伝票!M:M,全伝票!$B:$B,$B34),SUMIFS(全伝票!M:M,全伝票!$C:$C,$C34)),IF($C34="",SUMIFS(全伝票!M:M,全伝票!$A:$A,$A34,全伝票!$B:$B,$B34),SUMIFS(全伝票!M:M,全伝票!$A:$A,$A34,全伝票!$C:$C,$C34)))</f>
        <v>0</v>
      </c>
      <c r="J34" s="159">
        <f>+IF($A34="",IF($C34="",SUMIFS(全伝票!N:N,全伝票!$B:$B,$B34),SUMIFS(全伝票!N:N,全伝票!$C:$C,$C34)),IF($C34="",SUMIFS(全伝票!N:N,全伝票!$A:$A,$A34,全伝票!$B:$B,$B34),SUMIFS(全伝票!N:N,全伝票!$A:$A,$A34,全伝票!$C:$C,$C34)))</f>
        <v>0</v>
      </c>
      <c r="K34" s="34">
        <f t="shared" si="0"/>
        <v>0</v>
      </c>
      <c r="L34" s="158">
        <f>+IF($A34="",IF($C34="",SUMIFS(全伝票!O:O,全伝票!$B:$B,$B34),SUMIFS(全伝票!O:O,全伝票!$C:$C,$C34)),IF($C34="",SUMIFS(全伝票!O:O,全伝票!$A:$A,$A34,全伝票!$B:$B,$B34),SUMIFS(全伝票!O:O,全伝票!$A:$A,$A34,全伝票!$C:$C,$C34)))</f>
        <v>0</v>
      </c>
      <c r="M34" s="158">
        <f>+IF($A34="",IF($C34="",SUMIFS(全伝票!P:P,全伝票!$B:$B,$B34),SUMIFS(全伝票!P:P,全伝票!$C:$C,$C34)),IF($C34="",SUMIFS(全伝票!P:P,全伝票!$A:$A,$A34,全伝票!$B:$B,$B34),SUMIFS(全伝票!P:P,全伝票!$A:$A,$A34,全伝票!$C:$C,$C34)))</f>
        <v>1499000</v>
      </c>
      <c r="N34" s="108">
        <f t="shared" si="1"/>
        <v>0</v>
      </c>
      <c r="O34" s="25">
        <f t="shared" si="3"/>
        <v>0</v>
      </c>
      <c r="P34" s="25">
        <f t="shared" si="2"/>
        <v>0</v>
      </c>
      <c r="Q34" s="157">
        <f t="shared" si="3"/>
        <v>0</v>
      </c>
      <c r="R34" s="157">
        <f t="shared" si="4"/>
        <v>0</v>
      </c>
      <c r="S34" s="22">
        <f t="shared" si="5"/>
        <v>0</v>
      </c>
      <c r="T34" s="109">
        <f t="shared" si="6"/>
        <v>1499000</v>
      </c>
      <c r="U34" s="107">
        <f t="shared" si="7"/>
        <v>0</v>
      </c>
      <c r="V34" s="107">
        <f t="shared" si="8"/>
        <v>0</v>
      </c>
      <c r="W34" s="107">
        <f t="shared" si="9"/>
        <v>0</v>
      </c>
      <c r="X34" s="107">
        <f t="shared" si="9"/>
        <v>0</v>
      </c>
      <c r="Y34" s="107">
        <f t="shared" si="10"/>
        <v>0</v>
      </c>
      <c r="Z34" s="106">
        <f t="shared" si="11"/>
        <v>0</v>
      </c>
      <c r="AA34" s="106">
        <f t="shared" si="12"/>
        <v>0</v>
      </c>
      <c r="AB34" s="106">
        <f t="shared" si="13"/>
        <v>0</v>
      </c>
      <c r="AC34" s="106">
        <f t="shared" si="13"/>
        <v>0</v>
      </c>
      <c r="AD34" s="106">
        <f t="shared" si="14"/>
        <v>0</v>
      </c>
    </row>
    <row r="35" spans="1:30" ht="14.25" thickBot="1">
      <c r="A35" s="165"/>
      <c r="B35" s="164" t="s">
        <v>313</v>
      </c>
      <c r="C35" s="163"/>
      <c r="D35" s="162" t="s">
        <v>51</v>
      </c>
      <c r="E35" s="158">
        <f>+IF($A35="",IF($C35="",SUMIFS(全伝票!I:I,全伝票!$B:$B,$B35),SUMIFS(全伝票!I:I,全伝票!$C:$C,$C35)),IF($C35="",SUMIFS(全伝票!I:I,全伝票!$A:$A,$A35,全伝票!$B:$B,$B35),SUMIFS(全伝票!I:I,全伝票!$A:$A,$A35,全伝票!$C:$C,$C35)))</f>
        <v>0</v>
      </c>
      <c r="F35" s="161">
        <f>+IF($A35="",IF($C35="",SUMIFS(全伝票!J:J,全伝票!$B:$B,$B35),SUMIFS(全伝票!J:J,全伝票!$C:$C,$C35)),IF($C35="",SUMIFS(全伝票!J:J,全伝票!$A:$A,$A35,全伝票!$B:$B,$B35),SUMIFS(全伝票!J:J,全伝票!$A:$A,$A35,全伝票!$C:$C,$C35)))</f>
        <v>0</v>
      </c>
      <c r="G35" s="160">
        <f>+IF($A35="",IF($C35="",SUMIFS(全伝票!K:K,全伝票!$B:$B,$B35),SUMIFS(全伝票!K:K,全伝票!$C:$C,$C35)),IF($C35="",SUMIFS(全伝票!K:K,全伝票!$A:$A,$A35,全伝票!$B:$B,$B35),SUMIFS(全伝票!K:K,全伝票!$A:$A,$A35,全伝票!$C:$C,$C35)))</f>
        <v>0</v>
      </c>
      <c r="H35" s="160">
        <f>+IF($A35="",IF($C35="",SUMIFS(全伝票!L:L,全伝票!$B:$B,$B35),SUMIFS(全伝票!L:L,全伝票!$C:$C,$C35)),IF($C35="",SUMIFS(全伝票!L:L,全伝票!$A:$A,$A35,全伝票!$B:$B,$B35),SUMIFS(全伝票!L:L,全伝票!$A:$A,$A35,全伝票!$C:$C,$C35)))</f>
        <v>0</v>
      </c>
      <c r="I35" s="159">
        <f>+IF($A35="",IF($C35="",SUMIFS(全伝票!M:M,全伝票!$B:$B,$B35),SUMIFS(全伝票!M:M,全伝票!$C:$C,$C35)),IF($C35="",SUMIFS(全伝票!M:M,全伝票!$A:$A,$A35,全伝票!$B:$B,$B35),SUMIFS(全伝票!M:M,全伝票!$A:$A,$A35,全伝票!$C:$C,$C35)))</f>
        <v>0</v>
      </c>
      <c r="J35" s="159">
        <f>+IF($A35="",IF($C35="",SUMIFS(全伝票!N:N,全伝票!$B:$B,$B35),SUMIFS(全伝票!N:N,全伝票!$C:$C,$C35)),IF($C35="",SUMIFS(全伝票!N:N,全伝票!$A:$A,$A35,全伝票!$B:$B,$B35),SUMIFS(全伝票!N:N,全伝票!$A:$A,$A35,全伝票!$C:$C,$C35)))</f>
        <v>0</v>
      </c>
      <c r="K35" s="34">
        <f t="shared" si="0"/>
        <v>0</v>
      </c>
      <c r="L35" s="158">
        <f>+IF($A35="",IF($C35="",SUMIFS(全伝票!O:O,全伝票!$B:$B,$B35),SUMIFS(全伝票!O:O,全伝票!$C:$C,$C35)),IF($C35="",SUMIFS(全伝票!O:O,全伝票!$A:$A,$A35,全伝票!$B:$B,$B35),SUMIFS(全伝票!O:O,全伝票!$A:$A,$A35,全伝票!$C:$C,$C35)))</f>
        <v>0</v>
      </c>
      <c r="M35" s="158">
        <f>+IF($A35="",IF($C35="",SUMIFS(全伝票!P:P,全伝票!$B:$B,$B35),SUMIFS(全伝票!P:P,全伝票!$C:$C,$C35)),IF($C35="",SUMIFS(全伝票!P:P,全伝票!$A:$A,$A35,全伝票!$B:$B,$B35),SUMIFS(全伝票!P:P,全伝票!$A:$A,$A35,全伝票!$C:$C,$C35)))</f>
        <v>0</v>
      </c>
      <c r="N35" s="108">
        <f t="shared" si="1"/>
        <v>0</v>
      </c>
      <c r="O35" s="25">
        <f t="shared" si="3"/>
        <v>0</v>
      </c>
      <c r="P35" s="25">
        <f t="shared" si="2"/>
        <v>0</v>
      </c>
      <c r="Q35" s="157">
        <f t="shared" si="3"/>
        <v>0</v>
      </c>
      <c r="R35" s="157">
        <f t="shared" si="4"/>
        <v>0</v>
      </c>
      <c r="S35" s="22">
        <f t="shared" si="5"/>
        <v>0</v>
      </c>
      <c r="T35" s="109">
        <f t="shared" si="6"/>
        <v>0</v>
      </c>
      <c r="U35" s="107">
        <f t="shared" si="7"/>
        <v>0</v>
      </c>
      <c r="V35" s="107">
        <f t="shared" si="8"/>
        <v>0</v>
      </c>
      <c r="W35" s="107">
        <f t="shared" si="9"/>
        <v>0</v>
      </c>
      <c r="X35" s="107">
        <f t="shared" si="9"/>
        <v>0</v>
      </c>
      <c r="Y35" s="107">
        <f t="shared" si="10"/>
        <v>0</v>
      </c>
      <c r="Z35" s="106">
        <f t="shared" si="11"/>
        <v>0</v>
      </c>
      <c r="AA35" s="106">
        <f t="shared" si="12"/>
        <v>0</v>
      </c>
      <c r="AB35" s="106">
        <f t="shared" si="13"/>
        <v>0</v>
      </c>
      <c r="AC35" s="106">
        <f t="shared" si="13"/>
        <v>0</v>
      </c>
      <c r="AD35" s="106">
        <f t="shared" si="14"/>
        <v>0</v>
      </c>
    </row>
    <row r="36" spans="1:30" ht="14.25" thickTop="1">
      <c r="A36" s="156"/>
      <c r="B36" s="155"/>
      <c r="C36" s="154"/>
      <c r="D36" s="153" t="s">
        <v>2</v>
      </c>
      <c r="E36" s="149">
        <f t="shared" ref="E36:T36" si="15">SUM(E5:E35)</f>
        <v>1019945143</v>
      </c>
      <c r="F36" s="152">
        <f t="shared" si="15"/>
        <v>0</v>
      </c>
      <c r="G36" s="151">
        <f t="shared" si="15"/>
        <v>0</v>
      </c>
      <c r="H36" s="151">
        <f t="shared" si="15"/>
        <v>0</v>
      </c>
      <c r="I36" s="150">
        <f t="shared" ref="I36" si="16">SUM(I5:I35)</f>
        <v>0</v>
      </c>
      <c r="J36" s="150">
        <f t="shared" si="15"/>
        <v>992787715</v>
      </c>
      <c r="K36" s="74">
        <f t="shared" si="15"/>
        <v>992787715</v>
      </c>
      <c r="L36" s="149">
        <f t="shared" si="15"/>
        <v>4195233</v>
      </c>
      <c r="M36" s="149">
        <f t="shared" si="15"/>
        <v>22962195</v>
      </c>
      <c r="N36" s="146">
        <f t="shared" si="15"/>
        <v>0</v>
      </c>
      <c r="O36" s="145">
        <f t="shared" si="15"/>
        <v>0</v>
      </c>
      <c r="P36" s="145">
        <f t="shared" si="15"/>
        <v>0</v>
      </c>
      <c r="Q36" s="148">
        <f t="shared" ref="Q36" si="17">SUM(Q5:Q35)</f>
        <v>0</v>
      </c>
      <c r="R36" s="148">
        <f t="shared" si="15"/>
        <v>90253429</v>
      </c>
      <c r="S36" s="144">
        <f t="shared" si="15"/>
        <v>90253429</v>
      </c>
      <c r="T36" s="147">
        <f t="shared" si="15"/>
        <v>929691714</v>
      </c>
      <c r="U36" s="88" t="str">
        <f>+IF(F36=0,"",ROUND(F36*F$4/(100+F$4),7)-N36)</f>
        <v/>
      </c>
      <c r="V36" s="88"/>
      <c r="W36" s="88"/>
      <c r="X36" s="88"/>
      <c r="Y36" s="88"/>
      <c r="Z36" s="88"/>
      <c r="AA36" s="88"/>
      <c r="AB36" s="87"/>
      <c r="AC36" s="87"/>
      <c r="AD36" s="87"/>
    </row>
    <row r="37" spans="1:30">
      <c r="A37" s="143"/>
      <c r="B37" s="142"/>
      <c r="C37" s="141"/>
      <c r="D37" s="140" t="s">
        <v>1</v>
      </c>
      <c r="E37" s="136">
        <f t="shared" ref="E37:J37" si="18">+E36</f>
        <v>1019945143</v>
      </c>
      <c r="F37" s="139">
        <f t="shared" si="18"/>
        <v>0</v>
      </c>
      <c r="G37" s="138">
        <f t="shared" si="18"/>
        <v>0</v>
      </c>
      <c r="H37" s="138">
        <f t="shared" si="18"/>
        <v>0</v>
      </c>
      <c r="I37" s="137">
        <f t="shared" si="18"/>
        <v>0</v>
      </c>
      <c r="J37" s="137">
        <f t="shared" si="18"/>
        <v>992787715</v>
      </c>
      <c r="K37" s="63">
        <f>SUM(F37:J37)</f>
        <v>992787715</v>
      </c>
      <c r="L37" s="136">
        <f>+L36</f>
        <v>4195233</v>
      </c>
      <c r="M37" s="135">
        <f>+M36</f>
        <v>22962195</v>
      </c>
      <c r="N37" s="133">
        <f>+'3条支出'!N13</f>
        <v>0</v>
      </c>
      <c r="O37" s="132">
        <f>+'3条支出'!O13</f>
        <v>0</v>
      </c>
      <c r="P37" s="132">
        <f>+'3条支出'!P13</f>
        <v>0</v>
      </c>
      <c r="Q37" s="132">
        <f>+'3条支出'!Q13</f>
        <v>0</v>
      </c>
      <c r="R37" s="132">
        <f>+'3条支出'!R13</f>
        <v>90253429</v>
      </c>
      <c r="S37" s="131">
        <f>+'3条支出'!S13</f>
        <v>90253429</v>
      </c>
      <c r="T37" s="134">
        <f>+'3条支出'!T13</f>
        <v>929691714</v>
      </c>
      <c r="U37" s="88" t="str">
        <f>+IF(F37=0,"",ROUND(F37*F$4/(100+F$4),7)-N37)</f>
        <v/>
      </c>
      <c r="V37" s="88"/>
      <c r="W37" s="88"/>
      <c r="X37" s="88"/>
      <c r="Y37" s="88"/>
      <c r="Z37" s="88"/>
      <c r="AA37" s="88"/>
      <c r="AB37" s="87"/>
      <c r="AC37" s="87"/>
      <c r="AD37" s="87"/>
    </row>
    <row r="38" spans="1:30">
      <c r="E38" s="4">
        <f t="shared" ref="E38:T38" si="19">+E37-E36</f>
        <v>0</v>
      </c>
      <c r="F38" s="4">
        <f t="shared" si="19"/>
        <v>0</v>
      </c>
      <c r="G38" s="4">
        <f t="shared" si="19"/>
        <v>0</v>
      </c>
      <c r="H38" s="4">
        <f t="shared" si="19"/>
        <v>0</v>
      </c>
      <c r="I38" s="4">
        <f t="shared" ref="I38" si="20">+I37-I36</f>
        <v>0</v>
      </c>
      <c r="J38" s="4">
        <f t="shared" si="19"/>
        <v>0</v>
      </c>
      <c r="K38" s="4">
        <f t="shared" si="19"/>
        <v>0</v>
      </c>
      <c r="L38" s="4">
        <f t="shared" si="19"/>
        <v>0</v>
      </c>
      <c r="M38" s="4">
        <f t="shared" si="19"/>
        <v>0</v>
      </c>
      <c r="N38" s="4">
        <f t="shared" si="19"/>
        <v>0</v>
      </c>
      <c r="O38" s="4">
        <f t="shared" si="19"/>
        <v>0</v>
      </c>
      <c r="P38" s="4">
        <f t="shared" si="19"/>
        <v>0</v>
      </c>
      <c r="Q38" s="4">
        <f t="shared" ref="Q38" si="21">+Q37-Q36</f>
        <v>0</v>
      </c>
      <c r="R38" s="4">
        <f t="shared" si="19"/>
        <v>0</v>
      </c>
      <c r="S38" s="4">
        <f t="shared" si="19"/>
        <v>0</v>
      </c>
      <c r="T38" s="4">
        <f t="shared" si="19"/>
        <v>0</v>
      </c>
      <c r="U38" s="88" t="str">
        <f>+IF(F38=0,"",ROUND(F38*F$4/(100+F$4),7)-N38)</f>
        <v/>
      </c>
      <c r="V38" s="88" t="str">
        <f>+IF(G38=0,"",ROUND(G38*G$4/(100+G$4),7)-O38)</f>
        <v/>
      </c>
      <c r="W38" s="88" t="str">
        <f>+IF(H38=0,"",ROUND(H38*H$4/(100+H$4),7)-P38)</f>
        <v/>
      </c>
      <c r="X38" s="88"/>
      <c r="Y38" s="88" t="str">
        <f>+IF(J38=0,"",ROUND(J38*J$4/(100+J$4),7)-R38)</f>
        <v/>
      </c>
      <c r="Z38" s="88"/>
      <c r="AA38" s="88"/>
      <c r="AB38" s="87" t="str">
        <f>+IF(SUM(U38:Y38)=0,"",SUM(U38:Y38))</f>
        <v/>
      </c>
      <c r="AC38" s="87"/>
      <c r="AD38" s="87"/>
    </row>
    <row r="39" spans="1:30">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G40" s="273"/>
      <c r="H40" s="274"/>
      <c r="I40" s="272"/>
      <c r="J40" s="274"/>
      <c r="U40" s="88" t="str">
        <f>+IF(F40=0,"",ROUND(F40*F$4/(100+F$4),7)-N40)</f>
        <v/>
      </c>
      <c r="V40" s="88"/>
      <c r="W40" s="88"/>
      <c r="X40" s="88"/>
      <c r="Y40" s="88"/>
      <c r="Z40" s="88"/>
      <c r="AA40" s="88"/>
      <c r="AB40" s="87"/>
      <c r="AC40" s="87"/>
      <c r="AD40" s="87"/>
    </row>
    <row r="41" spans="1:30">
      <c r="G41" s="273"/>
      <c r="H41" s="274"/>
      <c r="I41" s="272"/>
      <c r="J41" s="274"/>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3"/>
  <conditionalFormatting sqref="AE5:AI35">
    <cfRule type="notContainsBlanks" dxfId="76" priority="3" stopIfTrue="1">
      <formula>LEN(TRIM(AE5))&gt;0</formula>
    </cfRule>
  </conditionalFormatting>
  <conditionalFormatting sqref="AE36:AI37">
    <cfRule type="notContainsBlanks" dxfId="75" priority="4" stopIfTrue="1">
      <formula>LEN(TRIM(AE36))&gt;0</formula>
    </cfRule>
  </conditionalFormatting>
  <conditionalFormatting sqref="Z5:AD35">
    <cfRule type="expression" dxfId="74" priority="2">
      <formula>ABS(Z5)=1</formula>
    </cfRule>
  </conditionalFormatting>
  <conditionalFormatting sqref="E38:T38">
    <cfRule type="cellIs" dxfId="73" priority="1" operator="notEqual">
      <formula>0</formula>
    </cfRule>
  </conditionalFormatting>
  <pageMargins left="0.39370078740157483" right="0.39370078740157483" top="0.78740157480314965" bottom="0.39370078740157483" header="0.39370078740157483" footer="0.19685039370078741"/>
  <pageSetup paperSize="9" scale="67" orientation="landscape" blackAndWhite="1" r:id="rId1"/>
  <headerFooter>
    <oddFooter>&amp;L&amp;8&amp;Z&amp;F&amp;A&amp;R&amp;8&amp;D&amp;T</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I43"/>
  <sheetViews>
    <sheetView zoomScale="70" zoomScaleNormal="70"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+'3条支出'!D1</f>
        <v>令和５年度決算　消費税算出資料</v>
      </c>
    </row>
    <row r="2" spans="1:35">
      <c r="D2" s="2" t="s">
        <v>379</v>
      </c>
      <c r="V2" s="122"/>
      <c r="W2" s="122"/>
      <c r="X2" s="261"/>
      <c r="Y2" s="122"/>
      <c r="Z2" s="122"/>
      <c r="AA2" s="122"/>
      <c r="AB2" s="122"/>
      <c r="AC2" s="261"/>
      <c r="AD2" s="122"/>
      <c r="AE2" s="122"/>
      <c r="AF2" s="122"/>
      <c r="AG2" s="122"/>
      <c r="AH2" s="261"/>
      <c r="AI2" s="122"/>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122"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177">
        <v>1</v>
      </c>
      <c r="B5" s="176" t="s">
        <v>378</v>
      </c>
      <c r="C5" s="175"/>
      <c r="D5" s="174" t="s">
        <v>112</v>
      </c>
      <c r="E5" s="170">
        <f>+IF($A5="",IF($C5="",SUMIFS(全伝票!I:I,全伝票!$B:$B,$B5),SUMIFS(全伝票!I:I,全伝票!$C:$C,$C5)),IF($C5="",SUMIFS(全伝票!I:I,全伝票!$A:$A,$A5,全伝票!$B:$B,$B5),SUMIFS(全伝票!I:I,全伝票!$A:$A,$A5,全伝票!$C:$C,$C5)))</f>
        <v>8388763</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275">
        <f>+IF($A5="",IF($C5="",SUMIFS(全伝票!L:L,全伝票!$B:$B,$B5),SUMIFS(全伝票!L:L,全伝票!$C:$C,$C5)),IF($C5="",SUMIFS(全伝票!L:L,全伝票!$A:$A,$A5,全伝票!$B:$B,$B5),SUMIFS(全伝票!L:L,全伝票!$A:$A,$A5,全伝票!$C:$C,$C5)))</f>
        <v>0</v>
      </c>
      <c r="I5" s="270">
        <f>+IF($A5="",IF($C5="",SUMIFS(全伝票!M:M,全伝票!$B:$B,$B5),SUMIFS(全伝票!M:M,全伝票!$C:$C,$C5)),IF($C5="",SUMIFS(全伝票!M:M,全伝票!$A:$A,$A5,全伝票!$B:$B,$B5),SUMIFS(全伝票!M:M,全伝票!$A:$A,$A5,全伝票!$C:$C,$C5)))</f>
        <v>0</v>
      </c>
      <c r="J5" s="171">
        <f>+IF($A5="",IF($C5="",SUMIFS(全伝票!N:N,全伝票!$B:$B,$B5),SUMIFS(全伝票!N:N,全伝票!$C:$C,$C5)),IF($C5="",SUMIFS(全伝票!N:N,全伝票!$A:$A,$A5,全伝票!$B:$B,$B5),SUMIFS(全伝票!N:N,全伝票!$A:$A,$A5,全伝票!$C:$C,$C5)))</f>
        <v>0</v>
      </c>
      <c r="K5" s="112">
        <f t="shared" ref="K5:K36" si="0">SUM(F5:J5)</f>
        <v>0</v>
      </c>
      <c r="L5" s="170">
        <f>+IF($A5="",IF($C5="",SUMIFS(全伝票!O:O,全伝票!$B:$B,$B5),SUMIFS(全伝票!O:O,全伝票!$C:$C,$C5)),IF($C5="",SUMIFS(全伝票!O:O,全伝票!$A:$A,$A5,全伝票!$B:$B,$B5),SUMIFS(全伝票!O:O,全伝票!$A:$A,$A5,全伝票!$C:$C,$C5)))</f>
        <v>0</v>
      </c>
      <c r="M5" s="277">
        <f>+IF($A5="",IF($C5="",SUMIFS(全伝票!P:P,全伝票!$B:$B,$B5),SUMIFS(全伝票!P:P,全伝票!$C:$C,$C5)),IF($C5="",SUMIFS(全伝票!P:P,全伝票!$A:$A,$A5,全伝票!$B:$B,$B5),SUMIFS(全伝票!P:P,全伝票!$A:$A,$A5,全伝票!$C:$C,$C5)))</f>
        <v>8388763</v>
      </c>
      <c r="N5" s="169">
        <f t="shared" ref="N5:N36" si="1">+ROUND(F5*F$4/(100+F$4),0)+AE5</f>
        <v>0</v>
      </c>
      <c r="O5" s="47">
        <f>+ROUND(G5*G$4/(100+G$4),0)+AF5</f>
        <v>0</v>
      </c>
      <c r="P5" s="47">
        <f t="shared" ref="P5:P36" si="2">+ROUND(H5*H$4/(100+H$4),0)+AG5</f>
        <v>0</v>
      </c>
      <c r="Q5" s="168">
        <f t="shared" ref="O5:Q36" si="3">+ROUND(I5*I$4/(100+I$4),0)+AH5</f>
        <v>0</v>
      </c>
      <c r="R5" s="168">
        <f t="shared" ref="R5:R36" si="4">+ROUND(J5*J$4/(100+J$4),0)+AI5</f>
        <v>0</v>
      </c>
      <c r="S5" s="167">
        <f t="shared" ref="S5:S36" si="5">SUM(N5:R5)</f>
        <v>0</v>
      </c>
      <c r="T5" s="166">
        <f t="shared" ref="T5:T36" si="6">+E5-S5</f>
        <v>8388763</v>
      </c>
      <c r="U5" s="107">
        <f t="shared" ref="U5:U36" si="7">N5-F5*F$4/(100+F$4)</f>
        <v>0</v>
      </c>
      <c r="V5" s="107">
        <f t="shared" ref="V5:V36" si="8">O5-G5*G$4/(100+G$4)</f>
        <v>0</v>
      </c>
      <c r="W5" s="107">
        <f t="shared" ref="W5:X36" si="9">P5-H5*H$4/(100+H$4)</f>
        <v>0</v>
      </c>
      <c r="X5" s="107">
        <f t="shared" si="9"/>
        <v>0</v>
      </c>
      <c r="Y5" s="107">
        <f t="shared" ref="Y5:Y36" si="10">R5-J5*J$4/(100+J$4)</f>
        <v>0</v>
      </c>
      <c r="Z5" s="106">
        <f t="shared" ref="Z5:Z36" si="11">+IF(N$39=0,0,IF(N$39&lt;0,-RANK(U5,U$5:U$36,0),RANK(U5,U$5:U$36,1)))</f>
        <v>0</v>
      </c>
      <c r="AA5" s="106">
        <f t="shared" ref="AA5:AA36" si="12">+IF(O$39=0,0,IF(O$39&lt;0,-RANK(V5,V$5:V$36,0),RANK(V5,V$5:V$36,1)))</f>
        <v>0</v>
      </c>
      <c r="AB5" s="106">
        <f t="shared" ref="AB5:AB36" si="13">+IF(P$39=0,0,IF(P$39&lt;0,-RANK(W5,W$5:W$36,0),RANK(W5,W$5:W$36,1)))</f>
        <v>0</v>
      </c>
      <c r="AC5" s="106">
        <f t="shared" ref="AC5:AC36" si="14">+IF(Q$39=0,0,IF(Q$39&lt;0,-RANK(X5,X$5:X$36,0),RANK(X5,X$5:X$36,1)))</f>
        <v>0</v>
      </c>
      <c r="AD5" s="106">
        <f t="shared" ref="AD5:AD36" si="15">+IF(R$39=0,0,IF(R$39&lt;0,-RANK(Y5,Y$5:Y$36,0),RANK(Y5,Y$5:Y$36,1)))</f>
        <v>0</v>
      </c>
    </row>
    <row r="6" spans="1:35">
      <c r="A6" s="165">
        <v>1</v>
      </c>
      <c r="B6" s="164" t="s">
        <v>377</v>
      </c>
      <c r="C6" s="163"/>
      <c r="D6" s="162" t="s">
        <v>110</v>
      </c>
      <c r="E6" s="158">
        <f>+IF($A6="",IF($C6="",SUMIFS(全伝票!I:I,全伝票!$B:$B,$B6),SUMIFS(全伝票!I:I,全伝票!$C:$C,$C6)),IF($C6="",SUMIFS(全伝票!I:I,全伝票!$A:$A,$A6,全伝票!$B:$B,$B6),SUMIFS(全伝票!I:I,全伝票!$A:$A,$A6,全伝票!$C:$C,$C6)))</f>
        <v>118729200</v>
      </c>
      <c r="F6" s="161">
        <f>+IF($A6="",IF($C6="",SUMIFS(全伝票!J:J,全伝票!$B:$B,$B6),SUMIFS(全伝票!J:J,全伝票!$C:$C,$C6)),IF($C6="",SUMIFS(全伝票!J:J,全伝票!$A:$A,$A6,全伝票!$B:$B,$B6),SUMIFS(全伝票!J:J,全伝票!$A:$A,$A6,全伝票!$C:$C,$C6)))</f>
        <v>0</v>
      </c>
      <c r="G6" s="160">
        <f>+IF($A6="",IF($C6="",SUMIFS(全伝票!K:K,全伝票!$B:$B,$B6),SUMIFS(全伝票!K:K,全伝票!$C:$C,$C6)),IF($C6="",SUMIFS(全伝票!K:K,全伝票!$A:$A,$A6,全伝票!$B:$B,$B6),SUMIFS(全伝票!K:K,全伝票!$A:$A,$A6,全伝票!$C:$C,$C6)))</f>
        <v>0</v>
      </c>
      <c r="H6" s="160">
        <f>+IF($A6="",IF($C6="",SUMIFS(全伝票!L:L,全伝票!$B:$B,$B6),SUMIFS(全伝票!L:L,全伝票!$C:$C,$C6)),IF($C6="",SUMIFS(全伝票!L:L,全伝票!$A:$A,$A6,全伝票!$B:$B,$B6),SUMIFS(全伝票!L:L,全伝票!$A:$A,$A6,全伝票!$C:$C,$C6)))</f>
        <v>0</v>
      </c>
      <c r="I6" s="159">
        <f>+IF($A6="",IF($C6="",SUMIFS(全伝票!M:M,全伝票!$B:$B,$B6),SUMIFS(全伝票!M:M,全伝票!$C:$C,$C6)),IF($C6="",SUMIFS(全伝票!M:M,全伝票!$A:$A,$A6,全伝票!$B:$B,$B6),SUMIFS(全伝票!M:M,全伝票!$A:$A,$A6,全伝票!$C:$C,$C6)))</f>
        <v>0</v>
      </c>
      <c r="J6" s="159">
        <f>+IF($A6="",IF($C6="",SUMIFS(全伝票!N:N,全伝票!$B:$B,$B6),SUMIFS(全伝票!N:N,全伝票!$C:$C,$C6)),IF($C6="",SUMIFS(全伝票!N:N,全伝票!$A:$A,$A6,全伝票!$B:$B,$B6),SUMIFS(全伝票!N:N,全伝票!$A:$A,$A6,全伝票!$C:$C,$C6)))</f>
        <v>0</v>
      </c>
      <c r="K6" s="34">
        <f t="shared" si="0"/>
        <v>0</v>
      </c>
      <c r="L6" s="158">
        <f>+IF($A6="",IF($C6="",SUMIFS(全伝票!O:O,全伝票!$B:$B,$B6),SUMIFS(全伝票!O:O,全伝票!$C:$C,$C6)),IF($C6="",SUMIFS(全伝票!O:O,全伝票!$A:$A,$A6,全伝票!$B:$B,$B6),SUMIFS(全伝票!O:O,全伝票!$A:$A,$A6,全伝票!$C:$C,$C6)))</f>
        <v>0</v>
      </c>
      <c r="M6" s="158">
        <f>+IF($A6="",IF($C6="",SUMIFS(全伝票!P:P,全伝票!$B:$B,$B6),SUMIFS(全伝票!P:P,全伝票!$C:$C,$C6)),IF($C6="",SUMIFS(全伝票!P:P,全伝票!$A:$A,$A6,全伝票!$B:$B,$B6),SUMIFS(全伝票!P:P,全伝票!$A:$A,$A6,全伝票!$C:$C,$C6)))</f>
        <v>118729200</v>
      </c>
      <c r="N6" s="108">
        <f t="shared" si="1"/>
        <v>0</v>
      </c>
      <c r="O6" s="25">
        <f t="shared" si="3"/>
        <v>0</v>
      </c>
      <c r="P6" s="25">
        <f t="shared" si="2"/>
        <v>0</v>
      </c>
      <c r="Q6" s="157">
        <f t="shared" si="3"/>
        <v>0</v>
      </c>
      <c r="R6" s="157">
        <f t="shared" si="4"/>
        <v>0</v>
      </c>
      <c r="S6" s="22">
        <f t="shared" si="5"/>
        <v>0</v>
      </c>
      <c r="T6" s="109">
        <f t="shared" si="6"/>
        <v>118729200</v>
      </c>
      <c r="U6" s="107">
        <f t="shared" si="7"/>
        <v>0</v>
      </c>
      <c r="V6" s="107">
        <f t="shared" si="8"/>
        <v>0</v>
      </c>
      <c r="W6" s="107">
        <f t="shared" si="9"/>
        <v>0</v>
      </c>
      <c r="X6" s="107">
        <f t="shared" si="9"/>
        <v>0</v>
      </c>
      <c r="Y6" s="107">
        <f t="shared" si="10"/>
        <v>0</v>
      </c>
      <c r="Z6" s="106">
        <f t="shared" si="11"/>
        <v>0</v>
      </c>
      <c r="AA6" s="106">
        <f t="shared" si="12"/>
        <v>0</v>
      </c>
      <c r="AB6" s="106">
        <f t="shared" si="13"/>
        <v>0</v>
      </c>
      <c r="AC6" s="106">
        <f t="shared" si="14"/>
        <v>0</v>
      </c>
      <c r="AD6" s="106">
        <f t="shared" si="15"/>
        <v>0</v>
      </c>
    </row>
    <row r="7" spans="1:35">
      <c r="A7" s="165">
        <v>1</v>
      </c>
      <c r="B7" s="164" t="s">
        <v>376</v>
      </c>
      <c r="C7" s="163"/>
      <c r="D7" s="162" t="s">
        <v>108</v>
      </c>
      <c r="E7" s="158">
        <f>+IF($A7="",IF($C7="",SUMIFS(全伝票!I:I,全伝票!$B:$B,$B7),SUMIFS(全伝票!I:I,全伝票!$C:$C,$C7)),IF($C7="",SUMIFS(全伝票!I:I,全伝票!$A:$A,$A7,全伝票!$B:$B,$B7),SUMIFS(全伝票!I:I,全伝票!$A:$A,$A7,全伝票!$C:$C,$C7)))</f>
        <v>90395023</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59">
        <f>+IF($A7="",IF($C7="",SUMIFS(全伝票!M:M,全伝票!$B:$B,$B7),SUMIFS(全伝票!M:M,全伝票!$C:$C,$C7)),IF($C7="",SUMIFS(全伝票!M:M,全伝票!$A:$A,$A7,全伝票!$B:$B,$B7),SUMIFS(全伝票!M:M,全伝票!$A:$A,$A7,全伝票!$C:$C,$C7)))</f>
        <v>0</v>
      </c>
      <c r="J7" s="159">
        <f>+IF($A7="",IF($C7="",SUMIFS(全伝票!N:N,全伝票!$B:$B,$B7),SUMIFS(全伝票!N:N,全伝票!$C:$C,$C7)),IF($C7="",SUMIFS(全伝票!N:N,全伝票!$A:$A,$A7,全伝票!$B:$B,$B7),SUMIFS(全伝票!N:N,全伝票!$A:$A,$A7,全伝票!$C:$C,$C7)))</f>
        <v>2558640</v>
      </c>
      <c r="K7" s="34">
        <f t="shared" si="0"/>
        <v>2558640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87836383</v>
      </c>
      <c r="N7" s="108">
        <f t="shared" si="1"/>
        <v>0</v>
      </c>
      <c r="O7" s="25">
        <f t="shared" si="3"/>
        <v>0</v>
      </c>
      <c r="P7" s="25">
        <f t="shared" si="2"/>
        <v>0</v>
      </c>
      <c r="Q7" s="157">
        <f t="shared" si="3"/>
        <v>0</v>
      </c>
      <c r="R7" s="157">
        <f t="shared" si="4"/>
        <v>232604</v>
      </c>
      <c r="S7" s="22">
        <f t="shared" si="5"/>
        <v>232604</v>
      </c>
      <c r="T7" s="109">
        <f t="shared" si="6"/>
        <v>90162419</v>
      </c>
      <c r="U7" s="107">
        <f t="shared" si="7"/>
        <v>0</v>
      </c>
      <c r="V7" s="107">
        <f t="shared" si="8"/>
        <v>0</v>
      </c>
      <c r="W7" s="107">
        <f t="shared" si="9"/>
        <v>0</v>
      </c>
      <c r="X7" s="107">
        <f t="shared" si="9"/>
        <v>0</v>
      </c>
      <c r="Y7" s="107">
        <f t="shared" si="10"/>
        <v>0.36363636364694685</v>
      </c>
      <c r="Z7" s="106">
        <f t="shared" si="11"/>
        <v>0</v>
      </c>
      <c r="AA7" s="106">
        <f t="shared" si="12"/>
        <v>0</v>
      </c>
      <c r="AB7" s="106">
        <f t="shared" si="13"/>
        <v>0</v>
      </c>
      <c r="AC7" s="106">
        <f t="shared" si="14"/>
        <v>0</v>
      </c>
      <c r="AD7" s="106">
        <f t="shared" si="15"/>
        <v>0</v>
      </c>
    </row>
    <row r="8" spans="1:35">
      <c r="A8" s="165">
        <v>1</v>
      </c>
      <c r="B8" s="164" t="s">
        <v>375</v>
      </c>
      <c r="C8" s="163"/>
      <c r="D8" s="162" t="s">
        <v>106</v>
      </c>
      <c r="E8" s="158">
        <f>+IF($A8="",IF($C8="",SUMIFS(全伝票!I:I,全伝票!$B:$B,$B8),SUMIFS(全伝票!I:I,全伝票!$C:$C,$C8)),IF($C8="",SUMIFS(全伝票!I:I,全伝票!$A:$A,$A8,全伝票!$B:$B,$B8),SUMIFS(全伝票!I:I,全伝票!$A:$A,$A8,全伝票!$C:$C,$C8)))</f>
        <v>47128075</v>
      </c>
      <c r="F8" s="161">
        <f>+IF($A8="",IF($C8="",SUMIFS(全伝票!J:J,全伝票!$B:$B,$B8),SUMIFS(全伝票!J:J,全伝票!$C:$C,$C8)),IF($C8="",SUMIFS(全伝票!J:J,全伝票!$A:$A,$A8,全伝票!$B:$B,$B8),SUMIFS(全伝票!J:J,全伝票!$A:$A,$A8,全伝票!$C:$C,$C8)))</f>
        <v>0</v>
      </c>
      <c r="G8" s="160">
        <f>+IF($A8="",IF($C8="",SUMIFS(全伝票!K:K,全伝票!$B:$B,$B8),SUMIFS(全伝票!K:K,全伝票!$C:$C,$C8)),IF($C8="",SUMIFS(全伝票!K:K,全伝票!$A:$A,$A8,全伝票!$B:$B,$B8),SUMIFS(全伝票!K:K,全伝票!$A:$A,$A8,全伝票!$C:$C,$C8)))</f>
        <v>0</v>
      </c>
      <c r="H8" s="160">
        <f>+IF($A8="",IF($C8="",SUMIFS(全伝票!L:L,全伝票!$B:$B,$B8),SUMIFS(全伝票!L:L,全伝票!$C:$C,$C8)),IF($C8="",SUMIFS(全伝票!L:L,全伝票!$A:$A,$A8,全伝票!$B:$B,$B8),SUMIFS(全伝票!L:L,全伝票!$A:$A,$A8,全伝票!$C:$C,$C8)))</f>
        <v>0</v>
      </c>
      <c r="I8" s="159">
        <f>+IF($A8="",IF($C8="",SUMIFS(全伝票!M:M,全伝票!$B:$B,$B8),SUMIFS(全伝票!M:M,全伝票!$C:$C,$C8)),IF($C8="",SUMIFS(全伝票!M:M,全伝票!$A:$A,$A8,全伝票!$B:$B,$B8),SUMIFS(全伝票!M:M,全伝票!$A:$A,$A8,全伝票!$C:$C,$C8)))</f>
        <v>0</v>
      </c>
      <c r="J8" s="159">
        <f>+IF($A8="",IF($C8="",SUMIFS(全伝票!N:N,全伝票!$B:$B,$B8),SUMIFS(全伝票!N:N,全伝票!$C:$C,$C8)),IF($C8="",SUMIFS(全伝票!N:N,全伝票!$A:$A,$A8,全伝票!$B:$B,$B8),SUMIFS(全伝票!N:N,全伝票!$A:$A,$A8,全伝票!$C:$C,$C8)))</f>
        <v>0</v>
      </c>
      <c r="K8" s="34">
        <f t="shared" si="0"/>
        <v>0</v>
      </c>
      <c r="L8" s="158">
        <f>+IF($A8="",IF($C8="",SUMIFS(全伝票!O:O,全伝票!$B:$B,$B8),SUMIFS(全伝票!O:O,全伝票!$C:$C,$C8)),IF($C8="",SUMIFS(全伝票!O:O,全伝票!$A:$A,$A8,全伝票!$B:$B,$B8),SUMIFS(全伝票!O:O,全伝票!$A:$A,$A8,全伝票!$C:$C,$C8)))</f>
        <v>46938541</v>
      </c>
      <c r="M8" s="158">
        <f>+IF($A8="",IF($C8="",SUMIFS(全伝票!P:P,全伝票!$B:$B,$B8),SUMIFS(全伝票!P:P,全伝票!$C:$C,$C8)),IF($C8="",SUMIFS(全伝票!P:P,全伝票!$A:$A,$A8,全伝票!$B:$B,$B8),SUMIFS(全伝票!P:P,全伝票!$A:$A,$A8,全伝票!$C:$C,$C8)))</f>
        <v>189534</v>
      </c>
      <c r="N8" s="108">
        <f t="shared" si="1"/>
        <v>0</v>
      </c>
      <c r="O8" s="25">
        <f t="shared" si="3"/>
        <v>0</v>
      </c>
      <c r="P8" s="25">
        <f t="shared" si="2"/>
        <v>0</v>
      </c>
      <c r="Q8" s="157">
        <f t="shared" si="3"/>
        <v>0</v>
      </c>
      <c r="R8" s="157">
        <f t="shared" si="4"/>
        <v>0</v>
      </c>
      <c r="S8" s="22">
        <f t="shared" si="5"/>
        <v>0</v>
      </c>
      <c r="T8" s="109">
        <f t="shared" si="6"/>
        <v>47128075</v>
      </c>
      <c r="U8" s="107">
        <f t="shared" si="7"/>
        <v>0</v>
      </c>
      <c r="V8" s="107">
        <f t="shared" si="8"/>
        <v>0</v>
      </c>
      <c r="W8" s="107">
        <f t="shared" si="9"/>
        <v>0</v>
      </c>
      <c r="X8" s="107">
        <f t="shared" si="9"/>
        <v>0</v>
      </c>
      <c r="Y8" s="107">
        <f t="shared" si="10"/>
        <v>0</v>
      </c>
      <c r="Z8" s="106">
        <f t="shared" si="11"/>
        <v>0</v>
      </c>
      <c r="AA8" s="106">
        <f t="shared" si="12"/>
        <v>0</v>
      </c>
      <c r="AB8" s="106">
        <f t="shared" si="13"/>
        <v>0</v>
      </c>
      <c r="AC8" s="106">
        <f t="shared" si="14"/>
        <v>0</v>
      </c>
      <c r="AD8" s="106">
        <f t="shared" si="15"/>
        <v>0</v>
      </c>
    </row>
    <row r="9" spans="1:35">
      <c r="A9" s="165">
        <v>1</v>
      </c>
      <c r="B9" s="164" t="s">
        <v>374</v>
      </c>
      <c r="C9" s="163"/>
      <c r="D9" s="162" t="s">
        <v>104</v>
      </c>
      <c r="E9" s="158">
        <f>+IF($A9="",IF($C9="",SUMIFS(全伝票!I:I,全伝票!$B:$B,$B9),SUMIFS(全伝票!I:I,全伝票!$C:$C,$C9)),IF($C9="",SUMIFS(全伝票!I:I,全伝票!$A:$A,$A9,全伝票!$B:$B,$B9),SUMIFS(全伝票!I:I,全伝票!$A:$A,$A9,全伝票!$C:$C,$C9)))</f>
        <v>183360</v>
      </c>
      <c r="F9" s="161">
        <f>+IF($A9="",IF($C9="",SUMIFS(全伝票!J:J,全伝票!$B:$B,$B9),SUMIFS(全伝票!J:J,全伝票!$C:$C,$C9)),IF($C9="",SUMIFS(全伝票!J:J,全伝票!$A:$A,$A9,全伝票!$B:$B,$B9),SUMIFS(全伝票!J:J,全伝票!$A:$A,$A9,全伝票!$C:$C,$C9)))</f>
        <v>0</v>
      </c>
      <c r="G9" s="160">
        <f>+IF($A9="",IF($C9="",SUMIFS(全伝票!K:K,全伝票!$B:$B,$B9),SUMIFS(全伝票!K:K,全伝票!$C:$C,$C9)),IF($C9="",SUMIFS(全伝票!K:K,全伝票!$A:$A,$A9,全伝票!$B:$B,$B9),SUMIFS(全伝票!K:K,全伝票!$A:$A,$A9,全伝票!$C:$C,$C9)))</f>
        <v>0</v>
      </c>
      <c r="H9" s="160">
        <f>+IF($A9="",IF($C9="",SUMIFS(全伝票!L:L,全伝票!$B:$B,$B9),SUMIFS(全伝票!L:L,全伝票!$C:$C,$C9)),IF($C9="",SUMIFS(全伝票!L:L,全伝票!$A:$A,$A9,全伝票!$B:$B,$B9),SUMIFS(全伝票!L:L,全伝票!$A:$A,$A9,全伝票!$C:$C,$C9)))</f>
        <v>0</v>
      </c>
      <c r="I9" s="159">
        <f>+IF($A9="",IF($C9="",SUMIFS(全伝票!M:M,全伝票!$B:$B,$B9),SUMIFS(全伝票!M:M,全伝票!$C:$C,$C9)),IF($C9="",SUMIFS(全伝票!M:M,全伝票!$A:$A,$A9,全伝票!$B:$B,$B9),SUMIFS(全伝票!M:M,全伝票!$A:$A,$A9,全伝票!$C:$C,$C9)))</f>
        <v>0</v>
      </c>
      <c r="J9" s="159">
        <f>+IF($A9="",IF($C9="",SUMIFS(全伝票!N:N,全伝票!$B:$B,$B9),SUMIFS(全伝票!N:N,全伝票!$C:$C,$C9)),IF($C9="",SUMIFS(全伝票!N:N,全伝票!$A:$A,$A9,全伝票!$B:$B,$B9),SUMIFS(全伝票!N:N,全伝票!$A:$A,$A9,全伝票!$C:$C,$C9)))</f>
        <v>0</v>
      </c>
      <c r="K9" s="34">
        <f t="shared" si="0"/>
        <v>0</v>
      </c>
      <c r="L9" s="158">
        <f>+IF($A9="",IF($C9="",SUMIFS(全伝票!O:O,全伝票!$B:$B,$B9),SUMIFS(全伝票!O:O,全伝票!$C:$C,$C9)),IF($C9="",SUMIFS(全伝票!O:O,全伝票!$A:$A,$A9,全伝票!$B:$B,$B9),SUMIFS(全伝票!O:O,全伝票!$A:$A,$A9,全伝票!$C:$C,$C9)))</f>
        <v>0</v>
      </c>
      <c r="M9" s="158">
        <f>+IF($A9="",IF($C9="",SUMIFS(全伝票!P:P,全伝票!$B:$B,$B9),SUMIFS(全伝票!P:P,全伝票!$C:$C,$C9)),IF($C9="",SUMIFS(全伝票!P:P,全伝票!$A:$A,$A9,全伝票!$B:$B,$B9),SUMIFS(全伝票!P:P,全伝票!$A:$A,$A9,全伝票!$C:$C,$C9)))</f>
        <v>183360</v>
      </c>
      <c r="N9" s="108">
        <f t="shared" si="1"/>
        <v>0</v>
      </c>
      <c r="O9" s="25">
        <f t="shared" si="3"/>
        <v>0</v>
      </c>
      <c r="P9" s="25">
        <f t="shared" si="2"/>
        <v>0</v>
      </c>
      <c r="Q9" s="157">
        <f t="shared" si="3"/>
        <v>0</v>
      </c>
      <c r="R9" s="157">
        <f t="shared" si="4"/>
        <v>0</v>
      </c>
      <c r="S9" s="22">
        <f t="shared" si="5"/>
        <v>0</v>
      </c>
      <c r="T9" s="109">
        <f t="shared" si="6"/>
        <v>183360</v>
      </c>
      <c r="U9" s="107">
        <f t="shared" si="7"/>
        <v>0</v>
      </c>
      <c r="V9" s="107">
        <f t="shared" si="8"/>
        <v>0</v>
      </c>
      <c r="W9" s="107">
        <f t="shared" si="9"/>
        <v>0</v>
      </c>
      <c r="X9" s="107">
        <f t="shared" si="9"/>
        <v>0</v>
      </c>
      <c r="Y9" s="107">
        <f t="shared" si="10"/>
        <v>0</v>
      </c>
      <c r="Z9" s="106">
        <f t="shared" si="11"/>
        <v>0</v>
      </c>
      <c r="AA9" s="106">
        <f t="shared" si="12"/>
        <v>0</v>
      </c>
      <c r="AB9" s="106">
        <f t="shared" si="13"/>
        <v>0</v>
      </c>
      <c r="AC9" s="106">
        <f t="shared" si="14"/>
        <v>0</v>
      </c>
      <c r="AD9" s="106">
        <f t="shared" si="15"/>
        <v>0</v>
      </c>
    </row>
    <row r="10" spans="1:35">
      <c r="A10" s="165">
        <v>1</v>
      </c>
      <c r="B10" s="164" t="s">
        <v>373</v>
      </c>
      <c r="C10" s="163"/>
      <c r="D10" s="162" t="s">
        <v>102</v>
      </c>
      <c r="E10" s="158">
        <f>+IF($A10="",IF($C10="",SUMIFS(全伝票!I:I,全伝票!$B:$B,$B10),SUMIFS(全伝票!I:I,全伝票!$C:$C,$C10)),IF($C10="",SUMIFS(全伝票!I:I,全伝票!$A:$A,$A10,全伝票!$B:$B,$B10),SUMIFS(全伝票!I:I,全伝票!$A:$A,$A10,全伝票!$C:$C,$C10)))</f>
        <v>0</v>
      </c>
      <c r="F10" s="161">
        <f>+IF($A10="",IF($C10="",SUMIFS(全伝票!J:J,全伝票!$B:$B,$B10),SUMIFS(全伝票!J:J,全伝票!$C:$C,$C10)),IF($C10="",SUMIFS(全伝票!J:J,全伝票!$A:$A,$A10,全伝票!$B:$B,$B10),SUMIFS(全伝票!J:J,全伝票!$A:$A,$A10,全伝票!$C:$C,$C10)))</f>
        <v>0</v>
      </c>
      <c r="G10" s="160">
        <f>+IF($A10="",IF($C10="",SUMIFS(全伝票!K:K,全伝票!$B:$B,$B10),SUMIFS(全伝票!K:K,全伝票!$C:$C,$C10)),IF($C10="",SUMIFS(全伝票!K:K,全伝票!$A:$A,$A10,全伝票!$B:$B,$B10),SUMIFS(全伝票!K:K,全伝票!$A:$A,$A10,全伝票!$C:$C,$C10)))</f>
        <v>0</v>
      </c>
      <c r="H10" s="276">
        <f>+IF($A10="",IF($C10="",SUMIFS(全伝票!L:L,全伝票!$B:$B,$B10),SUMIFS(全伝票!L:L,全伝票!$C:$C,$C10)),IF($C10="",SUMIFS(全伝票!L:L,全伝票!$A:$A,$A10,全伝票!$B:$B,$B10),SUMIFS(全伝票!L:L,全伝票!$A:$A,$A10,全伝票!$C:$C,$C10)))</f>
        <v>0</v>
      </c>
      <c r="I10" s="271">
        <f>+IF($A10="",IF($C10="",SUMIFS(全伝票!M:M,全伝票!$B:$B,$B10),SUMIFS(全伝票!M:M,全伝票!$C:$C,$C10)),IF($C10="",SUMIFS(全伝票!M:M,全伝票!$A:$A,$A10,全伝票!$B:$B,$B10),SUMIFS(全伝票!M:M,全伝票!$A:$A,$A10,全伝票!$C:$C,$C10)))</f>
        <v>0</v>
      </c>
      <c r="J10" s="159">
        <f>+IF($A10="",IF($C10="",SUMIFS(全伝票!N:N,全伝票!$B:$B,$B10),SUMIFS(全伝票!N:N,全伝票!$C:$C,$C10)),IF($C10="",SUMIFS(全伝票!N:N,全伝票!$A:$A,$A10,全伝票!$B:$B,$B10),SUMIFS(全伝票!N:N,全伝票!$A:$A,$A10,全伝票!$C:$C,$C10)))</f>
        <v>0</v>
      </c>
      <c r="K10" s="34">
        <f t="shared" si="0"/>
        <v>0</v>
      </c>
      <c r="L10" s="158">
        <f>+IF($A10="",IF($C10="",SUMIFS(全伝票!O:O,全伝票!$B:$B,$B10),SUMIFS(全伝票!O:O,全伝票!$C:$C,$C10)),IF($C10="",SUMIFS(全伝票!O:O,全伝票!$A:$A,$A10,全伝票!$B:$B,$B10),SUMIFS(全伝票!O:O,全伝票!$A:$A,$A10,全伝票!$C:$C,$C10)))</f>
        <v>0</v>
      </c>
      <c r="M10" s="278">
        <f>+IF($A10="",IF($C10="",SUMIFS(全伝票!P:P,全伝票!$B:$B,$B10),SUMIFS(全伝票!P:P,全伝票!$C:$C,$C10)),IF($C10="",SUMIFS(全伝票!P:P,全伝票!$A:$A,$A10,全伝票!$B:$B,$B10),SUMIFS(全伝票!P:P,全伝票!$A:$A,$A10,全伝票!$C:$C,$C10)))</f>
        <v>0</v>
      </c>
      <c r="N10" s="108">
        <f t="shared" si="1"/>
        <v>0</v>
      </c>
      <c r="O10" s="25">
        <f t="shared" si="3"/>
        <v>0</v>
      </c>
      <c r="P10" s="25">
        <f t="shared" si="2"/>
        <v>0</v>
      </c>
      <c r="Q10" s="157">
        <f t="shared" si="3"/>
        <v>0</v>
      </c>
      <c r="R10" s="157">
        <f t="shared" si="4"/>
        <v>0</v>
      </c>
      <c r="S10" s="22">
        <f t="shared" si="5"/>
        <v>0</v>
      </c>
      <c r="T10" s="109">
        <f t="shared" si="6"/>
        <v>0</v>
      </c>
      <c r="U10" s="107">
        <f t="shared" si="7"/>
        <v>0</v>
      </c>
      <c r="V10" s="107">
        <f t="shared" si="8"/>
        <v>0</v>
      </c>
      <c r="W10" s="107">
        <f t="shared" si="9"/>
        <v>0</v>
      </c>
      <c r="X10" s="107">
        <f t="shared" si="9"/>
        <v>0</v>
      </c>
      <c r="Y10" s="107">
        <f t="shared" si="10"/>
        <v>0</v>
      </c>
      <c r="Z10" s="106">
        <f t="shared" si="11"/>
        <v>0</v>
      </c>
      <c r="AA10" s="106">
        <f t="shared" si="12"/>
        <v>0</v>
      </c>
      <c r="AB10" s="106">
        <f t="shared" si="13"/>
        <v>0</v>
      </c>
      <c r="AC10" s="106">
        <f t="shared" si="14"/>
        <v>0</v>
      </c>
      <c r="AD10" s="106">
        <f t="shared" si="15"/>
        <v>0</v>
      </c>
    </row>
    <row r="11" spans="1:35">
      <c r="A11" s="165">
        <v>1</v>
      </c>
      <c r="B11" s="164" t="s">
        <v>372</v>
      </c>
      <c r="C11" s="163"/>
      <c r="D11" s="162" t="s">
        <v>100</v>
      </c>
      <c r="E11" s="158">
        <f>+IF($A11="",IF($C11="",SUMIFS(全伝票!I:I,全伝票!$B:$B,$B11),SUMIFS(全伝票!I:I,全伝票!$C:$C,$C11)),IF($C11="",SUMIFS(全伝票!I:I,全伝票!$A:$A,$A11,全伝票!$B:$B,$B11),SUMIFS(全伝票!I:I,全伝票!$A:$A,$A11,全伝票!$C:$C,$C11)))</f>
        <v>0</v>
      </c>
      <c r="F11" s="161">
        <f>+IF($A11="",IF($C11="",SUMIFS(全伝票!J:J,全伝票!$B:$B,$B11),SUMIFS(全伝票!J:J,全伝票!$C:$C,$C11)),IF($C11="",SUMIFS(全伝票!J:J,全伝票!$A:$A,$A11,全伝票!$B:$B,$B11),SUMIFS(全伝票!J:J,全伝票!$A:$A,$A11,全伝票!$C:$C,$C11)))</f>
        <v>0</v>
      </c>
      <c r="G11" s="160">
        <f>+IF($A11="",IF($C11="",SUMIFS(全伝票!K:K,全伝票!$B:$B,$B11),SUMIFS(全伝票!K:K,全伝票!$C:$C,$C11)),IF($C11="",SUMIFS(全伝票!K:K,全伝票!$A:$A,$A11,全伝票!$B:$B,$B11),SUMIFS(全伝票!K:K,全伝票!$A:$A,$A11,全伝票!$C:$C,$C11)))</f>
        <v>0</v>
      </c>
      <c r="H11" s="160">
        <f>+IF($A11="",IF($C11="",SUMIFS(全伝票!L:L,全伝票!$B:$B,$B11),SUMIFS(全伝票!L:L,全伝票!$C:$C,$C11)),IF($C11="",SUMIFS(全伝票!L:L,全伝票!$A:$A,$A11,全伝票!$B:$B,$B11),SUMIFS(全伝票!L:L,全伝票!$A:$A,$A11,全伝票!$C:$C,$C11)))</f>
        <v>0</v>
      </c>
      <c r="I11" s="159">
        <f>+IF($A11="",IF($C11="",SUMIFS(全伝票!M:M,全伝票!$B:$B,$B11),SUMIFS(全伝票!M:M,全伝票!$C:$C,$C11)),IF($C11="",SUMIFS(全伝票!M:M,全伝票!$A:$A,$A11,全伝票!$B:$B,$B11),SUMIFS(全伝票!M:M,全伝票!$A:$A,$A11,全伝票!$C:$C,$C11)))</f>
        <v>0</v>
      </c>
      <c r="J11" s="159">
        <f>+IF($A11="",IF($C11="",SUMIFS(全伝票!N:N,全伝票!$B:$B,$B11),SUMIFS(全伝票!N:N,全伝票!$C:$C,$C11)),IF($C11="",SUMIFS(全伝票!N:N,全伝票!$A:$A,$A11,全伝票!$B:$B,$B11),SUMIFS(全伝票!N:N,全伝票!$A:$A,$A11,全伝票!$C:$C,$C11)))</f>
        <v>0</v>
      </c>
      <c r="K11" s="34">
        <f t="shared" si="0"/>
        <v>0</v>
      </c>
      <c r="L11" s="158">
        <f>+IF($A11="",IF($C11="",SUMIFS(全伝票!O:O,全伝票!$B:$B,$B11),SUMIFS(全伝票!O:O,全伝票!$C:$C,$C11)),IF($C11="",SUMIFS(全伝票!O:O,全伝票!$A:$A,$A11,全伝票!$B:$B,$B11),SUMIFS(全伝票!O:O,全伝票!$A:$A,$A11,全伝票!$C:$C,$C11)))</f>
        <v>0</v>
      </c>
      <c r="M11" s="158">
        <f>+IF($A11="",IF($C11="",SUMIFS(全伝票!P:P,全伝票!$B:$B,$B11),SUMIFS(全伝票!P:P,全伝票!$C:$C,$C11)),IF($C11="",SUMIFS(全伝票!P:P,全伝票!$A:$A,$A11,全伝票!$B:$B,$B11),SUMIFS(全伝票!P:P,全伝票!$A:$A,$A11,全伝票!$C:$C,$C11)))</f>
        <v>0</v>
      </c>
      <c r="N11" s="108">
        <f t="shared" si="1"/>
        <v>0</v>
      </c>
      <c r="O11" s="25">
        <f t="shared" si="3"/>
        <v>0</v>
      </c>
      <c r="P11" s="25">
        <f t="shared" si="2"/>
        <v>0</v>
      </c>
      <c r="Q11" s="157">
        <f t="shared" si="3"/>
        <v>0</v>
      </c>
      <c r="R11" s="157">
        <f t="shared" si="4"/>
        <v>0</v>
      </c>
      <c r="S11" s="22">
        <f t="shared" si="5"/>
        <v>0</v>
      </c>
      <c r="T11" s="109">
        <f t="shared" si="6"/>
        <v>0</v>
      </c>
      <c r="U11" s="107">
        <f t="shared" si="7"/>
        <v>0</v>
      </c>
      <c r="V11" s="107">
        <f t="shared" si="8"/>
        <v>0</v>
      </c>
      <c r="W11" s="107">
        <f t="shared" si="9"/>
        <v>0</v>
      </c>
      <c r="X11" s="107">
        <f t="shared" si="9"/>
        <v>0</v>
      </c>
      <c r="Y11" s="107">
        <f t="shared" si="10"/>
        <v>0</v>
      </c>
      <c r="Z11" s="106">
        <f t="shared" si="11"/>
        <v>0</v>
      </c>
      <c r="AA11" s="106">
        <f t="shared" si="12"/>
        <v>0</v>
      </c>
      <c r="AB11" s="106">
        <f t="shared" si="13"/>
        <v>0</v>
      </c>
      <c r="AC11" s="106">
        <f t="shared" si="14"/>
        <v>0</v>
      </c>
      <c r="AD11" s="106">
        <f t="shared" si="15"/>
        <v>0</v>
      </c>
    </row>
    <row r="12" spans="1:35">
      <c r="A12" s="165">
        <v>1</v>
      </c>
      <c r="B12" s="164" t="s">
        <v>370</v>
      </c>
      <c r="C12" s="163" t="s">
        <v>371</v>
      </c>
      <c r="D12" s="162" t="s">
        <v>98</v>
      </c>
      <c r="E12" s="158">
        <f>+IF($A12="",IF($C12="",SUMIFS(全伝票!I:I,全伝票!$B:$B,$B12),SUMIFS(全伝票!I:I,全伝票!$C:$C,$C12)),IF($C12="",SUMIFS(全伝票!I:I,全伝票!$A:$A,$A12,全伝票!$B:$B,$B12),SUMIFS(全伝票!I:I,全伝票!$A:$A,$A12,全伝票!$C:$C,$C12)))</f>
        <v>3310372</v>
      </c>
      <c r="F12" s="161">
        <f>+IF($A12="",IF($C12="",SUMIFS(全伝票!J:J,全伝票!$B:$B,$B12),SUMIFS(全伝票!J:J,全伝票!$C:$C,$C12)),IF($C12="",SUMIFS(全伝票!J:J,全伝票!$A:$A,$A12,全伝票!$B:$B,$B12),SUMIFS(全伝票!J:J,全伝票!$A:$A,$A12,全伝票!$C:$C,$C12)))</f>
        <v>0</v>
      </c>
      <c r="G12" s="160">
        <f>+IF($A12="",IF($C12="",SUMIFS(全伝票!K:K,全伝票!$B:$B,$B12),SUMIFS(全伝票!K:K,全伝票!$C:$C,$C12)),IF($C12="",SUMIFS(全伝票!K:K,全伝票!$A:$A,$A12,全伝票!$B:$B,$B12),SUMIFS(全伝票!K:K,全伝票!$A:$A,$A12,全伝票!$C:$C,$C12)))</f>
        <v>0</v>
      </c>
      <c r="H12" s="160">
        <f>+IF($A12="",IF($C12="",SUMIFS(全伝票!L:L,全伝票!$B:$B,$B12),SUMIFS(全伝票!L:L,全伝票!$C:$C,$C12)),IF($C12="",SUMIFS(全伝票!L:L,全伝票!$A:$A,$A12,全伝票!$B:$B,$B12),SUMIFS(全伝票!L:L,全伝票!$A:$A,$A12,全伝票!$C:$C,$C12)))</f>
        <v>0</v>
      </c>
      <c r="I12" s="159">
        <f>+IF($A12="",IF($C12="",SUMIFS(全伝票!M:M,全伝票!$B:$B,$B12),SUMIFS(全伝票!M:M,全伝票!$C:$C,$C12)),IF($C12="",SUMIFS(全伝票!M:M,全伝票!$A:$A,$A12,全伝票!$B:$B,$B12),SUMIFS(全伝票!M:M,全伝票!$A:$A,$A12,全伝票!$C:$C,$C12)))</f>
        <v>0</v>
      </c>
      <c r="J12" s="159">
        <f>+IF($A12="",IF($C12="",SUMIFS(全伝票!N:N,全伝票!$B:$B,$B12),SUMIFS(全伝票!N:N,全伝票!$C:$C,$C12)),IF($C12="",SUMIFS(全伝票!N:N,全伝票!$A:$A,$A12,全伝票!$B:$B,$B12),SUMIFS(全伝票!N:N,全伝票!$A:$A,$A12,全伝票!$C:$C,$C12)))</f>
        <v>3284472</v>
      </c>
      <c r="K12" s="34">
        <f t="shared" si="0"/>
        <v>3284472</v>
      </c>
      <c r="L12" s="158">
        <f>+IF($A12="",IF($C12="",SUMIFS(全伝票!O:O,全伝票!$B:$B,$B12),SUMIFS(全伝票!O:O,全伝票!$C:$C,$C12)),IF($C12="",SUMIFS(全伝票!O:O,全伝票!$A:$A,$A12,全伝票!$B:$B,$B12),SUMIFS(全伝票!O:O,全伝票!$A:$A,$A12,全伝票!$C:$C,$C12)))</f>
        <v>0</v>
      </c>
      <c r="M12" s="158">
        <f>+IF($A12="",IF($C12="",SUMIFS(全伝票!P:P,全伝票!$B:$B,$B12),SUMIFS(全伝票!P:P,全伝票!$C:$C,$C12)),IF($C12="",SUMIFS(全伝票!P:P,全伝票!$A:$A,$A12,全伝票!$B:$B,$B12),SUMIFS(全伝票!P:P,全伝票!$A:$A,$A12,全伝票!$C:$C,$C12)))</f>
        <v>25900</v>
      </c>
      <c r="N12" s="108">
        <f t="shared" si="1"/>
        <v>0</v>
      </c>
      <c r="O12" s="25">
        <f t="shared" si="3"/>
        <v>0</v>
      </c>
      <c r="P12" s="25">
        <f t="shared" si="2"/>
        <v>0</v>
      </c>
      <c r="Q12" s="157">
        <f t="shared" si="3"/>
        <v>0</v>
      </c>
      <c r="R12" s="157">
        <f t="shared" si="4"/>
        <v>298588</v>
      </c>
      <c r="S12" s="22">
        <f t="shared" si="5"/>
        <v>298588</v>
      </c>
      <c r="T12" s="109">
        <f t="shared" si="6"/>
        <v>3011784</v>
      </c>
      <c r="U12" s="107">
        <f t="shared" si="7"/>
        <v>0</v>
      </c>
      <c r="V12" s="107">
        <f t="shared" si="8"/>
        <v>0</v>
      </c>
      <c r="W12" s="107">
        <f t="shared" si="9"/>
        <v>0</v>
      </c>
      <c r="X12" s="107">
        <f t="shared" si="9"/>
        <v>0</v>
      </c>
      <c r="Y12" s="107">
        <f t="shared" si="10"/>
        <v>-0.36363636364694685</v>
      </c>
      <c r="Z12" s="106">
        <f t="shared" si="11"/>
        <v>0</v>
      </c>
      <c r="AA12" s="106">
        <f t="shared" si="12"/>
        <v>0</v>
      </c>
      <c r="AB12" s="106">
        <f t="shared" si="13"/>
        <v>0</v>
      </c>
      <c r="AC12" s="106">
        <f t="shared" si="14"/>
        <v>0</v>
      </c>
      <c r="AD12" s="106">
        <f t="shared" si="15"/>
        <v>0</v>
      </c>
    </row>
    <row r="13" spans="1:35">
      <c r="A13" s="165">
        <v>1</v>
      </c>
      <c r="B13" s="164" t="s">
        <v>370</v>
      </c>
      <c r="C13" s="163" t="s">
        <v>369</v>
      </c>
      <c r="D13" s="162" t="s">
        <v>95</v>
      </c>
      <c r="E13" s="158">
        <f>+IF($A13="",IF($C13="",SUMIFS(全伝票!I:I,全伝票!$B:$B,$B13),SUMIFS(全伝票!I:I,全伝票!$C:$C,$C13)),IF($C13="",SUMIFS(全伝票!I:I,全伝票!$A:$A,$A13,全伝票!$B:$B,$B13),SUMIFS(全伝票!I:I,全伝票!$A:$A,$A13,全伝票!$C:$C,$C13)))</f>
        <v>0</v>
      </c>
      <c r="F13" s="161">
        <f>+IF($A13="",IF($C13="",SUMIFS(全伝票!J:J,全伝票!$B:$B,$B13),SUMIFS(全伝票!J:J,全伝票!$C:$C,$C13)),IF($C13="",SUMIFS(全伝票!J:J,全伝票!$A:$A,$A13,全伝票!$B:$B,$B13),SUMIFS(全伝票!J:J,全伝票!$A:$A,$A13,全伝票!$C:$C,$C13)))</f>
        <v>0</v>
      </c>
      <c r="G13" s="160">
        <f>+IF($A13="",IF($C13="",SUMIFS(全伝票!K:K,全伝票!$B:$B,$B13),SUMIFS(全伝票!K:K,全伝票!$C:$C,$C13)),IF($C13="",SUMIFS(全伝票!K:K,全伝票!$A:$A,$A13,全伝票!$B:$B,$B13),SUMIFS(全伝票!K:K,全伝票!$A:$A,$A13,全伝票!$C:$C,$C13)))</f>
        <v>0</v>
      </c>
      <c r="H13" s="160">
        <f>+IF($A13="",IF($C13="",SUMIFS(全伝票!L:L,全伝票!$B:$B,$B13),SUMIFS(全伝票!L:L,全伝票!$C:$C,$C13)),IF($C13="",SUMIFS(全伝票!L:L,全伝票!$A:$A,$A13,全伝票!$B:$B,$B13),SUMIFS(全伝票!L:L,全伝票!$A:$A,$A13,全伝票!$C:$C,$C13)))</f>
        <v>0</v>
      </c>
      <c r="I13" s="159">
        <f>+IF($A13="",IF($C13="",SUMIFS(全伝票!M:M,全伝票!$B:$B,$B13),SUMIFS(全伝票!M:M,全伝票!$C:$C,$C13)),IF($C13="",SUMIFS(全伝票!M:M,全伝票!$A:$A,$A13,全伝票!$B:$B,$B13),SUMIFS(全伝票!M:M,全伝票!$A:$A,$A13,全伝票!$C:$C,$C13)))</f>
        <v>0</v>
      </c>
      <c r="J13" s="159">
        <f>+IF($A13="",IF($C13="",SUMIFS(全伝票!N:N,全伝票!$B:$B,$B13),SUMIFS(全伝票!N:N,全伝票!$C:$C,$C13)),IF($C13="",SUMIFS(全伝票!N:N,全伝票!$A:$A,$A13,全伝票!$B:$B,$B13),SUMIFS(全伝票!N:N,全伝票!$A:$A,$A13,全伝票!$C:$C,$C13)))</f>
        <v>0</v>
      </c>
      <c r="K13" s="34">
        <f t="shared" si="0"/>
        <v>0</v>
      </c>
      <c r="L13" s="158">
        <f>+IF($A13="",IF($C13="",SUMIFS(全伝票!O:O,全伝票!$B:$B,$B13),SUMIFS(全伝票!O:O,全伝票!$C:$C,$C13)),IF($C13="",SUMIFS(全伝票!O:O,全伝票!$A:$A,$A13,全伝票!$B:$B,$B13),SUMIFS(全伝票!O:O,全伝票!$A:$A,$A13,全伝票!$C:$C,$C13)))</f>
        <v>0</v>
      </c>
      <c r="M13" s="158">
        <f>+IF($A13="",IF($C13="",SUMIFS(全伝票!P:P,全伝票!$B:$B,$B13),SUMIFS(全伝票!P:P,全伝票!$C:$C,$C13)),IF($C13="",SUMIFS(全伝票!P:P,全伝票!$A:$A,$A13,全伝票!$B:$B,$B13),SUMIFS(全伝票!P:P,全伝票!$A:$A,$A13,全伝票!$C:$C,$C13)))</f>
        <v>0</v>
      </c>
      <c r="N13" s="108">
        <f t="shared" si="1"/>
        <v>0</v>
      </c>
      <c r="O13" s="25">
        <f t="shared" si="3"/>
        <v>0</v>
      </c>
      <c r="P13" s="25">
        <f t="shared" si="2"/>
        <v>0</v>
      </c>
      <c r="Q13" s="157">
        <f t="shared" si="3"/>
        <v>0</v>
      </c>
      <c r="R13" s="157">
        <f t="shared" si="4"/>
        <v>0</v>
      </c>
      <c r="S13" s="22">
        <f t="shared" si="5"/>
        <v>0</v>
      </c>
      <c r="T13" s="109">
        <f t="shared" si="6"/>
        <v>0</v>
      </c>
      <c r="U13" s="107">
        <f t="shared" si="7"/>
        <v>0</v>
      </c>
      <c r="V13" s="107">
        <f t="shared" si="8"/>
        <v>0</v>
      </c>
      <c r="W13" s="107">
        <f t="shared" si="9"/>
        <v>0</v>
      </c>
      <c r="X13" s="107">
        <f t="shared" si="9"/>
        <v>0</v>
      </c>
      <c r="Y13" s="107">
        <f t="shared" si="10"/>
        <v>0</v>
      </c>
      <c r="Z13" s="106">
        <f t="shared" si="11"/>
        <v>0</v>
      </c>
      <c r="AA13" s="106">
        <f t="shared" si="12"/>
        <v>0</v>
      </c>
      <c r="AB13" s="106">
        <f t="shared" si="13"/>
        <v>0</v>
      </c>
      <c r="AC13" s="106">
        <f t="shared" si="14"/>
        <v>0</v>
      </c>
      <c r="AD13" s="106">
        <f t="shared" si="15"/>
        <v>0</v>
      </c>
    </row>
    <row r="14" spans="1:35">
      <c r="A14" s="165">
        <v>1</v>
      </c>
      <c r="B14" s="164" t="s">
        <v>368</v>
      </c>
      <c r="C14" s="163"/>
      <c r="D14" s="162" t="s">
        <v>93</v>
      </c>
      <c r="E14" s="158">
        <f>+IF($A14="",IF($C14="",SUMIFS(全伝票!I:I,全伝票!$B:$B,$B14),SUMIFS(全伝票!I:I,全伝票!$C:$C,$C14)),IF($C14="",SUMIFS(全伝票!I:I,全伝票!$A:$A,$A14,全伝票!$B:$B,$B14),SUMIFS(全伝票!I:I,全伝票!$A:$A,$A14,全伝票!$C:$C,$C14)))</f>
        <v>6713734</v>
      </c>
      <c r="F14" s="161">
        <f>+IF($A14="",IF($C14="",SUMIFS(全伝票!J:J,全伝票!$B:$B,$B14),SUMIFS(全伝票!J:J,全伝票!$C:$C,$C14)),IF($C14="",SUMIFS(全伝票!J:J,全伝票!$A:$A,$A14,全伝票!$B:$B,$B14),SUMIFS(全伝票!J:J,全伝票!$A:$A,$A14,全伝票!$C:$C,$C14)))</f>
        <v>0</v>
      </c>
      <c r="G14" s="160">
        <f>+IF($A14="",IF($C14="",SUMIFS(全伝票!K:K,全伝票!$B:$B,$B14),SUMIFS(全伝票!K:K,全伝票!$C:$C,$C14)),IF($C14="",SUMIFS(全伝票!K:K,全伝票!$A:$A,$A14,全伝票!$B:$B,$B14),SUMIFS(全伝票!K:K,全伝票!$A:$A,$A14,全伝票!$C:$C,$C14)))</f>
        <v>0</v>
      </c>
      <c r="H14" s="160">
        <f>+IF($A14="",IF($C14="",SUMIFS(全伝票!L:L,全伝票!$B:$B,$B14),SUMIFS(全伝票!L:L,全伝票!$C:$C,$C14)),IF($C14="",SUMIFS(全伝票!L:L,全伝票!$A:$A,$A14,全伝票!$B:$B,$B14),SUMIFS(全伝票!L:L,全伝票!$A:$A,$A14,全伝票!$C:$C,$C14)))</f>
        <v>0</v>
      </c>
      <c r="I14" s="159">
        <f>+IF($A14="",IF($C14="",SUMIFS(全伝票!M:M,全伝票!$B:$B,$B14),SUMIFS(全伝票!M:M,全伝票!$C:$C,$C14)),IF($C14="",SUMIFS(全伝票!M:M,全伝票!$A:$A,$A14,全伝票!$B:$B,$B14),SUMIFS(全伝票!M:M,全伝票!$A:$A,$A14,全伝票!$C:$C,$C14)))</f>
        <v>317198</v>
      </c>
      <c r="J14" s="159">
        <f>+IF($A14="",IF($C14="",SUMIFS(全伝票!N:N,全伝票!$B:$B,$B14),SUMIFS(全伝票!N:N,全伝票!$C:$C,$C14)),IF($C14="",SUMIFS(全伝票!N:N,全伝票!$A:$A,$A14,全伝票!$B:$B,$B14),SUMIFS(全伝票!N:N,全伝票!$A:$A,$A14,全伝票!$C:$C,$C14)))</f>
        <v>6396536</v>
      </c>
      <c r="K14" s="34">
        <f t="shared" si="0"/>
        <v>6713734</v>
      </c>
      <c r="L14" s="158">
        <f>+IF($A14="",IF($C14="",SUMIFS(全伝票!O:O,全伝票!$B:$B,$B14),SUMIFS(全伝票!O:O,全伝票!$C:$C,$C14)),IF($C14="",SUMIFS(全伝票!O:O,全伝票!$A:$A,$A14,全伝票!$B:$B,$B14),SUMIFS(全伝票!O:O,全伝票!$A:$A,$A14,全伝票!$C:$C,$C14)))</f>
        <v>0</v>
      </c>
      <c r="M14" s="158">
        <f>+IF($A14="",IF($C14="",SUMIFS(全伝票!P:P,全伝票!$B:$B,$B14),SUMIFS(全伝票!P:P,全伝票!$C:$C,$C14)),IF($C14="",SUMIFS(全伝票!P:P,全伝票!$A:$A,$A14,全伝票!$B:$B,$B14),SUMIFS(全伝票!P:P,全伝票!$A:$A,$A14,全伝票!$C:$C,$C14)))</f>
        <v>0</v>
      </c>
      <c r="N14" s="108">
        <f t="shared" si="1"/>
        <v>0</v>
      </c>
      <c r="O14" s="25">
        <f t="shared" si="3"/>
        <v>0</v>
      </c>
      <c r="P14" s="25">
        <f t="shared" si="2"/>
        <v>0</v>
      </c>
      <c r="Q14" s="157">
        <f t="shared" si="3"/>
        <v>23496</v>
      </c>
      <c r="R14" s="157">
        <f t="shared" si="4"/>
        <v>581503</v>
      </c>
      <c r="S14" s="22">
        <f t="shared" si="5"/>
        <v>604999</v>
      </c>
      <c r="T14" s="109">
        <f t="shared" si="6"/>
        <v>6108735</v>
      </c>
      <c r="U14" s="107">
        <f t="shared" si="7"/>
        <v>0</v>
      </c>
      <c r="V14" s="107">
        <f t="shared" si="8"/>
        <v>0</v>
      </c>
      <c r="W14" s="107">
        <f t="shared" si="9"/>
        <v>0</v>
      </c>
      <c r="X14" s="107">
        <f t="shared" si="9"/>
        <v>-0.14814814814963029</v>
      </c>
      <c r="Y14" s="107">
        <f t="shared" si="10"/>
        <v>-0.27272727270610631</v>
      </c>
      <c r="Z14" s="106">
        <f t="shared" si="11"/>
        <v>0</v>
      </c>
      <c r="AA14" s="106">
        <f t="shared" si="12"/>
        <v>0</v>
      </c>
      <c r="AB14" s="106">
        <f t="shared" si="13"/>
        <v>0</v>
      </c>
      <c r="AC14" s="106">
        <f t="shared" si="14"/>
        <v>0</v>
      </c>
      <c r="AD14" s="106">
        <f t="shared" si="15"/>
        <v>0</v>
      </c>
    </row>
    <row r="15" spans="1:35">
      <c r="A15" s="165">
        <v>1</v>
      </c>
      <c r="B15" s="164" t="s">
        <v>367</v>
      </c>
      <c r="C15" s="163"/>
      <c r="D15" s="162" t="s">
        <v>91</v>
      </c>
      <c r="E15" s="158">
        <f>+IF($A15="",IF($C15="",SUMIFS(全伝票!I:I,全伝票!$B:$B,$B15),SUMIFS(全伝票!I:I,全伝票!$C:$C,$C15)),IF($C15="",SUMIFS(全伝票!I:I,全伝票!$A:$A,$A15,全伝票!$B:$B,$B15),SUMIFS(全伝票!I:I,全伝票!$A:$A,$A15,全伝票!$C:$C,$C15)))</f>
        <v>256877</v>
      </c>
      <c r="F15" s="161">
        <f>+IF($A15="",IF($C15="",SUMIFS(全伝票!J:J,全伝票!$B:$B,$B15),SUMIFS(全伝票!J:J,全伝票!$C:$C,$C15)),IF($C15="",SUMIFS(全伝票!J:J,全伝票!$A:$A,$A15,全伝票!$B:$B,$B15),SUMIFS(全伝票!J:J,全伝票!$A:$A,$A15,全伝票!$C:$C,$C15)))</f>
        <v>0</v>
      </c>
      <c r="G15" s="160">
        <f>+IF($A15="",IF($C15="",SUMIFS(全伝票!K:K,全伝票!$B:$B,$B15),SUMIFS(全伝票!K:K,全伝票!$C:$C,$C15)),IF($C15="",SUMIFS(全伝票!K:K,全伝票!$A:$A,$A15,全伝票!$B:$B,$B15),SUMIFS(全伝票!K:K,全伝票!$A:$A,$A15,全伝票!$C:$C,$C15)))</f>
        <v>0</v>
      </c>
      <c r="H15" s="160">
        <f>+IF($A15="",IF($C15="",SUMIFS(全伝票!L:L,全伝票!$B:$B,$B15),SUMIFS(全伝票!L:L,全伝票!$C:$C,$C15)),IF($C15="",SUMIFS(全伝票!L:L,全伝票!$A:$A,$A15,全伝票!$B:$B,$B15),SUMIFS(全伝票!L:L,全伝票!$A:$A,$A15,全伝票!$C:$C,$C15)))</f>
        <v>0</v>
      </c>
      <c r="I15" s="159">
        <f>+IF($A15="",IF($C15="",SUMIFS(全伝票!M:M,全伝票!$B:$B,$B15),SUMIFS(全伝票!M:M,全伝票!$C:$C,$C15)),IF($C15="",SUMIFS(全伝票!M:M,全伝票!$A:$A,$A15,全伝票!$B:$B,$B15),SUMIFS(全伝票!M:M,全伝票!$A:$A,$A15,全伝票!$C:$C,$C15)))</f>
        <v>0</v>
      </c>
      <c r="J15" s="159">
        <f>+IF($A15="",IF($C15="",SUMIFS(全伝票!N:N,全伝票!$B:$B,$B15),SUMIFS(全伝票!N:N,全伝票!$C:$C,$C15)),IF($C15="",SUMIFS(全伝票!N:N,全伝票!$A:$A,$A15,全伝票!$B:$B,$B15),SUMIFS(全伝票!N:N,全伝票!$A:$A,$A15,全伝票!$C:$C,$C15)))</f>
        <v>256877</v>
      </c>
      <c r="K15" s="34">
        <f t="shared" si="0"/>
        <v>256877</v>
      </c>
      <c r="L15" s="158">
        <f>+IF($A15="",IF($C15="",SUMIFS(全伝票!O:O,全伝票!$B:$B,$B15),SUMIFS(全伝票!O:O,全伝票!$C:$C,$C15)),IF($C15="",SUMIFS(全伝票!O:O,全伝票!$A:$A,$A15,全伝票!$B:$B,$B15),SUMIFS(全伝票!O:O,全伝票!$A:$A,$A15,全伝票!$C:$C,$C15)))</f>
        <v>0</v>
      </c>
      <c r="M15" s="158">
        <f>+IF($A15="",IF($C15="",SUMIFS(全伝票!P:P,全伝票!$B:$B,$B15),SUMIFS(全伝票!P:P,全伝票!$C:$C,$C15)),IF($C15="",SUMIFS(全伝票!P:P,全伝票!$A:$A,$A15,全伝票!$B:$B,$B15),SUMIFS(全伝票!P:P,全伝票!$A:$A,$A15,全伝票!$C:$C,$C15)))</f>
        <v>0</v>
      </c>
      <c r="N15" s="108">
        <f t="shared" si="1"/>
        <v>0</v>
      </c>
      <c r="O15" s="25">
        <f t="shared" si="3"/>
        <v>0</v>
      </c>
      <c r="P15" s="25">
        <f t="shared" si="2"/>
        <v>0</v>
      </c>
      <c r="Q15" s="157">
        <f t="shared" si="3"/>
        <v>0</v>
      </c>
      <c r="R15" s="157">
        <f t="shared" si="4"/>
        <v>23353</v>
      </c>
      <c r="S15" s="22">
        <f t="shared" si="5"/>
        <v>23353</v>
      </c>
      <c r="T15" s="109">
        <f t="shared" si="6"/>
        <v>233524</v>
      </c>
      <c r="U15" s="107">
        <f t="shared" si="7"/>
        <v>0</v>
      </c>
      <c r="V15" s="107">
        <f t="shared" si="8"/>
        <v>0</v>
      </c>
      <c r="W15" s="107">
        <f t="shared" si="9"/>
        <v>0</v>
      </c>
      <c r="X15" s="107">
        <f t="shared" si="9"/>
        <v>0</v>
      </c>
      <c r="Y15" s="107">
        <f t="shared" si="10"/>
        <v>0.54545454545586836</v>
      </c>
      <c r="Z15" s="106">
        <f t="shared" si="11"/>
        <v>0</v>
      </c>
      <c r="AA15" s="106">
        <f t="shared" si="12"/>
        <v>0</v>
      </c>
      <c r="AB15" s="106">
        <f t="shared" si="13"/>
        <v>0</v>
      </c>
      <c r="AC15" s="106">
        <f t="shared" si="14"/>
        <v>0</v>
      </c>
      <c r="AD15" s="106">
        <f t="shared" si="15"/>
        <v>0</v>
      </c>
      <c r="AI15" s="2">
        <v>1</v>
      </c>
    </row>
    <row r="16" spans="1:35">
      <c r="A16" s="165">
        <v>1</v>
      </c>
      <c r="B16" s="164" t="s">
        <v>366</v>
      </c>
      <c r="C16" s="163"/>
      <c r="D16" s="162" t="s">
        <v>89</v>
      </c>
      <c r="E16" s="158">
        <f>+IF($A16="",IF($C16="",SUMIFS(全伝票!I:I,全伝票!$B:$B,$B16),SUMIFS(全伝票!I:I,全伝票!$C:$C,$C16)),IF($C16="",SUMIFS(全伝票!I:I,全伝票!$A:$A,$A16,全伝票!$B:$B,$B16),SUMIFS(全伝票!I:I,全伝票!$A:$A,$A16,全伝票!$C:$C,$C16)))</f>
        <v>42836</v>
      </c>
      <c r="F16" s="161">
        <f>+IF($A16="",IF($C16="",SUMIFS(全伝票!J:J,全伝票!$B:$B,$B16),SUMIFS(全伝票!J:J,全伝票!$C:$C,$C16)),IF($C16="",SUMIFS(全伝票!J:J,全伝票!$A:$A,$A16,全伝票!$B:$B,$B16),SUMIFS(全伝票!J:J,全伝票!$A:$A,$A16,全伝票!$C:$C,$C16)))</f>
        <v>0</v>
      </c>
      <c r="G16" s="160">
        <f>+IF($A16="",IF($C16="",SUMIFS(全伝票!K:K,全伝票!$B:$B,$B16),SUMIFS(全伝票!K:K,全伝票!$C:$C,$C16)),IF($C16="",SUMIFS(全伝票!K:K,全伝票!$A:$A,$A16,全伝票!$B:$B,$B16),SUMIFS(全伝票!K:K,全伝票!$A:$A,$A16,全伝票!$C:$C,$C16)))</f>
        <v>0</v>
      </c>
      <c r="H16" s="160">
        <f>+IF($A16="",IF($C16="",SUMIFS(全伝票!L:L,全伝票!$B:$B,$B16),SUMIFS(全伝票!L:L,全伝票!$C:$C,$C16)),IF($C16="",SUMIFS(全伝票!L:L,全伝票!$A:$A,$A16,全伝票!$B:$B,$B16),SUMIFS(全伝票!L:L,全伝票!$A:$A,$A16,全伝票!$C:$C,$C16)))</f>
        <v>0</v>
      </c>
      <c r="I16" s="159">
        <f>+IF($A16="",IF($C16="",SUMIFS(全伝票!M:M,全伝票!$B:$B,$B16),SUMIFS(全伝票!M:M,全伝票!$C:$C,$C16)),IF($C16="",SUMIFS(全伝票!M:M,全伝票!$A:$A,$A16,全伝票!$B:$B,$B16),SUMIFS(全伝票!M:M,全伝票!$A:$A,$A16,全伝票!$C:$C,$C16)))</f>
        <v>0</v>
      </c>
      <c r="J16" s="159">
        <f>+IF($A16="",IF($C16="",SUMIFS(全伝票!N:N,全伝票!$B:$B,$B16),SUMIFS(全伝票!N:N,全伝票!$C:$C,$C16)),IF($C16="",SUMIFS(全伝票!N:N,全伝票!$A:$A,$A16,全伝票!$B:$B,$B16),SUMIFS(全伝票!N:N,全伝票!$A:$A,$A16,全伝票!$C:$C,$C16)))</f>
        <v>42836</v>
      </c>
      <c r="K16" s="34">
        <f t="shared" si="0"/>
        <v>42836</v>
      </c>
      <c r="L16" s="158">
        <f>+IF($A16="",IF($C16="",SUMIFS(全伝票!O:O,全伝票!$B:$B,$B16),SUMIFS(全伝票!O:O,全伝票!$C:$C,$C16)),IF($C16="",SUMIFS(全伝票!O:O,全伝票!$A:$A,$A16,全伝票!$B:$B,$B16),SUMIFS(全伝票!O:O,全伝票!$A:$A,$A16,全伝票!$C:$C,$C16)))</f>
        <v>0</v>
      </c>
      <c r="M16" s="158">
        <f>+IF($A16="",IF($C16="",SUMIFS(全伝票!P:P,全伝票!$B:$B,$B16),SUMIFS(全伝票!P:P,全伝票!$C:$C,$C16)),IF($C16="",SUMIFS(全伝票!P:P,全伝票!$A:$A,$A16,全伝票!$B:$B,$B16),SUMIFS(全伝票!P:P,全伝票!$A:$A,$A16,全伝票!$C:$C,$C16)))</f>
        <v>0</v>
      </c>
      <c r="N16" s="108">
        <f t="shared" si="1"/>
        <v>0</v>
      </c>
      <c r="O16" s="25">
        <f t="shared" si="3"/>
        <v>0</v>
      </c>
      <c r="P16" s="25">
        <f t="shared" si="2"/>
        <v>0</v>
      </c>
      <c r="Q16" s="157">
        <f t="shared" si="3"/>
        <v>0</v>
      </c>
      <c r="R16" s="157">
        <f t="shared" si="4"/>
        <v>3894</v>
      </c>
      <c r="S16" s="22">
        <f t="shared" si="5"/>
        <v>3894</v>
      </c>
      <c r="T16" s="109">
        <f t="shared" si="6"/>
        <v>38942</v>
      </c>
      <c r="U16" s="107">
        <f t="shared" si="7"/>
        <v>0</v>
      </c>
      <c r="V16" s="107">
        <f t="shared" si="8"/>
        <v>0</v>
      </c>
      <c r="W16" s="107">
        <f t="shared" si="9"/>
        <v>0</v>
      </c>
      <c r="X16" s="107">
        <f t="shared" si="9"/>
        <v>0</v>
      </c>
      <c r="Y16" s="107">
        <f t="shared" si="10"/>
        <v>-0.18181818181801646</v>
      </c>
      <c r="Z16" s="106">
        <f t="shared" si="11"/>
        <v>0</v>
      </c>
      <c r="AA16" s="106">
        <f t="shared" si="12"/>
        <v>0</v>
      </c>
      <c r="AB16" s="106">
        <f t="shared" si="13"/>
        <v>0</v>
      </c>
      <c r="AC16" s="106">
        <f t="shared" si="14"/>
        <v>0</v>
      </c>
      <c r="AD16" s="106">
        <f t="shared" si="15"/>
        <v>0</v>
      </c>
    </row>
    <row r="17" spans="1:35">
      <c r="A17" s="165">
        <v>1</v>
      </c>
      <c r="B17" s="164" t="s">
        <v>365</v>
      </c>
      <c r="C17" s="163"/>
      <c r="D17" s="162" t="s">
        <v>87</v>
      </c>
      <c r="E17" s="158">
        <f>+IF($A17="",IF($C17="",SUMIFS(全伝票!I:I,全伝票!$B:$B,$B17),SUMIFS(全伝票!I:I,全伝票!$C:$C,$C17)),IF($C17="",SUMIFS(全伝票!I:I,全伝票!$A:$A,$A17,全伝票!$B:$B,$B17),SUMIFS(全伝票!I:I,全伝票!$A:$A,$A17,全伝票!$C:$C,$C17)))</f>
        <v>1404435</v>
      </c>
      <c r="F17" s="161">
        <f>+IF($A17="",IF($C17="",SUMIFS(全伝票!J:J,全伝票!$B:$B,$B17),SUMIFS(全伝票!J:J,全伝票!$C:$C,$C17)),IF($C17="",SUMIFS(全伝票!J:J,全伝票!$A:$A,$A17,全伝票!$B:$B,$B17),SUMIFS(全伝票!J:J,全伝票!$A:$A,$A17,全伝票!$C:$C,$C17)))</f>
        <v>0</v>
      </c>
      <c r="G17" s="160">
        <f>+IF($A17="",IF($C17="",SUMIFS(全伝票!K:K,全伝票!$B:$B,$B17),SUMIFS(全伝票!K:K,全伝票!$C:$C,$C17)),IF($C17="",SUMIFS(全伝票!K:K,全伝票!$A:$A,$A17,全伝票!$B:$B,$B17),SUMIFS(全伝票!K:K,全伝票!$A:$A,$A17,全伝票!$C:$C,$C17)))</f>
        <v>0</v>
      </c>
      <c r="H17" s="160">
        <f>+IF($A17="",IF($C17="",SUMIFS(全伝票!L:L,全伝票!$B:$B,$B17),SUMIFS(全伝票!L:L,全伝票!$C:$C,$C17)),IF($C17="",SUMIFS(全伝票!L:L,全伝票!$A:$A,$A17,全伝票!$B:$B,$B17),SUMIFS(全伝票!L:L,全伝票!$A:$A,$A17,全伝票!$C:$C,$C17)))</f>
        <v>0</v>
      </c>
      <c r="I17" s="159">
        <f>+IF($A17="",IF($C17="",SUMIFS(全伝票!M:M,全伝票!$B:$B,$B17),SUMIFS(全伝票!M:M,全伝票!$C:$C,$C17)),IF($C17="",SUMIFS(全伝票!M:M,全伝票!$A:$A,$A17,全伝票!$B:$B,$B17),SUMIFS(全伝票!M:M,全伝票!$A:$A,$A17,全伝票!$C:$C,$C17)))</f>
        <v>0</v>
      </c>
      <c r="J17" s="159">
        <f>+IF($A17="",IF($C17="",SUMIFS(全伝票!N:N,全伝票!$B:$B,$B17),SUMIFS(全伝票!N:N,全伝票!$C:$C,$C17)),IF($C17="",SUMIFS(全伝票!N:N,全伝票!$A:$A,$A17,全伝票!$B:$B,$B17),SUMIFS(全伝票!N:N,全伝票!$A:$A,$A17,全伝票!$C:$C,$C17)))</f>
        <v>1404435</v>
      </c>
      <c r="K17" s="34">
        <f t="shared" si="0"/>
        <v>1404435</v>
      </c>
      <c r="L17" s="158">
        <f>+IF($A17="",IF($C17="",SUMIFS(全伝票!O:O,全伝票!$B:$B,$B17),SUMIFS(全伝票!O:O,全伝票!$C:$C,$C17)),IF($C17="",SUMIFS(全伝票!O:O,全伝票!$A:$A,$A17,全伝票!$B:$B,$B17),SUMIFS(全伝票!O:O,全伝票!$A:$A,$A17,全伝票!$C:$C,$C17)))</f>
        <v>0</v>
      </c>
      <c r="M17" s="158">
        <f>+IF($A17="",IF($C17="",SUMIFS(全伝票!P:P,全伝票!$B:$B,$B17),SUMIFS(全伝票!P:P,全伝票!$C:$C,$C17)),IF($C17="",SUMIFS(全伝票!P:P,全伝票!$A:$A,$A17,全伝票!$B:$B,$B17),SUMIFS(全伝票!P:P,全伝票!$A:$A,$A17,全伝票!$C:$C,$C17)))</f>
        <v>0</v>
      </c>
      <c r="N17" s="108">
        <f t="shared" si="1"/>
        <v>0</v>
      </c>
      <c r="O17" s="25">
        <f t="shared" si="3"/>
        <v>0</v>
      </c>
      <c r="P17" s="25">
        <f t="shared" si="2"/>
        <v>0</v>
      </c>
      <c r="Q17" s="157">
        <f t="shared" si="3"/>
        <v>0</v>
      </c>
      <c r="R17" s="157">
        <f t="shared" si="4"/>
        <v>127676</v>
      </c>
      <c r="S17" s="22">
        <f t="shared" si="5"/>
        <v>127676</v>
      </c>
      <c r="T17" s="109">
        <f t="shared" si="6"/>
        <v>1276759</v>
      </c>
      <c r="U17" s="107">
        <f t="shared" si="7"/>
        <v>0</v>
      </c>
      <c r="V17" s="107">
        <f t="shared" si="8"/>
        <v>0</v>
      </c>
      <c r="W17" s="107">
        <f t="shared" si="9"/>
        <v>0</v>
      </c>
      <c r="X17" s="107">
        <f t="shared" si="9"/>
        <v>0</v>
      </c>
      <c r="Y17" s="107">
        <f t="shared" si="10"/>
        <v>9.0909090911736712E-2</v>
      </c>
      <c r="Z17" s="106">
        <f t="shared" si="11"/>
        <v>0</v>
      </c>
      <c r="AA17" s="106">
        <f t="shared" si="12"/>
        <v>0</v>
      </c>
      <c r="AB17" s="106">
        <f t="shared" si="13"/>
        <v>0</v>
      </c>
      <c r="AC17" s="106">
        <f t="shared" si="14"/>
        <v>0</v>
      </c>
      <c r="AD17" s="106">
        <f t="shared" si="15"/>
        <v>0</v>
      </c>
    </row>
    <row r="18" spans="1:35">
      <c r="A18" s="165">
        <v>1</v>
      </c>
      <c r="B18" s="164" t="s">
        <v>364</v>
      </c>
      <c r="C18" s="163"/>
      <c r="D18" s="162" t="s">
        <v>85</v>
      </c>
      <c r="E18" s="158">
        <f>+IF($A18="",IF($C18="",SUMIFS(全伝票!I:I,全伝票!$B:$B,$B18),SUMIFS(全伝票!I:I,全伝票!$C:$C,$C18)),IF($C18="",SUMIFS(全伝票!I:I,全伝票!$A:$A,$A18,全伝票!$B:$B,$B18),SUMIFS(全伝票!I:I,全伝票!$A:$A,$A18,全伝票!$C:$C,$C18)))</f>
        <v>190945</v>
      </c>
      <c r="F18" s="161">
        <f>+IF($A18="",IF($C18="",SUMIFS(全伝票!J:J,全伝票!$B:$B,$B18),SUMIFS(全伝票!J:J,全伝票!$C:$C,$C18)),IF($C18="",SUMIFS(全伝票!J:J,全伝票!$A:$A,$A18,全伝票!$B:$B,$B18),SUMIFS(全伝票!J:J,全伝票!$A:$A,$A18,全伝票!$C:$C,$C18)))</f>
        <v>0</v>
      </c>
      <c r="G18" s="160">
        <f>+IF($A18="",IF($C18="",SUMIFS(全伝票!K:K,全伝票!$B:$B,$B18),SUMIFS(全伝票!K:K,全伝票!$C:$C,$C18)),IF($C18="",SUMIFS(全伝票!K:K,全伝票!$A:$A,$A18,全伝票!$B:$B,$B18),SUMIFS(全伝票!K:K,全伝票!$A:$A,$A18,全伝票!$C:$C,$C18)))</f>
        <v>0</v>
      </c>
      <c r="H18" s="160">
        <f>+IF($A18="",IF($C18="",SUMIFS(全伝票!L:L,全伝票!$B:$B,$B18),SUMIFS(全伝票!L:L,全伝票!$C:$C,$C18)),IF($C18="",SUMIFS(全伝票!L:L,全伝票!$A:$A,$A18,全伝票!$B:$B,$B18),SUMIFS(全伝票!L:L,全伝票!$A:$A,$A18,全伝票!$C:$C,$C18)))</f>
        <v>0</v>
      </c>
      <c r="I18" s="159">
        <f>+IF($A18="",IF($C18="",SUMIFS(全伝票!M:M,全伝票!$B:$B,$B18),SUMIFS(全伝票!M:M,全伝票!$C:$C,$C18)),IF($C18="",SUMIFS(全伝票!M:M,全伝票!$A:$A,$A18,全伝票!$B:$B,$B18),SUMIFS(全伝票!M:M,全伝票!$A:$A,$A18,全伝票!$C:$C,$C18)))</f>
        <v>0</v>
      </c>
      <c r="J18" s="159">
        <f>+IF($A18="",IF($C18="",SUMIFS(全伝票!N:N,全伝票!$B:$B,$B18),SUMIFS(全伝票!N:N,全伝票!$C:$C,$C18)),IF($C18="",SUMIFS(全伝票!N:N,全伝票!$A:$A,$A18,全伝票!$B:$B,$B18),SUMIFS(全伝票!N:N,全伝票!$A:$A,$A18,全伝票!$C:$C,$C18)))</f>
        <v>136081</v>
      </c>
      <c r="K18" s="34">
        <f t="shared" si="0"/>
        <v>136081</v>
      </c>
      <c r="L18" s="158">
        <f>+IF($A18="",IF($C18="",SUMIFS(全伝票!O:O,全伝票!$B:$B,$B18),SUMIFS(全伝票!O:O,全伝票!$C:$C,$C18)),IF($C18="",SUMIFS(全伝票!O:O,全伝票!$A:$A,$A18,全伝票!$B:$B,$B18),SUMIFS(全伝票!O:O,全伝票!$A:$A,$A18,全伝票!$C:$C,$C18)))</f>
        <v>54864</v>
      </c>
      <c r="M18" s="158">
        <f>+IF($A18="",IF($C18="",SUMIFS(全伝票!P:P,全伝票!$B:$B,$B18),SUMIFS(全伝票!P:P,全伝票!$C:$C,$C18)),IF($C18="",SUMIFS(全伝票!P:P,全伝票!$A:$A,$A18,全伝票!$B:$B,$B18),SUMIFS(全伝票!P:P,全伝票!$A:$A,$A18,全伝票!$C:$C,$C18)))</f>
        <v>0</v>
      </c>
      <c r="N18" s="108">
        <f t="shared" si="1"/>
        <v>0</v>
      </c>
      <c r="O18" s="25">
        <f t="shared" si="3"/>
        <v>0</v>
      </c>
      <c r="P18" s="25">
        <f t="shared" si="2"/>
        <v>0</v>
      </c>
      <c r="Q18" s="157">
        <f t="shared" si="3"/>
        <v>0</v>
      </c>
      <c r="R18" s="157">
        <f t="shared" si="4"/>
        <v>12371</v>
      </c>
      <c r="S18" s="22">
        <f t="shared" si="5"/>
        <v>12371</v>
      </c>
      <c r="T18" s="109">
        <f t="shared" si="6"/>
        <v>178574</v>
      </c>
      <c r="U18" s="107">
        <f t="shared" si="7"/>
        <v>0</v>
      </c>
      <c r="V18" s="107">
        <f t="shared" si="8"/>
        <v>0</v>
      </c>
      <c r="W18" s="107">
        <f t="shared" si="9"/>
        <v>0</v>
      </c>
      <c r="X18" s="107">
        <f t="shared" si="9"/>
        <v>0</v>
      </c>
      <c r="Y18" s="107">
        <f t="shared" si="10"/>
        <v>0</v>
      </c>
      <c r="Z18" s="106">
        <f t="shared" si="11"/>
        <v>0</v>
      </c>
      <c r="AA18" s="106">
        <f t="shared" si="12"/>
        <v>0</v>
      </c>
      <c r="AB18" s="106">
        <f t="shared" si="13"/>
        <v>0</v>
      </c>
      <c r="AC18" s="106">
        <f t="shared" si="14"/>
        <v>0</v>
      </c>
      <c r="AD18" s="106">
        <f t="shared" si="15"/>
        <v>0</v>
      </c>
    </row>
    <row r="19" spans="1:35">
      <c r="A19" s="165">
        <v>1</v>
      </c>
      <c r="B19" s="164" t="s">
        <v>363</v>
      </c>
      <c r="C19" s="163"/>
      <c r="D19" s="162" t="s">
        <v>83</v>
      </c>
      <c r="E19" s="158">
        <f>+IF($A19="",IF($C19="",SUMIFS(全伝票!I:I,全伝票!$B:$B,$B19),SUMIFS(全伝票!I:I,全伝票!$C:$C,$C19)),IF($C19="",SUMIFS(全伝票!I:I,全伝票!$A:$A,$A19,全伝票!$B:$B,$B19),SUMIFS(全伝票!I:I,全伝票!$A:$A,$A19,全伝票!$C:$C,$C19)))</f>
        <v>32908077</v>
      </c>
      <c r="F19" s="161">
        <f>+IF($A19="",IF($C19="",SUMIFS(全伝票!J:J,全伝票!$B:$B,$B19),SUMIFS(全伝票!J:J,全伝票!$C:$C,$C19)),IF($C19="",SUMIFS(全伝票!J:J,全伝票!$A:$A,$A19,全伝票!$B:$B,$B19),SUMIFS(全伝票!J:J,全伝票!$A:$A,$A19,全伝票!$C:$C,$C19)))</f>
        <v>0</v>
      </c>
      <c r="G19" s="160">
        <f>+IF($A19="",IF($C19="",SUMIFS(全伝票!K:K,全伝票!$B:$B,$B19),SUMIFS(全伝票!K:K,全伝票!$C:$C,$C19)),IF($C19="",SUMIFS(全伝票!K:K,全伝票!$A:$A,$A19,全伝票!$B:$B,$B19),SUMIFS(全伝票!K:K,全伝票!$A:$A,$A19,全伝票!$C:$C,$C19)))</f>
        <v>0</v>
      </c>
      <c r="H19" s="160">
        <f>+IF($A19="",IF($C19="",SUMIFS(全伝票!L:L,全伝票!$B:$B,$B19),SUMIFS(全伝票!L:L,全伝票!$C:$C,$C19)),IF($C19="",SUMIFS(全伝票!L:L,全伝票!$A:$A,$A19,全伝票!$B:$B,$B19),SUMIFS(全伝票!L:L,全伝票!$A:$A,$A19,全伝票!$C:$C,$C19)))</f>
        <v>0</v>
      </c>
      <c r="I19" s="159">
        <f>+IF($A19="",IF($C19="",SUMIFS(全伝票!M:M,全伝票!$B:$B,$B19),SUMIFS(全伝票!M:M,全伝票!$C:$C,$C19)),IF($C19="",SUMIFS(全伝票!M:M,全伝票!$A:$A,$A19,全伝票!$B:$B,$B19),SUMIFS(全伝票!M:M,全伝票!$A:$A,$A19,全伝票!$C:$C,$C19)))</f>
        <v>0</v>
      </c>
      <c r="J19" s="159">
        <f>+IF($A19="",IF($C19="",SUMIFS(全伝票!N:N,全伝票!$B:$B,$B19),SUMIFS(全伝票!N:N,全伝票!$C:$C,$C19)),IF($C19="",SUMIFS(全伝票!N:N,全伝票!$A:$A,$A19,全伝票!$B:$B,$B19),SUMIFS(全伝票!N:N,全伝票!$A:$A,$A19,全伝票!$C:$C,$C19)))</f>
        <v>32908077</v>
      </c>
      <c r="K19" s="34">
        <f t="shared" si="0"/>
        <v>32908077</v>
      </c>
      <c r="L19" s="158">
        <f>+IF($A19="",IF($C19="",SUMIFS(全伝票!O:O,全伝票!$B:$B,$B19),SUMIFS(全伝票!O:O,全伝票!$C:$C,$C19)),IF($C19="",SUMIFS(全伝票!O:O,全伝票!$A:$A,$A19,全伝票!$B:$B,$B19),SUMIFS(全伝票!O:O,全伝票!$A:$A,$A19,全伝票!$C:$C,$C19)))</f>
        <v>0</v>
      </c>
      <c r="M19" s="158">
        <f>+IF($A19="",IF($C19="",SUMIFS(全伝票!P:P,全伝票!$B:$B,$B19),SUMIFS(全伝票!P:P,全伝票!$C:$C,$C19)),IF($C19="",SUMIFS(全伝票!P:P,全伝票!$A:$A,$A19,全伝票!$B:$B,$B19),SUMIFS(全伝票!P:P,全伝票!$A:$A,$A19,全伝票!$C:$C,$C19)))</f>
        <v>0</v>
      </c>
      <c r="N19" s="108">
        <f t="shared" si="1"/>
        <v>0</v>
      </c>
      <c r="O19" s="25">
        <f t="shared" si="3"/>
        <v>0</v>
      </c>
      <c r="P19" s="25">
        <f t="shared" si="2"/>
        <v>0</v>
      </c>
      <c r="Q19" s="157">
        <f t="shared" si="3"/>
        <v>0</v>
      </c>
      <c r="R19" s="157">
        <f t="shared" si="4"/>
        <v>2991644</v>
      </c>
      <c r="S19" s="22">
        <f t="shared" si="5"/>
        <v>2991644</v>
      </c>
      <c r="T19" s="109">
        <f t="shared" si="6"/>
        <v>29916433</v>
      </c>
      <c r="U19" s="107">
        <f t="shared" si="7"/>
        <v>0</v>
      </c>
      <c r="V19" s="107">
        <f t="shared" si="8"/>
        <v>0</v>
      </c>
      <c r="W19" s="107">
        <f t="shared" si="9"/>
        <v>0</v>
      </c>
      <c r="X19" s="107">
        <f t="shared" si="9"/>
        <v>0</v>
      </c>
      <c r="Y19" s="107">
        <f t="shared" si="10"/>
        <v>0.63636363623663783</v>
      </c>
      <c r="Z19" s="106">
        <f t="shared" si="11"/>
        <v>0</v>
      </c>
      <c r="AA19" s="106">
        <f t="shared" si="12"/>
        <v>0</v>
      </c>
      <c r="AB19" s="106">
        <f t="shared" si="13"/>
        <v>0</v>
      </c>
      <c r="AC19" s="106">
        <f t="shared" si="14"/>
        <v>0</v>
      </c>
      <c r="AD19" s="106">
        <f t="shared" si="15"/>
        <v>0</v>
      </c>
      <c r="AI19" s="2">
        <v>1</v>
      </c>
    </row>
    <row r="20" spans="1:35">
      <c r="A20" s="165">
        <v>1</v>
      </c>
      <c r="B20" s="164" t="s">
        <v>362</v>
      </c>
      <c r="C20" s="163"/>
      <c r="D20" s="162" t="s">
        <v>81</v>
      </c>
      <c r="E20" s="158">
        <f>+IF($A20="",IF($C20="",SUMIFS(全伝票!I:I,全伝票!$B:$B,$B20),SUMIFS(全伝票!I:I,全伝票!$C:$C,$C20)),IF($C20="",SUMIFS(全伝票!I:I,全伝票!$A:$A,$A20,全伝票!$B:$B,$B20),SUMIFS(全伝票!I:I,全伝票!$A:$A,$A20,全伝票!$C:$C,$C20)))</f>
        <v>38947557</v>
      </c>
      <c r="F20" s="161">
        <f>+IF($A20="",IF($C20="",SUMIFS(全伝票!J:J,全伝票!$B:$B,$B20),SUMIFS(全伝票!J:J,全伝票!$C:$C,$C20)),IF($C20="",SUMIFS(全伝票!J:J,全伝票!$A:$A,$A20,全伝票!$B:$B,$B20),SUMIFS(全伝票!J:J,全伝票!$A:$A,$A20,全伝票!$C:$C,$C20)))</f>
        <v>0</v>
      </c>
      <c r="G20" s="160">
        <f>+IF($A20="",IF($C20="",SUMIFS(全伝票!K:K,全伝票!$B:$B,$B20),SUMIFS(全伝票!K:K,全伝票!$C:$C,$C20)),IF($C20="",SUMIFS(全伝票!K:K,全伝票!$A:$A,$A20,全伝票!$B:$B,$B20),SUMIFS(全伝票!K:K,全伝票!$A:$A,$A20,全伝票!$C:$C,$C20)))</f>
        <v>0</v>
      </c>
      <c r="H20" s="160">
        <f>+IF($A20="",IF($C20="",SUMIFS(全伝票!L:L,全伝票!$B:$B,$B20),SUMIFS(全伝票!L:L,全伝票!$C:$C,$C20)),IF($C20="",SUMIFS(全伝票!L:L,全伝票!$A:$A,$A20,全伝票!$B:$B,$B20),SUMIFS(全伝票!L:L,全伝票!$A:$A,$A20,全伝票!$C:$C,$C20)))</f>
        <v>0</v>
      </c>
      <c r="I20" s="159">
        <f>+IF($A20="",IF($C20="",SUMIFS(全伝票!M:M,全伝票!$B:$B,$B20),SUMIFS(全伝票!M:M,全伝票!$C:$C,$C20)),IF($C20="",SUMIFS(全伝票!M:M,全伝票!$A:$A,$A20,全伝票!$B:$B,$B20),SUMIFS(全伝票!M:M,全伝票!$A:$A,$A20,全伝票!$C:$C,$C20)))</f>
        <v>0</v>
      </c>
      <c r="J20" s="159">
        <f>+IF($A20="",IF($C20="",SUMIFS(全伝票!N:N,全伝票!$B:$B,$B20),SUMIFS(全伝票!N:N,全伝票!$C:$C,$C20)),IF($C20="",SUMIFS(全伝票!N:N,全伝票!$A:$A,$A20,全伝票!$B:$B,$B20),SUMIFS(全伝票!N:N,全伝票!$A:$A,$A20,全伝票!$C:$C,$C20)))</f>
        <v>38947557</v>
      </c>
      <c r="K20" s="34">
        <f t="shared" si="0"/>
        <v>38947557</v>
      </c>
      <c r="L20" s="158">
        <f>+IF($A20="",IF($C20="",SUMIFS(全伝票!O:O,全伝票!$B:$B,$B20),SUMIFS(全伝票!O:O,全伝票!$C:$C,$C20)),IF($C20="",SUMIFS(全伝票!O:O,全伝票!$A:$A,$A20,全伝票!$B:$B,$B20),SUMIFS(全伝票!O:O,全伝票!$A:$A,$A20,全伝票!$C:$C,$C20)))</f>
        <v>0</v>
      </c>
      <c r="M20" s="158">
        <f>+IF($A20="",IF($C20="",SUMIFS(全伝票!P:P,全伝票!$B:$B,$B20),SUMIFS(全伝票!P:P,全伝票!$C:$C,$C20)),IF($C20="",SUMIFS(全伝票!P:P,全伝票!$A:$A,$A20,全伝票!$B:$B,$B20),SUMIFS(全伝票!P:P,全伝票!$A:$A,$A20,全伝票!$C:$C,$C20)))</f>
        <v>0</v>
      </c>
      <c r="N20" s="108">
        <f t="shared" si="1"/>
        <v>0</v>
      </c>
      <c r="O20" s="25">
        <f t="shared" si="3"/>
        <v>0</v>
      </c>
      <c r="P20" s="25">
        <f t="shared" si="2"/>
        <v>0</v>
      </c>
      <c r="Q20" s="157">
        <f t="shared" si="3"/>
        <v>0</v>
      </c>
      <c r="R20" s="157">
        <f t="shared" si="4"/>
        <v>3540687</v>
      </c>
      <c r="S20" s="22">
        <f t="shared" si="5"/>
        <v>3540687</v>
      </c>
      <c r="T20" s="109">
        <f t="shared" si="6"/>
        <v>35406870</v>
      </c>
      <c r="U20" s="107">
        <f t="shared" si="7"/>
        <v>0</v>
      </c>
      <c r="V20" s="107">
        <f t="shared" si="8"/>
        <v>0</v>
      </c>
      <c r="W20" s="107">
        <f t="shared" si="9"/>
        <v>0</v>
      </c>
      <c r="X20" s="107">
        <f t="shared" si="9"/>
        <v>0</v>
      </c>
      <c r="Y20" s="107">
        <f t="shared" si="10"/>
        <v>0</v>
      </c>
      <c r="Z20" s="106">
        <f t="shared" si="11"/>
        <v>0</v>
      </c>
      <c r="AA20" s="106">
        <f t="shared" si="12"/>
        <v>0</v>
      </c>
      <c r="AB20" s="106">
        <f t="shared" si="13"/>
        <v>0</v>
      </c>
      <c r="AC20" s="106">
        <f t="shared" si="14"/>
        <v>0</v>
      </c>
      <c r="AD20" s="106">
        <f t="shared" si="15"/>
        <v>0</v>
      </c>
    </row>
    <row r="21" spans="1:35">
      <c r="A21" s="165">
        <v>1</v>
      </c>
      <c r="B21" s="164" t="s">
        <v>361</v>
      </c>
      <c r="C21" s="163"/>
      <c r="D21" s="162" t="s">
        <v>79</v>
      </c>
      <c r="E21" s="158">
        <f>+IF($A21="",IF($C21="",SUMIFS(全伝票!I:I,全伝票!$B:$B,$B21),SUMIFS(全伝票!I:I,全伝票!$C:$C,$C21)),IF($C21="",SUMIFS(全伝票!I:I,全伝票!$A:$A,$A21,全伝票!$B:$B,$B21),SUMIFS(全伝票!I:I,全伝票!$A:$A,$A21,全伝票!$C:$C,$C21)))</f>
        <v>1396111</v>
      </c>
      <c r="F21" s="161">
        <f>+IF($A21="",IF($C21="",SUMIFS(全伝票!J:J,全伝票!$B:$B,$B21),SUMIFS(全伝票!J:J,全伝票!$C:$C,$C21)),IF($C21="",SUMIFS(全伝票!J:J,全伝票!$A:$A,$A21,全伝票!$B:$B,$B21),SUMIFS(全伝票!J:J,全伝票!$A:$A,$A21,全伝票!$C:$C,$C21)))</f>
        <v>0</v>
      </c>
      <c r="G21" s="160">
        <f>+IF($A21="",IF($C21="",SUMIFS(全伝票!K:K,全伝票!$B:$B,$B21),SUMIFS(全伝票!K:K,全伝票!$C:$C,$C21)),IF($C21="",SUMIFS(全伝票!K:K,全伝票!$A:$A,$A21,全伝票!$B:$B,$B21),SUMIFS(全伝票!K:K,全伝票!$A:$A,$A21,全伝票!$C:$C,$C21)))</f>
        <v>0</v>
      </c>
      <c r="H21" s="160">
        <f>+IF($A21="",IF($C21="",SUMIFS(全伝票!L:L,全伝票!$B:$B,$B21),SUMIFS(全伝票!L:L,全伝票!$C:$C,$C21)),IF($C21="",SUMIFS(全伝票!L:L,全伝票!$A:$A,$A21,全伝票!$B:$B,$B21),SUMIFS(全伝票!L:L,全伝票!$A:$A,$A21,全伝票!$C:$C,$C21)))</f>
        <v>0</v>
      </c>
      <c r="I21" s="159">
        <f>+IF($A21="",IF($C21="",SUMIFS(全伝票!M:M,全伝票!$B:$B,$B21),SUMIFS(全伝票!M:M,全伝票!$C:$C,$C21)),IF($C21="",SUMIFS(全伝票!M:M,全伝票!$A:$A,$A21,全伝票!$B:$B,$B21),SUMIFS(全伝票!M:M,全伝票!$A:$A,$A21,全伝票!$C:$C,$C21)))</f>
        <v>0</v>
      </c>
      <c r="J21" s="159">
        <f>+IF($A21="",IF($C21="",SUMIFS(全伝票!N:N,全伝票!$B:$B,$B21),SUMIFS(全伝票!N:N,全伝票!$C:$C,$C21)),IF($C21="",SUMIFS(全伝票!N:N,全伝票!$A:$A,$A21,全伝票!$B:$B,$B21),SUMIFS(全伝票!N:N,全伝票!$A:$A,$A21,全伝票!$C:$C,$C21)))</f>
        <v>1396111</v>
      </c>
      <c r="K21" s="34">
        <f t="shared" si="0"/>
        <v>1396111</v>
      </c>
      <c r="L21" s="158">
        <f>+IF($A21="",IF($C21="",SUMIFS(全伝票!O:O,全伝票!$B:$B,$B21),SUMIFS(全伝票!O:O,全伝票!$C:$C,$C21)),IF($C21="",SUMIFS(全伝票!O:O,全伝票!$A:$A,$A21,全伝票!$B:$B,$B21),SUMIFS(全伝票!O:O,全伝票!$A:$A,$A21,全伝票!$C:$C,$C21)))</f>
        <v>0</v>
      </c>
      <c r="M21" s="158">
        <f>+IF($A21="",IF($C21="",SUMIFS(全伝票!P:P,全伝票!$B:$B,$B21),SUMIFS(全伝票!P:P,全伝票!$C:$C,$C21)),IF($C21="",SUMIFS(全伝票!P:P,全伝票!$A:$A,$A21,全伝票!$B:$B,$B21),SUMIFS(全伝票!P:P,全伝票!$A:$A,$A21,全伝票!$C:$C,$C21)))</f>
        <v>0</v>
      </c>
      <c r="N21" s="108">
        <f t="shared" si="1"/>
        <v>0</v>
      </c>
      <c r="O21" s="25">
        <f t="shared" si="3"/>
        <v>0</v>
      </c>
      <c r="P21" s="25">
        <f t="shared" si="2"/>
        <v>0</v>
      </c>
      <c r="Q21" s="157">
        <f t="shared" si="3"/>
        <v>0</v>
      </c>
      <c r="R21" s="157">
        <f t="shared" si="4"/>
        <v>126919</v>
      </c>
      <c r="S21" s="22">
        <f t="shared" si="5"/>
        <v>126919</v>
      </c>
      <c r="T21" s="109">
        <f t="shared" si="6"/>
        <v>1269192</v>
      </c>
      <c r="U21" s="107">
        <f t="shared" si="7"/>
        <v>0</v>
      </c>
      <c r="V21" s="107">
        <f t="shared" si="8"/>
        <v>0</v>
      </c>
      <c r="W21" s="107">
        <f t="shared" si="9"/>
        <v>0</v>
      </c>
      <c r="X21" s="107">
        <f t="shared" si="9"/>
        <v>0</v>
      </c>
      <c r="Y21" s="107">
        <f t="shared" si="10"/>
        <v>-0.18181818182347342</v>
      </c>
      <c r="Z21" s="106">
        <f t="shared" si="11"/>
        <v>0</v>
      </c>
      <c r="AA21" s="106">
        <f t="shared" si="12"/>
        <v>0</v>
      </c>
      <c r="AB21" s="106">
        <f t="shared" si="13"/>
        <v>0</v>
      </c>
      <c r="AC21" s="106">
        <f t="shared" si="14"/>
        <v>0</v>
      </c>
      <c r="AD21" s="106">
        <f t="shared" si="15"/>
        <v>0</v>
      </c>
    </row>
    <row r="22" spans="1:35">
      <c r="A22" s="165">
        <v>1</v>
      </c>
      <c r="B22" s="164" t="s">
        <v>360</v>
      </c>
      <c r="C22" s="163"/>
      <c r="D22" s="162" t="s">
        <v>77</v>
      </c>
      <c r="E22" s="158">
        <f>+IF($A22="",IF($C22="",SUMIFS(全伝票!I:I,全伝票!$B:$B,$B22),SUMIFS(全伝票!I:I,全伝票!$C:$C,$C22)),IF($C22="",SUMIFS(全伝票!I:I,全伝票!$A:$A,$A22,全伝票!$B:$B,$B22),SUMIFS(全伝票!I:I,全伝票!$A:$A,$A22,全伝票!$C:$C,$C22)))</f>
        <v>0</v>
      </c>
      <c r="F22" s="161">
        <f>+IF($A22="",IF($C22="",SUMIFS(全伝票!J:J,全伝票!$B:$B,$B22),SUMIFS(全伝票!J:J,全伝票!$C:$C,$C22)),IF($C22="",SUMIFS(全伝票!J:J,全伝票!$A:$A,$A22,全伝票!$B:$B,$B22),SUMIFS(全伝票!J:J,全伝票!$A:$A,$A22,全伝票!$C:$C,$C22)))</f>
        <v>0</v>
      </c>
      <c r="G22" s="160">
        <f>+IF($A22="",IF($C22="",SUMIFS(全伝票!K:K,全伝票!$B:$B,$B22),SUMIFS(全伝票!K:K,全伝票!$C:$C,$C22)),IF($C22="",SUMIFS(全伝票!K:K,全伝票!$A:$A,$A22,全伝票!$B:$B,$B22),SUMIFS(全伝票!K:K,全伝票!$A:$A,$A22,全伝票!$C:$C,$C22)))</f>
        <v>0</v>
      </c>
      <c r="H22" s="160">
        <f>+IF($A22="",IF($C22="",SUMIFS(全伝票!L:L,全伝票!$B:$B,$B22),SUMIFS(全伝票!L:L,全伝票!$C:$C,$C22)),IF($C22="",SUMIFS(全伝票!L:L,全伝票!$A:$A,$A22,全伝票!$B:$B,$B22),SUMIFS(全伝票!L:L,全伝票!$A:$A,$A22,全伝票!$C:$C,$C22)))</f>
        <v>0</v>
      </c>
      <c r="I22" s="159">
        <f>+IF($A22="",IF($C22="",SUMIFS(全伝票!M:M,全伝票!$B:$B,$B22),SUMIFS(全伝票!M:M,全伝票!$C:$C,$C22)),IF($C22="",SUMIFS(全伝票!M:M,全伝票!$A:$A,$A22,全伝票!$B:$B,$B22),SUMIFS(全伝票!M:M,全伝票!$A:$A,$A22,全伝票!$C:$C,$C22)))</f>
        <v>0</v>
      </c>
      <c r="J22" s="159">
        <f>+IF($A22="",IF($C22="",SUMIFS(全伝票!N:N,全伝票!$B:$B,$B22),SUMIFS(全伝票!N:N,全伝票!$C:$C,$C22)),IF($C22="",SUMIFS(全伝票!N:N,全伝票!$A:$A,$A22,全伝票!$B:$B,$B22),SUMIFS(全伝票!N:N,全伝票!$A:$A,$A22,全伝票!$C:$C,$C22)))</f>
        <v>0</v>
      </c>
      <c r="K22" s="34">
        <f t="shared" si="0"/>
        <v>0</v>
      </c>
      <c r="L22" s="158">
        <f>+IF($A22="",IF($C22="",SUMIFS(全伝票!O:O,全伝票!$B:$B,$B22),SUMIFS(全伝票!O:O,全伝票!$C:$C,$C22)),IF($C22="",SUMIFS(全伝票!O:O,全伝票!$A:$A,$A22,全伝票!$B:$B,$B22),SUMIFS(全伝票!O:O,全伝票!$A:$A,$A22,全伝票!$C:$C,$C22)))</f>
        <v>0</v>
      </c>
      <c r="M22" s="158">
        <f>+IF($A22="",IF($C22="",SUMIFS(全伝票!P:P,全伝票!$B:$B,$B22),SUMIFS(全伝票!P:P,全伝票!$C:$C,$C22)),IF($C22="",SUMIFS(全伝票!P:P,全伝票!$A:$A,$A22,全伝票!$B:$B,$B22),SUMIFS(全伝票!P:P,全伝票!$A:$A,$A22,全伝票!$C:$C,$C22)))</f>
        <v>0</v>
      </c>
      <c r="N22" s="108">
        <f t="shared" si="1"/>
        <v>0</v>
      </c>
      <c r="O22" s="25">
        <f t="shared" si="3"/>
        <v>0</v>
      </c>
      <c r="P22" s="25">
        <f t="shared" si="2"/>
        <v>0</v>
      </c>
      <c r="Q22" s="157">
        <f t="shared" si="3"/>
        <v>0</v>
      </c>
      <c r="R22" s="157">
        <f t="shared" si="4"/>
        <v>0</v>
      </c>
      <c r="S22" s="22">
        <f t="shared" si="5"/>
        <v>0</v>
      </c>
      <c r="T22" s="109">
        <f t="shared" si="6"/>
        <v>0</v>
      </c>
      <c r="U22" s="107">
        <f t="shared" si="7"/>
        <v>0</v>
      </c>
      <c r="V22" s="107">
        <f t="shared" si="8"/>
        <v>0</v>
      </c>
      <c r="W22" s="107">
        <f t="shared" si="9"/>
        <v>0</v>
      </c>
      <c r="X22" s="107">
        <f t="shared" si="9"/>
        <v>0</v>
      </c>
      <c r="Y22" s="107">
        <f t="shared" si="10"/>
        <v>0</v>
      </c>
      <c r="Z22" s="106">
        <f t="shared" si="11"/>
        <v>0</v>
      </c>
      <c r="AA22" s="106">
        <f t="shared" si="12"/>
        <v>0</v>
      </c>
      <c r="AB22" s="106">
        <f t="shared" si="13"/>
        <v>0</v>
      </c>
      <c r="AC22" s="106">
        <f t="shared" si="14"/>
        <v>0</v>
      </c>
      <c r="AD22" s="106">
        <f t="shared" si="15"/>
        <v>0</v>
      </c>
    </row>
    <row r="23" spans="1:35">
      <c r="A23" s="165">
        <v>1</v>
      </c>
      <c r="B23" s="164" t="s">
        <v>359</v>
      </c>
      <c r="C23" s="163"/>
      <c r="D23" s="162" t="s">
        <v>75</v>
      </c>
      <c r="E23" s="158">
        <f>+IF($A23="",IF($C23="",SUMIFS(全伝票!I:I,全伝票!$B:$B,$B23),SUMIFS(全伝票!I:I,全伝票!$C:$C,$C23)),IF($C23="",SUMIFS(全伝票!I:I,全伝票!$A:$A,$A23,全伝票!$B:$B,$B23),SUMIFS(全伝票!I:I,全伝票!$A:$A,$A23,全伝票!$C:$C,$C23)))</f>
        <v>0</v>
      </c>
      <c r="F23" s="161">
        <f>+IF($A23="",IF($C23="",SUMIFS(全伝票!J:J,全伝票!$B:$B,$B23),SUMIFS(全伝票!J:J,全伝票!$C:$C,$C23)),IF($C23="",SUMIFS(全伝票!J:J,全伝票!$A:$A,$A23,全伝票!$B:$B,$B23),SUMIFS(全伝票!J:J,全伝票!$A:$A,$A23,全伝票!$C:$C,$C23)))</f>
        <v>0</v>
      </c>
      <c r="G23" s="160">
        <f>+IF($A23="",IF($C23="",SUMIFS(全伝票!K:K,全伝票!$B:$B,$B23),SUMIFS(全伝票!K:K,全伝票!$C:$C,$C23)),IF($C23="",SUMIFS(全伝票!K:K,全伝票!$A:$A,$A23,全伝票!$B:$B,$B23),SUMIFS(全伝票!K:K,全伝票!$A:$A,$A23,全伝票!$C:$C,$C23)))</f>
        <v>0</v>
      </c>
      <c r="H23" s="160">
        <f>+IF($A23="",IF($C23="",SUMIFS(全伝票!L:L,全伝票!$B:$B,$B23),SUMIFS(全伝票!L:L,全伝票!$C:$C,$C23)),IF($C23="",SUMIFS(全伝票!L:L,全伝票!$A:$A,$A23,全伝票!$B:$B,$B23),SUMIFS(全伝票!L:L,全伝票!$A:$A,$A23,全伝票!$C:$C,$C23)))</f>
        <v>0</v>
      </c>
      <c r="I23" s="159">
        <f>+IF($A23="",IF($C23="",SUMIFS(全伝票!M:M,全伝票!$B:$B,$B23),SUMIFS(全伝票!M:M,全伝票!$C:$C,$C23)),IF($C23="",SUMIFS(全伝票!M:M,全伝票!$A:$A,$A23,全伝票!$B:$B,$B23),SUMIFS(全伝票!M:M,全伝票!$A:$A,$A23,全伝票!$C:$C,$C23)))</f>
        <v>0</v>
      </c>
      <c r="J23" s="159">
        <f>+IF($A23="",IF($C23="",SUMIFS(全伝票!N:N,全伝票!$B:$B,$B23),SUMIFS(全伝票!N:N,全伝票!$C:$C,$C23)),IF($C23="",SUMIFS(全伝票!N:N,全伝票!$A:$A,$A23,全伝票!$B:$B,$B23),SUMIFS(全伝票!N:N,全伝票!$A:$A,$A23,全伝票!$C:$C,$C23)))</f>
        <v>0</v>
      </c>
      <c r="K23" s="34">
        <f t="shared" si="0"/>
        <v>0</v>
      </c>
      <c r="L23" s="158">
        <f>+IF($A23="",IF($C23="",SUMIFS(全伝票!O:O,全伝票!$B:$B,$B23),SUMIFS(全伝票!O:O,全伝票!$C:$C,$C23)),IF($C23="",SUMIFS(全伝票!O:O,全伝票!$A:$A,$A23,全伝票!$B:$B,$B23),SUMIFS(全伝票!O:O,全伝票!$A:$A,$A23,全伝票!$C:$C,$C23)))</f>
        <v>0</v>
      </c>
      <c r="M23" s="158">
        <f>+IF($A23="",IF($C23="",SUMIFS(全伝票!P:P,全伝票!$B:$B,$B23),SUMIFS(全伝票!P:P,全伝票!$C:$C,$C23)),IF($C23="",SUMIFS(全伝票!P:P,全伝票!$A:$A,$A23,全伝票!$B:$B,$B23),SUMIFS(全伝票!P:P,全伝票!$A:$A,$A23,全伝票!$C:$C,$C23)))</f>
        <v>0</v>
      </c>
      <c r="N23" s="108">
        <f t="shared" si="1"/>
        <v>0</v>
      </c>
      <c r="O23" s="25">
        <f t="shared" si="3"/>
        <v>0</v>
      </c>
      <c r="P23" s="25">
        <f t="shared" si="2"/>
        <v>0</v>
      </c>
      <c r="Q23" s="157">
        <f t="shared" si="3"/>
        <v>0</v>
      </c>
      <c r="R23" s="157">
        <f t="shared" si="4"/>
        <v>0</v>
      </c>
      <c r="S23" s="22">
        <f t="shared" si="5"/>
        <v>0</v>
      </c>
      <c r="T23" s="109">
        <f t="shared" si="6"/>
        <v>0</v>
      </c>
      <c r="U23" s="107">
        <f t="shared" si="7"/>
        <v>0</v>
      </c>
      <c r="V23" s="107">
        <f t="shared" si="8"/>
        <v>0</v>
      </c>
      <c r="W23" s="107">
        <f t="shared" si="9"/>
        <v>0</v>
      </c>
      <c r="X23" s="107">
        <f t="shared" si="9"/>
        <v>0</v>
      </c>
      <c r="Y23" s="107">
        <f t="shared" si="10"/>
        <v>0</v>
      </c>
      <c r="Z23" s="106">
        <f t="shared" si="11"/>
        <v>0</v>
      </c>
      <c r="AA23" s="106">
        <f t="shared" si="12"/>
        <v>0</v>
      </c>
      <c r="AB23" s="106">
        <f t="shared" si="13"/>
        <v>0</v>
      </c>
      <c r="AC23" s="106">
        <f t="shared" si="14"/>
        <v>0</v>
      </c>
      <c r="AD23" s="106">
        <f t="shared" si="15"/>
        <v>0</v>
      </c>
    </row>
    <row r="24" spans="1:35">
      <c r="A24" s="165">
        <v>1</v>
      </c>
      <c r="B24" s="164" t="s">
        <v>358</v>
      </c>
      <c r="C24" s="163"/>
      <c r="D24" s="162" t="s">
        <v>73</v>
      </c>
      <c r="E24" s="158">
        <f>+IF($A24="",IF($C24="",SUMIFS(全伝票!I:I,全伝票!$B:$B,$B24),SUMIFS(全伝票!I:I,全伝票!$C:$C,$C24)),IF($C24="",SUMIFS(全伝票!I:I,全伝票!$A:$A,$A24,全伝票!$B:$B,$B24),SUMIFS(全伝票!I:I,全伝票!$A:$A,$A24,全伝票!$C:$C,$C24)))</f>
        <v>0</v>
      </c>
      <c r="F24" s="161">
        <f>+IF($A24="",IF($C24="",SUMIFS(全伝票!J:J,全伝票!$B:$B,$B24),SUMIFS(全伝票!J:J,全伝票!$C:$C,$C24)),IF($C24="",SUMIFS(全伝票!J:J,全伝票!$A:$A,$A24,全伝票!$B:$B,$B24),SUMIFS(全伝票!J:J,全伝票!$A:$A,$A24,全伝票!$C:$C,$C24)))</f>
        <v>0</v>
      </c>
      <c r="G24" s="160">
        <f>+IF($A24="",IF($C24="",SUMIFS(全伝票!K:K,全伝票!$B:$B,$B24),SUMIFS(全伝票!K:K,全伝票!$C:$C,$C24)),IF($C24="",SUMIFS(全伝票!K:K,全伝票!$A:$A,$A24,全伝票!$B:$B,$B24),SUMIFS(全伝票!K:K,全伝票!$A:$A,$A24,全伝票!$C:$C,$C24)))</f>
        <v>0</v>
      </c>
      <c r="H24" s="160">
        <f>+IF($A24="",IF($C24="",SUMIFS(全伝票!L:L,全伝票!$B:$B,$B24),SUMIFS(全伝票!L:L,全伝票!$C:$C,$C24)),IF($C24="",SUMIFS(全伝票!L:L,全伝票!$A:$A,$A24,全伝票!$B:$B,$B24),SUMIFS(全伝票!L:L,全伝票!$A:$A,$A24,全伝票!$C:$C,$C24)))</f>
        <v>0</v>
      </c>
      <c r="I24" s="159">
        <f>+IF($A24="",IF($C24="",SUMIFS(全伝票!M:M,全伝票!$B:$B,$B24),SUMIFS(全伝票!M:M,全伝票!$C:$C,$C24)),IF($C24="",SUMIFS(全伝票!M:M,全伝票!$A:$A,$A24,全伝票!$B:$B,$B24),SUMIFS(全伝票!M:M,全伝票!$A:$A,$A24,全伝票!$C:$C,$C24)))</f>
        <v>0</v>
      </c>
      <c r="J24" s="159">
        <f>+IF($A24="",IF($C24="",SUMIFS(全伝票!N:N,全伝票!$B:$B,$B24),SUMIFS(全伝票!N:N,全伝票!$C:$C,$C24)),IF($C24="",SUMIFS(全伝票!N:N,全伝票!$A:$A,$A24,全伝票!$B:$B,$B24),SUMIFS(全伝票!N:N,全伝票!$A:$A,$A24,全伝票!$C:$C,$C24)))</f>
        <v>0</v>
      </c>
      <c r="K24" s="34">
        <f t="shared" si="0"/>
        <v>0</v>
      </c>
      <c r="L24" s="158">
        <f>+IF($A24="",IF($C24="",SUMIFS(全伝票!O:O,全伝票!$B:$B,$B24),SUMIFS(全伝票!O:O,全伝票!$C:$C,$C24)),IF($C24="",SUMIFS(全伝票!O:O,全伝票!$A:$A,$A24,全伝票!$B:$B,$B24),SUMIFS(全伝票!O:O,全伝票!$A:$A,$A24,全伝票!$C:$C,$C24)))</f>
        <v>0</v>
      </c>
      <c r="M24" s="158">
        <f>+IF($A24="",IF($C24="",SUMIFS(全伝票!P:P,全伝票!$B:$B,$B24),SUMIFS(全伝票!P:P,全伝票!$C:$C,$C24)),IF($C24="",SUMIFS(全伝票!P:P,全伝票!$A:$A,$A24,全伝票!$B:$B,$B24),SUMIFS(全伝票!P:P,全伝票!$A:$A,$A24,全伝票!$C:$C,$C24)))</f>
        <v>0</v>
      </c>
      <c r="N24" s="108">
        <f t="shared" si="1"/>
        <v>0</v>
      </c>
      <c r="O24" s="25">
        <f t="shared" si="3"/>
        <v>0</v>
      </c>
      <c r="P24" s="25">
        <f t="shared" si="2"/>
        <v>0</v>
      </c>
      <c r="Q24" s="157">
        <f t="shared" si="3"/>
        <v>0</v>
      </c>
      <c r="R24" s="157">
        <f t="shared" si="4"/>
        <v>0</v>
      </c>
      <c r="S24" s="22">
        <f t="shared" si="5"/>
        <v>0</v>
      </c>
      <c r="T24" s="109">
        <f t="shared" si="6"/>
        <v>0</v>
      </c>
      <c r="U24" s="107">
        <f t="shared" si="7"/>
        <v>0</v>
      </c>
      <c r="V24" s="107">
        <f t="shared" si="8"/>
        <v>0</v>
      </c>
      <c r="W24" s="107">
        <f t="shared" si="9"/>
        <v>0</v>
      </c>
      <c r="X24" s="107">
        <f t="shared" si="9"/>
        <v>0</v>
      </c>
      <c r="Y24" s="107">
        <f t="shared" si="10"/>
        <v>0</v>
      </c>
      <c r="Z24" s="106">
        <f t="shared" si="11"/>
        <v>0</v>
      </c>
      <c r="AA24" s="106">
        <f t="shared" si="12"/>
        <v>0</v>
      </c>
      <c r="AB24" s="106">
        <f t="shared" si="13"/>
        <v>0</v>
      </c>
      <c r="AC24" s="106">
        <f t="shared" si="14"/>
        <v>0</v>
      </c>
      <c r="AD24" s="106">
        <f t="shared" si="15"/>
        <v>0</v>
      </c>
    </row>
    <row r="25" spans="1:35">
      <c r="A25" s="165">
        <v>1</v>
      </c>
      <c r="B25" s="164" t="s">
        <v>356</v>
      </c>
      <c r="C25" s="163" t="s">
        <v>357</v>
      </c>
      <c r="D25" s="162" t="s">
        <v>71</v>
      </c>
      <c r="E25" s="158">
        <f>+IF($A25="",IF($C25="",SUMIFS(全伝票!I:I,全伝票!$B:$B,$B25),SUMIFS(全伝票!I:I,全伝票!$C:$C,$C25)),IF($C25="",SUMIFS(全伝票!I:I,全伝票!$A:$A,$A25,全伝票!$B:$B,$B25),SUMIFS(全伝票!I:I,全伝票!$A:$A,$A25,全伝票!$C:$C,$C25)))</f>
        <v>0</v>
      </c>
      <c r="F25" s="161">
        <f>+IF($A25="",IF($C25="",SUMIFS(全伝票!J:J,全伝票!$B:$B,$B25),SUMIFS(全伝票!J:J,全伝票!$C:$C,$C25)),IF($C25="",SUMIFS(全伝票!J:J,全伝票!$A:$A,$A25,全伝票!$B:$B,$B25),SUMIFS(全伝票!J:J,全伝票!$A:$A,$A25,全伝票!$C:$C,$C25)))</f>
        <v>0</v>
      </c>
      <c r="G25" s="160">
        <f>+IF($A25="",IF($C25="",SUMIFS(全伝票!K:K,全伝票!$B:$B,$B25),SUMIFS(全伝票!K:K,全伝票!$C:$C,$C25)),IF($C25="",SUMIFS(全伝票!K:K,全伝票!$A:$A,$A25,全伝票!$B:$B,$B25),SUMIFS(全伝票!K:K,全伝票!$A:$A,$A25,全伝票!$C:$C,$C25)))</f>
        <v>0</v>
      </c>
      <c r="H25" s="160">
        <f>+IF($A25="",IF($C25="",SUMIFS(全伝票!L:L,全伝票!$B:$B,$B25),SUMIFS(全伝票!L:L,全伝票!$C:$C,$C25)),IF($C25="",SUMIFS(全伝票!L:L,全伝票!$A:$A,$A25,全伝票!$B:$B,$B25),SUMIFS(全伝票!L:L,全伝票!$A:$A,$A25,全伝票!$C:$C,$C25)))</f>
        <v>0</v>
      </c>
      <c r="I25" s="159">
        <f>+IF($A25="",IF($C25="",SUMIFS(全伝票!M:M,全伝票!$B:$B,$B25),SUMIFS(全伝票!M:M,全伝票!$C:$C,$C25)),IF($C25="",SUMIFS(全伝票!M:M,全伝票!$A:$A,$A25,全伝票!$B:$B,$B25),SUMIFS(全伝票!M:M,全伝票!$A:$A,$A25,全伝票!$C:$C,$C25)))</f>
        <v>0</v>
      </c>
      <c r="J25" s="159">
        <f>+IF($A25="",IF($C25="",SUMIFS(全伝票!N:N,全伝票!$B:$B,$B25),SUMIFS(全伝票!N:N,全伝票!$C:$C,$C25)),IF($C25="",SUMIFS(全伝票!N:N,全伝票!$A:$A,$A25,全伝票!$B:$B,$B25),SUMIFS(全伝票!N:N,全伝票!$A:$A,$A25,全伝票!$C:$C,$C25)))</f>
        <v>0</v>
      </c>
      <c r="K25" s="34">
        <f t="shared" si="0"/>
        <v>0</v>
      </c>
      <c r="L25" s="158">
        <f>+IF($A25="",IF($C25="",SUMIFS(全伝票!O:O,全伝票!$B:$B,$B25),SUMIFS(全伝票!O:O,全伝票!$C:$C,$C25)),IF($C25="",SUMIFS(全伝票!O:O,全伝票!$A:$A,$A25,全伝票!$B:$B,$B25),SUMIFS(全伝票!O:O,全伝票!$A:$A,$A25,全伝票!$C:$C,$C25)))</f>
        <v>0</v>
      </c>
      <c r="M25" s="158">
        <f>+IF($A25="",IF($C25="",SUMIFS(全伝票!P:P,全伝票!$B:$B,$B25),SUMIFS(全伝票!P:P,全伝票!$C:$C,$C25)),IF($C25="",SUMIFS(全伝票!P:P,全伝票!$A:$A,$A25,全伝票!$B:$B,$B25),SUMIFS(全伝票!P:P,全伝票!$A:$A,$A25,全伝票!$C:$C,$C25)))</f>
        <v>0</v>
      </c>
      <c r="N25" s="108">
        <f t="shared" si="1"/>
        <v>0</v>
      </c>
      <c r="O25" s="25">
        <f t="shared" si="3"/>
        <v>0</v>
      </c>
      <c r="P25" s="25">
        <f t="shared" si="2"/>
        <v>0</v>
      </c>
      <c r="Q25" s="157">
        <f t="shared" si="3"/>
        <v>0</v>
      </c>
      <c r="R25" s="157">
        <f t="shared" si="4"/>
        <v>0</v>
      </c>
      <c r="S25" s="22">
        <f t="shared" si="5"/>
        <v>0</v>
      </c>
      <c r="T25" s="109">
        <f t="shared" si="6"/>
        <v>0</v>
      </c>
      <c r="U25" s="107">
        <f t="shared" si="7"/>
        <v>0</v>
      </c>
      <c r="V25" s="107">
        <f t="shared" si="8"/>
        <v>0</v>
      </c>
      <c r="W25" s="107">
        <f t="shared" si="9"/>
        <v>0</v>
      </c>
      <c r="X25" s="107">
        <f t="shared" si="9"/>
        <v>0</v>
      </c>
      <c r="Y25" s="107">
        <f t="shared" si="10"/>
        <v>0</v>
      </c>
      <c r="Z25" s="106">
        <f t="shared" si="11"/>
        <v>0</v>
      </c>
      <c r="AA25" s="106">
        <f t="shared" si="12"/>
        <v>0</v>
      </c>
      <c r="AB25" s="106">
        <f t="shared" si="13"/>
        <v>0</v>
      </c>
      <c r="AC25" s="106">
        <f t="shared" si="14"/>
        <v>0</v>
      </c>
      <c r="AD25" s="106">
        <f t="shared" si="15"/>
        <v>0</v>
      </c>
    </row>
    <row r="26" spans="1:35">
      <c r="A26" s="165">
        <v>1</v>
      </c>
      <c r="B26" s="164" t="s">
        <v>356</v>
      </c>
      <c r="C26" s="163" t="s">
        <v>355</v>
      </c>
      <c r="D26" s="162" t="s">
        <v>68</v>
      </c>
      <c r="E26" s="158">
        <f>+IF($A26="",IF($C26="",SUMIFS(全伝票!I:I,全伝票!$B:$B,$B26),SUMIFS(全伝票!I:I,全伝票!$C:$C,$C26)),IF($C26="",SUMIFS(全伝票!I:I,全伝票!$A:$A,$A26,全伝票!$B:$B,$B26),SUMIFS(全伝票!I:I,全伝票!$A:$A,$A26,全伝票!$C:$C,$C26)))</f>
        <v>0</v>
      </c>
      <c r="F26" s="161">
        <f>+IF($A26="",IF($C26="",SUMIFS(全伝票!J:J,全伝票!$B:$B,$B26),SUMIFS(全伝票!J:J,全伝票!$C:$C,$C26)),IF($C26="",SUMIFS(全伝票!J:J,全伝票!$A:$A,$A26,全伝票!$B:$B,$B26),SUMIFS(全伝票!J:J,全伝票!$A:$A,$A26,全伝票!$C:$C,$C26)))</f>
        <v>0</v>
      </c>
      <c r="G26" s="160">
        <f>+IF($A26="",IF($C26="",SUMIFS(全伝票!K:K,全伝票!$B:$B,$B26),SUMIFS(全伝票!K:K,全伝票!$C:$C,$C26)),IF($C26="",SUMIFS(全伝票!K:K,全伝票!$A:$A,$A26,全伝票!$B:$B,$B26),SUMIFS(全伝票!K:K,全伝票!$A:$A,$A26,全伝票!$C:$C,$C26)))</f>
        <v>0</v>
      </c>
      <c r="H26" s="160">
        <f>+IF($A26="",IF($C26="",SUMIFS(全伝票!L:L,全伝票!$B:$B,$B26),SUMIFS(全伝票!L:L,全伝票!$C:$C,$C26)),IF($C26="",SUMIFS(全伝票!L:L,全伝票!$A:$A,$A26,全伝票!$B:$B,$B26),SUMIFS(全伝票!L:L,全伝票!$A:$A,$A26,全伝票!$C:$C,$C26)))</f>
        <v>0</v>
      </c>
      <c r="I26" s="159">
        <f>+IF($A26="",IF($C26="",SUMIFS(全伝票!M:M,全伝票!$B:$B,$B26),SUMIFS(全伝票!M:M,全伝票!$C:$C,$C26)),IF($C26="",SUMIFS(全伝票!M:M,全伝票!$A:$A,$A26,全伝票!$B:$B,$B26),SUMIFS(全伝票!M:M,全伝票!$A:$A,$A26,全伝票!$C:$C,$C26)))</f>
        <v>0</v>
      </c>
      <c r="J26" s="159">
        <f>+IF($A26="",IF($C26="",SUMIFS(全伝票!N:N,全伝票!$B:$B,$B26),SUMIFS(全伝票!N:N,全伝票!$C:$C,$C26)),IF($C26="",SUMIFS(全伝票!N:N,全伝票!$A:$A,$A26,全伝票!$B:$B,$B26),SUMIFS(全伝票!N:N,全伝票!$A:$A,$A26,全伝票!$C:$C,$C26)))</f>
        <v>0</v>
      </c>
      <c r="K26" s="34">
        <f t="shared" si="0"/>
        <v>0</v>
      </c>
      <c r="L26" s="158">
        <f>+IF($A26="",IF($C26="",SUMIFS(全伝票!O:O,全伝票!$B:$B,$B26),SUMIFS(全伝票!O:O,全伝票!$C:$C,$C26)),IF($C26="",SUMIFS(全伝票!O:O,全伝票!$A:$A,$A26,全伝票!$B:$B,$B26),SUMIFS(全伝票!O:O,全伝票!$A:$A,$A26,全伝票!$C:$C,$C26)))</f>
        <v>0</v>
      </c>
      <c r="M26" s="158">
        <f>+IF($A26="",IF($C26="",SUMIFS(全伝票!P:P,全伝票!$B:$B,$B26),SUMIFS(全伝票!P:P,全伝票!$C:$C,$C26)),IF($C26="",SUMIFS(全伝票!P:P,全伝票!$A:$A,$A26,全伝票!$B:$B,$B26),SUMIFS(全伝票!P:P,全伝票!$A:$A,$A26,全伝票!$C:$C,$C26)))</f>
        <v>0</v>
      </c>
      <c r="N26" s="108">
        <f t="shared" si="1"/>
        <v>0</v>
      </c>
      <c r="O26" s="25">
        <f t="shared" si="3"/>
        <v>0</v>
      </c>
      <c r="P26" s="25">
        <f t="shared" si="2"/>
        <v>0</v>
      </c>
      <c r="Q26" s="157">
        <f t="shared" si="3"/>
        <v>0</v>
      </c>
      <c r="R26" s="157">
        <f t="shared" si="4"/>
        <v>0</v>
      </c>
      <c r="S26" s="22">
        <f t="shared" si="5"/>
        <v>0</v>
      </c>
      <c r="T26" s="109">
        <f t="shared" si="6"/>
        <v>0</v>
      </c>
      <c r="U26" s="107">
        <f t="shared" si="7"/>
        <v>0</v>
      </c>
      <c r="V26" s="107">
        <f t="shared" si="8"/>
        <v>0</v>
      </c>
      <c r="W26" s="107">
        <f t="shared" si="9"/>
        <v>0</v>
      </c>
      <c r="X26" s="107">
        <f t="shared" si="9"/>
        <v>0</v>
      </c>
      <c r="Y26" s="107">
        <f t="shared" si="10"/>
        <v>0</v>
      </c>
      <c r="Z26" s="106">
        <f t="shared" si="11"/>
        <v>0</v>
      </c>
      <c r="AA26" s="106">
        <f t="shared" si="12"/>
        <v>0</v>
      </c>
      <c r="AB26" s="106">
        <f t="shared" si="13"/>
        <v>0</v>
      </c>
      <c r="AC26" s="106">
        <f t="shared" si="14"/>
        <v>0</v>
      </c>
      <c r="AD26" s="106">
        <f t="shared" si="15"/>
        <v>0</v>
      </c>
    </row>
    <row r="27" spans="1:35">
      <c r="A27" s="165">
        <v>1</v>
      </c>
      <c r="B27" s="164" t="s">
        <v>354</v>
      </c>
      <c r="C27" s="163"/>
      <c r="D27" s="162" t="s">
        <v>66</v>
      </c>
      <c r="E27" s="158">
        <f>+IF($A27="",IF($C27="",SUMIFS(全伝票!I:I,全伝票!$B:$B,$B27),SUMIFS(全伝票!I:I,全伝票!$C:$C,$C27)),IF($C27="",SUMIFS(全伝票!I:I,全伝票!$A:$A,$A27,全伝票!$B:$B,$B27),SUMIFS(全伝票!I:I,全伝票!$A:$A,$A27,全伝票!$C:$C,$C27)))</f>
        <v>0</v>
      </c>
      <c r="F27" s="161">
        <f>+IF($A27="",IF($C27="",SUMIFS(全伝票!J:J,全伝票!$B:$B,$B27),SUMIFS(全伝票!J:J,全伝票!$C:$C,$C27)),IF($C27="",SUMIFS(全伝票!J:J,全伝票!$A:$A,$A27,全伝票!$B:$B,$B27),SUMIFS(全伝票!J:J,全伝票!$A:$A,$A27,全伝票!$C:$C,$C27)))</f>
        <v>0</v>
      </c>
      <c r="G27" s="160">
        <f>+IF($A27="",IF($C27="",SUMIFS(全伝票!K:K,全伝票!$B:$B,$B27),SUMIFS(全伝票!K:K,全伝票!$C:$C,$C27)),IF($C27="",SUMIFS(全伝票!K:K,全伝票!$A:$A,$A27,全伝票!$B:$B,$B27),SUMIFS(全伝票!K:K,全伝票!$A:$A,$A27,全伝票!$C:$C,$C27)))</f>
        <v>0</v>
      </c>
      <c r="H27" s="160">
        <f>+IF($A27="",IF($C27="",SUMIFS(全伝票!L:L,全伝票!$B:$B,$B27),SUMIFS(全伝票!L:L,全伝票!$C:$C,$C27)),IF($C27="",SUMIFS(全伝票!L:L,全伝票!$A:$A,$A27,全伝票!$B:$B,$B27),SUMIFS(全伝票!L:L,全伝票!$A:$A,$A27,全伝票!$C:$C,$C27)))</f>
        <v>0</v>
      </c>
      <c r="I27" s="159">
        <f>+IF($A27="",IF($C27="",SUMIFS(全伝票!M:M,全伝票!$B:$B,$B27),SUMIFS(全伝票!M:M,全伝票!$C:$C,$C27)),IF($C27="",SUMIFS(全伝票!M:M,全伝票!$A:$A,$A27,全伝票!$B:$B,$B27),SUMIFS(全伝票!M:M,全伝票!$A:$A,$A27,全伝票!$C:$C,$C27)))</f>
        <v>0</v>
      </c>
      <c r="J27" s="159">
        <f>+IF($A27="",IF($C27="",SUMIFS(全伝票!N:N,全伝票!$B:$B,$B27),SUMIFS(全伝票!N:N,全伝票!$C:$C,$C27)),IF($C27="",SUMIFS(全伝票!N:N,全伝票!$A:$A,$A27,全伝票!$B:$B,$B27),SUMIFS(全伝票!N:N,全伝票!$A:$A,$A27,全伝票!$C:$C,$C27)))</f>
        <v>0</v>
      </c>
      <c r="K27" s="34">
        <f t="shared" si="0"/>
        <v>0</v>
      </c>
      <c r="L27" s="158">
        <f>+IF($A27="",IF($C27="",SUMIFS(全伝票!O:O,全伝票!$B:$B,$B27),SUMIFS(全伝票!O:O,全伝票!$C:$C,$C27)),IF($C27="",SUMIFS(全伝票!O:O,全伝票!$A:$A,$A27,全伝票!$B:$B,$B27),SUMIFS(全伝票!O:O,全伝票!$A:$A,$A27,全伝票!$C:$C,$C27)))</f>
        <v>0</v>
      </c>
      <c r="M27" s="158">
        <f>+IF($A27="",IF($C27="",SUMIFS(全伝票!P:P,全伝票!$B:$B,$B27),SUMIFS(全伝票!P:P,全伝票!$C:$C,$C27)),IF($C27="",SUMIFS(全伝票!P:P,全伝票!$A:$A,$A27,全伝票!$B:$B,$B27),SUMIFS(全伝票!P:P,全伝票!$A:$A,$A27,全伝票!$C:$C,$C27)))</f>
        <v>0</v>
      </c>
      <c r="N27" s="108">
        <f t="shared" si="1"/>
        <v>0</v>
      </c>
      <c r="O27" s="25">
        <f t="shared" si="3"/>
        <v>0</v>
      </c>
      <c r="P27" s="25">
        <f t="shared" si="2"/>
        <v>0</v>
      </c>
      <c r="Q27" s="157">
        <f t="shared" si="3"/>
        <v>0</v>
      </c>
      <c r="R27" s="157">
        <f t="shared" si="4"/>
        <v>0</v>
      </c>
      <c r="S27" s="22">
        <f t="shared" si="5"/>
        <v>0</v>
      </c>
      <c r="T27" s="109">
        <f t="shared" si="6"/>
        <v>0</v>
      </c>
      <c r="U27" s="107">
        <f t="shared" si="7"/>
        <v>0</v>
      </c>
      <c r="V27" s="107">
        <f t="shared" si="8"/>
        <v>0</v>
      </c>
      <c r="W27" s="107">
        <f t="shared" si="9"/>
        <v>0</v>
      </c>
      <c r="X27" s="107">
        <f t="shared" si="9"/>
        <v>0</v>
      </c>
      <c r="Y27" s="107">
        <f t="shared" si="10"/>
        <v>0</v>
      </c>
      <c r="Z27" s="106">
        <f t="shared" si="11"/>
        <v>0</v>
      </c>
      <c r="AA27" s="106">
        <f t="shared" si="12"/>
        <v>0</v>
      </c>
      <c r="AB27" s="106">
        <f t="shared" si="13"/>
        <v>0</v>
      </c>
      <c r="AC27" s="106">
        <f t="shared" si="14"/>
        <v>0</v>
      </c>
      <c r="AD27" s="106">
        <f t="shared" si="15"/>
        <v>0</v>
      </c>
    </row>
    <row r="28" spans="1:35">
      <c r="A28" s="165">
        <v>1</v>
      </c>
      <c r="B28" s="164" t="s">
        <v>353</v>
      </c>
      <c r="C28" s="163"/>
      <c r="D28" s="162" t="s">
        <v>64</v>
      </c>
      <c r="E28" s="158">
        <f>+IF($A28="",IF($C28="",SUMIFS(全伝票!I:I,全伝票!$B:$B,$B28),SUMIFS(全伝票!I:I,全伝票!$C:$C,$C28)),IF($C28="",SUMIFS(全伝票!I:I,全伝票!$A:$A,$A28,全伝票!$B:$B,$B28),SUMIFS(全伝票!I:I,全伝票!$A:$A,$A28,全伝票!$C:$C,$C28)))</f>
        <v>0</v>
      </c>
      <c r="F28" s="161">
        <f>+IF($A28="",IF($C28="",SUMIFS(全伝票!J:J,全伝票!$B:$B,$B28),SUMIFS(全伝票!J:J,全伝票!$C:$C,$C28)),IF($C28="",SUMIFS(全伝票!J:J,全伝票!$A:$A,$A28,全伝票!$B:$B,$B28),SUMIFS(全伝票!J:J,全伝票!$A:$A,$A28,全伝票!$C:$C,$C28)))</f>
        <v>0</v>
      </c>
      <c r="G28" s="160">
        <f>+IF($A28="",IF($C28="",SUMIFS(全伝票!K:K,全伝票!$B:$B,$B28),SUMIFS(全伝票!K:K,全伝票!$C:$C,$C28)),IF($C28="",SUMIFS(全伝票!K:K,全伝票!$A:$A,$A28,全伝票!$B:$B,$B28),SUMIFS(全伝票!K:K,全伝票!$A:$A,$A28,全伝票!$C:$C,$C28)))</f>
        <v>0</v>
      </c>
      <c r="H28" s="160">
        <f>+IF($A28="",IF($C28="",SUMIFS(全伝票!L:L,全伝票!$B:$B,$B28),SUMIFS(全伝票!L:L,全伝票!$C:$C,$C28)),IF($C28="",SUMIFS(全伝票!L:L,全伝票!$A:$A,$A28,全伝票!$B:$B,$B28),SUMIFS(全伝票!L:L,全伝票!$A:$A,$A28,全伝票!$C:$C,$C28)))</f>
        <v>0</v>
      </c>
      <c r="I28" s="159">
        <f>+IF($A28="",IF($C28="",SUMIFS(全伝票!M:M,全伝票!$B:$B,$B28),SUMIFS(全伝票!M:M,全伝票!$C:$C,$C28)),IF($C28="",SUMIFS(全伝票!M:M,全伝票!$A:$A,$A28,全伝票!$B:$B,$B28),SUMIFS(全伝票!M:M,全伝票!$A:$A,$A28,全伝票!$C:$C,$C28)))</f>
        <v>0</v>
      </c>
      <c r="J28" s="159">
        <f>+IF($A28="",IF($C28="",SUMIFS(全伝票!N:N,全伝票!$B:$B,$B28),SUMIFS(全伝票!N:N,全伝票!$C:$C,$C28)),IF($C28="",SUMIFS(全伝票!N:N,全伝票!$A:$A,$A28,全伝票!$B:$B,$B28),SUMIFS(全伝票!N:N,全伝票!$A:$A,$A28,全伝票!$C:$C,$C28)))</f>
        <v>0</v>
      </c>
      <c r="K28" s="34">
        <f t="shared" si="0"/>
        <v>0</v>
      </c>
      <c r="L28" s="158">
        <f>+IF($A28="",IF($C28="",SUMIFS(全伝票!O:O,全伝票!$B:$B,$B28),SUMIFS(全伝票!O:O,全伝票!$C:$C,$C28)),IF($C28="",SUMIFS(全伝票!O:O,全伝票!$A:$A,$A28,全伝票!$B:$B,$B28),SUMIFS(全伝票!O:O,全伝票!$A:$A,$A28,全伝票!$C:$C,$C28)))</f>
        <v>0</v>
      </c>
      <c r="M28" s="158">
        <f>+IF($A28="",IF($C28="",SUMIFS(全伝票!P:P,全伝票!$B:$B,$B28),SUMIFS(全伝票!P:P,全伝票!$C:$C,$C28)),IF($C28="",SUMIFS(全伝票!P:P,全伝票!$A:$A,$A28,全伝票!$B:$B,$B28),SUMIFS(全伝票!P:P,全伝票!$A:$A,$A28,全伝票!$C:$C,$C28)))</f>
        <v>0</v>
      </c>
      <c r="N28" s="108">
        <f t="shared" si="1"/>
        <v>0</v>
      </c>
      <c r="O28" s="25">
        <f t="shared" si="3"/>
        <v>0</v>
      </c>
      <c r="P28" s="25">
        <f t="shared" si="2"/>
        <v>0</v>
      </c>
      <c r="Q28" s="157">
        <f t="shared" si="3"/>
        <v>0</v>
      </c>
      <c r="R28" s="157">
        <f t="shared" si="4"/>
        <v>0</v>
      </c>
      <c r="S28" s="22">
        <f t="shared" si="5"/>
        <v>0</v>
      </c>
      <c r="T28" s="109">
        <f t="shared" si="6"/>
        <v>0</v>
      </c>
      <c r="U28" s="107">
        <f t="shared" si="7"/>
        <v>0</v>
      </c>
      <c r="V28" s="107">
        <f t="shared" si="8"/>
        <v>0</v>
      </c>
      <c r="W28" s="107">
        <f t="shared" si="9"/>
        <v>0</v>
      </c>
      <c r="X28" s="107">
        <f t="shared" si="9"/>
        <v>0</v>
      </c>
      <c r="Y28" s="107">
        <f t="shared" si="10"/>
        <v>0</v>
      </c>
      <c r="Z28" s="106">
        <f t="shared" si="11"/>
        <v>0</v>
      </c>
      <c r="AA28" s="106">
        <f t="shared" si="12"/>
        <v>0</v>
      </c>
      <c r="AB28" s="106">
        <f t="shared" si="13"/>
        <v>0</v>
      </c>
      <c r="AC28" s="106">
        <f t="shared" si="14"/>
        <v>0</v>
      </c>
      <c r="AD28" s="106">
        <f t="shared" si="15"/>
        <v>0</v>
      </c>
    </row>
    <row r="29" spans="1:35">
      <c r="A29" s="165">
        <v>1</v>
      </c>
      <c r="B29" s="164" t="s">
        <v>352</v>
      </c>
      <c r="C29" s="163"/>
      <c r="D29" s="162" t="s">
        <v>62</v>
      </c>
      <c r="E29" s="158">
        <f>+IF($A29="",IF($C29="",SUMIFS(全伝票!I:I,全伝票!$B:$B,$B29),SUMIFS(全伝票!I:I,全伝票!$C:$C,$C29)),IF($C29="",SUMIFS(全伝票!I:I,全伝票!$A:$A,$A29,全伝票!$B:$B,$B29),SUMIFS(全伝票!I:I,全伝票!$A:$A,$A29,全伝票!$C:$C,$C29)))</f>
        <v>111850504</v>
      </c>
      <c r="F29" s="161">
        <f>+IF($A29="",IF($C29="",SUMIFS(全伝票!J:J,全伝票!$B:$B,$B29),SUMIFS(全伝票!J:J,全伝票!$C:$C,$C29)),IF($C29="",SUMIFS(全伝票!J:J,全伝票!$A:$A,$A29,全伝票!$B:$B,$B29),SUMIFS(全伝票!J:J,全伝票!$A:$A,$A29,全伝票!$C:$C,$C29)))</f>
        <v>0</v>
      </c>
      <c r="G29" s="160">
        <f>+IF($A29="",IF($C29="",SUMIFS(全伝票!K:K,全伝票!$B:$B,$B29),SUMIFS(全伝票!K:K,全伝票!$C:$C,$C29)),IF($C29="",SUMIFS(全伝票!K:K,全伝票!$A:$A,$A29,全伝票!$B:$B,$B29),SUMIFS(全伝票!K:K,全伝票!$A:$A,$A29,全伝票!$C:$C,$C29)))</f>
        <v>0</v>
      </c>
      <c r="H29" s="160">
        <f>+IF($A29="",IF($C29="",SUMIFS(全伝票!L:L,全伝票!$B:$B,$B29),SUMIFS(全伝票!L:L,全伝票!$C:$C,$C29)),IF($C29="",SUMIFS(全伝票!L:L,全伝票!$A:$A,$A29,全伝票!$B:$B,$B29),SUMIFS(全伝票!L:L,全伝票!$A:$A,$A29,全伝票!$C:$C,$C29)))</f>
        <v>0</v>
      </c>
      <c r="I29" s="159">
        <f>+IF($A29="",IF($C29="",SUMIFS(全伝票!M:M,全伝票!$B:$B,$B29),SUMIFS(全伝票!M:M,全伝票!$C:$C,$C29)),IF($C29="",SUMIFS(全伝票!M:M,全伝票!$A:$A,$A29,全伝票!$B:$B,$B29),SUMIFS(全伝票!M:M,全伝票!$A:$A,$A29,全伝票!$C:$C,$C29)))</f>
        <v>0</v>
      </c>
      <c r="J29" s="159">
        <f>+IF($A29="",IF($C29="",SUMIFS(全伝票!N:N,全伝票!$B:$B,$B29),SUMIFS(全伝票!N:N,全伝票!$C:$C,$C29)),IF($C29="",SUMIFS(全伝票!N:N,全伝票!$A:$A,$A29,全伝票!$B:$B,$B29),SUMIFS(全伝票!N:N,全伝票!$A:$A,$A29,全伝票!$C:$C,$C29)))</f>
        <v>106451181</v>
      </c>
      <c r="K29" s="34">
        <f t="shared" si="0"/>
        <v>106451181</v>
      </c>
      <c r="L29" s="158">
        <f>+IF($A29="",IF($C29="",SUMIFS(全伝票!O:O,全伝票!$B:$B,$B29),SUMIFS(全伝票!O:O,全伝票!$C:$C,$C29)),IF($C29="",SUMIFS(全伝票!O:O,全伝票!$A:$A,$A29,全伝票!$B:$B,$B29),SUMIFS(全伝票!O:O,全伝票!$A:$A,$A29,全伝票!$C:$C,$C29)))</f>
        <v>0</v>
      </c>
      <c r="M29" s="158">
        <f>+IF($A29="",IF($C29="",SUMIFS(全伝票!P:P,全伝票!$B:$B,$B29),SUMIFS(全伝票!P:P,全伝票!$C:$C,$C29)),IF($C29="",SUMIFS(全伝票!P:P,全伝票!$A:$A,$A29,全伝票!$B:$B,$B29),SUMIFS(全伝票!P:P,全伝票!$A:$A,$A29,全伝票!$C:$C,$C29)))</f>
        <v>5399323</v>
      </c>
      <c r="N29" s="108">
        <f t="shared" si="1"/>
        <v>0</v>
      </c>
      <c r="O29" s="25">
        <f t="shared" si="3"/>
        <v>0</v>
      </c>
      <c r="P29" s="25">
        <f t="shared" si="2"/>
        <v>0</v>
      </c>
      <c r="Q29" s="157">
        <f t="shared" si="3"/>
        <v>0</v>
      </c>
      <c r="R29" s="157">
        <f>+ROUND(J29*J$4/(100+J$4),0)+AI29</f>
        <v>9677380</v>
      </c>
      <c r="S29" s="22">
        <f t="shared" si="5"/>
        <v>9677380</v>
      </c>
      <c r="T29" s="109">
        <f t="shared" si="6"/>
        <v>102173124</v>
      </c>
      <c r="U29" s="107">
        <f t="shared" si="7"/>
        <v>0</v>
      </c>
      <c r="V29" s="107">
        <f t="shared" si="8"/>
        <v>0</v>
      </c>
      <c r="W29" s="107">
        <f t="shared" si="9"/>
        <v>0</v>
      </c>
      <c r="X29" s="107">
        <f t="shared" si="9"/>
        <v>0</v>
      </c>
      <c r="Y29" s="107">
        <f t="shared" si="10"/>
        <v>-9.0909091755747795E-2</v>
      </c>
      <c r="Z29" s="106">
        <f t="shared" si="11"/>
        <v>0</v>
      </c>
      <c r="AA29" s="106">
        <f t="shared" si="12"/>
        <v>0</v>
      </c>
      <c r="AB29" s="106">
        <f t="shared" si="13"/>
        <v>0</v>
      </c>
      <c r="AC29" s="106">
        <f t="shared" si="14"/>
        <v>0</v>
      </c>
      <c r="AD29" s="106">
        <f t="shared" si="15"/>
        <v>0</v>
      </c>
    </row>
    <row r="30" spans="1:35">
      <c r="A30" s="165">
        <v>1</v>
      </c>
      <c r="B30" s="164">
        <v>8831636</v>
      </c>
      <c r="C30" s="163"/>
      <c r="D30" s="162" t="s">
        <v>867</v>
      </c>
      <c r="E30" s="158">
        <f>+IF($A30="",IF($C30="",SUMIFS(全伝票!I:I,全伝票!$B:$B,$B30),SUMIFS(全伝票!I:I,全伝票!$C:$C,$C30)),IF($C30="",SUMIFS(全伝票!I:I,全伝票!$A:$A,$A30,全伝票!$B:$B,$B30),SUMIFS(全伝票!I:I,全伝票!$A:$A,$A30,全伝票!$C:$C,$C30)))</f>
        <v>2892</v>
      </c>
      <c r="F30" s="161">
        <f>+IF($A30="",IF($C30="",SUMIFS(全伝票!J:J,全伝票!$B:$B,$B30),SUMIFS(全伝票!J:J,全伝票!$C:$C,$C30)),IF($C30="",SUMIFS(全伝票!J:J,全伝票!$A:$A,$A30,全伝票!$B:$B,$B30),SUMIFS(全伝票!J:J,全伝票!$A:$A,$A30,全伝票!$C:$C,$C30)))</f>
        <v>0</v>
      </c>
      <c r="G30" s="160">
        <f>+IF($A30="",IF($C30="",SUMIFS(全伝票!K:K,全伝票!$B:$B,$B30),SUMIFS(全伝票!K:K,全伝票!$C:$C,$C30)),IF($C30="",SUMIFS(全伝票!K:K,全伝票!$A:$A,$A30,全伝票!$B:$B,$B30),SUMIFS(全伝票!K:K,全伝票!$A:$A,$A30,全伝票!$C:$C,$C30)))</f>
        <v>0</v>
      </c>
      <c r="H30" s="160">
        <f>+IF($A30="",IF($C30="",SUMIFS(全伝票!L:L,全伝票!$B:$B,$B30),SUMIFS(全伝票!L:L,全伝票!$C:$C,$C30)),IF($C30="",SUMIFS(全伝票!L:L,全伝票!$A:$A,$A30,全伝票!$B:$B,$B30),SUMIFS(全伝票!L:L,全伝票!$A:$A,$A30,全伝票!$C:$C,$C30)))</f>
        <v>0</v>
      </c>
      <c r="I30" s="159">
        <f>+IF($A30="",IF($C30="",SUMIFS(全伝票!M:M,全伝票!$B:$B,$B30),SUMIFS(全伝票!M:M,全伝票!$C:$C,$C30)),IF($C30="",SUMIFS(全伝票!M:M,全伝票!$A:$A,$A30,全伝票!$B:$B,$B30),SUMIFS(全伝票!M:M,全伝票!$A:$A,$A30,全伝票!$C:$C,$C30)))</f>
        <v>0</v>
      </c>
      <c r="J30" s="159">
        <f>+IF($A30="",IF($C30="",SUMIFS(全伝票!N:N,全伝票!$B:$B,$B30),SUMIFS(全伝票!N:N,全伝票!$C:$C,$C30)),IF($C30="",SUMIFS(全伝票!N:N,全伝票!$A:$A,$A30,全伝票!$B:$B,$B30),SUMIFS(全伝票!N:N,全伝票!$A:$A,$A30,全伝票!$C:$C,$C30)))</f>
        <v>2892</v>
      </c>
      <c r="K30" s="34">
        <f t="shared" ref="K30" si="16">SUM(F30:J30)</f>
        <v>2892</v>
      </c>
      <c r="L30" s="158">
        <f>+IF($A30="",IF($C30="",SUMIFS(全伝票!O:O,全伝票!$B:$B,$B30),SUMIFS(全伝票!O:O,全伝票!$C:$C,$C30)),IF($C30="",SUMIFS(全伝票!O:O,全伝票!$A:$A,$A30,全伝票!$B:$B,$B30),SUMIFS(全伝票!O:O,全伝票!$A:$A,$A30,全伝票!$C:$C,$C30)))</f>
        <v>0</v>
      </c>
      <c r="M30" s="158">
        <f>+IF($A30="",IF($C30="",SUMIFS(全伝票!P:P,全伝票!$B:$B,$B30),SUMIFS(全伝票!P:P,全伝票!$C:$C,$C30)),IF($C30="",SUMIFS(全伝票!P:P,全伝票!$A:$A,$A30,全伝票!$B:$B,$B30),SUMIFS(全伝票!P:P,全伝票!$A:$A,$A30,全伝票!$C:$C,$C30)))</f>
        <v>0</v>
      </c>
      <c r="N30" s="108">
        <f t="shared" ref="N30" si="17">+ROUND(F30*F$4/(100+F$4),0)+AE30</f>
        <v>0</v>
      </c>
      <c r="O30" s="25">
        <f t="shared" ref="O30" si="18">+ROUND(G30*G$4/(100+G$4),0)+AF30</f>
        <v>0</v>
      </c>
      <c r="P30" s="25">
        <f t="shared" ref="P30" si="19">+ROUND(H30*H$4/(100+H$4),0)+AG30</f>
        <v>0</v>
      </c>
      <c r="Q30" s="157">
        <f t="shared" ref="Q30" si="20">+ROUND(I30*I$4/(100+I$4),0)+AH30</f>
        <v>0</v>
      </c>
      <c r="R30" s="157">
        <f t="shared" ref="R30" si="21">+ROUND(J30*J$4/(100+J$4),0)+AI30</f>
        <v>263</v>
      </c>
      <c r="S30" s="22">
        <f t="shared" ref="S30" si="22">SUM(N30:R30)</f>
        <v>263</v>
      </c>
      <c r="T30" s="109">
        <f t="shared" ref="T30" si="23">+E30-S30</f>
        <v>2629</v>
      </c>
      <c r="U30" s="107">
        <f t="shared" ref="U30" si="24">N30-F30*F$4/(100+F$4)</f>
        <v>0</v>
      </c>
      <c r="V30" s="107">
        <f t="shared" ref="V30" si="25">O30-G30*G$4/(100+G$4)</f>
        <v>0</v>
      </c>
      <c r="W30" s="107">
        <f t="shared" ref="W30" si="26">P30-H30*H$4/(100+H$4)</f>
        <v>0</v>
      </c>
      <c r="X30" s="107">
        <f t="shared" ref="X30" si="27">Q30-I30*I$4/(100+I$4)</f>
        <v>0</v>
      </c>
      <c r="Y30" s="107">
        <f t="shared" ref="Y30" si="28">R30-J30*J$4/(100+J$4)</f>
        <v>9.0909090909065071E-2</v>
      </c>
      <c r="Z30" s="106">
        <f t="shared" si="11"/>
        <v>0</v>
      </c>
      <c r="AA30" s="106">
        <f t="shared" si="12"/>
        <v>0</v>
      </c>
      <c r="AB30" s="106">
        <f t="shared" si="13"/>
        <v>0</v>
      </c>
      <c r="AC30" s="106">
        <f t="shared" si="14"/>
        <v>0</v>
      </c>
      <c r="AD30" s="106">
        <f t="shared" si="15"/>
        <v>0</v>
      </c>
    </row>
    <row r="31" spans="1:35">
      <c r="A31" s="165">
        <v>1</v>
      </c>
      <c r="B31" s="164" t="s">
        <v>351</v>
      </c>
      <c r="C31" s="163"/>
      <c r="D31" s="162" t="s">
        <v>60</v>
      </c>
      <c r="E31" s="158">
        <f>+IF($A31="",IF($C31="",SUMIFS(全伝票!I:I,全伝票!$B:$B,$B31),SUMIFS(全伝票!I:I,全伝票!$C:$C,$C31)),IF($C31="",SUMIFS(全伝票!I:I,全伝票!$A:$A,$A31,全伝票!$B:$B,$B31),SUMIFS(全伝票!I:I,全伝票!$A:$A,$A31,全伝票!$C:$C,$C31)))</f>
        <v>0</v>
      </c>
      <c r="F31" s="161">
        <f>+IF($A31="",IF($C31="",SUMIFS(全伝票!J:J,全伝票!$B:$B,$B31),SUMIFS(全伝票!J:J,全伝票!$C:$C,$C31)),IF($C31="",SUMIFS(全伝票!J:J,全伝票!$A:$A,$A31,全伝票!$B:$B,$B31),SUMIFS(全伝票!J:J,全伝票!$A:$A,$A31,全伝票!$C:$C,$C31)))</f>
        <v>0</v>
      </c>
      <c r="G31" s="160">
        <f>+IF($A31="",IF($C31="",SUMIFS(全伝票!K:K,全伝票!$B:$B,$B31),SUMIFS(全伝票!K:K,全伝票!$C:$C,$C31)),IF($C31="",SUMIFS(全伝票!K:K,全伝票!$A:$A,$A31,全伝票!$B:$B,$B31),SUMIFS(全伝票!K:K,全伝票!$A:$A,$A31,全伝票!$C:$C,$C31)))</f>
        <v>0</v>
      </c>
      <c r="H31" s="160">
        <f>+IF($A31="",IF($C31="",SUMIFS(全伝票!L:L,全伝票!$B:$B,$B31),SUMIFS(全伝票!L:L,全伝票!$C:$C,$C31)),IF($C31="",SUMIFS(全伝票!L:L,全伝票!$A:$A,$A31,全伝票!$B:$B,$B31),SUMIFS(全伝票!L:L,全伝票!$A:$A,$A31,全伝票!$C:$C,$C31)))</f>
        <v>0</v>
      </c>
      <c r="I31" s="159">
        <f>+IF($A31="",IF($C31="",SUMIFS(全伝票!M:M,全伝票!$B:$B,$B31),SUMIFS(全伝票!M:M,全伝票!$C:$C,$C31)),IF($C31="",SUMIFS(全伝票!M:M,全伝票!$A:$A,$A31,全伝票!$B:$B,$B31),SUMIFS(全伝票!M:M,全伝票!$A:$A,$A31,全伝票!$C:$C,$C31)))</f>
        <v>0</v>
      </c>
      <c r="J31" s="159">
        <f>+IF($A31="",IF($C31="",SUMIFS(全伝票!N:N,全伝票!$B:$B,$B31),SUMIFS(全伝票!N:N,全伝票!$C:$C,$C31)),IF($C31="",SUMIFS(全伝票!N:N,全伝票!$A:$A,$A31,全伝票!$B:$B,$B31),SUMIFS(全伝票!N:N,全伝票!$A:$A,$A31,全伝票!$C:$C,$C31)))</f>
        <v>0</v>
      </c>
      <c r="K31" s="34">
        <f t="shared" si="0"/>
        <v>0</v>
      </c>
      <c r="L31" s="158">
        <f>+IF($A31="",IF($C31="",SUMIFS(全伝票!O:O,全伝票!$B:$B,$B31),SUMIFS(全伝票!O:O,全伝票!$C:$C,$C31)),IF($C31="",SUMIFS(全伝票!O:O,全伝票!$A:$A,$A31,全伝票!$B:$B,$B31),SUMIFS(全伝票!O:O,全伝票!$A:$A,$A31,全伝票!$C:$C,$C31)))</f>
        <v>0</v>
      </c>
      <c r="M31" s="158">
        <f>+IF($A31="",IF($C31="",SUMIFS(全伝票!P:P,全伝票!$B:$B,$B31),SUMIFS(全伝票!P:P,全伝票!$C:$C,$C31)),IF($C31="",SUMIFS(全伝票!P:P,全伝票!$A:$A,$A31,全伝票!$B:$B,$B31),SUMIFS(全伝票!P:P,全伝票!$A:$A,$A31,全伝票!$C:$C,$C31)))</f>
        <v>0</v>
      </c>
      <c r="N31" s="108">
        <f t="shared" si="1"/>
        <v>0</v>
      </c>
      <c r="O31" s="25">
        <f t="shared" si="3"/>
        <v>0</v>
      </c>
      <c r="P31" s="25">
        <f t="shared" si="2"/>
        <v>0</v>
      </c>
      <c r="Q31" s="157">
        <f t="shared" si="3"/>
        <v>0</v>
      </c>
      <c r="R31" s="157">
        <f t="shared" si="4"/>
        <v>0</v>
      </c>
      <c r="S31" s="22">
        <f t="shared" si="5"/>
        <v>0</v>
      </c>
      <c r="T31" s="109">
        <f t="shared" si="6"/>
        <v>0</v>
      </c>
      <c r="U31" s="107">
        <f t="shared" si="7"/>
        <v>0</v>
      </c>
      <c r="V31" s="107">
        <f t="shared" si="8"/>
        <v>0</v>
      </c>
      <c r="W31" s="107">
        <f t="shared" si="9"/>
        <v>0</v>
      </c>
      <c r="X31" s="107">
        <f t="shared" si="9"/>
        <v>0</v>
      </c>
      <c r="Y31" s="107">
        <f t="shared" si="10"/>
        <v>0</v>
      </c>
      <c r="Z31" s="106">
        <f t="shared" si="11"/>
        <v>0</v>
      </c>
      <c r="AA31" s="106">
        <f t="shared" si="12"/>
        <v>0</v>
      </c>
      <c r="AB31" s="106">
        <f t="shared" si="13"/>
        <v>0</v>
      </c>
      <c r="AC31" s="106">
        <f t="shared" si="14"/>
        <v>0</v>
      </c>
      <c r="AD31" s="106">
        <f t="shared" si="15"/>
        <v>0</v>
      </c>
    </row>
    <row r="32" spans="1:35">
      <c r="A32" s="165">
        <v>1</v>
      </c>
      <c r="B32" s="164" t="s">
        <v>350</v>
      </c>
      <c r="C32" s="163"/>
      <c r="D32" s="162" t="s">
        <v>58</v>
      </c>
      <c r="E32" s="158">
        <f>+IF($A32="",IF($C32="",SUMIFS(全伝票!I:I,全伝票!$B:$B,$B32),SUMIFS(全伝票!I:I,全伝票!$C:$C,$C32)),IF($C32="",SUMIFS(全伝票!I:I,全伝票!$A:$A,$A32,全伝票!$B:$B,$B32),SUMIFS(全伝票!I:I,全伝票!$A:$A,$A32,全伝票!$C:$C,$C32)))</f>
        <v>3828947</v>
      </c>
      <c r="F32" s="161">
        <f>+IF($A32="",IF($C32="",SUMIFS(全伝票!J:J,全伝票!$B:$B,$B32),SUMIFS(全伝票!J:J,全伝票!$C:$C,$C32)),IF($C32="",SUMIFS(全伝票!J:J,全伝票!$A:$A,$A32,全伝票!$B:$B,$B32),SUMIFS(全伝票!J:J,全伝票!$A:$A,$A32,全伝票!$C:$C,$C32)))</f>
        <v>0</v>
      </c>
      <c r="G32" s="160">
        <f>+IF($A32="",IF($C32="",SUMIFS(全伝票!K:K,全伝票!$B:$B,$B32),SUMIFS(全伝票!K:K,全伝票!$C:$C,$C32)),IF($C32="",SUMIFS(全伝票!K:K,全伝票!$A:$A,$A32,全伝票!$B:$B,$B32),SUMIFS(全伝票!K:K,全伝票!$A:$A,$A32,全伝票!$C:$C,$C32)))</f>
        <v>0</v>
      </c>
      <c r="H32" s="160">
        <f>+IF($A32="",IF($C32="",SUMIFS(全伝票!L:L,全伝票!$B:$B,$B32),SUMIFS(全伝票!L:L,全伝票!$C:$C,$C32)),IF($C32="",SUMIFS(全伝票!L:L,全伝票!$A:$A,$A32,全伝票!$B:$B,$B32),SUMIFS(全伝票!L:L,全伝票!$A:$A,$A32,全伝票!$C:$C,$C32)))</f>
        <v>0</v>
      </c>
      <c r="I32" s="159">
        <f>+IF($A32="",IF($C32="",SUMIFS(全伝票!M:M,全伝票!$B:$B,$B32),SUMIFS(全伝票!M:M,全伝票!$C:$C,$C32)),IF($C32="",SUMIFS(全伝票!M:M,全伝票!$A:$A,$A32,全伝票!$B:$B,$B32),SUMIFS(全伝票!M:M,全伝票!$A:$A,$A32,全伝票!$C:$C,$C32)))</f>
        <v>0</v>
      </c>
      <c r="J32" s="159">
        <f>+IF($A32="",IF($C32="",SUMIFS(全伝票!N:N,全伝票!$B:$B,$B32),SUMIFS(全伝票!N:N,全伝票!$C:$C,$C32)),IF($C32="",SUMIFS(全伝票!N:N,全伝票!$A:$A,$A32,全伝票!$B:$B,$B32),SUMIFS(全伝票!N:N,全伝票!$A:$A,$A32,全伝票!$C:$C,$C32)))</f>
        <v>0</v>
      </c>
      <c r="K32" s="34">
        <f t="shared" si="0"/>
        <v>0</v>
      </c>
      <c r="L32" s="158">
        <f>+IF($A32="",IF($C32="",SUMIFS(全伝票!O:O,全伝票!$B:$B,$B32),SUMIFS(全伝票!O:O,全伝票!$C:$C,$C32)),IF($C32="",SUMIFS(全伝票!O:O,全伝票!$A:$A,$A32,全伝票!$B:$B,$B32),SUMIFS(全伝票!O:O,全伝票!$A:$A,$A32,全伝票!$C:$C,$C32)))</f>
        <v>3828947</v>
      </c>
      <c r="M32" s="158">
        <f>+IF($A32="",IF($C32="",SUMIFS(全伝票!P:P,全伝票!$B:$B,$B32),SUMIFS(全伝票!P:P,全伝票!$C:$C,$C32)),IF($C32="",SUMIFS(全伝票!P:P,全伝票!$A:$A,$A32,全伝票!$B:$B,$B32),SUMIFS(全伝票!P:P,全伝票!$A:$A,$A32,全伝票!$C:$C,$C32)))</f>
        <v>0</v>
      </c>
      <c r="N32" s="108">
        <f t="shared" si="1"/>
        <v>0</v>
      </c>
      <c r="O32" s="25">
        <f t="shared" si="3"/>
        <v>0</v>
      </c>
      <c r="P32" s="25">
        <f t="shared" si="2"/>
        <v>0</v>
      </c>
      <c r="Q32" s="157">
        <f t="shared" si="3"/>
        <v>0</v>
      </c>
      <c r="R32" s="157">
        <f t="shared" si="4"/>
        <v>0</v>
      </c>
      <c r="S32" s="22">
        <f t="shared" si="5"/>
        <v>0</v>
      </c>
      <c r="T32" s="109">
        <f t="shared" si="6"/>
        <v>3828947</v>
      </c>
      <c r="U32" s="107">
        <f t="shared" si="7"/>
        <v>0</v>
      </c>
      <c r="V32" s="107">
        <f t="shared" si="8"/>
        <v>0</v>
      </c>
      <c r="W32" s="107">
        <f t="shared" si="9"/>
        <v>0</v>
      </c>
      <c r="X32" s="107">
        <f t="shared" si="9"/>
        <v>0</v>
      </c>
      <c r="Y32" s="107">
        <f t="shared" si="10"/>
        <v>0</v>
      </c>
      <c r="Z32" s="106">
        <f t="shared" si="11"/>
        <v>0</v>
      </c>
      <c r="AA32" s="106">
        <f t="shared" si="12"/>
        <v>0</v>
      </c>
      <c r="AB32" s="106">
        <f t="shared" si="13"/>
        <v>0</v>
      </c>
      <c r="AC32" s="106">
        <f t="shared" si="14"/>
        <v>0</v>
      </c>
      <c r="AD32" s="106">
        <f t="shared" si="15"/>
        <v>0</v>
      </c>
    </row>
    <row r="33" spans="1:30">
      <c r="A33" s="165">
        <v>1</v>
      </c>
      <c r="B33" s="164" t="s">
        <v>349</v>
      </c>
      <c r="C33" s="163"/>
      <c r="D33" s="162" t="s">
        <v>56</v>
      </c>
      <c r="E33" s="158">
        <f>+IF($A33="",IF($C33="",SUMIFS(全伝票!I:I,全伝票!$B:$B,$B33),SUMIFS(全伝票!I:I,全伝票!$C:$C,$C33)),IF($C33="",SUMIFS(全伝票!I:I,全伝票!$A:$A,$A33,全伝票!$B:$B,$B33),SUMIFS(全伝票!I:I,全伝票!$A:$A,$A33,全伝票!$C:$C,$C33)))</f>
        <v>16361</v>
      </c>
      <c r="F33" s="161">
        <f>+IF($A33="",IF($C33="",SUMIFS(全伝票!J:J,全伝票!$B:$B,$B33),SUMIFS(全伝票!J:J,全伝票!$C:$C,$C33)),IF($C33="",SUMIFS(全伝票!J:J,全伝票!$A:$A,$A33,全伝票!$B:$B,$B33),SUMIFS(全伝票!J:J,全伝票!$A:$A,$A33,全伝票!$C:$C,$C33)))</f>
        <v>0</v>
      </c>
      <c r="G33" s="160">
        <f>+IF($A33="",IF($C33="",SUMIFS(全伝票!K:K,全伝票!$B:$B,$B33),SUMIFS(全伝票!K:K,全伝票!$C:$C,$C33)),IF($C33="",SUMIFS(全伝票!K:K,全伝票!$A:$A,$A33,全伝票!$B:$B,$B33),SUMIFS(全伝票!K:K,全伝票!$A:$A,$A33,全伝票!$C:$C,$C33)))</f>
        <v>0</v>
      </c>
      <c r="H33" s="160">
        <f>+IF($A33="",IF($C33="",SUMIFS(全伝票!L:L,全伝票!$B:$B,$B33),SUMIFS(全伝票!L:L,全伝票!$C:$C,$C33)),IF($C33="",SUMIFS(全伝票!L:L,全伝票!$A:$A,$A33,全伝票!$B:$B,$B33),SUMIFS(全伝票!L:L,全伝票!$A:$A,$A33,全伝票!$C:$C,$C33)))</f>
        <v>0</v>
      </c>
      <c r="I33" s="159">
        <f>+IF($A33="",IF($C33="",SUMIFS(全伝票!M:M,全伝票!$B:$B,$B33),SUMIFS(全伝票!M:M,全伝票!$C:$C,$C33)),IF($C33="",SUMIFS(全伝票!M:M,全伝票!$A:$A,$A33,全伝票!$B:$B,$B33),SUMIFS(全伝票!M:M,全伝票!$A:$A,$A33,全伝票!$C:$C,$C33)))</f>
        <v>0</v>
      </c>
      <c r="J33" s="159">
        <f>+IF($A33="",IF($C33="",SUMIFS(全伝票!N:N,全伝票!$B:$B,$B33),SUMIFS(全伝票!N:N,全伝票!$C:$C,$C33)),IF($C33="",SUMIFS(全伝票!N:N,全伝票!$A:$A,$A33,全伝票!$B:$B,$B33),SUMIFS(全伝票!N:N,全伝票!$A:$A,$A33,全伝票!$C:$C,$C33)))</f>
        <v>0</v>
      </c>
      <c r="K33" s="34">
        <f t="shared" si="0"/>
        <v>0</v>
      </c>
      <c r="L33" s="158">
        <f>+IF($A33="",IF($C33="",SUMIFS(全伝票!O:O,全伝票!$B:$B,$B33),SUMIFS(全伝票!O:O,全伝票!$C:$C,$C33)),IF($C33="",SUMIFS(全伝票!O:O,全伝票!$A:$A,$A33,全伝票!$B:$B,$B33),SUMIFS(全伝票!O:O,全伝票!$A:$A,$A33,全伝票!$C:$C,$C33)))</f>
        <v>5000</v>
      </c>
      <c r="M33" s="158">
        <f>+IF($A33="",IF($C33="",SUMIFS(全伝票!P:P,全伝票!$B:$B,$B33),SUMIFS(全伝票!P:P,全伝票!$C:$C,$C33)),IF($C33="",SUMIFS(全伝票!P:P,全伝票!$A:$A,$A33,全伝票!$B:$B,$B33),SUMIFS(全伝票!P:P,全伝票!$A:$A,$A33,全伝票!$C:$C,$C33)))</f>
        <v>11361</v>
      </c>
      <c r="N33" s="108">
        <f t="shared" si="1"/>
        <v>0</v>
      </c>
      <c r="O33" s="25">
        <f t="shared" si="3"/>
        <v>0</v>
      </c>
      <c r="P33" s="25">
        <f t="shared" si="2"/>
        <v>0</v>
      </c>
      <c r="Q33" s="157">
        <f t="shared" si="3"/>
        <v>0</v>
      </c>
      <c r="R33" s="157">
        <f t="shared" si="4"/>
        <v>0</v>
      </c>
      <c r="S33" s="22">
        <f t="shared" si="5"/>
        <v>0</v>
      </c>
      <c r="T33" s="109">
        <f t="shared" si="6"/>
        <v>16361</v>
      </c>
      <c r="U33" s="107">
        <f t="shared" si="7"/>
        <v>0</v>
      </c>
      <c r="V33" s="107">
        <f t="shared" si="8"/>
        <v>0</v>
      </c>
      <c r="W33" s="107">
        <f t="shared" si="9"/>
        <v>0</v>
      </c>
      <c r="X33" s="107">
        <f t="shared" si="9"/>
        <v>0</v>
      </c>
      <c r="Y33" s="107">
        <f t="shared" si="10"/>
        <v>0</v>
      </c>
      <c r="Z33" s="106">
        <f t="shared" si="11"/>
        <v>0</v>
      </c>
      <c r="AA33" s="106">
        <f t="shared" si="12"/>
        <v>0</v>
      </c>
      <c r="AB33" s="106">
        <f t="shared" si="13"/>
        <v>0</v>
      </c>
      <c r="AC33" s="106">
        <f t="shared" si="14"/>
        <v>0</v>
      </c>
      <c r="AD33" s="106">
        <f t="shared" si="15"/>
        <v>0</v>
      </c>
    </row>
    <row r="34" spans="1:30">
      <c r="A34" s="165">
        <v>1</v>
      </c>
      <c r="B34" s="164" t="s">
        <v>370</v>
      </c>
      <c r="C34" s="163">
        <v>883161003</v>
      </c>
      <c r="D34" s="162" t="s">
        <v>609</v>
      </c>
      <c r="E34" s="158">
        <f>+IF($A34="",IF($C34="",SUMIFS(全伝票!I:I,全伝票!$B:$B,$B34),SUMIFS(全伝票!I:I,全伝票!$C:$C,$C34)),IF($C34="",SUMIFS(全伝票!I:I,全伝票!$A:$A,$A34,全伝票!$B:$B,$B34),SUMIFS(全伝票!I:I,全伝票!$A:$A,$A34,全伝票!$C:$C,$C34)))</f>
        <v>422700</v>
      </c>
      <c r="F34" s="161">
        <f>+IF($A34="",IF($C34="",SUMIFS(全伝票!J:J,全伝票!$B:$B,$B34),SUMIFS(全伝票!J:J,全伝票!$C:$C,$C34)),IF($C34="",SUMIFS(全伝票!J:J,全伝票!$A:$A,$A34,全伝票!$B:$B,$B34),SUMIFS(全伝票!J:J,全伝票!$A:$A,$A34,全伝票!$C:$C,$C34)))</f>
        <v>0</v>
      </c>
      <c r="G34" s="160">
        <f>+IF($A34="",IF($C34="",SUMIFS(全伝票!K:K,全伝票!$B:$B,$B34),SUMIFS(全伝票!K:K,全伝票!$C:$C,$C34)),IF($C34="",SUMIFS(全伝票!K:K,全伝票!$A:$A,$A34,全伝票!$B:$B,$B34),SUMIFS(全伝票!K:K,全伝票!$A:$A,$A34,全伝票!$C:$C,$C34)))</f>
        <v>0</v>
      </c>
      <c r="H34" s="160">
        <f>+IF($A34="",IF($C34="",SUMIFS(全伝票!L:L,全伝票!$B:$B,$B34),SUMIFS(全伝票!L:L,全伝票!$C:$C,$C34)),IF($C34="",SUMIFS(全伝票!L:L,全伝票!$A:$A,$A34,全伝票!$B:$B,$B34),SUMIFS(全伝票!L:L,全伝票!$A:$A,$A34,全伝票!$C:$C,$C34)))</f>
        <v>0</v>
      </c>
      <c r="I34" s="159">
        <f>+IF($A34="",IF($C34="",SUMIFS(全伝票!M:M,全伝票!$B:$B,$B34),SUMIFS(全伝票!M:M,全伝票!$C:$C,$C34)),IF($C34="",SUMIFS(全伝票!M:M,全伝票!$A:$A,$A34,全伝票!$B:$B,$B34),SUMIFS(全伝票!M:M,全伝票!$A:$A,$A34,全伝票!$C:$C,$C34)))</f>
        <v>0</v>
      </c>
      <c r="J34" s="159">
        <f>+IF($A34="",IF($C34="",SUMIFS(全伝票!N:N,全伝票!$B:$B,$B34),SUMIFS(全伝票!N:N,全伝票!$C:$C,$C34)),IF($C34="",SUMIFS(全伝票!N:N,全伝票!$A:$A,$A34,全伝票!$B:$B,$B34),SUMIFS(全伝票!N:N,全伝票!$A:$A,$A34,全伝票!$C:$C,$C34)))</f>
        <v>422700</v>
      </c>
      <c r="K34" s="34">
        <f t="shared" si="0"/>
        <v>422700</v>
      </c>
      <c r="L34" s="158">
        <f>+IF($A34="",IF($C34="",SUMIFS(全伝票!O:O,全伝票!$B:$B,$B34),SUMIFS(全伝票!O:O,全伝票!$C:$C,$C34)),IF($C34="",SUMIFS(全伝票!O:O,全伝票!$A:$A,$A34,全伝票!$B:$B,$B34),SUMIFS(全伝票!O:O,全伝票!$A:$A,$A34,全伝票!$C:$C,$C34)))</f>
        <v>0</v>
      </c>
      <c r="M34" s="158">
        <f>+IF($A34="",IF($C34="",SUMIFS(全伝票!P:P,全伝票!$B:$B,$B34),SUMIFS(全伝票!P:P,全伝票!$C:$C,$C34)),IF($C34="",SUMIFS(全伝票!P:P,全伝票!$A:$A,$A34,全伝票!$B:$B,$B34),SUMIFS(全伝票!P:P,全伝票!$A:$A,$A34,全伝票!$C:$C,$C34)))</f>
        <v>0</v>
      </c>
      <c r="N34" s="108">
        <f t="shared" si="1"/>
        <v>0</v>
      </c>
      <c r="O34" s="25">
        <f t="shared" si="3"/>
        <v>0</v>
      </c>
      <c r="P34" s="25">
        <f t="shared" si="2"/>
        <v>0</v>
      </c>
      <c r="Q34" s="157">
        <f t="shared" si="3"/>
        <v>0</v>
      </c>
      <c r="R34" s="157">
        <f t="shared" si="4"/>
        <v>38427</v>
      </c>
      <c r="S34" s="22">
        <f t="shared" si="5"/>
        <v>38427</v>
      </c>
      <c r="T34" s="109">
        <f t="shared" si="6"/>
        <v>384273</v>
      </c>
      <c r="U34" s="107">
        <f t="shared" si="7"/>
        <v>0</v>
      </c>
      <c r="V34" s="107">
        <f t="shared" si="8"/>
        <v>0</v>
      </c>
      <c r="W34" s="107">
        <f t="shared" si="9"/>
        <v>0</v>
      </c>
      <c r="X34" s="107">
        <f t="shared" si="9"/>
        <v>0</v>
      </c>
      <c r="Y34" s="107">
        <f t="shared" si="10"/>
        <v>-0.27272727272793418</v>
      </c>
      <c r="Z34" s="106">
        <f t="shared" si="11"/>
        <v>0</v>
      </c>
      <c r="AA34" s="106">
        <f t="shared" si="12"/>
        <v>0</v>
      </c>
      <c r="AB34" s="106">
        <f t="shared" si="13"/>
        <v>0</v>
      </c>
      <c r="AC34" s="106">
        <f t="shared" si="14"/>
        <v>0</v>
      </c>
      <c r="AD34" s="106">
        <f t="shared" si="15"/>
        <v>0</v>
      </c>
    </row>
    <row r="35" spans="1:30">
      <c r="A35" s="165">
        <v>1</v>
      </c>
      <c r="B35" s="164" t="s">
        <v>347</v>
      </c>
      <c r="C35" s="163"/>
      <c r="D35" s="162" t="s">
        <v>53</v>
      </c>
      <c r="E35" s="158">
        <f>+IF($A35="",IF($C35="",SUMIFS(全伝票!I:I,全伝票!$B:$B,$B35),SUMIFS(全伝票!I:I,全伝票!$C:$C,$C35)),IF($C35="",SUMIFS(全伝票!I:I,全伝票!$A:$A,$A35,全伝票!$B:$B,$B35),SUMIFS(全伝票!I:I,全伝票!$A:$A,$A35,全伝票!$C:$C,$C35)))</f>
        <v>16172000</v>
      </c>
      <c r="F35" s="161">
        <f>+IF($A35="",IF($C35="",SUMIFS(全伝票!J:J,全伝票!$B:$B,$B35),SUMIFS(全伝票!J:J,全伝票!$C:$C,$C35)),IF($C35="",SUMIFS(全伝票!J:J,全伝票!$A:$A,$A35,全伝票!$B:$B,$B35),SUMIFS(全伝票!J:J,全伝票!$A:$A,$A35,全伝票!$C:$C,$C35)))</f>
        <v>0</v>
      </c>
      <c r="G35" s="160">
        <f>+IF($A35="",IF($C35="",SUMIFS(全伝票!K:K,全伝票!$B:$B,$B35),SUMIFS(全伝票!K:K,全伝票!$C:$C,$C35)),IF($C35="",SUMIFS(全伝票!K:K,全伝票!$A:$A,$A35,全伝票!$B:$B,$B35),SUMIFS(全伝票!K:K,全伝票!$A:$A,$A35,全伝票!$C:$C,$C35)))</f>
        <v>0</v>
      </c>
      <c r="H35" s="160">
        <f>+IF($A35="",IF($C35="",SUMIFS(全伝票!L:L,全伝票!$B:$B,$B35),SUMIFS(全伝票!L:L,全伝票!$C:$C,$C35)),IF($C35="",SUMIFS(全伝票!L:L,全伝票!$A:$A,$A35,全伝票!$B:$B,$B35),SUMIFS(全伝票!L:L,全伝票!$A:$A,$A35,全伝票!$C:$C,$C35)))</f>
        <v>0</v>
      </c>
      <c r="I35" s="159">
        <f>+IF($A35="",IF($C35="",SUMIFS(全伝票!M:M,全伝票!$B:$B,$B35),SUMIFS(全伝票!M:M,全伝票!$C:$C,$C35)),IF($C35="",SUMIFS(全伝票!M:M,全伝票!$A:$A,$A35,全伝票!$B:$B,$B35),SUMIFS(全伝票!M:M,全伝票!$A:$A,$A35,全伝票!$C:$C,$C35)))</f>
        <v>0</v>
      </c>
      <c r="J35" s="159">
        <f>+IF($A35="",IF($C35="",SUMIFS(全伝票!N:N,全伝票!$B:$B,$B35),SUMIFS(全伝票!N:N,全伝票!$C:$C,$C35)),IF($C35="",SUMIFS(全伝票!N:N,全伝票!$A:$A,$A35,全伝票!$B:$B,$B35),SUMIFS(全伝票!N:N,全伝票!$A:$A,$A35,全伝票!$C:$C,$C35)))</f>
        <v>0</v>
      </c>
      <c r="K35" s="34">
        <f t="shared" si="0"/>
        <v>0</v>
      </c>
      <c r="L35" s="158">
        <f>+IF($A35="",IF($C35="",SUMIFS(全伝票!O:O,全伝票!$B:$B,$B35),SUMIFS(全伝票!O:O,全伝票!$C:$C,$C35)),IF($C35="",SUMIFS(全伝票!O:O,全伝票!$A:$A,$A35,全伝票!$B:$B,$B35),SUMIFS(全伝票!O:O,全伝票!$A:$A,$A35,全伝票!$C:$C,$C35)))</f>
        <v>0</v>
      </c>
      <c r="M35" s="158">
        <f>+IF($A35="",IF($C35="",SUMIFS(全伝票!P:P,全伝票!$B:$B,$B35),SUMIFS(全伝票!P:P,全伝票!$C:$C,$C35)),IF($C35="",SUMIFS(全伝票!P:P,全伝票!$A:$A,$A35,全伝票!$B:$B,$B35),SUMIFS(全伝票!P:P,全伝票!$A:$A,$A35,全伝票!$C:$C,$C35)))</f>
        <v>16172000</v>
      </c>
      <c r="N35" s="108">
        <f t="shared" si="1"/>
        <v>0</v>
      </c>
      <c r="O35" s="25">
        <f t="shared" si="3"/>
        <v>0</v>
      </c>
      <c r="P35" s="25">
        <f t="shared" si="2"/>
        <v>0</v>
      </c>
      <c r="Q35" s="157">
        <f t="shared" si="3"/>
        <v>0</v>
      </c>
      <c r="R35" s="157">
        <f t="shared" si="4"/>
        <v>0</v>
      </c>
      <c r="S35" s="22">
        <f t="shared" si="5"/>
        <v>0</v>
      </c>
      <c r="T35" s="109">
        <f t="shared" si="6"/>
        <v>16172000</v>
      </c>
      <c r="U35" s="107">
        <f t="shared" si="7"/>
        <v>0</v>
      </c>
      <c r="V35" s="107">
        <f t="shared" si="8"/>
        <v>0</v>
      </c>
      <c r="W35" s="107">
        <f t="shared" si="9"/>
        <v>0</v>
      </c>
      <c r="X35" s="107">
        <f t="shared" si="9"/>
        <v>0</v>
      </c>
      <c r="Y35" s="107">
        <f t="shared" si="10"/>
        <v>0</v>
      </c>
      <c r="Z35" s="106">
        <f t="shared" si="11"/>
        <v>0</v>
      </c>
      <c r="AA35" s="106">
        <f t="shared" si="12"/>
        <v>0</v>
      </c>
      <c r="AB35" s="106">
        <f t="shared" si="13"/>
        <v>0</v>
      </c>
      <c r="AC35" s="106">
        <f t="shared" si="14"/>
        <v>0</v>
      </c>
      <c r="AD35" s="106">
        <f t="shared" si="15"/>
        <v>0</v>
      </c>
    </row>
    <row r="36" spans="1:30" ht="14.25" thickBot="1">
      <c r="A36" s="165"/>
      <c r="B36" s="164">
        <v>8831643</v>
      </c>
      <c r="C36" s="163"/>
      <c r="D36" s="162" t="s">
        <v>51</v>
      </c>
      <c r="E36" s="158">
        <f>+IF($A36="",IF($C36="",SUMIFS(全伝票!I:I,全伝票!$B:$B,$B36),SUMIFS(全伝票!I:I,全伝票!$C:$C,$C36)),IF($C36="",SUMIFS(全伝票!I:I,全伝票!$A:$A,$A36,全伝票!$B:$B,$B36),SUMIFS(全伝票!I:I,全伝票!$A:$A,$A36,全伝票!$C:$C,$C36)))</f>
        <v>1676445</v>
      </c>
      <c r="F36" s="161">
        <f>+IF($A36="",IF($C36="",SUMIFS(全伝票!J:J,全伝票!$B:$B,$B36),SUMIFS(全伝票!J:J,全伝票!$C:$C,$C36)),IF($C36="",SUMIFS(全伝票!J:J,全伝票!$A:$A,$A36,全伝票!$B:$B,$B36),SUMIFS(全伝票!J:J,全伝票!$A:$A,$A36,全伝票!$C:$C,$C36)))</f>
        <v>0</v>
      </c>
      <c r="G36" s="160">
        <f>+IF($A36="",IF($C36="",SUMIFS(全伝票!K:K,全伝票!$B:$B,$B36),SUMIFS(全伝票!K:K,全伝票!$C:$C,$C36)),IF($C36="",SUMIFS(全伝票!K:K,全伝票!$A:$A,$A36,全伝票!$B:$B,$B36),SUMIFS(全伝票!K:K,全伝票!$A:$A,$A36,全伝票!$C:$C,$C36)))</f>
        <v>0</v>
      </c>
      <c r="H36" s="160">
        <f>+IF($A36="",IF($C36="",SUMIFS(全伝票!L:L,全伝票!$B:$B,$B36),SUMIFS(全伝票!L:L,全伝票!$C:$C,$C36)),IF($C36="",SUMIFS(全伝票!L:L,全伝票!$A:$A,$A36,全伝票!$B:$B,$B36),SUMIFS(全伝票!L:L,全伝票!$A:$A,$A36,全伝票!$C:$C,$C36)))</f>
        <v>0</v>
      </c>
      <c r="I36" s="159">
        <f>+IF($A36="",IF($C36="",SUMIFS(全伝票!M:M,全伝票!$B:$B,$B36),SUMIFS(全伝票!M:M,全伝票!$C:$C,$C36)),IF($C36="",SUMIFS(全伝票!M:M,全伝票!$A:$A,$A36,全伝票!$B:$B,$B36),SUMIFS(全伝票!M:M,全伝票!$A:$A,$A36,全伝票!$C:$C,$C36)))</f>
        <v>0</v>
      </c>
      <c r="J36" s="159">
        <f>+IF($A36="",IF($C36="",SUMIFS(全伝票!N:N,全伝票!$B:$B,$B36),SUMIFS(全伝票!N:N,全伝票!$C:$C,$C36)),IF($C36="",SUMIFS(全伝票!N:N,全伝票!$A:$A,$A36,全伝票!$B:$B,$B36),SUMIFS(全伝票!N:N,全伝票!$A:$A,$A36,全伝票!$C:$C,$C36)))</f>
        <v>0</v>
      </c>
      <c r="K36" s="34">
        <f t="shared" si="0"/>
        <v>0</v>
      </c>
      <c r="L36" s="158">
        <f>+IF($A36="",IF($C36="",SUMIFS(全伝票!O:O,全伝票!$B:$B,$B36),SUMIFS(全伝票!O:O,全伝票!$C:$C,$C36)),IF($C36="",SUMIFS(全伝票!O:O,全伝票!$A:$A,$A36,全伝票!$B:$B,$B36),SUMIFS(全伝票!O:O,全伝票!$A:$A,$A36,全伝票!$C:$C,$C36)))</f>
        <v>0</v>
      </c>
      <c r="M36" s="158">
        <f>+IF($A36="",IF($C36="",SUMIFS(全伝票!P:P,全伝票!$B:$B,$B36),SUMIFS(全伝票!P:P,全伝票!$C:$C,$C36)),IF($C36="",SUMIFS(全伝票!P:P,全伝票!$A:$A,$A36,全伝票!$B:$B,$B36),SUMIFS(全伝票!P:P,全伝票!$A:$A,$A36,全伝票!$C:$C,$C36)))</f>
        <v>1676445</v>
      </c>
      <c r="N36" s="108">
        <f t="shared" si="1"/>
        <v>0</v>
      </c>
      <c r="O36" s="25">
        <f t="shared" si="3"/>
        <v>0</v>
      </c>
      <c r="P36" s="25">
        <f t="shared" si="2"/>
        <v>0</v>
      </c>
      <c r="Q36" s="157">
        <f t="shared" si="3"/>
        <v>0</v>
      </c>
      <c r="R36" s="157">
        <f t="shared" si="4"/>
        <v>0</v>
      </c>
      <c r="S36" s="22">
        <f t="shared" si="5"/>
        <v>0</v>
      </c>
      <c r="T36" s="109">
        <f t="shared" si="6"/>
        <v>1676445</v>
      </c>
      <c r="U36" s="107">
        <f t="shared" si="7"/>
        <v>0</v>
      </c>
      <c r="V36" s="107">
        <f t="shared" si="8"/>
        <v>0</v>
      </c>
      <c r="W36" s="107">
        <f t="shared" si="9"/>
        <v>0</v>
      </c>
      <c r="X36" s="107">
        <f t="shared" si="9"/>
        <v>0</v>
      </c>
      <c r="Y36" s="107">
        <f t="shared" si="10"/>
        <v>0</v>
      </c>
      <c r="Z36" s="106">
        <f t="shared" si="11"/>
        <v>0</v>
      </c>
      <c r="AA36" s="106">
        <f t="shared" si="12"/>
        <v>0</v>
      </c>
      <c r="AB36" s="106">
        <f t="shared" si="13"/>
        <v>0</v>
      </c>
      <c r="AC36" s="106">
        <f t="shared" si="14"/>
        <v>0</v>
      </c>
      <c r="AD36" s="106">
        <f t="shared" si="15"/>
        <v>0</v>
      </c>
    </row>
    <row r="37" spans="1:30" ht="14.25" thickTop="1">
      <c r="A37" s="156"/>
      <c r="B37" s="155"/>
      <c r="C37" s="154"/>
      <c r="D37" s="153" t="s">
        <v>2</v>
      </c>
      <c r="E37" s="149">
        <f t="shared" ref="E37:T37" si="29">SUM(E5:E36)</f>
        <v>483965214</v>
      </c>
      <c r="F37" s="152">
        <f t="shared" si="29"/>
        <v>0</v>
      </c>
      <c r="G37" s="151">
        <f t="shared" si="29"/>
        <v>0</v>
      </c>
      <c r="H37" s="151">
        <f t="shared" si="29"/>
        <v>0</v>
      </c>
      <c r="I37" s="150">
        <f t="shared" ref="I37" si="30">SUM(I5:I36)</f>
        <v>317198</v>
      </c>
      <c r="J37" s="150">
        <f t="shared" si="29"/>
        <v>194208395</v>
      </c>
      <c r="K37" s="74">
        <f t="shared" si="29"/>
        <v>194525593</v>
      </c>
      <c r="L37" s="149">
        <f t="shared" si="29"/>
        <v>50827352</v>
      </c>
      <c r="M37" s="149">
        <f t="shared" si="29"/>
        <v>238612269</v>
      </c>
      <c r="N37" s="146">
        <f t="shared" si="29"/>
        <v>0</v>
      </c>
      <c r="O37" s="145">
        <f t="shared" si="29"/>
        <v>0</v>
      </c>
      <c r="P37" s="145">
        <f t="shared" si="29"/>
        <v>0</v>
      </c>
      <c r="Q37" s="148">
        <f t="shared" ref="Q37" si="31">SUM(Q5:Q36)</f>
        <v>23496</v>
      </c>
      <c r="R37" s="148">
        <f t="shared" si="29"/>
        <v>17655309</v>
      </c>
      <c r="S37" s="144">
        <f t="shared" si="29"/>
        <v>17678805</v>
      </c>
      <c r="T37" s="147">
        <f t="shared" si="29"/>
        <v>466286409</v>
      </c>
      <c r="U37" s="88" t="str">
        <f>+IF(F37=0,"",ROUND(F37*F$4/(100+F$4),7)-N37)</f>
        <v/>
      </c>
      <c r="V37" s="88"/>
      <c r="W37" s="88"/>
      <c r="X37" s="88"/>
      <c r="Y37" s="88"/>
      <c r="Z37" s="88"/>
      <c r="AA37" s="88"/>
      <c r="AB37" s="87"/>
      <c r="AC37" s="87"/>
      <c r="AD37" s="87"/>
    </row>
    <row r="38" spans="1:30">
      <c r="A38" s="143"/>
      <c r="B38" s="142"/>
      <c r="C38" s="141"/>
      <c r="D38" s="140" t="s">
        <v>1</v>
      </c>
      <c r="E38" s="136">
        <f t="shared" ref="E38:J38" si="32">+E37</f>
        <v>483965214</v>
      </c>
      <c r="F38" s="139">
        <f t="shared" si="32"/>
        <v>0</v>
      </c>
      <c r="G38" s="138">
        <f t="shared" si="32"/>
        <v>0</v>
      </c>
      <c r="H38" s="138">
        <f t="shared" si="32"/>
        <v>0</v>
      </c>
      <c r="I38" s="137">
        <f t="shared" si="32"/>
        <v>317198</v>
      </c>
      <c r="J38" s="137">
        <f t="shared" si="32"/>
        <v>194208395</v>
      </c>
      <c r="K38" s="63">
        <f>SUM(F38:J38)</f>
        <v>194525593</v>
      </c>
      <c r="L38" s="136">
        <f>+L37</f>
        <v>50827352</v>
      </c>
      <c r="M38" s="135">
        <f>+M37</f>
        <v>238612269</v>
      </c>
      <c r="N38" s="133">
        <f>+'3条支出'!N14</f>
        <v>0</v>
      </c>
      <c r="O38" s="132">
        <f>+'3条支出'!O14</f>
        <v>0</v>
      </c>
      <c r="P38" s="132">
        <f>+'3条支出'!P14</f>
        <v>0</v>
      </c>
      <c r="Q38" s="132">
        <f>+'3条支出'!Q14</f>
        <v>23496</v>
      </c>
      <c r="R38" s="132">
        <f>+'3条支出'!R14</f>
        <v>17655309</v>
      </c>
      <c r="S38" s="131">
        <f>+'3条支出'!S14</f>
        <v>17678805</v>
      </c>
      <c r="T38" s="134">
        <f>+'3条支出'!T14</f>
        <v>466286409</v>
      </c>
      <c r="U38" s="88" t="str">
        <f>+IF(F38=0,"",ROUND(F38*F$4/(100+F$4),7)-N38)</f>
        <v/>
      </c>
      <c r="V38" s="88"/>
      <c r="W38" s="88"/>
      <c r="X38" s="88"/>
      <c r="Y38" s="88"/>
      <c r="Z38" s="88"/>
      <c r="AA38" s="88"/>
      <c r="AB38" s="87"/>
      <c r="AC38" s="87"/>
      <c r="AD38" s="87"/>
    </row>
    <row r="39" spans="1:30">
      <c r="E39" s="4">
        <f t="shared" ref="E39:T39" si="33">+E38-E37</f>
        <v>0</v>
      </c>
      <c r="F39" s="4">
        <f t="shared" si="33"/>
        <v>0</v>
      </c>
      <c r="G39" s="4">
        <f t="shared" si="33"/>
        <v>0</v>
      </c>
      <c r="H39" s="4">
        <f t="shared" si="33"/>
        <v>0</v>
      </c>
      <c r="I39" s="4">
        <f t="shared" ref="I39" si="34">+I38-I37</f>
        <v>0</v>
      </c>
      <c r="J39" s="4">
        <f t="shared" si="33"/>
        <v>0</v>
      </c>
      <c r="K39" s="4">
        <f t="shared" si="33"/>
        <v>0</v>
      </c>
      <c r="L39" s="4">
        <f t="shared" si="33"/>
        <v>0</v>
      </c>
      <c r="M39" s="4">
        <f t="shared" si="33"/>
        <v>0</v>
      </c>
      <c r="N39" s="4">
        <f t="shared" si="33"/>
        <v>0</v>
      </c>
      <c r="O39" s="4">
        <f t="shared" si="33"/>
        <v>0</v>
      </c>
      <c r="P39" s="4">
        <f t="shared" si="33"/>
        <v>0</v>
      </c>
      <c r="Q39" s="4">
        <f t="shared" ref="Q39" si="35">+Q38-Q37</f>
        <v>0</v>
      </c>
      <c r="R39" s="4">
        <f t="shared" si="33"/>
        <v>0</v>
      </c>
      <c r="S39" s="4">
        <f t="shared" si="33"/>
        <v>0</v>
      </c>
      <c r="T39" s="4">
        <f t="shared" si="33"/>
        <v>0</v>
      </c>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U40" s="88" t="str">
        <f>+IF(F40=0,"",ROUND(F40*F$4/(100+F$4),7)-N40)</f>
        <v/>
      </c>
      <c r="V40" s="88" t="str">
        <f>+IF(G40=0,"",ROUND(G40*G$4/(100+G$4),7)-O40)</f>
        <v/>
      </c>
      <c r="W40" s="88" t="str">
        <f>+IF(H40=0,"",ROUND(H40*H$4/(100+H$4),7)-P40)</f>
        <v/>
      </c>
      <c r="X40" s="88"/>
      <c r="Y40" s="88" t="str">
        <f>+IF(J40=0,"",ROUND(J40*J$4/(100+J$4),7)-R40)</f>
        <v/>
      </c>
      <c r="Z40" s="88"/>
      <c r="AA40" s="88"/>
      <c r="AB40" s="87" t="str">
        <f>+IF(SUM(U40:Y40)=0,"",SUM(U40:Y40))</f>
        <v/>
      </c>
      <c r="AC40" s="87"/>
      <c r="AD40" s="87"/>
    </row>
    <row r="41" spans="1:30">
      <c r="G41" s="273"/>
      <c r="H41" s="274"/>
      <c r="I41" s="272"/>
      <c r="J41" s="274"/>
      <c r="U41" s="88" t="str">
        <f>+IF(F41=0,"",ROUND(F41*F$4/(100+F$4),7)-N41)</f>
        <v/>
      </c>
      <c r="V41" s="88"/>
      <c r="W41" s="88"/>
      <c r="X41" s="88"/>
      <c r="Y41" s="88"/>
      <c r="Z41" s="88"/>
      <c r="AA41" s="88"/>
      <c r="AB41" s="87"/>
      <c r="AC41" s="87"/>
      <c r="AD41" s="87"/>
    </row>
    <row r="42" spans="1:30">
      <c r="G42" s="273"/>
      <c r="H42" s="274"/>
      <c r="I42" s="272"/>
      <c r="J42" s="274"/>
    </row>
    <row r="43" spans="1:30">
      <c r="G43" s="272"/>
      <c r="H43" s="272"/>
      <c r="I43" s="272"/>
      <c r="J43" s="272"/>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3"/>
  <conditionalFormatting sqref="AE5:AI29 AE31:AI36">
    <cfRule type="notContainsBlanks" dxfId="72" priority="5" stopIfTrue="1">
      <formula>LEN(TRIM(AE5))&gt;0</formula>
    </cfRule>
  </conditionalFormatting>
  <conditionalFormatting sqref="AE37:AI38">
    <cfRule type="notContainsBlanks" dxfId="71" priority="6" stopIfTrue="1">
      <formula>LEN(TRIM(AE37))&gt;0</formula>
    </cfRule>
  </conditionalFormatting>
  <conditionalFormatting sqref="Z5:AD29 Z31:AD36">
    <cfRule type="expression" dxfId="70" priority="4">
      <formula>ABS(Z5)=1</formula>
    </cfRule>
  </conditionalFormatting>
  <conditionalFormatting sqref="E39:T39">
    <cfRule type="cellIs" dxfId="69" priority="3" operator="notEqual">
      <formula>0</formula>
    </cfRule>
  </conditionalFormatting>
  <conditionalFormatting sqref="AE30:AI30">
    <cfRule type="notContainsBlanks" dxfId="68" priority="2" stopIfTrue="1">
      <formula>LEN(TRIM(AE30))&gt;0</formula>
    </cfRule>
  </conditionalFormatting>
  <conditionalFormatting sqref="Z30:AD30">
    <cfRule type="expression" dxfId="67" priority="1">
      <formula>ABS(Z30)=1</formula>
    </cfRule>
  </conditionalFormatting>
  <pageMargins left="0.39370078740157483" right="0.39370078740157483" top="0.78740157480314965" bottom="0.39370078740157483" header="0.39370078740157483" footer="0.19685039370078741"/>
  <pageSetup paperSize="9" scale="67" orientation="landscape" blackAndWhite="1" r:id="rId1"/>
  <headerFooter>
    <oddFooter>&amp;L&amp;8&amp;Z&amp;F&amp;A&amp;R&amp;8&amp;D&amp;T</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I42"/>
  <sheetViews>
    <sheetView zoomScale="70" zoomScaleNormal="70"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+'3条支出'!D1</f>
        <v>令和５年度決算　消費税算出資料</v>
      </c>
    </row>
    <row r="2" spans="1:35">
      <c r="D2" s="2" t="s">
        <v>413</v>
      </c>
      <c r="V2" s="122"/>
      <c r="W2" s="122"/>
      <c r="X2" s="261"/>
      <c r="Y2" s="122"/>
      <c r="Z2" s="122"/>
      <c r="AA2" s="122"/>
      <c r="AB2" s="122"/>
      <c r="AC2" s="261"/>
      <c r="AD2" s="122"/>
      <c r="AE2" s="122"/>
      <c r="AF2" s="122"/>
      <c r="AG2" s="122"/>
      <c r="AH2" s="261"/>
      <c r="AI2" s="122"/>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122"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177">
        <v>2</v>
      </c>
      <c r="B5" s="176" t="s">
        <v>412</v>
      </c>
      <c r="C5" s="175"/>
      <c r="D5" s="174" t="s">
        <v>112</v>
      </c>
      <c r="E5" s="170">
        <f>+IF($A5="",IF($C5="",SUMIFS(全伝票!I:I,全伝票!$B:$B,$B5),SUMIFS(全伝票!I:I,全伝票!$C:$C,$C5)),IF($C5="",SUMIFS(全伝票!I:I,全伝票!$A:$A,$A5,全伝票!$B:$B,$B5),SUMIFS(全伝票!I:I,全伝票!$A:$A,$A5,全伝票!$C:$C,$C5)))</f>
        <v>0</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275">
        <f>+IF($A5="",IF($C5="",SUMIFS(全伝票!L:L,全伝票!$B:$B,$B5),SUMIFS(全伝票!L:L,全伝票!$C:$C,$C5)),IF($C5="",SUMIFS(全伝票!L:L,全伝票!$A:$A,$A5,全伝票!$B:$B,$B5),SUMIFS(全伝票!L:L,全伝票!$A:$A,$A5,全伝票!$C:$C,$C5)))</f>
        <v>0</v>
      </c>
      <c r="I5" s="270">
        <f>+IF($A5="",IF($C5="",SUMIFS(全伝票!M:M,全伝票!$B:$B,$B5),SUMIFS(全伝票!M:M,全伝票!$C:$C,$C5)),IF($C5="",SUMIFS(全伝票!M:M,全伝票!$A:$A,$A5,全伝票!$B:$B,$B5),SUMIFS(全伝票!M:M,全伝票!$A:$A,$A5,全伝票!$C:$C,$C5)))</f>
        <v>0</v>
      </c>
      <c r="J5" s="171">
        <f>+IF($A5="",IF($C5="",SUMIFS(全伝票!N:N,全伝票!$B:$B,$B5),SUMIFS(全伝票!N:N,全伝票!$C:$C,$C5)),IF($C5="",SUMIFS(全伝票!N:N,全伝票!$A:$A,$A5,全伝票!$B:$B,$B5),SUMIFS(全伝票!N:N,全伝票!$A:$A,$A5,全伝票!$C:$C,$C5)))</f>
        <v>0</v>
      </c>
      <c r="K5" s="112">
        <f t="shared" ref="K5:K36" si="0">SUM(F5:J5)</f>
        <v>0</v>
      </c>
      <c r="L5" s="170">
        <f>+IF($A5="",IF($C5="",SUMIFS(全伝票!O:O,全伝票!$B:$B,$B5),SUMIFS(全伝票!O:O,全伝票!$C:$C,$C5)),IF($C5="",SUMIFS(全伝票!O:O,全伝票!$A:$A,$A5,全伝票!$B:$B,$B5),SUMIFS(全伝票!O:O,全伝票!$A:$A,$A5,全伝票!$C:$C,$C5)))</f>
        <v>0</v>
      </c>
      <c r="M5" s="277">
        <f>+IF($A5="",IF($C5="",SUMIFS(全伝票!P:P,全伝票!$B:$B,$B5),SUMIFS(全伝票!P:P,全伝票!$C:$C,$C5)),IF($C5="",SUMIFS(全伝票!P:P,全伝票!$A:$A,$A5,全伝票!$B:$B,$B5),SUMIFS(全伝票!P:P,全伝票!$A:$A,$A5,全伝票!$C:$C,$C5)))</f>
        <v>0</v>
      </c>
      <c r="N5" s="169">
        <f t="shared" ref="N5:N36" si="1">+ROUND(F5*F$4/(100+F$4),0)+AE5</f>
        <v>0</v>
      </c>
      <c r="O5" s="47">
        <f>+ROUND(G5*G$4/(100+G$4),0)+AF5</f>
        <v>0</v>
      </c>
      <c r="P5" s="47">
        <f t="shared" ref="P5:P36" si="2">+ROUND(H5*H$4/(100+H$4),0)+AG5</f>
        <v>0</v>
      </c>
      <c r="Q5" s="168">
        <f t="shared" ref="O5:Q36" si="3">+ROUND(I5*I$4/(100+I$4),0)+AH5</f>
        <v>0</v>
      </c>
      <c r="R5" s="168">
        <f t="shared" ref="R5:R36" si="4">+ROUND(J5*J$4/(100+J$4),0)+AI5</f>
        <v>0</v>
      </c>
      <c r="S5" s="167">
        <f t="shared" ref="S5:S36" si="5">SUM(N5:R5)</f>
        <v>0</v>
      </c>
      <c r="T5" s="166">
        <f t="shared" ref="T5:T36" si="6">+E5-S5</f>
        <v>0</v>
      </c>
      <c r="U5" s="107">
        <f t="shared" ref="U5:U36" si="7">N5-F5*F$4/(100+F$4)</f>
        <v>0</v>
      </c>
      <c r="V5" s="107">
        <f t="shared" ref="V5:V36" si="8">O5-G5*G$4/(100+G$4)</f>
        <v>0</v>
      </c>
      <c r="W5" s="107">
        <f t="shared" ref="W5:X36" si="9">P5-H5*H$4/(100+H$4)</f>
        <v>0</v>
      </c>
      <c r="X5" s="107">
        <f t="shared" si="9"/>
        <v>0</v>
      </c>
      <c r="Y5" s="107">
        <f t="shared" ref="Y5:Y36" si="10">R5-J5*J$4/(100+J$4)</f>
        <v>0</v>
      </c>
      <c r="Z5" s="106">
        <f t="shared" ref="Z5:Z36" si="11">+IF(N$39=0,0,IF(N$39&lt;0,-RANK(U5,U$5:U$36,0),RANK(U5,U$5:U$36,1)))</f>
        <v>0</v>
      </c>
      <c r="AA5" s="106">
        <f t="shared" ref="AA5:AA36" si="12">+IF(O$39=0,0,IF(O$39&lt;0,-RANK(V5,V$5:V$36,0),RANK(V5,V$5:V$36,1)))</f>
        <v>0</v>
      </c>
      <c r="AB5" s="106">
        <f t="shared" ref="AB5:AB36" si="13">+IF(P$39=0,0,IF(P$39&lt;0,-RANK(W5,W$5:W$36,0),RANK(W5,W$5:W$36,1)))</f>
        <v>0</v>
      </c>
      <c r="AC5" s="106">
        <f t="shared" ref="AC5:AC36" si="14">+IF(Q$39=0,0,IF(Q$39&lt;0,-RANK(X5,X$5:X$36,0),RANK(X5,X$5:X$36,1)))</f>
        <v>0</v>
      </c>
      <c r="AD5" s="106">
        <f t="shared" ref="AD5:AD36" si="15">+IF(R$39=0,0,IF(R$39&lt;0,-RANK(Y5,Y$5:Y$36,0),RANK(Y5,Y$5:Y$36,1)))</f>
        <v>0</v>
      </c>
    </row>
    <row r="6" spans="1:35">
      <c r="A6" s="165">
        <v>2</v>
      </c>
      <c r="B6" s="164" t="s">
        <v>411</v>
      </c>
      <c r="C6" s="163"/>
      <c r="D6" s="162" t="s">
        <v>110</v>
      </c>
      <c r="E6" s="158">
        <f>+IF($A6="",IF($C6="",SUMIFS(全伝票!I:I,全伝票!$B:$B,$B6),SUMIFS(全伝票!I:I,全伝票!$C:$C,$C6)),IF($C6="",SUMIFS(全伝票!I:I,全伝票!$A:$A,$A6,全伝票!$B:$B,$B6),SUMIFS(全伝票!I:I,全伝票!$A:$A,$A6,全伝票!$C:$C,$C6)))</f>
        <v>0</v>
      </c>
      <c r="F6" s="161">
        <f>+IF($A6="",IF($C6="",SUMIFS(全伝票!J:J,全伝票!$B:$B,$B6),SUMIFS(全伝票!J:J,全伝票!$C:$C,$C6)),IF($C6="",SUMIFS(全伝票!J:J,全伝票!$A:$A,$A6,全伝票!$B:$B,$B6),SUMIFS(全伝票!J:J,全伝票!$A:$A,$A6,全伝票!$C:$C,$C6)))</f>
        <v>0</v>
      </c>
      <c r="G6" s="160">
        <f>+IF($A6="",IF($C6="",SUMIFS(全伝票!K:K,全伝票!$B:$B,$B6),SUMIFS(全伝票!K:K,全伝票!$C:$C,$C6)),IF($C6="",SUMIFS(全伝票!K:K,全伝票!$A:$A,$A6,全伝票!$B:$B,$B6),SUMIFS(全伝票!K:K,全伝票!$A:$A,$A6,全伝票!$C:$C,$C6)))</f>
        <v>0</v>
      </c>
      <c r="H6" s="160">
        <f>+IF($A6="",IF($C6="",SUMIFS(全伝票!L:L,全伝票!$B:$B,$B6),SUMIFS(全伝票!L:L,全伝票!$C:$C,$C6)),IF($C6="",SUMIFS(全伝票!L:L,全伝票!$A:$A,$A6,全伝票!$B:$B,$B6),SUMIFS(全伝票!L:L,全伝票!$A:$A,$A6,全伝票!$C:$C,$C6)))</f>
        <v>0</v>
      </c>
      <c r="I6" s="159">
        <f>+IF($A6="",IF($C6="",SUMIFS(全伝票!M:M,全伝票!$B:$B,$B6),SUMIFS(全伝票!M:M,全伝票!$C:$C,$C6)),IF($C6="",SUMIFS(全伝票!M:M,全伝票!$A:$A,$A6,全伝票!$B:$B,$B6),SUMIFS(全伝票!M:M,全伝票!$A:$A,$A6,全伝票!$C:$C,$C6)))</f>
        <v>0</v>
      </c>
      <c r="J6" s="159">
        <f>+IF($A6="",IF($C6="",SUMIFS(全伝票!N:N,全伝票!$B:$B,$B6),SUMIFS(全伝票!N:N,全伝票!$C:$C,$C6)),IF($C6="",SUMIFS(全伝票!N:N,全伝票!$A:$A,$A6,全伝票!$B:$B,$B6),SUMIFS(全伝票!N:N,全伝票!$A:$A,$A6,全伝票!$C:$C,$C6)))</f>
        <v>0</v>
      </c>
      <c r="K6" s="34">
        <f t="shared" si="0"/>
        <v>0</v>
      </c>
      <c r="L6" s="158">
        <f>+IF($A6="",IF($C6="",SUMIFS(全伝票!O:O,全伝票!$B:$B,$B6),SUMIFS(全伝票!O:O,全伝票!$C:$C,$C6)),IF($C6="",SUMIFS(全伝票!O:O,全伝票!$A:$A,$A6,全伝票!$B:$B,$B6),SUMIFS(全伝票!O:O,全伝票!$A:$A,$A6,全伝票!$C:$C,$C6)))</f>
        <v>0</v>
      </c>
      <c r="M6" s="158">
        <f>+IF($A6="",IF($C6="",SUMIFS(全伝票!P:P,全伝票!$B:$B,$B6),SUMIFS(全伝票!P:P,全伝票!$C:$C,$C6)),IF($C6="",SUMIFS(全伝票!P:P,全伝票!$A:$A,$A6,全伝票!$B:$B,$B6),SUMIFS(全伝票!P:P,全伝票!$A:$A,$A6,全伝票!$C:$C,$C6)))</f>
        <v>0</v>
      </c>
      <c r="N6" s="108">
        <f t="shared" si="1"/>
        <v>0</v>
      </c>
      <c r="O6" s="25">
        <f t="shared" si="3"/>
        <v>0</v>
      </c>
      <c r="P6" s="25">
        <f t="shared" si="2"/>
        <v>0</v>
      </c>
      <c r="Q6" s="157">
        <f t="shared" si="3"/>
        <v>0</v>
      </c>
      <c r="R6" s="157">
        <f t="shared" si="4"/>
        <v>0</v>
      </c>
      <c r="S6" s="22">
        <f t="shared" si="5"/>
        <v>0</v>
      </c>
      <c r="T6" s="109">
        <f t="shared" si="6"/>
        <v>0</v>
      </c>
      <c r="U6" s="107">
        <f t="shared" si="7"/>
        <v>0</v>
      </c>
      <c r="V6" s="107">
        <f t="shared" si="8"/>
        <v>0</v>
      </c>
      <c r="W6" s="107">
        <f t="shared" si="9"/>
        <v>0</v>
      </c>
      <c r="X6" s="107">
        <f t="shared" si="9"/>
        <v>0</v>
      </c>
      <c r="Y6" s="107">
        <f t="shared" si="10"/>
        <v>0</v>
      </c>
      <c r="Z6" s="106">
        <f t="shared" si="11"/>
        <v>0</v>
      </c>
      <c r="AA6" s="106">
        <f t="shared" si="12"/>
        <v>0</v>
      </c>
      <c r="AB6" s="106">
        <f t="shared" si="13"/>
        <v>0</v>
      </c>
      <c r="AC6" s="106">
        <f t="shared" si="14"/>
        <v>0</v>
      </c>
      <c r="AD6" s="106">
        <f t="shared" si="15"/>
        <v>0</v>
      </c>
    </row>
    <row r="7" spans="1:35">
      <c r="A7" s="165">
        <v>2</v>
      </c>
      <c r="B7" s="164" t="s">
        <v>410</v>
      </c>
      <c r="C7" s="163"/>
      <c r="D7" s="162" t="s">
        <v>108</v>
      </c>
      <c r="E7" s="158">
        <f>+IF($A7="",IF($C7="",SUMIFS(全伝票!I:I,全伝票!$B:$B,$B7),SUMIFS(全伝票!I:I,全伝票!$C:$C,$C7)),IF($C7="",SUMIFS(全伝票!I:I,全伝票!$A:$A,$A7,全伝票!$B:$B,$B7),SUMIFS(全伝票!I:I,全伝票!$A:$A,$A7,全伝票!$C:$C,$C7)))</f>
        <v>0</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59">
        <f>+IF($A7="",IF($C7="",SUMIFS(全伝票!M:M,全伝票!$B:$B,$B7),SUMIFS(全伝票!M:M,全伝票!$C:$C,$C7)),IF($C7="",SUMIFS(全伝票!M:M,全伝票!$A:$A,$A7,全伝票!$B:$B,$B7),SUMIFS(全伝票!M:M,全伝票!$A:$A,$A7,全伝票!$C:$C,$C7)))</f>
        <v>0</v>
      </c>
      <c r="J7" s="159">
        <f>+IF($A7="",IF($C7="",SUMIFS(全伝票!N:N,全伝票!$B:$B,$B7),SUMIFS(全伝票!N:N,全伝票!$C:$C,$C7)),IF($C7="",SUMIFS(全伝票!N:N,全伝票!$A:$A,$A7,全伝票!$B:$B,$B7),SUMIFS(全伝票!N:N,全伝票!$A:$A,$A7,全伝票!$C:$C,$C7)))</f>
        <v>0</v>
      </c>
      <c r="K7" s="34">
        <f t="shared" si="0"/>
        <v>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0</v>
      </c>
      <c r="N7" s="108">
        <f t="shared" si="1"/>
        <v>0</v>
      </c>
      <c r="O7" s="25">
        <f t="shared" si="3"/>
        <v>0</v>
      </c>
      <c r="P7" s="25">
        <f t="shared" si="2"/>
        <v>0</v>
      </c>
      <c r="Q7" s="157">
        <f t="shared" si="3"/>
        <v>0</v>
      </c>
      <c r="R7" s="157">
        <f t="shared" si="4"/>
        <v>0</v>
      </c>
      <c r="S7" s="22">
        <f t="shared" si="5"/>
        <v>0</v>
      </c>
      <c r="T7" s="109">
        <f t="shared" si="6"/>
        <v>0</v>
      </c>
      <c r="U7" s="107">
        <f t="shared" si="7"/>
        <v>0</v>
      </c>
      <c r="V7" s="107">
        <f t="shared" si="8"/>
        <v>0</v>
      </c>
      <c r="W7" s="107">
        <f t="shared" si="9"/>
        <v>0</v>
      </c>
      <c r="X7" s="107">
        <f t="shared" si="9"/>
        <v>0</v>
      </c>
      <c r="Y7" s="107">
        <f t="shared" si="10"/>
        <v>0</v>
      </c>
      <c r="Z7" s="106">
        <f t="shared" si="11"/>
        <v>0</v>
      </c>
      <c r="AA7" s="106">
        <f t="shared" si="12"/>
        <v>0</v>
      </c>
      <c r="AB7" s="106">
        <f t="shared" si="13"/>
        <v>0</v>
      </c>
      <c r="AC7" s="106">
        <f t="shared" si="14"/>
        <v>0</v>
      </c>
      <c r="AD7" s="106">
        <f t="shared" si="15"/>
        <v>0</v>
      </c>
    </row>
    <row r="8" spans="1:35">
      <c r="A8" s="165">
        <v>2</v>
      </c>
      <c r="B8" s="164" t="s">
        <v>409</v>
      </c>
      <c r="C8" s="163"/>
      <c r="D8" s="162" t="s">
        <v>106</v>
      </c>
      <c r="E8" s="158">
        <f>+IF($A8="",IF($C8="",SUMIFS(全伝票!I:I,全伝票!$B:$B,$B8),SUMIFS(全伝票!I:I,全伝票!$C:$C,$C8)),IF($C8="",SUMIFS(全伝票!I:I,全伝票!$A:$A,$A8,全伝票!$B:$B,$B8),SUMIFS(全伝票!I:I,全伝票!$A:$A,$A8,全伝票!$C:$C,$C8)))</f>
        <v>0</v>
      </c>
      <c r="F8" s="161">
        <f>+IF($A8="",IF($C8="",SUMIFS(全伝票!J:J,全伝票!$B:$B,$B8),SUMIFS(全伝票!J:J,全伝票!$C:$C,$C8)),IF($C8="",SUMIFS(全伝票!J:J,全伝票!$A:$A,$A8,全伝票!$B:$B,$B8),SUMIFS(全伝票!J:J,全伝票!$A:$A,$A8,全伝票!$C:$C,$C8)))</f>
        <v>0</v>
      </c>
      <c r="G8" s="160">
        <f>+IF($A8="",IF($C8="",SUMIFS(全伝票!K:K,全伝票!$B:$B,$B8),SUMIFS(全伝票!K:K,全伝票!$C:$C,$C8)),IF($C8="",SUMIFS(全伝票!K:K,全伝票!$A:$A,$A8,全伝票!$B:$B,$B8),SUMIFS(全伝票!K:K,全伝票!$A:$A,$A8,全伝票!$C:$C,$C8)))</f>
        <v>0</v>
      </c>
      <c r="H8" s="160">
        <f>+IF($A8="",IF($C8="",SUMIFS(全伝票!L:L,全伝票!$B:$B,$B8),SUMIFS(全伝票!L:L,全伝票!$C:$C,$C8)),IF($C8="",SUMIFS(全伝票!L:L,全伝票!$A:$A,$A8,全伝票!$B:$B,$B8),SUMIFS(全伝票!L:L,全伝票!$A:$A,$A8,全伝票!$C:$C,$C8)))</f>
        <v>0</v>
      </c>
      <c r="I8" s="159">
        <f>+IF($A8="",IF($C8="",SUMIFS(全伝票!M:M,全伝票!$B:$B,$B8),SUMIFS(全伝票!M:M,全伝票!$C:$C,$C8)),IF($C8="",SUMIFS(全伝票!M:M,全伝票!$A:$A,$A8,全伝票!$B:$B,$B8),SUMIFS(全伝票!M:M,全伝票!$A:$A,$A8,全伝票!$C:$C,$C8)))</f>
        <v>0</v>
      </c>
      <c r="J8" s="159">
        <f>+IF($A8="",IF($C8="",SUMIFS(全伝票!N:N,全伝票!$B:$B,$B8),SUMIFS(全伝票!N:N,全伝票!$C:$C,$C8)),IF($C8="",SUMIFS(全伝票!N:N,全伝票!$A:$A,$A8,全伝票!$B:$B,$B8),SUMIFS(全伝票!N:N,全伝票!$A:$A,$A8,全伝票!$C:$C,$C8)))</f>
        <v>0</v>
      </c>
      <c r="K8" s="34">
        <f t="shared" si="0"/>
        <v>0</v>
      </c>
      <c r="L8" s="158">
        <f>+IF($A8="",IF($C8="",SUMIFS(全伝票!O:O,全伝票!$B:$B,$B8),SUMIFS(全伝票!O:O,全伝票!$C:$C,$C8)),IF($C8="",SUMIFS(全伝票!O:O,全伝票!$A:$A,$A8,全伝票!$B:$B,$B8),SUMIFS(全伝票!O:O,全伝票!$A:$A,$A8,全伝票!$C:$C,$C8)))</f>
        <v>0</v>
      </c>
      <c r="M8" s="158">
        <f>+IF($A8="",IF($C8="",SUMIFS(全伝票!P:P,全伝票!$B:$B,$B8),SUMIFS(全伝票!P:P,全伝票!$C:$C,$C8)),IF($C8="",SUMIFS(全伝票!P:P,全伝票!$A:$A,$A8,全伝票!$B:$B,$B8),SUMIFS(全伝票!P:P,全伝票!$A:$A,$A8,全伝票!$C:$C,$C8)))</f>
        <v>0</v>
      </c>
      <c r="N8" s="108">
        <f t="shared" si="1"/>
        <v>0</v>
      </c>
      <c r="O8" s="25">
        <f t="shared" si="3"/>
        <v>0</v>
      </c>
      <c r="P8" s="25">
        <f t="shared" si="2"/>
        <v>0</v>
      </c>
      <c r="Q8" s="157">
        <f t="shared" si="3"/>
        <v>0</v>
      </c>
      <c r="R8" s="157">
        <f t="shared" si="4"/>
        <v>0</v>
      </c>
      <c r="S8" s="22">
        <f t="shared" si="5"/>
        <v>0</v>
      </c>
      <c r="T8" s="109">
        <f t="shared" si="6"/>
        <v>0</v>
      </c>
      <c r="U8" s="107">
        <f t="shared" si="7"/>
        <v>0</v>
      </c>
      <c r="V8" s="107">
        <f t="shared" si="8"/>
        <v>0</v>
      </c>
      <c r="W8" s="107">
        <f t="shared" si="9"/>
        <v>0</v>
      </c>
      <c r="X8" s="107">
        <f t="shared" si="9"/>
        <v>0</v>
      </c>
      <c r="Y8" s="107">
        <f t="shared" si="10"/>
        <v>0</v>
      </c>
      <c r="Z8" s="106">
        <f t="shared" si="11"/>
        <v>0</v>
      </c>
      <c r="AA8" s="106">
        <f t="shared" si="12"/>
        <v>0</v>
      </c>
      <c r="AB8" s="106">
        <f t="shared" si="13"/>
        <v>0</v>
      </c>
      <c r="AC8" s="106">
        <f t="shared" si="14"/>
        <v>0</v>
      </c>
      <c r="AD8" s="106">
        <f t="shared" si="15"/>
        <v>0</v>
      </c>
    </row>
    <row r="9" spans="1:35">
      <c r="A9" s="165">
        <v>2</v>
      </c>
      <c r="B9" s="164" t="s">
        <v>408</v>
      </c>
      <c r="C9" s="163"/>
      <c r="D9" s="162" t="s">
        <v>104</v>
      </c>
      <c r="E9" s="158">
        <f>+IF($A9="",IF($C9="",SUMIFS(全伝票!I:I,全伝票!$B:$B,$B9),SUMIFS(全伝票!I:I,全伝票!$C:$C,$C9)),IF($C9="",SUMIFS(全伝票!I:I,全伝票!$A:$A,$A9,全伝票!$B:$B,$B9),SUMIFS(全伝票!I:I,全伝票!$A:$A,$A9,全伝票!$C:$C,$C9)))</f>
        <v>0</v>
      </c>
      <c r="F9" s="161">
        <f>+IF($A9="",IF($C9="",SUMIFS(全伝票!J:J,全伝票!$B:$B,$B9),SUMIFS(全伝票!J:J,全伝票!$C:$C,$C9)),IF($C9="",SUMIFS(全伝票!J:J,全伝票!$A:$A,$A9,全伝票!$B:$B,$B9),SUMIFS(全伝票!J:J,全伝票!$A:$A,$A9,全伝票!$C:$C,$C9)))</f>
        <v>0</v>
      </c>
      <c r="G9" s="160">
        <f>+IF($A9="",IF($C9="",SUMIFS(全伝票!K:K,全伝票!$B:$B,$B9),SUMIFS(全伝票!K:K,全伝票!$C:$C,$C9)),IF($C9="",SUMIFS(全伝票!K:K,全伝票!$A:$A,$A9,全伝票!$B:$B,$B9),SUMIFS(全伝票!K:K,全伝票!$A:$A,$A9,全伝票!$C:$C,$C9)))</f>
        <v>0</v>
      </c>
      <c r="H9" s="160">
        <f>+IF($A9="",IF($C9="",SUMIFS(全伝票!L:L,全伝票!$B:$B,$B9),SUMIFS(全伝票!L:L,全伝票!$C:$C,$C9)),IF($C9="",SUMIFS(全伝票!L:L,全伝票!$A:$A,$A9,全伝票!$B:$B,$B9),SUMIFS(全伝票!L:L,全伝票!$A:$A,$A9,全伝票!$C:$C,$C9)))</f>
        <v>0</v>
      </c>
      <c r="I9" s="159">
        <f>+IF($A9="",IF($C9="",SUMIFS(全伝票!M:M,全伝票!$B:$B,$B9),SUMIFS(全伝票!M:M,全伝票!$C:$C,$C9)),IF($C9="",SUMIFS(全伝票!M:M,全伝票!$A:$A,$A9,全伝票!$B:$B,$B9),SUMIFS(全伝票!M:M,全伝票!$A:$A,$A9,全伝票!$C:$C,$C9)))</f>
        <v>0</v>
      </c>
      <c r="J9" s="159">
        <f>+IF($A9="",IF($C9="",SUMIFS(全伝票!N:N,全伝票!$B:$B,$B9),SUMIFS(全伝票!N:N,全伝票!$C:$C,$C9)),IF($C9="",SUMIFS(全伝票!N:N,全伝票!$A:$A,$A9,全伝票!$B:$B,$B9),SUMIFS(全伝票!N:N,全伝票!$A:$A,$A9,全伝票!$C:$C,$C9)))</f>
        <v>0</v>
      </c>
      <c r="K9" s="34">
        <f t="shared" si="0"/>
        <v>0</v>
      </c>
      <c r="L9" s="158">
        <f>+IF($A9="",IF($C9="",SUMIFS(全伝票!O:O,全伝票!$B:$B,$B9),SUMIFS(全伝票!O:O,全伝票!$C:$C,$C9)),IF($C9="",SUMIFS(全伝票!O:O,全伝票!$A:$A,$A9,全伝票!$B:$B,$B9),SUMIFS(全伝票!O:O,全伝票!$A:$A,$A9,全伝票!$C:$C,$C9)))</f>
        <v>0</v>
      </c>
      <c r="M9" s="158">
        <f>+IF($A9="",IF($C9="",SUMIFS(全伝票!P:P,全伝票!$B:$B,$B9),SUMIFS(全伝票!P:P,全伝票!$C:$C,$C9)),IF($C9="",SUMIFS(全伝票!P:P,全伝票!$A:$A,$A9,全伝票!$B:$B,$B9),SUMIFS(全伝票!P:P,全伝票!$A:$A,$A9,全伝票!$C:$C,$C9)))</f>
        <v>0</v>
      </c>
      <c r="N9" s="108">
        <f t="shared" si="1"/>
        <v>0</v>
      </c>
      <c r="O9" s="25">
        <f t="shared" si="3"/>
        <v>0</v>
      </c>
      <c r="P9" s="25">
        <f t="shared" si="2"/>
        <v>0</v>
      </c>
      <c r="Q9" s="157">
        <f t="shared" si="3"/>
        <v>0</v>
      </c>
      <c r="R9" s="157">
        <f t="shared" si="4"/>
        <v>0</v>
      </c>
      <c r="S9" s="22">
        <f t="shared" si="5"/>
        <v>0</v>
      </c>
      <c r="T9" s="109">
        <f t="shared" si="6"/>
        <v>0</v>
      </c>
      <c r="U9" s="107">
        <f t="shared" si="7"/>
        <v>0</v>
      </c>
      <c r="V9" s="107">
        <f t="shared" si="8"/>
        <v>0</v>
      </c>
      <c r="W9" s="107">
        <f t="shared" si="9"/>
        <v>0</v>
      </c>
      <c r="X9" s="107">
        <f t="shared" si="9"/>
        <v>0</v>
      </c>
      <c r="Y9" s="107">
        <f t="shared" si="10"/>
        <v>0</v>
      </c>
      <c r="Z9" s="106">
        <f t="shared" si="11"/>
        <v>0</v>
      </c>
      <c r="AA9" s="106">
        <f t="shared" si="12"/>
        <v>0</v>
      </c>
      <c r="AB9" s="106">
        <f t="shared" si="13"/>
        <v>0</v>
      </c>
      <c r="AC9" s="106">
        <f t="shared" si="14"/>
        <v>0</v>
      </c>
      <c r="AD9" s="106">
        <f t="shared" si="15"/>
        <v>0</v>
      </c>
    </row>
    <row r="10" spans="1:35">
      <c r="A10" s="165">
        <v>2</v>
      </c>
      <c r="B10" s="164" t="s">
        <v>407</v>
      </c>
      <c r="C10" s="163"/>
      <c r="D10" s="162" t="s">
        <v>102</v>
      </c>
      <c r="E10" s="158">
        <f>+IF($A10="",IF($C10="",SUMIFS(全伝票!I:I,全伝票!$B:$B,$B10),SUMIFS(全伝票!I:I,全伝票!$C:$C,$C10)),IF($C10="",SUMIFS(全伝票!I:I,全伝票!$A:$A,$A10,全伝票!$B:$B,$B10),SUMIFS(全伝票!I:I,全伝票!$A:$A,$A10,全伝票!$C:$C,$C10)))</f>
        <v>0</v>
      </c>
      <c r="F10" s="161">
        <f>+IF($A10="",IF($C10="",SUMIFS(全伝票!J:J,全伝票!$B:$B,$B10),SUMIFS(全伝票!J:J,全伝票!$C:$C,$C10)),IF($C10="",SUMIFS(全伝票!J:J,全伝票!$A:$A,$A10,全伝票!$B:$B,$B10),SUMIFS(全伝票!J:J,全伝票!$A:$A,$A10,全伝票!$C:$C,$C10)))</f>
        <v>0</v>
      </c>
      <c r="G10" s="160">
        <f>+IF($A10="",IF($C10="",SUMIFS(全伝票!K:K,全伝票!$B:$B,$B10),SUMIFS(全伝票!K:K,全伝票!$C:$C,$C10)),IF($C10="",SUMIFS(全伝票!K:K,全伝票!$A:$A,$A10,全伝票!$B:$B,$B10),SUMIFS(全伝票!K:K,全伝票!$A:$A,$A10,全伝票!$C:$C,$C10)))</f>
        <v>0</v>
      </c>
      <c r="H10" s="276">
        <f>+IF($A10="",IF($C10="",SUMIFS(全伝票!L:L,全伝票!$B:$B,$B10),SUMIFS(全伝票!L:L,全伝票!$C:$C,$C10)),IF($C10="",SUMIFS(全伝票!L:L,全伝票!$A:$A,$A10,全伝票!$B:$B,$B10),SUMIFS(全伝票!L:L,全伝票!$A:$A,$A10,全伝票!$C:$C,$C10)))</f>
        <v>0</v>
      </c>
      <c r="I10" s="271">
        <f>+IF($A10="",IF($C10="",SUMIFS(全伝票!M:M,全伝票!$B:$B,$B10),SUMIFS(全伝票!M:M,全伝票!$C:$C,$C10)),IF($C10="",SUMIFS(全伝票!M:M,全伝票!$A:$A,$A10,全伝票!$B:$B,$B10),SUMIFS(全伝票!M:M,全伝票!$A:$A,$A10,全伝票!$C:$C,$C10)))</f>
        <v>0</v>
      </c>
      <c r="J10" s="159">
        <f>+IF($A10="",IF($C10="",SUMIFS(全伝票!N:N,全伝票!$B:$B,$B10),SUMIFS(全伝票!N:N,全伝票!$C:$C,$C10)),IF($C10="",SUMIFS(全伝票!N:N,全伝票!$A:$A,$A10,全伝票!$B:$B,$B10),SUMIFS(全伝票!N:N,全伝票!$A:$A,$A10,全伝票!$C:$C,$C10)))</f>
        <v>0</v>
      </c>
      <c r="K10" s="34">
        <f t="shared" si="0"/>
        <v>0</v>
      </c>
      <c r="L10" s="158">
        <f>+IF($A10="",IF($C10="",SUMIFS(全伝票!O:O,全伝票!$B:$B,$B10),SUMIFS(全伝票!O:O,全伝票!$C:$C,$C10)),IF($C10="",SUMIFS(全伝票!O:O,全伝票!$A:$A,$A10,全伝票!$B:$B,$B10),SUMIFS(全伝票!O:O,全伝票!$A:$A,$A10,全伝票!$C:$C,$C10)))</f>
        <v>0</v>
      </c>
      <c r="M10" s="278">
        <f>+IF($A10="",IF($C10="",SUMIFS(全伝票!P:P,全伝票!$B:$B,$B10),SUMIFS(全伝票!P:P,全伝票!$C:$C,$C10)),IF($C10="",SUMIFS(全伝票!P:P,全伝票!$A:$A,$A10,全伝票!$B:$B,$B10),SUMIFS(全伝票!P:P,全伝票!$A:$A,$A10,全伝票!$C:$C,$C10)))</f>
        <v>0</v>
      </c>
      <c r="N10" s="108">
        <f t="shared" si="1"/>
        <v>0</v>
      </c>
      <c r="O10" s="25">
        <f t="shared" si="3"/>
        <v>0</v>
      </c>
      <c r="P10" s="25">
        <f t="shared" si="2"/>
        <v>0</v>
      </c>
      <c r="Q10" s="157">
        <f t="shared" si="3"/>
        <v>0</v>
      </c>
      <c r="R10" s="157">
        <f t="shared" si="4"/>
        <v>0</v>
      </c>
      <c r="S10" s="22">
        <f t="shared" si="5"/>
        <v>0</v>
      </c>
      <c r="T10" s="109">
        <f t="shared" si="6"/>
        <v>0</v>
      </c>
      <c r="U10" s="107">
        <f t="shared" si="7"/>
        <v>0</v>
      </c>
      <c r="V10" s="107">
        <f t="shared" si="8"/>
        <v>0</v>
      </c>
      <c r="W10" s="107">
        <f t="shared" si="9"/>
        <v>0</v>
      </c>
      <c r="X10" s="107">
        <f t="shared" si="9"/>
        <v>0</v>
      </c>
      <c r="Y10" s="107">
        <f t="shared" si="10"/>
        <v>0</v>
      </c>
      <c r="Z10" s="106">
        <f t="shared" si="11"/>
        <v>0</v>
      </c>
      <c r="AA10" s="106">
        <f t="shared" si="12"/>
        <v>0</v>
      </c>
      <c r="AB10" s="106">
        <f t="shared" si="13"/>
        <v>0</v>
      </c>
      <c r="AC10" s="106">
        <f t="shared" si="14"/>
        <v>0</v>
      </c>
      <c r="AD10" s="106">
        <f t="shared" si="15"/>
        <v>0</v>
      </c>
    </row>
    <row r="11" spans="1:35">
      <c r="A11" s="165">
        <v>2</v>
      </c>
      <c r="B11" s="164" t="s">
        <v>406</v>
      </c>
      <c r="C11" s="163"/>
      <c r="D11" s="162" t="s">
        <v>100</v>
      </c>
      <c r="E11" s="158">
        <f>+IF($A11="",IF($C11="",SUMIFS(全伝票!I:I,全伝票!$B:$B,$B11),SUMIFS(全伝票!I:I,全伝票!$C:$C,$C11)),IF($C11="",SUMIFS(全伝票!I:I,全伝票!$A:$A,$A11,全伝票!$B:$B,$B11),SUMIFS(全伝票!I:I,全伝票!$A:$A,$A11,全伝票!$C:$C,$C11)))</f>
        <v>0</v>
      </c>
      <c r="F11" s="161">
        <f>+IF($A11="",IF($C11="",SUMIFS(全伝票!J:J,全伝票!$B:$B,$B11),SUMIFS(全伝票!J:J,全伝票!$C:$C,$C11)),IF($C11="",SUMIFS(全伝票!J:J,全伝票!$A:$A,$A11,全伝票!$B:$B,$B11),SUMIFS(全伝票!J:J,全伝票!$A:$A,$A11,全伝票!$C:$C,$C11)))</f>
        <v>0</v>
      </c>
      <c r="G11" s="160">
        <f>+IF($A11="",IF($C11="",SUMIFS(全伝票!K:K,全伝票!$B:$B,$B11),SUMIFS(全伝票!K:K,全伝票!$C:$C,$C11)),IF($C11="",SUMIFS(全伝票!K:K,全伝票!$A:$A,$A11,全伝票!$B:$B,$B11),SUMIFS(全伝票!K:K,全伝票!$A:$A,$A11,全伝票!$C:$C,$C11)))</f>
        <v>0</v>
      </c>
      <c r="H11" s="160">
        <f>+IF($A11="",IF($C11="",SUMIFS(全伝票!L:L,全伝票!$B:$B,$B11),SUMIFS(全伝票!L:L,全伝票!$C:$C,$C11)),IF($C11="",SUMIFS(全伝票!L:L,全伝票!$A:$A,$A11,全伝票!$B:$B,$B11),SUMIFS(全伝票!L:L,全伝票!$A:$A,$A11,全伝票!$C:$C,$C11)))</f>
        <v>0</v>
      </c>
      <c r="I11" s="159">
        <f>+IF($A11="",IF($C11="",SUMIFS(全伝票!M:M,全伝票!$B:$B,$B11),SUMIFS(全伝票!M:M,全伝票!$C:$C,$C11)),IF($C11="",SUMIFS(全伝票!M:M,全伝票!$A:$A,$A11,全伝票!$B:$B,$B11),SUMIFS(全伝票!M:M,全伝票!$A:$A,$A11,全伝票!$C:$C,$C11)))</f>
        <v>0</v>
      </c>
      <c r="J11" s="159">
        <f>+IF($A11="",IF($C11="",SUMIFS(全伝票!N:N,全伝票!$B:$B,$B11),SUMIFS(全伝票!N:N,全伝票!$C:$C,$C11)),IF($C11="",SUMIFS(全伝票!N:N,全伝票!$A:$A,$A11,全伝票!$B:$B,$B11),SUMIFS(全伝票!N:N,全伝票!$A:$A,$A11,全伝票!$C:$C,$C11)))</f>
        <v>0</v>
      </c>
      <c r="K11" s="34">
        <f t="shared" si="0"/>
        <v>0</v>
      </c>
      <c r="L11" s="158">
        <f>+IF($A11="",IF($C11="",SUMIFS(全伝票!O:O,全伝票!$B:$B,$B11),SUMIFS(全伝票!O:O,全伝票!$C:$C,$C11)),IF($C11="",SUMIFS(全伝票!O:O,全伝票!$A:$A,$A11,全伝票!$B:$B,$B11),SUMIFS(全伝票!O:O,全伝票!$A:$A,$A11,全伝票!$C:$C,$C11)))</f>
        <v>0</v>
      </c>
      <c r="M11" s="158">
        <f>+IF($A11="",IF($C11="",SUMIFS(全伝票!P:P,全伝票!$B:$B,$B11),SUMIFS(全伝票!P:P,全伝票!$C:$C,$C11)),IF($C11="",SUMIFS(全伝票!P:P,全伝票!$A:$A,$A11,全伝票!$B:$B,$B11),SUMIFS(全伝票!P:P,全伝票!$A:$A,$A11,全伝票!$C:$C,$C11)))</f>
        <v>0</v>
      </c>
      <c r="N11" s="108">
        <f t="shared" si="1"/>
        <v>0</v>
      </c>
      <c r="O11" s="25">
        <f t="shared" si="3"/>
        <v>0</v>
      </c>
      <c r="P11" s="25">
        <f t="shared" si="2"/>
        <v>0</v>
      </c>
      <c r="Q11" s="157">
        <f t="shared" si="3"/>
        <v>0</v>
      </c>
      <c r="R11" s="157">
        <f t="shared" si="4"/>
        <v>0</v>
      </c>
      <c r="S11" s="22">
        <f t="shared" si="5"/>
        <v>0</v>
      </c>
      <c r="T11" s="109">
        <f t="shared" si="6"/>
        <v>0</v>
      </c>
      <c r="U11" s="107">
        <f t="shared" si="7"/>
        <v>0</v>
      </c>
      <c r="V11" s="107">
        <f t="shared" si="8"/>
        <v>0</v>
      </c>
      <c r="W11" s="107">
        <f t="shared" si="9"/>
        <v>0</v>
      </c>
      <c r="X11" s="107">
        <f t="shared" si="9"/>
        <v>0</v>
      </c>
      <c r="Y11" s="107">
        <f t="shared" si="10"/>
        <v>0</v>
      </c>
      <c r="Z11" s="106">
        <f t="shared" si="11"/>
        <v>0</v>
      </c>
      <c r="AA11" s="106">
        <f t="shared" si="12"/>
        <v>0</v>
      </c>
      <c r="AB11" s="106">
        <f t="shared" si="13"/>
        <v>0</v>
      </c>
      <c r="AC11" s="106">
        <f t="shared" si="14"/>
        <v>0</v>
      </c>
      <c r="AD11" s="106">
        <f t="shared" si="15"/>
        <v>0</v>
      </c>
    </row>
    <row r="12" spans="1:35">
      <c r="A12" s="165">
        <v>2</v>
      </c>
      <c r="B12" s="164" t="s">
        <v>404</v>
      </c>
      <c r="C12" s="163" t="s">
        <v>405</v>
      </c>
      <c r="D12" s="162" t="s">
        <v>98</v>
      </c>
      <c r="E12" s="158">
        <f>+IF($A12="",IF($C12="",SUMIFS(全伝票!I:I,全伝票!$B:$B,$B12),SUMIFS(全伝票!I:I,全伝票!$C:$C,$C12)),IF($C12="",SUMIFS(全伝票!I:I,全伝票!$A:$A,$A12,全伝票!$B:$B,$B12),SUMIFS(全伝票!I:I,全伝票!$A:$A,$A12,全伝票!$C:$C,$C12)))</f>
        <v>3331</v>
      </c>
      <c r="F12" s="161">
        <f>+IF($A12="",IF($C12="",SUMIFS(全伝票!J:J,全伝票!$B:$B,$B12),SUMIFS(全伝票!J:J,全伝票!$C:$C,$C12)),IF($C12="",SUMIFS(全伝票!J:J,全伝票!$A:$A,$A12,全伝票!$B:$B,$B12),SUMIFS(全伝票!J:J,全伝票!$A:$A,$A12,全伝票!$C:$C,$C12)))</f>
        <v>0</v>
      </c>
      <c r="G12" s="160">
        <f>+IF($A12="",IF($C12="",SUMIFS(全伝票!K:K,全伝票!$B:$B,$B12),SUMIFS(全伝票!K:K,全伝票!$C:$C,$C12)),IF($C12="",SUMIFS(全伝票!K:K,全伝票!$A:$A,$A12,全伝票!$B:$B,$B12),SUMIFS(全伝票!K:K,全伝票!$A:$A,$A12,全伝票!$C:$C,$C12)))</f>
        <v>0</v>
      </c>
      <c r="H12" s="160">
        <f>+IF($A12="",IF($C12="",SUMIFS(全伝票!L:L,全伝票!$B:$B,$B12),SUMIFS(全伝票!L:L,全伝票!$C:$C,$C12)),IF($C12="",SUMIFS(全伝票!L:L,全伝票!$A:$A,$A12,全伝票!$B:$B,$B12),SUMIFS(全伝票!L:L,全伝票!$A:$A,$A12,全伝票!$C:$C,$C12)))</f>
        <v>0</v>
      </c>
      <c r="I12" s="159">
        <f>+IF($A12="",IF($C12="",SUMIFS(全伝票!M:M,全伝票!$B:$B,$B12),SUMIFS(全伝票!M:M,全伝票!$C:$C,$C12)),IF($C12="",SUMIFS(全伝票!M:M,全伝票!$A:$A,$A12,全伝票!$B:$B,$B12),SUMIFS(全伝票!M:M,全伝票!$A:$A,$A12,全伝票!$C:$C,$C12)))</f>
        <v>0</v>
      </c>
      <c r="J12" s="159">
        <f>+IF($A12="",IF($C12="",SUMIFS(全伝票!N:N,全伝票!$B:$B,$B12),SUMIFS(全伝票!N:N,全伝票!$C:$C,$C12)),IF($C12="",SUMIFS(全伝票!N:N,全伝票!$A:$A,$A12,全伝票!$B:$B,$B12),SUMIFS(全伝票!N:N,全伝票!$A:$A,$A12,全伝票!$C:$C,$C12)))</f>
        <v>3331</v>
      </c>
      <c r="K12" s="34">
        <f t="shared" si="0"/>
        <v>3331</v>
      </c>
      <c r="L12" s="158">
        <f>+IF($A12="",IF($C12="",SUMIFS(全伝票!O:O,全伝票!$B:$B,$B12),SUMIFS(全伝票!O:O,全伝票!$C:$C,$C12)),IF($C12="",SUMIFS(全伝票!O:O,全伝票!$A:$A,$A12,全伝票!$B:$B,$B12),SUMIFS(全伝票!O:O,全伝票!$A:$A,$A12,全伝票!$C:$C,$C12)))</f>
        <v>0</v>
      </c>
      <c r="M12" s="158">
        <f>+IF($A12="",IF($C12="",SUMIFS(全伝票!P:P,全伝票!$B:$B,$B12),SUMIFS(全伝票!P:P,全伝票!$C:$C,$C12)),IF($C12="",SUMIFS(全伝票!P:P,全伝票!$A:$A,$A12,全伝票!$B:$B,$B12),SUMIFS(全伝票!P:P,全伝票!$A:$A,$A12,全伝票!$C:$C,$C12)))</f>
        <v>0</v>
      </c>
      <c r="N12" s="108">
        <f t="shared" si="1"/>
        <v>0</v>
      </c>
      <c r="O12" s="25">
        <f t="shared" si="3"/>
        <v>0</v>
      </c>
      <c r="P12" s="25">
        <f t="shared" si="2"/>
        <v>0</v>
      </c>
      <c r="Q12" s="157">
        <f t="shared" si="3"/>
        <v>0</v>
      </c>
      <c r="R12" s="157">
        <f t="shared" si="4"/>
        <v>303</v>
      </c>
      <c r="S12" s="22">
        <f t="shared" si="5"/>
        <v>303</v>
      </c>
      <c r="T12" s="109">
        <f t="shared" si="6"/>
        <v>3028</v>
      </c>
      <c r="U12" s="107">
        <f t="shared" si="7"/>
        <v>0</v>
      </c>
      <c r="V12" s="107">
        <f t="shared" si="8"/>
        <v>0</v>
      </c>
      <c r="W12" s="107">
        <f t="shared" si="9"/>
        <v>0</v>
      </c>
      <c r="X12" s="107">
        <f t="shared" si="9"/>
        <v>0</v>
      </c>
      <c r="Y12" s="107">
        <f t="shared" si="10"/>
        <v>0.18181818181818699</v>
      </c>
      <c r="Z12" s="106">
        <f t="shared" si="11"/>
        <v>0</v>
      </c>
      <c r="AA12" s="106">
        <f t="shared" si="12"/>
        <v>0</v>
      </c>
      <c r="AB12" s="106">
        <f t="shared" si="13"/>
        <v>0</v>
      </c>
      <c r="AC12" s="106">
        <f t="shared" si="14"/>
        <v>0</v>
      </c>
      <c r="AD12" s="106">
        <f t="shared" si="15"/>
        <v>0</v>
      </c>
    </row>
    <row r="13" spans="1:35">
      <c r="A13" s="165">
        <v>2</v>
      </c>
      <c r="B13" s="164" t="s">
        <v>404</v>
      </c>
      <c r="C13" s="163" t="s">
        <v>403</v>
      </c>
      <c r="D13" s="162" t="s">
        <v>95</v>
      </c>
      <c r="E13" s="158">
        <f>+IF($A13="",IF($C13="",SUMIFS(全伝票!I:I,全伝票!$B:$B,$B13),SUMIFS(全伝票!I:I,全伝票!$C:$C,$C13)),IF($C13="",SUMIFS(全伝票!I:I,全伝票!$A:$A,$A13,全伝票!$B:$B,$B13),SUMIFS(全伝票!I:I,全伝票!$A:$A,$A13,全伝票!$C:$C,$C13)))</f>
        <v>0</v>
      </c>
      <c r="F13" s="161">
        <f>+IF($A13="",IF($C13="",SUMIFS(全伝票!J:J,全伝票!$B:$B,$B13),SUMIFS(全伝票!J:J,全伝票!$C:$C,$C13)),IF($C13="",SUMIFS(全伝票!J:J,全伝票!$A:$A,$A13,全伝票!$B:$B,$B13),SUMIFS(全伝票!J:J,全伝票!$A:$A,$A13,全伝票!$C:$C,$C13)))</f>
        <v>0</v>
      </c>
      <c r="G13" s="160">
        <f>+IF($A13="",IF($C13="",SUMIFS(全伝票!K:K,全伝票!$B:$B,$B13),SUMIFS(全伝票!K:K,全伝票!$C:$C,$C13)),IF($C13="",SUMIFS(全伝票!K:K,全伝票!$A:$A,$A13,全伝票!$B:$B,$B13),SUMIFS(全伝票!K:K,全伝票!$A:$A,$A13,全伝票!$C:$C,$C13)))</f>
        <v>0</v>
      </c>
      <c r="H13" s="160">
        <f>+IF($A13="",IF($C13="",SUMIFS(全伝票!L:L,全伝票!$B:$B,$B13),SUMIFS(全伝票!L:L,全伝票!$C:$C,$C13)),IF($C13="",SUMIFS(全伝票!L:L,全伝票!$A:$A,$A13,全伝票!$B:$B,$B13),SUMIFS(全伝票!L:L,全伝票!$A:$A,$A13,全伝票!$C:$C,$C13)))</f>
        <v>0</v>
      </c>
      <c r="I13" s="159">
        <f>+IF($A13="",IF($C13="",SUMIFS(全伝票!M:M,全伝票!$B:$B,$B13),SUMIFS(全伝票!M:M,全伝票!$C:$C,$C13)),IF($C13="",SUMIFS(全伝票!M:M,全伝票!$A:$A,$A13,全伝票!$B:$B,$B13),SUMIFS(全伝票!M:M,全伝票!$A:$A,$A13,全伝票!$C:$C,$C13)))</f>
        <v>0</v>
      </c>
      <c r="J13" s="159">
        <f>+IF($A13="",IF($C13="",SUMIFS(全伝票!N:N,全伝票!$B:$B,$B13),SUMIFS(全伝票!N:N,全伝票!$C:$C,$C13)),IF($C13="",SUMIFS(全伝票!N:N,全伝票!$A:$A,$A13,全伝票!$B:$B,$B13),SUMIFS(全伝票!N:N,全伝票!$A:$A,$A13,全伝票!$C:$C,$C13)))</f>
        <v>0</v>
      </c>
      <c r="K13" s="34">
        <f t="shared" si="0"/>
        <v>0</v>
      </c>
      <c r="L13" s="158">
        <f>+IF($A13="",IF($C13="",SUMIFS(全伝票!O:O,全伝票!$B:$B,$B13),SUMIFS(全伝票!O:O,全伝票!$C:$C,$C13)),IF($C13="",SUMIFS(全伝票!O:O,全伝票!$A:$A,$A13,全伝票!$B:$B,$B13),SUMIFS(全伝票!O:O,全伝票!$A:$A,$A13,全伝票!$C:$C,$C13)))</f>
        <v>0</v>
      </c>
      <c r="M13" s="158">
        <f>+IF($A13="",IF($C13="",SUMIFS(全伝票!P:P,全伝票!$B:$B,$B13),SUMIFS(全伝票!P:P,全伝票!$C:$C,$C13)),IF($C13="",SUMIFS(全伝票!P:P,全伝票!$A:$A,$A13,全伝票!$B:$B,$B13),SUMIFS(全伝票!P:P,全伝票!$A:$A,$A13,全伝票!$C:$C,$C13)))</f>
        <v>0</v>
      </c>
      <c r="N13" s="108">
        <f t="shared" si="1"/>
        <v>0</v>
      </c>
      <c r="O13" s="25">
        <f t="shared" si="3"/>
        <v>0</v>
      </c>
      <c r="P13" s="25">
        <f t="shared" si="2"/>
        <v>0</v>
      </c>
      <c r="Q13" s="157">
        <f t="shared" si="3"/>
        <v>0</v>
      </c>
      <c r="R13" s="157">
        <f t="shared" si="4"/>
        <v>0</v>
      </c>
      <c r="S13" s="22">
        <f t="shared" si="5"/>
        <v>0</v>
      </c>
      <c r="T13" s="109">
        <f t="shared" si="6"/>
        <v>0</v>
      </c>
      <c r="U13" s="107">
        <f t="shared" si="7"/>
        <v>0</v>
      </c>
      <c r="V13" s="107">
        <f t="shared" si="8"/>
        <v>0</v>
      </c>
      <c r="W13" s="107">
        <f t="shared" si="9"/>
        <v>0</v>
      </c>
      <c r="X13" s="107">
        <f t="shared" si="9"/>
        <v>0</v>
      </c>
      <c r="Y13" s="107">
        <f t="shared" si="10"/>
        <v>0</v>
      </c>
      <c r="Z13" s="106">
        <f t="shared" si="11"/>
        <v>0</v>
      </c>
      <c r="AA13" s="106">
        <f t="shared" si="12"/>
        <v>0</v>
      </c>
      <c r="AB13" s="106">
        <f t="shared" si="13"/>
        <v>0</v>
      </c>
      <c r="AC13" s="106">
        <f t="shared" si="14"/>
        <v>0</v>
      </c>
      <c r="AD13" s="106">
        <f t="shared" si="15"/>
        <v>0</v>
      </c>
    </row>
    <row r="14" spans="1:35">
      <c r="A14" s="165">
        <v>2</v>
      </c>
      <c r="B14" s="164" t="s">
        <v>402</v>
      </c>
      <c r="C14" s="163"/>
      <c r="D14" s="162" t="s">
        <v>93</v>
      </c>
      <c r="E14" s="158">
        <f>+IF($A14="",IF($C14="",SUMIFS(全伝票!I:I,全伝票!$B:$B,$B14),SUMIFS(全伝票!I:I,全伝票!$C:$C,$C14)),IF($C14="",SUMIFS(全伝票!I:I,全伝票!$A:$A,$A14,全伝票!$B:$B,$B14),SUMIFS(全伝票!I:I,全伝票!$A:$A,$A14,全伝票!$C:$C,$C14)))</f>
        <v>48450</v>
      </c>
      <c r="F14" s="161">
        <f>+IF($A14="",IF($C14="",SUMIFS(全伝票!J:J,全伝票!$B:$B,$B14),SUMIFS(全伝票!J:J,全伝票!$C:$C,$C14)),IF($C14="",SUMIFS(全伝票!J:J,全伝票!$A:$A,$A14,全伝票!$B:$B,$B14),SUMIFS(全伝票!J:J,全伝票!$A:$A,$A14,全伝票!$C:$C,$C14)))</f>
        <v>0</v>
      </c>
      <c r="G14" s="160">
        <f>+IF($A14="",IF($C14="",SUMIFS(全伝票!K:K,全伝票!$B:$B,$B14),SUMIFS(全伝票!K:K,全伝票!$C:$C,$C14)),IF($C14="",SUMIFS(全伝票!K:K,全伝票!$A:$A,$A14,全伝票!$B:$B,$B14),SUMIFS(全伝票!K:K,全伝票!$A:$A,$A14,全伝票!$C:$C,$C14)))</f>
        <v>0</v>
      </c>
      <c r="H14" s="160">
        <f>+IF($A14="",IF($C14="",SUMIFS(全伝票!L:L,全伝票!$B:$B,$B14),SUMIFS(全伝票!L:L,全伝票!$C:$C,$C14)),IF($C14="",SUMIFS(全伝票!L:L,全伝票!$A:$A,$A14,全伝票!$B:$B,$B14),SUMIFS(全伝票!L:L,全伝票!$A:$A,$A14,全伝票!$C:$C,$C14)))</f>
        <v>0</v>
      </c>
      <c r="I14" s="159">
        <f>+IF($A14="",IF($C14="",SUMIFS(全伝票!M:M,全伝票!$B:$B,$B14),SUMIFS(全伝票!M:M,全伝票!$C:$C,$C14)),IF($C14="",SUMIFS(全伝票!M:M,全伝票!$A:$A,$A14,全伝票!$B:$B,$B14),SUMIFS(全伝票!M:M,全伝票!$A:$A,$A14,全伝票!$C:$C,$C14)))</f>
        <v>2121</v>
      </c>
      <c r="J14" s="159">
        <f>+IF($A14="",IF($C14="",SUMIFS(全伝票!N:N,全伝票!$B:$B,$B14),SUMIFS(全伝票!N:N,全伝票!$C:$C,$C14)),IF($C14="",SUMIFS(全伝票!N:N,全伝票!$A:$A,$A14,全伝票!$B:$B,$B14),SUMIFS(全伝票!N:N,全伝票!$A:$A,$A14,全伝票!$C:$C,$C14)))</f>
        <v>46329</v>
      </c>
      <c r="K14" s="34">
        <f t="shared" si="0"/>
        <v>48450</v>
      </c>
      <c r="L14" s="158">
        <f>+IF($A14="",IF($C14="",SUMIFS(全伝票!O:O,全伝票!$B:$B,$B14),SUMIFS(全伝票!O:O,全伝票!$C:$C,$C14)),IF($C14="",SUMIFS(全伝票!O:O,全伝票!$A:$A,$A14,全伝票!$B:$B,$B14),SUMIFS(全伝票!O:O,全伝票!$A:$A,$A14,全伝票!$C:$C,$C14)))</f>
        <v>0</v>
      </c>
      <c r="M14" s="158">
        <f>+IF($A14="",IF($C14="",SUMIFS(全伝票!P:P,全伝票!$B:$B,$B14),SUMIFS(全伝票!P:P,全伝票!$C:$C,$C14)),IF($C14="",SUMIFS(全伝票!P:P,全伝票!$A:$A,$A14,全伝票!$B:$B,$B14),SUMIFS(全伝票!P:P,全伝票!$A:$A,$A14,全伝票!$C:$C,$C14)))</f>
        <v>0</v>
      </c>
      <c r="N14" s="108">
        <f t="shared" si="1"/>
        <v>0</v>
      </c>
      <c r="O14" s="25">
        <f t="shared" si="3"/>
        <v>0</v>
      </c>
      <c r="P14" s="25">
        <f t="shared" si="2"/>
        <v>0</v>
      </c>
      <c r="Q14" s="157">
        <f t="shared" si="3"/>
        <v>157</v>
      </c>
      <c r="R14" s="157">
        <f t="shared" si="4"/>
        <v>4212</v>
      </c>
      <c r="S14" s="22">
        <f t="shared" si="5"/>
        <v>4369</v>
      </c>
      <c r="T14" s="109">
        <f t="shared" si="6"/>
        <v>44081</v>
      </c>
      <c r="U14" s="107">
        <f t="shared" si="7"/>
        <v>0</v>
      </c>
      <c r="V14" s="107">
        <f t="shared" si="8"/>
        <v>0</v>
      </c>
      <c r="W14" s="107">
        <f t="shared" si="9"/>
        <v>0</v>
      </c>
      <c r="X14" s="107">
        <f t="shared" si="9"/>
        <v>-0.11111111111111427</v>
      </c>
      <c r="Y14" s="107">
        <f t="shared" si="10"/>
        <v>0.27272727272702468</v>
      </c>
      <c r="Z14" s="106">
        <f t="shared" si="11"/>
        <v>0</v>
      </c>
      <c r="AA14" s="106">
        <f t="shared" si="12"/>
        <v>0</v>
      </c>
      <c r="AB14" s="106">
        <f t="shared" si="13"/>
        <v>0</v>
      </c>
      <c r="AC14" s="106">
        <f t="shared" si="14"/>
        <v>0</v>
      </c>
      <c r="AD14" s="106">
        <f t="shared" si="15"/>
        <v>0</v>
      </c>
    </row>
    <row r="15" spans="1:35">
      <c r="A15" s="165">
        <v>2</v>
      </c>
      <c r="B15" s="164" t="s">
        <v>401</v>
      </c>
      <c r="C15" s="163"/>
      <c r="D15" s="162" t="s">
        <v>91</v>
      </c>
      <c r="E15" s="158">
        <f>+IF($A15="",IF($C15="",SUMIFS(全伝票!I:I,全伝票!$B:$B,$B15),SUMIFS(全伝票!I:I,全伝票!$C:$C,$C15)),IF($C15="",SUMIFS(全伝票!I:I,全伝票!$A:$A,$A15,全伝票!$B:$B,$B15),SUMIFS(全伝票!I:I,全伝票!$A:$A,$A15,全伝票!$C:$C,$C15)))</f>
        <v>704</v>
      </c>
      <c r="F15" s="161">
        <f>+IF($A15="",IF($C15="",SUMIFS(全伝票!J:J,全伝票!$B:$B,$B15),SUMIFS(全伝票!J:J,全伝票!$C:$C,$C15)),IF($C15="",SUMIFS(全伝票!J:J,全伝票!$A:$A,$A15,全伝票!$B:$B,$B15),SUMIFS(全伝票!J:J,全伝票!$A:$A,$A15,全伝票!$C:$C,$C15)))</f>
        <v>0</v>
      </c>
      <c r="G15" s="160">
        <f>+IF($A15="",IF($C15="",SUMIFS(全伝票!K:K,全伝票!$B:$B,$B15),SUMIFS(全伝票!K:K,全伝票!$C:$C,$C15)),IF($C15="",SUMIFS(全伝票!K:K,全伝票!$A:$A,$A15,全伝票!$B:$B,$B15),SUMIFS(全伝票!K:K,全伝票!$A:$A,$A15,全伝票!$C:$C,$C15)))</f>
        <v>0</v>
      </c>
      <c r="H15" s="160">
        <f>+IF($A15="",IF($C15="",SUMIFS(全伝票!L:L,全伝票!$B:$B,$B15),SUMIFS(全伝票!L:L,全伝票!$C:$C,$C15)),IF($C15="",SUMIFS(全伝票!L:L,全伝票!$A:$A,$A15,全伝票!$B:$B,$B15),SUMIFS(全伝票!L:L,全伝票!$A:$A,$A15,全伝票!$C:$C,$C15)))</f>
        <v>0</v>
      </c>
      <c r="I15" s="159">
        <f>+IF($A15="",IF($C15="",SUMIFS(全伝票!M:M,全伝票!$B:$B,$B15),SUMIFS(全伝票!M:M,全伝票!$C:$C,$C15)),IF($C15="",SUMIFS(全伝票!M:M,全伝票!$A:$A,$A15,全伝票!$B:$B,$B15),SUMIFS(全伝票!M:M,全伝票!$A:$A,$A15,全伝票!$C:$C,$C15)))</f>
        <v>0</v>
      </c>
      <c r="J15" s="159">
        <f>+IF($A15="",IF($C15="",SUMIFS(全伝票!N:N,全伝票!$B:$B,$B15),SUMIFS(全伝票!N:N,全伝票!$C:$C,$C15)),IF($C15="",SUMIFS(全伝票!N:N,全伝票!$A:$A,$A15,全伝票!$B:$B,$B15),SUMIFS(全伝票!N:N,全伝票!$A:$A,$A15,全伝票!$C:$C,$C15)))</f>
        <v>704</v>
      </c>
      <c r="K15" s="34">
        <f t="shared" si="0"/>
        <v>704</v>
      </c>
      <c r="L15" s="158">
        <f>+IF($A15="",IF($C15="",SUMIFS(全伝票!O:O,全伝票!$B:$B,$B15),SUMIFS(全伝票!O:O,全伝票!$C:$C,$C15)),IF($C15="",SUMIFS(全伝票!O:O,全伝票!$A:$A,$A15,全伝票!$B:$B,$B15),SUMIFS(全伝票!O:O,全伝票!$A:$A,$A15,全伝票!$C:$C,$C15)))</f>
        <v>0</v>
      </c>
      <c r="M15" s="158">
        <f>+IF($A15="",IF($C15="",SUMIFS(全伝票!P:P,全伝票!$B:$B,$B15),SUMIFS(全伝票!P:P,全伝票!$C:$C,$C15)),IF($C15="",SUMIFS(全伝票!P:P,全伝票!$A:$A,$A15,全伝票!$B:$B,$B15),SUMIFS(全伝票!P:P,全伝票!$A:$A,$A15,全伝票!$C:$C,$C15)))</f>
        <v>0</v>
      </c>
      <c r="N15" s="108">
        <f t="shared" si="1"/>
        <v>0</v>
      </c>
      <c r="O15" s="25">
        <f t="shared" si="3"/>
        <v>0</v>
      </c>
      <c r="P15" s="25">
        <f t="shared" si="2"/>
        <v>0</v>
      </c>
      <c r="Q15" s="157">
        <f t="shared" si="3"/>
        <v>0</v>
      </c>
      <c r="R15" s="157">
        <f t="shared" si="4"/>
        <v>64</v>
      </c>
      <c r="S15" s="22">
        <f t="shared" si="5"/>
        <v>64</v>
      </c>
      <c r="T15" s="109">
        <f t="shared" si="6"/>
        <v>640</v>
      </c>
      <c r="U15" s="107">
        <f t="shared" si="7"/>
        <v>0</v>
      </c>
      <c r="V15" s="107">
        <f t="shared" si="8"/>
        <v>0</v>
      </c>
      <c r="W15" s="107">
        <f t="shared" si="9"/>
        <v>0</v>
      </c>
      <c r="X15" s="107">
        <f t="shared" si="9"/>
        <v>0</v>
      </c>
      <c r="Y15" s="107">
        <f t="shared" si="10"/>
        <v>0</v>
      </c>
      <c r="Z15" s="106">
        <f t="shared" si="11"/>
        <v>0</v>
      </c>
      <c r="AA15" s="106">
        <f t="shared" si="12"/>
        <v>0</v>
      </c>
      <c r="AB15" s="106">
        <f t="shared" si="13"/>
        <v>0</v>
      </c>
      <c r="AC15" s="106">
        <f t="shared" si="14"/>
        <v>0</v>
      </c>
      <c r="AD15" s="106">
        <f t="shared" si="15"/>
        <v>0</v>
      </c>
    </row>
    <row r="16" spans="1:35">
      <c r="A16" s="165">
        <v>2</v>
      </c>
      <c r="B16" s="164" t="s">
        <v>400</v>
      </c>
      <c r="C16" s="163"/>
      <c r="D16" s="162" t="s">
        <v>89</v>
      </c>
      <c r="E16" s="158">
        <f>+IF($A16="",IF($C16="",SUMIFS(全伝票!I:I,全伝票!$B:$B,$B16),SUMIFS(全伝票!I:I,全伝票!$C:$C,$C16)),IF($C16="",SUMIFS(全伝票!I:I,全伝票!$A:$A,$A16,全伝票!$B:$B,$B16),SUMIFS(全伝票!I:I,全伝票!$A:$A,$A16,全伝票!$C:$C,$C16)))</f>
        <v>0</v>
      </c>
      <c r="F16" s="161">
        <f>+IF($A16="",IF($C16="",SUMIFS(全伝票!J:J,全伝票!$B:$B,$B16),SUMIFS(全伝票!J:J,全伝票!$C:$C,$C16)),IF($C16="",SUMIFS(全伝票!J:J,全伝票!$A:$A,$A16,全伝票!$B:$B,$B16),SUMIFS(全伝票!J:J,全伝票!$A:$A,$A16,全伝票!$C:$C,$C16)))</f>
        <v>0</v>
      </c>
      <c r="G16" s="160">
        <f>+IF($A16="",IF($C16="",SUMIFS(全伝票!K:K,全伝票!$B:$B,$B16),SUMIFS(全伝票!K:K,全伝票!$C:$C,$C16)),IF($C16="",SUMIFS(全伝票!K:K,全伝票!$A:$A,$A16,全伝票!$B:$B,$B16),SUMIFS(全伝票!K:K,全伝票!$A:$A,$A16,全伝票!$C:$C,$C16)))</f>
        <v>0</v>
      </c>
      <c r="H16" s="160">
        <f>+IF($A16="",IF($C16="",SUMIFS(全伝票!L:L,全伝票!$B:$B,$B16),SUMIFS(全伝票!L:L,全伝票!$C:$C,$C16)),IF($C16="",SUMIFS(全伝票!L:L,全伝票!$A:$A,$A16,全伝票!$B:$B,$B16),SUMIFS(全伝票!L:L,全伝票!$A:$A,$A16,全伝票!$C:$C,$C16)))</f>
        <v>0</v>
      </c>
      <c r="I16" s="159">
        <f>+IF($A16="",IF($C16="",SUMIFS(全伝票!M:M,全伝票!$B:$B,$B16),SUMIFS(全伝票!M:M,全伝票!$C:$C,$C16)),IF($C16="",SUMIFS(全伝票!M:M,全伝票!$A:$A,$A16,全伝票!$B:$B,$B16),SUMIFS(全伝票!M:M,全伝票!$A:$A,$A16,全伝票!$C:$C,$C16)))</f>
        <v>0</v>
      </c>
      <c r="J16" s="159">
        <f>+IF($A16="",IF($C16="",SUMIFS(全伝票!N:N,全伝票!$B:$B,$B16),SUMIFS(全伝票!N:N,全伝票!$C:$C,$C16)),IF($C16="",SUMIFS(全伝票!N:N,全伝票!$A:$A,$A16,全伝票!$B:$B,$B16),SUMIFS(全伝票!N:N,全伝票!$A:$A,$A16,全伝票!$C:$C,$C16)))</f>
        <v>0</v>
      </c>
      <c r="K16" s="34">
        <f t="shared" si="0"/>
        <v>0</v>
      </c>
      <c r="L16" s="158">
        <f>+IF($A16="",IF($C16="",SUMIFS(全伝票!O:O,全伝票!$B:$B,$B16),SUMIFS(全伝票!O:O,全伝票!$C:$C,$C16)),IF($C16="",SUMIFS(全伝票!O:O,全伝票!$A:$A,$A16,全伝票!$B:$B,$B16),SUMIFS(全伝票!O:O,全伝票!$A:$A,$A16,全伝票!$C:$C,$C16)))</f>
        <v>0</v>
      </c>
      <c r="M16" s="158">
        <f>+IF($A16="",IF($C16="",SUMIFS(全伝票!P:P,全伝票!$B:$B,$B16),SUMIFS(全伝票!P:P,全伝票!$C:$C,$C16)),IF($C16="",SUMIFS(全伝票!P:P,全伝票!$A:$A,$A16,全伝票!$B:$B,$B16),SUMIFS(全伝票!P:P,全伝票!$A:$A,$A16,全伝票!$C:$C,$C16)))</f>
        <v>0</v>
      </c>
      <c r="N16" s="108">
        <f t="shared" si="1"/>
        <v>0</v>
      </c>
      <c r="O16" s="25">
        <f t="shared" si="3"/>
        <v>0</v>
      </c>
      <c r="P16" s="25">
        <f t="shared" si="2"/>
        <v>0</v>
      </c>
      <c r="Q16" s="157">
        <f t="shared" si="3"/>
        <v>0</v>
      </c>
      <c r="R16" s="157">
        <f t="shared" si="4"/>
        <v>0</v>
      </c>
      <c r="S16" s="22">
        <f t="shared" si="5"/>
        <v>0</v>
      </c>
      <c r="T16" s="109">
        <f t="shared" si="6"/>
        <v>0</v>
      </c>
      <c r="U16" s="107">
        <f t="shared" si="7"/>
        <v>0</v>
      </c>
      <c r="V16" s="107">
        <f t="shared" si="8"/>
        <v>0</v>
      </c>
      <c r="W16" s="107">
        <f t="shared" si="9"/>
        <v>0</v>
      </c>
      <c r="X16" s="107">
        <f t="shared" si="9"/>
        <v>0</v>
      </c>
      <c r="Y16" s="107">
        <f t="shared" si="10"/>
        <v>0</v>
      </c>
      <c r="Z16" s="106">
        <f t="shared" si="11"/>
        <v>0</v>
      </c>
      <c r="AA16" s="106">
        <f t="shared" si="12"/>
        <v>0</v>
      </c>
      <c r="AB16" s="106">
        <f t="shared" si="13"/>
        <v>0</v>
      </c>
      <c r="AC16" s="106">
        <f t="shared" si="14"/>
        <v>0</v>
      </c>
      <c r="AD16" s="106">
        <f t="shared" si="15"/>
        <v>0</v>
      </c>
    </row>
    <row r="17" spans="1:35">
      <c r="A17" s="165">
        <v>2</v>
      </c>
      <c r="B17" s="164" t="s">
        <v>399</v>
      </c>
      <c r="C17" s="163"/>
      <c r="D17" s="162" t="s">
        <v>87</v>
      </c>
      <c r="E17" s="158">
        <f>+IF($A17="",IF($C17="",SUMIFS(全伝票!I:I,全伝票!$B:$B,$B17),SUMIFS(全伝票!I:I,全伝票!$C:$C,$C17)),IF($C17="",SUMIFS(全伝票!I:I,全伝票!$A:$A,$A17,全伝票!$B:$B,$B17),SUMIFS(全伝票!I:I,全伝票!$A:$A,$A17,全伝票!$C:$C,$C17)))</f>
        <v>26746</v>
      </c>
      <c r="F17" s="161">
        <f>+IF($A17="",IF($C17="",SUMIFS(全伝票!J:J,全伝票!$B:$B,$B17),SUMIFS(全伝票!J:J,全伝票!$C:$C,$C17)),IF($C17="",SUMIFS(全伝票!J:J,全伝票!$A:$A,$A17,全伝票!$B:$B,$B17),SUMIFS(全伝票!J:J,全伝票!$A:$A,$A17,全伝票!$C:$C,$C17)))</f>
        <v>0</v>
      </c>
      <c r="G17" s="160">
        <f>+IF($A17="",IF($C17="",SUMIFS(全伝票!K:K,全伝票!$B:$B,$B17),SUMIFS(全伝票!K:K,全伝票!$C:$C,$C17)),IF($C17="",SUMIFS(全伝票!K:K,全伝票!$A:$A,$A17,全伝票!$B:$B,$B17),SUMIFS(全伝票!K:K,全伝票!$A:$A,$A17,全伝票!$C:$C,$C17)))</f>
        <v>0</v>
      </c>
      <c r="H17" s="160">
        <f>+IF($A17="",IF($C17="",SUMIFS(全伝票!L:L,全伝票!$B:$B,$B17),SUMIFS(全伝票!L:L,全伝票!$C:$C,$C17)),IF($C17="",SUMIFS(全伝票!L:L,全伝票!$A:$A,$A17,全伝票!$B:$B,$B17),SUMIFS(全伝票!L:L,全伝票!$A:$A,$A17,全伝票!$C:$C,$C17)))</f>
        <v>0</v>
      </c>
      <c r="I17" s="159">
        <f>+IF($A17="",IF($C17="",SUMIFS(全伝票!M:M,全伝票!$B:$B,$B17),SUMIFS(全伝票!M:M,全伝票!$C:$C,$C17)),IF($C17="",SUMIFS(全伝票!M:M,全伝票!$A:$A,$A17,全伝票!$B:$B,$B17),SUMIFS(全伝票!M:M,全伝票!$A:$A,$A17,全伝票!$C:$C,$C17)))</f>
        <v>0</v>
      </c>
      <c r="J17" s="159">
        <f>+IF($A17="",IF($C17="",SUMIFS(全伝票!N:N,全伝票!$B:$B,$B17),SUMIFS(全伝票!N:N,全伝票!$C:$C,$C17)),IF($C17="",SUMIFS(全伝票!N:N,全伝票!$A:$A,$A17,全伝票!$B:$B,$B17),SUMIFS(全伝票!N:N,全伝票!$A:$A,$A17,全伝票!$C:$C,$C17)))</f>
        <v>26746</v>
      </c>
      <c r="K17" s="34">
        <f t="shared" si="0"/>
        <v>26746</v>
      </c>
      <c r="L17" s="158">
        <f>+IF($A17="",IF($C17="",SUMIFS(全伝票!O:O,全伝票!$B:$B,$B17),SUMIFS(全伝票!O:O,全伝票!$C:$C,$C17)),IF($C17="",SUMIFS(全伝票!O:O,全伝票!$A:$A,$A17,全伝票!$B:$B,$B17),SUMIFS(全伝票!O:O,全伝票!$A:$A,$A17,全伝票!$C:$C,$C17)))</f>
        <v>0</v>
      </c>
      <c r="M17" s="158">
        <f>+IF($A17="",IF($C17="",SUMIFS(全伝票!P:P,全伝票!$B:$B,$B17),SUMIFS(全伝票!P:P,全伝票!$C:$C,$C17)),IF($C17="",SUMIFS(全伝票!P:P,全伝票!$A:$A,$A17,全伝票!$B:$B,$B17),SUMIFS(全伝票!P:P,全伝票!$A:$A,$A17,全伝票!$C:$C,$C17)))</f>
        <v>0</v>
      </c>
      <c r="N17" s="108">
        <f t="shared" si="1"/>
        <v>0</v>
      </c>
      <c r="O17" s="25">
        <f t="shared" si="3"/>
        <v>0</v>
      </c>
      <c r="P17" s="25">
        <f t="shared" si="2"/>
        <v>0</v>
      </c>
      <c r="Q17" s="157">
        <f t="shared" si="3"/>
        <v>0</v>
      </c>
      <c r="R17" s="157">
        <f t="shared" si="4"/>
        <v>2432</v>
      </c>
      <c r="S17" s="22">
        <f t="shared" si="5"/>
        <v>2432</v>
      </c>
      <c r="T17" s="109">
        <f t="shared" si="6"/>
        <v>24314</v>
      </c>
      <c r="U17" s="107">
        <f t="shared" si="7"/>
        <v>0</v>
      </c>
      <c r="V17" s="107">
        <f t="shared" si="8"/>
        <v>0</v>
      </c>
      <c r="W17" s="107">
        <f t="shared" si="9"/>
        <v>0</v>
      </c>
      <c r="X17" s="107">
        <f t="shared" si="9"/>
        <v>0</v>
      </c>
      <c r="Y17" s="107">
        <f t="shared" si="10"/>
        <v>0.54545454545450411</v>
      </c>
      <c r="Z17" s="106">
        <f t="shared" si="11"/>
        <v>0</v>
      </c>
      <c r="AA17" s="106">
        <f t="shared" si="12"/>
        <v>0</v>
      </c>
      <c r="AB17" s="106">
        <f t="shared" si="13"/>
        <v>0</v>
      </c>
      <c r="AC17" s="106">
        <f t="shared" si="14"/>
        <v>0</v>
      </c>
      <c r="AD17" s="106">
        <f t="shared" si="15"/>
        <v>0</v>
      </c>
      <c r="AI17" s="2">
        <v>1</v>
      </c>
    </row>
    <row r="18" spans="1:35">
      <c r="A18" s="165">
        <v>2</v>
      </c>
      <c r="B18" s="164" t="s">
        <v>398</v>
      </c>
      <c r="C18" s="163"/>
      <c r="D18" s="162" t="s">
        <v>85</v>
      </c>
      <c r="E18" s="158">
        <f>+IF($A18="",IF($C18="",SUMIFS(全伝票!I:I,全伝票!$B:$B,$B18),SUMIFS(全伝票!I:I,全伝票!$C:$C,$C18)),IF($C18="",SUMIFS(全伝票!I:I,全伝票!$A:$A,$A18,全伝票!$B:$B,$B18),SUMIFS(全伝票!I:I,全伝票!$A:$A,$A18,全伝票!$C:$C,$C18)))</f>
        <v>1304</v>
      </c>
      <c r="F18" s="161">
        <f>+IF($A18="",IF($C18="",SUMIFS(全伝票!J:J,全伝票!$B:$B,$B18),SUMIFS(全伝票!J:J,全伝票!$C:$C,$C18)),IF($C18="",SUMIFS(全伝票!J:J,全伝票!$A:$A,$A18,全伝票!$B:$B,$B18),SUMIFS(全伝票!J:J,全伝票!$A:$A,$A18,全伝票!$C:$C,$C18)))</f>
        <v>0</v>
      </c>
      <c r="G18" s="160">
        <f>+IF($A18="",IF($C18="",SUMIFS(全伝票!K:K,全伝票!$B:$B,$B18),SUMIFS(全伝票!K:K,全伝票!$C:$C,$C18)),IF($C18="",SUMIFS(全伝票!K:K,全伝票!$A:$A,$A18,全伝票!$B:$B,$B18),SUMIFS(全伝票!K:K,全伝票!$A:$A,$A18,全伝票!$C:$C,$C18)))</f>
        <v>0</v>
      </c>
      <c r="H18" s="160">
        <f>+IF($A18="",IF($C18="",SUMIFS(全伝票!L:L,全伝票!$B:$B,$B18),SUMIFS(全伝票!L:L,全伝票!$C:$C,$C18)),IF($C18="",SUMIFS(全伝票!L:L,全伝票!$A:$A,$A18,全伝票!$B:$B,$B18),SUMIFS(全伝票!L:L,全伝票!$A:$A,$A18,全伝票!$C:$C,$C18)))</f>
        <v>0</v>
      </c>
      <c r="I18" s="159">
        <f>+IF($A18="",IF($C18="",SUMIFS(全伝票!M:M,全伝票!$B:$B,$B18),SUMIFS(全伝票!M:M,全伝票!$C:$C,$C18)),IF($C18="",SUMIFS(全伝票!M:M,全伝票!$A:$A,$A18,全伝票!$B:$B,$B18),SUMIFS(全伝票!M:M,全伝票!$A:$A,$A18,全伝票!$C:$C,$C18)))</f>
        <v>0</v>
      </c>
      <c r="J18" s="159">
        <f>+IF($A18="",IF($C18="",SUMIFS(全伝票!N:N,全伝票!$B:$B,$B18),SUMIFS(全伝票!N:N,全伝票!$C:$C,$C18)),IF($C18="",SUMIFS(全伝票!N:N,全伝票!$A:$A,$A18,全伝票!$B:$B,$B18),SUMIFS(全伝票!N:N,全伝票!$A:$A,$A18,全伝票!$C:$C,$C18)))</f>
        <v>1246</v>
      </c>
      <c r="K18" s="34">
        <f t="shared" si="0"/>
        <v>1246</v>
      </c>
      <c r="L18" s="158">
        <f>+IF($A18="",IF($C18="",SUMIFS(全伝票!O:O,全伝票!$B:$B,$B18),SUMIFS(全伝票!O:O,全伝票!$C:$C,$C18)),IF($C18="",SUMIFS(全伝票!O:O,全伝票!$A:$A,$A18,全伝票!$B:$B,$B18),SUMIFS(全伝票!O:O,全伝票!$A:$A,$A18,全伝票!$C:$C,$C18)))</f>
        <v>58</v>
      </c>
      <c r="M18" s="158">
        <f>+IF($A18="",IF($C18="",SUMIFS(全伝票!P:P,全伝票!$B:$B,$B18),SUMIFS(全伝票!P:P,全伝票!$C:$C,$C18)),IF($C18="",SUMIFS(全伝票!P:P,全伝票!$A:$A,$A18,全伝票!$B:$B,$B18),SUMIFS(全伝票!P:P,全伝票!$A:$A,$A18,全伝票!$C:$C,$C18)))</f>
        <v>0</v>
      </c>
      <c r="N18" s="108">
        <f t="shared" si="1"/>
        <v>0</v>
      </c>
      <c r="O18" s="25">
        <f t="shared" si="3"/>
        <v>0</v>
      </c>
      <c r="P18" s="25">
        <f t="shared" si="2"/>
        <v>0</v>
      </c>
      <c r="Q18" s="157">
        <f t="shared" si="3"/>
        <v>0</v>
      </c>
      <c r="R18" s="157">
        <f t="shared" si="4"/>
        <v>113</v>
      </c>
      <c r="S18" s="22">
        <f t="shared" si="5"/>
        <v>113</v>
      </c>
      <c r="T18" s="109">
        <f t="shared" si="6"/>
        <v>1191</v>
      </c>
      <c r="U18" s="107">
        <f t="shared" si="7"/>
        <v>0</v>
      </c>
      <c r="V18" s="107">
        <f t="shared" si="8"/>
        <v>0</v>
      </c>
      <c r="W18" s="107">
        <f t="shared" si="9"/>
        <v>0</v>
      </c>
      <c r="X18" s="107">
        <f t="shared" si="9"/>
        <v>0</v>
      </c>
      <c r="Y18" s="107">
        <f t="shared" si="10"/>
        <v>-0.27272727272726627</v>
      </c>
      <c r="Z18" s="106">
        <f t="shared" si="11"/>
        <v>0</v>
      </c>
      <c r="AA18" s="106">
        <f t="shared" si="12"/>
        <v>0</v>
      </c>
      <c r="AB18" s="106">
        <f t="shared" si="13"/>
        <v>0</v>
      </c>
      <c r="AC18" s="106">
        <f t="shared" si="14"/>
        <v>0</v>
      </c>
      <c r="AD18" s="106">
        <f t="shared" si="15"/>
        <v>0</v>
      </c>
    </row>
    <row r="19" spans="1:35">
      <c r="A19" s="165">
        <v>2</v>
      </c>
      <c r="B19" s="164" t="s">
        <v>397</v>
      </c>
      <c r="C19" s="163"/>
      <c r="D19" s="162" t="s">
        <v>83</v>
      </c>
      <c r="E19" s="158">
        <f>+IF($A19="",IF($C19="",SUMIFS(全伝票!I:I,全伝票!$B:$B,$B19),SUMIFS(全伝票!I:I,全伝票!$C:$C,$C19)),IF($C19="",SUMIFS(全伝票!I:I,全伝票!$A:$A,$A19,全伝票!$B:$B,$B19),SUMIFS(全伝票!I:I,全伝票!$A:$A,$A19,全伝票!$C:$C,$C19)))</f>
        <v>29450</v>
      </c>
      <c r="F19" s="161">
        <f>+IF($A19="",IF($C19="",SUMIFS(全伝票!J:J,全伝票!$B:$B,$B19),SUMIFS(全伝票!J:J,全伝票!$C:$C,$C19)),IF($C19="",SUMIFS(全伝票!J:J,全伝票!$A:$A,$A19,全伝票!$B:$B,$B19),SUMIFS(全伝票!J:J,全伝票!$A:$A,$A19,全伝票!$C:$C,$C19)))</f>
        <v>0</v>
      </c>
      <c r="G19" s="160">
        <f>+IF($A19="",IF($C19="",SUMIFS(全伝票!K:K,全伝票!$B:$B,$B19),SUMIFS(全伝票!K:K,全伝票!$C:$C,$C19)),IF($C19="",SUMIFS(全伝票!K:K,全伝票!$A:$A,$A19,全伝票!$B:$B,$B19),SUMIFS(全伝票!K:K,全伝票!$A:$A,$A19,全伝票!$C:$C,$C19)))</f>
        <v>0</v>
      </c>
      <c r="H19" s="160">
        <f>+IF($A19="",IF($C19="",SUMIFS(全伝票!L:L,全伝票!$B:$B,$B19),SUMIFS(全伝票!L:L,全伝票!$C:$C,$C19)),IF($C19="",SUMIFS(全伝票!L:L,全伝票!$A:$A,$A19,全伝票!$B:$B,$B19),SUMIFS(全伝票!L:L,全伝票!$A:$A,$A19,全伝票!$C:$C,$C19)))</f>
        <v>0</v>
      </c>
      <c r="I19" s="159">
        <f>+IF($A19="",IF($C19="",SUMIFS(全伝票!M:M,全伝票!$B:$B,$B19),SUMIFS(全伝票!M:M,全伝票!$C:$C,$C19)),IF($C19="",SUMIFS(全伝票!M:M,全伝票!$A:$A,$A19,全伝票!$B:$B,$B19),SUMIFS(全伝票!M:M,全伝票!$A:$A,$A19,全伝票!$C:$C,$C19)))</f>
        <v>0</v>
      </c>
      <c r="J19" s="159">
        <f>+IF($A19="",IF($C19="",SUMIFS(全伝票!N:N,全伝票!$B:$B,$B19),SUMIFS(全伝票!N:N,全伝票!$C:$C,$C19)),IF($C19="",SUMIFS(全伝票!N:N,全伝票!$A:$A,$A19,全伝票!$B:$B,$B19),SUMIFS(全伝票!N:N,全伝票!$A:$A,$A19,全伝票!$C:$C,$C19)))</f>
        <v>2449</v>
      </c>
      <c r="K19" s="34">
        <f t="shared" si="0"/>
        <v>2449</v>
      </c>
      <c r="L19" s="158">
        <f>+IF($A19="",IF($C19="",SUMIFS(全伝票!O:O,全伝票!$B:$B,$B19),SUMIFS(全伝票!O:O,全伝票!$C:$C,$C19)),IF($C19="",SUMIFS(全伝票!O:O,全伝票!$A:$A,$A19,全伝票!$B:$B,$B19),SUMIFS(全伝票!O:O,全伝票!$A:$A,$A19,全伝票!$C:$C,$C19)))</f>
        <v>27001</v>
      </c>
      <c r="M19" s="158">
        <f>+IF($A19="",IF($C19="",SUMIFS(全伝票!P:P,全伝票!$B:$B,$B19),SUMIFS(全伝票!P:P,全伝票!$C:$C,$C19)),IF($C19="",SUMIFS(全伝票!P:P,全伝票!$A:$A,$A19,全伝票!$B:$B,$B19),SUMIFS(全伝票!P:P,全伝票!$A:$A,$A19,全伝票!$C:$C,$C19)))</f>
        <v>0</v>
      </c>
      <c r="N19" s="108">
        <f t="shared" si="1"/>
        <v>0</v>
      </c>
      <c r="O19" s="25">
        <f t="shared" si="3"/>
        <v>0</v>
      </c>
      <c r="P19" s="25">
        <f t="shared" si="2"/>
        <v>0</v>
      </c>
      <c r="Q19" s="157">
        <f t="shared" si="3"/>
        <v>0</v>
      </c>
      <c r="R19" s="157">
        <f t="shared" si="4"/>
        <v>223</v>
      </c>
      <c r="S19" s="22">
        <f t="shared" si="5"/>
        <v>223</v>
      </c>
      <c r="T19" s="109">
        <f t="shared" si="6"/>
        <v>29227</v>
      </c>
      <c r="U19" s="107">
        <f t="shared" si="7"/>
        <v>0</v>
      </c>
      <c r="V19" s="107">
        <f t="shared" si="8"/>
        <v>0</v>
      </c>
      <c r="W19" s="107">
        <f t="shared" si="9"/>
        <v>0</v>
      </c>
      <c r="X19" s="107">
        <f t="shared" si="9"/>
        <v>0</v>
      </c>
      <c r="Y19" s="107">
        <f t="shared" si="10"/>
        <v>0.36363636363637397</v>
      </c>
      <c r="Z19" s="106">
        <f t="shared" si="11"/>
        <v>0</v>
      </c>
      <c r="AA19" s="106">
        <f t="shared" si="12"/>
        <v>0</v>
      </c>
      <c r="AB19" s="106">
        <f t="shared" si="13"/>
        <v>0</v>
      </c>
      <c r="AC19" s="106">
        <f t="shared" si="14"/>
        <v>0</v>
      </c>
      <c r="AD19" s="106">
        <f t="shared" si="15"/>
        <v>0</v>
      </c>
    </row>
    <row r="20" spans="1:35">
      <c r="A20" s="165">
        <v>2</v>
      </c>
      <c r="B20" s="164" t="s">
        <v>396</v>
      </c>
      <c r="C20" s="163"/>
      <c r="D20" s="162" t="s">
        <v>81</v>
      </c>
      <c r="E20" s="158">
        <f>+IF($A20="",IF($C20="",SUMIFS(全伝票!I:I,全伝票!$B:$B,$B20),SUMIFS(全伝票!I:I,全伝票!$C:$C,$C20)),IF($C20="",SUMIFS(全伝票!I:I,全伝票!$A:$A,$A20,全伝票!$B:$B,$B20),SUMIFS(全伝票!I:I,全伝票!$A:$A,$A20,全伝票!$C:$C,$C20)))</f>
        <v>84624500</v>
      </c>
      <c r="F20" s="161">
        <f>+IF($A20="",IF($C20="",SUMIFS(全伝票!J:J,全伝票!$B:$B,$B20),SUMIFS(全伝票!J:J,全伝票!$C:$C,$C20)),IF($C20="",SUMIFS(全伝票!J:J,全伝票!$A:$A,$A20,全伝票!$B:$B,$B20),SUMIFS(全伝票!J:J,全伝票!$A:$A,$A20,全伝票!$C:$C,$C20)))</f>
        <v>0</v>
      </c>
      <c r="G20" s="160">
        <f>+IF($A20="",IF($C20="",SUMIFS(全伝票!K:K,全伝票!$B:$B,$B20),SUMIFS(全伝票!K:K,全伝票!$C:$C,$C20)),IF($C20="",SUMIFS(全伝票!K:K,全伝票!$A:$A,$A20,全伝票!$B:$B,$B20),SUMIFS(全伝票!K:K,全伝票!$A:$A,$A20,全伝票!$C:$C,$C20)))</f>
        <v>0</v>
      </c>
      <c r="H20" s="160">
        <f>+IF($A20="",IF($C20="",SUMIFS(全伝票!L:L,全伝票!$B:$B,$B20),SUMIFS(全伝票!L:L,全伝票!$C:$C,$C20)),IF($C20="",SUMIFS(全伝票!L:L,全伝票!$A:$A,$A20,全伝票!$B:$B,$B20),SUMIFS(全伝票!L:L,全伝票!$A:$A,$A20,全伝票!$C:$C,$C20)))</f>
        <v>0</v>
      </c>
      <c r="I20" s="159">
        <f>+IF($A20="",IF($C20="",SUMIFS(全伝票!M:M,全伝票!$B:$B,$B20),SUMIFS(全伝票!M:M,全伝票!$C:$C,$C20)),IF($C20="",SUMIFS(全伝票!M:M,全伝票!$A:$A,$A20,全伝票!$B:$B,$B20),SUMIFS(全伝票!M:M,全伝票!$A:$A,$A20,全伝票!$C:$C,$C20)))</f>
        <v>0</v>
      </c>
      <c r="J20" s="159">
        <f>+IF($A20="",IF($C20="",SUMIFS(全伝票!N:N,全伝票!$B:$B,$B20),SUMIFS(全伝票!N:N,全伝票!$C:$C,$C20)),IF($C20="",SUMIFS(全伝票!N:N,全伝票!$A:$A,$A20,全伝票!$B:$B,$B20),SUMIFS(全伝票!N:N,全伝票!$A:$A,$A20,全伝票!$C:$C,$C20)))</f>
        <v>84624500</v>
      </c>
      <c r="K20" s="34">
        <f t="shared" si="0"/>
        <v>84624500</v>
      </c>
      <c r="L20" s="158">
        <f>+IF($A20="",IF($C20="",SUMIFS(全伝票!O:O,全伝票!$B:$B,$B20),SUMIFS(全伝票!O:O,全伝票!$C:$C,$C20)),IF($C20="",SUMIFS(全伝票!O:O,全伝票!$A:$A,$A20,全伝票!$B:$B,$B20),SUMIFS(全伝票!O:O,全伝票!$A:$A,$A20,全伝票!$C:$C,$C20)))</f>
        <v>0</v>
      </c>
      <c r="M20" s="158">
        <f>+IF($A20="",IF($C20="",SUMIFS(全伝票!P:P,全伝票!$B:$B,$B20),SUMIFS(全伝票!P:P,全伝票!$C:$C,$C20)),IF($C20="",SUMIFS(全伝票!P:P,全伝票!$A:$A,$A20,全伝票!$B:$B,$B20),SUMIFS(全伝票!P:P,全伝票!$A:$A,$A20,全伝票!$C:$C,$C20)))</f>
        <v>0</v>
      </c>
      <c r="N20" s="108">
        <f t="shared" si="1"/>
        <v>0</v>
      </c>
      <c r="O20" s="25">
        <f t="shared" si="3"/>
        <v>0</v>
      </c>
      <c r="P20" s="25">
        <f t="shared" si="2"/>
        <v>0</v>
      </c>
      <c r="Q20" s="157">
        <f t="shared" si="3"/>
        <v>0</v>
      </c>
      <c r="R20" s="157">
        <f t="shared" si="4"/>
        <v>7693136</v>
      </c>
      <c r="S20" s="22">
        <f t="shared" si="5"/>
        <v>7693136</v>
      </c>
      <c r="T20" s="109">
        <f t="shared" si="6"/>
        <v>76931364</v>
      </c>
      <c r="U20" s="107">
        <f t="shared" si="7"/>
        <v>0</v>
      </c>
      <c r="V20" s="107">
        <f t="shared" si="8"/>
        <v>0</v>
      </c>
      <c r="W20" s="107">
        <f t="shared" si="9"/>
        <v>0</v>
      </c>
      <c r="X20" s="107">
        <f t="shared" si="9"/>
        <v>0</v>
      </c>
      <c r="Y20" s="107">
        <f t="shared" si="10"/>
        <v>-0.36363636329770088</v>
      </c>
      <c r="Z20" s="106">
        <f t="shared" si="11"/>
        <v>0</v>
      </c>
      <c r="AA20" s="106">
        <f t="shared" si="12"/>
        <v>0</v>
      </c>
      <c r="AB20" s="106">
        <f t="shared" si="13"/>
        <v>0</v>
      </c>
      <c r="AC20" s="106">
        <f t="shared" si="14"/>
        <v>0</v>
      </c>
      <c r="AD20" s="106">
        <f t="shared" si="15"/>
        <v>0</v>
      </c>
    </row>
    <row r="21" spans="1:35">
      <c r="A21" s="165">
        <v>2</v>
      </c>
      <c r="B21" s="164" t="s">
        <v>395</v>
      </c>
      <c r="C21" s="163"/>
      <c r="D21" s="162" t="s">
        <v>79</v>
      </c>
      <c r="E21" s="158">
        <f>+IF($A21="",IF($C21="",SUMIFS(全伝票!I:I,全伝票!$B:$B,$B21),SUMIFS(全伝票!I:I,全伝票!$C:$C,$C21)),IF($C21="",SUMIFS(全伝票!I:I,全伝票!$A:$A,$A21,全伝票!$B:$B,$B21),SUMIFS(全伝票!I:I,全伝票!$A:$A,$A21,全伝票!$C:$C,$C21)))</f>
        <v>6873329</v>
      </c>
      <c r="F21" s="161">
        <f>+IF($A21="",IF($C21="",SUMIFS(全伝票!J:J,全伝票!$B:$B,$B21),SUMIFS(全伝票!J:J,全伝票!$C:$C,$C21)),IF($C21="",SUMIFS(全伝票!J:J,全伝票!$A:$A,$A21,全伝票!$B:$B,$B21),SUMIFS(全伝票!J:J,全伝票!$A:$A,$A21,全伝票!$C:$C,$C21)))</f>
        <v>0</v>
      </c>
      <c r="G21" s="160">
        <f>+IF($A21="",IF($C21="",SUMIFS(全伝票!K:K,全伝票!$B:$B,$B21),SUMIFS(全伝票!K:K,全伝票!$C:$C,$C21)),IF($C21="",SUMIFS(全伝票!K:K,全伝票!$A:$A,$A21,全伝票!$B:$B,$B21),SUMIFS(全伝票!K:K,全伝票!$A:$A,$A21,全伝票!$C:$C,$C21)))</f>
        <v>0</v>
      </c>
      <c r="H21" s="160">
        <f>+IF($A21="",IF($C21="",SUMIFS(全伝票!L:L,全伝票!$B:$B,$B21),SUMIFS(全伝票!L:L,全伝票!$C:$C,$C21)),IF($C21="",SUMIFS(全伝票!L:L,全伝票!$A:$A,$A21,全伝票!$B:$B,$B21),SUMIFS(全伝票!L:L,全伝票!$A:$A,$A21,全伝票!$C:$C,$C21)))</f>
        <v>0</v>
      </c>
      <c r="I21" s="159">
        <f>+IF($A21="",IF($C21="",SUMIFS(全伝票!M:M,全伝票!$B:$B,$B21),SUMIFS(全伝票!M:M,全伝票!$C:$C,$C21)),IF($C21="",SUMIFS(全伝票!M:M,全伝票!$A:$A,$A21,全伝票!$B:$B,$B21),SUMIFS(全伝票!M:M,全伝票!$A:$A,$A21,全伝票!$C:$C,$C21)))</f>
        <v>0</v>
      </c>
      <c r="J21" s="159">
        <f>+IF($A21="",IF($C21="",SUMIFS(全伝票!N:N,全伝票!$B:$B,$B21),SUMIFS(全伝票!N:N,全伝票!$C:$C,$C21)),IF($C21="",SUMIFS(全伝票!N:N,全伝票!$A:$A,$A21,全伝票!$B:$B,$B21),SUMIFS(全伝票!N:N,全伝票!$A:$A,$A21,全伝票!$C:$C,$C21)))</f>
        <v>6873329</v>
      </c>
      <c r="K21" s="34">
        <f t="shared" si="0"/>
        <v>6873329</v>
      </c>
      <c r="L21" s="158">
        <f>+IF($A21="",IF($C21="",SUMIFS(全伝票!O:O,全伝票!$B:$B,$B21),SUMIFS(全伝票!O:O,全伝票!$C:$C,$C21)),IF($C21="",SUMIFS(全伝票!O:O,全伝票!$A:$A,$A21,全伝票!$B:$B,$B21),SUMIFS(全伝票!O:O,全伝票!$A:$A,$A21,全伝票!$C:$C,$C21)))</f>
        <v>0</v>
      </c>
      <c r="M21" s="158">
        <f>+IF($A21="",IF($C21="",SUMIFS(全伝票!P:P,全伝票!$B:$B,$B21),SUMIFS(全伝票!P:P,全伝票!$C:$C,$C21)),IF($C21="",SUMIFS(全伝票!P:P,全伝票!$A:$A,$A21,全伝票!$B:$B,$B21),SUMIFS(全伝票!P:P,全伝票!$A:$A,$A21,全伝票!$C:$C,$C21)))</f>
        <v>0</v>
      </c>
      <c r="N21" s="108">
        <f t="shared" si="1"/>
        <v>0</v>
      </c>
      <c r="O21" s="25">
        <f t="shared" si="3"/>
        <v>0</v>
      </c>
      <c r="P21" s="25">
        <f t="shared" si="2"/>
        <v>0</v>
      </c>
      <c r="Q21" s="157">
        <f t="shared" si="3"/>
        <v>0</v>
      </c>
      <c r="R21" s="157">
        <f t="shared" si="4"/>
        <v>624848</v>
      </c>
      <c r="S21" s="22">
        <f t="shared" si="5"/>
        <v>624848</v>
      </c>
      <c r="T21" s="109">
        <f t="shared" si="6"/>
        <v>6248481</v>
      </c>
      <c r="U21" s="107">
        <f t="shared" si="7"/>
        <v>0</v>
      </c>
      <c r="V21" s="107">
        <f t="shared" si="8"/>
        <v>0</v>
      </c>
      <c r="W21" s="107">
        <f t="shared" si="9"/>
        <v>0</v>
      </c>
      <c r="X21" s="107">
        <f t="shared" si="9"/>
        <v>0</v>
      </c>
      <c r="Y21" s="107">
        <f t="shared" si="10"/>
        <v>-9.0909090940840542E-2</v>
      </c>
      <c r="Z21" s="106">
        <f t="shared" si="11"/>
        <v>0</v>
      </c>
      <c r="AA21" s="106">
        <f t="shared" si="12"/>
        <v>0</v>
      </c>
      <c r="AB21" s="106">
        <f t="shared" si="13"/>
        <v>0</v>
      </c>
      <c r="AC21" s="106">
        <f t="shared" si="14"/>
        <v>0</v>
      </c>
      <c r="AD21" s="106">
        <f t="shared" si="15"/>
        <v>0</v>
      </c>
    </row>
    <row r="22" spans="1:35">
      <c r="A22" s="165">
        <v>2</v>
      </c>
      <c r="B22" s="164" t="s">
        <v>394</v>
      </c>
      <c r="C22" s="163"/>
      <c r="D22" s="162" t="s">
        <v>77</v>
      </c>
      <c r="E22" s="158">
        <f>+IF($A22="",IF($C22="",SUMIFS(全伝票!I:I,全伝票!$B:$B,$B22),SUMIFS(全伝票!I:I,全伝票!$C:$C,$C22)),IF($C22="",SUMIFS(全伝票!I:I,全伝票!$A:$A,$A22,全伝票!$B:$B,$B22),SUMIFS(全伝票!I:I,全伝票!$A:$A,$A22,全伝票!$C:$C,$C22)))</f>
        <v>4513894</v>
      </c>
      <c r="F22" s="161">
        <f>+IF($A22="",IF($C22="",SUMIFS(全伝票!J:J,全伝票!$B:$B,$B22),SUMIFS(全伝票!J:J,全伝票!$C:$C,$C22)),IF($C22="",SUMIFS(全伝票!J:J,全伝票!$A:$A,$A22,全伝票!$B:$B,$B22),SUMIFS(全伝票!J:J,全伝票!$A:$A,$A22,全伝票!$C:$C,$C22)))</f>
        <v>0</v>
      </c>
      <c r="G22" s="160">
        <f>+IF($A22="",IF($C22="",SUMIFS(全伝票!K:K,全伝票!$B:$B,$B22),SUMIFS(全伝票!K:K,全伝票!$C:$C,$C22)),IF($C22="",SUMIFS(全伝票!K:K,全伝票!$A:$A,$A22,全伝票!$B:$B,$B22),SUMIFS(全伝票!K:K,全伝票!$A:$A,$A22,全伝票!$C:$C,$C22)))</f>
        <v>0</v>
      </c>
      <c r="H22" s="160">
        <f>+IF($A22="",IF($C22="",SUMIFS(全伝票!L:L,全伝票!$B:$B,$B22),SUMIFS(全伝票!L:L,全伝票!$C:$C,$C22)),IF($C22="",SUMIFS(全伝票!L:L,全伝票!$A:$A,$A22,全伝票!$B:$B,$B22),SUMIFS(全伝票!L:L,全伝票!$A:$A,$A22,全伝票!$C:$C,$C22)))</f>
        <v>0</v>
      </c>
      <c r="I22" s="159">
        <f>+IF($A22="",IF($C22="",SUMIFS(全伝票!M:M,全伝票!$B:$B,$B22),SUMIFS(全伝票!M:M,全伝票!$C:$C,$C22)),IF($C22="",SUMIFS(全伝票!M:M,全伝票!$A:$A,$A22,全伝票!$B:$B,$B22),SUMIFS(全伝票!M:M,全伝票!$A:$A,$A22,全伝票!$C:$C,$C22)))</f>
        <v>0</v>
      </c>
      <c r="J22" s="159">
        <f>+IF($A22="",IF($C22="",SUMIFS(全伝票!N:N,全伝票!$B:$B,$B22),SUMIFS(全伝票!N:N,全伝票!$C:$C,$C22)),IF($C22="",SUMIFS(全伝票!N:N,全伝票!$A:$A,$A22,全伝票!$B:$B,$B22),SUMIFS(全伝票!N:N,全伝票!$A:$A,$A22,全伝票!$C:$C,$C22)))</f>
        <v>4513894</v>
      </c>
      <c r="K22" s="34">
        <f t="shared" si="0"/>
        <v>4513894</v>
      </c>
      <c r="L22" s="158">
        <f>+IF($A22="",IF($C22="",SUMIFS(全伝票!O:O,全伝票!$B:$B,$B22),SUMIFS(全伝票!O:O,全伝票!$C:$C,$C22)),IF($C22="",SUMIFS(全伝票!O:O,全伝票!$A:$A,$A22,全伝票!$B:$B,$B22),SUMIFS(全伝票!O:O,全伝票!$A:$A,$A22,全伝票!$C:$C,$C22)))</f>
        <v>0</v>
      </c>
      <c r="M22" s="158">
        <f>+IF($A22="",IF($C22="",SUMIFS(全伝票!P:P,全伝票!$B:$B,$B22),SUMIFS(全伝票!P:P,全伝票!$C:$C,$C22)),IF($C22="",SUMIFS(全伝票!P:P,全伝票!$A:$A,$A22,全伝票!$B:$B,$B22),SUMIFS(全伝票!P:P,全伝票!$A:$A,$A22,全伝票!$C:$C,$C22)))</f>
        <v>0</v>
      </c>
      <c r="N22" s="108">
        <f t="shared" si="1"/>
        <v>0</v>
      </c>
      <c r="O22" s="25">
        <f t="shared" si="3"/>
        <v>0</v>
      </c>
      <c r="P22" s="25">
        <f t="shared" si="2"/>
        <v>0</v>
      </c>
      <c r="Q22" s="157">
        <f t="shared" si="3"/>
        <v>0</v>
      </c>
      <c r="R22" s="157">
        <f t="shared" si="4"/>
        <v>410354</v>
      </c>
      <c r="S22" s="22">
        <f t="shared" si="5"/>
        <v>410354</v>
      </c>
      <c r="T22" s="109">
        <f t="shared" si="6"/>
        <v>4103540</v>
      </c>
      <c r="U22" s="107">
        <f t="shared" si="7"/>
        <v>0</v>
      </c>
      <c r="V22" s="107">
        <f t="shared" si="8"/>
        <v>0</v>
      </c>
      <c r="W22" s="107">
        <f t="shared" si="9"/>
        <v>0</v>
      </c>
      <c r="X22" s="107">
        <f t="shared" si="9"/>
        <v>0</v>
      </c>
      <c r="Y22" s="107">
        <f t="shared" si="10"/>
        <v>0</v>
      </c>
      <c r="Z22" s="106">
        <f t="shared" si="11"/>
        <v>0</v>
      </c>
      <c r="AA22" s="106">
        <f t="shared" si="12"/>
        <v>0</v>
      </c>
      <c r="AB22" s="106">
        <f t="shared" si="13"/>
        <v>0</v>
      </c>
      <c r="AC22" s="106">
        <f t="shared" si="14"/>
        <v>0</v>
      </c>
      <c r="AD22" s="106">
        <f t="shared" si="15"/>
        <v>0</v>
      </c>
    </row>
    <row r="23" spans="1:35">
      <c r="A23" s="165">
        <v>2</v>
      </c>
      <c r="B23" s="164" t="s">
        <v>393</v>
      </c>
      <c r="C23" s="163"/>
      <c r="D23" s="162" t="s">
        <v>75</v>
      </c>
      <c r="E23" s="158">
        <f>+IF($A23="",IF($C23="",SUMIFS(全伝票!I:I,全伝票!$B:$B,$B23),SUMIFS(全伝票!I:I,全伝票!$C:$C,$C23)),IF($C23="",SUMIFS(全伝票!I:I,全伝票!$A:$A,$A23,全伝票!$B:$B,$B23),SUMIFS(全伝票!I:I,全伝票!$A:$A,$A23,全伝票!$C:$C,$C23)))</f>
        <v>9753471</v>
      </c>
      <c r="F23" s="161">
        <f>+IF($A23="",IF($C23="",SUMIFS(全伝票!J:J,全伝票!$B:$B,$B23),SUMIFS(全伝票!J:J,全伝票!$C:$C,$C23)),IF($C23="",SUMIFS(全伝票!J:J,全伝票!$A:$A,$A23,全伝票!$B:$B,$B23),SUMIFS(全伝票!J:J,全伝票!$A:$A,$A23,全伝票!$C:$C,$C23)))</f>
        <v>0</v>
      </c>
      <c r="G23" s="160">
        <f>+IF($A23="",IF($C23="",SUMIFS(全伝票!K:K,全伝票!$B:$B,$B23),SUMIFS(全伝票!K:K,全伝票!$C:$C,$C23)),IF($C23="",SUMIFS(全伝票!K:K,全伝票!$A:$A,$A23,全伝票!$B:$B,$B23),SUMIFS(全伝票!K:K,全伝票!$A:$A,$A23,全伝票!$C:$C,$C23)))</f>
        <v>0</v>
      </c>
      <c r="H23" s="160">
        <f>+IF($A23="",IF($C23="",SUMIFS(全伝票!L:L,全伝票!$B:$B,$B23),SUMIFS(全伝票!L:L,全伝票!$C:$C,$C23)),IF($C23="",SUMIFS(全伝票!L:L,全伝票!$A:$A,$A23,全伝票!$B:$B,$B23),SUMIFS(全伝票!L:L,全伝票!$A:$A,$A23,全伝票!$C:$C,$C23)))</f>
        <v>0</v>
      </c>
      <c r="I23" s="159">
        <f>+IF($A23="",IF($C23="",SUMIFS(全伝票!M:M,全伝票!$B:$B,$B23),SUMIFS(全伝票!M:M,全伝票!$C:$C,$C23)),IF($C23="",SUMIFS(全伝票!M:M,全伝票!$A:$A,$A23,全伝票!$B:$B,$B23),SUMIFS(全伝票!M:M,全伝票!$A:$A,$A23,全伝票!$C:$C,$C23)))</f>
        <v>0</v>
      </c>
      <c r="J23" s="159">
        <f>+IF($A23="",IF($C23="",SUMIFS(全伝票!N:N,全伝票!$B:$B,$B23),SUMIFS(全伝票!N:N,全伝票!$C:$C,$C23)),IF($C23="",SUMIFS(全伝票!N:N,全伝票!$A:$A,$A23,全伝票!$B:$B,$B23),SUMIFS(全伝票!N:N,全伝票!$A:$A,$A23,全伝票!$C:$C,$C23)))</f>
        <v>9753471</v>
      </c>
      <c r="K23" s="34">
        <f t="shared" si="0"/>
        <v>9753471</v>
      </c>
      <c r="L23" s="158">
        <f>+IF($A23="",IF($C23="",SUMIFS(全伝票!O:O,全伝票!$B:$B,$B23),SUMIFS(全伝票!O:O,全伝票!$C:$C,$C23)),IF($C23="",SUMIFS(全伝票!O:O,全伝票!$A:$A,$A23,全伝票!$B:$B,$B23),SUMIFS(全伝票!O:O,全伝票!$A:$A,$A23,全伝票!$C:$C,$C23)))</f>
        <v>0</v>
      </c>
      <c r="M23" s="158">
        <f>+IF($A23="",IF($C23="",SUMIFS(全伝票!P:P,全伝票!$B:$B,$B23),SUMIFS(全伝票!P:P,全伝票!$C:$C,$C23)),IF($C23="",SUMIFS(全伝票!P:P,全伝票!$A:$A,$A23,全伝票!$B:$B,$B23),SUMIFS(全伝票!P:P,全伝票!$A:$A,$A23,全伝票!$C:$C,$C23)))</f>
        <v>0</v>
      </c>
      <c r="N23" s="108">
        <f t="shared" si="1"/>
        <v>0</v>
      </c>
      <c r="O23" s="25">
        <f t="shared" si="3"/>
        <v>0</v>
      </c>
      <c r="P23" s="25">
        <f t="shared" si="2"/>
        <v>0</v>
      </c>
      <c r="Q23" s="157">
        <f t="shared" si="3"/>
        <v>0</v>
      </c>
      <c r="R23" s="157">
        <f t="shared" si="4"/>
        <v>886679</v>
      </c>
      <c r="S23" s="22">
        <f t="shared" si="5"/>
        <v>886679</v>
      </c>
      <c r="T23" s="109">
        <f t="shared" si="6"/>
        <v>8866792</v>
      </c>
      <c r="U23" s="107">
        <f t="shared" si="7"/>
        <v>0</v>
      </c>
      <c r="V23" s="107">
        <f t="shared" si="8"/>
        <v>0</v>
      </c>
      <c r="W23" s="107">
        <f t="shared" si="9"/>
        <v>0</v>
      </c>
      <c r="X23" s="107">
        <f t="shared" si="9"/>
        <v>0</v>
      </c>
      <c r="Y23" s="107">
        <f t="shared" si="10"/>
        <v>-0.18181818176526576</v>
      </c>
      <c r="Z23" s="106">
        <f t="shared" si="11"/>
        <v>0</v>
      </c>
      <c r="AA23" s="106">
        <f t="shared" si="12"/>
        <v>0</v>
      </c>
      <c r="AB23" s="106">
        <f t="shared" si="13"/>
        <v>0</v>
      </c>
      <c r="AC23" s="106">
        <f t="shared" si="14"/>
        <v>0</v>
      </c>
      <c r="AD23" s="106">
        <f t="shared" si="15"/>
        <v>0</v>
      </c>
    </row>
    <row r="24" spans="1:35">
      <c r="A24" s="165">
        <v>2</v>
      </c>
      <c r="B24" s="164" t="s">
        <v>392</v>
      </c>
      <c r="C24" s="163"/>
      <c r="D24" s="162" t="s">
        <v>73</v>
      </c>
      <c r="E24" s="158">
        <f>+IF($A24="",IF($C24="",SUMIFS(全伝票!I:I,全伝票!$B:$B,$B24),SUMIFS(全伝票!I:I,全伝票!$C:$C,$C24)),IF($C24="",SUMIFS(全伝票!I:I,全伝票!$A:$A,$A24,全伝票!$B:$B,$B24),SUMIFS(全伝票!I:I,全伝票!$A:$A,$A24,全伝票!$C:$C,$C24)))</f>
        <v>0</v>
      </c>
      <c r="F24" s="161">
        <f>+IF($A24="",IF($C24="",SUMIFS(全伝票!J:J,全伝票!$B:$B,$B24),SUMIFS(全伝票!J:J,全伝票!$C:$C,$C24)),IF($C24="",SUMIFS(全伝票!J:J,全伝票!$A:$A,$A24,全伝票!$B:$B,$B24),SUMIFS(全伝票!J:J,全伝票!$A:$A,$A24,全伝票!$C:$C,$C24)))</f>
        <v>0</v>
      </c>
      <c r="G24" s="160">
        <f>+IF($A24="",IF($C24="",SUMIFS(全伝票!K:K,全伝票!$B:$B,$B24),SUMIFS(全伝票!K:K,全伝票!$C:$C,$C24)),IF($C24="",SUMIFS(全伝票!K:K,全伝票!$A:$A,$A24,全伝票!$B:$B,$B24),SUMIFS(全伝票!K:K,全伝票!$A:$A,$A24,全伝票!$C:$C,$C24)))</f>
        <v>0</v>
      </c>
      <c r="H24" s="160">
        <f>+IF($A24="",IF($C24="",SUMIFS(全伝票!L:L,全伝票!$B:$B,$B24),SUMIFS(全伝票!L:L,全伝票!$C:$C,$C24)),IF($C24="",SUMIFS(全伝票!L:L,全伝票!$A:$A,$A24,全伝票!$B:$B,$B24),SUMIFS(全伝票!L:L,全伝票!$A:$A,$A24,全伝票!$C:$C,$C24)))</f>
        <v>0</v>
      </c>
      <c r="I24" s="159">
        <f>+IF($A24="",IF($C24="",SUMIFS(全伝票!M:M,全伝票!$B:$B,$B24),SUMIFS(全伝票!M:M,全伝票!$C:$C,$C24)),IF($C24="",SUMIFS(全伝票!M:M,全伝票!$A:$A,$A24,全伝票!$B:$B,$B24),SUMIFS(全伝票!M:M,全伝票!$A:$A,$A24,全伝票!$C:$C,$C24)))</f>
        <v>0</v>
      </c>
      <c r="J24" s="159">
        <f>+IF($A24="",IF($C24="",SUMIFS(全伝票!N:N,全伝票!$B:$B,$B24),SUMIFS(全伝票!N:N,全伝票!$C:$C,$C24)),IF($C24="",SUMIFS(全伝票!N:N,全伝票!$A:$A,$A24,全伝票!$B:$B,$B24),SUMIFS(全伝票!N:N,全伝票!$A:$A,$A24,全伝票!$C:$C,$C24)))</f>
        <v>0</v>
      </c>
      <c r="K24" s="34">
        <f t="shared" si="0"/>
        <v>0</v>
      </c>
      <c r="L24" s="158">
        <f>+IF($A24="",IF($C24="",SUMIFS(全伝票!O:O,全伝票!$B:$B,$B24),SUMIFS(全伝票!O:O,全伝票!$C:$C,$C24)),IF($C24="",SUMIFS(全伝票!O:O,全伝票!$A:$A,$A24,全伝票!$B:$B,$B24),SUMIFS(全伝票!O:O,全伝票!$A:$A,$A24,全伝票!$C:$C,$C24)))</f>
        <v>0</v>
      </c>
      <c r="M24" s="158">
        <f>+IF($A24="",IF($C24="",SUMIFS(全伝票!P:P,全伝票!$B:$B,$B24),SUMIFS(全伝票!P:P,全伝票!$C:$C,$C24)),IF($C24="",SUMIFS(全伝票!P:P,全伝票!$A:$A,$A24,全伝票!$B:$B,$B24),SUMIFS(全伝票!P:P,全伝票!$A:$A,$A24,全伝票!$C:$C,$C24)))</f>
        <v>0</v>
      </c>
      <c r="N24" s="108">
        <f t="shared" si="1"/>
        <v>0</v>
      </c>
      <c r="O24" s="25">
        <f t="shared" si="3"/>
        <v>0</v>
      </c>
      <c r="P24" s="25">
        <f t="shared" si="2"/>
        <v>0</v>
      </c>
      <c r="Q24" s="157">
        <f t="shared" si="3"/>
        <v>0</v>
      </c>
      <c r="R24" s="157">
        <f t="shared" si="4"/>
        <v>0</v>
      </c>
      <c r="S24" s="22">
        <f t="shared" si="5"/>
        <v>0</v>
      </c>
      <c r="T24" s="109">
        <f t="shared" si="6"/>
        <v>0</v>
      </c>
      <c r="U24" s="107">
        <f t="shared" si="7"/>
        <v>0</v>
      </c>
      <c r="V24" s="107">
        <f t="shared" si="8"/>
        <v>0</v>
      </c>
      <c r="W24" s="107">
        <f t="shared" si="9"/>
        <v>0</v>
      </c>
      <c r="X24" s="107">
        <f t="shared" si="9"/>
        <v>0</v>
      </c>
      <c r="Y24" s="107">
        <f t="shared" si="10"/>
        <v>0</v>
      </c>
      <c r="Z24" s="106">
        <f t="shared" si="11"/>
        <v>0</v>
      </c>
      <c r="AA24" s="106">
        <f t="shared" si="12"/>
        <v>0</v>
      </c>
      <c r="AB24" s="106">
        <f t="shared" si="13"/>
        <v>0</v>
      </c>
      <c r="AC24" s="106">
        <f t="shared" si="14"/>
        <v>0</v>
      </c>
      <c r="AD24" s="106">
        <f t="shared" si="15"/>
        <v>0</v>
      </c>
    </row>
    <row r="25" spans="1:35">
      <c r="A25" s="165">
        <v>2</v>
      </c>
      <c r="B25" s="164" t="s">
        <v>390</v>
      </c>
      <c r="C25" s="163" t="s">
        <v>391</v>
      </c>
      <c r="D25" s="162" t="s">
        <v>71</v>
      </c>
      <c r="E25" s="158">
        <f>+IF($A25="",IF($C25="",SUMIFS(全伝票!I:I,全伝票!$B:$B,$B25),SUMIFS(全伝票!I:I,全伝票!$C:$C,$C25)),IF($C25="",SUMIFS(全伝票!I:I,全伝票!$A:$A,$A25,全伝票!$B:$B,$B25),SUMIFS(全伝票!I:I,全伝票!$A:$A,$A25,全伝票!$C:$C,$C25)))</f>
        <v>39778</v>
      </c>
      <c r="F25" s="161">
        <f>+IF($A25="",IF($C25="",SUMIFS(全伝票!J:J,全伝票!$B:$B,$B25),SUMIFS(全伝票!J:J,全伝票!$C:$C,$C25)),IF($C25="",SUMIFS(全伝票!J:J,全伝票!$A:$A,$A25,全伝票!$B:$B,$B25),SUMIFS(全伝票!J:J,全伝票!$A:$A,$A25,全伝票!$C:$C,$C25)))</f>
        <v>0</v>
      </c>
      <c r="G25" s="160">
        <f>+IF($A25="",IF($C25="",SUMIFS(全伝票!K:K,全伝票!$B:$B,$B25),SUMIFS(全伝票!K:K,全伝票!$C:$C,$C25)),IF($C25="",SUMIFS(全伝票!K:K,全伝票!$A:$A,$A25,全伝票!$B:$B,$B25),SUMIFS(全伝票!K:K,全伝票!$A:$A,$A25,全伝票!$C:$C,$C25)))</f>
        <v>0</v>
      </c>
      <c r="H25" s="160">
        <f>+IF($A25="",IF($C25="",SUMIFS(全伝票!L:L,全伝票!$B:$B,$B25),SUMIFS(全伝票!L:L,全伝票!$C:$C,$C25)),IF($C25="",SUMIFS(全伝票!L:L,全伝票!$A:$A,$A25,全伝票!$B:$B,$B25),SUMIFS(全伝票!L:L,全伝票!$A:$A,$A25,全伝票!$C:$C,$C25)))</f>
        <v>0</v>
      </c>
      <c r="I25" s="159">
        <f>+IF($A25="",IF($C25="",SUMIFS(全伝票!M:M,全伝票!$B:$B,$B25),SUMIFS(全伝票!M:M,全伝票!$C:$C,$C25)),IF($C25="",SUMIFS(全伝票!M:M,全伝票!$A:$A,$A25,全伝票!$B:$B,$B25),SUMIFS(全伝票!M:M,全伝票!$A:$A,$A25,全伝票!$C:$C,$C25)))</f>
        <v>0</v>
      </c>
      <c r="J25" s="159">
        <f>+IF($A25="",IF($C25="",SUMIFS(全伝票!N:N,全伝票!$B:$B,$B25),SUMIFS(全伝票!N:N,全伝票!$C:$C,$C25)),IF($C25="",SUMIFS(全伝票!N:N,全伝票!$A:$A,$A25,全伝票!$B:$B,$B25),SUMIFS(全伝票!N:N,全伝票!$A:$A,$A25,全伝票!$C:$C,$C25)))</f>
        <v>39778</v>
      </c>
      <c r="K25" s="34">
        <f t="shared" si="0"/>
        <v>39778</v>
      </c>
      <c r="L25" s="158">
        <f>+IF($A25="",IF($C25="",SUMIFS(全伝票!O:O,全伝票!$B:$B,$B25),SUMIFS(全伝票!O:O,全伝票!$C:$C,$C25)),IF($C25="",SUMIFS(全伝票!O:O,全伝票!$A:$A,$A25,全伝票!$B:$B,$B25),SUMIFS(全伝票!O:O,全伝票!$A:$A,$A25,全伝票!$C:$C,$C25)))</f>
        <v>0</v>
      </c>
      <c r="M25" s="158">
        <f>+IF($A25="",IF($C25="",SUMIFS(全伝票!P:P,全伝票!$B:$B,$B25),SUMIFS(全伝票!P:P,全伝票!$C:$C,$C25)),IF($C25="",SUMIFS(全伝票!P:P,全伝票!$A:$A,$A25,全伝票!$B:$B,$B25),SUMIFS(全伝票!P:P,全伝票!$A:$A,$A25,全伝票!$C:$C,$C25)))</f>
        <v>0</v>
      </c>
      <c r="N25" s="108">
        <f t="shared" si="1"/>
        <v>0</v>
      </c>
      <c r="O25" s="25">
        <f t="shared" si="3"/>
        <v>0</v>
      </c>
      <c r="P25" s="25">
        <f t="shared" si="2"/>
        <v>0</v>
      </c>
      <c r="Q25" s="157">
        <f t="shared" si="3"/>
        <v>0</v>
      </c>
      <c r="R25" s="157">
        <f t="shared" si="4"/>
        <v>3616</v>
      </c>
      <c r="S25" s="22">
        <f t="shared" si="5"/>
        <v>3616</v>
      </c>
      <c r="T25" s="109">
        <f t="shared" si="6"/>
        <v>36162</v>
      </c>
      <c r="U25" s="107">
        <f t="shared" si="7"/>
        <v>0</v>
      </c>
      <c r="V25" s="107">
        <f t="shared" si="8"/>
        <v>0</v>
      </c>
      <c r="W25" s="107">
        <f t="shared" si="9"/>
        <v>0</v>
      </c>
      <c r="X25" s="107">
        <f t="shared" si="9"/>
        <v>0</v>
      </c>
      <c r="Y25" s="107">
        <f t="shared" si="10"/>
        <v>-0.18181818181801646</v>
      </c>
      <c r="Z25" s="106">
        <f t="shared" si="11"/>
        <v>0</v>
      </c>
      <c r="AA25" s="106">
        <f t="shared" si="12"/>
        <v>0</v>
      </c>
      <c r="AB25" s="106">
        <f t="shared" si="13"/>
        <v>0</v>
      </c>
      <c r="AC25" s="106">
        <f t="shared" si="14"/>
        <v>0</v>
      </c>
      <c r="AD25" s="106">
        <f t="shared" si="15"/>
        <v>0</v>
      </c>
    </row>
    <row r="26" spans="1:35">
      <c r="A26" s="165">
        <v>2</v>
      </c>
      <c r="B26" s="164" t="s">
        <v>390</v>
      </c>
      <c r="C26" s="163" t="s">
        <v>389</v>
      </c>
      <c r="D26" s="162" t="s">
        <v>68</v>
      </c>
      <c r="E26" s="158">
        <f>+IF($A26="",IF($C26="",SUMIFS(全伝票!I:I,全伝票!$B:$B,$B26),SUMIFS(全伝票!I:I,全伝票!$C:$C,$C26)),IF($C26="",SUMIFS(全伝票!I:I,全伝票!$A:$A,$A26,全伝票!$B:$B,$B26),SUMIFS(全伝票!I:I,全伝票!$A:$A,$A26,全伝票!$C:$C,$C26)))</f>
        <v>0</v>
      </c>
      <c r="F26" s="161">
        <f>+IF($A26="",IF($C26="",SUMIFS(全伝票!J:J,全伝票!$B:$B,$B26),SUMIFS(全伝票!J:J,全伝票!$C:$C,$C26)),IF($C26="",SUMIFS(全伝票!J:J,全伝票!$A:$A,$A26,全伝票!$B:$B,$B26),SUMIFS(全伝票!J:J,全伝票!$A:$A,$A26,全伝票!$C:$C,$C26)))</f>
        <v>0</v>
      </c>
      <c r="G26" s="160">
        <f>+IF($A26="",IF($C26="",SUMIFS(全伝票!K:K,全伝票!$B:$B,$B26),SUMIFS(全伝票!K:K,全伝票!$C:$C,$C26)),IF($C26="",SUMIFS(全伝票!K:K,全伝票!$A:$A,$A26,全伝票!$B:$B,$B26),SUMIFS(全伝票!K:K,全伝票!$A:$A,$A26,全伝票!$C:$C,$C26)))</f>
        <v>0</v>
      </c>
      <c r="H26" s="160">
        <f>+IF($A26="",IF($C26="",SUMIFS(全伝票!L:L,全伝票!$B:$B,$B26),SUMIFS(全伝票!L:L,全伝票!$C:$C,$C26)),IF($C26="",SUMIFS(全伝票!L:L,全伝票!$A:$A,$A26,全伝票!$B:$B,$B26),SUMIFS(全伝票!L:L,全伝票!$A:$A,$A26,全伝票!$C:$C,$C26)))</f>
        <v>0</v>
      </c>
      <c r="I26" s="159">
        <f>+IF($A26="",IF($C26="",SUMIFS(全伝票!M:M,全伝票!$B:$B,$B26),SUMIFS(全伝票!M:M,全伝票!$C:$C,$C26)),IF($C26="",SUMIFS(全伝票!M:M,全伝票!$A:$A,$A26,全伝票!$B:$B,$B26),SUMIFS(全伝票!M:M,全伝票!$A:$A,$A26,全伝票!$C:$C,$C26)))</f>
        <v>0</v>
      </c>
      <c r="J26" s="159">
        <f>+IF($A26="",IF($C26="",SUMIFS(全伝票!N:N,全伝票!$B:$B,$B26),SUMIFS(全伝票!N:N,全伝票!$C:$C,$C26)),IF($C26="",SUMIFS(全伝票!N:N,全伝票!$A:$A,$A26,全伝票!$B:$B,$B26),SUMIFS(全伝票!N:N,全伝票!$A:$A,$A26,全伝票!$C:$C,$C26)))</f>
        <v>0</v>
      </c>
      <c r="K26" s="34">
        <f t="shared" si="0"/>
        <v>0</v>
      </c>
      <c r="L26" s="158">
        <f>+IF($A26="",IF($C26="",SUMIFS(全伝票!O:O,全伝票!$B:$B,$B26),SUMIFS(全伝票!O:O,全伝票!$C:$C,$C26)),IF($C26="",SUMIFS(全伝票!O:O,全伝票!$A:$A,$A26,全伝票!$B:$B,$B26),SUMIFS(全伝票!O:O,全伝票!$A:$A,$A26,全伝票!$C:$C,$C26)))</f>
        <v>0</v>
      </c>
      <c r="M26" s="158">
        <f>+IF($A26="",IF($C26="",SUMIFS(全伝票!P:P,全伝票!$B:$B,$B26),SUMIFS(全伝票!P:P,全伝票!$C:$C,$C26)),IF($C26="",SUMIFS(全伝票!P:P,全伝票!$A:$A,$A26,全伝票!$B:$B,$B26),SUMIFS(全伝票!P:P,全伝票!$A:$A,$A26,全伝票!$C:$C,$C26)))</f>
        <v>0</v>
      </c>
      <c r="N26" s="108">
        <f t="shared" si="1"/>
        <v>0</v>
      </c>
      <c r="O26" s="25">
        <f t="shared" si="3"/>
        <v>0</v>
      </c>
      <c r="P26" s="25">
        <f t="shared" si="2"/>
        <v>0</v>
      </c>
      <c r="Q26" s="157">
        <f t="shared" si="3"/>
        <v>0</v>
      </c>
      <c r="R26" s="157">
        <f t="shared" si="4"/>
        <v>0</v>
      </c>
      <c r="S26" s="22">
        <f t="shared" si="5"/>
        <v>0</v>
      </c>
      <c r="T26" s="109">
        <f t="shared" si="6"/>
        <v>0</v>
      </c>
      <c r="U26" s="107">
        <f t="shared" si="7"/>
        <v>0</v>
      </c>
      <c r="V26" s="107">
        <f t="shared" si="8"/>
        <v>0</v>
      </c>
      <c r="W26" s="107">
        <f t="shared" si="9"/>
        <v>0</v>
      </c>
      <c r="X26" s="107">
        <f t="shared" si="9"/>
        <v>0</v>
      </c>
      <c r="Y26" s="107">
        <f t="shared" si="10"/>
        <v>0</v>
      </c>
      <c r="Z26" s="106">
        <f t="shared" si="11"/>
        <v>0</v>
      </c>
      <c r="AA26" s="106">
        <f t="shared" si="12"/>
        <v>0</v>
      </c>
      <c r="AB26" s="106">
        <f t="shared" si="13"/>
        <v>0</v>
      </c>
      <c r="AC26" s="106">
        <f t="shared" si="14"/>
        <v>0</v>
      </c>
      <c r="AD26" s="106">
        <f t="shared" si="15"/>
        <v>0</v>
      </c>
    </row>
    <row r="27" spans="1:35">
      <c r="A27" s="165">
        <v>2</v>
      </c>
      <c r="B27" s="164" t="s">
        <v>388</v>
      </c>
      <c r="C27" s="163"/>
      <c r="D27" s="162" t="s">
        <v>66</v>
      </c>
      <c r="E27" s="158">
        <f>+IF($A27="",IF($C27="",SUMIFS(全伝票!I:I,全伝票!$B:$B,$B27),SUMIFS(全伝票!I:I,全伝票!$C:$C,$C27)),IF($C27="",SUMIFS(全伝票!I:I,全伝票!$A:$A,$A27,全伝票!$B:$B,$B27),SUMIFS(全伝票!I:I,全伝票!$A:$A,$A27,全伝票!$C:$C,$C27)))</f>
        <v>0</v>
      </c>
      <c r="F27" s="161">
        <f>+IF($A27="",IF($C27="",SUMIFS(全伝票!J:J,全伝票!$B:$B,$B27),SUMIFS(全伝票!J:J,全伝票!$C:$C,$C27)),IF($C27="",SUMIFS(全伝票!J:J,全伝票!$A:$A,$A27,全伝票!$B:$B,$B27),SUMIFS(全伝票!J:J,全伝票!$A:$A,$A27,全伝票!$C:$C,$C27)))</f>
        <v>0</v>
      </c>
      <c r="G27" s="160">
        <f>+IF($A27="",IF($C27="",SUMIFS(全伝票!K:K,全伝票!$B:$B,$B27),SUMIFS(全伝票!K:K,全伝票!$C:$C,$C27)),IF($C27="",SUMIFS(全伝票!K:K,全伝票!$A:$A,$A27,全伝票!$B:$B,$B27),SUMIFS(全伝票!K:K,全伝票!$A:$A,$A27,全伝票!$C:$C,$C27)))</f>
        <v>0</v>
      </c>
      <c r="H27" s="160">
        <f>+IF($A27="",IF($C27="",SUMIFS(全伝票!L:L,全伝票!$B:$B,$B27),SUMIFS(全伝票!L:L,全伝票!$C:$C,$C27)),IF($C27="",SUMIFS(全伝票!L:L,全伝票!$A:$A,$A27,全伝票!$B:$B,$B27),SUMIFS(全伝票!L:L,全伝票!$A:$A,$A27,全伝票!$C:$C,$C27)))</f>
        <v>0</v>
      </c>
      <c r="I27" s="159">
        <f>+IF($A27="",IF($C27="",SUMIFS(全伝票!M:M,全伝票!$B:$B,$B27),SUMIFS(全伝票!M:M,全伝票!$C:$C,$C27)),IF($C27="",SUMIFS(全伝票!M:M,全伝票!$A:$A,$A27,全伝票!$B:$B,$B27),SUMIFS(全伝票!M:M,全伝票!$A:$A,$A27,全伝票!$C:$C,$C27)))</f>
        <v>0</v>
      </c>
      <c r="J27" s="159">
        <f>+IF($A27="",IF($C27="",SUMIFS(全伝票!N:N,全伝票!$B:$B,$B27),SUMIFS(全伝票!N:N,全伝票!$C:$C,$C27)),IF($C27="",SUMIFS(全伝票!N:N,全伝票!$A:$A,$A27,全伝票!$B:$B,$B27),SUMIFS(全伝票!N:N,全伝票!$A:$A,$A27,全伝票!$C:$C,$C27)))</f>
        <v>0</v>
      </c>
      <c r="K27" s="34">
        <f t="shared" si="0"/>
        <v>0</v>
      </c>
      <c r="L27" s="158">
        <f>+IF($A27="",IF($C27="",SUMIFS(全伝票!O:O,全伝票!$B:$B,$B27),SUMIFS(全伝票!O:O,全伝票!$C:$C,$C27)),IF($C27="",SUMIFS(全伝票!O:O,全伝票!$A:$A,$A27,全伝票!$B:$B,$B27),SUMIFS(全伝票!O:O,全伝票!$A:$A,$A27,全伝票!$C:$C,$C27)))</f>
        <v>0</v>
      </c>
      <c r="M27" s="158">
        <f>+IF($A27="",IF($C27="",SUMIFS(全伝票!P:P,全伝票!$B:$B,$B27),SUMIFS(全伝票!P:P,全伝票!$C:$C,$C27)),IF($C27="",SUMIFS(全伝票!P:P,全伝票!$A:$A,$A27,全伝票!$B:$B,$B27),SUMIFS(全伝票!P:P,全伝票!$A:$A,$A27,全伝票!$C:$C,$C27)))</f>
        <v>0</v>
      </c>
      <c r="N27" s="108">
        <f t="shared" si="1"/>
        <v>0</v>
      </c>
      <c r="O27" s="25">
        <f t="shared" si="3"/>
        <v>0</v>
      </c>
      <c r="P27" s="25">
        <f t="shared" si="2"/>
        <v>0</v>
      </c>
      <c r="Q27" s="157">
        <f t="shared" si="3"/>
        <v>0</v>
      </c>
      <c r="R27" s="157">
        <f t="shared" si="4"/>
        <v>0</v>
      </c>
      <c r="S27" s="22">
        <f t="shared" si="5"/>
        <v>0</v>
      </c>
      <c r="T27" s="109">
        <f t="shared" si="6"/>
        <v>0</v>
      </c>
      <c r="U27" s="107">
        <f t="shared" si="7"/>
        <v>0</v>
      </c>
      <c r="V27" s="107">
        <f t="shared" si="8"/>
        <v>0</v>
      </c>
      <c r="W27" s="107">
        <f t="shared" si="9"/>
        <v>0</v>
      </c>
      <c r="X27" s="107">
        <f t="shared" si="9"/>
        <v>0</v>
      </c>
      <c r="Y27" s="107">
        <f t="shared" si="10"/>
        <v>0</v>
      </c>
      <c r="Z27" s="106">
        <f t="shared" si="11"/>
        <v>0</v>
      </c>
      <c r="AA27" s="106">
        <f t="shared" si="12"/>
        <v>0</v>
      </c>
      <c r="AB27" s="106">
        <f t="shared" si="13"/>
        <v>0</v>
      </c>
      <c r="AC27" s="106">
        <f t="shared" si="14"/>
        <v>0</v>
      </c>
      <c r="AD27" s="106">
        <f t="shared" si="15"/>
        <v>0</v>
      </c>
    </row>
    <row r="28" spans="1:35">
      <c r="A28" s="165">
        <v>2</v>
      </c>
      <c r="B28" s="164" t="s">
        <v>387</v>
      </c>
      <c r="C28" s="163"/>
      <c r="D28" s="162" t="s">
        <v>64</v>
      </c>
      <c r="E28" s="158">
        <f>+IF($A28="",IF($C28="",SUMIFS(全伝票!I:I,全伝票!$B:$B,$B28),SUMIFS(全伝票!I:I,全伝票!$C:$C,$C28)),IF($C28="",SUMIFS(全伝票!I:I,全伝票!$A:$A,$A28,全伝票!$B:$B,$B28),SUMIFS(全伝票!I:I,全伝票!$A:$A,$A28,全伝票!$C:$C,$C28)))</f>
        <v>0</v>
      </c>
      <c r="F28" s="161">
        <f>+IF($A28="",IF($C28="",SUMIFS(全伝票!J:J,全伝票!$B:$B,$B28),SUMIFS(全伝票!J:J,全伝票!$C:$C,$C28)),IF($C28="",SUMIFS(全伝票!J:J,全伝票!$A:$A,$A28,全伝票!$B:$B,$B28),SUMIFS(全伝票!J:J,全伝票!$A:$A,$A28,全伝票!$C:$C,$C28)))</f>
        <v>0</v>
      </c>
      <c r="G28" s="160">
        <f>+IF($A28="",IF($C28="",SUMIFS(全伝票!K:K,全伝票!$B:$B,$B28),SUMIFS(全伝票!K:K,全伝票!$C:$C,$C28)),IF($C28="",SUMIFS(全伝票!K:K,全伝票!$A:$A,$A28,全伝票!$B:$B,$B28),SUMIFS(全伝票!K:K,全伝票!$A:$A,$A28,全伝票!$C:$C,$C28)))</f>
        <v>0</v>
      </c>
      <c r="H28" s="160">
        <f>+IF($A28="",IF($C28="",SUMIFS(全伝票!L:L,全伝票!$B:$B,$B28),SUMIFS(全伝票!L:L,全伝票!$C:$C,$C28)),IF($C28="",SUMIFS(全伝票!L:L,全伝票!$A:$A,$A28,全伝票!$B:$B,$B28),SUMIFS(全伝票!L:L,全伝票!$A:$A,$A28,全伝票!$C:$C,$C28)))</f>
        <v>0</v>
      </c>
      <c r="I28" s="159">
        <f>+IF($A28="",IF($C28="",SUMIFS(全伝票!M:M,全伝票!$B:$B,$B28),SUMIFS(全伝票!M:M,全伝票!$C:$C,$C28)),IF($C28="",SUMIFS(全伝票!M:M,全伝票!$A:$A,$A28,全伝票!$B:$B,$B28),SUMIFS(全伝票!M:M,全伝票!$A:$A,$A28,全伝票!$C:$C,$C28)))</f>
        <v>0</v>
      </c>
      <c r="J28" s="159">
        <f>+IF($A28="",IF($C28="",SUMIFS(全伝票!N:N,全伝票!$B:$B,$B28),SUMIFS(全伝票!N:N,全伝票!$C:$C,$C28)),IF($C28="",SUMIFS(全伝票!N:N,全伝票!$A:$A,$A28,全伝票!$B:$B,$B28),SUMIFS(全伝票!N:N,全伝票!$A:$A,$A28,全伝票!$C:$C,$C28)))</f>
        <v>0</v>
      </c>
      <c r="K28" s="34">
        <f t="shared" si="0"/>
        <v>0</v>
      </c>
      <c r="L28" s="158">
        <f>+IF($A28="",IF($C28="",SUMIFS(全伝票!O:O,全伝票!$B:$B,$B28),SUMIFS(全伝票!O:O,全伝票!$C:$C,$C28)),IF($C28="",SUMIFS(全伝票!O:O,全伝票!$A:$A,$A28,全伝票!$B:$B,$B28),SUMIFS(全伝票!O:O,全伝票!$A:$A,$A28,全伝票!$C:$C,$C28)))</f>
        <v>0</v>
      </c>
      <c r="M28" s="158">
        <f>+IF($A28="",IF($C28="",SUMIFS(全伝票!P:P,全伝票!$B:$B,$B28),SUMIFS(全伝票!P:P,全伝票!$C:$C,$C28)),IF($C28="",SUMIFS(全伝票!P:P,全伝票!$A:$A,$A28,全伝票!$B:$B,$B28),SUMIFS(全伝票!P:P,全伝票!$A:$A,$A28,全伝票!$C:$C,$C28)))</f>
        <v>0</v>
      </c>
      <c r="N28" s="108">
        <f t="shared" si="1"/>
        <v>0</v>
      </c>
      <c r="O28" s="25">
        <f t="shared" si="3"/>
        <v>0</v>
      </c>
      <c r="P28" s="25">
        <f t="shared" si="2"/>
        <v>0</v>
      </c>
      <c r="Q28" s="157">
        <f t="shared" si="3"/>
        <v>0</v>
      </c>
      <c r="R28" s="157">
        <f t="shared" si="4"/>
        <v>0</v>
      </c>
      <c r="S28" s="22">
        <f t="shared" si="5"/>
        <v>0</v>
      </c>
      <c r="T28" s="109">
        <f t="shared" si="6"/>
        <v>0</v>
      </c>
      <c r="U28" s="107">
        <f t="shared" si="7"/>
        <v>0</v>
      </c>
      <c r="V28" s="107">
        <f t="shared" si="8"/>
        <v>0</v>
      </c>
      <c r="W28" s="107">
        <f t="shared" si="9"/>
        <v>0</v>
      </c>
      <c r="X28" s="107">
        <f t="shared" si="9"/>
        <v>0</v>
      </c>
      <c r="Y28" s="107">
        <f t="shared" si="10"/>
        <v>0</v>
      </c>
      <c r="Z28" s="106">
        <f t="shared" si="11"/>
        <v>0</v>
      </c>
      <c r="AA28" s="106">
        <f t="shared" si="12"/>
        <v>0</v>
      </c>
      <c r="AB28" s="106">
        <f t="shared" si="13"/>
        <v>0</v>
      </c>
      <c r="AC28" s="106">
        <f t="shared" si="14"/>
        <v>0</v>
      </c>
      <c r="AD28" s="106">
        <f t="shared" si="15"/>
        <v>0</v>
      </c>
    </row>
    <row r="29" spans="1:35">
      <c r="A29" s="165">
        <v>2</v>
      </c>
      <c r="B29" s="164" t="s">
        <v>386</v>
      </c>
      <c r="C29" s="163"/>
      <c r="D29" s="162" t="s">
        <v>62</v>
      </c>
      <c r="E29" s="158">
        <f>+IF($A29="",IF($C29="",SUMIFS(全伝票!I:I,全伝票!$B:$B,$B29),SUMIFS(全伝票!I:I,全伝票!$C:$C,$C29)),IF($C29="",SUMIFS(全伝票!I:I,全伝票!$A:$A,$A29,全伝票!$B:$B,$B29),SUMIFS(全伝票!I:I,全伝票!$A:$A,$A29,全伝票!$C:$C,$C29)))</f>
        <v>998517</v>
      </c>
      <c r="F29" s="161">
        <f>+IF($A29="",IF($C29="",SUMIFS(全伝票!J:J,全伝票!$B:$B,$B29),SUMIFS(全伝票!J:J,全伝票!$C:$C,$C29)),IF($C29="",SUMIFS(全伝票!J:J,全伝票!$A:$A,$A29,全伝票!$B:$B,$B29),SUMIFS(全伝票!J:J,全伝票!$A:$A,$A29,全伝票!$C:$C,$C29)))</f>
        <v>0</v>
      </c>
      <c r="G29" s="160">
        <f>+IF($A29="",IF($C29="",SUMIFS(全伝票!K:K,全伝票!$B:$B,$B29),SUMIFS(全伝票!K:K,全伝票!$C:$C,$C29)),IF($C29="",SUMIFS(全伝票!K:K,全伝票!$A:$A,$A29,全伝票!$B:$B,$B29),SUMIFS(全伝票!K:K,全伝票!$A:$A,$A29,全伝票!$C:$C,$C29)))</f>
        <v>0</v>
      </c>
      <c r="H29" s="160">
        <f>+IF($A29="",IF($C29="",SUMIFS(全伝票!L:L,全伝票!$B:$B,$B29),SUMIFS(全伝票!L:L,全伝票!$C:$C,$C29)),IF($C29="",SUMIFS(全伝票!L:L,全伝票!$A:$A,$A29,全伝票!$B:$B,$B29),SUMIFS(全伝票!L:L,全伝票!$A:$A,$A29,全伝票!$C:$C,$C29)))</f>
        <v>0</v>
      </c>
      <c r="I29" s="159">
        <f>+IF($A29="",IF($C29="",SUMIFS(全伝票!M:M,全伝票!$B:$B,$B29),SUMIFS(全伝票!M:M,全伝票!$C:$C,$C29)),IF($C29="",SUMIFS(全伝票!M:M,全伝票!$A:$A,$A29,全伝票!$B:$B,$B29),SUMIFS(全伝票!M:M,全伝票!$A:$A,$A29,全伝票!$C:$C,$C29)))</f>
        <v>0</v>
      </c>
      <c r="J29" s="159">
        <f>+IF($A29="",IF($C29="",SUMIFS(全伝票!N:N,全伝票!$B:$B,$B29),SUMIFS(全伝票!N:N,全伝票!$C:$C,$C29)),IF($C29="",SUMIFS(全伝票!N:N,全伝票!$A:$A,$A29,全伝票!$B:$B,$B29),SUMIFS(全伝票!N:N,全伝票!$A:$A,$A29,全伝票!$C:$C,$C29)))</f>
        <v>966295</v>
      </c>
      <c r="K29" s="34">
        <f t="shared" si="0"/>
        <v>966295</v>
      </c>
      <c r="L29" s="158">
        <f>+IF($A29="",IF($C29="",SUMIFS(全伝票!O:O,全伝票!$B:$B,$B29),SUMIFS(全伝票!O:O,全伝票!$C:$C,$C29)),IF($C29="",SUMIFS(全伝票!O:O,全伝票!$A:$A,$A29,全伝票!$B:$B,$B29),SUMIFS(全伝票!O:O,全伝票!$A:$A,$A29,全伝票!$C:$C,$C29)))</f>
        <v>0</v>
      </c>
      <c r="M29" s="158">
        <f>+IF($A29="",IF($C29="",SUMIFS(全伝票!P:P,全伝票!$B:$B,$B29),SUMIFS(全伝票!P:P,全伝票!$C:$C,$C29)),IF($C29="",SUMIFS(全伝票!P:P,全伝票!$A:$A,$A29,全伝票!$B:$B,$B29),SUMIFS(全伝票!P:P,全伝票!$A:$A,$A29,全伝票!$C:$C,$C29)))</f>
        <v>32222</v>
      </c>
      <c r="N29" s="108">
        <f t="shared" si="1"/>
        <v>0</v>
      </c>
      <c r="O29" s="25">
        <f t="shared" si="3"/>
        <v>0</v>
      </c>
      <c r="P29" s="25">
        <f t="shared" si="2"/>
        <v>0</v>
      </c>
      <c r="Q29" s="157">
        <f t="shared" si="3"/>
        <v>0</v>
      </c>
      <c r="R29" s="157">
        <f t="shared" si="4"/>
        <v>87845</v>
      </c>
      <c r="S29" s="22">
        <f t="shared" si="5"/>
        <v>87845</v>
      </c>
      <c r="T29" s="109">
        <f t="shared" si="6"/>
        <v>910672</v>
      </c>
      <c r="U29" s="107">
        <f t="shared" si="7"/>
        <v>0</v>
      </c>
      <c r="V29" s="107">
        <f t="shared" si="8"/>
        <v>0</v>
      </c>
      <c r="W29" s="107">
        <f t="shared" si="9"/>
        <v>0</v>
      </c>
      <c r="X29" s="107">
        <f t="shared" si="9"/>
        <v>0</v>
      </c>
      <c r="Y29" s="107">
        <f t="shared" si="10"/>
        <v>0</v>
      </c>
      <c r="Z29" s="106">
        <f t="shared" si="11"/>
        <v>0</v>
      </c>
      <c r="AA29" s="106">
        <f t="shared" si="12"/>
        <v>0</v>
      </c>
      <c r="AB29" s="106">
        <f t="shared" si="13"/>
        <v>0</v>
      </c>
      <c r="AC29" s="106">
        <f t="shared" si="14"/>
        <v>0</v>
      </c>
      <c r="AD29" s="106">
        <f t="shared" si="15"/>
        <v>0</v>
      </c>
    </row>
    <row r="30" spans="1:35">
      <c r="A30" s="165">
        <v>2</v>
      </c>
      <c r="B30" s="164">
        <v>8831736</v>
      </c>
      <c r="C30" s="163"/>
      <c r="D30" s="162" t="s">
        <v>868</v>
      </c>
      <c r="E30" s="158">
        <f>+IF($A30="",IF($C30="",SUMIFS(全伝票!I:I,全伝票!$B:$B,$B30),SUMIFS(全伝票!I:I,全伝票!$C:$C,$C30)),IF($C30="",SUMIFS(全伝票!I:I,全伝票!$A:$A,$A30,全伝票!$B:$B,$B30),SUMIFS(全伝票!I:I,全伝票!$A:$A,$A30,全伝票!$C:$C,$C30)))</f>
        <v>26</v>
      </c>
      <c r="F30" s="161">
        <f>+IF($A30="",IF($C30="",SUMIFS(全伝票!J:J,全伝票!$B:$B,$B30),SUMIFS(全伝票!J:J,全伝票!$C:$C,$C30)),IF($C30="",SUMIFS(全伝票!J:J,全伝票!$A:$A,$A30,全伝票!$B:$B,$B30),SUMIFS(全伝票!J:J,全伝票!$A:$A,$A30,全伝票!$C:$C,$C30)))</f>
        <v>0</v>
      </c>
      <c r="G30" s="160">
        <f>+IF($A30="",IF($C30="",SUMIFS(全伝票!K:K,全伝票!$B:$B,$B30),SUMIFS(全伝票!K:K,全伝票!$C:$C,$C30)),IF($C30="",SUMIFS(全伝票!K:K,全伝票!$A:$A,$A30,全伝票!$B:$B,$B30),SUMIFS(全伝票!K:K,全伝票!$A:$A,$A30,全伝票!$C:$C,$C30)))</f>
        <v>0</v>
      </c>
      <c r="H30" s="160">
        <f>+IF($A30="",IF($C30="",SUMIFS(全伝票!L:L,全伝票!$B:$B,$B30),SUMIFS(全伝票!L:L,全伝票!$C:$C,$C30)),IF($C30="",SUMIFS(全伝票!L:L,全伝票!$A:$A,$A30,全伝票!$B:$B,$B30),SUMIFS(全伝票!L:L,全伝票!$A:$A,$A30,全伝票!$C:$C,$C30)))</f>
        <v>0</v>
      </c>
      <c r="I30" s="159">
        <f>+IF($A30="",IF($C30="",SUMIFS(全伝票!M:M,全伝票!$B:$B,$B30),SUMIFS(全伝票!M:M,全伝票!$C:$C,$C30)),IF($C30="",SUMIFS(全伝票!M:M,全伝票!$A:$A,$A30,全伝票!$B:$B,$B30),SUMIFS(全伝票!M:M,全伝票!$A:$A,$A30,全伝票!$C:$C,$C30)))</f>
        <v>0</v>
      </c>
      <c r="J30" s="159">
        <f>+IF($A30="",IF($C30="",SUMIFS(全伝票!N:N,全伝票!$B:$B,$B30),SUMIFS(全伝票!N:N,全伝票!$C:$C,$C30)),IF($C30="",SUMIFS(全伝票!N:N,全伝票!$A:$A,$A30,全伝票!$B:$B,$B30),SUMIFS(全伝票!N:N,全伝票!$A:$A,$A30,全伝票!$C:$C,$C30)))</f>
        <v>26</v>
      </c>
      <c r="K30" s="34">
        <f t="shared" ref="K30" si="16">SUM(F30:J30)</f>
        <v>26</v>
      </c>
      <c r="L30" s="158">
        <f>+IF($A30="",IF($C30="",SUMIFS(全伝票!O:O,全伝票!$B:$B,$B30),SUMIFS(全伝票!O:O,全伝票!$C:$C,$C30)),IF($C30="",SUMIFS(全伝票!O:O,全伝票!$A:$A,$A30,全伝票!$B:$B,$B30),SUMIFS(全伝票!O:O,全伝票!$A:$A,$A30,全伝票!$C:$C,$C30)))</f>
        <v>0</v>
      </c>
      <c r="M30" s="158">
        <f>+IF($A30="",IF($C30="",SUMIFS(全伝票!P:P,全伝票!$B:$B,$B30),SUMIFS(全伝票!P:P,全伝票!$C:$C,$C30)),IF($C30="",SUMIFS(全伝票!P:P,全伝票!$A:$A,$A30,全伝票!$B:$B,$B30),SUMIFS(全伝票!P:P,全伝票!$A:$A,$A30,全伝票!$C:$C,$C30)))</f>
        <v>0</v>
      </c>
      <c r="N30" s="108">
        <f t="shared" ref="N30" si="17">+ROUND(F30*F$4/(100+F$4),0)+AE30</f>
        <v>0</v>
      </c>
      <c r="O30" s="25">
        <f t="shared" ref="O30" si="18">+ROUND(G30*G$4/(100+G$4),0)+AF30</f>
        <v>0</v>
      </c>
      <c r="P30" s="25">
        <f t="shared" ref="P30" si="19">+ROUND(H30*H$4/(100+H$4),0)+AG30</f>
        <v>0</v>
      </c>
      <c r="Q30" s="157">
        <f t="shared" ref="Q30" si="20">+ROUND(I30*I$4/(100+I$4),0)+AH30</f>
        <v>0</v>
      </c>
      <c r="R30" s="157">
        <f t="shared" ref="R30" si="21">+ROUND(J30*J$4/(100+J$4),0)+AI30</f>
        <v>2</v>
      </c>
      <c r="S30" s="22">
        <f t="shared" ref="S30" si="22">SUM(N30:R30)</f>
        <v>2</v>
      </c>
      <c r="T30" s="109">
        <f t="shared" ref="T30" si="23">+E30-S30</f>
        <v>24</v>
      </c>
      <c r="U30" s="107">
        <f t="shared" ref="U30" si="24">N30-F30*F$4/(100+F$4)</f>
        <v>0</v>
      </c>
      <c r="V30" s="107">
        <f t="shared" ref="V30" si="25">O30-G30*G$4/(100+G$4)</f>
        <v>0</v>
      </c>
      <c r="W30" s="107">
        <f t="shared" ref="W30" si="26">P30-H30*H$4/(100+H$4)</f>
        <v>0</v>
      </c>
      <c r="X30" s="107">
        <f t="shared" ref="X30" si="27">Q30-I30*I$4/(100+I$4)</f>
        <v>0</v>
      </c>
      <c r="Y30" s="107">
        <f t="shared" ref="Y30" si="28">R30-J30*J$4/(100+J$4)</f>
        <v>-0.36363636363636376</v>
      </c>
      <c r="Z30" s="106">
        <f t="shared" si="11"/>
        <v>0</v>
      </c>
      <c r="AA30" s="106">
        <f t="shared" si="12"/>
        <v>0</v>
      </c>
      <c r="AB30" s="106">
        <f t="shared" si="13"/>
        <v>0</v>
      </c>
      <c r="AC30" s="106">
        <f t="shared" si="14"/>
        <v>0</v>
      </c>
      <c r="AD30" s="106">
        <f t="shared" si="15"/>
        <v>0</v>
      </c>
    </row>
    <row r="31" spans="1:35">
      <c r="A31" s="165">
        <v>2</v>
      </c>
      <c r="B31" s="164" t="s">
        <v>385</v>
      </c>
      <c r="C31" s="163"/>
      <c r="D31" s="162" t="s">
        <v>60</v>
      </c>
      <c r="E31" s="158">
        <f>+IF($A31="",IF($C31="",SUMIFS(全伝票!I:I,全伝票!$B:$B,$B31),SUMIFS(全伝票!I:I,全伝票!$C:$C,$C31)),IF($C31="",SUMIFS(全伝票!I:I,全伝票!$A:$A,$A31,全伝票!$B:$B,$B31),SUMIFS(全伝票!I:I,全伝票!$A:$A,$A31,全伝票!$C:$C,$C31)))</f>
        <v>0</v>
      </c>
      <c r="F31" s="161">
        <f>+IF($A31="",IF($C31="",SUMIFS(全伝票!J:J,全伝票!$B:$B,$B31),SUMIFS(全伝票!J:J,全伝票!$C:$C,$C31)),IF($C31="",SUMIFS(全伝票!J:J,全伝票!$A:$A,$A31,全伝票!$B:$B,$B31),SUMIFS(全伝票!J:J,全伝票!$A:$A,$A31,全伝票!$C:$C,$C31)))</f>
        <v>0</v>
      </c>
      <c r="G31" s="160">
        <f>+IF($A31="",IF($C31="",SUMIFS(全伝票!K:K,全伝票!$B:$B,$B31),SUMIFS(全伝票!K:K,全伝票!$C:$C,$C31)),IF($C31="",SUMIFS(全伝票!K:K,全伝票!$A:$A,$A31,全伝票!$B:$B,$B31),SUMIFS(全伝票!K:K,全伝票!$A:$A,$A31,全伝票!$C:$C,$C31)))</f>
        <v>0</v>
      </c>
      <c r="H31" s="160">
        <f>+IF($A31="",IF($C31="",SUMIFS(全伝票!L:L,全伝票!$B:$B,$B31),SUMIFS(全伝票!L:L,全伝票!$C:$C,$C31)),IF($C31="",SUMIFS(全伝票!L:L,全伝票!$A:$A,$A31,全伝票!$B:$B,$B31),SUMIFS(全伝票!L:L,全伝票!$A:$A,$A31,全伝票!$C:$C,$C31)))</f>
        <v>0</v>
      </c>
      <c r="I31" s="159">
        <f>+IF($A31="",IF($C31="",SUMIFS(全伝票!M:M,全伝票!$B:$B,$B31),SUMIFS(全伝票!M:M,全伝票!$C:$C,$C31)),IF($C31="",SUMIFS(全伝票!M:M,全伝票!$A:$A,$A31,全伝票!$B:$B,$B31),SUMIFS(全伝票!M:M,全伝票!$A:$A,$A31,全伝票!$C:$C,$C31)))</f>
        <v>0</v>
      </c>
      <c r="J31" s="159">
        <f>+IF($A31="",IF($C31="",SUMIFS(全伝票!N:N,全伝票!$B:$B,$B31),SUMIFS(全伝票!N:N,全伝票!$C:$C,$C31)),IF($C31="",SUMIFS(全伝票!N:N,全伝票!$A:$A,$A31,全伝票!$B:$B,$B31),SUMIFS(全伝票!N:N,全伝票!$A:$A,$A31,全伝票!$C:$C,$C31)))</f>
        <v>0</v>
      </c>
      <c r="K31" s="34">
        <f t="shared" si="0"/>
        <v>0</v>
      </c>
      <c r="L31" s="158">
        <f>+IF($A31="",IF($C31="",SUMIFS(全伝票!O:O,全伝票!$B:$B,$B31),SUMIFS(全伝票!O:O,全伝票!$C:$C,$C31)),IF($C31="",SUMIFS(全伝票!O:O,全伝票!$A:$A,$A31,全伝票!$B:$B,$B31),SUMIFS(全伝票!O:O,全伝票!$A:$A,$A31,全伝票!$C:$C,$C31)))</f>
        <v>0</v>
      </c>
      <c r="M31" s="158">
        <f>+IF($A31="",IF($C31="",SUMIFS(全伝票!P:P,全伝票!$B:$B,$B31),SUMIFS(全伝票!P:P,全伝票!$C:$C,$C31)),IF($C31="",SUMIFS(全伝票!P:P,全伝票!$A:$A,$A31,全伝票!$B:$B,$B31),SUMIFS(全伝票!P:P,全伝票!$A:$A,$A31,全伝票!$C:$C,$C31)))</f>
        <v>0</v>
      </c>
      <c r="N31" s="108">
        <f t="shared" si="1"/>
        <v>0</v>
      </c>
      <c r="O31" s="25">
        <f t="shared" si="3"/>
        <v>0</v>
      </c>
      <c r="P31" s="25">
        <f t="shared" si="2"/>
        <v>0</v>
      </c>
      <c r="Q31" s="157">
        <f t="shared" si="3"/>
        <v>0</v>
      </c>
      <c r="R31" s="157">
        <f t="shared" si="4"/>
        <v>0</v>
      </c>
      <c r="S31" s="22">
        <f t="shared" si="5"/>
        <v>0</v>
      </c>
      <c r="T31" s="109">
        <f t="shared" si="6"/>
        <v>0</v>
      </c>
      <c r="U31" s="107">
        <f t="shared" si="7"/>
        <v>0</v>
      </c>
      <c r="V31" s="107">
        <f t="shared" si="8"/>
        <v>0</v>
      </c>
      <c r="W31" s="107">
        <f t="shared" si="9"/>
        <v>0</v>
      </c>
      <c r="X31" s="107">
        <f t="shared" si="9"/>
        <v>0</v>
      </c>
      <c r="Y31" s="107">
        <f t="shared" si="10"/>
        <v>0</v>
      </c>
      <c r="Z31" s="106">
        <f t="shared" si="11"/>
        <v>0</v>
      </c>
      <c r="AA31" s="106">
        <f t="shared" si="12"/>
        <v>0</v>
      </c>
      <c r="AB31" s="106">
        <f t="shared" si="13"/>
        <v>0</v>
      </c>
      <c r="AC31" s="106">
        <f t="shared" si="14"/>
        <v>0</v>
      </c>
      <c r="AD31" s="106">
        <f t="shared" si="15"/>
        <v>0</v>
      </c>
    </row>
    <row r="32" spans="1:35">
      <c r="A32" s="165">
        <v>2</v>
      </c>
      <c r="B32" s="164" t="s">
        <v>384</v>
      </c>
      <c r="C32" s="163"/>
      <c r="D32" s="162" t="s">
        <v>58</v>
      </c>
      <c r="E32" s="158">
        <f>+IF($A32="",IF($C32="",SUMIFS(全伝票!I:I,全伝票!$B:$B,$B32),SUMIFS(全伝票!I:I,全伝票!$C:$C,$C32)),IF($C32="",SUMIFS(全伝票!I:I,全伝票!$A:$A,$A32,全伝票!$B:$B,$B32),SUMIFS(全伝票!I:I,全伝票!$A:$A,$A32,全伝票!$C:$C,$C32)))</f>
        <v>77348</v>
      </c>
      <c r="F32" s="161">
        <f>+IF($A32="",IF($C32="",SUMIFS(全伝票!J:J,全伝票!$B:$B,$B32),SUMIFS(全伝票!J:J,全伝票!$C:$C,$C32)),IF($C32="",SUMIFS(全伝票!J:J,全伝票!$A:$A,$A32,全伝票!$B:$B,$B32),SUMIFS(全伝票!J:J,全伝票!$A:$A,$A32,全伝票!$C:$C,$C32)))</f>
        <v>0</v>
      </c>
      <c r="G32" s="160">
        <f>+IF($A32="",IF($C32="",SUMIFS(全伝票!K:K,全伝票!$B:$B,$B32),SUMIFS(全伝票!K:K,全伝票!$C:$C,$C32)),IF($C32="",SUMIFS(全伝票!K:K,全伝票!$A:$A,$A32,全伝票!$B:$B,$B32),SUMIFS(全伝票!K:K,全伝票!$A:$A,$A32,全伝票!$C:$C,$C32)))</f>
        <v>0</v>
      </c>
      <c r="H32" s="160">
        <f>+IF($A32="",IF($C32="",SUMIFS(全伝票!L:L,全伝票!$B:$B,$B32),SUMIFS(全伝票!L:L,全伝票!$C:$C,$C32)),IF($C32="",SUMIFS(全伝票!L:L,全伝票!$A:$A,$A32,全伝票!$B:$B,$B32),SUMIFS(全伝票!L:L,全伝票!$A:$A,$A32,全伝票!$C:$C,$C32)))</f>
        <v>0</v>
      </c>
      <c r="I32" s="159">
        <f>+IF($A32="",IF($C32="",SUMIFS(全伝票!M:M,全伝票!$B:$B,$B32),SUMIFS(全伝票!M:M,全伝票!$C:$C,$C32)),IF($C32="",SUMIFS(全伝票!M:M,全伝票!$A:$A,$A32,全伝票!$B:$B,$B32),SUMIFS(全伝票!M:M,全伝票!$A:$A,$A32,全伝票!$C:$C,$C32)))</f>
        <v>0</v>
      </c>
      <c r="J32" s="159">
        <f>+IF($A32="",IF($C32="",SUMIFS(全伝票!N:N,全伝票!$B:$B,$B32),SUMIFS(全伝票!N:N,全伝票!$C:$C,$C32)),IF($C32="",SUMIFS(全伝票!N:N,全伝票!$A:$A,$A32,全伝票!$B:$B,$B32),SUMIFS(全伝票!N:N,全伝票!$A:$A,$A32,全伝票!$C:$C,$C32)))</f>
        <v>0</v>
      </c>
      <c r="K32" s="34">
        <f t="shared" si="0"/>
        <v>0</v>
      </c>
      <c r="L32" s="158">
        <f>+IF($A32="",IF($C32="",SUMIFS(全伝票!O:O,全伝票!$B:$B,$B32),SUMIFS(全伝票!O:O,全伝票!$C:$C,$C32)),IF($C32="",SUMIFS(全伝票!O:O,全伝票!$A:$A,$A32,全伝票!$B:$B,$B32),SUMIFS(全伝票!O:O,全伝票!$A:$A,$A32,全伝票!$C:$C,$C32)))</f>
        <v>77348</v>
      </c>
      <c r="M32" s="158">
        <f>+IF($A32="",IF($C32="",SUMIFS(全伝票!P:P,全伝票!$B:$B,$B32),SUMIFS(全伝票!P:P,全伝票!$C:$C,$C32)),IF($C32="",SUMIFS(全伝票!P:P,全伝票!$A:$A,$A32,全伝票!$B:$B,$B32),SUMIFS(全伝票!P:P,全伝票!$A:$A,$A32,全伝票!$C:$C,$C32)))</f>
        <v>0</v>
      </c>
      <c r="N32" s="108">
        <f t="shared" si="1"/>
        <v>0</v>
      </c>
      <c r="O32" s="25">
        <f t="shared" si="3"/>
        <v>0</v>
      </c>
      <c r="P32" s="25">
        <f t="shared" si="2"/>
        <v>0</v>
      </c>
      <c r="Q32" s="157">
        <f t="shared" si="3"/>
        <v>0</v>
      </c>
      <c r="R32" s="157">
        <f t="shared" si="4"/>
        <v>0</v>
      </c>
      <c r="S32" s="22">
        <f t="shared" si="5"/>
        <v>0</v>
      </c>
      <c r="T32" s="109">
        <f t="shared" si="6"/>
        <v>77348</v>
      </c>
      <c r="U32" s="107">
        <f t="shared" si="7"/>
        <v>0</v>
      </c>
      <c r="V32" s="107">
        <f t="shared" si="8"/>
        <v>0</v>
      </c>
      <c r="W32" s="107">
        <f t="shared" si="9"/>
        <v>0</v>
      </c>
      <c r="X32" s="107">
        <f t="shared" si="9"/>
        <v>0</v>
      </c>
      <c r="Y32" s="107">
        <f t="shared" si="10"/>
        <v>0</v>
      </c>
      <c r="Z32" s="106">
        <f t="shared" si="11"/>
        <v>0</v>
      </c>
      <c r="AA32" s="106">
        <f t="shared" si="12"/>
        <v>0</v>
      </c>
      <c r="AB32" s="106">
        <f t="shared" si="13"/>
        <v>0</v>
      </c>
      <c r="AC32" s="106">
        <f t="shared" si="14"/>
        <v>0</v>
      </c>
      <c r="AD32" s="106">
        <f t="shared" si="15"/>
        <v>0</v>
      </c>
    </row>
    <row r="33" spans="1:30">
      <c r="A33" s="165">
        <v>2</v>
      </c>
      <c r="B33" s="164" t="s">
        <v>383</v>
      </c>
      <c r="C33" s="163"/>
      <c r="D33" s="162" t="s">
        <v>56</v>
      </c>
      <c r="E33" s="158">
        <f>+IF($A33="",IF($C33="",SUMIFS(全伝票!I:I,全伝票!$B:$B,$B33),SUMIFS(全伝票!I:I,全伝票!$C:$C,$C33)),IF($C33="",SUMIFS(全伝票!I:I,全伝票!$A:$A,$A33,全伝票!$B:$B,$B33),SUMIFS(全伝票!I:I,全伝票!$A:$A,$A33,全伝票!$C:$C,$C33)))</f>
        <v>58</v>
      </c>
      <c r="F33" s="161">
        <f>+IF($A33="",IF($C33="",SUMIFS(全伝票!J:J,全伝票!$B:$B,$B33),SUMIFS(全伝票!J:J,全伝票!$C:$C,$C33)),IF($C33="",SUMIFS(全伝票!J:J,全伝票!$A:$A,$A33,全伝票!$B:$B,$B33),SUMIFS(全伝票!J:J,全伝票!$A:$A,$A33,全伝票!$C:$C,$C33)))</f>
        <v>0</v>
      </c>
      <c r="G33" s="160">
        <f>+IF($A33="",IF($C33="",SUMIFS(全伝票!K:K,全伝票!$B:$B,$B33),SUMIFS(全伝票!K:K,全伝票!$C:$C,$C33)),IF($C33="",SUMIFS(全伝票!K:K,全伝票!$A:$A,$A33,全伝票!$B:$B,$B33),SUMIFS(全伝票!K:K,全伝票!$A:$A,$A33,全伝票!$C:$C,$C33)))</f>
        <v>0</v>
      </c>
      <c r="H33" s="160">
        <f>+IF($A33="",IF($C33="",SUMIFS(全伝票!L:L,全伝票!$B:$B,$B33),SUMIFS(全伝票!L:L,全伝票!$C:$C,$C33)),IF($C33="",SUMIFS(全伝票!L:L,全伝票!$A:$A,$A33,全伝票!$B:$B,$B33),SUMIFS(全伝票!L:L,全伝票!$A:$A,$A33,全伝票!$C:$C,$C33)))</f>
        <v>0</v>
      </c>
      <c r="I33" s="159">
        <f>+IF($A33="",IF($C33="",SUMIFS(全伝票!M:M,全伝票!$B:$B,$B33),SUMIFS(全伝票!M:M,全伝票!$C:$C,$C33)),IF($C33="",SUMIFS(全伝票!M:M,全伝票!$A:$A,$A33,全伝票!$B:$B,$B33),SUMIFS(全伝票!M:M,全伝票!$A:$A,$A33,全伝票!$C:$C,$C33)))</f>
        <v>0</v>
      </c>
      <c r="J33" s="159">
        <f>+IF($A33="",IF($C33="",SUMIFS(全伝票!N:N,全伝票!$B:$B,$B33),SUMIFS(全伝票!N:N,全伝票!$C:$C,$C33)),IF($C33="",SUMIFS(全伝票!N:N,全伝票!$A:$A,$A33,全伝票!$B:$B,$B33),SUMIFS(全伝票!N:N,全伝票!$A:$A,$A33,全伝票!$C:$C,$C33)))</f>
        <v>0</v>
      </c>
      <c r="K33" s="34">
        <f t="shared" si="0"/>
        <v>0</v>
      </c>
      <c r="L33" s="158">
        <f>+IF($A33="",IF($C33="",SUMIFS(全伝票!O:O,全伝票!$B:$B,$B33),SUMIFS(全伝票!O:O,全伝票!$C:$C,$C33)),IF($C33="",SUMIFS(全伝票!O:O,全伝票!$A:$A,$A33,全伝票!$B:$B,$B33),SUMIFS(全伝票!O:O,全伝票!$A:$A,$A33,全伝票!$C:$C,$C33)))</f>
        <v>0</v>
      </c>
      <c r="M33" s="158">
        <f>+IF($A33="",IF($C33="",SUMIFS(全伝票!P:P,全伝票!$B:$B,$B33),SUMIFS(全伝票!P:P,全伝票!$C:$C,$C33)),IF($C33="",SUMIFS(全伝票!P:P,全伝票!$A:$A,$A33,全伝票!$B:$B,$B33),SUMIFS(全伝票!P:P,全伝票!$A:$A,$A33,全伝票!$C:$C,$C33)))</f>
        <v>58</v>
      </c>
      <c r="N33" s="108">
        <f t="shared" si="1"/>
        <v>0</v>
      </c>
      <c r="O33" s="25">
        <f t="shared" si="3"/>
        <v>0</v>
      </c>
      <c r="P33" s="25">
        <f t="shared" si="2"/>
        <v>0</v>
      </c>
      <c r="Q33" s="157">
        <f t="shared" si="3"/>
        <v>0</v>
      </c>
      <c r="R33" s="157">
        <f t="shared" si="4"/>
        <v>0</v>
      </c>
      <c r="S33" s="22">
        <f t="shared" si="5"/>
        <v>0</v>
      </c>
      <c r="T33" s="109">
        <f t="shared" si="6"/>
        <v>58</v>
      </c>
      <c r="U33" s="107">
        <f t="shared" si="7"/>
        <v>0</v>
      </c>
      <c r="V33" s="107">
        <f t="shared" si="8"/>
        <v>0</v>
      </c>
      <c r="W33" s="107">
        <f t="shared" si="9"/>
        <v>0</v>
      </c>
      <c r="X33" s="107">
        <f t="shared" si="9"/>
        <v>0</v>
      </c>
      <c r="Y33" s="107">
        <f t="shared" si="10"/>
        <v>0</v>
      </c>
      <c r="Z33" s="106">
        <f t="shared" si="11"/>
        <v>0</v>
      </c>
      <c r="AA33" s="106">
        <f t="shared" si="12"/>
        <v>0</v>
      </c>
      <c r="AB33" s="106">
        <f t="shared" si="13"/>
        <v>0</v>
      </c>
      <c r="AC33" s="106">
        <f t="shared" si="14"/>
        <v>0</v>
      </c>
      <c r="AD33" s="106">
        <f t="shared" si="15"/>
        <v>0</v>
      </c>
    </row>
    <row r="34" spans="1:30">
      <c r="A34" s="165">
        <v>2</v>
      </c>
      <c r="B34" s="164" t="s">
        <v>404</v>
      </c>
      <c r="C34" s="163">
        <v>883171003</v>
      </c>
      <c r="D34" s="162" t="s">
        <v>609</v>
      </c>
      <c r="E34" s="158">
        <f>+IF($A34="",IF($C34="",SUMIFS(全伝票!I:I,全伝票!$B:$B,$B34),SUMIFS(全伝票!I:I,全伝票!$C:$C,$C34)),IF($C34="",SUMIFS(全伝票!I:I,全伝票!$A:$A,$A34,全伝票!$B:$B,$B34),SUMIFS(全伝票!I:I,全伝票!$A:$A,$A34,全伝票!$C:$C,$C34)))</f>
        <v>0</v>
      </c>
      <c r="F34" s="161">
        <f>+IF($A34="",IF($C34="",SUMIFS(全伝票!J:J,全伝票!$B:$B,$B34),SUMIFS(全伝票!J:J,全伝票!$C:$C,$C34)),IF($C34="",SUMIFS(全伝票!J:J,全伝票!$A:$A,$A34,全伝票!$B:$B,$B34),SUMIFS(全伝票!J:J,全伝票!$A:$A,$A34,全伝票!$C:$C,$C34)))</f>
        <v>0</v>
      </c>
      <c r="G34" s="160">
        <f>+IF($A34="",IF($C34="",SUMIFS(全伝票!K:K,全伝票!$B:$B,$B34),SUMIFS(全伝票!K:K,全伝票!$C:$C,$C34)),IF($C34="",SUMIFS(全伝票!K:K,全伝票!$A:$A,$A34,全伝票!$B:$B,$B34),SUMIFS(全伝票!K:K,全伝票!$A:$A,$A34,全伝票!$C:$C,$C34)))</f>
        <v>0</v>
      </c>
      <c r="H34" s="160">
        <f>+IF($A34="",IF($C34="",SUMIFS(全伝票!L:L,全伝票!$B:$B,$B34),SUMIFS(全伝票!L:L,全伝票!$C:$C,$C34)),IF($C34="",SUMIFS(全伝票!L:L,全伝票!$A:$A,$A34,全伝票!$B:$B,$B34),SUMIFS(全伝票!L:L,全伝票!$A:$A,$A34,全伝票!$C:$C,$C34)))</f>
        <v>0</v>
      </c>
      <c r="I34" s="159">
        <f>+IF($A34="",IF($C34="",SUMIFS(全伝票!M:M,全伝票!$B:$B,$B34),SUMIFS(全伝票!M:M,全伝票!$C:$C,$C34)),IF($C34="",SUMIFS(全伝票!M:M,全伝票!$A:$A,$A34,全伝票!$B:$B,$B34),SUMIFS(全伝票!M:M,全伝票!$A:$A,$A34,全伝票!$C:$C,$C34)))</f>
        <v>0</v>
      </c>
      <c r="J34" s="159">
        <f>+IF($A34="",IF($C34="",SUMIFS(全伝票!N:N,全伝票!$B:$B,$B34),SUMIFS(全伝票!N:N,全伝票!$C:$C,$C34)),IF($C34="",SUMIFS(全伝票!N:N,全伝票!$A:$A,$A34,全伝票!$B:$B,$B34),SUMIFS(全伝票!N:N,全伝票!$A:$A,$A34,全伝票!$C:$C,$C34)))</f>
        <v>0</v>
      </c>
      <c r="K34" s="34">
        <f t="shared" si="0"/>
        <v>0</v>
      </c>
      <c r="L34" s="158">
        <f>+IF($A34="",IF($C34="",SUMIFS(全伝票!O:O,全伝票!$B:$B,$B34),SUMIFS(全伝票!O:O,全伝票!$C:$C,$C34)),IF($C34="",SUMIFS(全伝票!O:O,全伝票!$A:$A,$A34,全伝票!$B:$B,$B34),SUMIFS(全伝票!O:O,全伝票!$A:$A,$A34,全伝票!$C:$C,$C34)))</f>
        <v>0</v>
      </c>
      <c r="M34" s="158">
        <f>+IF($A34="",IF($C34="",SUMIFS(全伝票!P:P,全伝票!$B:$B,$B34),SUMIFS(全伝票!P:P,全伝票!$C:$C,$C34)),IF($C34="",SUMIFS(全伝票!P:P,全伝票!$A:$A,$A34,全伝票!$B:$B,$B34),SUMIFS(全伝票!P:P,全伝票!$A:$A,$A34,全伝票!$C:$C,$C34)))</f>
        <v>0</v>
      </c>
      <c r="N34" s="108">
        <f t="shared" si="1"/>
        <v>0</v>
      </c>
      <c r="O34" s="25">
        <f t="shared" si="3"/>
        <v>0</v>
      </c>
      <c r="P34" s="25">
        <f t="shared" si="2"/>
        <v>0</v>
      </c>
      <c r="Q34" s="157">
        <f t="shared" si="3"/>
        <v>0</v>
      </c>
      <c r="R34" s="157">
        <f t="shared" si="4"/>
        <v>0</v>
      </c>
      <c r="S34" s="22">
        <f t="shared" si="5"/>
        <v>0</v>
      </c>
      <c r="T34" s="109">
        <f t="shared" si="6"/>
        <v>0</v>
      </c>
      <c r="U34" s="107">
        <f t="shared" si="7"/>
        <v>0</v>
      </c>
      <c r="V34" s="107">
        <f t="shared" si="8"/>
        <v>0</v>
      </c>
      <c r="W34" s="107">
        <f t="shared" si="9"/>
        <v>0</v>
      </c>
      <c r="X34" s="107">
        <f t="shared" si="9"/>
        <v>0</v>
      </c>
      <c r="Y34" s="107">
        <f t="shared" si="10"/>
        <v>0</v>
      </c>
      <c r="Z34" s="106">
        <f t="shared" si="11"/>
        <v>0</v>
      </c>
      <c r="AA34" s="106">
        <f t="shared" si="12"/>
        <v>0</v>
      </c>
      <c r="AB34" s="106">
        <f t="shared" si="13"/>
        <v>0</v>
      </c>
      <c r="AC34" s="106">
        <f t="shared" si="14"/>
        <v>0</v>
      </c>
      <c r="AD34" s="106">
        <f t="shared" si="15"/>
        <v>0</v>
      </c>
    </row>
    <row r="35" spans="1:30">
      <c r="A35" s="165">
        <v>2</v>
      </c>
      <c r="B35" s="164" t="s">
        <v>381</v>
      </c>
      <c r="C35" s="163"/>
      <c r="D35" s="162" t="s">
        <v>53</v>
      </c>
      <c r="E35" s="158">
        <f>+IF($A35="",IF($C35="",SUMIFS(全伝票!I:I,全伝票!$B:$B,$B35),SUMIFS(全伝票!I:I,全伝票!$C:$C,$C35)),IF($C35="",SUMIFS(全伝票!I:I,全伝票!$A:$A,$A35,全伝票!$B:$B,$B35),SUMIFS(全伝票!I:I,全伝票!$A:$A,$A35,全伝票!$C:$C,$C35)))</f>
        <v>0</v>
      </c>
      <c r="F35" s="161">
        <f>+IF($A35="",IF($C35="",SUMIFS(全伝票!J:J,全伝票!$B:$B,$B35),SUMIFS(全伝票!J:J,全伝票!$C:$C,$C35)),IF($C35="",SUMIFS(全伝票!J:J,全伝票!$A:$A,$A35,全伝票!$B:$B,$B35),SUMIFS(全伝票!J:J,全伝票!$A:$A,$A35,全伝票!$C:$C,$C35)))</f>
        <v>0</v>
      </c>
      <c r="G35" s="160">
        <f>+IF($A35="",IF($C35="",SUMIFS(全伝票!K:K,全伝票!$B:$B,$B35),SUMIFS(全伝票!K:K,全伝票!$C:$C,$C35)),IF($C35="",SUMIFS(全伝票!K:K,全伝票!$A:$A,$A35,全伝票!$B:$B,$B35),SUMIFS(全伝票!K:K,全伝票!$A:$A,$A35,全伝票!$C:$C,$C35)))</f>
        <v>0</v>
      </c>
      <c r="H35" s="160">
        <f>+IF($A35="",IF($C35="",SUMIFS(全伝票!L:L,全伝票!$B:$B,$B35),SUMIFS(全伝票!L:L,全伝票!$C:$C,$C35)),IF($C35="",SUMIFS(全伝票!L:L,全伝票!$A:$A,$A35,全伝票!$B:$B,$B35),SUMIFS(全伝票!L:L,全伝票!$A:$A,$A35,全伝票!$C:$C,$C35)))</f>
        <v>0</v>
      </c>
      <c r="I35" s="159">
        <f>+IF($A35="",IF($C35="",SUMIFS(全伝票!M:M,全伝票!$B:$B,$B35),SUMIFS(全伝票!M:M,全伝票!$C:$C,$C35)),IF($C35="",SUMIFS(全伝票!M:M,全伝票!$A:$A,$A35,全伝票!$B:$B,$B35),SUMIFS(全伝票!M:M,全伝票!$A:$A,$A35,全伝票!$C:$C,$C35)))</f>
        <v>0</v>
      </c>
      <c r="J35" s="159">
        <f>+IF($A35="",IF($C35="",SUMIFS(全伝票!N:N,全伝票!$B:$B,$B35),SUMIFS(全伝票!N:N,全伝票!$C:$C,$C35)),IF($C35="",SUMIFS(全伝票!N:N,全伝票!$A:$A,$A35,全伝票!$B:$B,$B35),SUMIFS(全伝票!N:N,全伝票!$A:$A,$A35,全伝票!$C:$C,$C35)))</f>
        <v>0</v>
      </c>
      <c r="K35" s="34">
        <f t="shared" si="0"/>
        <v>0</v>
      </c>
      <c r="L35" s="158">
        <f>+IF($A35="",IF($C35="",SUMIFS(全伝票!O:O,全伝票!$B:$B,$B35),SUMIFS(全伝票!O:O,全伝票!$C:$C,$C35)),IF($C35="",SUMIFS(全伝票!O:O,全伝票!$A:$A,$A35,全伝票!$B:$B,$B35),SUMIFS(全伝票!O:O,全伝票!$A:$A,$A35,全伝票!$C:$C,$C35)))</f>
        <v>0</v>
      </c>
      <c r="M35" s="158">
        <f>+IF($A35="",IF($C35="",SUMIFS(全伝票!P:P,全伝票!$B:$B,$B35),SUMIFS(全伝票!P:P,全伝票!$C:$C,$C35)),IF($C35="",SUMIFS(全伝票!P:P,全伝票!$A:$A,$A35,全伝票!$B:$B,$B35),SUMIFS(全伝票!P:P,全伝票!$A:$A,$A35,全伝票!$C:$C,$C35)))</f>
        <v>0</v>
      </c>
      <c r="N35" s="108">
        <f t="shared" si="1"/>
        <v>0</v>
      </c>
      <c r="O35" s="25">
        <f t="shared" si="3"/>
        <v>0</v>
      </c>
      <c r="P35" s="25">
        <f t="shared" si="2"/>
        <v>0</v>
      </c>
      <c r="Q35" s="157">
        <f t="shared" si="3"/>
        <v>0</v>
      </c>
      <c r="R35" s="157">
        <f t="shared" si="4"/>
        <v>0</v>
      </c>
      <c r="S35" s="22">
        <f t="shared" si="5"/>
        <v>0</v>
      </c>
      <c r="T35" s="109">
        <f t="shared" si="6"/>
        <v>0</v>
      </c>
      <c r="U35" s="107">
        <f t="shared" si="7"/>
        <v>0</v>
      </c>
      <c r="V35" s="107">
        <f t="shared" si="8"/>
        <v>0</v>
      </c>
      <c r="W35" s="107">
        <f t="shared" si="9"/>
        <v>0</v>
      </c>
      <c r="X35" s="107">
        <f t="shared" si="9"/>
        <v>0</v>
      </c>
      <c r="Y35" s="107">
        <f t="shared" si="10"/>
        <v>0</v>
      </c>
      <c r="Z35" s="106">
        <f t="shared" si="11"/>
        <v>0</v>
      </c>
      <c r="AA35" s="106">
        <f t="shared" si="12"/>
        <v>0</v>
      </c>
      <c r="AB35" s="106">
        <f t="shared" si="13"/>
        <v>0</v>
      </c>
      <c r="AC35" s="106">
        <f t="shared" si="14"/>
        <v>0</v>
      </c>
      <c r="AD35" s="106">
        <f t="shared" si="15"/>
        <v>0</v>
      </c>
    </row>
    <row r="36" spans="1:30" ht="14.25" thickBot="1">
      <c r="A36" s="165">
        <v>2</v>
      </c>
      <c r="B36" s="164" t="s">
        <v>380</v>
      </c>
      <c r="C36" s="163"/>
      <c r="D36" s="162" t="s">
        <v>51</v>
      </c>
      <c r="E36" s="158">
        <f>+IF($A36="",IF($C36="",SUMIFS(全伝票!I:I,全伝票!$B:$B,$B36),SUMIFS(全伝票!I:I,全伝票!$C:$C,$C36)),IF($C36="",SUMIFS(全伝票!I:I,全伝票!$A:$A,$A36,全伝票!$B:$B,$B36),SUMIFS(全伝票!I:I,全伝票!$A:$A,$A36,全伝票!$C:$C,$C36)))</f>
        <v>0</v>
      </c>
      <c r="F36" s="161">
        <f>+IF($A36="",IF($C36="",SUMIFS(全伝票!J:J,全伝票!$B:$B,$B36),SUMIFS(全伝票!J:J,全伝票!$C:$C,$C36)),IF($C36="",SUMIFS(全伝票!J:J,全伝票!$A:$A,$A36,全伝票!$B:$B,$B36),SUMIFS(全伝票!J:J,全伝票!$A:$A,$A36,全伝票!$C:$C,$C36)))</f>
        <v>0</v>
      </c>
      <c r="G36" s="160">
        <f>+IF($A36="",IF($C36="",SUMIFS(全伝票!K:K,全伝票!$B:$B,$B36),SUMIFS(全伝票!K:K,全伝票!$C:$C,$C36)),IF($C36="",SUMIFS(全伝票!K:K,全伝票!$A:$A,$A36,全伝票!$B:$B,$B36),SUMIFS(全伝票!K:K,全伝票!$A:$A,$A36,全伝票!$C:$C,$C36)))</f>
        <v>0</v>
      </c>
      <c r="H36" s="160">
        <f>+IF($A36="",IF($C36="",SUMIFS(全伝票!L:L,全伝票!$B:$B,$B36),SUMIFS(全伝票!L:L,全伝票!$C:$C,$C36)),IF($C36="",SUMIFS(全伝票!L:L,全伝票!$A:$A,$A36,全伝票!$B:$B,$B36),SUMIFS(全伝票!L:L,全伝票!$A:$A,$A36,全伝票!$C:$C,$C36)))</f>
        <v>0</v>
      </c>
      <c r="I36" s="159">
        <f>+IF($A36="",IF($C36="",SUMIFS(全伝票!M:M,全伝票!$B:$B,$B36),SUMIFS(全伝票!M:M,全伝票!$C:$C,$C36)),IF($C36="",SUMIFS(全伝票!M:M,全伝票!$A:$A,$A36,全伝票!$B:$B,$B36),SUMIFS(全伝票!M:M,全伝票!$A:$A,$A36,全伝票!$C:$C,$C36)))</f>
        <v>0</v>
      </c>
      <c r="J36" s="159">
        <f>+IF($A36="",IF($C36="",SUMIFS(全伝票!N:N,全伝票!$B:$B,$B36),SUMIFS(全伝票!N:N,全伝票!$C:$C,$C36)),IF($C36="",SUMIFS(全伝票!N:N,全伝票!$A:$A,$A36,全伝票!$B:$B,$B36),SUMIFS(全伝票!N:N,全伝票!$A:$A,$A36,全伝票!$C:$C,$C36)))</f>
        <v>0</v>
      </c>
      <c r="K36" s="34">
        <f t="shared" si="0"/>
        <v>0</v>
      </c>
      <c r="L36" s="158">
        <f>+IF($A36="",IF($C36="",SUMIFS(全伝票!O:O,全伝票!$B:$B,$B36),SUMIFS(全伝票!O:O,全伝票!$C:$C,$C36)),IF($C36="",SUMIFS(全伝票!O:O,全伝票!$A:$A,$A36,全伝票!$B:$B,$B36),SUMIFS(全伝票!O:O,全伝票!$A:$A,$A36,全伝票!$C:$C,$C36)))</f>
        <v>0</v>
      </c>
      <c r="M36" s="158">
        <f>+IF($A36="",IF($C36="",SUMIFS(全伝票!P:P,全伝票!$B:$B,$B36),SUMIFS(全伝票!P:P,全伝票!$C:$C,$C36)),IF($C36="",SUMIFS(全伝票!P:P,全伝票!$A:$A,$A36,全伝票!$B:$B,$B36),SUMIFS(全伝票!P:P,全伝票!$A:$A,$A36,全伝票!$C:$C,$C36)))</f>
        <v>0</v>
      </c>
      <c r="N36" s="108">
        <f t="shared" si="1"/>
        <v>0</v>
      </c>
      <c r="O36" s="25">
        <f t="shared" si="3"/>
        <v>0</v>
      </c>
      <c r="P36" s="25">
        <f t="shared" si="2"/>
        <v>0</v>
      </c>
      <c r="Q36" s="157">
        <f t="shared" si="3"/>
        <v>0</v>
      </c>
      <c r="R36" s="157">
        <f t="shared" si="4"/>
        <v>0</v>
      </c>
      <c r="S36" s="22">
        <f t="shared" si="5"/>
        <v>0</v>
      </c>
      <c r="T36" s="109">
        <f t="shared" si="6"/>
        <v>0</v>
      </c>
      <c r="U36" s="107">
        <f t="shared" si="7"/>
        <v>0</v>
      </c>
      <c r="V36" s="107">
        <f t="shared" si="8"/>
        <v>0</v>
      </c>
      <c r="W36" s="107">
        <f t="shared" si="9"/>
        <v>0</v>
      </c>
      <c r="X36" s="107">
        <f t="shared" si="9"/>
        <v>0</v>
      </c>
      <c r="Y36" s="107">
        <f t="shared" si="10"/>
        <v>0</v>
      </c>
      <c r="Z36" s="106">
        <f t="shared" si="11"/>
        <v>0</v>
      </c>
      <c r="AA36" s="106">
        <f t="shared" si="12"/>
        <v>0</v>
      </c>
      <c r="AB36" s="106">
        <f t="shared" si="13"/>
        <v>0</v>
      </c>
      <c r="AC36" s="106">
        <f t="shared" si="14"/>
        <v>0</v>
      </c>
      <c r="AD36" s="106">
        <f t="shared" si="15"/>
        <v>0</v>
      </c>
    </row>
    <row r="37" spans="1:30" ht="14.25" thickTop="1">
      <c r="A37" s="156"/>
      <c r="B37" s="155"/>
      <c r="C37" s="154"/>
      <c r="D37" s="153" t="s">
        <v>2</v>
      </c>
      <c r="E37" s="149">
        <f t="shared" ref="E37:T37" si="29">SUM(E5:E36)</f>
        <v>106990906</v>
      </c>
      <c r="F37" s="152">
        <f t="shared" si="29"/>
        <v>0</v>
      </c>
      <c r="G37" s="151">
        <f t="shared" si="29"/>
        <v>0</v>
      </c>
      <c r="H37" s="151">
        <f t="shared" si="29"/>
        <v>0</v>
      </c>
      <c r="I37" s="150">
        <f t="shared" ref="I37" si="30">SUM(I5:I36)</f>
        <v>2121</v>
      </c>
      <c r="J37" s="150">
        <f t="shared" si="29"/>
        <v>106852098</v>
      </c>
      <c r="K37" s="74">
        <f t="shared" si="29"/>
        <v>106854219</v>
      </c>
      <c r="L37" s="149">
        <f t="shared" si="29"/>
        <v>104407</v>
      </c>
      <c r="M37" s="149">
        <f t="shared" si="29"/>
        <v>32280</v>
      </c>
      <c r="N37" s="146">
        <f t="shared" si="29"/>
        <v>0</v>
      </c>
      <c r="O37" s="145">
        <f t="shared" si="29"/>
        <v>0</v>
      </c>
      <c r="P37" s="145">
        <f t="shared" si="29"/>
        <v>0</v>
      </c>
      <c r="Q37" s="148">
        <f t="shared" ref="Q37" si="31">SUM(Q5:Q36)</f>
        <v>157</v>
      </c>
      <c r="R37" s="148">
        <f t="shared" si="29"/>
        <v>9713827</v>
      </c>
      <c r="S37" s="144">
        <f t="shared" si="29"/>
        <v>9713984</v>
      </c>
      <c r="T37" s="147">
        <f t="shared" si="29"/>
        <v>97276922</v>
      </c>
      <c r="U37" s="88" t="str">
        <f>+IF(F37=0,"",ROUND(F37*F$4/(100+F$4),7)-N37)</f>
        <v/>
      </c>
      <c r="V37" s="88"/>
      <c r="W37" s="88"/>
      <c r="X37" s="88"/>
      <c r="Y37" s="88"/>
      <c r="Z37" s="88"/>
      <c r="AA37" s="88"/>
      <c r="AB37" s="87"/>
      <c r="AC37" s="87"/>
      <c r="AD37" s="87"/>
    </row>
    <row r="38" spans="1:30">
      <c r="A38" s="143"/>
      <c r="B38" s="142"/>
      <c r="C38" s="141"/>
      <c r="D38" s="140" t="s">
        <v>1</v>
      </c>
      <c r="E38" s="136">
        <f t="shared" ref="E38:J38" si="32">+E37</f>
        <v>106990906</v>
      </c>
      <c r="F38" s="139">
        <f t="shared" si="32"/>
        <v>0</v>
      </c>
      <c r="G38" s="138">
        <f t="shared" si="32"/>
        <v>0</v>
      </c>
      <c r="H38" s="138">
        <f t="shared" si="32"/>
        <v>0</v>
      </c>
      <c r="I38" s="137">
        <f t="shared" si="32"/>
        <v>2121</v>
      </c>
      <c r="J38" s="137">
        <f t="shared" si="32"/>
        <v>106852098</v>
      </c>
      <c r="K38" s="63">
        <f>SUM(F38:J38)</f>
        <v>106854219</v>
      </c>
      <c r="L38" s="136">
        <f>+L37</f>
        <v>104407</v>
      </c>
      <c r="M38" s="135">
        <f>+M37</f>
        <v>32280</v>
      </c>
      <c r="N38" s="133">
        <f>+'3条支出'!N15</f>
        <v>0</v>
      </c>
      <c r="O38" s="132">
        <f>+'3条支出'!O15</f>
        <v>0</v>
      </c>
      <c r="P38" s="132">
        <f>+'3条支出'!P15</f>
        <v>0</v>
      </c>
      <c r="Q38" s="132">
        <f>+'3条支出'!Q15</f>
        <v>157</v>
      </c>
      <c r="R38" s="132">
        <f>+'3条支出'!R15</f>
        <v>9713827</v>
      </c>
      <c r="S38" s="131">
        <f>+'3条支出'!S15</f>
        <v>9713984</v>
      </c>
      <c r="T38" s="134">
        <f>+'3条支出'!T15</f>
        <v>97276922</v>
      </c>
      <c r="U38" s="88" t="str">
        <f>+IF(F38=0,"",ROUND(F38*F$4/(100+F$4),7)-N38)</f>
        <v/>
      </c>
      <c r="V38" s="88"/>
      <c r="W38" s="88"/>
      <c r="X38" s="88"/>
      <c r="Y38" s="88"/>
      <c r="Z38" s="88"/>
      <c r="AA38" s="88"/>
      <c r="AB38" s="87"/>
      <c r="AC38" s="87"/>
      <c r="AD38" s="87"/>
    </row>
    <row r="39" spans="1:30">
      <c r="E39" s="4">
        <f t="shared" ref="E39:T39" si="33">+E38-E37</f>
        <v>0</v>
      </c>
      <c r="F39" s="4">
        <f t="shared" si="33"/>
        <v>0</v>
      </c>
      <c r="G39" s="4">
        <f t="shared" si="33"/>
        <v>0</v>
      </c>
      <c r="H39" s="4">
        <f t="shared" si="33"/>
        <v>0</v>
      </c>
      <c r="I39" s="4">
        <f t="shared" ref="I39" si="34">+I38-I37</f>
        <v>0</v>
      </c>
      <c r="J39" s="4">
        <f t="shared" si="33"/>
        <v>0</v>
      </c>
      <c r="K39" s="4">
        <f t="shared" si="33"/>
        <v>0</v>
      </c>
      <c r="L39" s="4">
        <f t="shared" si="33"/>
        <v>0</v>
      </c>
      <c r="M39" s="4">
        <f t="shared" si="33"/>
        <v>0</v>
      </c>
      <c r="N39" s="4">
        <f t="shared" si="33"/>
        <v>0</v>
      </c>
      <c r="O39" s="4">
        <f t="shared" si="33"/>
        <v>0</v>
      </c>
      <c r="P39" s="4">
        <f t="shared" si="33"/>
        <v>0</v>
      </c>
      <c r="Q39" s="4">
        <f t="shared" ref="Q39" si="35">+Q38-Q37</f>
        <v>0</v>
      </c>
      <c r="R39" s="4">
        <f t="shared" si="33"/>
        <v>0</v>
      </c>
      <c r="S39" s="4">
        <f t="shared" si="33"/>
        <v>0</v>
      </c>
      <c r="T39" s="4">
        <f t="shared" si="33"/>
        <v>0</v>
      </c>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U40" s="88" t="str">
        <f>+IF(F40=0,"",ROUND(F40*F$4/(100+F$4),7)-N40)</f>
        <v/>
      </c>
      <c r="V40" s="88" t="str">
        <f>+IF(G40=0,"",ROUND(G40*G$4/(100+G$4),7)-O40)</f>
        <v/>
      </c>
      <c r="W40" s="88" t="str">
        <f>+IF(H40=0,"",ROUND(H40*H$4/(100+H$4),7)-P40)</f>
        <v/>
      </c>
      <c r="X40" s="88"/>
      <c r="Y40" s="88" t="str">
        <f>+IF(J40=0,"",ROUND(J40*J$4/(100+J$4),7)-R40)</f>
        <v/>
      </c>
      <c r="Z40" s="88"/>
      <c r="AA40" s="88"/>
      <c r="AB40" s="87" t="str">
        <f>+IF(SUM(U40:Y40)=0,"",SUM(U40:Y40))</f>
        <v/>
      </c>
      <c r="AC40" s="87"/>
      <c r="AD40" s="87"/>
    </row>
    <row r="41" spans="1:30">
      <c r="G41" s="273"/>
      <c r="H41" s="272"/>
      <c r="I41" s="272"/>
      <c r="J41" s="272"/>
      <c r="U41" s="88" t="str">
        <f>+IF(F41=0,"",ROUND(F41*F$4/(100+F$4),7)-N41)</f>
        <v/>
      </c>
      <c r="V41" s="88"/>
      <c r="W41" s="88"/>
      <c r="X41" s="88"/>
      <c r="Y41" s="88"/>
      <c r="Z41" s="88"/>
      <c r="AA41" s="88"/>
      <c r="AB41" s="87"/>
      <c r="AC41" s="87"/>
      <c r="AD41" s="87"/>
    </row>
    <row r="42" spans="1:30">
      <c r="G42" s="273"/>
      <c r="H42" s="272"/>
      <c r="I42" s="272"/>
      <c r="J42" s="272"/>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3"/>
  <conditionalFormatting sqref="AE5:AI36">
    <cfRule type="notContainsBlanks" dxfId="66" priority="4" stopIfTrue="1">
      <formula>LEN(TRIM(AE5))&gt;0</formula>
    </cfRule>
  </conditionalFormatting>
  <conditionalFormatting sqref="AE37:AI38">
    <cfRule type="notContainsBlanks" dxfId="65" priority="5" stopIfTrue="1">
      <formula>LEN(TRIM(AE37))&gt;0</formula>
    </cfRule>
  </conditionalFormatting>
  <conditionalFormatting sqref="Z5:AD29 Z31:AD36">
    <cfRule type="expression" dxfId="64" priority="3">
      <formula>ABS(Z5)=1</formula>
    </cfRule>
  </conditionalFormatting>
  <conditionalFormatting sqref="E39:T39">
    <cfRule type="cellIs" dxfId="63" priority="2" operator="notEqual">
      <formula>0</formula>
    </cfRule>
  </conditionalFormatting>
  <conditionalFormatting sqref="Z30:AD30">
    <cfRule type="expression" dxfId="62" priority="1">
      <formula>ABS(Z30)=1</formula>
    </cfRule>
  </conditionalFormatting>
  <pageMargins left="0.39370078740157483" right="0.39370078740157483" top="0.78740157480314965" bottom="0.39370078740157483" header="0.39370078740157483" footer="0.19685039370078741"/>
  <pageSetup paperSize="9" scale="67" orientation="landscape" blackAndWhite="1" r:id="rId1"/>
  <headerFooter>
    <oddFooter>&amp;L&amp;8&amp;Z&amp;F&amp;A&amp;R&amp;8&amp;D&amp;T</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I42"/>
  <sheetViews>
    <sheetView zoomScale="70" zoomScaleNormal="70"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+'3条支出'!D1</f>
        <v>令和５年度決算　消費税算出資料</v>
      </c>
    </row>
    <row r="2" spans="1:35">
      <c r="D2" s="2" t="s">
        <v>447</v>
      </c>
      <c r="V2" s="122"/>
      <c r="W2" s="122"/>
      <c r="X2" s="261"/>
      <c r="Y2" s="122"/>
      <c r="Z2" s="122"/>
      <c r="AA2" s="122"/>
      <c r="AB2" s="122"/>
      <c r="AC2" s="261"/>
      <c r="AD2" s="122"/>
      <c r="AE2" s="122"/>
      <c r="AF2" s="122"/>
      <c r="AG2" s="122"/>
      <c r="AH2" s="261"/>
      <c r="AI2" s="122"/>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122"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177">
        <v>3</v>
      </c>
      <c r="B5" s="176" t="s">
        <v>446</v>
      </c>
      <c r="C5" s="175"/>
      <c r="D5" s="174" t="s">
        <v>112</v>
      </c>
      <c r="E5" s="170">
        <f>+IF($A5="",IF($C5="",SUMIFS(全伝票!I:I,全伝票!$B:$B,$B5),SUMIFS(全伝票!I:I,全伝票!$C:$C,$C5)),IF($C5="",SUMIFS(全伝票!I:I,全伝票!$A:$A,$A5,全伝票!$B:$B,$B5),SUMIFS(全伝票!I:I,全伝票!$A:$A,$A5,全伝票!$C:$C,$C5)))</f>
        <v>0</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275">
        <f>+IF($A5="",IF($C5="",SUMIFS(全伝票!L:L,全伝票!$B:$B,$B5),SUMIFS(全伝票!L:L,全伝票!$C:$C,$C5)),IF($C5="",SUMIFS(全伝票!L:L,全伝票!$A:$A,$A5,全伝票!$B:$B,$B5),SUMIFS(全伝票!L:L,全伝票!$A:$A,$A5,全伝票!$C:$C,$C5)))</f>
        <v>0</v>
      </c>
      <c r="I5" s="270">
        <f>+IF($A5="",IF($C5="",SUMIFS(全伝票!M:M,全伝票!$B:$B,$B5),SUMIFS(全伝票!M:M,全伝票!$C:$C,$C5)),IF($C5="",SUMIFS(全伝票!M:M,全伝票!$A:$A,$A5,全伝票!$B:$B,$B5),SUMIFS(全伝票!M:M,全伝票!$A:$A,$A5,全伝票!$C:$C,$C5)))</f>
        <v>0</v>
      </c>
      <c r="J5" s="171">
        <f>+IF($A5="",IF($C5="",SUMIFS(全伝票!N:N,全伝票!$B:$B,$B5),SUMIFS(全伝票!N:N,全伝票!$C:$C,$C5)),IF($C5="",SUMIFS(全伝票!N:N,全伝票!$A:$A,$A5,全伝票!$B:$B,$B5),SUMIFS(全伝票!N:N,全伝票!$A:$A,$A5,全伝票!$C:$C,$C5)))</f>
        <v>0</v>
      </c>
      <c r="K5" s="112">
        <f t="shared" ref="K5:K36" si="0">SUM(F5:J5)</f>
        <v>0</v>
      </c>
      <c r="L5" s="170">
        <f>+IF($A5="",IF($C5="",SUMIFS(全伝票!O:O,全伝票!$B:$B,$B5),SUMIFS(全伝票!O:O,全伝票!$C:$C,$C5)),IF($C5="",SUMIFS(全伝票!O:O,全伝票!$A:$A,$A5,全伝票!$B:$B,$B5),SUMIFS(全伝票!O:O,全伝票!$A:$A,$A5,全伝票!$C:$C,$C5)))</f>
        <v>0</v>
      </c>
      <c r="M5" s="277">
        <f>+IF($A5="",IF($C5="",SUMIFS(全伝票!P:P,全伝票!$B:$B,$B5),SUMIFS(全伝票!P:P,全伝票!$C:$C,$C5)),IF($C5="",SUMIFS(全伝票!P:P,全伝票!$A:$A,$A5,全伝票!$B:$B,$B5),SUMIFS(全伝票!P:P,全伝票!$A:$A,$A5,全伝票!$C:$C,$C5)))</f>
        <v>0</v>
      </c>
      <c r="N5" s="169">
        <f t="shared" ref="N5:N36" si="1">+ROUND(F5*F$4/(100+F$4),0)+AE5</f>
        <v>0</v>
      </c>
      <c r="O5" s="47">
        <f>+ROUND(G5*G$4/(100+G$4),0)+AF5</f>
        <v>0</v>
      </c>
      <c r="P5" s="47">
        <f t="shared" ref="P5:P36" si="2">+ROUND(H5*H$4/(100+H$4),0)+AG5</f>
        <v>0</v>
      </c>
      <c r="Q5" s="168">
        <f t="shared" ref="O5:Q36" si="3">+ROUND(I5*I$4/(100+I$4),0)+AH5</f>
        <v>0</v>
      </c>
      <c r="R5" s="168">
        <f t="shared" ref="R5:R36" si="4">+ROUND(J5*J$4/(100+J$4),0)+AI5</f>
        <v>0</v>
      </c>
      <c r="S5" s="167">
        <f t="shared" ref="S5:S36" si="5">SUM(N5:R5)</f>
        <v>0</v>
      </c>
      <c r="T5" s="166">
        <f t="shared" ref="T5:T36" si="6">+E5-S5</f>
        <v>0</v>
      </c>
      <c r="U5" s="107">
        <f t="shared" ref="U5:U36" si="7">N5-F5*F$4/(100+F$4)</f>
        <v>0</v>
      </c>
      <c r="V5" s="107">
        <f t="shared" ref="V5:V36" si="8">O5-G5*G$4/(100+G$4)</f>
        <v>0</v>
      </c>
      <c r="W5" s="107">
        <f t="shared" ref="W5:X36" si="9">P5-H5*H$4/(100+H$4)</f>
        <v>0</v>
      </c>
      <c r="X5" s="107">
        <f t="shared" si="9"/>
        <v>0</v>
      </c>
      <c r="Y5" s="107">
        <f t="shared" ref="Y5:Y36" si="10">R5-J5*J$4/(100+J$4)</f>
        <v>0</v>
      </c>
      <c r="Z5" s="106">
        <f t="shared" ref="Z5:Z36" si="11">+IF(N$39=0,0,IF(N$39&lt;0,-RANK(U5,U$5:U$36,0),RANK(U5,U$5:U$36,1)))</f>
        <v>0</v>
      </c>
      <c r="AA5" s="106">
        <f t="shared" ref="AA5:AA36" si="12">+IF(O$39=0,0,IF(O$39&lt;0,-RANK(V5,V$5:V$36,0),RANK(V5,V$5:V$36,1)))</f>
        <v>0</v>
      </c>
      <c r="AB5" s="106">
        <f t="shared" ref="AB5:AB36" si="13">+IF(P$39=0,0,IF(P$39&lt;0,-RANK(W5,W$5:W$36,0),RANK(W5,W$5:W$36,1)))</f>
        <v>0</v>
      </c>
      <c r="AC5" s="106">
        <f t="shared" ref="AC5:AC36" si="14">+IF(Q$39=0,0,IF(Q$39&lt;0,-RANK(X5,X$5:X$36,0),RANK(X5,X$5:X$36,1)))</f>
        <v>0</v>
      </c>
      <c r="AD5" s="106">
        <f t="shared" ref="AD5:AD36" si="15">+IF(R$39=0,0,IF(R$39&lt;0,-RANK(Y5,Y$5:Y$36,0),RANK(Y5,Y$5:Y$36,1)))</f>
        <v>0</v>
      </c>
    </row>
    <row r="6" spans="1:35">
      <c r="A6" s="165">
        <v>3</v>
      </c>
      <c r="B6" s="164" t="s">
        <v>445</v>
      </c>
      <c r="C6" s="163"/>
      <c r="D6" s="162" t="s">
        <v>110</v>
      </c>
      <c r="E6" s="158">
        <f>+IF($A6="",IF($C6="",SUMIFS(全伝票!I:I,全伝票!$B:$B,$B6),SUMIFS(全伝票!I:I,全伝票!$C:$C,$C6)),IF($C6="",SUMIFS(全伝票!I:I,全伝票!$A:$A,$A6,全伝票!$B:$B,$B6),SUMIFS(全伝票!I:I,全伝票!$A:$A,$A6,全伝票!$C:$C,$C6)))</f>
        <v>0</v>
      </c>
      <c r="F6" s="161">
        <f>+IF($A6="",IF($C6="",SUMIFS(全伝票!J:J,全伝票!$B:$B,$B6),SUMIFS(全伝票!J:J,全伝票!$C:$C,$C6)),IF($C6="",SUMIFS(全伝票!J:J,全伝票!$A:$A,$A6,全伝票!$B:$B,$B6),SUMIFS(全伝票!J:J,全伝票!$A:$A,$A6,全伝票!$C:$C,$C6)))</f>
        <v>0</v>
      </c>
      <c r="G6" s="160">
        <f>+IF($A6="",IF($C6="",SUMIFS(全伝票!K:K,全伝票!$B:$B,$B6),SUMIFS(全伝票!K:K,全伝票!$C:$C,$C6)),IF($C6="",SUMIFS(全伝票!K:K,全伝票!$A:$A,$A6,全伝票!$B:$B,$B6),SUMIFS(全伝票!K:K,全伝票!$A:$A,$A6,全伝票!$C:$C,$C6)))</f>
        <v>0</v>
      </c>
      <c r="H6" s="160">
        <f>+IF($A6="",IF($C6="",SUMIFS(全伝票!L:L,全伝票!$B:$B,$B6),SUMIFS(全伝票!L:L,全伝票!$C:$C,$C6)),IF($C6="",SUMIFS(全伝票!L:L,全伝票!$A:$A,$A6,全伝票!$B:$B,$B6),SUMIFS(全伝票!L:L,全伝票!$A:$A,$A6,全伝票!$C:$C,$C6)))</f>
        <v>0</v>
      </c>
      <c r="I6" s="159">
        <f>+IF($A6="",IF($C6="",SUMIFS(全伝票!M:M,全伝票!$B:$B,$B6),SUMIFS(全伝票!M:M,全伝票!$C:$C,$C6)),IF($C6="",SUMIFS(全伝票!M:M,全伝票!$A:$A,$A6,全伝票!$B:$B,$B6),SUMIFS(全伝票!M:M,全伝票!$A:$A,$A6,全伝票!$C:$C,$C6)))</f>
        <v>0</v>
      </c>
      <c r="J6" s="159">
        <f>+IF($A6="",IF($C6="",SUMIFS(全伝票!N:N,全伝票!$B:$B,$B6),SUMIFS(全伝票!N:N,全伝票!$C:$C,$C6)),IF($C6="",SUMIFS(全伝票!N:N,全伝票!$A:$A,$A6,全伝票!$B:$B,$B6),SUMIFS(全伝票!N:N,全伝票!$A:$A,$A6,全伝票!$C:$C,$C6)))</f>
        <v>0</v>
      </c>
      <c r="K6" s="34">
        <f t="shared" si="0"/>
        <v>0</v>
      </c>
      <c r="L6" s="158">
        <f>+IF($A6="",IF($C6="",SUMIFS(全伝票!O:O,全伝票!$B:$B,$B6),SUMIFS(全伝票!O:O,全伝票!$C:$C,$C6)),IF($C6="",SUMIFS(全伝票!O:O,全伝票!$A:$A,$A6,全伝票!$B:$B,$B6),SUMIFS(全伝票!O:O,全伝票!$A:$A,$A6,全伝票!$C:$C,$C6)))</f>
        <v>0</v>
      </c>
      <c r="M6" s="158">
        <f>+IF($A6="",IF($C6="",SUMIFS(全伝票!P:P,全伝票!$B:$B,$B6),SUMIFS(全伝票!P:P,全伝票!$C:$C,$C6)),IF($C6="",SUMIFS(全伝票!P:P,全伝票!$A:$A,$A6,全伝票!$B:$B,$B6),SUMIFS(全伝票!P:P,全伝票!$A:$A,$A6,全伝票!$C:$C,$C6)))</f>
        <v>0</v>
      </c>
      <c r="N6" s="108">
        <f t="shared" si="1"/>
        <v>0</v>
      </c>
      <c r="O6" s="25">
        <f t="shared" si="3"/>
        <v>0</v>
      </c>
      <c r="P6" s="25">
        <f t="shared" si="2"/>
        <v>0</v>
      </c>
      <c r="Q6" s="157">
        <f t="shared" si="3"/>
        <v>0</v>
      </c>
      <c r="R6" s="157">
        <f t="shared" si="4"/>
        <v>0</v>
      </c>
      <c r="S6" s="22">
        <f t="shared" si="5"/>
        <v>0</v>
      </c>
      <c r="T6" s="109">
        <f t="shared" si="6"/>
        <v>0</v>
      </c>
      <c r="U6" s="107">
        <f t="shared" si="7"/>
        <v>0</v>
      </c>
      <c r="V6" s="107">
        <f t="shared" si="8"/>
        <v>0</v>
      </c>
      <c r="W6" s="107">
        <f t="shared" si="9"/>
        <v>0</v>
      </c>
      <c r="X6" s="107">
        <f t="shared" si="9"/>
        <v>0</v>
      </c>
      <c r="Y6" s="107">
        <f t="shared" si="10"/>
        <v>0</v>
      </c>
      <c r="Z6" s="106">
        <f t="shared" si="11"/>
        <v>0</v>
      </c>
      <c r="AA6" s="106">
        <f t="shared" si="12"/>
        <v>0</v>
      </c>
      <c r="AB6" s="106">
        <f t="shared" si="13"/>
        <v>0</v>
      </c>
      <c r="AC6" s="106">
        <f t="shared" si="14"/>
        <v>0</v>
      </c>
      <c r="AD6" s="106">
        <f t="shared" si="15"/>
        <v>0</v>
      </c>
    </row>
    <row r="7" spans="1:35">
      <c r="A7" s="165">
        <v>3</v>
      </c>
      <c r="B7" s="164" t="s">
        <v>444</v>
      </c>
      <c r="C7" s="163"/>
      <c r="D7" s="162" t="s">
        <v>108</v>
      </c>
      <c r="E7" s="158">
        <f>+IF($A7="",IF($C7="",SUMIFS(全伝票!I:I,全伝票!$B:$B,$B7),SUMIFS(全伝票!I:I,全伝票!$C:$C,$C7)),IF($C7="",SUMIFS(全伝票!I:I,全伝票!$A:$A,$A7,全伝票!$B:$B,$B7),SUMIFS(全伝票!I:I,全伝票!$A:$A,$A7,全伝票!$C:$C,$C7)))</f>
        <v>0</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59">
        <f>+IF($A7="",IF($C7="",SUMIFS(全伝票!M:M,全伝票!$B:$B,$B7),SUMIFS(全伝票!M:M,全伝票!$C:$C,$C7)),IF($C7="",SUMIFS(全伝票!M:M,全伝票!$A:$A,$A7,全伝票!$B:$B,$B7),SUMIFS(全伝票!M:M,全伝票!$A:$A,$A7,全伝票!$C:$C,$C7)))</f>
        <v>0</v>
      </c>
      <c r="J7" s="159">
        <f>+IF($A7="",IF($C7="",SUMIFS(全伝票!N:N,全伝票!$B:$B,$B7),SUMIFS(全伝票!N:N,全伝票!$C:$C,$C7)),IF($C7="",SUMIFS(全伝票!N:N,全伝票!$A:$A,$A7,全伝票!$B:$B,$B7),SUMIFS(全伝票!N:N,全伝票!$A:$A,$A7,全伝票!$C:$C,$C7)))</f>
        <v>0</v>
      </c>
      <c r="K7" s="34">
        <f t="shared" si="0"/>
        <v>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0</v>
      </c>
      <c r="N7" s="108">
        <f t="shared" si="1"/>
        <v>0</v>
      </c>
      <c r="O7" s="25">
        <f t="shared" si="3"/>
        <v>0</v>
      </c>
      <c r="P7" s="25">
        <f t="shared" si="2"/>
        <v>0</v>
      </c>
      <c r="Q7" s="157">
        <f t="shared" si="3"/>
        <v>0</v>
      </c>
      <c r="R7" s="157">
        <f t="shared" si="4"/>
        <v>0</v>
      </c>
      <c r="S7" s="22">
        <f t="shared" si="5"/>
        <v>0</v>
      </c>
      <c r="T7" s="109">
        <f t="shared" si="6"/>
        <v>0</v>
      </c>
      <c r="U7" s="107">
        <f t="shared" si="7"/>
        <v>0</v>
      </c>
      <c r="V7" s="107">
        <f t="shared" si="8"/>
        <v>0</v>
      </c>
      <c r="W7" s="107">
        <f t="shared" si="9"/>
        <v>0</v>
      </c>
      <c r="X7" s="107">
        <f t="shared" si="9"/>
        <v>0</v>
      </c>
      <c r="Y7" s="107">
        <f t="shared" si="10"/>
        <v>0</v>
      </c>
      <c r="Z7" s="106">
        <f t="shared" si="11"/>
        <v>0</v>
      </c>
      <c r="AA7" s="106">
        <f t="shared" si="12"/>
        <v>0</v>
      </c>
      <c r="AB7" s="106">
        <f t="shared" si="13"/>
        <v>0</v>
      </c>
      <c r="AC7" s="106">
        <f t="shared" si="14"/>
        <v>0</v>
      </c>
      <c r="AD7" s="106">
        <f t="shared" si="15"/>
        <v>0</v>
      </c>
    </row>
    <row r="8" spans="1:35">
      <c r="A8" s="165">
        <v>3</v>
      </c>
      <c r="B8" s="164" t="s">
        <v>443</v>
      </c>
      <c r="C8" s="163"/>
      <c r="D8" s="162" t="s">
        <v>106</v>
      </c>
      <c r="E8" s="158">
        <f>+IF($A8="",IF($C8="",SUMIFS(全伝票!I:I,全伝票!$B:$B,$B8),SUMIFS(全伝票!I:I,全伝票!$C:$C,$C8)),IF($C8="",SUMIFS(全伝票!I:I,全伝票!$A:$A,$A8,全伝票!$B:$B,$B8),SUMIFS(全伝票!I:I,全伝票!$A:$A,$A8,全伝票!$C:$C,$C8)))</f>
        <v>0</v>
      </c>
      <c r="F8" s="161">
        <f>+IF($A8="",IF($C8="",SUMIFS(全伝票!J:J,全伝票!$B:$B,$B8),SUMIFS(全伝票!J:J,全伝票!$C:$C,$C8)),IF($C8="",SUMIFS(全伝票!J:J,全伝票!$A:$A,$A8,全伝票!$B:$B,$B8),SUMIFS(全伝票!J:J,全伝票!$A:$A,$A8,全伝票!$C:$C,$C8)))</f>
        <v>0</v>
      </c>
      <c r="G8" s="160">
        <f>+IF($A8="",IF($C8="",SUMIFS(全伝票!K:K,全伝票!$B:$B,$B8),SUMIFS(全伝票!K:K,全伝票!$C:$C,$C8)),IF($C8="",SUMIFS(全伝票!K:K,全伝票!$A:$A,$A8,全伝票!$B:$B,$B8),SUMIFS(全伝票!K:K,全伝票!$A:$A,$A8,全伝票!$C:$C,$C8)))</f>
        <v>0</v>
      </c>
      <c r="H8" s="160">
        <f>+IF($A8="",IF($C8="",SUMIFS(全伝票!L:L,全伝票!$B:$B,$B8),SUMIFS(全伝票!L:L,全伝票!$C:$C,$C8)),IF($C8="",SUMIFS(全伝票!L:L,全伝票!$A:$A,$A8,全伝票!$B:$B,$B8),SUMIFS(全伝票!L:L,全伝票!$A:$A,$A8,全伝票!$C:$C,$C8)))</f>
        <v>0</v>
      </c>
      <c r="I8" s="159">
        <f>+IF($A8="",IF($C8="",SUMIFS(全伝票!M:M,全伝票!$B:$B,$B8),SUMIFS(全伝票!M:M,全伝票!$C:$C,$C8)),IF($C8="",SUMIFS(全伝票!M:M,全伝票!$A:$A,$A8,全伝票!$B:$B,$B8),SUMIFS(全伝票!M:M,全伝票!$A:$A,$A8,全伝票!$C:$C,$C8)))</f>
        <v>0</v>
      </c>
      <c r="J8" s="159">
        <f>+IF($A8="",IF($C8="",SUMIFS(全伝票!N:N,全伝票!$B:$B,$B8),SUMIFS(全伝票!N:N,全伝票!$C:$C,$C8)),IF($C8="",SUMIFS(全伝票!N:N,全伝票!$A:$A,$A8,全伝票!$B:$B,$B8),SUMIFS(全伝票!N:N,全伝票!$A:$A,$A8,全伝票!$C:$C,$C8)))</f>
        <v>0</v>
      </c>
      <c r="K8" s="34">
        <f t="shared" si="0"/>
        <v>0</v>
      </c>
      <c r="L8" s="158">
        <f>+IF($A8="",IF($C8="",SUMIFS(全伝票!O:O,全伝票!$B:$B,$B8),SUMIFS(全伝票!O:O,全伝票!$C:$C,$C8)),IF($C8="",SUMIFS(全伝票!O:O,全伝票!$A:$A,$A8,全伝票!$B:$B,$B8),SUMIFS(全伝票!O:O,全伝票!$A:$A,$A8,全伝票!$C:$C,$C8)))</f>
        <v>0</v>
      </c>
      <c r="M8" s="158">
        <f>+IF($A8="",IF($C8="",SUMIFS(全伝票!P:P,全伝票!$B:$B,$B8),SUMIFS(全伝票!P:P,全伝票!$C:$C,$C8)),IF($C8="",SUMIFS(全伝票!P:P,全伝票!$A:$A,$A8,全伝票!$B:$B,$B8),SUMIFS(全伝票!P:P,全伝票!$A:$A,$A8,全伝票!$C:$C,$C8)))</f>
        <v>0</v>
      </c>
      <c r="N8" s="108">
        <f t="shared" si="1"/>
        <v>0</v>
      </c>
      <c r="O8" s="25">
        <f t="shared" si="3"/>
        <v>0</v>
      </c>
      <c r="P8" s="25">
        <f t="shared" si="2"/>
        <v>0</v>
      </c>
      <c r="Q8" s="157">
        <f t="shared" si="3"/>
        <v>0</v>
      </c>
      <c r="R8" s="157">
        <f t="shared" si="4"/>
        <v>0</v>
      </c>
      <c r="S8" s="22">
        <f t="shared" si="5"/>
        <v>0</v>
      </c>
      <c r="T8" s="109">
        <f t="shared" si="6"/>
        <v>0</v>
      </c>
      <c r="U8" s="107">
        <f t="shared" si="7"/>
        <v>0</v>
      </c>
      <c r="V8" s="107">
        <f t="shared" si="8"/>
        <v>0</v>
      </c>
      <c r="W8" s="107">
        <f t="shared" si="9"/>
        <v>0</v>
      </c>
      <c r="X8" s="107">
        <f t="shared" si="9"/>
        <v>0</v>
      </c>
      <c r="Y8" s="107">
        <f t="shared" si="10"/>
        <v>0</v>
      </c>
      <c r="Z8" s="106">
        <f t="shared" si="11"/>
        <v>0</v>
      </c>
      <c r="AA8" s="106">
        <f t="shared" si="12"/>
        <v>0</v>
      </c>
      <c r="AB8" s="106">
        <f t="shared" si="13"/>
        <v>0</v>
      </c>
      <c r="AC8" s="106">
        <f t="shared" si="14"/>
        <v>0</v>
      </c>
      <c r="AD8" s="106">
        <f t="shared" si="15"/>
        <v>0</v>
      </c>
    </row>
    <row r="9" spans="1:35">
      <c r="A9" s="165">
        <v>3</v>
      </c>
      <c r="B9" s="164" t="s">
        <v>442</v>
      </c>
      <c r="C9" s="163"/>
      <c r="D9" s="162" t="s">
        <v>104</v>
      </c>
      <c r="E9" s="158">
        <f>+IF($A9="",IF($C9="",SUMIFS(全伝票!I:I,全伝票!$B:$B,$B9),SUMIFS(全伝票!I:I,全伝票!$C:$C,$C9)),IF($C9="",SUMIFS(全伝票!I:I,全伝票!$A:$A,$A9,全伝票!$B:$B,$B9),SUMIFS(全伝票!I:I,全伝票!$A:$A,$A9,全伝票!$C:$C,$C9)))</f>
        <v>0</v>
      </c>
      <c r="F9" s="161">
        <f>+IF($A9="",IF($C9="",SUMIFS(全伝票!J:J,全伝票!$B:$B,$B9),SUMIFS(全伝票!J:J,全伝票!$C:$C,$C9)),IF($C9="",SUMIFS(全伝票!J:J,全伝票!$A:$A,$A9,全伝票!$B:$B,$B9),SUMIFS(全伝票!J:J,全伝票!$A:$A,$A9,全伝票!$C:$C,$C9)))</f>
        <v>0</v>
      </c>
      <c r="G9" s="160">
        <f>+IF($A9="",IF($C9="",SUMIFS(全伝票!K:K,全伝票!$B:$B,$B9),SUMIFS(全伝票!K:K,全伝票!$C:$C,$C9)),IF($C9="",SUMIFS(全伝票!K:K,全伝票!$A:$A,$A9,全伝票!$B:$B,$B9),SUMIFS(全伝票!K:K,全伝票!$A:$A,$A9,全伝票!$C:$C,$C9)))</f>
        <v>0</v>
      </c>
      <c r="H9" s="160">
        <f>+IF($A9="",IF($C9="",SUMIFS(全伝票!L:L,全伝票!$B:$B,$B9),SUMIFS(全伝票!L:L,全伝票!$C:$C,$C9)),IF($C9="",SUMIFS(全伝票!L:L,全伝票!$A:$A,$A9,全伝票!$B:$B,$B9),SUMIFS(全伝票!L:L,全伝票!$A:$A,$A9,全伝票!$C:$C,$C9)))</f>
        <v>0</v>
      </c>
      <c r="I9" s="159">
        <f>+IF($A9="",IF($C9="",SUMIFS(全伝票!M:M,全伝票!$B:$B,$B9),SUMIFS(全伝票!M:M,全伝票!$C:$C,$C9)),IF($C9="",SUMIFS(全伝票!M:M,全伝票!$A:$A,$A9,全伝票!$B:$B,$B9),SUMIFS(全伝票!M:M,全伝票!$A:$A,$A9,全伝票!$C:$C,$C9)))</f>
        <v>0</v>
      </c>
      <c r="J9" s="159">
        <f>+IF($A9="",IF($C9="",SUMIFS(全伝票!N:N,全伝票!$B:$B,$B9),SUMIFS(全伝票!N:N,全伝票!$C:$C,$C9)),IF($C9="",SUMIFS(全伝票!N:N,全伝票!$A:$A,$A9,全伝票!$B:$B,$B9),SUMIFS(全伝票!N:N,全伝票!$A:$A,$A9,全伝票!$C:$C,$C9)))</f>
        <v>0</v>
      </c>
      <c r="K9" s="34">
        <f t="shared" si="0"/>
        <v>0</v>
      </c>
      <c r="L9" s="158">
        <f>+IF($A9="",IF($C9="",SUMIFS(全伝票!O:O,全伝票!$B:$B,$B9),SUMIFS(全伝票!O:O,全伝票!$C:$C,$C9)),IF($C9="",SUMIFS(全伝票!O:O,全伝票!$A:$A,$A9,全伝票!$B:$B,$B9),SUMIFS(全伝票!O:O,全伝票!$A:$A,$A9,全伝票!$C:$C,$C9)))</f>
        <v>0</v>
      </c>
      <c r="M9" s="158">
        <f>+IF($A9="",IF($C9="",SUMIFS(全伝票!P:P,全伝票!$B:$B,$B9),SUMIFS(全伝票!P:P,全伝票!$C:$C,$C9)),IF($C9="",SUMIFS(全伝票!P:P,全伝票!$A:$A,$A9,全伝票!$B:$B,$B9),SUMIFS(全伝票!P:P,全伝票!$A:$A,$A9,全伝票!$C:$C,$C9)))</f>
        <v>0</v>
      </c>
      <c r="N9" s="108">
        <f t="shared" si="1"/>
        <v>0</v>
      </c>
      <c r="O9" s="25">
        <f t="shared" si="3"/>
        <v>0</v>
      </c>
      <c r="P9" s="25">
        <f t="shared" si="2"/>
        <v>0</v>
      </c>
      <c r="Q9" s="157">
        <f t="shared" si="3"/>
        <v>0</v>
      </c>
      <c r="R9" s="157">
        <f t="shared" si="4"/>
        <v>0</v>
      </c>
      <c r="S9" s="22">
        <f t="shared" si="5"/>
        <v>0</v>
      </c>
      <c r="T9" s="109">
        <f t="shared" si="6"/>
        <v>0</v>
      </c>
      <c r="U9" s="107">
        <f t="shared" si="7"/>
        <v>0</v>
      </c>
      <c r="V9" s="107">
        <f t="shared" si="8"/>
        <v>0</v>
      </c>
      <c r="W9" s="107">
        <f t="shared" si="9"/>
        <v>0</v>
      </c>
      <c r="X9" s="107">
        <f t="shared" si="9"/>
        <v>0</v>
      </c>
      <c r="Y9" s="107">
        <f t="shared" si="10"/>
        <v>0</v>
      </c>
      <c r="Z9" s="106">
        <f t="shared" si="11"/>
        <v>0</v>
      </c>
      <c r="AA9" s="106">
        <f t="shared" si="12"/>
        <v>0</v>
      </c>
      <c r="AB9" s="106">
        <f t="shared" si="13"/>
        <v>0</v>
      </c>
      <c r="AC9" s="106">
        <f t="shared" si="14"/>
        <v>0</v>
      </c>
      <c r="AD9" s="106">
        <f t="shared" si="15"/>
        <v>0</v>
      </c>
    </row>
    <row r="10" spans="1:35">
      <c r="A10" s="165">
        <v>3</v>
      </c>
      <c r="B10" s="164" t="s">
        <v>441</v>
      </c>
      <c r="C10" s="163"/>
      <c r="D10" s="162" t="s">
        <v>102</v>
      </c>
      <c r="E10" s="158">
        <f>+IF($A10="",IF($C10="",SUMIFS(全伝票!I:I,全伝票!$B:$B,$B10),SUMIFS(全伝票!I:I,全伝票!$C:$C,$C10)),IF($C10="",SUMIFS(全伝票!I:I,全伝票!$A:$A,$A10,全伝票!$B:$B,$B10),SUMIFS(全伝票!I:I,全伝票!$A:$A,$A10,全伝票!$C:$C,$C10)))</f>
        <v>0</v>
      </c>
      <c r="F10" s="161">
        <f>+IF($A10="",IF($C10="",SUMIFS(全伝票!J:J,全伝票!$B:$B,$B10),SUMIFS(全伝票!J:J,全伝票!$C:$C,$C10)),IF($C10="",SUMIFS(全伝票!J:J,全伝票!$A:$A,$A10,全伝票!$B:$B,$B10),SUMIFS(全伝票!J:J,全伝票!$A:$A,$A10,全伝票!$C:$C,$C10)))</f>
        <v>0</v>
      </c>
      <c r="G10" s="160">
        <f>+IF($A10="",IF($C10="",SUMIFS(全伝票!K:K,全伝票!$B:$B,$B10),SUMIFS(全伝票!K:K,全伝票!$C:$C,$C10)),IF($C10="",SUMIFS(全伝票!K:K,全伝票!$A:$A,$A10,全伝票!$B:$B,$B10),SUMIFS(全伝票!K:K,全伝票!$A:$A,$A10,全伝票!$C:$C,$C10)))</f>
        <v>0</v>
      </c>
      <c r="H10" s="276">
        <f>+IF($A10="",IF($C10="",SUMIFS(全伝票!L:L,全伝票!$B:$B,$B10),SUMIFS(全伝票!L:L,全伝票!$C:$C,$C10)),IF($C10="",SUMIFS(全伝票!L:L,全伝票!$A:$A,$A10,全伝票!$B:$B,$B10),SUMIFS(全伝票!L:L,全伝票!$A:$A,$A10,全伝票!$C:$C,$C10)))</f>
        <v>0</v>
      </c>
      <c r="I10" s="271">
        <f>+IF($A10="",IF($C10="",SUMIFS(全伝票!M:M,全伝票!$B:$B,$B10),SUMIFS(全伝票!M:M,全伝票!$C:$C,$C10)),IF($C10="",SUMIFS(全伝票!M:M,全伝票!$A:$A,$A10,全伝票!$B:$B,$B10),SUMIFS(全伝票!M:M,全伝票!$A:$A,$A10,全伝票!$C:$C,$C10)))</f>
        <v>0</v>
      </c>
      <c r="J10" s="159">
        <f>+IF($A10="",IF($C10="",SUMIFS(全伝票!N:N,全伝票!$B:$B,$B10),SUMIFS(全伝票!N:N,全伝票!$C:$C,$C10)),IF($C10="",SUMIFS(全伝票!N:N,全伝票!$A:$A,$A10,全伝票!$B:$B,$B10),SUMIFS(全伝票!N:N,全伝票!$A:$A,$A10,全伝票!$C:$C,$C10)))</f>
        <v>0</v>
      </c>
      <c r="K10" s="34">
        <f t="shared" si="0"/>
        <v>0</v>
      </c>
      <c r="L10" s="158">
        <f>+IF($A10="",IF($C10="",SUMIFS(全伝票!O:O,全伝票!$B:$B,$B10),SUMIFS(全伝票!O:O,全伝票!$C:$C,$C10)),IF($C10="",SUMIFS(全伝票!O:O,全伝票!$A:$A,$A10,全伝票!$B:$B,$B10),SUMIFS(全伝票!O:O,全伝票!$A:$A,$A10,全伝票!$C:$C,$C10)))</f>
        <v>0</v>
      </c>
      <c r="M10" s="278">
        <f>+IF($A10="",IF($C10="",SUMIFS(全伝票!P:P,全伝票!$B:$B,$B10),SUMIFS(全伝票!P:P,全伝票!$C:$C,$C10)),IF($C10="",SUMIFS(全伝票!P:P,全伝票!$A:$A,$A10,全伝票!$B:$B,$B10),SUMIFS(全伝票!P:P,全伝票!$A:$A,$A10,全伝票!$C:$C,$C10)))</f>
        <v>0</v>
      </c>
      <c r="N10" s="108">
        <f t="shared" si="1"/>
        <v>0</v>
      </c>
      <c r="O10" s="25">
        <f t="shared" si="3"/>
        <v>0</v>
      </c>
      <c r="P10" s="25">
        <f t="shared" si="2"/>
        <v>0</v>
      </c>
      <c r="Q10" s="157">
        <f t="shared" si="3"/>
        <v>0</v>
      </c>
      <c r="R10" s="157">
        <f t="shared" si="4"/>
        <v>0</v>
      </c>
      <c r="S10" s="22">
        <f t="shared" si="5"/>
        <v>0</v>
      </c>
      <c r="T10" s="109">
        <f t="shared" si="6"/>
        <v>0</v>
      </c>
      <c r="U10" s="107">
        <f t="shared" si="7"/>
        <v>0</v>
      </c>
      <c r="V10" s="107">
        <f t="shared" si="8"/>
        <v>0</v>
      </c>
      <c r="W10" s="107">
        <f t="shared" si="9"/>
        <v>0</v>
      </c>
      <c r="X10" s="107">
        <f t="shared" si="9"/>
        <v>0</v>
      </c>
      <c r="Y10" s="107">
        <f t="shared" si="10"/>
        <v>0</v>
      </c>
      <c r="Z10" s="106">
        <f t="shared" si="11"/>
        <v>0</v>
      </c>
      <c r="AA10" s="106">
        <f t="shared" si="12"/>
        <v>0</v>
      </c>
      <c r="AB10" s="106">
        <f t="shared" si="13"/>
        <v>0</v>
      </c>
      <c r="AC10" s="106">
        <f t="shared" si="14"/>
        <v>0</v>
      </c>
      <c r="AD10" s="106">
        <f t="shared" si="15"/>
        <v>0</v>
      </c>
    </row>
    <row r="11" spans="1:35">
      <c r="A11" s="165">
        <v>3</v>
      </c>
      <c r="B11" s="164" t="s">
        <v>440</v>
      </c>
      <c r="C11" s="163"/>
      <c r="D11" s="162" t="s">
        <v>100</v>
      </c>
      <c r="E11" s="158">
        <f>+IF($A11="",IF($C11="",SUMIFS(全伝票!I:I,全伝票!$B:$B,$B11),SUMIFS(全伝票!I:I,全伝票!$C:$C,$C11)),IF($C11="",SUMIFS(全伝票!I:I,全伝票!$A:$A,$A11,全伝票!$B:$B,$B11),SUMIFS(全伝票!I:I,全伝票!$A:$A,$A11,全伝票!$C:$C,$C11)))</f>
        <v>0</v>
      </c>
      <c r="F11" s="161">
        <f>+IF($A11="",IF($C11="",SUMIFS(全伝票!J:J,全伝票!$B:$B,$B11),SUMIFS(全伝票!J:J,全伝票!$C:$C,$C11)),IF($C11="",SUMIFS(全伝票!J:J,全伝票!$A:$A,$A11,全伝票!$B:$B,$B11),SUMIFS(全伝票!J:J,全伝票!$A:$A,$A11,全伝票!$C:$C,$C11)))</f>
        <v>0</v>
      </c>
      <c r="G11" s="160">
        <f>+IF($A11="",IF($C11="",SUMIFS(全伝票!K:K,全伝票!$B:$B,$B11),SUMIFS(全伝票!K:K,全伝票!$C:$C,$C11)),IF($C11="",SUMIFS(全伝票!K:K,全伝票!$A:$A,$A11,全伝票!$B:$B,$B11),SUMIFS(全伝票!K:K,全伝票!$A:$A,$A11,全伝票!$C:$C,$C11)))</f>
        <v>0</v>
      </c>
      <c r="H11" s="160">
        <f>+IF($A11="",IF($C11="",SUMIFS(全伝票!L:L,全伝票!$B:$B,$B11),SUMIFS(全伝票!L:L,全伝票!$C:$C,$C11)),IF($C11="",SUMIFS(全伝票!L:L,全伝票!$A:$A,$A11,全伝票!$B:$B,$B11),SUMIFS(全伝票!L:L,全伝票!$A:$A,$A11,全伝票!$C:$C,$C11)))</f>
        <v>0</v>
      </c>
      <c r="I11" s="159">
        <f>+IF($A11="",IF($C11="",SUMIFS(全伝票!M:M,全伝票!$B:$B,$B11),SUMIFS(全伝票!M:M,全伝票!$C:$C,$C11)),IF($C11="",SUMIFS(全伝票!M:M,全伝票!$A:$A,$A11,全伝票!$B:$B,$B11),SUMIFS(全伝票!M:M,全伝票!$A:$A,$A11,全伝票!$C:$C,$C11)))</f>
        <v>0</v>
      </c>
      <c r="J11" s="159">
        <f>+IF($A11="",IF($C11="",SUMIFS(全伝票!N:N,全伝票!$B:$B,$B11),SUMIFS(全伝票!N:N,全伝票!$C:$C,$C11)),IF($C11="",SUMIFS(全伝票!N:N,全伝票!$A:$A,$A11,全伝票!$B:$B,$B11),SUMIFS(全伝票!N:N,全伝票!$A:$A,$A11,全伝票!$C:$C,$C11)))</f>
        <v>0</v>
      </c>
      <c r="K11" s="34">
        <f t="shared" si="0"/>
        <v>0</v>
      </c>
      <c r="L11" s="158">
        <f>+IF($A11="",IF($C11="",SUMIFS(全伝票!O:O,全伝票!$B:$B,$B11),SUMIFS(全伝票!O:O,全伝票!$C:$C,$C11)),IF($C11="",SUMIFS(全伝票!O:O,全伝票!$A:$A,$A11,全伝票!$B:$B,$B11),SUMIFS(全伝票!O:O,全伝票!$A:$A,$A11,全伝票!$C:$C,$C11)))</f>
        <v>0</v>
      </c>
      <c r="M11" s="158">
        <f>+IF($A11="",IF($C11="",SUMIFS(全伝票!P:P,全伝票!$B:$B,$B11),SUMIFS(全伝票!P:P,全伝票!$C:$C,$C11)),IF($C11="",SUMIFS(全伝票!P:P,全伝票!$A:$A,$A11,全伝票!$B:$B,$B11),SUMIFS(全伝票!P:P,全伝票!$A:$A,$A11,全伝票!$C:$C,$C11)))</f>
        <v>0</v>
      </c>
      <c r="N11" s="108">
        <f t="shared" si="1"/>
        <v>0</v>
      </c>
      <c r="O11" s="25">
        <f t="shared" si="3"/>
        <v>0</v>
      </c>
      <c r="P11" s="25">
        <f t="shared" si="2"/>
        <v>0</v>
      </c>
      <c r="Q11" s="157">
        <f t="shared" si="3"/>
        <v>0</v>
      </c>
      <c r="R11" s="157">
        <f t="shared" si="4"/>
        <v>0</v>
      </c>
      <c r="S11" s="22">
        <f t="shared" si="5"/>
        <v>0</v>
      </c>
      <c r="T11" s="109">
        <f t="shared" si="6"/>
        <v>0</v>
      </c>
      <c r="U11" s="107">
        <f t="shared" si="7"/>
        <v>0</v>
      </c>
      <c r="V11" s="107">
        <f t="shared" si="8"/>
        <v>0</v>
      </c>
      <c r="W11" s="107">
        <f t="shared" si="9"/>
        <v>0</v>
      </c>
      <c r="X11" s="107">
        <f t="shared" si="9"/>
        <v>0</v>
      </c>
      <c r="Y11" s="107">
        <f t="shared" si="10"/>
        <v>0</v>
      </c>
      <c r="Z11" s="106">
        <f t="shared" si="11"/>
        <v>0</v>
      </c>
      <c r="AA11" s="106">
        <f t="shared" si="12"/>
        <v>0</v>
      </c>
      <c r="AB11" s="106">
        <f t="shared" si="13"/>
        <v>0</v>
      </c>
      <c r="AC11" s="106">
        <f t="shared" si="14"/>
        <v>0</v>
      </c>
      <c r="AD11" s="106">
        <f t="shared" si="15"/>
        <v>0</v>
      </c>
    </row>
    <row r="12" spans="1:35">
      <c r="A12" s="165">
        <v>3</v>
      </c>
      <c r="B12" s="164" t="s">
        <v>438</v>
      </c>
      <c r="C12" s="163" t="s">
        <v>439</v>
      </c>
      <c r="D12" s="162" t="s">
        <v>98</v>
      </c>
      <c r="E12" s="158">
        <f>+IF($A12="",IF($C12="",SUMIFS(全伝票!I:I,全伝票!$B:$B,$B12),SUMIFS(全伝票!I:I,全伝票!$C:$C,$C12)),IF($C12="",SUMIFS(全伝票!I:I,全伝票!$A:$A,$A12,全伝票!$B:$B,$B12),SUMIFS(全伝票!I:I,全伝票!$A:$A,$A12,全伝票!$C:$C,$C12)))</f>
        <v>7966</v>
      </c>
      <c r="F12" s="161">
        <f>+IF($A12="",IF($C12="",SUMIFS(全伝票!J:J,全伝票!$B:$B,$B12),SUMIFS(全伝票!J:J,全伝票!$C:$C,$C12)),IF($C12="",SUMIFS(全伝票!J:J,全伝票!$A:$A,$A12,全伝票!$B:$B,$B12),SUMIFS(全伝票!J:J,全伝票!$A:$A,$A12,全伝票!$C:$C,$C12)))</f>
        <v>0</v>
      </c>
      <c r="G12" s="160">
        <f>+IF($A12="",IF($C12="",SUMIFS(全伝票!K:K,全伝票!$B:$B,$B12),SUMIFS(全伝票!K:K,全伝票!$C:$C,$C12)),IF($C12="",SUMIFS(全伝票!K:K,全伝票!$A:$A,$A12,全伝票!$B:$B,$B12),SUMIFS(全伝票!K:K,全伝票!$A:$A,$A12,全伝票!$C:$C,$C12)))</f>
        <v>0</v>
      </c>
      <c r="H12" s="160">
        <f>+IF($A12="",IF($C12="",SUMIFS(全伝票!L:L,全伝票!$B:$B,$B12),SUMIFS(全伝票!L:L,全伝票!$C:$C,$C12)),IF($C12="",SUMIFS(全伝票!L:L,全伝票!$A:$A,$A12,全伝票!$B:$B,$B12),SUMIFS(全伝票!L:L,全伝票!$A:$A,$A12,全伝票!$C:$C,$C12)))</f>
        <v>0</v>
      </c>
      <c r="I12" s="159">
        <f>+IF($A12="",IF($C12="",SUMIFS(全伝票!M:M,全伝票!$B:$B,$B12),SUMIFS(全伝票!M:M,全伝票!$C:$C,$C12)),IF($C12="",SUMIFS(全伝票!M:M,全伝票!$A:$A,$A12,全伝票!$B:$B,$B12),SUMIFS(全伝票!M:M,全伝票!$A:$A,$A12,全伝票!$C:$C,$C12)))</f>
        <v>0</v>
      </c>
      <c r="J12" s="159">
        <f>+IF($A12="",IF($C12="",SUMIFS(全伝票!N:N,全伝票!$B:$B,$B12),SUMIFS(全伝票!N:N,全伝票!$C:$C,$C12)),IF($C12="",SUMIFS(全伝票!N:N,全伝票!$A:$A,$A12,全伝票!$B:$B,$B12),SUMIFS(全伝票!N:N,全伝票!$A:$A,$A12,全伝票!$C:$C,$C12)))</f>
        <v>7966</v>
      </c>
      <c r="K12" s="34">
        <f t="shared" si="0"/>
        <v>7966</v>
      </c>
      <c r="L12" s="158">
        <f>+IF($A12="",IF($C12="",SUMIFS(全伝票!O:O,全伝票!$B:$B,$B12),SUMIFS(全伝票!O:O,全伝票!$C:$C,$C12)),IF($C12="",SUMIFS(全伝票!O:O,全伝票!$A:$A,$A12,全伝票!$B:$B,$B12),SUMIFS(全伝票!O:O,全伝票!$A:$A,$A12,全伝票!$C:$C,$C12)))</f>
        <v>0</v>
      </c>
      <c r="M12" s="158">
        <f>+IF($A12="",IF($C12="",SUMIFS(全伝票!P:P,全伝票!$B:$B,$B12),SUMIFS(全伝票!P:P,全伝票!$C:$C,$C12)),IF($C12="",SUMIFS(全伝票!P:P,全伝票!$A:$A,$A12,全伝票!$B:$B,$B12),SUMIFS(全伝票!P:P,全伝票!$A:$A,$A12,全伝票!$C:$C,$C12)))</f>
        <v>0</v>
      </c>
      <c r="N12" s="108">
        <f t="shared" si="1"/>
        <v>0</v>
      </c>
      <c r="O12" s="25">
        <f t="shared" si="3"/>
        <v>0</v>
      </c>
      <c r="P12" s="25">
        <f t="shared" si="2"/>
        <v>0</v>
      </c>
      <c r="Q12" s="157">
        <f t="shared" si="3"/>
        <v>0</v>
      </c>
      <c r="R12" s="157">
        <f t="shared" si="4"/>
        <v>724</v>
      </c>
      <c r="S12" s="22">
        <f t="shared" si="5"/>
        <v>724</v>
      </c>
      <c r="T12" s="109">
        <f t="shared" si="6"/>
        <v>7242</v>
      </c>
      <c r="U12" s="107">
        <f t="shared" si="7"/>
        <v>0</v>
      </c>
      <c r="V12" s="107">
        <f t="shared" si="8"/>
        <v>0</v>
      </c>
      <c r="W12" s="107">
        <f t="shared" si="9"/>
        <v>0</v>
      </c>
      <c r="X12" s="107">
        <f t="shared" si="9"/>
        <v>0</v>
      </c>
      <c r="Y12" s="107">
        <f t="shared" si="10"/>
        <v>-0.18181818181813014</v>
      </c>
      <c r="Z12" s="106">
        <f t="shared" si="11"/>
        <v>0</v>
      </c>
      <c r="AA12" s="106">
        <f t="shared" si="12"/>
        <v>0</v>
      </c>
      <c r="AB12" s="106">
        <f t="shared" si="13"/>
        <v>0</v>
      </c>
      <c r="AC12" s="106">
        <f t="shared" si="14"/>
        <v>0</v>
      </c>
      <c r="AD12" s="106">
        <f t="shared" si="15"/>
        <v>0</v>
      </c>
    </row>
    <row r="13" spans="1:35">
      <c r="A13" s="165">
        <v>3</v>
      </c>
      <c r="B13" s="164" t="s">
        <v>438</v>
      </c>
      <c r="C13" s="163" t="s">
        <v>437</v>
      </c>
      <c r="D13" s="162" t="s">
        <v>95</v>
      </c>
      <c r="E13" s="158">
        <f>+IF($A13="",IF($C13="",SUMIFS(全伝票!I:I,全伝票!$B:$B,$B13),SUMIFS(全伝票!I:I,全伝票!$C:$C,$C13)),IF($C13="",SUMIFS(全伝票!I:I,全伝票!$A:$A,$A13,全伝票!$B:$B,$B13),SUMIFS(全伝票!I:I,全伝票!$A:$A,$A13,全伝票!$C:$C,$C13)))</f>
        <v>0</v>
      </c>
      <c r="F13" s="161">
        <f>+IF($A13="",IF($C13="",SUMIFS(全伝票!J:J,全伝票!$B:$B,$B13),SUMIFS(全伝票!J:J,全伝票!$C:$C,$C13)),IF($C13="",SUMIFS(全伝票!J:J,全伝票!$A:$A,$A13,全伝票!$B:$B,$B13),SUMIFS(全伝票!J:J,全伝票!$A:$A,$A13,全伝票!$C:$C,$C13)))</f>
        <v>0</v>
      </c>
      <c r="G13" s="160">
        <f>+IF($A13="",IF($C13="",SUMIFS(全伝票!K:K,全伝票!$B:$B,$B13),SUMIFS(全伝票!K:K,全伝票!$C:$C,$C13)),IF($C13="",SUMIFS(全伝票!K:K,全伝票!$A:$A,$A13,全伝票!$B:$B,$B13),SUMIFS(全伝票!K:K,全伝票!$A:$A,$A13,全伝票!$C:$C,$C13)))</f>
        <v>0</v>
      </c>
      <c r="H13" s="160">
        <f>+IF($A13="",IF($C13="",SUMIFS(全伝票!L:L,全伝票!$B:$B,$B13),SUMIFS(全伝票!L:L,全伝票!$C:$C,$C13)),IF($C13="",SUMIFS(全伝票!L:L,全伝票!$A:$A,$A13,全伝票!$B:$B,$B13),SUMIFS(全伝票!L:L,全伝票!$A:$A,$A13,全伝票!$C:$C,$C13)))</f>
        <v>0</v>
      </c>
      <c r="I13" s="159">
        <f>+IF($A13="",IF($C13="",SUMIFS(全伝票!M:M,全伝票!$B:$B,$B13),SUMIFS(全伝票!M:M,全伝票!$C:$C,$C13)),IF($C13="",SUMIFS(全伝票!M:M,全伝票!$A:$A,$A13,全伝票!$B:$B,$B13),SUMIFS(全伝票!M:M,全伝票!$A:$A,$A13,全伝票!$C:$C,$C13)))</f>
        <v>0</v>
      </c>
      <c r="J13" s="159">
        <f>+IF($A13="",IF($C13="",SUMIFS(全伝票!N:N,全伝票!$B:$B,$B13),SUMIFS(全伝票!N:N,全伝票!$C:$C,$C13)),IF($C13="",SUMIFS(全伝票!N:N,全伝票!$A:$A,$A13,全伝票!$B:$B,$B13),SUMIFS(全伝票!N:N,全伝票!$A:$A,$A13,全伝票!$C:$C,$C13)))</f>
        <v>0</v>
      </c>
      <c r="K13" s="34">
        <f t="shared" si="0"/>
        <v>0</v>
      </c>
      <c r="L13" s="158">
        <f>+IF($A13="",IF($C13="",SUMIFS(全伝票!O:O,全伝票!$B:$B,$B13),SUMIFS(全伝票!O:O,全伝票!$C:$C,$C13)),IF($C13="",SUMIFS(全伝票!O:O,全伝票!$A:$A,$A13,全伝票!$B:$B,$B13),SUMIFS(全伝票!O:O,全伝票!$A:$A,$A13,全伝票!$C:$C,$C13)))</f>
        <v>0</v>
      </c>
      <c r="M13" s="158">
        <f>+IF($A13="",IF($C13="",SUMIFS(全伝票!P:P,全伝票!$B:$B,$B13),SUMIFS(全伝票!P:P,全伝票!$C:$C,$C13)),IF($C13="",SUMIFS(全伝票!P:P,全伝票!$A:$A,$A13,全伝票!$B:$B,$B13),SUMIFS(全伝票!P:P,全伝票!$A:$A,$A13,全伝票!$C:$C,$C13)))</f>
        <v>0</v>
      </c>
      <c r="N13" s="108">
        <f t="shared" si="1"/>
        <v>0</v>
      </c>
      <c r="O13" s="25">
        <f t="shared" si="3"/>
        <v>0</v>
      </c>
      <c r="P13" s="25">
        <f t="shared" si="2"/>
        <v>0</v>
      </c>
      <c r="Q13" s="157">
        <f t="shared" si="3"/>
        <v>0</v>
      </c>
      <c r="R13" s="157">
        <f t="shared" si="4"/>
        <v>0</v>
      </c>
      <c r="S13" s="22">
        <f t="shared" si="5"/>
        <v>0</v>
      </c>
      <c r="T13" s="109">
        <f t="shared" si="6"/>
        <v>0</v>
      </c>
      <c r="U13" s="107">
        <f t="shared" si="7"/>
        <v>0</v>
      </c>
      <c r="V13" s="107">
        <f t="shared" si="8"/>
        <v>0</v>
      </c>
      <c r="W13" s="107">
        <f t="shared" si="9"/>
        <v>0</v>
      </c>
      <c r="X13" s="107">
        <f t="shared" si="9"/>
        <v>0</v>
      </c>
      <c r="Y13" s="107">
        <f t="shared" si="10"/>
        <v>0</v>
      </c>
      <c r="Z13" s="106">
        <f t="shared" si="11"/>
        <v>0</v>
      </c>
      <c r="AA13" s="106">
        <f t="shared" si="12"/>
        <v>0</v>
      </c>
      <c r="AB13" s="106">
        <f t="shared" si="13"/>
        <v>0</v>
      </c>
      <c r="AC13" s="106">
        <f t="shared" si="14"/>
        <v>0</v>
      </c>
      <c r="AD13" s="106">
        <f t="shared" si="15"/>
        <v>0</v>
      </c>
    </row>
    <row r="14" spans="1:35">
      <c r="A14" s="165">
        <v>3</v>
      </c>
      <c r="B14" s="164" t="s">
        <v>436</v>
      </c>
      <c r="C14" s="163"/>
      <c r="D14" s="162" t="s">
        <v>93</v>
      </c>
      <c r="E14" s="158">
        <f>+IF($A14="",IF($C14="",SUMIFS(全伝票!I:I,全伝票!$B:$B,$B14),SUMIFS(全伝票!I:I,全伝票!$C:$C,$C14)),IF($C14="",SUMIFS(全伝票!I:I,全伝票!$A:$A,$A14,全伝票!$B:$B,$B14),SUMIFS(全伝票!I:I,全伝票!$A:$A,$A14,全伝票!$C:$C,$C14)))</f>
        <v>109131</v>
      </c>
      <c r="F14" s="161">
        <f>+IF($A14="",IF($C14="",SUMIFS(全伝票!J:J,全伝票!$B:$B,$B14),SUMIFS(全伝票!J:J,全伝票!$C:$C,$C14)),IF($C14="",SUMIFS(全伝票!J:J,全伝票!$A:$A,$A14,全伝票!$B:$B,$B14),SUMIFS(全伝票!J:J,全伝票!$A:$A,$A14,全伝票!$C:$C,$C14)))</f>
        <v>0</v>
      </c>
      <c r="G14" s="160">
        <f>+IF($A14="",IF($C14="",SUMIFS(全伝票!K:K,全伝票!$B:$B,$B14),SUMIFS(全伝票!K:K,全伝票!$C:$C,$C14)),IF($C14="",SUMIFS(全伝票!K:K,全伝票!$A:$A,$A14,全伝票!$B:$B,$B14),SUMIFS(全伝票!K:K,全伝票!$A:$A,$A14,全伝票!$C:$C,$C14)))</f>
        <v>0</v>
      </c>
      <c r="H14" s="160">
        <f>+IF($A14="",IF($C14="",SUMIFS(全伝票!L:L,全伝票!$B:$B,$B14),SUMIFS(全伝票!L:L,全伝票!$C:$C,$C14)),IF($C14="",SUMIFS(全伝票!L:L,全伝票!$A:$A,$A14,全伝票!$B:$B,$B14),SUMIFS(全伝票!L:L,全伝票!$A:$A,$A14,全伝票!$C:$C,$C14)))</f>
        <v>0</v>
      </c>
      <c r="I14" s="159">
        <f>+IF($A14="",IF($C14="",SUMIFS(全伝票!M:M,全伝票!$B:$B,$B14),SUMIFS(全伝票!M:M,全伝票!$C:$C,$C14)),IF($C14="",SUMIFS(全伝票!M:M,全伝票!$A:$A,$A14,全伝票!$B:$B,$B14),SUMIFS(全伝票!M:M,全伝票!$A:$A,$A14,全伝票!$C:$C,$C14)))</f>
        <v>5073</v>
      </c>
      <c r="J14" s="159">
        <f>+IF($A14="",IF($C14="",SUMIFS(全伝票!N:N,全伝票!$B:$B,$B14),SUMIFS(全伝票!N:N,全伝票!$C:$C,$C14)),IF($C14="",SUMIFS(全伝票!N:N,全伝票!$A:$A,$A14,全伝票!$B:$B,$B14),SUMIFS(全伝票!N:N,全伝票!$A:$A,$A14,全伝票!$C:$C,$C14)))</f>
        <v>104058</v>
      </c>
      <c r="K14" s="34">
        <f t="shared" si="0"/>
        <v>109131</v>
      </c>
      <c r="L14" s="158">
        <f>+IF($A14="",IF($C14="",SUMIFS(全伝票!O:O,全伝票!$B:$B,$B14),SUMIFS(全伝票!O:O,全伝票!$C:$C,$C14)),IF($C14="",SUMIFS(全伝票!O:O,全伝票!$A:$A,$A14,全伝票!$B:$B,$B14),SUMIFS(全伝票!O:O,全伝票!$A:$A,$A14,全伝票!$C:$C,$C14)))</f>
        <v>0</v>
      </c>
      <c r="M14" s="158">
        <f>+IF($A14="",IF($C14="",SUMIFS(全伝票!P:P,全伝票!$B:$B,$B14),SUMIFS(全伝票!P:P,全伝票!$C:$C,$C14)),IF($C14="",SUMIFS(全伝票!P:P,全伝票!$A:$A,$A14,全伝票!$B:$B,$B14),SUMIFS(全伝票!P:P,全伝票!$A:$A,$A14,全伝票!$C:$C,$C14)))</f>
        <v>0</v>
      </c>
      <c r="N14" s="108">
        <f t="shared" si="1"/>
        <v>0</v>
      </c>
      <c r="O14" s="25">
        <f t="shared" si="3"/>
        <v>0</v>
      </c>
      <c r="P14" s="25">
        <f t="shared" si="2"/>
        <v>0</v>
      </c>
      <c r="Q14" s="157">
        <f t="shared" si="3"/>
        <v>376</v>
      </c>
      <c r="R14" s="157">
        <f t="shared" si="4"/>
        <v>9460</v>
      </c>
      <c r="S14" s="22">
        <f t="shared" si="5"/>
        <v>9836</v>
      </c>
      <c r="T14" s="109">
        <f t="shared" si="6"/>
        <v>99295</v>
      </c>
      <c r="U14" s="107">
        <f t="shared" si="7"/>
        <v>0</v>
      </c>
      <c r="V14" s="107">
        <f t="shared" si="8"/>
        <v>0</v>
      </c>
      <c r="W14" s="107">
        <f t="shared" si="9"/>
        <v>0</v>
      </c>
      <c r="X14" s="107">
        <f t="shared" si="9"/>
        <v>0.22222222222222854</v>
      </c>
      <c r="Y14" s="107">
        <f t="shared" si="10"/>
        <v>0.18181818181801646</v>
      </c>
      <c r="Z14" s="106">
        <f t="shared" si="11"/>
        <v>0</v>
      </c>
      <c r="AA14" s="106">
        <f t="shared" si="12"/>
        <v>0</v>
      </c>
      <c r="AB14" s="106">
        <f t="shared" si="13"/>
        <v>0</v>
      </c>
      <c r="AC14" s="106">
        <f t="shared" si="14"/>
        <v>0</v>
      </c>
      <c r="AD14" s="106">
        <f t="shared" si="15"/>
        <v>0</v>
      </c>
    </row>
    <row r="15" spans="1:35">
      <c r="A15" s="165">
        <v>3</v>
      </c>
      <c r="B15" s="164" t="s">
        <v>435</v>
      </c>
      <c r="C15" s="163"/>
      <c r="D15" s="162" t="s">
        <v>91</v>
      </c>
      <c r="E15" s="158">
        <f>+IF($A15="",IF($C15="",SUMIFS(全伝票!I:I,全伝票!$B:$B,$B15),SUMIFS(全伝票!I:I,全伝票!$C:$C,$C15)),IF($C15="",SUMIFS(全伝票!I:I,全伝票!$A:$A,$A15,全伝票!$B:$B,$B15),SUMIFS(全伝票!I:I,全伝票!$A:$A,$A15,全伝票!$C:$C,$C15)))</f>
        <v>1683</v>
      </c>
      <c r="F15" s="161">
        <f>+IF($A15="",IF($C15="",SUMIFS(全伝票!J:J,全伝票!$B:$B,$B15),SUMIFS(全伝票!J:J,全伝票!$C:$C,$C15)),IF($C15="",SUMIFS(全伝票!J:J,全伝票!$A:$A,$A15,全伝票!$B:$B,$B15),SUMIFS(全伝票!J:J,全伝票!$A:$A,$A15,全伝票!$C:$C,$C15)))</f>
        <v>0</v>
      </c>
      <c r="G15" s="160">
        <f>+IF($A15="",IF($C15="",SUMIFS(全伝票!K:K,全伝票!$B:$B,$B15),SUMIFS(全伝票!K:K,全伝票!$C:$C,$C15)),IF($C15="",SUMIFS(全伝票!K:K,全伝票!$A:$A,$A15,全伝票!$B:$B,$B15),SUMIFS(全伝票!K:K,全伝票!$A:$A,$A15,全伝票!$C:$C,$C15)))</f>
        <v>0</v>
      </c>
      <c r="H15" s="160">
        <f>+IF($A15="",IF($C15="",SUMIFS(全伝票!L:L,全伝票!$B:$B,$B15),SUMIFS(全伝票!L:L,全伝票!$C:$C,$C15)),IF($C15="",SUMIFS(全伝票!L:L,全伝票!$A:$A,$A15,全伝票!$B:$B,$B15),SUMIFS(全伝票!L:L,全伝票!$A:$A,$A15,全伝票!$C:$C,$C15)))</f>
        <v>0</v>
      </c>
      <c r="I15" s="159">
        <f>+IF($A15="",IF($C15="",SUMIFS(全伝票!M:M,全伝票!$B:$B,$B15),SUMIFS(全伝票!M:M,全伝票!$C:$C,$C15)),IF($C15="",SUMIFS(全伝票!M:M,全伝票!$A:$A,$A15,全伝票!$B:$B,$B15),SUMIFS(全伝票!M:M,全伝票!$A:$A,$A15,全伝票!$C:$C,$C15)))</f>
        <v>0</v>
      </c>
      <c r="J15" s="159">
        <f>+IF($A15="",IF($C15="",SUMIFS(全伝票!N:N,全伝票!$B:$B,$B15),SUMIFS(全伝票!N:N,全伝票!$C:$C,$C15)),IF($C15="",SUMIFS(全伝票!N:N,全伝票!$A:$A,$A15,全伝票!$B:$B,$B15),SUMIFS(全伝票!N:N,全伝票!$A:$A,$A15,全伝票!$C:$C,$C15)))</f>
        <v>1683</v>
      </c>
      <c r="K15" s="34">
        <f t="shared" si="0"/>
        <v>1683</v>
      </c>
      <c r="L15" s="158">
        <f>+IF($A15="",IF($C15="",SUMIFS(全伝票!O:O,全伝票!$B:$B,$B15),SUMIFS(全伝票!O:O,全伝票!$C:$C,$C15)),IF($C15="",SUMIFS(全伝票!O:O,全伝票!$A:$A,$A15,全伝票!$B:$B,$B15),SUMIFS(全伝票!O:O,全伝票!$A:$A,$A15,全伝票!$C:$C,$C15)))</f>
        <v>0</v>
      </c>
      <c r="M15" s="158">
        <f>+IF($A15="",IF($C15="",SUMIFS(全伝票!P:P,全伝票!$B:$B,$B15),SUMIFS(全伝票!P:P,全伝票!$C:$C,$C15)),IF($C15="",SUMIFS(全伝票!P:P,全伝票!$A:$A,$A15,全伝票!$B:$B,$B15),SUMIFS(全伝票!P:P,全伝票!$A:$A,$A15,全伝票!$C:$C,$C15)))</f>
        <v>0</v>
      </c>
      <c r="N15" s="108">
        <f t="shared" si="1"/>
        <v>0</v>
      </c>
      <c r="O15" s="25">
        <f t="shared" si="3"/>
        <v>0</v>
      </c>
      <c r="P15" s="25">
        <f t="shared" si="2"/>
        <v>0</v>
      </c>
      <c r="Q15" s="157">
        <f t="shared" si="3"/>
        <v>0</v>
      </c>
      <c r="R15" s="157">
        <f t="shared" si="4"/>
        <v>153</v>
      </c>
      <c r="S15" s="22">
        <f t="shared" si="5"/>
        <v>153</v>
      </c>
      <c r="T15" s="109">
        <f t="shared" si="6"/>
        <v>1530</v>
      </c>
      <c r="U15" s="107">
        <f t="shared" si="7"/>
        <v>0</v>
      </c>
      <c r="V15" s="107">
        <f t="shared" si="8"/>
        <v>0</v>
      </c>
      <c r="W15" s="107">
        <f t="shared" si="9"/>
        <v>0</v>
      </c>
      <c r="X15" s="107">
        <f t="shared" si="9"/>
        <v>0</v>
      </c>
      <c r="Y15" s="107">
        <f t="shared" si="10"/>
        <v>0</v>
      </c>
      <c r="Z15" s="106">
        <f t="shared" si="11"/>
        <v>0</v>
      </c>
      <c r="AA15" s="106">
        <f t="shared" si="12"/>
        <v>0</v>
      </c>
      <c r="AB15" s="106">
        <f t="shared" si="13"/>
        <v>0</v>
      </c>
      <c r="AC15" s="106">
        <f t="shared" si="14"/>
        <v>0</v>
      </c>
      <c r="AD15" s="106">
        <f t="shared" si="15"/>
        <v>0</v>
      </c>
    </row>
    <row r="16" spans="1:35">
      <c r="A16" s="165">
        <v>3</v>
      </c>
      <c r="B16" s="164" t="s">
        <v>434</v>
      </c>
      <c r="C16" s="163"/>
      <c r="D16" s="162" t="s">
        <v>89</v>
      </c>
      <c r="E16" s="158">
        <f>+IF($A16="",IF($C16="",SUMIFS(全伝票!I:I,全伝票!$B:$B,$B16),SUMIFS(全伝票!I:I,全伝票!$C:$C,$C16)),IF($C16="",SUMIFS(全伝票!I:I,全伝票!$A:$A,$A16,全伝票!$B:$B,$B16),SUMIFS(全伝票!I:I,全伝票!$A:$A,$A16,全伝票!$C:$C,$C16)))</f>
        <v>25581</v>
      </c>
      <c r="F16" s="161">
        <f>+IF($A16="",IF($C16="",SUMIFS(全伝票!J:J,全伝票!$B:$B,$B16),SUMIFS(全伝票!J:J,全伝票!$C:$C,$C16)),IF($C16="",SUMIFS(全伝票!J:J,全伝票!$A:$A,$A16,全伝票!$B:$B,$B16),SUMIFS(全伝票!J:J,全伝票!$A:$A,$A16,全伝票!$C:$C,$C16)))</f>
        <v>0</v>
      </c>
      <c r="G16" s="160">
        <f>+IF($A16="",IF($C16="",SUMIFS(全伝票!K:K,全伝票!$B:$B,$B16),SUMIFS(全伝票!K:K,全伝票!$C:$C,$C16)),IF($C16="",SUMIFS(全伝票!K:K,全伝票!$A:$A,$A16,全伝票!$B:$B,$B16),SUMIFS(全伝票!K:K,全伝票!$A:$A,$A16,全伝票!$C:$C,$C16)))</f>
        <v>0</v>
      </c>
      <c r="H16" s="160">
        <f>+IF($A16="",IF($C16="",SUMIFS(全伝票!L:L,全伝票!$B:$B,$B16),SUMIFS(全伝票!L:L,全伝票!$C:$C,$C16)),IF($C16="",SUMIFS(全伝票!L:L,全伝票!$A:$A,$A16,全伝票!$B:$B,$B16),SUMIFS(全伝票!L:L,全伝票!$A:$A,$A16,全伝票!$C:$C,$C16)))</f>
        <v>0</v>
      </c>
      <c r="I16" s="159">
        <f>+IF($A16="",IF($C16="",SUMIFS(全伝票!M:M,全伝票!$B:$B,$B16),SUMIFS(全伝票!M:M,全伝票!$C:$C,$C16)),IF($C16="",SUMIFS(全伝票!M:M,全伝票!$A:$A,$A16,全伝票!$B:$B,$B16),SUMIFS(全伝票!M:M,全伝票!$A:$A,$A16,全伝票!$C:$C,$C16)))</f>
        <v>0</v>
      </c>
      <c r="J16" s="159">
        <f>+IF($A16="",IF($C16="",SUMIFS(全伝票!N:N,全伝票!$B:$B,$B16),SUMIFS(全伝票!N:N,全伝票!$C:$C,$C16)),IF($C16="",SUMIFS(全伝票!N:N,全伝票!$A:$A,$A16,全伝票!$B:$B,$B16),SUMIFS(全伝票!N:N,全伝票!$A:$A,$A16,全伝票!$C:$C,$C16)))</f>
        <v>25581</v>
      </c>
      <c r="K16" s="34">
        <f t="shared" si="0"/>
        <v>25581</v>
      </c>
      <c r="L16" s="158">
        <f>+IF($A16="",IF($C16="",SUMIFS(全伝票!O:O,全伝票!$B:$B,$B16),SUMIFS(全伝票!O:O,全伝票!$C:$C,$C16)),IF($C16="",SUMIFS(全伝票!O:O,全伝票!$A:$A,$A16,全伝票!$B:$B,$B16),SUMIFS(全伝票!O:O,全伝票!$A:$A,$A16,全伝票!$C:$C,$C16)))</f>
        <v>0</v>
      </c>
      <c r="M16" s="158">
        <f>+IF($A16="",IF($C16="",SUMIFS(全伝票!P:P,全伝票!$B:$B,$B16),SUMIFS(全伝票!P:P,全伝票!$C:$C,$C16)),IF($C16="",SUMIFS(全伝票!P:P,全伝票!$A:$A,$A16,全伝票!$B:$B,$B16),SUMIFS(全伝票!P:P,全伝票!$A:$A,$A16,全伝票!$C:$C,$C16)))</f>
        <v>0</v>
      </c>
      <c r="N16" s="108">
        <f t="shared" si="1"/>
        <v>0</v>
      </c>
      <c r="O16" s="25">
        <f t="shared" si="3"/>
        <v>0</v>
      </c>
      <c r="P16" s="25">
        <f t="shared" si="2"/>
        <v>0</v>
      </c>
      <c r="Q16" s="157">
        <f t="shared" si="3"/>
        <v>0</v>
      </c>
      <c r="R16" s="157">
        <f t="shared" si="4"/>
        <v>2325</v>
      </c>
      <c r="S16" s="22">
        <f t="shared" si="5"/>
        <v>2325</v>
      </c>
      <c r="T16" s="109">
        <f t="shared" si="6"/>
        <v>23256</v>
      </c>
      <c r="U16" s="107">
        <f t="shared" si="7"/>
        <v>0</v>
      </c>
      <c r="V16" s="107">
        <f t="shared" si="8"/>
        <v>0</v>
      </c>
      <c r="W16" s="107">
        <f t="shared" si="9"/>
        <v>0</v>
      </c>
      <c r="X16" s="107">
        <f t="shared" si="9"/>
        <v>0</v>
      </c>
      <c r="Y16" s="107">
        <f t="shared" si="10"/>
        <v>-0.54545454545450411</v>
      </c>
      <c r="Z16" s="106">
        <f t="shared" si="11"/>
        <v>0</v>
      </c>
      <c r="AA16" s="106">
        <f t="shared" si="12"/>
        <v>0</v>
      </c>
      <c r="AB16" s="106">
        <f t="shared" si="13"/>
        <v>0</v>
      </c>
      <c r="AC16" s="106">
        <f t="shared" si="14"/>
        <v>0</v>
      </c>
      <c r="AD16" s="106">
        <f t="shared" si="15"/>
        <v>0</v>
      </c>
      <c r="AI16" s="2">
        <v>-1</v>
      </c>
    </row>
    <row r="17" spans="1:30">
      <c r="A17" s="165">
        <v>3</v>
      </c>
      <c r="B17" s="164" t="s">
        <v>433</v>
      </c>
      <c r="C17" s="163"/>
      <c r="D17" s="162" t="s">
        <v>87</v>
      </c>
      <c r="E17" s="158">
        <f>+IF($A17="",IF($C17="",SUMIFS(全伝票!I:I,全伝票!$B:$B,$B17),SUMIFS(全伝票!I:I,全伝票!$C:$C,$C17)),IF($C17="",SUMIFS(全伝票!I:I,全伝票!$A:$A,$A17,全伝票!$B:$B,$B17),SUMIFS(全伝票!I:I,全伝票!$A:$A,$A17,全伝票!$C:$C,$C17)))</f>
        <v>827</v>
      </c>
      <c r="F17" s="161">
        <f>+IF($A17="",IF($C17="",SUMIFS(全伝票!J:J,全伝票!$B:$B,$B17),SUMIFS(全伝票!J:J,全伝票!$C:$C,$C17)),IF($C17="",SUMIFS(全伝票!J:J,全伝票!$A:$A,$A17,全伝票!$B:$B,$B17),SUMIFS(全伝票!J:J,全伝票!$A:$A,$A17,全伝票!$C:$C,$C17)))</f>
        <v>0</v>
      </c>
      <c r="G17" s="160">
        <f>+IF($A17="",IF($C17="",SUMIFS(全伝票!K:K,全伝票!$B:$B,$B17),SUMIFS(全伝票!K:K,全伝票!$C:$C,$C17)),IF($C17="",SUMIFS(全伝票!K:K,全伝票!$A:$A,$A17,全伝票!$B:$B,$B17),SUMIFS(全伝票!K:K,全伝票!$A:$A,$A17,全伝票!$C:$C,$C17)))</f>
        <v>0</v>
      </c>
      <c r="H17" s="160">
        <f>+IF($A17="",IF($C17="",SUMIFS(全伝票!L:L,全伝票!$B:$B,$B17),SUMIFS(全伝票!L:L,全伝票!$C:$C,$C17)),IF($C17="",SUMIFS(全伝票!L:L,全伝票!$A:$A,$A17,全伝票!$B:$B,$B17),SUMIFS(全伝票!L:L,全伝票!$A:$A,$A17,全伝票!$C:$C,$C17)))</f>
        <v>0</v>
      </c>
      <c r="I17" s="159">
        <f>+IF($A17="",IF($C17="",SUMIFS(全伝票!M:M,全伝票!$B:$B,$B17),SUMIFS(全伝票!M:M,全伝票!$C:$C,$C17)),IF($C17="",SUMIFS(全伝票!M:M,全伝票!$A:$A,$A17,全伝票!$B:$B,$B17),SUMIFS(全伝票!M:M,全伝票!$A:$A,$A17,全伝票!$C:$C,$C17)))</f>
        <v>0</v>
      </c>
      <c r="J17" s="159">
        <f>+IF($A17="",IF($C17="",SUMIFS(全伝票!N:N,全伝票!$B:$B,$B17),SUMIFS(全伝票!N:N,全伝票!$C:$C,$C17)),IF($C17="",SUMIFS(全伝票!N:N,全伝票!$A:$A,$A17,全伝票!$B:$B,$B17),SUMIFS(全伝票!N:N,全伝票!$A:$A,$A17,全伝票!$C:$C,$C17)))</f>
        <v>827</v>
      </c>
      <c r="K17" s="34">
        <f t="shared" si="0"/>
        <v>827</v>
      </c>
      <c r="L17" s="158">
        <f>+IF($A17="",IF($C17="",SUMIFS(全伝票!O:O,全伝票!$B:$B,$B17),SUMIFS(全伝票!O:O,全伝票!$C:$C,$C17)),IF($C17="",SUMIFS(全伝票!O:O,全伝票!$A:$A,$A17,全伝票!$B:$B,$B17),SUMIFS(全伝票!O:O,全伝票!$A:$A,$A17,全伝票!$C:$C,$C17)))</f>
        <v>0</v>
      </c>
      <c r="M17" s="158">
        <f>+IF($A17="",IF($C17="",SUMIFS(全伝票!P:P,全伝票!$B:$B,$B17),SUMIFS(全伝票!P:P,全伝票!$C:$C,$C17)),IF($C17="",SUMIFS(全伝票!P:P,全伝票!$A:$A,$A17,全伝票!$B:$B,$B17),SUMIFS(全伝票!P:P,全伝票!$A:$A,$A17,全伝票!$C:$C,$C17)))</f>
        <v>0</v>
      </c>
      <c r="N17" s="108">
        <f t="shared" si="1"/>
        <v>0</v>
      </c>
      <c r="O17" s="25">
        <f t="shared" si="3"/>
        <v>0</v>
      </c>
      <c r="P17" s="25">
        <f t="shared" si="2"/>
        <v>0</v>
      </c>
      <c r="Q17" s="157">
        <f t="shared" si="3"/>
        <v>0</v>
      </c>
      <c r="R17" s="157">
        <f t="shared" si="4"/>
        <v>75</v>
      </c>
      <c r="S17" s="22">
        <f t="shared" si="5"/>
        <v>75</v>
      </c>
      <c r="T17" s="109">
        <f t="shared" si="6"/>
        <v>752</v>
      </c>
      <c r="U17" s="107">
        <f t="shared" si="7"/>
        <v>0</v>
      </c>
      <c r="V17" s="107">
        <f t="shared" si="8"/>
        <v>0</v>
      </c>
      <c r="W17" s="107">
        <f t="shared" si="9"/>
        <v>0</v>
      </c>
      <c r="X17" s="107">
        <f t="shared" si="9"/>
        <v>0</v>
      </c>
      <c r="Y17" s="107">
        <f t="shared" si="10"/>
        <v>-0.18181818181818699</v>
      </c>
      <c r="Z17" s="106">
        <f t="shared" si="11"/>
        <v>0</v>
      </c>
      <c r="AA17" s="106">
        <f t="shared" si="12"/>
        <v>0</v>
      </c>
      <c r="AB17" s="106">
        <f t="shared" si="13"/>
        <v>0</v>
      </c>
      <c r="AC17" s="106">
        <f t="shared" si="14"/>
        <v>0</v>
      </c>
      <c r="AD17" s="106">
        <f t="shared" si="15"/>
        <v>0</v>
      </c>
    </row>
    <row r="18" spans="1:30">
      <c r="A18" s="165">
        <v>3</v>
      </c>
      <c r="B18" s="164" t="s">
        <v>432</v>
      </c>
      <c r="C18" s="163"/>
      <c r="D18" s="162" t="s">
        <v>85</v>
      </c>
      <c r="E18" s="158">
        <f>+IF($A18="",IF($C18="",SUMIFS(全伝票!I:I,全伝票!$B:$B,$B18),SUMIFS(全伝票!I:I,全伝票!$C:$C,$C18)),IF($C18="",SUMIFS(全伝票!I:I,全伝票!$A:$A,$A18,全伝票!$B:$B,$B18),SUMIFS(全伝票!I:I,全伝票!$A:$A,$A18,全伝票!$C:$C,$C18)))</f>
        <v>14717</v>
      </c>
      <c r="F18" s="161">
        <f>+IF($A18="",IF($C18="",SUMIFS(全伝票!J:J,全伝票!$B:$B,$B18),SUMIFS(全伝票!J:J,全伝票!$C:$C,$C18)),IF($C18="",SUMIFS(全伝票!J:J,全伝票!$A:$A,$A18,全伝票!$B:$B,$B18),SUMIFS(全伝票!J:J,全伝票!$A:$A,$A18,全伝票!$C:$C,$C18)))</f>
        <v>0</v>
      </c>
      <c r="G18" s="160">
        <f>+IF($A18="",IF($C18="",SUMIFS(全伝票!K:K,全伝票!$B:$B,$B18),SUMIFS(全伝票!K:K,全伝票!$C:$C,$C18)),IF($C18="",SUMIFS(全伝票!K:K,全伝票!$A:$A,$A18,全伝票!$B:$B,$B18),SUMIFS(全伝票!K:K,全伝票!$A:$A,$A18,全伝票!$C:$C,$C18)))</f>
        <v>0</v>
      </c>
      <c r="H18" s="160">
        <f>+IF($A18="",IF($C18="",SUMIFS(全伝票!L:L,全伝票!$B:$B,$B18),SUMIFS(全伝票!L:L,全伝票!$C:$C,$C18)),IF($C18="",SUMIFS(全伝票!L:L,全伝票!$A:$A,$A18,全伝票!$B:$B,$B18),SUMIFS(全伝票!L:L,全伝票!$A:$A,$A18,全伝票!$C:$C,$C18)))</f>
        <v>0</v>
      </c>
      <c r="I18" s="159">
        <f>+IF($A18="",IF($C18="",SUMIFS(全伝票!M:M,全伝票!$B:$B,$B18),SUMIFS(全伝票!M:M,全伝票!$C:$C,$C18)),IF($C18="",SUMIFS(全伝票!M:M,全伝票!$A:$A,$A18,全伝票!$B:$B,$B18),SUMIFS(全伝票!M:M,全伝票!$A:$A,$A18,全伝票!$C:$C,$C18)))</f>
        <v>0</v>
      </c>
      <c r="J18" s="159">
        <f>+IF($A18="",IF($C18="",SUMIFS(全伝票!N:N,全伝票!$B:$B,$B18),SUMIFS(全伝票!N:N,全伝票!$C:$C,$C18)),IF($C18="",SUMIFS(全伝票!N:N,全伝票!$A:$A,$A18,全伝票!$B:$B,$B18),SUMIFS(全伝票!N:N,全伝票!$A:$A,$A18,全伝票!$C:$C,$C18)))</f>
        <v>2980</v>
      </c>
      <c r="K18" s="34">
        <f t="shared" si="0"/>
        <v>2980</v>
      </c>
      <c r="L18" s="158">
        <f>+IF($A18="",IF($C18="",SUMIFS(全伝票!O:O,全伝票!$B:$B,$B18),SUMIFS(全伝票!O:O,全伝票!$C:$C,$C18)),IF($C18="",SUMIFS(全伝票!O:O,全伝票!$A:$A,$A18,全伝票!$B:$B,$B18),SUMIFS(全伝票!O:O,全伝票!$A:$A,$A18,全伝票!$C:$C,$C18)))</f>
        <v>11737</v>
      </c>
      <c r="M18" s="158">
        <f>+IF($A18="",IF($C18="",SUMIFS(全伝票!P:P,全伝票!$B:$B,$B18),SUMIFS(全伝票!P:P,全伝票!$C:$C,$C18)),IF($C18="",SUMIFS(全伝票!P:P,全伝票!$A:$A,$A18,全伝票!$B:$B,$B18),SUMIFS(全伝票!P:P,全伝票!$A:$A,$A18,全伝票!$C:$C,$C18)))</f>
        <v>0</v>
      </c>
      <c r="N18" s="108">
        <f t="shared" si="1"/>
        <v>0</v>
      </c>
      <c r="O18" s="25">
        <f t="shared" si="3"/>
        <v>0</v>
      </c>
      <c r="P18" s="25">
        <f t="shared" si="2"/>
        <v>0</v>
      </c>
      <c r="Q18" s="157">
        <f t="shared" si="3"/>
        <v>0</v>
      </c>
      <c r="R18" s="157">
        <f t="shared" si="4"/>
        <v>271</v>
      </c>
      <c r="S18" s="22">
        <f t="shared" si="5"/>
        <v>271</v>
      </c>
      <c r="T18" s="109">
        <f t="shared" si="6"/>
        <v>14446</v>
      </c>
      <c r="U18" s="107">
        <f t="shared" si="7"/>
        <v>0</v>
      </c>
      <c r="V18" s="107">
        <f t="shared" si="8"/>
        <v>0</v>
      </c>
      <c r="W18" s="107">
        <f t="shared" si="9"/>
        <v>0</v>
      </c>
      <c r="X18" s="107">
        <f t="shared" si="9"/>
        <v>0</v>
      </c>
      <c r="Y18" s="107">
        <f t="shared" si="10"/>
        <v>9.0909090909065071E-2</v>
      </c>
      <c r="Z18" s="106">
        <f t="shared" si="11"/>
        <v>0</v>
      </c>
      <c r="AA18" s="106">
        <f t="shared" si="12"/>
        <v>0</v>
      </c>
      <c r="AB18" s="106">
        <f t="shared" si="13"/>
        <v>0</v>
      </c>
      <c r="AC18" s="106">
        <f t="shared" si="14"/>
        <v>0</v>
      </c>
      <c r="AD18" s="106">
        <f t="shared" si="15"/>
        <v>0</v>
      </c>
    </row>
    <row r="19" spans="1:30">
      <c r="A19" s="165">
        <v>3</v>
      </c>
      <c r="B19" s="164" t="s">
        <v>431</v>
      </c>
      <c r="C19" s="163"/>
      <c r="D19" s="162" t="s">
        <v>83</v>
      </c>
      <c r="E19" s="158">
        <f>+IF($A19="",IF($C19="",SUMIFS(全伝票!I:I,全伝票!$B:$B,$B19),SUMIFS(全伝票!I:I,全伝票!$C:$C,$C19)),IF($C19="",SUMIFS(全伝票!I:I,全伝票!$A:$A,$A19,全伝票!$B:$B,$B19),SUMIFS(全伝票!I:I,全伝票!$A:$A,$A19,全伝票!$C:$C,$C19)))</f>
        <v>1186506</v>
      </c>
      <c r="F19" s="161">
        <f>+IF($A19="",IF($C19="",SUMIFS(全伝票!J:J,全伝票!$B:$B,$B19),SUMIFS(全伝票!J:J,全伝票!$C:$C,$C19)),IF($C19="",SUMIFS(全伝票!J:J,全伝票!$A:$A,$A19,全伝票!$B:$B,$B19),SUMIFS(全伝票!J:J,全伝票!$A:$A,$A19,全伝票!$C:$C,$C19)))</f>
        <v>0</v>
      </c>
      <c r="G19" s="160">
        <f>+IF($A19="",IF($C19="",SUMIFS(全伝票!K:K,全伝票!$B:$B,$B19),SUMIFS(全伝票!K:K,全伝票!$C:$C,$C19)),IF($C19="",SUMIFS(全伝票!K:K,全伝票!$A:$A,$A19,全伝票!$B:$B,$B19),SUMIFS(全伝票!K:K,全伝票!$A:$A,$A19,全伝票!$C:$C,$C19)))</f>
        <v>0</v>
      </c>
      <c r="H19" s="160">
        <f>+IF($A19="",IF($C19="",SUMIFS(全伝票!L:L,全伝票!$B:$B,$B19),SUMIFS(全伝票!L:L,全伝票!$C:$C,$C19)),IF($C19="",SUMIFS(全伝票!L:L,全伝票!$A:$A,$A19,全伝票!$B:$B,$B19),SUMIFS(全伝票!L:L,全伝票!$A:$A,$A19,全伝票!$C:$C,$C19)))</f>
        <v>0</v>
      </c>
      <c r="I19" s="159">
        <f>+IF($A19="",IF($C19="",SUMIFS(全伝票!M:M,全伝票!$B:$B,$B19),SUMIFS(全伝票!M:M,全伝票!$C:$C,$C19)),IF($C19="",SUMIFS(全伝票!M:M,全伝票!$A:$A,$A19,全伝票!$B:$B,$B19),SUMIFS(全伝票!M:M,全伝票!$A:$A,$A19,全伝票!$C:$C,$C19)))</f>
        <v>0</v>
      </c>
      <c r="J19" s="159">
        <f>+IF($A19="",IF($C19="",SUMIFS(全伝票!N:N,全伝票!$B:$B,$B19),SUMIFS(全伝票!N:N,全伝票!$C:$C,$C19)),IF($C19="",SUMIFS(全伝票!N:N,全伝票!$A:$A,$A19,全伝票!$B:$B,$B19),SUMIFS(全伝票!N:N,全伝票!$A:$A,$A19,全伝票!$C:$C,$C19)))</f>
        <v>1184616</v>
      </c>
      <c r="K19" s="34">
        <f t="shared" si="0"/>
        <v>1184616</v>
      </c>
      <c r="L19" s="158">
        <f>+IF($A19="",IF($C19="",SUMIFS(全伝票!O:O,全伝票!$B:$B,$B19),SUMIFS(全伝票!O:O,全伝票!$C:$C,$C19)),IF($C19="",SUMIFS(全伝票!O:O,全伝票!$A:$A,$A19,全伝票!$B:$B,$B19),SUMIFS(全伝票!O:O,全伝票!$A:$A,$A19,全伝票!$C:$C,$C19)))</f>
        <v>1890</v>
      </c>
      <c r="M19" s="158">
        <f>+IF($A19="",IF($C19="",SUMIFS(全伝票!P:P,全伝票!$B:$B,$B19),SUMIFS(全伝票!P:P,全伝票!$C:$C,$C19)),IF($C19="",SUMIFS(全伝票!P:P,全伝票!$A:$A,$A19,全伝票!$B:$B,$B19),SUMIFS(全伝票!P:P,全伝票!$A:$A,$A19,全伝票!$C:$C,$C19)))</f>
        <v>0</v>
      </c>
      <c r="N19" s="108">
        <f t="shared" si="1"/>
        <v>0</v>
      </c>
      <c r="O19" s="25">
        <f t="shared" si="3"/>
        <v>0</v>
      </c>
      <c r="P19" s="25">
        <f t="shared" si="2"/>
        <v>0</v>
      </c>
      <c r="Q19" s="157">
        <f t="shared" si="3"/>
        <v>0</v>
      </c>
      <c r="R19" s="157">
        <f t="shared" si="4"/>
        <v>107692</v>
      </c>
      <c r="S19" s="22">
        <f t="shared" si="5"/>
        <v>107692</v>
      </c>
      <c r="T19" s="109">
        <f t="shared" si="6"/>
        <v>1078814</v>
      </c>
      <c r="U19" s="107">
        <f t="shared" si="7"/>
        <v>0</v>
      </c>
      <c r="V19" s="107">
        <f t="shared" si="8"/>
        <v>0</v>
      </c>
      <c r="W19" s="107">
        <f t="shared" si="9"/>
        <v>0</v>
      </c>
      <c r="X19" s="107">
        <f t="shared" si="9"/>
        <v>0</v>
      </c>
      <c r="Y19" s="107">
        <f t="shared" si="10"/>
        <v>-0.36363636363239493</v>
      </c>
      <c r="Z19" s="106">
        <f t="shared" si="11"/>
        <v>0</v>
      </c>
      <c r="AA19" s="106">
        <f t="shared" si="12"/>
        <v>0</v>
      </c>
      <c r="AB19" s="106">
        <f t="shared" si="13"/>
        <v>0</v>
      </c>
      <c r="AC19" s="106">
        <f t="shared" si="14"/>
        <v>0</v>
      </c>
      <c r="AD19" s="106">
        <f t="shared" si="15"/>
        <v>0</v>
      </c>
    </row>
    <row r="20" spans="1:30">
      <c r="A20" s="165">
        <v>3</v>
      </c>
      <c r="B20" s="164" t="s">
        <v>430</v>
      </c>
      <c r="C20" s="163"/>
      <c r="D20" s="162" t="s">
        <v>81</v>
      </c>
      <c r="E20" s="158">
        <f>+IF($A20="",IF($C20="",SUMIFS(全伝票!I:I,全伝票!$B:$B,$B20),SUMIFS(全伝票!I:I,全伝票!$C:$C,$C20)),IF($C20="",SUMIFS(全伝票!I:I,全伝票!$A:$A,$A20,全伝票!$B:$B,$B20),SUMIFS(全伝票!I:I,全伝票!$A:$A,$A20,全伝票!$C:$C,$C20)))</f>
        <v>212395907</v>
      </c>
      <c r="F20" s="161">
        <f>+IF($A20="",IF($C20="",SUMIFS(全伝票!J:J,全伝票!$B:$B,$B20),SUMIFS(全伝票!J:J,全伝票!$C:$C,$C20)),IF($C20="",SUMIFS(全伝票!J:J,全伝票!$A:$A,$A20,全伝票!$B:$B,$B20),SUMIFS(全伝票!J:J,全伝票!$A:$A,$A20,全伝票!$C:$C,$C20)))</f>
        <v>0</v>
      </c>
      <c r="G20" s="160">
        <f>+IF($A20="",IF($C20="",SUMIFS(全伝票!K:K,全伝票!$B:$B,$B20),SUMIFS(全伝票!K:K,全伝票!$C:$C,$C20)),IF($C20="",SUMIFS(全伝票!K:K,全伝票!$A:$A,$A20,全伝票!$B:$B,$B20),SUMIFS(全伝票!K:K,全伝票!$A:$A,$A20,全伝票!$C:$C,$C20)))</f>
        <v>0</v>
      </c>
      <c r="H20" s="160">
        <f>+IF($A20="",IF($C20="",SUMIFS(全伝票!L:L,全伝票!$B:$B,$B20),SUMIFS(全伝票!L:L,全伝票!$C:$C,$C20)),IF($C20="",SUMIFS(全伝票!L:L,全伝票!$A:$A,$A20,全伝票!$B:$B,$B20),SUMIFS(全伝票!L:L,全伝票!$A:$A,$A20,全伝票!$C:$C,$C20)))</f>
        <v>0</v>
      </c>
      <c r="I20" s="159">
        <f>+IF($A20="",IF($C20="",SUMIFS(全伝票!M:M,全伝票!$B:$B,$B20),SUMIFS(全伝票!M:M,全伝票!$C:$C,$C20)),IF($C20="",SUMIFS(全伝票!M:M,全伝票!$A:$A,$A20,全伝票!$B:$B,$B20),SUMIFS(全伝票!M:M,全伝票!$A:$A,$A20,全伝票!$C:$C,$C20)))</f>
        <v>0</v>
      </c>
      <c r="J20" s="159">
        <f>+IF($A20="",IF($C20="",SUMIFS(全伝票!N:N,全伝票!$B:$B,$B20),SUMIFS(全伝票!N:N,全伝票!$C:$C,$C20)),IF($C20="",SUMIFS(全伝票!N:N,全伝票!$A:$A,$A20,全伝票!$B:$B,$B20),SUMIFS(全伝票!N:N,全伝票!$A:$A,$A20,全伝票!$C:$C,$C20)))</f>
        <v>212395907</v>
      </c>
      <c r="K20" s="34">
        <f t="shared" si="0"/>
        <v>212395907</v>
      </c>
      <c r="L20" s="158">
        <f>+IF($A20="",IF($C20="",SUMIFS(全伝票!O:O,全伝票!$B:$B,$B20),SUMIFS(全伝票!O:O,全伝票!$C:$C,$C20)),IF($C20="",SUMIFS(全伝票!O:O,全伝票!$A:$A,$A20,全伝票!$B:$B,$B20),SUMIFS(全伝票!O:O,全伝票!$A:$A,$A20,全伝票!$C:$C,$C20)))</f>
        <v>0</v>
      </c>
      <c r="M20" s="158">
        <f>+IF($A20="",IF($C20="",SUMIFS(全伝票!P:P,全伝票!$B:$B,$B20),SUMIFS(全伝票!P:P,全伝票!$C:$C,$C20)),IF($C20="",SUMIFS(全伝票!P:P,全伝票!$A:$A,$A20,全伝票!$B:$B,$B20),SUMIFS(全伝票!P:P,全伝票!$A:$A,$A20,全伝票!$C:$C,$C20)))</f>
        <v>0</v>
      </c>
      <c r="N20" s="108">
        <f t="shared" si="1"/>
        <v>0</v>
      </c>
      <c r="O20" s="25">
        <f t="shared" si="3"/>
        <v>0</v>
      </c>
      <c r="P20" s="25">
        <f t="shared" si="2"/>
        <v>0</v>
      </c>
      <c r="Q20" s="157">
        <f t="shared" si="3"/>
        <v>0</v>
      </c>
      <c r="R20" s="157">
        <f t="shared" si="4"/>
        <v>19308719</v>
      </c>
      <c r="S20" s="22">
        <f t="shared" si="5"/>
        <v>19308719</v>
      </c>
      <c r="T20" s="109">
        <f t="shared" si="6"/>
        <v>193087188</v>
      </c>
      <c r="U20" s="107">
        <f t="shared" si="7"/>
        <v>0</v>
      </c>
      <c r="V20" s="107">
        <f t="shared" si="8"/>
        <v>0</v>
      </c>
      <c r="W20" s="107">
        <f t="shared" si="9"/>
        <v>0</v>
      </c>
      <c r="X20" s="107">
        <f t="shared" si="9"/>
        <v>0</v>
      </c>
      <c r="Y20" s="107">
        <f t="shared" si="10"/>
        <v>0.18181818351149559</v>
      </c>
      <c r="Z20" s="106">
        <f t="shared" si="11"/>
        <v>0</v>
      </c>
      <c r="AA20" s="106">
        <f t="shared" si="12"/>
        <v>0</v>
      </c>
      <c r="AB20" s="106">
        <f t="shared" si="13"/>
        <v>0</v>
      </c>
      <c r="AC20" s="106">
        <f t="shared" si="14"/>
        <v>0</v>
      </c>
      <c r="AD20" s="106">
        <f t="shared" si="15"/>
        <v>0</v>
      </c>
    </row>
    <row r="21" spans="1:30">
      <c r="A21" s="165">
        <v>3</v>
      </c>
      <c r="B21" s="164" t="s">
        <v>429</v>
      </c>
      <c r="C21" s="163"/>
      <c r="D21" s="162" t="s">
        <v>79</v>
      </c>
      <c r="E21" s="158">
        <f>+IF($A21="",IF($C21="",SUMIFS(全伝票!I:I,全伝票!$B:$B,$B21),SUMIFS(全伝票!I:I,全伝票!$C:$C,$C21)),IF($C21="",SUMIFS(全伝票!I:I,全伝票!$A:$A,$A21,全伝票!$B:$B,$B21),SUMIFS(全伝票!I:I,全伝票!$A:$A,$A21,全伝票!$C:$C,$C21)))</f>
        <v>16506765</v>
      </c>
      <c r="F21" s="161">
        <f>+IF($A21="",IF($C21="",SUMIFS(全伝票!J:J,全伝票!$B:$B,$B21),SUMIFS(全伝票!J:J,全伝票!$C:$C,$C21)),IF($C21="",SUMIFS(全伝票!J:J,全伝票!$A:$A,$A21,全伝票!$B:$B,$B21),SUMIFS(全伝票!J:J,全伝票!$A:$A,$A21,全伝票!$C:$C,$C21)))</f>
        <v>0</v>
      </c>
      <c r="G21" s="160">
        <f>+IF($A21="",IF($C21="",SUMIFS(全伝票!K:K,全伝票!$B:$B,$B21),SUMIFS(全伝票!K:K,全伝票!$C:$C,$C21)),IF($C21="",SUMIFS(全伝票!K:K,全伝票!$A:$A,$A21,全伝票!$B:$B,$B21),SUMIFS(全伝票!K:K,全伝票!$A:$A,$A21,全伝票!$C:$C,$C21)))</f>
        <v>0</v>
      </c>
      <c r="H21" s="160">
        <f>+IF($A21="",IF($C21="",SUMIFS(全伝票!L:L,全伝票!$B:$B,$B21),SUMIFS(全伝票!L:L,全伝票!$C:$C,$C21)),IF($C21="",SUMIFS(全伝票!L:L,全伝票!$A:$A,$A21,全伝票!$B:$B,$B21),SUMIFS(全伝票!L:L,全伝票!$A:$A,$A21,全伝票!$C:$C,$C21)))</f>
        <v>0</v>
      </c>
      <c r="I21" s="159">
        <f>+IF($A21="",IF($C21="",SUMIFS(全伝票!M:M,全伝票!$B:$B,$B21),SUMIFS(全伝票!M:M,全伝票!$C:$C,$C21)),IF($C21="",SUMIFS(全伝票!M:M,全伝票!$A:$A,$A21,全伝票!$B:$B,$B21),SUMIFS(全伝票!M:M,全伝票!$A:$A,$A21,全伝票!$C:$C,$C21)))</f>
        <v>0</v>
      </c>
      <c r="J21" s="159">
        <f>+IF($A21="",IF($C21="",SUMIFS(全伝票!N:N,全伝票!$B:$B,$B21),SUMIFS(全伝票!N:N,全伝票!$C:$C,$C21)),IF($C21="",SUMIFS(全伝票!N:N,全伝票!$A:$A,$A21,全伝票!$B:$B,$B21),SUMIFS(全伝票!N:N,全伝票!$A:$A,$A21,全伝票!$C:$C,$C21)))</f>
        <v>16506765</v>
      </c>
      <c r="K21" s="34">
        <f t="shared" si="0"/>
        <v>16506765</v>
      </c>
      <c r="L21" s="158">
        <f>+IF($A21="",IF($C21="",SUMIFS(全伝票!O:O,全伝票!$B:$B,$B21),SUMIFS(全伝票!O:O,全伝票!$C:$C,$C21)),IF($C21="",SUMIFS(全伝票!O:O,全伝票!$A:$A,$A21,全伝票!$B:$B,$B21),SUMIFS(全伝票!O:O,全伝票!$A:$A,$A21,全伝票!$C:$C,$C21)))</f>
        <v>0</v>
      </c>
      <c r="M21" s="158">
        <f>+IF($A21="",IF($C21="",SUMIFS(全伝票!P:P,全伝票!$B:$B,$B21),SUMIFS(全伝票!P:P,全伝票!$C:$C,$C21)),IF($C21="",SUMIFS(全伝票!P:P,全伝票!$A:$A,$A21,全伝票!$B:$B,$B21),SUMIFS(全伝票!P:P,全伝票!$A:$A,$A21,全伝票!$C:$C,$C21)))</f>
        <v>0</v>
      </c>
      <c r="N21" s="108">
        <f t="shared" si="1"/>
        <v>0</v>
      </c>
      <c r="O21" s="25">
        <f t="shared" si="3"/>
        <v>0</v>
      </c>
      <c r="P21" s="25">
        <f t="shared" si="2"/>
        <v>0</v>
      </c>
      <c r="Q21" s="157">
        <f t="shared" si="3"/>
        <v>0</v>
      </c>
      <c r="R21" s="157">
        <f t="shared" si="4"/>
        <v>1500615</v>
      </c>
      <c r="S21" s="22">
        <f t="shared" si="5"/>
        <v>1500615</v>
      </c>
      <c r="T21" s="109">
        <f t="shared" si="6"/>
        <v>15006150</v>
      </c>
      <c r="U21" s="107">
        <f t="shared" si="7"/>
        <v>0</v>
      </c>
      <c r="V21" s="107">
        <f t="shared" si="8"/>
        <v>0</v>
      </c>
      <c r="W21" s="107">
        <f t="shared" si="9"/>
        <v>0</v>
      </c>
      <c r="X21" s="107">
        <f t="shared" si="9"/>
        <v>0</v>
      </c>
      <c r="Y21" s="107">
        <f t="shared" si="10"/>
        <v>0</v>
      </c>
      <c r="Z21" s="106">
        <f t="shared" si="11"/>
        <v>0</v>
      </c>
      <c r="AA21" s="106">
        <f t="shared" si="12"/>
        <v>0</v>
      </c>
      <c r="AB21" s="106">
        <f t="shared" si="13"/>
        <v>0</v>
      </c>
      <c r="AC21" s="106">
        <f t="shared" si="14"/>
        <v>0</v>
      </c>
      <c r="AD21" s="106">
        <f t="shared" si="15"/>
        <v>0</v>
      </c>
    </row>
    <row r="22" spans="1:30">
      <c r="A22" s="165">
        <v>3</v>
      </c>
      <c r="B22" s="164" t="s">
        <v>428</v>
      </c>
      <c r="C22" s="163"/>
      <c r="D22" s="162" t="s">
        <v>77</v>
      </c>
      <c r="E22" s="158">
        <f>+IF($A22="",IF($C22="",SUMIFS(全伝票!I:I,全伝票!$B:$B,$B22),SUMIFS(全伝票!I:I,全伝票!$C:$C,$C22)),IF($C22="",SUMIFS(全伝票!I:I,全伝票!$A:$A,$A22,全伝票!$B:$B,$B22),SUMIFS(全伝票!I:I,全伝票!$A:$A,$A22,全伝票!$C:$C,$C22)))</f>
        <v>995500</v>
      </c>
      <c r="F22" s="161">
        <f>+IF($A22="",IF($C22="",SUMIFS(全伝票!J:J,全伝票!$B:$B,$B22),SUMIFS(全伝票!J:J,全伝票!$C:$C,$C22)),IF($C22="",SUMIFS(全伝票!J:J,全伝票!$A:$A,$A22,全伝票!$B:$B,$B22),SUMIFS(全伝票!J:J,全伝票!$A:$A,$A22,全伝票!$C:$C,$C22)))</f>
        <v>0</v>
      </c>
      <c r="G22" s="160">
        <f>+IF($A22="",IF($C22="",SUMIFS(全伝票!K:K,全伝票!$B:$B,$B22),SUMIFS(全伝票!K:K,全伝票!$C:$C,$C22)),IF($C22="",SUMIFS(全伝票!K:K,全伝票!$A:$A,$A22,全伝票!$B:$B,$B22),SUMIFS(全伝票!K:K,全伝票!$A:$A,$A22,全伝票!$C:$C,$C22)))</f>
        <v>0</v>
      </c>
      <c r="H22" s="160">
        <f>+IF($A22="",IF($C22="",SUMIFS(全伝票!L:L,全伝票!$B:$B,$B22),SUMIFS(全伝票!L:L,全伝票!$C:$C,$C22)),IF($C22="",SUMIFS(全伝票!L:L,全伝票!$A:$A,$A22,全伝票!$B:$B,$B22),SUMIFS(全伝票!L:L,全伝票!$A:$A,$A22,全伝票!$C:$C,$C22)))</f>
        <v>0</v>
      </c>
      <c r="I22" s="159">
        <f>+IF($A22="",IF($C22="",SUMIFS(全伝票!M:M,全伝票!$B:$B,$B22),SUMIFS(全伝票!M:M,全伝票!$C:$C,$C22)),IF($C22="",SUMIFS(全伝票!M:M,全伝票!$A:$A,$A22,全伝票!$B:$B,$B22),SUMIFS(全伝票!M:M,全伝票!$A:$A,$A22,全伝票!$C:$C,$C22)))</f>
        <v>0</v>
      </c>
      <c r="J22" s="159">
        <f>+IF($A22="",IF($C22="",SUMIFS(全伝票!N:N,全伝票!$B:$B,$B22),SUMIFS(全伝票!N:N,全伝票!$C:$C,$C22)),IF($C22="",SUMIFS(全伝票!N:N,全伝票!$A:$A,$A22,全伝票!$B:$B,$B22),SUMIFS(全伝票!N:N,全伝票!$A:$A,$A22,全伝票!$C:$C,$C22)))</f>
        <v>995500</v>
      </c>
      <c r="K22" s="34">
        <f t="shared" si="0"/>
        <v>995500</v>
      </c>
      <c r="L22" s="158">
        <f>+IF($A22="",IF($C22="",SUMIFS(全伝票!O:O,全伝票!$B:$B,$B22),SUMIFS(全伝票!O:O,全伝票!$C:$C,$C22)),IF($C22="",SUMIFS(全伝票!O:O,全伝票!$A:$A,$A22,全伝票!$B:$B,$B22),SUMIFS(全伝票!O:O,全伝票!$A:$A,$A22,全伝票!$C:$C,$C22)))</f>
        <v>0</v>
      </c>
      <c r="M22" s="158">
        <f>+IF($A22="",IF($C22="",SUMIFS(全伝票!P:P,全伝票!$B:$B,$B22),SUMIFS(全伝票!P:P,全伝票!$C:$C,$C22)),IF($C22="",SUMIFS(全伝票!P:P,全伝票!$A:$A,$A22,全伝票!$B:$B,$B22),SUMIFS(全伝票!P:P,全伝票!$A:$A,$A22,全伝票!$C:$C,$C22)))</f>
        <v>0</v>
      </c>
      <c r="N22" s="108">
        <f t="shared" si="1"/>
        <v>0</v>
      </c>
      <c r="O22" s="25">
        <f t="shared" si="3"/>
        <v>0</v>
      </c>
      <c r="P22" s="25">
        <f t="shared" si="2"/>
        <v>0</v>
      </c>
      <c r="Q22" s="157">
        <f t="shared" si="3"/>
        <v>0</v>
      </c>
      <c r="R22" s="157">
        <f t="shared" si="4"/>
        <v>90500</v>
      </c>
      <c r="S22" s="22">
        <f t="shared" si="5"/>
        <v>90500</v>
      </c>
      <c r="T22" s="109">
        <f t="shared" si="6"/>
        <v>905000</v>
      </c>
      <c r="U22" s="107">
        <f t="shared" si="7"/>
        <v>0</v>
      </c>
      <c r="V22" s="107">
        <f t="shared" si="8"/>
        <v>0</v>
      </c>
      <c r="W22" s="107">
        <f t="shared" si="9"/>
        <v>0</v>
      </c>
      <c r="X22" s="107">
        <f t="shared" si="9"/>
        <v>0</v>
      </c>
      <c r="Y22" s="107">
        <f t="shared" si="10"/>
        <v>0</v>
      </c>
      <c r="Z22" s="106">
        <f t="shared" si="11"/>
        <v>0</v>
      </c>
      <c r="AA22" s="106">
        <f t="shared" si="12"/>
        <v>0</v>
      </c>
      <c r="AB22" s="106">
        <f t="shared" si="13"/>
        <v>0</v>
      </c>
      <c r="AC22" s="106">
        <f t="shared" si="14"/>
        <v>0</v>
      </c>
      <c r="AD22" s="106">
        <f t="shared" si="15"/>
        <v>0</v>
      </c>
    </row>
    <row r="23" spans="1:30">
      <c r="A23" s="165">
        <v>3</v>
      </c>
      <c r="B23" s="164" t="s">
        <v>427</v>
      </c>
      <c r="C23" s="163"/>
      <c r="D23" s="162" t="s">
        <v>75</v>
      </c>
      <c r="E23" s="158">
        <f>+IF($A23="",IF($C23="",SUMIFS(全伝票!I:I,全伝票!$B:$B,$B23),SUMIFS(全伝票!I:I,全伝票!$C:$C,$C23)),IF($C23="",SUMIFS(全伝票!I:I,全伝票!$A:$A,$A23,全伝票!$B:$B,$B23),SUMIFS(全伝票!I:I,全伝票!$A:$A,$A23,全伝票!$C:$C,$C23)))</f>
        <v>13807574</v>
      </c>
      <c r="F23" s="161">
        <f>+IF($A23="",IF($C23="",SUMIFS(全伝票!J:J,全伝票!$B:$B,$B23),SUMIFS(全伝票!J:J,全伝票!$C:$C,$C23)),IF($C23="",SUMIFS(全伝票!J:J,全伝票!$A:$A,$A23,全伝票!$B:$B,$B23),SUMIFS(全伝票!J:J,全伝票!$A:$A,$A23,全伝票!$C:$C,$C23)))</f>
        <v>0</v>
      </c>
      <c r="G23" s="160">
        <f>+IF($A23="",IF($C23="",SUMIFS(全伝票!K:K,全伝票!$B:$B,$B23),SUMIFS(全伝票!K:K,全伝票!$C:$C,$C23)),IF($C23="",SUMIFS(全伝票!K:K,全伝票!$A:$A,$A23,全伝票!$B:$B,$B23),SUMIFS(全伝票!K:K,全伝票!$A:$A,$A23,全伝票!$C:$C,$C23)))</f>
        <v>0</v>
      </c>
      <c r="H23" s="160">
        <f>+IF($A23="",IF($C23="",SUMIFS(全伝票!L:L,全伝票!$B:$B,$B23),SUMIFS(全伝票!L:L,全伝票!$C:$C,$C23)),IF($C23="",SUMIFS(全伝票!L:L,全伝票!$A:$A,$A23,全伝票!$B:$B,$B23),SUMIFS(全伝票!L:L,全伝票!$A:$A,$A23,全伝票!$C:$C,$C23)))</f>
        <v>0</v>
      </c>
      <c r="I23" s="159">
        <f>+IF($A23="",IF($C23="",SUMIFS(全伝票!M:M,全伝票!$B:$B,$B23),SUMIFS(全伝票!M:M,全伝票!$C:$C,$C23)),IF($C23="",SUMIFS(全伝票!M:M,全伝票!$A:$A,$A23,全伝票!$B:$B,$B23),SUMIFS(全伝票!M:M,全伝票!$A:$A,$A23,全伝票!$C:$C,$C23)))</f>
        <v>0</v>
      </c>
      <c r="J23" s="159">
        <f>+IF($A23="",IF($C23="",SUMIFS(全伝票!N:N,全伝票!$B:$B,$B23),SUMIFS(全伝票!N:N,全伝票!$C:$C,$C23)),IF($C23="",SUMIFS(全伝票!N:N,全伝票!$A:$A,$A23,全伝票!$B:$B,$B23),SUMIFS(全伝票!N:N,全伝票!$A:$A,$A23,全伝票!$C:$C,$C23)))</f>
        <v>13807574</v>
      </c>
      <c r="K23" s="34">
        <f t="shared" si="0"/>
        <v>13807574</v>
      </c>
      <c r="L23" s="158">
        <f>+IF($A23="",IF($C23="",SUMIFS(全伝票!O:O,全伝票!$B:$B,$B23),SUMIFS(全伝票!O:O,全伝票!$C:$C,$C23)),IF($C23="",SUMIFS(全伝票!O:O,全伝票!$A:$A,$A23,全伝票!$B:$B,$B23),SUMIFS(全伝票!O:O,全伝票!$A:$A,$A23,全伝票!$C:$C,$C23)))</f>
        <v>0</v>
      </c>
      <c r="M23" s="158">
        <f>+IF($A23="",IF($C23="",SUMIFS(全伝票!P:P,全伝票!$B:$B,$B23),SUMIFS(全伝票!P:P,全伝票!$C:$C,$C23)),IF($C23="",SUMIFS(全伝票!P:P,全伝票!$A:$A,$A23,全伝票!$B:$B,$B23),SUMIFS(全伝票!P:P,全伝票!$A:$A,$A23,全伝票!$C:$C,$C23)))</f>
        <v>0</v>
      </c>
      <c r="N23" s="108">
        <f t="shared" si="1"/>
        <v>0</v>
      </c>
      <c r="O23" s="25">
        <f t="shared" si="3"/>
        <v>0</v>
      </c>
      <c r="P23" s="25">
        <f t="shared" si="2"/>
        <v>0</v>
      </c>
      <c r="Q23" s="157">
        <f t="shared" si="3"/>
        <v>0</v>
      </c>
      <c r="R23" s="157">
        <f t="shared" si="4"/>
        <v>1255234</v>
      </c>
      <c r="S23" s="22">
        <f t="shared" si="5"/>
        <v>1255234</v>
      </c>
      <c r="T23" s="109">
        <f t="shared" si="6"/>
        <v>12552340</v>
      </c>
      <c r="U23" s="107">
        <f t="shared" si="7"/>
        <v>0</v>
      </c>
      <c r="V23" s="107">
        <f t="shared" si="8"/>
        <v>0</v>
      </c>
      <c r="W23" s="107">
        <f t="shared" si="9"/>
        <v>0</v>
      </c>
      <c r="X23" s="107">
        <f t="shared" si="9"/>
        <v>0</v>
      </c>
      <c r="Y23" s="107">
        <f t="shared" si="10"/>
        <v>0</v>
      </c>
      <c r="Z23" s="106">
        <f t="shared" si="11"/>
        <v>0</v>
      </c>
      <c r="AA23" s="106">
        <f t="shared" si="12"/>
        <v>0</v>
      </c>
      <c r="AB23" s="106">
        <f t="shared" si="13"/>
        <v>0</v>
      </c>
      <c r="AC23" s="106">
        <f t="shared" si="14"/>
        <v>0</v>
      </c>
      <c r="AD23" s="106">
        <f t="shared" si="15"/>
        <v>0</v>
      </c>
    </row>
    <row r="24" spans="1:30">
      <c r="A24" s="165">
        <v>3</v>
      </c>
      <c r="B24" s="164" t="s">
        <v>426</v>
      </c>
      <c r="C24" s="163"/>
      <c r="D24" s="162" t="s">
        <v>73</v>
      </c>
      <c r="E24" s="158">
        <f>+IF($A24="",IF($C24="",SUMIFS(全伝票!I:I,全伝票!$B:$B,$B24),SUMIFS(全伝票!I:I,全伝票!$C:$C,$C24)),IF($C24="",SUMIFS(全伝票!I:I,全伝票!$A:$A,$A24,全伝票!$B:$B,$B24),SUMIFS(全伝票!I:I,全伝票!$A:$A,$A24,全伝票!$C:$C,$C24)))</f>
        <v>0</v>
      </c>
      <c r="F24" s="161">
        <f>+IF($A24="",IF($C24="",SUMIFS(全伝票!J:J,全伝票!$B:$B,$B24),SUMIFS(全伝票!J:J,全伝票!$C:$C,$C24)),IF($C24="",SUMIFS(全伝票!J:J,全伝票!$A:$A,$A24,全伝票!$B:$B,$B24),SUMIFS(全伝票!J:J,全伝票!$A:$A,$A24,全伝票!$C:$C,$C24)))</f>
        <v>0</v>
      </c>
      <c r="G24" s="160">
        <f>+IF($A24="",IF($C24="",SUMIFS(全伝票!K:K,全伝票!$B:$B,$B24),SUMIFS(全伝票!K:K,全伝票!$C:$C,$C24)),IF($C24="",SUMIFS(全伝票!K:K,全伝票!$A:$A,$A24,全伝票!$B:$B,$B24),SUMIFS(全伝票!K:K,全伝票!$A:$A,$A24,全伝票!$C:$C,$C24)))</f>
        <v>0</v>
      </c>
      <c r="H24" s="160">
        <f>+IF($A24="",IF($C24="",SUMIFS(全伝票!L:L,全伝票!$B:$B,$B24),SUMIFS(全伝票!L:L,全伝票!$C:$C,$C24)),IF($C24="",SUMIFS(全伝票!L:L,全伝票!$A:$A,$A24,全伝票!$B:$B,$B24),SUMIFS(全伝票!L:L,全伝票!$A:$A,$A24,全伝票!$C:$C,$C24)))</f>
        <v>0</v>
      </c>
      <c r="I24" s="159">
        <f>+IF($A24="",IF($C24="",SUMIFS(全伝票!M:M,全伝票!$B:$B,$B24),SUMIFS(全伝票!M:M,全伝票!$C:$C,$C24)),IF($C24="",SUMIFS(全伝票!M:M,全伝票!$A:$A,$A24,全伝票!$B:$B,$B24),SUMIFS(全伝票!M:M,全伝票!$A:$A,$A24,全伝票!$C:$C,$C24)))</f>
        <v>0</v>
      </c>
      <c r="J24" s="159">
        <f>+IF($A24="",IF($C24="",SUMIFS(全伝票!N:N,全伝票!$B:$B,$B24),SUMIFS(全伝票!N:N,全伝票!$C:$C,$C24)),IF($C24="",SUMIFS(全伝票!N:N,全伝票!$A:$A,$A24,全伝票!$B:$B,$B24),SUMIFS(全伝票!N:N,全伝票!$A:$A,$A24,全伝票!$C:$C,$C24)))</f>
        <v>0</v>
      </c>
      <c r="K24" s="34">
        <f t="shared" si="0"/>
        <v>0</v>
      </c>
      <c r="L24" s="158">
        <f>+IF($A24="",IF($C24="",SUMIFS(全伝票!O:O,全伝票!$B:$B,$B24),SUMIFS(全伝票!O:O,全伝票!$C:$C,$C24)),IF($C24="",SUMIFS(全伝票!O:O,全伝票!$A:$A,$A24,全伝票!$B:$B,$B24),SUMIFS(全伝票!O:O,全伝票!$A:$A,$A24,全伝票!$C:$C,$C24)))</f>
        <v>0</v>
      </c>
      <c r="M24" s="158">
        <f>+IF($A24="",IF($C24="",SUMIFS(全伝票!P:P,全伝票!$B:$B,$B24),SUMIFS(全伝票!P:P,全伝票!$C:$C,$C24)),IF($C24="",SUMIFS(全伝票!P:P,全伝票!$A:$A,$A24,全伝票!$B:$B,$B24),SUMIFS(全伝票!P:P,全伝票!$A:$A,$A24,全伝票!$C:$C,$C24)))</f>
        <v>0</v>
      </c>
      <c r="N24" s="108">
        <f t="shared" si="1"/>
        <v>0</v>
      </c>
      <c r="O24" s="25">
        <f t="shared" si="3"/>
        <v>0</v>
      </c>
      <c r="P24" s="25">
        <f t="shared" si="2"/>
        <v>0</v>
      </c>
      <c r="Q24" s="157">
        <f t="shared" si="3"/>
        <v>0</v>
      </c>
      <c r="R24" s="157">
        <f t="shared" si="4"/>
        <v>0</v>
      </c>
      <c r="S24" s="22">
        <f t="shared" si="5"/>
        <v>0</v>
      </c>
      <c r="T24" s="109">
        <f t="shared" si="6"/>
        <v>0</v>
      </c>
      <c r="U24" s="107">
        <f t="shared" si="7"/>
        <v>0</v>
      </c>
      <c r="V24" s="107">
        <f t="shared" si="8"/>
        <v>0</v>
      </c>
      <c r="W24" s="107">
        <f t="shared" si="9"/>
        <v>0</v>
      </c>
      <c r="X24" s="107">
        <f t="shared" si="9"/>
        <v>0</v>
      </c>
      <c r="Y24" s="107">
        <f t="shared" si="10"/>
        <v>0</v>
      </c>
      <c r="Z24" s="106">
        <f t="shared" si="11"/>
        <v>0</v>
      </c>
      <c r="AA24" s="106">
        <f t="shared" si="12"/>
        <v>0</v>
      </c>
      <c r="AB24" s="106">
        <f t="shared" si="13"/>
        <v>0</v>
      </c>
      <c r="AC24" s="106">
        <f t="shared" si="14"/>
        <v>0</v>
      </c>
      <c r="AD24" s="106">
        <f t="shared" si="15"/>
        <v>0</v>
      </c>
    </row>
    <row r="25" spans="1:30">
      <c r="A25" s="165">
        <v>3</v>
      </c>
      <c r="B25" s="164" t="s">
        <v>424</v>
      </c>
      <c r="C25" s="163" t="s">
        <v>425</v>
      </c>
      <c r="D25" s="162" t="s">
        <v>71</v>
      </c>
      <c r="E25" s="158">
        <f>+IF($A25="",IF($C25="",SUMIFS(全伝票!I:I,全伝票!$B:$B,$B25),SUMIFS(全伝票!I:I,全伝票!$C:$C,$C25)),IF($C25="",SUMIFS(全伝票!I:I,全伝票!$A:$A,$A25,全伝票!$B:$B,$B25),SUMIFS(全伝票!I:I,全伝票!$A:$A,$A25,全伝票!$C:$C,$C25)))</f>
        <v>0</v>
      </c>
      <c r="F25" s="161">
        <f>+IF($A25="",IF($C25="",SUMIFS(全伝票!J:J,全伝票!$B:$B,$B25),SUMIFS(全伝票!J:J,全伝票!$C:$C,$C25)),IF($C25="",SUMIFS(全伝票!J:J,全伝票!$A:$A,$A25,全伝票!$B:$B,$B25),SUMIFS(全伝票!J:J,全伝票!$A:$A,$A25,全伝票!$C:$C,$C25)))</f>
        <v>0</v>
      </c>
      <c r="G25" s="160">
        <f>+IF($A25="",IF($C25="",SUMIFS(全伝票!K:K,全伝票!$B:$B,$B25),SUMIFS(全伝票!K:K,全伝票!$C:$C,$C25)),IF($C25="",SUMIFS(全伝票!K:K,全伝票!$A:$A,$A25,全伝票!$B:$B,$B25),SUMIFS(全伝票!K:K,全伝票!$A:$A,$A25,全伝票!$C:$C,$C25)))</f>
        <v>0</v>
      </c>
      <c r="H25" s="160">
        <f>+IF($A25="",IF($C25="",SUMIFS(全伝票!L:L,全伝票!$B:$B,$B25),SUMIFS(全伝票!L:L,全伝票!$C:$C,$C25)),IF($C25="",SUMIFS(全伝票!L:L,全伝票!$A:$A,$A25,全伝票!$B:$B,$B25),SUMIFS(全伝票!L:L,全伝票!$A:$A,$A25,全伝票!$C:$C,$C25)))</f>
        <v>0</v>
      </c>
      <c r="I25" s="159">
        <f>+IF($A25="",IF($C25="",SUMIFS(全伝票!M:M,全伝票!$B:$B,$B25),SUMIFS(全伝票!M:M,全伝票!$C:$C,$C25)),IF($C25="",SUMIFS(全伝票!M:M,全伝票!$A:$A,$A25,全伝票!$B:$B,$B25),SUMIFS(全伝票!M:M,全伝票!$A:$A,$A25,全伝票!$C:$C,$C25)))</f>
        <v>0</v>
      </c>
      <c r="J25" s="159">
        <f>+IF($A25="",IF($C25="",SUMIFS(全伝票!N:N,全伝票!$B:$B,$B25),SUMIFS(全伝票!N:N,全伝票!$C:$C,$C25)),IF($C25="",SUMIFS(全伝票!N:N,全伝票!$A:$A,$A25,全伝票!$B:$B,$B25),SUMIFS(全伝票!N:N,全伝票!$A:$A,$A25,全伝票!$C:$C,$C25)))</f>
        <v>0</v>
      </c>
      <c r="K25" s="34">
        <f t="shared" si="0"/>
        <v>0</v>
      </c>
      <c r="L25" s="158">
        <f>+IF($A25="",IF($C25="",SUMIFS(全伝票!O:O,全伝票!$B:$B,$B25),SUMIFS(全伝票!O:O,全伝票!$C:$C,$C25)),IF($C25="",SUMIFS(全伝票!O:O,全伝票!$A:$A,$A25,全伝票!$B:$B,$B25),SUMIFS(全伝票!O:O,全伝票!$A:$A,$A25,全伝票!$C:$C,$C25)))</f>
        <v>0</v>
      </c>
      <c r="M25" s="158">
        <f>+IF($A25="",IF($C25="",SUMIFS(全伝票!P:P,全伝票!$B:$B,$B25),SUMIFS(全伝票!P:P,全伝票!$C:$C,$C25)),IF($C25="",SUMIFS(全伝票!P:P,全伝票!$A:$A,$A25,全伝票!$B:$B,$B25),SUMIFS(全伝票!P:P,全伝票!$A:$A,$A25,全伝票!$C:$C,$C25)))</f>
        <v>0</v>
      </c>
      <c r="N25" s="108">
        <f t="shared" si="1"/>
        <v>0</v>
      </c>
      <c r="O25" s="25">
        <f t="shared" si="3"/>
        <v>0</v>
      </c>
      <c r="P25" s="25">
        <f t="shared" si="2"/>
        <v>0</v>
      </c>
      <c r="Q25" s="157">
        <f t="shared" si="3"/>
        <v>0</v>
      </c>
      <c r="R25" s="157">
        <f t="shared" si="4"/>
        <v>0</v>
      </c>
      <c r="S25" s="22">
        <f t="shared" si="5"/>
        <v>0</v>
      </c>
      <c r="T25" s="109">
        <f t="shared" si="6"/>
        <v>0</v>
      </c>
      <c r="U25" s="107">
        <f t="shared" si="7"/>
        <v>0</v>
      </c>
      <c r="V25" s="107">
        <f t="shared" si="8"/>
        <v>0</v>
      </c>
      <c r="W25" s="107">
        <f t="shared" si="9"/>
        <v>0</v>
      </c>
      <c r="X25" s="107">
        <f t="shared" si="9"/>
        <v>0</v>
      </c>
      <c r="Y25" s="107">
        <f t="shared" si="10"/>
        <v>0</v>
      </c>
      <c r="Z25" s="106">
        <f t="shared" si="11"/>
        <v>0</v>
      </c>
      <c r="AA25" s="106">
        <f t="shared" si="12"/>
        <v>0</v>
      </c>
      <c r="AB25" s="106">
        <f t="shared" si="13"/>
        <v>0</v>
      </c>
      <c r="AC25" s="106">
        <f t="shared" si="14"/>
        <v>0</v>
      </c>
      <c r="AD25" s="106">
        <f t="shared" si="15"/>
        <v>0</v>
      </c>
    </row>
    <row r="26" spans="1:30">
      <c r="A26" s="165">
        <v>3</v>
      </c>
      <c r="B26" s="164" t="s">
        <v>424</v>
      </c>
      <c r="C26" s="163" t="s">
        <v>423</v>
      </c>
      <c r="D26" s="162" t="s">
        <v>68</v>
      </c>
      <c r="E26" s="158">
        <f>+IF($A26="",IF($C26="",SUMIFS(全伝票!I:I,全伝票!$B:$B,$B26),SUMIFS(全伝票!I:I,全伝票!$C:$C,$C26)),IF($C26="",SUMIFS(全伝票!I:I,全伝票!$A:$A,$A26,全伝票!$B:$B,$B26),SUMIFS(全伝票!I:I,全伝票!$A:$A,$A26,全伝票!$C:$C,$C26)))</f>
        <v>0</v>
      </c>
      <c r="F26" s="161">
        <f>+IF($A26="",IF($C26="",SUMIFS(全伝票!J:J,全伝票!$B:$B,$B26),SUMIFS(全伝票!J:J,全伝票!$C:$C,$C26)),IF($C26="",SUMIFS(全伝票!J:J,全伝票!$A:$A,$A26,全伝票!$B:$B,$B26),SUMIFS(全伝票!J:J,全伝票!$A:$A,$A26,全伝票!$C:$C,$C26)))</f>
        <v>0</v>
      </c>
      <c r="G26" s="160">
        <f>+IF($A26="",IF($C26="",SUMIFS(全伝票!K:K,全伝票!$B:$B,$B26),SUMIFS(全伝票!K:K,全伝票!$C:$C,$C26)),IF($C26="",SUMIFS(全伝票!K:K,全伝票!$A:$A,$A26,全伝票!$B:$B,$B26),SUMIFS(全伝票!K:K,全伝票!$A:$A,$A26,全伝票!$C:$C,$C26)))</f>
        <v>0</v>
      </c>
      <c r="H26" s="160">
        <f>+IF($A26="",IF($C26="",SUMIFS(全伝票!L:L,全伝票!$B:$B,$B26),SUMIFS(全伝票!L:L,全伝票!$C:$C,$C26)),IF($C26="",SUMIFS(全伝票!L:L,全伝票!$A:$A,$A26,全伝票!$B:$B,$B26),SUMIFS(全伝票!L:L,全伝票!$A:$A,$A26,全伝票!$C:$C,$C26)))</f>
        <v>0</v>
      </c>
      <c r="I26" s="159">
        <f>+IF($A26="",IF($C26="",SUMIFS(全伝票!M:M,全伝票!$B:$B,$B26),SUMIFS(全伝票!M:M,全伝票!$C:$C,$C26)),IF($C26="",SUMIFS(全伝票!M:M,全伝票!$A:$A,$A26,全伝票!$B:$B,$B26),SUMIFS(全伝票!M:M,全伝票!$A:$A,$A26,全伝票!$C:$C,$C26)))</f>
        <v>0</v>
      </c>
      <c r="J26" s="159">
        <f>+IF($A26="",IF($C26="",SUMIFS(全伝票!N:N,全伝票!$B:$B,$B26),SUMIFS(全伝票!N:N,全伝票!$C:$C,$C26)),IF($C26="",SUMIFS(全伝票!N:N,全伝票!$A:$A,$A26,全伝票!$B:$B,$B26),SUMIFS(全伝票!N:N,全伝票!$A:$A,$A26,全伝票!$C:$C,$C26)))</f>
        <v>0</v>
      </c>
      <c r="K26" s="34">
        <f t="shared" si="0"/>
        <v>0</v>
      </c>
      <c r="L26" s="158">
        <f>+IF($A26="",IF($C26="",SUMIFS(全伝票!O:O,全伝票!$B:$B,$B26),SUMIFS(全伝票!O:O,全伝票!$C:$C,$C26)),IF($C26="",SUMIFS(全伝票!O:O,全伝票!$A:$A,$A26,全伝票!$B:$B,$B26),SUMIFS(全伝票!O:O,全伝票!$A:$A,$A26,全伝票!$C:$C,$C26)))</f>
        <v>0</v>
      </c>
      <c r="M26" s="158">
        <f>+IF($A26="",IF($C26="",SUMIFS(全伝票!P:P,全伝票!$B:$B,$B26),SUMIFS(全伝票!P:P,全伝票!$C:$C,$C26)),IF($C26="",SUMIFS(全伝票!P:P,全伝票!$A:$A,$A26,全伝票!$B:$B,$B26),SUMIFS(全伝票!P:P,全伝票!$A:$A,$A26,全伝票!$C:$C,$C26)))</f>
        <v>0</v>
      </c>
      <c r="N26" s="108">
        <f t="shared" si="1"/>
        <v>0</v>
      </c>
      <c r="O26" s="25">
        <f t="shared" si="3"/>
        <v>0</v>
      </c>
      <c r="P26" s="25">
        <f t="shared" si="2"/>
        <v>0</v>
      </c>
      <c r="Q26" s="157">
        <f t="shared" si="3"/>
        <v>0</v>
      </c>
      <c r="R26" s="157">
        <f t="shared" si="4"/>
        <v>0</v>
      </c>
      <c r="S26" s="22">
        <f t="shared" si="5"/>
        <v>0</v>
      </c>
      <c r="T26" s="109">
        <f t="shared" si="6"/>
        <v>0</v>
      </c>
      <c r="U26" s="107">
        <f t="shared" si="7"/>
        <v>0</v>
      </c>
      <c r="V26" s="107">
        <f t="shared" si="8"/>
        <v>0</v>
      </c>
      <c r="W26" s="107">
        <f t="shared" si="9"/>
        <v>0</v>
      </c>
      <c r="X26" s="107">
        <f t="shared" si="9"/>
        <v>0</v>
      </c>
      <c r="Y26" s="107">
        <f t="shared" si="10"/>
        <v>0</v>
      </c>
      <c r="Z26" s="106">
        <f t="shared" si="11"/>
        <v>0</v>
      </c>
      <c r="AA26" s="106">
        <f t="shared" si="12"/>
        <v>0</v>
      </c>
      <c r="AB26" s="106">
        <f t="shared" si="13"/>
        <v>0</v>
      </c>
      <c r="AC26" s="106">
        <f t="shared" si="14"/>
        <v>0</v>
      </c>
      <c r="AD26" s="106">
        <f t="shared" si="15"/>
        <v>0</v>
      </c>
    </row>
    <row r="27" spans="1:30">
      <c r="A27" s="165">
        <v>3</v>
      </c>
      <c r="B27" s="164" t="s">
        <v>422</v>
      </c>
      <c r="C27" s="163"/>
      <c r="D27" s="162" t="s">
        <v>66</v>
      </c>
      <c r="E27" s="158">
        <f>+IF($A27="",IF($C27="",SUMIFS(全伝票!I:I,全伝票!$B:$B,$B27),SUMIFS(全伝票!I:I,全伝票!$C:$C,$C27)),IF($C27="",SUMIFS(全伝票!I:I,全伝票!$A:$A,$A27,全伝票!$B:$B,$B27),SUMIFS(全伝票!I:I,全伝票!$A:$A,$A27,全伝票!$C:$C,$C27)))</f>
        <v>0</v>
      </c>
      <c r="F27" s="161">
        <f>+IF($A27="",IF($C27="",SUMIFS(全伝票!J:J,全伝票!$B:$B,$B27),SUMIFS(全伝票!J:J,全伝票!$C:$C,$C27)),IF($C27="",SUMIFS(全伝票!J:J,全伝票!$A:$A,$A27,全伝票!$B:$B,$B27),SUMIFS(全伝票!J:J,全伝票!$A:$A,$A27,全伝票!$C:$C,$C27)))</f>
        <v>0</v>
      </c>
      <c r="G27" s="160">
        <f>+IF($A27="",IF($C27="",SUMIFS(全伝票!K:K,全伝票!$B:$B,$B27),SUMIFS(全伝票!K:K,全伝票!$C:$C,$C27)),IF($C27="",SUMIFS(全伝票!K:K,全伝票!$A:$A,$A27,全伝票!$B:$B,$B27),SUMIFS(全伝票!K:K,全伝票!$A:$A,$A27,全伝票!$C:$C,$C27)))</f>
        <v>0</v>
      </c>
      <c r="H27" s="160">
        <f>+IF($A27="",IF($C27="",SUMIFS(全伝票!L:L,全伝票!$B:$B,$B27),SUMIFS(全伝票!L:L,全伝票!$C:$C,$C27)),IF($C27="",SUMIFS(全伝票!L:L,全伝票!$A:$A,$A27,全伝票!$B:$B,$B27),SUMIFS(全伝票!L:L,全伝票!$A:$A,$A27,全伝票!$C:$C,$C27)))</f>
        <v>0</v>
      </c>
      <c r="I27" s="159">
        <f>+IF($A27="",IF($C27="",SUMIFS(全伝票!M:M,全伝票!$B:$B,$B27),SUMIFS(全伝票!M:M,全伝票!$C:$C,$C27)),IF($C27="",SUMIFS(全伝票!M:M,全伝票!$A:$A,$A27,全伝票!$B:$B,$B27),SUMIFS(全伝票!M:M,全伝票!$A:$A,$A27,全伝票!$C:$C,$C27)))</f>
        <v>0</v>
      </c>
      <c r="J27" s="159">
        <f>+IF($A27="",IF($C27="",SUMIFS(全伝票!N:N,全伝票!$B:$B,$B27),SUMIFS(全伝票!N:N,全伝票!$C:$C,$C27)),IF($C27="",SUMIFS(全伝票!N:N,全伝票!$A:$A,$A27,全伝票!$B:$B,$B27),SUMIFS(全伝票!N:N,全伝票!$A:$A,$A27,全伝票!$C:$C,$C27)))</f>
        <v>0</v>
      </c>
      <c r="K27" s="34">
        <f t="shared" si="0"/>
        <v>0</v>
      </c>
      <c r="L27" s="158">
        <f>+IF($A27="",IF($C27="",SUMIFS(全伝票!O:O,全伝票!$B:$B,$B27),SUMIFS(全伝票!O:O,全伝票!$C:$C,$C27)),IF($C27="",SUMIFS(全伝票!O:O,全伝票!$A:$A,$A27,全伝票!$B:$B,$B27),SUMIFS(全伝票!O:O,全伝票!$A:$A,$A27,全伝票!$C:$C,$C27)))</f>
        <v>0</v>
      </c>
      <c r="M27" s="158">
        <f>+IF($A27="",IF($C27="",SUMIFS(全伝票!P:P,全伝票!$B:$B,$B27),SUMIFS(全伝票!P:P,全伝票!$C:$C,$C27)),IF($C27="",SUMIFS(全伝票!P:P,全伝票!$A:$A,$A27,全伝票!$B:$B,$B27),SUMIFS(全伝票!P:P,全伝票!$A:$A,$A27,全伝票!$C:$C,$C27)))</f>
        <v>0</v>
      </c>
      <c r="N27" s="108">
        <f t="shared" si="1"/>
        <v>0</v>
      </c>
      <c r="O27" s="25">
        <f t="shared" si="3"/>
        <v>0</v>
      </c>
      <c r="P27" s="25">
        <f t="shared" si="2"/>
        <v>0</v>
      </c>
      <c r="Q27" s="157">
        <f t="shared" si="3"/>
        <v>0</v>
      </c>
      <c r="R27" s="157">
        <f t="shared" si="4"/>
        <v>0</v>
      </c>
      <c r="S27" s="22">
        <f t="shared" si="5"/>
        <v>0</v>
      </c>
      <c r="T27" s="109">
        <f t="shared" si="6"/>
        <v>0</v>
      </c>
      <c r="U27" s="107">
        <f t="shared" si="7"/>
        <v>0</v>
      </c>
      <c r="V27" s="107">
        <f t="shared" si="8"/>
        <v>0</v>
      </c>
      <c r="W27" s="107">
        <f t="shared" si="9"/>
        <v>0</v>
      </c>
      <c r="X27" s="107">
        <f t="shared" si="9"/>
        <v>0</v>
      </c>
      <c r="Y27" s="107">
        <f t="shared" si="10"/>
        <v>0</v>
      </c>
      <c r="Z27" s="106">
        <f t="shared" si="11"/>
        <v>0</v>
      </c>
      <c r="AA27" s="106">
        <f t="shared" si="12"/>
        <v>0</v>
      </c>
      <c r="AB27" s="106">
        <f t="shared" si="13"/>
        <v>0</v>
      </c>
      <c r="AC27" s="106">
        <f t="shared" si="14"/>
        <v>0</v>
      </c>
      <c r="AD27" s="106">
        <f t="shared" si="15"/>
        <v>0</v>
      </c>
    </row>
    <row r="28" spans="1:30">
      <c r="A28" s="165">
        <v>3</v>
      </c>
      <c r="B28" s="164" t="s">
        <v>421</v>
      </c>
      <c r="C28" s="163"/>
      <c r="D28" s="162" t="s">
        <v>64</v>
      </c>
      <c r="E28" s="158">
        <f>+IF($A28="",IF($C28="",SUMIFS(全伝票!I:I,全伝票!$B:$B,$B28),SUMIFS(全伝票!I:I,全伝票!$C:$C,$C28)),IF($C28="",SUMIFS(全伝票!I:I,全伝票!$A:$A,$A28,全伝票!$B:$B,$B28),SUMIFS(全伝票!I:I,全伝票!$A:$A,$A28,全伝票!$C:$C,$C28)))</f>
        <v>0</v>
      </c>
      <c r="F28" s="161">
        <f>+IF($A28="",IF($C28="",SUMIFS(全伝票!J:J,全伝票!$B:$B,$B28),SUMIFS(全伝票!J:J,全伝票!$C:$C,$C28)),IF($C28="",SUMIFS(全伝票!J:J,全伝票!$A:$A,$A28,全伝票!$B:$B,$B28),SUMIFS(全伝票!J:J,全伝票!$A:$A,$A28,全伝票!$C:$C,$C28)))</f>
        <v>0</v>
      </c>
      <c r="G28" s="160">
        <f>+IF($A28="",IF($C28="",SUMIFS(全伝票!K:K,全伝票!$B:$B,$B28),SUMIFS(全伝票!K:K,全伝票!$C:$C,$C28)),IF($C28="",SUMIFS(全伝票!K:K,全伝票!$A:$A,$A28,全伝票!$B:$B,$B28),SUMIFS(全伝票!K:K,全伝票!$A:$A,$A28,全伝票!$C:$C,$C28)))</f>
        <v>0</v>
      </c>
      <c r="H28" s="160">
        <f>+IF($A28="",IF($C28="",SUMIFS(全伝票!L:L,全伝票!$B:$B,$B28),SUMIFS(全伝票!L:L,全伝票!$C:$C,$C28)),IF($C28="",SUMIFS(全伝票!L:L,全伝票!$A:$A,$A28,全伝票!$B:$B,$B28),SUMIFS(全伝票!L:L,全伝票!$A:$A,$A28,全伝票!$C:$C,$C28)))</f>
        <v>0</v>
      </c>
      <c r="I28" s="159">
        <f>+IF($A28="",IF($C28="",SUMIFS(全伝票!M:M,全伝票!$B:$B,$B28),SUMIFS(全伝票!M:M,全伝票!$C:$C,$C28)),IF($C28="",SUMIFS(全伝票!M:M,全伝票!$A:$A,$A28,全伝票!$B:$B,$B28),SUMIFS(全伝票!M:M,全伝票!$A:$A,$A28,全伝票!$C:$C,$C28)))</f>
        <v>0</v>
      </c>
      <c r="J28" s="159">
        <f>+IF($A28="",IF($C28="",SUMIFS(全伝票!N:N,全伝票!$B:$B,$B28),SUMIFS(全伝票!N:N,全伝票!$C:$C,$C28)),IF($C28="",SUMIFS(全伝票!N:N,全伝票!$A:$A,$A28,全伝票!$B:$B,$B28),SUMIFS(全伝票!N:N,全伝票!$A:$A,$A28,全伝票!$C:$C,$C28)))</f>
        <v>0</v>
      </c>
      <c r="K28" s="34">
        <f t="shared" si="0"/>
        <v>0</v>
      </c>
      <c r="L28" s="158">
        <f>+IF($A28="",IF($C28="",SUMIFS(全伝票!O:O,全伝票!$B:$B,$B28),SUMIFS(全伝票!O:O,全伝票!$C:$C,$C28)),IF($C28="",SUMIFS(全伝票!O:O,全伝票!$A:$A,$A28,全伝票!$B:$B,$B28),SUMIFS(全伝票!O:O,全伝票!$A:$A,$A28,全伝票!$C:$C,$C28)))</f>
        <v>0</v>
      </c>
      <c r="M28" s="158">
        <f>+IF($A28="",IF($C28="",SUMIFS(全伝票!P:P,全伝票!$B:$B,$B28),SUMIFS(全伝票!P:P,全伝票!$C:$C,$C28)),IF($C28="",SUMIFS(全伝票!P:P,全伝票!$A:$A,$A28,全伝票!$B:$B,$B28),SUMIFS(全伝票!P:P,全伝票!$A:$A,$A28,全伝票!$C:$C,$C28)))</f>
        <v>0</v>
      </c>
      <c r="N28" s="108">
        <f t="shared" si="1"/>
        <v>0</v>
      </c>
      <c r="O28" s="25">
        <f t="shared" si="3"/>
        <v>0</v>
      </c>
      <c r="P28" s="25">
        <f t="shared" si="2"/>
        <v>0</v>
      </c>
      <c r="Q28" s="157">
        <f t="shared" si="3"/>
        <v>0</v>
      </c>
      <c r="R28" s="157">
        <f t="shared" si="4"/>
        <v>0</v>
      </c>
      <c r="S28" s="22">
        <f t="shared" si="5"/>
        <v>0</v>
      </c>
      <c r="T28" s="109">
        <f t="shared" si="6"/>
        <v>0</v>
      </c>
      <c r="U28" s="107">
        <f t="shared" si="7"/>
        <v>0</v>
      </c>
      <c r="V28" s="107">
        <f t="shared" si="8"/>
        <v>0</v>
      </c>
      <c r="W28" s="107">
        <f t="shared" si="9"/>
        <v>0</v>
      </c>
      <c r="X28" s="107">
        <f t="shared" si="9"/>
        <v>0</v>
      </c>
      <c r="Y28" s="107">
        <f t="shared" si="10"/>
        <v>0</v>
      </c>
      <c r="Z28" s="106">
        <f t="shared" si="11"/>
        <v>0</v>
      </c>
      <c r="AA28" s="106">
        <f t="shared" si="12"/>
        <v>0</v>
      </c>
      <c r="AB28" s="106">
        <f t="shared" si="13"/>
        <v>0</v>
      </c>
      <c r="AC28" s="106">
        <f t="shared" si="14"/>
        <v>0</v>
      </c>
      <c r="AD28" s="106">
        <f t="shared" si="15"/>
        <v>0</v>
      </c>
    </row>
    <row r="29" spans="1:30">
      <c r="A29" s="165">
        <v>3</v>
      </c>
      <c r="B29" s="164" t="s">
        <v>420</v>
      </c>
      <c r="C29" s="163"/>
      <c r="D29" s="162" t="s">
        <v>62</v>
      </c>
      <c r="E29" s="158">
        <f>+IF($A29="",IF($C29="",SUMIFS(全伝票!I:I,全伝票!$B:$B,$B29),SUMIFS(全伝票!I:I,全伝票!$C:$C,$C29)),IF($C29="",SUMIFS(全伝票!I:I,全伝票!$A:$A,$A29,全伝票!$B:$B,$B29),SUMIFS(全伝票!I:I,全伝票!$A:$A,$A29,全伝票!$C:$C,$C29)))</f>
        <v>2416327</v>
      </c>
      <c r="F29" s="161">
        <f>+IF($A29="",IF($C29="",SUMIFS(全伝票!J:J,全伝票!$B:$B,$B29),SUMIFS(全伝票!J:J,全伝票!$C:$C,$C29)),IF($C29="",SUMIFS(全伝票!J:J,全伝票!$A:$A,$A29,全伝票!$B:$B,$B29),SUMIFS(全伝票!J:J,全伝票!$A:$A,$A29,全伝票!$C:$C,$C29)))</f>
        <v>0</v>
      </c>
      <c r="G29" s="160">
        <f>+IF($A29="",IF($C29="",SUMIFS(全伝票!K:K,全伝票!$B:$B,$B29),SUMIFS(全伝票!K:K,全伝票!$C:$C,$C29)),IF($C29="",SUMIFS(全伝票!K:K,全伝票!$A:$A,$A29,全伝票!$B:$B,$B29),SUMIFS(全伝票!K:K,全伝票!$A:$A,$A29,全伝票!$C:$C,$C29)))</f>
        <v>0</v>
      </c>
      <c r="H29" s="160">
        <f>+IF($A29="",IF($C29="",SUMIFS(全伝票!L:L,全伝票!$B:$B,$B29),SUMIFS(全伝票!L:L,全伝票!$C:$C,$C29)),IF($C29="",SUMIFS(全伝票!L:L,全伝票!$A:$A,$A29,全伝票!$B:$B,$B29),SUMIFS(全伝票!L:L,全伝票!$A:$A,$A29,全伝票!$C:$C,$C29)))</f>
        <v>0</v>
      </c>
      <c r="I29" s="159">
        <f>+IF($A29="",IF($C29="",SUMIFS(全伝票!M:M,全伝票!$B:$B,$B29),SUMIFS(全伝票!M:M,全伝票!$C:$C,$C29)),IF($C29="",SUMIFS(全伝票!M:M,全伝票!$A:$A,$A29,全伝票!$B:$B,$B29),SUMIFS(全伝票!M:M,全伝票!$A:$A,$A29,全伝票!$C:$C,$C29)))</f>
        <v>0</v>
      </c>
      <c r="J29" s="159">
        <f>+IF($A29="",IF($C29="",SUMIFS(全伝票!N:N,全伝票!$B:$B,$B29),SUMIFS(全伝票!N:N,全伝票!$C:$C,$C29)),IF($C29="",SUMIFS(全伝票!N:N,全伝票!$A:$A,$A29,全伝票!$B:$B,$B29),SUMIFS(全伝票!N:N,全伝票!$A:$A,$A29,全伝票!$C:$C,$C29)))</f>
        <v>2310867</v>
      </c>
      <c r="K29" s="34">
        <f t="shared" si="0"/>
        <v>2310867</v>
      </c>
      <c r="L29" s="158">
        <f>+IF($A29="",IF($C29="",SUMIFS(全伝票!O:O,全伝票!$B:$B,$B29),SUMIFS(全伝票!O:O,全伝票!$C:$C,$C29)),IF($C29="",SUMIFS(全伝票!O:O,全伝票!$A:$A,$A29,全伝票!$B:$B,$B29),SUMIFS(全伝票!O:O,全伝票!$A:$A,$A29,全伝票!$C:$C,$C29)))</f>
        <v>0</v>
      </c>
      <c r="M29" s="158">
        <f>+IF($A29="",IF($C29="",SUMIFS(全伝票!P:P,全伝票!$B:$B,$B29),SUMIFS(全伝票!P:P,全伝票!$C:$C,$C29)),IF($C29="",SUMIFS(全伝票!P:P,全伝票!$A:$A,$A29,全伝票!$B:$B,$B29),SUMIFS(全伝票!P:P,全伝票!$A:$A,$A29,全伝票!$C:$C,$C29)))</f>
        <v>105460</v>
      </c>
      <c r="N29" s="108">
        <f t="shared" si="1"/>
        <v>0</v>
      </c>
      <c r="O29" s="25">
        <f t="shared" si="3"/>
        <v>0</v>
      </c>
      <c r="P29" s="25">
        <f t="shared" si="2"/>
        <v>0</v>
      </c>
      <c r="Q29" s="157">
        <f t="shared" si="3"/>
        <v>0</v>
      </c>
      <c r="R29" s="157">
        <f t="shared" si="4"/>
        <v>210079</v>
      </c>
      <c r="S29" s="22">
        <f t="shared" si="5"/>
        <v>210079</v>
      </c>
      <c r="T29" s="109">
        <f t="shared" si="6"/>
        <v>2206248</v>
      </c>
      <c r="U29" s="107">
        <f t="shared" si="7"/>
        <v>0</v>
      </c>
      <c r="V29" s="107">
        <f t="shared" si="8"/>
        <v>0</v>
      </c>
      <c r="W29" s="107">
        <f t="shared" si="9"/>
        <v>0</v>
      </c>
      <c r="X29" s="107">
        <f t="shared" si="9"/>
        <v>0</v>
      </c>
      <c r="Y29" s="107">
        <f t="shared" si="10"/>
        <v>0.18181818182347342</v>
      </c>
      <c r="Z29" s="106">
        <f t="shared" si="11"/>
        <v>0</v>
      </c>
      <c r="AA29" s="106">
        <f t="shared" si="12"/>
        <v>0</v>
      </c>
      <c r="AB29" s="106">
        <f t="shared" si="13"/>
        <v>0</v>
      </c>
      <c r="AC29" s="106">
        <f t="shared" si="14"/>
        <v>0</v>
      </c>
      <c r="AD29" s="106">
        <f t="shared" si="15"/>
        <v>0</v>
      </c>
    </row>
    <row r="30" spans="1:30">
      <c r="A30" s="165">
        <v>3</v>
      </c>
      <c r="B30" s="164">
        <v>8831836</v>
      </c>
      <c r="C30" s="163"/>
      <c r="D30" s="162" t="s">
        <v>868</v>
      </c>
      <c r="E30" s="158">
        <f>+IF($A30="",IF($C30="",SUMIFS(全伝票!I:I,全伝票!$B:$B,$B30),SUMIFS(全伝票!I:I,全伝票!$C:$C,$C30)),IF($C30="",SUMIFS(全伝票!I:I,全伝票!$A:$A,$A30,全伝票!$B:$B,$B30),SUMIFS(全伝票!I:I,全伝票!$A:$A,$A30,全伝票!$C:$C,$C30)))</f>
        <v>63</v>
      </c>
      <c r="F30" s="161">
        <f>+IF($A30="",IF($C30="",SUMIFS(全伝票!J:J,全伝票!$B:$B,$B30),SUMIFS(全伝票!J:J,全伝票!$C:$C,$C30)),IF($C30="",SUMIFS(全伝票!J:J,全伝票!$A:$A,$A30,全伝票!$B:$B,$B30),SUMIFS(全伝票!J:J,全伝票!$A:$A,$A30,全伝票!$C:$C,$C30)))</f>
        <v>0</v>
      </c>
      <c r="G30" s="160">
        <f>+IF($A30="",IF($C30="",SUMIFS(全伝票!K:K,全伝票!$B:$B,$B30),SUMIFS(全伝票!K:K,全伝票!$C:$C,$C30)),IF($C30="",SUMIFS(全伝票!K:K,全伝票!$A:$A,$A30,全伝票!$B:$B,$B30),SUMIFS(全伝票!K:K,全伝票!$A:$A,$A30,全伝票!$C:$C,$C30)))</f>
        <v>0</v>
      </c>
      <c r="H30" s="160">
        <f>+IF($A30="",IF($C30="",SUMIFS(全伝票!L:L,全伝票!$B:$B,$B30),SUMIFS(全伝票!L:L,全伝票!$C:$C,$C30)),IF($C30="",SUMIFS(全伝票!L:L,全伝票!$A:$A,$A30,全伝票!$B:$B,$B30),SUMIFS(全伝票!L:L,全伝票!$A:$A,$A30,全伝票!$C:$C,$C30)))</f>
        <v>0</v>
      </c>
      <c r="I30" s="159">
        <f>+IF($A30="",IF($C30="",SUMIFS(全伝票!M:M,全伝票!$B:$B,$B30),SUMIFS(全伝票!M:M,全伝票!$C:$C,$C30)),IF($C30="",SUMIFS(全伝票!M:M,全伝票!$A:$A,$A30,全伝票!$B:$B,$B30),SUMIFS(全伝票!M:M,全伝票!$A:$A,$A30,全伝票!$C:$C,$C30)))</f>
        <v>0</v>
      </c>
      <c r="J30" s="159">
        <f>+IF($A30="",IF($C30="",SUMIFS(全伝票!N:N,全伝票!$B:$B,$B30),SUMIFS(全伝票!N:N,全伝票!$C:$C,$C30)),IF($C30="",SUMIFS(全伝票!N:N,全伝票!$A:$A,$A30,全伝票!$B:$B,$B30),SUMIFS(全伝票!N:N,全伝票!$A:$A,$A30,全伝票!$C:$C,$C30)))</f>
        <v>63</v>
      </c>
      <c r="K30" s="34">
        <f t="shared" ref="K30" si="16">SUM(F30:J30)</f>
        <v>63</v>
      </c>
      <c r="L30" s="158">
        <f>+IF($A30="",IF($C30="",SUMIFS(全伝票!O:O,全伝票!$B:$B,$B30),SUMIFS(全伝票!O:O,全伝票!$C:$C,$C30)),IF($C30="",SUMIFS(全伝票!O:O,全伝票!$A:$A,$A30,全伝票!$B:$B,$B30),SUMIFS(全伝票!O:O,全伝票!$A:$A,$A30,全伝票!$C:$C,$C30)))</f>
        <v>0</v>
      </c>
      <c r="M30" s="158">
        <f>+IF($A30="",IF($C30="",SUMIFS(全伝票!P:P,全伝票!$B:$B,$B30),SUMIFS(全伝票!P:P,全伝票!$C:$C,$C30)),IF($C30="",SUMIFS(全伝票!P:P,全伝票!$A:$A,$A30,全伝票!$B:$B,$B30),SUMIFS(全伝票!P:P,全伝票!$A:$A,$A30,全伝票!$C:$C,$C30)))</f>
        <v>0</v>
      </c>
      <c r="N30" s="108">
        <f t="shared" ref="N30" si="17">+ROUND(F30*F$4/(100+F$4),0)+AE30</f>
        <v>0</v>
      </c>
      <c r="O30" s="25">
        <f t="shared" ref="O30" si="18">+ROUND(G30*G$4/(100+G$4),0)+AF30</f>
        <v>0</v>
      </c>
      <c r="P30" s="25">
        <f t="shared" ref="P30" si="19">+ROUND(H30*H$4/(100+H$4),0)+AG30</f>
        <v>0</v>
      </c>
      <c r="Q30" s="157">
        <f t="shared" ref="Q30" si="20">+ROUND(I30*I$4/(100+I$4),0)+AH30</f>
        <v>0</v>
      </c>
      <c r="R30" s="157">
        <f t="shared" ref="R30" si="21">+ROUND(J30*J$4/(100+J$4),0)+AI30</f>
        <v>6</v>
      </c>
      <c r="S30" s="22">
        <f t="shared" ref="S30" si="22">SUM(N30:R30)</f>
        <v>6</v>
      </c>
      <c r="T30" s="109">
        <f t="shared" ref="T30" si="23">+E30-S30</f>
        <v>57</v>
      </c>
      <c r="U30" s="107">
        <f t="shared" ref="U30" si="24">N30-F30*F$4/(100+F$4)</f>
        <v>0</v>
      </c>
      <c r="V30" s="107">
        <f t="shared" ref="V30" si="25">O30-G30*G$4/(100+G$4)</f>
        <v>0</v>
      </c>
      <c r="W30" s="107">
        <f t="shared" ref="W30" si="26">P30-H30*H$4/(100+H$4)</f>
        <v>0</v>
      </c>
      <c r="X30" s="107">
        <f t="shared" ref="X30" si="27">Q30-I30*I$4/(100+I$4)</f>
        <v>0</v>
      </c>
      <c r="Y30" s="107">
        <f t="shared" ref="Y30" si="28">R30-J30*J$4/(100+J$4)</f>
        <v>0.27272727272727249</v>
      </c>
      <c r="Z30" s="106">
        <f t="shared" si="11"/>
        <v>0</v>
      </c>
      <c r="AA30" s="106">
        <f t="shared" si="12"/>
        <v>0</v>
      </c>
      <c r="AB30" s="106">
        <f t="shared" si="13"/>
        <v>0</v>
      </c>
      <c r="AC30" s="106">
        <f t="shared" si="14"/>
        <v>0</v>
      </c>
      <c r="AD30" s="106">
        <f t="shared" si="15"/>
        <v>0</v>
      </c>
    </row>
    <row r="31" spans="1:30">
      <c r="A31" s="165">
        <v>3</v>
      </c>
      <c r="B31" s="164" t="s">
        <v>419</v>
      </c>
      <c r="C31" s="163"/>
      <c r="D31" s="162" t="s">
        <v>60</v>
      </c>
      <c r="E31" s="158">
        <f>+IF($A31="",IF($C31="",SUMIFS(全伝票!I:I,全伝票!$B:$B,$B31),SUMIFS(全伝票!I:I,全伝票!$C:$C,$C31)),IF($C31="",SUMIFS(全伝票!I:I,全伝票!$A:$A,$A31,全伝票!$B:$B,$B31),SUMIFS(全伝票!I:I,全伝票!$A:$A,$A31,全伝票!$C:$C,$C31)))</f>
        <v>0</v>
      </c>
      <c r="F31" s="161">
        <f>+IF($A31="",IF($C31="",SUMIFS(全伝票!J:J,全伝票!$B:$B,$B31),SUMIFS(全伝票!J:J,全伝票!$C:$C,$C31)),IF($C31="",SUMIFS(全伝票!J:J,全伝票!$A:$A,$A31,全伝票!$B:$B,$B31),SUMIFS(全伝票!J:J,全伝票!$A:$A,$A31,全伝票!$C:$C,$C31)))</f>
        <v>0</v>
      </c>
      <c r="G31" s="160">
        <f>+IF($A31="",IF($C31="",SUMIFS(全伝票!K:K,全伝票!$B:$B,$B31),SUMIFS(全伝票!K:K,全伝票!$C:$C,$C31)),IF($C31="",SUMIFS(全伝票!K:K,全伝票!$A:$A,$A31,全伝票!$B:$B,$B31),SUMIFS(全伝票!K:K,全伝票!$A:$A,$A31,全伝票!$C:$C,$C31)))</f>
        <v>0</v>
      </c>
      <c r="H31" s="160">
        <f>+IF($A31="",IF($C31="",SUMIFS(全伝票!L:L,全伝票!$B:$B,$B31),SUMIFS(全伝票!L:L,全伝票!$C:$C,$C31)),IF($C31="",SUMIFS(全伝票!L:L,全伝票!$A:$A,$A31,全伝票!$B:$B,$B31),SUMIFS(全伝票!L:L,全伝票!$A:$A,$A31,全伝票!$C:$C,$C31)))</f>
        <v>0</v>
      </c>
      <c r="I31" s="159">
        <f>+IF($A31="",IF($C31="",SUMIFS(全伝票!M:M,全伝票!$B:$B,$B31),SUMIFS(全伝票!M:M,全伝票!$C:$C,$C31)),IF($C31="",SUMIFS(全伝票!M:M,全伝票!$A:$A,$A31,全伝票!$B:$B,$B31),SUMIFS(全伝票!M:M,全伝票!$A:$A,$A31,全伝票!$C:$C,$C31)))</f>
        <v>0</v>
      </c>
      <c r="J31" s="159">
        <f>+IF($A31="",IF($C31="",SUMIFS(全伝票!N:N,全伝票!$B:$B,$B31),SUMIFS(全伝票!N:N,全伝票!$C:$C,$C31)),IF($C31="",SUMIFS(全伝票!N:N,全伝票!$A:$A,$A31,全伝票!$B:$B,$B31),SUMIFS(全伝票!N:N,全伝票!$A:$A,$A31,全伝票!$C:$C,$C31)))</f>
        <v>0</v>
      </c>
      <c r="K31" s="34">
        <f t="shared" si="0"/>
        <v>0</v>
      </c>
      <c r="L31" s="158">
        <f>+IF($A31="",IF($C31="",SUMIFS(全伝票!O:O,全伝票!$B:$B,$B31),SUMIFS(全伝票!O:O,全伝票!$C:$C,$C31)),IF($C31="",SUMIFS(全伝票!O:O,全伝票!$A:$A,$A31,全伝票!$B:$B,$B31),SUMIFS(全伝票!O:O,全伝票!$A:$A,$A31,全伝票!$C:$C,$C31)))</f>
        <v>0</v>
      </c>
      <c r="M31" s="158">
        <f>+IF($A31="",IF($C31="",SUMIFS(全伝票!P:P,全伝票!$B:$B,$B31),SUMIFS(全伝票!P:P,全伝票!$C:$C,$C31)),IF($C31="",SUMIFS(全伝票!P:P,全伝票!$A:$A,$A31,全伝票!$B:$B,$B31),SUMIFS(全伝票!P:P,全伝票!$A:$A,$A31,全伝票!$C:$C,$C31)))</f>
        <v>0</v>
      </c>
      <c r="N31" s="108">
        <f t="shared" si="1"/>
        <v>0</v>
      </c>
      <c r="O31" s="25">
        <f t="shared" si="3"/>
        <v>0</v>
      </c>
      <c r="P31" s="25">
        <f t="shared" si="2"/>
        <v>0</v>
      </c>
      <c r="Q31" s="157">
        <f t="shared" si="3"/>
        <v>0</v>
      </c>
      <c r="R31" s="157">
        <f t="shared" si="4"/>
        <v>0</v>
      </c>
      <c r="S31" s="22">
        <f t="shared" si="5"/>
        <v>0</v>
      </c>
      <c r="T31" s="109">
        <f t="shared" si="6"/>
        <v>0</v>
      </c>
      <c r="U31" s="107">
        <f t="shared" si="7"/>
        <v>0</v>
      </c>
      <c r="V31" s="107">
        <f t="shared" si="8"/>
        <v>0</v>
      </c>
      <c r="W31" s="107">
        <f t="shared" si="9"/>
        <v>0</v>
      </c>
      <c r="X31" s="107">
        <f t="shared" si="9"/>
        <v>0</v>
      </c>
      <c r="Y31" s="107">
        <f t="shared" si="10"/>
        <v>0</v>
      </c>
      <c r="Z31" s="106">
        <f t="shared" si="11"/>
        <v>0</v>
      </c>
      <c r="AA31" s="106">
        <f t="shared" si="12"/>
        <v>0</v>
      </c>
      <c r="AB31" s="106">
        <f t="shared" si="13"/>
        <v>0</v>
      </c>
      <c r="AC31" s="106">
        <f t="shared" si="14"/>
        <v>0</v>
      </c>
      <c r="AD31" s="106">
        <f t="shared" si="15"/>
        <v>0</v>
      </c>
    </row>
    <row r="32" spans="1:30">
      <c r="A32" s="165">
        <v>3</v>
      </c>
      <c r="B32" s="164" t="s">
        <v>418</v>
      </c>
      <c r="C32" s="163"/>
      <c r="D32" s="162" t="s">
        <v>58</v>
      </c>
      <c r="E32" s="158">
        <f>+IF($A32="",IF($C32="",SUMIFS(全伝票!I:I,全伝票!$B:$B,$B32),SUMIFS(全伝票!I:I,全伝票!$C:$C,$C32)),IF($C32="",SUMIFS(全伝票!I:I,全伝票!$A:$A,$A32,全伝票!$B:$B,$B32),SUMIFS(全伝票!I:I,全伝票!$A:$A,$A32,全伝票!$C:$C,$C32)))</f>
        <v>169338</v>
      </c>
      <c r="F32" s="161">
        <f>+IF($A32="",IF($C32="",SUMIFS(全伝票!J:J,全伝票!$B:$B,$B32),SUMIFS(全伝票!J:J,全伝票!$C:$C,$C32)),IF($C32="",SUMIFS(全伝票!J:J,全伝票!$A:$A,$A32,全伝票!$B:$B,$B32),SUMIFS(全伝票!J:J,全伝票!$A:$A,$A32,全伝票!$C:$C,$C32)))</f>
        <v>0</v>
      </c>
      <c r="G32" s="160">
        <f>+IF($A32="",IF($C32="",SUMIFS(全伝票!K:K,全伝票!$B:$B,$B32),SUMIFS(全伝票!K:K,全伝票!$C:$C,$C32)),IF($C32="",SUMIFS(全伝票!K:K,全伝票!$A:$A,$A32,全伝票!$B:$B,$B32),SUMIFS(全伝票!K:K,全伝票!$A:$A,$A32,全伝票!$C:$C,$C32)))</f>
        <v>0</v>
      </c>
      <c r="H32" s="160">
        <f>+IF($A32="",IF($C32="",SUMIFS(全伝票!L:L,全伝票!$B:$B,$B32),SUMIFS(全伝票!L:L,全伝票!$C:$C,$C32)),IF($C32="",SUMIFS(全伝票!L:L,全伝票!$A:$A,$A32,全伝票!$B:$B,$B32),SUMIFS(全伝票!L:L,全伝票!$A:$A,$A32,全伝票!$C:$C,$C32)))</f>
        <v>0</v>
      </c>
      <c r="I32" s="159">
        <f>+IF($A32="",IF($C32="",SUMIFS(全伝票!M:M,全伝票!$B:$B,$B32),SUMIFS(全伝票!M:M,全伝票!$C:$C,$C32)),IF($C32="",SUMIFS(全伝票!M:M,全伝票!$A:$A,$A32,全伝票!$B:$B,$B32),SUMIFS(全伝票!M:M,全伝票!$A:$A,$A32,全伝票!$C:$C,$C32)))</f>
        <v>0</v>
      </c>
      <c r="J32" s="159">
        <f>+IF($A32="",IF($C32="",SUMIFS(全伝票!N:N,全伝票!$B:$B,$B32),SUMIFS(全伝票!N:N,全伝票!$C:$C,$C32)),IF($C32="",SUMIFS(全伝票!N:N,全伝票!$A:$A,$A32,全伝票!$B:$B,$B32),SUMIFS(全伝票!N:N,全伝票!$A:$A,$A32,全伝票!$C:$C,$C32)))</f>
        <v>0</v>
      </c>
      <c r="K32" s="34">
        <f t="shared" si="0"/>
        <v>0</v>
      </c>
      <c r="L32" s="158">
        <f>+IF($A32="",IF($C32="",SUMIFS(全伝票!O:O,全伝票!$B:$B,$B32),SUMIFS(全伝票!O:O,全伝票!$C:$C,$C32)),IF($C32="",SUMIFS(全伝票!O:O,全伝票!$A:$A,$A32,全伝票!$B:$B,$B32),SUMIFS(全伝票!O:O,全伝票!$A:$A,$A32,全伝票!$C:$C,$C32)))</f>
        <v>169338</v>
      </c>
      <c r="M32" s="158">
        <f>+IF($A32="",IF($C32="",SUMIFS(全伝票!P:P,全伝票!$B:$B,$B32),SUMIFS(全伝票!P:P,全伝票!$C:$C,$C32)),IF($C32="",SUMIFS(全伝票!P:P,全伝票!$A:$A,$A32,全伝票!$B:$B,$B32),SUMIFS(全伝票!P:P,全伝票!$A:$A,$A32,全伝票!$C:$C,$C32)))</f>
        <v>0</v>
      </c>
      <c r="N32" s="108">
        <f t="shared" si="1"/>
        <v>0</v>
      </c>
      <c r="O32" s="25">
        <f t="shared" si="3"/>
        <v>0</v>
      </c>
      <c r="P32" s="25">
        <f t="shared" si="2"/>
        <v>0</v>
      </c>
      <c r="Q32" s="157">
        <f t="shared" si="3"/>
        <v>0</v>
      </c>
      <c r="R32" s="157">
        <f t="shared" si="4"/>
        <v>0</v>
      </c>
      <c r="S32" s="22">
        <f t="shared" si="5"/>
        <v>0</v>
      </c>
      <c r="T32" s="109">
        <f t="shared" si="6"/>
        <v>169338</v>
      </c>
      <c r="U32" s="107">
        <f t="shared" si="7"/>
        <v>0</v>
      </c>
      <c r="V32" s="107">
        <f t="shared" si="8"/>
        <v>0</v>
      </c>
      <c r="W32" s="107">
        <f t="shared" si="9"/>
        <v>0</v>
      </c>
      <c r="X32" s="107">
        <f t="shared" si="9"/>
        <v>0</v>
      </c>
      <c r="Y32" s="107">
        <f t="shared" si="10"/>
        <v>0</v>
      </c>
      <c r="Z32" s="106">
        <f t="shared" si="11"/>
        <v>0</v>
      </c>
      <c r="AA32" s="106">
        <f t="shared" si="12"/>
        <v>0</v>
      </c>
      <c r="AB32" s="106">
        <f t="shared" si="13"/>
        <v>0</v>
      </c>
      <c r="AC32" s="106">
        <f t="shared" si="14"/>
        <v>0</v>
      </c>
      <c r="AD32" s="106">
        <f t="shared" si="15"/>
        <v>0</v>
      </c>
    </row>
    <row r="33" spans="1:30">
      <c r="A33" s="165">
        <v>3</v>
      </c>
      <c r="B33" s="164" t="s">
        <v>417</v>
      </c>
      <c r="C33" s="163"/>
      <c r="D33" s="162" t="s">
        <v>56</v>
      </c>
      <c r="E33" s="158">
        <f>+IF($A33="",IF($C33="",SUMIFS(全伝票!I:I,全伝票!$B:$B,$B33),SUMIFS(全伝票!I:I,全伝票!$C:$C,$C33)),IF($C33="",SUMIFS(全伝票!I:I,全伝票!$A:$A,$A33,全伝票!$B:$B,$B33),SUMIFS(全伝票!I:I,全伝票!$A:$A,$A33,全伝票!$C:$C,$C33)))</f>
        <v>139</v>
      </c>
      <c r="F33" s="161">
        <f>+IF($A33="",IF($C33="",SUMIFS(全伝票!J:J,全伝票!$B:$B,$B33),SUMIFS(全伝票!J:J,全伝票!$C:$C,$C33)),IF($C33="",SUMIFS(全伝票!J:J,全伝票!$A:$A,$A33,全伝票!$B:$B,$B33),SUMIFS(全伝票!J:J,全伝票!$A:$A,$A33,全伝票!$C:$C,$C33)))</f>
        <v>0</v>
      </c>
      <c r="G33" s="160">
        <f>+IF($A33="",IF($C33="",SUMIFS(全伝票!K:K,全伝票!$B:$B,$B33),SUMIFS(全伝票!K:K,全伝票!$C:$C,$C33)),IF($C33="",SUMIFS(全伝票!K:K,全伝票!$A:$A,$A33,全伝票!$B:$B,$B33),SUMIFS(全伝票!K:K,全伝票!$A:$A,$A33,全伝票!$C:$C,$C33)))</f>
        <v>0</v>
      </c>
      <c r="H33" s="160">
        <f>+IF($A33="",IF($C33="",SUMIFS(全伝票!L:L,全伝票!$B:$B,$B33),SUMIFS(全伝票!L:L,全伝票!$C:$C,$C33)),IF($C33="",SUMIFS(全伝票!L:L,全伝票!$A:$A,$A33,全伝票!$B:$B,$B33),SUMIFS(全伝票!L:L,全伝票!$A:$A,$A33,全伝票!$C:$C,$C33)))</f>
        <v>0</v>
      </c>
      <c r="I33" s="159">
        <f>+IF($A33="",IF($C33="",SUMIFS(全伝票!M:M,全伝票!$B:$B,$B33),SUMIFS(全伝票!M:M,全伝票!$C:$C,$C33)),IF($C33="",SUMIFS(全伝票!M:M,全伝票!$A:$A,$A33,全伝票!$B:$B,$B33),SUMIFS(全伝票!M:M,全伝票!$A:$A,$A33,全伝票!$C:$C,$C33)))</f>
        <v>0</v>
      </c>
      <c r="J33" s="159">
        <f>+IF($A33="",IF($C33="",SUMIFS(全伝票!N:N,全伝票!$B:$B,$B33),SUMIFS(全伝票!N:N,全伝票!$C:$C,$C33)),IF($C33="",SUMIFS(全伝票!N:N,全伝票!$A:$A,$A33,全伝票!$B:$B,$B33),SUMIFS(全伝票!N:N,全伝票!$A:$A,$A33,全伝票!$C:$C,$C33)))</f>
        <v>0</v>
      </c>
      <c r="K33" s="34">
        <f t="shared" si="0"/>
        <v>0</v>
      </c>
      <c r="L33" s="158">
        <f>+IF($A33="",IF($C33="",SUMIFS(全伝票!O:O,全伝票!$B:$B,$B33),SUMIFS(全伝票!O:O,全伝票!$C:$C,$C33)),IF($C33="",SUMIFS(全伝票!O:O,全伝票!$A:$A,$A33,全伝票!$B:$B,$B33),SUMIFS(全伝票!O:O,全伝票!$A:$A,$A33,全伝票!$C:$C,$C33)))</f>
        <v>0</v>
      </c>
      <c r="M33" s="158">
        <f>+IF($A33="",IF($C33="",SUMIFS(全伝票!P:P,全伝票!$B:$B,$B33),SUMIFS(全伝票!P:P,全伝票!$C:$C,$C33)),IF($C33="",SUMIFS(全伝票!P:P,全伝票!$A:$A,$A33,全伝票!$B:$B,$B33),SUMIFS(全伝票!P:P,全伝票!$A:$A,$A33,全伝票!$C:$C,$C33)))</f>
        <v>139</v>
      </c>
      <c r="N33" s="108">
        <f t="shared" si="1"/>
        <v>0</v>
      </c>
      <c r="O33" s="25">
        <f t="shared" si="3"/>
        <v>0</v>
      </c>
      <c r="P33" s="25">
        <f t="shared" si="2"/>
        <v>0</v>
      </c>
      <c r="Q33" s="157">
        <f t="shared" si="3"/>
        <v>0</v>
      </c>
      <c r="R33" s="157">
        <f t="shared" si="4"/>
        <v>0</v>
      </c>
      <c r="S33" s="22">
        <f t="shared" si="5"/>
        <v>0</v>
      </c>
      <c r="T33" s="109">
        <f t="shared" si="6"/>
        <v>139</v>
      </c>
      <c r="U33" s="107">
        <f t="shared" si="7"/>
        <v>0</v>
      </c>
      <c r="V33" s="107">
        <f t="shared" si="8"/>
        <v>0</v>
      </c>
      <c r="W33" s="107">
        <f t="shared" si="9"/>
        <v>0</v>
      </c>
      <c r="X33" s="107">
        <f t="shared" si="9"/>
        <v>0</v>
      </c>
      <c r="Y33" s="107">
        <f t="shared" si="10"/>
        <v>0</v>
      </c>
      <c r="Z33" s="106">
        <f t="shared" si="11"/>
        <v>0</v>
      </c>
      <c r="AA33" s="106">
        <f t="shared" si="12"/>
        <v>0</v>
      </c>
      <c r="AB33" s="106">
        <f t="shared" si="13"/>
        <v>0</v>
      </c>
      <c r="AC33" s="106">
        <f t="shared" si="14"/>
        <v>0</v>
      </c>
      <c r="AD33" s="106">
        <f t="shared" si="15"/>
        <v>0</v>
      </c>
    </row>
    <row r="34" spans="1:30">
      <c r="A34" s="165">
        <v>3</v>
      </c>
      <c r="B34" s="164" t="s">
        <v>438</v>
      </c>
      <c r="C34" s="163">
        <v>883181003</v>
      </c>
      <c r="D34" s="162" t="s">
        <v>609</v>
      </c>
      <c r="E34" s="158">
        <f>+IF($A34="",IF($C34="",SUMIFS(全伝票!I:I,全伝票!$B:$B,$B34),SUMIFS(全伝票!I:I,全伝票!$C:$C,$C34)),IF($C34="",SUMIFS(全伝票!I:I,全伝票!$A:$A,$A34,全伝票!$B:$B,$B34),SUMIFS(全伝票!I:I,全伝票!$A:$A,$A34,全伝票!$C:$C,$C34)))</f>
        <v>0</v>
      </c>
      <c r="F34" s="161">
        <f>+IF($A34="",IF($C34="",SUMIFS(全伝票!J:J,全伝票!$B:$B,$B34),SUMIFS(全伝票!J:J,全伝票!$C:$C,$C34)),IF($C34="",SUMIFS(全伝票!J:J,全伝票!$A:$A,$A34,全伝票!$B:$B,$B34),SUMIFS(全伝票!J:J,全伝票!$A:$A,$A34,全伝票!$C:$C,$C34)))</f>
        <v>0</v>
      </c>
      <c r="G34" s="160">
        <f>+IF($A34="",IF($C34="",SUMIFS(全伝票!K:K,全伝票!$B:$B,$B34),SUMIFS(全伝票!K:K,全伝票!$C:$C,$C34)),IF($C34="",SUMIFS(全伝票!K:K,全伝票!$A:$A,$A34,全伝票!$B:$B,$B34),SUMIFS(全伝票!K:K,全伝票!$A:$A,$A34,全伝票!$C:$C,$C34)))</f>
        <v>0</v>
      </c>
      <c r="H34" s="160">
        <f>+IF($A34="",IF($C34="",SUMIFS(全伝票!L:L,全伝票!$B:$B,$B34),SUMIFS(全伝票!L:L,全伝票!$C:$C,$C34)),IF($C34="",SUMIFS(全伝票!L:L,全伝票!$A:$A,$A34,全伝票!$B:$B,$B34),SUMIFS(全伝票!L:L,全伝票!$A:$A,$A34,全伝票!$C:$C,$C34)))</f>
        <v>0</v>
      </c>
      <c r="I34" s="159">
        <f>+IF($A34="",IF($C34="",SUMIFS(全伝票!M:M,全伝票!$B:$B,$B34),SUMIFS(全伝票!M:M,全伝票!$C:$C,$C34)),IF($C34="",SUMIFS(全伝票!M:M,全伝票!$A:$A,$A34,全伝票!$B:$B,$B34),SUMIFS(全伝票!M:M,全伝票!$A:$A,$A34,全伝票!$C:$C,$C34)))</f>
        <v>0</v>
      </c>
      <c r="J34" s="159">
        <f>+IF($A34="",IF($C34="",SUMIFS(全伝票!N:N,全伝票!$B:$B,$B34),SUMIFS(全伝票!N:N,全伝票!$C:$C,$C34)),IF($C34="",SUMIFS(全伝票!N:N,全伝票!$A:$A,$A34,全伝票!$B:$B,$B34),SUMIFS(全伝票!N:N,全伝票!$A:$A,$A34,全伝票!$C:$C,$C34)))</f>
        <v>0</v>
      </c>
      <c r="K34" s="34">
        <f t="shared" si="0"/>
        <v>0</v>
      </c>
      <c r="L34" s="158">
        <f>+IF($A34="",IF($C34="",SUMIFS(全伝票!O:O,全伝票!$B:$B,$B34),SUMIFS(全伝票!O:O,全伝票!$C:$C,$C34)),IF($C34="",SUMIFS(全伝票!O:O,全伝票!$A:$A,$A34,全伝票!$B:$B,$B34),SUMIFS(全伝票!O:O,全伝票!$A:$A,$A34,全伝票!$C:$C,$C34)))</f>
        <v>0</v>
      </c>
      <c r="M34" s="158">
        <f>+IF($A34="",IF($C34="",SUMIFS(全伝票!P:P,全伝票!$B:$B,$B34),SUMIFS(全伝票!P:P,全伝票!$C:$C,$C34)),IF($C34="",SUMIFS(全伝票!P:P,全伝票!$A:$A,$A34,全伝票!$B:$B,$B34),SUMIFS(全伝票!P:P,全伝票!$A:$A,$A34,全伝票!$C:$C,$C34)))</f>
        <v>0</v>
      </c>
      <c r="N34" s="108">
        <f t="shared" si="1"/>
        <v>0</v>
      </c>
      <c r="O34" s="25">
        <f t="shared" si="3"/>
        <v>0</v>
      </c>
      <c r="P34" s="25">
        <f t="shared" si="2"/>
        <v>0</v>
      </c>
      <c r="Q34" s="157">
        <f t="shared" si="3"/>
        <v>0</v>
      </c>
      <c r="R34" s="157">
        <f t="shared" si="4"/>
        <v>0</v>
      </c>
      <c r="S34" s="22">
        <f t="shared" si="5"/>
        <v>0</v>
      </c>
      <c r="T34" s="109">
        <f t="shared" si="6"/>
        <v>0</v>
      </c>
      <c r="U34" s="107">
        <f t="shared" si="7"/>
        <v>0</v>
      </c>
      <c r="V34" s="107">
        <f t="shared" si="8"/>
        <v>0</v>
      </c>
      <c r="W34" s="107">
        <f t="shared" si="9"/>
        <v>0</v>
      </c>
      <c r="X34" s="107">
        <f t="shared" si="9"/>
        <v>0</v>
      </c>
      <c r="Y34" s="107">
        <f t="shared" si="10"/>
        <v>0</v>
      </c>
      <c r="Z34" s="106">
        <f t="shared" si="11"/>
        <v>0</v>
      </c>
      <c r="AA34" s="106">
        <f t="shared" si="12"/>
        <v>0</v>
      </c>
      <c r="AB34" s="106">
        <f t="shared" si="13"/>
        <v>0</v>
      </c>
      <c r="AC34" s="106">
        <f t="shared" si="14"/>
        <v>0</v>
      </c>
      <c r="AD34" s="106">
        <f t="shared" si="15"/>
        <v>0</v>
      </c>
    </row>
    <row r="35" spans="1:30">
      <c r="A35" s="165">
        <v>3</v>
      </c>
      <c r="B35" s="164" t="s">
        <v>415</v>
      </c>
      <c r="C35" s="163"/>
      <c r="D35" s="162" t="s">
        <v>53</v>
      </c>
      <c r="E35" s="158">
        <f>+IF($A35="",IF($C35="",SUMIFS(全伝票!I:I,全伝票!$B:$B,$B35),SUMIFS(全伝票!I:I,全伝票!$C:$C,$C35)),IF($C35="",SUMIFS(全伝票!I:I,全伝票!$A:$A,$A35,全伝票!$B:$B,$B35),SUMIFS(全伝票!I:I,全伝票!$A:$A,$A35,全伝票!$C:$C,$C35)))</f>
        <v>0</v>
      </c>
      <c r="F35" s="161">
        <f>+IF($A35="",IF($C35="",SUMIFS(全伝票!J:J,全伝票!$B:$B,$B35),SUMIFS(全伝票!J:J,全伝票!$C:$C,$C35)),IF($C35="",SUMIFS(全伝票!J:J,全伝票!$A:$A,$A35,全伝票!$B:$B,$B35),SUMIFS(全伝票!J:J,全伝票!$A:$A,$A35,全伝票!$C:$C,$C35)))</f>
        <v>0</v>
      </c>
      <c r="G35" s="160">
        <f>+IF($A35="",IF($C35="",SUMIFS(全伝票!K:K,全伝票!$B:$B,$B35),SUMIFS(全伝票!K:K,全伝票!$C:$C,$C35)),IF($C35="",SUMIFS(全伝票!K:K,全伝票!$A:$A,$A35,全伝票!$B:$B,$B35),SUMIFS(全伝票!K:K,全伝票!$A:$A,$A35,全伝票!$C:$C,$C35)))</f>
        <v>0</v>
      </c>
      <c r="H35" s="160">
        <f>+IF($A35="",IF($C35="",SUMIFS(全伝票!L:L,全伝票!$B:$B,$B35),SUMIFS(全伝票!L:L,全伝票!$C:$C,$C35)),IF($C35="",SUMIFS(全伝票!L:L,全伝票!$A:$A,$A35,全伝票!$B:$B,$B35),SUMIFS(全伝票!L:L,全伝票!$A:$A,$A35,全伝票!$C:$C,$C35)))</f>
        <v>0</v>
      </c>
      <c r="I35" s="159">
        <f>+IF($A35="",IF($C35="",SUMIFS(全伝票!M:M,全伝票!$B:$B,$B35),SUMIFS(全伝票!M:M,全伝票!$C:$C,$C35)),IF($C35="",SUMIFS(全伝票!M:M,全伝票!$A:$A,$A35,全伝票!$B:$B,$B35),SUMIFS(全伝票!M:M,全伝票!$A:$A,$A35,全伝票!$C:$C,$C35)))</f>
        <v>0</v>
      </c>
      <c r="J35" s="159">
        <f>+IF($A35="",IF($C35="",SUMIFS(全伝票!N:N,全伝票!$B:$B,$B35),SUMIFS(全伝票!N:N,全伝票!$C:$C,$C35)),IF($C35="",SUMIFS(全伝票!N:N,全伝票!$A:$A,$A35,全伝票!$B:$B,$B35),SUMIFS(全伝票!N:N,全伝票!$A:$A,$A35,全伝票!$C:$C,$C35)))</f>
        <v>0</v>
      </c>
      <c r="K35" s="34">
        <f t="shared" si="0"/>
        <v>0</v>
      </c>
      <c r="L35" s="158">
        <f>+IF($A35="",IF($C35="",SUMIFS(全伝票!O:O,全伝票!$B:$B,$B35),SUMIFS(全伝票!O:O,全伝票!$C:$C,$C35)),IF($C35="",SUMIFS(全伝票!O:O,全伝票!$A:$A,$A35,全伝票!$B:$B,$B35),SUMIFS(全伝票!O:O,全伝票!$A:$A,$A35,全伝票!$C:$C,$C35)))</f>
        <v>0</v>
      </c>
      <c r="M35" s="158">
        <f>+IF($A35="",IF($C35="",SUMIFS(全伝票!P:P,全伝票!$B:$B,$B35),SUMIFS(全伝票!P:P,全伝票!$C:$C,$C35)),IF($C35="",SUMIFS(全伝票!P:P,全伝票!$A:$A,$A35,全伝票!$B:$B,$B35),SUMIFS(全伝票!P:P,全伝票!$A:$A,$A35,全伝票!$C:$C,$C35)))</f>
        <v>0</v>
      </c>
      <c r="N35" s="108">
        <f t="shared" si="1"/>
        <v>0</v>
      </c>
      <c r="O35" s="25">
        <f t="shared" si="3"/>
        <v>0</v>
      </c>
      <c r="P35" s="25">
        <f t="shared" si="2"/>
        <v>0</v>
      </c>
      <c r="Q35" s="157">
        <f t="shared" si="3"/>
        <v>0</v>
      </c>
      <c r="R35" s="157">
        <f t="shared" si="4"/>
        <v>0</v>
      </c>
      <c r="S35" s="22">
        <f t="shared" si="5"/>
        <v>0</v>
      </c>
      <c r="T35" s="109">
        <f t="shared" si="6"/>
        <v>0</v>
      </c>
      <c r="U35" s="107">
        <f t="shared" si="7"/>
        <v>0</v>
      </c>
      <c r="V35" s="107">
        <f t="shared" si="8"/>
        <v>0</v>
      </c>
      <c r="W35" s="107">
        <f t="shared" si="9"/>
        <v>0</v>
      </c>
      <c r="X35" s="107">
        <f t="shared" si="9"/>
        <v>0</v>
      </c>
      <c r="Y35" s="107">
        <f t="shared" si="10"/>
        <v>0</v>
      </c>
      <c r="Z35" s="106">
        <f t="shared" si="11"/>
        <v>0</v>
      </c>
      <c r="AA35" s="106">
        <f t="shared" si="12"/>
        <v>0</v>
      </c>
      <c r="AB35" s="106">
        <f t="shared" si="13"/>
        <v>0</v>
      </c>
      <c r="AC35" s="106">
        <f t="shared" si="14"/>
        <v>0</v>
      </c>
      <c r="AD35" s="106">
        <f t="shared" si="15"/>
        <v>0</v>
      </c>
    </row>
    <row r="36" spans="1:30" ht="14.25" thickBot="1">
      <c r="A36" s="165">
        <v>3</v>
      </c>
      <c r="B36" s="164" t="s">
        <v>414</v>
      </c>
      <c r="C36" s="163"/>
      <c r="D36" s="162" t="s">
        <v>51</v>
      </c>
      <c r="E36" s="158">
        <f>+IF($A36="",IF($C36="",SUMIFS(全伝票!I:I,全伝票!$B:$B,$B36),SUMIFS(全伝票!I:I,全伝票!$C:$C,$C36)),IF($C36="",SUMIFS(全伝票!I:I,全伝票!$A:$A,$A36,全伝票!$B:$B,$B36),SUMIFS(全伝票!I:I,全伝票!$A:$A,$A36,全伝票!$C:$C,$C36)))</f>
        <v>16000</v>
      </c>
      <c r="F36" s="161">
        <f>+IF($A36="",IF($C36="",SUMIFS(全伝票!J:J,全伝票!$B:$B,$B36),SUMIFS(全伝票!J:J,全伝票!$C:$C,$C36)),IF($C36="",SUMIFS(全伝票!J:J,全伝票!$A:$A,$A36,全伝票!$B:$B,$B36),SUMIFS(全伝票!J:J,全伝票!$A:$A,$A36,全伝票!$C:$C,$C36)))</f>
        <v>0</v>
      </c>
      <c r="G36" s="160">
        <f>+IF($A36="",IF($C36="",SUMIFS(全伝票!K:K,全伝票!$B:$B,$B36),SUMIFS(全伝票!K:K,全伝票!$C:$C,$C36)),IF($C36="",SUMIFS(全伝票!K:K,全伝票!$A:$A,$A36,全伝票!$B:$B,$B36),SUMIFS(全伝票!K:K,全伝票!$A:$A,$A36,全伝票!$C:$C,$C36)))</f>
        <v>0</v>
      </c>
      <c r="H36" s="160">
        <f>+IF($A36="",IF($C36="",SUMIFS(全伝票!L:L,全伝票!$B:$B,$B36),SUMIFS(全伝票!L:L,全伝票!$C:$C,$C36)),IF($C36="",SUMIFS(全伝票!L:L,全伝票!$A:$A,$A36,全伝票!$B:$B,$B36),SUMIFS(全伝票!L:L,全伝票!$A:$A,$A36,全伝票!$C:$C,$C36)))</f>
        <v>0</v>
      </c>
      <c r="I36" s="159">
        <f>+IF($A36="",IF($C36="",SUMIFS(全伝票!M:M,全伝票!$B:$B,$B36),SUMIFS(全伝票!M:M,全伝票!$C:$C,$C36)),IF($C36="",SUMIFS(全伝票!M:M,全伝票!$A:$A,$A36,全伝票!$B:$B,$B36),SUMIFS(全伝票!M:M,全伝票!$A:$A,$A36,全伝票!$C:$C,$C36)))</f>
        <v>0</v>
      </c>
      <c r="J36" s="159">
        <f>+IF($A36="",IF($C36="",SUMIFS(全伝票!N:N,全伝票!$B:$B,$B36),SUMIFS(全伝票!N:N,全伝票!$C:$C,$C36)),IF($C36="",SUMIFS(全伝票!N:N,全伝票!$A:$A,$A36,全伝票!$B:$B,$B36),SUMIFS(全伝票!N:N,全伝票!$A:$A,$A36,全伝票!$C:$C,$C36)))</f>
        <v>0</v>
      </c>
      <c r="K36" s="34">
        <f t="shared" si="0"/>
        <v>0</v>
      </c>
      <c r="L36" s="158">
        <f>+IF($A36="",IF($C36="",SUMIFS(全伝票!O:O,全伝票!$B:$B,$B36),SUMIFS(全伝票!O:O,全伝票!$C:$C,$C36)),IF($C36="",SUMIFS(全伝票!O:O,全伝票!$A:$A,$A36,全伝票!$B:$B,$B36),SUMIFS(全伝票!O:O,全伝票!$A:$A,$A36,全伝票!$C:$C,$C36)))</f>
        <v>0</v>
      </c>
      <c r="M36" s="158">
        <f>+IF($A36="",IF($C36="",SUMIFS(全伝票!P:P,全伝票!$B:$B,$B36),SUMIFS(全伝票!P:P,全伝票!$C:$C,$C36)),IF($C36="",SUMIFS(全伝票!P:P,全伝票!$A:$A,$A36,全伝票!$B:$B,$B36),SUMIFS(全伝票!P:P,全伝票!$A:$A,$A36,全伝票!$C:$C,$C36)))</f>
        <v>16000</v>
      </c>
      <c r="N36" s="108">
        <f t="shared" si="1"/>
        <v>0</v>
      </c>
      <c r="O36" s="25">
        <f t="shared" si="3"/>
        <v>0</v>
      </c>
      <c r="P36" s="25">
        <f t="shared" si="2"/>
        <v>0</v>
      </c>
      <c r="Q36" s="157">
        <f t="shared" si="3"/>
        <v>0</v>
      </c>
      <c r="R36" s="157">
        <f t="shared" si="4"/>
        <v>0</v>
      </c>
      <c r="S36" s="22">
        <f t="shared" si="5"/>
        <v>0</v>
      </c>
      <c r="T36" s="109">
        <f t="shared" si="6"/>
        <v>16000</v>
      </c>
      <c r="U36" s="107">
        <f t="shared" si="7"/>
        <v>0</v>
      </c>
      <c r="V36" s="107">
        <f t="shared" si="8"/>
        <v>0</v>
      </c>
      <c r="W36" s="107">
        <f t="shared" si="9"/>
        <v>0</v>
      </c>
      <c r="X36" s="107">
        <f t="shared" si="9"/>
        <v>0</v>
      </c>
      <c r="Y36" s="107">
        <f t="shared" si="10"/>
        <v>0</v>
      </c>
      <c r="Z36" s="106">
        <f t="shared" si="11"/>
        <v>0</v>
      </c>
      <c r="AA36" s="106">
        <f t="shared" si="12"/>
        <v>0</v>
      </c>
      <c r="AB36" s="106">
        <f t="shared" si="13"/>
        <v>0</v>
      </c>
      <c r="AC36" s="106">
        <f t="shared" si="14"/>
        <v>0</v>
      </c>
      <c r="AD36" s="106">
        <f t="shared" si="15"/>
        <v>0</v>
      </c>
    </row>
    <row r="37" spans="1:30" ht="14.25" thickTop="1">
      <c r="A37" s="156"/>
      <c r="B37" s="155"/>
      <c r="C37" s="154"/>
      <c r="D37" s="153" t="s">
        <v>2</v>
      </c>
      <c r="E37" s="149">
        <f t="shared" ref="E37:T37" si="29">SUM(E5:E36)</f>
        <v>247654024</v>
      </c>
      <c r="F37" s="152">
        <f t="shared" si="29"/>
        <v>0</v>
      </c>
      <c r="G37" s="151">
        <f t="shared" si="29"/>
        <v>0</v>
      </c>
      <c r="H37" s="151">
        <f t="shared" si="29"/>
        <v>0</v>
      </c>
      <c r="I37" s="150">
        <f t="shared" ref="I37" si="30">SUM(I5:I36)</f>
        <v>5073</v>
      </c>
      <c r="J37" s="150">
        <f t="shared" si="29"/>
        <v>247344387</v>
      </c>
      <c r="K37" s="74">
        <f t="shared" si="29"/>
        <v>247349460</v>
      </c>
      <c r="L37" s="149">
        <f t="shared" si="29"/>
        <v>182965</v>
      </c>
      <c r="M37" s="149">
        <f t="shared" si="29"/>
        <v>121599</v>
      </c>
      <c r="N37" s="146">
        <f t="shared" si="29"/>
        <v>0</v>
      </c>
      <c r="O37" s="145">
        <f t="shared" si="29"/>
        <v>0</v>
      </c>
      <c r="P37" s="145">
        <f t="shared" si="29"/>
        <v>0</v>
      </c>
      <c r="Q37" s="148">
        <f t="shared" ref="Q37" si="31">SUM(Q5:Q36)</f>
        <v>376</v>
      </c>
      <c r="R37" s="148">
        <f t="shared" si="29"/>
        <v>22485853</v>
      </c>
      <c r="S37" s="144">
        <f t="shared" si="29"/>
        <v>22486229</v>
      </c>
      <c r="T37" s="147">
        <f t="shared" si="29"/>
        <v>225167795</v>
      </c>
      <c r="U37" s="88" t="str">
        <f>+IF(F37=0,"",ROUND(F37*F$4/(100+F$4),7)-N37)</f>
        <v/>
      </c>
      <c r="V37" s="88"/>
      <c r="W37" s="88"/>
      <c r="X37" s="88"/>
      <c r="Y37" s="88"/>
      <c r="Z37" s="88"/>
      <c r="AA37" s="88"/>
      <c r="AB37" s="87"/>
      <c r="AC37" s="87"/>
      <c r="AD37" s="87"/>
    </row>
    <row r="38" spans="1:30">
      <c r="A38" s="143"/>
      <c r="B38" s="142"/>
      <c r="C38" s="141"/>
      <c r="D38" s="140" t="s">
        <v>1</v>
      </c>
      <c r="E38" s="136">
        <f t="shared" ref="E38:J38" si="32">+E37</f>
        <v>247654024</v>
      </c>
      <c r="F38" s="139">
        <f t="shared" si="32"/>
        <v>0</v>
      </c>
      <c r="G38" s="138">
        <f t="shared" si="32"/>
        <v>0</v>
      </c>
      <c r="H38" s="138">
        <f t="shared" si="32"/>
        <v>0</v>
      </c>
      <c r="I38" s="137">
        <f t="shared" si="32"/>
        <v>5073</v>
      </c>
      <c r="J38" s="137">
        <f t="shared" si="32"/>
        <v>247344387</v>
      </c>
      <c r="K38" s="63">
        <f>SUM(F38:J38)</f>
        <v>247349460</v>
      </c>
      <c r="L38" s="136">
        <f>+L37</f>
        <v>182965</v>
      </c>
      <c r="M38" s="135">
        <f>+M37</f>
        <v>121599</v>
      </c>
      <c r="N38" s="133">
        <f>+'3条支出'!N16</f>
        <v>0</v>
      </c>
      <c r="O38" s="132">
        <f>+'3条支出'!O16</f>
        <v>0</v>
      </c>
      <c r="P38" s="132">
        <f>+'3条支出'!P16</f>
        <v>0</v>
      </c>
      <c r="Q38" s="132">
        <f>+'3条支出'!Q16</f>
        <v>376</v>
      </c>
      <c r="R38" s="132">
        <f>+'3条支出'!R16</f>
        <v>22485853</v>
      </c>
      <c r="S38" s="131">
        <f>+'3条支出'!S16</f>
        <v>22486229</v>
      </c>
      <c r="T38" s="134">
        <f>+'3条支出'!T16</f>
        <v>225167795</v>
      </c>
      <c r="U38" s="88" t="str">
        <f>+IF(F38=0,"",ROUND(F38*F$4/(100+F$4),7)-N38)</f>
        <v/>
      </c>
      <c r="V38" s="88"/>
      <c r="W38" s="88"/>
      <c r="X38" s="88"/>
      <c r="Y38" s="88"/>
      <c r="Z38" s="88"/>
      <c r="AA38" s="88"/>
      <c r="AB38" s="87"/>
      <c r="AC38" s="87"/>
      <c r="AD38" s="87"/>
    </row>
    <row r="39" spans="1:30">
      <c r="E39" s="4">
        <f t="shared" ref="E39:T39" si="33">+E38-E37</f>
        <v>0</v>
      </c>
      <c r="F39" s="4">
        <f t="shared" si="33"/>
        <v>0</v>
      </c>
      <c r="G39" s="4">
        <f t="shared" si="33"/>
        <v>0</v>
      </c>
      <c r="H39" s="4">
        <f t="shared" si="33"/>
        <v>0</v>
      </c>
      <c r="I39" s="4">
        <f t="shared" ref="I39" si="34">+I38-I37</f>
        <v>0</v>
      </c>
      <c r="J39" s="4">
        <f t="shared" si="33"/>
        <v>0</v>
      </c>
      <c r="K39" s="4">
        <f t="shared" si="33"/>
        <v>0</v>
      </c>
      <c r="L39" s="4">
        <f t="shared" si="33"/>
        <v>0</v>
      </c>
      <c r="M39" s="4">
        <f t="shared" si="33"/>
        <v>0</v>
      </c>
      <c r="N39" s="4">
        <f t="shared" si="33"/>
        <v>0</v>
      </c>
      <c r="O39" s="4">
        <f t="shared" si="33"/>
        <v>0</v>
      </c>
      <c r="P39" s="4">
        <f t="shared" si="33"/>
        <v>0</v>
      </c>
      <c r="Q39" s="4">
        <f t="shared" ref="Q39" si="35">+Q38-Q37</f>
        <v>0</v>
      </c>
      <c r="R39" s="4">
        <f t="shared" si="33"/>
        <v>0</v>
      </c>
      <c r="S39" s="4">
        <f t="shared" si="33"/>
        <v>0</v>
      </c>
      <c r="T39" s="4">
        <f t="shared" si="33"/>
        <v>0</v>
      </c>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U40" s="88" t="str">
        <f>+IF(F40=0,"",ROUND(F40*F$4/(100+F$4),7)-N40)</f>
        <v/>
      </c>
      <c r="V40" s="88" t="str">
        <f>+IF(G40=0,"",ROUND(G40*G$4/(100+G$4),7)-O40)</f>
        <v/>
      </c>
      <c r="W40" s="88" t="str">
        <f>+IF(H40=0,"",ROUND(H40*H$4/(100+H$4),7)-P40)</f>
        <v/>
      </c>
      <c r="X40" s="88"/>
      <c r="Y40" s="88" t="str">
        <f>+IF(J40=0,"",ROUND(J40*J$4/(100+J$4),7)-R40)</f>
        <v/>
      </c>
      <c r="Z40" s="88"/>
      <c r="AA40" s="88"/>
      <c r="AB40" s="87" t="str">
        <f>+IF(SUM(U40:Y40)=0,"",SUM(U40:Y40))</f>
        <v/>
      </c>
      <c r="AC40" s="87"/>
      <c r="AD40" s="87"/>
    </row>
    <row r="41" spans="1:30">
      <c r="G41" s="273"/>
      <c r="H41" s="272"/>
      <c r="I41" s="272"/>
      <c r="J41" s="272"/>
      <c r="U41" s="88" t="str">
        <f>+IF(F41=0,"",ROUND(F41*F$4/(100+F$4),7)-N41)</f>
        <v/>
      </c>
      <c r="V41" s="88"/>
      <c r="W41" s="88"/>
      <c r="X41" s="88"/>
      <c r="Y41" s="88"/>
      <c r="Z41" s="88"/>
      <c r="AA41" s="88"/>
      <c r="AB41" s="87"/>
      <c r="AC41" s="87"/>
      <c r="AD41" s="87"/>
    </row>
    <row r="42" spans="1:30">
      <c r="G42" s="273"/>
      <c r="H42" s="272"/>
      <c r="I42" s="272"/>
      <c r="J42" s="272"/>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3"/>
  <conditionalFormatting sqref="AE5:AI36">
    <cfRule type="notContainsBlanks" dxfId="61" priority="4" stopIfTrue="1">
      <formula>LEN(TRIM(AE5))&gt;0</formula>
    </cfRule>
  </conditionalFormatting>
  <conditionalFormatting sqref="AE37:AI38">
    <cfRule type="notContainsBlanks" dxfId="60" priority="5" stopIfTrue="1">
      <formula>LEN(TRIM(AE37))&gt;0</formula>
    </cfRule>
  </conditionalFormatting>
  <conditionalFormatting sqref="Z5:AD29 Z31:AD36">
    <cfRule type="expression" dxfId="59" priority="3">
      <formula>ABS(Z5)=1</formula>
    </cfRule>
  </conditionalFormatting>
  <conditionalFormatting sqref="E39:T39">
    <cfRule type="cellIs" dxfId="58" priority="2" operator="notEqual">
      <formula>0</formula>
    </cfRule>
  </conditionalFormatting>
  <conditionalFormatting sqref="Z30:AD30">
    <cfRule type="expression" dxfId="57" priority="1">
      <formula>ABS(Z30)=1</formula>
    </cfRule>
  </conditionalFormatting>
  <pageMargins left="0.39370078740157483" right="0.39370078740157483" top="0.78740157480314965" bottom="0.39370078740157483" header="0.39370078740157483" footer="0.19685039370078741"/>
  <pageSetup paperSize="9" scale="67" orientation="landscape" blackAndWhite="1" r:id="rId1"/>
  <headerFooter>
    <oddFooter>&amp;L&amp;8&amp;Z&amp;F&amp;A&amp;R&amp;8&amp;D&amp;T</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I42"/>
  <sheetViews>
    <sheetView zoomScale="70" zoomScaleNormal="70"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+'3条支出'!D1</f>
        <v>令和５年度決算　消費税算出資料</v>
      </c>
    </row>
    <row r="2" spans="1:35">
      <c r="D2" s="2" t="s">
        <v>481</v>
      </c>
      <c r="V2" s="122"/>
      <c r="W2" s="122"/>
      <c r="X2" s="261"/>
      <c r="Y2" s="122"/>
      <c r="Z2" s="122"/>
      <c r="AA2" s="122"/>
      <c r="AB2" s="122"/>
      <c r="AC2" s="261"/>
      <c r="AD2" s="122"/>
      <c r="AE2" s="122"/>
      <c r="AF2" s="122"/>
      <c r="AG2" s="122"/>
      <c r="AH2" s="261"/>
      <c r="AI2" s="122"/>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122"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177">
        <v>4</v>
      </c>
      <c r="B5" s="176" t="s">
        <v>480</v>
      </c>
      <c r="C5" s="175"/>
      <c r="D5" s="174" t="s">
        <v>112</v>
      </c>
      <c r="E5" s="170">
        <f>+IF($A5="",IF($C5="",SUMIFS(全伝票!I:I,全伝票!$B:$B,$B5),SUMIFS(全伝票!I:I,全伝票!$C:$C,$C5)),IF($C5="",SUMIFS(全伝票!I:I,全伝票!$A:$A,$A5,全伝票!$B:$B,$B5),SUMIFS(全伝票!I:I,全伝票!$A:$A,$A5,全伝票!$C:$C,$C5)))</f>
        <v>0</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275">
        <f>+IF($A5="",IF($C5="",SUMIFS(全伝票!L:L,全伝票!$B:$B,$B5),SUMIFS(全伝票!L:L,全伝票!$C:$C,$C5)),IF($C5="",SUMIFS(全伝票!L:L,全伝票!$A:$A,$A5,全伝票!$B:$B,$B5),SUMIFS(全伝票!L:L,全伝票!$A:$A,$A5,全伝票!$C:$C,$C5)))</f>
        <v>0</v>
      </c>
      <c r="I5" s="270">
        <f>+IF($A5="",IF($C5="",SUMIFS(全伝票!M:M,全伝票!$B:$B,$B5),SUMIFS(全伝票!M:M,全伝票!$C:$C,$C5)),IF($C5="",SUMIFS(全伝票!M:M,全伝票!$A:$A,$A5,全伝票!$B:$B,$B5),SUMIFS(全伝票!M:M,全伝票!$A:$A,$A5,全伝票!$C:$C,$C5)))</f>
        <v>0</v>
      </c>
      <c r="J5" s="171">
        <f>+IF($A5="",IF($C5="",SUMIFS(全伝票!N:N,全伝票!$B:$B,$B5),SUMIFS(全伝票!N:N,全伝票!$C:$C,$C5)),IF($C5="",SUMIFS(全伝票!N:N,全伝票!$A:$A,$A5,全伝票!$B:$B,$B5),SUMIFS(全伝票!N:N,全伝票!$A:$A,$A5,全伝票!$C:$C,$C5)))</f>
        <v>0</v>
      </c>
      <c r="K5" s="112">
        <f t="shared" ref="K5:K36" si="0">SUM(F5:J5)</f>
        <v>0</v>
      </c>
      <c r="L5" s="170">
        <f>+IF($A5="",IF($C5="",SUMIFS(全伝票!O:O,全伝票!$B:$B,$B5),SUMIFS(全伝票!O:O,全伝票!$C:$C,$C5)),IF($C5="",SUMIFS(全伝票!O:O,全伝票!$A:$A,$A5,全伝票!$B:$B,$B5),SUMIFS(全伝票!O:O,全伝票!$A:$A,$A5,全伝票!$C:$C,$C5)))</f>
        <v>0</v>
      </c>
      <c r="M5" s="277">
        <f>+IF($A5="",IF($C5="",SUMIFS(全伝票!P:P,全伝票!$B:$B,$B5),SUMIFS(全伝票!P:P,全伝票!$C:$C,$C5)),IF($C5="",SUMIFS(全伝票!P:P,全伝票!$A:$A,$A5,全伝票!$B:$B,$B5),SUMIFS(全伝票!P:P,全伝票!$A:$A,$A5,全伝票!$C:$C,$C5)))</f>
        <v>0</v>
      </c>
      <c r="N5" s="169">
        <f t="shared" ref="N5:N36" si="1">+ROUND(F5*F$4/(100+F$4),0)+AE5</f>
        <v>0</v>
      </c>
      <c r="O5" s="47">
        <f>+ROUND(G5*G$4/(100+G$4),0)+AF5</f>
        <v>0</v>
      </c>
      <c r="P5" s="47">
        <f t="shared" ref="P5:P36" si="2">+ROUND(H5*H$4/(100+H$4),0)+AG5</f>
        <v>0</v>
      </c>
      <c r="Q5" s="168">
        <f t="shared" ref="O5:Q36" si="3">+ROUND(I5*I$4/(100+I$4),0)+AH5</f>
        <v>0</v>
      </c>
      <c r="R5" s="168">
        <f t="shared" ref="R5:R36" si="4">+ROUND(J5*J$4/(100+J$4),0)+AI5</f>
        <v>0</v>
      </c>
      <c r="S5" s="167">
        <f t="shared" ref="S5:S36" si="5">SUM(N5:R5)</f>
        <v>0</v>
      </c>
      <c r="T5" s="166">
        <f t="shared" ref="T5:T36" si="6">+E5-S5</f>
        <v>0</v>
      </c>
      <c r="U5" s="107">
        <f t="shared" ref="U5:U36" si="7">N5-F5*F$4/(100+F$4)</f>
        <v>0</v>
      </c>
      <c r="V5" s="107">
        <f t="shared" ref="V5:V36" si="8">O5-G5*G$4/(100+G$4)</f>
        <v>0</v>
      </c>
      <c r="W5" s="107">
        <f t="shared" ref="W5:X36" si="9">P5-H5*H$4/(100+H$4)</f>
        <v>0</v>
      </c>
      <c r="X5" s="107">
        <f t="shared" si="9"/>
        <v>0</v>
      </c>
      <c r="Y5" s="107">
        <f t="shared" ref="Y5:Y36" si="10">R5-J5*J$4/(100+J$4)</f>
        <v>0</v>
      </c>
      <c r="Z5" s="106">
        <f t="shared" ref="Z5:Z36" si="11">+IF(N$39=0,0,IF(N$39&lt;0,-RANK(U5,U$5:U$36,0),RANK(U5,U$5:U$36,1)))</f>
        <v>0</v>
      </c>
      <c r="AA5" s="106">
        <f t="shared" ref="AA5:AA36" si="12">+IF(O$39=0,0,IF(O$39&lt;0,-RANK(V5,V$5:V$36,0),RANK(V5,V$5:V$36,1)))</f>
        <v>0</v>
      </c>
      <c r="AB5" s="106">
        <f t="shared" ref="AB5:AB36" si="13">+IF(P$39=0,0,IF(P$39&lt;0,-RANK(W5,W$5:W$36,0),RANK(W5,W$5:W$36,1)))</f>
        <v>0</v>
      </c>
      <c r="AC5" s="106">
        <f t="shared" ref="AC5:AC36" si="14">+IF(Q$39=0,0,IF(Q$39&lt;0,-RANK(X5,X$5:X$36,0),RANK(X5,X$5:X$36,1)))</f>
        <v>0</v>
      </c>
      <c r="AD5" s="106">
        <f t="shared" ref="AD5:AD36" si="15">+IF(R$39=0,0,IF(R$39&lt;0,-RANK(Y5,Y$5:Y$36,0),RANK(Y5,Y$5:Y$36,1)))</f>
        <v>0</v>
      </c>
    </row>
    <row r="6" spans="1:35">
      <c r="A6" s="165">
        <v>4</v>
      </c>
      <c r="B6" s="164" t="s">
        <v>479</v>
      </c>
      <c r="C6" s="163"/>
      <c r="D6" s="162" t="s">
        <v>110</v>
      </c>
      <c r="E6" s="158">
        <f>+IF($A6="",IF($C6="",SUMIFS(全伝票!I:I,全伝票!$B:$B,$B6),SUMIFS(全伝票!I:I,全伝票!$C:$C,$C6)),IF($C6="",SUMIFS(全伝票!I:I,全伝票!$A:$A,$A6,全伝票!$B:$B,$B6),SUMIFS(全伝票!I:I,全伝票!$A:$A,$A6,全伝票!$C:$C,$C6)))</f>
        <v>0</v>
      </c>
      <c r="F6" s="161">
        <f>+IF($A6="",IF($C6="",SUMIFS(全伝票!J:J,全伝票!$B:$B,$B6),SUMIFS(全伝票!J:J,全伝票!$C:$C,$C6)),IF($C6="",SUMIFS(全伝票!J:J,全伝票!$A:$A,$A6,全伝票!$B:$B,$B6),SUMIFS(全伝票!J:J,全伝票!$A:$A,$A6,全伝票!$C:$C,$C6)))</f>
        <v>0</v>
      </c>
      <c r="G6" s="160">
        <f>+IF($A6="",IF($C6="",SUMIFS(全伝票!K:K,全伝票!$B:$B,$B6),SUMIFS(全伝票!K:K,全伝票!$C:$C,$C6)),IF($C6="",SUMIFS(全伝票!K:K,全伝票!$A:$A,$A6,全伝票!$B:$B,$B6),SUMIFS(全伝票!K:K,全伝票!$A:$A,$A6,全伝票!$C:$C,$C6)))</f>
        <v>0</v>
      </c>
      <c r="H6" s="160">
        <f>+IF($A6="",IF($C6="",SUMIFS(全伝票!L:L,全伝票!$B:$B,$B6),SUMIFS(全伝票!L:L,全伝票!$C:$C,$C6)),IF($C6="",SUMIFS(全伝票!L:L,全伝票!$A:$A,$A6,全伝票!$B:$B,$B6),SUMIFS(全伝票!L:L,全伝票!$A:$A,$A6,全伝票!$C:$C,$C6)))</f>
        <v>0</v>
      </c>
      <c r="I6" s="159">
        <f>+IF($A6="",IF($C6="",SUMIFS(全伝票!M:M,全伝票!$B:$B,$B6),SUMIFS(全伝票!M:M,全伝票!$C:$C,$C6)),IF($C6="",SUMIFS(全伝票!M:M,全伝票!$A:$A,$A6,全伝票!$B:$B,$B6),SUMIFS(全伝票!M:M,全伝票!$A:$A,$A6,全伝票!$C:$C,$C6)))</f>
        <v>0</v>
      </c>
      <c r="J6" s="159">
        <f>+IF($A6="",IF($C6="",SUMIFS(全伝票!N:N,全伝票!$B:$B,$B6),SUMIFS(全伝票!N:N,全伝票!$C:$C,$C6)),IF($C6="",SUMIFS(全伝票!N:N,全伝票!$A:$A,$A6,全伝票!$B:$B,$B6),SUMIFS(全伝票!N:N,全伝票!$A:$A,$A6,全伝票!$C:$C,$C6)))</f>
        <v>0</v>
      </c>
      <c r="K6" s="34">
        <f t="shared" si="0"/>
        <v>0</v>
      </c>
      <c r="L6" s="158">
        <f>+IF($A6="",IF($C6="",SUMIFS(全伝票!O:O,全伝票!$B:$B,$B6),SUMIFS(全伝票!O:O,全伝票!$C:$C,$C6)),IF($C6="",SUMIFS(全伝票!O:O,全伝票!$A:$A,$A6,全伝票!$B:$B,$B6),SUMIFS(全伝票!O:O,全伝票!$A:$A,$A6,全伝票!$C:$C,$C6)))</f>
        <v>0</v>
      </c>
      <c r="M6" s="158">
        <f>+IF($A6="",IF($C6="",SUMIFS(全伝票!P:P,全伝票!$B:$B,$B6),SUMIFS(全伝票!P:P,全伝票!$C:$C,$C6)),IF($C6="",SUMIFS(全伝票!P:P,全伝票!$A:$A,$A6,全伝票!$B:$B,$B6),SUMIFS(全伝票!P:P,全伝票!$A:$A,$A6,全伝票!$C:$C,$C6)))</f>
        <v>0</v>
      </c>
      <c r="N6" s="108">
        <f t="shared" si="1"/>
        <v>0</v>
      </c>
      <c r="O6" s="25">
        <f t="shared" si="3"/>
        <v>0</v>
      </c>
      <c r="P6" s="25">
        <f t="shared" si="2"/>
        <v>0</v>
      </c>
      <c r="Q6" s="157">
        <f t="shared" si="3"/>
        <v>0</v>
      </c>
      <c r="R6" s="157">
        <f t="shared" si="4"/>
        <v>0</v>
      </c>
      <c r="S6" s="22">
        <f t="shared" si="5"/>
        <v>0</v>
      </c>
      <c r="T6" s="109">
        <f t="shared" si="6"/>
        <v>0</v>
      </c>
      <c r="U6" s="107">
        <f t="shared" si="7"/>
        <v>0</v>
      </c>
      <c r="V6" s="107">
        <f t="shared" si="8"/>
        <v>0</v>
      </c>
      <c r="W6" s="107">
        <f t="shared" si="9"/>
        <v>0</v>
      </c>
      <c r="X6" s="107">
        <f t="shared" si="9"/>
        <v>0</v>
      </c>
      <c r="Y6" s="107">
        <f t="shared" si="10"/>
        <v>0</v>
      </c>
      <c r="Z6" s="106">
        <f t="shared" si="11"/>
        <v>0</v>
      </c>
      <c r="AA6" s="106">
        <f t="shared" si="12"/>
        <v>0</v>
      </c>
      <c r="AB6" s="106">
        <f t="shared" si="13"/>
        <v>0</v>
      </c>
      <c r="AC6" s="106">
        <f t="shared" si="14"/>
        <v>0</v>
      </c>
      <c r="AD6" s="106">
        <f t="shared" si="15"/>
        <v>0</v>
      </c>
    </row>
    <row r="7" spans="1:35">
      <c r="A7" s="165">
        <v>4</v>
      </c>
      <c r="B7" s="164" t="s">
        <v>478</v>
      </c>
      <c r="C7" s="163"/>
      <c r="D7" s="162" t="s">
        <v>108</v>
      </c>
      <c r="E7" s="158">
        <f>+IF($A7="",IF($C7="",SUMIFS(全伝票!I:I,全伝票!$B:$B,$B7),SUMIFS(全伝票!I:I,全伝票!$C:$C,$C7)),IF($C7="",SUMIFS(全伝票!I:I,全伝票!$A:$A,$A7,全伝票!$B:$B,$B7),SUMIFS(全伝票!I:I,全伝票!$A:$A,$A7,全伝票!$C:$C,$C7)))</f>
        <v>0</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59">
        <f>+IF($A7="",IF($C7="",SUMIFS(全伝票!M:M,全伝票!$B:$B,$B7),SUMIFS(全伝票!M:M,全伝票!$C:$C,$C7)),IF($C7="",SUMIFS(全伝票!M:M,全伝票!$A:$A,$A7,全伝票!$B:$B,$B7),SUMIFS(全伝票!M:M,全伝票!$A:$A,$A7,全伝票!$C:$C,$C7)))</f>
        <v>0</v>
      </c>
      <c r="J7" s="159">
        <f>+IF($A7="",IF($C7="",SUMIFS(全伝票!N:N,全伝票!$B:$B,$B7),SUMIFS(全伝票!N:N,全伝票!$C:$C,$C7)),IF($C7="",SUMIFS(全伝票!N:N,全伝票!$A:$A,$A7,全伝票!$B:$B,$B7),SUMIFS(全伝票!N:N,全伝票!$A:$A,$A7,全伝票!$C:$C,$C7)))</f>
        <v>0</v>
      </c>
      <c r="K7" s="34">
        <f t="shared" si="0"/>
        <v>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0</v>
      </c>
      <c r="N7" s="108">
        <f t="shared" si="1"/>
        <v>0</v>
      </c>
      <c r="O7" s="25">
        <f t="shared" si="3"/>
        <v>0</v>
      </c>
      <c r="P7" s="25">
        <f t="shared" si="2"/>
        <v>0</v>
      </c>
      <c r="Q7" s="157">
        <f t="shared" si="3"/>
        <v>0</v>
      </c>
      <c r="R7" s="157">
        <f t="shared" si="4"/>
        <v>0</v>
      </c>
      <c r="S7" s="22">
        <f t="shared" si="5"/>
        <v>0</v>
      </c>
      <c r="T7" s="109">
        <f t="shared" si="6"/>
        <v>0</v>
      </c>
      <c r="U7" s="107">
        <f t="shared" si="7"/>
        <v>0</v>
      </c>
      <c r="V7" s="107">
        <f t="shared" si="8"/>
        <v>0</v>
      </c>
      <c r="W7" s="107">
        <f t="shared" si="9"/>
        <v>0</v>
      </c>
      <c r="X7" s="107">
        <f t="shared" si="9"/>
        <v>0</v>
      </c>
      <c r="Y7" s="107">
        <f t="shared" si="10"/>
        <v>0</v>
      </c>
      <c r="Z7" s="106">
        <f t="shared" si="11"/>
        <v>0</v>
      </c>
      <c r="AA7" s="106">
        <f t="shared" si="12"/>
        <v>0</v>
      </c>
      <c r="AB7" s="106">
        <f t="shared" si="13"/>
        <v>0</v>
      </c>
      <c r="AC7" s="106">
        <f t="shared" si="14"/>
        <v>0</v>
      </c>
      <c r="AD7" s="106">
        <f t="shared" si="15"/>
        <v>0</v>
      </c>
    </row>
    <row r="8" spans="1:35">
      <c r="A8" s="165">
        <v>4</v>
      </c>
      <c r="B8" s="164" t="s">
        <v>477</v>
      </c>
      <c r="C8" s="163"/>
      <c r="D8" s="162" t="s">
        <v>106</v>
      </c>
      <c r="E8" s="158">
        <f>+IF($A8="",IF($C8="",SUMIFS(全伝票!I:I,全伝票!$B:$B,$B8),SUMIFS(全伝票!I:I,全伝票!$C:$C,$C8)),IF($C8="",SUMIFS(全伝票!I:I,全伝票!$A:$A,$A8,全伝票!$B:$B,$B8),SUMIFS(全伝票!I:I,全伝票!$A:$A,$A8,全伝票!$C:$C,$C8)))</f>
        <v>0</v>
      </c>
      <c r="F8" s="161">
        <f>+IF($A8="",IF($C8="",SUMIFS(全伝票!J:J,全伝票!$B:$B,$B8),SUMIFS(全伝票!J:J,全伝票!$C:$C,$C8)),IF($C8="",SUMIFS(全伝票!J:J,全伝票!$A:$A,$A8,全伝票!$B:$B,$B8),SUMIFS(全伝票!J:J,全伝票!$A:$A,$A8,全伝票!$C:$C,$C8)))</f>
        <v>0</v>
      </c>
      <c r="G8" s="160">
        <f>+IF($A8="",IF($C8="",SUMIFS(全伝票!K:K,全伝票!$B:$B,$B8),SUMIFS(全伝票!K:K,全伝票!$C:$C,$C8)),IF($C8="",SUMIFS(全伝票!K:K,全伝票!$A:$A,$A8,全伝票!$B:$B,$B8),SUMIFS(全伝票!K:K,全伝票!$A:$A,$A8,全伝票!$C:$C,$C8)))</f>
        <v>0</v>
      </c>
      <c r="H8" s="160">
        <f>+IF($A8="",IF($C8="",SUMIFS(全伝票!L:L,全伝票!$B:$B,$B8),SUMIFS(全伝票!L:L,全伝票!$C:$C,$C8)),IF($C8="",SUMIFS(全伝票!L:L,全伝票!$A:$A,$A8,全伝票!$B:$B,$B8),SUMIFS(全伝票!L:L,全伝票!$A:$A,$A8,全伝票!$C:$C,$C8)))</f>
        <v>0</v>
      </c>
      <c r="I8" s="159">
        <f>+IF($A8="",IF($C8="",SUMIFS(全伝票!M:M,全伝票!$B:$B,$B8),SUMIFS(全伝票!M:M,全伝票!$C:$C,$C8)),IF($C8="",SUMIFS(全伝票!M:M,全伝票!$A:$A,$A8,全伝票!$B:$B,$B8),SUMIFS(全伝票!M:M,全伝票!$A:$A,$A8,全伝票!$C:$C,$C8)))</f>
        <v>0</v>
      </c>
      <c r="J8" s="159">
        <f>+IF($A8="",IF($C8="",SUMIFS(全伝票!N:N,全伝票!$B:$B,$B8),SUMIFS(全伝票!N:N,全伝票!$C:$C,$C8)),IF($C8="",SUMIFS(全伝票!N:N,全伝票!$A:$A,$A8,全伝票!$B:$B,$B8),SUMIFS(全伝票!N:N,全伝票!$A:$A,$A8,全伝票!$C:$C,$C8)))</f>
        <v>0</v>
      </c>
      <c r="K8" s="34">
        <f t="shared" si="0"/>
        <v>0</v>
      </c>
      <c r="L8" s="158">
        <f>+IF($A8="",IF($C8="",SUMIFS(全伝票!O:O,全伝票!$B:$B,$B8),SUMIFS(全伝票!O:O,全伝票!$C:$C,$C8)),IF($C8="",SUMIFS(全伝票!O:O,全伝票!$A:$A,$A8,全伝票!$B:$B,$B8),SUMIFS(全伝票!O:O,全伝票!$A:$A,$A8,全伝票!$C:$C,$C8)))</f>
        <v>0</v>
      </c>
      <c r="M8" s="158">
        <f>+IF($A8="",IF($C8="",SUMIFS(全伝票!P:P,全伝票!$B:$B,$B8),SUMIFS(全伝票!P:P,全伝票!$C:$C,$C8)),IF($C8="",SUMIFS(全伝票!P:P,全伝票!$A:$A,$A8,全伝票!$B:$B,$B8),SUMIFS(全伝票!P:P,全伝票!$A:$A,$A8,全伝票!$C:$C,$C8)))</f>
        <v>0</v>
      </c>
      <c r="N8" s="108">
        <f t="shared" si="1"/>
        <v>0</v>
      </c>
      <c r="O8" s="25">
        <f t="shared" si="3"/>
        <v>0</v>
      </c>
      <c r="P8" s="25">
        <f t="shared" si="2"/>
        <v>0</v>
      </c>
      <c r="Q8" s="157">
        <f t="shared" si="3"/>
        <v>0</v>
      </c>
      <c r="R8" s="157">
        <f t="shared" si="4"/>
        <v>0</v>
      </c>
      <c r="S8" s="22">
        <f t="shared" si="5"/>
        <v>0</v>
      </c>
      <c r="T8" s="109">
        <f t="shared" si="6"/>
        <v>0</v>
      </c>
      <c r="U8" s="107">
        <f t="shared" si="7"/>
        <v>0</v>
      </c>
      <c r="V8" s="107">
        <f t="shared" si="8"/>
        <v>0</v>
      </c>
      <c r="W8" s="107">
        <f t="shared" si="9"/>
        <v>0</v>
      </c>
      <c r="X8" s="107">
        <f t="shared" si="9"/>
        <v>0</v>
      </c>
      <c r="Y8" s="107">
        <f t="shared" si="10"/>
        <v>0</v>
      </c>
      <c r="Z8" s="106">
        <f t="shared" si="11"/>
        <v>0</v>
      </c>
      <c r="AA8" s="106">
        <f t="shared" si="12"/>
        <v>0</v>
      </c>
      <c r="AB8" s="106">
        <f t="shared" si="13"/>
        <v>0</v>
      </c>
      <c r="AC8" s="106">
        <f t="shared" si="14"/>
        <v>0</v>
      </c>
      <c r="AD8" s="106">
        <f t="shared" si="15"/>
        <v>0</v>
      </c>
    </row>
    <row r="9" spans="1:35">
      <c r="A9" s="165">
        <v>4</v>
      </c>
      <c r="B9" s="164" t="s">
        <v>476</v>
      </c>
      <c r="C9" s="163"/>
      <c r="D9" s="162" t="s">
        <v>104</v>
      </c>
      <c r="E9" s="158">
        <f>+IF($A9="",IF($C9="",SUMIFS(全伝票!I:I,全伝票!$B:$B,$B9),SUMIFS(全伝票!I:I,全伝票!$C:$C,$C9)),IF($C9="",SUMIFS(全伝票!I:I,全伝票!$A:$A,$A9,全伝票!$B:$B,$B9),SUMIFS(全伝票!I:I,全伝票!$A:$A,$A9,全伝票!$C:$C,$C9)))</f>
        <v>0</v>
      </c>
      <c r="F9" s="161">
        <f>+IF($A9="",IF($C9="",SUMIFS(全伝票!J:J,全伝票!$B:$B,$B9),SUMIFS(全伝票!J:J,全伝票!$C:$C,$C9)),IF($C9="",SUMIFS(全伝票!J:J,全伝票!$A:$A,$A9,全伝票!$B:$B,$B9),SUMIFS(全伝票!J:J,全伝票!$A:$A,$A9,全伝票!$C:$C,$C9)))</f>
        <v>0</v>
      </c>
      <c r="G9" s="160">
        <f>+IF($A9="",IF($C9="",SUMIFS(全伝票!K:K,全伝票!$B:$B,$B9),SUMIFS(全伝票!K:K,全伝票!$C:$C,$C9)),IF($C9="",SUMIFS(全伝票!K:K,全伝票!$A:$A,$A9,全伝票!$B:$B,$B9),SUMIFS(全伝票!K:K,全伝票!$A:$A,$A9,全伝票!$C:$C,$C9)))</f>
        <v>0</v>
      </c>
      <c r="H9" s="160">
        <f>+IF($A9="",IF($C9="",SUMIFS(全伝票!L:L,全伝票!$B:$B,$B9),SUMIFS(全伝票!L:L,全伝票!$C:$C,$C9)),IF($C9="",SUMIFS(全伝票!L:L,全伝票!$A:$A,$A9,全伝票!$B:$B,$B9),SUMIFS(全伝票!L:L,全伝票!$A:$A,$A9,全伝票!$C:$C,$C9)))</f>
        <v>0</v>
      </c>
      <c r="I9" s="159">
        <f>+IF($A9="",IF($C9="",SUMIFS(全伝票!M:M,全伝票!$B:$B,$B9),SUMIFS(全伝票!M:M,全伝票!$C:$C,$C9)),IF($C9="",SUMIFS(全伝票!M:M,全伝票!$A:$A,$A9,全伝票!$B:$B,$B9),SUMIFS(全伝票!M:M,全伝票!$A:$A,$A9,全伝票!$C:$C,$C9)))</f>
        <v>0</v>
      </c>
      <c r="J9" s="159">
        <f>+IF($A9="",IF($C9="",SUMIFS(全伝票!N:N,全伝票!$B:$B,$B9),SUMIFS(全伝票!N:N,全伝票!$C:$C,$C9)),IF($C9="",SUMIFS(全伝票!N:N,全伝票!$A:$A,$A9,全伝票!$B:$B,$B9),SUMIFS(全伝票!N:N,全伝票!$A:$A,$A9,全伝票!$C:$C,$C9)))</f>
        <v>0</v>
      </c>
      <c r="K9" s="34">
        <f t="shared" si="0"/>
        <v>0</v>
      </c>
      <c r="L9" s="158">
        <f>+IF($A9="",IF($C9="",SUMIFS(全伝票!O:O,全伝票!$B:$B,$B9),SUMIFS(全伝票!O:O,全伝票!$C:$C,$C9)),IF($C9="",SUMIFS(全伝票!O:O,全伝票!$A:$A,$A9,全伝票!$B:$B,$B9),SUMIFS(全伝票!O:O,全伝票!$A:$A,$A9,全伝票!$C:$C,$C9)))</f>
        <v>0</v>
      </c>
      <c r="M9" s="158">
        <f>+IF($A9="",IF($C9="",SUMIFS(全伝票!P:P,全伝票!$B:$B,$B9),SUMIFS(全伝票!P:P,全伝票!$C:$C,$C9)),IF($C9="",SUMIFS(全伝票!P:P,全伝票!$A:$A,$A9,全伝票!$B:$B,$B9),SUMIFS(全伝票!P:P,全伝票!$A:$A,$A9,全伝票!$C:$C,$C9)))</f>
        <v>0</v>
      </c>
      <c r="N9" s="108">
        <f t="shared" si="1"/>
        <v>0</v>
      </c>
      <c r="O9" s="25">
        <f t="shared" si="3"/>
        <v>0</v>
      </c>
      <c r="P9" s="25">
        <f t="shared" si="2"/>
        <v>0</v>
      </c>
      <c r="Q9" s="157">
        <f t="shared" si="3"/>
        <v>0</v>
      </c>
      <c r="R9" s="157">
        <f t="shared" si="4"/>
        <v>0</v>
      </c>
      <c r="S9" s="22">
        <f t="shared" si="5"/>
        <v>0</v>
      </c>
      <c r="T9" s="109">
        <f t="shared" si="6"/>
        <v>0</v>
      </c>
      <c r="U9" s="107">
        <f t="shared" si="7"/>
        <v>0</v>
      </c>
      <c r="V9" s="107">
        <f t="shared" si="8"/>
        <v>0</v>
      </c>
      <c r="W9" s="107">
        <f t="shared" si="9"/>
        <v>0</v>
      </c>
      <c r="X9" s="107">
        <f t="shared" si="9"/>
        <v>0</v>
      </c>
      <c r="Y9" s="107">
        <f t="shared" si="10"/>
        <v>0</v>
      </c>
      <c r="Z9" s="106">
        <f t="shared" si="11"/>
        <v>0</v>
      </c>
      <c r="AA9" s="106">
        <f t="shared" si="12"/>
        <v>0</v>
      </c>
      <c r="AB9" s="106">
        <f t="shared" si="13"/>
        <v>0</v>
      </c>
      <c r="AC9" s="106">
        <f t="shared" si="14"/>
        <v>0</v>
      </c>
      <c r="AD9" s="106">
        <f t="shared" si="15"/>
        <v>0</v>
      </c>
    </row>
    <row r="10" spans="1:35">
      <c r="A10" s="165">
        <v>4</v>
      </c>
      <c r="B10" s="164" t="s">
        <v>475</v>
      </c>
      <c r="C10" s="163"/>
      <c r="D10" s="162" t="s">
        <v>102</v>
      </c>
      <c r="E10" s="158">
        <f>+IF($A10="",IF($C10="",SUMIFS(全伝票!I:I,全伝票!$B:$B,$B10),SUMIFS(全伝票!I:I,全伝票!$C:$C,$C10)),IF($C10="",SUMIFS(全伝票!I:I,全伝票!$A:$A,$A10,全伝票!$B:$B,$B10),SUMIFS(全伝票!I:I,全伝票!$A:$A,$A10,全伝票!$C:$C,$C10)))</f>
        <v>0</v>
      </c>
      <c r="F10" s="161">
        <f>+IF($A10="",IF($C10="",SUMIFS(全伝票!J:J,全伝票!$B:$B,$B10),SUMIFS(全伝票!J:J,全伝票!$C:$C,$C10)),IF($C10="",SUMIFS(全伝票!J:J,全伝票!$A:$A,$A10,全伝票!$B:$B,$B10),SUMIFS(全伝票!J:J,全伝票!$A:$A,$A10,全伝票!$C:$C,$C10)))</f>
        <v>0</v>
      </c>
      <c r="G10" s="160">
        <f>+IF($A10="",IF($C10="",SUMIFS(全伝票!K:K,全伝票!$B:$B,$B10),SUMIFS(全伝票!K:K,全伝票!$C:$C,$C10)),IF($C10="",SUMIFS(全伝票!K:K,全伝票!$A:$A,$A10,全伝票!$B:$B,$B10),SUMIFS(全伝票!K:K,全伝票!$A:$A,$A10,全伝票!$C:$C,$C10)))</f>
        <v>0</v>
      </c>
      <c r="H10" s="276">
        <f>+IF($A10="",IF($C10="",SUMIFS(全伝票!L:L,全伝票!$B:$B,$B10),SUMIFS(全伝票!L:L,全伝票!$C:$C,$C10)),IF($C10="",SUMIFS(全伝票!L:L,全伝票!$A:$A,$A10,全伝票!$B:$B,$B10),SUMIFS(全伝票!L:L,全伝票!$A:$A,$A10,全伝票!$C:$C,$C10)))</f>
        <v>0</v>
      </c>
      <c r="I10" s="271">
        <f>+IF($A10="",IF($C10="",SUMIFS(全伝票!M:M,全伝票!$B:$B,$B10),SUMIFS(全伝票!M:M,全伝票!$C:$C,$C10)),IF($C10="",SUMIFS(全伝票!M:M,全伝票!$A:$A,$A10,全伝票!$B:$B,$B10),SUMIFS(全伝票!M:M,全伝票!$A:$A,$A10,全伝票!$C:$C,$C10)))</f>
        <v>0</v>
      </c>
      <c r="J10" s="159">
        <f>+IF($A10="",IF($C10="",SUMIFS(全伝票!N:N,全伝票!$B:$B,$B10),SUMIFS(全伝票!N:N,全伝票!$C:$C,$C10)),IF($C10="",SUMIFS(全伝票!N:N,全伝票!$A:$A,$A10,全伝票!$B:$B,$B10),SUMIFS(全伝票!N:N,全伝票!$A:$A,$A10,全伝票!$C:$C,$C10)))</f>
        <v>0</v>
      </c>
      <c r="K10" s="34">
        <f t="shared" si="0"/>
        <v>0</v>
      </c>
      <c r="L10" s="158">
        <f>+IF($A10="",IF($C10="",SUMIFS(全伝票!O:O,全伝票!$B:$B,$B10),SUMIFS(全伝票!O:O,全伝票!$C:$C,$C10)),IF($C10="",SUMIFS(全伝票!O:O,全伝票!$A:$A,$A10,全伝票!$B:$B,$B10),SUMIFS(全伝票!O:O,全伝票!$A:$A,$A10,全伝票!$C:$C,$C10)))</f>
        <v>0</v>
      </c>
      <c r="M10" s="278">
        <f>+IF($A10="",IF($C10="",SUMIFS(全伝票!P:P,全伝票!$B:$B,$B10),SUMIFS(全伝票!P:P,全伝票!$C:$C,$C10)),IF($C10="",SUMIFS(全伝票!P:P,全伝票!$A:$A,$A10,全伝票!$B:$B,$B10),SUMIFS(全伝票!P:P,全伝票!$A:$A,$A10,全伝票!$C:$C,$C10)))</f>
        <v>0</v>
      </c>
      <c r="N10" s="108">
        <f t="shared" si="1"/>
        <v>0</v>
      </c>
      <c r="O10" s="25">
        <f t="shared" si="3"/>
        <v>0</v>
      </c>
      <c r="P10" s="25">
        <f t="shared" si="2"/>
        <v>0</v>
      </c>
      <c r="Q10" s="157">
        <f t="shared" si="3"/>
        <v>0</v>
      </c>
      <c r="R10" s="157">
        <f t="shared" si="4"/>
        <v>0</v>
      </c>
      <c r="S10" s="22">
        <f t="shared" si="5"/>
        <v>0</v>
      </c>
      <c r="T10" s="109">
        <f t="shared" si="6"/>
        <v>0</v>
      </c>
      <c r="U10" s="107">
        <f t="shared" si="7"/>
        <v>0</v>
      </c>
      <c r="V10" s="107">
        <f t="shared" si="8"/>
        <v>0</v>
      </c>
      <c r="W10" s="107">
        <f t="shared" si="9"/>
        <v>0</v>
      </c>
      <c r="X10" s="107">
        <f t="shared" si="9"/>
        <v>0</v>
      </c>
      <c r="Y10" s="107">
        <f t="shared" si="10"/>
        <v>0</v>
      </c>
      <c r="Z10" s="106">
        <f t="shared" si="11"/>
        <v>0</v>
      </c>
      <c r="AA10" s="106">
        <f t="shared" si="12"/>
        <v>0</v>
      </c>
      <c r="AB10" s="106">
        <f t="shared" si="13"/>
        <v>0</v>
      </c>
      <c r="AC10" s="106">
        <f t="shared" si="14"/>
        <v>0</v>
      </c>
      <c r="AD10" s="106">
        <f t="shared" si="15"/>
        <v>0</v>
      </c>
    </row>
    <row r="11" spans="1:35">
      <c r="A11" s="165">
        <v>4</v>
      </c>
      <c r="B11" s="164" t="s">
        <v>474</v>
      </c>
      <c r="C11" s="163"/>
      <c r="D11" s="162" t="s">
        <v>100</v>
      </c>
      <c r="E11" s="158">
        <f>+IF($A11="",IF($C11="",SUMIFS(全伝票!I:I,全伝票!$B:$B,$B11),SUMIFS(全伝票!I:I,全伝票!$C:$C,$C11)),IF($C11="",SUMIFS(全伝票!I:I,全伝票!$A:$A,$A11,全伝票!$B:$B,$B11),SUMIFS(全伝票!I:I,全伝票!$A:$A,$A11,全伝票!$C:$C,$C11)))</f>
        <v>0</v>
      </c>
      <c r="F11" s="161">
        <f>+IF($A11="",IF($C11="",SUMIFS(全伝票!J:J,全伝票!$B:$B,$B11),SUMIFS(全伝票!J:J,全伝票!$C:$C,$C11)),IF($C11="",SUMIFS(全伝票!J:J,全伝票!$A:$A,$A11,全伝票!$B:$B,$B11),SUMIFS(全伝票!J:J,全伝票!$A:$A,$A11,全伝票!$C:$C,$C11)))</f>
        <v>0</v>
      </c>
      <c r="G11" s="160">
        <f>+IF($A11="",IF($C11="",SUMIFS(全伝票!K:K,全伝票!$B:$B,$B11),SUMIFS(全伝票!K:K,全伝票!$C:$C,$C11)),IF($C11="",SUMIFS(全伝票!K:K,全伝票!$A:$A,$A11,全伝票!$B:$B,$B11),SUMIFS(全伝票!K:K,全伝票!$A:$A,$A11,全伝票!$C:$C,$C11)))</f>
        <v>0</v>
      </c>
      <c r="H11" s="160">
        <f>+IF($A11="",IF($C11="",SUMIFS(全伝票!L:L,全伝票!$B:$B,$B11),SUMIFS(全伝票!L:L,全伝票!$C:$C,$C11)),IF($C11="",SUMIFS(全伝票!L:L,全伝票!$A:$A,$A11,全伝票!$B:$B,$B11),SUMIFS(全伝票!L:L,全伝票!$A:$A,$A11,全伝票!$C:$C,$C11)))</f>
        <v>0</v>
      </c>
      <c r="I11" s="159">
        <f>+IF($A11="",IF($C11="",SUMIFS(全伝票!M:M,全伝票!$B:$B,$B11),SUMIFS(全伝票!M:M,全伝票!$C:$C,$C11)),IF($C11="",SUMIFS(全伝票!M:M,全伝票!$A:$A,$A11,全伝票!$B:$B,$B11),SUMIFS(全伝票!M:M,全伝票!$A:$A,$A11,全伝票!$C:$C,$C11)))</f>
        <v>0</v>
      </c>
      <c r="J11" s="159">
        <f>+IF($A11="",IF($C11="",SUMIFS(全伝票!N:N,全伝票!$B:$B,$B11),SUMIFS(全伝票!N:N,全伝票!$C:$C,$C11)),IF($C11="",SUMIFS(全伝票!N:N,全伝票!$A:$A,$A11,全伝票!$B:$B,$B11),SUMIFS(全伝票!N:N,全伝票!$A:$A,$A11,全伝票!$C:$C,$C11)))</f>
        <v>0</v>
      </c>
      <c r="K11" s="34">
        <f t="shared" si="0"/>
        <v>0</v>
      </c>
      <c r="L11" s="158">
        <f>+IF($A11="",IF($C11="",SUMIFS(全伝票!O:O,全伝票!$B:$B,$B11),SUMIFS(全伝票!O:O,全伝票!$C:$C,$C11)),IF($C11="",SUMIFS(全伝票!O:O,全伝票!$A:$A,$A11,全伝票!$B:$B,$B11),SUMIFS(全伝票!O:O,全伝票!$A:$A,$A11,全伝票!$C:$C,$C11)))</f>
        <v>0</v>
      </c>
      <c r="M11" s="158">
        <f>+IF($A11="",IF($C11="",SUMIFS(全伝票!P:P,全伝票!$B:$B,$B11),SUMIFS(全伝票!P:P,全伝票!$C:$C,$C11)),IF($C11="",SUMIFS(全伝票!P:P,全伝票!$A:$A,$A11,全伝票!$B:$B,$B11),SUMIFS(全伝票!P:P,全伝票!$A:$A,$A11,全伝票!$C:$C,$C11)))</f>
        <v>0</v>
      </c>
      <c r="N11" s="108">
        <f t="shared" si="1"/>
        <v>0</v>
      </c>
      <c r="O11" s="25">
        <f t="shared" si="3"/>
        <v>0</v>
      </c>
      <c r="P11" s="25">
        <f t="shared" si="2"/>
        <v>0</v>
      </c>
      <c r="Q11" s="157">
        <f t="shared" si="3"/>
        <v>0</v>
      </c>
      <c r="R11" s="157">
        <f t="shared" si="4"/>
        <v>0</v>
      </c>
      <c r="S11" s="22">
        <f t="shared" si="5"/>
        <v>0</v>
      </c>
      <c r="T11" s="109">
        <f t="shared" si="6"/>
        <v>0</v>
      </c>
      <c r="U11" s="107">
        <f t="shared" si="7"/>
        <v>0</v>
      </c>
      <c r="V11" s="107">
        <f t="shared" si="8"/>
        <v>0</v>
      </c>
      <c r="W11" s="107">
        <f t="shared" si="9"/>
        <v>0</v>
      </c>
      <c r="X11" s="107">
        <f t="shared" si="9"/>
        <v>0</v>
      </c>
      <c r="Y11" s="107">
        <f t="shared" si="10"/>
        <v>0</v>
      </c>
      <c r="Z11" s="106">
        <f t="shared" si="11"/>
        <v>0</v>
      </c>
      <c r="AA11" s="106">
        <f t="shared" si="12"/>
        <v>0</v>
      </c>
      <c r="AB11" s="106">
        <f t="shared" si="13"/>
        <v>0</v>
      </c>
      <c r="AC11" s="106">
        <f t="shared" si="14"/>
        <v>0</v>
      </c>
      <c r="AD11" s="106">
        <f t="shared" si="15"/>
        <v>0</v>
      </c>
    </row>
    <row r="12" spans="1:35">
      <c r="A12" s="165">
        <v>4</v>
      </c>
      <c r="B12" s="164" t="s">
        <v>472</v>
      </c>
      <c r="C12" s="163" t="s">
        <v>473</v>
      </c>
      <c r="D12" s="162" t="s">
        <v>98</v>
      </c>
      <c r="E12" s="158">
        <f>+IF($A12="",IF($C12="",SUMIFS(全伝票!I:I,全伝票!$B:$B,$B12),SUMIFS(全伝票!I:I,全伝票!$C:$C,$C12)),IF($C12="",SUMIFS(全伝票!I:I,全伝票!$A:$A,$A12,全伝票!$B:$B,$B12),SUMIFS(全伝票!I:I,全伝票!$A:$A,$A12,全伝票!$C:$C,$C12)))</f>
        <v>2401</v>
      </c>
      <c r="F12" s="161">
        <f>+IF($A12="",IF($C12="",SUMIFS(全伝票!J:J,全伝票!$B:$B,$B12),SUMIFS(全伝票!J:J,全伝票!$C:$C,$C12)),IF($C12="",SUMIFS(全伝票!J:J,全伝票!$A:$A,$A12,全伝票!$B:$B,$B12),SUMIFS(全伝票!J:J,全伝票!$A:$A,$A12,全伝票!$C:$C,$C12)))</f>
        <v>0</v>
      </c>
      <c r="G12" s="160">
        <f>+IF($A12="",IF($C12="",SUMIFS(全伝票!K:K,全伝票!$B:$B,$B12),SUMIFS(全伝票!K:K,全伝票!$C:$C,$C12)),IF($C12="",SUMIFS(全伝票!K:K,全伝票!$A:$A,$A12,全伝票!$B:$B,$B12),SUMIFS(全伝票!K:K,全伝票!$A:$A,$A12,全伝票!$C:$C,$C12)))</f>
        <v>0</v>
      </c>
      <c r="H12" s="160">
        <f>+IF($A12="",IF($C12="",SUMIFS(全伝票!L:L,全伝票!$B:$B,$B12),SUMIFS(全伝票!L:L,全伝票!$C:$C,$C12)),IF($C12="",SUMIFS(全伝票!L:L,全伝票!$A:$A,$A12,全伝票!$B:$B,$B12),SUMIFS(全伝票!L:L,全伝票!$A:$A,$A12,全伝票!$C:$C,$C12)))</f>
        <v>0</v>
      </c>
      <c r="I12" s="159">
        <f>+IF($A12="",IF($C12="",SUMIFS(全伝票!M:M,全伝票!$B:$B,$B12),SUMIFS(全伝票!M:M,全伝票!$C:$C,$C12)),IF($C12="",SUMIFS(全伝票!M:M,全伝票!$A:$A,$A12,全伝票!$B:$B,$B12),SUMIFS(全伝票!M:M,全伝票!$A:$A,$A12,全伝票!$C:$C,$C12)))</f>
        <v>0</v>
      </c>
      <c r="J12" s="159">
        <f>+IF($A12="",IF($C12="",SUMIFS(全伝票!N:N,全伝票!$B:$B,$B12),SUMIFS(全伝票!N:N,全伝票!$C:$C,$C12)),IF($C12="",SUMIFS(全伝票!N:N,全伝票!$A:$A,$A12,全伝票!$B:$B,$B12),SUMIFS(全伝票!N:N,全伝票!$A:$A,$A12,全伝票!$C:$C,$C12)))</f>
        <v>2401</v>
      </c>
      <c r="K12" s="34">
        <f t="shared" si="0"/>
        <v>2401</v>
      </c>
      <c r="L12" s="158">
        <f>+IF($A12="",IF($C12="",SUMIFS(全伝票!O:O,全伝票!$B:$B,$B12),SUMIFS(全伝票!O:O,全伝票!$C:$C,$C12)),IF($C12="",SUMIFS(全伝票!O:O,全伝票!$A:$A,$A12,全伝票!$B:$B,$B12),SUMIFS(全伝票!O:O,全伝票!$A:$A,$A12,全伝票!$C:$C,$C12)))</f>
        <v>0</v>
      </c>
      <c r="M12" s="158">
        <f>+IF($A12="",IF($C12="",SUMIFS(全伝票!P:P,全伝票!$B:$B,$B12),SUMIFS(全伝票!P:P,全伝票!$C:$C,$C12)),IF($C12="",SUMIFS(全伝票!P:P,全伝票!$A:$A,$A12,全伝票!$B:$B,$B12),SUMIFS(全伝票!P:P,全伝票!$A:$A,$A12,全伝票!$C:$C,$C12)))</f>
        <v>0</v>
      </c>
      <c r="N12" s="108">
        <f t="shared" si="1"/>
        <v>0</v>
      </c>
      <c r="O12" s="25">
        <f t="shared" si="3"/>
        <v>0</v>
      </c>
      <c r="P12" s="25">
        <f t="shared" si="2"/>
        <v>0</v>
      </c>
      <c r="Q12" s="157">
        <f t="shared" si="3"/>
        <v>0</v>
      </c>
      <c r="R12" s="157">
        <f t="shared" si="4"/>
        <v>218</v>
      </c>
      <c r="S12" s="22">
        <f t="shared" si="5"/>
        <v>218</v>
      </c>
      <c r="T12" s="109">
        <f t="shared" si="6"/>
        <v>2183</v>
      </c>
      <c r="U12" s="107">
        <f t="shared" si="7"/>
        <v>0</v>
      </c>
      <c r="V12" s="107">
        <f t="shared" si="8"/>
        <v>0</v>
      </c>
      <c r="W12" s="107">
        <f t="shared" si="9"/>
        <v>0</v>
      </c>
      <c r="X12" s="107">
        <f t="shared" si="9"/>
        <v>0</v>
      </c>
      <c r="Y12" s="107">
        <f t="shared" si="10"/>
        <v>-0.27272727272728048</v>
      </c>
      <c r="Z12" s="106">
        <f t="shared" si="11"/>
        <v>0</v>
      </c>
      <c r="AA12" s="106">
        <f t="shared" si="12"/>
        <v>0</v>
      </c>
      <c r="AB12" s="106">
        <f t="shared" si="13"/>
        <v>0</v>
      </c>
      <c r="AC12" s="106">
        <f t="shared" si="14"/>
        <v>0</v>
      </c>
      <c r="AD12" s="106">
        <f t="shared" si="15"/>
        <v>0</v>
      </c>
    </row>
    <row r="13" spans="1:35">
      <c r="A13" s="165">
        <v>4</v>
      </c>
      <c r="B13" s="164" t="s">
        <v>472</v>
      </c>
      <c r="C13" s="163" t="s">
        <v>471</v>
      </c>
      <c r="D13" s="162" t="s">
        <v>95</v>
      </c>
      <c r="E13" s="158">
        <f>+IF($A13="",IF($C13="",SUMIFS(全伝票!I:I,全伝票!$B:$B,$B13),SUMIFS(全伝票!I:I,全伝票!$C:$C,$C13)),IF($C13="",SUMIFS(全伝票!I:I,全伝票!$A:$A,$A13,全伝票!$B:$B,$B13),SUMIFS(全伝票!I:I,全伝票!$A:$A,$A13,全伝票!$C:$C,$C13)))</f>
        <v>0</v>
      </c>
      <c r="F13" s="161">
        <f>+IF($A13="",IF($C13="",SUMIFS(全伝票!J:J,全伝票!$B:$B,$B13),SUMIFS(全伝票!J:J,全伝票!$C:$C,$C13)),IF($C13="",SUMIFS(全伝票!J:J,全伝票!$A:$A,$A13,全伝票!$B:$B,$B13),SUMIFS(全伝票!J:J,全伝票!$A:$A,$A13,全伝票!$C:$C,$C13)))</f>
        <v>0</v>
      </c>
      <c r="G13" s="160">
        <f>+IF($A13="",IF($C13="",SUMIFS(全伝票!K:K,全伝票!$B:$B,$B13),SUMIFS(全伝票!K:K,全伝票!$C:$C,$C13)),IF($C13="",SUMIFS(全伝票!K:K,全伝票!$A:$A,$A13,全伝票!$B:$B,$B13),SUMIFS(全伝票!K:K,全伝票!$A:$A,$A13,全伝票!$C:$C,$C13)))</f>
        <v>0</v>
      </c>
      <c r="H13" s="160">
        <f>+IF($A13="",IF($C13="",SUMIFS(全伝票!L:L,全伝票!$B:$B,$B13),SUMIFS(全伝票!L:L,全伝票!$C:$C,$C13)),IF($C13="",SUMIFS(全伝票!L:L,全伝票!$A:$A,$A13,全伝票!$B:$B,$B13),SUMIFS(全伝票!L:L,全伝票!$A:$A,$A13,全伝票!$C:$C,$C13)))</f>
        <v>0</v>
      </c>
      <c r="I13" s="159">
        <f>+IF($A13="",IF($C13="",SUMIFS(全伝票!M:M,全伝票!$B:$B,$B13),SUMIFS(全伝票!M:M,全伝票!$C:$C,$C13)),IF($C13="",SUMIFS(全伝票!M:M,全伝票!$A:$A,$A13,全伝票!$B:$B,$B13),SUMIFS(全伝票!M:M,全伝票!$A:$A,$A13,全伝票!$C:$C,$C13)))</f>
        <v>0</v>
      </c>
      <c r="J13" s="159">
        <f>+IF($A13="",IF($C13="",SUMIFS(全伝票!N:N,全伝票!$B:$B,$B13),SUMIFS(全伝票!N:N,全伝票!$C:$C,$C13)),IF($C13="",SUMIFS(全伝票!N:N,全伝票!$A:$A,$A13,全伝票!$B:$B,$B13),SUMIFS(全伝票!N:N,全伝票!$A:$A,$A13,全伝票!$C:$C,$C13)))</f>
        <v>0</v>
      </c>
      <c r="K13" s="34">
        <f t="shared" si="0"/>
        <v>0</v>
      </c>
      <c r="L13" s="158">
        <f>+IF($A13="",IF($C13="",SUMIFS(全伝票!O:O,全伝票!$B:$B,$B13),SUMIFS(全伝票!O:O,全伝票!$C:$C,$C13)),IF($C13="",SUMIFS(全伝票!O:O,全伝票!$A:$A,$A13,全伝票!$B:$B,$B13),SUMIFS(全伝票!O:O,全伝票!$A:$A,$A13,全伝票!$C:$C,$C13)))</f>
        <v>0</v>
      </c>
      <c r="M13" s="158">
        <f>+IF($A13="",IF($C13="",SUMIFS(全伝票!P:P,全伝票!$B:$B,$B13),SUMIFS(全伝票!P:P,全伝票!$C:$C,$C13)),IF($C13="",SUMIFS(全伝票!P:P,全伝票!$A:$A,$A13,全伝票!$B:$B,$B13),SUMIFS(全伝票!P:P,全伝票!$A:$A,$A13,全伝票!$C:$C,$C13)))</f>
        <v>0</v>
      </c>
      <c r="N13" s="108">
        <f t="shared" si="1"/>
        <v>0</v>
      </c>
      <c r="O13" s="25">
        <f t="shared" si="3"/>
        <v>0</v>
      </c>
      <c r="P13" s="25">
        <f t="shared" si="2"/>
        <v>0</v>
      </c>
      <c r="Q13" s="157">
        <f t="shared" si="3"/>
        <v>0</v>
      </c>
      <c r="R13" s="157">
        <f t="shared" si="4"/>
        <v>0</v>
      </c>
      <c r="S13" s="22">
        <f t="shared" si="5"/>
        <v>0</v>
      </c>
      <c r="T13" s="109">
        <f t="shared" si="6"/>
        <v>0</v>
      </c>
      <c r="U13" s="107">
        <f t="shared" si="7"/>
        <v>0</v>
      </c>
      <c r="V13" s="107">
        <f t="shared" si="8"/>
        <v>0</v>
      </c>
      <c r="W13" s="107">
        <f t="shared" si="9"/>
        <v>0</v>
      </c>
      <c r="X13" s="107">
        <f t="shared" si="9"/>
        <v>0</v>
      </c>
      <c r="Y13" s="107">
        <f t="shared" si="10"/>
        <v>0</v>
      </c>
      <c r="Z13" s="106">
        <f t="shared" si="11"/>
        <v>0</v>
      </c>
      <c r="AA13" s="106">
        <f t="shared" si="12"/>
        <v>0</v>
      </c>
      <c r="AB13" s="106">
        <f t="shared" si="13"/>
        <v>0</v>
      </c>
      <c r="AC13" s="106">
        <f t="shared" si="14"/>
        <v>0</v>
      </c>
      <c r="AD13" s="106">
        <f t="shared" si="15"/>
        <v>0</v>
      </c>
    </row>
    <row r="14" spans="1:35">
      <c r="A14" s="165">
        <v>4</v>
      </c>
      <c r="B14" s="164" t="s">
        <v>470</v>
      </c>
      <c r="C14" s="163"/>
      <c r="D14" s="162" t="s">
        <v>93</v>
      </c>
      <c r="E14" s="158">
        <f>+IF($A14="",IF($C14="",SUMIFS(全伝票!I:I,全伝票!$B:$B,$B14),SUMIFS(全伝票!I:I,全伝票!$C:$C,$C14)),IF($C14="",SUMIFS(全伝票!I:I,全伝票!$A:$A,$A14,全伝票!$B:$B,$B14),SUMIFS(全伝票!I:I,全伝票!$A:$A,$A14,全伝票!$C:$C,$C14)))</f>
        <v>36401</v>
      </c>
      <c r="F14" s="161">
        <f>+IF($A14="",IF($C14="",SUMIFS(全伝票!J:J,全伝票!$B:$B,$B14),SUMIFS(全伝票!J:J,全伝票!$C:$C,$C14)),IF($C14="",SUMIFS(全伝票!J:J,全伝票!$A:$A,$A14,全伝票!$B:$B,$B14),SUMIFS(全伝票!J:J,全伝票!$A:$A,$A14,全伝票!$C:$C,$C14)))</f>
        <v>0</v>
      </c>
      <c r="G14" s="160">
        <f>+IF($A14="",IF($C14="",SUMIFS(全伝票!K:K,全伝票!$B:$B,$B14),SUMIFS(全伝票!K:K,全伝票!$C:$C,$C14)),IF($C14="",SUMIFS(全伝票!K:K,全伝票!$A:$A,$A14,全伝票!$B:$B,$B14),SUMIFS(全伝票!K:K,全伝票!$A:$A,$A14,全伝票!$C:$C,$C14)))</f>
        <v>0</v>
      </c>
      <c r="H14" s="160">
        <f>+IF($A14="",IF($C14="",SUMIFS(全伝票!L:L,全伝票!$B:$B,$B14),SUMIFS(全伝票!L:L,全伝票!$C:$C,$C14)),IF($C14="",SUMIFS(全伝票!L:L,全伝票!$A:$A,$A14,全伝票!$B:$B,$B14),SUMIFS(全伝票!L:L,全伝票!$A:$A,$A14,全伝票!$C:$C,$C14)))</f>
        <v>0</v>
      </c>
      <c r="I14" s="159">
        <f>+IF($A14="",IF($C14="",SUMIFS(全伝票!M:M,全伝票!$B:$B,$B14),SUMIFS(全伝票!M:M,全伝票!$C:$C,$C14)),IF($C14="",SUMIFS(全伝票!M:M,全伝票!$A:$A,$A14,全伝票!$B:$B,$B14),SUMIFS(全伝票!M:M,全伝票!$A:$A,$A14,全伝票!$C:$C,$C14)))</f>
        <v>1529</v>
      </c>
      <c r="J14" s="159">
        <f>+IF($A14="",IF($C14="",SUMIFS(全伝票!N:N,全伝票!$B:$B,$B14),SUMIFS(全伝票!N:N,全伝票!$C:$C,$C14)),IF($C14="",SUMIFS(全伝票!N:N,全伝票!$A:$A,$A14,全伝票!$B:$B,$B14),SUMIFS(全伝票!N:N,全伝票!$A:$A,$A14,全伝票!$C:$C,$C14)))</f>
        <v>34872</v>
      </c>
      <c r="K14" s="34">
        <f t="shared" si="0"/>
        <v>36401</v>
      </c>
      <c r="L14" s="158">
        <f>+IF($A14="",IF($C14="",SUMIFS(全伝票!O:O,全伝票!$B:$B,$B14),SUMIFS(全伝票!O:O,全伝票!$C:$C,$C14)),IF($C14="",SUMIFS(全伝票!O:O,全伝票!$A:$A,$A14,全伝票!$B:$B,$B14),SUMIFS(全伝票!O:O,全伝票!$A:$A,$A14,全伝票!$C:$C,$C14)))</f>
        <v>0</v>
      </c>
      <c r="M14" s="158">
        <f>+IF($A14="",IF($C14="",SUMIFS(全伝票!P:P,全伝票!$B:$B,$B14),SUMIFS(全伝票!P:P,全伝票!$C:$C,$C14)),IF($C14="",SUMIFS(全伝票!P:P,全伝票!$A:$A,$A14,全伝票!$B:$B,$B14),SUMIFS(全伝票!P:P,全伝票!$A:$A,$A14,全伝票!$C:$C,$C14)))</f>
        <v>0</v>
      </c>
      <c r="N14" s="108">
        <f t="shared" si="1"/>
        <v>0</v>
      </c>
      <c r="O14" s="25">
        <f t="shared" si="3"/>
        <v>0</v>
      </c>
      <c r="P14" s="25">
        <f t="shared" si="2"/>
        <v>0</v>
      </c>
      <c r="Q14" s="157">
        <f t="shared" si="3"/>
        <v>113</v>
      </c>
      <c r="R14" s="157">
        <f t="shared" si="4"/>
        <v>3170</v>
      </c>
      <c r="S14" s="22">
        <f t="shared" si="5"/>
        <v>3283</v>
      </c>
      <c r="T14" s="109">
        <f t="shared" si="6"/>
        <v>33118</v>
      </c>
      <c r="U14" s="107">
        <f t="shared" si="7"/>
        <v>0</v>
      </c>
      <c r="V14" s="107">
        <f t="shared" si="8"/>
        <v>0</v>
      </c>
      <c r="W14" s="107">
        <f t="shared" si="9"/>
        <v>0</v>
      </c>
      <c r="X14" s="107">
        <f t="shared" si="9"/>
        <v>-0.25925925925925242</v>
      </c>
      <c r="Y14" s="107">
        <f t="shared" si="10"/>
        <v>-0.18181818181801646</v>
      </c>
      <c r="Z14" s="106">
        <f t="shared" si="11"/>
        <v>0</v>
      </c>
      <c r="AA14" s="106">
        <f t="shared" si="12"/>
        <v>0</v>
      </c>
      <c r="AB14" s="106">
        <f t="shared" si="13"/>
        <v>0</v>
      </c>
      <c r="AC14" s="106">
        <f t="shared" si="14"/>
        <v>0</v>
      </c>
      <c r="AD14" s="106">
        <f t="shared" si="15"/>
        <v>0</v>
      </c>
    </row>
    <row r="15" spans="1:35">
      <c r="A15" s="165">
        <v>4</v>
      </c>
      <c r="B15" s="164" t="s">
        <v>469</v>
      </c>
      <c r="C15" s="163"/>
      <c r="D15" s="162" t="s">
        <v>91</v>
      </c>
      <c r="E15" s="158">
        <f>+IF($A15="",IF($C15="",SUMIFS(全伝票!I:I,全伝票!$B:$B,$B15),SUMIFS(全伝票!I:I,全伝票!$C:$C,$C15)),IF($C15="",SUMIFS(全伝票!I:I,全伝票!$A:$A,$A15,全伝票!$B:$B,$B15),SUMIFS(全伝票!I:I,全伝票!$A:$A,$A15,全伝票!$C:$C,$C15)))</f>
        <v>507</v>
      </c>
      <c r="F15" s="161">
        <f>+IF($A15="",IF($C15="",SUMIFS(全伝票!J:J,全伝票!$B:$B,$B15),SUMIFS(全伝票!J:J,全伝票!$C:$C,$C15)),IF($C15="",SUMIFS(全伝票!J:J,全伝票!$A:$A,$A15,全伝票!$B:$B,$B15),SUMIFS(全伝票!J:J,全伝票!$A:$A,$A15,全伝票!$C:$C,$C15)))</f>
        <v>0</v>
      </c>
      <c r="G15" s="160">
        <f>+IF($A15="",IF($C15="",SUMIFS(全伝票!K:K,全伝票!$B:$B,$B15),SUMIFS(全伝票!K:K,全伝票!$C:$C,$C15)),IF($C15="",SUMIFS(全伝票!K:K,全伝票!$A:$A,$A15,全伝票!$B:$B,$B15),SUMIFS(全伝票!K:K,全伝票!$A:$A,$A15,全伝票!$C:$C,$C15)))</f>
        <v>0</v>
      </c>
      <c r="H15" s="160">
        <f>+IF($A15="",IF($C15="",SUMIFS(全伝票!L:L,全伝票!$B:$B,$B15),SUMIFS(全伝票!L:L,全伝票!$C:$C,$C15)),IF($C15="",SUMIFS(全伝票!L:L,全伝票!$A:$A,$A15,全伝票!$B:$B,$B15),SUMIFS(全伝票!L:L,全伝票!$A:$A,$A15,全伝票!$C:$C,$C15)))</f>
        <v>0</v>
      </c>
      <c r="I15" s="159">
        <f>+IF($A15="",IF($C15="",SUMIFS(全伝票!M:M,全伝票!$B:$B,$B15),SUMIFS(全伝票!M:M,全伝票!$C:$C,$C15)),IF($C15="",SUMIFS(全伝票!M:M,全伝票!$A:$A,$A15,全伝票!$B:$B,$B15),SUMIFS(全伝票!M:M,全伝票!$A:$A,$A15,全伝票!$C:$C,$C15)))</f>
        <v>0</v>
      </c>
      <c r="J15" s="159">
        <f>+IF($A15="",IF($C15="",SUMIFS(全伝票!N:N,全伝票!$B:$B,$B15),SUMIFS(全伝票!N:N,全伝票!$C:$C,$C15)),IF($C15="",SUMIFS(全伝票!N:N,全伝票!$A:$A,$A15,全伝票!$B:$B,$B15),SUMIFS(全伝票!N:N,全伝票!$A:$A,$A15,全伝票!$C:$C,$C15)))</f>
        <v>507</v>
      </c>
      <c r="K15" s="34">
        <f t="shared" si="0"/>
        <v>507</v>
      </c>
      <c r="L15" s="158">
        <f>+IF($A15="",IF($C15="",SUMIFS(全伝票!O:O,全伝票!$B:$B,$B15),SUMIFS(全伝票!O:O,全伝票!$C:$C,$C15)),IF($C15="",SUMIFS(全伝票!O:O,全伝票!$A:$A,$A15,全伝票!$B:$B,$B15),SUMIFS(全伝票!O:O,全伝票!$A:$A,$A15,全伝票!$C:$C,$C15)))</f>
        <v>0</v>
      </c>
      <c r="M15" s="158">
        <f>+IF($A15="",IF($C15="",SUMIFS(全伝票!P:P,全伝票!$B:$B,$B15),SUMIFS(全伝票!P:P,全伝票!$C:$C,$C15)),IF($C15="",SUMIFS(全伝票!P:P,全伝票!$A:$A,$A15,全伝票!$B:$B,$B15),SUMIFS(全伝票!P:P,全伝票!$A:$A,$A15,全伝票!$C:$C,$C15)))</f>
        <v>0</v>
      </c>
      <c r="N15" s="108">
        <f t="shared" si="1"/>
        <v>0</v>
      </c>
      <c r="O15" s="25">
        <f t="shared" si="3"/>
        <v>0</v>
      </c>
      <c r="P15" s="25">
        <f t="shared" si="2"/>
        <v>0</v>
      </c>
      <c r="Q15" s="157">
        <f t="shared" si="3"/>
        <v>0</v>
      </c>
      <c r="R15" s="157">
        <f t="shared" si="4"/>
        <v>46</v>
      </c>
      <c r="S15" s="22">
        <f t="shared" si="5"/>
        <v>46</v>
      </c>
      <c r="T15" s="109">
        <f t="shared" si="6"/>
        <v>461</v>
      </c>
      <c r="U15" s="107">
        <f t="shared" si="7"/>
        <v>0</v>
      </c>
      <c r="V15" s="107">
        <f t="shared" si="8"/>
        <v>0</v>
      </c>
      <c r="W15" s="107">
        <f t="shared" si="9"/>
        <v>0</v>
      </c>
      <c r="X15" s="107">
        <f t="shared" si="9"/>
        <v>0</v>
      </c>
      <c r="Y15" s="107">
        <f t="shared" si="10"/>
        <v>-9.0909090909093493E-2</v>
      </c>
      <c r="Z15" s="106">
        <f t="shared" si="11"/>
        <v>0</v>
      </c>
      <c r="AA15" s="106">
        <f t="shared" si="12"/>
        <v>0</v>
      </c>
      <c r="AB15" s="106">
        <f t="shared" si="13"/>
        <v>0</v>
      </c>
      <c r="AC15" s="106">
        <f t="shared" si="14"/>
        <v>0</v>
      </c>
      <c r="AD15" s="106">
        <f t="shared" si="15"/>
        <v>0</v>
      </c>
    </row>
    <row r="16" spans="1:35">
      <c r="A16" s="165">
        <v>4</v>
      </c>
      <c r="B16" s="164" t="s">
        <v>468</v>
      </c>
      <c r="C16" s="163"/>
      <c r="D16" s="162" t="s">
        <v>89</v>
      </c>
      <c r="E16" s="158">
        <f>+IF($A16="",IF($C16="",SUMIFS(全伝票!I:I,全伝票!$B:$B,$B16),SUMIFS(全伝票!I:I,全伝票!$C:$C,$C16)),IF($C16="",SUMIFS(全伝票!I:I,全伝票!$A:$A,$A16,全伝票!$B:$B,$B16),SUMIFS(全伝票!I:I,全伝票!$A:$A,$A16,全伝票!$C:$C,$C16)))</f>
        <v>0</v>
      </c>
      <c r="F16" s="161">
        <f>+IF($A16="",IF($C16="",SUMIFS(全伝票!J:J,全伝票!$B:$B,$B16),SUMIFS(全伝票!J:J,全伝票!$C:$C,$C16)),IF($C16="",SUMIFS(全伝票!J:J,全伝票!$A:$A,$A16,全伝票!$B:$B,$B16),SUMIFS(全伝票!J:J,全伝票!$A:$A,$A16,全伝票!$C:$C,$C16)))</f>
        <v>0</v>
      </c>
      <c r="G16" s="160">
        <f>+IF($A16="",IF($C16="",SUMIFS(全伝票!K:K,全伝票!$B:$B,$B16),SUMIFS(全伝票!K:K,全伝票!$C:$C,$C16)),IF($C16="",SUMIFS(全伝票!K:K,全伝票!$A:$A,$A16,全伝票!$B:$B,$B16),SUMIFS(全伝票!K:K,全伝票!$A:$A,$A16,全伝票!$C:$C,$C16)))</f>
        <v>0</v>
      </c>
      <c r="H16" s="160">
        <f>+IF($A16="",IF($C16="",SUMIFS(全伝票!L:L,全伝票!$B:$B,$B16),SUMIFS(全伝票!L:L,全伝票!$C:$C,$C16)),IF($C16="",SUMIFS(全伝票!L:L,全伝票!$A:$A,$A16,全伝票!$B:$B,$B16),SUMIFS(全伝票!L:L,全伝票!$A:$A,$A16,全伝票!$C:$C,$C16)))</f>
        <v>0</v>
      </c>
      <c r="I16" s="159">
        <f>+IF($A16="",IF($C16="",SUMIFS(全伝票!M:M,全伝票!$B:$B,$B16),SUMIFS(全伝票!M:M,全伝票!$C:$C,$C16)),IF($C16="",SUMIFS(全伝票!M:M,全伝票!$A:$A,$A16,全伝票!$B:$B,$B16),SUMIFS(全伝票!M:M,全伝票!$A:$A,$A16,全伝票!$C:$C,$C16)))</f>
        <v>0</v>
      </c>
      <c r="J16" s="159">
        <f>+IF($A16="",IF($C16="",SUMIFS(全伝票!N:N,全伝票!$B:$B,$B16),SUMIFS(全伝票!N:N,全伝票!$C:$C,$C16)),IF($C16="",SUMIFS(全伝票!N:N,全伝票!$A:$A,$A16,全伝票!$B:$B,$B16),SUMIFS(全伝票!N:N,全伝票!$A:$A,$A16,全伝票!$C:$C,$C16)))</f>
        <v>0</v>
      </c>
      <c r="K16" s="34">
        <f t="shared" si="0"/>
        <v>0</v>
      </c>
      <c r="L16" s="158">
        <f>+IF($A16="",IF($C16="",SUMIFS(全伝票!O:O,全伝票!$B:$B,$B16),SUMIFS(全伝票!O:O,全伝票!$C:$C,$C16)),IF($C16="",SUMIFS(全伝票!O:O,全伝票!$A:$A,$A16,全伝票!$B:$B,$B16),SUMIFS(全伝票!O:O,全伝票!$A:$A,$A16,全伝票!$C:$C,$C16)))</f>
        <v>0</v>
      </c>
      <c r="M16" s="158">
        <f>+IF($A16="",IF($C16="",SUMIFS(全伝票!P:P,全伝票!$B:$B,$B16),SUMIFS(全伝票!P:P,全伝票!$C:$C,$C16)),IF($C16="",SUMIFS(全伝票!P:P,全伝票!$A:$A,$A16,全伝票!$B:$B,$B16),SUMIFS(全伝票!P:P,全伝票!$A:$A,$A16,全伝票!$C:$C,$C16)))</f>
        <v>0</v>
      </c>
      <c r="N16" s="108">
        <f t="shared" si="1"/>
        <v>0</v>
      </c>
      <c r="O16" s="25">
        <f t="shared" si="3"/>
        <v>0</v>
      </c>
      <c r="P16" s="25">
        <f t="shared" si="2"/>
        <v>0</v>
      </c>
      <c r="Q16" s="157">
        <f t="shared" si="3"/>
        <v>0</v>
      </c>
      <c r="R16" s="157">
        <f t="shared" si="4"/>
        <v>0</v>
      </c>
      <c r="S16" s="22">
        <f t="shared" si="5"/>
        <v>0</v>
      </c>
      <c r="T16" s="109">
        <f t="shared" si="6"/>
        <v>0</v>
      </c>
      <c r="U16" s="107">
        <f t="shared" si="7"/>
        <v>0</v>
      </c>
      <c r="V16" s="107">
        <f t="shared" si="8"/>
        <v>0</v>
      </c>
      <c r="W16" s="107">
        <f t="shared" si="9"/>
        <v>0</v>
      </c>
      <c r="X16" s="107">
        <f t="shared" si="9"/>
        <v>0</v>
      </c>
      <c r="Y16" s="107">
        <f t="shared" si="10"/>
        <v>0</v>
      </c>
      <c r="Z16" s="106">
        <f t="shared" si="11"/>
        <v>0</v>
      </c>
      <c r="AA16" s="106">
        <f t="shared" si="12"/>
        <v>0</v>
      </c>
      <c r="AB16" s="106">
        <f t="shared" si="13"/>
        <v>0</v>
      </c>
      <c r="AC16" s="106">
        <f t="shared" si="14"/>
        <v>0</v>
      </c>
      <c r="AD16" s="106">
        <f t="shared" si="15"/>
        <v>0</v>
      </c>
    </row>
    <row r="17" spans="1:35">
      <c r="A17" s="165">
        <v>4</v>
      </c>
      <c r="B17" s="164" t="s">
        <v>467</v>
      </c>
      <c r="C17" s="163"/>
      <c r="D17" s="162" t="s">
        <v>87</v>
      </c>
      <c r="E17" s="158">
        <f>+IF($A17="",IF($C17="",SUMIFS(全伝票!I:I,全伝票!$B:$B,$B17),SUMIFS(全伝票!I:I,全伝票!$C:$C,$C17)),IF($C17="",SUMIFS(全伝票!I:I,全伝票!$A:$A,$A17,全伝票!$B:$B,$B17),SUMIFS(全伝票!I:I,全伝票!$A:$A,$A17,全伝票!$C:$C,$C17)))</f>
        <v>249</v>
      </c>
      <c r="F17" s="161">
        <f>+IF($A17="",IF($C17="",SUMIFS(全伝票!J:J,全伝票!$B:$B,$B17),SUMIFS(全伝票!J:J,全伝票!$C:$C,$C17)),IF($C17="",SUMIFS(全伝票!J:J,全伝票!$A:$A,$A17,全伝票!$B:$B,$B17),SUMIFS(全伝票!J:J,全伝票!$A:$A,$A17,全伝票!$C:$C,$C17)))</f>
        <v>0</v>
      </c>
      <c r="G17" s="160">
        <f>+IF($A17="",IF($C17="",SUMIFS(全伝票!K:K,全伝票!$B:$B,$B17),SUMIFS(全伝票!K:K,全伝票!$C:$C,$C17)),IF($C17="",SUMIFS(全伝票!K:K,全伝票!$A:$A,$A17,全伝票!$B:$B,$B17),SUMIFS(全伝票!K:K,全伝票!$A:$A,$A17,全伝票!$C:$C,$C17)))</f>
        <v>0</v>
      </c>
      <c r="H17" s="160">
        <f>+IF($A17="",IF($C17="",SUMIFS(全伝票!L:L,全伝票!$B:$B,$B17),SUMIFS(全伝票!L:L,全伝票!$C:$C,$C17)),IF($C17="",SUMIFS(全伝票!L:L,全伝票!$A:$A,$A17,全伝票!$B:$B,$B17),SUMIFS(全伝票!L:L,全伝票!$A:$A,$A17,全伝票!$C:$C,$C17)))</f>
        <v>0</v>
      </c>
      <c r="I17" s="159">
        <f>+IF($A17="",IF($C17="",SUMIFS(全伝票!M:M,全伝票!$B:$B,$B17),SUMIFS(全伝票!M:M,全伝票!$C:$C,$C17)),IF($C17="",SUMIFS(全伝票!M:M,全伝票!$A:$A,$A17,全伝票!$B:$B,$B17),SUMIFS(全伝票!M:M,全伝票!$A:$A,$A17,全伝票!$C:$C,$C17)))</f>
        <v>0</v>
      </c>
      <c r="J17" s="159">
        <f>+IF($A17="",IF($C17="",SUMIFS(全伝票!N:N,全伝票!$B:$B,$B17),SUMIFS(全伝票!N:N,全伝票!$C:$C,$C17)),IF($C17="",SUMIFS(全伝票!N:N,全伝票!$A:$A,$A17,全伝票!$B:$B,$B17),SUMIFS(全伝票!N:N,全伝票!$A:$A,$A17,全伝票!$C:$C,$C17)))</f>
        <v>249</v>
      </c>
      <c r="K17" s="34">
        <f t="shared" si="0"/>
        <v>249</v>
      </c>
      <c r="L17" s="158">
        <f>+IF($A17="",IF($C17="",SUMIFS(全伝票!O:O,全伝票!$B:$B,$B17),SUMIFS(全伝票!O:O,全伝票!$C:$C,$C17)),IF($C17="",SUMIFS(全伝票!O:O,全伝票!$A:$A,$A17,全伝票!$B:$B,$B17),SUMIFS(全伝票!O:O,全伝票!$A:$A,$A17,全伝票!$C:$C,$C17)))</f>
        <v>0</v>
      </c>
      <c r="M17" s="158">
        <f>+IF($A17="",IF($C17="",SUMIFS(全伝票!P:P,全伝票!$B:$B,$B17),SUMIFS(全伝票!P:P,全伝票!$C:$C,$C17)),IF($C17="",SUMIFS(全伝票!P:P,全伝票!$A:$A,$A17,全伝票!$B:$B,$B17),SUMIFS(全伝票!P:P,全伝票!$A:$A,$A17,全伝票!$C:$C,$C17)))</f>
        <v>0</v>
      </c>
      <c r="N17" s="108">
        <f t="shared" si="1"/>
        <v>0</v>
      </c>
      <c r="O17" s="25">
        <f t="shared" si="3"/>
        <v>0</v>
      </c>
      <c r="P17" s="25">
        <f t="shared" si="2"/>
        <v>0</v>
      </c>
      <c r="Q17" s="157">
        <f t="shared" si="3"/>
        <v>0</v>
      </c>
      <c r="R17" s="157">
        <f t="shared" si="4"/>
        <v>23</v>
      </c>
      <c r="S17" s="22">
        <f t="shared" si="5"/>
        <v>23</v>
      </c>
      <c r="T17" s="109">
        <f t="shared" si="6"/>
        <v>226</v>
      </c>
      <c r="U17" s="107">
        <f t="shared" si="7"/>
        <v>0</v>
      </c>
      <c r="V17" s="107">
        <f t="shared" si="8"/>
        <v>0</v>
      </c>
      <c r="W17" s="107">
        <f t="shared" si="9"/>
        <v>0</v>
      </c>
      <c r="X17" s="107">
        <f t="shared" si="9"/>
        <v>0</v>
      </c>
      <c r="Y17" s="107">
        <f t="shared" si="10"/>
        <v>0.36363636363636331</v>
      </c>
      <c r="Z17" s="106">
        <f t="shared" si="11"/>
        <v>0</v>
      </c>
      <c r="AA17" s="106">
        <f t="shared" si="12"/>
        <v>0</v>
      </c>
      <c r="AB17" s="106">
        <f t="shared" si="13"/>
        <v>0</v>
      </c>
      <c r="AC17" s="106">
        <f t="shared" si="14"/>
        <v>0</v>
      </c>
      <c r="AD17" s="106">
        <f t="shared" si="15"/>
        <v>0</v>
      </c>
    </row>
    <row r="18" spans="1:35">
      <c r="A18" s="165">
        <v>4</v>
      </c>
      <c r="B18" s="164" t="s">
        <v>466</v>
      </c>
      <c r="C18" s="163"/>
      <c r="D18" s="162" t="s">
        <v>85</v>
      </c>
      <c r="E18" s="158">
        <f>+IF($A18="",IF($C18="",SUMIFS(全伝票!I:I,全伝票!$B:$B,$B18),SUMIFS(全伝票!I:I,全伝票!$C:$C,$C18)),IF($C18="",SUMIFS(全伝票!I:I,全伝票!$A:$A,$A18,全伝票!$B:$B,$B18),SUMIFS(全伝票!I:I,全伝票!$A:$A,$A18,全伝票!$C:$C,$C18)))</f>
        <v>5444939</v>
      </c>
      <c r="F18" s="161">
        <f>+IF($A18="",IF($C18="",SUMIFS(全伝票!J:J,全伝票!$B:$B,$B18),SUMIFS(全伝票!J:J,全伝票!$C:$C,$C18)),IF($C18="",SUMIFS(全伝票!J:J,全伝票!$A:$A,$A18,全伝票!$B:$B,$B18),SUMIFS(全伝票!J:J,全伝票!$A:$A,$A18,全伝票!$C:$C,$C18)))</f>
        <v>0</v>
      </c>
      <c r="G18" s="160">
        <f>+IF($A18="",IF($C18="",SUMIFS(全伝票!K:K,全伝票!$B:$B,$B18),SUMIFS(全伝票!K:K,全伝票!$C:$C,$C18)),IF($C18="",SUMIFS(全伝票!K:K,全伝票!$A:$A,$A18,全伝票!$B:$B,$B18),SUMIFS(全伝票!K:K,全伝票!$A:$A,$A18,全伝票!$C:$C,$C18)))</f>
        <v>0</v>
      </c>
      <c r="H18" s="160">
        <f>+IF($A18="",IF($C18="",SUMIFS(全伝票!L:L,全伝票!$B:$B,$B18),SUMIFS(全伝票!L:L,全伝票!$C:$C,$C18)),IF($C18="",SUMIFS(全伝票!L:L,全伝票!$A:$A,$A18,全伝票!$B:$B,$B18),SUMIFS(全伝票!L:L,全伝票!$A:$A,$A18,全伝票!$C:$C,$C18)))</f>
        <v>0</v>
      </c>
      <c r="I18" s="159">
        <f>+IF($A18="",IF($C18="",SUMIFS(全伝票!M:M,全伝票!$B:$B,$B18),SUMIFS(全伝票!M:M,全伝票!$C:$C,$C18)),IF($C18="",SUMIFS(全伝票!M:M,全伝票!$A:$A,$A18,全伝票!$B:$B,$B18),SUMIFS(全伝票!M:M,全伝票!$A:$A,$A18,全伝票!$C:$C,$C18)))</f>
        <v>0</v>
      </c>
      <c r="J18" s="159">
        <f>+IF($A18="",IF($C18="",SUMIFS(全伝票!N:N,全伝票!$B:$B,$B18),SUMIFS(全伝票!N:N,全伝票!$C:$C,$C18)),IF($C18="",SUMIFS(全伝票!N:N,全伝票!$A:$A,$A18,全伝票!$B:$B,$B18),SUMIFS(全伝票!N:N,全伝票!$A:$A,$A18,全伝票!$C:$C,$C18)))</f>
        <v>898</v>
      </c>
      <c r="K18" s="34">
        <f t="shared" si="0"/>
        <v>898</v>
      </c>
      <c r="L18" s="158">
        <f>+IF($A18="",IF($C18="",SUMIFS(全伝票!O:O,全伝票!$B:$B,$B18),SUMIFS(全伝票!O:O,全伝票!$C:$C,$C18)),IF($C18="",SUMIFS(全伝票!O:O,全伝票!$A:$A,$A18,全伝票!$B:$B,$B18),SUMIFS(全伝票!O:O,全伝票!$A:$A,$A18,全伝票!$C:$C,$C18)))</f>
        <v>5444041</v>
      </c>
      <c r="M18" s="158">
        <f>+IF($A18="",IF($C18="",SUMIFS(全伝票!P:P,全伝票!$B:$B,$B18),SUMIFS(全伝票!P:P,全伝票!$C:$C,$C18)),IF($C18="",SUMIFS(全伝票!P:P,全伝票!$A:$A,$A18,全伝票!$B:$B,$B18),SUMIFS(全伝票!P:P,全伝票!$A:$A,$A18,全伝票!$C:$C,$C18)))</f>
        <v>0</v>
      </c>
      <c r="N18" s="108">
        <f t="shared" si="1"/>
        <v>0</v>
      </c>
      <c r="O18" s="25">
        <f t="shared" si="3"/>
        <v>0</v>
      </c>
      <c r="P18" s="25">
        <f t="shared" si="2"/>
        <v>0</v>
      </c>
      <c r="Q18" s="157">
        <f t="shared" si="3"/>
        <v>0</v>
      </c>
      <c r="R18" s="157">
        <f t="shared" si="4"/>
        <v>82</v>
      </c>
      <c r="S18" s="22">
        <f t="shared" si="5"/>
        <v>82</v>
      </c>
      <c r="T18" s="109">
        <f t="shared" si="6"/>
        <v>5444857</v>
      </c>
      <c r="U18" s="107">
        <f t="shared" si="7"/>
        <v>0</v>
      </c>
      <c r="V18" s="107">
        <f t="shared" si="8"/>
        <v>0</v>
      </c>
      <c r="W18" s="107">
        <f t="shared" si="9"/>
        <v>0</v>
      </c>
      <c r="X18" s="107">
        <f t="shared" si="9"/>
        <v>0</v>
      </c>
      <c r="Y18" s="107">
        <f t="shared" si="10"/>
        <v>0.36363636363635976</v>
      </c>
      <c r="Z18" s="106">
        <f t="shared" si="11"/>
        <v>0</v>
      </c>
      <c r="AA18" s="106">
        <f t="shared" si="12"/>
        <v>0</v>
      </c>
      <c r="AB18" s="106">
        <f t="shared" si="13"/>
        <v>0</v>
      </c>
      <c r="AC18" s="106">
        <f t="shared" si="14"/>
        <v>0</v>
      </c>
      <c r="AD18" s="106">
        <f t="shared" si="15"/>
        <v>0</v>
      </c>
    </row>
    <row r="19" spans="1:35">
      <c r="A19" s="165">
        <v>4</v>
      </c>
      <c r="B19" s="164" t="s">
        <v>465</v>
      </c>
      <c r="C19" s="163"/>
      <c r="D19" s="162" t="s">
        <v>83</v>
      </c>
      <c r="E19" s="158">
        <f>+IF($A19="",IF($C19="",SUMIFS(全伝票!I:I,全伝票!$B:$B,$B19),SUMIFS(全伝票!I:I,全伝票!$C:$C,$C19)),IF($C19="",SUMIFS(全伝票!I:I,全伝票!$A:$A,$A19,全伝票!$B:$B,$B19),SUMIFS(全伝票!I:I,全伝票!$A:$A,$A19,全伝票!$C:$C,$C19)))</f>
        <v>1905</v>
      </c>
      <c r="F19" s="161">
        <f>+IF($A19="",IF($C19="",SUMIFS(全伝票!J:J,全伝票!$B:$B,$B19),SUMIFS(全伝票!J:J,全伝票!$C:$C,$C19)),IF($C19="",SUMIFS(全伝票!J:J,全伝票!$A:$A,$A19,全伝票!$B:$B,$B19),SUMIFS(全伝票!J:J,全伝票!$A:$A,$A19,全伝票!$C:$C,$C19)))</f>
        <v>0</v>
      </c>
      <c r="G19" s="160">
        <f>+IF($A19="",IF($C19="",SUMIFS(全伝票!K:K,全伝票!$B:$B,$B19),SUMIFS(全伝票!K:K,全伝票!$C:$C,$C19)),IF($C19="",SUMIFS(全伝票!K:K,全伝票!$A:$A,$A19,全伝票!$B:$B,$B19),SUMIFS(全伝票!K:K,全伝票!$A:$A,$A19,全伝票!$C:$C,$C19)))</f>
        <v>0</v>
      </c>
      <c r="H19" s="160">
        <f>+IF($A19="",IF($C19="",SUMIFS(全伝票!L:L,全伝票!$B:$B,$B19),SUMIFS(全伝票!L:L,全伝票!$C:$C,$C19)),IF($C19="",SUMIFS(全伝票!L:L,全伝票!$A:$A,$A19,全伝票!$B:$B,$B19),SUMIFS(全伝票!L:L,全伝票!$A:$A,$A19,全伝票!$C:$C,$C19)))</f>
        <v>0</v>
      </c>
      <c r="I19" s="159">
        <f>+IF($A19="",IF($C19="",SUMIFS(全伝票!M:M,全伝票!$B:$B,$B19),SUMIFS(全伝票!M:M,全伝票!$C:$C,$C19)),IF($C19="",SUMIFS(全伝票!M:M,全伝票!$A:$A,$A19,全伝票!$B:$B,$B19),SUMIFS(全伝票!M:M,全伝票!$A:$A,$A19,全伝票!$C:$C,$C19)))</f>
        <v>0</v>
      </c>
      <c r="J19" s="159">
        <f>+IF($A19="",IF($C19="",SUMIFS(全伝票!N:N,全伝票!$B:$B,$B19),SUMIFS(全伝票!N:N,全伝票!$C:$C,$C19)),IF($C19="",SUMIFS(全伝票!N:N,全伝票!$A:$A,$A19,全伝票!$B:$B,$B19),SUMIFS(全伝票!N:N,全伝票!$A:$A,$A19,全伝票!$C:$C,$C19)))</f>
        <v>1765</v>
      </c>
      <c r="K19" s="34">
        <f t="shared" si="0"/>
        <v>1765</v>
      </c>
      <c r="L19" s="158">
        <f>+IF($A19="",IF($C19="",SUMIFS(全伝票!O:O,全伝票!$B:$B,$B19),SUMIFS(全伝票!O:O,全伝票!$C:$C,$C19)),IF($C19="",SUMIFS(全伝票!O:O,全伝票!$A:$A,$A19,全伝票!$B:$B,$B19),SUMIFS(全伝票!O:O,全伝票!$A:$A,$A19,全伝票!$C:$C,$C19)))</f>
        <v>140</v>
      </c>
      <c r="M19" s="158">
        <f>+IF($A19="",IF($C19="",SUMIFS(全伝票!P:P,全伝票!$B:$B,$B19),SUMIFS(全伝票!P:P,全伝票!$C:$C,$C19)),IF($C19="",SUMIFS(全伝票!P:P,全伝票!$A:$A,$A19,全伝票!$B:$B,$B19),SUMIFS(全伝票!P:P,全伝票!$A:$A,$A19,全伝票!$C:$C,$C19)))</f>
        <v>0</v>
      </c>
      <c r="N19" s="108">
        <f t="shared" si="1"/>
        <v>0</v>
      </c>
      <c r="O19" s="25">
        <f t="shared" si="3"/>
        <v>0</v>
      </c>
      <c r="P19" s="25">
        <f t="shared" si="2"/>
        <v>0</v>
      </c>
      <c r="Q19" s="157">
        <f t="shared" si="3"/>
        <v>0</v>
      </c>
      <c r="R19" s="157">
        <f t="shared" si="4"/>
        <v>160</v>
      </c>
      <c r="S19" s="22">
        <f t="shared" si="5"/>
        <v>160</v>
      </c>
      <c r="T19" s="109">
        <f t="shared" si="6"/>
        <v>1745</v>
      </c>
      <c r="U19" s="107">
        <f t="shared" si="7"/>
        <v>0</v>
      </c>
      <c r="V19" s="107">
        <f t="shared" si="8"/>
        <v>0</v>
      </c>
      <c r="W19" s="107">
        <f t="shared" si="9"/>
        <v>0</v>
      </c>
      <c r="X19" s="107">
        <f t="shared" si="9"/>
        <v>0</v>
      </c>
      <c r="Y19" s="107">
        <f t="shared" si="10"/>
        <v>-0.45454545454546746</v>
      </c>
      <c r="Z19" s="106">
        <f t="shared" si="11"/>
        <v>0</v>
      </c>
      <c r="AA19" s="106">
        <f t="shared" si="12"/>
        <v>0</v>
      </c>
      <c r="AB19" s="106">
        <f t="shared" si="13"/>
        <v>0</v>
      </c>
      <c r="AC19" s="106">
        <f t="shared" si="14"/>
        <v>0</v>
      </c>
      <c r="AD19" s="106">
        <f t="shared" si="15"/>
        <v>0</v>
      </c>
    </row>
    <row r="20" spans="1:35">
      <c r="A20" s="165">
        <v>4</v>
      </c>
      <c r="B20" s="164" t="s">
        <v>464</v>
      </c>
      <c r="C20" s="163"/>
      <c r="D20" s="162" t="s">
        <v>81</v>
      </c>
      <c r="E20" s="158">
        <f>+IF($A20="",IF($C20="",SUMIFS(全伝票!I:I,全伝票!$B:$B,$B20),SUMIFS(全伝票!I:I,全伝票!$C:$C,$C20)),IF($C20="",SUMIFS(全伝票!I:I,全伝票!$A:$A,$A20,全伝票!$B:$B,$B20),SUMIFS(全伝票!I:I,全伝票!$A:$A,$A20,全伝票!$C:$C,$C20)))</f>
        <v>65215024</v>
      </c>
      <c r="F20" s="161">
        <f>+IF($A20="",IF($C20="",SUMIFS(全伝票!J:J,全伝票!$B:$B,$B20),SUMIFS(全伝票!J:J,全伝票!$C:$C,$C20)),IF($C20="",SUMIFS(全伝票!J:J,全伝票!$A:$A,$A20,全伝票!$B:$B,$B20),SUMIFS(全伝票!J:J,全伝票!$A:$A,$A20,全伝票!$C:$C,$C20)))</f>
        <v>0</v>
      </c>
      <c r="G20" s="160">
        <f>+IF($A20="",IF($C20="",SUMIFS(全伝票!K:K,全伝票!$B:$B,$B20),SUMIFS(全伝票!K:K,全伝票!$C:$C,$C20)),IF($C20="",SUMIFS(全伝票!K:K,全伝票!$A:$A,$A20,全伝票!$B:$B,$B20),SUMIFS(全伝票!K:K,全伝票!$A:$A,$A20,全伝票!$C:$C,$C20)))</f>
        <v>0</v>
      </c>
      <c r="H20" s="160">
        <f>+IF($A20="",IF($C20="",SUMIFS(全伝票!L:L,全伝票!$B:$B,$B20),SUMIFS(全伝票!L:L,全伝票!$C:$C,$C20)),IF($C20="",SUMIFS(全伝票!L:L,全伝票!$A:$A,$A20,全伝票!$B:$B,$B20),SUMIFS(全伝票!L:L,全伝票!$A:$A,$A20,全伝票!$C:$C,$C20)))</f>
        <v>0</v>
      </c>
      <c r="I20" s="159">
        <f>+IF($A20="",IF($C20="",SUMIFS(全伝票!M:M,全伝票!$B:$B,$B20),SUMIFS(全伝票!M:M,全伝票!$C:$C,$C20)),IF($C20="",SUMIFS(全伝票!M:M,全伝票!$A:$A,$A20,全伝票!$B:$B,$B20),SUMIFS(全伝票!M:M,全伝票!$A:$A,$A20,全伝票!$C:$C,$C20)))</f>
        <v>0</v>
      </c>
      <c r="J20" s="159">
        <f>+IF($A20="",IF($C20="",SUMIFS(全伝票!N:N,全伝票!$B:$B,$B20),SUMIFS(全伝票!N:N,全伝票!$C:$C,$C20)),IF($C20="",SUMIFS(全伝票!N:N,全伝票!$A:$A,$A20,全伝票!$B:$B,$B20),SUMIFS(全伝票!N:N,全伝票!$A:$A,$A20,全伝票!$C:$C,$C20)))</f>
        <v>65215024</v>
      </c>
      <c r="K20" s="34">
        <f t="shared" si="0"/>
        <v>65215024</v>
      </c>
      <c r="L20" s="158">
        <f>+IF($A20="",IF($C20="",SUMIFS(全伝票!O:O,全伝票!$B:$B,$B20),SUMIFS(全伝票!O:O,全伝票!$C:$C,$C20)),IF($C20="",SUMIFS(全伝票!O:O,全伝票!$A:$A,$A20,全伝票!$B:$B,$B20),SUMIFS(全伝票!O:O,全伝票!$A:$A,$A20,全伝票!$C:$C,$C20)))</f>
        <v>0</v>
      </c>
      <c r="M20" s="158">
        <f>+IF($A20="",IF($C20="",SUMIFS(全伝票!P:P,全伝票!$B:$B,$B20),SUMIFS(全伝票!P:P,全伝票!$C:$C,$C20)),IF($C20="",SUMIFS(全伝票!P:P,全伝票!$A:$A,$A20,全伝票!$B:$B,$B20),SUMIFS(全伝票!P:P,全伝票!$A:$A,$A20,全伝票!$C:$C,$C20)))</f>
        <v>0</v>
      </c>
      <c r="N20" s="108">
        <f t="shared" si="1"/>
        <v>0</v>
      </c>
      <c r="O20" s="25">
        <f t="shared" si="3"/>
        <v>0</v>
      </c>
      <c r="P20" s="25">
        <f t="shared" si="2"/>
        <v>0</v>
      </c>
      <c r="Q20" s="157">
        <f t="shared" si="3"/>
        <v>0</v>
      </c>
      <c r="R20" s="157">
        <f t="shared" si="4"/>
        <v>5928638</v>
      </c>
      <c r="S20" s="22">
        <f t="shared" si="5"/>
        <v>5928638</v>
      </c>
      <c r="T20" s="109">
        <f t="shared" si="6"/>
        <v>59286386</v>
      </c>
      <c r="U20" s="107">
        <f t="shared" si="7"/>
        <v>0</v>
      </c>
      <c r="V20" s="107">
        <f t="shared" si="8"/>
        <v>0</v>
      </c>
      <c r="W20" s="107">
        <f t="shared" si="9"/>
        <v>0</v>
      </c>
      <c r="X20" s="107">
        <f t="shared" si="9"/>
        <v>0</v>
      </c>
      <c r="Y20" s="107">
        <f t="shared" si="10"/>
        <v>-0.5454545458778739</v>
      </c>
      <c r="Z20" s="106">
        <f t="shared" si="11"/>
        <v>0</v>
      </c>
      <c r="AA20" s="106">
        <f t="shared" si="12"/>
        <v>0</v>
      </c>
      <c r="AB20" s="106">
        <f t="shared" si="13"/>
        <v>0</v>
      </c>
      <c r="AC20" s="106">
        <f t="shared" si="14"/>
        <v>0</v>
      </c>
      <c r="AD20" s="106">
        <f t="shared" si="15"/>
        <v>0</v>
      </c>
      <c r="AI20" s="2">
        <v>-1</v>
      </c>
    </row>
    <row r="21" spans="1:35">
      <c r="A21" s="165">
        <v>4</v>
      </c>
      <c r="B21" s="164" t="s">
        <v>463</v>
      </c>
      <c r="C21" s="163"/>
      <c r="D21" s="162" t="s">
        <v>79</v>
      </c>
      <c r="E21" s="158">
        <f>+IF($A21="",IF($C21="",SUMIFS(全伝票!I:I,全伝票!$B:$B,$B21),SUMIFS(全伝票!I:I,全伝票!$C:$C,$C21)),IF($C21="",SUMIFS(全伝票!I:I,全伝票!$A:$A,$A21,全伝票!$B:$B,$B21),SUMIFS(全伝票!I:I,全伝票!$A:$A,$A21,全伝票!$C:$C,$C21)))</f>
        <v>4963548</v>
      </c>
      <c r="F21" s="161">
        <f>+IF($A21="",IF($C21="",SUMIFS(全伝票!J:J,全伝票!$B:$B,$B21),SUMIFS(全伝票!J:J,全伝票!$C:$C,$C21)),IF($C21="",SUMIFS(全伝票!J:J,全伝票!$A:$A,$A21,全伝票!$B:$B,$B21),SUMIFS(全伝票!J:J,全伝票!$A:$A,$A21,全伝票!$C:$C,$C21)))</f>
        <v>0</v>
      </c>
      <c r="G21" s="160">
        <f>+IF($A21="",IF($C21="",SUMIFS(全伝票!K:K,全伝票!$B:$B,$B21),SUMIFS(全伝票!K:K,全伝票!$C:$C,$C21)),IF($C21="",SUMIFS(全伝票!K:K,全伝票!$A:$A,$A21,全伝票!$B:$B,$B21),SUMIFS(全伝票!K:K,全伝票!$A:$A,$A21,全伝票!$C:$C,$C21)))</f>
        <v>0</v>
      </c>
      <c r="H21" s="160">
        <f>+IF($A21="",IF($C21="",SUMIFS(全伝票!L:L,全伝票!$B:$B,$B21),SUMIFS(全伝票!L:L,全伝票!$C:$C,$C21)),IF($C21="",SUMIFS(全伝票!L:L,全伝票!$A:$A,$A21,全伝票!$B:$B,$B21),SUMIFS(全伝票!L:L,全伝票!$A:$A,$A21,全伝票!$C:$C,$C21)))</f>
        <v>0</v>
      </c>
      <c r="I21" s="159">
        <f>+IF($A21="",IF($C21="",SUMIFS(全伝票!M:M,全伝票!$B:$B,$B21),SUMIFS(全伝票!M:M,全伝票!$C:$C,$C21)),IF($C21="",SUMIFS(全伝票!M:M,全伝票!$A:$A,$A21,全伝票!$B:$B,$B21),SUMIFS(全伝票!M:M,全伝票!$A:$A,$A21,全伝票!$C:$C,$C21)))</f>
        <v>0</v>
      </c>
      <c r="J21" s="159">
        <f>+IF($A21="",IF($C21="",SUMIFS(全伝票!N:N,全伝票!$B:$B,$B21),SUMIFS(全伝票!N:N,全伝票!$C:$C,$C21)),IF($C21="",SUMIFS(全伝票!N:N,全伝票!$A:$A,$A21,全伝票!$B:$B,$B21),SUMIFS(全伝票!N:N,全伝票!$A:$A,$A21,全伝票!$C:$C,$C21)))</f>
        <v>4963548</v>
      </c>
      <c r="K21" s="34">
        <f t="shared" si="0"/>
        <v>4963548</v>
      </c>
      <c r="L21" s="158">
        <f>+IF($A21="",IF($C21="",SUMIFS(全伝票!O:O,全伝票!$B:$B,$B21),SUMIFS(全伝票!O:O,全伝票!$C:$C,$C21)),IF($C21="",SUMIFS(全伝票!O:O,全伝票!$A:$A,$A21,全伝票!$B:$B,$B21),SUMIFS(全伝票!O:O,全伝票!$A:$A,$A21,全伝票!$C:$C,$C21)))</f>
        <v>0</v>
      </c>
      <c r="M21" s="158">
        <f>+IF($A21="",IF($C21="",SUMIFS(全伝票!P:P,全伝票!$B:$B,$B21),SUMIFS(全伝票!P:P,全伝票!$C:$C,$C21)),IF($C21="",SUMIFS(全伝票!P:P,全伝票!$A:$A,$A21,全伝票!$B:$B,$B21),SUMIFS(全伝票!P:P,全伝票!$A:$A,$A21,全伝票!$C:$C,$C21)))</f>
        <v>0</v>
      </c>
      <c r="N21" s="108">
        <f t="shared" si="1"/>
        <v>0</v>
      </c>
      <c r="O21" s="25">
        <f t="shared" si="3"/>
        <v>0</v>
      </c>
      <c r="P21" s="25">
        <f t="shared" si="2"/>
        <v>0</v>
      </c>
      <c r="Q21" s="157">
        <f t="shared" si="3"/>
        <v>0</v>
      </c>
      <c r="R21" s="157">
        <f t="shared" si="4"/>
        <v>451232</v>
      </c>
      <c r="S21" s="22">
        <f t="shared" si="5"/>
        <v>451232</v>
      </c>
      <c r="T21" s="109">
        <f t="shared" si="6"/>
        <v>4512316</v>
      </c>
      <c r="U21" s="107">
        <f t="shared" si="7"/>
        <v>0</v>
      </c>
      <c r="V21" s="107">
        <f t="shared" si="8"/>
        <v>0</v>
      </c>
      <c r="W21" s="107">
        <f t="shared" si="9"/>
        <v>0</v>
      </c>
      <c r="X21" s="107">
        <f t="shared" si="9"/>
        <v>0</v>
      </c>
      <c r="Y21" s="107">
        <f t="shared" si="10"/>
        <v>0.36363636364694685</v>
      </c>
      <c r="Z21" s="106">
        <f t="shared" si="11"/>
        <v>0</v>
      </c>
      <c r="AA21" s="106">
        <f t="shared" si="12"/>
        <v>0</v>
      </c>
      <c r="AB21" s="106">
        <f t="shared" si="13"/>
        <v>0</v>
      </c>
      <c r="AC21" s="106">
        <f t="shared" si="14"/>
        <v>0</v>
      </c>
      <c r="AD21" s="106">
        <f t="shared" si="15"/>
        <v>0</v>
      </c>
    </row>
    <row r="22" spans="1:35">
      <c r="A22" s="165">
        <v>4</v>
      </c>
      <c r="B22" s="164" t="s">
        <v>462</v>
      </c>
      <c r="C22" s="163"/>
      <c r="D22" s="162" t="s">
        <v>77</v>
      </c>
      <c r="E22" s="158">
        <f>+IF($A22="",IF($C22="",SUMIFS(全伝票!I:I,全伝票!$B:$B,$B22),SUMIFS(全伝票!I:I,全伝票!$C:$C,$C22)),IF($C22="",SUMIFS(全伝票!I:I,全伝票!$A:$A,$A22,全伝票!$B:$B,$B22),SUMIFS(全伝票!I:I,全伝票!$A:$A,$A22,全伝票!$C:$C,$C22)))</f>
        <v>0</v>
      </c>
      <c r="F22" s="161">
        <f>+IF($A22="",IF($C22="",SUMIFS(全伝票!J:J,全伝票!$B:$B,$B22),SUMIFS(全伝票!J:J,全伝票!$C:$C,$C22)),IF($C22="",SUMIFS(全伝票!J:J,全伝票!$A:$A,$A22,全伝票!$B:$B,$B22),SUMIFS(全伝票!J:J,全伝票!$A:$A,$A22,全伝票!$C:$C,$C22)))</f>
        <v>0</v>
      </c>
      <c r="G22" s="160">
        <f>+IF($A22="",IF($C22="",SUMIFS(全伝票!K:K,全伝票!$B:$B,$B22),SUMIFS(全伝票!K:K,全伝票!$C:$C,$C22)),IF($C22="",SUMIFS(全伝票!K:K,全伝票!$A:$A,$A22,全伝票!$B:$B,$B22),SUMIFS(全伝票!K:K,全伝票!$A:$A,$A22,全伝票!$C:$C,$C22)))</f>
        <v>0</v>
      </c>
      <c r="H22" s="160">
        <f>+IF($A22="",IF($C22="",SUMIFS(全伝票!L:L,全伝票!$B:$B,$B22),SUMIFS(全伝票!L:L,全伝票!$C:$C,$C22)),IF($C22="",SUMIFS(全伝票!L:L,全伝票!$A:$A,$A22,全伝票!$B:$B,$B22),SUMIFS(全伝票!L:L,全伝票!$A:$A,$A22,全伝票!$C:$C,$C22)))</f>
        <v>0</v>
      </c>
      <c r="I22" s="159">
        <f>+IF($A22="",IF($C22="",SUMIFS(全伝票!M:M,全伝票!$B:$B,$B22),SUMIFS(全伝票!M:M,全伝票!$C:$C,$C22)),IF($C22="",SUMIFS(全伝票!M:M,全伝票!$A:$A,$A22,全伝票!$B:$B,$B22),SUMIFS(全伝票!M:M,全伝票!$A:$A,$A22,全伝票!$C:$C,$C22)))</f>
        <v>0</v>
      </c>
      <c r="J22" s="159">
        <f>+IF($A22="",IF($C22="",SUMIFS(全伝票!N:N,全伝票!$B:$B,$B22),SUMIFS(全伝票!N:N,全伝票!$C:$C,$C22)),IF($C22="",SUMIFS(全伝票!N:N,全伝票!$A:$A,$A22,全伝票!$B:$B,$B22),SUMIFS(全伝票!N:N,全伝票!$A:$A,$A22,全伝票!$C:$C,$C22)))</f>
        <v>0</v>
      </c>
      <c r="K22" s="34">
        <f t="shared" si="0"/>
        <v>0</v>
      </c>
      <c r="L22" s="158">
        <f>+IF($A22="",IF($C22="",SUMIFS(全伝票!O:O,全伝票!$B:$B,$B22),SUMIFS(全伝票!O:O,全伝票!$C:$C,$C22)),IF($C22="",SUMIFS(全伝票!O:O,全伝票!$A:$A,$A22,全伝票!$B:$B,$B22),SUMIFS(全伝票!O:O,全伝票!$A:$A,$A22,全伝票!$C:$C,$C22)))</f>
        <v>0</v>
      </c>
      <c r="M22" s="158">
        <f>+IF($A22="",IF($C22="",SUMIFS(全伝票!P:P,全伝票!$B:$B,$B22),SUMIFS(全伝票!P:P,全伝票!$C:$C,$C22)),IF($C22="",SUMIFS(全伝票!P:P,全伝票!$A:$A,$A22,全伝票!$B:$B,$B22),SUMIFS(全伝票!P:P,全伝票!$A:$A,$A22,全伝票!$C:$C,$C22)))</f>
        <v>0</v>
      </c>
      <c r="N22" s="108">
        <f t="shared" si="1"/>
        <v>0</v>
      </c>
      <c r="O22" s="25">
        <f t="shared" si="3"/>
        <v>0</v>
      </c>
      <c r="P22" s="25">
        <f t="shared" si="2"/>
        <v>0</v>
      </c>
      <c r="Q22" s="157">
        <f t="shared" si="3"/>
        <v>0</v>
      </c>
      <c r="R22" s="157">
        <f t="shared" si="4"/>
        <v>0</v>
      </c>
      <c r="S22" s="22">
        <f t="shared" si="5"/>
        <v>0</v>
      </c>
      <c r="T22" s="109">
        <f t="shared" si="6"/>
        <v>0</v>
      </c>
      <c r="U22" s="107">
        <f t="shared" si="7"/>
        <v>0</v>
      </c>
      <c r="V22" s="107">
        <f t="shared" si="8"/>
        <v>0</v>
      </c>
      <c r="W22" s="107">
        <f t="shared" si="9"/>
        <v>0</v>
      </c>
      <c r="X22" s="107">
        <f t="shared" si="9"/>
        <v>0</v>
      </c>
      <c r="Y22" s="107">
        <f t="shared" si="10"/>
        <v>0</v>
      </c>
      <c r="Z22" s="106">
        <f t="shared" si="11"/>
        <v>0</v>
      </c>
      <c r="AA22" s="106">
        <f t="shared" si="12"/>
        <v>0</v>
      </c>
      <c r="AB22" s="106">
        <f t="shared" si="13"/>
        <v>0</v>
      </c>
      <c r="AC22" s="106">
        <f t="shared" si="14"/>
        <v>0</v>
      </c>
      <c r="AD22" s="106">
        <f t="shared" si="15"/>
        <v>0</v>
      </c>
    </row>
    <row r="23" spans="1:35">
      <c r="A23" s="165">
        <v>4</v>
      </c>
      <c r="B23" s="164" t="s">
        <v>461</v>
      </c>
      <c r="C23" s="163"/>
      <c r="D23" s="162" t="s">
        <v>75</v>
      </c>
      <c r="E23" s="158">
        <f>+IF($A23="",IF($C23="",SUMIFS(全伝票!I:I,全伝票!$B:$B,$B23),SUMIFS(全伝票!I:I,全伝票!$C:$C,$C23)),IF($C23="",SUMIFS(全伝票!I:I,全伝票!$A:$A,$A23,全伝票!$B:$B,$B23),SUMIFS(全伝票!I:I,全伝票!$A:$A,$A23,全伝票!$C:$C,$C23)))</f>
        <v>0</v>
      </c>
      <c r="F23" s="161">
        <f>+IF($A23="",IF($C23="",SUMIFS(全伝票!J:J,全伝票!$B:$B,$B23),SUMIFS(全伝票!J:J,全伝票!$C:$C,$C23)),IF($C23="",SUMIFS(全伝票!J:J,全伝票!$A:$A,$A23,全伝票!$B:$B,$B23),SUMIFS(全伝票!J:J,全伝票!$A:$A,$A23,全伝票!$C:$C,$C23)))</f>
        <v>0</v>
      </c>
      <c r="G23" s="160">
        <f>+IF($A23="",IF($C23="",SUMIFS(全伝票!K:K,全伝票!$B:$B,$B23),SUMIFS(全伝票!K:K,全伝票!$C:$C,$C23)),IF($C23="",SUMIFS(全伝票!K:K,全伝票!$A:$A,$A23,全伝票!$B:$B,$B23),SUMIFS(全伝票!K:K,全伝票!$A:$A,$A23,全伝票!$C:$C,$C23)))</f>
        <v>0</v>
      </c>
      <c r="H23" s="160">
        <f>+IF($A23="",IF($C23="",SUMIFS(全伝票!L:L,全伝票!$B:$B,$B23),SUMIFS(全伝票!L:L,全伝票!$C:$C,$C23)),IF($C23="",SUMIFS(全伝票!L:L,全伝票!$A:$A,$A23,全伝票!$B:$B,$B23),SUMIFS(全伝票!L:L,全伝票!$A:$A,$A23,全伝票!$C:$C,$C23)))</f>
        <v>0</v>
      </c>
      <c r="I23" s="159">
        <f>+IF($A23="",IF($C23="",SUMIFS(全伝票!M:M,全伝票!$B:$B,$B23),SUMIFS(全伝票!M:M,全伝票!$C:$C,$C23)),IF($C23="",SUMIFS(全伝票!M:M,全伝票!$A:$A,$A23,全伝票!$B:$B,$B23),SUMIFS(全伝票!M:M,全伝票!$A:$A,$A23,全伝票!$C:$C,$C23)))</f>
        <v>0</v>
      </c>
      <c r="J23" s="159">
        <f>+IF($A23="",IF($C23="",SUMIFS(全伝票!N:N,全伝票!$B:$B,$B23),SUMIFS(全伝票!N:N,全伝票!$C:$C,$C23)),IF($C23="",SUMIFS(全伝票!N:N,全伝票!$A:$A,$A23,全伝票!$B:$B,$B23),SUMIFS(全伝票!N:N,全伝票!$A:$A,$A23,全伝票!$C:$C,$C23)))</f>
        <v>0</v>
      </c>
      <c r="K23" s="34">
        <f t="shared" si="0"/>
        <v>0</v>
      </c>
      <c r="L23" s="158">
        <f>+IF($A23="",IF($C23="",SUMIFS(全伝票!O:O,全伝票!$B:$B,$B23),SUMIFS(全伝票!O:O,全伝票!$C:$C,$C23)),IF($C23="",SUMIFS(全伝票!O:O,全伝票!$A:$A,$A23,全伝票!$B:$B,$B23),SUMIFS(全伝票!O:O,全伝票!$A:$A,$A23,全伝票!$C:$C,$C23)))</f>
        <v>0</v>
      </c>
      <c r="M23" s="158">
        <f>+IF($A23="",IF($C23="",SUMIFS(全伝票!P:P,全伝票!$B:$B,$B23),SUMIFS(全伝票!P:P,全伝票!$C:$C,$C23)),IF($C23="",SUMIFS(全伝票!P:P,全伝票!$A:$A,$A23,全伝票!$B:$B,$B23),SUMIFS(全伝票!P:P,全伝票!$A:$A,$A23,全伝票!$C:$C,$C23)))</f>
        <v>0</v>
      </c>
      <c r="N23" s="108">
        <f t="shared" si="1"/>
        <v>0</v>
      </c>
      <c r="O23" s="25">
        <f t="shared" si="3"/>
        <v>0</v>
      </c>
      <c r="P23" s="25">
        <f t="shared" si="2"/>
        <v>0</v>
      </c>
      <c r="Q23" s="157">
        <f t="shared" si="3"/>
        <v>0</v>
      </c>
      <c r="R23" s="157">
        <f t="shared" si="4"/>
        <v>0</v>
      </c>
      <c r="S23" s="22">
        <f t="shared" si="5"/>
        <v>0</v>
      </c>
      <c r="T23" s="109">
        <f t="shared" si="6"/>
        <v>0</v>
      </c>
      <c r="U23" s="107">
        <f t="shared" si="7"/>
        <v>0</v>
      </c>
      <c r="V23" s="107">
        <f t="shared" si="8"/>
        <v>0</v>
      </c>
      <c r="W23" s="107">
        <f t="shared" si="9"/>
        <v>0</v>
      </c>
      <c r="X23" s="107">
        <f t="shared" si="9"/>
        <v>0</v>
      </c>
      <c r="Y23" s="107">
        <f t="shared" si="10"/>
        <v>0</v>
      </c>
      <c r="Z23" s="106">
        <f t="shared" si="11"/>
        <v>0</v>
      </c>
      <c r="AA23" s="106">
        <f t="shared" si="12"/>
        <v>0</v>
      </c>
      <c r="AB23" s="106">
        <f t="shared" si="13"/>
        <v>0</v>
      </c>
      <c r="AC23" s="106">
        <f t="shared" si="14"/>
        <v>0</v>
      </c>
      <c r="AD23" s="106">
        <f t="shared" si="15"/>
        <v>0</v>
      </c>
    </row>
    <row r="24" spans="1:35">
      <c r="A24" s="165">
        <v>4</v>
      </c>
      <c r="B24" s="164" t="s">
        <v>460</v>
      </c>
      <c r="C24" s="163"/>
      <c r="D24" s="162" t="s">
        <v>73</v>
      </c>
      <c r="E24" s="158">
        <f>+IF($A24="",IF($C24="",SUMIFS(全伝票!I:I,全伝票!$B:$B,$B24),SUMIFS(全伝票!I:I,全伝票!$C:$C,$C24)),IF($C24="",SUMIFS(全伝票!I:I,全伝票!$A:$A,$A24,全伝票!$B:$B,$B24),SUMIFS(全伝票!I:I,全伝票!$A:$A,$A24,全伝票!$C:$C,$C24)))</f>
        <v>0</v>
      </c>
      <c r="F24" s="161">
        <f>+IF($A24="",IF($C24="",SUMIFS(全伝票!J:J,全伝票!$B:$B,$B24),SUMIFS(全伝票!J:J,全伝票!$C:$C,$C24)),IF($C24="",SUMIFS(全伝票!J:J,全伝票!$A:$A,$A24,全伝票!$B:$B,$B24),SUMIFS(全伝票!J:J,全伝票!$A:$A,$A24,全伝票!$C:$C,$C24)))</f>
        <v>0</v>
      </c>
      <c r="G24" s="160">
        <f>+IF($A24="",IF($C24="",SUMIFS(全伝票!K:K,全伝票!$B:$B,$B24),SUMIFS(全伝票!K:K,全伝票!$C:$C,$C24)),IF($C24="",SUMIFS(全伝票!K:K,全伝票!$A:$A,$A24,全伝票!$B:$B,$B24),SUMIFS(全伝票!K:K,全伝票!$A:$A,$A24,全伝票!$C:$C,$C24)))</f>
        <v>0</v>
      </c>
      <c r="H24" s="160">
        <f>+IF($A24="",IF($C24="",SUMIFS(全伝票!L:L,全伝票!$B:$B,$B24),SUMIFS(全伝票!L:L,全伝票!$C:$C,$C24)),IF($C24="",SUMIFS(全伝票!L:L,全伝票!$A:$A,$A24,全伝票!$B:$B,$B24),SUMIFS(全伝票!L:L,全伝票!$A:$A,$A24,全伝票!$C:$C,$C24)))</f>
        <v>0</v>
      </c>
      <c r="I24" s="159">
        <f>+IF($A24="",IF($C24="",SUMIFS(全伝票!M:M,全伝票!$B:$B,$B24),SUMIFS(全伝票!M:M,全伝票!$C:$C,$C24)),IF($C24="",SUMIFS(全伝票!M:M,全伝票!$A:$A,$A24,全伝票!$B:$B,$B24),SUMIFS(全伝票!M:M,全伝票!$A:$A,$A24,全伝票!$C:$C,$C24)))</f>
        <v>0</v>
      </c>
      <c r="J24" s="159">
        <f>+IF($A24="",IF($C24="",SUMIFS(全伝票!N:N,全伝票!$B:$B,$B24),SUMIFS(全伝票!N:N,全伝票!$C:$C,$C24)),IF($C24="",SUMIFS(全伝票!N:N,全伝票!$A:$A,$A24,全伝票!$B:$B,$B24),SUMIFS(全伝票!N:N,全伝票!$A:$A,$A24,全伝票!$C:$C,$C24)))</f>
        <v>0</v>
      </c>
      <c r="K24" s="34">
        <f t="shared" si="0"/>
        <v>0</v>
      </c>
      <c r="L24" s="158">
        <f>+IF($A24="",IF($C24="",SUMIFS(全伝票!O:O,全伝票!$B:$B,$B24),SUMIFS(全伝票!O:O,全伝票!$C:$C,$C24)),IF($C24="",SUMIFS(全伝票!O:O,全伝票!$A:$A,$A24,全伝票!$B:$B,$B24),SUMIFS(全伝票!O:O,全伝票!$A:$A,$A24,全伝票!$C:$C,$C24)))</f>
        <v>0</v>
      </c>
      <c r="M24" s="158">
        <f>+IF($A24="",IF($C24="",SUMIFS(全伝票!P:P,全伝票!$B:$B,$B24),SUMIFS(全伝票!P:P,全伝票!$C:$C,$C24)),IF($C24="",SUMIFS(全伝票!P:P,全伝票!$A:$A,$A24,全伝票!$B:$B,$B24),SUMIFS(全伝票!P:P,全伝票!$A:$A,$A24,全伝票!$C:$C,$C24)))</f>
        <v>0</v>
      </c>
      <c r="N24" s="108">
        <f t="shared" si="1"/>
        <v>0</v>
      </c>
      <c r="O24" s="25">
        <f t="shared" si="3"/>
        <v>0</v>
      </c>
      <c r="P24" s="25">
        <f t="shared" si="2"/>
        <v>0</v>
      </c>
      <c r="Q24" s="157">
        <f t="shared" si="3"/>
        <v>0</v>
      </c>
      <c r="R24" s="157">
        <f t="shared" si="4"/>
        <v>0</v>
      </c>
      <c r="S24" s="22">
        <f t="shared" si="5"/>
        <v>0</v>
      </c>
      <c r="T24" s="109">
        <f t="shared" si="6"/>
        <v>0</v>
      </c>
      <c r="U24" s="107">
        <f t="shared" si="7"/>
        <v>0</v>
      </c>
      <c r="V24" s="107">
        <f t="shared" si="8"/>
        <v>0</v>
      </c>
      <c r="W24" s="107">
        <f t="shared" si="9"/>
        <v>0</v>
      </c>
      <c r="X24" s="107">
        <f t="shared" si="9"/>
        <v>0</v>
      </c>
      <c r="Y24" s="107">
        <f t="shared" si="10"/>
        <v>0</v>
      </c>
      <c r="Z24" s="106">
        <f t="shared" si="11"/>
        <v>0</v>
      </c>
      <c r="AA24" s="106">
        <f t="shared" si="12"/>
        <v>0</v>
      </c>
      <c r="AB24" s="106">
        <f t="shared" si="13"/>
        <v>0</v>
      </c>
      <c r="AC24" s="106">
        <f t="shared" si="14"/>
        <v>0</v>
      </c>
      <c r="AD24" s="106">
        <f t="shared" si="15"/>
        <v>0</v>
      </c>
    </row>
    <row r="25" spans="1:35">
      <c r="A25" s="165">
        <v>4</v>
      </c>
      <c r="B25" s="164" t="s">
        <v>458</v>
      </c>
      <c r="C25" s="163" t="s">
        <v>459</v>
      </c>
      <c r="D25" s="162" t="s">
        <v>71</v>
      </c>
      <c r="E25" s="158">
        <f>+IF($A25="",IF($C25="",SUMIFS(全伝票!I:I,全伝票!$B:$B,$B25),SUMIFS(全伝票!I:I,全伝票!$C:$C,$C25)),IF($C25="",SUMIFS(全伝票!I:I,全伝票!$A:$A,$A25,全伝票!$B:$B,$B25),SUMIFS(全伝票!I:I,全伝票!$A:$A,$A25,全伝票!$C:$C,$C25)))</f>
        <v>0</v>
      </c>
      <c r="F25" s="161">
        <f>+IF($A25="",IF($C25="",SUMIFS(全伝票!J:J,全伝票!$B:$B,$B25),SUMIFS(全伝票!J:J,全伝票!$C:$C,$C25)),IF($C25="",SUMIFS(全伝票!J:J,全伝票!$A:$A,$A25,全伝票!$B:$B,$B25),SUMIFS(全伝票!J:J,全伝票!$A:$A,$A25,全伝票!$C:$C,$C25)))</f>
        <v>0</v>
      </c>
      <c r="G25" s="160">
        <f>+IF($A25="",IF($C25="",SUMIFS(全伝票!K:K,全伝票!$B:$B,$B25),SUMIFS(全伝票!K:K,全伝票!$C:$C,$C25)),IF($C25="",SUMIFS(全伝票!K:K,全伝票!$A:$A,$A25,全伝票!$B:$B,$B25),SUMIFS(全伝票!K:K,全伝票!$A:$A,$A25,全伝票!$C:$C,$C25)))</f>
        <v>0</v>
      </c>
      <c r="H25" s="160">
        <f>+IF($A25="",IF($C25="",SUMIFS(全伝票!L:L,全伝票!$B:$B,$B25),SUMIFS(全伝票!L:L,全伝票!$C:$C,$C25)),IF($C25="",SUMIFS(全伝票!L:L,全伝票!$A:$A,$A25,全伝票!$B:$B,$B25),SUMIFS(全伝票!L:L,全伝票!$A:$A,$A25,全伝票!$C:$C,$C25)))</f>
        <v>0</v>
      </c>
      <c r="I25" s="159">
        <f>+IF($A25="",IF($C25="",SUMIFS(全伝票!M:M,全伝票!$B:$B,$B25),SUMIFS(全伝票!M:M,全伝票!$C:$C,$C25)),IF($C25="",SUMIFS(全伝票!M:M,全伝票!$A:$A,$A25,全伝票!$B:$B,$B25),SUMIFS(全伝票!M:M,全伝票!$A:$A,$A25,全伝票!$C:$C,$C25)))</f>
        <v>0</v>
      </c>
      <c r="J25" s="159">
        <f>+IF($A25="",IF($C25="",SUMIFS(全伝票!N:N,全伝票!$B:$B,$B25),SUMIFS(全伝票!N:N,全伝票!$C:$C,$C25)),IF($C25="",SUMIFS(全伝票!N:N,全伝票!$A:$A,$A25,全伝票!$B:$B,$B25),SUMIFS(全伝票!N:N,全伝票!$A:$A,$A25,全伝票!$C:$C,$C25)))</f>
        <v>0</v>
      </c>
      <c r="K25" s="34">
        <f t="shared" si="0"/>
        <v>0</v>
      </c>
      <c r="L25" s="158">
        <f>+IF($A25="",IF($C25="",SUMIFS(全伝票!O:O,全伝票!$B:$B,$B25),SUMIFS(全伝票!O:O,全伝票!$C:$C,$C25)),IF($C25="",SUMIFS(全伝票!O:O,全伝票!$A:$A,$A25,全伝票!$B:$B,$B25),SUMIFS(全伝票!O:O,全伝票!$A:$A,$A25,全伝票!$C:$C,$C25)))</f>
        <v>0</v>
      </c>
      <c r="M25" s="158">
        <f>+IF($A25="",IF($C25="",SUMIFS(全伝票!P:P,全伝票!$B:$B,$B25),SUMIFS(全伝票!P:P,全伝票!$C:$C,$C25)),IF($C25="",SUMIFS(全伝票!P:P,全伝票!$A:$A,$A25,全伝票!$B:$B,$B25),SUMIFS(全伝票!P:P,全伝票!$A:$A,$A25,全伝票!$C:$C,$C25)))</f>
        <v>0</v>
      </c>
      <c r="N25" s="108">
        <f t="shared" si="1"/>
        <v>0</v>
      </c>
      <c r="O25" s="25">
        <f t="shared" si="3"/>
        <v>0</v>
      </c>
      <c r="P25" s="25">
        <f t="shared" si="2"/>
        <v>0</v>
      </c>
      <c r="Q25" s="157">
        <f t="shared" si="3"/>
        <v>0</v>
      </c>
      <c r="R25" s="157">
        <f t="shared" si="4"/>
        <v>0</v>
      </c>
      <c r="S25" s="22">
        <f t="shared" si="5"/>
        <v>0</v>
      </c>
      <c r="T25" s="109">
        <f t="shared" si="6"/>
        <v>0</v>
      </c>
      <c r="U25" s="107">
        <f t="shared" si="7"/>
        <v>0</v>
      </c>
      <c r="V25" s="107">
        <f t="shared" si="8"/>
        <v>0</v>
      </c>
      <c r="W25" s="107">
        <f t="shared" si="9"/>
        <v>0</v>
      </c>
      <c r="X25" s="107">
        <f t="shared" si="9"/>
        <v>0</v>
      </c>
      <c r="Y25" s="107">
        <f t="shared" si="10"/>
        <v>0</v>
      </c>
      <c r="Z25" s="106">
        <f t="shared" si="11"/>
        <v>0</v>
      </c>
      <c r="AA25" s="106">
        <f t="shared" si="12"/>
        <v>0</v>
      </c>
      <c r="AB25" s="106">
        <f t="shared" si="13"/>
        <v>0</v>
      </c>
      <c r="AC25" s="106">
        <f t="shared" si="14"/>
        <v>0</v>
      </c>
      <c r="AD25" s="106">
        <f t="shared" si="15"/>
        <v>0</v>
      </c>
    </row>
    <row r="26" spans="1:35">
      <c r="A26" s="165">
        <v>4</v>
      </c>
      <c r="B26" s="164" t="s">
        <v>458</v>
      </c>
      <c r="C26" s="163" t="s">
        <v>457</v>
      </c>
      <c r="D26" s="162" t="s">
        <v>68</v>
      </c>
      <c r="E26" s="158">
        <f>+IF($A26="",IF($C26="",SUMIFS(全伝票!I:I,全伝票!$B:$B,$B26),SUMIFS(全伝票!I:I,全伝票!$C:$C,$C26)),IF($C26="",SUMIFS(全伝票!I:I,全伝票!$A:$A,$A26,全伝票!$B:$B,$B26),SUMIFS(全伝票!I:I,全伝票!$A:$A,$A26,全伝票!$C:$C,$C26)))</f>
        <v>0</v>
      </c>
      <c r="F26" s="161">
        <f>+IF($A26="",IF($C26="",SUMIFS(全伝票!J:J,全伝票!$B:$B,$B26),SUMIFS(全伝票!J:J,全伝票!$C:$C,$C26)),IF($C26="",SUMIFS(全伝票!J:J,全伝票!$A:$A,$A26,全伝票!$B:$B,$B26),SUMIFS(全伝票!J:J,全伝票!$A:$A,$A26,全伝票!$C:$C,$C26)))</f>
        <v>0</v>
      </c>
      <c r="G26" s="160">
        <f>+IF($A26="",IF($C26="",SUMIFS(全伝票!K:K,全伝票!$B:$B,$B26),SUMIFS(全伝票!K:K,全伝票!$C:$C,$C26)),IF($C26="",SUMIFS(全伝票!K:K,全伝票!$A:$A,$A26,全伝票!$B:$B,$B26),SUMIFS(全伝票!K:K,全伝票!$A:$A,$A26,全伝票!$C:$C,$C26)))</f>
        <v>0</v>
      </c>
      <c r="H26" s="160">
        <f>+IF($A26="",IF($C26="",SUMIFS(全伝票!L:L,全伝票!$B:$B,$B26),SUMIFS(全伝票!L:L,全伝票!$C:$C,$C26)),IF($C26="",SUMIFS(全伝票!L:L,全伝票!$A:$A,$A26,全伝票!$B:$B,$B26),SUMIFS(全伝票!L:L,全伝票!$A:$A,$A26,全伝票!$C:$C,$C26)))</f>
        <v>0</v>
      </c>
      <c r="I26" s="159">
        <f>+IF($A26="",IF($C26="",SUMIFS(全伝票!M:M,全伝票!$B:$B,$B26),SUMIFS(全伝票!M:M,全伝票!$C:$C,$C26)),IF($C26="",SUMIFS(全伝票!M:M,全伝票!$A:$A,$A26,全伝票!$B:$B,$B26),SUMIFS(全伝票!M:M,全伝票!$A:$A,$A26,全伝票!$C:$C,$C26)))</f>
        <v>0</v>
      </c>
      <c r="J26" s="159">
        <f>+IF($A26="",IF($C26="",SUMIFS(全伝票!N:N,全伝票!$B:$B,$B26),SUMIFS(全伝票!N:N,全伝票!$C:$C,$C26)),IF($C26="",SUMIFS(全伝票!N:N,全伝票!$A:$A,$A26,全伝票!$B:$B,$B26),SUMIFS(全伝票!N:N,全伝票!$A:$A,$A26,全伝票!$C:$C,$C26)))</f>
        <v>0</v>
      </c>
      <c r="K26" s="34">
        <f t="shared" si="0"/>
        <v>0</v>
      </c>
      <c r="L26" s="158">
        <f>+IF($A26="",IF($C26="",SUMIFS(全伝票!O:O,全伝票!$B:$B,$B26),SUMIFS(全伝票!O:O,全伝票!$C:$C,$C26)),IF($C26="",SUMIFS(全伝票!O:O,全伝票!$A:$A,$A26,全伝票!$B:$B,$B26),SUMIFS(全伝票!O:O,全伝票!$A:$A,$A26,全伝票!$C:$C,$C26)))</f>
        <v>0</v>
      </c>
      <c r="M26" s="158">
        <f>+IF($A26="",IF($C26="",SUMIFS(全伝票!P:P,全伝票!$B:$B,$B26),SUMIFS(全伝票!P:P,全伝票!$C:$C,$C26)),IF($C26="",SUMIFS(全伝票!P:P,全伝票!$A:$A,$A26,全伝票!$B:$B,$B26),SUMIFS(全伝票!P:P,全伝票!$A:$A,$A26,全伝票!$C:$C,$C26)))</f>
        <v>0</v>
      </c>
      <c r="N26" s="108">
        <f t="shared" si="1"/>
        <v>0</v>
      </c>
      <c r="O26" s="25">
        <f t="shared" si="3"/>
        <v>0</v>
      </c>
      <c r="P26" s="25">
        <f t="shared" si="2"/>
        <v>0</v>
      </c>
      <c r="Q26" s="157">
        <f t="shared" si="3"/>
        <v>0</v>
      </c>
      <c r="R26" s="157">
        <f t="shared" si="4"/>
        <v>0</v>
      </c>
      <c r="S26" s="22">
        <f t="shared" si="5"/>
        <v>0</v>
      </c>
      <c r="T26" s="109">
        <f t="shared" si="6"/>
        <v>0</v>
      </c>
      <c r="U26" s="107">
        <f t="shared" si="7"/>
        <v>0</v>
      </c>
      <c r="V26" s="107">
        <f t="shared" si="8"/>
        <v>0</v>
      </c>
      <c r="W26" s="107">
        <f t="shared" si="9"/>
        <v>0</v>
      </c>
      <c r="X26" s="107">
        <f t="shared" si="9"/>
        <v>0</v>
      </c>
      <c r="Y26" s="107">
        <f t="shared" si="10"/>
        <v>0</v>
      </c>
      <c r="Z26" s="106">
        <f t="shared" si="11"/>
        <v>0</v>
      </c>
      <c r="AA26" s="106">
        <f t="shared" si="12"/>
        <v>0</v>
      </c>
      <c r="AB26" s="106">
        <f t="shared" si="13"/>
        <v>0</v>
      </c>
      <c r="AC26" s="106">
        <f t="shared" si="14"/>
        <v>0</v>
      </c>
      <c r="AD26" s="106">
        <f t="shared" si="15"/>
        <v>0</v>
      </c>
    </row>
    <row r="27" spans="1:35">
      <c r="A27" s="165">
        <v>4</v>
      </c>
      <c r="B27" s="164" t="s">
        <v>456</v>
      </c>
      <c r="C27" s="163"/>
      <c r="D27" s="162" t="s">
        <v>66</v>
      </c>
      <c r="E27" s="158">
        <f>+IF($A27="",IF($C27="",SUMIFS(全伝票!I:I,全伝票!$B:$B,$B27),SUMIFS(全伝票!I:I,全伝票!$C:$C,$C27)),IF($C27="",SUMIFS(全伝票!I:I,全伝票!$A:$A,$A27,全伝票!$B:$B,$B27),SUMIFS(全伝票!I:I,全伝票!$A:$A,$A27,全伝票!$C:$C,$C27)))</f>
        <v>0</v>
      </c>
      <c r="F27" s="161">
        <f>+IF($A27="",IF($C27="",SUMIFS(全伝票!J:J,全伝票!$B:$B,$B27),SUMIFS(全伝票!J:J,全伝票!$C:$C,$C27)),IF($C27="",SUMIFS(全伝票!J:J,全伝票!$A:$A,$A27,全伝票!$B:$B,$B27),SUMIFS(全伝票!J:J,全伝票!$A:$A,$A27,全伝票!$C:$C,$C27)))</f>
        <v>0</v>
      </c>
      <c r="G27" s="160">
        <f>+IF($A27="",IF($C27="",SUMIFS(全伝票!K:K,全伝票!$B:$B,$B27),SUMIFS(全伝票!K:K,全伝票!$C:$C,$C27)),IF($C27="",SUMIFS(全伝票!K:K,全伝票!$A:$A,$A27,全伝票!$B:$B,$B27),SUMIFS(全伝票!K:K,全伝票!$A:$A,$A27,全伝票!$C:$C,$C27)))</f>
        <v>0</v>
      </c>
      <c r="H27" s="160">
        <f>+IF($A27="",IF($C27="",SUMIFS(全伝票!L:L,全伝票!$B:$B,$B27),SUMIFS(全伝票!L:L,全伝票!$C:$C,$C27)),IF($C27="",SUMIFS(全伝票!L:L,全伝票!$A:$A,$A27,全伝票!$B:$B,$B27),SUMIFS(全伝票!L:L,全伝票!$A:$A,$A27,全伝票!$C:$C,$C27)))</f>
        <v>0</v>
      </c>
      <c r="I27" s="159">
        <f>+IF($A27="",IF($C27="",SUMIFS(全伝票!M:M,全伝票!$B:$B,$B27),SUMIFS(全伝票!M:M,全伝票!$C:$C,$C27)),IF($C27="",SUMIFS(全伝票!M:M,全伝票!$A:$A,$A27,全伝票!$B:$B,$B27),SUMIFS(全伝票!M:M,全伝票!$A:$A,$A27,全伝票!$C:$C,$C27)))</f>
        <v>0</v>
      </c>
      <c r="J27" s="159">
        <f>+IF($A27="",IF($C27="",SUMIFS(全伝票!N:N,全伝票!$B:$B,$B27),SUMIFS(全伝票!N:N,全伝票!$C:$C,$C27)),IF($C27="",SUMIFS(全伝票!N:N,全伝票!$A:$A,$A27,全伝票!$B:$B,$B27),SUMIFS(全伝票!N:N,全伝票!$A:$A,$A27,全伝票!$C:$C,$C27)))</f>
        <v>0</v>
      </c>
      <c r="K27" s="34">
        <f t="shared" si="0"/>
        <v>0</v>
      </c>
      <c r="L27" s="158">
        <f>+IF($A27="",IF($C27="",SUMIFS(全伝票!O:O,全伝票!$B:$B,$B27),SUMIFS(全伝票!O:O,全伝票!$C:$C,$C27)),IF($C27="",SUMIFS(全伝票!O:O,全伝票!$A:$A,$A27,全伝票!$B:$B,$B27),SUMIFS(全伝票!O:O,全伝票!$A:$A,$A27,全伝票!$C:$C,$C27)))</f>
        <v>0</v>
      </c>
      <c r="M27" s="158">
        <f>+IF($A27="",IF($C27="",SUMIFS(全伝票!P:P,全伝票!$B:$B,$B27),SUMIFS(全伝票!P:P,全伝票!$C:$C,$C27)),IF($C27="",SUMIFS(全伝票!P:P,全伝票!$A:$A,$A27,全伝票!$B:$B,$B27),SUMIFS(全伝票!P:P,全伝票!$A:$A,$A27,全伝票!$C:$C,$C27)))</f>
        <v>0</v>
      </c>
      <c r="N27" s="108">
        <f t="shared" si="1"/>
        <v>0</v>
      </c>
      <c r="O27" s="25">
        <f t="shared" si="3"/>
        <v>0</v>
      </c>
      <c r="P27" s="25">
        <f t="shared" si="2"/>
        <v>0</v>
      </c>
      <c r="Q27" s="157">
        <f t="shared" si="3"/>
        <v>0</v>
      </c>
      <c r="R27" s="157">
        <f t="shared" si="4"/>
        <v>0</v>
      </c>
      <c r="S27" s="22">
        <f t="shared" si="5"/>
        <v>0</v>
      </c>
      <c r="T27" s="109">
        <f t="shared" si="6"/>
        <v>0</v>
      </c>
      <c r="U27" s="107">
        <f t="shared" si="7"/>
        <v>0</v>
      </c>
      <c r="V27" s="107">
        <f t="shared" si="8"/>
        <v>0</v>
      </c>
      <c r="W27" s="107">
        <f t="shared" si="9"/>
        <v>0</v>
      </c>
      <c r="X27" s="107">
        <f t="shared" si="9"/>
        <v>0</v>
      </c>
      <c r="Y27" s="107">
        <f t="shared" si="10"/>
        <v>0</v>
      </c>
      <c r="Z27" s="106">
        <f t="shared" si="11"/>
        <v>0</v>
      </c>
      <c r="AA27" s="106">
        <f t="shared" si="12"/>
        <v>0</v>
      </c>
      <c r="AB27" s="106">
        <f t="shared" si="13"/>
        <v>0</v>
      </c>
      <c r="AC27" s="106">
        <f t="shared" si="14"/>
        <v>0</v>
      </c>
      <c r="AD27" s="106">
        <f t="shared" si="15"/>
        <v>0</v>
      </c>
    </row>
    <row r="28" spans="1:35">
      <c r="A28" s="165">
        <v>4</v>
      </c>
      <c r="B28" s="164" t="s">
        <v>455</v>
      </c>
      <c r="C28" s="163"/>
      <c r="D28" s="162" t="s">
        <v>64</v>
      </c>
      <c r="E28" s="158">
        <f>+IF($A28="",IF($C28="",SUMIFS(全伝票!I:I,全伝票!$B:$B,$B28),SUMIFS(全伝票!I:I,全伝票!$C:$C,$C28)),IF($C28="",SUMIFS(全伝票!I:I,全伝票!$A:$A,$A28,全伝票!$B:$B,$B28),SUMIFS(全伝票!I:I,全伝票!$A:$A,$A28,全伝票!$C:$C,$C28)))</f>
        <v>0</v>
      </c>
      <c r="F28" s="161">
        <f>+IF($A28="",IF($C28="",SUMIFS(全伝票!J:J,全伝票!$B:$B,$B28),SUMIFS(全伝票!J:J,全伝票!$C:$C,$C28)),IF($C28="",SUMIFS(全伝票!J:J,全伝票!$A:$A,$A28,全伝票!$B:$B,$B28),SUMIFS(全伝票!J:J,全伝票!$A:$A,$A28,全伝票!$C:$C,$C28)))</f>
        <v>0</v>
      </c>
      <c r="G28" s="160">
        <f>+IF($A28="",IF($C28="",SUMIFS(全伝票!K:K,全伝票!$B:$B,$B28),SUMIFS(全伝票!K:K,全伝票!$C:$C,$C28)),IF($C28="",SUMIFS(全伝票!K:K,全伝票!$A:$A,$A28,全伝票!$B:$B,$B28),SUMIFS(全伝票!K:K,全伝票!$A:$A,$A28,全伝票!$C:$C,$C28)))</f>
        <v>0</v>
      </c>
      <c r="H28" s="160">
        <f>+IF($A28="",IF($C28="",SUMIFS(全伝票!L:L,全伝票!$B:$B,$B28),SUMIFS(全伝票!L:L,全伝票!$C:$C,$C28)),IF($C28="",SUMIFS(全伝票!L:L,全伝票!$A:$A,$A28,全伝票!$B:$B,$B28),SUMIFS(全伝票!L:L,全伝票!$A:$A,$A28,全伝票!$C:$C,$C28)))</f>
        <v>0</v>
      </c>
      <c r="I28" s="159">
        <f>+IF($A28="",IF($C28="",SUMIFS(全伝票!M:M,全伝票!$B:$B,$B28),SUMIFS(全伝票!M:M,全伝票!$C:$C,$C28)),IF($C28="",SUMIFS(全伝票!M:M,全伝票!$A:$A,$A28,全伝票!$B:$B,$B28),SUMIFS(全伝票!M:M,全伝票!$A:$A,$A28,全伝票!$C:$C,$C28)))</f>
        <v>0</v>
      </c>
      <c r="J28" s="159">
        <f>+IF($A28="",IF($C28="",SUMIFS(全伝票!N:N,全伝票!$B:$B,$B28),SUMIFS(全伝票!N:N,全伝票!$C:$C,$C28)),IF($C28="",SUMIFS(全伝票!N:N,全伝票!$A:$A,$A28,全伝票!$B:$B,$B28),SUMIFS(全伝票!N:N,全伝票!$A:$A,$A28,全伝票!$C:$C,$C28)))</f>
        <v>0</v>
      </c>
      <c r="K28" s="34">
        <f t="shared" si="0"/>
        <v>0</v>
      </c>
      <c r="L28" s="158">
        <f>+IF($A28="",IF($C28="",SUMIFS(全伝票!O:O,全伝票!$B:$B,$B28),SUMIFS(全伝票!O:O,全伝票!$C:$C,$C28)),IF($C28="",SUMIFS(全伝票!O:O,全伝票!$A:$A,$A28,全伝票!$B:$B,$B28),SUMIFS(全伝票!O:O,全伝票!$A:$A,$A28,全伝票!$C:$C,$C28)))</f>
        <v>0</v>
      </c>
      <c r="M28" s="158">
        <f>+IF($A28="",IF($C28="",SUMIFS(全伝票!P:P,全伝票!$B:$B,$B28),SUMIFS(全伝票!P:P,全伝票!$C:$C,$C28)),IF($C28="",SUMIFS(全伝票!P:P,全伝票!$A:$A,$A28,全伝票!$B:$B,$B28),SUMIFS(全伝票!P:P,全伝票!$A:$A,$A28,全伝票!$C:$C,$C28)))</f>
        <v>0</v>
      </c>
      <c r="N28" s="108">
        <f t="shared" si="1"/>
        <v>0</v>
      </c>
      <c r="O28" s="25">
        <f t="shared" si="3"/>
        <v>0</v>
      </c>
      <c r="P28" s="25">
        <f t="shared" si="2"/>
        <v>0</v>
      </c>
      <c r="Q28" s="157">
        <f t="shared" si="3"/>
        <v>0</v>
      </c>
      <c r="R28" s="157">
        <f t="shared" si="4"/>
        <v>0</v>
      </c>
      <c r="S28" s="22">
        <f t="shared" si="5"/>
        <v>0</v>
      </c>
      <c r="T28" s="109">
        <f t="shared" si="6"/>
        <v>0</v>
      </c>
      <c r="U28" s="107">
        <f t="shared" si="7"/>
        <v>0</v>
      </c>
      <c r="V28" s="107">
        <f t="shared" si="8"/>
        <v>0</v>
      </c>
      <c r="W28" s="107">
        <f t="shared" si="9"/>
        <v>0</v>
      </c>
      <c r="X28" s="107">
        <f t="shared" si="9"/>
        <v>0</v>
      </c>
      <c r="Y28" s="107">
        <f t="shared" si="10"/>
        <v>0</v>
      </c>
      <c r="Z28" s="106">
        <f t="shared" si="11"/>
        <v>0</v>
      </c>
      <c r="AA28" s="106">
        <f t="shared" si="12"/>
        <v>0</v>
      </c>
      <c r="AB28" s="106">
        <f t="shared" si="13"/>
        <v>0</v>
      </c>
      <c r="AC28" s="106">
        <f t="shared" si="14"/>
        <v>0</v>
      </c>
      <c r="AD28" s="106">
        <f t="shared" si="15"/>
        <v>0</v>
      </c>
    </row>
    <row r="29" spans="1:35">
      <c r="A29" s="165">
        <v>4</v>
      </c>
      <c r="B29" s="164" t="s">
        <v>454</v>
      </c>
      <c r="C29" s="163"/>
      <c r="D29" s="162" t="s">
        <v>62</v>
      </c>
      <c r="E29" s="158">
        <f>+IF($A29="",IF($C29="",SUMIFS(全伝票!I:I,全伝票!$B:$B,$B29),SUMIFS(全伝票!I:I,全伝票!$C:$C,$C29)),IF($C29="",SUMIFS(全伝票!I:I,全伝票!$A:$A,$A29,全伝票!$B:$B,$B29),SUMIFS(全伝票!I:I,全伝票!$A:$A,$A29,全伝票!$C:$C,$C29)))</f>
        <v>719709</v>
      </c>
      <c r="F29" s="161">
        <f>+IF($A29="",IF($C29="",SUMIFS(全伝票!J:J,全伝票!$B:$B,$B29),SUMIFS(全伝票!J:J,全伝票!$C:$C,$C29)),IF($C29="",SUMIFS(全伝票!J:J,全伝票!$A:$A,$A29,全伝票!$B:$B,$B29),SUMIFS(全伝票!J:J,全伝票!$A:$A,$A29,全伝票!$C:$C,$C29)))</f>
        <v>0</v>
      </c>
      <c r="G29" s="160">
        <f>+IF($A29="",IF($C29="",SUMIFS(全伝票!K:K,全伝票!$B:$B,$B29),SUMIFS(全伝票!K:K,全伝票!$C:$C,$C29)),IF($C29="",SUMIFS(全伝票!K:K,全伝票!$A:$A,$A29,全伝票!$B:$B,$B29),SUMIFS(全伝票!K:K,全伝票!$A:$A,$A29,全伝票!$C:$C,$C29)))</f>
        <v>0</v>
      </c>
      <c r="H29" s="160">
        <f>+IF($A29="",IF($C29="",SUMIFS(全伝票!L:L,全伝票!$B:$B,$B29),SUMIFS(全伝票!L:L,全伝票!$C:$C,$C29)),IF($C29="",SUMIFS(全伝票!L:L,全伝票!$A:$A,$A29,全伝票!$B:$B,$B29),SUMIFS(全伝票!L:L,全伝票!$A:$A,$A29,全伝票!$C:$C,$C29)))</f>
        <v>0</v>
      </c>
      <c r="I29" s="159">
        <f>+IF($A29="",IF($C29="",SUMIFS(全伝票!M:M,全伝票!$B:$B,$B29),SUMIFS(全伝票!M:M,全伝票!$C:$C,$C29)),IF($C29="",SUMIFS(全伝票!M:M,全伝票!$A:$A,$A29,全伝票!$B:$B,$B29),SUMIFS(全伝票!M:M,全伝票!$A:$A,$A29,全伝票!$C:$C,$C29)))</f>
        <v>0</v>
      </c>
      <c r="J29" s="159">
        <f>+IF($A29="",IF($C29="",SUMIFS(全伝票!N:N,全伝票!$B:$B,$B29),SUMIFS(全伝票!N:N,全伝票!$C:$C,$C29)),IF($C29="",SUMIFS(全伝票!N:N,全伝票!$A:$A,$A29,全伝票!$B:$B,$B29),SUMIFS(全伝票!N:N,全伝票!$A:$A,$A29,全伝票!$C:$C,$C29)))</f>
        <v>696484</v>
      </c>
      <c r="K29" s="34">
        <f t="shared" si="0"/>
        <v>696484</v>
      </c>
      <c r="L29" s="158">
        <f>+IF($A29="",IF($C29="",SUMIFS(全伝票!O:O,全伝票!$B:$B,$B29),SUMIFS(全伝票!O:O,全伝票!$C:$C,$C29)),IF($C29="",SUMIFS(全伝票!O:O,全伝票!$A:$A,$A29,全伝票!$B:$B,$B29),SUMIFS(全伝票!O:O,全伝票!$A:$A,$A29,全伝票!$C:$C,$C29)))</f>
        <v>0</v>
      </c>
      <c r="M29" s="158">
        <f>+IF($A29="",IF($C29="",SUMIFS(全伝票!P:P,全伝票!$B:$B,$B29),SUMIFS(全伝票!P:P,全伝票!$C:$C,$C29)),IF($C29="",SUMIFS(全伝票!P:P,全伝票!$A:$A,$A29,全伝票!$B:$B,$B29),SUMIFS(全伝票!P:P,全伝票!$A:$A,$A29,全伝票!$C:$C,$C29)))</f>
        <v>23225</v>
      </c>
      <c r="N29" s="108">
        <f t="shared" si="1"/>
        <v>0</v>
      </c>
      <c r="O29" s="25">
        <f t="shared" si="3"/>
        <v>0</v>
      </c>
      <c r="P29" s="25">
        <f t="shared" si="2"/>
        <v>0</v>
      </c>
      <c r="Q29" s="157">
        <f t="shared" si="3"/>
        <v>0</v>
      </c>
      <c r="R29" s="157">
        <f t="shared" si="4"/>
        <v>63317</v>
      </c>
      <c r="S29" s="22">
        <f t="shared" si="5"/>
        <v>63317</v>
      </c>
      <c r="T29" s="109">
        <f t="shared" si="6"/>
        <v>656392</v>
      </c>
      <c r="U29" s="107">
        <f t="shared" si="7"/>
        <v>0</v>
      </c>
      <c r="V29" s="107">
        <f t="shared" si="8"/>
        <v>0</v>
      </c>
      <c r="W29" s="107">
        <f t="shared" si="9"/>
        <v>0</v>
      </c>
      <c r="X29" s="107">
        <f t="shared" si="9"/>
        <v>0</v>
      </c>
      <c r="Y29" s="107">
        <f t="shared" si="10"/>
        <v>0.27272727272793418</v>
      </c>
      <c r="Z29" s="106">
        <f t="shared" si="11"/>
        <v>0</v>
      </c>
      <c r="AA29" s="106">
        <f t="shared" si="12"/>
        <v>0</v>
      </c>
      <c r="AB29" s="106">
        <f t="shared" si="13"/>
        <v>0</v>
      </c>
      <c r="AC29" s="106">
        <f t="shared" si="14"/>
        <v>0</v>
      </c>
      <c r="AD29" s="106">
        <f t="shared" si="15"/>
        <v>0</v>
      </c>
    </row>
    <row r="30" spans="1:35">
      <c r="A30" s="165">
        <v>4</v>
      </c>
      <c r="B30" s="164">
        <v>8831936</v>
      </c>
      <c r="C30" s="163"/>
      <c r="D30" s="162" t="s">
        <v>868</v>
      </c>
      <c r="E30" s="158">
        <f>+IF($A30="",IF($C30="",SUMIFS(全伝票!I:I,全伝票!$B:$B,$B30),SUMIFS(全伝票!I:I,全伝票!$C:$C,$C30)),IF($C30="",SUMIFS(全伝票!I:I,全伝票!$A:$A,$A30,全伝票!$B:$B,$B30),SUMIFS(全伝票!I:I,全伝票!$A:$A,$A30,全伝票!$C:$C,$C30)))</f>
        <v>19</v>
      </c>
      <c r="F30" s="161">
        <f>+IF($A30="",IF($C30="",SUMIFS(全伝票!J:J,全伝票!$B:$B,$B30),SUMIFS(全伝票!J:J,全伝票!$C:$C,$C30)),IF($C30="",SUMIFS(全伝票!J:J,全伝票!$A:$A,$A30,全伝票!$B:$B,$B30),SUMIFS(全伝票!J:J,全伝票!$A:$A,$A30,全伝票!$C:$C,$C30)))</f>
        <v>0</v>
      </c>
      <c r="G30" s="160">
        <f>+IF($A30="",IF($C30="",SUMIFS(全伝票!K:K,全伝票!$B:$B,$B30),SUMIFS(全伝票!K:K,全伝票!$C:$C,$C30)),IF($C30="",SUMIFS(全伝票!K:K,全伝票!$A:$A,$A30,全伝票!$B:$B,$B30),SUMIFS(全伝票!K:K,全伝票!$A:$A,$A30,全伝票!$C:$C,$C30)))</f>
        <v>0</v>
      </c>
      <c r="H30" s="160">
        <f>+IF($A30="",IF($C30="",SUMIFS(全伝票!L:L,全伝票!$B:$B,$B30),SUMIFS(全伝票!L:L,全伝票!$C:$C,$C30)),IF($C30="",SUMIFS(全伝票!L:L,全伝票!$A:$A,$A30,全伝票!$B:$B,$B30),SUMIFS(全伝票!L:L,全伝票!$A:$A,$A30,全伝票!$C:$C,$C30)))</f>
        <v>0</v>
      </c>
      <c r="I30" s="159">
        <f>+IF($A30="",IF($C30="",SUMIFS(全伝票!M:M,全伝票!$B:$B,$B30),SUMIFS(全伝票!M:M,全伝票!$C:$C,$C30)),IF($C30="",SUMIFS(全伝票!M:M,全伝票!$A:$A,$A30,全伝票!$B:$B,$B30),SUMIFS(全伝票!M:M,全伝票!$A:$A,$A30,全伝票!$C:$C,$C30)))</f>
        <v>0</v>
      </c>
      <c r="J30" s="159">
        <f>+IF($A30="",IF($C30="",SUMIFS(全伝票!N:N,全伝票!$B:$B,$B30),SUMIFS(全伝票!N:N,全伝票!$C:$C,$C30)),IF($C30="",SUMIFS(全伝票!N:N,全伝票!$A:$A,$A30,全伝票!$B:$B,$B30),SUMIFS(全伝票!N:N,全伝票!$A:$A,$A30,全伝票!$C:$C,$C30)))</f>
        <v>19</v>
      </c>
      <c r="K30" s="34">
        <f t="shared" ref="K30" si="16">SUM(F30:J30)</f>
        <v>19</v>
      </c>
      <c r="L30" s="158">
        <f>+IF($A30="",IF($C30="",SUMIFS(全伝票!O:O,全伝票!$B:$B,$B30),SUMIFS(全伝票!O:O,全伝票!$C:$C,$C30)),IF($C30="",SUMIFS(全伝票!O:O,全伝票!$A:$A,$A30,全伝票!$B:$B,$B30),SUMIFS(全伝票!O:O,全伝票!$A:$A,$A30,全伝票!$C:$C,$C30)))</f>
        <v>0</v>
      </c>
      <c r="M30" s="158">
        <f>+IF($A30="",IF($C30="",SUMIFS(全伝票!P:P,全伝票!$B:$B,$B30),SUMIFS(全伝票!P:P,全伝票!$C:$C,$C30)),IF($C30="",SUMIFS(全伝票!P:P,全伝票!$A:$A,$A30,全伝票!$B:$B,$B30),SUMIFS(全伝票!P:P,全伝票!$A:$A,$A30,全伝票!$C:$C,$C30)))</f>
        <v>0</v>
      </c>
      <c r="N30" s="108">
        <f t="shared" ref="N30" si="17">+ROUND(F30*F$4/(100+F$4),0)+AE30</f>
        <v>0</v>
      </c>
      <c r="O30" s="25">
        <f t="shared" ref="O30" si="18">+ROUND(G30*G$4/(100+G$4),0)+AF30</f>
        <v>0</v>
      </c>
      <c r="P30" s="25">
        <f t="shared" ref="P30" si="19">+ROUND(H30*H$4/(100+H$4),0)+AG30</f>
        <v>0</v>
      </c>
      <c r="Q30" s="157">
        <f t="shared" ref="Q30" si="20">+ROUND(I30*I$4/(100+I$4),0)+AH30</f>
        <v>0</v>
      </c>
      <c r="R30" s="157">
        <f t="shared" ref="R30" si="21">+ROUND(J30*J$4/(100+J$4),0)+AI30</f>
        <v>2</v>
      </c>
      <c r="S30" s="22">
        <f t="shared" ref="S30" si="22">SUM(N30:R30)</f>
        <v>2</v>
      </c>
      <c r="T30" s="109">
        <f t="shared" ref="T30" si="23">+E30-S30</f>
        <v>17</v>
      </c>
      <c r="U30" s="107">
        <f t="shared" ref="U30" si="24">N30-F30*F$4/(100+F$4)</f>
        <v>0</v>
      </c>
      <c r="V30" s="107">
        <f t="shared" ref="V30" si="25">O30-G30*G$4/(100+G$4)</f>
        <v>0</v>
      </c>
      <c r="W30" s="107">
        <f t="shared" ref="W30" si="26">P30-H30*H$4/(100+H$4)</f>
        <v>0</v>
      </c>
      <c r="X30" s="107">
        <f t="shared" ref="X30" si="27">Q30-I30*I$4/(100+I$4)</f>
        <v>0</v>
      </c>
      <c r="Y30" s="107">
        <f t="shared" ref="Y30" si="28">R30-J30*J$4/(100+J$4)</f>
        <v>0.27272727272727271</v>
      </c>
      <c r="Z30" s="106">
        <f t="shared" si="11"/>
        <v>0</v>
      </c>
      <c r="AA30" s="106">
        <f t="shared" si="12"/>
        <v>0</v>
      </c>
      <c r="AB30" s="106">
        <f t="shared" si="13"/>
        <v>0</v>
      </c>
      <c r="AC30" s="106">
        <f t="shared" si="14"/>
        <v>0</v>
      </c>
      <c r="AD30" s="106">
        <f t="shared" si="15"/>
        <v>0</v>
      </c>
    </row>
    <row r="31" spans="1:35">
      <c r="A31" s="165">
        <v>4</v>
      </c>
      <c r="B31" s="164" t="s">
        <v>453</v>
      </c>
      <c r="C31" s="163"/>
      <c r="D31" s="162" t="s">
        <v>60</v>
      </c>
      <c r="E31" s="158">
        <f>+IF($A31="",IF($C31="",SUMIFS(全伝票!I:I,全伝票!$B:$B,$B31),SUMIFS(全伝票!I:I,全伝票!$C:$C,$C31)),IF($C31="",SUMIFS(全伝票!I:I,全伝票!$A:$A,$A31,全伝票!$B:$B,$B31),SUMIFS(全伝票!I:I,全伝票!$A:$A,$A31,全伝票!$C:$C,$C31)))</f>
        <v>0</v>
      </c>
      <c r="F31" s="161">
        <f>+IF($A31="",IF($C31="",SUMIFS(全伝票!J:J,全伝票!$B:$B,$B31),SUMIFS(全伝票!J:J,全伝票!$C:$C,$C31)),IF($C31="",SUMIFS(全伝票!J:J,全伝票!$A:$A,$A31,全伝票!$B:$B,$B31),SUMIFS(全伝票!J:J,全伝票!$A:$A,$A31,全伝票!$C:$C,$C31)))</f>
        <v>0</v>
      </c>
      <c r="G31" s="160">
        <f>+IF($A31="",IF($C31="",SUMIFS(全伝票!K:K,全伝票!$B:$B,$B31),SUMIFS(全伝票!K:K,全伝票!$C:$C,$C31)),IF($C31="",SUMIFS(全伝票!K:K,全伝票!$A:$A,$A31,全伝票!$B:$B,$B31),SUMIFS(全伝票!K:K,全伝票!$A:$A,$A31,全伝票!$C:$C,$C31)))</f>
        <v>0</v>
      </c>
      <c r="H31" s="160">
        <f>+IF($A31="",IF($C31="",SUMIFS(全伝票!L:L,全伝票!$B:$B,$B31),SUMIFS(全伝票!L:L,全伝票!$C:$C,$C31)),IF($C31="",SUMIFS(全伝票!L:L,全伝票!$A:$A,$A31,全伝票!$B:$B,$B31),SUMIFS(全伝票!L:L,全伝票!$A:$A,$A31,全伝票!$C:$C,$C31)))</f>
        <v>0</v>
      </c>
      <c r="I31" s="159">
        <f>+IF($A31="",IF($C31="",SUMIFS(全伝票!M:M,全伝票!$B:$B,$B31),SUMIFS(全伝票!M:M,全伝票!$C:$C,$C31)),IF($C31="",SUMIFS(全伝票!M:M,全伝票!$A:$A,$A31,全伝票!$B:$B,$B31),SUMIFS(全伝票!M:M,全伝票!$A:$A,$A31,全伝票!$C:$C,$C31)))</f>
        <v>0</v>
      </c>
      <c r="J31" s="159">
        <f>+IF($A31="",IF($C31="",SUMIFS(全伝票!N:N,全伝票!$B:$B,$B31),SUMIFS(全伝票!N:N,全伝票!$C:$C,$C31)),IF($C31="",SUMIFS(全伝票!N:N,全伝票!$A:$A,$A31,全伝票!$B:$B,$B31),SUMIFS(全伝票!N:N,全伝票!$A:$A,$A31,全伝票!$C:$C,$C31)))</f>
        <v>0</v>
      </c>
      <c r="K31" s="34">
        <f t="shared" si="0"/>
        <v>0</v>
      </c>
      <c r="L31" s="158">
        <f>+IF($A31="",IF($C31="",SUMIFS(全伝票!O:O,全伝票!$B:$B,$B31),SUMIFS(全伝票!O:O,全伝票!$C:$C,$C31)),IF($C31="",SUMIFS(全伝票!O:O,全伝票!$A:$A,$A31,全伝票!$B:$B,$B31),SUMIFS(全伝票!O:O,全伝票!$A:$A,$A31,全伝票!$C:$C,$C31)))</f>
        <v>0</v>
      </c>
      <c r="M31" s="158">
        <f>+IF($A31="",IF($C31="",SUMIFS(全伝票!P:P,全伝票!$B:$B,$B31),SUMIFS(全伝票!P:P,全伝票!$C:$C,$C31)),IF($C31="",SUMIFS(全伝票!P:P,全伝票!$A:$A,$A31,全伝票!$B:$B,$B31),SUMIFS(全伝票!P:P,全伝票!$A:$A,$A31,全伝票!$C:$C,$C31)))</f>
        <v>0</v>
      </c>
      <c r="N31" s="108">
        <f t="shared" si="1"/>
        <v>0</v>
      </c>
      <c r="O31" s="25">
        <f t="shared" si="3"/>
        <v>0</v>
      </c>
      <c r="P31" s="25">
        <f t="shared" si="2"/>
        <v>0</v>
      </c>
      <c r="Q31" s="157">
        <f t="shared" si="3"/>
        <v>0</v>
      </c>
      <c r="R31" s="157">
        <f t="shared" si="4"/>
        <v>0</v>
      </c>
      <c r="S31" s="22">
        <f t="shared" si="5"/>
        <v>0</v>
      </c>
      <c r="T31" s="109">
        <f t="shared" si="6"/>
        <v>0</v>
      </c>
      <c r="U31" s="107">
        <f t="shared" si="7"/>
        <v>0</v>
      </c>
      <c r="V31" s="107">
        <f t="shared" si="8"/>
        <v>0</v>
      </c>
      <c r="W31" s="107">
        <f t="shared" si="9"/>
        <v>0</v>
      </c>
      <c r="X31" s="107">
        <f t="shared" si="9"/>
        <v>0</v>
      </c>
      <c r="Y31" s="107">
        <f t="shared" si="10"/>
        <v>0</v>
      </c>
      <c r="Z31" s="106">
        <f t="shared" si="11"/>
        <v>0</v>
      </c>
      <c r="AA31" s="106">
        <f t="shared" si="12"/>
        <v>0</v>
      </c>
      <c r="AB31" s="106">
        <f t="shared" si="13"/>
        <v>0</v>
      </c>
      <c r="AC31" s="106">
        <f t="shared" si="14"/>
        <v>0</v>
      </c>
      <c r="AD31" s="106">
        <f t="shared" si="15"/>
        <v>0</v>
      </c>
    </row>
    <row r="32" spans="1:35">
      <c r="A32" s="165">
        <v>4</v>
      </c>
      <c r="B32" s="164" t="s">
        <v>452</v>
      </c>
      <c r="C32" s="163"/>
      <c r="D32" s="162" t="s">
        <v>58</v>
      </c>
      <c r="E32" s="158">
        <f>+IF($A32="",IF($C32="",SUMIFS(全伝票!I:I,全伝票!$B:$B,$B32),SUMIFS(全伝票!I:I,全伝票!$C:$C,$C32)),IF($C32="",SUMIFS(全伝票!I:I,全伝票!$A:$A,$A32,全伝票!$B:$B,$B32),SUMIFS(全伝票!I:I,全伝票!$A:$A,$A32,全伝票!$C:$C,$C32)))</f>
        <v>3586</v>
      </c>
      <c r="F32" s="161">
        <f>+IF($A32="",IF($C32="",SUMIFS(全伝票!J:J,全伝票!$B:$B,$B32),SUMIFS(全伝票!J:J,全伝票!$C:$C,$C32)),IF($C32="",SUMIFS(全伝票!J:J,全伝票!$A:$A,$A32,全伝票!$B:$B,$B32),SUMIFS(全伝票!J:J,全伝票!$A:$A,$A32,全伝票!$C:$C,$C32)))</f>
        <v>0</v>
      </c>
      <c r="G32" s="160">
        <f>+IF($A32="",IF($C32="",SUMIFS(全伝票!K:K,全伝票!$B:$B,$B32),SUMIFS(全伝票!K:K,全伝票!$C:$C,$C32)),IF($C32="",SUMIFS(全伝票!K:K,全伝票!$A:$A,$A32,全伝票!$B:$B,$B32),SUMIFS(全伝票!K:K,全伝票!$A:$A,$A32,全伝票!$C:$C,$C32)))</f>
        <v>0</v>
      </c>
      <c r="H32" s="160">
        <f>+IF($A32="",IF($C32="",SUMIFS(全伝票!L:L,全伝票!$B:$B,$B32),SUMIFS(全伝票!L:L,全伝票!$C:$C,$C32)),IF($C32="",SUMIFS(全伝票!L:L,全伝票!$A:$A,$A32,全伝票!$B:$B,$B32),SUMIFS(全伝票!L:L,全伝票!$A:$A,$A32,全伝票!$C:$C,$C32)))</f>
        <v>0</v>
      </c>
      <c r="I32" s="159">
        <f>+IF($A32="",IF($C32="",SUMIFS(全伝票!M:M,全伝票!$B:$B,$B32),SUMIFS(全伝票!M:M,全伝票!$C:$C,$C32)),IF($C32="",SUMIFS(全伝票!M:M,全伝票!$A:$A,$A32,全伝票!$B:$B,$B32),SUMIFS(全伝票!M:M,全伝票!$A:$A,$A32,全伝票!$C:$C,$C32)))</f>
        <v>0</v>
      </c>
      <c r="J32" s="159">
        <f>+IF($A32="",IF($C32="",SUMIFS(全伝票!N:N,全伝票!$B:$B,$B32),SUMIFS(全伝票!N:N,全伝票!$C:$C,$C32)),IF($C32="",SUMIFS(全伝票!N:N,全伝票!$A:$A,$A32,全伝票!$B:$B,$B32),SUMIFS(全伝票!N:N,全伝票!$A:$A,$A32,全伝票!$C:$C,$C32)))</f>
        <v>0</v>
      </c>
      <c r="K32" s="34">
        <f t="shared" si="0"/>
        <v>0</v>
      </c>
      <c r="L32" s="158">
        <f>+IF($A32="",IF($C32="",SUMIFS(全伝票!O:O,全伝票!$B:$B,$B32),SUMIFS(全伝票!O:O,全伝票!$C:$C,$C32)),IF($C32="",SUMIFS(全伝票!O:O,全伝票!$A:$A,$A32,全伝票!$B:$B,$B32),SUMIFS(全伝票!O:O,全伝票!$A:$A,$A32,全伝票!$C:$C,$C32)))</f>
        <v>3586</v>
      </c>
      <c r="M32" s="158">
        <f>+IF($A32="",IF($C32="",SUMIFS(全伝票!P:P,全伝票!$B:$B,$B32),SUMIFS(全伝票!P:P,全伝票!$C:$C,$C32)),IF($C32="",SUMIFS(全伝票!P:P,全伝票!$A:$A,$A32,全伝票!$B:$B,$B32),SUMIFS(全伝票!P:P,全伝票!$A:$A,$A32,全伝票!$C:$C,$C32)))</f>
        <v>0</v>
      </c>
      <c r="N32" s="108">
        <f t="shared" si="1"/>
        <v>0</v>
      </c>
      <c r="O32" s="25">
        <f t="shared" si="3"/>
        <v>0</v>
      </c>
      <c r="P32" s="25">
        <f t="shared" si="2"/>
        <v>0</v>
      </c>
      <c r="Q32" s="157">
        <f t="shared" si="3"/>
        <v>0</v>
      </c>
      <c r="R32" s="157">
        <f t="shared" si="4"/>
        <v>0</v>
      </c>
      <c r="S32" s="22">
        <f t="shared" si="5"/>
        <v>0</v>
      </c>
      <c r="T32" s="109">
        <f t="shared" si="6"/>
        <v>3586</v>
      </c>
      <c r="U32" s="107">
        <f t="shared" si="7"/>
        <v>0</v>
      </c>
      <c r="V32" s="107">
        <f t="shared" si="8"/>
        <v>0</v>
      </c>
      <c r="W32" s="107">
        <f t="shared" si="9"/>
        <v>0</v>
      </c>
      <c r="X32" s="107">
        <f t="shared" si="9"/>
        <v>0</v>
      </c>
      <c r="Y32" s="107">
        <f t="shared" si="10"/>
        <v>0</v>
      </c>
      <c r="Z32" s="106">
        <f t="shared" si="11"/>
        <v>0</v>
      </c>
      <c r="AA32" s="106">
        <f t="shared" si="12"/>
        <v>0</v>
      </c>
      <c r="AB32" s="106">
        <f t="shared" si="13"/>
        <v>0</v>
      </c>
      <c r="AC32" s="106">
        <f t="shared" si="14"/>
        <v>0</v>
      </c>
      <c r="AD32" s="106">
        <f t="shared" si="15"/>
        <v>0</v>
      </c>
    </row>
    <row r="33" spans="1:30">
      <c r="A33" s="165">
        <v>4</v>
      </c>
      <c r="B33" s="164" t="s">
        <v>451</v>
      </c>
      <c r="C33" s="163"/>
      <c r="D33" s="162" t="s">
        <v>56</v>
      </c>
      <c r="E33" s="158">
        <f>+IF($A33="",IF($C33="",SUMIFS(全伝票!I:I,全伝票!$B:$B,$B33),SUMIFS(全伝票!I:I,全伝票!$C:$C,$C33)),IF($C33="",SUMIFS(全伝票!I:I,全伝票!$A:$A,$A33,全伝票!$B:$B,$B33),SUMIFS(全伝票!I:I,全伝票!$A:$A,$A33,全伝票!$C:$C,$C33)))</f>
        <v>42</v>
      </c>
      <c r="F33" s="161">
        <f>+IF($A33="",IF($C33="",SUMIFS(全伝票!J:J,全伝票!$B:$B,$B33),SUMIFS(全伝票!J:J,全伝票!$C:$C,$C33)),IF($C33="",SUMIFS(全伝票!J:J,全伝票!$A:$A,$A33,全伝票!$B:$B,$B33),SUMIFS(全伝票!J:J,全伝票!$A:$A,$A33,全伝票!$C:$C,$C33)))</f>
        <v>0</v>
      </c>
      <c r="G33" s="160">
        <f>+IF($A33="",IF($C33="",SUMIFS(全伝票!K:K,全伝票!$B:$B,$B33),SUMIFS(全伝票!K:K,全伝票!$C:$C,$C33)),IF($C33="",SUMIFS(全伝票!K:K,全伝票!$A:$A,$A33,全伝票!$B:$B,$B33),SUMIFS(全伝票!K:K,全伝票!$A:$A,$A33,全伝票!$C:$C,$C33)))</f>
        <v>0</v>
      </c>
      <c r="H33" s="160">
        <f>+IF($A33="",IF($C33="",SUMIFS(全伝票!L:L,全伝票!$B:$B,$B33),SUMIFS(全伝票!L:L,全伝票!$C:$C,$C33)),IF($C33="",SUMIFS(全伝票!L:L,全伝票!$A:$A,$A33,全伝票!$B:$B,$B33),SUMIFS(全伝票!L:L,全伝票!$A:$A,$A33,全伝票!$C:$C,$C33)))</f>
        <v>0</v>
      </c>
      <c r="I33" s="159">
        <f>+IF($A33="",IF($C33="",SUMIFS(全伝票!M:M,全伝票!$B:$B,$B33),SUMIFS(全伝票!M:M,全伝票!$C:$C,$C33)),IF($C33="",SUMIFS(全伝票!M:M,全伝票!$A:$A,$A33,全伝票!$B:$B,$B33),SUMIFS(全伝票!M:M,全伝票!$A:$A,$A33,全伝票!$C:$C,$C33)))</f>
        <v>0</v>
      </c>
      <c r="J33" s="159">
        <f>+IF($A33="",IF($C33="",SUMIFS(全伝票!N:N,全伝票!$B:$B,$B33),SUMIFS(全伝票!N:N,全伝票!$C:$C,$C33)),IF($C33="",SUMIFS(全伝票!N:N,全伝票!$A:$A,$A33,全伝票!$B:$B,$B33),SUMIFS(全伝票!N:N,全伝票!$A:$A,$A33,全伝票!$C:$C,$C33)))</f>
        <v>0</v>
      </c>
      <c r="K33" s="34">
        <f t="shared" si="0"/>
        <v>0</v>
      </c>
      <c r="L33" s="158">
        <f>+IF($A33="",IF($C33="",SUMIFS(全伝票!O:O,全伝票!$B:$B,$B33),SUMIFS(全伝票!O:O,全伝票!$C:$C,$C33)),IF($C33="",SUMIFS(全伝票!O:O,全伝票!$A:$A,$A33,全伝票!$B:$B,$B33),SUMIFS(全伝票!O:O,全伝票!$A:$A,$A33,全伝票!$C:$C,$C33)))</f>
        <v>0</v>
      </c>
      <c r="M33" s="158">
        <f>+IF($A33="",IF($C33="",SUMIFS(全伝票!P:P,全伝票!$B:$B,$B33),SUMIFS(全伝票!P:P,全伝票!$C:$C,$C33)),IF($C33="",SUMIFS(全伝票!P:P,全伝票!$A:$A,$A33,全伝票!$B:$B,$B33),SUMIFS(全伝票!P:P,全伝票!$A:$A,$A33,全伝票!$C:$C,$C33)))</f>
        <v>42</v>
      </c>
      <c r="N33" s="108">
        <f t="shared" si="1"/>
        <v>0</v>
      </c>
      <c r="O33" s="25">
        <f t="shared" si="3"/>
        <v>0</v>
      </c>
      <c r="P33" s="25">
        <f t="shared" si="2"/>
        <v>0</v>
      </c>
      <c r="Q33" s="157">
        <f t="shared" si="3"/>
        <v>0</v>
      </c>
      <c r="R33" s="157">
        <f t="shared" si="4"/>
        <v>0</v>
      </c>
      <c r="S33" s="22">
        <f t="shared" si="5"/>
        <v>0</v>
      </c>
      <c r="T33" s="109">
        <f t="shared" si="6"/>
        <v>42</v>
      </c>
      <c r="U33" s="107">
        <f t="shared" si="7"/>
        <v>0</v>
      </c>
      <c r="V33" s="107">
        <f t="shared" si="8"/>
        <v>0</v>
      </c>
      <c r="W33" s="107">
        <f t="shared" si="9"/>
        <v>0</v>
      </c>
      <c r="X33" s="107">
        <f t="shared" si="9"/>
        <v>0</v>
      </c>
      <c r="Y33" s="107">
        <f t="shared" si="10"/>
        <v>0</v>
      </c>
      <c r="Z33" s="106">
        <f t="shared" si="11"/>
        <v>0</v>
      </c>
      <c r="AA33" s="106">
        <f t="shared" si="12"/>
        <v>0</v>
      </c>
      <c r="AB33" s="106">
        <f t="shared" si="13"/>
        <v>0</v>
      </c>
      <c r="AC33" s="106">
        <f t="shared" si="14"/>
        <v>0</v>
      </c>
      <c r="AD33" s="106">
        <f t="shared" si="15"/>
        <v>0</v>
      </c>
    </row>
    <row r="34" spans="1:30">
      <c r="A34" s="165">
        <v>4</v>
      </c>
      <c r="B34" s="164" t="s">
        <v>472</v>
      </c>
      <c r="C34" s="163">
        <v>883191003</v>
      </c>
      <c r="D34" s="162" t="s">
        <v>609</v>
      </c>
      <c r="E34" s="158">
        <f>+IF($A34="",IF($C34="",SUMIFS(全伝票!I:I,全伝票!$B:$B,$B34),SUMIFS(全伝票!I:I,全伝票!$C:$C,$C34)),IF($C34="",SUMIFS(全伝票!I:I,全伝票!$A:$A,$A34,全伝票!$B:$B,$B34),SUMIFS(全伝票!I:I,全伝票!$A:$A,$A34,全伝票!$C:$C,$C34)))</f>
        <v>0</v>
      </c>
      <c r="F34" s="161">
        <f>+IF($A34="",IF($C34="",SUMIFS(全伝票!J:J,全伝票!$B:$B,$B34),SUMIFS(全伝票!J:J,全伝票!$C:$C,$C34)),IF($C34="",SUMIFS(全伝票!J:J,全伝票!$A:$A,$A34,全伝票!$B:$B,$B34),SUMIFS(全伝票!J:J,全伝票!$A:$A,$A34,全伝票!$C:$C,$C34)))</f>
        <v>0</v>
      </c>
      <c r="G34" s="160">
        <f>+IF($A34="",IF($C34="",SUMIFS(全伝票!K:K,全伝票!$B:$B,$B34),SUMIFS(全伝票!K:K,全伝票!$C:$C,$C34)),IF($C34="",SUMIFS(全伝票!K:K,全伝票!$A:$A,$A34,全伝票!$B:$B,$B34),SUMIFS(全伝票!K:K,全伝票!$A:$A,$A34,全伝票!$C:$C,$C34)))</f>
        <v>0</v>
      </c>
      <c r="H34" s="160">
        <f>+IF($A34="",IF($C34="",SUMIFS(全伝票!L:L,全伝票!$B:$B,$B34),SUMIFS(全伝票!L:L,全伝票!$C:$C,$C34)),IF($C34="",SUMIFS(全伝票!L:L,全伝票!$A:$A,$A34,全伝票!$B:$B,$B34),SUMIFS(全伝票!L:L,全伝票!$A:$A,$A34,全伝票!$C:$C,$C34)))</f>
        <v>0</v>
      </c>
      <c r="I34" s="159">
        <f>+IF($A34="",IF($C34="",SUMIFS(全伝票!M:M,全伝票!$B:$B,$B34),SUMIFS(全伝票!M:M,全伝票!$C:$C,$C34)),IF($C34="",SUMIFS(全伝票!M:M,全伝票!$A:$A,$A34,全伝票!$B:$B,$B34),SUMIFS(全伝票!M:M,全伝票!$A:$A,$A34,全伝票!$C:$C,$C34)))</f>
        <v>0</v>
      </c>
      <c r="J34" s="159">
        <f>+IF($A34="",IF($C34="",SUMIFS(全伝票!N:N,全伝票!$B:$B,$B34),SUMIFS(全伝票!N:N,全伝票!$C:$C,$C34)),IF($C34="",SUMIFS(全伝票!N:N,全伝票!$A:$A,$A34,全伝票!$B:$B,$B34),SUMIFS(全伝票!N:N,全伝票!$A:$A,$A34,全伝票!$C:$C,$C34)))</f>
        <v>0</v>
      </c>
      <c r="K34" s="34">
        <f t="shared" si="0"/>
        <v>0</v>
      </c>
      <c r="L34" s="158">
        <f>+IF($A34="",IF($C34="",SUMIFS(全伝票!O:O,全伝票!$B:$B,$B34),SUMIFS(全伝票!O:O,全伝票!$C:$C,$C34)),IF($C34="",SUMIFS(全伝票!O:O,全伝票!$A:$A,$A34,全伝票!$B:$B,$B34),SUMIFS(全伝票!O:O,全伝票!$A:$A,$A34,全伝票!$C:$C,$C34)))</f>
        <v>0</v>
      </c>
      <c r="M34" s="158">
        <f>+IF($A34="",IF($C34="",SUMIFS(全伝票!P:P,全伝票!$B:$B,$B34),SUMIFS(全伝票!P:P,全伝票!$C:$C,$C34)),IF($C34="",SUMIFS(全伝票!P:P,全伝票!$A:$A,$A34,全伝票!$B:$B,$B34),SUMIFS(全伝票!P:P,全伝票!$A:$A,$A34,全伝票!$C:$C,$C34)))</f>
        <v>0</v>
      </c>
      <c r="N34" s="108">
        <f t="shared" si="1"/>
        <v>0</v>
      </c>
      <c r="O34" s="25">
        <f t="shared" si="3"/>
        <v>0</v>
      </c>
      <c r="P34" s="25">
        <f t="shared" si="2"/>
        <v>0</v>
      </c>
      <c r="Q34" s="157">
        <f t="shared" si="3"/>
        <v>0</v>
      </c>
      <c r="R34" s="157">
        <f t="shared" si="4"/>
        <v>0</v>
      </c>
      <c r="S34" s="22">
        <f t="shared" si="5"/>
        <v>0</v>
      </c>
      <c r="T34" s="109">
        <f t="shared" si="6"/>
        <v>0</v>
      </c>
      <c r="U34" s="107">
        <f t="shared" si="7"/>
        <v>0</v>
      </c>
      <c r="V34" s="107">
        <f t="shared" si="8"/>
        <v>0</v>
      </c>
      <c r="W34" s="107">
        <f t="shared" si="9"/>
        <v>0</v>
      </c>
      <c r="X34" s="107">
        <f t="shared" si="9"/>
        <v>0</v>
      </c>
      <c r="Y34" s="107">
        <f t="shared" si="10"/>
        <v>0</v>
      </c>
      <c r="Z34" s="106">
        <f t="shared" si="11"/>
        <v>0</v>
      </c>
      <c r="AA34" s="106">
        <f t="shared" si="12"/>
        <v>0</v>
      </c>
      <c r="AB34" s="106">
        <f t="shared" si="13"/>
        <v>0</v>
      </c>
      <c r="AC34" s="106">
        <f t="shared" si="14"/>
        <v>0</v>
      </c>
      <c r="AD34" s="106">
        <f t="shared" si="15"/>
        <v>0</v>
      </c>
    </row>
    <row r="35" spans="1:30">
      <c r="A35" s="165">
        <v>4</v>
      </c>
      <c r="B35" s="164" t="s">
        <v>449</v>
      </c>
      <c r="C35" s="163"/>
      <c r="D35" s="162" t="s">
        <v>53</v>
      </c>
      <c r="E35" s="158">
        <f>+IF($A35="",IF($C35="",SUMIFS(全伝票!I:I,全伝票!$B:$B,$B35),SUMIFS(全伝票!I:I,全伝票!$C:$C,$C35)),IF($C35="",SUMIFS(全伝票!I:I,全伝票!$A:$A,$A35,全伝票!$B:$B,$B35),SUMIFS(全伝票!I:I,全伝票!$A:$A,$A35,全伝票!$C:$C,$C35)))</f>
        <v>0</v>
      </c>
      <c r="F35" s="161">
        <f>+IF($A35="",IF($C35="",SUMIFS(全伝票!J:J,全伝票!$B:$B,$B35),SUMIFS(全伝票!J:J,全伝票!$C:$C,$C35)),IF($C35="",SUMIFS(全伝票!J:J,全伝票!$A:$A,$A35,全伝票!$B:$B,$B35),SUMIFS(全伝票!J:J,全伝票!$A:$A,$A35,全伝票!$C:$C,$C35)))</f>
        <v>0</v>
      </c>
      <c r="G35" s="160">
        <f>+IF($A35="",IF($C35="",SUMIFS(全伝票!K:K,全伝票!$B:$B,$B35),SUMIFS(全伝票!K:K,全伝票!$C:$C,$C35)),IF($C35="",SUMIFS(全伝票!K:K,全伝票!$A:$A,$A35,全伝票!$B:$B,$B35),SUMIFS(全伝票!K:K,全伝票!$A:$A,$A35,全伝票!$C:$C,$C35)))</f>
        <v>0</v>
      </c>
      <c r="H35" s="160">
        <f>+IF($A35="",IF($C35="",SUMIFS(全伝票!L:L,全伝票!$B:$B,$B35),SUMIFS(全伝票!L:L,全伝票!$C:$C,$C35)),IF($C35="",SUMIFS(全伝票!L:L,全伝票!$A:$A,$A35,全伝票!$B:$B,$B35),SUMIFS(全伝票!L:L,全伝票!$A:$A,$A35,全伝票!$C:$C,$C35)))</f>
        <v>0</v>
      </c>
      <c r="I35" s="159">
        <f>+IF($A35="",IF($C35="",SUMIFS(全伝票!M:M,全伝票!$B:$B,$B35),SUMIFS(全伝票!M:M,全伝票!$C:$C,$C35)),IF($C35="",SUMIFS(全伝票!M:M,全伝票!$A:$A,$A35,全伝票!$B:$B,$B35),SUMIFS(全伝票!M:M,全伝票!$A:$A,$A35,全伝票!$C:$C,$C35)))</f>
        <v>0</v>
      </c>
      <c r="J35" s="159">
        <f>+IF($A35="",IF($C35="",SUMIFS(全伝票!N:N,全伝票!$B:$B,$B35),SUMIFS(全伝票!N:N,全伝票!$C:$C,$C35)),IF($C35="",SUMIFS(全伝票!N:N,全伝票!$A:$A,$A35,全伝票!$B:$B,$B35),SUMIFS(全伝票!N:N,全伝票!$A:$A,$A35,全伝票!$C:$C,$C35)))</f>
        <v>0</v>
      </c>
      <c r="K35" s="34">
        <f t="shared" si="0"/>
        <v>0</v>
      </c>
      <c r="L35" s="158">
        <f>+IF($A35="",IF($C35="",SUMIFS(全伝票!O:O,全伝票!$B:$B,$B35),SUMIFS(全伝票!O:O,全伝票!$C:$C,$C35)),IF($C35="",SUMIFS(全伝票!O:O,全伝票!$A:$A,$A35,全伝票!$B:$B,$B35),SUMIFS(全伝票!O:O,全伝票!$A:$A,$A35,全伝票!$C:$C,$C35)))</f>
        <v>0</v>
      </c>
      <c r="M35" s="158">
        <f>+IF($A35="",IF($C35="",SUMIFS(全伝票!P:P,全伝票!$B:$B,$B35),SUMIFS(全伝票!P:P,全伝票!$C:$C,$C35)),IF($C35="",SUMIFS(全伝票!P:P,全伝票!$A:$A,$A35,全伝票!$B:$B,$B35),SUMIFS(全伝票!P:P,全伝票!$A:$A,$A35,全伝票!$C:$C,$C35)))</f>
        <v>0</v>
      </c>
      <c r="N35" s="108">
        <f t="shared" si="1"/>
        <v>0</v>
      </c>
      <c r="O35" s="25">
        <f t="shared" si="3"/>
        <v>0</v>
      </c>
      <c r="P35" s="25">
        <f t="shared" si="2"/>
        <v>0</v>
      </c>
      <c r="Q35" s="157">
        <f t="shared" si="3"/>
        <v>0</v>
      </c>
      <c r="R35" s="157">
        <f t="shared" si="4"/>
        <v>0</v>
      </c>
      <c r="S35" s="22">
        <f t="shared" si="5"/>
        <v>0</v>
      </c>
      <c r="T35" s="109">
        <f t="shared" si="6"/>
        <v>0</v>
      </c>
      <c r="U35" s="107">
        <f t="shared" si="7"/>
        <v>0</v>
      </c>
      <c r="V35" s="107">
        <f t="shared" si="8"/>
        <v>0</v>
      </c>
      <c r="W35" s="107">
        <f t="shared" si="9"/>
        <v>0</v>
      </c>
      <c r="X35" s="107">
        <f t="shared" si="9"/>
        <v>0</v>
      </c>
      <c r="Y35" s="107">
        <f t="shared" si="10"/>
        <v>0</v>
      </c>
      <c r="Z35" s="106">
        <f t="shared" si="11"/>
        <v>0</v>
      </c>
      <c r="AA35" s="106">
        <f t="shared" si="12"/>
        <v>0</v>
      </c>
      <c r="AB35" s="106">
        <f t="shared" si="13"/>
        <v>0</v>
      </c>
      <c r="AC35" s="106">
        <f t="shared" si="14"/>
        <v>0</v>
      </c>
      <c r="AD35" s="106">
        <f t="shared" si="15"/>
        <v>0</v>
      </c>
    </row>
    <row r="36" spans="1:30" ht="14.25" thickBot="1">
      <c r="A36" s="165">
        <v>4</v>
      </c>
      <c r="B36" s="164" t="s">
        <v>448</v>
      </c>
      <c r="C36" s="163"/>
      <c r="D36" s="162" t="s">
        <v>51</v>
      </c>
      <c r="E36" s="158">
        <f>+IF($A36="",IF($C36="",SUMIFS(全伝票!I:I,全伝票!$B:$B,$B36),SUMIFS(全伝票!I:I,全伝票!$C:$C,$C36)),IF($C36="",SUMIFS(全伝票!I:I,全伝票!$A:$A,$A36,全伝票!$B:$B,$B36),SUMIFS(全伝票!I:I,全伝票!$A:$A,$A36,全伝票!$C:$C,$C36)))</f>
        <v>0</v>
      </c>
      <c r="F36" s="161">
        <f>+IF($A36="",IF($C36="",SUMIFS(全伝票!J:J,全伝票!$B:$B,$B36),SUMIFS(全伝票!J:J,全伝票!$C:$C,$C36)),IF($C36="",SUMIFS(全伝票!J:J,全伝票!$A:$A,$A36,全伝票!$B:$B,$B36),SUMIFS(全伝票!J:J,全伝票!$A:$A,$A36,全伝票!$C:$C,$C36)))</f>
        <v>0</v>
      </c>
      <c r="G36" s="160">
        <f>+IF($A36="",IF($C36="",SUMIFS(全伝票!K:K,全伝票!$B:$B,$B36),SUMIFS(全伝票!K:K,全伝票!$C:$C,$C36)),IF($C36="",SUMIFS(全伝票!K:K,全伝票!$A:$A,$A36,全伝票!$B:$B,$B36),SUMIFS(全伝票!K:K,全伝票!$A:$A,$A36,全伝票!$C:$C,$C36)))</f>
        <v>0</v>
      </c>
      <c r="H36" s="160">
        <f>+IF($A36="",IF($C36="",SUMIFS(全伝票!L:L,全伝票!$B:$B,$B36),SUMIFS(全伝票!L:L,全伝票!$C:$C,$C36)),IF($C36="",SUMIFS(全伝票!L:L,全伝票!$A:$A,$A36,全伝票!$B:$B,$B36),SUMIFS(全伝票!L:L,全伝票!$A:$A,$A36,全伝票!$C:$C,$C36)))</f>
        <v>0</v>
      </c>
      <c r="I36" s="159">
        <f>+IF($A36="",IF($C36="",SUMIFS(全伝票!M:M,全伝票!$B:$B,$B36),SUMIFS(全伝票!M:M,全伝票!$C:$C,$C36)),IF($C36="",SUMIFS(全伝票!M:M,全伝票!$A:$A,$A36,全伝票!$B:$B,$B36),SUMIFS(全伝票!M:M,全伝票!$A:$A,$A36,全伝票!$C:$C,$C36)))</f>
        <v>0</v>
      </c>
      <c r="J36" s="159">
        <f>+IF($A36="",IF($C36="",SUMIFS(全伝票!N:N,全伝票!$B:$B,$B36),SUMIFS(全伝票!N:N,全伝票!$C:$C,$C36)),IF($C36="",SUMIFS(全伝票!N:N,全伝票!$A:$A,$A36,全伝票!$B:$B,$B36),SUMIFS(全伝票!N:N,全伝票!$A:$A,$A36,全伝票!$C:$C,$C36)))</f>
        <v>0</v>
      </c>
      <c r="K36" s="34">
        <f t="shared" si="0"/>
        <v>0</v>
      </c>
      <c r="L36" s="158">
        <f>+IF($A36="",IF($C36="",SUMIFS(全伝票!O:O,全伝票!$B:$B,$B36),SUMIFS(全伝票!O:O,全伝票!$C:$C,$C36)),IF($C36="",SUMIFS(全伝票!O:O,全伝票!$A:$A,$A36,全伝票!$B:$B,$B36),SUMIFS(全伝票!O:O,全伝票!$A:$A,$A36,全伝票!$C:$C,$C36)))</f>
        <v>0</v>
      </c>
      <c r="M36" s="158">
        <f>+IF($A36="",IF($C36="",SUMIFS(全伝票!P:P,全伝票!$B:$B,$B36),SUMIFS(全伝票!P:P,全伝票!$C:$C,$C36)),IF($C36="",SUMIFS(全伝票!P:P,全伝票!$A:$A,$A36,全伝票!$B:$B,$B36),SUMIFS(全伝票!P:P,全伝票!$A:$A,$A36,全伝票!$C:$C,$C36)))</f>
        <v>0</v>
      </c>
      <c r="N36" s="108">
        <f t="shared" si="1"/>
        <v>0</v>
      </c>
      <c r="O36" s="25">
        <f t="shared" si="3"/>
        <v>0</v>
      </c>
      <c r="P36" s="25">
        <f t="shared" si="2"/>
        <v>0</v>
      </c>
      <c r="Q36" s="157">
        <f t="shared" si="3"/>
        <v>0</v>
      </c>
      <c r="R36" s="157">
        <f t="shared" si="4"/>
        <v>0</v>
      </c>
      <c r="S36" s="22">
        <f t="shared" si="5"/>
        <v>0</v>
      </c>
      <c r="T36" s="109">
        <f t="shared" si="6"/>
        <v>0</v>
      </c>
      <c r="U36" s="107">
        <f t="shared" si="7"/>
        <v>0</v>
      </c>
      <c r="V36" s="107">
        <f t="shared" si="8"/>
        <v>0</v>
      </c>
      <c r="W36" s="107">
        <f t="shared" si="9"/>
        <v>0</v>
      </c>
      <c r="X36" s="107">
        <f t="shared" si="9"/>
        <v>0</v>
      </c>
      <c r="Y36" s="107">
        <f t="shared" si="10"/>
        <v>0</v>
      </c>
      <c r="Z36" s="106">
        <f t="shared" si="11"/>
        <v>0</v>
      </c>
      <c r="AA36" s="106">
        <f t="shared" si="12"/>
        <v>0</v>
      </c>
      <c r="AB36" s="106">
        <f t="shared" si="13"/>
        <v>0</v>
      </c>
      <c r="AC36" s="106">
        <f t="shared" si="14"/>
        <v>0</v>
      </c>
      <c r="AD36" s="106">
        <f t="shared" si="15"/>
        <v>0</v>
      </c>
    </row>
    <row r="37" spans="1:30" ht="14.25" thickTop="1">
      <c r="A37" s="156"/>
      <c r="B37" s="155"/>
      <c r="C37" s="154"/>
      <c r="D37" s="153" t="s">
        <v>2</v>
      </c>
      <c r="E37" s="149">
        <f t="shared" ref="E37:T37" si="29">SUM(E5:E36)</f>
        <v>76388330</v>
      </c>
      <c r="F37" s="152">
        <f t="shared" si="29"/>
        <v>0</v>
      </c>
      <c r="G37" s="151">
        <f t="shared" si="29"/>
        <v>0</v>
      </c>
      <c r="H37" s="151">
        <f t="shared" si="29"/>
        <v>0</v>
      </c>
      <c r="I37" s="150">
        <f t="shared" ref="I37" si="30">SUM(I5:I36)</f>
        <v>1529</v>
      </c>
      <c r="J37" s="150">
        <f t="shared" si="29"/>
        <v>70915767</v>
      </c>
      <c r="K37" s="74">
        <f t="shared" si="29"/>
        <v>70917296</v>
      </c>
      <c r="L37" s="149">
        <f t="shared" si="29"/>
        <v>5447767</v>
      </c>
      <c r="M37" s="149">
        <f t="shared" si="29"/>
        <v>23267</v>
      </c>
      <c r="N37" s="146">
        <f t="shared" si="29"/>
        <v>0</v>
      </c>
      <c r="O37" s="145">
        <f t="shared" si="29"/>
        <v>0</v>
      </c>
      <c r="P37" s="145">
        <f t="shared" si="29"/>
        <v>0</v>
      </c>
      <c r="Q37" s="148">
        <f t="shared" ref="Q37" si="31">SUM(Q5:Q36)</f>
        <v>113</v>
      </c>
      <c r="R37" s="148">
        <f t="shared" si="29"/>
        <v>6446888</v>
      </c>
      <c r="S37" s="144">
        <f t="shared" si="29"/>
        <v>6447001</v>
      </c>
      <c r="T37" s="147">
        <f t="shared" si="29"/>
        <v>69941329</v>
      </c>
      <c r="U37" s="88" t="str">
        <f>+IF(F37=0,"",ROUND(F37*F$4/(100+F$4),7)-N37)</f>
        <v/>
      </c>
      <c r="V37" s="88"/>
      <c r="W37" s="88"/>
      <c r="X37" s="88"/>
      <c r="Y37" s="88"/>
      <c r="Z37" s="88"/>
      <c r="AA37" s="88"/>
      <c r="AB37" s="87"/>
      <c r="AC37" s="87"/>
      <c r="AD37" s="87"/>
    </row>
    <row r="38" spans="1:30">
      <c r="A38" s="143"/>
      <c r="B38" s="142"/>
      <c r="C38" s="141"/>
      <c r="D38" s="140" t="s">
        <v>1</v>
      </c>
      <c r="E38" s="136">
        <f t="shared" ref="E38:J38" si="32">+E37</f>
        <v>76388330</v>
      </c>
      <c r="F38" s="139">
        <f t="shared" si="32"/>
        <v>0</v>
      </c>
      <c r="G38" s="138">
        <f t="shared" si="32"/>
        <v>0</v>
      </c>
      <c r="H38" s="138">
        <f t="shared" si="32"/>
        <v>0</v>
      </c>
      <c r="I38" s="137">
        <f t="shared" si="32"/>
        <v>1529</v>
      </c>
      <c r="J38" s="137">
        <f t="shared" si="32"/>
        <v>70915767</v>
      </c>
      <c r="K38" s="63">
        <f>SUM(F38:J38)</f>
        <v>70917296</v>
      </c>
      <c r="L38" s="136">
        <f>+L37</f>
        <v>5447767</v>
      </c>
      <c r="M38" s="135">
        <f>+M37</f>
        <v>23267</v>
      </c>
      <c r="N38" s="133">
        <f>+'3条支出'!N17</f>
        <v>0</v>
      </c>
      <c r="O38" s="132">
        <f>+'3条支出'!O17</f>
        <v>0</v>
      </c>
      <c r="P38" s="132">
        <f>+'3条支出'!P17</f>
        <v>0</v>
      </c>
      <c r="Q38" s="132">
        <f>+'3条支出'!Q17</f>
        <v>113</v>
      </c>
      <c r="R38" s="132">
        <f>+'3条支出'!R17</f>
        <v>6446888</v>
      </c>
      <c r="S38" s="131">
        <f>+'3条支出'!S17</f>
        <v>6447001</v>
      </c>
      <c r="T38" s="134">
        <f>+'3条支出'!T17</f>
        <v>69941329</v>
      </c>
      <c r="U38" s="88" t="str">
        <f>+IF(F38=0,"",ROUND(F38*F$4/(100+F$4),7)-N38)</f>
        <v/>
      </c>
      <c r="V38" s="88"/>
      <c r="W38" s="88"/>
      <c r="X38" s="88"/>
      <c r="Y38" s="88"/>
      <c r="Z38" s="88"/>
      <c r="AA38" s="88"/>
      <c r="AB38" s="87"/>
      <c r="AC38" s="87"/>
      <c r="AD38" s="87"/>
    </row>
    <row r="39" spans="1:30">
      <c r="E39" s="4">
        <f t="shared" ref="E39:T39" si="33">+E38-E37</f>
        <v>0</v>
      </c>
      <c r="F39" s="4">
        <f t="shared" si="33"/>
        <v>0</v>
      </c>
      <c r="G39" s="4">
        <f t="shared" si="33"/>
        <v>0</v>
      </c>
      <c r="H39" s="4">
        <f t="shared" si="33"/>
        <v>0</v>
      </c>
      <c r="I39" s="4">
        <f t="shared" ref="I39" si="34">+I38-I37</f>
        <v>0</v>
      </c>
      <c r="J39" s="4">
        <f t="shared" si="33"/>
        <v>0</v>
      </c>
      <c r="K39" s="4">
        <f t="shared" si="33"/>
        <v>0</v>
      </c>
      <c r="L39" s="4">
        <f t="shared" si="33"/>
        <v>0</v>
      </c>
      <c r="M39" s="4">
        <f t="shared" si="33"/>
        <v>0</v>
      </c>
      <c r="N39" s="4">
        <f t="shared" si="33"/>
        <v>0</v>
      </c>
      <c r="O39" s="4">
        <f t="shared" si="33"/>
        <v>0</v>
      </c>
      <c r="P39" s="4">
        <f t="shared" si="33"/>
        <v>0</v>
      </c>
      <c r="Q39" s="4">
        <f t="shared" ref="Q39" si="35">+Q38-Q37</f>
        <v>0</v>
      </c>
      <c r="R39" s="4">
        <f t="shared" si="33"/>
        <v>0</v>
      </c>
      <c r="S39" s="4">
        <f t="shared" si="33"/>
        <v>0</v>
      </c>
      <c r="T39" s="4">
        <f t="shared" si="33"/>
        <v>0</v>
      </c>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U40" s="88" t="str">
        <f>+IF(F40=0,"",ROUND(F40*F$4/(100+F$4),7)-N40)</f>
        <v/>
      </c>
      <c r="V40" s="88" t="str">
        <f>+IF(G40=0,"",ROUND(G40*G$4/(100+G$4),7)-O40)</f>
        <v/>
      </c>
      <c r="W40" s="88" t="str">
        <f>+IF(H40=0,"",ROUND(H40*H$4/(100+H$4),7)-P40)</f>
        <v/>
      </c>
      <c r="X40" s="88"/>
      <c r="Y40" s="88" t="str">
        <f>+IF(J40=0,"",ROUND(J40*J$4/(100+J$4),7)-R40)</f>
        <v/>
      </c>
      <c r="Z40" s="88"/>
      <c r="AA40" s="88"/>
      <c r="AB40" s="87" t="str">
        <f>+IF(SUM(U40:Y40)=0,"",SUM(U40:Y40))</f>
        <v/>
      </c>
      <c r="AC40" s="87"/>
      <c r="AD40" s="87"/>
    </row>
    <row r="41" spans="1:30">
      <c r="G41" s="273"/>
      <c r="H41" s="272"/>
      <c r="I41" s="272"/>
      <c r="J41" s="272"/>
      <c r="U41" s="88" t="str">
        <f>+IF(F41=0,"",ROUND(F41*F$4/(100+F$4),7)-N41)</f>
        <v/>
      </c>
      <c r="V41" s="88"/>
      <c r="W41" s="88"/>
      <c r="X41" s="88"/>
      <c r="Y41" s="88"/>
      <c r="Z41" s="88"/>
      <c r="AA41" s="88"/>
      <c r="AB41" s="87"/>
      <c r="AC41" s="87"/>
      <c r="AD41" s="87"/>
    </row>
    <row r="42" spans="1:30">
      <c r="G42" s="273"/>
      <c r="H42" s="272"/>
      <c r="I42" s="272"/>
      <c r="J42" s="272"/>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3"/>
  <conditionalFormatting sqref="AE5:AI29 AE31:AI36">
    <cfRule type="notContainsBlanks" dxfId="56" priority="5" stopIfTrue="1">
      <formula>LEN(TRIM(AE5))&gt;0</formula>
    </cfRule>
  </conditionalFormatting>
  <conditionalFormatting sqref="AE37:AI38">
    <cfRule type="notContainsBlanks" dxfId="55" priority="6" stopIfTrue="1">
      <formula>LEN(TRIM(AE37))&gt;0</formula>
    </cfRule>
  </conditionalFormatting>
  <conditionalFormatting sqref="Z5:AD29 Z31:AD36">
    <cfRule type="expression" dxfId="54" priority="4">
      <formula>ABS(Z5)=1</formula>
    </cfRule>
  </conditionalFormatting>
  <conditionalFormatting sqref="E39:T39">
    <cfRule type="cellIs" dxfId="53" priority="3" operator="notEqual">
      <formula>0</formula>
    </cfRule>
  </conditionalFormatting>
  <conditionalFormatting sqref="AE30:AI30">
    <cfRule type="notContainsBlanks" dxfId="52" priority="2" stopIfTrue="1">
      <formula>LEN(TRIM(AE30))&gt;0</formula>
    </cfRule>
  </conditionalFormatting>
  <conditionalFormatting sqref="Z30:AD30">
    <cfRule type="expression" dxfId="51" priority="1">
      <formula>ABS(Z30)=1</formula>
    </cfRule>
  </conditionalFormatting>
  <pageMargins left="0.39370078740157483" right="0.39370078740157483" top="0.78740157480314965" bottom="0.39370078740157483" header="0.39370078740157483" footer="0.19685039370078741"/>
  <pageSetup paperSize="9" scale="67" orientation="landscape" blackAndWhite="1" r:id="rId1"/>
  <headerFooter>
    <oddFooter>&amp;L&amp;8&amp;Z&amp;F&amp;A&amp;R&amp;8&amp;D&amp;T</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I42"/>
  <sheetViews>
    <sheetView zoomScale="70" zoomScaleNormal="70"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+'3条支出'!D1</f>
        <v>令和５年度決算　消費税算出資料</v>
      </c>
    </row>
    <row r="2" spans="1:35">
      <c r="D2" s="2" t="s">
        <v>482</v>
      </c>
      <c r="V2" s="122"/>
      <c r="W2" s="122"/>
      <c r="X2" s="261"/>
      <c r="Y2" s="122"/>
      <c r="Z2" s="122"/>
      <c r="AA2" s="122"/>
      <c r="AB2" s="122"/>
      <c r="AC2" s="261"/>
      <c r="AD2" s="122"/>
      <c r="AE2" s="122"/>
      <c r="AF2" s="122"/>
      <c r="AG2" s="122"/>
      <c r="AH2" s="261"/>
      <c r="AI2" s="122"/>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122"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177"/>
      <c r="B5" s="176"/>
      <c r="C5" s="175"/>
      <c r="D5" s="174"/>
      <c r="E5" s="170">
        <f>+IF($A5="",IF($C5="",SUMIFS(全伝票!I:I,全伝票!$B:$B,$B5),SUMIFS(全伝票!I:I,全伝票!$C:$C,$C5)),IF($C5="",SUMIFS(全伝票!I:I,全伝票!$A:$A,$A5,全伝票!$B:$B,$B5),SUMIFS(全伝票!I:I,全伝票!$A:$A,$A5,全伝票!$C:$C,$C5)))</f>
        <v>0</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172">
        <f>+IF($A5="",IF($C5="",SUMIFS(全伝票!L:L,全伝票!$B:$B,$B5),SUMIFS(全伝票!L:L,全伝票!$C:$C,$C5)),IF($C5="",SUMIFS(全伝票!L:L,全伝票!$A:$A,$A5,全伝票!$B:$B,$B5),SUMIFS(全伝票!L:L,全伝票!$A:$A,$A5,全伝票!$C:$C,$C5)))</f>
        <v>0</v>
      </c>
      <c r="I5" s="172">
        <f>+IF($A5="",IF($C5="",SUMIFS(全伝票!M:M,全伝票!$B:$B,$B5),SUMIFS(全伝票!M:M,全伝票!$C:$C,$C5)),IF($C5="",SUMIFS(全伝票!M:M,全伝票!$A:$A,$A5,全伝票!$B:$B,$B5),SUMIFS(全伝票!M:M,全伝票!$A:$A,$A5,全伝票!$C:$C,$C5)))</f>
        <v>0</v>
      </c>
      <c r="J5" s="171">
        <f>+IF($A5="",IF($C5="",SUMIFS(全伝票!N:N,全伝票!$B:$B,$B5),SUMIFS(全伝票!N:N,全伝票!$C:$C,$C5)),IF($C5="",SUMIFS(全伝票!N:N,全伝票!$A:$A,$A5,全伝票!$B:$B,$B5),SUMIFS(全伝票!N:N,全伝票!$A:$A,$A5,全伝票!$C:$C,$C5)))</f>
        <v>0</v>
      </c>
      <c r="K5" s="112">
        <f t="shared" ref="K5:K35" si="0">SUM(F5:J5)</f>
        <v>0</v>
      </c>
      <c r="L5" s="170">
        <f>+IF($A5="",IF($C5="",SUMIFS(全伝票!O:O,全伝票!$B:$B,$B5),SUMIFS(全伝票!O:O,全伝票!$C:$C,$C5)),IF($C5="",SUMIFS(全伝票!O:O,全伝票!$A:$A,$A5,全伝票!$B:$B,$B5),SUMIFS(全伝票!O:O,全伝票!$A:$A,$A5,全伝票!$C:$C,$C5)))</f>
        <v>0</v>
      </c>
      <c r="M5" s="170">
        <f>+IF($A5="",IF($C5="",SUMIFS(全伝票!P:P,全伝票!$B:$B,$B5),SUMIFS(全伝票!P:P,全伝票!$C:$C,$C5)),IF($C5="",SUMIFS(全伝票!P:P,全伝票!$A:$A,$A5,全伝票!$B:$B,$B5),SUMIFS(全伝票!P:P,全伝票!$A:$A,$A5,全伝票!$C:$C,$C5)))</f>
        <v>0</v>
      </c>
      <c r="N5" s="169">
        <f t="shared" ref="N5:N35" si="1">+ROUND(F5*F$4/(100+F$4),0)+AE5</f>
        <v>0</v>
      </c>
      <c r="O5" s="47">
        <f t="shared" ref="O5:O35" si="2">+ROUND(G5*G$4/(100+G$4),0)+AF5</f>
        <v>0</v>
      </c>
      <c r="P5" s="47">
        <f t="shared" ref="P5:Q35" si="3">+ROUND(H5*H$4/(100+H$4),0)+AG5</f>
        <v>0</v>
      </c>
      <c r="Q5" s="47">
        <f t="shared" si="3"/>
        <v>0</v>
      </c>
      <c r="R5" s="168">
        <f t="shared" ref="R5:R35" si="4">+ROUND(J5*J$4/(100+J$4),0)+AI5</f>
        <v>0</v>
      </c>
      <c r="S5" s="167">
        <f t="shared" ref="S5:S35" si="5">SUM(N5:R5)</f>
        <v>0</v>
      </c>
      <c r="T5" s="166">
        <f t="shared" ref="T5:T35" si="6">+E5-S5</f>
        <v>0</v>
      </c>
      <c r="U5" s="107">
        <f t="shared" ref="U5:U35" si="7">N5-F5*F$4/(100+F$4)</f>
        <v>0</v>
      </c>
      <c r="V5" s="107">
        <f t="shared" ref="V5:V35" si="8">O5-G5*G$4/(100+G$4)</f>
        <v>0</v>
      </c>
      <c r="W5" s="107">
        <f t="shared" ref="W5:X35" si="9">P5-H5*H$4/(100+H$4)</f>
        <v>0</v>
      </c>
      <c r="X5" s="107">
        <f t="shared" si="9"/>
        <v>0</v>
      </c>
      <c r="Y5" s="107">
        <f t="shared" ref="Y5:Y35" si="10">R5-J5*J$4/(100+J$4)</f>
        <v>0</v>
      </c>
      <c r="Z5" s="106">
        <f t="shared" ref="Z5:Z35" si="11">+IF(N$38=0,0,IF(N$38&lt;0,-RANK(U5,U$5:U$35,0),RANK(U5,U$5:U$35,1)))</f>
        <v>0</v>
      </c>
      <c r="AA5" s="106">
        <f t="shared" ref="AA5:AA35" si="12">+IF(O$38=0,0,IF(O$38&lt;0,-RANK(V5,V$5:V$35,0),RANK(V5,V$5:V$35,1)))</f>
        <v>0</v>
      </c>
      <c r="AB5" s="106">
        <f t="shared" ref="AB5:AC35" si="13">+IF(P$38=0,0,IF(P$38&lt;0,-RANK(W5,W$5:W$35,0),RANK(W5,W$5:W$35,1)))</f>
        <v>0</v>
      </c>
      <c r="AC5" s="106">
        <f t="shared" si="13"/>
        <v>0</v>
      </c>
      <c r="AD5" s="106">
        <f t="shared" ref="AD5:AD35" si="14">+IF(R$38=0,0,IF(R$38&lt;0,-RANK(Y5,Y$5:Y$35,0),RANK(Y5,Y$5:Y$35,1)))</f>
        <v>0</v>
      </c>
    </row>
    <row r="6" spans="1:35">
      <c r="A6" s="165"/>
      <c r="B6" s="164"/>
      <c r="C6" s="163"/>
      <c r="D6" s="162"/>
      <c r="E6" s="158">
        <f>+IF($A6="",IF($C6="",SUMIFS(全伝票!I:I,全伝票!$B:$B,$B6),SUMIFS(全伝票!I:I,全伝票!$C:$C,$C6)),IF($C6="",SUMIFS(全伝票!I:I,全伝票!$A:$A,$A6,全伝票!$B:$B,$B6),SUMIFS(全伝票!I:I,全伝票!$A:$A,$A6,全伝票!$C:$C,$C6)))</f>
        <v>0</v>
      </c>
      <c r="F6" s="161">
        <f>+IF($A6="",IF($C6="",SUMIFS(全伝票!J:J,全伝票!$B:$B,$B6),SUMIFS(全伝票!J:J,全伝票!$C:$C,$C6)),IF($C6="",SUMIFS(全伝票!J:J,全伝票!$A:$A,$A6,全伝票!$B:$B,$B6),SUMIFS(全伝票!J:J,全伝票!$A:$A,$A6,全伝票!$C:$C,$C6)))</f>
        <v>0</v>
      </c>
      <c r="G6" s="160">
        <f>+IF($A6="",IF($C6="",SUMIFS(全伝票!K:K,全伝票!$B:$B,$B6),SUMIFS(全伝票!K:K,全伝票!$C:$C,$C6)),IF($C6="",SUMIFS(全伝票!K:K,全伝票!$A:$A,$A6,全伝票!$B:$B,$B6),SUMIFS(全伝票!K:K,全伝票!$A:$A,$A6,全伝票!$C:$C,$C6)))</f>
        <v>0</v>
      </c>
      <c r="H6" s="160">
        <f>+IF($A6="",IF($C6="",SUMIFS(全伝票!L:L,全伝票!$B:$B,$B6),SUMIFS(全伝票!L:L,全伝票!$C:$C,$C6)),IF($C6="",SUMIFS(全伝票!L:L,全伝票!$A:$A,$A6,全伝票!$B:$B,$B6),SUMIFS(全伝票!L:L,全伝票!$A:$A,$A6,全伝票!$C:$C,$C6)))</f>
        <v>0</v>
      </c>
      <c r="I6" s="160">
        <f>+IF($A6="",IF($C6="",SUMIFS(全伝票!M:M,全伝票!$B:$B,$B6),SUMIFS(全伝票!M:M,全伝票!$C:$C,$C6)),IF($C6="",SUMIFS(全伝票!M:M,全伝票!$A:$A,$A6,全伝票!$B:$B,$B6),SUMIFS(全伝票!M:M,全伝票!$A:$A,$A6,全伝票!$C:$C,$C6)))</f>
        <v>0</v>
      </c>
      <c r="J6" s="159">
        <f>+IF($A6="",IF($C6="",SUMIFS(全伝票!N:N,全伝票!$B:$B,$B6),SUMIFS(全伝票!N:N,全伝票!$C:$C,$C6)),IF($C6="",SUMIFS(全伝票!N:N,全伝票!$A:$A,$A6,全伝票!$B:$B,$B6),SUMIFS(全伝票!N:N,全伝票!$A:$A,$A6,全伝票!$C:$C,$C6)))</f>
        <v>0</v>
      </c>
      <c r="K6" s="34">
        <f t="shared" si="0"/>
        <v>0</v>
      </c>
      <c r="L6" s="158">
        <f>+IF($A6="",IF($C6="",SUMIFS(全伝票!O:O,全伝票!$B:$B,$B6),SUMIFS(全伝票!O:O,全伝票!$C:$C,$C6)),IF($C6="",SUMIFS(全伝票!O:O,全伝票!$A:$A,$A6,全伝票!$B:$B,$B6),SUMIFS(全伝票!O:O,全伝票!$A:$A,$A6,全伝票!$C:$C,$C6)))</f>
        <v>0</v>
      </c>
      <c r="M6" s="158">
        <f>+IF($A6="",IF($C6="",SUMIFS(全伝票!P:P,全伝票!$B:$B,$B6),SUMIFS(全伝票!P:P,全伝票!$C:$C,$C6)),IF($C6="",SUMIFS(全伝票!P:P,全伝票!$A:$A,$A6,全伝票!$B:$B,$B6),SUMIFS(全伝票!P:P,全伝票!$A:$A,$A6,全伝票!$C:$C,$C6)))</f>
        <v>0</v>
      </c>
      <c r="N6" s="108">
        <f t="shared" si="1"/>
        <v>0</v>
      </c>
      <c r="O6" s="25">
        <f t="shared" si="2"/>
        <v>0</v>
      </c>
      <c r="P6" s="25">
        <f t="shared" si="3"/>
        <v>0</v>
      </c>
      <c r="Q6" s="25">
        <f t="shared" si="3"/>
        <v>0</v>
      </c>
      <c r="R6" s="157">
        <f t="shared" si="4"/>
        <v>0</v>
      </c>
      <c r="S6" s="22">
        <f t="shared" si="5"/>
        <v>0</v>
      </c>
      <c r="T6" s="109">
        <f t="shared" si="6"/>
        <v>0</v>
      </c>
      <c r="U6" s="107">
        <f t="shared" si="7"/>
        <v>0</v>
      </c>
      <c r="V6" s="107">
        <f t="shared" si="8"/>
        <v>0</v>
      </c>
      <c r="W6" s="107">
        <f t="shared" si="9"/>
        <v>0</v>
      </c>
      <c r="X6" s="107">
        <f t="shared" si="9"/>
        <v>0</v>
      </c>
      <c r="Y6" s="107">
        <f t="shared" si="10"/>
        <v>0</v>
      </c>
      <c r="Z6" s="106">
        <f t="shared" si="11"/>
        <v>0</v>
      </c>
      <c r="AA6" s="106">
        <f t="shared" si="12"/>
        <v>0</v>
      </c>
      <c r="AB6" s="106">
        <f t="shared" si="13"/>
        <v>0</v>
      </c>
      <c r="AC6" s="106">
        <f t="shared" si="13"/>
        <v>0</v>
      </c>
      <c r="AD6" s="106">
        <f t="shared" si="14"/>
        <v>0</v>
      </c>
    </row>
    <row r="7" spans="1:35">
      <c r="A7" s="165"/>
      <c r="B7" s="164"/>
      <c r="C7" s="163"/>
      <c r="D7" s="162"/>
      <c r="E7" s="158">
        <f>+IF($A7="",IF($C7="",SUMIFS(全伝票!I:I,全伝票!$B:$B,$B7),SUMIFS(全伝票!I:I,全伝票!$C:$C,$C7)),IF($C7="",SUMIFS(全伝票!I:I,全伝票!$A:$A,$A7,全伝票!$B:$B,$B7),SUMIFS(全伝票!I:I,全伝票!$A:$A,$A7,全伝票!$C:$C,$C7)))</f>
        <v>0</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60">
        <f>+IF($A7="",IF($C7="",SUMIFS(全伝票!M:M,全伝票!$B:$B,$B7),SUMIFS(全伝票!M:M,全伝票!$C:$C,$C7)),IF($C7="",SUMIFS(全伝票!M:M,全伝票!$A:$A,$A7,全伝票!$B:$B,$B7),SUMIFS(全伝票!M:M,全伝票!$A:$A,$A7,全伝票!$C:$C,$C7)))</f>
        <v>0</v>
      </c>
      <c r="J7" s="159">
        <f>+IF($A7="",IF($C7="",SUMIFS(全伝票!N:N,全伝票!$B:$B,$B7),SUMIFS(全伝票!N:N,全伝票!$C:$C,$C7)),IF($C7="",SUMIFS(全伝票!N:N,全伝票!$A:$A,$A7,全伝票!$B:$B,$B7),SUMIFS(全伝票!N:N,全伝票!$A:$A,$A7,全伝票!$C:$C,$C7)))</f>
        <v>0</v>
      </c>
      <c r="K7" s="34">
        <f t="shared" si="0"/>
        <v>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0</v>
      </c>
      <c r="N7" s="108">
        <f t="shared" si="1"/>
        <v>0</v>
      </c>
      <c r="O7" s="25">
        <f t="shared" si="2"/>
        <v>0</v>
      </c>
      <c r="P7" s="25">
        <f t="shared" si="3"/>
        <v>0</v>
      </c>
      <c r="Q7" s="25">
        <f t="shared" si="3"/>
        <v>0</v>
      </c>
      <c r="R7" s="157">
        <f t="shared" si="4"/>
        <v>0</v>
      </c>
      <c r="S7" s="22">
        <f t="shared" si="5"/>
        <v>0</v>
      </c>
      <c r="T7" s="109">
        <f t="shared" si="6"/>
        <v>0</v>
      </c>
      <c r="U7" s="107">
        <f t="shared" si="7"/>
        <v>0</v>
      </c>
      <c r="V7" s="107">
        <f t="shared" si="8"/>
        <v>0</v>
      </c>
      <c r="W7" s="107">
        <f t="shared" si="9"/>
        <v>0</v>
      </c>
      <c r="X7" s="107">
        <f t="shared" si="9"/>
        <v>0</v>
      </c>
      <c r="Y7" s="107">
        <f t="shared" si="10"/>
        <v>0</v>
      </c>
      <c r="Z7" s="106">
        <f t="shared" si="11"/>
        <v>0</v>
      </c>
      <c r="AA7" s="106">
        <f t="shared" si="12"/>
        <v>0</v>
      </c>
      <c r="AB7" s="106">
        <f t="shared" si="13"/>
        <v>0</v>
      </c>
      <c r="AC7" s="106">
        <f t="shared" si="13"/>
        <v>0</v>
      </c>
      <c r="AD7" s="106">
        <f t="shared" si="14"/>
        <v>0</v>
      </c>
    </row>
    <row r="8" spans="1:35">
      <c r="A8" s="165"/>
      <c r="B8" s="164"/>
      <c r="C8" s="163"/>
      <c r="D8" s="162"/>
      <c r="E8" s="158">
        <f>+IF($A8="",IF($C8="",SUMIFS(全伝票!I:I,全伝票!$B:$B,$B8),SUMIFS(全伝票!I:I,全伝票!$C:$C,$C8)),IF($C8="",SUMIFS(全伝票!I:I,全伝票!$A:$A,$A8,全伝票!$B:$B,$B8),SUMIFS(全伝票!I:I,全伝票!$A:$A,$A8,全伝票!$C:$C,$C8)))</f>
        <v>0</v>
      </c>
      <c r="F8" s="161">
        <f>+IF($A8="",IF($C8="",SUMIFS(全伝票!J:J,全伝票!$B:$B,$B8),SUMIFS(全伝票!J:J,全伝票!$C:$C,$C8)),IF($C8="",SUMIFS(全伝票!J:J,全伝票!$A:$A,$A8,全伝票!$B:$B,$B8),SUMIFS(全伝票!J:J,全伝票!$A:$A,$A8,全伝票!$C:$C,$C8)))</f>
        <v>0</v>
      </c>
      <c r="G8" s="160">
        <f>+IF($A8="",IF($C8="",SUMIFS(全伝票!K:K,全伝票!$B:$B,$B8),SUMIFS(全伝票!K:K,全伝票!$C:$C,$C8)),IF($C8="",SUMIFS(全伝票!K:K,全伝票!$A:$A,$A8,全伝票!$B:$B,$B8),SUMIFS(全伝票!K:K,全伝票!$A:$A,$A8,全伝票!$C:$C,$C8)))</f>
        <v>0</v>
      </c>
      <c r="H8" s="160">
        <f>+IF($A8="",IF($C8="",SUMIFS(全伝票!L:L,全伝票!$B:$B,$B8),SUMIFS(全伝票!L:L,全伝票!$C:$C,$C8)),IF($C8="",SUMIFS(全伝票!L:L,全伝票!$A:$A,$A8,全伝票!$B:$B,$B8),SUMIFS(全伝票!L:L,全伝票!$A:$A,$A8,全伝票!$C:$C,$C8)))</f>
        <v>0</v>
      </c>
      <c r="I8" s="160">
        <f>+IF($A8="",IF($C8="",SUMIFS(全伝票!M:M,全伝票!$B:$B,$B8),SUMIFS(全伝票!M:M,全伝票!$C:$C,$C8)),IF($C8="",SUMIFS(全伝票!M:M,全伝票!$A:$A,$A8,全伝票!$B:$B,$B8),SUMIFS(全伝票!M:M,全伝票!$A:$A,$A8,全伝票!$C:$C,$C8)))</f>
        <v>0</v>
      </c>
      <c r="J8" s="159">
        <f>+IF($A8="",IF($C8="",SUMIFS(全伝票!N:N,全伝票!$B:$B,$B8),SUMIFS(全伝票!N:N,全伝票!$C:$C,$C8)),IF($C8="",SUMIFS(全伝票!N:N,全伝票!$A:$A,$A8,全伝票!$B:$B,$B8),SUMIFS(全伝票!N:N,全伝票!$A:$A,$A8,全伝票!$C:$C,$C8)))</f>
        <v>0</v>
      </c>
      <c r="K8" s="34">
        <f t="shared" si="0"/>
        <v>0</v>
      </c>
      <c r="L8" s="158">
        <f>+IF($A8="",IF($C8="",SUMIFS(全伝票!O:O,全伝票!$B:$B,$B8),SUMIFS(全伝票!O:O,全伝票!$C:$C,$C8)),IF($C8="",SUMIFS(全伝票!O:O,全伝票!$A:$A,$A8,全伝票!$B:$B,$B8),SUMIFS(全伝票!O:O,全伝票!$A:$A,$A8,全伝票!$C:$C,$C8)))</f>
        <v>0</v>
      </c>
      <c r="M8" s="158">
        <f>+IF($A8="",IF($C8="",SUMIFS(全伝票!P:P,全伝票!$B:$B,$B8),SUMIFS(全伝票!P:P,全伝票!$C:$C,$C8)),IF($C8="",SUMIFS(全伝票!P:P,全伝票!$A:$A,$A8,全伝票!$B:$B,$B8),SUMIFS(全伝票!P:P,全伝票!$A:$A,$A8,全伝票!$C:$C,$C8)))</f>
        <v>0</v>
      </c>
      <c r="N8" s="108">
        <f t="shared" si="1"/>
        <v>0</v>
      </c>
      <c r="O8" s="25">
        <f t="shared" si="2"/>
        <v>0</v>
      </c>
      <c r="P8" s="25">
        <f t="shared" si="3"/>
        <v>0</v>
      </c>
      <c r="Q8" s="25">
        <f t="shared" si="3"/>
        <v>0</v>
      </c>
      <c r="R8" s="157">
        <f t="shared" si="4"/>
        <v>0</v>
      </c>
      <c r="S8" s="22">
        <f t="shared" si="5"/>
        <v>0</v>
      </c>
      <c r="T8" s="109">
        <f t="shared" si="6"/>
        <v>0</v>
      </c>
      <c r="U8" s="107">
        <f t="shared" si="7"/>
        <v>0</v>
      </c>
      <c r="V8" s="107">
        <f t="shared" si="8"/>
        <v>0</v>
      </c>
      <c r="W8" s="107">
        <f t="shared" si="9"/>
        <v>0</v>
      </c>
      <c r="X8" s="107">
        <f t="shared" si="9"/>
        <v>0</v>
      </c>
      <c r="Y8" s="107">
        <f t="shared" si="10"/>
        <v>0</v>
      </c>
      <c r="Z8" s="106">
        <f t="shared" si="11"/>
        <v>0</v>
      </c>
      <c r="AA8" s="106">
        <f t="shared" si="12"/>
        <v>0</v>
      </c>
      <c r="AB8" s="106">
        <f t="shared" si="13"/>
        <v>0</v>
      </c>
      <c r="AC8" s="106">
        <f t="shared" si="13"/>
        <v>0</v>
      </c>
      <c r="AD8" s="106">
        <f t="shared" si="14"/>
        <v>0</v>
      </c>
    </row>
    <row r="9" spans="1:35">
      <c r="A9" s="165"/>
      <c r="B9" s="164"/>
      <c r="C9" s="163"/>
      <c r="D9" s="162"/>
      <c r="E9" s="158">
        <f>+IF($A9="",IF($C9="",SUMIFS(全伝票!I:I,全伝票!$B:$B,$B9),SUMIFS(全伝票!I:I,全伝票!$C:$C,$C9)),IF($C9="",SUMIFS(全伝票!I:I,全伝票!$A:$A,$A9,全伝票!$B:$B,$B9),SUMIFS(全伝票!I:I,全伝票!$A:$A,$A9,全伝票!$C:$C,$C9)))</f>
        <v>0</v>
      </c>
      <c r="F9" s="161">
        <f>+IF($A9="",IF($C9="",SUMIFS(全伝票!J:J,全伝票!$B:$B,$B9),SUMIFS(全伝票!J:J,全伝票!$C:$C,$C9)),IF($C9="",SUMIFS(全伝票!J:J,全伝票!$A:$A,$A9,全伝票!$B:$B,$B9),SUMIFS(全伝票!J:J,全伝票!$A:$A,$A9,全伝票!$C:$C,$C9)))</f>
        <v>0</v>
      </c>
      <c r="G9" s="160">
        <f>+IF($A9="",IF($C9="",SUMIFS(全伝票!K:K,全伝票!$B:$B,$B9),SUMIFS(全伝票!K:K,全伝票!$C:$C,$C9)),IF($C9="",SUMIFS(全伝票!K:K,全伝票!$A:$A,$A9,全伝票!$B:$B,$B9),SUMIFS(全伝票!K:K,全伝票!$A:$A,$A9,全伝票!$C:$C,$C9)))</f>
        <v>0</v>
      </c>
      <c r="H9" s="160">
        <f>+IF($A9="",IF($C9="",SUMIFS(全伝票!L:L,全伝票!$B:$B,$B9),SUMIFS(全伝票!L:L,全伝票!$C:$C,$C9)),IF($C9="",SUMIFS(全伝票!L:L,全伝票!$A:$A,$A9,全伝票!$B:$B,$B9),SUMIFS(全伝票!L:L,全伝票!$A:$A,$A9,全伝票!$C:$C,$C9)))</f>
        <v>0</v>
      </c>
      <c r="I9" s="160">
        <f>+IF($A9="",IF($C9="",SUMIFS(全伝票!M:M,全伝票!$B:$B,$B9),SUMIFS(全伝票!M:M,全伝票!$C:$C,$C9)),IF($C9="",SUMIFS(全伝票!M:M,全伝票!$A:$A,$A9,全伝票!$B:$B,$B9),SUMIFS(全伝票!M:M,全伝票!$A:$A,$A9,全伝票!$C:$C,$C9)))</f>
        <v>0</v>
      </c>
      <c r="J9" s="159">
        <f>+IF($A9="",IF($C9="",SUMIFS(全伝票!N:N,全伝票!$B:$B,$B9),SUMIFS(全伝票!N:N,全伝票!$C:$C,$C9)),IF($C9="",SUMIFS(全伝票!N:N,全伝票!$A:$A,$A9,全伝票!$B:$B,$B9),SUMIFS(全伝票!N:N,全伝票!$A:$A,$A9,全伝票!$C:$C,$C9)))</f>
        <v>0</v>
      </c>
      <c r="K9" s="34">
        <f t="shared" si="0"/>
        <v>0</v>
      </c>
      <c r="L9" s="158">
        <f>+IF($A9="",IF($C9="",SUMIFS(全伝票!O:O,全伝票!$B:$B,$B9),SUMIFS(全伝票!O:O,全伝票!$C:$C,$C9)),IF($C9="",SUMIFS(全伝票!O:O,全伝票!$A:$A,$A9,全伝票!$B:$B,$B9),SUMIFS(全伝票!O:O,全伝票!$A:$A,$A9,全伝票!$C:$C,$C9)))</f>
        <v>0</v>
      </c>
      <c r="M9" s="158">
        <f>+IF($A9="",IF($C9="",SUMIFS(全伝票!P:P,全伝票!$B:$B,$B9),SUMIFS(全伝票!P:P,全伝票!$C:$C,$C9)),IF($C9="",SUMIFS(全伝票!P:P,全伝票!$A:$A,$A9,全伝票!$B:$B,$B9),SUMIFS(全伝票!P:P,全伝票!$A:$A,$A9,全伝票!$C:$C,$C9)))</f>
        <v>0</v>
      </c>
      <c r="N9" s="108">
        <f t="shared" si="1"/>
        <v>0</v>
      </c>
      <c r="O9" s="25">
        <f t="shared" si="2"/>
        <v>0</v>
      </c>
      <c r="P9" s="25">
        <f t="shared" si="3"/>
        <v>0</v>
      </c>
      <c r="Q9" s="25">
        <f t="shared" si="3"/>
        <v>0</v>
      </c>
      <c r="R9" s="157">
        <f t="shared" si="4"/>
        <v>0</v>
      </c>
      <c r="S9" s="22">
        <f t="shared" si="5"/>
        <v>0</v>
      </c>
      <c r="T9" s="109">
        <f t="shared" si="6"/>
        <v>0</v>
      </c>
      <c r="U9" s="107">
        <f t="shared" si="7"/>
        <v>0</v>
      </c>
      <c r="V9" s="107">
        <f t="shared" si="8"/>
        <v>0</v>
      </c>
      <c r="W9" s="107">
        <f t="shared" si="9"/>
        <v>0</v>
      </c>
      <c r="X9" s="107">
        <f t="shared" si="9"/>
        <v>0</v>
      </c>
      <c r="Y9" s="107">
        <f t="shared" si="10"/>
        <v>0</v>
      </c>
      <c r="Z9" s="106">
        <f t="shared" si="11"/>
        <v>0</v>
      </c>
      <c r="AA9" s="106">
        <f t="shared" si="12"/>
        <v>0</v>
      </c>
      <c r="AB9" s="106">
        <f t="shared" si="13"/>
        <v>0</v>
      </c>
      <c r="AC9" s="106">
        <f t="shared" si="13"/>
        <v>0</v>
      </c>
      <c r="AD9" s="106">
        <f t="shared" si="14"/>
        <v>0</v>
      </c>
    </row>
    <row r="10" spans="1:35">
      <c r="A10" s="165"/>
      <c r="B10" s="164"/>
      <c r="C10" s="163"/>
      <c r="D10" s="162"/>
      <c r="E10" s="158">
        <f>+IF($A10="",IF($C10="",SUMIFS(全伝票!I:I,全伝票!$B:$B,$B10),SUMIFS(全伝票!I:I,全伝票!$C:$C,$C10)),IF($C10="",SUMIFS(全伝票!I:I,全伝票!$A:$A,$A10,全伝票!$B:$B,$B10),SUMIFS(全伝票!I:I,全伝票!$A:$A,$A10,全伝票!$C:$C,$C10)))</f>
        <v>0</v>
      </c>
      <c r="F10" s="161">
        <f>+IF($A10="",IF($C10="",SUMIFS(全伝票!J:J,全伝票!$B:$B,$B10),SUMIFS(全伝票!J:J,全伝票!$C:$C,$C10)),IF($C10="",SUMIFS(全伝票!J:J,全伝票!$A:$A,$A10,全伝票!$B:$B,$B10),SUMIFS(全伝票!J:J,全伝票!$A:$A,$A10,全伝票!$C:$C,$C10)))</f>
        <v>0</v>
      </c>
      <c r="G10" s="160">
        <f>+IF($A10="",IF($C10="",SUMIFS(全伝票!K:K,全伝票!$B:$B,$B10),SUMIFS(全伝票!K:K,全伝票!$C:$C,$C10)),IF($C10="",SUMIFS(全伝票!K:K,全伝票!$A:$A,$A10,全伝票!$B:$B,$B10),SUMIFS(全伝票!K:K,全伝票!$A:$A,$A10,全伝票!$C:$C,$C10)))</f>
        <v>0</v>
      </c>
      <c r="H10" s="160">
        <f>+IF($A10="",IF($C10="",SUMIFS(全伝票!L:L,全伝票!$B:$B,$B10),SUMIFS(全伝票!L:L,全伝票!$C:$C,$C10)),IF($C10="",SUMIFS(全伝票!L:L,全伝票!$A:$A,$A10,全伝票!$B:$B,$B10),SUMIFS(全伝票!L:L,全伝票!$A:$A,$A10,全伝票!$C:$C,$C10)))</f>
        <v>0</v>
      </c>
      <c r="I10" s="160">
        <f>+IF($A10="",IF($C10="",SUMIFS(全伝票!M:M,全伝票!$B:$B,$B10),SUMIFS(全伝票!M:M,全伝票!$C:$C,$C10)),IF($C10="",SUMIFS(全伝票!M:M,全伝票!$A:$A,$A10,全伝票!$B:$B,$B10),SUMIFS(全伝票!M:M,全伝票!$A:$A,$A10,全伝票!$C:$C,$C10)))</f>
        <v>0</v>
      </c>
      <c r="J10" s="159">
        <f>+IF($A10="",IF($C10="",SUMIFS(全伝票!N:N,全伝票!$B:$B,$B10),SUMIFS(全伝票!N:N,全伝票!$C:$C,$C10)),IF($C10="",SUMIFS(全伝票!N:N,全伝票!$A:$A,$A10,全伝票!$B:$B,$B10),SUMIFS(全伝票!N:N,全伝票!$A:$A,$A10,全伝票!$C:$C,$C10)))</f>
        <v>0</v>
      </c>
      <c r="K10" s="34">
        <f t="shared" si="0"/>
        <v>0</v>
      </c>
      <c r="L10" s="158">
        <f>+IF($A10="",IF($C10="",SUMIFS(全伝票!O:O,全伝票!$B:$B,$B10),SUMIFS(全伝票!O:O,全伝票!$C:$C,$C10)),IF($C10="",SUMIFS(全伝票!O:O,全伝票!$A:$A,$A10,全伝票!$B:$B,$B10),SUMIFS(全伝票!O:O,全伝票!$A:$A,$A10,全伝票!$C:$C,$C10)))</f>
        <v>0</v>
      </c>
      <c r="M10" s="158">
        <f>+IF($A10="",IF($C10="",SUMIFS(全伝票!P:P,全伝票!$B:$B,$B10),SUMIFS(全伝票!P:P,全伝票!$C:$C,$C10)),IF($C10="",SUMIFS(全伝票!P:P,全伝票!$A:$A,$A10,全伝票!$B:$B,$B10),SUMIFS(全伝票!P:P,全伝票!$A:$A,$A10,全伝票!$C:$C,$C10)))</f>
        <v>0</v>
      </c>
      <c r="N10" s="108">
        <f t="shared" si="1"/>
        <v>0</v>
      </c>
      <c r="O10" s="25">
        <f t="shared" si="2"/>
        <v>0</v>
      </c>
      <c r="P10" s="25">
        <f t="shared" si="3"/>
        <v>0</v>
      </c>
      <c r="Q10" s="25">
        <f t="shared" si="3"/>
        <v>0</v>
      </c>
      <c r="R10" s="157">
        <f t="shared" si="4"/>
        <v>0</v>
      </c>
      <c r="S10" s="22">
        <f t="shared" si="5"/>
        <v>0</v>
      </c>
      <c r="T10" s="109">
        <f t="shared" si="6"/>
        <v>0</v>
      </c>
      <c r="U10" s="107">
        <f t="shared" si="7"/>
        <v>0</v>
      </c>
      <c r="V10" s="107">
        <f t="shared" si="8"/>
        <v>0</v>
      </c>
      <c r="W10" s="107">
        <f t="shared" si="9"/>
        <v>0</v>
      </c>
      <c r="X10" s="107">
        <f t="shared" si="9"/>
        <v>0</v>
      </c>
      <c r="Y10" s="107">
        <f t="shared" si="10"/>
        <v>0</v>
      </c>
      <c r="Z10" s="106">
        <f t="shared" si="11"/>
        <v>0</v>
      </c>
      <c r="AA10" s="106">
        <f t="shared" si="12"/>
        <v>0</v>
      </c>
      <c r="AB10" s="106">
        <f t="shared" si="13"/>
        <v>0</v>
      </c>
      <c r="AC10" s="106">
        <f t="shared" si="13"/>
        <v>0</v>
      </c>
      <c r="AD10" s="106">
        <f t="shared" si="14"/>
        <v>0</v>
      </c>
    </row>
    <row r="11" spans="1:35">
      <c r="A11" s="165"/>
      <c r="B11" s="164"/>
      <c r="C11" s="163"/>
      <c r="D11" s="162"/>
      <c r="E11" s="158">
        <f>+IF($A11="",IF($C11="",SUMIFS(全伝票!I:I,全伝票!$B:$B,$B11),SUMIFS(全伝票!I:I,全伝票!$C:$C,$C11)),IF($C11="",SUMIFS(全伝票!I:I,全伝票!$A:$A,$A11,全伝票!$B:$B,$B11),SUMIFS(全伝票!I:I,全伝票!$A:$A,$A11,全伝票!$C:$C,$C11)))</f>
        <v>0</v>
      </c>
      <c r="F11" s="161">
        <f>+IF($A11="",IF($C11="",SUMIFS(全伝票!J:J,全伝票!$B:$B,$B11),SUMIFS(全伝票!J:J,全伝票!$C:$C,$C11)),IF($C11="",SUMIFS(全伝票!J:J,全伝票!$A:$A,$A11,全伝票!$B:$B,$B11),SUMIFS(全伝票!J:J,全伝票!$A:$A,$A11,全伝票!$C:$C,$C11)))</f>
        <v>0</v>
      </c>
      <c r="G11" s="160">
        <f>+IF($A11="",IF($C11="",SUMIFS(全伝票!K:K,全伝票!$B:$B,$B11),SUMIFS(全伝票!K:K,全伝票!$C:$C,$C11)),IF($C11="",SUMIFS(全伝票!K:K,全伝票!$A:$A,$A11,全伝票!$B:$B,$B11),SUMIFS(全伝票!K:K,全伝票!$A:$A,$A11,全伝票!$C:$C,$C11)))</f>
        <v>0</v>
      </c>
      <c r="H11" s="160">
        <f>+IF($A11="",IF($C11="",SUMIFS(全伝票!L:L,全伝票!$B:$B,$B11),SUMIFS(全伝票!L:L,全伝票!$C:$C,$C11)),IF($C11="",SUMIFS(全伝票!L:L,全伝票!$A:$A,$A11,全伝票!$B:$B,$B11),SUMIFS(全伝票!L:L,全伝票!$A:$A,$A11,全伝票!$C:$C,$C11)))</f>
        <v>0</v>
      </c>
      <c r="I11" s="160">
        <f>+IF($A11="",IF($C11="",SUMIFS(全伝票!M:M,全伝票!$B:$B,$B11),SUMIFS(全伝票!M:M,全伝票!$C:$C,$C11)),IF($C11="",SUMIFS(全伝票!M:M,全伝票!$A:$A,$A11,全伝票!$B:$B,$B11),SUMIFS(全伝票!M:M,全伝票!$A:$A,$A11,全伝票!$C:$C,$C11)))</f>
        <v>0</v>
      </c>
      <c r="J11" s="159">
        <f>+IF($A11="",IF($C11="",SUMIFS(全伝票!N:N,全伝票!$B:$B,$B11),SUMIFS(全伝票!N:N,全伝票!$C:$C,$C11)),IF($C11="",SUMIFS(全伝票!N:N,全伝票!$A:$A,$A11,全伝票!$B:$B,$B11),SUMIFS(全伝票!N:N,全伝票!$A:$A,$A11,全伝票!$C:$C,$C11)))</f>
        <v>0</v>
      </c>
      <c r="K11" s="34">
        <f t="shared" si="0"/>
        <v>0</v>
      </c>
      <c r="L11" s="158">
        <f>+IF($A11="",IF($C11="",SUMIFS(全伝票!O:O,全伝票!$B:$B,$B11),SUMIFS(全伝票!O:O,全伝票!$C:$C,$C11)),IF($C11="",SUMIFS(全伝票!O:O,全伝票!$A:$A,$A11,全伝票!$B:$B,$B11),SUMIFS(全伝票!O:O,全伝票!$A:$A,$A11,全伝票!$C:$C,$C11)))</f>
        <v>0</v>
      </c>
      <c r="M11" s="158">
        <f>+IF($A11="",IF($C11="",SUMIFS(全伝票!P:P,全伝票!$B:$B,$B11),SUMIFS(全伝票!P:P,全伝票!$C:$C,$C11)),IF($C11="",SUMIFS(全伝票!P:P,全伝票!$A:$A,$A11,全伝票!$B:$B,$B11),SUMIFS(全伝票!P:P,全伝票!$A:$A,$A11,全伝票!$C:$C,$C11)))</f>
        <v>0</v>
      </c>
      <c r="N11" s="108">
        <f t="shared" si="1"/>
        <v>0</v>
      </c>
      <c r="O11" s="25">
        <f t="shared" si="2"/>
        <v>0</v>
      </c>
      <c r="P11" s="25">
        <f t="shared" si="3"/>
        <v>0</v>
      </c>
      <c r="Q11" s="25">
        <f t="shared" si="3"/>
        <v>0</v>
      </c>
      <c r="R11" s="157">
        <f t="shared" si="4"/>
        <v>0</v>
      </c>
      <c r="S11" s="22">
        <f t="shared" si="5"/>
        <v>0</v>
      </c>
      <c r="T11" s="109">
        <f t="shared" si="6"/>
        <v>0</v>
      </c>
      <c r="U11" s="107">
        <f t="shared" si="7"/>
        <v>0</v>
      </c>
      <c r="V11" s="107">
        <f t="shared" si="8"/>
        <v>0</v>
      </c>
      <c r="W11" s="107">
        <f t="shared" si="9"/>
        <v>0</v>
      </c>
      <c r="X11" s="107">
        <f t="shared" si="9"/>
        <v>0</v>
      </c>
      <c r="Y11" s="107">
        <f t="shared" si="10"/>
        <v>0</v>
      </c>
      <c r="Z11" s="106">
        <f t="shared" si="11"/>
        <v>0</v>
      </c>
      <c r="AA11" s="106">
        <f t="shared" si="12"/>
        <v>0</v>
      </c>
      <c r="AB11" s="106">
        <f t="shared" si="13"/>
        <v>0</v>
      </c>
      <c r="AC11" s="106">
        <f t="shared" si="13"/>
        <v>0</v>
      </c>
      <c r="AD11" s="106">
        <f t="shared" si="14"/>
        <v>0</v>
      </c>
    </row>
    <row r="12" spans="1:35">
      <c r="A12" s="165"/>
      <c r="B12" s="164"/>
      <c r="C12" s="163"/>
      <c r="D12" s="162"/>
      <c r="E12" s="158">
        <f>+IF($A12="",IF($C12="",SUMIFS(全伝票!I:I,全伝票!$B:$B,$B12),SUMIFS(全伝票!I:I,全伝票!$C:$C,$C12)),IF($C12="",SUMIFS(全伝票!I:I,全伝票!$A:$A,$A12,全伝票!$B:$B,$B12),SUMIFS(全伝票!I:I,全伝票!$A:$A,$A12,全伝票!$C:$C,$C12)))</f>
        <v>0</v>
      </c>
      <c r="F12" s="161">
        <f>+IF($A12="",IF($C12="",SUMIFS(全伝票!J:J,全伝票!$B:$B,$B12),SUMIFS(全伝票!J:J,全伝票!$C:$C,$C12)),IF($C12="",SUMIFS(全伝票!J:J,全伝票!$A:$A,$A12,全伝票!$B:$B,$B12),SUMIFS(全伝票!J:J,全伝票!$A:$A,$A12,全伝票!$C:$C,$C12)))</f>
        <v>0</v>
      </c>
      <c r="G12" s="160">
        <f>+IF($A12="",IF($C12="",SUMIFS(全伝票!K:K,全伝票!$B:$B,$B12),SUMIFS(全伝票!K:K,全伝票!$C:$C,$C12)),IF($C12="",SUMIFS(全伝票!K:K,全伝票!$A:$A,$A12,全伝票!$B:$B,$B12),SUMIFS(全伝票!K:K,全伝票!$A:$A,$A12,全伝票!$C:$C,$C12)))</f>
        <v>0</v>
      </c>
      <c r="H12" s="160">
        <f>+IF($A12="",IF($C12="",SUMIFS(全伝票!L:L,全伝票!$B:$B,$B12),SUMIFS(全伝票!L:L,全伝票!$C:$C,$C12)),IF($C12="",SUMIFS(全伝票!L:L,全伝票!$A:$A,$A12,全伝票!$B:$B,$B12),SUMIFS(全伝票!L:L,全伝票!$A:$A,$A12,全伝票!$C:$C,$C12)))</f>
        <v>0</v>
      </c>
      <c r="I12" s="160">
        <f>+IF($A12="",IF($C12="",SUMIFS(全伝票!M:M,全伝票!$B:$B,$B12),SUMIFS(全伝票!M:M,全伝票!$C:$C,$C12)),IF($C12="",SUMIFS(全伝票!M:M,全伝票!$A:$A,$A12,全伝票!$B:$B,$B12),SUMIFS(全伝票!M:M,全伝票!$A:$A,$A12,全伝票!$C:$C,$C12)))</f>
        <v>0</v>
      </c>
      <c r="J12" s="159">
        <f>+IF($A12="",IF($C12="",SUMIFS(全伝票!N:N,全伝票!$B:$B,$B12),SUMIFS(全伝票!N:N,全伝票!$C:$C,$C12)),IF($C12="",SUMIFS(全伝票!N:N,全伝票!$A:$A,$A12,全伝票!$B:$B,$B12),SUMIFS(全伝票!N:N,全伝票!$A:$A,$A12,全伝票!$C:$C,$C12)))</f>
        <v>0</v>
      </c>
      <c r="K12" s="34">
        <f t="shared" si="0"/>
        <v>0</v>
      </c>
      <c r="L12" s="158">
        <f>+IF($A12="",IF($C12="",SUMIFS(全伝票!O:O,全伝票!$B:$B,$B12),SUMIFS(全伝票!O:O,全伝票!$C:$C,$C12)),IF($C12="",SUMIFS(全伝票!O:O,全伝票!$A:$A,$A12,全伝票!$B:$B,$B12),SUMIFS(全伝票!O:O,全伝票!$A:$A,$A12,全伝票!$C:$C,$C12)))</f>
        <v>0</v>
      </c>
      <c r="M12" s="158">
        <f>+IF($A12="",IF($C12="",SUMIFS(全伝票!P:P,全伝票!$B:$B,$B12),SUMIFS(全伝票!P:P,全伝票!$C:$C,$C12)),IF($C12="",SUMIFS(全伝票!P:P,全伝票!$A:$A,$A12,全伝票!$B:$B,$B12),SUMIFS(全伝票!P:P,全伝票!$A:$A,$A12,全伝票!$C:$C,$C12)))</f>
        <v>0</v>
      </c>
      <c r="N12" s="108">
        <f t="shared" si="1"/>
        <v>0</v>
      </c>
      <c r="O12" s="25">
        <f t="shared" si="2"/>
        <v>0</v>
      </c>
      <c r="P12" s="25">
        <f t="shared" si="3"/>
        <v>0</v>
      </c>
      <c r="Q12" s="25">
        <f t="shared" si="3"/>
        <v>0</v>
      </c>
      <c r="R12" s="157">
        <f t="shared" si="4"/>
        <v>0</v>
      </c>
      <c r="S12" s="22">
        <f t="shared" si="5"/>
        <v>0</v>
      </c>
      <c r="T12" s="109">
        <f t="shared" si="6"/>
        <v>0</v>
      </c>
      <c r="U12" s="107">
        <f t="shared" si="7"/>
        <v>0</v>
      </c>
      <c r="V12" s="107">
        <f t="shared" si="8"/>
        <v>0</v>
      </c>
      <c r="W12" s="107">
        <f t="shared" si="9"/>
        <v>0</v>
      </c>
      <c r="X12" s="107">
        <f t="shared" si="9"/>
        <v>0</v>
      </c>
      <c r="Y12" s="107">
        <f t="shared" si="10"/>
        <v>0</v>
      </c>
      <c r="Z12" s="106">
        <f t="shared" si="11"/>
        <v>0</v>
      </c>
      <c r="AA12" s="106">
        <f t="shared" si="12"/>
        <v>0</v>
      </c>
      <c r="AB12" s="106">
        <f t="shared" si="13"/>
        <v>0</v>
      </c>
      <c r="AC12" s="106">
        <f t="shared" si="13"/>
        <v>0</v>
      </c>
      <c r="AD12" s="106">
        <f t="shared" si="14"/>
        <v>0</v>
      </c>
    </row>
    <row r="13" spans="1:35">
      <c r="A13" s="165"/>
      <c r="B13" s="164"/>
      <c r="C13" s="163"/>
      <c r="D13" s="162"/>
      <c r="E13" s="158">
        <f>+IF($A13="",IF($C13="",SUMIFS(全伝票!I:I,全伝票!$B:$B,$B13),SUMIFS(全伝票!I:I,全伝票!$C:$C,$C13)),IF($C13="",SUMIFS(全伝票!I:I,全伝票!$A:$A,$A13,全伝票!$B:$B,$B13),SUMIFS(全伝票!I:I,全伝票!$A:$A,$A13,全伝票!$C:$C,$C13)))</f>
        <v>0</v>
      </c>
      <c r="F13" s="161">
        <f>+IF($A13="",IF($C13="",SUMIFS(全伝票!J:J,全伝票!$B:$B,$B13),SUMIFS(全伝票!J:J,全伝票!$C:$C,$C13)),IF($C13="",SUMIFS(全伝票!J:J,全伝票!$A:$A,$A13,全伝票!$B:$B,$B13),SUMIFS(全伝票!J:J,全伝票!$A:$A,$A13,全伝票!$C:$C,$C13)))</f>
        <v>0</v>
      </c>
      <c r="G13" s="160">
        <f>+IF($A13="",IF($C13="",SUMIFS(全伝票!K:K,全伝票!$B:$B,$B13),SUMIFS(全伝票!K:K,全伝票!$C:$C,$C13)),IF($C13="",SUMIFS(全伝票!K:K,全伝票!$A:$A,$A13,全伝票!$B:$B,$B13),SUMIFS(全伝票!K:K,全伝票!$A:$A,$A13,全伝票!$C:$C,$C13)))</f>
        <v>0</v>
      </c>
      <c r="H13" s="160">
        <f>+IF($A13="",IF($C13="",SUMIFS(全伝票!L:L,全伝票!$B:$B,$B13),SUMIFS(全伝票!L:L,全伝票!$C:$C,$C13)),IF($C13="",SUMIFS(全伝票!L:L,全伝票!$A:$A,$A13,全伝票!$B:$B,$B13),SUMIFS(全伝票!L:L,全伝票!$A:$A,$A13,全伝票!$C:$C,$C13)))</f>
        <v>0</v>
      </c>
      <c r="I13" s="160">
        <f>+IF($A13="",IF($C13="",SUMIFS(全伝票!M:M,全伝票!$B:$B,$B13),SUMIFS(全伝票!M:M,全伝票!$C:$C,$C13)),IF($C13="",SUMIFS(全伝票!M:M,全伝票!$A:$A,$A13,全伝票!$B:$B,$B13),SUMIFS(全伝票!M:M,全伝票!$A:$A,$A13,全伝票!$C:$C,$C13)))</f>
        <v>0</v>
      </c>
      <c r="J13" s="159">
        <f>+IF($A13="",IF($C13="",SUMIFS(全伝票!N:N,全伝票!$B:$B,$B13),SUMIFS(全伝票!N:N,全伝票!$C:$C,$C13)),IF($C13="",SUMIFS(全伝票!N:N,全伝票!$A:$A,$A13,全伝票!$B:$B,$B13),SUMIFS(全伝票!N:N,全伝票!$A:$A,$A13,全伝票!$C:$C,$C13)))</f>
        <v>0</v>
      </c>
      <c r="K13" s="34">
        <f t="shared" si="0"/>
        <v>0</v>
      </c>
      <c r="L13" s="158">
        <f>+IF($A13="",IF($C13="",SUMIFS(全伝票!O:O,全伝票!$B:$B,$B13),SUMIFS(全伝票!O:O,全伝票!$C:$C,$C13)),IF($C13="",SUMIFS(全伝票!O:O,全伝票!$A:$A,$A13,全伝票!$B:$B,$B13),SUMIFS(全伝票!O:O,全伝票!$A:$A,$A13,全伝票!$C:$C,$C13)))</f>
        <v>0</v>
      </c>
      <c r="M13" s="158">
        <f>+IF($A13="",IF($C13="",SUMIFS(全伝票!P:P,全伝票!$B:$B,$B13),SUMIFS(全伝票!P:P,全伝票!$C:$C,$C13)),IF($C13="",SUMIFS(全伝票!P:P,全伝票!$A:$A,$A13,全伝票!$B:$B,$B13),SUMIFS(全伝票!P:P,全伝票!$A:$A,$A13,全伝票!$C:$C,$C13)))</f>
        <v>0</v>
      </c>
      <c r="N13" s="108">
        <f t="shared" si="1"/>
        <v>0</v>
      </c>
      <c r="O13" s="25">
        <f t="shared" si="2"/>
        <v>0</v>
      </c>
      <c r="P13" s="25">
        <f t="shared" si="3"/>
        <v>0</v>
      </c>
      <c r="Q13" s="25">
        <f t="shared" si="3"/>
        <v>0</v>
      </c>
      <c r="R13" s="157">
        <f t="shared" si="4"/>
        <v>0</v>
      </c>
      <c r="S13" s="22">
        <f t="shared" si="5"/>
        <v>0</v>
      </c>
      <c r="T13" s="109">
        <f t="shared" si="6"/>
        <v>0</v>
      </c>
      <c r="U13" s="107">
        <f t="shared" si="7"/>
        <v>0</v>
      </c>
      <c r="V13" s="107">
        <f t="shared" si="8"/>
        <v>0</v>
      </c>
      <c r="W13" s="107">
        <f t="shared" si="9"/>
        <v>0</v>
      </c>
      <c r="X13" s="107">
        <f t="shared" si="9"/>
        <v>0</v>
      </c>
      <c r="Y13" s="107">
        <f t="shared" si="10"/>
        <v>0</v>
      </c>
      <c r="Z13" s="106">
        <f t="shared" si="11"/>
        <v>0</v>
      </c>
      <c r="AA13" s="106">
        <f t="shared" si="12"/>
        <v>0</v>
      </c>
      <c r="AB13" s="106">
        <f t="shared" si="13"/>
        <v>0</v>
      </c>
      <c r="AC13" s="106">
        <f t="shared" si="13"/>
        <v>0</v>
      </c>
      <c r="AD13" s="106">
        <f t="shared" si="14"/>
        <v>0</v>
      </c>
    </row>
    <row r="14" spans="1:35">
      <c r="A14" s="165"/>
      <c r="B14" s="164">
        <v>6155113</v>
      </c>
      <c r="C14" s="163"/>
      <c r="D14" s="162" t="s">
        <v>93</v>
      </c>
      <c r="E14" s="158">
        <f>+IF($A14="",IF($C14="",SUMIFS(全伝票!I:I,全伝票!$B:$B,$B14),SUMIFS(全伝票!I:I,全伝票!$C:$C,$C14)),IF($C14="",SUMIFS(全伝票!I:I,全伝票!$A:$A,$A14,全伝票!$B:$B,$B14),SUMIFS(全伝票!I:I,全伝票!$A:$A,$A14,全伝票!$C:$C,$C14)))</f>
        <v>0</v>
      </c>
      <c r="F14" s="161">
        <f>+IF($A14="",IF($C14="",SUMIFS(全伝票!J:J,全伝票!$B:$B,$B14),SUMIFS(全伝票!J:J,全伝票!$C:$C,$C14)),IF($C14="",SUMIFS(全伝票!J:J,全伝票!$A:$A,$A14,全伝票!$B:$B,$B14),SUMIFS(全伝票!J:J,全伝票!$A:$A,$A14,全伝票!$C:$C,$C14)))</f>
        <v>0</v>
      </c>
      <c r="G14" s="160">
        <f>+IF($A14="",IF($C14="",SUMIFS(全伝票!K:K,全伝票!$B:$B,$B14),SUMIFS(全伝票!K:K,全伝票!$C:$C,$C14)),IF($C14="",SUMIFS(全伝票!K:K,全伝票!$A:$A,$A14,全伝票!$B:$B,$B14),SUMIFS(全伝票!K:K,全伝票!$A:$A,$A14,全伝票!$C:$C,$C14)))</f>
        <v>0</v>
      </c>
      <c r="H14" s="160">
        <f>+IF($A14="",IF($C14="",SUMIFS(全伝票!L:L,全伝票!$B:$B,$B14),SUMIFS(全伝票!L:L,全伝票!$C:$C,$C14)),IF($C14="",SUMIFS(全伝票!L:L,全伝票!$A:$A,$A14,全伝票!$B:$B,$B14),SUMIFS(全伝票!L:L,全伝票!$A:$A,$A14,全伝票!$C:$C,$C14)))</f>
        <v>0</v>
      </c>
      <c r="I14" s="160">
        <f>+IF($A14="",IF($C14="",SUMIFS(全伝票!M:M,全伝票!$B:$B,$B14),SUMIFS(全伝票!M:M,全伝票!$C:$C,$C14)),IF($C14="",SUMIFS(全伝票!M:M,全伝票!$A:$A,$A14,全伝票!$B:$B,$B14),SUMIFS(全伝票!M:M,全伝票!$A:$A,$A14,全伝票!$C:$C,$C14)))</f>
        <v>0</v>
      </c>
      <c r="J14" s="159">
        <f>+IF($A14="",IF($C14="",SUMIFS(全伝票!N:N,全伝票!$B:$B,$B14),SUMIFS(全伝票!N:N,全伝票!$C:$C,$C14)),IF($C14="",SUMIFS(全伝票!N:N,全伝票!$A:$A,$A14,全伝票!$B:$B,$B14),SUMIFS(全伝票!N:N,全伝票!$A:$A,$A14,全伝票!$C:$C,$C14)))</f>
        <v>0</v>
      </c>
      <c r="K14" s="34">
        <f t="shared" si="0"/>
        <v>0</v>
      </c>
      <c r="L14" s="158">
        <f>+IF($A14="",IF($C14="",SUMIFS(全伝票!O:O,全伝票!$B:$B,$B14),SUMIFS(全伝票!O:O,全伝票!$C:$C,$C14)),IF($C14="",SUMIFS(全伝票!O:O,全伝票!$A:$A,$A14,全伝票!$B:$B,$B14),SUMIFS(全伝票!O:O,全伝票!$A:$A,$A14,全伝票!$C:$C,$C14)))</f>
        <v>0</v>
      </c>
      <c r="M14" s="158">
        <f>+IF($A14="",IF($C14="",SUMIFS(全伝票!P:P,全伝票!$B:$B,$B14),SUMIFS(全伝票!P:P,全伝票!$C:$C,$C14)),IF($C14="",SUMIFS(全伝票!P:P,全伝票!$A:$A,$A14,全伝票!$B:$B,$B14),SUMIFS(全伝票!P:P,全伝票!$A:$A,$A14,全伝票!$C:$C,$C14)))</f>
        <v>0</v>
      </c>
      <c r="N14" s="108">
        <f t="shared" si="1"/>
        <v>0</v>
      </c>
      <c r="O14" s="25">
        <f t="shared" si="2"/>
        <v>0</v>
      </c>
      <c r="P14" s="25">
        <f t="shared" si="3"/>
        <v>0</v>
      </c>
      <c r="Q14" s="25">
        <f t="shared" si="3"/>
        <v>0</v>
      </c>
      <c r="R14" s="157">
        <f t="shared" si="4"/>
        <v>0</v>
      </c>
      <c r="S14" s="22">
        <f t="shared" si="5"/>
        <v>0</v>
      </c>
      <c r="T14" s="109">
        <f t="shared" si="6"/>
        <v>0</v>
      </c>
      <c r="U14" s="107">
        <f t="shared" si="7"/>
        <v>0</v>
      </c>
      <c r="V14" s="107">
        <f t="shared" si="8"/>
        <v>0</v>
      </c>
      <c r="W14" s="107">
        <f t="shared" si="9"/>
        <v>0</v>
      </c>
      <c r="X14" s="107">
        <f t="shared" si="9"/>
        <v>0</v>
      </c>
      <c r="Y14" s="107">
        <f t="shared" si="10"/>
        <v>0</v>
      </c>
      <c r="Z14" s="106">
        <f t="shared" si="11"/>
        <v>0</v>
      </c>
      <c r="AA14" s="106">
        <f t="shared" si="12"/>
        <v>0</v>
      </c>
      <c r="AB14" s="106">
        <f t="shared" si="13"/>
        <v>0</v>
      </c>
      <c r="AC14" s="106">
        <f t="shared" si="13"/>
        <v>0</v>
      </c>
      <c r="AD14" s="106">
        <f t="shared" si="14"/>
        <v>0</v>
      </c>
    </row>
    <row r="15" spans="1:35">
      <c r="A15" s="165"/>
      <c r="B15" s="164"/>
      <c r="C15" s="163"/>
      <c r="D15" s="162"/>
      <c r="E15" s="158">
        <f>+IF($A15="",IF($C15="",SUMIFS(全伝票!I:I,全伝票!$B:$B,$B15),SUMIFS(全伝票!I:I,全伝票!$C:$C,$C15)),IF($C15="",SUMIFS(全伝票!I:I,全伝票!$A:$A,$A15,全伝票!$B:$B,$B15),SUMIFS(全伝票!I:I,全伝票!$A:$A,$A15,全伝票!$C:$C,$C15)))</f>
        <v>0</v>
      </c>
      <c r="F15" s="161">
        <f>+IF($A15="",IF($C15="",SUMIFS(全伝票!J:J,全伝票!$B:$B,$B15),SUMIFS(全伝票!J:J,全伝票!$C:$C,$C15)),IF($C15="",SUMIFS(全伝票!J:J,全伝票!$A:$A,$A15,全伝票!$B:$B,$B15),SUMIFS(全伝票!J:J,全伝票!$A:$A,$A15,全伝票!$C:$C,$C15)))</f>
        <v>0</v>
      </c>
      <c r="G15" s="160">
        <f>+IF($A15="",IF($C15="",SUMIFS(全伝票!K:K,全伝票!$B:$B,$B15),SUMIFS(全伝票!K:K,全伝票!$C:$C,$C15)),IF($C15="",SUMIFS(全伝票!K:K,全伝票!$A:$A,$A15,全伝票!$B:$B,$B15),SUMIFS(全伝票!K:K,全伝票!$A:$A,$A15,全伝票!$C:$C,$C15)))</f>
        <v>0</v>
      </c>
      <c r="H15" s="160">
        <f>+IF($A15="",IF($C15="",SUMIFS(全伝票!L:L,全伝票!$B:$B,$B15),SUMIFS(全伝票!L:L,全伝票!$C:$C,$C15)),IF($C15="",SUMIFS(全伝票!L:L,全伝票!$A:$A,$A15,全伝票!$B:$B,$B15),SUMIFS(全伝票!L:L,全伝票!$A:$A,$A15,全伝票!$C:$C,$C15)))</f>
        <v>0</v>
      </c>
      <c r="I15" s="160">
        <f>+IF($A15="",IF($C15="",SUMIFS(全伝票!M:M,全伝票!$B:$B,$B15),SUMIFS(全伝票!M:M,全伝票!$C:$C,$C15)),IF($C15="",SUMIFS(全伝票!M:M,全伝票!$A:$A,$A15,全伝票!$B:$B,$B15),SUMIFS(全伝票!M:M,全伝票!$A:$A,$A15,全伝票!$C:$C,$C15)))</f>
        <v>0</v>
      </c>
      <c r="J15" s="159">
        <f>+IF($A15="",IF($C15="",SUMIFS(全伝票!N:N,全伝票!$B:$B,$B15),SUMIFS(全伝票!N:N,全伝票!$C:$C,$C15)),IF($C15="",SUMIFS(全伝票!N:N,全伝票!$A:$A,$A15,全伝票!$B:$B,$B15),SUMIFS(全伝票!N:N,全伝票!$A:$A,$A15,全伝票!$C:$C,$C15)))</f>
        <v>0</v>
      </c>
      <c r="K15" s="34">
        <f t="shared" si="0"/>
        <v>0</v>
      </c>
      <c r="L15" s="158">
        <f>+IF($A15="",IF($C15="",SUMIFS(全伝票!O:O,全伝票!$B:$B,$B15),SUMIFS(全伝票!O:O,全伝票!$C:$C,$C15)),IF($C15="",SUMIFS(全伝票!O:O,全伝票!$A:$A,$A15,全伝票!$B:$B,$B15),SUMIFS(全伝票!O:O,全伝票!$A:$A,$A15,全伝票!$C:$C,$C15)))</f>
        <v>0</v>
      </c>
      <c r="M15" s="158">
        <f>+IF($A15="",IF($C15="",SUMIFS(全伝票!P:P,全伝票!$B:$B,$B15),SUMIFS(全伝票!P:P,全伝票!$C:$C,$C15)),IF($C15="",SUMIFS(全伝票!P:P,全伝票!$A:$A,$A15,全伝票!$B:$B,$B15),SUMIFS(全伝票!P:P,全伝票!$A:$A,$A15,全伝票!$C:$C,$C15)))</f>
        <v>0</v>
      </c>
      <c r="N15" s="108">
        <f t="shared" si="1"/>
        <v>0</v>
      </c>
      <c r="O15" s="25">
        <f t="shared" si="2"/>
        <v>0</v>
      </c>
      <c r="P15" s="25">
        <f t="shared" si="3"/>
        <v>0</v>
      </c>
      <c r="Q15" s="25">
        <f t="shared" si="3"/>
        <v>0</v>
      </c>
      <c r="R15" s="157">
        <f t="shared" si="4"/>
        <v>0</v>
      </c>
      <c r="S15" s="22">
        <f t="shared" si="5"/>
        <v>0</v>
      </c>
      <c r="T15" s="109">
        <f t="shared" si="6"/>
        <v>0</v>
      </c>
      <c r="U15" s="107">
        <f t="shared" si="7"/>
        <v>0</v>
      </c>
      <c r="V15" s="107">
        <f t="shared" si="8"/>
        <v>0</v>
      </c>
      <c r="W15" s="107">
        <f t="shared" si="9"/>
        <v>0</v>
      </c>
      <c r="X15" s="107">
        <f t="shared" si="9"/>
        <v>0</v>
      </c>
      <c r="Y15" s="107">
        <f t="shared" si="10"/>
        <v>0</v>
      </c>
      <c r="Z15" s="106">
        <f t="shared" si="11"/>
        <v>0</v>
      </c>
      <c r="AA15" s="106">
        <f t="shared" si="12"/>
        <v>0</v>
      </c>
      <c r="AB15" s="106">
        <f t="shared" si="13"/>
        <v>0</v>
      </c>
      <c r="AC15" s="106">
        <f t="shared" si="13"/>
        <v>0</v>
      </c>
      <c r="AD15" s="106">
        <f t="shared" si="14"/>
        <v>0</v>
      </c>
    </row>
    <row r="16" spans="1:35">
      <c r="A16" s="165"/>
      <c r="B16" s="164"/>
      <c r="C16" s="163"/>
      <c r="D16" s="162"/>
      <c r="E16" s="158">
        <f>+IF($A16="",IF($C16="",SUMIFS(全伝票!I:I,全伝票!$B:$B,$B16),SUMIFS(全伝票!I:I,全伝票!$C:$C,$C16)),IF($C16="",SUMIFS(全伝票!I:I,全伝票!$A:$A,$A16,全伝票!$B:$B,$B16),SUMIFS(全伝票!I:I,全伝票!$A:$A,$A16,全伝票!$C:$C,$C16)))</f>
        <v>0</v>
      </c>
      <c r="F16" s="161">
        <f>+IF($A16="",IF($C16="",SUMIFS(全伝票!J:J,全伝票!$B:$B,$B16),SUMIFS(全伝票!J:J,全伝票!$C:$C,$C16)),IF($C16="",SUMIFS(全伝票!J:J,全伝票!$A:$A,$A16,全伝票!$B:$B,$B16),SUMIFS(全伝票!J:J,全伝票!$A:$A,$A16,全伝票!$C:$C,$C16)))</f>
        <v>0</v>
      </c>
      <c r="G16" s="160">
        <f>+IF($A16="",IF($C16="",SUMIFS(全伝票!K:K,全伝票!$B:$B,$B16),SUMIFS(全伝票!K:K,全伝票!$C:$C,$C16)),IF($C16="",SUMIFS(全伝票!K:K,全伝票!$A:$A,$A16,全伝票!$B:$B,$B16),SUMIFS(全伝票!K:K,全伝票!$A:$A,$A16,全伝票!$C:$C,$C16)))</f>
        <v>0</v>
      </c>
      <c r="H16" s="160">
        <f>+IF($A16="",IF($C16="",SUMIFS(全伝票!L:L,全伝票!$B:$B,$B16),SUMIFS(全伝票!L:L,全伝票!$C:$C,$C16)),IF($C16="",SUMIFS(全伝票!L:L,全伝票!$A:$A,$A16,全伝票!$B:$B,$B16),SUMIFS(全伝票!L:L,全伝票!$A:$A,$A16,全伝票!$C:$C,$C16)))</f>
        <v>0</v>
      </c>
      <c r="I16" s="160">
        <f>+IF($A16="",IF($C16="",SUMIFS(全伝票!M:M,全伝票!$B:$B,$B16),SUMIFS(全伝票!M:M,全伝票!$C:$C,$C16)),IF($C16="",SUMIFS(全伝票!M:M,全伝票!$A:$A,$A16,全伝票!$B:$B,$B16),SUMIFS(全伝票!M:M,全伝票!$A:$A,$A16,全伝票!$C:$C,$C16)))</f>
        <v>0</v>
      </c>
      <c r="J16" s="159">
        <f>+IF($A16="",IF($C16="",SUMIFS(全伝票!N:N,全伝票!$B:$B,$B16),SUMIFS(全伝票!N:N,全伝票!$C:$C,$C16)),IF($C16="",SUMIFS(全伝票!N:N,全伝票!$A:$A,$A16,全伝票!$B:$B,$B16),SUMIFS(全伝票!N:N,全伝票!$A:$A,$A16,全伝票!$C:$C,$C16)))</f>
        <v>0</v>
      </c>
      <c r="K16" s="34">
        <f t="shared" si="0"/>
        <v>0</v>
      </c>
      <c r="L16" s="158">
        <f>+IF($A16="",IF($C16="",SUMIFS(全伝票!O:O,全伝票!$B:$B,$B16),SUMIFS(全伝票!O:O,全伝票!$C:$C,$C16)),IF($C16="",SUMIFS(全伝票!O:O,全伝票!$A:$A,$A16,全伝票!$B:$B,$B16),SUMIFS(全伝票!O:O,全伝票!$A:$A,$A16,全伝票!$C:$C,$C16)))</f>
        <v>0</v>
      </c>
      <c r="M16" s="158">
        <f>+IF($A16="",IF($C16="",SUMIFS(全伝票!P:P,全伝票!$B:$B,$B16),SUMIFS(全伝票!P:P,全伝票!$C:$C,$C16)),IF($C16="",SUMIFS(全伝票!P:P,全伝票!$A:$A,$A16,全伝票!$B:$B,$B16),SUMIFS(全伝票!P:P,全伝票!$A:$A,$A16,全伝票!$C:$C,$C16)))</f>
        <v>0</v>
      </c>
      <c r="N16" s="108">
        <f t="shared" si="1"/>
        <v>0</v>
      </c>
      <c r="O16" s="25">
        <f t="shared" si="2"/>
        <v>0</v>
      </c>
      <c r="P16" s="25">
        <f t="shared" si="3"/>
        <v>0</v>
      </c>
      <c r="Q16" s="25">
        <f t="shared" si="3"/>
        <v>0</v>
      </c>
      <c r="R16" s="157">
        <f t="shared" si="4"/>
        <v>0</v>
      </c>
      <c r="S16" s="22">
        <f t="shared" si="5"/>
        <v>0</v>
      </c>
      <c r="T16" s="109">
        <f t="shared" si="6"/>
        <v>0</v>
      </c>
      <c r="U16" s="107">
        <f t="shared" si="7"/>
        <v>0</v>
      </c>
      <c r="V16" s="107">
        <f t="shared" si="8"/>
        <v>0</v>
      </c>
      <c r="W16" s="107">
        <f t="shared" si="9"/>
        <v>0</v>
      </c>
      <c r="X16" s="107">
        <f t="shared" si="9"/>
        <v>0</v>
      </c>
      <c r="Y16" s="107">
        <f t="shared" si="10"/>
        <v>0</v>
      </c>
      <c r="Z16" s="106">
        <f t="shared" si="11"/>
        <v>0</v>
      </c>
      <c r="AA16" s="106">
        <f t="shared" si="12"/>
        <v>0</v>
      </c>
      <c r="AB16" s="106">
        <f t="shared" si="13"/>
        <v>0</v>
      </c>
      <c r="AC16" s="106">
        <f t="shared" si="13"/>
        <v>0</v>
      </c>
      <c r="AD16" s="106">
        <f t="shared" si="14"/>
        <v>0</v>
      </c>
    </row>
    <row r="17" spans="1:30">
      <c r="A17" s="165"/>
      <c r="B17" s="164"/>
      <c r="C17" s="163"/>
      <c r="D17" s="162"/>
      <c r="E17" s="158">
        <f>+IF($A17="",IF($C17="",SUMIFS(全伝票!I:I,全伝票!$B:$B,$B17),SUMIFS(全伝票!I:I,全伝票!$C:$C,$C17)),IF($C17="",SUMIFS(全伝票!I:I,全伝票!$A:$A,$A17,全伝票!$B:$B,$B17),SUMIFS(全伝票!I:I,全伝票!$A:$A,$A17,全伝票!$C:$C,$C17)))</f>
        <v>0</v>
      </c>
      <c r="F17" s="161">
        <f>+IF($A17="",IF($C17="",SUMIFS(全伝票!J:J,全伝票!$B:$B,$B17),SUMIFS(全伝票!J:J,全伝票!$C:$C,$C17)),IF($C17="",SUMIFS(全伝票!J:J,全伝票!$A:$A,$A17,全伝票!$B:$B,$B17),SUMIFS(全伝票!J:J,全伝票!$A:$A,$A17,全伝票!$C:$C,$C17)))</f>
        <v>0</v>
      </c>
      <c r="G17" s="160">
        <f>+IF($A17="",IF($C17="",SUMIFS(全伝票!K:K,全伝票!$B:$B,$B17),SUMIFS(全伝票!K:K,全伝票!$C:$C,$C17)),IF($C17="",SUMIFS(全伝票!K:K,全伝票!$A:$A,$A17,全伝票!$B:$B,$B17),SUMIFS(全伝票!K:K,全伝票!$A:$A,$A17,全伝票!$C:$C,$C17)))</f>
        <v>0</v>
      </c>
      <c r="H17" s="160">
        <f>+IF($A17="",IF($C17="",SUMIFS(全伝票!L:L,全伝票!$B:$B,$B17),SUMIFS(全伝票!L:L,全伝票!$C:$C,$C17)),IF($C17="",SUMIFS(全伝票!L:L,全伝票!$A:$A,$A17,全伝票!$B:$B,$B17),SUMIFS(全伝票!L:L,全伝票!$A:$A,$A17,全伝票!$C:$C,$C17)))</f>
        <v>0</v>
      </c>
      <c r="I17" s="160">
        <f>+IF($A17="",IF($C17="",SUMIFS(全伝票!M:M,全伝票!$B:$B,$B17),SUMIFS(全伝票!M:M,全伝票!$C:$C,$C17)),IF($C17="",SUMIFS(全伝票!M:M,全伝票!$A:$A,$A17,全伝票!$B:$B,$B17),SUMIFS(全伝票!M:M,全伝票!$A:$A,$A17,全伝票!$C:$C,$C17)))</f>
        <v>0</v>
      </c>
      <c r="J17" s="159">
        <f>+IF($A17="",IF($C17="",SUMIFS(全伝票!N:N,全伝票!$B:$B,$B17),SUMIFS(全伝票!N:N,全伝票!$C:$C,$C17)),IF($C17="",SUMIFS(全伝票!N:N,全伝票!$A:$A,$A17,全伝票!$B:$B,$B17),SUMIFS(全伝票!N:N,全伝票!$A:$A,$A17,全伝票!$C:$C,$C17)))</f>
        <v>0</v>
      </c>
      <c r="K17" s="34">
        <f t="shared" si="0"/>
        <v>0</v>
      </c>
      <c r="L17" s="158">
        <f>+IF($A17="",IF($C17="",SUMIFS(全伝票!O:O,全伝票!$B:$B,$B17),SUMIFS(全伝票!O:O,全伝票!$C:$C,$C17)),IF($C17="",SUMIFS(全伝票!O:O,全伝票!$A:$A,$A17,全伝票!$B:$B,$B17),SUMIFS(全伝票!O:O,全伝票!$A:$A,$A17,全伝票!$C:$C,$C17)))</f>
        <v>0</v>
      </c>
      <c r="M17" s="158">
        <f>+IF($A17="",IF($C17="",SUMIFS(全伝票!P:P,全伝票!$B:$B,$B17),SUMIFS(全伝票!P:P,全伝票!$C:$C,$C17)),IF($C17="",SUMIFS(全伝票!P:P,全伝票!$A:$A,$A17,全伝票!$B:$B,$B17),SUMIFS(全伝票!P:P,全伝票!$A:$A,$A17,全伝票!$C:$C,$C17)))</f>
        <v>0</v>
      </c>
      <c r="N17" s="108">
        <f t="shared" si="1"/>
        <v>0</v>
      </c>
      <c r="O17" s="25">
        <f t="shared" si="2"/>
        <v>0</v>
      </c>
      <c r="P17" s="25">
        <f t="shared" si="3"/>
        <v>0</v>
      </c>
      <c r="Q17" s="25">
        <f t="shared" si="3"/>
        <v>0</v>
      </c>
      <c r="R17" s="157">
        <f t="shared" si="4"/>
        <v>0</v>
      </c>
      <c r="S17" s="22">
        <f t="shared" si="5"/>
        <v>0</v>
      </c>
      <c r="T17" s="109">
        <f t="shared" si="6"/>
        <v>0</v>
      </c>
      <c r="U17" s="107">
        <f t="shared" si="7"/>
        <v>0</v>
      </c>
      <c r="V17" s="107">
        <f t="shared" si="8"/>
        <v>0</v>
      </c>
      <c r="W17" s="107">
        <f t="shared" si="9"/>
        <v>0</v>
      </c>
      <c r="X17" s="107">
        <f t="shared" si="9"/>
        <v>0</v>
      </c>
      <c r="Y17" s="107">
        <f t="shared" si="10"/>
        <v>0</v>
      </c>
      <c r="Z17" s="106">
        <f t="shared" si="11"/>
        <v>0</v>
      </c>
      <c r="AA17" s="106">
        <f t="shared" si="12"/>
        <v>0</v>
      </c>
      <c r="AB17" s="106">
        <f t="shared" si="13"/>
        <v>0</v>
      </c>
      <c r="AC17" s="106">
        <f t="shared" si="13"/>
        <v>0</v>
      </c>
      <c r="AD17" s="106">
        <f t="shared" si="14"/>
        <v>0</v>
      </c>
    </row>
    <row r="18" spans="1:30">
      <c r="A18" s="165"/>
      <c r="B18" s="164"/>
      <c r="C18" s="163"/>
      <c r="D18" s="162"/>
      <c r="E18" s="158">
        <f>+IF($A18="",IF($C18="",SUMIFS(全伝票!I:I,全伝票!$B:$B,$B18),SUMIFS(全伝票!I:I,全伝票!$C:$C,$C18)),IF($C18="",SUMIFS(全伝票!I:I,全伝票!$A:$A,$A18,全伝票!$B:$B,$B18),SUMIFS(全伝票!I:I,全伝票!$A:$A,$A18,全伝票!$C:$C,$C18)))</f>
        <v>0</v>
      </c>
      <c r="F18" s="161">
        <f>+IF($A18="",IF($C18="",SUMIFS(全伝票!J:J,全伝票!$B:$B,$B18),SUMIFS(全伝票!J:J,全伝票!$C:$C,$C18)),IF($C18="",SUMIFS(全伝票!J:J,全伝票!$A:$A,$A18,全伝票!$B:$B,$B18),SUMIFS(全伝票!J:J,全伝票!$A:$A,$A18,全伝票!$C:$C,$C18)))</f>
        <v>0</v>
      </c>
      <c r="G18" s="160">
        <f>+IF($A18="",IF($C18="",SUMIFS(全伝票!K:K,全伝票!$B:$B,$B18),SUMIFS(全伝票!K:K,全伝票!$C:$C,$C18)),IF($C18="",SUMIFS(全伝票!K:K,全伝票!$A:$A,$A18,全伝票!$B:$B,$B18),SUMIFS(全伝票!K:K,全伝票!$A:$A,$A18,全伝票!$C:$C,$C18)))</f>
        <v>0</v>
      </c>
      <c r="H18" s="160">
        <f>+IF($A18="",IF($C18="",SUMIFS(全伝票!L:L,全伝票!$B:$B,$B18),SUMIFS(全伝票!L:L,全伝票!$C:$C,$C18)),IF($C18="",SUMIFS(全伝票!L:L,全伝票!$A:$A,$A18,全伝票!$B:$B,$B18),SUMIFS(全伝票!L:L,全伝票!$A:$A,$A18,全伝票!$C:$C,$C18)))</f>
        <v>0</v>
      </c>
      <c r="I18" s="160">
        <f>+IF($A18="",IF($C18="",SUMIFS(全伝票!M:M,全伝票!$B:$B,$B18),SUMIFS(全伝票!M:M,全伝票!$C:$C,$C18)),IF($C18="",SUMIFS(全伝票!M:M,全伝票!$A:$A,$A18,全伝票!$B:$B,$B18),SUMIFS(全伝票!M:M,全伝票!$A:$A,$A18,全伝票!$C:$C,$C18)))</f>
        <v>0</v>
      </c>
      <c r="J18" s="159">
        <f>+IF($A18="",IF($C18="",SUMIFS(全伝票!N:N,全伝票!$B:$B,$B18),SUMIFS(全伝票!N:N,全伝票!$C:$C,$C18)),IF($C18="",SUMIFS(全伝票!N:N,全伝票!$A:$A,$A18,全伝票!$B:$B,$B18),SUMIFS(全伝票!N:N,全伝票!$A:$A,$A18,全伝票!$C:$C,$C18)))</f>
        <v>0</v>
      </c>
      <c r="K18" s="34">
        <f t="shared" si="0"/>
        <v>0</v>
      </c>
      <c r="L18" s="158">
        <f>+IF($A18="",IF($C18="",SUMIFS(全伝票!O:O,全伝票!$B:$B,$B18),SUMIFS(全伝票!O:O,全伝票!$C:$C,$C18)),IF($C18="",SUMIFS(全伝票!O:O,全伝票!$A:$A,$A18,全伝票!$B:$B,$B18),SUMIFS(全伝票!O:O,全伝票!$A:$A,$A18,全伝票!$C:$C,$C18)))</f>
        <v>0</v>
      </c>
      <c r="M18" s="158">
        <f>+IF($A18="",IF($C18="",SUMIFS(全伝票!P:P,全伝票!$B:$B,$B18),SUMIFS(全伝票!P:P,全伝票!$C:$C,$C18)),IF($C18="",SUMIFS(全伝票!P:P,全伝票!$A:$A,$A18,全伝票!$B:$B,$B18),SUMIFS(全伝票!P:P,全伝票!$A:$A,$A18,全伝票!$C:$C,$C18)))</f>
        <v>0</v>
      </c>
      <c r="N18" s="108">
        <f t="shared" si="1"/>
        <v>0</v>
      </c>
      <c r="O18" s="25">
        <f t="shared" si="2"/>
        <v>0</v>
      </c>
      <c r="P18" s="25">
        <f t="shared" si="3"/>
        <v>0</v>
      </c>
      <c r="Q18" s="25">
        <f t="shared" si="3"/>
        <v>0</v>
      </c>
      <c r="R18" s="157">
        <f t="shared" si="4"/>
        <v>0</v>
      </c>
      <c r="S18" s="22">
        <f t="shared" si="5"/>
        <v>0</v>
      </c>
      <c r="T18" s="109">
        <f t="shared" si="6"/>
        <v>0</v>
      </c>
      <c r="U18" s="107">
        <f t="shared" si="7"/>
        <v>0</v>
      </c>
      <c r="V18" s="107">
        <f t="shared" si="8"/>
        <v>0</v>
      </c>
      <c r="W18" s="107">
        <f t="shared" si="9"/>
        <v>0</v>
      </c>
      <c r="X18" s="107">
        <f t="shared" si="9"/>
        <v>0</v>
      </c>
      <c r="Y18" s="107">
        <f t="shared" si="10"/>
        <v>0</v>
      </c>
      <c r="Z18" s="106">
        <f t="shared" si="11"/>
        <v>0</v>
      </c>
      <c r="AA18" s="106">
        <f t="shared" si="12"/>
        <v>0</v>
      </c>
      <c r="AB18" s="106">
        <f t="shared" si="13"/>
        <v>0</v>
      </c>
      <c r="AC18" s="106">
        <f t="shared" si="13"/>
        <v>0</v>
      </c>
      <c r="AD18" s="106">
        <f t="shared" si="14"/>
        <v>0</v>
      </c>
    </row>
    <row r="19" spans="1:30">
      <c r="A19" s="165"/>
      <c r="B19" s="164"/>
      <c r="C19" s="163"/>
      <c r="D19" s="162"/>
      <c r="E19" s="158">
        <f>+IF($A19="",IF($C19="",SUMIFS(全伝票!I:I,全伝票!$B:$B,$B19),SUMIFS(全伝票!I:I,全伝票!$C:$C,$C19)),IF($C19="",SUMIFS(全伝票!I:I,全伝票!$A:$A,$A19,全伝票!$B:$B,$B19),SUMIFS(全伝票!I:I,全伝票!$A:$A,$A19,全伝票!$C:$C,$C19)))</f>
        <v>0</v>
      </c>
      <c r="F19" s="161">
        <f>+IF($A19="",IF($C19="",SUMIFS(全伝票!J:J,全伝票!$B:$B,$B19),SUMIFS(全伝票!J:J,全伝票!$C:$C,$C19)),IF($C19="",SUMIFS(全伝票!J:J,全伝票!$A:$A,$A19,全伝票!$B:$B,$B19),SUMIFS(全伝票!J:J,全伝票!$A:$A,$A19,全伝票!$C:$C,$C19)))</f>
        <v>0</v>
      </c>
      <c r="G19" s="160">
        <f>+IF($A19="",IF($C19="",SUMIFS(全伝票!K:K,全伝票!$B:$B,$B19),SUMIFS(全伝票!K:K,全伝票!$C:$C,$C19)),IF($C19="",SUMIFS(全伝票!K:K,全伝票!$A:$A,$A19,全伝票!$B:$B,$B19),SUMIFS(全伝票!K:K,全伝票!$A:$A,$A19,全伝票!$C:$C,$C19)))</f>
        <v>0</v>
      </c>
      <c r="H19" s="160">
        <f>+IF($A19="",IF($C19="",SUMIFS(全伝票!L:L,全伝票!$B:$B,$B19),SUMIFS(全伝票!L:L,全伝票!$C:$C,$C19)),IF($C19="",SUMIFS(全伝票!L:L,全伝票!$A:$A,$A19,全伝票!$B:$B,$B19),SUMIFS(全伝票!L:L,全伝票!$A:$A,$A19,全伝票!$C:$C,$C19)))</f>
        <v>0</v>
      </c>
      <c r="I19" s="160">
        <f>+IF($A19="",IF($C19="",SUMIFS(全伝票!M:M,全伝票!$B:$B,$B19),SUMIFS(全伝票!M:M,全伝票!$C:$C,$C19)),IF($C19="",SUMIFS(全伝票!M:M,全伝票!$A:$A,$A19,全伝票!$B:$B,$B19),SUMIFS(全伝票!M:M,全伝票!$A:$A,$A19,全伝票!$C:$C,$C19)))</f>
        <v>0</v>
      </c>
      <c r="J19" s="159">
        <f>+IF($A19="",IF($C19="",SUMIFS(全伝票!N:N,全伝票!$B:$B,$B19),SUMIFS(全伝票!N:N,全伝票!$C:$C,$C19)),IF($C19="",SUMIFS(全伝票!N:N,全伝票!$A:$A,$A19,全伝票!$B:$B,$B19),SUMIFS(全伝票!N:N,全伝票!$A:$A,$A19,全伝票!$C:$C,$C19)))</f>
        <v>0</v>
      </c>
      <c r="K19" s="34">
        <f t="shared" si="0"/>
        <v>0</v>
      </c>
      <c r="L19" s="158">
        <f>+IF($A19="",IF($C19="",SUMIFS(全伝票!O:O,全伝票!$B:$B,$B19),SUMIFS(全伝票!O:O,全伝票!$C:$C,$C19)),IF($C19="",SUMIFS(全伝票!O:O,全伝票!$A:$A,$A19,全伝票!$B:$B,$B19),SUMIFS(全伝票!O:O,全伝票!$A:$A,$A19,全伝票!$C:$C,$C19)))</f>
        <v>0</v>
      </c>
      <c r="M19" s="158">
        <f>+IF($A19="",IF($C19="",SUMIFS(全伝票!P:P,全伝票!$B:$B,$B19),SUMIFS(全伝票!P:P,全伝票!$C:$C,$C19)),IF($C19="",SUMIFS(全伝票!P:P,全伝票!$A:$A,$A19,全伝票!$B:$B,$B19),SUMIFS(全伝票!P:P,全伝票!$A:$A,$A19,全伝票!$C:$C,$C19)))</f>
        <v>0</v>
      </c>
      <c r="N19" s="108">
        <f t="shared" si="1"/>
        <v>0</v>
      </c>
      <c r="O19" s="25">
        <f t="shared" si="2"/>
        <v>0</v>
      </c>
      <c r="P19" s="25">
        <f t="shared" si="3"/>
        <v>0</v>
      </c>
      <c r="Q19" s="25">
        <f t="shared" si="3"/>
        <v>0</v>
      </c>
      <c r="R19" s="157">
        <f t="shared" si="4"/>
        <v>0</v>
      </c>
      <c r="S19" s="22">
        <f t="shared" si="5"/>
        <v>0</v>
      </c>
      <c r="T19" s="109">
        <f t="shared" si="6"/>
        <v>0</v>
      </c>
      <c r="U19" s="107">
        <f t="shared" si="7"/>
        <v>0</v>
      </c>
      <c r="V19" s="107">
        <f t="shared" si="8"/>
        <v>0</v>
      </c>
      <c r="W19" s="107">
        <f t="shared" si="9"/>
        <v>0</v>
      </c>
      <c r="X19" s="107">
        <f t="shared" si="9"/>
        <v>0</v>
      </c>
      <c r="Y19" s="107">
        <f t="shared" si="10"/>
        <v>0</v>
      </c>
      <c r="Z19" s="106">
        <f t="shared" si="11"/>
        <v>0</v>
      </c>
      <c r="AA19" s="106">
        <f t="shared" si="12"/>
        <v>0</v>
      </c>
      <c r="AB19" s="106">
        <f t="shared" si="13"/>
        <v>0</v>
      </c>
      <c r="AC19" s="106">
        <f t="shared" si="13"/>
        <v>0</v>
      </c>
      <c r="AD19" s="106">
        <f t="shared" si="14"/>
        <v>0</v>
      </c>
    </row>
    <row r="20" spans="1:30">
      <c r="A20" s="165"/>
      <c r="B20" s="164"/>
      <c r="C20" s="163"/>
      <c r="D20" s="162"/>
      <c r="E20" s="158">
        <f>+IF($A20="",IF($C20="",SUMIFS(全伝票!I:I,全伝票!$B:$B,$B20),SUMIFS(全伝票!I:I,全伝票!$C:$C,$C20)),IF($C20="",SUMIFS(全伝票!I:I,全伝票!$A:$A,$A20,全伝票!$B:$B,$B20),SUMIFS(全伝票!I:I,全伝票!$A:$A,$A20,全伝票!$C:$C,$C20)))</f>
        <v>0</v>
      </c>
      <c r="F20" s="161">
        <f>+IF($A20="",IF($C20="",SUMIFS(全伝票!J:J,全伝票!$B:$B,$B20),SUMIFS(全伝票!J:J,全伝票!$C:$C,$C20)),IF($C20="",SUMIFS(全伝票!J:J,全伝票!$A:$A,$A20,全伝票!$B:$B,$B20),SUMIFS(全伝票!J:J,全伝票!$A:$A,$A20,全伝票!$C:$C,$C20)))</f>
        <v>0</v>
      </c>
      <c r="G20" s="160">
        <f>+IF($A20="",IF($C20="",SUMIFS(全伝票!K:K,全伝票!$B:$B,$B20),SUMIFS(全伝票!K:K,全伝票!$C:$C,$C20)),IF($C20="",SUMIFS(全伝票!K:K,全伝票!$A:$A,$A20,全伝票!$B:$B,$B20),SUMIFS(全伝票!K:K,全伝票!$A:$A,$A20,全伝票!$C:$C,$C20)))</f>
        <v>0</v>
      </c>
      <c r="H20" s="160">
        <f>+IF($A20="",IF($C20="",SUMIFS(全伝票!L:L,全伝票!$B:$B,$B20),SUMIFS(全伝票!L:L,全伝票!$C:$C,$C20)),IF($C20="",SUMIFS(全伝票!L:L,全伝票!$A:$A,$A20,全伝票!$B:$B,$B20),SUMIFS(全伝票!L:L,全伝票!$A:$A,$A20,全伝票!$C:$C,$C20)))</f>
        <v>0</v>
      </c>
      <c r="I20" s="160">
        <f>+IF($A20="",IF($C20="",SUMIFS(全伝票!M:M,全伝票!$B:$B,$B20),SUMIFS(全伝票!M:M,全伝票!$C:$C,$C20)),IF($C20="",SUMIFS(全伝票!M:M,全伝票!$A:$A,$A20,全伝票!$B:$B,$B20),SUMIFS(全伝票!M:M,全伝票!$A:$A,$A20,全伝票!$C:$C,$C20)))</f>
        <v>0</v>
      </c>
      <c r="J20" s="159">
        <f>+IF($A20="",IF($C20="",SUMIFS(全伝票!N:N,全伝票!$B:$B,$B20),SUMIFS(全伝票!N:N,全伝票!$C:$C,$C20)),IF($C20="",SUMIFS(全伝票!N:N,全伝票!$A:$A,$A20,全伝票!$B:$B,$B20),SUMIFS(全伝票!N:N,全伝票!$A:$A,$A20,全伝票!$C:$C,$C20)))</f>
        <v>0</v>
      </c>
      <c r="K20" s="34">
        <f t="shared" si="0"/>
        <v>0</v>
      </c>
      <c r="L20" s="158">
        <f>+IF($A20="",IF($C20="",SUMIFS(全伝票!O:O,全伝票!$B:$B,$B20),SUMIFS(全伝票!O:O,全伝票!$C:$C,$C20)),IF($C20="",SUMIFS(全伝票!O:O,全伝票!$A:$A,$A20,全伝票!$B:$B,$B20),SUMIFS(全伝票!O:O,全伝票!$A:$A,$A20,全伝票!$C:$C,$C20)))</f>
        <v>0</v>
      </c>
      <c r="M20" s="158">
        <f>+IF($A20="",IF($C20="",SUMIFS(全伝票!P:P,全伝票!$B:$B,$B20),SUMIFS(全伝票!P:P,全伝票!$C:$C,$C20)),IF($C20="",SUMIFS(全伝票!P:P,全伝票!$A:$A,$A20,全伝票!$B:$B,$B20),SUMIFS(全伝票!P:P,全伝票!$A:$A,$A20,全伝票!$C:$C,$C20)))</f>
        <v>0</v>
      </c>
      <c r="N20" s="108">
        <f t="shared" si="1"/>
        <v>0</v>
      </c>
      <c r="O20" s="25">
        <f t="shared" si="2"/>
        <v>0</v>
      </c>
      <c r="P20" s="25">
        <f t="shared" si="3"/>
        <v>0</v>
      </c>
      <c r="Q20" s="25">
        <f t="shared" si="3"/>
        <v>0</v>
      </c>
      <c r="R20" s="157">
        <f t="shared" si="4"/>
        <v>0</v>
      </c>
      <c r="S20" s="22">
        <f t="shared" si="5"/>
        <v>0</v>
      </c>
      <c r="T20" s="109">
        <f t="shared" si="6"/>
        <v>0</v>
      </c>
      <c r="U20" s="107">
        <f t="shared" si="7"/>
        <v>0</v>
      </c>
      <c r="V20" s="107">
        <f t="shared" si="8"/>
        <v>0</v>
      </c>
      <c r="W20" s="107">
        <f t="shared" si="9"/>
        <v>0</v>
      </c>
      <c r="X20" s="107">
        <f t="shared" si="9"/>
        <v>0</v>
      </c>
      <c r="Y20" s="107">
        <f t="shared" si="10"/>
        <v>0</v>
      </c>
      <c r="Z20" s="106">
        <f t="shared" si="11"/>
        <v>0</v>
      </c>
      <c r="AA20" s="106">
        <f t="shared" si="12"/>
        <v>0</v>
      </c>
      <c r="AB20" s="106">
        <f t="shared" si="13"/>
        <v>0</v>
      </c>
      <c r="AC20" s="106">
        <f t="shared" si="13"/>
        <v>0</v>
      </c>
      <c r="AD20" s="106">
        <f t="shared" si="14"/>
        <v>0</v>
      </c>
    </row>
    <row r="21" spans="1:30">
      <c r="A21" s="165"/>
      <c r="B21" s="164"/>
      <c r="C21" s="163"/>
      <c r="D21" s="162"/>
      <c r="E21" s="158">
        <f>+IF($A21="",IF($C21="",SUMIFS(全伝票!I:I,全伝票!$B:$B,$B21),SUMIFS(全伝票!I:I,全伝票!$C:$C,$C21)),IF($C21="",SUMIFS(全伝票!I:I,全伝票!$A:$A,$A21,全伝票!$B:$B,$B21),SUMIFS(全伝票!I:I,全伝票!$A:$A,$A21,全伝票!$C:$C,$C21)))</f>
        <v>0</v>
      </c>
      <c r="F21" s="161">
        <f>+IF($A21="",IF($C21="",SUMIFS(全伝票!J:J,全伝票!$B:$B,$B21),SUMIFS(全伝票!J:J,全伝票!$C:$C,$C21)),IF($C21="",SUMIFS(全伝票!J:J,全伝票!$A:$A,$A21,全伝票!$B:$B,$B21),SUMIFS(全伝票!J:J,全伝票!$A:$A,$A21,全伝票!$C:$C,$C21)))</f>
        <v>0</v>
      </c>
      <c r="G21" s="160">
        <f>+IF($A21="",IF($C21="",SUMIFS(全伝票!K:K,全伝票!$B:$B,$B21),SUMIFS(全伝票!K:K,全伝票!$C:$C,$C21)),IF($C21="",SUMIFS(全伝票!K:K,全伝票!$A:$A,$A21,全伝票!$B:$B,$B21),SUMIFS(全伝票!K:K,全伝票!$A:$A,$A21,全伝票!$C:$C,$C21)))</f>
        <v>0</v>
      </c>
      <c r="H21" s="160">
        <f>+IF($A21="",IF($C21="",SUMIFS(全伝票!L:L,全伝票!$B:$B,$B21),SUMIFS(全伝票!L:L,全伝票!$C:$C,$C21)),IF($C21="",SUMIFS(全伝票!L:L,全伝票!$A:$A,$A21,全伝票!$B:$B,$B21),SUMIFS(全伝票!L:L,全伝票!$A:$A,$A21,全伝票!$C:$C,$C21)))</f>
        <v>0</v>
      </c>
      <c r="I21" s="160">
        <f>+IF($A21="",IF($C21="",SUMIFS(全伝票!M:M,全伝票!$B:$B,$B21),SUMIFS(全伝票!M:M,全伝票!$C:$C,$C21)),IF($C21="",SUMIFS(全伝票!M:M,全伝票!$A:$A,$A21,全伝票!$B:$B,$B21),SUMIFS(全伝票!M:M,全伝票!$A:$A,$A21,全伝票!$C:$C,$C21)))</f>
        <v>0</v>
      </c>
      <c r="J21" s="159">
        <f>+IF($A21="",IF($C21="",SUMIFS(全伝票!N:N,全伝票!$B:$B,$B21),SUMIFS(全伝票!N:N,全伝票!$C:$C,$C21)),IF($C21="",SUMIFS(全伝票!N:N,全伝票!$A:$A,$A21,全伝票!$B:$B,$B21),SUMIFS(全伝票!N:N,全伝票!$A:$A,$A21,全伝票!$C:$C,$C21)))</f>
        <v>0</v>
      </c>
      <c r="K21" s="34">
        <f t="shared" si="0"/>
        <v>0</v>
      </c>
      <c r="L21" s="158">
        <f>+IF($A21="",IF($C21="",SUMIFS(全伝票!O:O,全伝票!$B:$B,$B21),SUMIFS(全伝票!O:O,全伝票!$C:$C,$C21)),IF($C21="",SUMIFS(全伝票!O:O,全伝票!$A:$A,$A21,全伝票!$B:$B,$B21),SUMIFS(全伝票!O:O,全伝票!$A:$A,$A21,全伝票!$C:$C,$C21)))</f>
        <v>0</v>
      </c>
      <c r="M21" s="158">
        <f>+IF($A21="",IF($C21="",SUMIFS(全伝票!P:P,全伝票!$B:$B,$B21),SUMIFS(全伝票!P:P,全伝票!$C:$C,$C21)),IF($C21="",SUMIFS(全伝票!P:P,全伝票!$A:$A,$A21,全伝票!$B:$B,$B21),SUMIFS(全伝票!P:P,全伝票!$A:$A,$A21,全伝票!$C:$C,$C21)))</f>
        <v>0</v>
      </c>
      <c r="N21" s="108">
        <f t="shared" si="1"/>
        <v>0</v>
      </c>
      <c r="O21" s="25">
        <f t="shared" si="2"/>
        <v>0</v>
      </c>
      <c r="P21" s="25">
        <f t="shared" si="3"/>
        <v>0</v>
      </c>
      <c r="Q21" s="25">
        <f t="shared" si="3"/>
        <v>0</v>
      </c>
      <c r="R21" s="157">
        <f t="shared" si="4"/>
        <v>0</v>
      </c>
      <c r="S21" s="22">
        <f t="shared" si="5"/>
        <v>0</v>
      </c>
      <c r="T21" s="109">
        <f t="shared" si="6"/>
        <v>0</v>
      </c>
      <c r="U21" s="107">
        <f t="shared" si="7"/>
        <v>0</v>
      </c>
      <c r="V21" s="107">
        <f t="shared" si="8"/>
        <v>0</v>
      </c>
      <c r="W21" s="107">
        <f t="shared" si="9"/>
        <v>0</v>
      </c>
      <c r="X21" s="107">
        <f t="shared" si="9"/>
        <v>0</v>
      </c>
      <c r="Y21" s="107">
        <f t="shared" si="10"/>
        <v>0</v>
      </c>
      <c r="Z21" s="106">
        <f t="shared" si="11"/>
        <v>0</v>
      </c>
      <c r="AA21" s="106">
        <f t="shared" si="12"/>
        <v>0</v>
      </c>
      <c r="AB21" s="106">
        <f t="shared" si="13"/>
        <v>0</v>
      </c>
      <c r="AC21" s="106">
        <f t="shared" si="13"/>
        <v>0</v>
      </c>
      <c r="AD21" s="106">
        <f t="shared" si="14"/>
        <v>0</v>
      </c>
    </row>
    <row r="22" spans="1:30">
      <c r="A22" s="165"/>
      <c r="B22" s="164"/>
      <c r="C22" s="163"/>
      <c r="D22" s="162"/>
      <c r="E22" s="158">
        <f>+IF($A22="",IF($C22="",SUMIFS(全伝票!I:I,全伝票!$B:$B,$B22),SUMIFS(全伝票!I:I,全伝票!$C:$C,$C22)),IF($C22="",SUMIFS(全伝票!I:I,全伝票!$A:$A,$A22,全伝票!$B:$B,$B22),SUMIFS(全伝票!I:I,全伝票!$A:$A,$A22,全伝票!$C:$C,$C22)))</f>
        <v>0</v>
      </c>
      <c r="F22" s="161">
        <f>+IF($A22="",IF($C22="",SUMIFS(全伝票!J:J,全伝票!$B:$B,$B22),SUMIFS(全伝票!J:J,全伝票!$C:$C,$C22)),IF($C22="",SUMIFS(全伝票!J:J,全伝票!$A:$A,$A22,全伝票!$B:$B,$B22),SUMIFS(全伝票!J:J,全伝票!$A:$A,$A22,全伝票!$C:$C,$C22)))</f>
        <v>0</v>
      </c>
      <c r="G22" s="160">
        <f>+IF($A22="",IF($C22="",SUMIFS(全伝票!K:K,全伝票!$B:$B,$B22),SUMIFS(全伝票!K:K,全伝票!$C:$C,$C22)),IF($C22="",SUMIFS(全伝票!K:K,全伝票!$A:$A,$A22,全伝票!$B:$B,$B22),SUMIFS(全伝票!K:K,全伝票!$A:$A,$A22,全伝票!$C:$C,$C22)))</f>
        <v>0</v>
      </c>
      <c r="H22" s="160">
        <f>+IF($A22="",IF($C22="",SUMIFS(全伝票!L:L,全伝票!$B:$B,$B22),SUMIFS(全伝票!L:L,全伝票!$C:$C,$C22)),IF($C22="",SUMIFS(全伝票!L:L,全伝票!$A:$A,$A22,全伝票!$B:$B,$B22),SUMIFS(全伝票!L:L,全伝票!$A:$A,$A22,全伝票!$C:$C,$C22)))</f>
        <v>0</v>
      </c>
      <c r="I22" s="160">
        <f>+IF($A22="",IF($C22="",SUMIFS(全伝票!M:M,全伝票!$B:$B,$B22),SUMIFS(全伝票!M:M,全伝票!$C:$C,$C22)),IF($C22="",SUMIFS(全伝票!M:M,全伝票!$A:$A,$A22,全伝票!$B:$B,$B22),SUMIFS(全伝票!M:M,全伝票!$A:$A,$A22,全伝票!$C:$C,$C22)))</f>
        <v>0</v>
      </c>
      <c r="J22" s="159">
        <f>+IF($A22="",IF($C22="",SUMIFS(全伝票!N:N,全伝票!$B:$B,$B22),SUMIFS(全伝票!N:N,全伝票!$C:$C,$C22)),IF($C22="",SUMIFS(全伝票!N:N,全伝票!$A:$A,$A22,全伝票!$B:$B,$B22),SUMIFS(全伝票!N:N,全伝票!$A:$A,$A22,全伝票!$C:$C,$C22)))</f>
        <v>0</v>
      </c>
      <c r="K22" s="34">
        <f t="shared" si="0"/>
        <v>0</v>
      </c>
      <c r="L22" s="158">
        <f>+IF($A22="",IF($C22="",SUMIFS(全伝票!O:O,全伝票!$B:$B,$B22),SUMIFS(全伝票!O:O,全伝票!$C:$C,$C22)),IF($C22="",SUMIFS(全伝票!O:O,全伝票!$A:$A,$A22,全伝票!$B:$B,$B22),SUMIFS(全伝票!O:O,全伝票!$A:$A,$A22,全伝票!$C:$C,$C22)))</f>
        <v>0</v>
      </c>
      <c r="M22" s="158">
        <f>+IF($A22="",IF($C22="",SUMIFS(全伝票!P:P,全伝票!$B:$B,$B22),SUMIFS(全伝票!P:P,全伝票!$C:$C,$C22)),IF($C22="",SUMIFS(全伝票!P:P,全伝票!$A:$A,$A22,全伝票!$B:$B,$B22),SUMIFS(全伝票!P:P,全伝票!$A:$A,$A22,全伝票!$C:$C,$C22)))</f>
        <v>0</v>
      </c>
      <c r="N22" s="108">
        <f t="shared" si="1"/>
        <v>0</v>
      </c>
      <c r="O22" s="25">
        <f t="shared" si="2"/>
        <v>0</v>
      </c>
      <c r="P22" s="25">
        <f t="shared" si="3"/>
        <v>0</v>
      </c>
      <c r="Q22" s="25">
        <f t="shared" si="3"/>
        <v>0</v>
      </c>
      <c r="R22" s="157">
        <f t="shared" si="4"/>
        <v>0</v>
      </c>
      <c r="S22" s="22">
        <f t="shared" si="5"/>
        <v>0</v>
      </c>
      <c r="T22" s="109">
        <f t="shared" si="6"/>
        <v>0</v>
      </c>
      <c r="U22" s="107">
        <f t="shared" si="7"/>
        <v>0</v>
      </c>
      <c r="V22" s="107">
        <f t="shared" si="8"/>
        <v>0</v>
      </c>
      <c r="W22" s="107">
        <f t="shared" si="9"/>
        <v>0</v>
      </c>
      <c r="X22" s="107">
        <f t="shared" si="9"/>
        <v>0</v>
      </c>
      <c r="Y22" s="107">
        <f t="shared" si="10"/>
        <v>0</v>
      </c>
      <c r="Z22" s="106">
        <f t="shared" si="11"/>
        <v>0</v>
      </c>
      <c r="AA22" s="106">
        <f t="shared" si="12"/>
        <v>0</v>
      </c>
      <c r="AB22" s="106">
        <f t="shared" si="13"/>
        <v>0</v>
      </c>
      <c r="AC22" s="106">
        <f t="shared" si="13"/>
        <v>0</v>
      </c>
      <c r="AD22" s="106">
        <f t="shared" si="14"/>
        <v>0</v>
      </c>
    </row>
    <row r="23" spans="1:30">
      <c r="A23" s="165"/>
      <c r="B23" s="164">
        <v>6155175</v>
      </c>
      <c r="C23" s="163">
        <v>615517583</v>
      </c>
      <c r="D23" s="162" t="s">
        <v>75</v>
      </c>
      <c r="E23" s="158">
        <f>+IF($A23="",IF($C23="",SUMIFS(全伝票!I:I,全伝票!$B:$B,$B23),SUMIFS(全伝票!I:I,全伝票!$C:$C,$C23)),IF($C23="",SUMIFS(全伝票!I:I,全伝票!$A:$A,$A23,全伝票!$B:$B,$B23),SUMIFS(全伝票!I:I,全伝票!$A:$A,$A23,全伝票!$C:$C,$C23)))</f>
        <v>0</v>
      </c>
      <c r="F23" s="161">
        <f>+IF($A23="",IF($C23="",SUMIFS(全伝票!J:J,全伝票!$B:$B,$B23),SUMIFS(全伝票!J:J,全伝票!$C:$C,$C23)),IF($C23="",SUMIFS(全伝票!J:J,全伝票!$A:$A,$A23,全伝票!$B:$B,$B23),SUMIFS(全伝票!J:J,全伝票!$A:$A,$A23,全伝票!$C:$C,$C23)))</f>
        <v>0</v>
      </c>
      <c r="G23" s="160">
        <f>+IF($A23="",IF($C23="",SUMIFS(全伝票!K:K,全伝票!$B:$B,$B23),SUMIFS(全伝票!K:K,全伝票!$C:$C,$C23)),IF($C23="",SUMIFS(全伝票!K:K,全伝票!$A:$A,$A23,全伝票!$B:$B,$B23),SUMIFS(全伝票!K:K,全伝票!$A:$A,$A23,全伝票!$C:$C,$C23)))</f>
        <v>0</v>
      </c>
      <c r="H23" s="160">
        <f>+IF($A23="",IF($C23="",SUMIFS(全伝票!L:L,全伝票!$B:$B,$B23),SUMIFS(全伝票!L:L,全伝票!$C:$C,$C23)),IF($C23="",SUMIFS(全伝票!L:L,全伝票!$A:$A,$A23,全伝票!$B:$B,$B23),SUMIFS(全伝票!L:L,全伝票!$A:$A,$A23,全伝票!$C:$C,$C23)))</f>
        <v>0</v>
      </c>
      <c r="I23" s="160">
        <f>+IF($A23="",IF($C23="",SUMIFS(全伝票!M:M,全伝票!$B:$B,$B23),SUMIFS(全伝票!M:M,全伝票!$C:$C,$C23)),IF($C23="",SUMIFS(全伝票!M:M,全伝票!$A:$A,$A23,全伝票!$B:$B,$B23),SUMIFS(全伝票!M:M,全伝票!$A:$A,$A23,全伝票!$C:$C,$C23)))</f>
        <v>0</v>
      </c>
      <c r="J23" s="159">
        <f>+IF($A23="",IF($C23="",SUMIFS(全伝票!N:N,全伝票!$B:$B,$B23),SUMIFS(全伝票!N:N,全伝票!$C:$C,$C23)),IF($C23="",SUMIFS(全伝票!N:N,全伝票!$A:$A,$A23,全伝票!$B:$B,$B23),SUMIFS(全伝票!N:N,全伝票!$A:$A,$A23,全伝票!$C:$C,$C23)))</f>
        <v>0</v>
      </c>
      <c r="K23" s="34">
        <f t="shared" si="0"/>
        <v>0</v>
      </c>
      <c r="L23" s="158">
        <f>+IF($A23="",IF($C23="",SUMIFS(全伝票!O:O,全伝票!$B:$B,$B23),SUMIFS(全伝票!O:O,全伝票!$C:$C,$C23)),IF($C23="",SUMIFS(全伝票!O:O,全伝票!$A:$A,$A23,全伝票!$B:$B,$B23),SUMIFS(全伝票!O:O,全伝票!$A:$A,$A23,全伝票!$C:$C,$C23)))</f>
        <v>0</v>
      </c>
      <c r="M23" s="158">
        <f>+IF($A23="",IF($C23="",SUMIFS(全伝票!P:P,全伝票!$B:$B,$B23),SUMIFS(全伝票!P:P,全伝票!$C:$C,$C23)),IF($C23="",SUMIFS(全伝票!P:P,全伝票!$A:$A,$A23,全伝票!$B:$B,$B23),SUMIFS(全伝票!P:P,全伝票!$A:$A,$A23,全伝票!$C:$C,$C23)))</f>
        <v>0</v>
      </c>
      <c r="N23" s="108">
        <f t="shared" si="1"/>
        <v>0</v>
      </c>
      <c r="O23" s="25">
        <f t="shared" si="2"/>
        <v>0</v>
      </c>
      <c r="P23" s="25">
        <f t="shared" si="3"/>
        <v>0</v>
      </c>
      <c r="Q23" s="25">
        <f t="shared" si="3"/>
        <v>0</v>
      </c>
      <c r="R23" s="157">
        <f t="shared" si="4"/>
        <v>0</v>
      </c>
      <c r="S23" s="22">
        <f t="shared" si="5"/>
        <v>0</v>
      </c>
      <c r="T23" s="109">
        <f t="shared" si="6"/>
        <v>0</v>
      </c>
      <c r="U23" s="107">
        <f t="shared" si="7"/>
        <v>0</v>
      </c>
      <c r="V23" s="107">
        <f t="shared" si="8"/>
        <v>0</v>
      </c>
      <c r="W23" s="107">
        <f t="shared" si="9"/>
        <v>0</v>
      </c>
      <c r="X23" s="107">
        <f t="shared" si="9"/>
        <v>0</v>
      </c>
      <c r="Y23" s="107">
        <f t="shared" si="10"/>
        <v>0</v>
      </c>
      <c r="Z23" s="106">
        <f t="shared" si="11"/>
        <v>0</v>
      </c>
      <c r="AA23" s="106">
        <f t="shared" si="12"/>
        <v>0</v>
      </c>
      <c r="AB23" s="106">
        <f t="shared" si="13"/>
        <v>0</v>
      </c>
      <c r="AC23" s="106">
        <f t="shared" si="13"/>
        <v>0</v>
      </c>
      <c r="AD23" s="106">
        <f t="shared" si="14"/>
        <v>0</v>
      </c>
    </row>
    <row r="24" spans="1:30">
      <c r="A24" s="165"/>
      <c r="B24" s="164"/>
      <c r="C24" s="163"/>
      <c r="D24" s="162"/>
      <c r="E24" s="158">
        <f>+IF($A24="",IF($C24="",SUMIFS(全伝票!I:I,全伝票!$B:$B,$B24),SUMIFS(全伝票!I:I,全伝票!$C:$C,$C24)),IF($C24="",SUMIFS(全伝票!I:I,全伝票!$A:$A,$A24,全伝票!$B:$B,$B24),SUMIFS(全伝票!I:I,全伝票!$A:$A,$A24,全伝票!$C:$C,$C24)))</f>
        <v>0</v>
      </c>
      <c r="F24" s="161">
        <f>+IF($A24="",IF($C24="",SUMIFS(全伝票!J:J,全伝票!$B:$B,$B24),SUMIFS(全伝票!J:J,全伝票!$C:$C,$C24)),IF($C24="",SUMIFS(全伝票!J:J,全伝票!$A:$A,$A24,全伝票!$B:$B,$B24),SUMIFS(全伝票!J:J,全伝票!$A:$A,$A24,全伝票!$C:$C,$C24)))</f>
        <v>0</v>
      </c>
      <c r="G24" s="160">
        <f>+IF($A24="",IF($C24="",SUMIFS(全伝票!K:K,全伝票!$B:$B,$B24),SUMIFS(全伝票!K:K,全伝票!$C:$C,$C24)),IF($C24="",SUMIFS(全伝票!K:K,全伝票!$A:$A,$A24,全伝票!$B:$B,$B24),SUMIFS(全伝票!K:K,全伝票!$A:$A,$A24,全伝票!$C:$C,$C24)))</f>
        <v>0</v>
      </c>
      <c r="H24" s="160">
        <f>+IF($A24="",IF($C24="",SUMIFS(全伝票!L:L,全伝票!$B:$B,$B24),SUMIFS(全伝票!L:L,全伝票!$C:$C,$C24)),IF($C24="",SUMIFS(全伝票!L:L,全伝票!$A:$A,$A24,全伝票!$B:$B,$B24),SUMIFS(全伝票!L:L,全伝票!$A:$A,$A24,全伝票!$C:$C,$C24)))</f>
        <v>0</v>
      </c>
      <c r="I24" s="160">
        <f>+IF($A24="",IF($C24="",SUMIFS(全伝票!M:M,全伝票!$B:$B,$B24),SUMIFS(全伝票!M:M,全伝票!$C:$C,$C24)),IF($C24="",SUMIFS(全伝票!M:M,全伝票!$A:$A,$A24,全伝票!$B:$B,$B24),SUMIFS(全伝票!M:M,全伝票!$A:$A,$A24,全伝票!$C:$C,$C24)))</f>
        <v>0</v>
      </c>
      <c r="J24" s="159">
        <f>+IF($A24="",IF($C24="",SUMIFS(全伝票!N:N,全伝票!$B:$B,$B24),SUMIFS(全伝票!N:N,全伝票!$C:$C,$C24)),IF($C24="",SUMIFS(全伝票!N:N,全伝票!$A:$A,$A24,全伝票!$B:$B,$B24),SUMIFS(全伝票!N:N,全伝票!$A:$A,$A24,全伝票!$C:$C,$C24)))</f>
        <v>0</v>
      </c>
      <c r="K24" s="34">
        <f t="shared" si="0"/>
        <v>0</v>
      </c>
      <c r="L24" s="158">
        <f>+IF($A24="",IF($C24="",SUMIFS(全伝票!O:O,全伝票!$B:$B,$B24),SUMIFS(全伝票!O:O,全伝票!$C:$C,$C24)),IF($C24="",SUMIFS(全伝票!O:O,全伝票!$A:$A,$A24,全伝票!$B:$B,$B24),SUMIFS(全伝票!O:O,全伝票!$A:$A,$A24,全伝票!$C:$C,$C24)))</f>
        <v>0</v>
      </c>
      <c r="M24" s="158">
        <f>+IF($A24="",IF($C24="",SUMIFS(全伝票!P:P,全伝票!$B:$B,$B24),SUMIFS(全伝票!P:P,全伝票!$C:$C,$C24)),IF($C24="",SUMIFS(全伝票!P:P,全伝票!$A:$A,$A24,全伝票!$B:$B,$B24),SUMIFS(全伝票!P:P,全伝票!$A:$A,$A24,全伝票!$C:$C,$C24)))</f>
        <v>0</v>
      </c>
      <c r="N24" s="108">
        <f t="shared" si="1"/>
        <v>0</v>
      </c>
      <c r="O24" s="25">
        <f t="shared" si="2"/>
        <v>0</v>
      </c>
      <c r="P24" s="25">
        <f t="shared" si="3"/>
        <v>0</v>
      </c>
      <c r="Q24" s="25">
        <f t="shared" si="3"/>
        <v>0</v>
      </c>
      <c r="R24" s="157">
        <f t="shared" si="4"/>
        <v>0</v>
      </c>
      <c r="S24" s="22">
        <f t="shared" si="5"/>
        <v>0</v>
      </c>
      <c r="T24" s="109">
        <f t="shared" si="6"/>
        <v>0</v>
      </c>
      <c r="U24" s="107">
        <f t="shared" si="7"/>
        <v>0</v>
      </c>
      <c r="V24" s="107">
        <f t="shared" si="8"/>
        <v>0</v>
      </c>
      <c r="W24" s="107">
        <f t="shared" si="9"/>
        <v>0</v>
      </c>
      <c r="X24" s="107">
        <f t="shared" si="9"/>
        <v>0</v>
      </c>
      <c r="Y24" s="107">
        <f t="shared" si="10"/>
        <v>0</v>
      </c>
      <c r="Z24" s="106">
        <f t="shared" si="11"/>
        <v>0</v>
      </c>
      <c r="AA24" s="106">
        <f t="shared" si="12"/>
        <v>0</v>
      </c>
      <c r="AB24" s="106">
        <f t="shared" si="13"/>
        <v>0</v>
      </c>
      <c r="AC24" s="106">
        <f t="shared" si="13"/>
        <v>0</v>
      </c>
      <c r="AD24" s="106">
        <f t="shared" si="14"/>
        <v>0</v>
      </c>
    </row>
    <row r="25" spans="1:30">
      <c r="A25" s="165"/>
      <c r="B25" s="164"/>
      <c r="C25" s="163"/>
      <c r="D25" s="162"/>
      <c r="E25" s="158">
        <f>+IF($A25="",IF($C25="",SUMIFS(全伝票!I:I,全伝票!$B:$B,$B25),SUMIFS(全伝票!I:I,全伝票!$C:$C,$C25)),IF($C25="",SUMIFS(全伝票!I:I,全伝票!$A:$A,$A25,全伝票!$B:$B,$B25),SUMIFS(全伝票!I:I,全伝票!$A:$A,$A25,全伝票!$C:$C,$C25)))</f>
        <v>0</v>
      </c>
      <c r="F25" s="161">
        <f>+IF($A25="",IF($C25="",SUMIFS(全伝票!J:J,全伝票!$B:$B,$B25),SUMIFS(全伝票!J:J,全伝票!$C:$C,$C25)),IF($C25="",SUMIFS(全伝票!J:J,全伝票!$A:$A,$A25,全伝票!$B:$B,$B25),SUMIFS(全伝票!J:J,全伝票!$A:$A,$A25,全伝票!$C:$C,$C25)))</f>
        <v>0</v>
      </c>
      <c r="G25" s="160">
        <f>+IF($A25="",IF($C25="",SUMIFS(全伝票!K:K,全伝票!$B:$B,$B25),SUMIFS(全伝票!K:K,全伝票!$C:$C,$C25)),IF($C25="",SUMIFS(全伝票!K:K,全伝票!$A:$A,$A25,全伝票!$B:$B,$B25),SUMIFS(全伝票!K:K,全伝票!$A:$A,$A25,全伝票!$C:$C,$C25)))</f>
        <v>0</v>
      </c>
      <c r="H25" s="160">
        <f>+IF($A25="",IF($C25="",SUMIFS(全伝票!L:L,全伝票!$B:$B,$B25),SUMIFS(全伝票!L:L,全伝票!$C:$C,$C25)),IF($C25="",SUMIFS(全伝票!L:L,全伝票!$A:$A,$A25,全伝票!$B:$B,$B25),SUMIFS(全伝票!L:L,全伝票!$A:$A,$A25,全伝票!$C:$C,$C25)))</f>
        <v>0</v>
      </c>
      <c r="I25" s="160">
        <f>+IF($A25="",IF($C25="",SUMIFS(全伝票!M:M,全伝票!$B:$B,$B25),SUMIFS(全伝票!M:M,全伝票!$C:$C,$C25)),IF($C25="",SUMIFS(全伝票!M:M,全伝票!$A:$A,$A25,全伝票!$B:$B,$B25),SUMIFS(全伝票!M:M,全伝票!$A:$A,$A25,全伝票!$C:$C,$C25)))</f>
        <v>0</v>
      </c>
      <c r="J25" s="159">
        <f>+IF($A25="",IF($C25="",SUMIFS(全伝票!N:N,全伝票!$B:$B,$B25),SUMIFS(全伝票!N:N,全伝票!$C:$C,$C25)),IF($C25="",SUMIFS(全伝票!N:N,全伝票!$A:$A,$A25,全伝票!$B:$B,$B25),SUMIFS(全伝票!N:N,全伝票!$A:$A,$A25,全伝票!$C:$C,$C25)))</f>
        <v>0</v>
      </c>
      <c r="K25" s="34">
        <f t="shared" si="0"/>
        <v>0</v>
      </c>
      <c r="L25" s="158">
        <f>+IF($A25="",IF($C25="",SUMIFS(全伝票!O:O,全伝票!$B:$B,$B25),SUMIFS(全伝票!O:O,全伝票!$C:$C,$C25)),IF($C25="",SUMIFS(全伝票!O:O,全伝票!$A:$A,$A25,全伝票!$B:$B,$B25),SUMIFS(全伝票!O:O,全伝票!$A:$A,$A25,全伝票!$C:$C,$C25)))</f>
        <v>0</v>
      </c>
      <c r="M25" s="158">
        <f>+IF($A25="",IF($C25="",SUMIFS(全伝票!P:P,全伝票!$B:$B,$B25),SUMIFS(全伝票!P:P,全伝票!$C:$C,$C25)),IF($C25="",SUMIFS(全伝票!P:P,全伝票!$A:$A,$A25,全伝票!$B:$B,$B25),SUMIFS(全伝票!P:P,全伝票!$A:$A,$A25,全伝票!$C:$C,$C25)))</f>
        <v>0</v>
      </c>
      <c r="N25" s="108">
        <f t="shared" si="1"/>
        <v>0</v>
      </c>
      <c r="O25" s="25">
        <f t="shared" si="2"/>
        <v>0</v>
      </c>
      <c r="P25" s="25">
        <f t="shared" si="3"/>
        <v>0</v>
      </c>
      <c r="Q25" s="25">
        <f t="shared" si="3"/>
        <v>0</v>
      </c>
      <c r="R25" s="157">
        <f t="shared" si="4"/>
        <v>0</v>
      </c>
      <c r="S25" s="22">
        <f t="shared" si="5"/>
        <v>0</v>
      </c>
      <c r="T25" s="109">
        <f t="shared" si="6"/>
        <v>0</v>
      </c>
      <c r="U25" s="107">
        <f t="shared" si="7"/>
        <v>0</v>
      </c>
      <c r="V25" s="107">
        <f t="shared" si="8"/>
        <v>0</v>
      </c>
      <c r="W25" s="107">
        <f t="shared" si="9"/>
        <v>0</v>
      </c>
      <c r="X25" s="107">
        <f t="shared" si="9"/>
        <v>0</v>
      </c>
      <c r="Y25" s="107">
        <f t="shared" si="10"/>
        <v>0</v>
      </c>
      <c r="Z25" s="106">
        <f t="shared" si="11"/>
        <v>0</v>
      </c>
      <c r="AA25" s="106">
        <f t="shared" si="12"/>
        <v>0</v>
      </c>
      <c r="AB25" s="106">
        <f t="shared" si="13"/>
        <v>0</v>
      </c>
      <c r="AC25" s="106">
        <f t="shared" si="13"/>
        <v>0</v>
      </c>
      <c r="AD25" s="106">
        <f t="shared" si="14"/>
        <v>0</v>
      </c>
    </row>
    <row r="26" spans="1:30">
      <c r="A26" s="165"/>
      <c r="B26" s="164"/>
      <c r="C26" s="163"/>
      <c r="D26" s="162"/>
      <c r="E26" s="158">
        <f>+IF($A26="",IF($C26="",SUMIFS(全伝票!I:I,全伝票!$B:$B,$B26),SUMIFS(全伝票!I:I,全伝票!$C:$C,$C26)),IF($C26="",SUMIFS(全伝票!I:I,全伝票!$A:$A,$A26,全伝票!$B:$B,$B26),SUMIFS(全伝票!I:I,全伝票!$A:$A,$A26,全伝票!$C:$C,$C26)))</f>
        <v>0</v>
      </c>
      <c r="F26" s="161">
        <f>+IF($A26="",IF($C26="",SUMIFS(全伝票!J:J,全伝票!$B:$B,$B26),SUMIFS(全伝票!J:J,全伝票!$C:$C,$C26)),IF($C26="",SUMIFS(全伝票!J:J,全伝票!$A:$A,$A26,全伝票!$B:$B,$B26),SUMIFS(全伝票!J:J,全伝票!$A:$A,$A26,全伝票!$C:$C,$C26)))</f>
        <v>0</v>
      </c>
      <c r="G26" s="160">
        <f>+IF($A26="",IF($C26="",SUMIFS(全伝票!K:K,全伝票!$B:$B,$B26),SUMIFS(全伝票!K:K,全伝票!$C:$C,$C26)),IF($C26="",SUMIFS(全伝票!K:K,全伝票!$A:$A,$A26,全伝票!$B:$B,$B26),SUMIFS(全伝票!K:K,全伝票!$A:$A,$A26,全伝票!$C:$C,$C26)))</f>
        <v>0</v>
      </c>
      <c r="H26" s="160">
        <f>+IF($A26="",IF($C26="",SUMIFS(全伝票!L:L,全伝票!$B:$B,$B26),SUMIFS(全伝票!L:L,全伝票!$C:$C,$C26)),IF($C26="",SUMIFS(全伝票!L:L,全伝票!$A:$A,$A26,全伝票!$B:$B,$B26),SUMIFS(全伝票!L:L,全伝票!$A:$A,$A26,全伝票!$C:$C,$C26)))</f>
        <v>0</v>
      </c>
      <c r="I26" s="160">
        <f>+IF($A26="",IF($C26="",SUMIFS(全伝票!M:M,全伝票!$B:$B,$B26),SUMIFS(全伝票!M:M,全伝票!$C:$C,$C26)),IF($C26="",SUMIFS(全伝票!M:M,全伝票!$A:$A,$A26,全伝票!$B:$B,$B26),SUMIFS(全伝票!M:M,全伝票!$A:$A,$A26,全伝票!$C:$C,$C26)))</f>
        <v>0</v>
      </c>
      <c r="J26" s="159">
        <f>+IF($A26="",IF($C26="",SUMIFS(全伝票!N:N,全伝票!$B:$B,$B26),SUMIFS(全伝票!N:N,全伝票!$C:$C,$C26)),IF($C26="",SUMIFS(全伝票!N:N,全伝票!$A:$A,$A26,全伝票!$B:$B,$B26),SUMIFS(全伝票!N:N,全伝票!$A:$A,$A26,全伝票!$C:$C,$C26)))</f>
        <v>0</v>
      </c>
      <c r="K26" s="34">
        <f t="shared" si="0"/>
        <v>0</v>
      </c>
      <c r="L26" s="158">
        <f>+IF($A26="",IF($C26="",SUMIFS(全伝票!O:O,全伝票!$B:$B,$B26),SUMIFS(全伝票!O:O,全伝票!$C:$C,$C26)),IF($C26="",SUMIFS(全伝票!O:O,全伝票!$A:$A,$A26,全伝票!$B:$B,$B26),SUMIFS(全伝票!O:O,全伝票!$A:$A,$A26,全伝票!$C:$C,$C26)))</f>
        <v>0</v>
      </c>
      <c r="M26" s="158">
        <f>+IF($A26="",IF($C26="",SUMIFS(全伝票!P:P,全伝票!$B:$B,$B26),SUMIFS(全伝票!P:P,全伝票!$C:$C,$C26)),IF($C26="",SUMIFS(全伝票!P:P,全伝票!$A:$A,$A26,全伝票!$B:$B,$B26),SUMIFS(全伝票!P:P,全伝票!$A:$A,$A26,全伝票!$C:$C,$C26)))</f>
        <v>0</v>
      </c>
      <c r="N26" s="108">
        <f t="shared" si="1"/>
        <v>0</v>
      </c>
      <c r="O26" s="25">
        <f t="shared" si="2"/>
        <v>0</v>
      </c>
      <c r="P26" s="25">
        <f t="shared" si="3"/>
        <v>0</v>
      </c>
      <c r="Q26" s="25">
        <f t="shared" si="3"/>
        <v>0</v>
      </c>
      <c r="R26" s="157">
        <f t="shared" si="4"/>
        <v>0</v>
      </c>
      <c r="S26" s="22">
        <f t="shared" si="5"/>
        <v>0</v>
      </c>
      <c r="T26" s="109">
        <f t="shared" si="6"/>
        <v>0</v>
      </c>
      <c r="U26" s="107">
        <f t="shared" si="7"/>
        <v>0</v>
      </c>
      <c r="V26" s="107">
        <f t="shared" si="8"/>
        <v>0</v>
      </c>
      <c r="W26" s="107">
        <f t="shared" si="9"/>
        <v>0</v>
      </c>
      <c r="X26" s="107">
        <f t="shared" si="9"/>
        <v>0</v>
      </c>
      <c r="Y26" s="107">
        <f t="shared" si="10"/>
        <v>0</v>
      </c>
      <c r="Z26" s="106">
        <f t="shared" si="11"/>
        <v>0</v>
      </c>
      <c r="AA26" s="106">
        <f t="shared" si="12"/>
        <v>0</v>
      </c>
      <c r="AB26" s="106">
        <f t="shared" si="13"/>
        <v>0</v>
      </c>
      <c r="AC26" s="106">
        <f t="shared" si="13"/>
        <v>0</v>
      </c>
      <c r="AD26" s="106">
        <f t="shared" si="14"/>
        <v>0</v>
      </c>
    </row>
    <row r="27" spans="1:30">
      <c r="A27" s="165"/>
      <c r="B27" s="164"/>
      <c r="C27" s="163"/>
      <c r="D27" s="162"/>
      <c r="E27" s="158">
        <f>+IF($A27="",IF($C27="",SUMIFS(全伝票!I:I,全伝票!$B:$B,$B27),SUMIFS(全伝票!I:I,全伝票!$C:$C,$C27)),IF($C27="",SUMIFS(全伝票!I:I,全伝票!$A:$A,$A27,全伝票!$B:$B,$B27),SUMIFS(全伝票!I:I,全伝票!$A:$A,$A27,全伝票!$C:$C,$C27)))</f>
        <v>0</v>
      </c>
      <c r="F27" s="161">
        <f>+IF($A27="",IF($C27="",SUMIFS(全伝票!J:J,全伝票!$B:$B,$B27),SUMIFS(全伝票!J:J,全伝票!$C:$C,$C27)),IF($C27="",SUMIFS(全伝票!J:J,全伝票!$A:$A,$A27,全伝票!$B:$B,$B27),SUMIFS(全伝票!J:J,全伝票!$A:$A,$A27,全伝票!$C:$C,$C27)))</f>
        <v>0</v>
      </c>
      <c r="G27" s="160">
        <f>+IF($A27="",IF($C27="",SUMIFS(全伝票!K:K,全伝票!$B:$B,$B27),SUMIFS(全伝票!K:K,全伝票!$C:$C,$C27)),IF($C27="",SUMIFS(全伝票!K:K,全伝票!$A:$A,$A27,全伝票!$B:$B,$B27),SUMIFS(全伝票!K:K,全伝票!$A:$A,$A27,全伝票!$C:$C,$C27)))</f>
        <v>0</v>
      </c>
      <c r="H27" s="160">
        <f>+IF($A27="",IF($C27="",SUMIFS(全伝票!L:L,全伝票!$B:$B,$B27),SUMIFS(全伝票!L:L,全伝票!$C:$C,$C27)),IF($C27="",SUMIFS(全伝票!L:L,全伝票!$A:$A,$A27,全伝票!$B:$B,$B27),SUMIFS(全伝票!L:L,全伝票!$A:$A,$A27,全伝票!$C:$C,$C27)))</f>
        <v>0</v>
      </c>
      <c r="I27" s="160">
        <f>+IF($A27="",IF($C27="",SUMIFS(全伝票!M:M,全伝票!$B:$B,$B27),SUMIFS(全伝票!M:M,全伝票!$C:$C,$C27)),IF($C27="",SUMIFS(全伝票!M:M,全伝票!$A:$A,$A27,全伝票!$B:$B,$B27),SUMIFS(全伝票!M:M,全伝票!$A:$A,$A27,全伝票!$C:$C,$C27)))</f>
        <v>0</v>
      </c>
      <c r="J27" s="159">
        <f>+IF($A27="",IF($C27="",SUMIFS(全伝票!N:N,全伝票!$B:$B,$B27),SUMIFS(全伝票!N:N,全伝票!$C:$C,$C27)),IF($C27="",SUMIFS(全伝票!N:N,全伝票!$A:$A,$A27,全伝票!$B:$B,$B27),SUMIFS(全伝票!N:N,全伝票!$A:$A,$A27,全伝票!$C:$C,$C27)))</f>
        <v>0</v>
      </c>
      <c r="K27" s="34">
        <f t="shared" si="0"/>
        <v>0</v>
      </c>
      <c r="L27" s="158">
        <f>+IF($A27="",IF($C27="",SUMIFS(全伝票!O:O,全伝票!$B:$B,$B27),SUMIFS(全伝票!O:O,全伝票!$C:$C,$C27)),IF($C27="",SUMIFS(全伝票!O:O,全伝票!$A:$A,$A27,全伝票!$B:$B,$B27),SUMIFS(全伝票!O:O,全伝票!$A:$A,$A27,全伝票!$C:$C,$C27)))</f>
        <v>0</v>
      </c>
      <c r="M27" s="158">
        <f>+IF($A27="",IF($C27="",SUMIFS(全伝票!P:P,全伝票!$B:$B,$B27),SUMIFS(全伝票!P:P,全伝票!$C:$C,$C27)),IF($C27="",SUMIFS(全伝票!P:P,全伝票!$A:$A,$A27,全伝票!$B:$B,$B27),SUMIFS(全伝票!P:P,全伝票!$A:$A,$A27,全伝票!$C:$C,$C27)))</f>
        <v>0</v>
      </c>
      <c r="N27" s="108">
        <f t="shared" si="1"/>
        <v>0</v>
      </c>
      <c r="O27" s="25">
        <f t="shared" si="2"/>
        <v>0</v>
      </c>
      <c r="P27" s="25">
        <f t="shared" si="3"/>
        <v>0</v>
      </c>
      <c r="Q27" s="25">
        <f t="shared" si="3"/>
        <v>0</v>
      </c>
      <c r="R27" s="157">
        <f t="shared" si="4"/>
        <v>0</v>
      </c>
      <c r="S27" s="22">
        <f t="shared" si="5"/>
        <v>0</v>
      </c>
      <c r="T27" s="109">
        <f t="shared" si="6"/>
        <v>0</v>
      </c>
      <c r="U27" s="107">
        <f t="shared" si="7"/>
        <v>0</v>
      </c>
      <c r="V27" s="107">
        <f t="shared" si="8"/>
        <v>0</v>
      </c>
      <c r="W27" s="107">
        <f t="shared" si="9"/>
        <v>0</v>
      </c>
      <c r="X27" s="107">
        <f t="shared" si="9"/>
        <v>0</v>
      </c>
      <c r="Y27" s="107">
        <f t="shared" si="10"/>
        <v>0</v>
      </c>
      <c r="Z27" s="106">
        <f t="shared" si="11"/>
        <v>0</v>
      </c>
      <c r="AA27" s="106">
        <f t="shared" si="12"/>
        <v>0</v>
      </c>
      <c r="AB27" s="106">
        <f t="shared" si="13"/>
        <v>0</v>
      </c>
      <c r="AC27" s="106">
        <f t="shared" si="13"/>
        <v>0</v>
      </c>
      <c r="AD27" s="106">
        <f t="shared" si="14"/>
        <v>0</v>
      </c>
    </row>
    <row r="28" spans="1:30">
      <c r="A28" s="165"/>
      <c r="B28" s="164"/>
      <c r="C28" s="163"/>
      <c r="D28" s="162"/>
      <c r="E28" s="158">
        <f>+IF($A28="",IF($C28="",SUMIFS(全伝票!I:I,全伝票!$B:$B,$B28),SUMIFS(全伝票!I:I,全伝票!$C:$C,$C28)),IF($C28="",SUMIFS(全伝票!I:I,全伝票!$A:$A,$A28,全伝票!$B:$B,$B28),SUMIFS(全伝票!I:I,全伝票!$A:$A,$A28,全伝票!$C:$C,$C28)))</f>
        <v>0</v>
      </c>
      <c r="F28" s="161">
        <f>+IF($A28="",IF($C28="",SUMIFS(全伝票!J:J,全伝票!$B:$B,$B28),SUMIFS(全伝票!J:J,全伝票!$C:$C,$C28)),IF($C28="",SUMIFS(全伝票!J:J,全伝票!$A:$A,$A28,全伝票!$B:$B,$B28),SUMIFS(全伝票!J:J,全伝票!$A:$A,$A28,全伝票!$C:$C,$C28)))</f>
        <v>0</v>
      </c>
      <c r="G28" s="160">
        <f>+IF($A28="",IF($C28="",SUMIFS(全伝票!K:K,全伝票!$B:$B,$B28),SUMIFS(全伝票!K:K,全伝票!$C:$C,$C28)),IF($C28="",SUMIFS(全伝票!K:K,全伝票!$A:$A,$A28,全伝票!$B:$B,$B28),SUMIFS(全伝票!K:K,全伝票!$A:$A,$A28,全伝票!$C:$C,$C28)))</f>
        <v>0</v>
      </c>
      <c r="H28" s="160">
        <f>+IF($A28="",IF($C28="",SUMIFS(全伝票!L:L,全伝票!$B:$B,$B28),SUMIFS(全伝票!L:L,全伝票!$C:$C,$C28)),IF($C28="",SUMIFS(全伝票!L:L,全伝票!$A:$A,$A28,全伝票!$B:$B,$B28),SUMIFS(全伝票!L:L,全伝票!$A:$A,$A28,全伝票!$C:$C,$C28)))</f>
        <v>0</v>
      </c>
      <c r="I28" s="160">
        <f>+IF($A28="",IF($C28="",SUMIFS(全伝票!M:M,全伝票!$B:$B,$B28),SUMIFS(全伝票!M:M,全伝票!$C:$C,$C28)),IF($C28="",SUMIFS(全伝票!M:M,全伝票!$A:$A,$A28,全伝票!$B:$B,$B28),SUMIFS(全伝票!M:M,全伝票!$A:$A,$A28,全伝票!$C:$C,$C28)))</f>
        <v>0</v>
      </c>
      <c r="J28" s="159">
        <f>+IF($A28="",IF($C28="",SUMIFS(全伝票!N:N,全伝票!$B:$B,$B28),SUMIFS(全伝票!N:N,全伝票!$C:$C,$C28)),IF($C28="",SUMIFS(全伝票!N:N,全伝票!$A:$A,$A28,全伝票!$B:$B,$B28),SUMIFS(全伝票!N:N,全伝票!$A:$A,$A28,全伝票!$C:$C,$C28)))</f>
        <v>0</v>
      </c>
      <c r="K28" s="34">
        <f t="shared" si="0"/>
        <v>0</v>
      </c>
      <c r="L28" s="158">
        <f>+IF($A28="",IF($C28="",SUMIFS(全伝票!O:O,全伝票!$B:$B,$B28),SUMIFS(全伝票!O:O,全伝票!$C:$C,$C28)),IF($C28="",SUMIFS(全伝票!O:O,全伝票!$A:$A,$A28,全伝票!$B:$B,$B28),SUMIFS(全伝票!O:O,全伝票!$A:$A,$A28,全伝票!$C:$C,$C28)))</f>
        <v>0</v>
      </c>
      <c r="M28" s="158">
        <f>+IF($A28="",IF($C28="",SUMIFS(全伝票!P:P,全伝票!$B:$B,$B28),SUMIFS(全伝票!P:P,全伝票!$C:$C,$C28)),IF($C28="",SUMIFS(全伝票!P:P,全伝票!$A:$A,$A28,全伝票!$B:$B,$B28),SUMIFS(全伝票!P:P,全伝票!$A:$A,$A28,全伝票!$C:$C,$C28)))</f>
        <v>0</v>
      </c>
      <c r="N28" s="108">
        <f t="shared" si="1"/>
        <v>0</v>
      </c>
      <c r="O28" s="25">
        <f t="shared" si="2"/>
        <v>0</v>
      </c>
      <c r="P28" s="25">
        <f t="shared" si="3"/>
        <v>0</v>
      </c>
      <c r="Q28" s="25">
        <f t="shared" si="3"/>
        <v>0</v>
      </c>
      <c r="R28" s="157">
        <f t="shared" si="4"/>
        <v>0</v>
      </c>
      <c r="S28" s="22">
        <f t="shared" si="5"/>
        <v>0</v>
      </c>
      <c r="T28" s="109">
        <f t="shared" si="6"/>
        <v>0</v>
      </c>
      <c r="U28" s="107">
        <f t="shared" si="7"/>
        <v>0</v>
      </c>
      <c r="V28" s="107">
        <f t="shared" si="8"/>
        <v>0</v>
      </c>
      <c r="W28" s="107">
        <f t="shared" si="9"/>
        <v>0</v>
      </c>
      <c r="X28" s="107">
        <f t="shared" si="9"/>
        <v>0</v>
      </c>
      <c r="Y28" s="107">
        <f t="shared" si="10"/>
        <v>0</v>
      </c>
      <c r="Z28" s="106">
        <f t="shared" si="11"/>
        <v>0</v>
      </c>
      <c r="AA28" s="106">
        <f t="shared" si="12"/>
        <v>0</v>
      </c>
      <c r="AB28" s="106">
        <f t="shared" si="13"/>
        <v>0</v>
      </c>
      <c r="AC28" s="106">
        <f t="shared" si="13"/>
        <v>0</v>
      </c>
      <c r="AD28" s="106">
        <f t="shared" si="14"/>
        <v>0</v>
      </c>
    </row>
    <row r="29" spans="1:30">
      <c r="A29" s="165"/>
      <c r="B29" s="164"/>
      <c r="C29" s="163"/>
      <c r="D29" s="162"/>
      <c r="E29" s="158">
        <f>+IF($A29="",IF($C29="",SUMIFS(全伝票!I:I,全伝票!$B:$B,$B29),SUMIFS(全伝票!I:I,全伝票!$C:$C,$C29)),IF($C29="",SUMIFS(全伝票!I:I,全伝票!$A:$A,$A29,全伝票!$B:$B,$B29),SUMIFS(全伝票!I:I,全伝票!$A:$A,$A29,全伝票!$C:$C,$C29)))</f>
        <v>0</v>
      </c>
      <c r="F29" s="161">
        <f>+IF($A29="",IF($C29="",SUMIFS(全伝票!J:J,全伝票!$B:$B,$B29),SUMIFS(全伝票!J:J,全伝票!$C:$C,$C29)),IF($C29="",SUMIFS(全伝票!J:J,全伝票!$A:$A,$A29,全伝票!$B:$B,$B29),SUMIFS(全伝票!J:J,全伝票!$A:$A,$A29,全伝票!$C:$C,$C29)))</f>
        <v>0</v>
      </c>
      <c r="G29" s="160">
        <f>+IF($A29="",IF($C29="",SUMIFS(全伝票!K:K,全伝票!$B:$B,$B29),SUMIFS(全伝票!K:K,全伝票!$C:$C,$C29)),IF($C29="",SUMIFS(全伝票!K:K,全伝票!$A:$A,$A29,全伝票!$B:$B,$B29),SUMIFS(全伝票!K:K,全伝票!$A:$A,$A29,全伝票!$C:$C,$C29)))</f>
        <v>0</v>
      </c>
      <c r="H29" s="160">
        <f>+IF($A29="",IF($C29="",SUMIFS(全伝票!L:L,全伝票!$B:$B,$B29),SUMIFS(全伝票!L:L,全伝票!$C:$C,$C29)),IF($C29="",SUMIFS(全伝票!L:L,全伝票!$A:$A,$A29,全伝票!$B:$B,$B29),SUMIFS(全伝票!L:L,全伝票!$A:$A,$A29,全伝票!$C:$C,$C29)))</f>
        <v>0</v>
      </c>
      <c r="I29" s="160">
        <f>+IF($A29="",IF($C29="",SUMIFS(全伝票!M:M,全伝票!$B:$B,$B29),SUMIFS(全伝票!M:M,全伝票!$C:$C,$C29)),IF($C29="",SUMIFS(全伝票!M:M,全伝票!$A:$A,$A29,全伝票!$B:$B,$B29),SUMIFS(全伝票!M:M,全伝票!$A:$A,$A29,全伝票!$C:$C,$C29)))</f>
        <v>0</v>
      </c>
      <c r="J29" s="159">
        <f>+IF($A29="",IF($C29="",SUMIFS(全伝票!N:N,全伝票!$B:$B,$B29),SUMIFS(全伝票!N:N,全伝票!$C:$C,$C29)),IF($C29="",SUMIFS(全伝票!N:N,全伝票!$A:$A,$A29,全伝票!$B:$B,$B29),SUMIFS(全伝票!N:N,全伝票!$A:$A,$A29,全伝票!$C:$C,$C29)))</f>
        <v>0</v>
      </c>
      <c r="K29" s="34">
        <f t="shared" si="0"/>
        <v>0</v>
      </c>
      <c r="L29" s="158">
        <f>+IF($A29="",IF($C29="",SUMIFS(全伝票!O:O,全伝票!$B:$B,$B29),SUMIFS(全伝票!O:O,全伝票!$C:$C,$C29)),IF($C29="",SUMIFS(全伝票!O:O,全伝票!$A:$A,$A29,全伝票!$B:$B,$B29),SUMIFS(全伝票!O:O,全伝票!$A:$A,$A29,全伝票!$C:$C,$C29)))</f>
        <v>0</v>
      </c>
      <c r="M29" s="158">
        <f>+IF($A29="",IF($C29="",SUMIFS(全伝票!P:P,全伝票!$B:$B,$B29),SUMIFS(全伝票!P:P,全伝票!$C:$C,$C29)),IF($C29="",SUMIFS(全伝票!P:P,全伝票!$A:$A,$A29,全伝票!$B:$B,$B29),SUMIFS(全伝票!P:P,全伝票!$A:$A,$A29,全伝票!$C:$C,$C29)))</f>
        <v>0</v>
      </c>
      <c r="N29" s="108">
        <f t="shared" si="1"/>
        <v>0</v>
      </c>
      <c r="O29" s="25">
        <f t="shared" si="2"/>
        <v>0</v>
      </c>
      <c r="P29" s="25">
        <f t="shared" si="3"/>
        <v>0</v>
      </c>
      <c r="Q29" s="25">
        <f t="shared" si="3"/>
        <v>0</v>
      </c>
      <c r="R29" s="157">
        <f t="shared" si="4"/>
        <v>0</v>
      </c>
      <c r="S29" s="22">
        <f t="shared" si="5"/>
        <v>0</v>
      </c>
      <c r="T29" s="109">
        <f t="shared" si="6"/>
        <v>0</v>
      </c>
      <c r="U29" s="107">
        <f t="shared" si="7"/>
        <v>0</v>
      </c>
      <c r="V29" s="107">
        <f t="shared" si="8"/>
        <v>0</v>
      </c>
      <c r="W29" s="107">
        <f t="shared" si="9"/>
        <v>0</v>
      </c>
      <c r="X29" s="107">
        <f t="shared" si="9"/>
        <v>0</v>
      </c>
      <c r="Y29" s="107">
        <f t="shared" si="10"/>
        <v>0</v>
      </c>
      <c r="Z29" s="106">
        <f t="shared" si="11"/>
        <v>0</v>
      </c>
      <c r="AA29" s="106">
        <f t="shared" si="12"/>
        <v>0</v>
      </c>
      <c r="AB29" s="106">
        <f t="shared" si="13"/>
        <v>0</v>
      </c>
      <c r="AC29" s="106">
        <f t="shared" si="13"/>
        <v>0</v>
      </c>
      <c r="AD29" s="106">
        <f t="shared" si="14"/>
        <v>0</v>
      </c>
    </row>
    <row r="30" spans="1:30">
      <c r="A30" s="165"/>
      <c r="B30" s="164"/>
      <c r="C30" s="163"/>
      <c r="D30" s="162"/>
      <c r="E30" s="158">
        <f>+IF($A30="",IF($C30="",SUMIFS(全伝票!I:I,全伝票!$B:$B,$B30),SUMIFS(全伝票!I:I,全伝票!$C:$C,$C30)),IF($C30="",SUMIFS(全伝票!I:I,全伝票!$A:$A,$A30,全伝票!$B:$B,$B30),SUMIFS(全伝票!I:I,全伝票!$A:$A,$A30,全伝票!$C:$C,$C30)))</f>
        <v>0</v>
      </c>
      <c r="F30" s="161">
        <f>+IF($A30="",IF($C30="",SUMIFS(全伝票!J:J,全伝票!$B:$B,$B30),SUMIFS(全伝票!J:J,全伝票!$C:$C,$C30)),IF($C30="",SUMIFS(全伝票!J:J,全伝票!$A:$A,$A30,全伝票!$B:$B,$B30),SUMIFS(全伝票!J:J,全伝票!$A:$A,$A30,全伝票!$C:$C,$C30)))</f>
        <v>0</v>
      </c>
      <c r="G30" s="160">
        <f>+IF($A30="",IF($C30="",SUMIFS(全伝票!K:K,全伝票!$B:$B,$B30),SUMIFS(全伝票!K:K,全伝票!$C:$C,$C30)),IF($C30="",SUMIFS(全伝票!K:K,全伝票!$A:$A,$A30,全伝票!$B:$B,$B30),SUMIFS(全伝票!K:K,全伝票!$A:$A,$A30,全伝票!$C:$C,$C30)))</f>
        <v>0</v>
      </c>
      <c r="H30" s="160">
        <f>+IF($A30="",IF($C30="",SUMIFS(全伝票!L:L,全伝票!$B:$B,$B30),SUMIFS(全伝票!L:L,全伝票!$C:$C,$C30)),IF($C30="",SUMIFS(全伝票!L:L,全伝票!$A:$A,$A30,全伝票!$B:$B,$B30),SUMIFS(全伝票!L:L,全伝票!$A:$A,$A30,全伝票!$C:$C,$C30)))</f>
        <v>0</v>
      </c>
      <c r="I30" s="160">
        <f>+IF($A30="",IF($C30="",SUMIFS(全伝票!M:M,全伝票!$B:$B,$B30),SUMIFS(全伝票!M:M,全伝票!$C:$C,$C30)),IF($C30="",SUMIFS(全伝票!M:M,全伝票!$A:$A,$A30,全伝票!$B:$B,$B30),SUMIFS(全伝票!M:M,全伝票!$A:$A,$A30,全伝票!$C:$C,$C30)))</f>
        <v>0</v>
      </c>
      <c r="J30" s="159">
        <f>+IF($A30="",IF($C30="",SUMIFS(全伝票!N:N,全伝票!$B:$B,$B30),SUMIFS(全伝票!N:N,全伝票!$C:$C,$C30)),IF($C30="",SUMIFS(全伝票!N:N,全伝票!$A:$A,$A30,全伝票!$B:$B,$B30),SUMIFS(全伝票!N:N,全伝票!$A:$A,$A30,全伝票!$C:$C,$C30)))</f>
        <v>0</v>
      </c>
      <c r="K30" s="34">
        <f t="shared" si="0"/>
        <v>0</v>
      </c>
      <c r="L30" s="158">
        <f>+IF($A30="",IF($C30="",SUMIFS(全伝票!O:O,全伝票!$B:$B,$B30),SUMIFS(全伝票!O:O,全伝票!$C:$C,$C30)),IF($C30="",SUMIFS(全伝票!O:O,全伝票!$A:$A,$A30,全伝票!$B:$B,$B30),SUMIFS(全伝票!O:O,全伝票!$A:$A,$A30,全伝票!$C:$C,$C30)))</f>
        <v>0</v>
      </c>
      <c r="M30" s="158">
        <f>+IF($A30="",IF($C30="",SUMIFS(全伝票!P:P,全伝票!$B:$B,$B30),SUMIFS(全伝票!P:P,全伝票!$C:$C,$C30)),IF($C30="",SUMIFS(全伝票!P:P,全伝票!$A:$A,$A30,全伝票!$B:$B,$B30),SUMIFS(全伝票!P:P,全伝票!$A:$A,$A30,全伝票!$C:$C,$C30)))</f>
        <v>0</v>
      </c>
      <c r="N30" s="108">
        <f t="shared" si="1"/>
        <v>0</v>
      </c>
      <c r="O30" s="25">
        <f t="shared" si="2"/>
        <v>0</v>
      </c>
      <c r="P30" s="25">
        <f t="shared" si="3"/>
        <v>0</v>
      </c>
      <c r="Q30" s="25">
        <f t="shared" si="3"/>
        <v>0</v>
      </c>
      <c r="R30" s="157">
        <f t="shared" si="4"/>
        <v>0</v>
      </c>
      <c r="S30" s="22">
        <f t="shared" si="5"/>
        <v>0</v>
      </c>
      <c r="T30" s="109">
        <f t="shared" si="6"/>
        <v>0</v>
      </c>
      <c r="U30" s="107">
        <f t="shared" si="7"/>
        <v>0</v>
      </c>
      <c r="V30" s="107">
        <f t="shared" si="8"/>
        <v>0</v>
      </c>
      <c r="W30" s="107">
        <f t="shared" si="9"/>
        <v>0</v>
      </c>
      <c r="X30" s="107">
        <f t="shared" si="9"/>
        <v>0</v>
      </c>
      <c r="Y30" s="107">
        <f t="shared" si="10"/>
        <v>0</v>
      </c>
      <c r="Z30" s="106">
        <f t="shared" si="11"/>
        <v>0</v>
      </c>
      <c r="AA30" s="106">
        <f t="shared" si="12"/>
        <v>0</v>
      </c>
      <c r="AB30" s="106">
        <f t="shared" si="13"/>
        <v>0</v>
      </c>
      <c r="AC30" s="106">
        <f t="shared" si="13"/>
        <v>0</v>
      </c>
      <c r="AD30" s="106">
        <f t="shared" si="14"/>
        <v>0</v>
      </c>
    </row>
    <row r="31" spans="1:30">
      <c r="A31" s="165"/>
      <c r="B31" s="164"/>
      <c r="C31" s="163"/>
      <c r="D31" s="162"/>
      <c r="E31" s="158">
        <f>+IF($A31="",IF($C31="",SUMIFS(全伝票!I:I,全伝票!$B:$B,$B31),SUMIFS(全伝票!I:I,全伝票!$C:$C,$C31)),IF($C31="",SUMIFS(全伝票!I:I,全伝票!$A:$A,$A31,全伝票!$B:$B,$B31),SUMIFS(全伝票!I:I,全伝票!$A:$A,$A31,全伝票!$C:$C,$C31)))</f>
        <v>0</v>
      </c>
      <c r="F31" s="161">
        <f>+IF($A31="",IF($C31="",SUMIFS(全伝票!J:J,全伝票!$B:$B,$B31),SUMIFS(全伝票!J:J,全伝票!$C:$C,$C31)),IF($C31="",SUMIFS(全伝票!J:J,全伝票!$A:$A,$A31,全伝票!$B:$B,$B31),SUMIFS(全伝票!J:J,全伝票!$A:$A,$A31,全伝票!$C:$C,$C31)))</f>
        <v>0</v>
      </c>
      <c r="G31" s="160">
        <f>+IF($A31="",IF($C31="",SUMIFS(全伝票!K:K,全伝票!$B:$B,$B31),SUMIFS(全伝票!K:K,全伝票!$C:$C,$C31)),IF($C31="",SUMIFS(全伝票!K:K,全伝票!$A:$A,$A31,全伝票!$B:$B,$B31),SUMIFS(全伝票!K:K,全伝票!$A:$A,$A31,全伝票!$C:$C,$C31)))</f>
        <v>0</v>
      </c>
      <c r="H31" s="160">
        <f>+IF($A31="",IF($C31="",SUMIFS(全伝票!L:L,全伝票!$B:$B,$B31),SUMIFS(全伝票!L:L,全伝票!$C:$C,$C31)),IF($C31="",SUMIFS(全伝票!L:L,全伝票!$A:$A,$A31,全伝票!$B:$B,$B31),SUMIFS(全伝票!L:L,全伝票!$A:$A,$A31,全伝票!$C:$C,$C31)))</f>
        <v>0</v>
      </c>
      <c r="I31" s="160">
        <f>+IF($A31="",IF($C31="",SUMIFS(全伝票!M:M,全伝票!$B:$B,$B31),SUMIFS(全伝票!M:M,全伝票!$C:$C,$C31)),IF($C31="",SUMIFS(全伝票!M:M,全伝票!$A:$A,$A31,全伝票!$B:$B,$B31),SUMIFS(全伝票!M:M,全伝票!$A:$A,$A31,全伝票!$C:$C,$C31)))</f>
        <v>0</v>
      </c>
      <c r="J31" s="159">
        <f>+IF($A31="",IF($C31="",SUMIFS(全伝票!N:N,全伝票!$B:$B,$B31),SUMIFS(全伝票!N:N,全伝票!$C:$C,$C31)),IF($C31="",SUMIFS(全伝票!N:N,全伝票!$A:$A,$A31,全伝票!$B:$B,$B31),SUMIFS(全伝票!N:N,全伝票!$A:$A,$A31,全伝票!$C:$C,$C31)))</f>
        <v>0</v>
      </c>
      <c r="K31" s="34">
        <f t="shared" si="0"/>
        <v>0</v>
      </c>
      <c r="L31" s="158">
        <f>+IF($A31="",IF($C31="",SUMIFS(全伝票!O:O,全伝票!$B:$B,$B31),SUMIFS(全伝票!O:O,全伝票!$C:$C,$C31)),IF($C31="",SUMIFS(全伝票!O:O,全伝票!$A:$A,$A31,全伝票!$B:$B,$B31),SUMIFS(全伝票!O:O,全伝票!$A:$A,$A31,全伝票!$C:$C,$C31)))</f>
        <v>0</v>
      </c>
      <c r="M31" s="158">
        <f>+IF($A31="",IF($C31="",SUMIFS(全伝票!P:P,全伝票!$B:$B,$B31),SUMIFS(全伝票!P:P,全伝票!$C:$C,$C31)),IF($C31="",SUMIFS(全伝票!P:P,全伝票!$A:$A,$A31,全伝票!$B:$B,$B31),SUMIFS(全伝票!P:P,全伝票!$A:$A,$A31,全伝票!$C:$C,$C31)))</f>
        <v>0</v>
      </c>
      <c r="N31" s="108">
        <f t="shared" si="1"/>
        <v>0</v>
      </c>
      <c r="O31" s="25">
        <f t="shared" si="2"/>
        <v>0</v>
      </c>
      <c r="P31" s="25">
        <f t="shared" si="3"/>
        <v>0</v>
      </c>
      <c r="Q31" s="25">
        <f t="shared" si="3"/>
        <v>0</v>
      </c>
      <c r="R31" s="157">
        <f t="shared" si="4"/>
        <v>0</v>
      </c>
      <c r="S31" s="22">
        <f t="shared" si="5"/>
        <v>0</v>
      </c>
      <c r="T31" s="109">
        <f t="shared" si="6"/>
        <v>0</v>
      </c>
      <c r="U31" s="107">
        <f t="shared" si="7"/>
        <v>0</v>
      </c>
      <c r="V31" s="107">
        <f t="shared" si="8"/>
        <v>0</v>
      </c>
      <c r="W31" s="107">
        <f t="shared" si="9"/>
        <v>0</v>
      </c>
      <c r="X31" s="107">
        <f t="shared" si="9"/>
        <v>0</v>
      </c>
      <c r="Y31" s="107">
        <f t="shared" si="10"/>
        <v>0</v>
      </c>
      <c r="Z31" s="106">
        <f t="shared" si="11"/>
        <v>0</v>
      </c>
      <c r="AA31" s="106">
        <f t="shared" si="12"/>
        <v>0</v>
      </c>
      <c r="AB31" s="106">
        <f t="shared" si="13"/>
        <v>0</v>
      </c>
      <c r="AC31" s="106">
        <f t="shared" si="13"/>
        <v>0</v>
      </c>
      <c r="AD31" s="106">
        <f t="shared" si="14"/>
        <v>0</v>
      </c>
    </row>
    <row r="32" spans="1:30">
      <c r="A32" s="165"/>
      <c r="B32" s="164"/>
      <c r="C32" s="163"/>
      <c r="D32" s="162"/>
      <c r="E32" s="158">
        <f>+IF($A32="",IF($C32="",SUMIFS(全伝票!I:I,全伝票!$B:$B,$B32),SUMIFS(全伝票!I:I,全伝票!$C:$C,$C32)),IF($C32="",SUMIFS(全伝票!I:I,全伝票!$A:$A,$A32,全伝票!$B:$B,$B32),SUMIFS(全伝票!I:I,全伝票!$A:$A,$A32,全伝票!$C:$C,$C32)))</f>
        <v>0</v>
      </c>
      <c r="F32" s="161">
        <f>+IF($A32="",IF($C32="",SUMIFS(全伝票!J:J,全伝票!$B:$B,$B32),SUMIFS(全伝票!J:J,全伝票!$C:$C,$C32)),IF($C32="",SUMIFS(全伝票!J:J,全伝票!$A:$A,$A32,全伝票!$B:$B,$B32),SUMIFS(全伝票!J:J,全伝票!$A:$A,$A32,全伝票!$C:$C,$C32)))</f>
        <v>0</v>
      </c>
      <c r="G32" s="160">
        <f>+IF($A32="",IF($C32="",SUMIFS(全伝票!K:K,全伝票!$B:$B,$B32),SUMIFS(全伝票!K:K,全伝票!$C:$C,$C32)),IF($C32="",SUMIFS(全伝票!K:K,全伝票!$A:$A,$A32,全伝票!$B:$B,$B32),SUMIFS(全伝票!K:K,全伝票!$A:$A,$A32,全伝票!$C:$C,$C32)))</f>
        <v>0</v>
      </c>
      <c r="H32" s="160">
        <f>+IF($A32="",IF($C32="",SUMIFS(全伝票!L:L,全伝票!$B:$B,$B32),SUMIFS(全伝票!L:L,全伝票!$C:$C,$C32)),IF($C32="",SUMIFS(全伝票!L:L,全伝票!$A:$A,$A32,全伝票!$B:$B,$B32),SUMIFS(全伝票!L:L,全伝票!$A:$A,$A32,全伝票!$C:$C,$C32)))</f>
        <v>0</v>
      </c>
      <c r="I32" s="160">
        <f>+IF($A32="",IF($C32="",SUMIFS(全伝票!M:M,全伝票!$B:$B,$B32),SUMIFS(全伝票!M:M,全伝票!$C:$C,$C32)),IF($C32="",SUMIFS(全伝票!M:M,全伝票!$A:$A,$A32,全伝票!$B:$B,$B32),SUMIFS(全伝票!M:M,全伝票!$A:$A,$A32,全伝票!$C:$C,$C32)))</f>
        <v>0</v>
      </c>
      <c r="J32" s="159">
        <f>+IF($A32="",IF($C32="",SUMIFS(全伝票!N:N,全伝票!$B:$B,$B32),SUMIFS(全伝票!N:N,全伝票!$C:$C,$C32)),IF($C32="",SUMIFS(全伝票!N:N,全伝票!$A:$A,$A32,全伝票!$B:$B,$B32),SUMIFS(全伝票!N:N,全伝票!$A:$A,$A32,全伝票!$C:$C,$C32)))</f>
        <v>0</v>
      </c>
      <c r="K32" s="34">
        <f t="shared" si="0"/>
        <v>0</v>
      </c>
      <c r="L32" s="158">
        <f>+IF($A32="",IF($C32="",SUMIFS(全伝票!O:O,全伝票!$B:$B,$B32),SUMIFS(全伝票!O:O,全伝票!$C:$C,$C32)),IF($C32="",SUMIFS(全伝票!O:O,全伝票!$A:$A,$A32,全伝票!$B:$B,$B32),SUMIFS(全伝票!O:O,全伝票!$A:$A,$A32,全伝票!$C:$C,$C32)))</f>
        <v>0</v>
      </c>
      <c r="M32" s="158">
        <f>+IF($A32="",IF($C32="",SUMIFS(全伝票!P:P,全伝票!$B:$B,$B32),SUMIFS(全伝票!P:P,全伝票!$C:$C,$C32)),IF($C32="",SUMIFS(全伝票!P:P,全伝票!$A:$A,$A32,全伝票!$B:$B,$B32),SUMIFS(全伝票!P:P,全伝票!$A:$A,$A32,全伝票!$C:$C,$C32)))</f>
        <v>0</v>
      </c>
      <c r="N32" s="108">
        <f t="shared" si="1"/>
        <v>0</v>
      </c>
      <c r="O32" s="25">
        <f t="shared" si="2"/>
        <v>0</v>
      </c>
      <c r="P32" s="25">
        <f t="shared" si="3"/>
        <v>0</v>
      </c>
      <c r="Q32" s="25">
        <f t="shared" si="3"/>
        <v>0</v>
      </c>
      <c r="R32" s="157">
        <f t="shared" si="4"/>
        <v>0</v>
      </c>
      <c r="S32" s="22">
        <f t="shared" si="5"/>
        <v>0</v>
      </c>
      <c r="T32" s="109">
        <f t="shared" si="6"/>
        <v>0</v>
      </c>
      <c r="U32" s="107">
        <f t="shared" si="7"/>
        <v>0</v>
      </c>
      <c r="V32" s="107">
        <f t="shared" si="8"/>
        <v>0</v>
      </c>
      <c r="W32" s="107">
        <f t="shared" si="9"/>
        <v>0</v>
      </c>
      <c r="X32" s="107">
        <f t="shared" si="9"/>
        <v>0</v>
      </c>
      <c r="Y32" s="107">
        <f t="shared" si="10"/>
        <v>0</v>
      </c>
      <c r="Z32" s="106">
        <f t="shared" si="11"/>
        <v>0</v>
      </c>
      <c r="AA32" s="106">
        <f t="shared" si="12"/>
        <v>0</v>
      </c>
      <c r="AB32" s="106">
        <f t="shared" si="13"/>
        <v>0</v>
      </c>
      <c r="AC32" s="106">
        <f t="shared" si="13"/>
        <v>0</v>
      </c>
      <c r="AD32" s="106">
        <f t="shared" si="14"/>
        <v>0</v>
      </c>
    </row>
    <row r="33" spans="1:30">
      <c r="A33" s="165"/>
      <c r="B33" s="164"/>
      <c r="C33" s="163"/>
      <c r="D33" s="162"/>
      <c r="E33" s="158">
        <f>+IF($A33="",IF($C33="",SUMIFS(全伝票!I:I,全伝票!$B:$B,$B33),SUMIFS(全伝票!I:I,全伝票!$C:$C,$C33)),IF($C33="",SUMIFS(全伝票!I:I,全伝票!$A:$A,$A33,全伝票!$B:$B,$B33),SUMIFS(全伝票!I:I,全伝票!$A:$A,$A33,全伝票!$C:$C,$C33)))</f>
        <v>0</v>
      </c>
      <c r="F33" s="161">
        <f>+IF($A33="",IF($C33="",SUMIFS(全伝票!J:J,全伝票!$B:$B,$B33),SUMIFS(全伝票!J:J,全伝票!$C:$C,$C33)),IF($C33="",SUMIFS(全伝票!J:J,全伝票!$A:$A,$A33,全伝票!$B:$B,$B33),SUMIFS(全伝票!J:J,全伝票!$A:$A,$A33,全伝票!$C:$C,$C33)))</f>
        <v>0</v>
      </c>
      <c r="G33" s="160">
        <f>+IF($A33="",IF($C33="",SUMIFS(全伝票!K:K,全伝票!$B:$B,$B33),SUMIFS(全伝票!K:K,全伝票!$C:$C,$C33)),IF($C33="",SUMIFS(全伝票!K:K,全伝票!$A:$A,$A33,全伝票!$B:$B,$B33),SUMIFS(全伝票!K:K,全伝票!$A:$A,$A33,全伝票!$C:$C,$C33)))</f>
        <v>0</v>
      </c>
      <c r="H33" s="160">
        <f>+IF($A33="",IF($C33="",SUMIFS(全伝票!L:L,全伝票!$B:$B,$B33),SUMIFS(全伝票!L:L,全伝票!$C:$C,$C33)),IF($C33="",SUMIFS(全伝票!L:L,全伝票!$A:$A,$A33,全伝票!$B:$B,$B33),SUMIFS(全伝票!L:L,全伝票!$A:$A,$A33,全伝票!$C:$C,$C33)))</f>
        <v>0</v>
      </c>
      <c r="I33" s="160">
        <f>+IF($A33="",IF($C33="",SUMIFS(全伝票!M:M,全伝票!$B:$B,$B33),SUMIFS(全伝票!M:M,全伝票!$C:$C,$C33)),IF($C33="",SUMIFS(全伝票!M:M,全伝票!$A:$A,$A33,全伝票!$B:$B,$B33),SUMIFS(全伝票!M:M,全伝票!$A:$A,$A33,全伝票!$C:$C,$C33)))</f>
        <v>0</v>
      </c>
      <c r="J33" s="159">
        <f>+IF($A33="",IF($C33="",SUMIFS(全伝票!N:N,全伝票!$B:$B,$B33),SUMIFS(全伝票!N:N,全伝票!$C:$C,$C33)),IF($C33="",SUMIFS(全伝票!N:N,全伝票!$A:$A,$A33,全伝票!$B:$B,$B33),SUMIFS(全伝票!N:N,全伝票!$A:$A,$A33,全伝票!$C:$C,$C33)))</f>
        <v>0</v>
      </c>
      <c r="K33" s="34">
        <f t="shared" si="0"/>
        <v>0</v>
      </c>
      <c r="L33" s="158">
        <f>+IF($A33="",IF($C33="",SUMIFS(全伝票!O:O,全伝票!$B:$B,$B33),SUMIFS(全伝票!O:O,全伝票!$C:$C,$C33)),IF($C33="",SUMIFS(全伝票!O:O,全伝票!$A:$A,$A33,全伝票!$B:$B,$B33),SUMIFS(全伝票!O:O,全伝票!$A:$A,$A33,全伝票!$C:$C,$C33)))</f>
        <v>0</v>
      </c>
      <c r="M33" s="158">
        <f>+IF($A33="",IF($C33="",SUMIFS(全伝票!P:P,全伝票!$B:$B,$B33),SUMIFS(全伝票!P:P,全伝票!$C:$C,$C33)),IF($C33="",SUMIFS(全伝票!P:P,全伝票!$A:$A,$A33,全伝票!$B:$B,$B33),SUMIFS(全伝票!P:P,全伝票!$A:$A,$A33,全伝票!$C:$C,$C33)))</f>
        <v>0</v>
      </c>
      <c r="N33" s="108">
        <f t="shared" si="1"/>
        <v>0</v>
      </c>
      <c r="O33" s="25">
        <f t="shared" si="2"/>
        <v>0</v>
      </c>
      <c r="P33" s="25">
        <f t="shared" si="3"/>
        <v>0</v>
      </c>
      <c r="Q33" s="25">
        <f t="shared" si="3"/>
        <v>0</v>
      </c>
      <c r="R33" s="157">
        <f t="shared" si="4"/>
        <v>0</v>
      </c>
      <c r="S33" s="22">
        <f t="shared" si="5"/>
        <v>0</v>
      </c>
      <c r="T33" s="109">
        <f t="shared" si="6"/>
        <v>0</v>
      </c>
      <c r="U33" s="107">
        <f t="shared" si="7"/>
        <v>0</v>
      </c>
      <c r="V33" s="107">
        <f t="shared" si="8"/>
        <v>0</v>
      </c>
      <c r="W33" s="107">
        <f t="shared" si="9"/>
        <v>0</v>
      </c>
      <c r="X33" s="107">
        <f t="shared" si="9"/>
        <v>0</v>
      </c>
      <c r="Y33" s="107">
        <f t="shared" si="10"/>
        <v>0</v>
      </c>
      <c r="Z33" s="106">
        <f t="shared" si="11"/>
        <v>0</v>
      </c>
      <c r="AA33" s="106">
        <f t="shared" si="12"/>
        <v>0</v>
      </c>
      <c r="AB33" s="106">
        <f t="shared" si="13"/>
        <v>0</v>
      </c>
      <c r="AC33" s="106">
        <f t="shared" si="13"/>
        <v>0</v>
      </c>
      <c r="AD33" s="106">
        <f t="shared" si="14"/>
        <v>0</v>
      </c>
    </row>
    <row r="34" spans="1:30">
      <c r="A34" s="165"/>
      <c r="B34" s="164"/>
      <c r="C34" s="163"/>
      <c r="D34" s="162"/>
      <c r="E34" s="158">
        <f>+IF($A34="",IF($C34="",SUMIFS(全伝票!I:I,全伝票!$B:$B,$B34),SUMIFS(全伝票!I:I,全伝票!$C:$C,$C34)),IF($C34="",SUMIFS(全伝票!I:I,全伝票!$A:$A,$A34,全伝票!$B:$B,$B34),SUMIFS(全伝票!I:I,全伝票!$A:$A,$A34,全伝票!$C:$C,$C34)))</f>
        <v>0</v>
      </c>
      <c r="F34" s="161">
        <f>+IF($A34="",IF($C34="",SUMIFS(全伝票!J:J,全伝票!$B:$B,$B34),SUMIFS(全伝票!J:J,全伝票!$C:$C,$C34)),IF($C34="",SUMIFS(全伝票!J:J,全伝票!$A:$A,$A34,全伝票!$B:$B,$B34),SUMIFS(全伝票!J:J,全伝票!$A:$A,$A34,全伝票!$C:$C,$C34)))</f>
        <v>0</v>
      </c>
      <c r="G34" s="160">
        <f>+IF($A34="",IF($C34="",SUMIFS(全伝票!K:K,全伝票!$B:$B,$B34),SUMIFS(全伝票!K:K,全伝票!$C:$C,$C34)),IF($C34="",SUMIFS(全伝票!K:K,全伝票!$A:$A,$A34,全伝票!$B:$B,$B34),SUMIFS(全伝票!K:K,全伝票!$A:$A,$A34,全伝票!$C:$C,$C34)))</f>
        <v>0</v>
      </c>
      <c r="H34" s="160">
        <f>+IF($A34="",IF($C34="",SUMIFS(全伝票!L:L,全伝票!$B:$B,$B34),SUMIFS(全伝票!L:L,全伝票!$C:$C,$C34)),IF($C34="",SUMIFS(全伝票!L:L,全伝票!$A:$A,$A34,全伝票!$B:$B,$B34),SUMIFS(全伝票!L:L,全伝票!$A:$A,$A34,全伝票!$C:$C,$C34)))</f>
        <v>0</v>
      </c>
      <c r="I34" s="160">
        <f>+IF($A34="",IF($C34="",SUMIFS(全伝票!M:M,全伝票!$B:$B,$B34),SUMIFS(全伝票!M:M,全伝票!$C:$C,$C34)),IF($C34="",SUMIFS(全伝票!M:M,全伝票!$A:$A,$A34,全伝票!$B:$B,$B34),SUMIFS(全伝票!M:M,全伝票!$A:$A,$A34,全伝票!$C:$C,$C34)))</f>
        <v>0</v>
      </c>
      <c r="J34" s="159">
        <f>+IF($A34="",IF($C34="",SUMIFS(全伝票!N:N,全伝票!$B:$B,$B34),SUMIFS(全伝票!N:N,全伝票!$C:$C,$C34)),IF($C34="",SUMIFS(全伝票!N:N,全伝票!$A:$A,$A34,全伝票!$B:$B,$B34),SUMIFS(全伝票!N:N,全伝票!$A:$A,$A34,全伝票!$C:$C,$C34)))</f>
        <v>0</v>
      </c>
      <c r="K34" s="34">
        <f t="shared" si="0"/>
        <v>0</v>
      </c>
      <c r="L34" s="158">
        <f>+IF($A34="",IF($C34="",SUMIFS(全伝票!O:O,全伝票!$B:$B,$B34),SUMIFS(全伝票!O:O,全伝票!$C:$C,$C34)),IF($C34="",SUMIFS(全伝票!O:O,全伝票!$A:$A,$A34,全伝票!$B:$B,$B34),SUMIFS(全伝票!O:O,全伝票!$A:$A,$A34,全伝票!$C:$C,$C34)))</f>
        <v>0</v>
      </c>
      <c r="M34" s="158">
        <f>+IF($A34="",IF($C34="",SUMIFS(全伝票!P:P,全伝票!$B:$B,$B34),SUMIFS(全伝票!P:P,全伝票!$C:$C,$C34)),IF($C34="",SUMIFS(全伝票!P:P,全伝票!$A:$A,$A34,全伝票!$B:$B,$B34),SUMIFS(全伝票!P:P,全伝票!$A:$A,$A34,全伝票!$C:$C,$C34)))</f>
        <v>0</v>
      </c>
      <c r="N34" s="108">
        <f t="shared" si="1"/>
        <v>0</v>
      </c>
      <c r="O34" s="25">
        <f t="shared" si="2"/>
        <v>0</v>
      </c>
      <c r="P34" s="25">
        <f t="shared" si="3"/>
        <v>0</v>
      </c>
      <c r="Q34" s="25">
        <f t="shared" si="3"/>
        <v>0</v>
      </c>
      <c r="R34" s="157">
        <f t="shared" si="4"/>
        <v>0</v>
      </c>
      <c r="S34" s="22">
        <f t="shared" si="5"/>
        <v>0</v>
      </c>
      <c r="T34" s="109">
        <f t="shared" si="6"/>
        <v>0</v>
      </c>
      <c r="U34" s="107">
        <f t="shared" si="7"/>
        <v>0</v>
      </c>
      <c r="V34" s="107">
        <f t="shared" si="8"/>
        <v>0</v>
      </c>
      <c r="W34" s="107">
        <f t="shared" si="9"/>
        <v>0</v>
      </c>
      <c r="X34" s="107">
        <f t="shared" si="9"/>
        <v>0</v>
      </c>
      <c r="Y34" s="107">
        <f t="shared" si="10"/>
        <v>0</v>
      </c>
      <c r="Z34" s="106">
        <f t="shared" si="11"/>
        <v>0</v>
      </c>
      <c r="AA34" s="106">
        <f t="shared" si="12"/>
        <v>0</v>
      </c>
      <c r="AB34" s="106">
        <f t="shared" si="13"/>
        <v>0</v>
      </c>
      <c r="AC34" s="106">
        <f t="shared" si="13"/>
        <v>0</v>
      </c>
      <c r="AD34" s="106">
        <f t="shared" si="14"/>
        <v>0</v>
      </c>
    </row>
    <row r="35" spans="1:30" ht="14.25" thickBot="1">
      <c r="A35" s="165"/>
      <c r="B35" s="164"/>
      <c r="C35" s="163"/>
      <c r="D35" s="162"/>
      <c r="E35" s="158">
        <f>+IF($A35="",IF($C35="",SUMIFS(全伝票!I:I,全伝票!$B:$B,$B35),SUMIFS(全伝票!I:I,全伝票!$C:$C,$C35)),IF($C35="",SUMIFS(全伝票!I:I,全伝票!$A:$A,$A35,全伝票!$B:$B,$B35),SUMIFS(全伝票!I:I,全伝票!$A:$A,$A35,全伝票!$C:$C,$C35)))</f>
        <v>0</v>
      </c>
      <c r="F35" s="161">
        <f>+IF($A35="",IF($C35="",SUMIFS(全伝票!J:J,全伝票!$B:$B,$B35),SUMIFS(全伝票!J:J,全伝票!$C:$C,$C35)),IF($C35="",SUMIFS(全伝票!J:J,全伝票!$A:$A,$A35,全伝票!$B:$B,$B35),SUMIFS(全伝票!J:J,全伝票!$A:$A,$A35,全伝票!$C:$C,$C35)))</f>
        <v>0</v>
      </c>
      <c r="G35" s="160">
        <f>+IF($A35="",IF($C35="",SUMIFS(全伝票!K:K,全伝票!$B:$B,$B35),SUMIFS(全伝票!K:K,全伝票!$C:$C,$C35)),IF($C35="",SUMIFS(全伝票!K:K,全伝票!$A:$A,$A35,全伝票!$B:$B,$B35),SUMIFS(全伝票!K:K,全伝票!$A:$A,$A35,全伝票!$C:$C,$C35)))</f>
        <v>0</v>
      </c>
      <c r="H35" s="160">
        <f>+IF($A35="",IF($C35="",SUMIFS(全伝票!L:L,全伝票!$B:$B,$B35),SUMIFS(全伝票!L:L,全伝票!$C:$C,$C35)),IF($C35="",SUMIFS(全伝票!L:L,全伝票!$A:$A,$A35,全伝票!$B:$B,$B35),SUMIFS(全伝票!L:L,全伝票!$A:$A,$A35,全伝票!$C:$C,$C35)))</f>
        <v>0</v>
      </c>
      <c r="I35" s="160">
        <f>+IF($A35="",IF($C35="",SUMIFS(全伝票!M:M,全伝票!$B:$B,$B35),SUMIFS(全伝票!M:M,全伝票!$C:$C,$C35)),IF($C35="",SUMIFS(全伝票!M:M,全伝票!$A:$A,$A35,全伝票!$B:$B,$B35),SUMIFS(全伝票!M:M,全伝票!$A:$A,$A35,全伝票!$C:$C,$C35)))</f>
        <v>0</v>
      </c>
      <c r="J35" s="159">
        <f>+IF($A35="",IF($C35="",SUMIFS(全伝票!N:N,全伝票!$B:$B,$B35),SUMIFS(全伝票!N:N,全伝票!$C:$C,$C35)),IF($C35="",SUMIFS(全伝票!N:N,全伝票!$A:$A,$A35,全伝票!$B:$B,$B35),SUMIFS(全伝票!N:N,全伝票!$A:$A,$A35,全伝票!$C:$C,$C35)))</f>
        <v>0</v>
      </c>
      <c r="K35" s="34">
        <f t="shared" si="0"/>
        <v>0</v>
      </c>
      <c r="L35" s="158">
        <f>+IF($A35="",IF($C35="",SUMIFS(全伝票!O:O,全伝票!$B:$B,$B35),SUMIFS(全伝票!O:O,全伝票!$C:$C,$C35)),IF($C35="",SUMIFS(全伝票!O:O,全伝票!$A:$A,$A35,全伝票!$B:$B,$B35),SUMIFS(全伝票!O:O,全伝票!$A:$A,$A35,全伝票!$C:$C,$C35)))</f>
        <v>0</v>
      </c>
      <c r="M35" s="158">
        <f>+IF($A35="",IF($C35="",SUMIFS(全伝票!P:P,全伝票!$B:$B,$B35),SUMIFS(全伝票!P:P,全伝票!$C:$C,$C35)),IF($C35="",SUMIFS(全伝票!P:P,全伝票!$A:$A,$A35,全伝票!$B:$B,$B35),SUMIFS(全伝票!P:P,全伝票!$A:$A,$A35,全伝票!$C:$C,$C35)))</f>
        <v>0</v>
      </c>
      <c r="N35" s="108">
        <f t="shared" si="1"/>
        <v>0</v>
      </c>
      <c r="O35" s="25">
        <f t="shared" si="2"/>
        <v>0</v>
      </c>
      <c r="P35" s="25">
        <f t="shared" si="3"/>
        <v>0</v>
      </c>
      <c r="Q35" s="25">
        <f t="shared" si="3"/>
        <v>0</v>
      </c>
      <c r="R35" s="157">
        <f t="shared" si="4"/>
        <v>0</v>
      </c>
      <c r="S35" s="22">
        <f t="shared" si="5"/>
        <v>0</v>
      </c>
      <c r="T35" s="109">
        <f t="shared" si="6"/>
        <v>0</v>
      </c>
      <c r="U35" s="107">
        <f t="shared" si="7"/>
        <v>0</v>
      </c>
      <c r="V35" s="107">
        <f t="shared" si="8"/>
        <v>0</v>
      </c>
      <c r="W35" s="107">
        <f t="shared" si="9"/>
        <v>0</v>
      </c>
      <c r="X35" s="107">
        <f t="shared" si="9"/>
        <v>0</v>
      </c>
      <c r="Y35" s="107">
        <f t="shared" si="10"/>
        <v>0</v>
      </c>
      <c r="Z35" s="106">
        <f t="shared" si="11"/>
        <v>0</v>
      </c>
      <c r="AA35" s="106">
        <f t="shared" si="12"/>
        <v>0</v>
      </c>
      <c r="AB35" s="106">
        <f t="shared" si="13"/>
        <v>0</v>
      </c>
      <c r="AC35" s="106">
        <f t="shared" si="13"/>
        <v>0</v>
      </c>
      <c r="AD35" s="106">
        <f t="shared" si="14"/>
        <v>0</v>
      </c>
    </row>
    <row r="36" spans="1:30" ht="14.25" thickTop="1">
      <c r="A36" s="156"/>
      <c r="B36" s="155"/>
      <c r="C36" s="154"/>
      <c r="D36" s="153" t="s">
        <v>2</v>
      </c>
      <c r="E36" s="149">
        <f t="shared" ref="E36:T36" si="15">SUM(E5:E35)</f>
        <v>0</v>
      </c>
      <c r="F36" s="152">
        <f t="shared" si="15"/>
        <v>0</v>
      </c>
      <c r="G36" s="151">
        <f t="shared" si="15"/>
        <v>0</v>
      </c>
      <c r="H36" s="151">
        <f t="shared" si="15"/>
        <v>0</v>
      </c>
      <c r="I36" s="151">
        <f t="shared" ref="I36" si="16">SUM(I5:I35)</f>
        <v>0</v>
      </c>
      <c r="J36" s="150">
        <f t="shared" si="15"/>
        <v>0</v>
      </c>
      <c r="K36" s="74">
        <f t="shared" si="15"/>
        <v>0</v>
      </c>
      <c r="L36" s="149">
        <f t="shared" si="15"/>
        <v>0</v>
      </c>
      <c r="M36" s="149">
        <f t="shared" si="15"/>
        <v>0</v>
      </c>
      <c r="N36" s="146">
        <f t="shared" si="15"/>
        <v>0</v>
      </c>
      <c r="O36" s="145">
        <f t="shared" si="15"/>
        <v>0</v>
      </c>
      <c r="P36" s="145">
        <f t="shared" si="15"/>
        <v>0</v>
      </c>
      <c r="Q36" s="145">
        <f t="shared" ref="Q36" si="17">SUM(Q5:Q35)</f>
        <v>0</v>
      </c>
      <c r="R36" s="148">
        <f t="shared" si="15"/>
        <v>0</v>
      </c>
      <c r="S36" s="144">
        <f t="shared" si="15"/>
        <v>0</v>
      </c>
      <c r="T36" s="147">
        <f t="shared" si="15"/>
        <v>0</v>
      </c>
      <c r="U36" s="88" t="str">
        <f>+IF(F36=0,"",ROUND(F36*F$4/(100+F$4),7)-N36)</f>
        <v/>
      </c>
      <c r="V36" s="88"/>
      <c r="W36" s="88"/>
      <c r="X36" s="88"/>
      <c r="Y36" s="88"/>
      <c r="Z36" s="88"/>
      <c r="AA36" s="88"/>
      <c r="AB36" s="87"/>
      <c r="AC36" s="87"/>
      <c r="AD36" s="87"/>
    </row>
    <row r="37" spans="1:30">
      <c r="A37" s="143"/>
      <c r="B37" s="142"/>
      <c r="C37" s="141"/>
      <c r="D37" s="140" t="s">
        <v>1</v>
      </c>
      <c r="E37" s="136">
        <f t="shared" ref="E37:J37" si="18">+E36</f>
        <v>0</v>
      </c>
      <c r="F37" s="139">
        <f t="shared" si="18"/>
        <v>0</v>
      </c>
      <c r="G37" s="138">
        <f t="shared" si="18"/>
        <v>0</v>
      </c>
      <c r="H37" s="138">
        <f t="shared" si="18"/>
        <v>0</v>
      </c>
      <c r="I37" s="138">
        <f t="shared" si="18"/>
        <v>0</v>
      </c>
      <c r="J37" s="137">
        <f t="shared" si="18"/>
        <v>0</v>
      </c>
      <c r="K37" s="63">
        <f>SUM(F37:J37)</f>
        <v>0</v>
      </c>
      <c r="L37" s="136">
        <f>+L36</f>
        <v>0</v>
      </c>
      <c r="M37" s="135">
        <f>+M36</f>
        <v>0</v>
      </c>
      <c r="N37" s="133">
        <f>+'3条支出'!N18</f>
        <v>0</v>
      </c>
      <c r="O37" s="132">
        <f>+'3条支出'!O18</f>
        <v>0</v>
      </c>
      <c r="P37" s="132">
        <f>+'3条支出'!P18</f>
        <v>0</v>
      </c>
      <c r="Q37" s="132">
        <f>+'3条支出'!Q18</f>
        <v>0</v>
      </c>
      <c r="R37" s="132">
        <f>+'3条支出'!R18</f>
        <v>0</v>
      </c>
      <c r="S37" s="131">
        <f>+'3条支出'!S18</f>
        <v>0</v>
      </c>
      <c r="T37" s="134">
        <f>+'3条支出'!T18</f>
        <v>0</v>
      </c>
      <c r="U37" s="88" t="str">
        <f>+IF(F37=0,"",ROUND(F37*F$4/(100+F$4),7)-N37)</f>
        <v/>
      </c>
      <c r="V37" s="88"/>
      <c r="W37" s="88"/>
      <c r="X37" s="88"/>
      <c r="Y37" s="88"/>
      <c r="Z37" s="88"/>
      <c r="AA37" s="88"/>
      <c r="AB37" s="87"/>
      <c r="AC37" s="87"/>
      <c r="AD37" s="87"/>
    </row>
    <row r="38" spans="1:30">
      <c r="E38" s="4">
        <f t="shared" ref="E38:T38" si="19">+E37-E36</f>
        <v>0</v>
      </c>
      <c r="F38" s="4">
        <f t="shared" si="19"/>
        <v>0</v>
      </c>
      <c r="G38" s="4">
        <f t="shared" si="19"/>
        <v>0</v>
      </c>
      <c r="H38" s="4">
        <f t="shared" si="19"/>
        <v>0</v>
      </c>
      <c r="I38" s="4">
        <f t="shared" ref="I38" si="20">+I37-I36</f>
        <v>0</v>
      </c>
      <c r="J38" s="4">
        <f t="shared" si="19"/>
        <v>0</v>
      </c>
      <c r="K38" s="4">
        <f t="shared" si="19"/>
        <v>0</v>
      </c>
      <c r="L38" s="4">
        <f t="shared" si="19"/>
        <v>0</v>
      </c>
      <c r="M38" s="4">
        <f t="shared" si="19"/>
        <v>0</v>
      </c>
      <c r="N38" s="4">
        <f t="shared" si="19"/>
        <v>0</v>
      </c>
      <c r="O38" s="4">
        <f t="shared" si="19"/>
        <v>0</v>
      </c>
      <c r="P38" s="4">
        <f t="shared" si="19"/>
        <v>0</v>
      </c>
      <c r="Q38" s="4">
        <f t="shared" ref="Q38" si="21">+Q37-Q36</f>
        <v>0</v>
      </c>
      <c r="R38" s="4">
        <f t="shared" si="19"/>
        <v>0</v>
      </c>
      <c r="S38" s="4">
        <f t="shared" si="19"/>
        <v>0</v>
      </c>
      <c r="T38" s="4">
        <f t="shared" si="19"/>
        <v>0</v>
      </c>
      <c r="U38" s="88" t="str">
        <f>+IF(F38=0,"",ROUND(F38*F$4/(100+F$4),7)-N38)</f>
        <v/>
      </c>
      <c r="V38" s="88" t="str">
        <f>+IF(G38=0,"",ROUND(G38*G$4/(100+G$4),7)-O38)</f>
        <v/>
      </c>
      <c r="W38" s="88" t="str">
        <f>+IF(H38=0,"",ROUND(H38*H$4/(100+H$4),7)-P38)</f>
        <v/>
      </c>
      <c r="X38" s="88"/>
      <c r="Y38" s="88" t="str">
        <f>+IF(J38=0,"",ROUND(J38*J$4/(100+J$4),7)-R38)</f>
        <v/>
      </c>
      <c r="Z38" s="88"/>
      <c r="AA38" s="88"/>
      <c r="AB38" s="87" t="str">
        <f>+IF(SUM(U38:Y38)=0,"",SUM(U38:Y38))</f>
        <v/>
      </c>
      <c r="AC38" s="87"/>
      <c r="AD38" s="87"/>
    </row>
    <row r="39" spans="1:30">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E40" s="179"/>
      <c r="F40" s="179"/>
      <c r="G40" s="180"/>
      <c r="H40" s="179"/>
      <c r="I40" s="179"/>
      <c r="U40" s="88" t="str">
        <f>+IF(F40=0,"",ROUND(F40*F$4/(100+F$4),7)-N40)</f>
        <v/>
      </c>
      <c r="V40" s="88"/>
      <c r="W40" s="88"/>
      <c r="X40" s="88"/>
      <c r="Y40" s="88"/>
      <c r="Z40" s="88"/>
      <c r="AA40" s="88"/>
      <c r="AB40" s="87"/>
      <c r="AC40" s="87"/>
      <c r="AD40" s="87"/>
    </row>
    <row r="41" spans="1:30">
      <c r="E41" s="179"/>
      <c r="F41" s="179"/>
      <c r="G41" s="180"/>
      <c r="H41" s="179"/>
      <c r="I41" s="179"/>
    </row>
    <row r="42" spans="1:30">
      <c r="E42" s="179"/>
      <c r="F42" s="179"/>
      <c r="G42" s="179"/>
      <c r="H42" s="179"/>
      <c r="I42" s="179"/>
    </row>
  </sheetData>
  <mergeCells count="13">
    <mergeCell ref="U3:Y3"/>
    <mergeCell ref="Z3:AD3"/>
    <mergeCell ref="AE3:AI3"/>
    <mergeCell ref="L3:L4"/>
    <mergeCell ref="M3:M4"/>
    <mergeCell ref="N3:S3"/>
    <mergeCell ref="T3:T4"/>
    <mergeCell ref="F3:K3"/>
    <mergeCell ref="A3:A4"/>
    <mergeCell ref="B3:B4"/>
    <mergeCell ref="C3:C4"/>
    <mergeCell ref="D3:D4"/>
    <mergeCell ref="E3:E4"/>
  </mergeCells>
  <phoneticPr fontId="3"/>
  <conditionalFormatting sqref="AE36:AI37">
    <cfRule type="notContainsBlanks" dxfId="50" priority="4" stopIfTrue="1">
      <formula>LEN(TRIM(AE36))&gt;0</formula>
    </cfRule>
  </conditionalFormatting>
  <conditionalFormatting sqref="AE5:AI35">
    <cfRule type="notContainsBlanks" dxfId="49" priority="3" stopIfTrue="1">
      <formula>LEN(TRIM(AE5))&gt;0</formula>
    </cfRule>
  </conditionalFormatting>
  <conditionalFormatting sqref="Z5:AD35">
    <cfRule type="expression" dxfId="48" priority="2">
      <formula>ABS(Z5)=1</formula>
    </cfRule>
  </conditionalFormatting>
  <conditionalFormatting sqref="E38:T38">
    <cfRule type="cellIs" dxfId="47" priority="1" operator="notEqual">
      <formula>0</formula>
    </cfRule>
  </conditionalFormatting>
  <pageMargins left="0.39370078740157483" right="0.39370078740157483" top="0.59055118110236227" bottom="0.39370078740157483" header="0.39370078740157483" footer="0.19685039370078741"/>
  <pageSetup paperSize="9" scale="67" orientation="landscape" blackAndWhite="1" r:id="rId1"/>
  <headerFooter>
    <oddFooter>&amp;L&amp;8&amp;Z&amp;F&amp;A&amp;R&amp;8&amp;D&amp;T</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I42"/>
  <sheetViews>
    <sheetView zoomScale="70" zoomScaleNormal="70"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+'3条支出'!D1</f>
        <v>令和５年度決算　消費税算出資料</v>
      </c>
    </row>
    <row r="2" spans="1:35">
      <c r="D2" s="2" t="s">
        <v>493</v>
      </c>
      <c r="V2" s="122"/>
      <c r="W2" s="122"/>
      <c r="X2" s="261"/>
      <c r="Y2" s="122"/>
      <c r="Z2" s="122"/>
      <c r="AA2" s="122"/>
      <c r="AB2" s="122"/>
      <c r="AC2" s="261"/>
      <c r="AD2" s="122"/>
      <c r="AE2" s="122"/>
      <c r="AF2" s="122"/>
      <c r="AG2" s="122"/>
      <c r="AH2" s="261"/>
      <c r="AI2" s="122"/>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122" customFormat="1">
      <c r="A4" s="329"/>
      <c r="B4" s="331"/>
      <c r="C4" s="333"/>
      <c r="D4" s="335"/>
      <c r="E4" s="335"/>
      <c r="F4" s="53">
        <v>3</v>
      </c>
      <c r="G4" s="52">
        <v>5</v>
      </c>
      <c r="H4" s="52">
        <v>8</v>
      </c>
      <c r="I4" s="269">
        <v>8</v>
      </c>
      <c r="J4" s="127">
        <v>10</v>
      </c>
      <c r="K4" s="178" t="s">
        <v>2</v>
      </c>
      <c r="L4" s="335"/>
      <c r="M4" s="335"/>
      <c r="N4" s="126">
        <v>3</v>
      </c>
      <c r="O4" s="125">
        <v>5</v>
      </c>
      <c r="P4" s="125">
        <v>8</v>
      </c>
      <c r="Q4" s="269">
        <v>8</v>
      </c>
      <c r="R4" s="124">
        <v>10</v>
      </c>
      <c r="S4" s="123" t="s">
        <v>2</v>
      </c>
      <c r="T4" s="335"/>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177"/>
      <c r="B5" s="176"/>
      <c r="C5" s="175">
        <v>883204370</v>
      </c>
      <c r="D5" s="174" t="s">
        <v>492</v>
      </c>
      <c r="E5" s="170">
        <f>+IF($A5="",IF($C5="",SUMIFS(全伝票!I:I,全伝票!$B:$B,$B5),SUMIFS(全伝票!I:I,全伝票!$C:$C,$C5)),IF($C5="",SUMIFS(全伝票!I:I,全伝票!$A:$A,$A5,全伝票!$B:$B,$B5),SUMIFS(全伝票!I:I,全伝票!$A:$A,$A5,全伝票!$C:$C,$C5)))</f>
        <v>765123510</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172">
        <f>+IF($A5="",IF($C5="",SUMIFS(全伝票!L:L,全伝票!$B:$B,$B5),SUMIFS(全伝票!L:L,全伝票!$C:$C,$C5)),IF($C5="",SUMIFS(全伝票!L:L,全伝票!$A:$A,$A5,全伝票!$B:$B,$B5),SUMIFS(全伝票!L:L,全伝票!$A:$A,$A5,全伝票!$C:$C,$C5)))</f>
        <v>0</v>
      </c>
      <c r="I5" s="172">
        <f>+IF($A5="",IF($C5="",SUMIFS(全伝票!M:M,全伝票!$B:$B,$B5),SUMIFS(全伝票!M:M,全伝票!$C:$C,$C5)),IF($C5="",SUMIFS(全伝票!M:M,全伝票!$A:$A,$A5,全伝票!$B:$B,$B5),SUMIFS(全伝票!M:M,全伝票!$A:$A,$A5,全伝票!$C:$C,$C5)))</f>
        <v>0</v>
      </c>
      <c r="J5" s="185">
        <f>+IF($A5="",IF($C5="",SUMIFS(全伝票!N:N,全伝票!$B:$B,$B5),SUMIFS(全伝票!N:N,全伝票!$C:$C,$C5)),IF($C5="",SUMIFS(全伝票!N:N,全伝票!$A:$A,$A5,全伝票!$B:$B,$B5),SUMIFS(全伝票!N:N,全伝票!$A:$A,$A5,全伝票!$C:$C,$C5)))</f>
        <v>0</v>
      </c>
      <c r="K5" s="112">
        <f t="shared" ref="K5:K14" si="0">SUM(F5:J5)</f>
        <v>0</v>
      </c>
      <c r="L5" s="170">
        <f>+IF($A5="",IF($C5="",SUMIFS(全伝票!O:O,全伝票!$B:$B,$B5),SUMIFS(全伝票!O:O,全伝票!$C:$C,$C5)),IF($C5="",SUMIFS(全伝票!O:O,全伝票!$A:$A,$A5,全伝票!$B:$B,$B5),SUMIFS(全伝票!O:O,全伝票!$A:$A,$A5,全伝票!$C:$C,$C5)))</f>
        <v>0</v>
      </c>
      <c r="M5" s="170">
        <f>+IF($A5="",IF($C5="",SUMIFS(全伝票!P:P,全伝票!$B:$B,$B5),SUMIFS(全伝票!P:P,全伝票!$C:$C,$C5)),IF($C5="",SUMIFS(全伝票!P:P,全伝票!$A:$A,$A5,全伝票!$B:$B,$B5),SUMIFS(全伝票!P:P,全伝票!$A:$A,$A5,全伝票!$C:$C,$C5)))</f>
        <v>765123510</v>
      </c>
      <c r="N5" s="169">
        <f t="shared" ref="N5:N14" si="1">+ROUND(F5*F$4/(100+F$4),0)+AE5</f>
        <v>0</v>
      </c>
      <c r="O5" s="47">
        <f t="shared" ref="O5:O14" si="2">+ROUND(G5*G$4/(100+G$4),0)+AF5</f>
        <v>0</v>
      </c>
      <c r="P5" s="47">
        <f t="shared" ref="P5:Q14" si="3">+ROUND(H5*H$4/(100+H$4),0)+AG5</f>
        <v>0</v>
      </c>
      <c r="Q5" s="47">
        <f t="shared" si="3"/>
        <v>0</v>
      </c>
      <c r="R5" s="168">
        <f t="shared" ref="R5:R14" si="4">+ROUND(J5*J$4/(100+J$4),0)+AI5</f>
        <v>0</v>
      </c>
      <c r="S5" s="167">
        <f t="shared" ref="S5:S14" si="5">SUM(N5:R5)</f>
        <v>0</v>
      </c>
      <c r="T5" s="166">
        <f t="shared" ref="T5:T14" si="6">+E5-S5</f>
        <v>765123510</v>
      </c>
      <c r="U5" s="107">
        <f t="shared" ref="U5:U14" si="7">N5-F5*F$4/(100+F$4)</f>
        <v>0</v>
      </c>
      <c r="V5" s="107">
        <f t="shared" ref="V5:V14" si="8">O5-G5*G$4/(100+G$4)</f>
        <v>0</v>
      </c>
      <c r="W5" s="107">
        <f t="shared" ref="W5:X14" si="9">P5-H5*H$4/(100+H$4)</f>
        <v>0</v>
      </c>
      <c r="X5" s="107">
        <f t="shared" si="9"/>
        <v>0</v>
      </c>
      <c r="Y5" s="107">
        <f t="shared" ref="Y5:Y14" si="10">R5-J5*J$4/(100+J$4)</f>
        <v>0</v>
      </c>
      <c r="Z5" s="106">
        <f t="shared" ref="Z5:Z14" si="11">+IF(N$38=0,0,IF(N$38&lt;0,-RANK(U5,U$5:U$35,0),RANK(U5,U$5:U$35,1)))</f>
        <v>0</v>
      </c>
      <c r="AA5" s="106">
        <f t="shared" ref="AA5:AA14" si="12">+IF(O$38=0,0,IF(O$38&lt;0,-RANK(V5,V$5:V$35,0),RANK(V5,V$5:V$35,1)))</f>
        <v>0</v>
      </c>
      <c r="AB5" s="106">
        <f t="shared" ref="AB5:AC14" si="13">+IF(P$38=0,0,IF(P$38&lt;0,-RANK(W5,W$5:W$35,0),RANK(W5,W$5:W$35,1)))</f>
        <v>0</v>
      </c>
      <c r="AC5" s="106">
        <f t="shared" si="13"/>
        <v>0</v>
      </c>
      <c r="AD5" s="106">
        <f t="shared" ref="AD5:AD14" si="14">+IF(R$38=0,0,IF(R$38&lt;0,-RANK(Y5,Y$5:Y$35,0),RANK(Y5,Y$5:Y$35,1)))</f>
        <v>0</v>
      </c>
    </row>
    <row r="6" spans="1:35">
      <c r="A6" s="165"/>
      <c r="B6" s="164"/>
      <c r="C6" s="163">
        <v>883204371</v>
      </c>
      <c r="D6" s="162" t="s">
        <v>491</v>
      </c>
      <c r="E6" s="158">
        <f>+IF($A6="",IF($C6="",SUMIFS(全伝票!I:I,全伝票!$B:$B,$B6),SUMIFS(全伝票!I:I,全伝票!$C:$C,$C6)),IF($C6="",SUMIFS(全伝票!I:I,全伝票!$A:$A,$A6,全伝票!$B:$B,$B6),SUMIFS(全伝票!I:I,全伝票!$A:$A,$A6,全伝票!$C:$C,$C6)))</f>
        <v>20697040924</v>
      </c>
      <c r="F6" s="161">
        <f>+IF($A6="",IF($C6="",SUMIFS(全伝票!J:J,全伝票!$B:$B,$B6),SUMIFS(全伝票!J:J,全伝票!$C:$C,$C6)),IF($C6="",SUMIFS(全伝票!J:J,全伝票!$A:$A,$A6,全伝票!$B:$B,$B6),SUMIFS(全伝票!J:J,全伝票!$A:$A,$A6,全伝票!$C:$C,$C6)))</f>
        <v>0</v>
      </c>
      <c r="G6" s="160">
        <f>+IF($A6="",IF($C6="",SUMIFS(全伝票!K:K,全伝票!$B:$B,$B6),SUMIFS(全伝票!K:K,全伝票!$C:$C,$C6)),IF($C6="",SUMIFS(全伝票!K:K,全伝票!$A:$A,$A6,全伝票!$B:$B,$B6),SUMIFS(全伝票!K:K,全伝票!$A:$A,$A6,全伝票!$C:$C,$C6)))</f>
        <v>0</v>
      </c>
      <c r="H6" s="160">
        <f>+IF($A6="",IF($C6="",SUMIFS(全伝票!L:L,全伝票!$B:$B,$B6),SUMIFS(全伝票!L:L,全伝票!$C:$C,$C6)),IF($C6="",SUMIFS(全伝票!L:L,全伝票!$A:$A,$A6,全伝票!$B:$B,$B6),SUMIFS(全伝票!L:L,全伝票!$A:$A,$A6,全伝票!$C:$C,$C6)))</f>
        <v>0</v>
      </c>
      <c r="I6" s="160">
        <f>+IF($A6="",IF($C6="",SUMIFS(全伝票!M:M,全伝票!$B:$B,$B6),SUMIFS(全伝票!M:M,全伝票!$C:$C,$C6)),IF($C6="",SUMIFS(全伝票!M:M,全伝票!$A:$A,$A6,全伝票!$B:$B,$B6),SUMIFS(全伝票!M:M,全伝票!$A:$A,$A6,全伝票!$C:$C,$C6)))</f>
        <v>0</v>
      </c>
      <c r="J6" s="184">
        <f>+IF($A6="",IF($C6="",SUMIFS(全伝票!N:N,全伝票!$B:$B,$B6),SUMIFS(全伝票!N:N,全伝票!$C:$C,$C6)),IF($C6="",SUMIFS(全伝票!N:N,全伝票!$A:$A,$A6,全伝票!$B:$B,$B6),SUMIFS(全伝票!N:N,全伝票!$A:$A,$A6,全伝票!$C:$C,$C6)))</f>
        <v>0</v>
      </c>
      <c r="K6" s="34">
        <f t="shared" si="0"/>
        <v>0</v>
      </c>
      <c r="L6" s="158">
        <f>+IF($A6="",IF($C6="",SUMIFS(全伝票!O:O,全伝票!$B:$B,$B6),SUMIFS(全伝票!O:O,全伝票!$C:$C,$C6)),IF($C6="",SUMIFS(全伝票!O:O,全伝票!$A:$A,$A6,全伝票!$B:$B,$B6),SUMIFS(全伝票!O:O,全伝票!$A:$A,$A6,全伝票!$C:$C,$C6)))</f>
        <v>0</v>
      </c>
      <c r="M6" s="158">
        <f>+IF($A6="",IF($C6="",SUMIFS(全伝票!P:P,全伝票!$B:$B,$B6),SUMIFS(全伝票!P:P,全伝票!$C:$C,$C6)),IF($C6="",SUMIFS(全伝票!P:P,全伝票!$A:$A,$A6,全伝票!$B:$B,$B6),SUMIFS(全伝票!P:P,全伝票!$A:$A,$A6,全伝票!$C:$C,$C6)))</f>
        <v>20697040924</v>
      </c>
      <c r="N6" s="108">
        <f t="shared" si="1"/>
        <v>0</v>
      </c>
      <c r="O6" s="25">
        <f t="shared" si="2"/>
        <v>0</v>
      </c>
      <c r="P6" s="25">
        <f t="shared" si="3"/>
        <v>0</v>
      </c>
      <c r="Q6" s="25">
        <f t="shared" si="3"/>
        <v>0</v>
      </c>
      <c r="R6" s="157">
        <f t="shared" si="4"/>
        <v>0</v>
      </c>
      <c r="S6" s="22">
        <f t="shared" si="5"/>
        <v>0</v>
      </c>
      <c r="T6" s="109">
        <f t="shared" si="6"/>
        <v>20697040924</v>
      </c>
      <c r="U6" s="107">
        <f t="shared" si="7"/>
        <v>0</v>
      </c>
      <c r="V6" s="107">
        <f t="shared" si="8"/>
        <v>0</v>
      </c>
      <c r="W6" s="107">
        <f t="shared" si="9"/>
        <v>0</v>
      </c>
      <c r="X6" s="107">
        <f t="shared" si="9"/>
        <v>0</v>
      </c>
      <c r="Y6" s="107">
        <f t="shared" si="10"/>
        <v>0</v>
      </c>
      <c r="Z6" s="106">
        <f t="shared" si="11"/>
        <v>0</v>
      </c>
      <c r="AA6" s="106">
        <f t="shared" si="12"/>
        <v>0</v>
      </c>
      <c r="AB6" s="106">
        <f t="shared" si="13"/>
        <v>0</v>
      </c>
      <c r="AC6" s="106">
        <f t="shared" si="13"/>
        <v>0</v>
      </c>
      <c r="AD6" s="106">
        <f t="shared" si="14"/>
        <v>0</v>
      </c>
    </row>
    <row r="7" spans="1:35">
      <c r="A7" s="165"/>
      <c r="B7" s="164"/>
      <c r="C7" s="163">
        <v>883204372</v>
      </c>
      <c r="D7" s="162" t="s">
        <v>490</v>
      </c>
      <c r="E7" s="158">
        <f>+IF($A7="",IF($C7="",SUMIFS(全伝票!I:I,全伝票!$B:$B,$B7),SUMIFS(全伝票!I:I,全伝票!$C:$C,$C7)),IF($C7="",SUMIFS(全伝票!I:I,全伝票!$A:$A,$A7,全伝票!$B:$B,$B7),SUMIFS(全伝票!I:I,全伝票!$A:$A,$A7,全伝票!$C:$C,$C7)))</f>
        <v>4631704397</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60">
        <f>+IF($A7="",IF($C7="",SUMIFS(全伝票!M:M,全伝票!$B:$B,$B7),SUMIFS(全伝票!M:M,全伝票!$C:$C,$C7)),IF($C7="",SUMIFS(全伝票!M:M,全伝票!$A:$A,$A7,全伝票!$B:$B,$B7),SUMIFS(全伝票!M:M,全伝票!$A:$A,$A7,全伝票!$C:$C,$C7)))</f>
        <v>0</v>
      </c>
      <c r="J7" s="184">
        <f>+IF($A7="",IF($C7="",SUMIFS(全伝票!N:N,全伝票!$B:$B,$B7),SUMIFS(全伝票!N:N,全伝票!$C:$C,$C7)),IF($C7="",SUMIFS(全伝票!N:N,全伝票!$A:$A,$A7,全伝票!$B:$B,$B7),SUMIFS(全伝票!N:N,全伝票!$A:$A,$A7,全伝票!$C:$C,$C7)))</f>
        <v>0</v>
      </c>
      <c r="K7" s="34">
        <f t="shared" si="0"/>
        <v>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4631704397</v>
      </c>
      <c r="N7" s="108">
        <f t="shared" si="1"/>
        <v>0</v>
      </c>
      <c r="O7" s="25">
        <f t="shared" si="2"/>
        <v>0</v>
      </c>
      <c r="P7" s="25">
        <f t="shared" si="3"/>
        <v>0</v>
      </c>
      <c r="Q7" s="25">
        <f t="shared" si="3"/>
        <v>0</v>
      </c>
      <c r="R7" s="157">
        <f t="shared" si="4"/>
        <v>0</v>
      </c>
      <c r="S7" s="22">
        <f t="shared" si="5"/>
        <v>0</v>
      </c>
      <c r="T7" s="109">
        <f t="shared" si="6"/>
        <v>4631704397</v>
      </c>
      <c r="U7" s="107">
        <f t="shared" si="7"/>
        <v>0</v>
      </c>
      <c r="V7" s="107">
        <f t="shared" si="8"/>
        <v>0</v>
      </c>
      <c r="W7" s="107">
        <f t="shared" si="9"/>
        <v>0</v>
      </c>
      <c r="X7" s="107">
        <f t="shared" si="9"/>
        <v>0</v>
      </c>
      <c r="Y7" s="107">
        <f t="shared" si="10"/>
        <v>0</v>
      </c>
      <c r="Z7" s="106">
        <f t="shared" si="11"/>
        <v>0</v>
      </c>
      <c r="AA7" s="106">
        <f t="shared" si="12"/>
        <v>0</v>
      </c>
      <c r="AB7" s="106">
        <f t="shared" si="13"/>
        <v>0</v>
      </c>
      <c r="AC7" s="106">
        <f t="shared" si="13"/>
        <v>0</v>
      </c>
      <c r="AD7" s="106">
        <f t="shared" si="14"/>
        <v>0</v>
      </c>
    </row>
    <row r="8" spans="1:35">
      <c r="A8" s="165"/>
      <c r="B8" s="164"/>
      <c r="C8" s="163">
        <v>883204373</v>
      </c>
      <c r="D8" s="162" t="s">
        <v>489</v>
      </c>
      <c r="E8" s="158">
        <f>+IF($A8="",IF($C8="",SUMIFS(全伝票!I:I,全伝票!$B:$B,$B8),SUMIFS(全伝票!I:I,全伝票!$C:$C,$C8)),IF($C8="",SUMIFS(全伝票!I:I,全伝票!$A:$A,$A8,全伝票!$B:$B,$B8),SUMIFS(全伝票!I:I,全伝票!$A:$A,$A8,全伝票!$C:$C,$C8)))</f>
        <v>4597053</v>
      </c>
      <c r="F8" s="161">
        <f>+IF($A8="",IF($C8="",SUMIFS(全伝票!J:J,全伝票!$B:$B,$B8),SUMIFS(全伝票!J:J,全伝票!$C:$C,$C8)),IF($C8="",SUMIFS(全伝票!J:J,全伝票!$A:$A,$A8,全伝票!$B:$B,$B8),SUMIFS(全伝票!J:J,全伝票!$A:$A,$A8,全伝票!$C:$C,$C8)))</f>
        <v>0</v>
      </c>
      <c r="G8" s="160">
        <f>+IF($A8="",IF($C8="",SUMIFS(全伝票!K:K,全伝票!$B:$B,$B8),SUMIFS(全伝票!K:K,全伝票!$C:$C,$C8)),IF($C8="",SUMIFS(全伝票!K:K,全伝票!$A:$A,$A8,全伝票!$B:$B,$B8),SUMIFS(全伝票!K:K,全伝票!$A:$A,$A8,全伝票!$C:$C,$C8)))</f>
        <v>0</v>
      </c>
      <c r="H8" s="160">
        <f>+IF($A8="",IF($C8="",SUMIFS(全伝票!L:L,全伝票!$B:$B,$B8),SUMIFS(全伝票!L:L,全伝票!$C:$C,$C8)),IF($C8="",SUMIFS(全伝票!L:L,全伝票!$A:$A,$A8,全伝票!$B:$B,$B8),SUMIFS(全伝票!L:L,全伝票!$A:$A,$A8,全伝票!$C:$C,$C8)))</f>
        <v>0</v>
      </c>
      <c r="I8" s="160">
        <f>+IF($A8="",IF($C8="",SUMIFS(全伝票!M:M,全伝票!$B:$B,$B8),SUMIFS(全伝票!M:M,全伝票!$C:$C,$C8)),IF($C8="",SUMIFS(全伝票!M:M,全伝票!$A:$A,$A8,全伝票!$B:$B,$B8),SUMIFS(全伝票!M:M,全伝票!$A:$A,$A8,全伝票!$C:$C,$C8)))</f>
        <v>0</v>
      </c>
      <c r="J8" s="184">
        <f>+IF($A8="",IF($C8="",SUMIFS(全伝票!N:N,全伝票!$B:$B,$B8),SUMIFS(全伝票!N:N,全伝票!$C:$C,$C8)),IF($C8="",SUMIFS(全伝票!N:N,全伝票!$A:$A,$A8,全伝票!$B:$B,$B8),SUMIFS(全伝票!N:N,全伝票!$A:$A,$A8,全伝票!$C:$C,$C8)))</f>
        <v>0</v>
      </c>
      <c r="K8" s="34">
        <f t="shared" si="0"/>
        <v>0</v>
      </c>
      <c r="L8" s="158">
        <f>+IF($A8="",IF($C8="",SUMIFS(全伝票!O:O,全伝票!$B:$B,$B8),SUMIFS(全伝票!O:O,全伝票!$C:$C,$C8)),IF($C8="",SUMIFS(全伝票!O:O,全伝票!$A:$A,$A8,全伝票!$B:$B,$B8),SUMIFS(全伝票!O:O,全伝票!$A:$A,$A8,全伝票!$C:$C,$C8)))</f>
        <v>0</v>
      </c>
      <c r="M8" s="158">
        <f>+IF($A8="",IF($C8="",SUMIFS(全伝票!P:P,全伝票!$B:$B,$B8),SUMIFS(全伝票!P:P,全伝票!$C:$C,$C8)),IF($C8="",SUMIFS(全伝票!P:P,全伝票!$A:$A,$A8,全伝票!$B:$B,$B8),SUMIFS(全伝票!P:P,全伝票!$A:$A,$A8,全伝票!$C:$C,$C8)))</f>
        <v>4597053</v>
      </c>
      <c r="N8" s="108">
        <f t="shared" si="1"/>
        <v>0</v>
      </c>
      <c r="O8" s="25">
        <f t="shared" si="2"/>
        <v>0</v>
      </c>
      <c r="P8" s="25">
        <f t="shared" si="3"/>
        <v>0</v>
      </c>
      <c r="Q8" s="25">
        <f t="shared" si="3"/>
        <v>0</v>
      </c>
      <c r="R8" s="157">
        <f t="shared" si="4"/>
        <v>0</v>
      </c>
      <c r="S8" s="22">
        <f t="shared" si="5"/>
        <v>0</v>
      </c>
      <c r="T8" s="109">
        <f t="shared" si="6"/>
        <v>4597053</v>
      </c>
      <c r="U8" s="107">
        <f t="shared" si="7"/>
        <v>0</v>
      </c>
      <c r="V8" s="107">
        <f t="shared" si="8"/>
        <v>0</v>
      </c>
      <c r="W8" s="107">
        <f t="shared" si="9"/>
        <v>0</v>
      </c>
      <c r="X8" s="107">
        <f t="shared" si="9"/>
        <v>0</v>
      </c>
      <c r="Y8" s="107">
        <f t="shared" si="10"/>
        <v>0</v>
      </c>
      <c r="Z8" s="106">
        <f t="shared" si="11"/>
        <v>0</v>
      </c>
      <c r="AA8" s="106">
        <f t="shared" si="12"/>
        <v>0</v>
      </c>
      <c r="AB8" s="106">
        <f t="shared" si="13"/>
        <v>0</v>
      </c>
      <c r="AC8" s="106">
        <f t="shared" si="13"/>
        <v>0</v>
      </c>
      <c r="AD8" s="106">
        <f t="shared" si="14"/>
        <v>0</v>
      </c>
    </row>
    <row r="9" spans="1:35">
      <c r="A9" s="165"/>
      <c r="B9" s="164"/>
      <c r="C9" s="163">
        <v>883204374</v>
      </c>
      <c r="D9" s="162" t="s">
        <v>488</v>
      </c>
      <c r="E9" s="158">
        <f>+IF($A9="",IF($C9="",SUMIFS(全伝票!I:I,全伝票!$B:$B,$B9),SUMIFS(全伝票!I:I,全伝票!$C:$C,$C9)),IF($C9="",SUMIFS(全伝票!I:I,全伝票!$A:$A,$A9,全伝票!$B:$B,$B9),SUMIFS(全伝票!I:I,全伝票!$A:$A,$A9,全伝票!$C:$C,$C9)))</f>
        <v>5635044</v>
      </c>
      <c r="F9" s="161">
        <f>+IF($A9="",IF($C9="",SUMIFS(全伝票!J:J,全伝票!$B:$B,$B9),SUMIFS(全伝票!J:J,全伝票!$C:$C,$C9)),IF($C9="",SUMIFS(全伝票!J:J,全伝票!$A:$A,$A9,全伝票!$B:$B,$B9),SUMIFS(全伝票!J:J,全伝票!$A:$A,$A9,全伝票!$C:$C,$C9)))</f>
        <v>0</v>
      </c>
      <c r="G9" s="160">
        <f>+IF($A9="",IF($C9="",SUMIFS(全伝票!K:K,全伝票!$B:$B,$B9),SUMIFS(全伝票!K:K,全伝票!$C:$C,$C9)),IF($C9="",SUMIFS(全伝票!K:K,全伝票!$A:$A,$A9,全伝票!$B:$B,$B9),SUMIFS(全伝票!K:K,全伝票!$A:$A,$A9,全伝票!$C:$C,$C9)))</f>
        <v>0</v>
      </c>
      <c r="H9" s="160">
        <f>+IF($A9="",IF($C9="",SUMIFS(全伝票!L:L,全伝票!$B:$B,$B9),SUMIFS(全伝票!L:L,全伝票!$C:$C,$C9)),IF($C9="",SUMIFS(全伝票!L:L,全伝票!$A:$A,$A9,全伝票!$B:$B,$B9),SUMIFS(全伝票!L:L,全伝票!$A:$A,$A9,全伝票!$C:$C,$C9)))</f>
        <v>0</v>
      </c>
      <c r="I9" s="160">
        <f>+IF($A9="",IF($C9="",SUMIFS(全伝票!M:M,全伝票!$B:$B,$B9),SUMIFS(全伝票!M:M,全伝票!$C:$C,$C9)),IF($C9="",SUMIFS(全伝票!M:M,全伝票!$A:$A,$A9,全伝票!$B:$B,$B9),SUMIFS(全伝票!M:M,全伝票!$A:$A,$A9,全伝票!$C:$C,$C9)))</f>
        <v>0</v>
      </c>
      <c r="J9" s="184">
        <f>+IF($A9="",IF($C9="",SUMIFS(全伝票!N:N,全伝票!$B:$B,$B9),SUMIFS(全伝票!N:N,全伝票!$C:$C,$C9)),IF($C9="",SUMIFS(全伝票!N:N,全伝票!$A:$A,$A9,全伝票!$B:$B,$B9),SUMIFS(全伝票!N:N,全伝票!$A:$A,$A9,全伝票!$C:$C,$C9)))</f>
        <v>0</v>
      </c>
      <c r="K9" s="34">
        <f t="shared" si="0"/>
        <v>0</v>
      </c>
      <c r="L9" s="158">
        <f>+IF($A9="",IF($C9="",SUMIFS(全伝票!O:O,全伝票!$B:$B,$B9),SUMIFS(全伝票!O:O,全伝票!$C:$C,$C9)),IF($C9="",SUMIFS(全伝票!O:O,全伝票!$A:$A,$A9,全伝票!$B:$B,$B9),SUMIFS(全伝票!O:O,全伝票!$A:$A,$A9,全伝票!$C:$C,$C9)))</f>
        <v>0</v>
      </c>
      <c r="M9" s="158">
        <f>+IF($A9="",IF($C9="",SUMIFS(全伝票!P:P,全伝票!$B:$B,$B9),SUMIFS(全伝票!P:P,全伝票!$C:$C,$C9)),IF($C9="",SUMIFS(全伝票!P:P,全伝票!$A:$A,$A9,全伝票!$B:$B,$B9),SUMIFS(全伝票!P:P,全伝票!$A:$A,$A9,全伝票!$C:$C,$C9)))</f>
        <v>5635044</v>
      </c>
      <c r="N9" s="108">
        <f t="shared" si="1"/>
        <v>0</v>
      </c>
      <c r="O9" s="25">
        <f t="shared" si="2"/>
        <v>0</v>
      </c>
      <c r="P9" s="25">
        <f t="shared" si="3"/>
        <v>0</v>
      </c>
      <c r="Q9" s="25">
        <f t="shared" si="3"/>
        <v>0</v>
      </c>
      <c r="R9" s="157">
        <f t="shared" si="4"/>
        <v>0</v>
      </c>
      <c r="S9" s="22">
        <f t="shared" si="5"/>
        <v>0</v>
      </c>
      <c r="T9" s="109">
        <f t="shared" si="6"/>
        <v>5635044</v>
      </c>
      <c r="U9" s="107">
        <f t="shared" si="7"/>
        <v>0</v>
      </c>
      <c r="V9" s="107">
        <f t="shared" si="8"/>
        <v>0</v>
      </c>
      <c r="W9" s="107">
        <f t="shared" si="9"/>
        <v>0</v>
      </c>
      <c r="X9" s="107">
        <f t="shared" si="9"/>
        <v>0</v>
      </c>
      <c r="Y9" s="107">
        <f t="shared" si="10"/>
        <v>0</v>
      </c>
      <c r="Z9" s="106">
        <f t="shared" si="11"/>
        <v>0</v>
      </c>
      <c r="AA9" s="106">
        <f t="shared" si="12"/>
        <v>0</v>
      </c>
      <c r="AB9" s="106">
        <f t="shared" si="13"/>
        <v>0</v>
      </c>
      <c r="AC9" s="106">
        <f t="shared" si="13"/>
        <v>0</v>
      </c>
      <c r="AD9" s="106">
        <f t="shared" si="14"/>
        <v>0</v>
      </c>
    </row>
    <row r="10" spans="1:35">
      <c r="A10" s="165"/>
      <c r="B10" s="164"/>
      <c r="C10" s="163">
        <v>883204475</v>
      </c>
      <c r="D10" s="162" t="s">
        <v>487</v>
      </c>
      <c r="E10" s="158">
        <f>+IF($A10="",IF($C10="",SUMIFS(全伝票!I:I,全伝票!$B:$B,$B10),SUMIFS(全伝票!I:I,全伝票!$C:$C,$C10)),IF($C10="",SUMIFS(全伝票!I:I,全伝票!$A:$A,$A10,全伝票!$B:$B,$B10),SUMIFS(全伝票!I:I,全伝票!$A:$A,$A10,全伝票!$C:$C,$C10)))</f>
        <v>0</v>
      </c>
      <c r="F10" s="161">
        <f>+IF($A10="",IF($C10="",SUMIFS(全伝票!J:J,全伝票!$B:$B,$B10),SUMIFS(全伝票!J:J,全伝票!$C:$C,$C10)),IF($C10="",SUMIFS(全伝票!J:J,全伝票!$A:$A,$A10,全伝票!$B:$B,$B10),SUMIFS(全伝票!J:J,全伝票!$A:$A,$A10,全伝票!$C:$C,$C10)))</f>
        <v>0</v>
      </c>
      <c r="G10" s="160">
        <f>+IF($A10="",IF($C10="",SUMIFS(全伝票!K:K,全伝票!$B:$B,$B10),SUMIFS(全伝票!K:K,全伝票!$C:$C,$C10)),IF($C10="",SUMIFS(全伝票!K:K,全伝票!$A:$A,$A10,全伝票!$B:$B,$B10),SUMIFS(全伝票!K:K,全伝票!$A:$A,$A10,全伝票!$C:$C,$C10)))</f>
        <v>0</v>
      </c>
      <c r="H10" s="160">
        <f>+IF($A10="",IF($C10="",SUMIFS(全伝票!L:L,全伝票!$B:$B,$B10),SUMIFS(全伝票!L:L,全伝票!$C:$C,$C10)),IF($C10="",SUMIFS(全伝票!L:L,全伝票!$A:$A,$A10,全伝票!$B:$B,$B10),SUMIFS(全伝票!L:L,全伝票!$A:$A,$A10,全伝票!$C:$C,$C10)))</f>
        <v>0</v>
      </c>
      <c r="I10" s="160">
        <f>+IF($A10="",IF($C10="",SUMIFS(全伝票!M:M,全伝票!$B:$B,$B10),SUMIFS(全伝票!M:M,全伝票!$C:$C,$C10)),IF($C10="",SUMIFS(全伝票!M:M,全伝票!$A:$A,$A10,全伝票!$B:$B,$B10),SUMIFS(全伝票!M:M,全伝票!$A:$A,$A10,全伝票!$C:$C,$C10)))</f>
        <v>0</v>
      </c>
      <c r="J10" s="184">
        <f>+IF($A10="",IF($C10="",SUMIFS(全伝票!N:N,全伝票!$B:$B,$B10),SUMIFS(全伝票!N:N,全伝票!$C:$C,$C10)),IF($C10="",SUMIFS(全伝票!N:N,全伝票!$A:$A,$A10,全伝票!$B:$B,$B10),SUMIFS(全伝票!N:N,全伝票!$A:$A,$A10,全伝票!$C:$C,$C10)))</f>
        <v>0</v>
      </c>
      <c r="K10" s="34">
        <f t="shared" si="0"/>
        <v>0</v>
      </c>
      <c r="L10" s="158">
        <f>+IF($A10="",IF($C10="",SUMIFS(全伝票!O:O,全伝票!$B:$B,$B10),SUMIFS(全伝票!O:O,全伝票!$C:$C,$C10)),IF($C10="",SUMIFS(全伝票!O:O,全伝票!$A:$A,$A10,全伝票!$B:$B,$B10),SUMIFS(全伝票!O:O,全伝票!$A:$A,$A10,全伝票!$C:$C,$C10)))</f>
        <v>0</v>
      </c>
      <c r="M10" s="158">
        <f>+IF($A10="",IF($C10="",SUMIFS(全伝票!P:P,全伝票!$B:$B,$B10),SUMIFS(全伝票!P:P,全伝票!$C:$C,$C10)),IF($C10="",SUMIFS(全伝票!P:P,全伝票!$A:$A,$A10,全伝票!$B:$B,$B10),SUMIFS(全伝票!P:P,全伝票!$A:$A,$A10,全伝票!$C:$C,$C10)))</f>
        <v>0</v>
      </c>
      <c r="N10" s="108">
        <f t="shared" si="1"/>
        <v>0</v>
      </c>
      <c r="O10" s="25">
        <f t="shared" si="2"/>
        <v>0</v>
      </c>
      <c r="P10" s="25">
        <f t="shared" si="3"/>
        <v>0</v>
      </c>
      <c r="Q10" s="25">
        <f t="shared" si="3"/>
        <v>0</v>
      </c>
      <c r="R10" s="157">
        <f t="shared" si="4"/>
        <v>0</v>
      </c>
      <c r="S10" s="22">
        <f t="shared" si="5"/>
        <v>0</v>
      </c>
      <c r="T10" s="109">
        <f t="shared" si="6"/>
        <v>0</v>
      </c>
      <c r="U10" s="107">
        <f t="shared" si="7"/>
        <v>0</v>
      </c>
      <c r="V10" s="107">
        <f t="shared" si="8"/>
        <v>0</v>
      </c>
      <c r="W10" s="107">
        <f t="shared" si="9"/>
        <v>0</v>
      </c>
      <c r="X10" s="107">
        <f t="shared" si="9"/>
        <v>0</v>
      </c>
      <c r="Y10" s="107">
        <f t="shared" si="10"/>
        <v>0</v>
      </c>
      <c r="Z10" s="106">
        <f t="shared" si="11"/>
        <v>0</v>
      </c>
      <c r="AA10" s="106">
        <f t="shared" si="12"/>
        <v>0</v>
      </c>
      <c r="AB10" s="106">
        <f t="shared" si="13"/>
        <v>0</v>
      </c>
      <c r="AC10" s="106">
        <f t="shared" si="13"/>
        <v>0</v>
      </c>
      <c r="AD10" s="106">
        <f t="shared" si="14"/>
        <v>0</v>
      </c>
    </row>
    <row r="11" spans="1:35">
      <c r="A11" s="165"/>
      <c r="B11" s="164"/>
      <c r="C11" s="163">
        <v>883204476</v>
      </c>
      <c r="D11" s="162" t="s">
        <v>486</v>
      </c>
      <c r="E11" s="158">
        <f>+IF($A11="",IF($C11="",SUMIFS(全伝票!I:I,全伝票!$B:$B,$B11),SUMIFS(全伝票!I:I,全伝票!$C:$C,$C11)),IF($C11="",SUMIFS(全伝票!I:I,全伝票!$A:$A,$A11,全伝票!$B:$B,$B11),SUMIFS(全伝票!I:I,全伝票!$A:$A,$A11,全伝票!$C:$C,$C11)))</f>
        <v>238105</v>
      </c>
      <c r="F11" s="161">
        <f>+IF($A11="",IF($C11="",SUMIFS(全伝票!J:J,全伝票!$B:$B,$B11),SUMIFS(全伝票!J:J,全伝票!$C:$C,$C11)),IF($C11="",SUMIFS(全伝票!J:J,全伝票!$A:$A,$A11,全伝票!$B:$B,$B11),SUMIFS(全伝票!J:J,全伝票!$A:$A,$A11,全伝票!$C:$C,$C11)))</f>
        <v>0</v>
      </c>
      <c r="G11" s="160">
        <f>+IF($A11="",IF($C11="",SUMIFS(全伝票!K:K,全伝票!$B:$B,$B11),SUMIFS(全伝票!K:K,全伝票!$C:$C,$C11)),IF($C11="",SUMIFS(全伝票!K:K,全伝票!$A:$A,$A11,全伝票!$B:$B,$B11),SUMIFS(全伝票!K:K,全伝票!$A:$A,$A11,全伝票!$C:$C,$C11)))</f>
        <v>0</v>
      </c>
      <c r="H11" s="160">
        <f>+IF($A11="",IF($C11="",SUMIFS(全伝票!L:L,全伝票!$B:$B,$B11),SUMIFS(全伝票!L:L,全伝票!$C:$C,$C11)),IF($C11="",SUMIFS(全伝票!L:L,全伝票!$A:$A,$A11,全伝票!$B:$B,$B11),SUMIFS(全伝票!L:L,全伝票!$A:$A,$A11,全伝票!$C:$C,$C11)))</f>
        <v>0</v>
      </c>
      <c r="I11" s="160">
        <f>+IF($A11="",IF($C11="",SUMIFS(全伝票!M:M,全伝票!$B:$B,$B11),SUMIFS(全伝票!M:M,全伝票!$C:$C,$C11)),IF($C11="",SUMIFS(全伝票!M:M,全伝票!$A:$A,$A11,全伝票!$B:$B,$B11),SUMIFS(全伝票!M:M,全伝票!$A:$A,$A11,全伝票!$C:$C,$C11)))</f>
        <v>0</v>
      </c>
      <c r="J11" s="184">
        <f>+IF($A11="",IF($C11="",SUMIFS(全伝票!N:N,全伝票!$B:$B,$B11),SUMIFS(全伝票!N:N,全伝票!$C:$C,$C11)),IF($C11="",SUMIFS(全伝票!N:N,全伝票!$A:$A,$A11,全伝票!$B:$B,$B11),SUMIFS(全伝票!N:N,全伝票!$A:$A,$A11,全伝票!$C:$C,$C11)))</f>
        <v>0</v>
      </c>
      <c r="K11" s="34">
        <f t="shared" si="0"/>
        <v>0</v>
      </c>
      <c r="L11" s="158">
        <f>+IF($A11="",IF($C11="",SUMIFS(全伝票!O:O,全伝票!$B:$B,$B11),SUMIFS(全伝票!O:O,全伝票!$C:$C,$C11)),IF($C11="",SUMIFS(全伝票!O:O,全伝票!$A:$A,$A11,全伝票!$B:$B,$B11),SUMIFS(全伝票!O:O,全伝票!$A:$A,$A11,全伝票!$C:$C,$C11)))</f>
        <v>0</v>
      </c>
      <c r="M11" s="158">
        <f>+IF($A11="",IF($C11="",SUMIFS(全伝票!P:P,全伝票!$B:$B,$B11),SUMIFS(全伝票!P:P,全伝票!$C:$C,$C11)),IF($C11="",SUMIFS(全伝票!P:P,全伝票!$A:$A,$A11,全伝票!$B:$B,$B11),SUMIFS(全伝票!P:P,全伝票!$A:$A,$A11,全伝票!$C:$C,$C11)))</f>
        <v>238105</v>
      </c>
      <c r="N11" s="108">
        <f t="shared" si="1"/>
        <v>0</v>
      </c>
      <c r="O11" s="25">
        <f t="shared" si="2"/>
        <v>0</v>
      </c>
      <c r="P11" s="25">
        <f t="shared" si="3"/>
        <v>0</v>
      </c>
      <c r="Q11" s="25">
        <f t="shared" si="3"/>
        <v>0</v>
      </c>
      <c r="R11" s="157">
        <f t="shared" si="4"/>
        <v>0</v>
      </c>
      <c r="S11" s="22">
        <f t="shared" si="5"/>
        <v>0</v>
      </c>
      <c r="T11" s="109">
        <f t="shared" si="6"/>
        <v>238105</v>
      </c>
      <c r="U11" s="107">
        <f t="shared" si="7"/>
        <v>0</v>
      </c>
      <c r="V11" s="107">
        <f t="shared" si="8"/>
        <v>0</v>
      </c>
      <c r="W11" s="107">
        <f t="shared" si="9"/>
        <v>0</v>
      </c>
      <c r="X11" s="107">
        <f t="shared" si="9"/>
        <v>0</v>
      </c>
      <c r="Y11" s="107">
        <f t="shared" si="10"/>
        <v>0</v>
      </c>
      <c r="Z11" s="106">
        <f t="shared" si="11"/>
        <v>0</v>
      </c>
      <c r="AA11" s="106">
        <f t="shared" si="12"/>
        <v>0</v>
      </c>
      <c r="AB11" s="106">
        <f t="shared" si="13"/>
        <v>0</v>
      </c>
      <c r="AC11" s="106">
        <f t="shared" si="13"/>
        <v>0</v>
      </c>
      <c r="AD11" s="106">
        <f t="shared" si="14"/>
        <v>0</v>
      </c>
    </row>
    <row r="12" spans="1:35">
      <c r="A12" s="165"/>
      <c r="B12" s="164"/>
      <c r="C12" s="163">
        <v>883204477</v>
      </c>
      <c r="D12" s="162" t="s">
        <v>485</v>
      </c>
      <c r="E12" s="158">
        <f>+IF($A12="",IF($C12="",SUMIFS(全伝票!I:I,全伝票!$B:$B,$B12),SUMIFS(全伝票!I:I,全伝票!$C:$C,$C12)),IF($C12="",SUMIFS(全伝票!I:I,全伝票!$A:$A,$A12,全伝票!$B:$B,$B12),SUMIFS(全伝票!I:I,全伝票!$A:$A,$A12,全伝票!$C:$C,$C12)))</f>
        <v>446892825</v>
      </c>
      <c r="F12" s="161">
        <f>+IF($A12="",IF($C12="",SUMIFS(全伝票!J:J,全伝票!$B:$B,$B12),SUMIFS(全伝票!J:J,全伝票!$C:$C,$C12)),IF($C12="",SUMIFS(全伝票!J:J,全伝票!$A:$A,$A12,全伝票!$B:$B,$B12),SUMIFS(全伝票!J:J,全伝票!$A:$A,$A12,全伝票!$C:$C,$C12)))</f>
        <v>0</v>
      </c>
      <c r="G12" s="160">
        <f>+IF($A12="",IF($C12="",SUMIFS(全伝票!K:K,全伝票!$B:$B,$B12),SUMIFS(全伝票!K:K,全伝票!$C:$C,$C12)),IF($C12="",SUMIFS(全伝票!K:K,全伝票!$A:$A,$A12,全伝票!$B:$B,$B12),SUMIFS(全伝票!K:K,全伝票!$A:$A,$A12,全伝票!$C:$C,$C12)))</f>
        <v>0</v>
      </c>
      <c r="H12" s="160">
        <f>+IF($A12="",IF($C12="",SUMIFS(全伝票!L:L,全伝票!$B:$B,$B12),SUMIFS(全伝票!L:L,全伝票!$C:$C,$C12)),IF($C12="",SUMIFS(全伝票!L:L,全伝票!$A:$A,$A12,全伝票!$B:$B,$B12),SUMIFS(全伝票!L:L,全伝票!$A:$A,$A12,全伝票!$C:$C,$C12)))</f>
        <v>0</v>
      </c>
      <c r="I12" s="160">
        <f>+IF($A12="",IF($C12="",SUMIFS(全伝票!M:M,全伝票!$B:$B,$B12),SUMIFS(全伝票!M:M,全伝票!$C:$C,$C12)),IF($C12="",SUMIFS(全伝票!M:M,全伝票!$A:$A,$A12,全伝票!$B:$B,$B12),SUMIFS(全伝票!M:M,全伝票!$A:$A,$A12,全伝票!$C:$C,$C12)))</f>
        <v>0</v>
      </c>
      <c r="J12" s="184">
        <f>+IF($A12="",IF($C12="",SUMIFS(全伝票!N:N,全伝票!$B:$B,$B12),SUMIFS(全伝票!N:N,全伝票!$C:$C,$C12)),IF($C12="",SUMIFS(全伝票!N:N,全伝票!$A:$A,$A12,全伝票!$B:$B,$B12),SUMIFS(全伝票!N:N,全伝票!$A:$A,$A12,全伝票!$C:$C,$C12)))</f>
        <v>0</v>
      </c>
      <c r="K12" s="34">
        <f t="shared" si="0"/>
        <v>0</v>
      </c>
      <c r="L12" s="158">
        <f>+IF($A12="",IF($C12="",SUMIFS(全伝票!O:O,全伝票!$B:$B,$B12),SUMIFS(全伝票!O:O,全伝票!$C:$C,$C12)),IF($C12="",SUMIFS(全伝票!O:O,全伝票!$A:$A,$A12,全伝票!$B:$B,$B12),SUMIFS(全伝票!O:O,全伝票!$A:$A,$A12,全伝票!$C:$C,$C12)))</f>
        <v>0</v>
      </c>
      <c r="M12" s="158">
        <f>+IF($A12="",IF($C12="",SUMIFS(全伝票!P:P,全伝票!$B:$B,$B12),SUMIFS(全伝票!P:P,全伝票!$C:$C,$C12)),IF($C12="",SUMIFS(全伝票!P:P,全伝票!$A:$A,$A12,全伝票!$B:$B,$B12),SUMIFS(全伝票!P:P,全伝票!$A:$A,$A12,全伝票!$C:$C,$C12)))</f>
        <v>446892825</v>
      </c>
      <c r="N12" s="108">
        <f t="shared" si="1"/>
        <v>0</v>
      </c>
      <c r="O12" s="25">
        <f t="shared" si="2"/>
        <v>0</v>
      </c>
      <c r="P12" s="25">
        <f t="shared" si="3"/>
        <v>0</v>
      </c>
      <c r="Q12" s="25">
        <f t="shared" si="3"/>
        <v>0</v>
      </c>
      <c r="R12" s="157">
        <f t="shared" si="4"/>
        <v>0</v>
      </c>
      <c r="S12" s="22">
        <f t="shared" si="5"/>
        <v>0</v>
      </c>
      <c r="T12" s="109">
        <f t="shared" si="6"/>
        <v>446892825</v>
      </c>
      <c r="U12" s="107">
        <f t="shared" si="7"/>
        <v>0</v>
      </c>
      <c r="V12" s="107">
        <f t="shared" si="8"/>
        <v>0</v>
      </c>
      <c r="W12" s="107">
        <f t="shared" si="9"/>
        <v>0</v>
      </c>
      <c r="X12" s="107">
        <f t="shared" si="9"/>
        <v>0</v>
      </c>
      <c r="Y12" s="107">
        <f t="shared" si="10"/>
        <v>0</v>
      </c>
      <c r="Z12" s="106">
        <f t="shared" si="11"/>
        <v>0</v>
      </c>
      <c r="AA12" s="106">
        <f t="shared" si="12"/>
        <v>0</v>
      </c>
      <c r="AB12" s="106">
        <f t="shared" si="13"/>
        <v>0</v>
      </c>
      <c r="AC12" s="106">
        <f t="shared" si="13"/>
        <v>0</v>
      </c>
      <c r="AD12" s="106">
        <f t="shared" si="14"/>
        <v>0</v>
      </c>
    </row>
    <row r="13" spans="1:35">
      <c r="A13" s="165"/>
      <c r="B13" s="164"/>
      <c r="C13" s="163">
        <v>883204478</v>
      </c>
      <c r="D13" s="162" t="s">
        <v>484</v>
      </c>
      <c r="E13" s="158">
        <f>+IF($A13="",IF($C13="",SUMIFS(全伝票!I:I,全伝票!$B:$B,$B13),SUMIFS(全伝票!I:I,全伝票!$C:$C,$C13)),IF($C13="",SUMIFS(全伝票!I:I,全伝票!$A:$A,$A13,全伝票!$B:$B,$B13),SUMIFS(全伝票!I:I,全伝票!$A:$A,$A13,全伝票!$C:$C,$C13)))</f>
        <v>0</v>
      </c>
      <c r="F13" s="161">
        <f>+IF($A13="",IF($C13="",SUMIFS(全伝票!J:J,全伝票!$B:$B,$B13),SUMIFS(全伝票!J:J,全伝票!$C:$C,$C13)),IF($C13="",SUMIFS(全伝票!J:J,全伝票!$A:$A,$A13,全伝票!$B:$B,$B13),SUMIFS(全伝票!J:J,全伝票!$A:$A,$A13,全伝票!$C:$C,$C13)))</f>
        <v>0</v>
      </c>
      <c r="G13" s="160">
        <f>+IF($A13="",IF($C13="",SUMIFS(全伝票!K:K,全伝票!$B:$B,$B13),SUMIFS(全伝票!K:K,全伝票!$C:$C,$C13)),IF($C13="",SUMIFS(全伝票!K:K,全伝票!$A:$A,$A13,全伝票!$B:$B,$B13),SUMIFS(全伝票!K:K,全伝票!$A:$A,$A13,全伝票!$C:$C,$C13)))</f>
        <v>0</v>
      </c>
      <c r="H13" s="160">
        <f>+IF($A13="",IF($C13="",SUMIFS(全伝票!L:L,全伝票!$B:$B,$B13),SUMIFS(全伝票!L:L,全伝票!$C:$C,$C13)),IF($C13="",SUMIFS(全伝票!L:L,全伝票!$A:$A,$A13,全伝票!$B:$B,$B13),SUMIFS(全伝票!L:L,全伝票!$A:$A,$A13,全伝票!$C:$C,$C13)))</f>
        <v>0</v>
      </c>
      <c r="I13" s="160">
        <f>+IF($A13="",IF($C13="",SUMIFS(全伝票!M:M,全伝票!$B:$B,$B13),SUMIFS(全伝票!M:M,全伝票!$C:$C,$C13)),IF($C13="",SUMIFS(全伝票!M:M,全伝票!$A:$A,$A13,全伝票!$B:$B,$B13),SUMIFS(全伝票!M:M,全伝票!$A:$A,$A13,全伝票!$C:$C,$C13)))</f>
        <v>0</v>
      </c>
      <c r="J13" s="184">
        <f>+IF($A13="",IF($C13="",SUMIFS(全伝票!N:N,全伝票!$B:$B,$B13),SUMIFS(全伝票!N:N,全伝票!$C:$C,$C13)),IF($C13="",SUMIFS(全伝票!N:N,全伝票!$A:$A,$A13,全伝票!$B:$B,$B13),SUMIFS(全伝票!N:N,全伝票!$A:$A,$A13,全伝票!$C:$C,$C13)))</f>
        <v>0</v>
      </c>
      <c r="K13" s="34">
        <f t="shared" si="0"/>
        <v>0</v>
      </c>
      <c r="L13" s="158">
        <f>+IF($A13="",IF($C13="",SUMIFS(全伝票!O:O,全伝票!$B:$B,$B13),SUMIFS(全伝票!O:O,全伝票!$C:$C,$C13)),IF($C13="",SUMIFS(全伝票!O:O,全伝票!$A:$A,$A13,全伝票!$B:$B,$B13),SUMIFS(全伝票!O:O,全伝票!$A:$A,$A13,全伝票!$C:$C,$C13)))</f>
        <v>0</v>
      </c>
      <c r="M13" s="158">
        <f>+IF($A13="",IF($C13="",SUMIFS(全伝票!P:P,全伝票!$B:$B,$B13),SUMIFS(全伝票!P:P,全伝票!$C:$C,$C13)),IF($C13="",SUMIFS(全伝票!P:P,全伝票!$A:$A,$A13,全伝票!$B:$B,$B13),SUMIFS(全伝票!P:P,全伝票!$A:$A,$A13,全伝票!$C:$C,$C13)))</f>
        <v>0</v>
      </c>
      <c r="N13" s="108">
        <f t="shared" si="1"/>
        <v>0</v>
      </c>
      <c r="O13" s="25">
        <f t="shared" si="2"/>
        <v>0</v>
      </c>
      <c r="P13" s="25">
        <f t="shared" si="3"/>
        <v>0</v>
      </c>
      <c r="Q13" s="25">
        <f t="shared" si="3"/>
        <v>0</v>
      </c>
      <c r="R13" s="157">
        <f t="shared" si="4"/>
        <v>0</v>
      </c>
      <c r="S13" s="22">
        <f t="shared" si="5"/>
        <v>0</v>
      </c>
      <c r="T13" s="109">
        <f t="shared" si="6"/>
        <v>0</v>
      </c>
      <c r="U13" s="107">
        <f t="shared" si="7"/>
        <v>0</v>
      </c>
      <c r="V13" s="107">
        <f t="shared" si="8"/>
        <v>0</v>
      </c>
      <c r="W13" s="107">
        <f t="shared" si="9"/>
        <v>0</v>
      </c>
      <c r="X13" s="107">
        <f t="shared" si="9"/>
        <v>0</v>
      </c>
      <c r="Y13" s="107">
        <f t="shared" si="10"/>
        <v>0</v>
      </c>
      <c r="Z13" s="106">
        <f t="shared" si="11"/>
        <v>0</v>
      </c>
      <c r="AA13" s="106">
        <f t="shared" si="12"/>
        <v>0</v>
      </c>
      <c r="AB13" s="106">
        <f t="shared" si="13"/>
        <v>0</v>
      </c>
      <c r="AC13" s="106">
        <f t="shared" si="13"/>
        <v>0</v>
      </c>
      <c r="AD13" s="106">
        <f t="shared" si="14"/>
        <v>0</v>
      </c>
    </row>
    <row r="14" spans="1:35">
      <c r="A14" s="165"/>
      <c r="B14" s="164"/>
      <c r="C14" s="163">
        <v>883204479</v>
      </c>
      <c r="D14" s="162" t="s">
        <v>483</v>
      </c>
      <c r="E14" s="158">
        <f>+IF($A14="",IF($C14="",SUMIFS(全伝票!I:I,全伝票!$B:$B,$B14),SUMIFS(全伝票!I:I,全伝票!$C:$C,$C14)),IF($C14="",SUMIFS(全伝票!I:I,全伝票!$A:$A,$A14,全伝票!$B:$B,$B14),SUMIFS(全伝票!I:I,全伝票!$A:$A,$A14,全伝票!$C:$C,$C14)))</f>
        <v>210372</v>
      </c>
      <c r="F14" s="161">
        <f>+IF($A14="",IF($C14="",SUMIFS(全伝票!J:J,全伝票!$B:$B,$B14),SUMIFS(全伝票!J:J,全伝票!$C:$C,$C14)),IF($C14="",SUMIFS(全伝票!J:J,全伝票!$A:$A,$A14,全伝票!$B:$B,$B14),SUMIFS(全伝票!J:J,全伝票!$A:$A,$A14,全伝票!$C:$C,$C14)))</f>
        <v>0</v>
      </c>
      <c r="G14" s="160">
        <f>+IF($A14="",IF($C14="",SUMIFS(全伝票!K:K,全伝票!$B:$B,$B14),SUMIFS(全伝票!K:K,全伝票!$C:$C,$C14)),IF($C14="",SUMIFS(全伝票!K:K,全伝票!$A:$A,$A14,全伝票!$B:$B,$B14),SUMIFS(全伝票!K:K,全伝票!$A:$A,$A14,全伝票!$C:$C,$C14)))</f>
        <v>0</v>
      </c>
      <c r="H14" s="160">
        <f>+IF($A14="",IF($C14="",SUMIFS(全伝票!L:L,全伝票!$B:$B,$B14),SUMIFS(全伝票!L:L,全伝票!$C:$C,$C14)),IF($C14="",SUMIFS(全伝票!L:L,全伝票!$A:$A,$A14,全伝票!$B:$B,$B14),SUMIFS(全伝票!L:L,全伝票!$A:$A,$A14,全伝票!$C:$C,$C14)))</f>
        <v>0</v>
      </c>
      <c r="I14" s="160">
        <f>+IF($A14="",IF($C14="",SUMIFS(全伝票!M:M,全伝票!$B:$B,$B14),SUMIFS(全伝票!M:M,全伝票!$C:$C,$C14)),IF($C14="",SUMIFS(全伝票!M:M,全伝票!$A:$A,$A14,全伝票!$B:$B,$B14),SUMIFS(全伝票!M:M,全伝票!$A:$A,$A14,全伝票!$C:$C,$C14)))</f>
        <v>0</v>
      </c>
      <c r="J14" s="184">
        <f>+IF($A14="",IF($C14="",SUMIFS(全伝票!N:N,全伝票!$B:$B,$B14),SUMIFS(全伝票!N:N,全伝票!$C:$C,$C14)),IF($C14="",SUMIFS(全伝票!N:N,全伝票!$A:$A,$A14,全伝票!$B:$B,$B14),SUMIFS(全伝票!N:N,全伝票!$A:$A,$A14,全伝票!$C:$C,$C14)))</f>
        <v>0</v>
      </c>
      <c r="K14" s="34">
        <f t="shared" si="0"/>
        <v>0</v>
      </c>
      <c r="L14" s="158">
        <f>+IF($A14="",IF($C14="",SUMIFS(全伝票!O:O,全伝票!$B:$B,$B14),SUMIFS(全伝票!O:O,全伝票!$C:$C,$C14)),IF($C14="",SUMIFS(全伝票!O:O,全伝票!$A:$A,$A14,全伝票!$B:$B,$B14),SUMIFS(全伝票!O:O,全伝票!$A:$A,$A14,全伝票!$C:$C,$C14)))</f>
        <v>0</v>
      </c>
      <c r="M14" s="158">
        <f>+IF($A14="",IF($C14="",SUMIFS(全伝票!P:P,全伝票!$B:$B,$B14),SUMIFS(全伝票!P:P,全伝票!$C:$C,$C14)),IF($C14="",SUMIFS(全伝票!P:P,全伝票!$A:$A,$A14,全伝票!$B:$B,$B14),SUMIFS(全伝票!P:P,全伝票!$A:$A,$A14,全伝票!$C:$C,$C14)))</f>
        <v>210372</v>
      </c>
      <c r="N14" s="108">
        <f t="shared" si="1"/>
        <v>0</v>
      </c>
      <c r="O14" s="25">
        <f t="shared" si="2"/>
        <v>0</v>
      </c>
      <c r="P14" s="25">
        <f t="shared" si="3"/>
        <v>0</v>
      </c>
      <c r="Q14" s="25">
        <f t="shared" si="3"/>
        <v>0</v>
      </c>
      <c r="R14" s="157">
        <f t="shared" si="4"/>
        <v>0</v>
      </c>
      <c r="S14" s="22">
        <f t="shared" si="5"/>
        <v>0</v>
      </c>
      <c r="T14" s="109">
        <f t="shared" si="6"/>
        <v>210372</v>
      </c>
      <c r="U14" s="107">
        <f t="shared" si="7"/>
        <v>0</v>
      </c>
      <c r="V14" s="107">
        <f t="shared" si="8"/>
        <v>0</v>
      </c>
      <c r="W14" s="107">
        <f t="shared" si="9"/>
        <v>0</v>
      </c>
      <c r="X14" s="107">
        <f t="shared" si="9"/>
        <v>0</v>
      </c>
      <c r="Y14" s="107">
        <f t="shared" si="10"/>
        <v>0</v>
      </c>
      <c r="Z14" s="106">
        <f t="shared" si="11"/>
        <v>0</v>
      </c>
      <c r="AA14" s="106">
        <f t="shared" si="12"/>
        <v>0</v>
      </c>
      <c r="AB14" s="106">
        <f t="shared" si="13"/>
        <v>0</v>
      </c>
      <c r="AC14" s="106">
        <f t="shared" si="13"/>
        <v>0</v>
      </c>
      <c r="AD14" s="106">
        <f t="shared" si="14"/>
        <v>0</v>
      </c>
    </row>
    <row r="15" spans="1:35">
      <c r="A15" s="165"/>
      <c r="B15" s="164"/>
      <c r="C15" s="163"/>
      <c r="D15" s="162"/>
      <c r="E15" s="183"/>
      <c r="F15" s="108"/>
      <c r="G15" s="25"/>
      <c r="H15" s="25"/>
      <c r="I15" s="25"/>
      <c r="J15" s="22"/>
      <c r="K15" s="34"/>
      <c r="L15" s="183"/>
      <c r="M15" s="183"/>
      <c r="N15" s="108"/>
      <c r="O15" s="25"/>
      <c r="P15" s="25"/>
      <c r="Q15" s="25"/>
      <c r="R15" s="157"/>
      <c r="S15" s="22"/>
      <c r="T15" s="109"/>
      <c r="U15" s="107"/>
      <c r="V15" s="107"/>
      <c r="W15" s="107"/>
      <c r="X15" s="107"/>
      <c r="Y15" s="107"/>
      <c r="Z15" s="106"/>
      <c r="AA15" s="106"/>
      <c r="AB15" s="106"/>
      <c r="AC15" s="106"/>
      <c r="AD15" s="106"/>
    </row>
    <row r="16" spans="1:35">
      <c r="A16" s="165"/>
      <c r="B16" s="164"/>
      <c r="C16" s="163"/>
      <c r="D16" s="162"/>
      <c r="E16" s="183"/>
      <c r="F16" s="108"/>
      <c r="G16" s="25"/>
      <c r="H16" s="25"/>
      <c r="I16" s="25"/>
      <c r="J16" s="22"/>
      <c r="K16" s="34"/>
      <c r="L16" s="183"/>
      <c r="M16" s="183"/>
      <c r="N16" s="108"/>
      <c r="O16" s="25"/>
      <c r="P16" s="25"/>
      <c r="Q16" s="25"/>
      <c r="R16" s="157"/>
      <c r="S16" s="22"/>
      <c r="T16" s="109"/>
      <c r="U16" s="107"/>
      <c r="V16" s="107"/>
      <c r="W16" s="107"/>
      <c r="X16" s="107"/>
      <c r="Y16" s="107"/>
      <c r="Z16" s="106"/>
      <c r="AA16" s="106"/>
      <c r="AB16" s="106"/>
      <c r="AC16" s="106"/>
      <c r="AD16" s="106"/>
    </row>
    <row r="17" spans="1:30">
      <c r="A17" s="165"/>
      <c r="B17" s="164"/>
      <c r="C17" s="163"/>
      <c r="D17" s="162"/>
      <c r="E17" s="183"/>
      <c r="F17" s="108"/>
      <c r="G17" s="25"/>
      <c r="H17" s="25"/>
      <c r="I17" s="25"/>
      <c r="J17" s="22"/>
      <c r="K17" s="34"/>
      <c r="L17" s="183"/>
      <c r="M17" s="183"/>
      <c r="N17" s="108"/>
      <c r="O17" s="25"/>
      <c r="P17" s="25"/>
      <c r="Q17" s="25"/>
      <c r="R17" s="157"/>
      <c r="S17" s="22"/>
      <c r="T17" s="109"/>
      <c r="U17" s="107"/>
      <c r="V17" s="107"/>
      <c r="W17" s="107"/>
      <c r="X17" s="107"/>
      <c r="Y17" s="107"/>
      <c r="Z17" s="106"/>
      <c r="AA17" s="106"/>
      <c r="AB17" s="106"/>
      <c r="AC17" s="106"/>
      <c r="AD17" s="106"/>
    </row>
    <row r="18" spans="1:30">
      <c r="A18" s="165"/>
      <c r="B18" s="164"/>
      <c r="C18" s="163"/>
      <c r="D18" s="162"/>
      <c r="E18" s="183"/>
      <c r="F18" s="108"/>
      <c r="G18" s="25"/>
      <c r="H18" s="25"/>
      <c r="I18" s="25"/>
      <c r="J18" s="22"/>
      <c r="K18" s="34"/>
      <c r="L18" s="183"/>
      <c r="M18" s="183"/>
      <c r="N18" s="108"/>
      <c r="O18" s="25"/>
      <c r="P18" s="25"/>
      <c r="Q18" s="25"/>
      <c r="R18" s="157"/>
      <c r="S18" s="22"/>
      <c r="T18" s="109"/>
      <c r="U18" s="107"/>
      <c r="V18" s="107"/>
      <c r="W18" s="107"/>
      <c r="X18" s="107"/>
      <c r="Y18" s="107"/>
      <c r="Z18" s="106"/>
      <c r="AA18" s="106"/>
      <c r="AB18" s="106"/>
      <c r="AC18" s="106"/>
      <c r="AD18" s="106"/>
    </row>
    <row r="19" spans="1:30">
      <c r="A19" s="165"/>
      <c r="B19" s="164"/>
      <c r="C19" s="163"/>
      <c r="D19" s="162"/>
      <c r="E19" s="183"/>
      <c r="F19" s="108"/>
      <c r="G19" s="25"/>
      <c r="H19" s="25"/>
      <c r="I19" s="25"/>
      <c r="J19" s="22"/>
      <c r="K19" s="34"/>
      <c r="L19" s="183"/>
      <c r="M19" s="183"/>
      <c r="N19" s="108"/>
      <c r="O19" s="25"/>
      <c r="P19" s="25"/>
      <c r="Q19" s="25"/>
      <c r="R19" s="157"/>
      <c r="S19" s="22"/>
      <c r="T19" s="109"/>
      <c r="U19" s="107"/>
      <c r="V19" s="107"/>
      <c r="W19" s="107"/>
      <c r="X19" s="107"/>
      <c r="Y19" s="107"/>
      <c r="Z19" s="106"/>
      <c r="AA19" s="106"/>
      <c r="AB19" s="106"/>
      <c r="AC19" s="106"/>
      <c r="AD19" s="106"/>
    </row>
    <row r="20" spans="1:30">
      <c r="A20" s="165"/>
      <c r="B20" s="164"/>
      <c r="C20" s="163"/>
      <c r="D20" s="162"/>
      <c r="E20" s="183"/>
      <c r="F20" s="108"/>
      <c r="G20" s="25"/>
      <c r="H20" s="25"/>
      <c r="I20" s="25"/>
      <c r="J20" s="22"/>
      <c r="K20" s="34"/>
      <c r="L20" s="183"/>
      <c r="M20" s="183"/>
      <c r="N20" s="108"/>
      <c r="O20" s="25"/>
      <c r="P20" s="25"/>
      <c r="Q20" s="25"/>
      <c r="R20" s="157"/>
      <c r="S20" s="22"/>
      <c r="T20" s="109"/>
      <c r="U20" s="107"/>
      <c r="V20" s="107"/>
      <c r="W20" s="107"/>
      <c r="X20" s="107"/>
      <c r="Y20" s="107"/>
      <c r="Z20" s="106"/>
      <c r="AA20" s="106"/>
      <c r="AB20" s="106"/>
      <c r="AC20" s="106"/>
      <c r="AD20" s="106"/>
    </row>
    <row r="21" spans="1:30">
      <c r="A21" s="165"/>
      <c r="B21" s="164"/>
      <c r="C21" s="163"/>
      <c r="D21" s="162"/>
      <c r="E21" s="183"/>
      <c r="F21" s="108"/>
      <c r="G21" s="25"/>
      <c r="H21" s="25"/>
      <c r="I21" s="25"/>
      <c r="J21" s="22"/>
      <c r="K21" s="34"/>
      <c r="L21" s="183"/>
      <c r="M21" s="183"/>
      <c r="N21" s="108"/>
      <c r="O21" s="25"/>
      <c r="P21" s="25"/>
      <c r="Q21" s="25"/>
      <c r="R21" s="157"/>
      <c r="S21" s="22"/>
      <c r="T21" s="109"/>
      <c r="U21" s="107"/>
      <c r="V21" s="107"/>
      <c r="W21" s="107"/>
      <c r="X21" s="107"/>
      <c r="Y21" s="107"/>
      <c r="Z21" s="106"/>
      <c r="AA21" s="106"/>
      <c r="AB21" s="106"/>
      <c r="AC21" s="106"/>
      <c r="AD21" s="106"/>
    </row>
    <row r="22" spans="1:30">
      <c r="A22" s="165"/>
      <c r="B22" s="164"/>
      <c r="C22" s="163"/>
      <c r="D22" s="162"/>
      <c r="E22" s="183"/>
      <c r="F22" s="108"/>
      <c r="G22" s="25"/>
      <c r="H22" s="25"/>
      <c r="I22" s="25"/>
      <c r="J22" s="22"/>
      <c r="K22" s="34"/>
      <c r="L22" s="183"/>
      <c r="M22" s="183"/>
      <c r="N22" s="108"/>
      <c r="O22" s="25"/>
      <c r="P22" s="25"/>
      <c r="Q22" s="25"/>
      <c r="R22" s="157"/>
      <c r="S22" s="22"/>
      <c r="T22" s="109"/>
      <c r="U22" s="107"/>
      <c r="V22" s="107"/>
      <c r="W22" s="107"/>
      <c r="X22" s="107"/>
      <c r="Y22" s="107"/>
      <c r="Z22" s="106"/>
      <c r="AA22" s="106"/>
      <c r="AB22" s="106"/>
      <c r="AC22" s="106"/>
      <c r="AD22" s="106"/>
    </row>
    <row r="23" spans="1:30">
      <c r="A23" s="165"/>
      <c r="B23" s="164"/>
      <c r="C23" s="163"/>
      <c r="D23" s="162"/>
      <c r="E23" s="183"/>
      <c r="F23" s="108"/>
      <c r="G23" s="25"/>
      <c r="H23" s="25"/>
      <c r="I23" s="25"/>
      <c r="J23" s="22"/>
      <c r="K23" s="34"/>
      <c r="L23" s="183"/>
      <c r="M23" s="183"/>
      <c r="N23" s="108"/>
      <c r="O23" s="25"/>
      <c r="P23" s="25"/>
      <c r="Q23" s="25"/>
      <c r="R23" s="157"/>
      <c r="S23" s="22"/>
      <c r="T23" s="109"/>
      <c r="U23" s="107"/>
      <c r="V23" s="107"/>
      <c r="W23" s="107"/>
      <c r="X23" s="107"/>
      <c r="Y23" s="107"/>
      <c r="Z23" s="106"/>
      <c r="AA23" s="106"/>
      <c r="AB23" s="106"/>
      <c r="AC23" s="106"/>
      <c r="AD23" s="106"/>
    </row>
    <row r="24" spans="1:30">
      <c r="A24" s="165"/>
      <c r="B24" s="164"/>
      <c r="C24" s="163"/>
      <c r="D24" s="162"/>
      <c r="E24" s="183"/>
      <c r="F24" s="108"/>
      <c r="G24" s="25"/>
      <c r="H24" s="25"/>
      <c r="I24" s="25"/>
      <c r="J24" s="22"/>
      <c r="K24" s="34"/>
      <c r="L24" s="183"/>
      <c r="M24" s="183"/>
      <c r="N24" s="108"/>
      <c r="O24" s="25"/>
      <c r="P24" s="25"/>
      <c r="Q24" s="25"/>
      <c r="R24" s="157"/>
      <c r="S24" s="22"/>
      <c r="T24" s="109"/>
      <c r="U24" s="107"/>
      <c r="V24" s="107"/>
      <c r="W24" s="107"/>
      <c r="X24" s="107"/>
      <c r="Y24" s="107"/>
      <c r="Z24" s="106"/>
      <c r="AA24" s="106"/>
      <c r="AB24" s="106"/>
      <c r="AC24" s="106"/>
      <c r="AD24" s="106"/>
    </row>
    <row r="25" spans="1:30">
      <c r="A25" s="165"/>
      <c r="B25" s="164"/>
      <c r="C25" s="163"/>
      <c r="D25" s="162"/>
      <c r="E25" s="183"/>
      <c r="F25" s="108"/>
      <c r="G25" s="25"/>
      <c r="H25" s="25"/>
      <c r="I25" s="25"/>
      <c r="J25" s="22"/>
      <c r="K25" s="34"/>
      <c r="L25" s="183"/>
      <c r="M25" s="183"/>
      <c r="N25" s="108"/>
      <c r="O25" s="25"/>
      <c r="P25" s="25"/>
      <c r="Q25" s="25"/>
      <c r="R25" s="157"/>
      <c r="S25" s="22"/>
      <c r="T25" s="109"/>
      <c r="U25" s="107"/>
      <c r="V25" s="107"/>
      <c r="W25" s="107"/>
      <c r="X25" s="107"/>
      <c r="Y25" s="107"/>
      <c r="Z25" s="106"/>
      <c r="AA25" s="106"/>
      <c r="AB25" s="106"/>
      <c r="AC25" s="106"/>
      <c r="AD25" s="106"/>
    </row>
    <row r="26" spans="1:30">
      <c r="A26" s="165"/>
      <c r="B26" s="164"/>
      <c r="C26" s="163"/>
      <c r="D26" s="162"/>
      <c r="E26" s="183"/>
      <c r="F26" s="108"/>
      <c r="G26" s="25"/>
      <c r="H26" s="25"/>
      <c r="I26" s="25"/>
      <c r="J26" s="22"/>
      <c r="K26" s="34"/>
      <c r="L26" s="183"/>
      <c r="M26" s="183"/>
      <c r="N26" s="108"/>
      <c r="O26" s="25"/>
      <c r="P26" s="25"/>
      <c r="Q26" s="25"/>
      <c r="R26" s="157"/>
      <c r="S26" s="22"/>
      <c r="T26" s="109"/>
      <c r="U26" s="107"/>
      <c r="V26" s="107"/>
      <c r="W26" s="107"/>
      <c r="X26" s="107"/>
      <c r="Y26" s="107"/>
      <c r="Z26" s="106"/>
      <c r="AA26" s="106"/>
      <c r="AB26" s="106"/>
      <c r="AC26" s="106"/>
      <c r="AD26" s="106"/>
    </row>
    <row r="27" spans="1:30">
      <c r="A27" s="165"/>
      <c r="B27" s="164"/>
      <c r="C27" s="163"/>
      <c r="D27" s="162"/>
      <c r="E27" s="183"/>
      <c r="F27" s="108"/>
      <c r="G27" s="25"/>
      <c r="H27" s="25"/>
      <c r="I27" s="25"/>
      <c r="J27" s="22"/>
      <c r="K27" s="34"/>
      <c r="L27" s="183"/>
      <c r="M27" s="183"/>
      <c r="N27" s="108"/>
      <c r="O27" s="25"/>
      <c r="P27" s="25"/>
      <c r="Q27" s="25"/>
      <c r="R27" s="157"/>
      <c r="S27" s="22"/>
      <c r="T27" s="109"/>
      <c r="U27" s="107"/>
      <c r="V27" s="107"/>
      <c r="W27" s="107"/>
      <c r="X27" s="107"/>
      <c r="Y27" s="107"/>
      <c r="Z27" s="106"/>
      <c r="AA27" s="106"/>
      <c r="AB27" s="106"/>
      <c r="AC27" s="106"/>
      <c r="AD27" s="106"/>
    </row>
    <row r="28" spans="1:30">
      <c r="A28" s="165"/>
      <c r="B28" s="164"/>
      <c r="C28" s="163"/>
      <c r="D28" s="162"/>
      <c r="E28" s="183"/>
      <c r="F28" s="108"/>
      <c r="G28" s="25"/>
      <c r="H28" s="25"/>
      <c r="I28" s="25"/>
      <c r="J28" s="22"/>
      <c r="K28" s="34"/>
      <c r="L28" s="183"/>
      <c r="M28" s="183"/>
      <c r="N28" s="108"/>
      <c r="O28" s="25"/>
      <c r="P28" s="25"/>
      <c r="Q28" s="25"/>
      <c r="R28" s="157"/>
      <c r="S28" s="22"/>
      <c r="T28" s="109"/>
      <c r="U28" s="107"/>
      <c r="V28" s="107"/>
      <c r="W28" s="107"/>
      <c r="X28" s="107"/>
      <c r="Y28" s="107"/>
      <c r="Z28" s="106"/>
      <c r="AA28" s="106"/>
      <c r="AB28" s="106"/>
      <c r="AC28" s="106"/>
      <c r="AD28" s="106"/>
    </row>
    <row r="29" spans="1:30">
      <c r="A29" s="165"/>
      <c r="B29" s="164"/>
      <c r="C29" s="163"/>
      <c r="D29" s="162"/>
      <c r="E29" s="183"/>
      <c r="F29" s="108"/>
      <c r="G29" s="25"/>
      <c r="H29" s="25"/>
      <c r="I29" s="25"/>
      <c r="J29" s="22"/>
      <c r="K29" s="34"/>
      <c r="L29" s="183"/>
      <c r="M29" s="183"/>
      <c r="N29" s="108"/>
      <c r="O29" s="25"/>
      <c r="P29" s="25"/>
      <c r="Q29" s="25"/>
      <c r="R29" s="157"/>
      <c r="S29" s="22"/>
      <c r="T29" s="109"/>
      <c r="U29" s="107"/>
      <c r="V29" s="107"/>
      <c r="W29" s="107"/>
      <c r="X29" s="107"/>
      <c r="Y29" s="107"/>
      <c r="Z29" s="106"/>
      <c r="AA29" s="106"/>
      <c r="AB29" s="106"/>
      <c r="AC29" s="106"/>
      <c r="AD29" s="106"/>
    </row>
    <row r="30" spans="1:30">
      <c r="A30" s="165"/>
      <c r="B30" s="164"/>
      <c r="C30" s="163"/>
      <c r="D30" s="162"/>
      <c r="E30" s="183"/>
      <c r="F30" s="108"/>
      <c r="G30" s="25"/>
      <c r="H30" s="25"/>
      <c r="I30" s="25"/>
      <c r="J30" s="22"/>
      <c r="K30" s="34"/>
      <c r="L30" s="183"/>
      <c r="M30" s="183"/>
      <c r="N30" s="108"/>
      <c r="O30" s="25"/>
      <c r="P30" s="25"/>
      <c r="Q30" s="25"/>
      <c r="R30" s="157"/>
      <c r="S30" s="22"/>
      <c r="T30" s="109"/>
      <c r="U30" s="107"/>
      <c r="V30" s="107"/>
      <c r="W30" s="107"/>
      <c r="X30" s="107"/>
      <c r="Y30" s="107"/>
      <c r="Z30" s="106"/>
      <c r="AA30" s="106"/>
      <c r="AB30" s="106"/>
      <c r="AC30" s="106"/>
      <c r="AD30" s="106"/>
    </row>
    <row r="31" spans="1:30">
      <c r="A31" s="165"/>
      <c r="B31" s="164"/>
      <c r="C31" s="163"/>
      <c r="D31" s="162"/>
      <c r="E31" s="183"/>
      <c r="F31" s="108"/>
      <c r="G31" s="25"/>
      <c r="H31" s="25"/>
      <c r="I31" s="25"/>
      <c r="J31" s="22"/>
      <c r="K31" s="34"/>
      <c r="L31" s="183"/>
      <c r="M31" s="183"/>
      <c r="N31" s="108"/>
      <c r="O31" s="25"/>
      <c r="P31" s="25"/>
      <c r="Q31" s="25"/>
      <c r="R31" s="157"/>
      <c r="S31" s="22"/>
      <c r="T31" s="109"/>
      <c r="U31" s="107"/>
      <c r="V31" s="107"/>
      <c r="W31" s="107"/>
      <c r="X31" s="107"/>
      <c r="Y31" s="107"/>
      <c r="Z31" s="106"/>
      <c r="AA31" s="106"/>
      <c r="AB31" s="106"/>
      <c r="AC31" s="106"/>
      <c r="AD31" s="106"/>
    </row>
    <row r="32" spans="1:30">
      <c r="A32" s="165"/>
      <c r="B32" s="164"/>
      <c r="C32" s="163"/>
      <c r="D32" s="162"/>
      <c r="E32" s="183"/>
      <c r="F32" s="108"/>
      <c r="G32" s="25"/>
      <c r="H32" s="25"/>
      <c r="I32" s="25"/>
      <c r="J32" s="22"/>
      <c r="K32" s="34"/>
      <c r="L32" s="183"/>
      <c r="M32" s="183"/>
      <c r="N32" s="108"/>
      <c r="O32" s="25"/>
      <c r="P32" s="25"/>
      <c r="Q32" s="25"/>
      <c r="R32" s="157"/>
      <c r="S32" s="22"/>
      <c r="T32" s="109"/>
      <c r="U32" s="107"/>
      <c r="V32" s="107"/>
      <c r="W32" s="107"/>
      <c r="X32" s="107"/>
      <c r="Y32" s="107"/>
      <c r="Z32" s="106"/>
      <c r="AA32" s="106"/>
      <c r="AB32" s="106"/>
      <c r="AC32" s="106"/>
      <c r="AD32" s="106"/>
    </row>
    <row r="33" spans="1:30">
      <c r="A33" s="165"/>
      <c r="B33" s="164"/>
      <c r="C33" s="163"/>
      <c r="D33" s="162"/>
      <c r="E33" s="183"/>
      <c r="F33" s="108"/>
      <c r="G33" s="25"/>
      <c r="H33" s="25"/>
      <c r="I33" s="25"/>
      <c r="J33" s="22"/>
      <c r="K33" s="34"/>
      <c r="L33" s="183"/>
      <c r="M33" s="183"/>
      <c r="N33" s="108"/>
      <c r="O33" s="25"/>
      <c r="P33" s="25"/>
      <c r="Q33" s="25"/>
      <c r="R33" s="157"/>
      <c r="S33" s="22"/>
      <c r="T33" s="109"/>
      <c r="U33" s="107"/>
      <c r="V33" s="107"/>
      <c r="W33" s="107"/>
      <c r="X33" s="107"/>
      <c r="Y33" s="107"/>
      <c r="Z33" s="106"/>
      <c r="AA33" s="106"/>
      <c r="AB33" s="106"/>
      <c r="AC33" s="106"/>
      <c r="AD33" s="106"/>
    </row>
    <row r="34" spans="1:30">
      <c r="A34" s="165"/>
      <c r="B34" s="164"/>
      <c r="C34" s="163"/>
      <c r="D34" s="162"/>
      <c r="E34" s="183"/>
      <c r="F34" s="108"/>
      <c r="G34" s="25"/>
      <c r="H34" s="25"/>
      <c r="I34" s="25"/>
      <c r="J34" s="22"/>
      <c r="K34" s="34"/>
      <c r="L34" s="183"/>
      <c r="M34" s="183"/>
      <c r="N34" s="108"/>
      <c r="O34" s="25"/>
      <c r="P34" s="25"/>
      <c r="Q34" s="25"/>
      <c r="R34" s="157"/>
      <c r="S34" s="22"/>
      <c r="T34" s="109"/>
      <c r="U34" s="107"/>
      <c r="V34" s="107"/>
      <c r="W34" s="107"/>
      <c r="X34" s="107"/>
      <c r="Y34" s="107"/>
      <c r="Z34" s="106"/>
      <c r="AA34" s="106"/>
      <c r="AB34" s="106"/>
      <c r="AC34" s="106"/>
      <c r="AD34" s="106"/>
    </row>
    <row r="35" spans="1:30" ht="14.25" thickBot="1">
      <c r="A35" s="165"/>
      <c r="B35" s="164"/>
      <c r="C35" s="163"/>
      <c r="D35" s="162"/>
      <c r="E35" s="183"/>
      <c r="F35" s="108"/>
      <c r="G35" s="25"/>
      <c r="H35" s="25"/>
      <c r="I35" s="25"/>
      <c r="J35" s="22"/>
      <c r="K35" s="34"/>
      <c r="L35" s="183"/>
      <c r="M35" s="183"/>
      <c r="N35" s="108"/>
      <c r="O35" s="25"/>
      <c r="P35" s="25"/>
      <c r="Q35" s="25"/>
      <c r="R35" s="157"/>
      <c r="S35" s="22"/>
      <c r="T35" s="109"/>
      <c r="U35" s="107"/>
      <c r="V35" s="107"/>
      <c r="W35" s="107"/>
      <c r="X35" s="107"/>
      <c r="Y35" s="107"/>
      <c r="Z35" s="106"/>
      <c r="AA35" s="106"/>
      <c r="AB35" s="106"/>
      <c r="AC35" s="106"/>
      <c r="AD35" s="106"/>
    </row>
    <row r="36" spans="1:30" ht="14.25" thickTop="1">
      <c r="A36" s="156"/>
      <c r="B36" s="155"/>
      <c r="C36" s="154"/>
      <c r="D36" s="153" t="s">
        <v>2</v>
      </c>
      <c r="E36" s="149">
        <f t="shared" ref="E36:T36" si="15">SUM(E5:E35)</f>
        <v>26551442230</v>
      </c>
      <c r="F36" s="152">
        <f t="shared" si="15"/>
        <v>0</v>
      </c>
      <c r="G36" s="151">
        <f t="shared" si="15"/>
        <v>0</v>
      </c>
      <c r="H36" s="151">
        <f t="shared" si="15"/>
        <v>0</v>
      </c>
      <c r="I36" s="151">
        <f t="shared" ref="I36" si="16">SUM(I5:I35)</f>
        <v>0</v>
      </c>
      <c r="J36" s="182">
        <f t="shared" si="15"/>
        <v>0</v>
      </c>
      <c r="K36" s="74">
        <f t="shared" si="15"/>
        <v>0</v>
      </c>
      <c r="L36" s="149">
        <f t="shared" si="15"/>
        <v>0</v>
      </c>
      <c r="M36" s="149">
        <f t="shared" si="15"/>
        <v>26551442230</v>
      </c>
      <c r="N36" s="146">
        <f t="shared" si="15"/>
        <v>0</v>
      </c>
      <c r="O36" s="145">
        <f t="shared" si="15"/>
        <v>0</v>
      </c>
      <c r="P36" s="145">
        <f t="shared" si="15"/>
        <v>0</v>
      </c>
      <c r="Q36" s="145">
        <f t="shared" ref="Q36" si="17">SUM(Q5:Q35)</f>
        <v>0</v>
      </c>
      <c r="R36" s="148">
        <f t="shared" si="15"/>
        <v>0</v>
      </c>
      <c r="S36" s="144">
        <f t="shared" si="15"/>
        <v>0</v>
      </c>
      <c r="T36" s="147">
        <f t="shared" si="15"/>
        <v>26551442230</v>
      </c>
      <c r="U36" s="88" t="str">
        <f>+IF(F36=0,"",ROUND(F36*F$4/(100+F$4),7)-N36)</f>
        <v/>
      </c>
      <c r="V36" s="88"/>
      <c r="W36" s="88"/>
      <c r="X36" s="88"/>
      <c r="Y36" s="88"/>
      <c r="Z36" s="88"/>
      <c r="AA36" s="88"/>
      <c r="AB36" s="87"/>
      <c r="AC36" s="87"/>
      <c r="AD36" s="87"/>
    </row>
    <row r="37" spans="1:30">
      <c r="A37" s="143"/>
      <c r="B37" s="142"/>
      <c r="C37" s="141"/>
      <c r="D37" s="140" t="s">
        <v>1</v>
      </c>
      <c r="E37" s="136">
        <f t="shared" ref="E37:J37" si="18">+E36</f>
        <v>26551442230</v>
      </c>
      <c r="F37" s="139">
        <f t="shared" si="18"/>
        <v>0</v>
      </c>
      <c r="G37" s="138">
        <f t="shared" si="18"/>
        <v>0</v>
      </c>
      <c r="H37" s="138">
        <f t="shared" si="18"/>
        <v>0</v>
      </c>
      <c r="I37" s="138">
        <f t="shared" si="18"/>
        <v>0</v>
      </c>
      <c r="J37" s="181">
        <f t="shared" si="18"/>
        <v>0</v>
      </c>
      <c r="K37" s="63">
        <f>SUM(F37:J37)</f>
        <v>0</v>
      </c>
      <c r="L37" s="136">
        <f>+L36</f>
        <v>0</v>
      </c>
      <c r="M37" s="135">
        <f>+M36</f>
        <v>26551442230</v>
      </c>
      <c r="N37" s="133">
        <f>+'3条支出'!N19</f>
        <v>0</v>
      </c>
      <c r="O37" s="132">
        <f>+'3条支出'!O19</f>
        <v>0</v>
      </c>
      <c r="P37" s="132">
        <f>+'3条支出'!P19</f>
        <v>0</v>
      </c>
      <c r="Q37" s="132">
        <f>+'3条支出'!Q19</f>
        <v>0</v>
      </c>
      <c r="R37" s="132">
        <f>+'3条支出'!R19</f>
        <v>0</v>
      </c>
      <c r="S37" s="131">
        <f>+'3条支出'!S19</f>
        <v>0</v>
      </c>
      <c r="T37" s="134">
        <f>+'3条支出'!T19</f>
        <v>26551442230</v>
      </c>
      <c r="U37" s="88" t="str">
        <f>+IF(F37=0,"",ROUND(F37*F$4/(100+F$4),7)-N37)</f>
        <v/>
      </c>
      <c r="V37" s="88"/>
      <c r="W37" s="88"/>
      <c r="X37" s="88"/>
      <c r="Y37" s="88"/>
      <c r="Z37" s="88"/>
      <c r="AA37" s="88"/>
      <c r="AB37" s="87"/>
      <c r="AC37" s="87"/>
      <c r="AD37" s="87"/>
    </row>
    <row r="38" spans="1:30">
      <c r="E38" s="4">
        <f t="shared" ref="E38:T38" si="19">+E37-E36</f>
        <v>0</v>
      </c>
      <c r="F38" s="4">
        <f t="shared" si="19"/>
        <v>0</v>
      </c>
      <c r="G38" s="4">
        <f t="shared" si="19"/>
        <v>0</v>
      </c>
      <c r="H38" s="4">
        <f t="shared" si="19"/>
        <v>0</v>
      </c>
      <c r="I38" s="4">
        <f t="shared" ref="I38" si="20">+I37-I36</f>
        <v>0</v>
      </c>
      <c r="J38" s="4">
        <f t="shared" si="19"/>
        <v>0</v>
      </c>
      <c r="K38" s="4">
        <f t="shared" si="19"/>
        <v>0</v>
      </c>
      <c r="L38" s="4">
        <f t="shared" si="19"/>
        <v>0</v>
      </c>
      <c r="M38" s="4">
        <f t="shared" si="19"/>
        <v>0</v>
      </c>
      <c r="N38" s="4">
        <f t="shared" si="19"/>
        <v>0</v>
      </c>
      <c r="O38" s="4">
        <f t="shared" si="19"/>
        <v>0</v>
      </c>
      <c r="P38" s="4">
        <f t="shared" si="19"/>
        <v>0</v>
      </c>
      <c r="Q38" s="4">
        <f t="shared" ref="Q38" si="21">+Q37-Q36</f>
        <v>0</v>
      </c>
      <c r="R38" s="4">
        <f t="shared" si="19"/>
        <v>0</v>
      </c>
      <c r="S38" s="4">
        <f t="shared" si="19"/>
        <v>0</v>
      </c>
      <c r="T38" s="4">
        <f t="shared" si="19"/>
        <v>0</v>
      </c>
      <c r="U38" s="88" t="str">
        <f>+IF(F38=0,"",ROUND(F38*F$4/(100+F$4),7)-N38)</f>
        <v/>
      </c>
      <c r="V38" s="88" t="str">
        <f>+IF(G38=0,"",ROUND(G38*G$4/(100+G$4),7)-O38)</f>
        <v/>
      </c>
      <c r="W38" s="88" t="str">
        <f>+IF(H38=0,"",ROUND(H38*H$4/(100+H$4),7)-P38)</f>
        <v/>
      </c>
      <c r="X38" s="88"/>
      <c r="Y38" s="88" t="str">
        <f>+IF(J38=0,"",ROUND(J38*J$4/(100+J$4),7)-R38)</f>
        <v/>
      </c>
      <c r="Z38" s="88"/>
      <c r="AA38" s="88"/>
      <c r="AB38" s="87" t="str">
        <f>+IF(SUM(U38:Y38)=0,"",SUM(U38:Y38))</f>
        <v/>
      </c>
      <c r="AC38" s="87"/>
      <c r="AD38" s="87"/>
    </row>
    <row r="39" spans="1:30">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E40" s="179"/>
      <c r="F40" s="179"/>
      <c r="G40" s="180"/>
      <c r="H40" s="179"/>
      <c r="I40" s="179"/>
      <c r="U40" s="88" t="str">
        <f>+IF(F40=0,"",ROUND(F40*F$4/(100+F$4),7)-N40)</f>
        <v/>
      </c>
      <c r="V40" s="88"/>
      <c r="W40" s="88"/>
      <c r="X40" s="88"/>
      <c r="Y40" s="88"/>
      <c r="Z40" s="88"/>
      <c r="AA40" s="88"/>
      <c r="AB40" s="87"/>
      <c r="AC40" s="87"/>
      <c r="AD40" s="87"/>
    </row>
    <row r="41" spans="1:30">
      <c r="E41" s="179"/>
      <c r="F41" s="179"/>
      <c r="G41" s="180"/>
      <c r="H41" s="179"/>
      <c r="I41" s="179"/>
    </row>
    <row r="42" spans="1:30">
      <c r="E42" s="179"/>
      <c r="F42" s="179"/>
      <c r="G42" s="179"/>
      <c r="H42" s="179"/>
      <c r="I42" s="179"/>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3"/>
  <conditionalFormatting sqref="AE36:AI37">
    <cfRule type="notContainsBlanks" dxfId="46" priority="4" stopIfTrue="1">
      <formula>LEN(TRIM(AE36))&gt;0</formula>
    </cfRule>
  </conditionalFormatting>
  <conditionalFormatting sqref="AE5:AI35">
    <cfRule type="notContainsBlanks" dxfId="45" priority="3" stopIfTrue="1">
      <formula>LEN(TRIM(AE5))&gt;0</formula>
    </cfRule>
  </conditionalFormatting>
  <conditionalFormatting sqref="Z5:AD35">
    <cfRule type="expression" dxfId="44" priority="2">
      <formula>ABS(Z5)=1</formula>
    </cfRule>
  </conditionalFormatting>
  <conditionalFormatting sqref="E38:T38">
    <cfRule type="cellIs" dxfId="43" priority="1" operator="notEqual">
      <formula>0</formula>
    </cfRule>
  </conditionalFormatting>
  <pageMargins left="0.39370078740157483" right="0.39370078740157483" top="0.78740157480314965" bottom="0.39370078740157483" header="0.39370078740157483" footer="0.19685039370078741"/>
  <pageSetup paperSize="9" scale="67" orientation="landscape" blackAndWhite="1" r:id="rId1"/>
  <headerFooter>
    <oddFooter>&amp;L&amp;8&amp;Z&amp;F&amp;A&amp;R&amp;8&amp;D&amp;T</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I42"/>
  <sheetViews>
    <sheetView zoomScale="70" zoomScaleNormal="70" workbookViewId="0">
      <selection activeCell="E30" sqref="E30"/>
    </sheetView>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+'3条支出'!D1</f>
        <v>令和５年度決算　消費税算出資料</v>
      </c>
    </row>
    <row r="2" spans="1:35">
      <c r="D2" s="2" t="s">
        <v>496</v>
      </c>
      <c r="V2" s="122"/>
      <c r="W2" s="122"/>
      <c r="X2" s="261"/>
      <c r="Y2" s="122"/>
      <c r="Z2" s="122"/>
      <c r="AA2" s="122"/>
      <c r="AB2" s="122"/>
      <c r="AC2" s="261"/>
      <c r="AD2" s="122"/>
      <c r="AE2" s="122"/>
      <c r="AF2" s="122"/>
      <c r="AG2" s="122"/>
      <c r="AH2" s="261"/>
      <c r="AI2" s="122"/>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122" customFormat="1">
      <c r="A4" s="329"/>
      <c r="B4" s="331"/>
      <c r="C4" s="333"/>
      <c r="D4" s="335"/>
      <c r="E4" s="335"/>
      <c r="F4" s="53">
        <v>3</v>
      </c>
      <c r="G4" s="52">
        <v>5</v>
      </c>
      <c r="H4" s="52">
        <v>8</v>
      </c>
      <c r="I4" s="269">
        <v>8</v>
      </c>
      <c r="J4" s="127">
        <v>10</v>
      </c>
      <c r="K4" s="178" t="s">
        <v>2</v>
      </c>
      <c r="L4" s="335"/>
      <c r="M4" s="335"/>
      <c r="N4" s="126">
        <v>3</v>
      </c>
      <c r="O4" s="125">
        <v>5</v>
      </c>
      <c r="P4" s="125">
        <v>8</v>
      </c>
      <c r="Q4" s="269">
        <v>8</v>
      </c>
      <c r="R4" s="124">
        <v>10</v>
      </c>
      <c r="S4" s="123" t="s">
        <v>2</v>
      </c>
      <c r="T4" s="335"/>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177"/>
      <c r="B5" s="176">
        <v>8832246</v>
      </c>
      <c r="C5" s="175"/>
      <c r="D5" s="174" t="s">
        <v>495</v>
      </c>
      <c r="E5" s="170">
        <f>+IF($A5="",IF($C5="",SUMIFS(全伝票!I:I,全伝票!$B:$B,$B5),SUMIFS(全伝票!I:I,全伝票!$C:$C,$C5)),IF($C5="",SUMIFS(全伝票!I:I,全伝票!$A:$A,$A5,全伝票!$B:$B,$B5),SUMIFS(全伝票!I:I,全伝票!$A:$A,$A5,全伝票!$C:$C,$C5)))</f>
        <v>503761871</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172">
        <f>+IF($A5="",IF($C5="",SUMIFS(全伝票!L:L,全伝票!$B:$B,$B5),SUMIFS(全伝票!L:L,全伝票!$C:$C,$C5)),IF($C5="",SUMIFS(全伝票!L:L,全伝票!$A:$A,$A5,全伝票!$B:$B,$B5),SUMIFS(全伝票!L:L,全伝票!$A:$A,$A5,全伝票!$C:$C,$C5)))</f>
        <v>0</v>
      </c>
      <c r="I5" s="172">
        <f>+IF($A5="",IF($C5="",SUMIFS(全伝票!M:M,全伝票!$B:$B,$B5),SUMIFS(全伝票!M:M,全伝票!$C:$C,$C5)),IF($C5="",SUMIFS(全伝票!M:M,全伝票!$A:$A,$A5,全伝票!$B:$B,$B5),SUMIFS(全伝票!M:M,全伝票!$A:$A,$A5,全伝票!$C:$C,$C5)))</f>
        <v>0</v>
      </c>
      <c r="J5" s="185">
        <f>+IF($A5="",IF($C5="",SUMIFS(全伝票!N:N,全伝票!$B:$B,$B5),SUMIFS(全伝票!N:N,全伝票!$C:$C,$C5)),IF($C5="",SUMIFS(全伝票!N:N,全伝票!$A:$A,$A5,全伝票!$B:$B,$B5),SUMIFS(全伝票!N:N,全伝票!$A:$A,$A5,全伝票!$C:$C,$C5)))</f>
        <v>0</v>
      </c>
      <c r="K5" s="112">
        <f>SUM(F5:J5)</f>
        <v>0</v>
      </c>
      <c r="L5" s="170">
        <f>+IF($A5="",IF($C5="",SUMIFS(全伝票!O:O,全伝票!$B:$B,$B5),SUMIFS(全伝票!O:O,全伝票!$C:$C,$C5)),IF($C5="",SUMIFS(全伝票!O:O,全伝票!$A:$A,$A5,全伝票!$B:$B,$B5),SUMIFS(全伝票!O:O,全伝票!$A:$A,$A5,全伝票!$C:$C,$C5)))</f>
        <v>0</v>
      </c>
      <c r="M5" s="170">
        <f>+IF($A5="",IF($C5="",SUMIFS(全伝票!P:P,全伝票!$B:$B,$B5),SUMIFS(全伝票!P:P,全伝票!$C:$C,$C5)),IF($C5="",SUMIFS(全伝票!P:P,全伝票!$A:$A,$A5,全伝票!$B:$B,$B5),SUMIFS(全伝票!P:P,全伝票!$A:$A,$A5,全伝票!$C:$C,$C5)))</f>
        <v>503761871</v>
      </c>
      <c r="N5" s="169">
        <f>+ROUND(F5*F$4/(100+F$4),0)+AE5</f>
        <v>0</v>
      </c>
      <c r="O5" s="47">
        <f>+ROUND(G5*G$4/(100+G$4),0)+AF5</f>
        <v>0</v>
      </c>
      <c r="P5" s="47">
        <f>+ROUND(H5*H$4/(100+H$4),0)+AG5</f>
        <v>0</v>
      </c>
      <c r="Q5" s="47">
        <f>+ROUND(I5*I$4/(100+I$4),0)+AH5</f>
        <v>0</v>
      </c>
      <c r="R5" s="168">
        <f>+ROUND(J5*J$4/(100+J$4),0)+AI5</f>
        <v>0</v>
      </c>
      <c r="S5" s="167">
        <f>SUM(N5:R5)</f>
        <v>0</v>
      </c>
      <c r="T5" s="166">
        <f>+E5-S5</f>
        <v>503761871</v>
      </c>
      <c r="U5" s="107">
        <f>N5-F5*F$4/(100+F$4)</f>
        <v>0</v>
      </c>
      <c r="V5" s="107">
        <f>O5-G5*G$4/(100+G$4)</f>
        <v>0</v>
      </c>
      <c r="W5" s="107">
        <f>P5-H5*H$4/(100+H$4)</f>
        <v>0</v>
      </c>
      <c r="X5" s="107">
        <f>Q5-I5*I$4/(100+I$4)</f>
        <v>0</v>
      </c>
      <c r="Y5" s="107">
        <f>R5-J5*J$4/(100+J$4)</f>
        <v>0</v>
      </c>
      <c r="Z5" s="106">
        <f>+IF(N$38=0,0,IF(N$38&lt;0,-RANK(U5,U$5:U$35,0),RANK(U5,U$5:U$35,1)))</f>
        <v>0</v>
      </c>
      <c r="AA5" s="106">
        <f>+IF(O$38=0,0,IF(O$38&lt;0,-RANK(V5,V$5:V$35,0),RANK(V5,V$5:V$35,1)))</f>
        <v>0</v>
      </c>
      <c r="AB5" s="106">
        <f>+IF(P$38=0,0,IF(P$38&lt;0,-RANK(W5,W$5:W$35,0),RANK(W5,W$5:W$35,1)))</f>
        <v>0</v>
      </c>
      <c r="AC5" s="106">
        <f>+IF(Q$38=0,0,IF(Q$38&lt;0,-RANK(X5,X$5:X$35,0),RANK(X5,X$5:X$35,1)))</f>
        <v>0</v>
      </c>
      <c r="AD5" s="106">
        <f>+IF(R$38=0,0,IF(R$38&lt;0,-RANK(Y5,Y$5:Y$35,0),RANK(Y5,Y$5:Y$35,1)))</f>
        <v>0</v>
      </c>
    </row>
    <row r="6" spans="1:35">
      <c r="A6" s="165"/>
      <c r="B6" s="164"/>
      <c r="C6" s="163"/>
      <c r="D6" s="162"/>
      <c r="E6" s="183"/>
      <c r="F6" s="108"/>
      <c r="G6" s="25"/>
      <c r="H6" s="25"/>
      <c r="I6" s="25"/>
      <c r="J6" s="22"/>
      <c r="K6" s="34"/>
      <c r="L6" s="183"/>
      <c r="M6" s="183"/>
      <c r="N6" s="108"/>
      <c r="O6" s="25"/>
      <c r="P6" s="25"/>
      <c r="Q6" s="25"/>
      <c r="R6" s="157"/>
      <c r="S6" s="22"/>
      <c r="T6" s="109"/>
      <c r="U6" s="107"/>
      <c r="V6" s="107"/>
      <c r="W6" s="107"/>
      <c r="X6" s="107"/>
      <c r="Y6" s="107"/>
      <c r="Z6" s="106"/>
      <c r="AA6" s="106"/>
      <c r="AB6" s="106"/>
      <c r="AC6" s="106"/>
      <c r="AD6" s="106"/>
    </row>
    <row r="7" spans="1:35">
      <c r="A7" s="165"/>
      <c r="B7" s="164">
        <v>8832247</v>
      </c>
      <c r="C7" s="163"/>
      <c r="D7" s="162" t="s">
        <v>494</v>
      </c>
      <c r="E7" s="158">
        <f>+IF($A7="",IF($C7="",SUMIFS(全伝票!I:I,全伝票!$B:$B,$B7),SUMIFS(全伝票!I:I,全伝票!$C:$C,$C7)),IF($C7="",SUMIFS(全伝票!I:I,全伝票!$A:$A,$A7,全伝票!$B:$B,$B7),SUMIFS(全伝票!I:I,全伝票!$A:$A,$A7,全伝票!$C:$C,$C7)))</f>
        <v>0</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60">
        <f>+IF($A7="",IF($C7="",SUMIFS(全伝票!M:M,全伝票!$B:$B,$B7),SUMIFS(全伝票!M:M,全伝票!$C:$C,$C7)),IF($C7="",SUMIFS(全伝票!M:M,全伝票!$A:$A,$A7,全伝票!$B:$B,$B7),SUMIFS(全伝票!M:M,全伝票!$A:$A,$A7,全伝票!$C:$C,$C7)))</f>
        <v>0</v>
      </c>
      <c r="J7" s="184">
        <f>+IF($A7="",IF($C7="",SUMIFS(全伝票!N:N,全伝票!$B:$B,$B7),SUMIFS(全伝票!N:N,全伝票!$C:$C,$C7)),IF($C7="",SUMIFS(全伝票!N:N,全伝票!$A:$A,$A7,全伝票!$B:$B,$B7),SUMIFS(全伝票!N:N,全伝票!$A:$A,$A7,全伝票!$C:$C,$C7)))</f>
        <v>0</v>
      </c>
      <c r="K7" s="34">
        <f>SUM(F7:J7)</f>
        <v>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0</v>
      </c>
      <c r="N7" s="108">
        <f>+ROUND(F7*F$4/(100+F$4),0)+AE7</f>
        <v>0</v>
      </c>
      <c r="O7" s="25">
        <f>+ROUND(G7*G$4/(100+G$4),0)+AF7</f>
        <v>0</v>
      </c>
      <c r="P7" s="25">
        <f>+ROUND(H7*H$4/(100+H$4),0)+AG7</f>
        <v>0</v>
      </c>
      <c r="Q7" s="25">
        <f>+ROUND(I7*I$4/(100+I$4),0)+AH7</f>
        <v>0</v>
      </c>
      <c r="R7" s="157">
        <f>+ROUND(J7*J$4/(100+J$4),0)+AI7</f>
        <v>0</v>
      </c>
      <c r="S7" s="22">
        <f>SUM(N7:R7)</f>
        <v>0</v>
      </c>
      <c r="T7" s="109">
        <f>+E7-S7</f>
        <v>0</v>
      </c>
      <c r="U7" s="107">
        <f>N7-F7*F$4/(100+F$4)</f>
        <v>0</v>
      </c>
      <c r="V7" s="107">
        <f>O7-G7*G$4/(100+G$4)</f>
        <v>0</v>
      </c>
      <c r="W7" s="107">
        <f>P7-H7*H$4/(100+H$4)</f>
        <v>0</v>
      </c>
      <c r="X7" s="107">
        <f>Q7-I7*I$4/(100+I$4)</f>
        <v>0</v>
      </c>
      <c r="Y7" s="107">
        <f>R7-J7*J$4/(100+J$4)</f>
        <v>0</v>
      </c>
      <c r="Z7" s="106">
        <f>+IF(N$38=0,0,IF(N$38&lt;0,-RANK(U7,U$5:U$35,0),RANK(U7,U$5:U$35,1)))</f>
        <v>0</v>
      </c>
      <c r="AA7" s="106">
        <f>+IF(O$38=0,0,IF(O$38&lt;0,-RANK(V7,V$5:V$35,0),RANK(V7,V$5:V$35,1)))</f>
        <v>0</v>
      </c>
      <c r="AB7" s="106">
        <f>+IF(P$38=0,0,IF(P$38&lt;0,-RANK(W7,W$5:W$35,0),RANK(W7,W$5:W$35,1)))</f>
        <v>0</v>
      </c>
      <c r="AC7" s="106">
        <f>+IF(Q$38=0,0,IF(Q$38&lt;0,-RANK(X7,X$5:X$35,0),RANK(X7,X$5:X$35,1)))</f>
        <v>0</v>
      </c>
      <c r="AD7" s="106">
        <f>+IF(R$38=0,0,IF(R$38&lt;0,-RANK(Y7,Y$5:Y$35,0),RANK(Y7,Y$5:Y$35,1)))</f>
        <v>0</v>
      </c>
    </row>
    <row r="8" spans="1:35">
      <c r="A8" s="165"/>
      <c r="B8" s="164"/>
      <c r="C8" s="163"/>
      <c r="D8" s="162"/>
      <c r="E8" s="183"/>
      <c r="F8" s="108"/>
      <c r="G8" s="25"/>
      <c r="H8" s="25"/>
      <c r="I8" s="25"/>
      <c r="J8" s="22"/>
      <c r="K8" s="34"/>
      <c r="L8" s="183"/>
      <c r="M8" s="183"/>
      <c r="N8" s="108"/>
      <c r="O8" s="25"/>
      <c r="P8" s="25"/>
      <c r="Q8" s="25"/>
      <c r="R8" s="157"/>
      <c r="S8" s="22"/>
      <c r="T8" s="109"/>
      <c r="U8" s="107"/>
      <c r="V8" s="107"/>
      <c r="W8" s="107"/>
      <c r="X8" s="107"/>
      <c r="Y8" s="107"/>
      <c r="Z8" s="106"/>
      <c r="AA8" s="106"/>
      <c r="AB8" s="106"/>
      <c r="AC8" s="106"/>
      <c r="AD8" s="106"/>
    </row>
    <row r="9" spans="1:35">
      <c r="A9" s="165"/>
      <c r="B9" s="164"/>
      <c r="C9" s="163"/>
      <c r="D9" s="162"/>
      <c r="E9" s="183"/>
      <c r="F9" s="108"/>
      <c r="G9" s="25"/>
      <c r="H9" s="25"/>
      <c r="I9" s="25"/>
      <c r="J9" s="22"/>
      <c r="K9" s="34"/>
      <c r="L9" s="183"/>
      <c r="M9" s="183"/>
      <c r="N9" s="108"/>
      <c r="O9" s="25"/>
      <c r="P9" s="25"/>
      <c r="Q9" s="25"/>
      <c r="R9" s="157"/>
      <c r="S9" s="22"/>
      <c r="T9" s="109"/>
      <c r="U9" s="107"/>
      <c r="V9" s="107"/>
      <c r="W9" s="107"/>
      <c r="X9" s="107"/>
      <c r="Y9" s="107"/>
      <c r="Z9" s="106"/>
      <c r="AA9" s="106"/>
      <c r="AB9" s="106"/>
      <c r="AC9" s="106"/>
      <c r="AD9" s="106"/>
    </row>
    <row r="10" spans="1:35">
      <c r="A10" s="165"/>
      <c r="B10" s="164"/>
      <c r="C10" s="163"/>
      <c r="D10" s="162"/>
      <c r="E10" s="183"/>
      <c r="F10" s="108"/>
      <c r="G10" s="25"/>
      <c r="H10" s="25"/>
      <c r="I10" s="25"/>
      <c r="J10" s="22"/>
      <c r="K10" s="34"/>
      <c r="L10" s="183"/>
      <c r="M10" s="183"/>
      <c r="N10" s="108"/>
      <c r="O10" s="25"/>
      <c r="P10" s="25"/>
      <c r="Q10" s="25"/>
      <c r="R10" s="157"/>
      <c r="S10" s="22"/>
      <c r="T10" s="109"/>
      <c r="U10" s="107"/>
      <c r="V10" s="107"/>
      <c r="W10" s="107"/>
      <c r="X10" s="107"/>
      <c r="Y10" s="107"/>
      <c r="Z10" s="106"/>
      <c r="AA10" s="106"/>
      <c r="AB10" s="106"/>
      <c r="AC10" s="106"/>
      <c r="AD10" s="106"/>
    </row>
    <row r="11" spans="1:35">
      <c r="A11" s="165"/>
      <c r="B11" s="164"/>
      <c r="C11" s="163"/>
      <c r="D11" s="162"/>
      <c r="E11" s="183"/>
      <c r="F11" s="108"/>
      <c r="G11" s="25"/>
      <c r="H11" s="25"/>
      <c r="I11" s="25"/>
      <c r="J11" s="22"/>
      <c r="K11" s="34"/>
      <c r="L11" s="183"/>
      <c r="M11" s="183"/>
      <c r="N11" s="108"/>
      <c r="O11" s="25"/>
      <c r="P11" s="25"/>
      <c r="Q11" s="25"/>
      <c r="R11" s="157"/>
      <c r="S11" s="22"/>
      <c r="T11" s="109"/>
      <c r="U11" s="107"/>
      <c r="V11" s="107"/>
      <c r="W11" s="107"/>
      <c r="X11" s="107"/>
      <c r="Y11" s="107"/>
      <c r="Z11" s="106"/>
      <c r="AA11" s="106"/>
      <c r="AB11" s="106"/>
      <c r="AC11" s="106"/>
      <c r="AD11" s="106"/>
    </row>
    <row r="12" spans="1:35">
      <c r="A12" s="165"/>
      <c r="B12" s="164"/>
      <c r="C12" s="163"/>
      <c r="D12" s="162"/>
      <c r="E12" s="183"/>
      <c r="F12" s="108"/>
      <c r="G12" s="25"/>
      <c r="H12" s="25"/>
      <c r="I12" s="25"/>
      <c r="J12" s="22"/>
      <c r="K12" s="34"/>
      <c r="L12" s="183"/>
      <c r="M12" s="183"/>
      <c r="N12" s="108"/>
      <c r="O12" s="25"/>
      <c r="P12" s="25"/>
      <c r="Q12" s="25"/>
      <c r="R12" s="157"/>
      <c r="S12" s="22"/>
      <c r="T12" s="109"/>
      <c r="U12" s="107"/>
      <c r="V12" s="107"/>
      <c r="W12" s="107"/>
      <c r="X12" s="107"/>
      <c r="Y12" s="107"/>
      <c r="Z12" s="106"/>
      <c r="AA12" s="106"/>
      <c r="AB12" s="106"/>
      <c r="AC12" s="106"/>
      <c r="AD12" s="106"/>
    </row>
    <row r="13" spans="1:35">
      <c r="A13" s="165"/>
      <c r="B13" s="164"/>
      <c r="C13" s="163"/>
      <c r="D13" s="162"/>
      <c r="E13" s="183"/>
      <c r="F13" s="108"/>
      <c r="G13" s="25"/>
      <c r="H13" s="25"/>
      <c r="I13" s="25"/>
      <c r="J13" s="22"/>
      <c r="K13" s="34"/>
      <c r="L13" s="183"/>
      <c r="M13" s="183"/>
      <c r="N13" s="108"/>
      <c r="O13" s="25"/>
      <c r="P13" s="25"/>
      <c r="Q13" s="25"/>
      <c r="R13" s="157"/>
      <c r="S13" s="22"/>
      <c r="T13" s="109"/>
      <c r="U13" s="107"/>
      <c r="V13" s="107"/>
      <c r="W13" s="107"/>
      <c r="X13" s="107"/>
      <c r="Y13" s="107"/>
      <c r="Z13" s="106"/>
      <c r="AA13" s="106"/>
      <c r="AB13" s="106"/>
      <c r="AC13" s="106"/>
      <c r="AD13" s="106"/>
    </row>
    <row r="14" spans="1:35">
      <c r="A14" s="165"/>
      <c r="B14" s="164"/>
      <c r="C14" s="163"/>
      <c r="D14" s="162"/>
      <c r="E14" s="183"/>
      <c r="F14" s="108"/>
      <c r="G14" s="25"/>
      <c r="H14" s="25"/>
      <c r="I14" s="25"/>
      <c r="J14" s="22"/>
      <c r="K14" s="34"/>
      <c r="L14" s="183"/>
      <c r="M14" s="183"/>
      <c r="N14" s="108"/>
      <c r="O14" s="25"/>
      <c r="P14" s="25"/>
      <c r="Q14" s="25"/>
      <c r="R14" s="157"/>
      <c r="S14" s="22"/>
      <c r="T14" s="109"/>
      <c r="U14" s="107"/>
      <c r="V14" s="107"/>
      <c r="W14" s="107"/>
      <c r="X14" s="107"/>
      <c r="Y14" s="107"/>
      <c r="Z14" s="106"/>
      <c r="AA14" s="106"/>
      <c r="AB14" s="106"/>
      <c r="AC14" s="106"/>
      <c r="AD14" s="106"/>
    </row>
    <row r="15" spans="1:35">
      <c r="A15" s="165"/>
      <c r="B15" s="164"/>
      <c r="C15" s="163"/>
      <c r="D15" s="162"/>
      <c r="E15" s="183"/>
      <c r="F15" s="108"/>
      <c r="G15" s="25"/>
      <c r="H15" s="25"/>
      <c r="I15" s="25"/>
      <c r="J15" s="22"/>
      <c r="K15" s="34"/>
      <c r="L15" s="183"/>
      <c r="M15" s="183"/>
      <c r="N15" s="108"/>
      <c r="O15" s="25"/>
      <c r="P15" s="25"/>
      <c r="Q15" s="25"/>
      <c r="R15" s="157"/>
      <c r="S15" s="22"/>
      <c r="T15" s="109"/>
      <c r="U15" s="107"/>
      <c r="V15" s="107"/>
      <c r="W15" s="107"/>
      <c r="X15" s="107"/>
      <c r="Y15" s="107"/>
      <c r="Z15" s="106"/>
      <c r="AA15" s="106"/>
      <c r="AB15" s="106"/>
      <c r="AC15" s="106"/>
      <c r="AD15" s="106"/>
    </row>
    <row r="16" spans="1:35">
      <c r="A16" s="165"/>
      <c r="B16" s="164"/>
      <c r="C16" s="163"/>
      <c r="D16" s="162"/>
      <c r="E16" s="183"/>
      <c r="F16" s="108"/>
      <c r="G16" s="25"/>
      <c r="H16" s="25"/>
      <c r="I16" s="25"/>
      <c r="J16" s="22"/>
      <c r="K16" s="34"/>
      <c r="L16" s="183"/>
      <c r="M16" s="183"/>
      <c r="N16" s="108"/>
      <c r="O16" s="25"/>
      <c r="P16" s="25"/>
      <c r="Q16" s="25"/>
      <c r="R16" s="157"/>
      <c r="S16" s="22"/>
      <c r="T16" s="109"/>
      <c r="U16" s="107"/>
      <c r="V16" s="107"/>
      <c r="W16" s="107"/>
      <c r="X16" s="107"/>
      <c r="Y16" s="107"/>
      <c r="Z16" s="106"/>
      <c r="AA16" s="106"/>
      <c r="AB16" s="106"/>
      <c r="AC16" s="106"/>
      <c r="AD16" s="106"/>
    </row>
    <row r="17" spans="1:30">
      <c r="A17" s="165"/>
      <c r="B17" s="164"/>
      <c r="C17" s="163"/>
      <c r="D17" s="162"/>
      <c r="E17" s="183"/>
      <c r="F17" s="108"/>
      <c r="G17" s="25"/>
      <c r="H17" s="25"/>
      <c r="I17" s="25"/>
      <c r="J17" s="22"/>
      <c r="K17" s="34"/>
      <c r="L17" s="183"/>
      <c r="M17" s="183"/>
      <c r="N17" s="108"/>
      <c r="O17" s="25"/>
      <c r="P17" s="25"/>
      <c r="Q17" s="25"/>
      <c r="R17" s="157"/>
      <c r="S17" s="22"/>
      <c r="T17" s="109"/>
      <c r="U17" s="107"/>
      <c r="V17" s="107"/>
      <c r="W17" s="107"/>
      <c r="X17" s="107"/>
      <c r="Y17" s="107"/>
      <c r="Z17" s="106"/>
      <c r="AA17" s="106"/>
      <c r="AB17" s="106"/>
      <c r="AC17" s="106"/>
      <c r="AD17" s="106"/>
    </row>
    <row r="18" spans="1:30">
      <c r="A18" s="165"/>
      <c r="B18" s="164"/>
      <c r="C18" s="163"/>
      <c r="D18" s="162"/>
      <c r="E18" s="183"/>
      <c r="F18" s="108"/>
      <c r="G18" s="25"/>
      <c r="H18" s="25"/>
      <c r="I18" s="25"/>
      <c r="J18" s="22"/>
      <c r="K18" s="34"/>
      <c r="L18" s="183"/>
      <c r="M18" s="183"/>
      <c r="N18" s="108"/>
      <c r="O18" s="25"/>
      <c r="P18" s="25"/>
      <c r="Q18" s="25"/>
      <c r="R18" s="157"/>
      <c r="S18" s="22"/>
      <c r="T18" s="109"/>
      <c r="U18" s="107"/>
      <c r="V18" s="107"/>
      <c r="W18" s="107"/>
      <c r="X18" s="107"/>
      <c r="Y18" s="107"/>
      <c r="Z18" s="106"/>
      <c r="AA18" s="106"/>
      <c r="AB18" s="106"/>
      <c r="AC18" s="106"/>
      <c r="AD18" s="106"/>
    </row>
    <row r="19" spans="1:30">
      <c r="A19" s="165"/>
      <c r="B19" s="164"/>
      <c r="C19" s="163"/>
      <c r="D19" s="162"/>
      <c r="E19" s="183"/>
      <c r="F19" s="108"/>
      <c r="G19" s="25"/>
      <c r="H19" s="25"/>
      <c r="I19" s="25"/>
      <c r="J19" s="22"/>
      <c r="K19" s="34"/>
      <c r="L19" s="183"/>
      <c r="M19" s="183"/>
      <c r="N19" s="108"/>
      <c r="O19" s="25"/>
      <c r="P19" s="25"/>
      <c r="Q19" s="25"/>
      <c r="R19" s="157"/>
      <c r="S19" s="22"/>
      <c r="T19" s="109"/>
      <c r="U19" s="107"/>
      <c r="V19" s="107"/>
      <c r="W19" s="107"/>
      <c r="X19" s="107"/>
      <c r="Y19" s="107"/>
      <c r="Z19" s="106"/>
      <c r="AA19" s="106"/>
      <c r="AB19" s="106"/>
      <c r="AC19" s="106"/>
      <c r="AD19" s="106"/>
    </row>
    <row r="20" spans="1:30">
      <c r="A20" s="165"/>
      <c r="B20" s="164"/>
      <c r="C20" s="163"/>
      <c r="D20" s="162"/>
      <c r="E20" s="183"/>
      <c r="F20" s="108"/>
      <c r="G20" s="25"/>
      <c r="H20" s="25"/>
      <c r="I20" s="25"/>
      <c r="J20" s="22"/>
      <c r="K20" s="34"/>
      <c r="L20" s="183"/>
      <c r="M20" s="183"/>
      <c r="N20" s="108"/>
      <c r="O20" s="25"/>
      <c r="P20" s="25"/>
      <c r="Q20" s="25"/>
      <c r="R20" s="157"/>
      <c r="S20" s="22"/>
      <c r="T20" s="109"/>
      <c r="U20" s="107"/>
      <c r="V20" s="107"/>
      <c r="W20" s="107"/>
      <c r="X20" s="107"/>
      <c r="Y20" s="107"/>
      <c r="Z20" s="106"/>
      <c r="AA20" s="106"/>
      <c r="AB20" s="106"/>
      <c r="AC20" s="106"/>
      <c r="AD20" s="106"/>
    </row>
    <row r="21" spans="1:30">
      <c r="A21" s="165"/>
      <c r="B21" s="164"/>
      <c r="C21" s="163"/>
      <c r="D21" s="162"/>
      <c r="E21" s="183"/>
      <c r="F21" s="108"/>
      <c r="G21" s="25"/>
      <c r="H21" s="25"/>
      <c r="I21" s="25"/>
      <c r="J21" s="22"/>
      <c r="K21" s="34"/>
      <c r="L21" s="183"/>
      <c r="M21" s="183"/>
      <c r="N21" s="108"/>
      <c r="O21" s="25"/>
      <c r="P21" s="25"/>
      <c r="Q21" s="25"/>
      <c r="R21" s="157"/>
      <c r="S21" s="22"/>
      <c r="T21" s="109"/>
      <c r="U21" s="107"/>
      <c r="V21" s="107"/>
      <c r="W21" s="107"/>
      <c r="X21" s="107"/>
      <c r="Y21" s="107"/>
      <c r="Z21" s="106"/>
      <c r="AA21" s="106"/>
      <c r="AB21" s="106"/>
      <c r="AC21" s="106"/>
      <c r="AD21" s="106"/>
    </row>
    <row r="22" spans="1:30">
      <c r="A22" s="165"/>
      <c r="B22" s="164"/>
      <c r="C22" s="163"/>
      <c r="D22" s="162"/>
      <c r="E22" s="183"/>
      <c r="F22" s="108"/>
      <c r="G22" s="25"/>
      <c r="H22" s="25"/>
      <c r="I22" s="25"/>
      <c r="J22" s="22"/>
      <c r="K22" s="34"/>
      <c r="L22" s="183"/>
      <c r="M22" s="183"/>
      <c r="N22" s="108"/>
      <c r="O22" s="25"/>
      <c r="P22" s="25"/>
      <c r="Q22" s="25"/>
      <c r="R22" s="157"/>
      <c r="S22" s="22"/>
      <c r="T22" s="109"/>
      <c r="U22" s="107"/>
      <c r="V22" s="107"/>
      <c r="W22" s="107"/>
      <c r="X22" s="107"/>
      <c r="Y22" s="107"/>
      <c r="Z22" s="106"/>
      <c r="AA22" s="106"/>
      <c r="AB22" s="106"/>
      <c r="AC22" s="106"/>
      <c r="AD22" s="106"/>
    </row>
    <row r="23" spans="1:30">
      <c r="A23" s="165"/>
      <c r="B23" s="164"/>
      <c r="C23" s="163"/>
      <c r="D23" s="162"/>
      <c r="E23" s="183"/>
      <c r="F23" s="108"/>
      <c r="G23" s="25"/>
      <c r="H23" s="25"/>
      <c r="I23" s="25"/>
      <c r="J23" s="22"/>
      <c r="K23" s="34"/>
      <c r="L23" s="183"/>
      <c r="M23" s="183"/>
      <c r="N23" s="108"/>
      <c r="O23" s="25"/>
      <c r="P23" s="25"/>
      <c r="Q23" s="25"/>
      <c r="R23" s="157"/>
      <c r="S23" s="22"/>
      <c r="T23" s="109"/>
      <c r="U23" s="107"/>
      <c r="V23" s="107"/>
      <c r="W23" s="107"/>
      <c r="X23" s="107"/>
      <c r="Y23" s="107"/>
      <c r="Z23" s="106"/>
      <c r="AA23" s="106"/>
      <c r="AB23" s="106"/>
      <c r="AC23" s="106"/>
      <c r="AD23" s="106"/>
    </row>
    <row r="24" spans="1:30">
      <c r="A24" s="165"/>
      <c r="B24" s="164"/>
      <c r="C24" s="163"/>
      <c r="D24" s="162"/>
      <c r="E24" s="183"/>
      <c r="F24" s="108"/>
      <c r="G24" s="25"/>
      <c r="H24" s="25"/>
      <c r="I24" s="25"/>
      <c r="J24" s="22"/>
      <c r="K24" s="34"/>
      <c r="L24" s="183"/>
      <c r="M24" s="183"/>
      <c r="N24" s="108"/>
      <c r="O24" s="25"/>
      <c r="P24" s="25"/>
      <c r="Q24" s="25"/>
      <c r="R24" s="157"/>
      <c r="S24" s="22"/>
      <c r="T24" s="109"/>
      <c r="U24" s="107"/>
      <c r="V24" s="107"/>
      <c r="W24" s="107"/>
      <c r="X24" s="107"/>
      <c r="Y24" s="107"/>
      <c r="Z24" s="106"/>
      <c r="AA24" s="106"/>
      <c r="AB24" s="106"/>
      <c r="AC24" s="106"/>
      <c r="AD24" s="106"/>
    </row>
    <row r="25" spans="1:30">
      <c r="A25" s="165"/>
      <c r="B25" s="164"/>
      <c r="C25" s="163"/>
      <c r="D25" s="162"/>
      <c r="E25" s="183"/>
      <c r="F25" s="108"/>
      <c r="G25" s="25"/>
      <c r="H25" s="25"/>
      <c r="I25" s="25"/>
      <c r="J25" s="22"/>
      <c r="K25" s="34"/>
      <c r="L25" s="183"/>
      <c r="M25" s="183"/>
      <c r="N25" s="108"/>
      <c r="O25" s="25"/>
      <c r="P25" s="25"/>
      <c r="Q25" s="25"/>
      <c r="R25" s="157"/>
      <c r="S25" s="22"/>
      <c r="T25" s="109"/>
      <c r="U25" s="107"/>
      <c r="V25" s="107"/>
      <c r="W25" s="107"/>
      <c r="X25" s="107"/>
      <c r="Y25" s="107"/>
      <c r="Z25" s="106"/>
      <c r="AA25" s="106"/>
      <c r="AB25" s="106"/>
      <c r="AC25" s="106"/>
      <c r="AD25" s="106"/>
    </row>
    <row r="26" spans="1:30">
      <c r="A26" s="165"/>
      <c r="B26" s="164"/>
      <c r="C26" s="163"/>
      <c r="D26" s="162"/>
      <c r="E26" s="183"/>
      <c r="F26" s="108"/>
      <c r="G26" s="25"/>
      <c r="H26" s="25"/>
      <c r="I26" s="25"/>
      <c r="J26" s="22"/>
      <c r="K26" s="34"/>
      <c r="L26" s="183"/>
      <c r="M26" s="183"/>
      <c r="N26" s="108"/>
      <c r="O26" s="25"/>
      <c r="P26" s="25"/>
      <c r="Q26" s="25"/>
      <c r="R26" s="157"/>
      <c r="S26" s="22"/>
      <c r="T26" s="109"/>
      <c r="U26" s="107"/>
      <c r="V26" s="107"/>
      <c r="W26" s="107"/>
      <c r="X26" s="107"/>
      <c r="Y26" s="107"/>
      <c r="Z26" s="106"/>
      <c r="AA26" s="106"/>
      <c r="AB26" s="106"/>
      <c r="AC26" s="106"/>
      <c r="AD26" s="106"/>
    </row>
    <row r="27" spans="1:30">
      <c r="A27" s="165"/>
      <c r="B27" s="164"/>
      <c r="C27" s="163"/>
      <c r="D27" s="162"/>
      <c r="E27" s="183"/>
      <c r="F27" s="108"/>
      <c r="G27" s="25"/>
      <c r="H27" s="25"/>
      <c r="I27" s="25"/>
      <c r="J27" s="22"/>
      <c r="K27" s="34"/>
      <c r="L27" s="183"/>
      <c r="M27" s="183"/>
      <c r="N27" s="108"/>
      <c r="O27" s="25"/>
      <c r="P27" s="25"/>
      <c r="Q27" s="25"/>
      <c r="R27" s="157"/>
      <c r="S27" s="22"/>
      <c r="T27" s="109"/>
      <c r="U27" s="107"/>
      <c r="V27" s="107"/>
      <c r="W27" s="107"/>
      <c r="X27" s="107"/>
      <c r="Y27" s="107"/>
      <c r="Z27" s="106"/>
      <c r="AA27" s="106"/>
      <c r="AB27" s="106"/>
      <c r="AC27" s="106"/>
      <c r="AD27" s="106"/>
    </row>
    <row r="28" spans="1:30">
      <c r="A28" s="165"/>
      <c r="B28" s="164"/>
      <c r="C28" s="163"/>
      <c r="D28" s="162"/>
      <c r="E28" s="183"/>
      <c r="F28" s="108"/>
      <c r="G28" s="25"/>
      <c r="H28" s="25"/>
      <c r="I28" s="25"/>
      <c r="J28" s="22"/>
      <c r="K28" s="34"/>
      <c r="L28" s="183"/>
      <c r="M28" s="183"/>
      <c r="N28" s="108"/>
      <c r="O28" s="25"/>
      <c r="P28" s="25"/>
      <c r="Q28" s="25"/>
      <c r="R28" s="157"/>
      <c r="S28" s="22"/>
      <c r="T28" s="109"/>
      <c r="U28" s="107"/>
      <c r="V28" s="107"/>
      <c r="W28" s="107"/>
      <c r="X28" s="107"/>
      <c r="Y28" s="107"/>
      <c r="Z28" s="106"/>
      <c r="AA28" s="106"/>
      <c r="AB28" s="106"/>
      <c r="AC28" s="106"/>
      <c r="AD28" s="106"/>
    </row>
    <row r="29" spans="1:30">
      <c r="A29" s="165"/>
      <c r="B29" s="164"/>
      <c r="C29" s="163"/>
      <c r="D29" s="162"/>
      <c r="E29" s="183"/>
      <c r="F29" s="108"/>
      <c r="G29" s="25"/>
      <c r="H29" s="25"/>
      <c r="I29" s="25"/>
      <c r="J29" s="22"/>
      <c r="K29" s="34"/>
      <c r="L29" s="183"/>
      <c r="M29" s="183"/>
      <c r="N29" s="108"/>
      <c r="O29" s="25"/>
      <c r="P29" s="25"/>
      <c r="Q29" s="25"/>
      <c r="R29" s="157"/>
      <c r="S29" s="22"/>
      <c r="T29" s="109"/>
      <c r="U29" s="107"/>
      <c r="V29" s="107"/>
      <c r="W29" s="107"/>
      <c r="X29" s="107"/>
      <c r="Y29" s="107"/>
      <c r="Z29" s="106"/>
      <c r="AA29" s="106"/>
      <c r="AB29" s="106"/>
      <c r="AC29" s="106"/>
      <c r="AD29" s="106"/>
    </row>
    <row r="30" spans="1:30">
      <c r="A30" s="165"/>
      <c r="B30" s="164"/>
      <c r="C30" s="163"/>
      <c r="D30" s="162"/>
      <c r="E30" s="183"/>
      <c r="F30" s="108"/>
      <c r="G30" s="25"/>
      <c r="H30" s="25"/>
      <c r="I30" s="25"/>
      <c r="J30" s="22"/>
      <c r="K30" s="34"/>
      <c r="L30" s="183"/>
      <c r="M30" s="183"/>
      <c r="N30" s="108"/>
      <c r="O30" s="25"/>
      <c r="P30" s="25"/>
      <c r="Q30" s="25"/>
      <c r="R30" s="157"/>
      <c r="S30" s="22"/>
      <c r="T30" s="109"/>
      <c r="U30" s="107"/>
      <c r="V30" s="107"/>
      <c r="W30" s="107"/>
      <c r="X30" s="107"/>
      <c r="Y30" s="107"/>
      <c r="Z30" s="106"/>
      <c r="AA30" s="106"/>
      <c r="AB30" s="106"/>
      <c r="AC30" s="106"/>
      <c r="AD30" s="106"/>
    </row>
    <row r="31" spans="1:30">
      <c r="A31" s="165"/>
      <c r="B31" s="164"/>
      <c r="C31" s="163"/>
      <c r="D31" s="162"/>
      <c r="E31" s="183"/>
      <c r="F31" s="108"/>
      <c r="G31" s="25"/>
      <c r="H31" s="25"/>
      <c r="I31" s="25"/>
      <c r="J31" s="22"/>
      <c r="K31" s="34"/>
      <c r="L31" s="183"/>
      <c r="M31" s="183"/>
      <c r="N31" s="108"/>
      <c r="O31" s="25"/>
      <c r="P31" s="25"/>
      <c r="Q31" s="25"/>
      <c r="R31" s="157"/>
      <c r="S31" s="22"/>
      <c r="T31" s="109"/>
      <c r="U31" s="107"/>
      <c r="V31" s="107"/>
      <c r="W31" s="107"/>
      <c r="X31" s="107"/>
      <c r="Y31" s="107"/>
      <c r="Z31" s="106"/>
      <c r="AA31" s="106"/>
      <c r="AB31" s="106"/>
      <c r="AC31" s="106"/>
      <c r="AD31" s="106"/>
    </row>
    <row r="32" spans="1:30">
      <c r="A32" s="165"/>
      <c r="B32" s="164"/>
      <c r="C32" s="163"/>
      <c r="D32" s="162"/>
      <c r="E32" s="183"/>
      <c r="F32" s="108"/>
      <c r="G32" s="25"/>
      <c r="H32" s="25"/>
      <c r="I32" s="25"/>
      <c r="J32" s="22"/>
      <c r="K32" s="34"/>
      <c r="L32" s="183"/>
      <c r="M32" s="183"/>
      <c r="N32" s="108"/>
      <c r="O32" s="25"/>
      <c r="P32" s="25"/>
      <c r="Q32" s="25"/>
      <c r="R32" s="157"/>
      <c r="S32" s="22"/>
      <c r="T32" s="109"/>
      <c r="U32" s="107"/>
      <c r="V32" s="107"/>
      <c r="W32" s="107"/>
      <c r="X32" s="107"/>
      <c r="Y32" s="107"/>
      <c r="Z32" s="106"/>
      <c r="AA32" s="106"/>
      <c r="AB32" s="106"/>
      <c r="AC32" s="106"/>
      <c r="AD32" s="106"/>
    </row>
    <row r="33" spans="1:30">
      <c r="A33" s="165"/>
      <c r="B33" s="164"/>
      <c r="C33" s="163"/>
      <c r="D33" s="162"/>
      <c r="E33" s="183"/>
      <c r="F33" s="108"/>
      <c r="G33" s="25"/>
      <c r="H33" s="25"/>
      <c r="I33" s="25"/>
      <c r="J33" s="22"/>
      <c r="K33" s="34"/>
      <c r="L33" s="183"/>
      <c r="M33" s="183"/>
      <c r="N33" s="108"/>
      <c r="O33" s="25"/>
      <c r="P33" s="25"/>
      <c r="Q33" s="25"/>
      <c r="R33" s="157"/>
      <c r="S33" s="22"/>
      <c r="T33" s="109"/>
      <c r="U33" s="107"/>
      <c r="V33" s="107"/>
      <c r="W33" s="107"/>
      <c r="X33" s="107"/>
      <c r="Y33" s="107"/>
      <c r="Z33" s="106"/>
      <c r="AA33" s="106"/>
      <c r="AB33" s="106"/>
      <c r="AC33" s="106"/>
      <c r="AD33" s="106"/>
    </row>
    <row r="34" spans="1:30">
      <c r="A34" s="165"/>
      <c r="B34" s="164"/>
      <c r="C34" s="163"/>
      <c r="D34" s="162"/>
      <c r="E34" s="183"/>
      <c r="F34" s="108"/>
      <c r="G34" s="25"/>
      <c r="H34" s="25"/>
      <c r="I34" s="25"/>
      <c r="J34" s="22"/>
      <c r="K34" s="34"/>
      <c r="L34" s="183"/>
      <c r="M34" s="183"/>
      <c r="N34" s="108"/>
      <c r="O34" s="25"/>
      <c r="P34" s="25"/>
      <c r="Q34" s="25"/>
      <c r="R34" s="157"/>
      <c r="S34" s="22"/>
      <c r="T34" s="109"/>
      <c r="U34" s="107"/>
      <c r="V34" s="107"/>
      <c r="W34" s="107"/>
      <c r="X34" s="107"/>
      <c r="Y34" s="107"/>
      <c r="Z34" s="106"/>
      <c r="AA34" s="106"/>
      <c r="AB34" s="106"/>
      <c r="AC34" s="106"/>
      <c r="AD34" s="106"/>
    </row>
    <row r="35" spans="1:30" ht="14.25" thickBot="1">
      <c r="A35" s="165"/>
      <c r="B35" s="164"/>
      <c r="C35" s="163"/>
      <c r="D35" s="162"/>
      <c r="E35" s="183"/>
      <c r="F35" s="108"/>
      <c r="G35" s="25"/>
      <c r="H35" s="25"/>
      <c r="I35" s="25"/>
      <c r="J35" s="22"/>
      <c r="K35" s="34"/>
      <c r="L35" s="183"/>
      <c r="M35" s="183"/>
      <c r="N35" s="108"/>
      <c r="O35" s="25"/>
      <c r="P35" s="25"/>
      <c r="Q35" s="25"/>
      <c r="R35" s="157"/>
      <c r="S35" s="22"/>
      <c r="T35" s="109"/>
      <c r="U35" s="107"/>
      <c r="V35" s="107"/>
      <c r="W35" s="107"/>
      <c r="X35" s="107"/>
      <c r="Y35" s="107"/>
      <c r="Z35" s="106"/>
      <c r="AA35" s="106"/>
      <c r="AB35" s="106"/>
      <c r="AC35" s="106"/>
      <c r="AD35" s="106"/>
    </row>
    <row r="36" spans="1:30" ht="14.25" thickTop="1">
      <c r="A36" s="156"/>
      <c r="B36" s="155"/>
      <c r="C36" s="154"/>
      <c r="D36" s="153" t="s">
        <v>2</v>
      </c>
      <c r="E36" s="149">
        <f t="shared" ref="E36:T36" si="0">SUM(E5:E35)</f>
        <v>503761871</v>
      </c>
      <c r="F36" s="152">
        <f t="shared" si="0"/>
        <v>0</v>
      </c>
      <c r="G36" s="151">
        <f t="shared" si="0"/>
        <v>0</v>
      </c>
      <c r="H36" s="151">
        <f t="shared" si="0"/>
        <v>0</v>
      </c>
      <c r="I36" s="151">
        <f t="shared" ref="I36" si="1">SUM(I5:I35)</f>
        <v>0</v>
      </c>
      <c r="J36" s="182">
        <f t="shared" si="0"/>
        <v>0</v>
      </c>
      <c r="K36" s="74">
        <f t="shared" si="0"/>
        <v>0</v>
      </c>
      <c r="L36" s="149">
        <f t="shared" si="0"/>
        <v>0</v>
      </c>
      <c r="M36" s="149">
        <f t="shared" si="0"/>
        <v>503761871</v>
      </c>
      <c r="N36" s="146">
        <f t="shared" si="0"/>
        <v>0</v>
      </c>
      <c r="O36" s="145">
        <f t="shared" si="0"/>
        <v>0</v>
      </c>
      <c r="P36" s="145">
        <f t="shared" si="0"/>
        <v>0</v>
      </c>
      <c r="Q36" s="145">
        <f t="shared" ref="Q36" si="2">SUM(Q5:Q35)</f>
        <v>0</v>
      </c>
      <c r="R36" s="148">
        <f t="shared" si="0"/>
        <v>0</v>
      </c>
      <c r="S36" s="144">
        <f t="shared" si="0"/>
        <v>0</v>
      </c>
      <c r="T36" s="147">
        <f t="shared" si="0"/>
        <v>503761871</v>
      </c>
      <c r="U36" s="88" t="str">
        <f>+IF(F36=0,"",ROUND(F36*F$4/(100+F$4),7)-N36)</f>
        <v/>
      </c>
      <c r="V36" s="88"/>
      <c r="W36" s="88"/>
      <c r="X36" s="88"/>
      <c r="Y36" s="88"/>
      <c r="Z36" s="88"/>
      <c r="AA36" s="88"/>
      <c r="AB36" s="87"/>
      <c r="AC36" s="87"/>
      <c r="AD36" s="87"/>
    </row>
    <row r="37" spans="1:30">
      <c r="A37" s="143"/>
      <c r="B37" s="142"/>
      <c r="C37" s="141"/>
      <c r="D37" s="140" t="s">
        <v>1</v>
      </c>
      <c r="E37" s="136">
        <f t="shared" ref="E37:J37" si="3">+E36</f>
        <v>503761871</v>
      </c>
      <c r="F37" s="139">
        <f t="shared" si="3"/>
        <v>0</v>
      </c>
      <c r="G37" s="138">
        <f t="shared" si="3"/>
        <v>0</v>
      </c>
      <c r="H37" s="138">
        <f t="shared" si="3"/>
        <v>0</v>
      </c>
      <c r="I37" s="138">
        <f t="shared" si="3"/>
        <v>0</v>
      </c>
      <c r="J37" s="181">
        <f t="shared" si="3"/>
        <v>0</v>
      </c>
      <c r="K37" s="63">
        <f>SUM(F37:J37)</f>
        <v>0</v>
      </c>
      <c r="L37" s="136">
        <f>+L36</f>
        <v>0</v>
      </c>
      <c r="M37" s="135">
        <f>+M36</f>
        <v>503761871</v>
      </c>
      <c r="N37" s="133">
        <f>+'3条支出'!N20</f>
        <v>0</v>
      </c>
      <c r="O37" s="132">
        <f>+'3条支出'!O20</f>
        <v>0</v>
      </c>
      <c r="P37" s="132">
        <f>+'3条支出'!P20</f>
        <v>0</v>
      </c>
      <c r="Q37" s="132">
        <f>+'3条支出'!Q20</f>
        <v>0</v>
      </c>
      <c r="R37" s="132">
        <f>+'3条支出'!R20</f>
        <v>0</v>
      </c>
      <c r="S37" s="131">
        <f>+'3条支出'!S20</f>
        <v>0</v>
      </c>
      <c r="T37" s="134">
        <f>+'3条支出'!T20</f>
        <v>503761871</v>
      </c>
      <c r="U37" s="88" t="str">
        <f>+IF(F37=0,"",ROUND(F37*F$4/(100+F$4),7)-N37)</f>
        <v/>
      </c>
      <c r="V37" s="88"/>
      <c r="W37" s="88"/>
      <c r="X37" s="88"/>
      <c r="Y37" s="88"/>
      <c r="Z37" s="88"/>
      <c r="AA37" s="88"/>
      <c r="AB37" s="87"/>
      <c r="AC37" s="87"/>
      <c r="AD37" s="87"/>
    </row>
    <row r="38" spans="1:30">
      <c r="E38" s="4">
        <f t="shared" ref="E38:T38" si="4">+E37-E36</f>
        <v>0</v>
      </c>
      <c r="F38" s="4">
        <f t="shared" si="4"/>
        <v>0</v>
      </c>
      <c r="G38" s="4">
        <f t="shared" si="4"/>
        <v>0</v>
      </c>
      <c r="H38" s="4">
        <f t="shared" si="4"/>
        <v>0</v>
      </c>
      <c r="I38" s="4">
        <f t="shared" ref="I38" si="5">+I37-I36</f>
        <v>0</v>
      </c>
      <c r="J38" s="4">
        <f t="shared" si="4"/>
        <v>0</v>
      </c>
      <c r="K38" s="4">
        <f t="shared" si="4"/>
        <v>0</v>
      </c>
      <c r="L38" s="4">
        <f t="shared" si="4"/>
        <v>0</v>
      </c>
      <c r="M38" s="4">
        <f t="shared" si="4"/>
        <v>0</v>
      </c>
      <c r="N38" s="4">
        <f t="shared" si="4"/>
        <v>0</v>
      </c>
      <c r="O38" s="4">
        <f t="shared" si="4"/>
        <v>0</v>
      </c>
      <c r="P38" s="4">
        <f t="shared" si="4"/>
        <v>0</v>
      </c>
      <c r="Q38" s="4">
        <f t="shared" ref="Q38" si="6">+Q37-Q36</f>
        <v>0</v>
      </c>
      <c r="R38" s="4">
        <f t="shared" si="4"/>
        <v>0</v>
      </c>
      <c r="S38" s="4">
        <f t="shared" si="4"/>
        <v>0</v>
      </c>
      <c r="T38" s="4">
        <f t="shared" si="4"/>
        <v>0</v>
      </c>
      <c r="U38" s="88" t="str">
        <f>+IF(F38=0,"",ROUND(F38*F$4/(100+F$4),7)-N38)</f>
        <v/>
      </c>
      <c r="V38" s="88" t="str">
        <f>+IF(G38=0,"",ROUND(G38*G$4/(100+G$4),7)-O38)</f>
        <v/>
      </c>
      <c r="W38" s="88" t="str">
        <f>+IF(H38=0,"",ROUND(H38*H$4/(100+H$4),7)-P38)</f>
        <v/>
      </c>
      <c r="X38" s="88"/>
      <c r="Y38" s="88" t="str">
        <f>+IF(J38=0,"",ROUND(J38*J$4/(100+J$4),7)-R38)</f>
        <v/>
      </c>
      <c r="Z38" s="88"/>
      <c r="AA38" s="88"/>
      <c r="AB38" s="87" t="str">
        <f>+IF(SUM(U38:Y38)=0,"",SUM(U38:Y38))</f>
        <v/>
      </c>
      <c r="AC38" s="87"/>
      <c r="AD38" s="87"/>
    </row>
    <row r="39" spans="1:30">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E40" s="179"/>
      <c r="F40" s="179"/>
      <c r="G40" s="180"/>
      <c r="H40" s="179"/>
      <c r="I40" s="179"/>
      <c r="U40" s="88" t="str">
        <f>+IF(F40=0,"",ROUND(F40*F$4/(100+F$4),7)-N40)</f>
        <v/>
      </c>
      <c r="V40" s="88"/>
      <c r="W40" s="88"/>
      <c r="X40" s="88"/>
      <c r="Y40" s="88"/>
      <c r="Z40" s="88"/>
      <c r="AA40" s="88"/>
      <c r="AB40" s="87"/>
      <c r="AC40" s="87"/>
      <c r="AD40" s="87"/>
    </row>
    <row r="41" spans="1:30">
      <c r="E41" s="179"/>
      <c r="F41" s="179"/>
      <c r="G41" s="180"/>
      <c r="H41" s="179"/>
      <c r="I41" s="179"/>
    </row>
    <row r="42" spans="1:30">
      <c r="E42" s="179"/>
      <c r="F42" s="179"/>
      <c r="G42" s="179"/>
      <c r="H42" s="179"/>
      <c r="I42" s="179"/>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3"/>
  <conditionalFormatting sqref="AE36:AI37">
    <cfRule type="notContainsBlanks" dxfId="42" priority="4" stopIfTrue="1">
      <formula>LEN(TRIM(AE36))&gt;0</formula>
    </cfRule>
  </conditionalFormatting>
  <conditionalFormatting sqref="AE5:AI35">
    <cfRule type="notContainsBlanks" dxfId="41" priority="3" stopIfTrue="1">
      <formula>LEN(TRIM(AE5))&gt;0</formula>
    </cfRule>
  </conditionalFormatting>
  <conditionalFormatting sqref="Z5:AD35">
    <cfRule type="expression" dxfId="40" priority="2">
      <formula>ABS(Z5)=1</formula>
    </cfRule>
  </conditionalFormatting>
  <conditionalFormatting sqref="E38:T38">
    <cfRule type="cellIs" dxfId="39" priority="1" operator="notEqual">
      <formula>0</formula>
    </cfRule>
  </conditionalFormatting>
  <pageMargins left="0.39370078740157483" right="0.39370078740157483" top="0.78740157480314965" bottom="0.39370078740157483" header="0.39370078740157483" footer="0.19685039370078741"/>
  <pageSetup paperSize="9" scale="67" orientation="landscape" blackAndWhite="1" r:id="rId1"/>
  <headerFooter>
    <oddFooter>&amp;L&amp;8&amp;Z&amp;F&amp;A&amp;R&amp;8&amp;D&amp;T</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pageSetUpPr fitToPage="1"/>
  </sheetPr>
  <dimension ref="A1:AI42"/>
  <sheetViews>
    <sheetView zoomScale="70" zoomScaleNormal="70" workbookViewId="0">
      <selection activeCell="E30" sqref="E30"/>
    </sheetView>
  </sheetViews>
  <sheetFormatPr defaultColWidth="9" defaultRowHeight="13.5" outlineLevelCol="1"/>
  <cols>
    <col min="1" max="1" width="4.375" style="1" customWidth="1"/>
    <col min="2" max="3" width="6.25" style="1" customWidth="1"/>
    <col min="4" max="4" width="16" style="1" customWidth="1"/>
    <col min="5" max="5" width="13.625" style="1" customWidth="1"/>
    <col min="6" max="6" width="8.375" style="1" hidden="1" customWidth="1" outlineLevel="1"/>
    <col min="7" max="7" width="9.25" style="1" bestFit="1" customWidth="1" collapsed="1"/>
    <col min="8" max="9" width="12.625" style="1" customWidth="1"/>
    <col min="10" max="10" width="12.375" style="1" customWidth="1"/>
    <col min="11" max="11" width="13.625" style="3" customWidth="1"/>
    <col min="12" max="12" width="12.625" style="1" customWidth="1"/>
    <col min="13" max="13" width="13.625" style="1" customWidth="1"/>
    <col min="14" max="14" width="8.375" style="3" hidden="1" customWidth="1" outlineLevel="1"/>
    <col min="15" max="15" width="6.875" style="3" bestFit="1" customWidth="1" collapsed="1"/>
    <col min="16" max="19" width="10.625" style="3" customWidth="1"/>
    <col min="20" max="20" width="13.625" style="1" customWidth="1"/>
    <col min="21" max="21" width="9.875" style="2" bestFit="1" customWidth="1"/>
    <col min="22" max="25" width="7.125" style="2" customWidth="1"/>
    <col min="26" max="30" width="6.375" style="2" customWidth="1"/>
    <col min="31" max="35" width="5.75" style="2" customWidth="1"/>
    <col min="36" max="16384" width="9" style="1"/>
  </cols>
  <sheetData>
    <row r="1" spans="1:35">
      <c r="D1" s="1" t="str">
        <f>+'3条支出'!D1</f>
        <v>令和５年度決算　消費税算出資料</v>
      </c>
      <c r="T1" s="221"/>
    </row>
    <row r="2" spans="1:35">
      <c r="D2" s="1" t="s">
        <v>509</v>
      </c>
      <c r="V2" s="122"/>
      <c r="W2" s="122"/>
      <c r="X2" s="261"/>
      <c r="Y2" s="122"/>
      <c r="Z2" s="122"/>
      <c r="AA2" s="122"/>
      <c r="AB2" s="122"/>
      <c r="AC2" s="261"/>
      <c r="AD2" s="122"/>
      <c r="AE2" s="122"/>
      <c r="AF2" s="122"/>
      <c r="AG2" s="122"/>
      <c r="AH2" s="261"/>
      <c r="AI2" s="122"/>
    </row>
    <row r="3" spans="1:35">
      <c r="A3" s="321" t="s">
        <v>49</v>
      </c>
      <c r="B3" s="323" t="s">
        <v>48</v>
      </c>
      <c r="C3" s="325" t="s">
        <v>47</v>
      </c>
      <c r="D3" s="311" t="s">
        <v>28</v>
      </c>
      <c r="E3" s="311" t="s">
        <v>0</v>
      </c>
      <c r="F3" s="304" t="s">
        <v>24</v>
      </c>
      <c r="G3" s="305"/>
      <c r="H3" s="305"/>
      <c r="I3" s="305"/>
      <c r="J3" s="305"/>
      <c r="K3" s="327"/>
      <c r="L3" s="311" t="s">
        <v>46</v>
      </c>
      <c r="M3" s="311" t="s">
        <v>45</v>
      </c>
      <c r="N3" s="313" t="s">
        <v>43</v>
      </c>
      <c r="O3" s="314"/>
      <c r="P3" s="314"/>
      <c r="Q3" s="314"/>
      <c r="R3" s="314"/>
      <c r="S3" s="315"/>
      <c r="T3" s="311" t="s">
        <v>44</v>
      </c>
      <c r="U3" s="308" t="s">
        <v>42</v>
      </c>
      <c r="V3" s="309"/>
      <c r="W3" s="309"/>
      <c r="X3" s="309"/>
      <c r="Y3" s="309"/>
      <c r="Z3" s="309" t="s">
        <v>41</v>
      </c>
      <c r="AA3" s="309"/>
      <c r="AB3" s="309"/>
      <c r="AC3" s="309"/>
      <c r="AD3" s="309"/>
      <c r="AE3" s="310" t="s">
        <v>40</v>
      </c>
      <c r="AF3" s="310"/>
      <c r="AG3" s="310"/>
      <c r="AH3" s="310"/>
      <c r="AI3" s="310"/>
    </row>
    <row r="4" spans="1:35" s="121" customFormat="1">
      <c r="A4" s="322"/>
      <c r="B4" s="324"/>
      <c r="C4" s="326"/>
      <c r="D4" s="312"/>
      <c r="E4" s="312"/>
      <c r="F4" s="53">
        <v>3</v>
      </c>
      <c r="G4" s="52">
        <v>5</v>
      </c>
      <c r="H4" s="52">
        <v>8</v>
      </c>
      <c r="I4" s="269">
        <v>8</v>
      </c>
      <c r="J4" s="127">
        <v>10</v>
      </c>
      <c r="K4" s="123" t="s">
        <v>2</v>
      </c>
      <c r="L4" s="312"/>
      <c r="M4" s="312"/>
      <c r="N4" s="126">
        <v>3</v>
      </c>
      <c r="O4" s="125">
        <v>5</v>
      </c>
      <c r="P4" s="125">
        <v>8</v>
      </c>
      <c r="Q4" s="269">
        <v>8</v>
      </c>
      <c r="R4" s="124">
        <v>10</v>
      </c>
      <c r="S4" s="123" t="s">
        <v>2</v>
      </c>
      <c r="T4" s="312"/>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220"/>
      <c r="B5" s="219"/>
      <c r="C5" s="218"/>
      <c r="D5" s="217" t="s">
        <v>508</v>
      </c>
      <c r="E5" s="216">
        <f t="shared" ref="E5:S5" si="0">+SUM(E6:E12)</f>
        <v>3945961149</v>
      </c>
      <c r="F5" s="169">
        <f t="shared" si="0"/>
        <v>0</v>
      </c>
      <c r="G5" s="47">
        <f t="shared" si="0"/>
        <v>0</v>
      </c>
      <c r="H5" s="47">
        <f t="shared" si="0"/>
        <v>0</v>
      </c>
      <c r="I5" s="47">
        <f t="shared" ref="I5" si="1">+SUM(I6:I12)</f>
        <v>0</v>
      </c>
      <c r="J5" s="167">
        <f t="shared" si="0"/>
        <v>61813753</v>
      </c>
      <c r="K5" s="167">
        <f t="shared" si="0"/>
        <v>61813753</v>
      </c>
      <c r="L5" s="216">
        <f t="shared" si="0"/>
        <v>3884147396</v>
      </c>
      <c r="M5" s="216">
        <f t="shared" si="0"/>
        <v>0</v>
      </c>
      <c r="N5" s="169">
        <f t="shared" si="0"/>
        <v>0</v>
      </c>
      <c r="O5" s="47">
        <f t="shared" si="0"/>
        <v>0</v>
      </c>
      <c r="P5" s="47">
        <f t="shared" si="0"/>
        <v>0</v>
      </c>
      <c r="Q5" s="47">
        <f t="shared" ref="Q5" si="2">+SUM(Q6:Q12)</f>
        <v>0</v>
      </c>
      <c r="R5" s="168">
        <f t="shared" si="0"/>
        <v>5619432</v>
      </c>
      <c r="S5" s="167">
        <f t="shared" si="0"/>
        <v>5619432</v>
      </c>
      <c r="T5" s="215">
        <f t="shared" ref="T5:T12" si="3">+E5-S5</f>
        <v>3940341717</v>
      </c>
      <c r="U5" s="107"/>
      <c r="V5" s="107"/>
      <c r="W5" s="107"/>
      <c r="X5" s="107"/>
      <c r="Y5" s="107"/>
      <c r="Z5" s="106"/>
      <c r="AA5" s="106"/>
      <c r="AB5" s="106"/>
      <c r="AC5" s="106"/>
      <c r="AD5" s="106"/>
    </row>
    <row r="6" spans="1:35">
      <c r="A6" s="205"/>
      <c r="B6" s="204"/>
      <c r="C6" s="203">
        <v>884025180</v>
      </c>
      <c r="D6" s="202" t="s">
        <v>507</v>
      </c>
      <c r="E6" s="158">
        <f>+IF($A6="",IF($C6="",SUMIFS(全伝票!I:I,全伝票!$B:$B,$B6),SUMIFS(全伝票!I:I,全伝票!$C:$C,$C6)),IF($C6="",SUMIFS(全伝票!I:I,全伝票!$A:$A,$A6,全伝票!$B:$B,$B6),SUMIFS(全伝票!I:I,全伝票!$A:$A,$A6,全伝票!$C:$C,$C6)))</f>
        <v>3884144913</v>
      </c>
      <c r="F6" s="161">
        <f>+IF($A6="",IF($C6="",SUMIFS(全伝票!J:J,全伝票!$B:$B,$B6),SUMIFS(全伝票!J:J,全伝票!$C:$C,$C6)),IF($C6="",SUMIFS(全伝票!J:J,全伝票!$A:$A,$A6,全伝票!$B:$B,$B6),SUMIFS(全伝票!J:J,全伝票!$A:$A,$A6,全伝票!$C:$C,$C6)))</f>
        <v>0</v>
      </c>
      <c r="G6" s="160">
        <f>+IF($A6="",IF($C6="",SUMIFS(全伝票!K:K,全伝票!$B:$B,$B6),SUMIFS(全伝票!K:K,全伝票!$C:$C,$C6)),IF($C6="",SUMIFS(全伝票!K:K,全伝票!$A:$A,$A6,全伝票!$B:$B,$B6),SUMIFS(全伝票!K:K,全伝票!$A:$A,$A6,全伝票!$C:$C,$C6)))</f>
        <v>0</v>
      </c>
      <c r="H6" s="160">
        <f>+IF($A6="",IF($C6="",SUMIFS(全伝票!L:L,全伝票!$B:$B,$B6),SUMIFS(全伝票!L:L,全伝票!$C:$C,$C6)),IF($C6="",SUMIFS(全伝票!L:L,全伝票!$A:$A,$A6,全伝票!$B:$B,$B6),SUMIFS(全伝票!L:L,全伝票!$A:$A,$A6,全伝票!$C:$C,$C6)))</f>
        <v>0</v>
      </c>
      <c r="I6" s="160">
        <f>+IF($A6="",IF($C6="",SUMIFS(全伝票!M:M,全伝票!$B:$B,$B6),SUMIFS(全伝票!M:M,全伝票!$C:$C,$C6)),IF($C6="",SUMIFS(全伝票!M:M,全伝票!$A:$A,$A6,全伝票!$B:$B,$B6),SUMIFS(全伝票!M:M,全伝票!$A:$A,$A6,全伝票!$C:$C,$C6)))</f>
        <v>0</v>
      </c>
      <c r="J6" s="184">
        <f>+IF($A6="",IF($C6="",SUMIFS(全伝票!N:N,全伝票!$B:$B,$B6),SUMIFS(全伝票!N:N,全伝票!$C:$C,$C6)),IF($C6="",SUMIFS(全伝票!N:N,全伝票!$A:$A,$A6,全伝票!$B:$B,$B6),SUMIFS(全伝票!N:N,全伝票!$A:$A,$A6,全伝票!$C:$C,$C6)))</f>
        <v>0</v>
      </c>
      <c r="K6" s="22">
        <f t="shared" ref="K6:K12" si="4">SUM(F6:J6)</f>
        <v>0</v>
      </c>
      <c r="L6" s="158">
        <f>+IF($A6="",IF($C6="",SUMIFS(全伝票!O:O,全伝票!$B:$B,$B6),SUMIFS(全伝票!O:O,全伝票!$C:$C,$C6)),IF($C6="",SUMIFS(全伝票!O:O,全伝票!$A:$A,$A6,全伝票!$B:$B,$B6),SUMIFS(全伝票!O:O,全伝票!$A:$A,$A6,全伝票!$C:$C,$C6)))</f>
        <v>3884144913</v>
      </c>
      <c r="M6" s="158">
        <f>+IF($A6="",IF($C6="",SUMIFS(全伝票!P:P,全伝票!$B:$B,$B6),SUMIFS(全伝票!P:P,全伝票!$C:$C,$C6)),IF($C6="",SUMIFS(全伝票!P:P,全伝票!$A:$A,$A6,全伝票!$B:$B,$B6),SUMIFS(全伝票!P:P,全伝票!$A:$A,$A6,全伝票!$C:$C,$C6)))</f>
        <v>0</v>
      </c>
      <c r="N6" s="108">
        <f t="shared" ref="N6:Q12" si="5">+ROUND(F6*F$4/(100+F$4),0)+AE6</f>
        <v>0</v>
      </c>
      <c r="O6" s="25">
        <f t="shared" si="5"/>
        <v>0</v>
      </c>
      <c r="P6" s="25">
        <f t="shared" si="5"/>
        <v>0</v>
      </c>
      <c r="Q6" s="25">
        <f t="shared" si="5"/>
        <v>0</v>
      </c>
      <c r="R6" s="157">
        <f t="shared" ref="R6:R12" si="6">+ROUND(J6*J$4/(100+J$4),0)+AI6</f>
        <v>0</v>
      </c>
      <c r="S6" s="22">
        <f t="shared" ref="S6:S12" si="7">SUM(N6:R6)</f>
        <v>0</v>
      </c>
      <c r="T6" s="201">
        <f t="shared" si="3"/>
        <v>3884144913</v>
      </c>
      <c r="U6" s="107">
        <f t="shared" ref="U6:X12" si="8">N6-F6*F$4/(100+F$4)</f>
        <v>0</v>
      </c>
      <c r="V6" s="107">
        <f t="shared" si="8"/>
        <v>0</v>
      </c>
      <c r="W6" s="107">
        <f t="shared" si="8"/>
        <v>0</v>
      </c>
      <c r="X6" s="107">
        <f t="shared" si="8"/>
        <v>0</v>
      </c>
      <c r="Y6" s="107">
        <f t="shared" ref="Y6:Y12" si="9">R6-J6*J$4/(100+J$4)</f>
        <v>0</v>
      </c>
      <c r="Z6" s="106">
        <f t="shared" ref="Z6:AC12" si="10">+IF(N$38=0,0,IF(N$38&lt;0,-RANK(U6,U$5:U$35,0),RANK(U6,U$5:U$35,1)))</f>
        <v>0</v>
      </c>
      <c r="AA6" s="106">
        <f t="shared" si="10"/>
        <v>0</v>
      </c>
      <c r="AB6" s="106">
        <f t="shared" si="10"/>
        <v>0</v>
      </c>
      <c r="AC6" s="106">
        <f t="shared" si="10"/>
        <v>0</v>
      </c>
      <c r="AD6" s="106">
        <f t="shared" ref="AD6:AD12" si="11">+IF(R$38=0,0,IF(R$38&lt;0,-RANK(Y6,Y$5:Y$35,0),RANK(Y6,Y$5:Y$35,1)))</f>
        <v>0</v>
      </c>
    </row>
    <row r="7" spans="1:35">
      <c r="A7" s="205"/>
      <c r="B7" s="204"/>
      <c r="C7" s="203">
        <v>884025181</v>
      </c>
      <c r="D7" s="202" t="s">
        <v>506</v>
      </c>
      <c r="E7" s="158">
        <f>+IF($A7="",IF($C7="",SUMIFS(全伝票!I:I,全伝票!$B:$B,$B7),SUMIFS(全伝票!I:I,全伝票!$C:$C,$C7)),IF($C7="",SUMIFS(全伝票!I:I,全伝票!$A:$A,$A7,全伝票!$B:$B,$B7),SUMIFS(全伝票!I:I,全伝票!$A:$A,$A7,全伝票!$C:$C,$C7)))</f>
        <v>0</v>
      </c>
      <c r="F7" s="161">
        <f>+IF($A7="",IF($C7="",SUMIFS(全伝票!J:J,全伝票!$B:$B,$B7),SUMIFS(全伝票!J:J,全伝票!$C:$C,$C7)),IF($C7="",SUMIFS(全伝票!J:J,全伝票!$A:$A,$A7,全伝票!$B:$B,$B7),SUMIFS(全伝票!J:J,全伝票!$A:$A,$A7,全伝票!$C:$C,$C7)))</f>
        <v>0</v>
      </c>
      <c r="G7" s="160">
        <f>+IF($A7="",IF($C7="",SUMIFS(全伝票!K:K,全伝票!$B:$B,$B7),SUMIFS(全伝票!K:K,全伝票!$C:$C,$C7)),IF($C7="",SUMIFS(全伝票!K:K,全伝票!$A:$A,$A7,全伝票!$B:$B,$B7),SUMIFS(全伝票!K:K,全伝票!$A:$A,$A7,全伝票!$C:$C,$C7)))</f>
        <v>0</v>
      </c>
      <c r="H7" s="160">
        <f>+IF($A7="",IF($C7="",SUMIFS(全伝票!L:L,全伝票!$B:$B,$B7),SUMIFS(全伝票!L:L,全伝票!$C:$C,$C7)),IF($C7="",SUMIFS(全伝票!L:L,全伝票!$A:$A,$A7,全伝票!$B:$B,$B7),SUMIFS(全伝票!L:L,全伝票!$A:$A,$A7,全伝票!$C:$C,$C7)))</f>
        <v>0</v>
      </c>
      <c r="I7" s="160">
        <f>+IF($A7="",IF($C7="",SUMIFS(全伝票!M:M,全伝票!$B:$B,$B7),SUMIFS(全伝票!M:M,全伝票!$C:$C,$C7)),IF($C7="",SUMIFS(全伝票!M:M,全伝票!$A:$A,$A7,全伝票!$B:$B,$B7),SUMIFS(全伝票!M:M,全伝票!$A:$A,$A7,全伝票!$C:$C,$C7)))</f>
        <v>0</v>
      </c>
      <c r="J7" s="184">
        <f>+IF($A7="",IF($C7="",SUMIFS(全伝票!N:N,全伝票!$B:$B,$B7),SUMIFS(全伝票!N:N,全伝票!$C:$C,$C7)),IF($C7="",SUMIFS(全伝票!N:N,全伝票!$A:$A,$A7,全伝票!$B:$B,$B7),SUMIFS(全伝票!N:N,全伝票!$A:$A,$A7,全伝票!$C:$C,$C7)))</f>
        <v>0</v>
      </c>
      <c r="K7" s="22">
        <f t="shared" si="4"/>
        <v>0</v>
      </c>
      <c r="L7" s="158">
        <f>+IF($A7="",IF($C7="",SUMIFS(全伝票!O:O,全伝票!$B:$B,$B7),SUMIFS(全伝票!O:O,全伝票!$C:$C,$C7)),IF($C7="",SUMIFS(全伝票!O:O,全伝票!$A:$A,$A7,全伝票!$B:$B,$B7),SUMIFS(全伝票!O:O,全伝票!$A:$A,$A7,全伝票!$C:$C,$C7)))</f>
        <v>0</v>
      </c>
      <c r="M7" s="158">
        <f>+IF($A7="",IF($C7="",SUMIFS(全伝票!P:P,全伝票!$B:$B,$B7),SUMIFS(全伝票!P:P,全伝票!$C:$C,$C7)),IF($C7="",SUMIFS(全伝票!P:P,全伝票!$A:$A,$A7,全伝票!$B:$B,$B7),SUMIFS(全伝票!P:P,全伝票!$A:$A,$A7,全伝票!$C:$C,$C7)))</f>
        <v>0</v>
      </c>
      <c r="N7" s="108">
        <f t="shared" si="5"/>
        <v>0</v>
      </c>
      <c r="O7" s="25">
        <f t="shared" si="5"/>
        <v>0</v>
      </c>
      <c r="P7" s="25">
        <f t="shared" si="5"/>
        <v>0</v>
      </c>
      <c r="Q7" s="25">
        <f t="shared" si="5"/>
        <v>0</v>
      </c>
      <c r="R7" s="157">
        <f t="shared" si="6"/>
        <v>0</v>
      </c>
      <c r="S7" s="22">
        <f t="shared" si="7"/>
        <v>0</v>
      </c>
      <c r="T7" s="201">
        <f t="shared" si="3"/>
        <v>0</v>
      </c>
      <c r="U7" s="107">
        <f t="shared" si="8"/>
        <v>0</v>
      </c>
      <c r="V7" s="107">
        <f t="shared" si="8"/>
        <v>0</v>
      </c>
      <c r="W7" s="107">
        <f t="shared" si="8"/>
        <v>0</v>
      </c>
      <c r="X7" s="107">
        <f t="shared" si="8"/>
        <v>0</v>
      </c>
      <c r="Y7" s="107">
        <f t="shared" si="9"/>
        <v>0</v>
      </c>
      <c r="Z7" s="106">
        <f t="shared" si="10"/>
        <v>0</v>
      </c>
      <c r="AA7" s="106">
        <f t="shared" si="10"/>
        <v>0</v>
      </c>
      <c r="AB7" s="106">
        <f t="shared" si="10"/>
        <v>0</v>
      </c>
      <c r="AC7" s="106">
        <f t="shared" si="10"/>
        <v>0</v>
      </c>
      <c r="AD7" s="106">
        <f t="shared" si="11"/>
        <v>0</v>
      </c>
    </row>
    <row r="8" spans="1:35">
      <c r="A8" s="205"/>
      <c r="B8" s="204"/>
      <c r="C8" s="203">
        <v>884025182</v>
      </c>
      <c r="D8" s="202" t="s">
        <v>505</v>
      </c>
      <c r="E8" s="158">
        <f>+IF($A8="",IF($C8="",SUMIFS(全伝票!I:I,全伝票!$B:$B,$B8),SUMIFS(全伝票!I:I,全伝票!$C:$C,$C8)),IF($C8="",SUMIFS(全伝票!I:I,全伝票!$A:$A,$A8,全伝票!$B:$B,$B8),SUMIFS(全伝票!I:I,全伝票!$A:$A,$A8,全伝票!$C:$C,$C8)))</f>
        <v>0</v>
      </c>
      <c r="F8" s="161">
        <f>+IF($A8="",IF($C8="",SUMIFS(全伝票!J:J,全伝票!$B:$B,$B8),SUMIFS(全伝票!J:J,全伝票!$C:$C,$C8)),IF($C8="",SUMIFS(全伝票!J:J,全伝票!$A:$A,$A8,全伝票!$B:$B,$B8),SUMIFS(全伝票!J:J,全伝票!$A:$A,$A8,全伝票!$C:$C,$C8)))</f>
        <v>0</v>
      </c>
      <c r="G8" s="160">
        <f>+IF($A8="",IF($C8="",SUMIFS(全伝票!K:K,全伝票!$B:$B,$B8),SUMIFS(全伝票!K:K,全伝票!$C:$C,$C8)),IF($C8="",SUMIFS(全伝票!K:K,全伝票!$A:$A,$A8,全伝票!$B:$B,$B8),SUMIFS(全伝票!K:K,全伝票!$A:$A,$A8,全伝票!$C:$C,$C8)))</f>
        <v>0</v>
      </c>
      <c r="H8" s="160">
        <f>+IF($A8="",IF($C8="",SUMIFS(全伝票!L:L,全伝票!$B:$B,$B8),SUMIFS(全伝票!L:L,全伝票!$C:$C,$C8)),IF($C8="",SUMIFS(全伝票!L:L,全伝票!$A:$A,$A8,全伝票!$B:$B,$B8),SUMIFS(全伝票!L:L,全伝票!$A:$A,$A8,全伝票!$C:$C,$C8)))</f>
        <v>0</v>
      </c>
      <c r="I8" s="160">
        <f>+IF($A8="",IF($C8="",SUMIFS(全伝票!M:M,全伝票!$B:$B,$B8),SUMIFS(全伝票!M:M,全伝票!$C:$C,$C8)),IF($C8="",SUMIFS(全伝票!M:M,全伝票!$A:$A,$A8,全伝票!$B:$B,$B8),SUMIFS(全伝票!M:M,全伝票!$A:$A,$A8,全伝票!$C:$C,$C8)))</f>
        <v>0</v>
      </c>
      <c r="J8" s="184">
        <f>+IF($A8="",IF($C8="",SUMIFS(全伝票!N:N,全伝票!$B:$B,$B8),SUMIFS(全伝票!N:N,全伝票!$C:$C,$C8)),IF($C8="",SUMIFS(全伝票!N:N,全伝票!$A:$A,$A8,全伝票!$B:$B,$B8),SUMIFS(全伝票!N:N,全伝票!$A:$A,$A8,全伝票!$C:$C,$C8)))</f>
        <v>0</v>
      </c>
      <c r="K8" s="22">
        <f t="shared" si="4"/>
        <v>0</v>
      </c>
      <c r="L8" s="158">
        <f>+IF($A8="",IF($C8="",SUMIFS(全伝票!O:O,全伝票!$B:$B,$B8),SUMIFS(全伝票!O:O,全伝票!$C:$C,$C8)),IF($C8="",SUMIFS(全伝票!O:O,全伝票!$A:$A,$A8,全伝票!$B:$B,$B8),SUMIFS(全伝票!O:O,全伝票!$A:$A,$A8,全伝票!$C:$C,$C8)))</f>
        <v>0</v>
      </c>
      <c r="M8" s="158">
        <f>+IF($A8="",IF($C8="",SUMIFS(全伝票!P:P,全伝票!$B:$B,$B8),SUMIFS(全伝票!P:P,全伝票!$C:$C,$C8)),IF($C8="",SUMIFS(全伝票!P:P,全伝票!$A:$A,$A8,全伝票!$B:$B,$B8),SUMIFS(全伝票!P:P,全伝票!$A:$A,$A8,全伝票!$C:$C,$C8)))</f>
        <v>0</v>
      </c>
      <c r="N8" s="108">
        <f t="shared" si="5"/>
        <v>0</v>
      </c>
      <c r="O8" s="25">
        <f t="shared" si="5"/>
        <v>0</v>
      </c>
      <c r="P8" s="25">
        <f t="shared" si="5"/>
        <v>0</v>
      </c>
      <c r="Q8" s="25">
        <f t="shared" si="5"/>
        <v>0</v>
      </c>
      <c r="R8" s="157">
        <f t="shared" si="6"/>
        <v>0</v>
      </c>
      <c r="S8" s="22">
        <f t="shared" si="7"/>
        <v>0</v>
      </c>
      <c r="T8" s="201">
        <f t="shared" si="3"/>
        <v>0</v>
      </c>
      <c r="U8" s="107">
        <f t="shared" si="8"/>
        <v>0</v>
      </c>
      <c r="V8" s="107">
        <f t="shared" si="8"/>
        <v>0</v>
      </c>
      <c r="W8" s="107">
        <f t="shared" si="8"/>
        <v>0</v>
      </c>
      <c r="X8" s="107">
        <f t="shared" si="8"/>
        <v>0</v>
      </c>
      <c r="Y8" s="107">
        <f t="shared" si="9"/>
        <v>0</v>
      </c>
      <c r="Z8" s="106">
        <f t="shared" si="10"/>
        <v>0</v>
      </c>
      <c r="AA8" s="106">
        <f t="shared" si="10"/>
        <v>0</v>
      </c>
      <c r="AB8" s="106">
        <f t="shared" si="10"/>
        <v>0</v>
      </c>
      <c r="AC8" s="106">
        <f t="shared" si="10"/>
        <v>0</v>
      </c>
      <c r="AD8" s="106">
        <f t="shared" si="11"/>
        <v>0</v>
      </c>
    </row>
    <row r="9" spans="1:35">
      <c r="A9" s="205"/>
      <c r="B9" s="204"/>
      <c r="C9" s="203">
        <v>884025200</v>
      </c>
      <c r="D9" s="202" t="s">
        <v>504</v>
      </c>
      <c r="E9" s="158">
        <f>+IF($A9="",IF($C9="",SUMIFS(全伝票!I:I,全伝票!$B:$B,$B9),SUMIFS(全伝票!I:I,全伝票!$C:$C,$C9)),IF($C9="",SUMIFS(全伝票!I:I,全伝票!$A:$A,$A9,全伝票!$B:$B,$B9),SUMIFS(全伝票!I:I,全伝票!$A:$A,$A9,全伝票!$C:$C,$C9)))</f>
        <v>61813753</v>
      </c>
      <c r="F9" s="161">
        <f>+IF($A9="",IF($C9="",SUMIFS(全伝票!J:J,全伝票!$B:$B,$B9),SUMIFS(全伝票!J:J,全伝票!$C:$C,$C9)),IF($C9="",SUMIFS(全伝票!J:J,全伝票!$A:$A,$A9,全伝票!$B:$B,$B9),SUMIFS(全伝票!J:J,全伝票!$A:$A,$A9,全伝票!$C:$C,$C9)))</f>
        <v>0</v>
      </c>
      <c r="G9" s="160">
        <f>+IF($A9="",IF($C9="",SUMIFS(全伝票!K:K,全伝票!$B:$B,$B9),SUMIFS(全伝票!K:K,全伝票!$C:$C,$C9)),IF($C9="",SUMIFS(全伝票!K:K,全伝票!$A:$A,$A9,全伝票!$B:$B,$B9),SUMIFS(全伝票!K:K,全伝票!$A:$A,$A9,全伝票!$C:$C,$C9)))</f>
        <v>0</v>
      </c>
      <c r="H9" s="160">
        <f>+IF($A9="",IF($C9="",SUMIFS(全伝票!L:L,全伝票!$B:$B,$B9),SUMIFS(全伝票!L:L,全伝票!$C:$C,$C9)),IF($C9="",SUMIFS(全伝票!L:L,全伝票!$A:$A,$A9,全伝票!$B:$B,$B9),SUMIFS(全伝票!L:L,全伝票!$A:$A,$A9,全伝票!$C:$C,$C9)))</f>
        <v>0</v>
      </c>
      <c r="I9" s="160">
        <f>+IF($A9="",IF($C9="",SUMIFS(全伝票!M:M,全伝票!$B:$B,$B9),SUMIFS(全伝票!M:M,全伝票!$C:$C,$C9)),IF($C9="",SUMIFS(全伝票!M:M,全伝票!$A:$A,$A9,全伝票!$B:$B,$B9),SUMIFS(全伝票!M:M,全伝票!$A:$A,$A9,全伝票!$C:$C,$C9)))</f>
        <v>0</v>
      </c>
      <c r="J9" s="184">
        <f>+IF($A9="",IF($C9="",SUMIFS(全伝票!N:N,全伝票!$B:$B,$B9),SUMIFS(全伝票!N:N,全伝票!$C:$C,$C9)),IF($C9="",SUMIFS(全伝票!N:N,全伝票!$A:$A,$A9,全伝票!$B:$B,$B9),SUMIFS(全伝票!N:N,全伝票!$A:$A,$A9,全伝票!$C:$C,$C9)))</f>
        <v>61813753</v>
      </c>
      <c r="K9" s="22">
        <f t="shared" si="4"/>
        <v>61813753</v>
      </c>
      <c r="L9" s="158">
        <f>+IF($A9="",IF($C9="",SUMIFS(全伝票!O:O,全伝票!$B:$B,$B9),SUMIFS(全伝票!O:O,全伝票!$C:$C,$C9)),IF($C9="",SUMIFS(全伝票!O:O,全伝票!$A:$A,$A9,全伝票!$B:$B,$B9),SUMIFS(全伝票!O:O,全伝票!$A:$A,$A9,全伝票!$C:$C,$C9)))</f>
        <v>0</v>
      </c>
      <c r="M9" s="158">
        <f>+IF($A9="",IF($C9="",SUMIFS(全伝票!P:P,全伝票!$B:$B,$B9),SUMIFS(全伝票!P:P,全伝票!$C:$C,$C9)),IF($C9="",SUMIFS(全伝票!P:P,全伝票!$A:$A,$A9,全伝票!$B:$B,$B9),SUMIFS(全伝票!P:P,全伝票!$A:$A,$A9,全伝票!$C:$C,$C9)))</f>
        <v>0</v>
      </c>
      <c r="N9" s="108">
        <f t="shared" si="5"/>
        <v>0</v>
      </c>
      <c r="O9" s="25">
        <f t="shared" si="5"/>
        <v>0</v>
      </c>
      <c r="P9" s="25">
        <f t="shared" si="5"/>
        <v>0</v>
      </c>
      <c r="Q9" s="25">
        <f t="shared" si="5"/>
        <v>0</v>
      </c>
      <c r="R9" s="157">
        <f t="shared" si="6"/>
        <v>5619432</v>
      </c>
      <c r="S9" s="22">
        <f t="shared" si="7"/>
        <v>5619432</v>
      </c>
      <c r="T9" s="201">
        <f t="shared" si="3"/>
        <v>56194321</v>
      </c>
      <c r="U9" s="107">
        <f t="shared" si="8"/>
        <v>0</v>
      </c>
      <c r="V9" s="107">
        <f t="shared" si="8"/>
        <v>0</v>
      </c>
      <c r="W9" s="107">
        <f t="shared" si="8"/>
        <v>0</v>
      </c>
      <c r="X9" s="107">
        <f t="shared" si="8"/>
        <v>0</v>
      </c>
      <c r="Y9" s="107">
        <f t="shared" si="9"/>
        <v>-9.090909082442522E-2</v>
      </c>
      <c r="Z9" s="106">
        <f t="shared" si="10"/>
        <v>0</v>
      </c>
      <c r="AA9" s="106">
        <f t="shared" si="10"/>
        <v>0</v>
      </c>
      <c r="AB9" s="106">
        <f t="shared" si="10"/>
        <v>0</v>
      </c>
      <c r="AC9" s="106">
        <f t="shared" si="10"/>
        <v>0</v>
      </c>
      <c r="AD9" s="106">
        <f t="shared" si="11"/>
        <v>0</v>
      </c>
    </row>
    <row r="10" spans="1:35">
      <c r="A10" s="205"/>
      <c r="B10" s="204"/>
      <c r="C10" s="203">
        <v>884025300</v>
      </c>
      <c r="D10" s="202" t="s">
        <v>503</v>
      </c>
      <c r="E10" s="158">
        <f>+IF($A10="",IF($C10="",SUMIFS(全伝票!I:I,全伝票!$B:$B,$B10),SUMIFS(全伝票!I:I,全伝票!$C:$C,$C10)),IF($C10="",SUMIFS(全伝票!I:I,全伝票!$A:$A,$A10,全伝票!$B:$B,$B10),SUMIFS(全伝票!I:I,全伝票!$A:$A,$A10,全伝票!$C:$C,$C10)))</f>
        <v>0</v>
      </c>
      <c r="F10" s="161">
        <f>+IF($A10="",IF($C10="",SUMIFS(全伝票!J:J,全伝票!$B:$B,$B10),SUMIFS(全伝票!J:J,全伝票!$C:$C,$C10)),IF($C10="",SUMIFS(全伝票!J:J,全伝票!$A:$A,$A10,全伝票!$B:$B,$B10),SUMIFS(全伝票!J:J,全伝票!$A:$A,$A10,全伝票!$C:$C,$C10)))</f>
        <v>0</v>
      </c>
      <c r="G10" s="160">
        <f>+IF($A10="",IF($C10="",SUMIFS(全伝票!K:K,全伝票!$B:$B,$B10),SUMIFS(全伝票!K:K,全伝票!$C:$C,$C10)),IF($C10="",SUMIFS(全伝票!K:K,全伝票!$A:$A,$A10,全伝票!$B:$B,$B10),SUMIFS(全伝票!K:K,全伝票!$A:$A,$A10,全伝票!$C:$C,$C10)))</f>
        <v>0</v>
      </c>
      <c r="H10" s="160">
        <f>+IF($A10="",IF($C10="",SUMIFS(全伝票!L:L,全伝票!$B:$B,$B10),SUMIFS(全伝票!L:L,全伝票!$C:$C,$C10)),IF($C10="",SUMIFS(全伝票!L:L,全伝票!$A:$A,$A10,全伝票!$B:$B,$B10),SUMIFS(全伝票!L:L,全伝票!$A:$A,$A10,全伝票!$C:$C,$C10)))</f>
        <v>0</v>
      </c>
      <c r="I10" s="160">
        <f>+IF($A10="",IF($C10="",SUMIFS(全伝票!M:M,全伝票!$B:$B,$B10),SUMIFS(全伝票!M:M,全伝票!$C:$C,$C10)),IF($C10="",SUMIFS(全伝票!M:M,全伝票!$A:$A,$A10,全伝票!$B:$B,$B10),SUMIFS(全伝票!M:M,全伝票!$A:$A,$A10,全伝票!$C:$C,$C10)))</f>
        <v>0</v>
      </c>
      <c r="J10" s="184">
        <f>+IF($A10="",IF($C10="",SUMIFS(全伝票!N:N,全伝票!$B:$B,$B10),SUMIFS(全伝票!N:N,全伝票!$C:$C,$C10)),IF($C10="",SUMIFS(全伝票!N:N,全伝票!$A:$A,$A10,全伝票!$B:$B,$B10),SUMIFS(全伝票!N:N,全伝票!$A:$A,$A10,全伝票!$C:$C,$C10)))</f>
        <v>0</v>
      </c>
      <c r="K10" s="22">
        <f t="shared" si="4"/>
        <v>0</v>
      </c>
      <c r="L10" s="158">
        <f>+IF($A10="",IF($C10="",SUMIFS(全伝票!O:O,全伝票!$B:$B,$B10),SUMIFS(全伝票!O:O,全伝票!$C:$C,$C10)),IF($C10="",SUMIFS(全伝票!O:O,全伝票!$A:$A,$A10,全伝票!$B:$B,$B10),SUMIFS(全伝票!O:O,全伝票!$A:$A,$A10,全伝票!$C:$C,$C10)))</f>
        <v>0</v>
      </c>
      <c r="M10" s="158">
        <f>+IF($A10="",IF($C10="",SUMIFS(全伝票!P:P,全伝票!$B:$B,$B10),SUMIFS(全伝票!P:P,全伝票!$C:$C,$C10)),IF($C10="",SUMIFS(全伝票!P:P,全伝票!$A:$A,$A10,全伝票!$B:$B,$B10),SUMIFS(全伝票!P:P,全伝票!$A:$A,$A10,全伝票!$C:$C,$C10)))</f>
        <v>0</v>
      </c>
      <c r="N10" s="108">
        <f t="shared" si="5"/>
        <v>0</v>
      </c>
      <c r="O10" s="25">
        <f t="shared" si="5"/>
        <v>0</v>
      </c>
      <c r="P10" s="25">
        <f t="shared" si="5"/>
        <v>0</v>
      </c>
      <c r="Q10" s="25">
        <f t="shared" si="5"/>
        <v>0</v>
      </c>
      <c r="R10" s="157">
        <f t="shared" si="6"/>
        <v>0</v>
      </c>
      <c r="S10" s="22">
        <f t="shared" si="7"/>
        <v>0</v>
      </c>
      <c r="T10" s="201">
        <f t="shared" si="3"/>
        <v>0</v>
      </c>
      <c r="U10" s="107">
        <f t="shared" si="8"/>
        <v>0</v>
      </c>
      <c r="V10" s="107">
        <f t="shared" si="8"/>
        <v>0</v>
      </c>
      <c r="W10" s="107">
        <f t="shared" si="8"/>
        <v>0</v>
      </c>
      <c r="X10" s="107">
        <f t="shared" si="8"/>
        <v>0</v>
      </c>
      <c r="Y10" s="107">
        <f t="shared" si="9"/>
        <v>0</v>
      </c>
      <c r="Z10" s="106">
        <f t="shared" si="10"/>
        <v>0</v>
      </c>
      <c r="AA10" s="106">
        <f t="shared" si="10"/>
        <v>0</v>
      </c>
      <c r="AB10" s="106">
        <f t="shared" si="10"/>
        <v>0</v>
      </c>
      <c r="AC10" s="106">
        <f t="shared" si="10"/>
        <v>0</v>
      </c>
      <c r="AD10" s="106">
        <f t="shared" si="11"/>
        <v>0</v>
      </c>
    </row>
    <row r="11" spans="1:35">
      <c r="A11" s="205"/>
      <c r="B11" s="204"/>
      <c r="C11" s="203">
        <v>884025400</v>
      </c>
      <c r="D11" s="202" t="s">
        <v>502</v>
      </c>
      <c r="E11" s="158">
        <f>+IF($A11="",IF($C11="",SUMIFS(全伝票!I:I,全伝票!$B:$B,$B11),SUMIFS(全伝票!I:I,全伝票!$C:$C,$C11)),IF($C11="",SUMIFS(全伝票!I:I,全伝票!$A:$A,$A11,全伝票!$B:$B,$B11),SUMIFS(全伝票!I:I,全伝票!$A:$A,$A11,全伝票!$C:$C,$C11)))</f>
        <v>2483</v>
      </c>
      <c r="F11" s="161">
        <f>+IF($A11="",IF($C11="",SUMIFS(全伝票!J:J,全伝票!$B:$B,$B11),SUMIFS(全伝票!J:J,全伝票!$C:$C,$C11)),IF($C11="",SUMIFS(全伝票!J:J,全伝票!$A:$A,$A11,全伝票!$B:$B,$B11),SUMIFS(全伝票!J:J,全伝票!$A:$A,$A11,全伝票!$C:$C,$C11)))</f>
        <v>0</v>
      </c>
      <c r="G11" s="160">
        <f>+IF($A11="",IF($C11="",SUMIFS(全伝票!K:K,全伝票!$B:$B,$B11),SUMIFS(全伝票!K:K,全伝票!$C:$C,$C11)),IF($C11="",SUMIFS(全伝票!K:K,全伝票!$A:$A,$A11,全伝票!$B:$B,$B11),SUMIFS(全伝票!K:K,全伝票!$A:$A,$A11,全伝票!$C:$C,$C11)))</f>
        <v>0</v>
      </c>
      <c r="H11" s="160">
        <f>+IF($A11="",IF($C11="",SUMIFS(全伝票!L:L,全伝票!$B:$B,$B11),SUMIFS(全伝票!L:L,全伝票!$C:$C,$C11)),IF($C11="",SUMIFS(全伝票!L:L,全伝票!$A:$A,$A11,全伝票!$B:$B,$B11),SUMIFS(全伝票!L:L,全伝票!$A:$A,$A11,全伝票!$C:$C,$C11)))</f>
        <v>0</v>
      </c>
      <c r="I11" s="160">
        <f>+IF($A11="",IF($C11="",SUMIFS(全伝票!M:M,全伝票!$B:$B,$B11),SUMIFS(全伝票!M:M,全伝票!$C:$C,$C11)),IF($C11="",SUMIFS(全伝票!M:M,全伝票!$A:$A,$A11,全伝票!$B:$B,$B11),SUMIFS(全伝票!M:M,全伝票!$A:$A,$A11,全伝票!$C:$C,$C11)))</f>
        <v>0</v>
      </c>
      <c r="J11" s="184">
        <f>+IF($A11="",IF($C11="",SUMIFS(全伝票!N:N,全伝票!$B:$B,$B11),SUMIFS(全伝票!N:N,全伝票!$C:$C,$C11)),IF($C11="",SUMIFS(全伝票!N:N,全伝票!$A:$A,$A11,全伝票!$B:$B,$B11),SUMIFS(全伝票!N:N,全伝票!$A:$A,$A11,全伝票!$C:$C,$C11)))</f>
        <v>0</v>
      </c>
      <c r="K11" s="22">
        <f t="shared" si="4"/>
        <v>0</v>
      </c>
      <c r="L11" s="158">
        <f>+IF($A11="",IF($C11="",SUMIFS(全伝票!O:O,全伝票!$B:$B,$B11),SUMIFS(全伝票!O:O,全伝票!$C:$C,$C11)),IF($C11="",SUMIFS(全伝票!O:O,全伝票!$A:$A,$A11,全伝票!$B:$B,$B11),SUMIFS(全伝票!O:O,全伝票!$A:$A,$A11,全伝票!$C:$C,$C11)))</f>
        <v>2483</v>
      </c>
      <c r="M11" s="158">
        <f>+IF($A11="",IF($C11="",SUMIFS(全伝票!P:P,全伝票!$B:$B,$B11),SUMIFS(全伝票!P:P,全伝票!$C:$C,$C11)),IF($C11="",SUMIFS(全伝票!P:P,全伝票!$A:$A,$A11,全伝票!$B:$B,$B11),SUMIFS(全伝票!P:P,全伝票!$A:$A,$A11,全伝票!$C:$C,$C11)))</f>
        <v>0</v>
      </c>
      <c r="N11" s="108">
        <f t="shared" si="5"/>
        <v>0</v>
      </c>
      <c r="O11" s="25">
        <f t="shared" si="5"/>
        <v>0</v>
      </c>
      <c r="P11" s="25">
        <f t="shared" si="5"/>
        <v>0</v>
      </c>
      <c r="Q11" s="25">
        <f t="shared" si="5"/>
        <v>0</v>
      </c>
      <c r="R11" s="157">
        <f t="shared" si="6"/>
        <v>0</v>
      </c>
      <c r="S11" s="22">
        <f t="shared" si="7"/>
        <v>0</v>
      </c>
      <c r="T11" s="201">
        <f t="shared" si="3"/>
        <v>2483</v>
      </c>
      <c r="U11" s="107">
        <f t="shared" si="8"/>
        <v>0</v>
      </c>
      <c r="V11" s="107">
        <f t="shared" si="8"/>
        <v>0</v>
      </c>
      <c r="W11" s="107">
        <f t="shared" si="8"/>
        <v>0</v>
      </c>
      <c r="X11" s="107">
        <f t="shared" si="8"/>
        <v>0</v>
      </c>
      <c r="Y11" s="107">
        <f t="shared" si="9"/>
        <v>0</v>
      </c>
      <c r="Z11" s="106">
        <f t="shared" si="10"/>
        <v>0</v>
      </c>
      <c r="AA11" s="106">
        <f t="shared" si="10"/>
        <v>0</v>
      </c>
      <c r="AB11" s="106">
        <f t="shared" si="10"/>
        <v>0</v>
      </c>
      <c r="AC11" s="106">
        <f t="shared" si="10"/>
        <v>0</v>
      </c>
      <c r="AD11" s="106">
        <f t="shared" si="11"/>
        <v>0</v>
      </c>
    </row>
    <row r="12" spans="1:35">
      <c r="A12" s="205"/>
      <c r="B12" s="204"/>
      <c r="C12" s="203">
        <v>884025500</v>
      </c>
      <c r="D12" s="202" t="s">
        <v>501</v>
      </c>
      <c r="E12" s="158">
        <f>+IF($A12="",IF($C12="",SUMIFS(全伝票!I:I,全伝票!$B:$B,$B12),SUMIFS(全伝票!I:I,全伝票!$C:$C,$C12)),IF($C12="",SUMIFS(全伝票!I:I,全伝票!$A:$A,$A12,全伝票!$B:$B,$B12),SUMIFS(全伝票!I:I,全伝票!$A:$A,$A12,全伝票!$C:$C,$C12)))</f>
        <v>0</v>
      </c>
      <c r="F12" s="161">
        <f>+IF($A12="",IF($C12="",SUMIFS(全伝票!J:J,全伝票!$B:$B,$B12),SUMIFS(全伝票!J:J,全伝票!$C:$C,$C12)),IF($C12="",SUMIFS(全伝票!J:J,全伝票!$A:$A,$A12,全伝票!$B:$B,$B12),SUMIFS(全伝票!J:J,全伝票!$A:$A,$A12,全伝票!$C:$C,$C12)))</f>
        <v>0</v>
      </c>
      <c r="G12" s="160">
        <f>+IF($A12="",IF($C12="",SUMIFS(全伝票!K:K,全伝票!$B:$B,$B12),SUMIFS(全伝票!K:K,全伝票!$C:$C,$C12)),IF($C12="",SUMIFS(全伝票!K:K,全伝票!$A:$A,$A12,全伝票!$B:$B,$B12),SUMIFS(全伝票!K:K,全伝票!$A:$A,$A12,全伝票!$C:$C,$C12)))</f>
        <v>0</v>
      </c>
      <c r="H12" s="160">
        <f>+IF($A12="",IF($C12="",SUMIFS(全伝票!L:L,全伝票!$B:$B,$B12),SUMIFS(全伝票!L:L,全伝票!$C:$C,$C12)),IF($C12="",SUMIFS(全伝票!L:L,全伝票!$A:$A,$A12,全伝票!$B:$B,$B12),SUMIFS(全伝票!L:L,全伝票!$A:$A,$A12,全伝票!$C:$C,$C12)))</f>
        <v>0</v>
      </c>
      <c r="I12" s="160">
        <f>+IF($A12="",IF($C12="",SUMIFS(全伝票!M:M,全伝票!$B:$B,$B12),SUMIFS(全伝票!M:M,全伝票!$C:$C,$C12)),IF($C12="",SUMIFS(全伝票!M:M,全伝票!$A:$A,$A12,全伝票!$B:$B,$B12),SUMIFS(全伝票!M:M,全伝票!$A:$A,$A12,全伝票!$C:$C,$C12)))</f>
        <v>0</v>
      </c>
      <c r="J12" s="184">
        <f>+IF($A12="",IF($C12="",SUMIFS(全伝票!N:N,全伝票!$B:$B,$B12),SUMIFS(全伝票!N:N,全伝票!$C:$C,$C12)),IF($C12="",SUMIFS(全伝票!N:N,全伝票!$A:$A,$A12,全伝票!$B:$B,$B12),SUMIFS(全伝票!N:N,全伝票!$A:$A,$A12,全伝票!$C:$C,$C12)))</f>
        <v>0</v>
      </c>
      <c r="K12" s="22">
        <f t="shared" si="4"/>
        <v>0</v>
      </c>
      <c r="L12" s="158">
        <f>+IF($A12="",IF($C12="",SUMIFS(全伝票!O:O,全伝票!$B:$B,$B12),SUMIFS(全伝票!O:O,全伝票!$C:$C,$C12)),IF($C12="",SUMIFS(全伝票!O:O,全伝票!$A:$A,$A12,全伝票!$B:$B,$B12),SUMIFS(全伝票!O:O,全伝票!$A:$A,$A12,全伝票!$C:$C,$C12)))</f>
        <v>0</v>
      </c>
      <c r="M12" s="158">
        <f>+IF($A12="",IF($C12="",SUMIFS(全伝票!P:P,全伝票!$B:$B,$B12),SUMIFS(全伝票!P:P,全伝票!$C:$C,$C12)),IF($C12="",SUMIFS(全伝票!P:P,全伝票!$A:$A,$A12,全伝票!$B:$B,$B12),SUMIFS(全伝票!P:P,全伝票!$A:$A,$A12,全伝票!$C:$C,$C12)))</f>
        <v>0</v>
      </c>
      <c r="N12" s="108">
        <f t="shared" si="5"/>
        <v>0</v>
      </c>
      <c r="O12" s="25">
        <f t="shared" si="5"/>
        <v>0</v>
      </c>
      <c r="P12" s="25">
        <f t="shared" si="5"/>
        <v>0</v>
      </c>
      <c r="Q12" s="25">
        <f t="shared" si="5"/>
        <v>0</v>
      </c>
      <c r="R12" s="157">
        <f t="shared" si="6"/>
        <v>0</v>
      </c>
      <c r="S12" s="22">
        <f t="shared" si="7"/>
        <v>0</v>
      </c>
      <c r="T12" s="201">
        <f t="shared" si="3"/>
        <v>0</v>
      </c>
      <c r="U12" s="107">
        <f t="shared" si="8"/>
        <v>0</v>
      </c>
      <c r="V12" s="107">
        <f t="shared" si="8"/>
        <v>0</v>
      </c>
      <c r="W12" s="107">
        <f t="shared" si="8"/>
        <v>0</v>
      </c>
      <c r="X12" s="107">
        <f t="shared" si="8"/>
        <v>0</v>
      </c>
      <c r="Y12" s="107">
        <f t="shared" si="9"/>
        <v>0</v>
      </c>
      <c r="Z12" s="106">
        <f t="shared" si="10"/>
        <v>0</v>
      </c>
      <c r="AA12" s="106">
        <f t="shared" si="10"/>
        <v>0</v>
      </c>
      <c r="AB12" s="106">
        <f t="shared" si="10"/>
        <v>0</v>
      </c>
      <c r="AC12" s="106">
        <f t="shared" si="10"/>
        <v>0</v>
      </c>
      <c r="AD12" s="106">
        <f t="shared" si="11"/>
        <v>0</v>
      </c>
    </row>
    <row r="13" spans="1:35">
      <c r="A13" s="205"/>
      <c r="B13" s="204"/>
      <c r="C13" s="203"/>
      <c r="D13" s="202"/>
      <c r="E13" s="183"/>
      <c r="F13" s="108"/>
      <c r="G13" s="25"/>
      <c r="H13" s="25"/>
      <c r="I13" s="25"/>
      <c r="J13" s="22"/>
      <c r="K13" s="22"/>
      <c r="L13" s="183"/>
      <c r="M13" s="183"/>
      <c r="N13" s="108"/>
      <c r="O13" s="25"/>
      <c r="P13" s="25"/>
      <c r="Q13" s="25"/>
      <c r="R13" s="157"/>
      <c r="S13" s="22"/>
      <c r="T13" s="201"/>
      <c r="U13" s="107"/>
      <c r="V13" s="107"/>
      <c r="W13" s="107"/>
      <c r="X13" s="107"/>
      <c r="Y13" s="107"/>
      <c r="Z13" s="106"/>
      <c r="AA13" s="106"/>
      <c r="AB13" s="106"/>
      <c r="AC13" s="106"/>
      <c r="AD13" s="106"/>
    </row>
    <row r="14" spans="1:35">
      <c r="A14" s="205"/>
      <c r="B14" s="204"/>
      <c r="C14" s="203"/>
      <c r="D14" s="202" t="s">
        <v>500</v>
      </c>
      <c r="E14" s="183">
        <f>+SUM(E15:E17)</f>
        <v>9224169</v>
      </c>
      <c r="F14" s="108">
        <f t="shared" ref="F14:J14" si="12">+SUM(F15:F17)</f>
        <v>0</v>
      </c>
      <c r="G14" s="25">
        <f t="shared" si="12"/>
        <v>0</v>
      </c>
      <c r="H14" s="25">
        <f t="shared" si="12"/>
        <v>23932</v>
      </c>
      <c r="I14" s="25">
        <f t="shared" si="12"/>
        <v>0</v>
      </c>
      <c r="J14" s="22">
        <f t="shared" si="12"/>
        <v>5368538</v>
      </c>
      <c r="K14" s="22">
        <f t="shared" ref="K14:S14" si="13">+SUM(K15:K18)</f>
        <v>5392470</v>
      </c>
      <c r="L14" s="183">
        <f t="shared" si="13"/>
        <v>0</v>
      </c>
      <c r="M14" s="183">
        <f t="shared" si="13"/>
        <v>3831699</v>
      </c>
      <c r="N14" s="108">
        <f t="shared" si="13"/>
        <v>0</v>
      </c>
      <c r="O14" s="25">
        <f t="shared" si="13"/>
        <v>0</v>
      </c>
      <c r="P14" s="25">
        <f t="shared" si="13"/>
        <v>1773</v>
      </c>
      <c r="Q14" s="25">
        <f t="shared" ref="Q14" si="14">+SUM(Q15:Q18)</f>
        <v>0</v>
      </c>
      <c r="R14" s="157">
        <f t="shared" si="13"/>
        <v>488049</v>
      </c>
      <c r="S14" s="22">
        <f t="shared" si="13"/>
        <v>489822</v>
      </c>
      <c r="T14" s="214">
        <f>+SUM(T15:T19)</f>
        <v>221221824</v>
      </c>
      <c r="U14" s="107"/>
      <c r="V14" s="107"/>
      <c r="W14" s="107"/>
      <c r="X14" s="107"/>
      <c r="Y14" s="107"/>
      <c r="Z14" s="106"/>
      <c r="AA14" s="106"/>
      <c r="AB14" s="106"/>
      <c r="AC14" s="106"/>
      <c r="AD14" s="106"/>
    </row>
    <row r="15" spans="1:35">
      <c r="A15" s="205"/>
      <c r="B15" s="204">
        <v>8840662</v>
      </c>
      <c r="C15" s="203"/>
      <c r="D15" s="202" t="s">
        <v>499</v>
      </c>
      <c r="E15" s="158">
        <f>+IF($A15="",IF($C15="",SUMIFS(全伝票!I:I,全伝票!$B:$B,$B15),SUMIFS(全伝票!I:I,全伝票!$C:$C,$C15)),IF($C15="",SUMIFS(全伝票!I:I,全伝票!$A:$A,$A15,全伝票!$B:$B,$B15),SUMIFS(全伝票!I:I,全伝票!$A:$A,$A15,全伝票!$C:$C,$C15)))</f>
        <v>0</v>
      </c>
      <c r="F15" s="161">
        <f>+IF($A15="",IF($C15="",SUMIFS(全伝票!J:J,全伝票!$B:$B,$B15),SUMIFS(全伝票!J:J,全伝票!$C:$C,$C15)),IF($C15="",SUMIFS(全伝票!J:J,全伝票!$A:$A,$A15,全伝票!$B:$B,$B15),SUMIFS(全伝票!J:J,全伝票!$A:$A,$A15,全伝票!$C:$C,$C15)))</f>
        <v>0</v>
      </c>
      <c r="G15" s="160">
        <f>+IF($A15="",IF($C15="",SUMIFS(全伝票!K:K,全伝票!$B:$B,$B15),SUMIFS(全伝票!K:K,全伝票!$C:$C,$C15)),IF($C15="",SUMIFS(全伝票!K:K,全伝票!$A:$A,$A15,全伝票!$B:$B,$B15),SUMIFS(全伝票!K:K,全伝票!$A:$A,$A15,全伝票!$C:$C,$C15)))</f>
        <v>0</v>
      </c>
      <c r="H15" s="160">
        <f>+IF($A15="",IF($C15="",SUMIFS(全伝票!L:L,全伝票!$B:$B,$B15),SUMIFS(全伝票!L:L,全伝票!$C:$C,$C15)),IF($C15="",SUMIFS(全伝票!L:L,全伝票!$A:$A,$A15,全伝票!$B:$B,$B15),SUMIFS(全伝票!L:L,全伝票!$A:$A,$A15,全伝票!$C:$C,$C15)))</f>
        <v>0</v>
      </c>
      <c r="I15" s="160">
        <f>+IF($A15="",IF($C15="",SUMIFS(全伝票!M:M,全伝票!$B:$B,$B15),SUMIFS(全伝票!M:M,全伝票!$C:$C,$C15)),IF($C15="",SUMIFS(全伝票!M:M,全伝票!$A:$A,$A15,全伝票!$B:$B,$B15),SUMIFS(全伝票!M:M,全伝票!$A:$A,$A15,全伝票!$C:$C,$C15)))</f>
        <v>0</v>
      </c>
      <c r="J15" s="184">
        <f>+IF($A15="",IF($C15="",SUMIFS(全伝票!N:N,全伝票!$B:$B,$B15),SUMIFS(全伝票!N:N,全伝票!$C:$C,$C15)),IF($C15="",SUMIFS(全伝票!N:N,全伝票!$A:$A,$A15,全伝票!$B:$B,$B15),SUMIFS(全伝票!N:N,全伝票!$A:$A,$A15,全伝票!$C:$C,$C15)))</f>
        <v>0</v>
      </c>
      <c r="K15" s="22">
        <f>SUM(F15:J15)</f>
        <v>0</v>
      </c>
      <c r="L15" s="158">
        <f>+IF($A15="",IF($C15="",SUMIFS(全伝票!O:O,全伝票!$B:$B,$B15),SUMIFS(全伝票!O:O,全伝票!$C:$C,$C15)),IF($C15="",SUMIFS(全伝票!O:O,全伝票!$A:$A,$A15,全伝票!$B:$B,$B15),SUMIFS(全伝票!O:O,全伝票!$A:$A,$A15,全伝票!$C:$C,$C15)))</f>
        <v>0</v>
      </c>
      <c r="M15" s="158">
        <f>+IF($A15="",IF($C15="",SUMIFS(全伝票!P:P,全伝票!$B:$B,$B15),SUMIFS(全伝票!P:P,全伝票!$C:$C,$C15)),IF($C15="",SUMIFS(全伝票!P:P,全伝票!$A:$A,$A15,全伝票!$B:$B,$B15),SUMIFS(全伝票!P:P,全伝票!$A:$A,$A15,全伝票!$C:$C,$C15)))</f>
        <v>0</v>
      </c>
      <c r="N15" s="108">
        <f t="shared" ref="N15:Q16" si="15">+ROUND(F15*F$4/(100+F$4),0)+AE15</f>
        <v>0</v>
      </c>
      <c r="O15" s="25">
        <f t="shared" si="15"/>
        <v>0</v>
      </c>
      <c r="P15" s="25">
        <f t="shared" si="15"/>
        <v>0</v>
      </c>
      <c r="Q15" s="25">
        <f t="shared" si="15"/>
        <v>0</v>
      </c>
      <c r="R15" s="157">
        <f>+ROUND(J15*J$4/(100+J$4),0)+AI15</f>
        <v>0</v>
      </c>
      <c r="S15" s="22">
        <f>SUM(N15:R15)</f>
        <v>0</v>
      </c>
      <c r="T15" s="201">
        <f>+E15-S15</f>
        <v>0</v>
      </c>
      <c r="U15" s="107">
        <f t="shared" ref="U15:X16" si="16">N15-F15*F$4/(100+F$4)</f>
        <v>0</v>
      </c>
      <c r="V15" s="107">
        <f t="shared" si="16"/>
        <v>0</v>
      </c>
      <c r="W15" s="107">
        <f t="shared" si="16"/>
        <v>0</v>
      </c>
      <c r="X15" s="107">
        <f t="shared" si="16"/>
        <v>0</v>
      </c>
      <c r="Y15" s="107">
        <f>R15-J15*J$4/(100+J$4)</f>
        <v>0</v>
      </c>
      <c r="Z15" s="106">
        <f t="shared" ref="Z15:AC16" si="17">+IF(N$38=0,0,IF(N$38&lt;0,-RANK(U15,U$5:U$35,0),RANK(U15,U$5:U$35,1)))</f>
        <v>0</v>
      </c>
      <c r="AA15" s="106">
        <f t="shared" si="17"/>
        <v>0</v>
      </c>
      <c r="AB15" s="106">
        <f t="shared" si="17"/>
        <v>0</v>
      </c>
      <c r="AC15" s="106">
        <f t="shared" si="17"/>
        <v>0</v>
      </c>
      <c r="AD15" s="106">
        <f>+IF(R$38=0,0,IF(R$38&lt;0,-RANK(Y15,Y$5:Y$35,0),RANK(Y15,Y$5:Y$35,1)))</f>
        <v>0</v>
      </c>
    </row>
    <row r="16" spans="1:35">
      <c r="A16" s="205"/>
      <c r="B16" s="204">
        <v>8840663</v>
      </c>
      <c r="C16" s="203"/>
      <c r="D16" s="202" t="s">
        <v>498</v>
      </c>
      <c r="E16" s="158">
        <f>+IF($A16="",IF($C16="",SUMIFS(全伝票!I:I,全伝票!$B:$B,$B16),SUMIFS(全伝票!I:I,全伝票!$C:$C,$C16)),IF($C16="",SUMIFS(全伝票!I:I,全伝票!$A:$A,$A16,全伝票!$B:$B,$B16),SUMIFS(全伝票!I:I,全伝票!$A:$A,$A16,全伝票!$C:$C,$C16)))</f>
        <v>9224169</v>
      </c>
      <c r="F16" s="161">
        <f>+IF($A16="",IF($C16="",SUMIFS(全伝票!J:J,全伝票!$B:$B,$B16),SUMIFS(全伝票!J:J,全伝票!$C:$C,$C16)),IF($C16="",SUMIFS(全伝票!J:J,全伝票!$A:$A,$A16,全伝票!$B:$B,$B16),SUMIFS(全伝票!J:J,全伝票!$A:$A,$A16,全伝票!$C:$C,$C16)))</f>
        <v>0</v>
      </c>
      <c r="G16" s="160">
        <f>+IF($A16="",IF($C16="",SUMIFS(全伝票!K:K,全伝票!$B:$B,$B16),SUMIFS(全伝票!K:K,全伝票!$C:$C,$C16)),IF($C16="",SUMIFS(全伝票!K:K,全伝票!$A:$A,$A16,全伝票!$B:$B,$B16),SUMIFS(全伝票!K:K,全伝票!$A:$A,$A16,全伝票!$C:$C,$C16)))</f>
        <v>0</v>
      </c>
      <c r="H16" s="160">
        <f>+IF($A16="",IF($C16="",SUMIFS(全伝票!L:L,全伝票!$B:$B,$B16),SUMIFS(全伝票!L:L,全伝票!$C:$C,$C16)),IF($C16="",SUMIFS(全伝票!L:L,全伝票!$A:$A,$A16,全伝票!$B:$B,$B16),SUMIFS(全伝票!L:L,全伝票!$A:$A,$A16,全伝票!$C:$C,$C16)))</f>
        <v>23932</v>
      </c>
      <c r="I16" s="160">
        <f>+IF($A16="",IF($C16="",SUMIFS(全伝票!M:M,全伝票!$B:$B,$B16),SUMIFS(全伝票!M:M,全伝票!$C:$C,$C16)),IF($C16="",SUMIFS(全伝票!M:M,全伝票!$A:$A,$A16,全伝票!$B:$B,$B16),SUMIFS(全伝票!M:M,全伝票!$A:$A,$A16,全伝票!$C:$C,$C16)))</f>
        <v>0</v>
      </c>
      <c r="J16" s="184">
        <f>+IF($A16="",IF($C16="",SUMIFS(全伝票!N:N,全伝票!$B:$B,$B16),SUMIFS(全伝票!N:N,全伝票!$C:$C,$C16)),IF($C16="",SUMIFS(全伝票!N:N,全伝票!$A:$A,$A16,全伝票!$B:$B,$B16),SUMIFS(全伝票!N:N,全伝票!$A:$A,$A16,全伝票!$C:$C,$C16)))</f>
        <v>5368538</v>
      </c>
      <c r="K16" s="22">
        <f>SUM(F16:J16)</f>
        <v>5392470</v>
      </c>
      <c r="L16" s="158">
        <f>+IF($A16="",IF($C16="",SUMIFS(全伝票!O:O,全伝票!$B:$B,$B16),SUMIFS(全伝票!O:O,全伝票!$C:$C,$C16)),IF($C16="",SUMIFS(全伝票!O:O,全伝票!$A:$A,$A16,全伝票!$B:$B,$B16),SUMIFS(全伝票!O:O,全伝票!$A:$A,$A16,全伝票!$C:$C,$C16)))</f>
        <v>0</v>
      </c>
      <c r="M16" s="158">
        <f>+IF($A16="",IF($C16="",SUMIFS(全伝票!P:P,全伝票!$B:$B,$B16),SUMIFS(全伝票!P:P,全伝票!$C:$C,$C16)),IF($C16="",SUMIFS(全伝票!P:P,全伝票!$A:$A,$A16,全伝票!$B:$B,$B16),SUMIFS(全伝票!P:P,全伝票!$A:$A,$A16,全伝票!$C:$C,$C16)))</f>
        <v>3831699</v>
      </c>
      <c r="N16" s="108">
        <f t="shared" si="15"/>
        <v>0</v>
      </c>
      <c r="O16" s="25">
        <f t="shared" si="15"/>
        <v>0</v>
      </c>
      <c r="P16" s="25">
        <f t="shared" si="15"/>
        <v>1773</v>
      </c>
      <c r="Q16" s="25">
        <f t="shared" si="15"/>
        <v>0</v>
      </c>
      <c r="R16" s="157">
        <f>+ROUND(J16*J$4/(100+J$4),0)+AI16</f>
        <v>488049</v>
      </c>
      <c r="S16" s="22">
        <f>SUM(N16:R16)</f>
        <v>489822</v>
      </c>
      <c r="T16" s="201">
        <f>+E16-S16</f>
        <v>8734347</v>
      </c>
      <c r="U16" s="107">
        <f t="shared" si="16"/>
        <v>0</v>
      </c>
      <c r="V16" s="107">
        <f t="shared" si="16"/>
        <v>0</v>
      </c>
      <c r="W16" s="107">
        <f t="shared" si="16"/>
        <v>0.25925925925935189</v>
      </c>
      <c r="X16" s="107">
        <f t="shared" si="16"/>
        <v>0</v>
      </c>
      <c r="Y16" s="107">
        <f>R16-J16*J$4/(100+J$4)</f>
        <v>9.0909090882632881E-2</v>
      </c>
      <c r="Z16" s="106">
        <f t="shared" si="17"/>
        <v>0</v>
      </c>
      <c r="AA16" s="106">
        <f t="shared" si="17"/>
        <v>0</v>
      </c>
      <c r="AB16" s="106">
        <f t="shared" si="17"/>
        <v>0</v>
      </c>
      <c r="AC16" s="106">
        <f t="shared" si="17"/>
        <v>0</v>
      </c>
      <c r="AD16" s="106">
        <f>+IF(R$38=0,0,IF(R$38&lt;0,-RANK(Y16,Y$5:Y$35,0),RANK(Y16,Y$5:Y$35,1)))</f>
        <v>0</v>
      </c>
    </row>
    <row r="17" spans="1:30">
      <c r="A17" s="205"/>
      <c r="B17" s="204"/>
      <c r="C17" s="203"/>
      <c r="D17" s="235" t="s">
        <v>552</v>
      </c>
      <c r="E17" s="183"/>
      <c r="F17" s="108"/>
      <c r="G17" s="25"/>
      <c r="H17" s="25"/>
      <c r="I17" s="25"/>
      <c r="J17" s="22"/>
      <c r="K17" s="22"/>
      <c r="L17" s="183"/>
      <c r="M17" s="183"/>
      <c r="N17" s="108"/>
      <c r="O17" s="25"/>
      <c r="P17" s="25"/>
      <c r="Q17" s="25"/>
      <c r="R17" s="157"/>
      <c r="S17" s="22"/>
      <c r="T17" s="213">
        <f>+'[2]3条収入'!AH69</f>
        <v>210253123</v>
      </c>
      <c r="U17" s="107"/>
      <c r="V17" s="107"/>
      <c r="W17" s="107"/>
      <c r="X17" s="107"/>
      <c r="Y17" s="107"/>
      <c r="Z17" s="106"/>
      <c r="AA17" s="106"/>
      <c r="AB17" s="106"/>
      <c r="AC17" s="106"/>
      <c r="AD17" s="106"/>
    </row>
    <row r="18" spans="1:30">
      <c r="A18" s="205"/>
      <c r="B18" s="204"/>
      <c r="C18" s="203"/>
      <c r="D18" s="235" t="s">
        <v>553</v>
      </c>
      <c r="E18" s="183"/>
      <c r="F18" s="108"/>
      <c r="G18" s="25"/>
      <c r="H18" s="25"/>
      <c r="I18" s="25"/>
      <c r="J18" s="22"/>
      <c r="K18" s="22"/>
      <c r="L18" s="183"/>
      <c r="M18" s="183"/>
      <c r="N18" s="108"/>
      <c r="O18" s="25"/>
      <c r="P18" s="25"/>
      <c r="Q18" s="25"/>
      <c r="R18" s="157"/>
      <c r="S18" s="22"/>
      <c r="T18" s="212">
        <f>+[1]消費税!Z122</f>
        <v>2233725</v>
      </c>
      <c r="U18" s="107"/>
      <c r="V18" s="107"/>
      <c r="W18" s="107"/>
      <c r="X18" s="107"/>
      <c r="Y18" s="107"/>
      <c r="Z18" s="106"/>
      <c r="AA18" s="106"/>
      <c r="AB18" s="106"/>
      <c r="AC18" s="106"/>
      <c r="AD18" s="106"/>
    </row>
    <row r="19" spans="1:30">
      <c r="A19" s="205"/>
      <c r="B19" s="204"/>
      <c r="C19" s="203"/>
      <c r="D19" s="202" t="s">
        <v>879</v>
      </c>
      <c r="E19" s="183"/>
      <c r="F19" s="108"/>
      <c r="G19" s="25"/>
      <c r="H19" s="25"/>
      <c r="I19" s="25"/>
      <c r="J19" s="22"/>
      <c r="K19" s="22"/>
      <c r="L19" s="183"/>
      <c r="M19" s="183"/>
      <c r="N19" s="108"/>
      <c r="O19" s="25"/>
      <c r="P19" s="25"/>
      <c r="Q19" s="25"/>
      <c r="R19" s="157"/>
      <c r="S19" s="22"/>
      <c r="T19" s="212">
        <f>+[1]消費税!Z123</f>
        <v>629</v>
      </c>
      <c r="U19" s="107"/>
      <c r="V19" s="107"/>
      <c r="W19" s="107"/>
      <c r="X19" s="107"/>
      <c r="Y19" s="107"/>
      <c r="Z19" s="106"/>
      <c r="AA19" s="106"/>
      <c r="AB19" s="106"/>
      <c r="AC19" s="106"/>
      <c r="AD19" s="106"/>
    </row>
    <row r="20" spans="1:30">
      <c r="A20" s="205"/>
      <c r="B20" s="204"/>
      <c r="C20" s="203"/>
      <c r="D20" s="211" t="s">
        <v>497</v>
      </c>
      <c r="E20" s="101">
        <f>+SUM(K20:M20)</f>
        <v>9198273</v>
      </c>
      <c r="F20" s="210"/>
      <c r="G20" s="209"/>
      <c r="H20" s="209"/>
      <c r="I20" s="209"/>
      <c r="J20" s="208">
        <v>5368538</v>
      </c>
      <c r="K20" s="34">
        <f>SUM(F20:J20)</f>
        <v>5368538</v>
      </c>
      <c r="L20" s="207"/>
      <c r="M20" s="207">
        <f>3783528+16247+29960</f>
        <v>3829735</v>
      </c>
      <c r="N20" s="108">
        <f>+ROUND(F20*F$4/(100+F$4),0)+AE20</f>
        <v>0</v>
      </c>
      <c r="O20" s="25">
        <f>+ROUND(G20*G$4/(100+G$4),0)+AF20</f>
        <v>0</v>
      </c>
      <c r="P20" s="25">
        <f>+ROUND(H20*H$4/(100+H$4),0)+AG20</f>
        <v>0</v>
      </c>
      <c r="Q20" s="25">
        <f>+ROUND(I20*I$4/(100+I$4),0)+AH20</f>
        <v>0</v>
      </c>
      <c r="R20" s="157">
        <f>+ROUND(J20*J$4/(100+J$4),0)+AI20</f>
        <v>488049</v>
      </c>
      <c r="S20" s="22">
        <f>SUM(N20:R20)</f>
        <v>488049</v>
      </c>
      <c r="T20" s="201">
        <f>+E20-S20</f>
        <v>8710224</v>
      </c>
      <c r="U20" s="107">
        <f t="shared" ref="U20" si="18">N20-F20*F$4/(100+F$4)</f>
        <v>0</v>
      </c>
      <c r="V20" s="107">
        <f t="shared" ref="V20" si="19">O20-G20*G$4/(100+G$4)</f>
        <v>0</v>
      </c>
      <c r="W20" s="107">
        <f t="shared" ref="W20:X20" si="20">P20-H20*H$4/(100+H$4)</f>
        <v>0</v>
      </c>
      <c r="X20" s="107">
        <f t="shared" si="20"/>
        <v>0</v>
      </c>
      <c r="Y20" s="107">
        <f t="shared" ref="Y20" si="21">R20-J20*J$4/(100+J$4)</f>
        <v>9.0909090882632881E-2</v>
      </c>
      <c r="Z20" s="106">
        <f t="shared" ref="Z20" si="22">+IF(N$38=0,0,IF(N$38&lt;0,-RANK(U20,U$5:U$35,0),RANK(U20,U$5:U$35,1)))</f>
        <v>0</v>
      </c>
      <c r="AA20" s="106">
        <f t="shared" ref="AA20" si="23">+IF(O$38=0,0,IF(O$38&lt;0,-RANK(V20,V$5:V$35,0),RANK(V20,V$5:V$35,1)))</f>
        <v>0</v>
      </c>
      <c r="AB20" s="106">
        <f t="shared" ref="AB20:AC20" si="24">+IF(P$38=0,0,IF(P$38&lt;0,-RANK(W20,W$5:W$35,0),RANK(W20,W$5:W$35,1)))</f>
        <v>0</v>
      </c>
      <c r="AC20" s="106">
        <f t="shared" si="24"/>
        <v>0</v>
      </c>
      <c r="AD20" s="106">
        <f t="shared" ref="AD20" si="25">+IF(R$38=0,0,IF(R$38&lt;0,-RANK(Y20,Y$5:Y$35,0),RANK(Y20,Y$5:Y$35,1)))</f>
        <v>0</v>
      </c>
    </row>
    <row r="21" spans="1:30">
      <c r="A21" s="205"/>
      <c r="B21" s="204"/>
      <c r="C21" s="203"/>
      <c r="D21" s="202"/>
      <c r="E21" s="183"/>
      <c r="F21" s="108"/>
      <c r="G21" s="25"/>
      <c r="H21" s="25"/>
      <c r="I21" s="25"/>
      <c r="J21" s="22"/>
      <c r="K21" s="22"/>
      <c r="L21" s="183"/>
      <c r="M21" s="183"/>
      <c r="N21" s="108"/>
      <c r="O21" s="25"/>
      <c r="P21" s="25"/>
      <c r="Q21" s="25"/>
      <c r="R21" s="157"/>
      <c r="S21" s="22"/>
      <c r="T21" s="201"/>
      <c r="U21" s="107"/>
      <c r="V21" s="107"/>
      <c r="W21" s="107"/>
      <c r="X21" s="107"/>
      <c r="Y21" s="107"/>
      <c r="Z21" s="106"/>
      <c r="AA21" s="106"/>
      <c r="AB21" s="106"/>
      <c r="AC21" s="106"/>
      <c r="AD21" s="106"/>
    </row>
    <row r="22" spans="1:30">
      <c r="A22" s="205"/>
      <c r="B22" s="204"/>
      <c r="C22" s="203"/>
      <c r="D22" s="202" t="s">
        <v>33</v>
      </c>
      <c r="E22" s="206">
        <f>+[1]消費税!Z118+[1]消費税!AF118</f>
        <v>343538729</v>
      </c>
      <c r="F22" s="108"/>
      <c r="G22" s="25"/>
      <c r="H22" s="25"/>
      <c r="I22" s="25"/>
      <c r="J22" s="22"/>
      <c r="K22" s="22"/>
      <c r="L22" s="183"/>
      <c r="M22" s="183"/>
      <c r="N22" s="108"/>
      <c r="O22" s="25"/>
      <c r="P22" s="25"/>
      <c r="Q22" s="25"/>
      <c r="R22" s="157"/>
      <c r="S22" s="22"/>
      <c r="T22" s="201"/>
      <c r="U22" s="107"/>
      <c r="V22" s="107"/>
      <c r="W22" s="107"/>
      <c r="X22" s="107"/>
      <c r="Y22" s="107"/>
      <c r="Z22" s="106"/>
      <c r="AA22" s="106"/>
      <c r="AB22" s="106"/>
      <c r="AC22" s="106"/>
      <c r="AD22" s="106"/>
    </row>
    <row r="23" spans="1:30">
      <c r="A23" s="205"/>
      <c r="B23" s="204"/>
      <c r="C23" s="203"/>
      <c r="D23" s="202"/>
      <c r="E23" s="183"/>
      <c r="F23" s="108"/>
      <c r="G23" s="25"/>
      <c r="H23" s="25"/>
      <c r="I23" s="25"/>
      <c r="J23" s="22"/>
      <c r="K23" s="22"/>
      <c r="L23" s="183"/>
      <c r="M23" s="183"/>
      <c r="N23" s="108"/>
      <c r="O23" s="25"/>
      <c r="P23" s="25"/>
      <c r="Q23" s="25"/>
      <c r="R23" s="157"/>
      <c r="S23" s="22"/>
      <c r="T23" s="201"/>
      <c r="U23" s="107"/>
      <c r="V23" s="107"/>
      <c r="W23" s="107"/>
      <c r="X23" s="107"/>
      <c r="Y23" s="107"/>
      <c r="Z23" s="106"/>
      <c r="AA23" s="106"/>
      <c r="AB23" s="106"/>
      <c r="AC23" s="106"/>
      <c r="AD23" s="106"/>
    </row>
    <row r="24" spans="1:30">
      <c r="A24" s="205"/>
      <c r="B24" s="204"/>
      <c r="C24" s="203"/>
      <c r="D24" s="202"/>
      <c r="E24" s="183"/>
      <c r="F24" s="108"/>
      <c r="G24" s="25"/>
      <c r="H24" s="25"/>
      <c r="I24" s="25"/>
      <c r="J24" s="22"/>
      <c r="K24" s="22"/>
      <c r="L24" s="183"/>
      <c r="M24" s="183"/>
      <c r="N24" s="108"/>
      <c r="O24" s="25"/>
      <c r="P24" s="25"/>
      <c r="Q24" s="25"/>
      <c r="R24" s="157"/>
      <c r="S24" s="22"/>
      <c r="T24" s="201"/>
      <c r="U24" s="107"/>
      <c r="V24" s="107"/>
      <c r="W24" s="107"/>
      <c r="X24" s="107"/>
      <c r="Y24" s="107"/>
      <c r="Z24" s="106"/>
      <c r="AA24" s="106"/>
      <c r="AB24" s="106"/>
      <c r="AC24" s="106"/>
      <c r="AD24" s="106"/>
    </row>
    <row r="25" spans="1:30">
      <c r="A25" s="205"/>
      <c r="B25" s="204"/>
      <c r="C25" s="203"/>
      <c r="D25" s="202"/>
      <c r="E25" s="183"/>
      <c r="F25" s="108"/>
      <c r="G25" s="25"/>
      <c r="H25" s="25"/>
      <c r="I25" s="25"/>
      <c r="J25" s="22"/>
      <c r="K25" s="22"/>
      <c r="L25" s="183"/>
      <c r="M25" s="183"/>
      <c r="N25" s="108"/>
      <c r="O25" s="25"/>
      <c r="P25" s="25"/>
      <c r="Q25" s="25"/>
      <c r="R25" s="157"/>
      <c r="S25" s="22"/>
      <c r="T25" s="201"/>
      <c r="U25" s="107"/>
      <c r="V25" s="107"/>
      <c r="W25" s="107"/>
      <c r="X25" s="107"/>
      <c r="Y25" s="107"/>
      <c r="Z25" s="106"/>
      <c r="AA25" s="106"/>
      <c r="AB25" s="106"/>
      <c r="AC25" s="106"/>
      <c r="AD25" s="106"/>
    </row>
    <row r="26" spans="1:30">
      <c r="A26" s="205"/>
      <c r="B26" s="204"/>
      <c r="C26" s="203"/>
      <c r="D26" s="202"/>
      <c r="E26" s="183"/>
      <c r="F26" s="108"/>
      <c r="G26" s="25"/>
      <c r="H26" s="25"/>
      <c r="I26" s="25"/>
      <c r="J26" s="22"/>
      <c r="K26" s="22"/>
      <c r="L26" s="183"/>
      <c r="M26" s="183"/>
      <c r="N26" s="108"/>
      <c r="O26" s="25"/>
      <c r="P26" s="25"/>
      <c r="Q26" s="25"/>
      <c r="R26" s="157"/>
      <c r="S26" s="22"/>
      <c r="T26" s="201"/>
      <c r="U26" s="107"/>
      <c r="V26" s="107"/>
      <c r="W26" s="107"/>
      <c r="X26" s="107"/>
      <c r="Y26" s="107"/>
      <c r="Z26" s="106"/>
      <c r="AA26" s="106"/>
      <c r="AB26" s="106"/>
      <c r="AC26" s="106"/>
      <c r="AD26" s="106"/>
    </row>
    <row r="27" spans="1:30">
      <c r="A27" s="205"/>
      <c r="B27" s="204"/>
      <c r="C27" s="203"/>
      <c r="D27" s="202"/>
      <c r="E27" s="183"/>
      <c r="F27" s="108"/>
      <c r="G27" s="25"/>
      <c r="H27" s="25"/>
      <c r="I27" s="25"/>
      <c r="J27" s="22"/>
      <c r="K27" s="22"/>
      <c r="L27" s="183"/>
      <c r="M27" s="183"/>
      <c r="N27" s="108"/>
      <c r="O27" s="25"/>
      <c r="P27" s="25"/>
      <c r="Q27" s="25"/>
      <c r="R27" s="157"/>
      <c r="S27" s="22"/>
      <c r="T27" s="201"/>
      <c r="U27" s="107"/>
      <c r="V27" s="107"/>
      <c r="W27" s="107"/>
      <c r="X27" s="107"/>
      <c r="Y27" s="107"/>
      <c r="Z27" s="106"/>
      <c r="AA27" s="106"/>
      <c r="AB27" s="106"/>
      <c r="AC27" s="106"/>
      <c r="AD27" s="106"/>
    </row>
    <row r="28" spans="1:30">
      <c r="A28" s="205"/>
      <c r="B28" s="204"/>
      <c r="C28" s="203"/>
      <c r="D28" s="202"/>
      <c r="E28" s="183"/>
      <c r="F28" s="108"/>
      <c r="G28" s="25"/>
      <c r="H28" s="25"/>
      <c r="I28" s="25"/>
      <c r="J28" s="22"/>
      <c r="K28" s="22"/>
      <c r="L28" s="183"/>
      <c r="M28" s="183"/>
      <c r="N28" s="108"/>
      <c r="O28" s="25"/>
      <c r="P28" s="25"/>
      <c r="Q28" s="25"/>
      <c r="R28" s="157"/>
      <c r="S28" s="22"/>
      <c r="T28" s="201"/>
      <c r="U28" s="107"/>
      <c r="V28" s="107"/>
      <c r="W28" s="107"/>
      <c r="X28" s="107"/>
      <c r="Y28" s="107"/>
      <c r="Z28" s="106"/>
      <c r="AA28" s="106"/>
      <c r="AB28" s="106"/>
      <c r="AC28" s="106"/>
      <c r="AD28" s="106"/>
    </row>
    <row r="29" spans="1:30">
      <c r="A29" s="205"/>
      <c r="B29" s="204"/>
      <c r="C29" s="203"/>
      <c r="D29" s="202"/>
      <c r="E29" s="183"/>
      <c r="F29" s="108"/>
      <c r="G29" s="25"/>
      <c r="H29" s="25"/>
      <c r="I29" s="25"/>
      <c r="J29" s="22"/>
      <c r="K29" s="22"/>
      <c r="L29" s="183"/>
      <c r="M29" s="183"/>
      <c r="N29" s="108"/>
      <c r="O29" s="25"/>
      <c r="P29" s="25"/>
      <c r="Q29" s="25"/>
      <c r="R29" s="157"/>
      <c r="S29" s="22"/>
      <c r="T29" s="201"/>
      <c r="U29" s="107"/>
      <c r="V29" s="107"/>
      <c r="W29" s="107"/>
      <c r="X29" s="107"/>
      <c r="Y29" s="107"/>
      <c r="Z29" s="106"/>
      <c r="AA29" s="106"/>
      <c r="AB29" s="106"/>
      <c r="AC29" s="106"/>
      <c r="AD29" s="106"/>
    </row>
    <row r="30" spans="1:30">
      <c r="A30" s="205"/>
      <c r="B30" s="204"/>
      <c r="C30" s="203"/>
      <c r="D30" s="202"/>
      <c r="E30" s="183"/>
      <c r="F30" s="108"/>
      <c r="G30" s="25"/>
      <c r="H30" s="25"/>
      <c r="I30" s="25"/>
      <c r="J30" s="22"/>
      <c r="K30" s="22"/>
      <c r="L30" s="183"/>
      <c r="M30" s="183"/>
      <c r="N30" s="108"/>
      <c r="O30" s="25"/>
      <c r="P30" s="25"/>
      <c r="Q30" s="25"/>
      <c r="R30" s="157"/>
      <c r="S30" s="22"/>
      <c r="T30" s="201"/>
      <c r="U30" s="107"/>
      <c r="V30" s="107"/>
      <c r="W30" s="107"/>
      <c r="X30" s="107"/>
      <c r="Y30" s="107"/>
      <c r="Z30" s="106"/>
      <c r="AA30" s="106"/>
      <c r="AB30" s="106"/>
      <c r="AC30" s="106"/>
      <c r="AD30" s="106"/>
    </row>
    <row r="31" spans="1:30">
      <c r="A31" s="205"/>
      <c r="B31" s="204"/>
      <c r="C31" s="203"/>
      <c r="D31" s="202"/>
      <c r="E31" s="183"/>
      <c r="F31" s="108"/>
      <c r="G31" s="25"/>
      <c r="H31" s="25"/>
      <c r="I31" s="25"/>
      <c r="J31" s="22"/>
      <c r="K31" s="22"/>
      <c r="L31" s="183"/>
      <c r="M31" s="183"/>
      <c r="N31" s="108"/>
      <c r="O31" s="25"/>
      <c r="P31" s="25"/>
      <c r="Q31" s="25"/>
      <c r="R31" s="157"/>
      <c r="S31" s="22"/>
      <c r="T31" s="201"/>
      <c r="U31" s="107"/>
      <c r="V31" s="107"/>
      <c r="W31" s="107"/>
      <c r="X31" s="107"/>
      <c r="Y31" s="107"/>
      <c r="Z31" s="106"/>
      <c r="AA31" s="106"/>
      <c r="AB31" s="106"/>
      <c r="AC31" s="106"/>
      <c r="AD31" s="106"/>
    </row>
    <row r="32" spans="1:30">
      <c r="A32" s="205"/>
      <c r="B32" s="204"/>
      <c r="C32" s="203"/>
      <c r="D32" s="202"/>
      <c r="E32" s="183"/>
      <c r="F32" s="108"/>
      <c r="G32" s="25"/>
      <c r="H32" s="25"/>
      <c r="I32" s="25"/>
      <c r="J32" s="22"/>
      <c r="K32" s="22"/>
      <c r="L32" s="183"/>
      <c r="M32" s="183"/>
      <c r="N32" s="108"/>
      <c r="O32" s="25"/>
      <c r="P32" s="25"/>
      <c r="Q32" s="25"/>
      <c r="R32" s="157"/>
      <c r="S32" s="22"/>
      <c r="T32" s="201"/>
      <c r="U32" s="107"/>
      <c r="V32" s="107"/>
      <c r="W32" s="107"/>
      <c r="X32" s="107"/>
      <c r="Y32" s="107"/>
      <c r="Z32" s="106"/>
      <c r="AA32" s="106"/>
      <c r="AB32" s="106"/>
      <c r="AC32" s="106"/>
      <c r="AD32" s="106"/>
    </row>
    <row r="33" spans="1:30">
      <c r="A33" s="205"/>
      <c r="B33" s="204"/>
      <c r="C33" s="203"/>
      <c r="D33" s="202"/>
      <c r="E33" s="183"/>
      <c r="F33" s="108"/>
      <c r="G33" s="25"/>
      <c r="H33" s="25"/>
      <c r="I33" s="25"/>
      <c r="J33" s="22"/>
      <c r="K33" s="22"/>
      <c r="L33" s="183"/>
      <c r="M33" s="183"/>
      <c r="N33" s="108"/>
      <c r="O33" s="25"/>
      <c r="P33" s="25"/>
      <c r="Q33" s="25"/>
      <c r="R33" s="157"/>
      <c r="S33" s="22"/>
      <c r="T33" s="201"/>
      <c r="U33" s="107"/>
      <c r="V33" s="107"/>
      <c r="W33" s="107"/>
      <c r="X33" s="107"/>
      <c r="Y33" s="107"/>
      <c r="Z33" s="106"/>
      <c r="AA33" s="106"/>
      <c r="AB33" s="106"/>
      <c r="AC33" s="106"/>
      <c r="AD33" s="106"/>
    </row>
    <row r="34" spans="1:30">
      <c r="A34" s="205"/>
      <c r="B34" s="204"/>
      <c r="C34" s="203"/>
      <c r="D34" s="202"/>
      <c r="E34" s="183"/>
      <c r="F34" s="108"/>
      <c r="G34" s="25"/>
      <c r="H34" s="25"/>
      <c r="I34" s="25"/>
      <c r="J34" s="22"/>
      <c r="K34" s="22"/>
      <c r="L34" s="183"/>
      <c r="M34" s="183"/>
      <c r="N34" s="108"/>
      <c r="O34" s="25"/>
      <c r="P34" s="25"/>
      <c r="Q34" s="25"/>
      <c r="R34" s="157"/>
      <c r="S34" s="22"/>
      <c r="T34" s="201"/>
      <c r="U34" s="107"/>
      <c r="V34" s="107"/>
      <c r="W34" s="107"/>
      <c r="X34" s="107"/>
      <c r="Y34" s="107"/>
      <c r="Z34" s="106"/>
      <c r="AA34" s="106"/>
      <c r="AB34" s="106"/>
      <c r="AC34" s="106"/>
      <c r="AD34" s="106"/>
    </row>
    <row r="35" spans="1:30" ht="14.25" thickBot="1">
      <c r="A35" s="205"/>
      <c r="B35" s="204"/>
      <c r="C35" s="203"/>
      <c r="D35" s="202"/>
      <c r="E35" s="183"/>
      <c r="F35" s="108"/>
      <c r="G35" s="25"/>
      <c r="H35" s="25"/>
      <c r="I35" s="25"/>
      <c r="J35" s="22"/>
      <c r="K35" s="22"/>
      <c r="L35" s="183"/>
      <c r="M35" s="183"/>
      <c r="N35" s="108"/>
      <c r="O35" s="25"/>
      <c r="P35" s="25"/>
      <c r="Q35" s="25"/>
      <c r="R35" s="157"/>
      <c r="S35" s="22"/>
      <c r="T35" s="201"/>
      <c r="U35" s="107"/>
      <c r="V35" s="107"/>
      <c r="W35" s="107"/>
      <c r="X35" s="107"/>
      <c r="Y35" s="107"/>
      <c r="Z35" s="106"/>
      <c r="AA35" s="106"/>
      <c r="AB35" s="106"/>
      <c r="AC35" s="106"/>
      <c r="AD35" s="106"/>
    </row>
    <row r="36" spans="1:30" ht="14.25" thickTop="1">
      <c r="A36" s="200"/>
      <c r="B36" s="199"/>
      <c r="C36" s="198"/>
      <c r="D36" s="197" t="s">
        <v>2</v>
      </c>
      <c r="E36" s="195">
        <f t="shared" ref="E36:T36" si="26">SUM(E5,E14)</f>
        <v>3955185318</v>
      </c>
      <c r="F36" s="196">
        <f t="shared" si="26"/>
        <v>0</v>
      </c>
      <c r="G36" s="18">
        <f t="shared" si="26"/>
        <v>0</v>
      </c>
      <c r="H36" s="18">
        <f t="shared" si="26"/>
        <v>23932</v>
      </c>
      <c r="I36" s="18">
        <f t="shared" ref="I36" si="27">SUM(I5,I14)</f>
        <v>0</v>
      </c>
      <c r="J36" s="15">
        <f t="shared" si="26"/>
        <v>67182291</v>
      </c>
      <c r="K36" s="144">
        <f t="shared" si="26"/>
        <v>67206223</v>
      </c>
      <c r="L36" s="195">
        <f t="shared" si="26"/>
        <v>3884147396</v>
      </c>
      <c r="M36" s="195">
        <f t="shared" si="26"/>
        <v>3831699</v>
      </c>
      <c r="N36" s="146">
        <f t="shared" si="26"/>
        <v>0</v>
      </c>
      <c r="O36" s="145">
        <f t="shared" si="26"/>
        <v>0</v>
      </c>
      <c r="P36" s="145">
        <f t="shared" si="26"/>
        <v>1773</v>
      </c>
      <c r="Q36" s="145">
        <f t="shared" ref="Q36" si="28">SUM(Q5,Q14)</f>
        <v>0</v>
      </c>
      <c r="R36" s="148">
        <f t="shared" si="26"/>
        <v>6107481</v>
      </c>
      <c r="S36" s="144">
        <f t="shared" si="26"/>
        <v>6109254</v>
      </c>
      <c r="T36" s="147">
        <f t="shared" si="26"/>
        <v>4161563541</v>
      </c>
      <c r="U36" s="88" t="str">
        <f>+IF(F36=0,"",ROUND(F36*F$4/(100+F$4),7)-N36)</f>
        <v/>
      </c>
      <c r="V36" s="88"/>
      <c r="W36" s="88"/>
      <c r="X36" s="88"/>
      <c r="Y36" s="88"/>
      <c r="Z36" s="88"/>
      <c r="AA36" s="88"/>
      <c r="AB36" s="87"/>
      <c r="AC36" s="87"/>
      <c r="AD36" s="87"/>
    </row>
    <row r="37" spans="1:30">
      <c r="A37" s="194"/>
      <c r="B37" s="193"/>
      <c r="C37" s="192"/>
      <c r="D37" s="191" t="s">
        <v>1</v>
      </c>
      <c r="E37" s="188">
        <f t="shared" ref="E37:J37" si="29">+E36</f>
        <v>3955185318</v>
      </c>
      <c r="F37" s="190">
        <f t="shared" si="29"/>
        <v>0</v>
      </c>
      <c r="G37" s="189">
        <f t="shared" si="29"/>
        <v>0</v>
      </c>
      <c r="H37" s="189">
        <f t="shared" si="29"/>
        <v>23932</v>
      </c>
      <c r="I37" s="189">
        <f t="shared" si="29"/>
        <v>0</v>
      </c>
      <c r="J37" s="7">
        <f t="shared" si="29"/>
        <v>67182291</v>
      </c>
      <c r="K37" s="66">
        <f>SUM(F37:J37)</f>
        <v>67206223</v>
      </c>
      <c r="L37" s="188">
        <f>+L36</f>
        <v>3884147396</v>
      </c>
      <c r="M37" s="135">
        <f>+M36</f>
        <v>3831699</v>
      </c>
      <c r="N37" s="133">
        <f>+'3条支出'!N22</f>
        <v>0</v>
      </c>
      <c r="O37" s="132">
        <f>+'3条支出'!O22</f>
        <v>0</v>
      </c>
      <c r="P37" s="132">
        <f>+'3条支出'!P22</f>
        <v>1773</v>
      </c>
      <c r="Q37" s="132">
        <f>+'3条支出'!Q22</f>
        <v>0</v>
      </c>
      <c r="R37" s="132">
        <f>+'3条支出'!R22</f>
        <v>6107481</v>
      </c>
      <c r="S37" s="131">
        <f>+'3条支出'!S22</f>
        <v>6109254</v>
      </c>
      <c r="T37" s="134">
        <f>+'3条支出'!T22</f>
        <v>4161563541</v>
      </c>
      <c r="U37" s="88" t="str">
        <f>+IF(F37=0,"",ROUND(F37*F$4/(100+F$4),7)-N37)</f>
        <v/>
      </c>
      <c r="V37" s="88"/>
      <c r="W37" s="88"/>
      <c r="X37" s="88"/>
      <c r="Y37" s="88"/>
      <c r="Z37" s="88"/>
      <c r="AA37" s="88"/>
      <c r="AB37" s="87"/>
      <c r="AC37" s="87"/>
      <c r="AD37" s="87"/>
    </row>
    <row r="38" spans="1:30">
      <c r="E38" s="4">
        <f t="shared" ref="E38:T38" si="30">+E37-E36</f>
        <v>0</v>
      </c>
      <c r="F38" s="4">
        <f t="shared" si="30"/>
        <v>0</v>
      </c>
      <c r="G38" s="4">
        <f t="shared" si="30"/>
        <v>0</v>
      </c>
      <c r="H38" s="4">
        <f t="shared" si="30"/>
        <v>0</v>
      </c>
      <c r="I38" s="4">
        <f t="shared" ref="I38" si="31">+I37-I36</f>
        <v>0</v>
      </c>
      <c r="J38" s="4">
        <f t="shared" si="30"/>
        <v>0</v>
      </c>
      <c r="K38" s="4">
        <f t="shared" si="30"/>
        <v>0</v>
      </c>
      <c r="L38" s="4">
        <f t="shared" si="30"/>
        <v>0</v>
      </c>
      <c r="M38" s="4">
        <f t="shared" si="30"/>
        <v>0</v>
      </c>
      <c r="N38" s="4">
        <f t="shared" si="30"/>
        <v>0</v>
      </c>
      <c r="O38" s="4">
        <f t="shared" si="30"/>
        <v>0</v>
      </c>
      <c r="P38" s="4">
        <f t="shared" si="30"/>
        <v>0</v>
      </c>
      <c r="Q38" s="4">
        <f t="shared" ref="Q38" si="32">+Q37-Q36</f>
        <v>0</v>
      </c>
      <c r="R38" s="4">
        <f t="shared" si="30"/>
        <v>0</v>
      </c>
      <c r="S38" s="4">
        <f t="shared" si="30"/>
        <v>0</v>
      </c>
      <c r="T38" s="4">
        <f t="shared" si="30"/>
        <v>0</v>
      </c>
      <c r="U38" s="88" t="str">
        <f>+IF(F38=0,"",ROUND(F38*F$4/(100+F$4),7)-N38)</f>
        <v/>
      </c>
      <c r="V38" s="88" t="str">
        <f>+IF(G38=0,"",ROUND(G38*G$4/(100+G$4),7)-O38)</f>
        <v/>
      </c>
      <c r="W38" s="88" t="str">
        <f>+IF(H38=0,"",ROUND(H38*H$4/(100+H$4),7)-P38)</f>
        <v/>
      </c>
      <c r="X38" s="88"/>
      <c r="Y38" s="88" t="str">
        <f>+IF(J38=0,"",ROUND(J38*J$4/(100+J$4),7)-R38)</f>
        <v/>
      </c>
      <c r="Z38" s="88"/>
      <c r="AA38" s="88"/>
      <c r="AB38" s="87" t="str">
        <f>+IF(SUM(U38:Y38)=0,"",SUM(U38:Y38))</f>
        <v/>
      </c>
      <c r="AC38" s="87"/>
      <c r="AD38" s="87"/>
    </row>
    <row r="39" spans="1:30">
      <c r="C39" s="61">
        <v>884055900</v>
      </c>
      <c r="D39" s="58" t="s">
        <v>32</v>
      </c>
      <c r="E39" s="187">
        <f>+SUMIFS(全伝票!I:I,全伝票!$C:$C,$C39)</f>
        <v>42630200</v>
      </c>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E40" s="62"/>
      <c r="F40" s="62"/>
      <c r="G40" s="186"/>
      <c r="H40" s="62"/>
      <c r="I40" s="62"/>
      <c r="U40" s="88" t="str">
        <f>+IF(F40=0,"",ROUND(F40*F$4/(100+F$4),7)-N40)</f>
        <v/>
      </c>
      <c r="V40" s="88"/>
      <c r="W40" s="88"/>
      <c r="X40" s="88"/>
      <c r="Y40" s="88"/>
      <c r="Z40" s="88"/>
      <c r="AA40" s="88"/>
      <c r="AB40" s="87"/>
      <c r="AC40" s="87"/>
      <c r="AD40" s="87"/>
    </row>
    <row r="41" spans="1:30">
      <c r="E41" s="62"/>
      <c r="F41" s="62"/>
      <c r="G41" s="186"/>
      <c r="H41" s="62"/>
      <c r="I41" s="62"/>
    </row>
    <row r="42" spans="1:30">
      <c r="E42" s="62"/>
      <c r="F42" s="62"/>
      <c r="G42" s="62"/>
      <c r="H42" s="62"/>
      <c r="I42" s="62"/>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3"/>
  <conditionalFormatting sqref="AE36:AI37">
    <cfRule type="notContainsBlanks" dxfId="38" priority="5" stopIfTrue="1">
      <formula>LEN(TRIM(AE36))&gt;0</formula>
    </cfRule>
  </conditionalFormatting>
  <conditionalFormatting sqref="AE5:AI35">
    <cfRule type="notContainsBlanks" dxfId="37" priority="4" stopIfTrue="1">
      <formula>LEN(TRIM(AE5))&gt;0</formula>
    </cfRule>
  </conditionalFormatting>
  <conditionalFormatting sqref="Z5:AD19 Z21:AD35">
    <cfRule type="expression" dxfId="36" priority="3">
      <formula>ABS(Z5)=1</formula>
    </cfRule>
  </conditionalFormatting>
  <conditionalFormatting sqref="E38:T38">
    <cfRule type="cellIs" dxfId="35" priority="2" operator="notEqual">
      <formula>0</formula>
    </cfRule>
  </conditionalFormatting>
  <conditionalFormatting sqref="Z20:AD20">
    <cfRule type="expression" dxfId="34" priority="1">
      <formula>ABS(Z20)=1</formula>
    </cfRule>
  </conditionalFormatting>
  <pageMargins left="0.39370078740157483" right="0.39370078740157483" top="0.78740157480314965" bottom="0.39370078740157483" header="0.39370078740157483" footer="0.19685039370078741"/>
  <pageSetup paperSize="9" scale="79" orientation="landscape" blackAndWhite="1" r:id="rId1"/>
  <headerFooter>
    <oddFooter>&amp;L&amp;8&amp;Z&amp;F&amp;A&amp;R&amp;8&amp;D&amp;T</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pageSetUpPr fitToPage="1"/>
  </sheetPr>
  <dimension ref="A1:AI44"/>
  <sheetViews>
    <sheetView zoomScale="55" zoomScaleNormal="55" workbookViewId="0">
      <selection activeCell="E30" sqref="E30"/>
    </sheetView>
  </sheetViews>
  <sheetFormatPr defaultColWidth="9" defaultRowHeight="13.5" outlineLevelCol="1"/>
  <cols>
    <col min="1" max="1" width="4.375" style="1" customWidth="1"/>
    <col min="2" max="3" width="6.25" style="1" customWidth="1"/>
    <col min="4" max="4" width="39" style="1" customWidth="1"/>
    <col min="5" max="5" width="13.625" style="1" customWidth="1"/>
    <col min="6" max="6" width="12.625" style="1" customWidth="1" outlineLevel="1"/>
    <col min="7" max="9" width="12.625" style="1" customWidth="1"/>
    <col min="10" max="10" width="12.375" style="1" customWidth="1"/>
    <col min="11" max="11" width="13.625" style="3" customWidth="1"/>
    <col min="12" max="12" width="12.625" style="1" customWidth="1"/>
    <col min="13" max="13" width="13.625" style="1" customWidth="1"/>
    <col min="14" max="14" width="9.25" style="3" customWidth="1" outlineLevel="1"/>
    <col min="15" max="18" width="9.25" style="3" customWidth="1"/>
    <col min="19" max="19" width="9.25" style="3" bestFit="1" customWidth="1"/>
    <col min="20" max="20" width="13.625" style="1" customWidth="1"/>
    <col min="21" max="25" width="7.125" style="2" customWidth="1"/>
    <col min="26" max="30" width="6.375" style="2" customWidth="1"/>
    <col min="31" max="35" width="5.75" style="2" customWidth="1"/>
    <col min="36" max="16384" width="9" style="1"/>
  </cols>
  <sheetData>
    <row r="1" spans="1:35">
      <c r="D1" s="1" t="str">
        <f>+'3条支出'!D1</f>
        <v>令和５年度決算　消費税算出資料</v>
      </c>
    </row>
    <row r="2" spans="1:35">
      <c r="D2" s="1" t="s">
        <v>528</v>
      </c>
      <c r="V2" s="122"/>
      <c r="W2" s="122"/>
      <c r="X2" s="261"/>
      <c r="Y2" s="122"/>
      <c r="Z2" s="122"/>
      <c r="AA2" s="122"/>
      <c r="AB2" s="122"/>
      <c r="AC2" s="261"/>
      <c r="AD2" s="122"/>
      <c r="AE2" s="122"/>
      <c r="AF2" s="122"/>
      <c r="AG2" s="122"/>
      <c r="AH2" s="261"/>
      <c r="AI2" s="122"/>
    </row>
    <row r="3" spans="1:35">
      <c r="A3" s="321" t="s">
        <v>49</v>
      </c>
      <c r="B3" s="323" t="s">
        <v>48</v>
      </c>
      <c r="C3" s="325" t="s">
        <v>47</v>
      </c>
      <c r="D3" s="311" t="s">
        <v>28</v>
      </c>
      <c r="E3" s="311" t="s">
        <v>0</v>
      </c>
      <c r="F3" s="304" t="s">
        <v>24</v>
      </c>
      <c r="G3" s="305"/>
      <c r="H3" s="305"/>
      <c r="I3" s="305"/>
      <c r="J3" s="305"/>
      <c r="K3" s="327"/>
      <c r="L3" s="311" t="s">
        <v>46</v>
      </c>
      <c r="M3" s="311" t="s">
        <v>45</v>
      </c>
      <c r="N3" s="313" t="s">
        <v>43</v>
      </c>
      <c r="O3" s="314"/>
      <c r="P3" s="314"/>
      <c r="Q3" s="314"/>
      <c r="R3" s="314"/>
      <c r="S3" s="315"/>
      <c r="T3" s="311" t="s">
        <v>44</v>
      </c>
      <c r="U3" s="308" t="s">
        <v>42</v>
      </c>
      <c r="V3" s="309"/>
      <c r="W3" s="309"/>
      <c r="X3" s="309"/>
      <c r="Y3" s="309"/>
      <c r="Z3" s="309" t="s">
        <v>41</v>
      </c>
      <c r="AA3" s="309"/>
      <c r="AB3" s="309"/>
      <c r="AC3" s="309"/>
      <c r="AD3" s="309"/>
      <c r="AE3" s="310" t="s">
        <v>40</v>
      </c>
      <c r="AF3" s="310"/>
      <c r="AG3" s="310"/>
      <c r="AH3" s="310"/>
      <c r="AI3" s="310"/>
    </row>
    <row r="4" spans="1:35" s="121" customFormat="1">
      <c r="A4" s="322"/>
      <c r="B4" s="324"/>
      <c r="C4" s="326"/>
      <c r="D4" s="312"/>
      <c r="E4" s="312"/>
      <c r="F4" s="53">
        <v>3</v>
      </c>
      <c r="G4" s="52">
        <v>5</v>
      </c>
      <c r="H4" s="52">
        <v>8</v>
      </c>
      <c r="I4" s="269">
        <v>8</v>
      </c>
      <c r="J4" s="127">
        <v>10</v>
      </c>
      <c r="K4" s="123" t="s">
        <v>2</v>
      </c>
      <c r="L4" s="312"/>
      <c r="M4" s="312"/>
      <c r="N4" s="126">
        <v>3</v>
      </c>
      <c r="O4" s="125">
        <v>5</v>
      </c>
      <c r="P4" s="125">
        <v>8</v>
      </c>
      <c r="Q4" s="269">
        <v>8</v>
      </c>
      <c r="R4" s="124">
        <v>10</v>
      </c>
      <c r="S4" s="123" t="s">
        <v>2</v>
      </c>
      <c r="T4" s="312"/>
      <c r="U4" s="122">
        <v>3</v>
      </c>
      <c r="V4" s="122">
        <v>5</v>
      </c>
      <c r="W4" s="122">
        <v>8</v>
      </c>
      <c r="X4" s="267">
        <v>8</v>
      </c>
      <c r="Y4" s="262">
        <v>10</v>
      </c>
      <c r="Z4" s="262">
        <v>3</v>
      </c>
      <c r="AA4" s="262">
        <v>5</v>
      </c>
      <c r="AB4" s="262">
        <v>8</v>
      </c>
      <c r="AC4" s="267">
        <v>8</v>
      </c>
      <c r="AD4" s="262">
        <v>10</v>
      </c>
      <c r="AE4" s="262">
        <v>3</v>
      </c>
      <c r="AF4" s="262">
        <v>5</v>
      </c>
      <c r="AG4" s="262">
        <v>8</v>
      </c>
      <c r="AH4" s="267">
        <v>8</v>
      </c>
      <c r="AI4" s="122">
        <v>10</v>
      </c>
    </row>
    <row r="5" spans="1:35">
      <c r="A5" s="220"/>
      <c r="B5" s="219">
        <v>8850606</v>
      </c>
      <c r="C5" s="218"/>
      <c r="D5" s="223" t="s">
        <v>527</v>
      </c>
      <c r="E5" s="170">
        <f>+IF($A5="",IF($C5="",SUMIFS(全伝票!I:I,全伝票!$B:$B,$B5),SUMIFS(全伝票!I:I,全伝票!$C:$C,$C5)),IF($C5="",SUMIFS(全伝票!I:I,全伝票!$A:$A,$A5,全伝票!$B:$B,$B5),SUMIFS(全伝票!I:I,全伝票!$A:$A,$A5,全伝票!$C:$C,$C5)))</f>
        <v>10679943</v>
      </c>
      <c r="F5" s="173">
        <f>+IF($A5="",IF($C5="",SUMIFS(全伝票!J:J,全伝票!$B:$B,$B5),SUMIFS(全伝票!J:J,全伝票!$C:$C,$C5)),IF($C5="",SUMIFS(全伝票!J:J,全伝票!$A:$A,$A5,全伝票!$B:$B,$B5),SUMIFS(全伝票!J:J,全伝票!$A:$A,$A5,全伝票!$C:$C,$C5)))</f>
        <v>0</v>
      </c>
      <c r="G5" s="172">
        <f>+IF($A5="",IF($C5="",SUMIFS(全伝票!K:K,全伝票!$B:$B,$B5),SUMIFS(全伝票!K:K,全伝票!$C:$C,$C5)),IF($C5="",SUMIFS(全伝票!K:K,全伝票!$A:$A,$A5,全伝票!$B:$B,$B5),SUMIFS(全伝票!K:K,全伝票!$A:$A,$A5,全伝票!$C:$C,$C5)))</f>
        <v>0</v>
      </c>
      <c r="H5" s="172">
        <f>+IF($A5="",IF($C5="",SUMIFS(全伝票!L:L,全伝票!$B:$B,$B5),SUMIFS(全伝票!L:L,全伝票!$C:$C,$C5)),IF($C5="",SUMIFS(全伝票!L:L,全伝票!$A:$A,$A5,全伝票!$B:$B,$B5),SUMIFS(全伝票!L:L,全伝票!$A:$A,$A5,全伝票!$C:$C,$C5)))</f>
        <v>15407</v>
      </c>
      <c r="I5" s="172">
        <f>+IF($A5="",IF($C5="",SUMIFS(全伝票!M:M,全伝票!$B:$B,$B5),SUMIFS(全伝票!M:M,全伝票!$C:$C,$C5)),IF($C5="",SUMIFS(全伝票!M:M,全伝票!$A:$A,$A5,全伝票!$B:$B,$B5),SUMIFS(全伝票!M:M,全伝票!$A:$A,$A5,全伝票!$C:$C,$C5)))</f>
        <v>0</v>
      </c>
      <c r="J5" s="185">
        <f>+IF($A5="",IF($C5="",SUMIFS(全伝票!N:N,全伝票!$B:$B,$B5),SUMIFS(全伝票!N:N,全伝票!$C:$C,$C5)),IF($C5="",SUMIFS(全伝票!N:N,全伝票!$A:$A,$A5,全伝票!$B:$B,$B5),SUMIFS(全伝票!N:N,全伝票!$A:$A,$A5,全伝票!$C:$C,$C5)))</f>
        <v>10640333</v>
      </c>
      <c r="K5" s="167">
        <f>SUM(F5:J5)</f>
        <v>10655740</v>
      </c>
      <c r="L5" s="170">
        <f>+IF($A5="",IF($C5="",SUMIFS(全伝票!O:O,全伝票!$B:$B,$B5),SUMIFS(全伝票!O:O,全伝票!$C:$C,$C5)),IF($C5="",SUMIFS(全伝票!O:O,全伝票!$A:$A,$A5,全伝票!$B:$B,$B5),SUMIFS(全伝票!O:O,全伝票!$A:$A,$A5,全伝票!$C:$C,$C5)))</f>
        <v>6023</v>
      </c>
      <c r="M5" s="170">
        <f>+IF($A5="",IF($C5="",SUMIFS(全伝票!P:P,全伝票!$B:$B,$B5),SUMIFS(全伝票!P:P,全伝票!$C:$C,$C5)),IF($C5="",SUMIFS(全伝票!P:P,全伝票!$A:$A,$A5,全伝票!$B:$B,$B5),SUMIFS(全伝票!P:P,全伝票!$A:$A,$A5,全伝票!$C:$C,$C5)))</f>
        <v>18180</v>
      </c>
      <c r="N5" s="169">
        <f t="shared" ref="N5:Q11" si="0">+ROUND(F5*F$4/(100+F$4),0)+AE5</f>
        <v>0</v>
      </c>
      <c r="O5" s="47">
        <f t="shared" si="0"/>
        <v>0</v>
      </c>
      <c r="P5" s="47">
        <f t="shared" si="0"/>
        <v>1141</v>
      </c>
      <c r="Q5" s="47">
        <f t="shared" si="0"/>
        <v>0</v>
      </c>
      <c r="R5" s="168">
        <f>+ROUND(J5*J$4/(100+J$4),0)+AI5</f>
        <v>967303</v>
      </c>
      <c r="S5" s="167">
        <f>SUM(N5:R5)</f>
        <v>968444</v>
      </c>
      <c r="T5" s="215">
        <f>+E5-S5</f>
        <v>9711499</v>
      </c>
      <c r="U5" s="107"/>
      <c r="V5" s="107"/>
      <c r="W5" s="107"/>
      <c r="X5" s="107"/>
      <c r="Y5" s="107"/>
      <c r="Z5" s="106"/>
      <c r="AA5" s="106"/>
      <c r="AB5" s="106"/>
      <c r="AC5" s="106"/>
      <c r="AD5" s="106"/>
    </row>
    <row r="6" spans="1:35">
      <c r="A6" s="205"/>
      <c r="B6" s="204"/>
      <c r="C6" s="203"/>
      <c r="D6" s="222" t="s">
        <v>526</v>
      </c>
      <c r="E6" s="101">
        <f>+SUM(K6:M6)</f>
        <v>5557247</v>
      </c>
      <c r="F6" s="90">
        <f>+F5-SUM(F7:F11)</f>
        <v>0</v>
      </c>
      <c r="G6" s="89">
        <f t="shared" ref="G6:H6" si="1">+G5-SUM(G7:G11)</f>
        <v>0</v>
      </c>
      <c r="H6" s="89">
        <f t="shared" si="1"/>
        <v>4690</v>
      </c>
      <c r="I6" s="89">
        <f t="shared" ref="I6" si="2">+I5-SUM(I7:I11)</f>
        <v>0</v>
      </c>
      <c r="J6" s="34">
        <f>+J5-SUM(J7:J11)</f>
        <v>5552557</v>
      </c>
      <c r="K6" s="22">
        <f t="shared" ref="K6" si="3">SUM(F6:J6)</f>
        <v>5557247</v>
      </c>
      <c r="L6" s="101">
        <f t="shared" ref="L6:M6" si="4">+L5-SUM(L7:L11)</f>
        <v>0</v>
      </c>
      <c r="M6" s="101">
        <f t="shared" si="4"/>
        <v>0</v>
      </c>
      <c r="N6" s="108">
        <f t="shared" si="0"/>
        <v>0</v>
      </c>
      <c r="O6" s="25">
        <f t="shared" si="0"/>
        <v>0</v>
      </c>
      <c r="P6" s="25">
        <f>+ROUND(H6*H$4/(100+H$4),0)+AG6</f>
        <v>347</v>
      </c>
      <c r="Q6" s="25">
        <f t="shared" si="0"/>
        <v>0</v>
      </c>
      <c r="R6" s="157">
        <f>+ROUND(J6*J$4/(100+J$4),0)+AI6</f>
        <v>504778</v>
      </c>
      <c r="S6" s="22">
        <f>SUM(N6:R6)</f>
        <v>505125</v>
      </c>
      <c r="T6" s="201">
        <f>+E6-S6</f>
        <v>5052122</v>
      </c>
      <c r="U6" s="107">
        <f t="shared" ref="U6:X11" si="5">N6-F6*F$4/(100+F$4)</f>
        <v>0</v>
      </c>
      <c r="V6" s="107">
        <f t="shared" si="5"/>
        <v>0</v>
      </c>
      <c r="W6" s="107">
        <f t="shared" si="5"/>
        <v>-0.40740740740739056</v>
      </c>
      <c r="X6" s="107">
        <f t="shared" si="5"/>
        <v>0</v>
      </c>
      <c r="Y6" s="107">
        <f>R6-J6*J$4/(100+J$4)</f>
        <v>9.0909090882632881E-2</v>
      </c>
      <c r="Z6" s="106">
        <f t="shared" ref="Z6:AD8" si="6">+IF(N$40=0,0,IF(N$40&lt;0,-RANK(U6,U$5:U$37,0),RANK(U6,U$5:U$37,1)))</f>
        <v>0</v>
      </c>
      <c r="AA6" s="106">
        <f t="shared" si="6"/>
        <v>0</v>
      </c>
      <c r="AB6" s="106">
        <f t="shared" si="6"/>
        <v>0</v>
      </c>
      <c r="AC6" s="106">
        <f t="shared" si="6"/>
        <v>0</v>
      </c>
      <c r="AD6" s="106">
        <f t="shared" si="6"/>
        <v>0</v>
      </c>
    </row>
    <row r="7" spans="1:35">
      <c r="A7" s="205"/>
      <c r="B7" s="204"/>
      <c r="C7" s="203"/>
      <c r="D7" s="222" t="s">
        <v>525</v>
      </c>
      <c r="E7" s="101">
        <f>+SUM(K7:M7)</f>
        <v>5097903</v>
      </c>
      <c r="F7" s="210"/>
      <c r="G7" s="209">
        <v>0</v>
      </c>
      <c r="H7" s="209">
        <v>10717</v>
      </c>
      <c r="I7" s="209"/>
      <c r="J7" s="208">
        <v>5087186</v>
      </c>
      <c r="K7" s="22">
        <f t="shared" ref="K7:K11" si="7">SUM(F7:J7)</f>
        <v>5097903</v>
      </c>
      <c r="L7" s="207"/>
      <c r="M7" s="207"/>
      <c r="N7" s="108">
        <f t="shared" si="0"/>
        <v>0</v>
      </c>
      <c r="O7" s="25">
        <f t="shared" si="0"/>
        <v>0</v>
      </c>
      <c r="P7" s="25">
        <f>+ROUND(H7*H$4/(100+H$4),0)+AG7</f>
        <v>794</v>
      </c>
      <c r="Q7" s="25">
        <f t="shared" si="0"/>
        <v>0</v>
      </c>
      <c r="R7" s="157">
        <f>+ROUND(J7*J$4/(100+J$4),0)+AI7</f>
        <v>462471</v>
      </c>
      <c r="S7" s="22">
        <f>SUM(N7:R7)</f>
        <v>463265</v>
      </c>
      <c r="T7" s="201">
        <f>+E7-S7</f>
        <v>4634638</v>
      </c>
      <c r="U7" s="107">
        <f t="shared" si="5"/>
        <v>0</v>
      </c>
      <c r="V7" s="107">
        <f t="shared" si="5"/>
        <v>0</v>
      </c>
      <c r="W7" s="107">
        <f t="shared" si="5"/>
        <v>0.14814814814815236</v>
      </c>
      <c r="X7" s="107">
        <f t="shared" si="5"/>
        <v>0</v>
      </c>
      <c r="Y7" s="107">
        <f>R7-J7*J$4/(100+J$4)</f>
        <v>-0.45454545452957973</v>
      </c>
      <c r="Z7" s="106">
        <f t="shared" si="6"/>
        <v>0</v>
      </c>
      <c r="AA7" s="106">
        <f t="shared" si="6"/>
        <v>0</v>
      </c>
      <c r="AB7" s="106">
        <f t="shared" si="6"/>
        <v>0</v>
      </c>
      <c r="AC7" s="106">
        <f t="shared" si="6"/>
        <v>0</v>
      </c>
      <c r="AD7" s="106">
        <f t="shared" si="6"/>
        <v>0</v>
      </c>
    </row>
    <row r="8" spans="1:35">
      <c r="A8" s="205"/>
      <c r="B8" s="204"/>
      <c r="C8" s="203"/>
      <c r="D8" s="222" t="s">
        <v>550</v>
      </c>
      <c r="E8" s="101">
        <f>+SUM(K8:M8)</f>
        <v>590</v>
      </c>
      <c r="F8" s="210"/>
      <c r="G8" s="209">
        <v>0</v>
      </c>
      <c r="H8" s="209"/>
      <c r="I8" s="209"/>
      <c r="J8" s="208">
        <v>590</v>
      </c>
      <c r="K8" s="22">
        <f t="shared" si="7"/>
        <v>590</v>
      </c>
      <c r="L8" s="207"/>
      <c r="M8" s="207"/>
      <c r="N8" s="108">
        <f t="shared" si="0"/>
        <v>0</v>
      </c>
      <c r="O8" s="25">
        <f t="shared" si="0"/>
        <v>0</v>
      </c>
      <c r="P8" s="25">
        <f t="shared" si="0"/>
        <v>0</v>
      </c>
      <c r="Q8" s="25">
        <f t="shared" si="0"/>
        <v>0</v>
      </c>
      <c r="R8" s="157">
        <f>+ROUND(J8*J$4/(100+J$4),0)+AI8</f>
        <v>54</v>
      </c>
      <c r="S8" s="22">
        <f>SUM(N8:R8)</f>
        <v>54</v>
      </c>
      <c r="T8" s="201">
        <f>+E8-S8</f>
        <v>536</v>
      </c>
      <c r="U8" s="107">
        <f t="shared" si="5"/>
        <v>0</v>
      </c>
      <c r="V8" s="107">
        <f t="shared" si="5"/>
        <v>0</v>
      </c>
      <c r="W8" s="107">
        <f t="shared" si="5"/>
        <v>0</v>
      </c>
      <c r="X8" s="107">
        <f t="shared" si="5"/>
        <v>0</v>
      </c>
      <c r="Y8" s="107">
        <f>R8-J8*J$4/(100+J$4)</f>
        <v>0.36363636363636687</v>
      </c>
      <c r="Z8" s="106">
        <f t="shared" si="6"/>
        <v>0</v>
      </c>
      <c r="AA8" s="106">
        <f t="shared" si="6"/>
        <v>0</v>
      </c>
      <c r="AB8" s="106">
        <f t="shared" si="6"/>
        <v>0</v>
      </c>
      <c r="AC8" s="106">
        <f t="shared" si="6"/>
        <v>0</v>
      </c>
      <c r="AD8" s="106">
        <f t="shared" si="6"/>
        <v>0</v>
      </c>
    </row>
    <row r="9" spans="1:35">
      <c r="A9" s="205"/>
      <c r="B9" s="204"/>
      <c r="C9" s="203"/>
      <c r="D9" s="222" t="s">
        <v>607</v>
      </c>
      <c r="E9" s="101">
        <f t="shared" ref="E9:E10" si="8">+SUM(K9:M9)</f>
        <v>0</v>
      </c>
      <c r="F9" s="210"/>
      <c r="G9" s="209"/>
      <c r="H9" s="209"/>
      <c r="I9" s="209"/>
      <c r="J9" s="208"/>
      <c r="K9" s="22"/>
      <c r="L9" s="207"/>
      <c r="M9" s="207"/>
      <c r="N9" s="108"/>
      <c r="O9" s="25"/>
      <c r="P9" s="25"/>
      <c r="Q9" s="25"/>
      <c r="R9" s="157"/>
      <c r="S9" s="22"/>
      <c r="T9" s="201"/>
      <c r="U9" s="107"/>
      <c r="V9" s="107"/>
      <c r="W9" s="107"/>
      <c r="X9" s="107"/>
      <c r="Y9" s="107"/>
      <c r="Z9" s="106"/>
      <c r="AA9" s="106"/>
      <c r="AB9" s="106"/>
      <c r="AC9" s="106"/>
      <c r="AD9" s="106"/>
    </row>
    <row r="10" spans="1:35">
      <c r="A10" s="205"/>
      <c r="B10" s="204"/>
      <c r="C10" s="203"/>
      <c r="D10" s="222" t="s">
        <v>869</v>
      </c>
      <c r="E10" s="101">
        <f t="shared" si="8"/>
        <v>6023</v>
      </c>
      <c r="F10" s="210"/>
      <c r="G10" s="209"/>
      <c r="H10" s="209"/>
      <c r="I10" s="209"/>
      <c r="J10" s="208"/>
      <c r="K10" s="22"/>
      <c r="L10" s="207">
        <v>6023</v>
      </c>
      <c r="M10" s="207"/>
      <c r="N10" s="108"/>
      <c r="O10" s="25"/>
      <c r="P10" s="25"/>
      <c r="Q10" s="25"/>
      <c r="R10" s="157"/>
      <c r="S10" s="22"/>
      <c r="T10" s="201"/>
      <c r="U10" s="107"/>
      <c r="V10" s="107"/>
      <c r="W10" s="107"/>
      <c r="X10" s="107"/>
      <c r="Y10" s="107"/>
      <c r="Z10" s="106"/>
      <c r="AA10" s="106"/>
      <c r="AB10" s="106"/>
      <c r="AC10" s="106"/>
      <c r="AD10" s="106"/>
    </row>
    <row r="11" spans="1:35">
      <c r="A11" s="205"/>
      <c r="B11" s="204"/>
      <c r="C11" s="203"/>
      <c r="D11" s="222" t="s">
        <v>870</v>
      </c>
      <c r="E11" s="101">
        <f>+SUM(K11:M11)</f>
        <v>18180</v>
      </c>
      <c r="F11" s="210"/>
      <c r="G11" s="209"/>
      <c r="H11" s="209"/>
      <c r="I11" s="209"/>
      <c r="J11" s="208"/>
      <c r="K11" s="22">
        <f t="shared" si="7"/>
        <v>0</v>
      </c>
      <c r="L11" s="207"/>
      <c r="M11" s="207">
        <v>18180</v>
      </c>
      <c r="N11" s="108">
        <f t="shared" si="0"/>
        <v>0</v>
      </c>
      <c r="O11" s="25">
        <f t="shared" si="0"/>
        <v>0</v>
      </c>
      <c r="P11" s="25">
        <f>+ROUND(H11*H$4/(100+H$4),0)+AG11</f>
        <v>0</v>
      </c>
      <c r="Q11" s="25">
        <f t="shared" si="0"/>
        <v>0</v>
      </c>
      <c r="R11" s="157">
        <f>+ROUND(J11*J$4/(100+J$4),0)+AI11</f>
        <v>0</v>
      </c>
      <c r="S11" s="22">
        <f>SUM(N11:R11)</f>
        <v>0</v>
      </c>
      <c r="T11" s="201">
        <f>+E11-S11</f>
        <v>18180</v>
      </c>
      <c r="U11" s="107">
        <f t="shared" si="5"/>
        <v>0</v>
      </c>
      <c r="V11" s="107">
        <f t="shared" si="5"/>
        <v>0</v>
      </c>
      <c r="W11" s="107">
        <f t="shared" si="5"/>
        <v>0</v>
      </c>
      <c r="X11" s="107">
        <f t="shared" si="5"/>
        <v>0</v>
      </c>
      <c r="Y11" s="107">
        <f>R11-J11*J$4/(100+J$4)</f>
        <v>0</v>
      </c>
      <c r="Z11" s="106">
        <f>+IF(N$40=0,0,IF(N$40&lt;0,-RANK(U11,U$5:U$37,0),RANK(U11,U$5:U$37,1)))</f>
        <v>0</v>
      </c>
      <c r="AA11" s="106">
        <f>+IF(O$40=0,0,IF(O$40&lt;0,-RANK(V11,V$5:V$37,0),RANK(V11,V$5:V$37,1)))</f>
        <v>0</v>
      </c>
      <c r="AB11" s="106">
        <f>+IF(P$40=0,0,IF(P$40&lt;0,-RANK(W11,W$5:W$37,0),RANK(W11,W$5:W$37,1)))</f>
        <v>0</v>
      </c>
      <c r="AC11" s="106">
        <f>+IF(Q$40=0,0,IF(Q$40&lt;0,-RANK(X11,X$5:X$37,0),RANK(X11,X$5:X$37,1)))</f>
        <v>0</v>
      </c>
      <c r="AD11" s="106">
        <f>+IF(R$40=0,0,IF(R$40&lt;0,-RANK(Y11,Y$5:Y$37,0),RANK(Y11,Y$5:Y$37,1)))</f>
        <v>0</v>
      </c>
    </row>
    <row r="12" spans="1:35">
      <c r="A12" s="205"/>
      <c r="B12" s="204"/>
      <c r="C12" s="203"/>
      <c r="D12" s="222" t="s">
        <v>524</v>
      </c>
      <c r="E12" s="183">
        <f t="shared" ref="E12:T12" si="9">+E5-SUM(E6:E11)</f>
        <v>0</v>
      </c>
      <c r="F12" s="108">
        <f t="shared" si="9"/>
        <v>0</v>
      </c>
      <c r="G12" s="25">
        <f t="shared" si="9"/>
        <v>0</v>
      </c>
      <c r="H12" s="25">
        <f t="shared" si="9"/>
        <v>0</v>
      </c>
      <c r="I12" s="25">
        <f t="shared" ref="I12" si="10">+I5-SUM(I6:I11)</f>
        <v>0</v>
      </c>
      <c r="J12" s="22">
        <f t="shared" si="9"/>
        <v>0</v>
      </c>
      <c r="K12" s="22">
        <f t="shared" si="9"/>
        <v>0</v>
      </c>
      <c r="L12" s="183">
        <f t="shared" si="9"/>
        <v>0</v>
      </c>
      <c r="M12" s="183">
        <f t="shared" si="9"/>
        <v>0</v>
      </c>
      <c r="N12" s="108">
        <f t="shared" si="9"/>
        <v>0</v>
      </c>
      <c r="O12" s="25">
        <f t="shared" si="9"/>
        <v>0</v>
      </c>
      <c r="P12" s="25">
        <f>+P5-SUM(P6:P11)+AG12</f>
        <v>0</v>
      </c>
      <c r="Q12" s="25">
        <f t="shared" ref="Q12" si="11">+Q5-SUM(Q6:Q11)</f>
        <v>0</v>
      </c>
      <c r="R12" s="157">
        <f t="shared" si="9"/>
        <v>0</v>
      </c>
      <c r="S12" s="22">
        <f>+S5-SUM(S6:S11)</f>
        <v>0</v>
      </c>
      <c r="T12" s="201">
        <f t="shared" si="9"/>
        <v>6023</v>
      </c>
      <c r="U12" s="107"/>
      <c r="V12" s="107"/>
      <c r="W12" s="107"/>
      <c r="X12" s="107"/>
      <c r="Y12" s="107"/>
      <c r="Z12" s="106"/>
      <c r="AA12" s="106"/>
      <c r="AB12" s="106"/>
      <c r="AC12" s="106"/>
      <c r="AD12" s="106"/>
    </row>
    <row r="13" spans="1:35">
      <c r="A13" s="205"/>
      <c r="B13" s="204"/>
      <c r="C13" s="203"/>
      <c r="D13" s="222"/>
      <c r="E13" s="183"/>
      <c r="F13" s="108"/>
      <c r="G13" s="25"/>
      <c r="H13" s="25"/>
      <c r="I13" s="25"/>
      <c r="J13" s="22"/>
      <c r="K13" s="22"/>
      <c r="L13" s="183"/>
      <c r="M13" s="183"/>
      <c r="N13" s="108"/>
      <c r="O13" s="25"/>
      <c r="P13" s="25"/>
      <c r="Q13" s="25"/>
      <c r="R13" s="157"/>
      <c r="S13" s="22"/>
      <c r="T13" s="201"/>
      <c r="U13" s="107"/>
      <c r="V13" s="107"/>
      <c r="W13" s="107"/>
      <c r="X13" s="107"/>
      <c r="Y13" s="107"/>
      <c r="Z13" s="106"/>
      <c r="AA13" s="106"/>
      <c r="AB13" s="106"/>
      <c r="AC13" s="106"/>
      <c r="AD13" s="106"/>
    </row>
    <row r="14" spans="1:35">
      <c r="A14" s="205"/>
      <c r="B14" s="204">
        <v>8850808</v>
      </c>
      <c r="C14" s="203"/>
      <c r="D14" s="222" t="s">
        <v>523</v>
      </c>
      <c r="E14" s="158">
        <f>+SUMIFS(全伝票!I:I,全伝票!$B:$B,$B14)</f>
        <v>0</v>
      </c>
      <c r="F14" s="161">
        <f>+SUMIFS(全伝票!J:J,全伝票!$B:$B,$B14)</f>
        <v>0</v>
      </c>
      <c r="G14" s="160">
        <f>+SUMIFS(全伝票!K:K,全伝票!$B:$B,$B14)</f>
        <v>0</v>
      </c>
      <c r="H14" s="160">
        <f>+SUMIFS(全伝票!L:L,全伝票!$B:$B,$B14)</f>
        <v>0</v>
      </c>
      <c r="I14" s="160">
        <f>+SUMIFS(全伝票!M:M,全伝票!$B:$B,$B14)</f>
        <v>0</v>
      </c>
      <c r="J14" s="184">
        <f>+SUMIFS(全伝票!N:N,全伝票!$B:$B,$B14)</f>
        <v>0</v>
      </c>
      <c r="K14" s="22">
        <f t="shared" ref="K14:K29" si="12">SUM(F14:J14)</f>
        <v>0</v>
      </c>
      <c r="L14" s="158">
        <f>+SUMIFS(全伝票!O:O,全伝票!$B:$B,$B14)</f>
        <v>0</v>
      </c>
      <c r="M14" s="158">
        <f>+SUMIFS(全伝票!P:P,全伝票!$B:$B,$B14)</f>
        <v>0</v>
      </c>
      <c r="N14" s="108">
        <f t="shared" ref="N14:N29" si="13">+ROUND(F14*F$4/(100+F$4),0)+AE14</f>
        <v>0</v>
      </c>
      <c r="O14" s="25">
        <f t="shared" ref="O14:O29" si="14">+ROUND(G14*G$4/(100+G$4),0)+AF14</f>
        <v>0</v>
      </c>
      <c r="P14" s="25">
        <f t="shared" ref="P14:Q29" si="15">+ROUND(H14*H$4/(100+H$4),0)+AG14</f>
        <v>0</v>
      </c>
      <c r="Q14" s="25">
        <f t="shared" si="15"/>
        <v>0</v>
      </c>
      <c r="R14" s="157">
        <f t="shared" ref="R14:R29" si="16">+ROUND(J14*J$4/(100+J$4),0)+AI14</f>
        <v>0</v>
      </c>
      <c r="S14" s="22">
        <f t="shared" ref="S14:S29" si="17">SUM(N14:R14)</f>
        <v>0</v>
      </c>
      <c r="T14" s="201">
        <f t="shared" ref="T14:T29" si="18">+E14-S14</f>
        <v>0</v>
      </c>
      <c r="U14" s="107"/>
      <c r="V14" s="107"/>
      <c r="W14" s="107"/>
      <c r="X14" s="107"/>
      <c r="Y14" s="107"/>
      <c r="Z14" s="106"/>
      <c r="AA14" s="106"/>
      <c r="AB14" s="106"/>
      <c r="AC14" s="106"/>
      <c r="AD14" s="106"/>
    </row>
    <row r="15" spans="1:35">
      <c r="A15" s="205"/>
      <c r="B15" s="204"/>
      <c r="C15" s="203"/>
      <c r="D15" s="222" t="s">
        <v>522</v>
      </c>
      <c r="E15" s="101">
        <f t="shared" ref="E15:E29" si="19">+SUM(K15:M15)</f>
        <v>0</v>
      </c>
      <c r="F15" s="210"/>
      <c r="G15" s="209"/>
      <c r="H15" s="209"/>
      <c r="I15" s="209"/>
      <c r="J15" s="208"/>
      <c r="K15" s="22">
        <f t="shared" si="12"/>
        <v>0</v>
      </c>
      <c r="L15" s="207"/>
      <c r="M15" s="207"/>
      <c r="N15" s="108">
        <f t="shared" si="13"/>
        <v>0</v>
      </c>
      <c r="O15" s="25">
        <f t="shared" si="14"/>
        <v>0</v>
      </c>
      <c r="P15" s="25">
        <f t="shared" si="15"/>
        <v>0</v>
      </c>
      <c r="Q15" s="25">
        <f t="shared" si="15"/>
        <v>0</v>
      </c>
      <c r="R15" s="157">
        <f t="shared" si="16"/>
        <v>0</v>
      </c>
      <c r="S15" s="22">
        <f t="shared" si="17"/>
        <v>0</v>
      </c>
      <c r="T15" s="201">
        <f t="shared" si="18"/>
        <v>0</v>
      </c>
      <c r="U15" s="107">
        <f t="shared" ref="U15:U29" si="20">N15-F15*F$4/(100+F$4)</f>
        <v>0</v>
      </c>
      <c r="V15" s="107">
        <f t="shared" ref="V15:V29" si="21">O15-G15*G$4/(100+G$4)</f>
        <v>0</v>
      </c>
      <c r="W15" s="107">
        <f t="shared" ref="W15:X29" si="22">P15-H15*H$4/(100+H$4)</f>
        <v>0</v>
      </c>
      <c r="X15" s="107">
        <f t="shared" si="22"/>
        <v>0</v>
      </c>
      <c r="Y15" s="107">
        <f t="shared" ref="Y15:Y29" si="23">R15-J15*J$4/(100+J$4)</f>
        <v>0</v>
      </c>
      <c r="Z15" s="106">
        <f t="shared" ref="Z15:Z29" si="24">+IF(N$40=0,0,IF(N$40&lt;0,-RANK(U15,U$5:U$37,0),RANK(U15,U$5:U$37,1)))</f>
        <v>0</v>
      </c>
      <c r="AA15" s="106">
        <f t="shared" ref="AA15:AA29" si="25">+IF(O$40=0,0,IF(O$40&lt;0,-RANK(V15,V$5:V$37,0),RANK(V15,V$5:V$37,1)))</f>
        <v>0</v>
      </c>
      <c r="AB15" s="106">
        <f t="shared" ref="AB15:AB29" si="26">+IF(P$40=0,0,IF(P$40&lt;0,-RANK(W15,W$5:W$37,0),RANK(W15,W$5:W$37,1)))</f>
        <v>0</v>
      </c>
      <c r="AC15" s="106">
        <f t="shared" ref="AC15:AC29" si="27">+IF(Q$40=0,0,IF(Q$40&lt;0,-RANK(X15,X$5:X$37,0),RANK(X15,X$5:X$37,1)))</f>
        <v>0</v>
      </c>
      <c r="AD15" s="106">
        <f t="shared" ref="AD15:AD29" si="28">+IF(R$40=0,0,IF(R$40&lt;0,-RANK(Y15,Y$5:Y$37,0),RANK(Y15,Y$5:Y$37,1)))</f>
        <v>0</v>
      </c>
    </row>
    <row r="16" spans="1:35">
      <c r="A16" s="205"/>
      <c r="B16" s="204"/>
      <c r="C16" s="203"/>
      <c r="D16" s="222" t="s">
        <v>521</v>
      </c>
      <c r="E16" s="101">
        <f t="shared" si="19"/>
        <v>0</v>
      </c>
      <c r="F16" s="210"/>
      <c r="G16" s="209"/>
      <c r="H16" s="209"/>
      <c r="I16" s="209"/>
      <c r="J16" s="208"/>
      <c r="K16" s="22">
        <f t="shared" si="12"/>
        <v>0</v>
      </c>
      <c r="L16" s="207"/>
      <c r="M16" s="207"/>
      <c r="N16" s="108">
        <f t="shared" si="13"/>
        <v>0</v>
      </c>
      <c r="O16" s="25">
        <f t="shared" si="14"/>
        <v>0</v>
      </c>
      <c r="P16" s="25">
        <f t="shared" si="15"/>
        <v>0</v>
      </c>
      <c r="Q16" s="25">
        <f t="shared" si="15"/>
        <v>0</v>
      </c>
      <c r="R16" s="157">
        <f t="shared" si="16"/>
        <v>0</v>
      </c>
      <c r="S16" s="22">
        <f t="shared" si="17"/>
        <v>0</v>
      </c>
      <c r="T16" s="201">
        <f t="shared" si="18"/>
        <v>0</v>
      </c>
      <c r="U16" s="107">
        <f t="shared" si="20"/>
        <v>0</v>
      </c>
      <c r="V16" s="107">
        <f t="shared" si="21"/>
        <v>0</v>
      </c>
      <c r="W16" s="107">
        <f t="shared" si="22"/>
        <v>0</v>
      </c>
      <c r="X16" s="107">
        <f t="shared" si="22"/>
        <v>0</v>
      </c>
      <c r="Y16" s="107">
        <f t="shared" si="23"/>
        <v>0</v>
      </c>
      <c r="Z16" s="106">
        <f t="shared" si="24"/>
        <v>0</v>
      </c>
      <c r="AA16" s="106">
        <f t="shared" si="25"/>
        <v>0</v>
      </c>
      <c r="AB16" s="106">
        <f t="shared" si="26"/>
        <v>0</v>
      </c>
      <c r="AC16" s="106">
        <f t="shared" si="27"/>
        <v>0</v>
      </c>
      <c r="AD16" s="106">
        <f t="shared" si="28"/>
        <v>0</v>
      </c>
    </row>
    <row r="17" spans="1:30">
      <c r="A17" s="205"/>
      <c r="B17" s="204"/>
      <c r="C17" s="203"/>
      <c r="D17" s="222" t="s">
        <v>520</v>
      </c>
      <c r="E17" s="101">
        <f t="shared" si="19"/>
        <v>0</v>
      </c>
      <c r="F17" s="210"/>
      <c r="G17" s="209"/>
      <c r="H17" s="209"/>
      <c r="I17" s="209"/>
      <c r="J17" s="208"/>
      <c r="K17" s="22">
        <f t="shared" si="12"/>
        <v>0</v>
      </c>
      <c r="L17" s="207"/>
      <c r="M17" s="207"/>
      <c r="N17" s="108">
        <f t="shared" si="13"/>
        <v>0</v>
      </c>
      <c r="O17" s="25">
        <f t="shared" si="14"/>
        <v>0</v>
      </c>
      <c r="P17" s="25">
        <f t="shared" si="15"/>
        <v>0</v>
      </c>
      <c r="Q17" s="25">
        <f t="shared" si="15"/>
        <v>0</v>
      </c>
      <c r="R17" s="157">
        <f t="shared" si="16"/>
        <v>0</v>
      </c>
      <c r="S17" s="22">
        <f t="shared" si="17"/>
        <v>0</v>
      </c>
      <c r="T17" s="201">
        <f t="shared" si="18"/>
        <v>0</v>
      </c>
      <c r="U17" s="107">
        <f t="shared" si="20"/>
        <v>0</v>
      </c>
      <c r="V17" s="107">
        <f t="shared" si="21"/>
        <v>0</v>
      </c>
      <c r="W17" s="107">
        <f t="shared" si="22"/>
        <v>0</v>
      </c>
      <c r="X17" s="107">
        <f t="shared" si="22"/>
        <v>0</v>
      </c>
      <c r="Y17" s="107">
        <f t="shared" si="23"/>
        <v>0</v>
      </c>
      <c r="Z17" s="106">
        <f t="shared" si="24"/>
        <v>0</v>
      </c>
      <c r="AA17" s="106">
        <f t="shared" si="25"/>
        <v>0</v>
      </c>
      <c r="AB17" s="106">
        <f t="shared" si="26"/>
        <v>0</v>
      </c>
      <c r="AC17" s="106">
        <f t="shared" si="27"/>
        <v>0</v>
      </c>
      <c r="AD17" s="106">
        <f t="shared" si="28"/>
        <v>0</v>
      </c>
    </row>
    <row r="18" spans="1:30">
      <c r="A18" s="205"/>
      <c r="B18" s="204"/>
      <c r="C18" s="203"/>
      <c r="D18" s="222" t="s">
        <v>519</v>
      </c>
      <c r="E18" s="101">
        <f t="shared" si="19"/>
        <v>0</v>
      </c>
      <c r="F18" s="210"/>
      <c r="G18" s="209"/>
      <c r="H18" s="209"/>
      <c r="I18" s="209"/>
      <c r="J18" s="208"/>
      <c r="K18" s="22">
        <f t="shared" si="12"/>
        <v>0</v>
      </c>
      <c r="L18" s="207"/>
      <c r="M18" s="207"/>
      <c r="N18" s="108">
        <f t="shared" si="13"/>
        <v>0</v>
      </c>
      <c r="O18" s="25">
        <f t="shared" si="14"/>
        <v>0</v>
      </c>
      <c r="P18" s="25">
        <f t="shared" si="15"/>
        <v>0</v>
      </c>
      <c r="Q18" s="25">
        <f t="shared" si="15"/>
        <v>0</v>
      </c>
      <c r="R18" s="157">
        <f t="shared" si="16"/>
        <v>0</v>
      </c>
      <c r="S18" s="22">
        <f t="shared" si="17"/>
        <v>0</v>
      </c>
      <c r="T18" s="201">
        <f t="shared" si="18"/>
        <v>0</v>
      </c>
      <c r="U18" s="107">
        <f t="shared" si="20"/>
        <v>0</v>
      </c>
      <c r="V18" s="107">
        <f t="shared" si="21"/>
        <v>0</v>
      </c>
      <c r="W18" s="107">
        <f t="shared" si="22"/>
        <v>0</v>
      </c>
      <c r="X18" s="107">
        <f t="shared" si="22"/>
        <v>0</v>
      </c>
      <c r="Y18" s="107">
        <f t="shared" si="23"/>
        <v>0</v>
      </c>
      <c r="Z18" s="106">
        <f t="shared" si="24"/>
        <v>0</v>
      </c>
      <c r="AA18" s="106">
        <f t="shared" si="25"/>
        <v>0</v>
      </c>
      <c r="AB18" s="106">
        <f t="shared" si="26"/>
        <v>0</v>
      </c>
      <c r="AC18" s="106">
        <f t="shared" si="27"/>
        <v>0</v>
      </c>
      <c r="AD18" s="106">
        <f t="shared" si="28"/>
        <v>0</v>
      </c>
    </row>
    <row r="19" spans="1:30">
      <c r="A19" s="205"/>
      <c r="B19" s="204"/>
      <c r="C19" s="203"/>
      <c r="D19" s="222" t="s">
        <v>605</v>
      </c>
      <c r="E19" s="101">
        <f t="shared" si="19"/>
        <v>0</v>
      </c>
      <c r="F19" s="210"/>
      <c r="G19" s="209"/>
      <c r="H19" s="209"/>
      <c r="I19" s="209"/>
      <c r="J19" s="208"/>
      <c r="K19" s="22">
        <f t="shared" si="12"/>
        <v>0</v>
      </c>
      <c r="L19" s="207"/>
      <c r="M19" s="207"/>
      <c r="N19" s="108">
        <f t="shared" si="13"/>
        <v>0</v>
      </c>
      <c r="O19" s="25">
        <f t="shared" si="14"/>
        <v>0</v>
      </c>
      <c r="P19" s="25">
        <f t="shared" si="15"/>
        <v>0</v>
      </c>
      <c r="Q19" s="25">
        <f t="shared" si="15"/>
        <v>0</v>
      </c>
      <c r="R19" s="157">
        <f t="shared" si="16"/>
        <v>0</v>
      </c>
      <c r="S19" s="22">
        <f t="shared" si="17"/>
        <v>0</v>
      </c>
      <c r="T19" s="201">
        <f t="shared" si="18"/>
        <v>0</v>
      </c>
      <c r="U19" s="107">
        <f t="shared" si="20"/>
        <v>0</v>
      </c>
      <c r="V19" s="107">
        <f t="shared" si="21"/>
        <v>0</v>
      </c>
      <c r="W19" s="107">
        <f t="shared" si="22"/>
        <v>0</v>
      </c>
      <c r="X19" s="107">
        <f t="shared" si="22"/>
        <v>0</v>
      </c>
      <c r="Y19" s="107">
        <f t="shared" si="23"/>
        <v>0</v>
      </c>
      <c r="Z19" s="106">
        <f t="shared" si="24"/>
        <v>0</v>
      </c>
      <c r="AA19" s="106">
        <f t="shared" si="25"/>
        <v>0</v>
      </c>
      <c r="AB19" s="106">
        <f t="shared" si="26"/>
        <v>0</v>
      </c>
      <c r="AC19" s="106">
        <f t="shared" si="27"/>
        <v>0</v>
      </c>
      <c r="AD19" s="106">
        <f t="shared" si="28"/>
        <v>0</v>
      </c>
    </row>
    <row r="20" spans="1:30">
      <c r="A20" s="205"/>
      <c r="B20" s="204"/>
      <c r="C20" s="203"/>
      <c r="D20" s="222" t="s">
        <v>606</v>
      </c>
      <c r="E20" s="101">
        <f t="shared" si="19"/>
        <v>0</v>
      </c>
      <c r="F20" s="210"/>
      <c r="G20" s="209"/>
      <c r="H20" s="209"/>
      <c r="I20" s="209"/>
      <c r="J20" s="208"/>
      <c r="K20" s="22">
        <f t="shared" si="12"/>
        <v>0</v>
      </c>
      <c r="L20" s="207"/>
      <c r="M20" s="207"/>
      <c r="N20" s="108">
        <f t="shared" si="13"/>
        <v>0</v>
      </c>
      <c r="O20" s="25">
        <f t="shared" si="14"/>
        <v>0</v>
      </c>
      <c r="P20" s="25">
        <f t="shared" si="15"/>
        <v>0</v>
      </c>
      <c r="Q20" s="25">
        <f t="shared" si="15"/>
        <v>0</v>
      </c>
      <c r="R20" s="157">
        <f t="shared" si="16"/>
        <v>0</v>
      </c>
      <c r="S20" s="22">
        <f t="shared" si="17"/>
        <v>0</v>
      </c>
      <c r="T20" s="201">
        <f t="shared" si="18"/>
        <v>0</v>
      </c>
      <c r="U20" s="107">
        <f t="shared" si="20"/>
        <v>0</v>
      </c>
      <c r="V20" s="107">
        <f t="shared" si="21"/>
        <v>0</v>
      </c>
      <c r="W20" s="107">
        <f t="shared" si="22"/>
        <v>0</v>
      </c>
      <c r="X20" s="107">
        <f t="shared" si="22"/>
        <v>0</v>
      </c>
      <c r="Y20" s="107">
        <f t="shared" si="23"/>
        <v>0</v>
      </c>
      <c r="Z20" s="106">
        <f t="shared" si="24"/>
        <v>0</v>
      </c>
      <c r="AA20" s="106">
        <f t="shared" si="25"/>
        <v>0</v>
      </c>
      <c r="AB20" s="106">
        <f t="shared" si="26"/>
        <v>0</v>
      </c>
      <c r="AC20" s="106">
        <f t="shared" si="27"/>
        <v>0</v>
      </c>
      <c r="AD20" s="106">
        <f t="shared" si="28"/>
        <v>0</v>
      </c>
    </row>
    <row r="21" spans="1:30">
      <c r="A21" s="205"/>
      <c r="B21" s="204"/>
      <c r="C21" s="203"/>
      <c r="D21" s="222" t="s">
        <v>518</v>
      </c>
      <c r="E21" s="101">
        <f t="shared" si="19"/>
        <v>0</v>
      </c>
      <c r="F21" s="210"/>
      <c r="G21" s="209"/>
      <c r="H21" s="209"/>
      <c r="I21" s="209"/>
      <c r="J21" s="208"/>
      <c r="K21" s="22">
        <f t="shared" si="12"/>
        <v>0</v>
      </c>
      <c r="L21" s="207"/>
      <c r="M21" s="207"/>
      <c r="N21" s="108">
        <f t="shared" si="13"/>
        <v>0</v>
      </c>
      <c r="O21" s="25">
        <f t="shared" si="14"/>
        <v>0</v>
      </c>
      <c r="P21" s="25">
        <f t="shared" si="15"/>
        <v>0</v>
      </c>
      <c r="Q21" s="25">
        <f t="shared" si="15"/>
        <v>0</v>
      </c>
      <c r="R21" s="157">
        <f t="shared" si="16"/>
        <v>0</v>
      </c>
      <c r="S21" s="22">
        <f t="shared" si="17"/>
        <v>0</v>
      </c>
      <c r="T21" s="201">
        <f t="shared" si="18"/>
        <v>0</v>
      </c>
      <c r="U21" s="107">
        <f t="shared" si="20"/>
        <v>0</v>
      </c>
      <c r="V21" s="107">
        <f t="shared" si="21"/>
        <v>0</v>
      </c>
      <c r="W21" s="107">
        <f t="shared" si="22"/>
        <v>0</v>
      </c>
      <c r="X21" s="107">
        <f t="shared" si="22"/>
        <v>0</v>
      </c>
      <c r="Y21" s="107">
        <f t="shared" si="23"/>
        <v>0</v>
      </c>
      <c r="Z21" s="106">
        <f t="shared" si="24"/>
        <v>0</v>
      </c>
      <c r="AA21" s="106">
        <f t="shared" si="25"/>
        <v>0</v>
      </c>
      <c r="AB21" s="106">
        <f t="shared" si="26"/>
        <v>0</v>
      </c>
      <c r="AC21" s="106">
        <f t="shared" si="27"/>
        <v>0</v>
      </c>
      <c r="AD21" s="106">
        <f t="shared" si="28"/>
        <v>0</v>
      </c>
    </row>
    <row r="22" spans="1:30">
      <c r="A22" s="205"/>
      <c r="B22" s="204"/>
      <c r="C22" s="203"/>
      <c r="D22" s="222" t="s">
        <v>551</v>
      </c>
      <c r="E22" s="101">
        <f t="shared" si="19"/>
        <v>0</v>
      </c>
      <c r="F22" s="210"/>
      <c r="G22" s="209"/>
      <c r="H22" s="209"/>
      <c r="I22" s="209"/>
      <c r="J22" s="208"/>
      <c r="K22" s="22">
        <f t="shared" si="12"/>
        <v>0</v>
      </c>
      <c r="L22" s="207"/>
      <c r="M22" s="207"/>
      <c r="N22" s="108">
        <f t="shared" si="13"/>
        <v>0</v>
      </c>
      <c r="O22" s="25">
        <f t="shared" si="14"/>
        <v>0</v>
      </c>
      <c r="P22" s="25">
        <f t="shared" si="15"/>
        <v>0</v>
      </c>
      <c r="Q22" s="25">
        <f t="shared" si="15"/>
        <v>0</v>
      </c>
      <c r="R22" s="157">
        <f t="shared" si="16"/>
        <v>0</v>
      </c>
      <c r="S22" s="22">
        <f t="shared" si="17"/>
        <v>0</v>
      </c>
      <c r="T22" s="201">
        <f t="shared" si="18"/>
        <v>0</v>
      </c>
      <c r="U22" s="107">
        <f t="shared" si="20"/>
        <v>0</v>
      </c>
      <c r="V22" s="107">
        <f t="shared" si="21"/>
        <v>0</v>
      </c>
      <c r="W22" s="107">
        <f t="shared" si="22"/>
        <v>0</v>
      </c>
      <c r="X22" s="107">
        <f t="shared" si="22"/>
        <v>0</v>
      </c>
      <c r="Y22" s="107">
        <f t="shared" si="23"/>
        <v>0</v>
      </c>
      <c r="Z22" s="106">
        <f t="shared" si="24"/>
        <v>0</v>
      </c>
      <c r="AA22" s="106">
        <f t="shared" si="25"/>
        <v>0</v>
      </c>
      <c r="AB22" s="106">
        <f t="shared" si="26"/>
        <v>0</v>
      </c>
      <c r="AC22" s="106">
        <f t="shared" si="27"/>
        <v>0</v>
      </c>
      <c r="AD22" s="106">
        <f t="shared" si="28"/>
        <v>0</v>
      </c>
    </row>
    <row r="23" spans="1:30">
      <c r="A23" s="205"/>
      <c r="B23" s="204"/>
      <c r="C23" s="203"/>
      <c r="D23" s="222" t="s">
        <v>517</v>
      </c>
      <c r="E23" s="101">
        <f t="shared" si="19"/>
        <v>0</v>
      </c>
      <c r="F23" s="210"/>
      <c r="G23" s="209"/>
      <c r="H23" s="209"/>
      <c r="I23" s="209"/>
      <c r="J23" s="208"/>
      <c r="K23" s="22">
        <f t="shared" si="12"/>
        <v>0</v>
      </c>
      <c r="L23" s="207"/>
      <c r="M23" s="207"/>
      <c r="N23" s="108">
        <f t="shared" si="13"/>
        <v>0</v>
      </c>
      <c r="O23" s="25">
        <f t="shared" si="14"/>
        <v>0</v>
      </c>
      <c r="P23" s="25">
        <f t="shared" si="15"/>
        <v>0</v>
      </c>
      <c r="Q23" s="25">
        <f t="shared" si="15"/>
        <v>0</v>
      </c>
      <c r="R23" s="157">
        <f t="shared" si="16"/>
        <v>0</v>
      </c>
      <c r="S23" s="22">
        <f t="shared" si="17"/>
        <v>0</v>
      </c>
      <c r="T23" s="201">
        <f t="shared" si="18"/>
        <v>0</v>
      </c>
      <c r="U23" s="107">
        <f t="shared" si="20"/>
        <v>0</v>
      </c>
      <c r="V23" s="107">
        <f t="shared" si="21"/>
        <v>0</v>
      </c>
      <c r="W23" s="107">
        <f t="shared" si="22"/>
        <v>0</v>
      </c>
      <c r="X23" s="107">
        <f t="shared" si="22"/>
        <v>0</v>
      </c>
      <c r="Y23" s="107">
        <f t="shared" si="23"/>
        <v>0</v>
      </c>
      <c r="Z23" s="106">
        <f t="shared" si="24"/>
        <v>0</v>
      </c>
      <c r="AA23" s="106">
        <f t="shared" si="25"/>
        <v>0</v>
      </c>
      <c r="AB23" s="106">
        <f t="shared" si="26"/>
        <v>0</v>
      </c>
      <c r="AC23" s="106">
        <f t="shared" si="27"/>
        <v>0</v>
      </c>
      <c r="AD23" s="106">
        <f t="shared" si="28"/>
        <v>0</v>
      </c>
    </row>
    <row r="24" spans="1:30">
      <c r="A24" s="205"/>
      <c r="B24" s="204"/>
      <c r="C24" s="203"/>
      <c r="D24" s="222" t="s">
        <v>516</v>
      </c>
      <c r="E24" s="101">
        <f t="shared" si="19"/>
        <v>0</v>
      </c>
      <c r="F24" s="210"/>
      <c r="G24" s="209"/>
      <c r="H24" s="209"/>
      <c r="I24" s="209"/>
      <c r="J24" s="208"/>
      <c r="K24" s="22">
        <f t="shared" si="12"/>
        <v>0</v>
      </c>
      <c r="L24" s="207"/>
      <c r="M24" s="207"/>
      <c r="N24" s="108">
        <f t="shared" si="13"/>
        <v>0</v>
      </c>
      <c r="O24" s="25">
        <f t="shared" si="14"/>
        <v>0</v>
      </c>
      <c r="P24" s="25">
        <f t="shared" si="15"/>
        <v>0</v>
      </c>
      <c r="Q24" s="25">
        <f t="shared" si="15"/>
        <v>0</v>
      </c>
      <c r="R24" s="157">
        <f t="shared" si="16"/>
        <v>0</v>
      </c>
      <c r="S24" s="22">
        <f t="shared" si="17"/>
        <v>0</v>
      </c>
      <c r="T24" s="201">
        <f t="shared" si="18"/>
        <v>0</v>
      </c>
      <c r="U24" s="107">
        <f t="shared" si="20"/>
        <v>0</v>
      </c>
      <c r="V24" s="107">
        <f t="shared" si="21"/>
        <v>0</v>
      </c>
      <c r="W24" s="107">
        <f t="shared" si="22"/>
        <v>0</v>
      </c>
      <c r="X24" s="107">
        <f t="shared" si="22"/>
        <v>0</v>
      </c>
      <c r="Y24" s="107">
        <f t="shared" si="23"/>
        <v>0</v>
      </c>
      <c r="Z24" s="106">
        <f t="shared" si="24"/>
        <v>0</v>
      </c>
      <c r="AA24" s="106">
        <f t="shared" si="25"/>
        <v>0</v>
      </c>
      <c r="AB24" s="106">
        <f t="shared" si="26"/>
        <v>0</v>
      </c>
      <c r="AC24" s="106">
        <f t="shared" si="27"/>
        <v>0</v>
      </c>
      <c r="AD24" s="106">
        <f t="shared" si="28"/>
        <v>0</v>
      </c>
    </row>
    <row r="25" spans="1:30">
      <c r="A25" s="205"/>
      <c r="B25" s="204"/>
      <c r="C25" s="203"/>
      <c r="D25" s="222" t="s">
        <v>515</v>
      </c>
      <c r="E25" s="101">
        <f t="shared" si="19"/>
        <v>0</v>
      </c>
      <c r="F25" s="210"/>
      <c r="G25" s="209"/>
      <c r="H25" s="209"/>
      <c r="I25" s="209"/>
      <c r="J25" s="208"/>
      <c r="K25" s="22">
        <f t="shared" si="12"/>
        <v>0</v>
      </c>
      <c r="L25" s="207"/>
      <c r="M25" s="207"/>
      <c r="N25" s="108">
        <f t="shared" si="13"/>
        <v>0</v>
      </c>
      <c r="O25" s="25">
        <f t="shared" si="14"/>
        <v>0</v>
      </c>
      <c r="P25" s="25">
        <f t="shared" si="15"/>
        <v>0</v>
      </c>
      <c r="Q25" s="25">
        <f t="shared" si="15"/>
        <v>0</v>
      </c>
      <c r="R25" s="157">
        <f t="shared" si="16"/>
        <v>0</v>
      </c>
      <c r="S25" s="22">
        <f t="shared" si="17"/>
        <v>0</v>
      </c>
      <c r="T25" s="201">
        <f t="shared" si="18"/>
        <v>0</v>
      </c>
      <c r="U25" s="107">
        <f t="shared" si="20"/>
        <v>0</v>
      </c>
      <c r="V25" s="107">
        <f t="shared" si="21"/>
        <v>0</v>
      </c>
      <c r="W25" s="107">
        <f t="shared" si="22"/>
        <v>0</v>
      </c>
      <c r="X25" s="107">
        <f t="shared" si="22"/>
        <v>0</v>
      </c>
      <c r="Y25" s="107">
        <f t="shared" si="23"/>
        <v>0</v>
      </c>
      <c r="Z25" s="106">
        <f t="shared" si="24"/>
        <v>0</v>
      </c>
      <c r="AA25" s="106">
        <f t="shared" si="25"/>
        <v>0</v>
      </c>
      <c r="AB25" s="106">
        <f t="shared" si="26"/>
        <v>0</v>
      </c>
      <c r="AC25" s="106">
        <f t="shared" si="27"/>
        <v>0</v>
      </c>
      <c r="AD25" s="106">
        <f t="shared" si="28"/>
        <v>0</v>
      </c>
    </row>
    <row r="26" spans="1:30">
      <c r="A26" s="205"/>
      <c r="B26" s="204"/>
      <c r="C26" s="203"/>
      <c r="D26" s="222" t="s">
        <v>514</v>
      </c>
      <c r="E26" s="101">
        <f t="shared" si="19"/>
        <v>0</v>
      </c>
      <c r="F26" s="210"/>
      <c r="G26" s="209"/>
      <c r="H26" s="209"/>
      <c r="I26" s="209"/>
      <c r="J26" s="208"/>
      <c r="K26" s="22">
        <f t="shared" si="12"/>
        <v>0</v>
      </c>
      <c r="L26" s="207"/>
      <c r="M26" s="207"/>
      <c r="N26" s="108">
        <f t="shared" si="13"/>
        <v>0</v>
      </c>
      <c r="O26" s="25">
        <f t="shared" si="14"/>
        <v>0</v>
      </c>
      <c r="P26" s="25">
        <f t="shared" si="15"/>
        <v>0</v>
      </c>
      <c r="Q26" s="25">
        <f t="shared" si="15"/>
        <v>0</v>
      </c>
      <c r="R26" s="157">
        <f t="shared" si="16"/>
        <v>0</v>
      </c>
      <c r="S26" s="22">
        <f t="shared" si="17"/>
        <v>0</v>
      </c>
      <c r="T26" s="201">
        <f t="shared" si="18"/>
        <v>0</v>
      </c>
      <c r="U26" s="107">
        <f t="shared" si="20"/>
        <v>0</v>
      </c>
      <c r="V26" s="107">
        <f t="shared" si="21"/>
        <v>0</v>
      </c>
      <c r="W26" s="107">
        <f t="shared" si="22"/>
        <v>0</v>
      </c>
      <c r="X26" s="107">
        <f t="shared" si="22"/>
        <v>0</v>
      </c>
      <c r="Y26" s="107">
        <f t="shared" si="23"/>
        <v>0</v>
      </c>
      <c r="Z26" s="106">
        <f t="shared" si="24"/>
        <v>0</v>
      </c>
      <c r="AA26" s="106">
        <f t="shared" si="25"/>
        <v>0</v>
      </c>
      <c r="AB26" s="106">
        <f t="shared" si="26"/>
        <v>0</v>
      </c>
      <c r="AC26" s="106">
        <f t="shared" si="27"/>
        <v>0</v>
      </c>
      <c r="AD26" s="106">
        <f t="shared" si="28"/>
        <v>0</v>
      </c>
    </row>
    <row r="27" spans="1:30">
      <c r="A27" s="205"/>
      <c r="B27" s="204"/>
      <c r="C27" s="203"/>
      <c r="D27" s="222" t="s">
        <v>513</v>
      </c>
      <c r="E27" s="101">
        <f t="shared" si="19"/>
        <v>0</v>
      </c>
      <c r="F27" s="210"/>
      <c r="G27" s="209"/>
      <c r="H27" s="209"/>
      <c r="I27" s="209"/>
      <c r="J27" s="208"/>
      <c r="K27" s="22">
        <f t="shared" si="12"/>
        <v>0</v>
      </c>
      <c r="L27" s="207"/>
      <c r="M27" s="207"/>
      <c r="N27" s="108">
        <f t="shared" si="13"/>
        <v>0</v>
      </c>
      <c r="O27" s="25">
        <f t="shared" si="14"/>
        <v>0</v>
      </c>
      <c r="P27" s="25">
        <f t="shared" si="15"/>
        <v>0</v>
      </c>
      <c r="Q27" s="25">
        <f t="shared" si="15"/>
        <v>0</v>
      </c>
      <c r="R27" s="157">
        <f t="shared" si="16"/>
        <v>0</v>
      </c>
      <c r="S27" s="22">
        <f t="shared" si="17"/>
        <v>0</v>
      </c>
      <c r="T27" s="201">
        <f t="shared" si="18"/>
        <v>0</v>
      </c>
      <c r="U27" s="107">
        <f t="shared" si="20"/>
        <v>0</v>
      </c>
      <c r="V27" s="107">
        <f t="shared" si="21"/>
        <v>0</v>
      </c>
      <c r="W27" s="107">
        <f t="shared" si="22"/>
        <v>0</v>
      </c>
      <c r="X27" s="107">
        <f t="shared" si="22"/>
        <v>0</v>
      </c>
      <c r="Y27" s="107">
        <f t="shared" si="23"/>
        <v>0</v>
      </c>
      <c r="Z27" s="106">
        <f t="shared" si="24"/>
        <v>0</v>
      </c>
      <c r="AA27" s="106">
        <f t="shared" si="25"/>
        <v>0</v>
      </c>
      <c r="AB27" s="106">
        <f t="shared" si="26"/>
        <v>0</v>
      </c>
      <c r="AC27" s="106">
        <f t="shared" si="27"/>
        <v>0</v>
      </c>
      <c r="AD27" s="106">
        <f t="shared" si="28"/>
        <v>0</v>
      </c>
    </row>
    <row r="28" spans="1:30">
      <c r="A28" s="205"/>
      <c r="B28" s="204"/>
      <c r="C28" s="203"/>
      <c r="D28" s="222" t="s">
        <v>611</v>
      </c>
      <c r="E28" s="101">
        <f>+SUM(K28:M28)</f>
        <v>0</v>
      </c>
      <c r="F28" s="210"/>
      <c r="G28" s="209"/>
      <c r="H28" s="209"/>
      <c r="I28" s="209"/>
      <c r="J28" s="208"/>
      <c r="K28" s="22">
        <f t="shared" si="12"/>
        <v>0</v>
      </c>
      <c r="L28" s="207"/>
      <c r="M28" s="207"/>
      <c r="N28" s="108">
        <f t="shared" si="13"/>
        <v>0</v>
      </c>
      <c r="O28" s="25">
        <f t="shared" si="14"/>
        <v>0</v>
      </c>
      <c r="P28" s="25">
        <f t="shared" si="15"/>
        <v>0</v>
      </c>
      <c r="Q28" s="25">
        <f t="shared" si="15"/>
        <v>0</v>
      </c>
      <c r="R28" s="157">
        <f t="shared" si="16"/>
        <v>0</v>
      </c>
      <c r="S28" s="22">
        <f t="shared" si="17"/>
        <v>0</v>
      </c>
      <c r="T28" s="201">
        <f t="shared" si="18"/>
        <v>0</v>
      </c>
      <c r="U28" s="107">
        <f t="shared" si="20"/>
        <v>0</v>
      </c>
      <c r="V28" s="107">
        <f t="shared" si="21"/>
        <v>0</v>
      </c>
      <c r="W28" s="107">
        <f t="shared" si="22"/>
        <v>0</v>
      </c>
      <c r="X28" s="107">
        <f t="shared" si="22"/>
        <v>0</v>
      </c>
      <c r="Y28" s="107">
        <f t="shared" si="23"/>
        <v>0</v>
      </c>
      <c r="Z28" s="106">
        <f t="shared" si="24"/>
        <v>0</v>
      </c>
      <c r="AA28" s="106">
        <f t="shared" si="25"/>
        <v>0</v>
      </c>
      <c r="AB28" s="106">
        <f t="shared" si="26"/>
        <v>0</v>
      </c>
      <c r="AC28" s="106">
        <f t="shared" si="27"/>
        <v>0</v>
      </c>
      <c r="AD28" s="106">
        <f t="shared" si="28"/>
        <v>0</v>
      </c>
    </row>
    <row r="29" spans="1:30">
      <c r="A29" s="205"/>
      <c r="B29" s="204"/>
      <c r="C29" s="203"/>
      <c r="D29" s="222" t="s">
        <v>630</v>
      </c>
      <c r="E29" s="101">
        <f t="shared" si="19"/>
        <v>0</v>
      </c>
      <c r="F29" s="210"/>
      <c r="G29" s="209"/>
      <c r="H29" s="209"/>
      <c r="I29" s="209"/>
      <c r="J29" s="208"/>
      <c r="K29" s="22">
        <f t="shared" si="12"/>
        <v>0</v>
      </c>
      <c r="L29" s="207"/>
      <c r="M29" s="207"/>
      <c r="N29" s="108">
        <f t="shared" si="13"/>
        <v>0</v>
      </c>
      <c r="O29" s="25">
        <f t="shared" si="14"/>
        <v>0</v>
      </c>
      <c r="P29" s="25">
        <f t="shared" si="15"/>
        <v>0</v>
      </c>
      <c r="Q29" s="25">
        <f t="shared" si="15"/>
        <v>0</v>
      </c>
      <c r="R29" s="157">
        <f t="shared" si="16"/>
        <v>0</v>
      </c>
      <c r="S29" s="22">
        <f t="shared" si="17"/>
        <v>0</v>
      </c>
      <c r="T29" s="201">
        <f t="shared" si="18"/>
        <v>0</v>
      </c>
      <c r="U29" s="107">
        <f t="shared" si="20"/>
        <v>0</v>
      </c>
      <c r="V29" s="107">
        <f t="shared" si="21"/>
        <v>0</v>
      </c>
      <c r="W29" s="107">
        <f t="shared" si="22"/>
        <v>0</v>
      </c>
      <c r="X29" s="107">
        <f t="shared" si="22"/>
        <v>0</v>
      </c>
      <c r="Y29" s="107">
        <f t="shared" si="23"/>
        <v>0</v>
      </c>
      <c r="Z29" s="106">
        <f t="shared" si="24"/>
        <v>0</v>
      </c>
      <c r="AA29" s="106">
        <f t="shared" si="25"/>
        <v>0</v>
      </c>
      <c r="AB29" s="106">
        <f t="shared" si="26"/>
        <v>0</v>
      </c>
      <c r="AC29" s="106">
        <f t="shared" si="27"/>
        <v>0</v>
      </c>
      <c r="AD29" s="106">
        <f t="shared" si="28"/>
        <v>0</v>
      </c>
    </row>
    <row r="30" spans="1:30">
      <c r="A30" s="205"/>
      <c r="B30" s="204"/>
      <c r="C30" s="203"/>
      <c r="D30" s="202" t="s">
        <v>512</v>
      </c>
      <c r="E30" s="183">
        <f t="shared" ref="E30:T30" si="29">+E14-SUM(E15:E29)</f>
        <v>0</v>
      </c>
      <c r="F30" s="108">
        <f t="shared" si="29"/>
        <v>0</v>
      </c>
      <c r="G30" s="25">
        <f t="shared" si="29"/>
        <v>0</v>
      </c>
      <c r="H30" s="25">
        <f t="shared" si="29"/>
        <v>0</v>
      </c>
      <c r="I30" s="25">
        <f t="shared" ref="I30" si="30">+I14-SUM(I15:I29)</f>
        <v>0</v>
      </c>
      <c r="J30" s="22">
        <f t="shared" si="29"/>
        <v>0</v>
      </c>
      <c r="K30" s="22">
        <f t="shared" si="29"/>
        <v>0</v>
      </c>
      <c r="L30" s="183">
        <f t="shared" si="29"/>
        <v>0</v>
      </c>
      <c r="M30" s="183">
        <f t="shared" si="29"/>
        <v>0</v>
      </c>
      <c r="N30" s="108">
        <f t="shared" si="29"/>
        <v>0</v>
      </c>
      <c r="O30" s="25">
        <f t="shared" si="29"/>
        <v>0</v>
      </c>
      <c r="P30" s="25">
        <f t="shared" si="29"/>
        <v>0</v>
      </c>
      <c r="Q30" s="25">
        <f t="shared" ref="Q30" si="31">+Q14-SUM(Q15:Q29)</f>
        <v>0</v>
      </c>
      <c r="R30" s="157">
        <f t="shared" si="29"/>
        <v>0</v>
      </c>
      <c r="S30" s="22">
        <f t="shared" si="29"/>
        <v>0</v>
      </c>
      <c r="T30" s="201">
        <f t="shared" si="29"/>
        <v>0</v>
      </c>
      <c r="U30" s="107"/>
      <c r="V30" s="107"/>
      <c r="W30" s="107"/>
      <c r="X30" s="107"/>
      <c r="Y30" s="107"/>
      <c r="Z30" s="106"/>
      <c r="AA30" s="106"/>
      <c r="AB30" s="106"/>
      <c r="AC30" s="106"/>
      <c r="AD30" s="106"/>
    </row>
    <row r="31" spans="1:30">
      <c r="A31" s="205"/>
      <c r="B31" s="204"/>
      <c r="C31" s="203"/>
      <c r="D31" s="202"/>
      <c r="E31" s="183"/>
      <c r="F31" s="108"/>
      <c r="G31" s="25"/>
      <c r="H31" s="25"/>
      <c r="I31" s="25"/>
      <c r="J31" s="22"/>
      <c r="K31" s="22"/>
      <c r="L31" s="183"/>
      <c r="M31" s="183"/>
      <c r="N31" s="108">
        <f>+ROUND(F31*F$4/(100+F$4),0)+AA31</f>
        <v>0</v>
      </c>
      <c r="O31" s="25">
        <f>+ROUND(G31*G$4/(100+G$4),0)+AB31</f>
        <v>0</v>
      </c>
      <c r="P31" s="25">
        <f>+ROUND(H31*H$4/(100+H$4),0)+AD31</f>
        <v>0</v>
      </c>
      <c r="Q31" s="25">
        <f>+ROUND(I31*I$4/(100+I$4),0)+AE31</f>
        <v>0</v>
      </c>
      <c r="R31" s="157">
        <f>+ROUND(J31*J$4/(100+J$4),0)+AE31</f>
        <v>0</v>
      </c>
      <c r="S31" s="22"/>
      <c r="T31" s="201"/>
      <c r="U31" s="107"/>
      <c r="V31" s="107"/>
      <c r="W31" s="107"/>
      <c r="X31" s="107"/>
      <c r="Y31" s="107"/>
      <c r="Z31" s="106"/>
      <c r="AA31" s="106"/>
      <c r="AB31" s="106"/>
      <c r="AC31" s="106"/>
      <c r="AD31" s="106"/>
    </row>
    <row r="32" spans="1:30">
      <c r="A32" s="205"/>
      <c r="B32" s="204">
        <v>8850202</v>
      </c>
      <c r="C32" s="203"/>
      <c r="D32" s="202" t="s">
        <v>511</v>
      </c>
      <c r="E32" s="158">
        <f>+IF($A32="",IF($C32="",SUMIFS(全伝票!I:I,全伝票!$B:$B,$B32),SUMIFS(全伝票!I:I,全伝票!$C:$C,$C32)),IF($C32="",SUMIFS(全伝票!I:I,全伝票!$A:$A,$A32,全伝票!$B:$B,$B32),SUMIFS(全伝票!I:I,全伝票!$A:$A,$A32,全伝票!$C:$C,$C32)))</f>
        <v>10315355</v>
      </c>
      <c r="F32" s="161">
        <f>+IF($A32="",IF($C32="",SUMIFS(全伝票!J:J,全伝票!$B:$B,$B32),SUMIFS(全伝票!J:J,全伝票!$C:$C,$C32)),IF($C32="",SUMIFS(全伝票!J:J,全伝票!$A:$A,$A32,全伝票!$B:$B,$B32),SUMIFS(全伝票!J:J,全伝票!$A:$A,$A32,全伝票!$C:$C,$C32)))</f>
        <v>0</v>
      </c>
      <c r="G32" s="160">
        <f>+IF($A32="",IF($C32="",SUMIFS(全伝票!K:K,全伝票!$B:$B,$B32),SUMIFS(全伝票!K:K,全伝票!$C:$C,$C32)),IF($C32="",SUMIFS(全伝票!K:K,全伝票!$A:$A,$A32,全伝票!$B:$B,$B32),SUMIFS(全伝票!K:K,全伝票!$A:$A,$A32,全伝票!$C:$C,$C32)))</f>
        <v>0</v>
      </c>
      <c r="H32" s="160">
        <f>+IF($A32="",IF($C32="",SUMIFS(全伝票!L:L,全伝票!$B:$B,$B32),SUMIFS(全伝票!L:L,全伝票!$C:$C,$C32)),IF($C32="",SUMIFS(全伝票!L:L,全伝票!$A:$A,$A32,全伝票!$B:$B,$B32),SUMIFS(全伝票!L:L,全伝票!$A:$A,$A32,全伝票!$C:$C,$C32)))</f>
        <v>0</v>
      </c>
      <c r="I32" s="160">
        <f>+IF($A32="",IF($C32="",SUMIFS(全伝票!M:M,全伝票!$B:$B,$B32),SUMIFS(全伝票!M:M,全伝票!$C:$C,$C32)),IF($C32="",SUMIFS(全伝票!M:M,全伝票!$A:$A,$A32,全伝票!$B:$B,$B32),SUMIFS(全伝票!M:M,全伝票!$A:$A,$A32,全伝票!$C:$C,$C32)))</f>
        <v>0</v>
      </c>
      <c r="J32" s="184">
        <f>+IF($A32="",IF($C32="",SUMIFS(全伝票!N:N,全伝票!$B:$B,$B32),SUMIFS(全伝票!N:N,全伝票!$C:$C,$C32)),IF($C32="",SUMIFS(全伝票!N:N,全伝票!$A:$A,$A32,全伝票!$B:$B,$B32),SUMIFS(全伝票!N:N,全伝票!$A:$A,$A32,全伝票!$C:$C,$C32)))</f>
        <v>0</v>
      </c>
      <c r="K32" s="22">
        <f>SUM(F32:J32)</f>
        <v>0</v>
      </c>
      <c r="L32" s="158">
        <f>+IF($A32="",IF($C32="",SUMIFS(全伝票!O:O,全伝票!$B:$B,$B32),SUMIFS(全伝票!O:O,全伝票!$C:$C,$C32)),IF($C32="",SUMIFS(全伝票!O:O,全伝票!$A:$A,$A32,全伝票!$B:$B,$B32),SUMIFS(全伝票!O:O,全伝票!$A:$A,$A32,全伝票!$C:$C,$C32)))</f>
        <v>0</v>
      </c>
      <c r="M32" s="158">
        <f>+IF($A32="",IF($C32="",SUMIFS(全伝票!P:P,全伝票!$B:$B,$B32),SUMIFS(全伝票!P:P,全伝票!$C:$C,$C32)),IF($C32="",SUMIFS(全伝票!P:P,全伝票!$A:$A,$A32,全伝票!$B:$B,$B32),SUMIFS(全伝票!P:P,全伝票!$A:$A,$A32,全伝票!$C:$C,$C32)))</f>
        <v>10315355</v>
      </c>
      <c r="N32" s="108">
        <f>+ROUND(F32*F$4/(100+F$4),0)+AE32</f>
        <v>0</v>
      </c>
      <c r="O32" s="25">
        <f>+ROUND(G32*G$4/(100+G$4),0)+AF32</f>
        <v>0</v>
      </c>
      <c r="P32" s="25">
        <f>+ROUND(H32*H$4/(100+H$4),0)+AG32</f>
        <v>0</v>
      </c>
      <c r="Q32" s="25">
        <f>+ROUND(I32*I$4/(100+I$4),0)+AH32</f>
        <v>0</v>
      </c>
      <c r="R32" s="157">
        <f>+ROUND(J32*J$4/(100+J$4),0)+AI32</f>
        <v>0</v>
      </c>
      <c r="S32" s="22">
        <f>SUM(N32:R32)</f>
        <v>0</v>
      </c>
      <c r="T32" s="201">
        <f>+E32-S32</f>
        <v>10315355</v>
      </c>
      <c r="U32" s="107">
        <f>N32-F32*F$4/(100+F$4)</f>
        <v>0</v>
      </c>
      <c r="V32" s="107">
        <f>O32-G32*G$4/(100+G$4)</f>
        <v>0</v>
      </c>
      <c r="W32" s="107">
        <f>P32-H32*H$4/(100+H$4)</f>
        <v>0</v>
      </c>
      <c r="X32" s="107">
        <f>Q32-I32*I$4/(100+I$4)</f>
        <v>0</v>
      </c>
      <c r="Y32" s="107">
        <f>R32-J32*J$4/(100+J$4)</f>
        <v>0</v>
      </c>
      <c r="Z32" s="106">
        <f>+IF(N$40=0,0,IF(N$40&lt;0,-RANK(U32,U$5:U$37,0),RANK(U32,U$5:U$37,1)))</f>
        <v>0</v>
      </c>
      <c r="AA32" s="106">
        <f>+IF(O$40=0,0,IF(O$40&lt;0,-RANK(V32,V$5:V$37,0),RANK(V32,V$5:V$37,1)))</f>
        <v>0</v>
      </c>
      <c r="AB32" s="106">
        <f>+IF(P$40=0,0,IF(P$40&lt;0,-RANK(W32,W$5:W$37,0),RANK(W32,W$5:W$37,1)))</f>
        <v>0</v>
      </c>
      <c r="AC32" s="106">
        <f>+IF(Q$40=0,0,IF(Q$40&lt;0,-RANK(X32,X$5:X$37,0),RANK(X32,X$5:X$37,1)))</f>
        <v>0</v>
      </c>
      <c r="AD32" s="106">
        <f>+IF(R$40=0,0,IF(R$40&lt;0,-RANK(Y32,Y$5:Y$37,0),RANK(Y32,Y$5:Y$37,1)))</f>
        <v>0</v>
      </c>
    </row>
    <row r="33" spans="1:30">
      <c r="A33" s="205"/>
      <c r="B33" s="204"/>
      <c r="C33" s="203"/>
      <c r="D33" s="202"/>
      <c r="E33" s="183"/>
      <c r="F33" s="108"/>
      <c r="G33" s="25"/>
      <c r="H33" s="25"/>
      <c r="I33" s="25"/>
      <c r="J33" s="22"/>
      <c r="K33" s="22"/>
      <c r="L33" s="183"/>
      <c r="M33" s="183"/>
      <c r="N33" s="108"/>
      <c r="O33" s="25"/>
      <c r="P33" s="25"/>
      <c r="Q33" s="25"/>
      <c r="R33" s="157"/>
      <c r="S33" s="22"/>
      <c r="T33" s="201"/>
      <c r="U33" s="107"/>
      <c r="V33" s="107"/>
      <c r="W33" s="107"/>
      <c r="X33" s="107"/>
      <c r="Y33" s="107"/>
      <c r="Z33" s="106"/>
      <c r="AA33" s="106"/>
      <c r="AB33" s="106"/>
      <c r="AC33" s="106"/>
      <c r="AD33" s="106"/>
    </row>
    <row r="34" spans="1:30">
      <c r="A34" s="205"/>
      <c r="B34" s="204">
        <v>8851010</v>
      </c>
      <c r="C34" s="203"/>
      <c r="D34" s="102" t="s">
        <v>510</v>
      </c>
      <c r="E34" s="158">
        <f>+IF($A34="",IF($C34="",SUMIFS(全伝票!I:I,全伝票!$B:$B,$B34),SUMIFS(全伝票!I:I,全伝票!$C:$C,$C34)),IF($C34="",SUMIFS(全伝票!I:I,全伝票!$A:$A,$A34,全伝票!$B:$B,$B34),SUMIFS(全伝票!I:I,全伝票!$A:$A,$A34,全伝票!$C:$C,$C34)))</f>
        <v>0</v>
      </c>
      <c r="F34" s="161">
        <f>+IF($A34="",IF($C34="",SUMIFS(全伝票!J:J,全伝票!$B:$B,$B34),SUMIFS(全伝票!J:J,全伝票!$C:$C,$C34)),IF($C34="",SUMIFS(全伝票!J:J,全伝票!$A:$A,$A34,全伝票!$B:$B,$B34),SUMIFS(全伝票!J:J,全伝票!$A:$A,$A34,全伝票!$C:$C,$C34)))</f>
        <v>0</v>
      </c>
      <c r="G34" s="160">
        <f>+IF($A34="",IF($C34="",SUMIFS(全伝票!K:K,全伝票!$B:$B,$B34),SUMIFS(全伝票!K:K,全伝票!$C:$C,$C34)),IF($C34="",SUMIFS(全伝票!K:K,全伝票!$A:$A,$A34,全伝票!$B:$B,$B34),SUMIFS(全伝票!K:K,全伝票!$A:$A,$A34,全伝票!$C:$C,$C34)))</f>
        <v>0</v>
      </c>
      <c r="H34" s="160">
        <f>+IF($A34="",IF($C34="",SUMIFS(全伝票!L:L,全伝票!$B:$B,$B34),SUMIFS(全伝票!L:L,全伝票!$C:$C,$C34)),IF($C34="",SUMIFS(全伝票!L:L,全伝票!$A:$A,$A34,全伝票!$B:$B,$B34),SUMIFS(全伝票!L:L,全伝票!$A:$A,$A34,全伝票!$C:$C,$C34)))</f>
        <v>0</v>
      </c>
      <c r="I34" s="160">
        <f>+IF($A34="",IF($C34="",SUMIFS(全伝票!M:M,全伝票!$B:$B,$B34),SUMIFS(全伝票!M:M,全伝票!$C:$C,$C34)),IF($C34="",SUMIFS(全伝票!M:M,全伝票!$A:$A,$A34,全伝票!$B:$B,$B34),SUMIFS(全伝票!M:M,全伝票!$A:$A,$A34,全伝票!$C:$C,$C34)))</f>
        <v>0</v>
      </c>
      <c r="J34" s="184">
        <f>+IF($A34="",IF($C34="",SUMIFS(全伝票!N:N,全伝票!$B:$B,$B34),SUMIFS(全伝票!N:N,全伝票!$C:$C,$C34)),IF($C34="",SUMIFS(全伝票!N:N,全伝票!$A:$A,$A34,全伝票!$B:$B,$B34),SUMIFS(全伝票!N:N,全伝票!$A:$A,$A34,全伝票!$C:$C,$C34)))</f>
        <v>0</v>
      </c>
      <c r="K34" s="22">
        <f>SUM(F34:J34)</f>
        <v>0</v>
      </c>
      <c r="L34" s="158">
        <f>+IF($A34="",IF($C34="",SUMIFS(全伝票!O:O,全伝票!$B:$B,$B34),SUMIFS(全伝票!O:O,全伝票!$C:$C,$C34)),IF($C34="",SUMIFS(全伝票!O:O,全伝票!$A:$A,$A34,全伝票!$B:$B,$B34),SUMIFS(全伝票!O:O,全伝票!$A:$A,$A34,全伝票!$C:$C,$C34)))</f>
        <v>0</v>
      </c>
      <c r="M34" s="158">
        <f>+IF($A34="",IF($C34="",SUMIFS(全伝票!P:P,全伝票!$B:$B,$B34),SUMIFS(全伝票!P:P,全伝票!$C:$C,$C34)),IF($C34="",SUMIFS(全伝票!P:P,全伝票!$A:$A,$A34,全伝票!$B:$B,$B34),SUMIFS(全伝票!P:P,全伝票!$A:$A,$A34,全伝票!$C:$C,$C34)))</f>
        <v>0</v>
      </c>
      <c r="N34" s="108">
        <f>+ROUND(F34*F$4/(100+F$4),0)+AE34</f>
        <v>0</v>
      </c>
      <c r="O34" s="25">
        <f>+ROUND(G34*G$4/(100+G$4),0)+AF34</f>
        <v>0</v>
      </c>
      <c r="P34" s="25">
        <f>+ROUND(H34*H$4/(100+H$4),0)+AG34</f>
        <v>0</v>
      </c>
      <c r="Q34" s="25">
        <f>+ROUND(I34*I$4/(100+I$4),0)+AH34</f>
        <v>0</v>
      </c>
      <c r="R34" s="157">
        <f>+ROUND(J34*J$4/(100+J$4),0)+AI34</f>
        <v>0</v>
      </c>
      <c r="S34" s="22">
        <f>SUM(N34:R34)</f>
        <v>0</v>
      </c>
      <c r="T34" s="201">
        <f>+E34-S34</f>
        <v>0</v>
      </c>
      <c r="U34" s="107">
        <f>N34-F34*F$4/(100+F$4)</f>
        <v>0</v>
      </c>
      <c r="V34" s="107">
        <f>O34-G34*G$4/(100+G$4)</f>
        <v>0</v>
      </c>
      <c r="W34" s="107">
        <f>P34-H34*H$4/(100+H$4)</f>
        <v>0</v>
      </c>
      <c r="X34" s="107">
        <f>Q34-I34*I$4/(100+I$4)</f>
        <v>0</v>
      </c>
      <c r="Y34" s="107">
        <f>R34-J34*J$4/(100+J$4)</f>
        <v>0</v>
      </c>
      <c r="Z34" s="106">
        <f>+IF(N$40=0,0,IF(N$40&lt;0,-RANK(U34,U$5:U$37,0),RANK(U34,U$5:U$37,1)))</f>
        <v>0</v>
      </c>
      <c r="AA34" s="106">
        <f>+IF(O$40=0,0,IF(O$40&lt;0,-RANK(V34,V$5:V$37,0),RANK(V34,V$5:V$37,1)))</f>
        <v>0</v>
      </c>
      <c r="AB34" s="106">
        <f>+IF(P$40=0,0,IF(P$40&lt;0,-RANK(W34,W$5:W$37,0),RANK(W34,W$5:W$37,1)))</f>
        <v>0</v>
      </c>
      <c r="AC34" s="106">
        <f>+IF(Q$40=0,0,IF(Q$40&lt;0,-RANK(X34,X$5:X$37,0),RANK(X34,X$5:X$37,1)))</f>
        <v>0</v>
      </c>
      <c r="AD34" s="106">
        <f>+IF(R$40=0,0,IF(R$40&lt;0,-RANK(Y34,Y$5:Y$37,0),RANK(Y34,Y$5:Y$37,1)))</f>
        <v>0</v>
      </c>
    </row>
    <row r="35" spans="1:30">
      <c r="A35" s="205"/>
      <c r="B35" s="204"/>
      <c r="C35" s="203"/>
      <c r="D35" s="202"/>
      <c r="E35" s="183"/>
      <c r="F35" s="108"/>
      <c r="G35" s="25"/>
      <c r="H35" s="25"/>
      <c r="I35" s="25"/>
      <c r="J35" s="22"/>
      <c r="K35" s="22"/>
      <c r="L35" s="183"/>
      <c r="M35" s="183"/>
      <c r="N35" s="108"/>
      <c r="O35" s="25"/>
      <c r="P35" s="25"/>
      <c r="Q35" s="25"/>
      <c r="R35" s="157"/>
      <c r="S35" s="22"/>
      <c r="T35" s="201"/>
      <c r="U35" s="107"/>
      <c r="V35" s="107"/>
      <c r="W35" s="107"/>
      <c r="X35" s="107"/>
      <c r="Y35" s="107"/>
      <c r="Z35" s="106"/>
      <c r="AA35" s="106"/>
      <c r="AB35" s="106"/>
      <c r="AC35" s="106"/>
      <c r="AD35" s="106"/>
    </row>
    <row r="36" spans="1:30">
      <c r="A36" s="205"/>
      <c r="B36" s="204"/>
      <c r="C36" s="203"/>
      <c r="D36" s="202"/>
      <c r="E36" s="183"/>
      <c r="F36" s="108"/>
      <c r="G36" s="25"/>
      <c r="H36" s="25"/>
      <c r="I36" s="25"/>
      <c r="J36" s="22"/>
      <c r="K36" s="22"/>
      <c r="L36" s="183"/>
      <c r="M36" s="183"/>
      <c r="N36" s="108"/>
      <c r="O36" s="25"/>
      <c r="P36" s="25"/>
      <c r="Q36" s="25"/>
      <c r="R36" s="157"/>
      <c r="S36" s="22"/>
      <c r="T36" s="201"/>
      <c r="U36" s="107"/>
      <c r="V36" s="107"/>
      <c r="W36" s="107"/>
      <c r="X36" s="107"/>
      <c r="Y36" s="107"/>
      <c r="Z36" s="106"/>
      <c r="AA36" s="106"/>
      <c r="AB36" s="106"/>
      <c r="AC36" s="106"/>
      <c r="AD36" s="106"/>
    </row>
    <row r="37" spans="1:30" ht="14.25" thickBot="1">
      <c r="A37" s="205"/>
      <c r="B37" s="204"/>
      <c r="C37" s="203"/>
      <c r="D37" s="202"/>
      <c r="E37" s="183"/>
      <c r="F37" s="108"/>
      <c r="G37" s="25"/>
      <c r="H37" s="25"/>
      <c r="I37" s="25"/>
      <c r="J37" s="22"/>
      <c r="K37" s="22"/>
      <c r="L37" s="183"/>
      <c r="M37" s="183"/>
      <c r="N37" s="108"/>
      <c r="O37" s="25"/>
      <c r="P37" s="25"/>
      <c r="Q37" s="25"/>
      <c r="R37" s="157"/>
      <c r="S37" s="22"/>
      <c r="T37" s="201"/>
      <c r="U37" s="107"/>
      <c r="V37" s="107"/>
      <c r="W37" s="107"/>
      <c r="X37" s="107"/>
      <c r="Y37" s="107"/>
      <c r="Z37" s="106"/>
      <c r="AA37" s="106"/>
      <c r="AB37" s="106"/>
      <c r="AC37" s="106"/>
      <c r="AD37" s="106"/>
    </row>
    <row r="38" spans="1:30" ht="14.25" thickTop="1">
      <c r="A38" s="200"/>
      <c r="B38" s="199"/>
      <c r="C38" s="198"/>
      <c r="D38" s="197" t="s">
        <v>2</v>
      </c>
      <c r="E38" s="195">
        <f t="shared" ref="E38:T38" si="32">SUM(E5,E14,E32,E34)</f>
        <v>20995298</v>
      </c>
      <c r="F38" s="196">
        <f t="shared" si="32"/>
        <v>0</v>
      </c>
      <c r="G38" s="18">
        <f t="shared" si="32"/>
        <v>0</v>
      </c>
      <c r="H38" s="18">
        <f t="shared" si="32"/>
        <v>15407</v>
      </c>
      <c r="I38" s="18">
        <f t="shared" ref="I38" si="33">SUM(I5,I14,I32,I34)</f>
        <v>0</v>
      </c>
      <c r="J38" s="15">
        <f t="shared" si="32"/>
        <v>10640333</v>
      </c>
      <c r="K38" s="144">
        <f t="shared" si="32"/>
        <v>10655740</v>
      </c>
      <c r="L38" s="195">
        <f t="shared" si="32"/>
        <v>6023</v>
      </c>
      <c r="M38" s="195">
        <f t="shared" si="32"/>
        <v>10333535</v>
      </c>
      <c r="N38" s="146">
        <f t="shared" si="32"/>
        <v>0</v>
      </c>
      <c r="O38" s="145">
        <f t="shared" si="32"/>
        <v>0</v>
      </c>
      <c r="P38" s="145">
        <f t="shared" si="32"/>
        <v>1141</v>
      </c>
      <c r="Q38" s="145">
        <f t="shared" ref="Q38" si="34">SUM(Q5,Q14,Q32,Q34)</f>
        <v>0</v>
      </c>
      <c r="R38" s="148">
        <f t="shared" si="32"/>
        <v>967303</v>
      </c>
      <c r="S38" s="144">
        <f t="shared" si="32"/>
        <v>968444</v>
      </c>
      <c r="T38" s="147">
        <f t="shared" si="32"/>
        <v>20026854</v>
      </c>
      <c r="U38" s="88" t="str">
        <f>+IF(F38=0,"",ROUND(F38*F$4/(100+F$4),7)-N38)</f>
        <v/>
      </c>
      <c r="V38" s="88"/>
      <c r="W38" s="88"/>
      <c r="X38" s="88"/>
      <c r="Y38" s="88"/>
      <c r="Z38" s="88"/>
      <c r="AA38" s="88"/>
      <c r="AB38" s="87"/>
      <c r="AC38" s="87"/>
      <c r="AD38" s="87"/>
    </row>
    <row r="39" spans="1:30">
      <c r="A39" s="194"/>
      <c r="B39" s="193"/>
      <c r="C39" s="192"/>
      <c r="D39" s="191" t="s">
        <v>1</v>
      </c>
      <c r="E39" s="188">
        <f t="shared" ref="E39:J39" si="35">+E38</f>
        <v>20995298</v>
      </c>
      <c r="F39" s="190">
        <f t="shared" si="35"/>
        <v>0</v>
      </c>
      <c r="G39" s="189">
        <f t="shared" si="35"/>
        <v>0</v>
      </c>
      <c r="H39" s="189">
        <f t="shared" si="35"/>
        <v>15407</v>
      </c>
      <c r="I39" s="189">
        <f t="shared" si="35"/>
        <v>0</v>
      </c>
      <c r="J39" s="7">
        <f t="shared" si="35"/>
        <v>10640333</v>
      </c>
      <c r="K39" s="66">
        <f>SUM(F39:J39)</f>
        <v>10655740</v>
      </c>
      <c r="L39" s="188">
        <f>+L38</f>
        <v>6023</v>
      </c>
      <c r="M39" s="135">
        <f>+M38</f>
        <v>10333535</v>
      </c>
      <c r="N39" s="133">
        <f>+'3条支出'!N27</f>
        <v>0</v>
      </c>
      <c r="O39" s="132">
        <f>+'3条支出'!O27</f>
        <v>0</v>
      </c>
      <c r="P39" s="132">
        <f>+'3条支出'!P27</f>
        <v>1141</v>
      </c>
      <c r="Q39" s="132">
        <f>+'3条支出'!Q27</f>
        <v>0</v>
      </c>
      <c r="R39" s="132">
        <f>+'3条支出'!R27</f>
        <v>967303</v>
      </c>
      <c r="S39" s="131">
        <f>+'3条支出'!S27</f>
        <v>968444</v>
      </c>
      <c r="T39" s="134">
        <f>+'3条支出'!T27</f>
        <v>20026854</v>
      </c>
      <c r="U39" s="88" t="str">
        <f>+IF(F39=0,"",ROUND(F39*F$4/(100+F$4),7)-N39)</f>
        <v/>
      </c>
      <c r="V39" s="88"/>
      <c r="W39" s="88"/>
      <c r="X39" s="88"/>
      <c r="Y39" s="88"/>
      <c r="Z39" s="88"/>
      <c r="AA39" s="88"/>
      <c r="AB39" s="87"/>
      <c r="AC39" s="87"/>
      <c r="AD39" s="87"/>
    </row>
    <row r="40" spans="1:30">
      <c r="E40" s="4">
        <f t="shared" ref="E40:T40" si="36">+E39-E38</f>
        <v>0</v>
      </c>
      <c r="F40" s="4">
        <f t="shared" si="36"/>
        <v>0</v>
      </c>
      <c r="G40" s="4">
        <f t="shared" si="36"/>
        <v>0</v>
      </c>
      <c r="H40" s="4">
        <f t="shared" si="36"/>
        <v>0</v>
      </c>
      <c r="I40" s="4">
        <f t="shared" ref="I40" si="37">+I39-I38</f>
        <v>0</v>
      </c>
      <c r="J40" s="4">
        <f t="shared" si="36"/>
        <v>0</v>
      </c>
      <c r="K40" s="4">
        <f t="shared" si="36"/>
        <v>0</v>
      </c>
      <c r="L40" s="4">
        <f t="shared" si="36"/>
        <v>0</v>
      </c>
      <c r="M40" s="4">
        <f t="shared" si="36"/>
        <v>0</v>
      </c>
      <c r="N40" s="4">
        <f t="shared" si="36"/>
        <v>0</v>
      </c>
      <c r="O40" s="4">
        <f t="shared" si="36"/>
        <v>0</v>
      </c>
      <c r="P40" s="4">
        <f t="shared" si="36"/>
        <v>0</v>
      </c>
      <c r="Q40" s="4">
        <f t="shared" ref="Q40" si="38">+Q39-Q38</f>
        <v>0</v>
      </c>
      <c r="R40" s="4">
        <f t="shared" si="36"/>
        <v>0</v>
      </c>
      <c r="S40" s="4">
        <f t="shared" si="36"/>
        <v>0</v>
      </c>
      <c r="T40" s="4">
        <f t="shared" si="36"/>
        <v>0</v>
      </c>
      <c r="U40" s="88" t="str">
        <f>+IF(F40=0,"",ROUND(F40*F$4/(100+F$4),7)-N40)</f>
        <v/>
      </c>
      <c r="V40" s="88" t="str">
        <f>+IF(G40=0,"",ROUND(G40*G$4/(100+G$4),7)-O40)</f>
        <v/>
      </c>
      <c r="W40" s="88" t="str">
        <f>+IF(H40=0,"",ROUND(H40*H$4/(100+H$4),7)-P40)</f>
        <v/>
      </c>
      <c r="X40" s="88"/>
      <c r="Y40" s="88" t="str">
        <f>+IF(J40=0,"",ROUND(J40*J$4/(100+J$4),7)-R40)</f>
        <v/>
      </c>
      <c r="Z40" s="88"/>
      <c r="AA40" s="88"/>
      <c r="AB40" s="87" t="str">
        <f>+IF(SUM(U40:Y40)=0,"",SUM(U40:Y40))</f>
        <v/>
      </c>
      <c r="AC40" s="87"/>
      <c r="AD40" s="87"/>
    </row>
    <row r="41" spans="1:30">
      <c r="U41" s="88" t="str">
        <f>+IF(F41=0,"",ROUND(F41*F$4/(100+F$4),7)-N41)</f>
        <v/>
      </c>
      <c r="V41" s="88" t="str">
        <f>+IF(G41=0,"",ROUND(G41*G$4/(100+G$4),7)-O41)</f>
        <v/>
      </c>
      <c r="W41" s="88" t="str">
        <f>+IF(H41=0,"",ROUND(H41*H$4/(100+H$4),7)-P41)</f>
        <v/>
      </c>
      <c r="X41" s="88"/>
      <c r="Y41" s="88" t="str">
        <f>+IF(J41=0,"",ROUND(J41*J$4/(100+J$4),7)-R41)</f>
        <v/>
      </c>
      <c r="Z41" s="88"/>
      <c r="AA41" s="88"/>
      <c r="AB41" s="87" t="str">
        <f>+IF(SUM(U41:Y41)=0,"",SUM(U41:Y41))</f>
        <v/>
      </c>
      <c r="AC41" s="87"/>
      <c r="AD41" s="87"/>
    </row>
    <row r="42" spans="1:30">
      <c r="E42" s="62"/>
      <c r="F42" s="62"/>
      <c r="G42" s="186"/>
      <c r="H42" s="62"/>
      <c r="I42" s="62"/>
      <c r="U42" s="88" t="str">
        <f>+IF(F42=0,"",ROUND(F42*F$4/(100+F$4),7)-N42)</f>
        <v/>
      </c>
      <c r="V42" s="88"/>
      <c r="W42" s="88"/>
      <c r="X42" s="88"/>
      <c r="Y42" s="88"/>
      <c r="Z42" s="88"/>
      <c r="AA42" s="88"/>
      <c r="AB42" s="87"/>
      <c r="AC42" s="87"/>
      <c r="AD42" s="87"/>
    </row>
    <row r="43" spans="1:30">
      <c r="E43" s="62"/>
      <c r="F43" s="62"/>
      <c r="G43" s="186"/>
      <c r="H43" s="62"/>
      <c r="I43" s="62"/>
    </row>
    <row r="44" spans="1:30">
      <c r="E44" s="62"/>
      <c r="F44" s="62"/>
      <c r="G44" s="62"/>
      <c r="H44" s="62"/>
      <c r="I44" s="62"/>
    </row>
  </sheetData>
  <mergeCells count="13">
    <mergeCell ref="U3:Y3"/>
    <mergeCell ref="Z3:AD3"/>
    <mergeCell ref="AE3:AI3"/>
    <mergeCell ref="A3:A4"/>
    <mergeCell ref="B3:B4"/>
    <mergeCell ref="C3:C4"/>
    <mergeCell ref="D3:D4"/>
    <mergeCell ref="E3:E4"/>
    <mergeCell ref="F3:K3"/>
    <mergeCell ref="L3:L4"/>
    <mergeCell ref="M3:M4"/>
    <mergeCell ref="N3:S3"/>
    <mergeCell ref="T3:T4"/>
  </mergeCells>
  <phoneticPr fontId="3"/>
  <conditionalFormatting sqref="AE38:AI39">
    <cfRule type="notContainsBlanks" dxfId="33" priority="7" stopIfTrue="1">
      <formula>LEN(TRIM(AE38))&gt;0</formula>
    </cfRule>
  </conditionalFormatting>
  <conditionalFormatting sqref="AE5:AI28 AE30:AI37 AF29:AI29">
    <cfRule type="notContainsBlanks" dxfId="32" priority="6" stopIfTrue="1">
      <formula>LEN(TRIM(AE5))&gt;0</formula>
    </cfRule>
  </conditionalFormatting>
  <conditionalFormatting sqref="Z5:AD28 Z30:AD37">
    <cfRule type="expression" dxfId="31" priority="5">
      <formula>ABS(Z5)=1</formula>
    </cfRule>
  </conditionalFormatting>
  <conditionalFormatting sqref="AE29">
    <cfRule type="notContainsBlanks" dxfId="30" priority="4" stopIfTrue="1">
      <formula>LEN(TRIM(AE29))&gt;0</formula>
    </cfRule>
  </conditionalFormatting>
  <conditionalFormatting sqref="Z29:AD29">
    <cfRule type="expression" dxfId="29" priority="3">
      <formula>ABS(Z29)=1</formula>
    </cfRule>
  </conditionalFormatting>
  <conditionalFormatting sqref="E40:T40">
    <cfRule type="cellIs" dxfId="28" priority="2" operator="notEqual">
      <formula>0</formula>
    </cfRule>
  </conditionalFormatting>
  <conditionalFormatting sqref="O12:T12 O30:T30">
    <cfRule type="cellIs" dxfId="27" priority="1" operator="notEqual">
      <formula>0</formula>
    </cfRule>
  </conditionalFormatting>
  <pageMargins left="0.39370078740157483" right="0.39370078740157483" top="0.78740157480314965" bottom="0.39370078740157483" header="0.39370078740157483" footer="0.19685039370078741"/>
  <pageSetup paperSize="9" scale="63" orientation="landscape" blackAndWhite="1" r:id="rId1"/>
  <headerFooter>
    <oddFooter>&amp;L&amp;8&amp;Z&amp;F&amp;A&amp;R&amp;8&amp;D&amp;T</oddFooter>
  </headerFooter>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I46"/>
  <sheetViews>
    <sheetView workbookViewId="0">
      <selection activeCell="T27" sqref="T27"/>
    </sheetView>
  </sheetViews>
  <sheetFormatPr defaultColWidth="9" defaultRowHeight="13.5"/>
  <cols>
    <col min="1" max="3" width="3.375" style="1" customWidth="1"/>
    <col min="4" max="4" width="16" style="1" customWidth="1"/>
    <col min="5" max="5" width="13.625" style="1" customWidth="1"/>
    <col min="6" max="9" width="12.625" style="1" customWidth="1"/>
    <col min="10" max="10" width="12.375" style="1" customWidth="1"/>
    <col min="11" max="11" width="13.625" style="1" customWidth="1"/>
    <col min="12" max="12" width="12.625" style="1" customWidth="1"/>
    <col min="13" max="13" width="13.625" style="1" customWidth="1"/>
    <col min="14" max="17" width="12.625" style="3" customWidth="1"/>
    <col min="18" max="18" width="10.625" style="3" customWidth="1"/>
    <col min="19" max="19" width="12.625" style="3" customWidth="1"/>
    <col min="20" max="20" width="13.625" style="1" customWidth="1"/>
    <col min="21" max="25" width="7.125" style="2" customWidth="1"/>
    <col min="26" max="30" width="6.375" style="2" customWidth="1"/>
    <col min="31" max="35" width="5.75" style="2" customWidth="1"/>
    <col min="36" max="95" width="10.625" style="1" customWidth="1"/>
    <col min="96" max="16384" width="9" style="1"/>
  </cols>
  <sheetData>
    <row r="1" spans="1:35">
      <c r="D1" s="228" t="s">
        <v>610</v>
      </c>
    </row>
    <row r="2" spans="1:35">
      <c r="D2" s="1" t="s">
        <v>543</v>
      </c>
      <c r="V2" s="230"/>
      <c r="W2" s="230"/>
      <c r="X2" s="261"/>
      <c r="Y2" s="230"/>
      <c r="Z2" s="230"/>
      <c r="AA2" s="230"/>
      <c r="AB2" s="230"/>
      <c r="AC2" s="261"/>
      <c r="AD2" s="230"/>
      <c r="AE2" s="230"/>
      <c r="AF2" s="230"/>
      <c r="AG2" s="230"/>
      <c r="AH2" s="261"/>
      <c r="AI2" s="230"/>
    </row>
    <row r="3" spans="1:35">
      <c r="A3" s="321" t="s">
        <v>49</v>
      </c>
      <c r="B3" s="323" t="s">
        <v>48</v>
      </c>
      <c r="C3" s="325" t="s">
        <v>47</v>
      </c>
      <c r="D3" s="311" t="s">
        <v>28</v>
      </c>
      <c r="E3" s="311" t="s">
        <v>0</v>
      </c>
      <c r="F3" s="304" t="s">
        <v>24</v>
      </c>
      <c r="G3" s="305"/>
      <c r="H3" s="305"/>
      <c r="I3" s="305"/>
      <c r="J3" s="305"/>
      <c r="K3" s="327"/>
      <c r="L3" s="311" t="s">
        <v>46</v>
      </c>
      <c r="M3" s="311" t="s">
        <v>45</v>
      </c>
      <c r="N3" s="313" t="s">
        <v>43</v>
      </c>
      <c r="O3" s="314"/>
      <c r="P3" s="314"/>
      <c r="Q3" s="314"/>
      <c r="R3" s="314"/>
      <c r="S3" s="315"/>
      <c r="T3" s="311" t="s">
        <v>44</v>
      </c>
      <c r="U3" s="308" t="s">
        <v>42</v>
      </c>
      <c r="V3" s="309"/>
      <c r="W3" s="309"/>
      <c r="X3" s="309"/>
      <c r="Y3" s="309"/>
      <c r="Z3" s="309" t="s">
        <v>41</v>
      </c>
      <c r="AA3" s="309"/>
      <c r="AB3" s="309"/>
      <c r="AC3" s="309"/>
      <c r="AD3" s="309"/>
      <c r="AE3" s="310" t="s">
        <v>40</v>
      </c>
      <c r="AF3" s="310"/>
      <c r="AG3" s="310"/>
      <c r="AH3" s="310"/>
      <c r="AI3" s="310"/>
    </row>
    <row r="4" spans="1:35" s="121" customFormat="1">
      <c r="A4" s="322"/>
      <c r="B4" s="324"/>
      <c r="C4" s="326"/>
      <c r="D4" s="312"/>
      <c r="E4" s="312"/>
      <c r="F4" s="53">
        <v>3</v>
      </c>
      <c r="G4" s="52">
        <v>5</v>
      </c>
      <c r="H4" s="52">
        <v>8</v>
      </c>
      <c r="I4" s="269">
        <v>8</v>
      </c>
      <c r="J4" s="51">
        <v>10</v>
      </c>
      <c r="K4" s="127" t="s">
        <v>2</v>
      </c>
      <c r="L4" s="312"/>
      <c r="M4" s="312"/>
      <c r="N4" s="126">
        <v>3</v>
      </c>
      <c r="O4" s="125">
        <v>5</v>
      </c>
      <c r="P4" s="125">
        <v>8</v>
      </c>
      <c r="Q4" s="269">
        <v>8</v>
      </c>
      <c r="R4" s="124">
        <v>10</v>
      </c>
      <c r="S4" s="123" t="s">
        <v>2</v>
      </c>
      <c r="T4" s="312"/>
      <c r="U4" s="230">
        <v>3</v>
      </c>
      <c r="V4" s="230">
        <v>5</v>
      </c>
      <c r="W4" s="230">
        <v>8</v>
      </c>
      <c r="X4" s="267">
        <v>8</v>
      </c>
      <c r="Y4" s="262">
        <v>10</v>
      </c>
      <c r="Z4" s="262">
        <v>3</v>
      </c>
      <c r="AA4" s="262">
        <v>5</v>
      </c>
      <c r="AB4" s="262">
        <v>8</v>
      </c>
      <c r="AC4" s="267">
        <v>8</v>
      </c>
      <c r="AD4" s="262">
        <v>10</v>
      </c>
      <c r="AE4" s="262">
        <v>3</v>
      </c>
      <c r="AF4" s="262">
        <v>5</v>
      </c>
      <c r="AG4" s="262">
        <v>8</v>
      </c>
      <c r="AH4" s="267">
        <v>8</v>
      </c>
      <c r="AI4" s="230">
        <v>10</v>
      </c>
    </row>
    <row r="5" spans="1:35" s="62" customFormat="1">
      <c r="A5" s="120"/>
      <c r="B5" s="119"/>
      <c r="C5" s="118"/>
      <c r="D5" s="117" t="s">
        <v>23</v>
      </c>
      <c r="E5" s="116">
        <f t="shared" ref="E5:T5" si="0">+SUM(E6:E20)</f>
        <v>38667473149</v>
      </c>
      <c r="F5" s="115">
        <f t="shared" si="0"/>
        <v>0</v>
      </c>
      <c r="G5" s="114">
        <f t="shared" si="0"/>
        <v>0</v>
      </c>
      <c r="H5" s="114">
        <f t="shared" si="0"/>
        <v>1196802</v>
      </c>
      <c r="I5" s="114">
        <f t="shared" ref="I5" si="1">+SUM(I6:I20)</f>
        <v>500878</v>
      </c>
      <c r="J5" s="113">
        <f t="shared" si="0"/>
        <v>9029006334</v>
      </c>
      <c r="K5" s="112">
        <f t="shared" si="0"/>
        <v>9030704014</v>
      </c>
      <c r="L5" s="116">
        <f t="shared" si="0"/>
        <v>417951500</v>
      </c>
      <c r="M5" s="116">
        <f t="shared" si="0"/>
        <v>29218817635</v>
      </c>
      <c r="N5" s="115">
        <f t="shared" ref="N5:S5" si="2">+SUM(N6:N20)</f>
        <v>0</v>
      </c>
      <c r="O5" s="114">
        <f t="shared" si="2"/>
        <v>0</v>
      </c>
      <c r="P5" s="114">
        <f t="shared" si="2"/>
        <v>88652</v>
      </c>
      <c r="Q5" s="114">
        <f t="shared" ref="Q5" si="3">+SUM(Q6:Q20)</f>
        <v>37102</v>
      </c>
      <c r="R5" s="113">
        <f t="shared" si="2"/>
        <v>820818757</v>
      </c>
      <c r="S5" s="112">
        <f t="shared" si="2"/>
        <v>820944511</v>
      </c>
      <c r="T5" s="111">
        <f t="shared" si="0"/>
        <v>37846528638</v>
      </c>
      <c r="U5" s="107"/>
      <c r="V5" s="107"/>
      <c r="W5" s="107"/>
      <c r="X5" s="107"/>
      <c r="Y5" s="107"/>
      <c r="Z5" s="106"/>
      <c r="AA5" s="106"/>
      <c r="AB5" s="106"/>
      <c r="AC5" s="106"/>
      <c r="AD5" s="106"/>
      <c r="AE5" s="2"/>
      <c r="AF5" s="2"/>
      <c r="AG5" s="2"/>
      <c r="AH5" s="2"/>
      <c r="AI5" s="2"/>
    </row>
    <row r="6" spans="1:35" s="62" customFormat="1">
      <c r="A6" s="105"/>
      <c r="B6" s="104"/>
      <c r="C6" s="103"/>
      <c r="D6" s="102" t="s">
        <v>22</v>
      </c>
      <c r="E6" s="101">
        <f>+管!E36</f>
        <v>611819957</v>
      </c>
      <c r="F6" s="90">
        <f>+管!F36</f>
        <v>0</v>
      </c>
      <c r="G6" s="89">
        <f>+管!G36</f>
        <v>0</v>
      </c>
      <c r="H6" s="89">
        <f>+管!H36</f>
        <v>678402</v>
      </c>
      <c r="I6" s="89">
        <f>+管!I36</f>
        <v>0</v>
      </c>
      <c r="J6" s="92">
        <f>+管!J36</f>
        <v>518156070</v>
      </c>
      <c r="K6" s="34">
        <f>+管!K36</f>
        <v>518834472</v>
      </c>
      <c r="L6" s="101">
        <f>+管!L36</f>
        <v>20454735</v>
      </c>
      <c r="M6" s="101">
        <f>+管!M36</f>
        <v>72530750</v>
      </c>
      <c r="N6" s="90">
        <f>+管!N36</f>
        <v>0</v>
      </c>
      <c r="O6" s="89">
        <f>+管!O36</f>
        <v>0</v>
      </c>
      <c r="P6" s="89">
        <f>+管!P36</f>
        <v>50252</v>
      </c>
      <c r="Q6" s="89">
        <f>+管!Q36</f>
        <v>0</v>
      </c>
      <c r="R6" s="92">
        <f>+管!R36</f>
        <v>47105097</v>
      </c>
      <c r="S6" s="34">
        <f>+管!S36</f>
        <v>47155349</v>
      </c>
      <c r="T6" s="109">
        <f t="shared" ref="T6:T20" si="4">+E6-S6</f>
        <v>564664608</v>
      </c>
      <c r="U6" s="107">
        <f>N6-F6*F$4/(100+F$4)</f>
        <v>0</v>
      </c>
      <c r="V6" s="107">
        <f>O6-G6*G$4/(100+G$4)</f>
        <v>0</v>
      </c>
      <c r="W6" s="107">
        <f>P6-H6*H$4/(100+H$4)</f>
        <v>0</v>
      </c>
      <c r="X6" s="107">
        <f>Q6-I6*I$4/(100+I$4)</f>
        <v>0</v>
      </c>
      <c r="Y6" s="107">
        <f>R6-J6*J$4/(100+J$4)</f>
        <v>-0.27272727340459824</v>
      </c>
      <c r="Z6" s="106">
        <f t="shared" ref="Z6:Z14" si="5">+IF(N$43=0,0,IF(N$43&lt;0,-RANK(U6,U$5:U$40,0),RANK(U6,U$5:U$40,1)))</f>
        <v>0</v>
      </c>
      <c r="AA6" s="106">
        <f t="shared" ref="AA6:AA14" si="6">+IF(O$43=0,0,IF(O$43&lt;0,-RANK(V6,V$5:V$40,0),RANK(V6,V$5:V$40,1)))</f>
        <v>0</v>
      </c>
      <c r="AB6" s="106">
        <f t="shared" ref="AB6:AC14" si="7">+IF(P$43=0,0,IF(P$43&lt;0,-RANK(W6,W$5:W$40,0),RANK(W6,W$5:W$40,1)))</f>
        <v>0</v>
      </c>
      <c r="AC6" s="106">
        <f t="shared" si="7"/>
        <v>0</v>
      </c>
      <c r="AD6" s="106">
        <f t="shared" ref="AD6:AD14" si="8">+IF(R$43=0,0,IF(R$43&lt;0,-RANK(Y6,Y$5:Y$40,0),RANK(Y6,Y$5:Y$40,1)))</f>
        <v>0</v>
      </c>
      <c r="AE6" s="2"/>
      <c r="AF6" s="2"/>
      <c r="AG6" s="2"/>
      <c r="AH6" s="2"/>
      <c r="AI6" s="2"/>
    </row>
    <row r="7" spans="1:35" s="62" customFormat="1">
      <c r="A7" s="105"/>
      <c r="B7" s="104"/>
      <c r="C7" s="103"/>
      <c r="D7" s="102" t="s">
        <v>21</v>
      </c>
      <c r="E7" s="101">
        <f>+水質!E36</f>
        <v>52443869</v>
      </c>
      <c r="F7" s="90">
        <f>+水質!F36</f>
        <v>0</v>
      </c>
      <c r="G7" s="89">
        <f>+水質!G36</f>
        <v>0</v>
      </c>
      <c r="H7" s="89">
        <f>+水質!H36</f>
        <v>0</v>
      </c>
      <c r="I7" s="89">
        <f>+水質!I36</f>
        <v>0</v>
      </c>
      <c r="J7" s="92">
        <f>+水質!J36</f>
        <v>12436317</v>
      </c>
      <c r="K7" s="34">
        <f>+水質!K36</f>
        <v>12436317</v>
      </c>
      <c r="L7" s="101">
        <f>+水質!L36</f>
        <v>6197563</v>
      </c>
      <c r="M7" s="101">
        <f>+水質!M36</f>
        <v>33809989</v>
      </c>
      <c r="N7" s="90">
        <f>+水質!N36</f>
        <v>0</v>
      </c>
      <c r="O7" s="89">
        <f>+水質!O36</f>
        <v>0</v>
      </c>
      <c r="P7" s="89">
        <f>+水質!P36</f>
        <v>0</v>
      </c>
      <c r="Q7" s="89">
        <f>+水質!Q36</f>
        <v>0</v>
      </c>
      <c r="R7" s="92">
        <f>+水質!R36</f>
        <v>1130574</v>
      </c>
      <c r="S7" s="34">
        <f>+水質!S36</f>
        <v>1130574</v>
      </c>
      <c r="T7" s="109">
        <f t="shared" si="4"/>
        <v>51313295</v>
      </c>
      <c r="U7" s="107">
        <f t="shared" ref="U7:X14" si="9">N7-F7*F$4/(100+F$4)-AE7</f>
        <v>0</v>
      </c>
      <c r="V7" s="107">
        <f t="shared" si="9"/>
        <v>0</v>
      </c>
      <c r="W7" s="107">
        <f t="shared" si="9"/>
        <v>0</v>
      </c>
      <c r="X7" s="107">
        <f t="shared" si="9"/>
        <v>0</v>
      </c>
      <c r="Y7" s="107">
        <f t="shared" ref="Y7:Y14" si="10">R7-J7*J$4/(100+J$4)-AI7</f>
        <v>-0.27272727270610631</v>
      </c>
      <c r="Z7" s="106">
        <f t="shared" si="5"/>
        <v>0</v>
      </c>
      <c r="AA7" s="106">
        <f t="shared" si="6"/>
        <v>0</v>
      </c>
      <c r="AB7" s="106">
        <f t="shared" si="7"/>
        <v>0</v>
      </c>
      <c r="AC7" s="106">
        <f t="shared" si="7"/>
        <v>0</v>
      </c>
      <c r="AD7" s="106">
        <f t="shared" si="8"/>
        <v>0</v>
      </c>
      <c r="AE7" s="2"/>
      <c r="AF7" s="2"/>
      <c r="AG7" s="2"/>
      <c r="AH7" s="2"/>
      <c r="AI7" s="2"/>
    </row>
    <row r="8" spans="1:35" s="62" customFormat="1">
      <c r="A8" s="105"/>
      <c r="B8" s="104"/>
      <c r="C8" s="103"/>
      <c r="D8" s="102" t="s">
        <v>20</v>
      </c>
      <c r="E8" s="101">
        <f>+ポ!E36</f>
        <v>2356040225</v>
      </c>
      <c r="F8" s="90">
        <f>+ポ!F36</f>
        <v>0</v>
      </c>
      <c r="G8" s="89">
        <f>+ポ!G36</f>
        <v>0</v>
      </c>
      <c r="H8" s="89">
        <f>+ポ!H36</f>
        <v>0</v>
      </c>
      <c r="I8" s="89">
        <f>+ポ!I36</f>
        <v>30357</v>
      </c>
      <c r="J8" s="92">
        <f>+ポ!J36</f>
        <v>1148180103</v>
      </c>
      <c r="K8" s="34">
        <f>+ポ!K36</f>
        <v>1148210460</v>
      </c>
      <c r="L8" s="101">
        <f>+ポ!L36</f>
        <v>188585576</v>
      </c>
      <c r="M8" s="101">
        <f>+ポ!M36</f>
        <v>1019244189</v>
      </c>
      <c r="N8" s="90">
        <f>+ポ!N36</f>
        <v>0</v>
      </c>
      <c r="O8" s="89">
        <f>+ポ!O36</f>
        <v>0</v>
      </c>
      <c r="P8" s="89">
        <f>+ポ!P36</f>
        <v>0</v>
      </c>
      <c r="Q8" s="89">
        <f>+ポ!Q36</f>
        <v>2249</v>
      </c>
      <c r="R8" s="92">
        <f>+ポ!R36</f>
        <v>104380009</v>
      </c>
      <c r="S8" s="34">
        <f>+ポ!S36</f>
        <v>104382258</v>
      </c>
      <c r="T8" s="109">
        <f t="shared" si="4"/>
        <v>2251657967</v>
      </c>
      <c r="U8" s="107">
        <f t="shared" si="9"/>
        <v>0</v>
      </c>
      <c r="V8" s="107">
        <f t="shared" si="9"/>
        <v>0</v>
      </c>
      <c r="W8" s="107">
        <f t="shared" si="9"/>
        <v>0</v>
      </c>
      <c r="X8" s="107">
        <f t="shared" si="9"/>
        <v>0.33333333333348492</v>
      </c>
      <c r="Y8" s="107">
        <f t="shared" si="10"/>
        <v>-0.36363635957241058</v>
      </c>
      <c r="Z8" s="106">
        <f t="shared" si="5"/>
        <v>0</v>
      </c>
      <c r="AA8" s="106">
        <f t="shared" si="6"/>
        <v>0</v>
      </c>
      <c r="AB8" s="106">
        <f t="shared" si="7"/>
        <v>0</v>
      </c>
      <c r="AC8" s="106">
        <f t="shared" si="7"/>
        <v>0</v>
      </c>
      <c r="AD8" s="106">
        <f t="shared" si="8"/>
        <v>0</v>
      </c>
      <c r="AE8" s="2"/>
      <c r="AF8" s="2"/>
      <c r="AG8" s="2"/>
      <c r="AH8" s="2"/>
      <c r="AI8" s="2"/>
    </row>
    <row r="9" spans="1:35" s="62" customFormat="1">
      <c r="A9" s="105"/>
      <c r="B9" s="104"/>
      <c r="C9" s="103"/>
      <c r="D9" s="102" t="s">
        <v>19</v>
      </c>
      <c r="E9" s="101">
        <f>+処!E36</f>
        <v>6557703864</v>
      </c>
      <c r="F9" s="90">
        <f>+処!F36</f>
        <v>0</v>
      </c>
      <c r="G9" s="89">
        <f>+処!G36</f>
        <v>0</v>
      </c>
      <c r="H9" s="89">
        <f>+処!H36</f>
        <v>518400</v>
      </c>
      <c r="I9" s="89">
        <f>+処!I36</f>
        <v>144600</v>
      </c>
      <c r="J9" s="92">
        <f>+処!J36</f>
        <v>5718291420</v>
      </c>
      <c r="K9" s="34">
        <f>+処!K36</f>
        <v>5718954420</v>
      </c>
      <c r="L9" s="101">
        <f>+処!L36</f>
        <v>130669187</v>
      </c>
      <c r="M9" s="101">
        <f>+処!M36</f>
        <v>708080257</v>
      </c>
      <c r="N9" s="90">
        <f>+処!N36</f>
        <v>0</v>
      </c>
      <c r="O9" s="89">
        <f>+処!O36</f>
        <v>0</v>
      </c>
      <c r="P9" s="89">
        <f>+処!P36</f>
        <v>38400</v>
      </c>
      <c r="Q9" s="89">
        <f>+処!Q36</f>
        <v>10711</v>
      </c>
      <c r="R9" s="92">
        <f>+処!R36</f>
        <v>519844675</v>
      </c>
      <c r="S9" s="34">
        <f>+処!S36</f>
        <v>519893786</v>
      </c>
      <c r="T9" s="109">
        <f t="shared" si="4"/>
        <v>6037810078</v>
      </c>
      <c r="U9" s="107">
        <f t="shared" si="9"/>
        <v>0</v>
      </c>
      <c r="V9" s="107">
        <f t="shared" si="9"/>
        <v>0</v>
      </c>
      <c r="W9" s="107">
        <f t="shared" si="9"/>
        <v>0</v>
      </c>
      <c r="X9" s="107">
        <f t="shared" si="9"/>
        <v>-0.11111111111131322</v>
      </c>
      <c r="Y9" s="107">
        <f t="shared" si="10"/>
        <v>0.45454543828964233</v>
      </c>
      <c r="Z9" s="106">
        <f t="shared" si="5"/>
        <v>0</v>
      </c>
      <c r="AA9" s="106">
        <f t="shared" si="6"/>
        <v>0</v>
      </c>
      <c r="AB9" s="106">
        <f t="shared" si="7"/>
        <v>0</v>
      </c>
      <c r="AC9" s="106">
        <f t="shared" si="7"/>
        <v>0</v>
      </c>
      <c r="AD9" s="106">
        <f t="shared" si="8"/>
        <v>0</v>
      </c>
      <c r="AE9" s="2"/>
      <c r="AF9" s="2"/>
      <c r="AG9" s="2"/>
      <c r="AH9" s="2"/>
      <c r="AI9" s="2"/>
    </row>
    <row r="10" spans="1:35" s="62" customFormat="1">
      <c r="A10" s="105"/>
      <c r="B10" s="104"/>
      <c r="C10" s="103"/>
      <c r="D10" s="102" t="s">
        <v>18</v>
      </c>
      <c r="E10" s="101">
        <f>+受工!E36</f>
        <v>0</v>
      </c>
      <c r="F10" s="90">
        <f>+受工!F36</f>
        <v>0</v>
      </c>
      <c r="G10" s="89">
        <f>+受工!G36</f>
        <v>0</v>
      </c>
      <c r="H10" s="89">
        <f>+受工!H36</f>
        <v>0</v>
      </c>
      <c r="I10" s="89">
        <f>+受工!I36</f>
        <v>0</v>
      </c>
      <c r="J10" s="92">
        <f>+受工!J36</f>
        <v>0</v>
      </c>
      <c r="K10" s="34">
        <f>+受工!K36</f>
        <v>0</v>
      </c>
      <c r="L10" s="101">
        <f>+受工!L36</f>
        <v>0</v>
      </c>
      <c r="M10" s="101">
        <f>+受工!M36</f>
        <v>0</v>
      </c>
      <c r="N10" s="90">
        <f>+受工!N36</f>
        <v>0</v>
      </c>
      <c r="O10" s="89">
        <f>+受工!O36</f>
        <v>0</v>
      </c>
      <c r="P10" s="89">
        <f>+受工!P36</f>
        <v>0</v>
      </c>
      <c r="Q10" s="89">
        <f>+受工!Q36</f>
        <v>0</v>
      </c>
      <c r="R10" s="92">
        <f>+受工!R36</f>
        <v>0</v>
      </c>
      <c r="S10" s="34">
        <f>+受工!S36</f>
        <v>0</v>
      </c>
      <c r="T10" s="109">
        <f t="shared" si="4"/>
        <v>0</v>
      </c>
      <c r="U10" s="107">
        <f t="shared" si="9"/>
        <v>0</v>
      </c>
      <c r="V10" s="107">
        <f t="shared" si="9"/>
        <v>0</v>
      </c>
      <c r="W10" s="107">
        <f t="shared" si="9"/>
        <v>0</v>
      </c>
      <c r="X10" s="107">
        <f t="shared" si="9"/>
        <v>0</v>
      </c>
      <c r="Y10" s="107">
        <f t="shared" si="10"/>
        <v>0</v>
      </c>
      <c r="Z10" s="106">
        <f t="shared" si="5"/>
        <v>0</v>
      </c>
      <c r="AA10" s="106">
        <f t="shared" si="6"/>
        <v>0</v>
      </c>
      <c r="AB10" s="106">
        <f t="shared" si="7"/>
        <v>0</v>
      </c>
      <c r="AC10" s="106">
        <f t="shared" si="7"/>
        <v>0</v>
      </c>
      <c r="AD10" s="106">
        <f t="shared" si="8"/>
        <v>0</v>
      </c>
      <c r="AE10" s="2"/>
      <c r="AF10" s="2"/>
      <c r="AG10" s="2"/>
      <c r="AH10" s="2"/>
      <c r="AI10" s="2"/>
    </row>
    <row r="11" spans="1:35" s="62" customFormat="1">
      <c r="A11" s="105"/>
      <c r="B11" s="104"/>
      <c r="C11" s="103"/>
      <c r="D11" s="102" t="s">
        <v>17</v>
      </c>
      <c r="E11" s="101">
        <f>+普及!E36</f>
        <v>88849549</v>
      </c>
      <c r="F11" s="90">
        <f>+普及!F36</f>
        <v>0</v>
      </c>
      <c r="G11" s="89">
        <f>+普及!G36</f>
        <v>0</v>
      </c>
      <c r="H11" s="89">
        <f>+普及!H36</f>
        <v>0</v>
      </c>
      <c r="I11" s="89">
        <f>+普及!I36</f>
        <v>0</v>
      </c>
      <c r="J11" s="92">
        <f>+普及!J36</f>
        <v>18870469</v>
      </c>
      <c r="K11" s="34">
        <f>+普及!K36</f>
        <v>18870469</v>
      </c>
      <c r="L11" s="101">
        <f>+普及!L36</f>
        <v>9614092</v>
      </c>
      <c r="M11" s="101">
        <f>+普及!M36</f>
        <v>60364988</v>
      </c>
      <c r="N11" s="90">
        <f>+普及!N36</f>
        <v>0</v>
      </c>
      <c r="O11" s="89">
        <f>+普及!O36</f>
        <v>0</v>
      </c>
      <c r="P11" s="89">
        <f>+普及!P36</f>
        <v>0</v>
      </c>
      <c r="Q11" s="89">
        <f>+普及!Q36</f>
        <v>0</v>
      </c>
      <c r="R11" s="92">
        <f>+普及!R36</f>
        <v>1715497</v>
      </c>
      <c r="S11" s="34">
        <f>+普及!S36</f>
        <v>1715497</v>
      </c>
      <c r="T11" s="109">
        <f t="shared" si="4"/>
        <v>87134052</v>
      </c>
      <c r="U11" s="107">
        <f t="shared" si="9"/>
        <v>0</v>
      </c>
      <c r="V11" s="107">
        <f t="shared" si="9"/>
        <v>0</v>
      </c>
      <c r="W11" s="107">
        <f t="shared" si="9"/>
        <v>0</v>
      </c>
      <c r="X11" s="107">
        <f t="shared" si="9"/>
        <v>0</v>
      </c>
      <c r="Y11" s="107">
        <f t="shared" si="10"/>
        <v>-0.18181818188168108</v>
      </c>
      <c r="Z11" s="106">
        <f t="shared" si="5"/>
        <v>0</v>
      </c>
      <c r="AA11" s="106">
        <f t="shared" si="6"/>
        <v>0</v>
      </c>
      <c r="AB11" s="106">
        <f t="shared" si="7"/>
        <v>0</v>
      </c>
      <c r="AC11" s="106">
        <f t="shared" si="7"/>
        <v>0</v>
      </c>
      <c r="AD11" s="106">
        <f t="shared" si="8"/>
        <v>0</v>
      </c>
      <c r="AE11" s="2"/>
      <c r="AF11" s="2"/>
      <c r="AG11" s="2"/>
      <c r="AH11" s="2"/>
      <c r="AI11" s="2"/>
    </row>
    <row r="12" spans="1:35" s="62" customFormat="1">
      <c r="A12" s="105"/>
      <c r="B12" s="104"/>
      <c r="C12" s="103"/>
      <c r="D12" s="102" t="s">
        <v>16</v>
      </c>
      <c r="E12" s="101">
        <f>+貸付!E36</f>
        <v>10483859</v>
      </c>
      <c r="F12" s="90">
        <f>+貸付!F36</f>
        <v>0</v>
      </c>
      <c r="G12" s="89">
        <f>+貸付!G36</f>
        <v>0</v>
      </c>
      <c r="H12" s="89">
        <f>+貸付!H36</f>
        <v>0</v>
      </c>
      <c r="I12" s="89">
        <f>+貸付!I36</f>
        <v>0</v>
      </c>
      <c r="J12" s="92">
        <f>+貸付!J36</f>
        <v>963485</v>
      </c>
      <c r="K12" s="34">
        <f>+貸付!K36</f>
        <v>963485</v>
      </c>
      <c r="L12" s="101">
        <f>+貸付!L36</f>
        <v>1672623</v>
      </c>
      <c r="M12" s="101">
        <f>+貸付!M36</f>
        <v>7847751</v>
      </c>
      <c r="N12" s="90">
        <f>+貸付!N36</f>
        <v>0</v>
      </c>
      <c r="O12" s="89">
        <f>+貸付!O36</f>
        <v>0</v>
      </c>
      <c r="P12" s="89">
        <f>+貸付!P36</f>
        <v>0</v>
      </c>
      <c r="Q12" s="89">
        <f>+貸付!Q36</f>
        <v>0</v>
      </c>
      <c r="R12" s="92">
        <f>+貸付!R36</f>
        <v>87589</v>
      </c>
      <c r="S12" s="34">
        <f>+貸付!S36</f>
        <v>87589</v>
      </c>
      <c r="T12" s="109">
        <f t="shared" si="4"/>
        <v>10396270</v>
      </c>
      <c r="U12" s="107">
        <f t="shared" si="9"/>
        <v>0</v>
      </c>
      <c r="V12" s="107">
        <f t="shared" si="9"/>
        <v>0</v>
      </c>
      <c r="W12" s="107">
        <f t="shared" si="9"/>
        <v>0</v>
      </c>
      <c r="X12" s="107">
        <f t="shared" si="9"/>
        <v>0</v>
      </c>
      <c r="Y12" s="107">
        <f t="shared" si="10"/>
        <v>-0.54545454545586836</v>
      </c>
      <c r="Z12" s="106">
        <f t="shared" si="5"/>
        <v>0</v>
      </c>
      <c r="AA12" s="106">
        <f t="shared" si="6"/>
        <v>0</v>
      </c>
      <c r="AB12" s="106">
        <f t="shared" si="7"/>
        <v>0</v>
      </c>
      <c r="AC12" s="106">
        <f t="shared" si="7"/>
        <v>0</v>
      </c>
      <c r="AD12" s="106">
        <f t="shared" si="8"/>
        <v>0</v>
      </c>
      <c r="AE12" s="2"/>
      <c r="AF12" s="2"/>
      <c r="AG12" s="2"/>
      <c r="AH12" s="2"/>
      <c r="AI12" s="2"/>
    </row>
    <row r="13" spans="1:35" s="62" customFormat="1">
      <c r="A13" s="105"/>
      <c r="B13" s="104"/>
      <c r="C13" s="103"/>
      <c r="D13" s="102" t="s">
        <v>15</v>
      </c>
      <c r="E13" s="101">
        <f>+業務!E36</f>
        <v>1019945143</v>
      </c>
      <c r="F13" s="90">
        <f>+業務!F36</f>
        <v>0</v>
      </c>
      <c r="G13" s="89">
        <f>+業務!G36</f>
        <v>0</v>
      </c>
      <c r="H13" s="89">
        <f>+業務!H36</f>
        <v>0</v>
      </c>
      <c r="I13" s="89">
        <f>+業務!I36</f>
        <v>0</v>
      </c>
      <c r="J13" s="92">
        <f>+業務!J36</f>
        <v>992787715</v>
      </c>
      <c r="K13" s="34">
        <f>+業務!K36</f>
        <v>992787715</v>
      </c>
      <c r="L13" s="101">
        <f>+業務!L36</f>
        <v>4195233</v>
      </c>
      <c r="M13" s="101">
        <f>+業務!M36</f>
        <v>22962195</v>
      </c>
      <c r="N13" s="90">
        <f>+業務!N36</f>
        <v>0</v>
      </c>
      <c r="O13" s="89">
        <f>+業務!O36</f>
        <v>0</v>
      </c>
      <c r="P13" s="89">
        <f>+業務!P36</f>
        <v>0</v>
      </c>
      <c r="Q13" s="89">
        <f>+業務!Q36</f>
        <v>0</v>
      </c>
      <c r="R13" s="92">
        <f>+業務!R36</f>
        <v>90253429</v>
      </c>
      <c r="S13" s="34">
        <f>+業務!S36</f>
        <v>90253429</v>
      </c>
      <c r="T13" s="109">
        <f t="shared" si="4"/>
        <v>929691714</v>
      </c>
      <c r="U13" s="107">
        <f t="shared" si="9"/>
        <v>0</v>
      </c>
      <c r="V13" s="107">
        <f t="shared" si="9"/>
        <v>0</v>
      </c>
      <c r="W13" s="107">
        <f t="shared" si="9"/>
        <v>0</v>
      </c>
      <c r="X13" s="107">
        <f t="shared" si="9"/>
        <v>0</v>
      </c>
      <c r="Y13" s="107">
        <f t="shared" si="10"/>
        <v>0.36363635957241058</v>
      </c>
      <c r="Z13" s="106">
        <f t="shared" si="5"/>
        <v>0</v>
      </c>
      <c r="AA13" s="106">
        <f t="shared" si="6"/>
        <v>0</v>
      </c>
      <c r="AB13" s="106">
        <f t="shared" si="7"/>
        <v>0</v>
      </c>
      <c r="AC13" s="106">
        <f t="shared" si="7"/>
        <v>0</v>
      </c>
      <c r="AD13" s="106">
        <f t="shared" si="8"/>
        <v>0</v>
      </c>
      <c r="AE13" s="2"/>
      <c r="AF13" s="2"/>
      <c r="AG13" s="2"/>
      <c r="AH13" s="2"/>
      <c r="AI13" s="2"/>
    </row>
    <row r="14" spans="1:35" s="62" customFormat="1">
      <c r="A14" s="105"/>
      <c r="B14" s="104"/>
      <c r="C14" s="103"/>
      <c r="D14" s="102" t="s">
        <v>14</v>
      </c>
      <c r="E14" s="101">
        <f>+'総係(共通按分後)'!E37</f>
        <v>914982582</v>
      </c>
      <c r="F14" s="90">
        <f>+'総係(共通按分後)'!F37</f>
        <v>0</v>
      </c>
      <c r="G14" s="89">
        <f>+'総係(共通按分後)'!G37</f>
        <v>0</v>
      </c>
      <c r="H14" s="89">
        <f>+'総係(共通按分後)'!H37</f>
        <v>0</v>
      </c>
      <c r="I14" s="89">
        <f>+'総係(共通按分後)'!I37</f>
        <v>325921</v>
      </c>
      <c r="J14" s="92">
        <f>+'総係(共通按分後)'!J37</f>
        <v>619320755</v>
      </c>
      <c r="K14" s="34">
        <f>+'総係(共通按分後)'!K37</f>
        <v>619646676</v>
      </c>
      <c r="L14" s="101">
        <f>+'総係(共通按分後)'!L37</f>
        <v>56562491</v>
      </c>
      <c r="M14" s="101">
        <f>+'総係(共通按分後)'!M37</f>
        <v>238773415</v>
      </c>
      <c r="N14" s="90">
        <f>+'総係(共通按分後)'!N37</f>
        <v>0</v>
      </c>
      <c r="O14" s="89">
        <f>+'総係(共通按分後)'!O37</f>
        <v>0</v>
      </c>
      <c r="P14" s="89">
        <f>+'総係(共通按分後)'!P37</f>
        <v>0</v>
      </c>
      <c r="Q14" s="89">
        <f>+'総係(共通按分後)'!Q37</f>
        <v>24142</v>
      </c>
      <c r="R14" s="92">
        <f>+'総係(共通按分後)'!R37</f>
        <v>56301887</v>
      </c>
      <c r="S14" s="34">
        <f>+'総係(共通按分後)'!S37</f>
        <v>56326029</v>
      </c>
      <c r="T14" s="109">
        <f t="shared" si="4"/>
        <v>858656553</v>
      </c>
      <c r="U14" s="107">
        <f t="shared" si="9"/>
        <v>0</v>
      </c>
      <c r="V14" s="107">
        <f t="shared" si="9"/>
        <v>0</v>
      </c>
      <c r="W14" s="107">
        <f t="shared" si="9"/>
        <v>0</v>
      </c>
      <c r="X14" s="107">
        <f t="shared" si="9"/>
        <v>-0.2962962962956226</v>
      </c>
      <c r="Y14" s="107">
        <f t="shared" si="10"/>
        <v>0.18181817978620529</v>
      </c>
      <c r="Z14" s="106">
        <f t="shared" si="5"/>
        <v>0</v>
      </c>
      <c r="AA14" s="106">
        <f t="shared" si="6"/>
        <v>0</v>
      </c>
      <c r="AB14" s="106">
        <f t="shared" si="7"/>
        <v>0</v>
      </c>
      <c r="AC14" s="106">
        <f t="shared" si="7"/>
        <v>0</v>
      </c>
      <c r="AD14" s="106">
        <f t="shared" si="8"/>
        <v>0</v>
      </c>
      <c r="AE14" s="2"/>
      <c r="AF14" s="2"/>
      <c r="AG14" s="2"/>
      <c r="AH14" s="2"/>
      <c r="AI14" s="2"/>
    </row>
    <row r="15" spans="1:35" s="62" customFormat="1">
      <c r="A15" s="105"/>
      <c r="B15" s="104"/>
      <c r="C15" s="103"/>
      <c r="D15" s="102" t="s">
        <v>13</v>
      </c>
      <c r="E15" s="101">
        <f>+'特環(共通按分後)'!E37</f>
        <v>0</v>
      </c>
      <c r="F15" s="90">
        <f>+'特環(共通按分後)'!F37</f>
        <v>0</v>
      </c>
      <c r="G15" s="89">
        <f>+'特環(共通按分後)'!G37</f>
        <v>0</v>
      </c>
      <c r="H15" s="89">
        <f>+'特環(共通按分後)'!H37</f>
        <v>0</v>
      </c>
      <c r="I15" s="89">
        <f>+'特環(共通按分後)'!I37</f>
        <v>0</v>
      </c>
      <c r="J15" s="92">
        <f>+'特環(共通按分後)'!J37</f>
        <v>0</v>
      </c>
      <c r="K15" s="34">
        <f>+'特環(共通按分後)'!K37</f>
        <v>0</v>
      </c>
      <c r="L15" s="101">
        <f>+'特環(共通按分後)'!L37</f>
        <v>0</v>
      </c>
      <c r="M15" s="101">
        <f>+'特環(共通按分後)'!M37</f>
        <v>0</v>
      </c>
      <c r="N15" s="90">
        <f>+'特環(共通按分後)'!N37</f>
        <v>0</v>
      </c>
      <c r="O15" s="89">
        <f>+'特環(共通按分後)'!O37</f>
        <v>0</v>
      </c>
      <c r="P15" s="89">
        <f>+'特環(共通按分後)'!P37</f>
        <v>0</v>
      </c>
      <c r="Q15" s="89">
        <f>+'特環(共通按分後)'!Q37</f>
        <v>0</v>
      </c>
      <c r="R15" s="92">
        <f>+'特環(共通按分後)'!R37</f>
        <v>0</v>
      </c>
      <c r="S15" s="34">
        <f>+'特環(共通按分後)'!S37</f>
        <v>0</v>
      </c>
      <c r="T15" s="109">
        <f t="shared" si="4"/>
        <v>0</v>
      </c>
      <c r="U15" s="225"/>
      <c r="V15" s="226"/>
      <c r="W15" s="226"/>
      <c r="X15" s="226"/>
      <c r="Y15" s="226"/>
      <c r="Z15" s="227"/>
      <c r="AA15" s="227"/>
      <c r="AB15" s="227"/>
      <c r="AC15" s="227"/>
      <c r="AD15" s="227"/>
      <c r="AE15" s="2"/>
      <c r="AF15" s="2"/>
      <c r="AG15" s="2"/>
      <c r="AH15" s="2"/>
      <c r="AI15" s="2"/>
    </row>
    <row r="16" spans="1:35" s="62" customFormat="1">
      <c r="A16" s="105"/>
      <c r="B16" s="104"/>
      <c r="C16" s="103"/>
      <c r="D16" s="102" t="s">
        <v>12</v>
      </c>
      <c r="E16" s="101">
        <f>+'農集(共通按分後)'!E37</f>
        <v>0</v>
      </c>
      <c r="F16" s="90">
        <f>+'農集(共通按分後)'!F37</f>
        <v>0</v>
      </c>
      <c r="G16" s="89">
        <f>+'農集(共通按分後)'!G37</f>
        <v>0</v>
      </c>
      <c r="H16" s="89">
        <f>+'農集(共通按分後)'!H37</f>
        <v>0</v>
      </c>
      <c r="I16" s="89">
        <f>+'農集(共通按分後)'!I37</f>
        <v>0</v>
      </c>
      <c r="J16" s="92">
        <f>+'農集(共通按分後)'!J37</f>
        <v>0</v>
      </c>
      <c r="K16" s="34">
        <f>+'農集(共通按分後)'!K37</f>
        <v>0</v>
      </c>
      <c r="L16" s="101">
        <f>+'農集(共通按分後)'!L37</f>
        <v>0</v>
      </c>
      <c r="M16" s="101">
        <f>+'農集(共通按分後)'!M37</f>
        <v>0</v>
      </c>
      <c r="N16" s="90">
        <f>+'農集(共通按分後)'!N37</f>
        <v>0</v>
      </c>
      <c r="O16" s="89">
        <f>+'農集(共通按分後)'!O37</f>
        <v>0</v>
      </c>
      <c r="P16" s="89">
        <f>+'農集(共通按分後)'!P37</f>
        <v>0</v>
      </c>
      <c r="Q16" s="89">
        <f>+'農集(共通按分後)'!Q37</f>
        <v>0</v>
      </c>
      <c r="R16" s="92">
        <f>+'農集(共通按分後)'!R37</f>
        <v>0</v>
      </c>
      <c r="S16" s="34">
        <f>+'農集(共通按分後)'!S37</f>
        <v>0</v>
      </c>
      <c r="T16" s="109">
        <f t="shared" si="4"/>
        <v>0</v>
      </c>
      <c r="U16" s="225"/>
      <c r="V16" s="226"/>
      <c r="W16" s="226"/>
      <c r="X16" s="226"/>
      <c r="Y16" s="226"/>
      <c r="Z16" s="227"/>
      <c r="AA16" s="227"/>
      <c r="AB16" s="227"/>
      <c r="AC16" s="227"/>
      <c r="AD16" s="227"/>
      <c r="AE16" s="2"/>
      <c r="AF16" s="2"/>
      <c r="AG16" s="2"/>
      <c r="AH16" s="2"/>
      <c r="AI16" s="2"/>
    </row>
    <row r="17" spans="1:35" s="62" customFormat="1">
      <c r="A17" s="105"/>
      <c r="B17" s="104"/>
      <c r="C17" s="103"/>
      <c r="D17" s="102" t="s">
        <v>11</v>
      </c>
      <c r="E17" s="101">
        <f>+'浄化(共通按分後)'!E37</f>
        <v>0</v>
      </c>
      <c r="F17" s="90">
        <f>+'浄化(共通按分後)'!F37</f>
        <v>0</v>
      </c>
      <c r="G17" s="89">
        <f>+'浄化(共通按分後)'!G37</f>
        <v>0</v>
      </c>
      <c r="H17" s="89">
        <f>+'浄化(共通按分後)'!H37</f>
        <v>0</v>
      </c>
      <c r="I17" s="89">
        <f>+'浄化(共通按分後)'!I37</f>
        <v>0</v>
      </c>
      <c r="J17" s="92">
        <f>+'浄化(共通按分後)'!J37</f>
        <v>0</v>
      </c>
      <c r="K17" s="34">
        <f>+'浄化(共通按分後)'!K37</f>
        <v>0</v>
      </c>
      <c r="L17" s="101">
        <f>+'浄化(共通按分後)'!L37</f>
        <v>0</v>
      </c>
      <c r="M17" s="101">
        <f>+'浄化(共通按分後)'!M37</f>
        <v>0</v>
      </c>
      <c r="N17" s="90">
        <f>+'浄化(共通按分後)'!N37</f>
        <v>0</v>
      </c>
      <c r="O17" s="89">
        <f>+'浄化(共通按分後)'!O37</f>
        <v>0</v>
      </c>
      <c r="P17" s="89">
        <f>+'浄化(共通按分後)'!P37</f>
        <v>0</v>
      </c>
      <c r="Q17" s="89">
        <f>+'浄化(共通按分後)'!Q37</f>
        <v>0</v>
      </c>
      <c r="R17" s="92">
        <f>+'浄化(共通按分後)'!R37</f>
        <v>0</v>
      </c>
      <c r="S17" s="34">
        <f>+'浄化(共通按分後)'!S37</f>
        <v>0</v>
      </c>
      <c r="T17" s="109">
        <f t="shared" si="4"/>
        <v>0</v>
      </c>
      <c r="U17" s="225"/>
      <c r="V17" s="226"/>
      <c r="W17" s="226"/>
      <c r="X17" s="226"/>
      <c r="Y17" s="226"/>
      <c r="Z17" s="227"/>
      <c r="AA17" s="227"/>
      <c r="AB17" s="227"/>
      <c r="AC17" s="227"/>
      <c r="AD17" s="227"/>
      <c r="AE17" s="2"/>
      <c r="AF17" s="2"/>
      <c r="AG17" s="2"/>
      <c r="AH17" s="2"/>
      <c r="AI17" s="2"/>
    </row>
    <row r="18" spans="1:35" s="62" customFormat="1">
      <c r="A18" s="105"/>
      <c r="B18" s="104"/>
      <c r="C18" s="103"/>
      <c r="D18" s="102" t="s">
        <v>10</v>
      </c>
      <c r="E18" s="101">
        <f>+災!E36</f>
        <v>0</v>
      </c>
      <c r="F18" s="90">
        <f>+災!F36</f>
        <v>0</v>
      </c>
      <c r="G18" s="89">
        <f>+災!G36</f>
        <v>0</v>
      </c>
      <c r="H18" s="89">
        <f>+災!H36</f>
        <v>0</v>
      </c>
      <c r="I18" s="89">
        <f>+災!I36</f>
        <v>0</v>
      </c>
      <c r="J18" s="92">
        <f>+災!J36</f>
        <v>0</v>
      </c>
      <c r="K18" s="34">
        <f>+災!K36</f>
        <v>0</v>
      </c>
      <c r="L18" s="101">
        <f>+災!L36</f>
        <v>0</v>
      </c>
      <c r="M18" s="101">
        <f>+災!M36</f>
        <v>0</v>
      </c>
      <c r="N18" s="90">
        <f>+災!N36</f>
        <v>0</v>
      </c>
      <c r="O18" s="89">
        <f>+災!O36</f>
        <v>0</v>
      </c>
      <c r="P18" s="89">
        <f>+災!P36</f>
        <v>0</v>
      </c>
      <c r="Q18" s="89">
        <f>+災!Q36</f>
        <v>0</v>
      </c>
      <c r="R18" s="92">
        <f>+災!R36</f>
        <v>0</v>
      </c>
      <c r="S18" s="34">
        <f>+災!S36</f>
        <v>0</v>
      </c>
      <c r="T18" s="109">
        <f t="shared" si="4"/>
        <v>0</v>
      </c>
      <c r="U18" s="107">
        <f t="shared" ref="U18:X20" si="11">N18-F18*F$4/(100+F$4)-AE18</f>
        <v>0</v>
      </c>
      <c r="V18" s="107">
        <f t="shared" si="11"/>
        <v>0</v>
      </c>
      <c r="W18" s="107">
        <f t="shared" si="11"/>
        <v>0</v>
      </c>
      <c r="X18" s="107">
        <f t="shared" si="11"/>
        <v>0</v>
      </c>
      <c r="Y18" s="107">
        <f>R18-J18*J$4/(100+J$4)-AI18</f>
        <v>0</v>
      </c>
      <c r="Z18" s="106">
        <f t="shared" ref="Z18:AC20" si="12">+IF(N$43=0,0,IF(N$43&lt;0,-RANK(U18,U$5:U$40,0),RANK(U18,U$5:U$40,1)))</f>
        <v>0</v>
      </c>
      <c r="AA18" s="106">
        <f t="shared" si="12"/>
        <v>0</v>
      </c>
      <c r="AB18" s="106">
        <f t="shared" si="12"/>
        <v>0</v>
      </c>
      <c r="AC18" s="106">
        <f t="shared" si="12"/>
        <v>0</v>
      </c>
      <c r="AD18" s="106">
        <f>+IF(R$43=0,0,IF(R$43&lt;0,-RANK(Y18,Y$5:Y$40,0),RANK(Y18,Y$5:Y$40,1)))</f>
        <v>0</v>
      </c>
      <c r="AE18" s="2"/>
      <c r="AF18" s="2"/>
      <c r="AG18" s="2"/>
      <c r="AH18" s="2"/>
      <c r="AI18" s="2"/>
    </row>
    <row r="19" spans="1:35" s="62" customFormat="1">
      <c r="A19" s="105"/>
      <c r="B19" s="104"/>
      <c r="C19" s="103"/>
      <c r="D19" s="102" t="s">
        <v>39</v>
      </c>
      <c r="E19" s="101">
        <f>+減価!E36</f>
        <v>26551442230</v>
      </c>
      <c r="F19" s="90">
        <f>+減価!F36</f>
        <v>0</v>
      </c>
      <c r="G19" s="89">
        <f>+減価!G36</f>
        <v>0</v>
      </c>
      <c r="H19" s="89">
        <f>+減価!H36</f>
        <v>0</v>
      </c>
      <c r="I19" s="89">
        <f>+減価!I36</f>
        <v>0</v>
      </c>
      <c r="J19" s="92">
        <f>+減価!J36</f>
        <v>0</v>
      </c>
      <c r="K19" s="34">
        <f>+減価!K36</f>
        <v>0</v>
      </c>
      <c r="L19" s="101">
        <f>+減価!L36</f>
        <v>0</v>
      </c>
      <c r="M19" s="101">
        <f>+減価!M36</f>
        <v>26551442230</v>
      </c>
      <c r="N19" s="90">
        <f>+減価!N36</f>
        <v>0</v>
      </c>
      <c r="O19" s="89">
        <f>+減価!O36</f>
        <v>0</v>
      </c>
      <c r="P19" s="89">
        <f>+減価!P36</f>
        <v>0</v>
      </c>
      <c r="Q19" s="89">
        <f>+減価!Q36</f>
        <v>0</v>
      </c>
      <c r="R19" s="92">
        <f>+減価!R36</f>
        <v>0</v>
      </c>
      <c r="S19" s="34">
        <f>+減価!S36</f>
        <v>0</v>
      </c>
      <c r="T19" s="109">
        <f t="shared" si="4"/>
        <v>26551442230</v>
      </c>
      <c r="U19" s="107">
        <f t="shared" si="11"/>
        <v>0</v>
      </c>
      <c r="V19" s="107">
        <f t="shared" si="11"/>
        <v>0</v>
      </c>
      <c r="W19" s="107">
        <f t="shared" si="11"/>
        <v>0</v>
      </c>
      <c r="X19" s="107">
        <f t="shared" si="11"/>
        <v>0</v>
      </c>
      <c r="Y19" s="107">
        <f>R19-J19*J$4/(100+J$4)-AI19</f>
        <v>0</v>
      </c>
      <c r="Z19" s="106">
        <f t="shared" si="12"/>
        <v>0</v>
      </c>
      <c r="AA19" s="106">
        <f t="shared" si="12"/>
        <v>0</v>
      </c>
      <c r="AB19" s="106">
        <f t="shared" si="12"/>
        <v>0</v>
      </c>
      <c r="AC19" s="106">
        <f t="shared" si="12"/>
        <v>0</v>
      </c>
      <c r="AD19" s="106">
        <f>+IF(R$43=0,0,IF(R$43&lt;0,-RANK(Y19,Y$5:Y$40,0),RANK(Y19,Y$5:Y$40,1)))</f>
        <v>0</v>
      </c>
      <c r="AE19" s="2"/>
      <c r="AF19" s="2"/>
      <c r="AG19" s="2"/>
      <c r="AH19" s="2"/>
      <c r="AI19" s="2"/>
    </row>
    <row r="20" spans="1:35" s="62" customFormat="1">
      <c r="A20" s="105"/>
      <c r="B20" s="104"/>
      <c r="C20" s="103"/>
      <c r="D20" s="102" t="s">
        <v>38</v>
      </c>
      <c r="E20" s="101">
        <f>+減耗!E36</f>
        <v>503761871</v>
      </c>
      <c r="F20" s="90">
        <f>+減耗!F36</f>
        <v>0</v>
      </c>
      <c r="G20" s="89">
        <f>+減耗!G36</f>
        <v>0</v>
      </c>
      <c r="H20" s="89">
        <f>+減耗!H36</f>
        <v>0</v>
      </c>
      <c r="I20" s="89">
        <f>+減耗!I36</f>
        <v>0</v>
      </c>
      <c r="J20" s="92">
        <f>+減耗!J36</f>
        <v>0</v>
      </c>
      <c r="K20" s="34">
        <f>+減耗!K36</f>
        <v>0</v>
      </c>
      <c r="L20" s="101">
        <f>+減耗!L36</f>
        <v>0</v>
      </c>
      <c r="M20" s="101">
        <f>+減耗!M36</f>
        <v>503761871</v>
      </c>
      <c r="N20" s="90">
        <f>+減耗!N36</f>
        <v>0</v>
      </c>
      <c r="O20" s="89">
        <f>+減耗!O36</f>
        <v>0</v>
      </c>
      <c r="P20" s="89">
        <f>+減耗!P36</f>
        <v>0</v>
      </c>
      <c r="Q20" s="89">
        <f>+減耗!Q36</f>
        <v>0</v>
      </c>
      <c r="R20" s="92">
        <f>+減耗!R36</f>
        <v>0</v>
      </c>
      <c r="S20" s="34">
        <f>+減耗!S36</f>
        <v>0</v>
      </c>
      <c r="T20" s="109">
        <f t="shared" si="4"/>
        <v>503761871</v>
      </c>
      <c r="U20" s="107">
        <f t="shared" si="11"/>
        <v>0</v>
      </c>
      <c r="V20" s="107">
        <f t="shared" si="11"/>
        <v>0</v>
      </c>
      <c r="W20" s="107">
        <f t="shared" si="11"/>
        <v>0</v>
      </c>
      <c r="X20" s="107">
        <f t="shared" si="11"/>
        <v>0</v>
      </c>
      <c r="Y20" s="107">
        <f>R20-J20*J$4/(100+J$4)-AI20</f>
        <v>0</v>
      </c>
      <c r="Z20" s="106">
        <f t="shared" si="12"/>
        <v>0</v>
      </c>
      <c r="AA20" s="106">
        <f t="shared" si="12"/>
        <v>0</v>
      </c>
      <c r="AB20" s="106">
        <f t="shared" si="12"/>
        <v>0</v>
      </c>
      <c r="AC20" s="106">
        <f t="shared" si="12"/>
        <v>0</v>
      </c>
      <c r="AD20" s="106">
        <f>+IF(R$43=0,0,IF(R$43&lt;0,-RANK(Y20,Y$5:Y$40,0),RANK(Y20,Y$5:Y$40,1)))</f>
        <v>0</v>
      </c>
      <c r="AE20" s="2"/>
      <c r="AF20" s="2"/>
      <c r="AG20" s="2"/>
      <c r="AH20" s="2"/>
      <c r="AI20" s="2"/>
    </row>
    <row r="21" spans="1:35" s="62" customFormat="1">
      <c r="A21" s="105"/>
      <c r="B21" s="104"/>
      <c r="C21" s="103"/>
      <c r="D21" s="102"/>
      <c r="E21" s="101"/>
      <c r="F21" s="90"/>
      <c r="G21" s="89"/>
      <c r="H21" s="89"/>
      <c r="I21" s="89"/>
      <c r="J21" s="92"/>
      <c r="K21" s="34"/>
      <c r="L21" s="101"/>
      <c r="M21" s="101"/>
      <c r="N21" s="90"/>
      <c r="O21" s="89"/>
      <c r="P21" s="89"/>
      <c r="Q21" s="89"/>
      <c r="R21" s="92"/>
      <c r="S21" s="34"/>
      <c r="T21" s="91"/>
      <c r="U21" s="107"/>
      <c r="V21" s="107"/>
      <c r="W21" s="107"/>
      <c r="X21" s="107"/>
      <c r="Y21" s="107"/>
      <c r="Z21" s="106"/>
      <c r="AA21" s="106"/>
      <c r="AB21" s="106"/>
      <c r="AC21" s="106"/>
      <c r="AD21" s="106"/>
      <c r="AE21" s="2"/>
      <c r="AF21" s="2"/>
      <c r="AG21" s="2"/>
      <c r="AH21" s="2"/>
      <c r="AI21" s="2"/>
    </row>
    <row r="22" spans="1:35" s="62" customFormat="1">
      <c r="A22" s="105"/>
      <c r="B22" s="104"/>
      <c r="C22" s="103"/>
      <c r="D22" s="110" t="s">
        <v>8</v>
      </c>
      <c r="E22" s="101">
        <f t="shared" ref="E22:T22" si="13">+SUM(E23:E25)</f>
        <v>3955185318</v>
      </c>
      <c r="F22" s="90">
        <f t="shared" si="13"/>
        <v>0</v>
      </c>
      <c r="G22" s="89">
        <f t="shared" si="13"/>
        <v>0</v>
      </c>
      <c r="H22" s="89">
        <f t="shared" si="13"/>
        <v>23932</v>
      </c>
      <c r="I22" s="89">
        <f t="shared" ref="I22" si="14">+SUM(I23:I25)</f>
        <v>0</v>
      </c>
      <c r="J22" s="92">
        <f t="shared" si="13"/>
        <v>67182291</v>
      </c>
      <c r="K22" s="34">
        <f t="shared" si="13"/>
        <v>67206223</v>
      </c>
      <c r="L22" s="101">
        <f t="shared" si="13"/>
        <v>3884147396</v>
      </c>
      <c r="M22" s="101">
        <f t="shared" si="13"/>
        <v>3831699</v>
      </c>
      <c r="N22" s="90">
        <f t="shared" ref="N22:S22" si="15">+SUM(N23:N25)</f>
        <v>0</v>
      </c>
      <c r="O22" s="89">
        <f t="shared" si="15"/>
        <v>0</v>
      </c>
      <c r="P22" s="89">
        <f t="shared" si="15"/>
        <v>1773</v>
      </c>
      <c r="Q22" s="89">
        <f t="shared" ref="Q22" si="16">+SUM(Q23:Q25)</f>
        <v>0</v>
      </c>
      <c r="R22" s="92">
        <f t="shared" si="15"/>
        <v>6107481</v>
      </c>
      <c r="S22" s="34">
        <f t="shared" si="15"/>
        <v>6109254</v>
      </c>
      <c r="T22" s="91">
        <f t="shared" si="13"/>
        <v>4161563541</v>
      </c>
      <c r="U22" s="107">
        <f t="shared" ref="U22:X24" si="17">N22-F22*F$4/(100+F$4)-AE22</f>
        <v>0</v>
      </c>
      <c r="V22" s="107">
        <f t="shared" si="17"/>
        <v>0</v>
      </c>
      <c r="W22" s="107">
        <f t="shared" si="17"/>
        <v>0.25925925925935189</v>
      </c>
      <c r="X22" s="107">
        <f t="shared" si="17"/>
        <v>0</v>
      </c>
      <c r="Y22" s="107">
        <f>R22-J22*J$4/(100+J$4)-AI22</f>
        <v>0</v>
      </c>
      <c r="Z22" s="106">
        <f t="shared" ref="Z22:AC24" si="18">+IF(N$43=0,0,IF(N$43&lt;0,-RANK(U22,U$5:U$40,0),RANK(U22,U$5:U$40,1)))</f>
        <v>0</v>
      </c>
      <c r="AA22" s="106">
        <f t="shared" si="18"/>
        <v>0</v>
      </c>
      <c r="AB22" s="106">
        <f t="shared" si="18"/>
        <v>0</v>
      </c>
      <c r="AC22" s="106">
        <f t="shared" si="18"/>
        <v>0</v>
      </c>
      <c r="AD22" s="106">
        <f>+IF(R$43=0,0,IF(R$43&lt;0,-RANK(Y22,Y$5:Y$40,0),RANK(Y22,Y$5:Y$40,1)))</f>
        <v>0</v>
      </c>
      <c r="AE22" s="2"/>
      <c r="AF22" s="2"/>
      <c r="AG22" s="2"/>
      <c r="AH22" s="2"/>
      <c r="AI22" s="2"/>
    </row>
    <row r="23" spans="1:35" s="62" customFormat="1">
      <c r="A23" s="105"/>
      <c r="B23" s="104"/>
      <c r="C23" s="103"/>
      <c r="D23" s="102" t="s">
        <v>37</v>
      </c>
      <c r="E23" s="101">
        <f>+営外!E5</f>
        <v>3945961149</v>
      </c>
      <c r="F23" s="90">
        <f>+営外!F5</f>
        <v>0</v>
      </c>
      <c r="G23" s="89">
        <f>+営外!G5</f>
        <v>0</v>
      </c>
      <c r="H23" s="89">
        <f>+営外!H5</f>
        <v>0</v>
      </c>
      <c r="I23" s="89">
        <f>+営外!I5</f>
        <v>0</v>
      </c>
      <c r="J23" s="92">
        <f>+営外!J5</f>
        <v>61813753</v>
      </c>
      <c r="K23" s="34">
        <f>+営外!K5</f>
        <v>61813753</v>
      </c>
      <c r="L23" s="101">
        <f>+営外!L5</f>
        <v>3884147396</v>
      </c>
      <c r="M23" s="101">
        <f>+営外!M5</f>
        <v>0</v>
      </c>
      <c r="N23" s="90">
        <f>+営外!N5</f>
        <v>0</v>
      </c>
      <c r="O23" s="89">
        <f>+営外!O5</f>
        <v>0</v>
      </c>
      <c r="P23" s="89">
        <f>+営外!P5</f>
        <v>0</v>
      </c>
      <c r="Q23" s="89">
        <f>+営外!Q5</f>
        <v>0</v>
      </c>
      <c r="R23" s="92">
        <f>+営外!R5</f>
        <v>5619432</v>
      </c>
      <c r="S23" s="34">
        <f>+営外!S5</f>
        <v>5619432</v>
      </c>
      <c r="T23" s="109">
        <f>+E23-S23</f>
        <v>3940341717</v>
      </c>
      <c r="U23" s="107">
        <f t="shared" si="17"/>
        <v>0</v>
      </c>
      <c r="V23" s="107">
        <f t="shared" si="17"/>
        <v>0</v>
      </c>
      <c r="W23" s="107">
        <f t="shared" si="17"/>
        <v>0</v>
      </c>
      <c r="X23" s="107">
        <f t="shared" si="17"/>
        <v>0</v>
      </c>
      <c r="Y23" s="107">
        <f>R23-J23*J$4/(100+J$4)-AI23</f>
        <v>-9.090909082442522E-2</v>
      </c>
      <c r="Z23" s="106">
        <f t="shared" si="18"/>
        <v>0</v>
      </c>
      <c r="AA23" s="106">
        <f t="shared" si="18"/>
        <v>0</v>
      </c>
      <c r="AB23" s="106">
        <f t="shared" si="18"/>
        <v>0</v>
      </c>
      <c r="AC23" s="106">
        <f t="shared" si="18"/>
        <v>0</v>
      </c>
      <c r="AD23" s="106">
        <f>+IF(R$43=0,0,IF(R$43&lt;0,-RANK(Y23,Y$5:Y$40,0),RANK(Y23,Y$5:Y$40,1)))</f>
        <v>0</v>
      </c>
      <c r="AE23" s="2"/>
      <c r="AF23" s="2"/>
      <c r="AG23" s="2"/>
      <c r="AH23" s="2"/>
      <c r="AI23" s="2"/>
    </row>
    <row r="24" spans="1:35" s="62" customFormat="1">
      <c r="A24" s="105"/>
      <c r="B24" s="104"/>
      <c r="C24" s="103"/>
      <c r="D24" s="102" t="s">
        <v>6</v>
      </c>
      <c r="E24" s="101">
        <f>+営外!E14</f>
        <v>9224169</v>
      </c>
      <c r="F24" s="90">
        <f>+営外!F14</f>
        <v>0</v>
      </c>
      <c r="G24" s="89">
        <f>+営外!G14</f>
        <v>0</v>
      </c>
      <c r="H24" s="89">
        <f>+営外!H14</f>
        <v>23932</v>
      </c>
      <c r="I24" s="89">
        <f>+営外!I14</f>
        <v>0</v>
      </c>
      <c r="J24" s="92">
        <f>+営外!J14</f>
        <v>5368538</v>
      </c>
      <c r="K24" s="34">
        <f>+営外!K14</f>
        <v>5392470</v>
      </c>
      <c r="L24" s="101">
        <f>+営外!L14</f>
        <v>0</v>
      </c>
      <c r="M24" s="101">
        <f>+営外!M14</f>
        <v>3831699</v>
      </c>
      <c r="N24" s="90">
        <f>+営外!N14</f>
        <v>0</v>
      </c>
      <c r="O24" s="89">
        <f>+営外!O14</f>
        <v>0</v>
      </c>
      <c r="P24" s="89">
        <f>+営外!P14</f>
        <v>1773</v>
      </c>
      <c r="Q24" s="89">
        <f>+営外!Q14</f>
        <v>0</v>
      </c>
      <c r="R24" s="92">
        <f>+営外!R14</f>
        <v>488049</v>
      </c>
      <c r="S24" s="34">
        <f>+営外!S14</f>
        <v>489822</v>
      </c>
      <c r="T24" s="109">
        <f>+E24-S24</f>
        <v>8734347</v>
      </c>
      <c r="U24" s="107">
        <f t="shared" si="17"/>
        <v>0</v>
      </c>
      <c r="V24" s="107">
        <f t="shared" si="17"/>
        <v>0</v>
      </c>
      <c r="W24" s="107">
        <f t="shared" si="17"/>
        <v>0.25925925925935189</v>
      </c>
      <c r="X24" s="107">
        <f t="shared" si="17"/>
        <v>0</v>
      </c>
      <c r="Y24" s="107">
        <f>R24-J24*J$4/(100+J$4)-AI24</f>
        <v>9.0909090882632881E-2</v>
      </c>
      <c r="Z24" s="106">
        <f t="shared" si="18"/>
        <v>0</v>
      </c>
      <c r="AA24" s="106">
        <f t="shared" si="18"/>
        <v>0</v>
      </c>
      <c r="AB24" s="106">
        <f t="shared" si="18"/>
        <v>0</v>
      </c>
      <c r="AC24" s="106">
        <f t="shared" si="18"/>
        <v>0</v>
      </c>
      <c r="AD24" s="106">
        <f>+IF(R$43=0,0,IF(R$43&lt;0,-RANK(Y24,Y$5:Y$40,0),RANK(Y24,Y$5:Y$40,1)))</f>
        <v>0</v>
      </c>
      <c r="AE24" s="2"/>
      <c r="AF24" s="2"/>
      <c r="AG24" s="2"/>
      <c r="AH24" s="2"/>
      <c r="AI24" s="2"/>
    </row>
    <row r="25" spans="1:35" s="62" customFormat="1">
      <c r="A25" s="105"/>
      <c r="B25" s="104"/>
      <c r="C25" s="103"/>
      <c r="D25" s="102" t="s">
        <v>537</v>
      </c>
      <c r="E25" s="101"/>
      <c r="F25" s="90"/>
      <c r="G25" s="89"/>
      <c r="H25" s="89"/>
      <c r="I25" s="89"/>
      <c r="J25" s="92"/>
      <c r="K25" s="34"/>
      <c r="L25" s="101"/>
      <c r="M25" s="101"/>
      <c r="N25" s="90"/>
      <c r="O25" s="89"/>
      <c r="P25" s="89"/>
      <c r="Q25" s="89"/>
      <c r="R25" s="92"/>
      <c r="S25" s="34"/>
      <c r="T25" s="91">
        <f>+SUM(営外!T17:T19)</f>
        <v>212487477</v>
      </c>
      <c r="U25" s="107"/>
      <c r="V25" s="107"/>
      <c r="W25" s="107"/>
      <c r="X25" s="107"/>
      <c r="Y25" s="107"/>
      <c r="Z25" s="106"/>
      <c r="AA25" s="106"/>
      <c r="AB25" s="106"/>
      <c r="AC25" s="106"/>
      <c r="AD25" s="106"/>
      <c r="AE25" s="2"/>
      <c r="AF25" s="2"/>
      <c r="AG25" s="2"/>
      <c r="AH25" s="2"/>
      <c r="AI25" s="2"/>
    </row>
    <row r="26" spans="1:35" s="62" customFormat="1">
      <c r="A26" s="105"/>
      <c r="B26" s="104"/>
      <c r="C26" s="103"/>
      <c r="D26" s="102"/>
      <c r="E26" s="101"/>
      <c r="F26" s="90"/>
      <c r="G26" s="89"/>
      <c r="H26" s="89"/>
      <c r="I26" s="89"/>
      <c r="J26" s="92"/>
      <c r="K26" s="34"/>
      <c r="L26" s="101"/>
      <c r="M26" s="101"/>
      <c r="N26" s="90"/>
      <c r="O26" s="89"/>
      <c r="P26" s="89"/>
      <c r="Q26" s="89"/>
      <c r="R26" s="92"/>
      <c r="S26" s="34"/>
      <c r="T26" s="91"/>
      <c r="U26" s="107"/>
      <c r="V26" s="107"/>
      <c r="W26" s="107"/>
      <c r="X26" s="107"/>
      <c r="Y26" s="107"/>
      <c r="Z26" s="106"/>
      <c r="AA26" s="106"/>
      <c r="AB26" s="106"/>
      <c r="AC26" s="106"/>
      <c r="AD26" s="106"/>
      <c r="AE26" s="2"/>
      <c r="AF26" s="2"/>
      <c r="AG26" s="2"/>
      <c r="AH26" s="2"/>
      <c r="AI26" s="2"/>
    </row>
    <row r="27" spans="1:35" s="62" customFormat="1">
      <c r="A27" s="105"/>
      <c r="B27" s="104"/>
      <c r="C27" s="103"/>
      <c r="D27" s="110" t="s">
        <v>5</v>
      </c>
      <c r="E27" s="101">
        <f t="shared" ref="E27:T27" si="19">+SUM(E28:E31)</f>
        <v>20995298</v>
      </c>
      <c r="F27" s="90">
        <f t="shared" si="19"/>
        <v>0</v>
      </c>
      <c r="G27" s="89">
        <f t="shared" si="19"/>
        <v>0</v>
      </c>
      <c r="H27" s="89">
        <f t="shared" si="19"/>
        <v>15407</v>
      </c>
      <c r="I27" s="89">
        <f t="shared" ref="I27" si="20">+SUM(I28:I31)</f>
        <v>0</v>
      </c>
      <c r="J27" s="92">
        <f t="shared" si="19"/>
        <v>10640333</v>
      </c>
      <c r="K27" s="34">
        <f t="shared" si="19"/>
        <v>10655740</v>
      </c>
      <c r="L27" s="101">
        <f t="shared" si="19"/>
        <v>6023</v>
      </c>
      <c r="M27" s="101">
        <f t="shared" si="19"/>
        <v>10333535</v>
      </c>
      <c r="N27" s="90">
        <f t="shared" ref="N27:S27" si="21">+SUM(N28:N31)</f>
        <v>0</v>
      </c>
      <c r="O27" s="89">
        <f t="shared" si="21"/>
        <v>0</v>
      </c>
      <c r="P27" s="89">
        <f t="shared" si="21"/>
        <v>1141</v>
      </c>
      <c r="Q27" s="89">
        <f t="shared" ref="Q27" si="22">+SUM(Q28:Q31)</f>
        <v>0</v>
      </c>
      <c r="R27" s="92">
        <f t="shared" si="21"/>
        <v>967303</v>
      </c>
      <c r="S27" s="34">
        <f t="shared" si="21"/>
        <v>968444</v>
      </c>
      <c r="T27" s="91">
        <f t="shared" si="19"/>
        <v>20026854</v>
      </c>
      <c r="U27" s="107">
        <f t="shared" ref="U27:X31" si="23">N27-F27*F$4/(100+F$4)-AE27</f>
        <v>0</v>
      </c>
      <c r="V27" s="107">
        <f t="shared" si="23"/>
        <v>0</v>
      </c>
      <c r="W27" s="107">
        <f t="shared" si="23"/>
        <v>-0.25925925925935189</v>
      </c>
      <c r="X27" s="107">
        <f t="shared" si="23"/>
        <v>0</v>
      </c>
      <c r="Y27" s="107">
        <f>R27-J27*J$4/(100+J$4)-AI27</f>
        <v>0</v>
      </c>
      <c r="Z27" s="106"/>
      <c r="AA27" s="106"/>
      <c r="AB27" s="106"/>
      <c r="AC27" s="106"/>
      <c r="AD27" s="106"/>
      <c r="AE27" s="2"/>
      <c r="AF27" s="2"/>
      <c r="AG27" s="2"/>
      <c r="AH27" s="2"/>
      <c r="AI27" s="2"/>
    </row>
    <row r="28" spans="1:35" s="62" customFormat="1">
      <c r="A28" s="105"/>
      <c r="B28" s="104"/>
      <c r="C28" s="103"/>
      <c r="D28" s="102" t="s">
        <v>36</v>
      </c>
      <c r="E28" s="101">
        <f>+特損!E5</f>
        <v>10679943</v>
      </c>
      <c r="F28" s="90">
        <f>+特損!F5</f>
        <v>0</v>
      </c>
      <c r="G28" s="89">
        <f>+特損!G5</f>
        <v>0</v>
      </c>
      <c r="H28" s="89">
        <f>+特損!H5</f>
        <v>15407</v>
      </c>
      <c r="I28" s="89">
        <f>+特損!I5</f>
        <v>0</v>
      </c>
      <c r="J28" s="92">
        <f>+特損!J5</f>
        <v>10640333</v>
      </c>
      <c r="K28" s="34">
        <f>+特損!K5</f>
        <v>10655740</v>
      </c>
      <c r="L28" s="101">
        <f>+特損!L5</f>
        <v>6023</v>
      </c>
      <c r="M28" s="101">
        <f>+特損!M5</f>
        <v>18180</v>
      </c>
      <c r="N28" s="90">
        <f>+特損!N5</f>
        <v>0</v>
      </c>
      <c r="O28" s="89">
        <f>+特損!O5</f>
        <v>0</v>
      </c>
      <c r="P28" s="89">
        <f>+特損!P5</f>
        <v>1141</v>
      </c>
      <c r="Q28" s="89">
        <f>+特損!Q5</f>
        <v>0</v>
      </c>
      <c r="R28" s="92">
        <f>+特損!R5</f>
        <v>967303</v>
      </c>
      <c r="S28" s="34">
        <f>+特損!S5</f>
        <v>968444</v>
      </c>
      <c r="T28" s="109">
        <f>+E28-S28</f>
        <v>9711499</v>
      </c>
      <c r="U28" s="107">
        <f t="shared" si="23"/>
        <v>0</v>
      </c>
      <c r="V28" s="107">
        <f t="shared" si="23"/>
        <v>0</v>
      </c>
      <c r="W28" s="107">
        <f t="shared" si="23"/>
        <v>-0.25925925925935189</v>
      </c>
      <c r="X28" s="107">
        <f t="shared" si="23"/>
        <v>0</v>
      </c>
      <c r="Y28" s="107">
        <f>R28-J28*J$4/(100+J$4)-AI28</f>
        <v>0</v>
      </c>
      <c r="Z28" s="106">
        <f t="shared" ref="Z28:AC31" si="24">+IF(N$43=0,0,IF(N$43&lt;0,-RANK(U28,U$5:U$40,0),RANK(U28,U$5:U$40,1)))</f>
        <v>0</v>
      </c>
      <c r="AA28" s="106">
        <f t="shared" si="24"/>
        <v>0</v>
      </c>
      <c r="AB28" s="106">
        <f t="shared" si="24"/>
        <v>0</v>
      </c>
      <c r="AC28" s="106">
        <f t="shared" si="24"/>
        <v>0</v>
      </c>
      <c r="AD28" s="106">
        <f>+IF(R$43=0,0,IF(R$43&lt;0,-RANK(Y28,Y$5:Y$40,0),RANK(Y28,Y$5:Y$40,1)))</f>
        <v>0</v>
      </c>
      <c r="AE28" s="2"/>
      <c r="AF28" s="2"/>
      <c r="AG28" s="2"/>
      <c r="AH28" s="2"/>
      <c r="AI28" s="2"/>
    </row>
    <row r="29" spans="1:35" s="62" customFormat="1">
      <c r="A29" s="105"/>
      <c r="B29" s="104"/>
      <c r="C29" s="103"/>
      <c r="D29" s="102" t="s">
        <v>3</v>
      </c>
      <c r="E29" s="101">
        <f>+特損!E14</f>
        <v>0</v>
      </c>
      <c r="F29" s="90">
        <f>+特損!F14</f>
        <v>0</v>
      </c>
      <c r="G29" s="89">
        <f>+特損!G14</f>
        <v>0</v>
      </c>
      <c r="H29" s="89">
        <f>+特損!H14</f>
        <v>0</v>
      </c>
      <c r="I29" s="89">
        <f>+特損!I14</f>
        <v>0</v>
      </c>
      <c r="J29" s="92">
        <f>+特損!J14</f>
        <v>0</v>
      </c>
      <c r="K29" s="34">
        <f>+特損!K14</f>
        <v>0</v>
      </c>
      <c r="L29" s="101">
        <f>+特損!L14</f>
        <v>0</v>
      </c>
      <c r="M29" s="101">
        <f>+特損!M14</f>
        <v>0</v>
      </c>
      <c r="N29" s="90">
        <f>+特損!N14</f>
        <v>0</v>
      </c>
      <c r="O29" s="89">
        <f>+特損!O14</f>
        <v>0</v>
      </c>
      <c r="P29" s="89">
        <f>+特損!P14</f>
        <v>0</v>
      </c>
      <c r="Q29" s="89">
        <f>+特損!Q14</f>
        <v>0</v>
      </c>
      <c r="R29" s="92">
        <f>+特損!R14</f>
        <v>0</v>
      </c>
      <c r="S29" s="34">
        <f>+特損!S14</f>
        <v>0</v>
      </c>
      <c r="T29" s="109">
        <f>+E29-S29</f>
        <v>0</v>
      </c>
      <c r="U29" s="107">
        <f t="shared" si="23"/>
        <v>0</v>
      </c>
      <c r="V29" s="107">
        <f t="shared" si="23"/>
        <v>0</v>
      </c>
      <c r="W29" s="107">
        <f t="shared" si="23"/>
        <v>0</v>
      </c>
      <c r="X29" s="107">
        <f t="shared" si="23"/>
        <v>0</v>
      </c>
      <c r="Y29" s="107">
        <f>R29-J29*J$4/(100+J$4)-AI29</f>
        <v>0</v>
      </c>
      <c r="Z29" s="106">
        <f t="shared" si="24"/>
        <v>0</v>
      </c>
      <c r="AA29" s="106">
        <f t="shared" si="24"/>
        <v>0</v>
      </c>
      <c r="AB29" s="106">
        <f t="shared" si="24"/>
        <v>0</v>
      </c>
      <c r="AC29" s="106">
        <f t="shared" si="24"/>
        <v>0</v>
      </c>
      <c r="AD29" s="106">
        <f>+IF(R$43=0,0,IF(R$43&lt;0,-RANK(Y29,Y$5:Y$40,0),RANK(Y29,Y$5:Y$40,1)))</f>
        <v>0</v>
      </c>
      <c r="AE29" s="2"/>
      <c r="AF29" s="2"/>
      <c r="AG29" s="2"/>
      <c r="AH29" s="2"/>
      <c r="AI29" s="2"/>
    </row>
    <row r="30" spans="1:35" s="62" customFormat="1">
      <c r="A30" s="105"/>
      <c r="B30" s="104"/>
      <c r="C30" s="103"/>
      <c r="D30" s="102" t="s">
        <v>35</v>
      </c>
      <c r="E30" s="101">
        <f>+特損!E32</f>
        <v>10315355</v>
      </c>
      <c r="F30" s="90">
        <f>+特損!F32</f>
        <v>0</v>
      </c>
      <c r="G30" s="89">
        <f>+特損!G32</f>
        <v>0</v>
      </c>
      <c r="H30" s="89">
        <f>+特損!H32</f>
        <v>0</v>
      </c>
      <c r="I30" s="89">
        <f>+特損!I32</f>
        <v>0</v>
      </c>
      <c r="J30" s="92">
        <f>+特損!J32</f>
        <v>0</v>
      </c>
      <c r="K30" s="34">
        <f>+特損!K32</f>
        <v>0</v>
      </c>
      <c r="L30" s="101">
        <f>+特損!L32</f>
        <v>0</v>
      </c>
      <c r="M30" s="101">
        <f>+特損!M32</f>
        <v>10315355</v>
      </c>
      <c r="N30" s="90">
        <f>+特損!N32</f>
        <v>0</v>
      </c>
      <c r="O30" s="89">
        <f>+特損!O32</f>
        <v>0</v>
      </c>
      <c r="P30" s="89">
        <f>+特損!P32</f>
        <v>0</v>
      </c>
      <c r="Q30" s="89">
        <f>+特損!Q32</f>
        <v>0</v>
      </c>
      <c r="R30" s="92">
        <f>+特損!R32</f>
        <v>0</v>
      </c>
      <c r="S30" s="34">
        <f>+特損!S32</f>
        <v>0</v>
      </c>
      <c r="T30" s="109">
        <f>+E30-S30</f>
        <v>10315355</v>
      </c>
      <c r="U30" s="107">
        <f t="shared" si="23"/>
        <v>0</v>
      </c>
      <c r="V30" s="107">
        <f t="shared" si="23"/>
        <v>0</v>
      </c>
      <c r="W30" s="107">
        <f t="shared" si="23"/>
        <v>0</v>
      </c>
      <c r="X30" s="107">
        <f t="shared" si="23"/>
        <v>0</v>
      </c>
      <c r="Y30" s="107">
        <f>R30-J30*J$4/(100+J$4)-AI30</f>
        <v>0</v>
      </c>
      <c r="Z30" s="106">
        <f t="shared" si="24"/>
        <v>0</v>
      </c>
      <c r="AA30" s="106">
        <f t="shared" si="24"/>
        <v>0</v>
      </c>
      <c r="AB30" s="106">
        <f t="shared" si="24"/>
        <v>0</v>
      </c>
      <c r="AC30" s="106">
        <f t="shared" si="24"/>
        <v>0</v>
      </c>
      <c r="AD30" s="106">
        <f>+IF(R$43=0,0,IF(R$43&lt;0,-RANK(Y30,Y$5:Y$40,0),RANK(Y30,Y$5:Y$40,1)))</f>
        <v>0</v>
      </c>
      <c r="AE30" s="2"/>
      <c r="AF30" s="2"/>
      <c r="AG30" s="2"/>
      <c r="AH30" s="2"/>
      <c r="AI30" s="2"/>
    </row>
    <row r="31" spans="1:35" s="62" customFormat="1">
      <c r="A31" s="105"/>
      <c r="B31" s="104"/>
      <c r="C31" s="103"/>
      <c r="D31" s="102" t="s">
        <v>34</v>
      </c>
      <c r="E31" s="101">
        <f>+特損!E34</f>
        <v>0</v>
      </c>
      <c r="F31" s="90">
        <f>+特損!F34</f>
        <v>0</v>
      </c>
      <c r="G31" s="89">
        <f>+特損!G34</f>
        <v>0</v>
      </c>
      <c r="H31" s="89">
        <f>+特損!H34</f>
        <v>0</v>
      </c>
      <c r="I31" s="89">
        <f>+特損!I34</f>
        <v>0</v>
      </c>
      <c r="J31" s="92">
        <f>+特損!J34</f>
        <v>0</v>
      </c>
      <c r="K31" s="34">
        <f>+特損!K34</f>
        <v>0</v>
      </c>
      <c r="L31" s="101">
        <f>+特損!L34</f>
        <v>0</v>
      </c>
      <c r="M31" s="101">
        <f>+特損!M34</f>
        <v>0</v>
      </c>
      <c r="N31" s="90">
        <f>+特損!N34</f>
        <v>0</v>
      </c>
      <c r="O31" s="89">
        <f>+特損!O34</f>
        <v>0</v>
      </c>
      <c r="P31" s="89">
        <f>+特損!P34</f>
        <v>0</v>
      </c>
      <c r="Q31" s="89">
        <f>+特損!Q34</f>
        <v>0</v>
      </c>
      <c r="R31" s="92">
        <f>+特損!R34</f>
        <v>0</v>
      </c>
      <c r="S31" s="34">
        <f>+特損!S34</f>
        <v>0</v>
      </c>
      <c r="T31" s="109">
        <f>+E31-S31</f>
        <v>0</v>
      </c>
      <c r="U31" s="107">
        <f t="shared" si="23"/>
        <v>0</v>
      </c>
      <c r="V31" s="107">
        <f t="shared" si="23"/>
        <v>0</v>
      </c>
      <c r="W31" s="107">
        <f t="shared" si="23"/>
        <v>0</v>
      </c>
      <c r="X31" s="107">
        <f t="shared" si="23"/>
        <v>0</v>
      </c>
      <c r="Y31" s="107">
        <f>R31-J31*J$4/(100+J$4)-AI31</f>
        <v>0</v>
      </c>
      <c r="Z31" s="106">
        <f t="shared" si="24"/>
        <v>0</v>
      </c>
      <c r="AA31" s="106">
        <f t="shared" si="24"/>
        <v>0</v>
      </c>
      <c r="AB31" s="106">
        <f t="shared" si="24"/>
        <v>0</v>
      </c>
      <c r="AC31" s="106">
        <f t="shared" si="24"/>
        <v>0</v>
      </c>
      <c r="AD31" s="106">
        <f>+IF(R$43=0,0,IF(R$43&lt;0,-RANK(Y31,Y$5:Y$40,0),RANK(Y31,Y$5:Y$40,1)))</f>
        <v>0</v>
      </c>
      <c r="AE31" s="2"/>
      <c r="AF31" s="2"/>
      <c r="AG31" s="2"/>
      <c r="AH31" s="2"/>
      <c r="AI31" s="2"/>
    </row>
    <row r="32" spans="1:35" s="62" customFormat="1" hidden="1">
      <c r="A32" s="105"/>
      <c r="B32" s="104"/>
      <c r="C32" s="103"/>
      <c r="D32" s="102"/>
      <c r="E32" s="101"/>
      <c r="F32" s="90"/>
      <c r="G32" s="89"/>
      <c r="H32" s="89"/>
      <c r="I32" s="89"/>
      <c r="J32" s="92"/>
      <c r="K32" s="34"/>
      <c r="L32" s="101"/>
      <c r="M32" s="101"/>
      <c r="N32" s="90"/>
      <c r="O32" s="89"/>
      <c r="P32" s="89"/>
      <c r="Q32" s="89"/>
      <c r="R32" s="92"/>
      <c r="S32" s="34"/>
      <c r="T32" s="91"/>
      <c r="U32" s="107"/>
      <c r="V32" s="107"/>
      <c r="W32" s="107"/>
      <c r="X32" s="107"/>
      <c r="Y32" s="107"/>
      <c r="Z32" s="106"/>
      <c r="AA32" s="106"/>
      <c r="AB32" s="106"/>
      <c r="AC32" s="106"/>
      <c r="AD32" s="106"/>
      <c r="AE32" s="2"/>
      <c r="AF32" s="2"/>
      <c r="AG32" s="2"/>
      <c r="AH32" s="2"/>
      <c r="AI32" s="2"/>
    </row>
    <row r="33" spans="1:35" s="62" customFormat="1" hidden="1">
      <c r="A33" s="105"/>
      <c r="B33" s="104"/>
      <c r="C33" s="103"/>
      <c r="D33" s="102"/>
      <c r="E33" s="101"/>
      <c r="F33" s="90"/>
      <c r="G33" s="89"/>
      <c r="H33" s="89"/>
      <c r="I33" s="89"/>
      <c r="J33" s="92"/>
      <c r="K33" s="34"/>
      <c r="L33" s="101"/>
      <c r="M33" s="101"/>
      <c r="N33" s="90"/>
      <c r="O33" s="89"/>
      <c r="P33" s="89"/>
      <c r="Q33" s="89"/>
      <c r="R33" s="92"/>
      <c r="S33" s="34"/>
      <c r="T33" s="91"/>
      <c r="U33" s="107"/>
      <c r="V33" s="107"/>
      <c r="W33" s="107"/>
      <c r="X33" s="107"/>
      <c r="Y33" s="107"/>
      <c r="Z33" s="106"/>
      <c r="AA33" s="106"/>
      <c r="AB33" s="106"/>
      <c r="AC33" s="106"/>
      <c r="AD33" s="106"/>
      <c r="AE33" s="2"/>
      <c r="AF33" s="2"/>
      <c r="AG33" s="2"/>
      <c r="AH33" s="2"/>
      <c r="AI33" s="2"/>
    </row>
    <row r="34" spans="1:35" s="62" customFormat="1" hidden="1">
      <c r="A34" s="105"/>
      <c r="B34" s="104"/>
      <c r="C34" s="103"/>
      <c r="D34" s="102"/>
      <c r="E34" s="101"/>
      <c r="F34" s="90"/>
      <c r="G34" s="89"/>
      <c r="H34" s="89"/>
      <c r="I34" s="89"/>
      <c r="J34" s="92"/>
      <c r="K34" s="34"/>
      <c r="L34" s="101"/>
      <c r="M34" s="101"/>
      <c r="N34" s="90"/>
      <c r="O34" s="89"/>
      <c r="P34" s="89"/>
      <c r="Q34" s="89"/>
      <c r="R34" s="92"/>
      <c r="S34" s="34"/>
      <c r="T34" s="91"/>
      <c r="U34" s="107"/>
      <c r="V34" s="107"/>
      <c r="W34" s="107"/>
      <c r="X34" s="107"/>
      <c r="Y34" s="107"/>
      <c r="Z34" s="106"/>
      <c r="AA34" s="106"/>
      <c r="AB34" s="106"/>
      <c r="AC34" s="106"/>
      <c r="AD34" s="106"/>
      <c r="AE34" s="2"/>
      <c r="AF34" s="2"/>
      <c r="AG34" s="2"/>
      <c r="AH34" s="2"/>
      <c r="AI34" s="2"/>
    </row>
    <row r="35" spans="1:35" s="62" customFormat="1" hidden="1">
      <c r="A35" s="105"/>
      <c r="B35" s="104"/>
      <c r="C35" s="103"/>
      <c r="D35" s="102"/>
      <c r="E35" s="101"/>
      <c r="F35" s="90"/>
      <c r="G35" s="89"/>
      <c r="H35" s="89"/>
      <c r="I35" s="89"/>
      <c r="J35" s="92"/>
      <c r="K35" s="34"/>
      <c r="L35" s="101"/>
      <c r="M35" s="101"/>
      <c r="N35" s="90"/>
      <c r="O35" s="89"/>
      <c r="P35" s="89"/>
      <c r="Q35" s="89"/>
      <c r="R35" s="92"/>
      <c r="S35" s="34"/>
      <c r="T35" s="91"/>
      <c r="U35" s="107"/>
      <c r="V35" s="107"/>
      <c r="W35" s="107"/>
      <c r="X35" s="107"/>
      <c r="Y35" s="107"/>
      <c r="Z35" s="106"/>
      <c r="AA35" s="106"/>
      <c r="AB35" s="106"/>
      <c r="AC35" s="106"/>
      <c r="AD35" s="106"/>
      <c r="AE35" s="2"/>
      <c r="AF35" s="2"/>
      <c r="AG35" s="2"/>
      <c r="AH35" s="2"/>
      <c r="AI35" s="2"/>
    </row>
    <row r="36" spans="1:35" s="62" customFormat="1" hidden="1">
      <c r="A36" s="105"/>
      <c r="B36" s="104"/>
      <c r="C36" s="103"/>
      <c r="D36" s="102"/>
      <c r="E36" s="101"/>
      <c r="F36" s="90"/>
      <c r="G36" s="89"/>
      <c r="H36" s="89"/>
      <c r="I36" s="89"/>
      <c r="J36" s="92"/>
      <c r="K36" s="34"/>
      <c r="L36" s="101"/>
      <c r="M36" s="101"/>
      <c r="N36" s="90"/>
      <c r="O36" s="89"/>
      <c r="P36" s="89"/>
      <c r="Q36" s="89"/>
      <c r="R36" s="92"/>
      <c r="S36" s="34"/>
      <c r="T36" s="91"/>
      <c r="U36" s="88" t="str">
        <f t="shared" ref="U36:V39" si="25">+IF(F36=0,"",ROUND(F36*F$4/(100+F$4),7)-N36)</f>
        <v/>
      </c>
      <c r="V36" s="88" t="str">
        <f t="shared" si="25"/>
        <v/>
      </c>
      <c r="W36" s="88"/>
      <c r="X36" s="88"/>
      <c r="Y36" s="88" t="str">
        <f>+IF(J36=0,"",ROUND(J36*J$4/(100+J$4),7)-R36)</f>
        <v/>
      </c>
      <c r="Z36" s="88"/>
      <c r="AA36" s="88"/>
      <c r="AB36" s="87" t="str">
        <f>+IF(SUM(U36:Y36)=0,"",SUM(U36:Y36))</f>
        <v/>
      </c>
      <c r="AC36" s="87"/>
      <c r="AD36" s="87"/>
      <c r="AE36" s="2"/>
      <c r="AF36" s="2"/>
      <c r="AG36" s="2"/>
      <c r="AH36" s="2"/>
      <c r="AI36" s="2"/>
    </row>
    <row r="37" spans="1:35" s="62" customFormat="1" hidden="1">
      <c r="A37" s="105"/>
      <c r="B37" s="104"/>
      <c r="C37" s="103"/>
      <c r="D37" s="102"/>
      <c r="E37" s="101"/>
      <c r="F37" s="90"/>
      <c r="G37" s="89"/>
      <c r="H37" s="89"/>
      <c r="I37" s="89"/>
      <c r="J37" s="92"/>
      <c r="K37" s="34"/>
      <c r="L37" s="101"/>
      <c r="M37" s="101"/>
      <c r="N37" s="90"/>
      <c r="O37" s="89"/>
      <c r="P37" s="89"/>
      <c r="Q37" s="89"/>
      <c r="R37" s="92"/>
      <c r="S37" s="34"/>
      <c r="T37" s="91"/>
      <c r="U37" s="88" t="str">
        <f t="shared" si="25"/>
        <v/>
      </c>
      <c r="V37" s="88" t="str">
        <f t="shared" si="25"/>
        <v/>
      </c>
      <c r="W37" s="88"/>
      <c r="X37" s="88"/>
      <c r="Y37" s="88"/>
      <c r="Z37" s="88"/>
      <c r="AA37" s="88"/>
      <c r="AB37" s="87"/>
      <c r="AC37" s="87"/>
      <c r="AD37" s="87"/>
      <c r="AE37" s="2"/>
      <c r="AF37" s="2"/>
      <c r="AG37" s="2"/>
      <c r="AH37" s="2"/>
      <c r="AI37" s="2"/>
    </row>
    <row r="38" spans="1:35" s="62" customFormat="1" hidden="1">
      <c r="A38" s="105"/>
      <c r="B38" s="104"/>
      <c r="C38" s="103"/>
      <c r="D38" s="102"/>
      <c r="E38" s="101"/>
      <c r="F38" s="90"/>
      <c r="G38" s="89"/>
      <c r="H38" s="89"/>
      <c r="I38" s="89"/>
      <c r="J38" s="92"/>
      <c r="K38" s="34"/>
      <c r="L38" s="101"/>
      <c r="M38" s="101"/>
      <c r="N38" s="90"/>
      <c r="O38" s="89"/>
      <c r="P38" s="89"/>
      <c r="Q38" s="89"/>
      <c r="R38" s="92"/>
      <c r="S38" s="34"/>
      <c r="T38" s="91"/>
      <c r="U38" s="88" t="str">
        <f t="shared" si="25"/>
        <v/>
      </c>
      <c r="V38" s="88" t="str">
        <f t="shared" si="25"/>
        <v/>
      </c>
      <c r="W38" s="88" t="str">
        <f>+IF(H38=0,"",ROUND(H38*H$4/(100+H$4),7)-P38)</f>
        <v/>
      </c>
      <c r="X38" s="88"/>
      <c r="Y38" s="88" t="str">
        <f>+IF(J38=0,"",ROUND(J38*J$4/(100+J$4),7)-R38)</f>
        <v/>
      </c>
      <c r="Z38" s="88"/>
      <c r="AA38" s="88"/>
      <c r="AB38" s="87" t="str">
        <f>+IF(SUM(U38:Y38)=0,"",SUM(U38:Y38))</f>
        <v/>
      </c>
      <c r="AC38" s="87"/>
      <c r="AD38" s="87"/>
      <c r="AE38" s="2"/>
      <c r="AF38" s="2"/>
      <c r="AG38" s="2"/>
      <c r="AH38" s="2"/>
      <c r="AI38" s="2"/>
    </row>
    <row r="39" spans="1:35" s="62" customFormat="1" hidden="1">
      <c r="A39" s="105"/>
      <c r="B39" s="104"/>
      <c r="C39" s="103"/>
      <c r="D39" s="102"/>
      <c r="E39" s="101"/>
      <c r="F39" s="90"/>
      <c r="G39" s="89"/>
      <c r="H39" s="89"/>
      <c r="I39" s="89"/>
      <c r="J39" s="92"/>
      <c r="K39" s="34"/>
      <c r="L39" s="101"/>
      <c r="M39" s="101"/>
      <c r="N39" s="90"/>
      <c r="O39" s="89"/>
      <c r="P39" s="89"/>
      <c r="Q39" s="89"/>
      <c r="R39" s="92"/>
      <c r="S39" s="34"/>
      <c r="T39" s="91"/>
      <c r="U39" s="88" t="str">
        <f t="shared" si="25"/>
        <v/>
      </c>
      <c r="V39" s="88" t="str">
        <f t="shared" si="25"/>
        <v/>
      </c>
      <c r="W39" s="88" t="str">
        <f>+IF(H39=0,"",ROUND(H39*H$4/(100+H$4),7)-P39)</f>
        <v/>
      </c>
      <c r="X39" s="88"/>
      <c r="Y39" s="88" t="str">
        <f>+IF(J39=0,"",ROUND(J39*J$4/(100+J$4),7)-R39)</f>
        <v/>
      </c>
      <c r="Z39" s="88"/>
      <c r="AA39" s="88"/>
      <c r="AB39" s="87" t="str">
        <f>+IF(SUM(U39:Y39)=0,"",SUM(U39:Y39))</f>
        <v/>
      </c>
      <c r="AC39" s="87"/>
      <c r="AD39" s="87"/>
      <c r="AE39" s="2"/>
      <c r="AF39" s="2"/>
      <c r="AG39" s="2"/>
      <c r="AH39" s="2"/>
      <c r="AI39" s="2"/>
    </row>
    <row r="40" spans="1:35" s="62" customFormat="1" ht="14.25" thickBot="1">
      <c r="A40" s="100"/>
      <c r="B40" s="99"/>
      <c r="C40" s="98"/>
      <c r="D40" s="97"/>
      <c r="E40" s="93"/>
      <c r="F40" s="96"/>
      <c r="G40" s="95"/>
      <c r="H40" s="95"/>
      <c r="I40" s="95"/>
      <c r="J40" s="94"/>
      <c r="K40" s="34"/>
      <c r="L40" s="93"/>
      <c r="M40" s="93"/>
      <c r="N40" s="90"/>
      <c r="O40" s="89"/>
      <c r="P40" s="89"/>
      <c r="Q40" s="89"/>
      <c r="R40" s="92"/>
      <c r="S40" s="34"/>
      <c r="T40" s="91"/>
      <c r="U40" s="88" t="str">
        <f>+IF(F40=0,"",ROUND(F40*F$4/(100+F$4),7)-N40)</f>
        <v/>
      </c>
      <c r="V40" s="88"/>
      <c r="W40" s="88"/>
      <c r="X40" s="88"/>
      <c r="Y40" s="88"/>
      <c r="Z40" s="88"/>
      <c r="AA40" s="88"/>
      <c r="AB40" s="87"/>
      <c r="AC40" s="87"/>
      <c r="AD40" s="87"/>
      <c r="AE40" s="2"/>
      <c r="AF40" s="2"/>
      <c r="AG40" s="2"/>
      <c r="AH40" s="2"/>
      <c r="AI40" s="2"/>
    </row>
    <row r="41" spans="1:35" s="62" customFormat="1" ht="14.25" thickTop="1">
      <c r="A41" s="86"/>
      <c r="B41" s="85"/>
      <c r="C41" s="84"/>
      <c r="D41" s="83" t="s">
        <v>2</v>
      </c>
      <c r="E41" s="79">
        <f t="shared" ref="E41:T41" si="26">+SUM(E5,E22,E27)</f>
        <v>42643653765</v>
      </c>
      <c r="F41" s="82">
        <f t="shared" si="26"/>
        <v>0</v>
      </c>
      <c r="G41" s="81">
        <f t="shared" si="26"/>
        <v>0</v>
      </c>
      <c r="H41" s="81">
        <f t="shared" si="26"/>
        <v>1236141</v>
      </c>
      <c r="I41" s="81">
        <f t="shared" ref="I41" si="27">+SUM(I5,I22,I27)</f>
        <v>500878</v>
      </c>
      <c r="J41" s="80">
        <f t="shared" si="26"/>
        <v>9106828958</v>
      </c>
      <c r="K41" s="74">
        <f t="shared" si="26"/>
        <v>9108565977</v>
      </c>
      <c r="L41" s="79">
        <f t="shared" si="26"/>
        <v>4302104919</v>
      </c>
      <c r="M41" s="79">
        <f t="shared" si="26"/>
        <v>29232982869</v>
      </c>
      <c r="N41" s="76">
        <f t="shared" si="26"/>
        <v>0</v>
      </c>
      <c r="O41" s="75">
        <f t="shared" si="26"/>
        <v>0</v>
      </c>
      <c r="P41" s="75">
        <f t="shared" si="26"/>
        <v>91566</v>
      </c>
      <c r="Q41" s="75">
        <f t="shared" ref="Q41" si="28">+SUM(Q5,Q22,Q27)</f>
        <v>37102</v>
      </c>
      <c r="R41" s="78">
        <f t="shared" si="26"/>
        <v>827893541</v>
      </c>
      <c r="S41" s="74">
        <f t="shared" si="26"/>
        <v>828022209</v>
      </c>
      <c r="T41" s="77">
        <f t="shared" si="26"/>
        <v>42028119033</v>
      </c>
      <c r="U41" s="2"/>
      <c r="V41" s="2"/>
      <c r="W41" s="2"/>
      <c r="X41" s="2"/>
      <c r="Y41" s="2"/>
      <c r="Z41" s="2"/>
      <c r="AA41" s="2"/>
      <c r="AB41" s="2"/>
      <c r="AC41" s="2"/>
      <c r="AD41" s="2"/>
      <c r="AE41" s="2"/>
      <c r="AF41" s="2"/>
      <c r="AG41" s="2"/>
      <c r="AH41" s="2"/>
      <c r="AI41" s="2"/>
    </row>
    <row r="42" spans="1:35" s="62" customFormat="1">
      <c r="A42" s="73"/>
      <c r="B42" s="72"/>
      <c r="C42" s="71"/>
      <c r="D42" s="70" t="s">
        <v>1</v>
      </c>
      <c r="E42" s="65">
        <f t="shared" ref="E42:J42" si="29">+E41</f>
        <v>42643653765</v>
      </c>
      <c r="F42" s="69">
        <f t="shared" si="29"/>
        <v>0</v>
      </c>
      <c r="G42" s="68">
        <f t="shared" si="29"/>
        <v>0</v>
      </c>
      <c r="H42" s="68">
        <f t="shared" si="29"/>
        <v>1236141</v>
      </c>
      <c r="I42" s="68">
        <f t="shared" si="29"/>
        <v>500878</v>
      </c>
      <c r="J42" s="67">
        <f t="shared" si="29"/>
        <v>9106828958</v>
      </c>
      <c r="K42" s="63">
        <f>SUM(F42:J42)</f>
        <v>9108565977</v>
      </c>
      <c r="L42" s="65">
        <f>+L41</f>
        <v>4302104919</v>
      </c>
      <c r="M42" s="65">
        <f>+M41</f>
        <v>29232982869</v>
      </c>
      <c r="N42" s="64">
        <f>+ROUNDDOWN(F42*F$4/(100+F$4),0)</f>
        <v>0</v>
      </c>
      <c r="O42" s="64">
        <f>+ROUNDDOWN(G42*G$4/(100+G$4),0)</f>
        <v>0</v>
      </c>
      <c r="P42" s="64">
        <f>+ROUNDDOWN(H42*H$4/(100+H$4),0)</f>
        <v>91566</v>
      </c>
      <c r="Q42" s="64">
        <f>+ROUNDDOWN(I42*I$4/(100+I$4),0)</f>
        <v>37102</v>
      </c>
      <c r="R42" s="64">
        <f>+ROUNDDOWN(J42*J$4/(100+J$4),0)</f>
        <v>827893541</v>
      </c>
      <c r="S42" s="66">
        <f>SUM(N42:R42)</f>
        <v>828022209</v>
      </c>
      <c r="T42" s="65">
        <f>+E42-S42</f>
        <v>41815631556</v>
      </c>
      <c r="U42" s="2"/>
      <c r="V42" s="2"/>
      <c r="W42" s="2"/>
      <c r="X42" s="2"/>
      <c r="Y42" s="2"/>
      <c r="Z42" s="2"/>
      <c r="AA42" s="2"/>
      <c r="AB42" s="2"/>
      <c r="AC42" s="2"/>
      <c r="AD42" s="2"/>
      <c r="AE42" s="2"/>
      <c r="AF42" s="2"/>
      <c r="AG42" s="2"/>
      <c r="AH42" s="2"/>
      <c r="AI42" s="2"/>
    </row>
    <row r="43" spans="1:35">
      <c r="E43" s="4">
        <f t="shared" ref="E43:T43" si="30">+E42-E41</f>
        <v>0</v>
      </c>
      <c r="F43" s="4">
        <f t="shared" si="30"/>
        <v>0</v>
      </c>
      <c r="G43" s="4">
        <f t="shared" si="30"/>
        <v>0</v>
      </c>
      <c r="H43" s="4">
        <f t="shared" si="30"/>
        <v>0</v>
      </c>
      <c r="I43" s="4">
        <f t="shared" ref="I43" si="31">+I42-I41</f>
        <v>0</v>
      </c>
      <c r="J43" s="4">
        <f t="shared" si="30"/>
        <v>0</v>
      </c>
      <c r="K43" s="4">
        <f t="shared" si="30"/>
        <v>0</v>
      </c>
      <c r="L43" s="4">
        <f t="shared" si="30"/>
        <v>0</v>
      </c>
      <c r="M43" s="4">
        <f t="shared" si="30"/>
        <v>0</v>
      </c>
      <c r="N43" s="4">
        <f t="shared" si="30"/>
        <v>0</v>
      </c>
      <c r="O43" s="4">
        <f t="shared" si="30"/>
        <v>0</v>
      </c>
      <c r="P43" s="4">
        <f t="shared" si="30"/>
        <v>0</v>
      </c>
      <c r="Q43" s="4">
        <f t="shared" ref="Q43" si="32">+Q42-Q41</f>
        <v>0</v>
      </c>
      <c r="R43" s="4">
        <f t="shared" si="30"/>
        <v>0</v>
      </c>
      <c r="S43" s="4">
        <f t="shared" si="30"/>
        <v>0</v>
      </c>
      <c r="T43" s="4">
        <f t="shared" si="30"/>
        <v>-212487477</v>
      </c>
    </row>
    <row r="44" spans="1:35">
      <c r="V44" s="130"/>
    </row>
    <row r="45" spans="1:35">
      <c r="D45" s="1" t="s">
        <v>548</v>
      </c>
      <c r="P45" s="54"/>
      <c r="Q45" s="54"/>
      <c r="R45" s="54"/>
      <c r="S45" s="54"/>
      <c r="T45" s="54"/>
      <c r="U45" s="316"/>
      <c r="V45" s="316"/>
      <c r="W45" s="316"/>
      <c r="X45" s="316"/>
      <c r="Y45" s="316"/>
    </row>
    <row r="46" spans="1:35">
      <c r="D46" s="1" t="s">
        <v>2</v>
      </c>
      <c r="E46" s="4">
        <f>+E41-'3条支出'!E41</f>
        <v>-15892</v>
      </c>
      <c r="F46" s="1">
        <f>+F41-'3条支出'!F41</f>
        <v>0</v>
      </c>
      <c r="G46" s="1">
        <f>+G41-'3条支出'!G41</f>
        <v>0</v>
      </c>
      <c r="H46" s="1">
        <f>+H41-'3条支出'!H41</f>
        <v>0</v>
      </c>
      <c r="I46" s="1">
        <f>+I41-'3条支出'!I41</f>
        <v>0</v>
      </c>
      <c r="J46" s="1">
        <f>+J41-'3条支出'!J41</f>
        <v>108</v>
      </c>
      <c r="K46" s="1">
        <f>+K41-'3条支出'!K41</f>
        <v>108</v>
      </c>
      <c r="L46" s="1">
        <f>+L41-'3条支出'!L41</f>
        <v>0</v>
      </c>
      <c r="M46" s="1">
        <f>+M41-'3条支出'!M41</f>
        <v>-16000</v>
      </c>
      <c r="N46" s="3">
        <f>+N41-'3条支出'!N41</f>
        <v>0</v>
      </c>
      <c r="O46" s="3">
        <f>+O41-'3条支出'!O41</f>
        <v>0</v>
      </c>
      <c r="P46" s="3">
        <f>+P41-'3条支出'!P41</f>
        <v>0</v>
      </c>
      <c r="Q46" s="3">
        <f>+Q41-'3条支出'!Q41</f>
        <v>0</v>
      </c>
      <c r="R46" s="3">
        <f>+R41-'3条支出'!R41</f>
        <v>10</v>
      </c>
      <c r="S46" s="3">
        <f>+S41-'3条支出'!S41</f>
        <v>10</v>
      </c>
      <c r="T46" s="1">
        <f>+T41-'3条支出'!T41</f>
        <v>-15902</v>
      </c>
    </row>
  </sheetData>
  <mergeCells count="14">
    <mergeCell ref="AE3:AI3"/>
    <mergeCell ref="U45:Y45"/>
    <mergeCell ref="L3:L4"/>
    <mergeCell ref="M3:M4"/>
    <mergeCell ref="N3:S3"/>
    <mergeCell ref="T3:T4"/>
    <mergeCell ref="U3:Y3"/>
    <mergeCell ref="Z3:AD3"/>
    <mergeCell ref="F3:K3"/>
    <mergeCell ref="A3:A4"/>
    <mergeCell ref="B3:B4"/>
    <mergeCell ref="C3:C4"/>
    <mergeCell ref="D3:D4"/>
    <mergeCell ref="E3:E4"/>
  </mergeCells>
  <phoneticPr fontId="3"/>
  <conditionalFormatting sqref="AE36:AI37">
    <cfRule type="notContainsBlanks" dxfId="26" priority="5" stopIfTrue="1">
      <formula>LEN(TRIM(AE36))&gt;0</formula>
    </cfRule>
  </conditionalFormatting>
  <conditionalFormatting sqref="AE5:AI35">
    <cfRule type="notContainsBlanks" dxfId="25" priority="4" stopIfTrue="1">
      <formula>LEN(TRIM(AE5))&gt;0</formula>
    </cfRule>
  </conditionalFormatting>
  <conditionalFormatting sqref="Z18:AD35 Z5:AD14">
    <cfRule type="expression" dxfId="24" priority="3">
      <formula>ABS(Z5)=1</formula>
    </cfRule>
  </conditionalFormatting>
  <conditionalFormatting sqref="Z15:AD17">
    <cfRule type="expression" dxfId="23" priority="2">
      <formula>ABS(Z15)=1</formula>
    </cfRule>
  </conditionalFormatting>
  <conditionalFormatting sqref="E43:S43">
    <cfRule type="cellIs" dxfId="22" priority="1" operator="notEqual">
      <formula>0</formula>
    </cfRule>
  </conditionalFormatting>
  <pageMargins left="0.39370078740157483" right="0.39370078740157483" top="0.59055118110236227" bottom="0.39370078740157483" header="0.39370078740157483" footer="0.19685039370078741"/>
  <pageSetup paperSize="9" scale="85" fitToHeight="2" orientation="landscape" blackAndWhite="1" r:id="rId1"/>
  <headerFooter>
    <oddFooter>&amp;L&amp;8&amp;Z&amp;F&amp;A&amp;R&amp;8&amp;D&amp;T</oddFooter>
  </headerFooter>
  <rowBreaks count="1" manualBreakCount="1">
    <brk id="44" min="3" max="17" man="1"/>
  </rowBreaks>
  <drawing r:id="rId2"/>
  <legacy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I42"/>
  <sheetViews>
    <sheetView topLeftCell="A10" workbookViewId="0">
      <selection activeCell="E34" sqref="E34"/>
    </sheetView>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+'3条支出(共通按分後)'!D1</f>
        <v>令和3年度決算　消費税算出資料</v>
      </c>
    </row>
    <row r="2" spans="1:35">
      <c r="D2" s="2" t="s">
        <v>544</v>
      </c>
      <c r="V2" s="230"/>
      <c r="W2" s="230"/>
      <c r="X2" s="261"/>
      <c r="Y2" s="230"/>
      <c r="Z2" s="230"/>
      <c r="AA2" s="230"/>
      <c r="AB2" s="230"/>
      <c r="AC2" s="261"/>
      <c r="AD2" s="230"/>
      <c r="AE2" s="230"/>
      <c r="AF2" s="230"/>
      <c r="AG2" s="230"/>
      <c r="AH2" s="261"/>
      <c r="AI2" s="230"/>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230"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230">
        <v>3</v>
      </c>
      <c r="V4" s="230">
        <v>5</v>
      </c>
      <c r="W4" s="230">
        <v>8</v>
      </c>
      <c r="X4" s="267">
        <v>8</v>
      </c>
      <c r="Y4" s="262">
        <v>10</v>
      </c>
      <c r="Z4" s="262">
        <v>3</v>
      </c>
      <c r="AA4" s="262">
        <v>5</v>
      </c>
      <c r="AB4" s="262">
        <v>8</v>
      </c>
      <c r="AC4" s="267">
        <v>8</v>
      </c>
      <c r="AD4" s="262">
        <v>10</v>
      </c>
      <c r="AE4" s="262">
        <v>3</v>
      </c>
      <c r="AF4" s="262">
        <v>5</v>
      </c>
      <c r="AG4" s="262">
        <v>8</v>
      </c>
      <c r="AH4" s="267">
        <v>8</v>
      </c>
      <c r="AI4" s="230">
        <v>10</v>
      </c>
    </row>
    <row r="5" spans="1:35">
      <c r="A5" s="177">
        <v>1</v>
      </c>
      <c r="B5" s="176" t="s">
        <v>378</v>
      </c>
      <c r="C5" s="175"/>
      <c r="D5" s="174" t="s">
        <v>112</v>
      </c>
      <c r="E5" s="170">
        <f>+総係!E5+SUM(特環:浄化!E5)-SUM('特環(共通按分後):浄化(共通按分後)'!E5)</f>
        <v>8388763</v>
      </c>
      <c r="F5" s="173">
        <f>+総係!F5+SUM(特環:浄化!F5)-SUM('特環(共通按分後):浄化(共通按分後)'!F5)</f>
        <v>0</v>
      </c>
      <c r="G5" s="172">
        <f>+総係!G5+SUM(特環:浄化!G5)-SUM('特環(共通按分後):浄化(共通按分後)'!G5)</f>
        <v>0</v>
      </c>
      <c r="H5" s="275">
        <f>+総係!H5+SUM(特環:浄化!H5)-SUM('特環(共通按分後):浄化(共通按分後)'!H5)</f>
        <v>0</v>
      </c>
      <c r="I5" s="270">
        <f>+総係!I5+SUM(特環:浄化!I5)-SUM('特環(共通按分後):浄化(共通按分後)'!I5)</f>
        <v>0</v>
      </c>
      <c r="J5" s="171">
        <f>+総係!J5+SUM(特環:浄化!J5)-SUM('特環(共通按分後):浄化(共通按分後)'!J5)</f>
        <v>0</v>
      </c>
      <c r="K5" s="112">
        <f>+総係!K5+SUM(特環:浄化!K5)-SUM('特環(共通按分後):浄化(共通按分後)'!K5)</f>
        <v>0</v>
      </c>
      <c r="L5" s="170">
        <f>+総係!L5+SUM(特環:浄化!L5)-SUM('特環(共通按分後):浄化(共通按分後)'!L5)</f>
        <v>0</v>
      </c>
      <c r="M5" s="277">
        <f>+総係!M5+SUM(特環:浄化!M5)-SUM('特環(共通按分後):浄化(共通按分後)'!M5)</f>
        <v>8388763</v>
      </c>
      <c r="N5" s="169">
        <f>+総係!N5+SUM(特環:浄化!N5)-SUM('特環(共通按分後):浄化(共通按分後)'!N5)</f>
        <v>0</v>
      </c>
      <c r="O5" s="47">
        <f>+総係!O5+SUM(特環:浄化!O5)-SUM('特環(共通按分後):浄化(共通按分後)'!O5)</f>
        <v>0</v>
      </c>
      <c r="P5" s="47">
        <f>+総係!P5+SUM(特環:浄化!P5)-SUM('特環(共通按分後):浄化(共通按分後)'!P5)</f>
        <v>0</v>
      </c>
      <c r="Q5" s="168">
        <f>+総係!Q5+SUM(特環:浄化!Q5)-SUM('特環(共通按分後):浄化(共通按分後)'!Q5)</f>
        <v>0</v>
      </c>
      <c r="R5" s="168">
        <f>+総係!R5+SUM(特環:浄化!R5)-SUM('特環(共通按分後):浄化(共通按分後)'!R5)</f>
        <v>0</v>
      </c>
      <c r="S5" s="167">
        <f>+総係!S5+SUM(特環:浄化!S5)-SUM('特環(共通按分後):浄化(共通按分後)'!S5)</f>
        <v>0</v>
      </c>
      <c r="T5" s="166">
        <f>+総係!T5+SUM(特環:浄化!T5)-SUM('特環(共通按分後):浄化(共通按分後)'!T5)</f>
        <v>8388763</v>
      </c>
      <c r="U5" s="107">
        <f t="shared" ref="U5:U36" si="0">N5-F5*F$4/(100+F$4)</f>
        <v>0</v>
      </c>
      <c r="V5" s="107">
        <f t="shared" ref="V5:V36" si="1">O5-G5*G$4/(100+G$4)</f>
        <v>0</v>
      </c>
      <c r="W5" s="107">
        <f t="shared" ref="W5:X36" si="2">P5-H5*H$4/(100+H$4)</f>
        <v>0</v>
      </c>
      <c r="X5" s="107">
        <f t="shared" si="2"/>
        <v>0</v>
      </c>
      <c r="Y5" s="107">
        <f t="shared" ref="Y5:Y36" si="3">R5-J5*J$4/(100+J$4)</f>
        <v>0</v>
      </c>
      <c r="Z5" s="106">
        <f t="shared" ref="Z5:Z36" si="4">+IF(N$39=0,0,IF(N$39&lt;0,-RANK(U5,U$5:U$36,0),RANK(U5,U$5:U$36,1)))</f>
        <v>0</v>
      </c>
      <c r="AA5" s="106">
        <f t="shared" ref="AA5:AA36" si="5">+IF(O$39=0,0,IF(O$39&lt;0,-RANK(V5,V$5:V$36,0),RANK(V5,V$5:V$36,1)))</f>
        <v>0</v>
      </c>
      <c r="AB5" s="106">
        <f t="shared" ref="AB5:AB36" si="6">+IF(P$39=0,0,IF(P$39&lt;0,-RANK(W5,W$5:W$36,0),RANK(W5,W$5:W$36,1)))</f>
        <v>0</v>
      </c>
      <c r="AC5" s="106">
        <f t="shared" ref="AC5:AC36" si="7">+IF(Q$39=0,0,IF(Q$39&lt;0,-RANK(X5,X$5:X$36,0),RANK(X5,X$5:X$36,1)))</f>
        <v>0</v>
      </c>
      <c r="AD5" s="106">
        <f t="shared" ref="AD5:AD36" si="8">+IF(R$39=0,0,IF(R$39&lt;0,-RANK(Y5,Y$5:Y$36,0),RANK(Y5,Y$5:Y$36,1)))</f>
        <v>0</v>
      </c>
    </row>
    <row r="6" spans="1:35">
      <c r="A6" s="165">
        <v>1</v>
      </c>
      <c r="B6" s="164" t="s">
        <v>377</v>
      </c>
      <c r="C6" s="163"/>
      <c r="D6" s="162" t="s">
        <v>110</v>
      </c>
      <c r="E6" s="158">
        <f>+総係!E6+SUM(特環:浄化!E6)-SUM('特環(共通按分後):浄化(共通按分後)'!E6)</f>
        <v>118729200</v>
      </c>
      <c r="F6" s="161">
        <f>+総係!F6+SUM(特環:浄化!F6)-SUM('特環(共通按分後):浄化(共通按分後)'!F6)</f>
        <v>0</v>
      </c>
      <c r="G6" s="160">
        <f>+総係!G6+SUM(特環:浄化!G6)-SUM('特環(共通按分後):浄化(共通按分後)'!G6)</f>
        <v>0</v>
      </c>
      <c r="H6" s="160">
        <f>+総係!H6+SUM(特環:浄化!H6)-SUM('特環(共通按分後):浄化(共通按分後)'!H6)</f>
        <v>0</v>
      </c>
      <c r="I6" s="159">
        <f>+総係!I6+SUM(特環:浄化!I6)-SUM('特環(共通按分後):浄化(共通按分後)'!I6)</f>
        <v>0</v>
      </c>
      <c r="J6" s="159">
        <f>+総係!J6+SUM(特環:浄化!J6)-SUM('特環(共通按分後):浄化(共通按分後)'!J6)</f>
        <v>0</v>
      </c>
      <c r="K6" s="34">
        <f>+総係!K6+SUM(特環:浄化!K6)-SUM('特環(共通按分後):浄化(共通按分後)'!K6)</f>
        <v>0</v>
      </c>
      <c r="L6" s="158">
        <f>+総係!L6+SUM(特環:浄化!L6)-SUM('特環(共通按分後):浄化(共通按分後)'!L6)</f>
        <v>0</v>
      </c>
      <c r="M6" s="158">
        <f>+総係!M6+SUM(特環:浄化!M6)-SUM('特環(共通按分後):浄化(共通按分後)'!M6)</f>
        <v>118729200</v>
      </c>
      <c r="N6" s="108">
        <f>+総係!N6+SUM(特環:浄化!N6)-SUM('特環(共通按分後):浄化(共通按分後)'!N6)</f>
        <v>0</v>
      </c>
      <c r="O6" s="25">
        <f>+総係!O6+SUM(特環:浄化!O6)-SUM('特環(共通按分後):浄化(共通按分後)'!O6)</f>
        <v>0</v>
      </c>
      <c r="P6" s="25">
        <f>+総係!P6+SUM(特環:浄化!P6)-SUM('特環(共通按分後):浄化(共通按分後)'!P6)</f>
        <v>0</v>
      </c>
      <c r="Q6" s="157">
        <f>+総係!Q6+SUM(特環:浄化!Q6)-SUM('特環(共通按分後):浄化(共通按分後)'!Q6)</f>
        <v>0</v>
      </c>
      <c r="R6" s="157">
        <f>+総係!R6+SUM(特環:浄化!R6)-SUM('特環(共通按分後):浄化(共通按分後)'!R6)</f>
        <v>0</v>
      </c>
      <c r="S6" s="22">
        <f>+総係!S6+SUM(特環:浄化!S6)-SUM('特環(共通按分後):浄化(共通按分後)'!S6)</f>
        <v>0</v>
      </c>
      <c r="T6" s="109">
        <f>+総係!T6+SUM(特環:浄化!T6)-SUM('特環(共通按分後):浄化(共通按分後)'!T6)</f>
        <v>118729200</v>
      </c>
      <c r="U6" s="107">
        <f t="shared" si="0"/>
        <v>0</v>
      </c>
      <c r="V6" s="107">
        <f t="shared" si="1"/>
        <v>0</v>
      </c>
      <c r="W6" s="107">
        <f t="shared" si="2"/>
        <v>0</v>
      </c>
      <c r="X6" s="107">
        <f t="shared" si="2"/>
        <v>0</v>
      </c>
      <c r="Y6" s="107">
        <f t="shared" si="3"/>
        <v>0</v>
      </c>
      <c r="Z6" s="106">
        <f t="shared" si="4"/>
        <v>0</v>
      </c>
      <c r="AA6" s="106">
        <f t="shared" si="5"/>
        <v>0</v>
      </c>
      <c r="AB6" s="106">
        <f t="shared" si="6"/>
        <v>0</v>
      </c>
      <c r="AC6" s="106">
        <f t="shared" si="7"/>
        <v>0</v>
      </c>
      <c r="AD6" s="106">
        <f t="shared" si="8"/>
        <v>0</v>
      </c>
    </row>
    <row r="7" spans="1:35">
      <c r="A7" s="165">
        <v>1</v>
      </c>
      <c r="B7" s="164" t="s">
        <v>376</v>
      </c>
      <c r="C7" s="163"/>
      <c r="D7" s="162" t="s">
        <v>108</v>
      </c>
      <c r="E7" s="158">
        <f>+総係!E7+SUM(特環:浄化!E7)-SUM('特環(共通按分後):浄化(共通按分後)'!E7)</f>
        <v>90395023</v>
      </c>
      <c r="F7" s="161">
        <f>+総係!F7+SUM(特環:浄化!F7)-SUM('特環(共通按分後):浄化(共通按分後)'!F7)</f>
        <v>0</v>
      </c>
      <c r="G7" s="160">
        <f>+総係!G7+SUM(特環:浄化!G7)-SUM('特環(共通按分後):浄化(共通按分後)'!G7)</f>
        <v>0</v>
      </c>
      <c r="H7" s="160">
        <f>+総係!H7+SUM(特環:浄化!H7)-SUM('特環(共通按分後):浄化(共通按分後)'!H7)</f>
        <v>0</v>
      </c>
      <c r="I7" s="159">
        <f>+総係!I7+SUM(特環:浄化!I7)-SUM('特環(共通按分後):浄化(共通按分後)'!I7)</f>
        <v>0</v>
      </c>
      <c r="J7" s="159">
        <f>+総係!J7+SUM(特環:浄化!J7)-SUM('特環(共通按分後):浄化(共通按分後)'!J7)</f>
        <v>2558640</v>
      </c>
      <c r="K7" s="34">
        <f>+総係!K7+SUM(特環:浄化!K7)-SUM('特環(共通按分後):浄化(共通按分後)'!K7)</f>
        <v>2558640</v>
      </c>
      <c r="L7" s="158">
        <f>+総係!L7+SUM(特環:浄化!L7)-SUM('特環(共通按分後):浄化(共通按分後)'!L7)</f>
        <v>0</v>
      </c>
      <c r="M7" s="158">
        <f>+総係!M7+SUM(特環:浄化!M7)-SUM('特環(共通按分後):浄化(共通按分後)'!M7)</f>
        <v>87836383</v>
      </c>
      <c r="N7" s="108">
        <f>+総係!N7+SUM(特環:浄化!N7)-SUM('特環(共通按分後):浄化(共通按分後)'!N7)</f>
        <v>0</v>
      </c>
      <c r="O7" s="25">
        <f>+総係!O7+SUM(特環:浄化!O7)-SUM('特環(共通按分後):浄化(共通按分後)'!O7)</f>
        <v>0</v>
      </c>
      <c r="P7" s="25">
        <f>+総係!P7+SUM(特環:浄化!P7)-SUM('特環(共通按分後):浄化(共通按分後)'!P7)</f>
        <v>0</v>
      </c>
      <c r="Q7" s="157">
        <f>+総係!Q7+SUM(特環:浄化!Q7)-SUM('特環(共通按分後):浄化(共通按分後)'!Q7)</f>
        <v>0</v>
      </c>
      <c r="R7" s="157">
        <f>+総係!R7+SUM(特環:浄化!R7)-SUM('特環(共通按分後):浄化(共通按分後)'!R7)</f>
        <v>232604</v>
      </c>
      <c r="S7" s="22">
        <f>+総係!S7+SUM(特環:浄化!S7)-SUM('特環(共通按分後):浄化(共通按分後)'!S7)</f>
        <v>232604</v>
      </c>
      <c r="T7" s="109">
        <f>+総係!T7+SUM(特環:浄化!T7)-SUM('特環(共通按分後):浄化(共通按分後)'!T7)</f>
        <v>90162419</v>
      </c>
      <c r="U7" s="107">
        <f t="shared" si="0"/>
        <v>0</v>
      </c>
      <c r="V7" s="107">
        <f t="shared" si="1"/>
        <v>0</v>
      </c>
      <c r="W7" s="107">
        <f t="shared" si="2"/>
        <v>0</v>
      </c>
      <c r="X7" s="107">
        <f t="shared" si="2"/>
        <v>0</v>
      </c>
      <c r="Y7" s="107">
        <f t="shared" si="3"/>
        <v>0.36363636364694685</v>
      </c>
      <c r="Z7" s="106">
        <f t="shared" si="4"/>
        <v>0</v>
      </c>
      <c r="AA7" s="106">
        <f t="shared" si="5"/>
        <v>0</v>
      </c>
      <c r="AB7" s="106">
        <f t="shared" si="6"/>
        <v>0</v>
      </c>
      <c r="AC7" s="106">
        <f t="shared" si="7"/>
        <v>0</v>
      </c>
      <c r="AD7" s="106">
        <f t="shared" si="8"/>
        <v>0</v>
      </c>
    </row>
    <row r="8" spans="1:35">
      <c r="A8" s="165">
        <v>1</v>
      </c>
      <c r="B8" s="164" t="s">
        <v>375</v>
      </c>
      <c r="C8" s="163"/>
      <c r="D8" s="162" t="s">
        <v>106</v>
      </c>
      <c r="E8" s="158">
        <f>+総係!E8+SUM(特環:浄化!E8)-SUM('特環(共通按分後):浄化(共通按分後)'!E8)</f>
        <v>47128075</v>
      </c>
      <c r="F8" s="161">
        <f>+総係!F8+SUM(特環:浄化!F8)-SUM('特環(共通按分後):浄化(共通按分後)'!F8)</f>
        <v>0</v>
      </c>
      <c r="G8" s="160">
        <f>+総係!G8+SUM(特環:浄化!G8)-SUM('特環(共通按分後):浄化(共通按分後)'!G8)</f>
        <v>0</v>
      </c>
      <c r="H8" s="160">
        <f>+総係!H8+SUM(特環:浄化!H8)-SUM('特環(共通按分後):浄化(共通按分後)'!H8)</f>
        <v>0</v>
      </c>
      <c r="I8" s="159">
        <f>+総係!I8+SUM(特環:浄化!I8)-SUM('特環(共通按分後):浄化(共通按分後)'!I8)</f>
        <v>0</v>
      </c>
      <c r="J8" s="159">
        <f>+総係!J8+SUM(特環:浄化!J8)-SUM('特環(共通按分後):浄化(共通按分後)'!J8)</f>
        <v>0</v>
      </c>
      <c r="K8" s="34">
        <f>+総係!K8+SUM(特環:浄化!K8)-SUM('特環(共通按分後):浄化(共通按分後)'!K8)</f>
        <v>0</v>
      </c>
      <c r="L8" s="158">
        <f>+総係!L8+SUM(特環:浄化!L8)-SUM('特環(共通按分後):浄化(共通按分後)'!L8)</f>
        <v>46938541</v>
      </c>
      <c r="M8" s="158">
        <f>+総係!M8+SUM(特環:浄化!M8)-SUM('特環(共通按分後):浄化(共通按分後)'!M8)</f>
        <v>189534</v>
      </c>
      <c r="N8" s="108">
        <f>+総係!N8+SUM(特環:浄化!N8)-SUM('特環(共通按分後):浄化(共通按分後)'!N8)</f>
        <v>0</v>
      </c>
      <c r="O8" s="25">
        <f>+総係!O8+SUM(特環:浄化!O8)-SUM('特環(共通按分後):浄化(共通按分後)'!O8)</f>
        <v>0</v>
      </c>
      <c r="P8" s="25">
        <f>+総係!P8+SUM(特環:浄化!P8)-SUM('特環(共通按分後):浄化(共通按分後)'!P8)</f>
        <v>0</v>
      </c>
      <c r="Q8" s="157">
        <f>+総係!Q8+SUM(特環:浄化!Q8)-SUM('特環(共通按分後):浄化(共通按分後)'!Q8)</f>
        <v>0</v>
      </c>
      <c r="R8" s="157">
        <f>+総係!R8+SUM(特環:浄化!R8)-SUM('特環(共通按分後):浄化(共通按分後)'!R8)</f>
        <v>0</v>
      </c>
      <c r="S8" s="22">
        <f>+総係!S8+SUM(特環:浄化!S8)-SUM('特環(共通按分後):浄化(共通按分後)'!S8)</f>
        <v>0</v>
      </c>
      <c r="T8" s="109">
        <f>+総係!T8+SUM(特環:浄化!T8)-SUM('特環(共通按分後):浄化(共通按分後)'!T8)</f>
        <v>47128075</v>
      </c>
      <c r="U8" s="107">
        <f t="shared" si="0"/>
        <v>0</v>
      </c>
      <c r="V8" s="107">
        <f t="shared" si="1"/>
        <v>0</v>
      </c>
      <c r="W8" s="107">
        <f t="shared" si="2"/>
        <v>0</v>
      </c>
      <c r="X8" s="107">
        <f t="shared" si="2"/>
        <v>0</v>
      </c>
      <c r="Y8" s="107">
        <f t="shared" si="3"/>
        <v>0</v>
      </c>
      <c r="Z8" s="106">
        <f t="shared" si="4"/>
        <v>0</v>
      </c>
      <c r="AA8" s="106">
        <f t="shared" si="5"/>
        <v>0</v>
      </c>
      <c r="AB8" s="106">
        <f t="shared" si="6"/>
        <v>0</v>
      </c>
      <c r="AC8" s="106">
        <f t="shared" si="7"/>
        <v>0</v>
      </c>
      <c r="AD8" s="106">
        <f t="shared" si="8"/>
        <v>0</v>
      </c>
    </row>
    <row r="9" spans="1:35">
      <c r="A9" s="165">
        <v>1</v>
      </c>
      <c r="B9" s="164" t="s">
        <v>374</v>
      </c>
      <c r="C9" s="163"/>
      <c r="D9" s="162" t="s">
        <v>104</v>
      </c>
      <c r="E9" s="158">
        <f>+総係!E9+SUM(特環:浄化!E9)-SUM('特環(共通按分後):浄化(共通按分後)'!E9)</f>
        <v>183360</v>
      </c>
      <c r="F9" s="161">
        <f>+総係!F9+SUM(特環:浄化!F9)-SUM('特環(共通按分後):浄化(共通按分後)'!F9)</f>
        <v>0</v>
      </c>
      <c r="G9" s="160">
        <f>+総係!G9+SUM(特環:浄化!G9)-SUM('特環(共通按分後):浄化(共通按分後)'!G9)</f>
        <v>0</v>
      </c>
      <c r="H9" s="160">
        <f>+総係!H9+SUM(特環:浄化!H9)-SUM('特環(共通按分後):浄化(共通按分後)'!H9)</f>
        <v>0</v>
      </c>
      <c r="I9" s="159">
        <f>+総係!I9+SUM(特環:浄化!I9)-SUM('特環(共通按分後):浄化(共通按分後)'!I9)</f>
        <v>0</v>
      </c>
      <c r="J9" s="159">
        <f>+総係!J9+SUM(特環:浄化!J9)-SUM('特環(共通按分後):浄化(共通按分後)'!J9)</f>
        <v>0</v>
      </c>
      <c r="K9" s="34">
        <f>+総係!K9+SUM(特環:浄化!K9)-SUM('特環(共通按分後):浄化(共通按分後)'!K9)</f>
        <v>0</v>
      </c>
      <c r="L9" s="158">
        <f>+総係!L9+SUM(特環:浄化!L9)-SUM('特環(共通按分後):浄化(共通按分後)'!L9)</f>
        <v>0</v>
      </c>
      <c r="M9" s="158">
        <f>+総係!M9+SUM(特環:浄化!M9)-SUM('特環(共通按分後):浄化(共通按分後)'!M9)</f>
        <v>183360</v>
      </c>
      <c r="N9" s="108">
        <f>+総係!N9+SUM(特環:浄化!N9)-SUM('特環(共通按分後):浄化(共通按分後)'!N9)</f>
        <v>0</v>
      </c>
      <c r="O9" s="25">
        <f>+総係!O9+SUM(特環:浄化!O9)-SUM('特環(共通按分後):浄化(共通按分後)'!O9)</f>
        <v>0</v>
      </c>
      <c r="P9" s="25">
        <f>+総係!P9+SUM(特環:浄化!P9)-SUM('特環(共通按分後):浄化(共通按分後)'!P9)</f>
        <v>0</v>
      </c>
      <c r="Q9" s="157">
        <f>+総係!Q9+SUM(特環:浄化!Q9)-SUM('特環(共通按分後):浄化(共通按分後)'!Q9)</f>
        <v>0</v>
      </c>
      <c r="R9" s="157">
        <f>+総係!R9+SUM(特環:浄化!R9)-SUM('特環(共通按分後):浄化(共通按分後)'!R9)</f>
        <v>0</v>
      </c>
      <c r="S9" s="22">
        <f>+総係!S9+SUM(特環:浄化!S9)-SUM('特環(共通按分後):浄化(共通按分後)'!S9)</f>
        <v>0</v>
      </c>
      <c r="T9" s="109">
        <f>+総係!T9+SUM(特環:浄化!T9)-SUM('特環(共通按分後):浄化(共通按分後)'!T9)</f>
        <v>183360</v>
      </c>
      <c r="U9" s="107">
        <f t="shared" si="0"/>
        <v>0</v>
      </c>
      <c r="V9" s="107">
        <f t="shared" si="1"/>
        <v>0</v>
      </c>
      <c r="W9" s="107">
        <f t="shared" si="2"/>
        <v>0</v>
      </c>
      <c r="X9" s="107">
        <f t="shared" si="2"/>
        <v>0</v>
      </c>
      <c r="Y9" s="107">
        <f t="shared" si="3"/>
        <v>0</v>
      </c>
      <c r="Z9" s="106">
        <f t="shared" si="4"/>
        <v>0</v>
      </c>
      <c r="AA9" s="106">
        <f t="shared" si="5"/>
        <v>0</v>
      </c>
      <c r="AB9" s="106">
        <f t="shared" si="6"/>
        <v>0</v>
      </c>
      <c r="AC9" s="106">
        <f t="shared" si="7"/>
        <v>0</v>
      </c>
      <c r="AD9" s="106">
        <f t="shared" si="8"/>
        <v>0</v>
      </c>
    </row>
    <row r="10" spans="1:35">
      <c r="A10" s="165">
        <v>1</v>
      </c>
      <c r="B10" s="164" t="s">
        <v>373</v>
      </c>
      <c r="C10" s="163"/>
      <c r="D10" s="162" t="s">
        <v>102</v>
      </c>
      <c r="E10" s="158">
        <f>+総係!E10+SUM(特環:浄化!E10)-SUM('特環(共通按分後):浄化(共通按分後)'!E10)</f>
        <v>0</v>
      </c>
      <c r="F10" s="161">
        <f>+総係!F10+SUM(特環:浄化!F10)-SUM('特環(共通按分後):浄化(共通按分後)'!F10)</f>
        <v>0</v>
      </c>
      <c r="G10" s="160">
        <f>+総係!G10+SUM(特環:浄化!G10)-SUM('特環(共通按分後):浄化(共通按分後)'!G10)</f>
        <v>0</v>
      </c>
      <c r="H10" s="276">
        <f>+総係!H10+SUM(特環:浄化!H10)-SUM('特環(共通按分後):浄化(共通按分後)'!H10)</f>
        <v>0</v>
      </c>
      <c r="I10" s="271">
        <f>+総係!I10+SUM(特環:浄化!I10)-SUM('特環(共通按分後):浄化(共通按分後)'!I10)</f>
        <v>0</v>
      </c>
      <c r="J10" s="159">
        <f>+総係!J10+SUM(特環:浄化!J10)-SUM('特環(共通按分後):浄化(共通按分後)'!J10)</f>
        <v>0</v>
      </c>
      <c r="K10" s="34">
        <f>+総係!K10+SUM(特環:浄化!K10)-SUM('特環(共通按分後):浄化(共通按分後)'!K10)</f>
        <v>0</v>
      </c>
      <c r="L10" s="158">
        <f>+総係!L10+SUM(特環:浄化!L10)-SUM('特環(共通按分後):浄化(共通按分後)'!L10)</f>
        <v>0</v>
      </c>
      <c r="M10" s="278">
        <f>+総係!M10+SUM(特環:浄化!M10)-SUM('特環(共通按分後):浄化(共通按分後)'!M10)</f>
        <v>0</v>
      </c>
      <c r="N10" s="108">
        <f>+総係!N10+SUM(特環:浄化!N10)-SUM('特環(共通按分後):浄化(共通按分後)'!N10)</f>
        <v>0</v>
      </c>
      <c r="O10" s="25">
        <f>+総係!O10+SUM(特環:浄化!O10)-SUM('特環(共通按分後):浄化(共通按分後)'!O10)</f>
        <v>0</v>
      </c>
      <c r="P10" s="25">
        <f>+総係!P10+SUM(特環:浄化!P10)-SUM('特環(共通按分後):浄化(共通按分後)'!P10)</f>
        <v>0</v>
      </c>
      <c r="Q10" s="157">
        <f>+総係!Q10+SUM(特環:浄化!Q10)-SUM('特環(共通按分後):浄化(共通按分後)'!Q10)</f>
        <v>0</v>
      </c>
      <c r="R10" s="157">
        <f>+総係!R10+SUM(特環:浄化!R10)-SUM('特環(共通按分後):浄化(共通按分後)'!R10)</f>
        <v>0</v>
      </c>
      <c r="S10" s="22">
        <f>+総係!S10+SUM(特環:浄化!S10)-SUM('特環(共通按分後):浄化(共通按分後)'!S10)</f>
        <v>0</v>
      </c>
      <c r="T10" s="109">
        <f>+総係!T10+SUM(特環:浄化!T10)-SUM('特環(共通按分後):浄化(共通按分後)'!T10)</f>
        <v>0</v>
      </c>
      <c r="U10" s="107">
        <f t="shared" si="0"/>
        <v>0</v>
      </c>
      <c r="V10" s="107">
        <f t="shared" si="1"/>
        <v>0</v>
      </c>
      <c r="W10" s="107">
        <f t="shared" si="2"/>
        <v>0</v>
      </c>
      <c r="X10" s="107">
        <f t="shared" si="2"/>
        <v>0</v>
      </c>
      <c r="Y10" s="107">
        <f t="shared" si="3"/>
        <v>0</v>
      </c>
      <c r="Z10" s="106">
        <f t="shared" si="4"/>
        <v>0</v>
      </c>
      <c r="AA10" s="106">
        <f t="shared" si="5"/>
        <v>0</v>
      </c>
      <c r="AB10" s="106">
        <f t="shared" si="6"/>
        <v>0</v>
      </c>
      <c r="AC10" s="106">
        <f t="shared" si="7"/>
        <v>0</v>
      </c>
      <c r="AD10" s="106">
        <f t="shared" si="8"/>
        <v>0</v>
      </c>
    </row>
    <row r="11" spans="1:35">
      <c r="A11" s="165">
        <v>1</v>
      </c>
      <c r="B11" s="164" t="s">
        <v>372</v>
      </c>
      <c r="C11" s="163"/>
      <c r="D11" s="162" t="s">
        <v>100</v>
      </c>
      <c r="E11" s="158">
        <f>+総係!E11+SUM(特環:浄化!E11)-SUM('特環(共通按分後):浄化(共通按分後)'!E11)</f>
        <v>0</v>
      </c>
      <c r="F11" s="161">
        <f>+総係!F11+SUM(特環:浄化!F11)-SUM('特環(共通按分後):浄化(共通按分後)'!F11)</f>
        <v>0</v>
      </c>
      <c r="G11" s="160">
        <f>+総係!G11+SUM(特環:浄化!G11)-SUM('特環(共通按分後):浄化(共通按分後)'!G11)</f>
        <v>0</v>
      </c>
      <c r="H11" s="160">
        <f>+総係!H11+SUM(特環:浄化!H11)-SUM('特環(共通按分後):浄化(共通按分後)'!H11)</f>
        <v>0</v>
      </c>
      <c r="I11" s="159">
        <f>+総係!I11+SUM(特環:浄化!I11)-SUM('特環(共通按分後):浄化(共通按分後)'!I11)</f>
        <v>0</v>
      </c>
      <c r="J11" s="159">
        <f>+総係!J11+SUM(特環:浄化!J11)-SUM('特環(共通按分後):浄化(共通按分後)'!J11)</f>
        <v>0</v>
      </c>
      <c r="K11" s="34">
        <f>+総係!K11+SUM(特環:浄化!K11)-SUM('特環(共通按分後):浄化(共通按分後)'!K11)</f>
        <v>0</v>
      </c>
      <c r="L11" s="158">
        <f>+総係!L11+SUM(特環:浄化!L11)-SUM('特環(共通按分後):浄化(共通按分後)'!L11)</f>
        <v>0</v>
      </c>
      <c r="M11" s="158">
        <f>+総係!M11+SUM(特環:浄化!M11)-SUM('特環(共通按分後):浄化(共通按分後)'!M11)</f>
        <v>0</v>
      </c>
      <c r="N11" s="108">
        <f>+総係!N11+SUM(特環:浄化!N11)-SUM('特環(共通按分後):浄化(共通按分後)'!N11)</f>
        <v>0</v>
      </c>
      <c r="O11" s="25">
        <f>+総係!O11+SUM(特環:浄化!O11)-SUM('特環(共通按分後):浄化(共通按分後)'!O11)</f>
        <v>0</v>
      </c>
      <c r="P11" s="25">
        <f>+総係!P11+SUM(特環:浄化!P11)-SUM('特環(共通按分後):浄化(共通按分後)'!P11)</f>
        <v>0</v>
      </c>
      <c r="Q11" s="157">
        <f>+総係!Q11+SUM(特環:浄化!Q11)-SUM('特環(共通按分後):浄化(共通按分後)'!Q11)</f>
        <v>0</v>
      </c>
      <c r="R11" s="157">
        <f>+総係!R11+SUM(特環:浄化!R11)-SUM('特環(共通按分後):浄化(共通按分後)'!R11)</f>
        <v>0</v>
      </c>
      <c r="S11" s="22">
        <f>+総係!S11+SUM(特環:浄化!S11)-SUM('特環(共通按分後):浄化(共通按分後)'!S11)</f>
        <v>0</v>
      </c>
      <c r="T11" s="109">
        <f>+総係!T11+SUM(特環:浄化!T11)-SUM('特環(共通按分後):浄化(共通按分後)'!T11)</f>
        <v>0</v>
      </c>
      <c r="U11" s="107">
        <f t="shared" si="0"/>
        <v>0</v>
      </c>
      <c r="V11" s="107">
        <f t="shared" si="1"/>
        <v>0</v>
      </c>
      <c r="W11" s="107">
        <f t="shared" si="2"/>
        <v>0</v>
      </c>
      <c r="X11" s="107">
        <f t="shared" si="2"/>
        <v>0</v>
      </c>
      <c r="Y11" s="107">
        <f t="shared" si="3"/>
        <v>0</v>
      </c>
      <c r="Z11" s="106">
        <f t="shared" si="4"/>
        <v>0</v>
      </c>
      <c r="AA11" s="106">
        <f t="shared" si="5"/>
        <v>0</v>
      </c>
      <c r="AB11" s="106">
        <f t="shared" si="6"/>
        <v>0</v>
      </c>
      <c r="AC11" s="106">
        <f t="shared" si="7"/>
        <v>0</v>
      </c>
      <c r="AD11" s="106">
        <f t="shared" si="8"/>
        <v>0</v>
      </c>
    </row>
    <row r="12" spans="1:35">
      <c r="A12" s="165">
        <v>1</v>
      </c>
      <c r="B12" s="164" t="s">
        <v>370</v>
      </c>
      <c r="C12" s="163" t="s">
        <v>371</v>
      </c>
      <c r="D12" s="162" t="s">
        <v>98</v>
      </c>
      <c r="E12" s="158">
        <f>+総係!E12+SUM(特環:浄化!E12)-SUM('特環(共通按分後):浄化(共通按分後)'!E12)</f>
        <v>3324070</v>
      </c>
      <c r="F12" s="161">
        <f>+総係!F12+SUM(特環:浄化!F12)-SUM('特環(共通按分後):浄化(共通按分後)'!F12)</f>
        <v>0</v>
      </c>
      <c r="G12" s="160">
        <f>+総係!G12+SUM(特環:浄化!G12)-SUM('特環(共通按分後):浄化(共通按分後)'!G12)</f>
        <v>0</v>
      </c>
      <c r="H12" s="160">
        <f>+総係!H12+SUM(特環:浄化!H12)-SUM('特環(共通按分後):浄化(共通按分後)'!H12)</f>
        <v>0</v>
      </c>
      <c r="I12" s="159">
        <f>+総係!I12+SUM(特環:浄化!I12)-SUM('特環(共通按分後):浄化(共通按分後)'!I12)</f>
        <v>0</v>
      </c>
      <c r="J12" s="159">
        <f>+総係!J12+SUM(特環:浄化!J12)-SUM('特環(共通按分後):浄化(共通按分後)'!J12)</f>
        <v>3298170</v>
      </c>
      <c r="K12" s="34">
        <f>+総係!K12+SUM(特環:浄化!K12)-SUM('特環(共通按分後):浄化(共通按分後)'!K12)</f>
        <v>3298170</v>
      </c>
      <c r="L12" s="158">
        <f>+総係!L12+SUM(特環:浄化!L12)-SUM('特環(共通按分後):浄化(共通按分後)'!L12)</f>
        <v>0</v>
      </c>
      <c r="M12" s="158">
        <f>+総係!M12+SUM(特環:浄化!M12)-SUM('特環(共通按分後):浄化(共通按分後)'!M12)</f>
        <v>25900</v>
      </c>
      <c r="N12" s="108">
        <f>+総係!N12+SUM(特環:浄化!N12)-SUM('特環(共通按分後):浄化(共通按分後)'!N12)</f>
        <v>0</v>
      </c>
      <c r="O12" s="25">
        <f>+総係!O12+SUM(特環:浄化!O12)-SUM('特環(共通按分後):浄化(共通按分後)'!O12)</f>
        <v>0</v>
      </c>
      <c r="P12" s="25">
        <f>+総係!P12+SUM(特環:浄化!P12)-SUM('特環(共通按分後):浄化(共通按分後)'!P12)</f>
        <v>0</v>
      </c>
      <c r="Q12" s="157">
        <f>+総係!Q12+SUM(特環:浄化!Q12)-SUM('特環(共通按分後):浄化(共通按分後)'!Q12)</f>
        <v>0</v>
      </c>
      <c r="R12" s="157">
        <f>+総係!R12+SUM(特環:浄化!R12)-SUM('特環(共通按分後):浄化(共通按分後)'!R12)</f>
        <v>299833</v>
      </c>
      <c r="S12" s="22">
        <f>+総係!S12+SUM(特環:浄化!S12)-SUM('特環(共通按分後):浄化(共通按分後)'!S12)</f>
        <v>299833</v>
      </c>
      <c r="T12" s="109">
        <f>+総係!T12+SUM(特環:浄化!T12)-SUM('特環(共通按分後):浄化(共通按分後)'!T12)</f>
        <v>3024237</v>
      </c>
      <c r="U12" s="107">
        <f t="shared" si="0"/>
        <v>0</v>
      </c>
      <c r="V12" s="107">
        <f t="shared" si="1"/>
        <v>0</v>
      </c>
      <c r="W12" s="107">
        <f t="shared" si="2"/>
        <v>0</v>
      </c>
      <c r="X12" s="107">
        <f t="shared" si="2"/>
        <v>0</v>
      </c>
      <c r="Y12" s="107">
        <f t="shared" si="3"/>
        <v>-0.63636363635305315</v>
      </c>
      <c r="Z12" s="106">
        <f t="shared" si="4"/>
        <v>0</v>
      </c>
      <c r="AA12" s="106">
        <f t="shared" si="5"/>
        <v>0</v>
      </c>
      <c r="AB12" s="106">
        <f t="shared" si="6"/>
        <v>0</v>
      </c>
      <c r="AC12" s="106">
        <f t="shared" si="7"/>
        <v>0</v>
      </c>
      <c r="AD12" s="106">
        <f t="shared" si="8"/>
        <v>0</v>
      </c>
    </row>
    <row r="13" spans="1:35">
      <c r="A13" s="165">
        <v>1</v>
      </c>
      <c r="B13" s="164" t="s">
        <v>370</v>
      </c>
      <c r="C13" s="163" t="s">
        <v>369</v>
      </c>
      <c r="D13" s="162" t="s">
        <v>95</v>
      </c>
      <c r="E13" s="158">
        <f>+総係!E13+SUM(特環:浄化!E13)-SUM('特環(共通按分後):浄化(共通按分後)'!E13)</f>
        <v>0</v>
      </c>
      <c r="F13" s="161">
        <f>+総係!F13+SUM(特環:浄化!F13)-SUM('特環(共通按分後):浄化(共通按分後)'!F13)</f>
        <v>0</v>
      </c>
      <c r="G13" s="160">
        <f>+総係!G13+SUM(特環:浄化!G13)-SUM('特環(共通按分後):浄化(共通按分後)'!G13)</f>
        <v>0</v>
      </c>
      <c r="H13" s="160">
        <f>+総係!H13+SUM(特環:浄化!H13)-SUM('特環(共通按分後):浄化(共通按分後)'!H13)</f>
        <v>0</v>
      </c>
      <c r="I13" s="159">
        <f>+総係!I13+SUM(特環:浄化!I13)-SUM('特環(共通按分後):浄化(共通按分後)'!I13)</f>
        <v>0</v>
      </c>
      <c r="J13" s="159">
        <f>+総係!J13+SUM(特環:浄化!J13)-SUM('特環(共通按分後):浄化(共通按分後)'!J13)</f>
        <v>0</v>
      </c>
      <c r="K13" s="34">
        <f>+総係!K13+SUM(特環:浄化!K13)-SUM('特環(共通按分後):浄化(共通按分後)'!K13)</f>
        <v>0</v>
      </c>
      <c r="L13" s="158">
        <f>+総係!L13+SUM(特環:浄化!L13)-SUM('特環(共通按分後):浄化(共通按分後)'!L13)</f>
        <v>0</v>
      </c>
      <c r="M13" s="158">
        <f>+総係!M13+SUM(特環:浄化!M13)-SUM('特環(共通按分後):浄化(共通按分後)'!M13)</f>
        <v>0</v>
      </c>
      <c r="N13" s="108">
        <f>+総係!N13+SUM(特環:浄化!N13)-SUM('特環(共通按分後):浄化(共通按分後)'!N13)</f>
        <v>0</v>
      </c>
      <c r="O13" s="25">
        <f>+総係!O13+SUM(特環:浄化!O13)-SUM('特環(共通按分後):浄化(共通按分後)'!O13)</f>
        <v>0</v>
      </c>
      <c r="P13" s="25">
        <f>+総係!P13+SUM(特環:浄化!P13)-SUM('特環(共通按分後):浄化(共通按分後)'!P13)</f>
        <v>0</v>
      </c>
      <c r="Q13" s="157">
        <f>+総係!Q13+SUM(特環:浄化!Q13)-SUM('特環(共通按分後):浄化(共通按分後)'!Q13)</f>
        <v>0</v>
      </c>
      <c r="R13" s="157">
        <f>+総係!R13+SUM(特環:浄化!R13)-SUM('特環(共通按分後):浄化(共通按分後)'!R13)</f>
        <v>0</v>
      </c>
      <c r="S13" s="22">
        <f>+総係!S13+SUM(特環:浄化!S13)-SUM('特環(共通按分後):浄化(共通按分後)'!S13)</f>
        <v>0</v>
      </c>
      <c r="T13" s="109">
        <f>+総係!T13+SUM(特環:浄化!T13)-SUM('特環(共通按分後):浄化(共通按分後)'!T13)</f>
        <v>0</v>
      </c>
      <c r="U13" s="107">
        <f t="shared" si="0"/>
        <v>0</v>
      </c>
      <c r="V13" s="107">
        <f t="shared" si="1"/>
        <v>0</v>
      </c>
      <c r="W13" s="107">
        <f t="shared" si="2"/>
        <v>0</v>
      </c>
      <c r="X13" s="107">
        <f t="shared" si="2"/>
        <v>0</v>
      </c>
      <c r="Y13" s="107">
        <f t="shared" si="3"/>
        <v>0</v>
      </c>
      <c r="Z13" s="106">
        <f t="shared" si="4"/>
        <v>0</v>
      </c>
      <c r="AA13" s="106">
        <f t="shared" si="5"/>
        <v>0</v>
      </c>
      <c r="AB13" s="106">
        <f t="shared" si="6"/>
        <v>0</v>
      </c>
      <c r="AC13" s="106">
        <f t="shared" si="7"/>
        <v>0</v>
      </c>
      <c r="AD13" s="106">
        <f t="shared" si="8"/>
        <v>0</v>
      </c>
    </row>
    <row r="14" spans="1:35">
      <c r="A14" s="165">
        <v>1</v>
      </c>
      <c r="B14" s="164" t="s">
        <v>368</v>
      </c>
      <c r="C14" s="163"/>
      <c r="D14" s="162" t="s">
        <v>93</v>
      </c>
      <c r="E14" s="158">
        <f>+総係!E14+SUM(特環:浄化!E14)-SUM('特環(共通按分後):浄化(共通按分後)'!E14)</f>
        <v>6907716</v>
      </c>
      <c r="F14" s="161">
        <f>+総係!F14+SUM(特環:浄化!F14)-SUM('特環(共通按分後):浄化(共通按分後)'!F14)</f>
        <v>0</v>
      </c>
      <c r="G14" s="160">
        <f>+総係!G14+SUM(特環:浄化!G14)-SUM('特環(共通按分後):浄化(共通按分後)'!G14)</f>
        <v>0</v>
      </c>
      <c r="H14" s="160">
        <f>+総係!H14+SUM(特環:浄化!H14)-SUM('特環(共通按分後):浄化(共通按分後)'!H14)</f>
        <v>0</v>
      </c>
      <c r="I14" s="159">
        <f>+総係!I14+SUM(特環:浄化!I14)-SUM('特環(共通按分後):浄化(共通按分後)'!I14)</f>
        <v>325921</v>
      </c>
      <c r="J14" s="159">
        <f>+総係!J14+SUM(特環:浄化!J14)-SUM('特環(共通按分後):浄化(共通按分後)'!J14)</f>
        <v>6581795</v>
      </c>
      <c r="K14" s="34">
        <f>+総係!K14+SUM(特環:浄化!K14)-SUM('特環(共通按分後):浄化(共通按分後)'!K14)</f>
        <v>6907716</v>
      </c>
      <c r="L14" s="158">
        <f>+総係!L14+SUM(特環:浄化!L14)-SUM('特環(共通按分後):浄化(共通按分後)'!L14)</f>
        <v>0</v>
      </c>
      <c r="M14" s="158">
        <f>+総係!M14+SUM(特環:浄化!M14)-SUM('特環(共通按分後):浄化(共通按分後)'!M14)</f>
        <v>0</v>
      </c>
      <c r="N14" s="108">
        <f>+総係!N14+SUM(特環:浄化!N14)-SUM('特環(共通按分後):浄化(共通按分後)'!N14)</f>
        <v>0</v>
      </c>
      <c r="O14" s="25">
        <f>+総係!O14+SUM(特環:浄化!O14)-SUM('特環(共通按分後):浄化(共通按分後)'!O14)</f>
        <v>0</v>
      </c>
      <c r="P14" s="25">
        <f>+総係!P14+SUM(特環:浄化!P14)-SUM('特環(共通按分後):浄化(共通按分後)'!P14)</f>
        <v>0</v>
      </c>
      <c r="Q14" s="157">
        <f>+総係!Q14+SUM(特環:浄化!Q14)-SUM('特環(共通按分後):浄化(共通按分後)'!Q14)</f>
        <v>24142</v>
      </c>
      <c r="R14" s="157">
        <f>+総係!R14+SUM(特環:浄化!R14)-SUM('特環(共通按分後):浄化(共通按分後)'!R14)</f>
        <v>598345</v>
      </c>
      <c r="S14" s="22">
        <f>+総係!S14+SUM(特環:浄化!S14)-SUM('特環(共通按分後):浄化(共通按分後)'!S14)</f>
        <v>622487</v>
      </c>
      <c r="T14" s="109">
        <f>+総係!T14+SUM(特環:浄化!T14)-SUM('特環(共通按分後):浄化(共通按分後)'!T14)</f>
        <v>6285229</v>
      </c>
      <c r="U14" s="107">
        <f t="shared" si="0"/>
        <v>0</v>
      </c>
      <c r="V14" s="107">
        <f t="shared" si="1"/>
        <v>0</v>
      </c>
      <c r="W14" s="107">
        <f t="shared" si="2"/>
        <v>0</v>
      </c>
      <c r="X14" s="107">
        <f t="shared" si="2"/>
        <v>-0.2962962962956226</v>
      </c>
      <c r="Y14" s="107">
        <f t="shared" si="3"/>
        <v>0</v>
      </c>
      <c r="Z14" s="106">
        <f t="shared" si="4"/>
        <v>0</v>
      </c>
      <c r="AA14" s="106">
        <f t="shared" si="5"/>
        <v>0</v>
      </c>
      <c r="AB14" s="106">
        <f t="shared" si="6"/>
        <v>0</v>
      </c>
      <c r="AC14" s="106">
        <f t="shared" si="7"/>
        <v>0</v>
      </c>
      <c r="AD14" s="106">
        <f t="shared" si="8"/>
        <v>0</v>
      </c>
    </row>
    <row r="15" spans="1:35">
      <c r="A15" s="165">
        <v>1</v>
      </c>
      <c r="B15" s="164" t="s">
        <v>367</v>
      </c>
      <c r="C15" s="163"/>
      <c r="D15" s="162" t="s">
        <v>91</v>
      </c>
      <c r="E15" s="158">
        <f>+総係!E15+SUM(特環:浄化!E15)-SUM('特環(共通按分後):浄化(共通按分後)'!E15)</f>
        <v>259771</v>
      </c>
      <c r="F15" s="161">
        <f>+総係!F15+SUM(特環:浄化!F15)-SUM('特環(共通按分後):浄化(共通按分後)'!F15)</f>
        <v>0</v>
      </c>
      <c r="G15" s="160">
        <f>+総係!G15+SUM(特環:浄化!G15)-SUM('特環(共通按分後):浄化(共通按分後)'!G15)</f>
        <v>0</v>
      </c>
      <c r="H15" s="160">
        <f>+総係!H15+SUM(特環:浄化!H15)-SUM('特環(共通按分後):浄化(共通按分後)'!H15)</f>
        <v>0</v>
      </c>
      <c r="I15" s="159">
        <f>+総係!I15+SUM(特環:浄化!I15)-SUM('特環(共通按分後):浄化(共通按分後)'!I15)</f>
        <v>0</v>
      </c>
      <c r="J15" s="159">
        <f>+総係!J15+SUM(特環:浄化!J15)-SUM('特環(共通按分後):浄化(共通按分後)'!J15)</f>
        <v>259771</v>
      </c>
      <c r="K15" s="34">
        <f>+総係!K15+SUM(特環:浄化!K15)-SUM('特環(共通按分後):浄化(共通按分後)'!K15)</f>
        <v>259771</v>
      </c>
      <c r="L15" s="158">
        <f>+総係!L15+SUM(特環:浄化!L15)-SUM('特環(共通按分後):浄化(共通按分後)'!L15)</f>
        <v>0</v>
      </c>
      <c r="M15" s="158">
        <f>+総係!M15+SUM(特環:浄化!M15)-SUM('特環(共通按分後):浄化(共通按分後)'!M15)</f>
        <v>0</v>
      </c>
      <c r="N15" s="108">
        <f>+総係!N15+SUM(特環:浄化!N15)-SUM('特環(共通按分後):浄化(共通按分後)'!N15)</f>
        <v>0</v>
      </c>
      <c r="O15" s="25">
        <f>+総係!O15+SUM(特環:浄化!O15)-SUM('特環(共通按分後):浄化(共通按分後)'!O15)</f>
        <v>0</v>
      </c>
      <c r="P15" s="25">
        <f>+総係!P15+SUM(特環:浄化!P15)-SUM('特環(共通按分後):浄化(共通按分後)'!P15)</f>
        <v>0</v>
      </c>
      <c r="Q15" s="157">
        <f>+総係!Q15+SUM(特環:浄化!Q15)-SUM('特環(共通按分後):浄化(共通按分後)'!Q15)</f>
        <v>0</v>
      </c>
      <c r="R15" s="157">
        <f>+総係!R15+SUM(特環:浄化!R15)-SUM('特環(共通按分後):浄化(共通按分後)'!R15)</f>
        <v>23616</v>
      </c>
      <c r="S15" s="22">
        <f>+総係!S15+SUM(特環:浄化!S15)-SUM('特環(共通按分後):浄化(共通按分後)'!S15)</f>
        <v>23616</v>
      </c>
      <c r="T15" s="109">
        <f>+総係!T15+SUM(特環:浄化!T15)-SUM('特環(共通按分後):浄化(共通按分後)'!T15)</f>
        <v>236155</v>
      </c>
      <c r="U15" s="107">
        <f t="shared" si="0"/>
        <v>0</v>
      </c>
      <c r="V15" s="107">
        <f t="shared" si="1"/>
        <v>0</v>
      </c>
      <c r="W15" s="107">
        <f t="shared" si="2"/>
        <v>0</v>
      </c>
      <c r="X15" s="107">
        <f t="shared" si="2"/>
        <v>0</v>
      </c>
      <c r="Y15" s="107">
        <f t="shared" si="3"/>
        <v>0.45454545454413164</v>
      </c>
      <c r="Z15" s="106">
        <f t="shared" si="4"/>
        <v>0</v>
      </c>
      <c r="AA15" s="106">
        <f t="shared" si="5"/>
        <v>0</v>
      </c>
      <c r="AB15" s="106">
        <f t="shared" si="6"/>
        <v>0</v>
      </c>
      <c r="AC15" s="106">
        <f t="shared" si="7"/>
        <v>0</v>
      </c>
      <c r="AD15" s="106">
        <f t="shared" si="8"/>
        <v>0</v>
      </c>
    </row>
    <row r="16" spans="1:35">
      <c r="A16" s="165">
        <v>1</v>
      </c>
      <c r="B16" s="164" t="s">
        <v>366</v>
      </c>
      <c r="C16" s="163"/>
      <c r="D16" s="162" t="s">
        <v>89</v>
      </c>
      <c r="E16" s="158">
        <f>+総係!E16+SUM(特環:浄化!E16)-SUM('特環(共通按分後):浄化(共通按分後)'!E16)</f>
        <v>68417</v>
      </c>
      <c r="F16" s="161">
        <f>+総係!F16+SUM(特環:浄化!F16)-SUM('特環(共通按分後):浄化(共通按分後)'!F16)</f>
        <v>0</v>
      </c>
      <c r="G16" s="160">
        <f>+総係!G16+SUM(特環:浄化!G16)-SUM('特環(共通按分後):浄化(共通按分後)'!G16)</f>
        <v>0</v>
      </c>
      <c r="H16" s="160">
        <f>+総係!H16+SUM(特環:浄化!H16)-SUM('特環(共通按分後):浄化(共通按分後)'!H16)</f>
        <v>0</v>
      </c>
      <c r="I16" s="159">
        <f>+総係!I16+SUM(特環:浄化!I16)-SUM('特環(共通按分後):浄化(共通按分後)'!I16)</f>
        <v>0</v>
      </c>
      <c r="J16" s="159">
        <f>+総係!J16+SUM(特環:浄化!J16)-SUM('特環(共通按分後):浄化(共通按分後)'!J16)</f>
        <v>68417</v>
      </c>
      <c r="K16" s="34">
        <f>+総係!K16+SUM(特環:浄化!K16)-SUM('特環(共通按分後):浄化(共通按分後)'!K16)</f>
        <v>68417</v>
      </c>
      <c r="L16" s="158">
        <f>+総係!L16+SUM(特環:浄化!L16)-SUM('特環(共通按分後):浄化(共通按分後)'!L16)</f>
        <v>0</v>
      </c>
      <c r="M16" s="158">
        <f>+総係!M16+SUM(特環:浄化!M16)-SUM('特環(共通按分後):浄化(共通按分後)'!M16)</f>
        <v>0</v>
      </c>
      <c r="N16" s="108">
        <f>+総係!N16+SUM(特環:浄化!N16)-SUM('特環(共通按分後):浄化(共通按分後)'!N16)</f>
        <v>0</v>
      </c>
      <c r="O16" s="25">
        <f>+総係!O16+SUM(特環:浄化!O16)-SUM('特環(共通按分後):浄化(共通按分後)'!O16)</f>
        <v>0</v>
      </c>
      <c r="P16" s="25">
        <f>+総係!P16+SUM(特環:浄化!P16)-SUM('特環(共通按分後):浄化(共通按分後)'!P16)</f>
        <v>0</v>
      </c>
      <c r="Q16" s="157">
        <f>+総係!Q16+SUM(特環:浄化!Q16)-SUM('特環(共通按分後):浄化(共通按分後)'!Q16)</f>
        <v>0</v>
      </c>
      <c r="R16" s="157">
        <f>+総係!R16+SUM(特環:浄化!R16)-SUM('特環(共通按分後):浄化(共通按分後)'!R16)</f>
        <v>6219</v>
      </c>
      <c r="S16" s="22">
        <f>+総係!S16+SUM(特環:浄化!S16)-SUM('特環(共通按分後):浄化(共通按分後)'!S16)</f>
        <v>6219</v>
      </c>
      <c r="T16" s="109">
        <f>+総係!T16+SUM(特環:浄化!T16)-SUM('特環(共通按分後):浄化(共通按分後)'!T16)</f>
        <v>62198</v>
      </c>
      <c r="U16" s="107">
        <f t="shared" si="0"/>
        <v>0</v>
      </c>
      <c r="V16" s="107">
        <f t="shared" si="1"/>
        <v>0</v>
      </c>
      <c r="W16" s="107">
        <f t="shared" si="2"/>
        <v>0</v>
      </c>
      <c r="X16" s="107">
        <f t="shared" si="2"/>
        <v>0</v>
      </c>
      <c r="Y16" s="107">
        <f t="shared" si="3"/>
        <v>-0.72727272727297532</v>
      </c>
      <c r="Z16" s="106">
        <f t="shared" si="4"/>
        <v>0</v>
      </c>
      <c r="AA16" s="106">
        <f t="shared" si="5"/>
        <v>0</v>
      </c>
      <c r="AB16" s="106">
        <f t="shared" si="6"/>
        <v>0</v>
      </c>
      <c r="AC16" s="106">
        <f t="shared" si="7"/>
        <v>0</v>
      </c>
      <c r="AD16" s="106">
        <f t="shared" si="8"/>
        <v>0</v>
      </c>
    </row>
    <row r="17" spans="1:33">
      <c r="A17" s="165">
        <v>1</v>
      </c>
      <c r="B17" s="164" t="s">
        <v>365</v>
      </c>
      <c r="C17" s="163"/>
      <c r="D17" s="162" t="s">
        <v>87</v>
      </c>
      <c r="E17" s="158">
        <f>+総係!E17+SUM(特環:浄化!E17)-SUM('特環(共通按分後):浄化(共通按分後)'!E17)</f>
        <v>1432257</v>
      </c>
      <c r="F17" s="161">
        <f>+総係!F17+SUM(特環:浄化!F17)-SUM('特環(共通按分後):浄化(共通按分後)'!F17)</f>
        <v>0</v>
      </c>
      <c r="G17" s="160">
        <f>+総係!G17+SUM(特環:浄化!G17)-SUM('特環(共通按分後):浄化(共通按分後)'!G17)</f>
        <v>0</v>
      </c>
      <c r="H17" s="160">
        <f>+総係!H17+SUM(特環:浄化!H17)-SUM('特環(共通按分後):浄化(共通按分後)'!H17)</f>
        <v>0</v>
      </c>
      <c r="I17" s="159">
        <f>+総係!I17+SUM(特環:浄化!I17)-SUM('特環(共通按分後):浄化(共通按分後)'!I17)</f>
        <v>0</v>
      </c>
      <c r="J17" s="159">
        <f>+総係!J17+SUM(特環:浄化!J17)-SUM('特環(共通按分後):浄化(共通按分後)'!J17)</f>
        <v>1432257</v>
      </c>
      <c r="K17" s="34">
        <f>+総係!K17+SUM(特環:浄化!K17)-SUM('特環(共通按分後):浄化(共通按分後)'!K17)</f>
        <v>1432257</v>
      </c>
      <c r="L17" s="158">
        <f>+総係!L17+SUM(特環:浄化!L17)-SUM('特環(共通按分後):浄化(共通按分後)'!L17)</f>
        <v>0</v>
      </c>
      <c r="M17" s="158">
        <f>+総係!M17+SUM(特環:浄化!M17)-SUM('特環(共通按分後):浄化(共通按分後)'!M17)</f>
        <v>0</v>
      </c>
      <c r="N17" s="108">
        <f>+総係!N17+SUM(特環:浄化!N17)-SUM('特環(共通按分後):浄化(共通按分後)'!N17)</f>
        <v>0</v>
      </c>
      <c r="O17" s="25">
        <f>+総係!O17+SUM(特環:浄化!O17)-SUM('特環(共通按分後):浄化(共通按分後)'!O17)</f>
        <v>0</v>
      </c>
      <c r="P17" s="25">
        <f>+総係!P17+SUM(特環:浄化!P17)-SUM('特環(共通按分後):浄化(共通按分後)'!P17)</f>
        <v>0</v>
      </c>
      <c r="Q17" s="157">
        <f>+総係!Q17+SUM(特環:浄化!Q17)-SUM('特環(共通按分後):浄化(共通按分後)'!Q17)</f>
        <v>0</v>
      </c>
      <c r="R17" s="157">
        <f>+総係!R17+SUM(特環:浄化!R17)-SUM('特環(共通按分後):浄化(共通按分後)'!R17)</f>
        <v>130206</v>
      </c>
      <c r="S17" s="22">
        <f>+総係!S17+SUM(特環:浄化!S17)-SUM('特環(共通按分後):浄化(共通按分後)'!S17)</f>
        <v>130206</v>
      </c>
      <c r="T17" s="109">
        <f>+総係!T17+SUM(特環:浄化!T17)-SUM('特環(共通按分後):浄化(共通按分後)'!T17)</f>
        <v>1302051</v>
      </c>
      <c r="U17" s="107">
        <f t="shared" si="0"/>
        <v>0</v>
      </c>
      <c r="V17" s="107">
        <f t="shared" si="1"/>
        <v>0</v>
      </c>
      <c r="W17" s="107">
        <f t="shared" si="2"/>
        <v>0</v>
      </c>
      <c r="X17" s="107">
        <f t="shared" si="2"/>
        <v>0</v>
      </c>
      <c r="Y17" s="107">
        <f t="shared" si="3"/>
        <v>0.81818181817652658</v>
      </c>
      <c r="Z17" s="106">
        <f t="shared" si="4"/>
        <v>0</v>
      </c>
      <c r="AA17" s="106">
        <f t="shared" si="5"/>
        <v>0</v>
      </c>
      <c r="AB17" s="106">
        <f t="shared" si="6"/>
        <v>0</v>
      </c>
      <c r="AC17" s="106">
        <f t="shared" si="7"/>
        <v>0</v>
      </c>
      <c r="AD17" s="106">
        <f t="shared" si="8"/>
        <v>0</v>
      </c>
    </row>
    <row r="18" spans="1:33">
      <c r="A18" s="165">
        <v>1</v>
      </c>
      <c r="B18" s="164" t="s">
        <v>364</v>
      </c>
      <c r="C18" s="163"/>
      <c r="D18" s="162" t="s">
        <v>85</v>
      </c>
      <c r="E18" s="158">
        <f>+総係!E18+SUM(特環:浄化!E18)-SUM('特環(共通按分後):浄化(共通按分後)'!E18)</f>
        <v>5651905</v>
      </c>
      <c r="F18" s="161">
        <f>+総係!F18+SUM(特環:浄化!F18)-SUM('特環(共通按分後):浄化(共通按分後)'!F18)</f>
        <v>0</v>
      </c>
      <c r="G18" s="160">
        <f>+総係!G18+SUM(特環:浄化!G18)-SUM('特環(共通按分後):浄化(共通按分後)'!G18)</f>
        <v>0</v>
      </c>
      <c r="H18" s="160">
        <f>+総係!H18+SUM(特環:浄化!H18)-SUM('特環(共通按分後):浄化(共通按分後)'!H18)</f>
        <v>0</v>
      </c>
      <c r="I18" s="159">
        <f>+総係!I18+SUM(特環:浄化!I18)-SUM('特環(共通按分後):浄化(共通按分後)'!I18)</f>
        <v>0</v>
      </c>
      <c r="J18" s="159">
        <f>+総係!J18+SUM(特環:浄化!J18)-SUM('特環(共通按分後):浄化(共通按分後)'!J18)</f>
        <v>141205</v>
      </c>
      <c r="K18" s="34">
        <f>+総係!K18+SUM(特環:浄化!K18)-SUM('特環(共通按分後):浄化(共通按分後)'!K18)</f>
        <v>141205</v>
      </c>
      <c r="L18" s="158">
        <f>+総係!L18+SUM(特環:浄化!L18)-SUM('特環(共通按分後):浄化(共通按分後)'!L18)</f>
        <v>5510700</v>
      </c>
      <c r="M18" s="158">
        <f>+総係!M18+SUM(特環:浄化!M18)-SUM('特環(共通按分後):浄化(共通按分後)'!M18)</f>
        <v>0</v>
      </c>
      <c r="N18" s="108">
        <f>+総係!N18+SUM(特環:浄化!N18)-SUM('特環(共通按分後):浄化(共通按分後)'!N18)</f>
        <v>0</v>
      </c>
      <c r="O18" s="25">
        <f>+総係!O18+SUM(特環:浄化!O18)-SUM('特環(共通按分後):浄化(共通按分後)'!O18)</f>
        <v>0</v>
      </c>
      <c r="P18" s="25">
        <f>+総係!P18+SUM(特環:浄化!P18)-SUM('特環(共通按分後):浄化(共通按分後)'!P18)</f>
        <v>0</v>
      </c>
      <c r="Q18" s="157">
        <f>+総係!Q18+SUM(特環:浄化!Q18)-SUM('特環(共通按分後):浄化(共通按分後)'!Q18)</f>
        <v>0</v>
      </c>
      <c r="R18" s="157">
        <f>+総係!R18+SUM(特環:浄化!R18)-SUM('特環(共通按分後):浄化(共通按分後)'!R18)</f>
        <v>12837</v>
      </c>
      <c r="S18" s="22">
        <f>+総係!S18+SUM(特環:浄化!S18)-SUM('特環(共通按分後):浄化(共通按分後)'!S18)</f>
        <v>12837</v>
      </c>
      <c r="T18" s="109">
        <f>+総係!T18+SUM(特環:浄化!T18)-SUM('特環(共通按分後):浄化(共通按分後)'!T18)</f>
        <v>5639068</v>
      </c>
      <c r="U18" s="107">
        <f t="shared" si="0"/>
        <v>0</v>
      </c>
      <c r="V18" s="107">
        <f t="shared" si="1"/>
        <v>0</v>
      </c>
      <c r="W18" s="107">
        <f t="shared" si="2"/>
        <v>0</v>
      </c>
      <c r="X18" s="107">
        <f t="shared" si="2"/>
        <v>0</v>
      </c>
      <c r="Y18" s="107">
        <f t="shared" si="3"/>
        <v>0.18181818181801646</v>
      </c>
      <c r="Z18" s="106">
        <f t="shared" si="4"/>
        <v>0</v>
      </c>
      <c r="AA18" s="106">
        <f t="shared" si="5"/>
        <v>0</v>
      </c>
      <c r="AB18" s="106">
        <f t="shared" si="6"/>
        <v>0</v>
      </c>
      <c r="AC18" s="106">
        <f t="shared" si="7"/>
        <v>0</v>
      </c>
      <c r="AD18" s="106">
        <f t="shared" si="8"/>
        <v>0</v>
      </c>
    </row>
    <row r="19" spans="1:33">
      <c r="A19" s="165">
        <v>1</v>
      </c>
      <c r="B19" s="164" t="s">
        <v>363</v>
      </c>
      <c r="C19" s="163"/>
      <c r="D19" s="162" t="s">
        <v>83</v>
      </c>
      <c r="E19" s="158">
        <f>+総係!E19+SUM(特環:浄化!E19)-SUM('特環(共通按分後):浄化(共通按分後)'!E19)</f>
        <v>34125938</v>
      </c>
      <c r="F19" s="161">
        <f>+総係!F19+SUM(特環:浄化!F19)-SUM('特環(共通按分後):浄化(共通按分後)'!F19)</f>
        <v>0</v>
      </c>
      <c r="G19" s="160">
        <f>+総係!G19+SUM(特環:浄化!G19)-SUM('特環(共通按分後):浄化(共通按分後)'!G19)</f>
        <v>0</v>
      </c>
      <c r="H19" s="160">
        <f>+総係!H19+SUM(特環:浄化!H19)-SUM('特環(共通按分後):浄化(共通按分後)'!H19)</f>
        <v>0</v>
      </c>
      <c r="I19" s="159">
        <f>+総係!I19+SUM(特環:浄化!I19)-SUM('特環(共通按分後):浄化(共通按分後)'!I19)</f>
        <v>0</v>
      </c>
      <c r="J19" s="159">
        <f>+総係!J19+SUM(特環:浄化!J19)-SUM('特環(共通按分後):浄化(共通按分後)'!J19)</f>
        <v>34096907</v>
      </c>
      <c r="K19" s="34">
        <f>+総係!K19+SUM(特環:浄化!K19)-SUM('特環(共通按分後):浄化(共通按分後)'!K19)</f>
        <v>34096907</v>
      </c>
      <c r="L19" s="158">
        <f>+総係!L19+SUM(特環:浄化!L19)-SUM('特環(共通按分後):浄化(共通按分後)'!L19)</f>
        <v>29031</v>
      </c>
      <c r="M19" s="158">
        <f>+総係!M19+SUM(特環:浄化!M19)-SUM('特環(共通按分後):浄化(共通按分後)'!M19)</f>
        <v>0</v>
      </c>
      <c r="N19" s="108">
        <f>+総係!N19+SUM(特環:浄化!N19)-SUM('特環(共通按分後):浄化(共通按分後)'!N19)</f>
        <v>0</v>
      </c>
      <c r="O19" s="25">
        <f>+総係!O19+SUM(特環:浄化!O19)-SUM('特環(共通按分後):浄化(共通按分後)'!O19)</f>
        <v>0</v>
      </c>
      <c r="P19" s="25">
        <f>+総係!P19+SUM(特環:浄化!P19)-SUM('特環(共通按分後):浄化(共通按分後)'!P19)</f>
        <v>0</v>
      </c>
      <c r="Q19" s="157">
        <f>+総係!Q19+SUM(特環:浄化!Q19)-SUM('特環(共通按分後):浄化(共通按分後)'!Q19)</f>
        <v>0</v>
      </c>
      <c r="R19" s="157">
        <f>+総係!R19+SUM(特環:浄化!R19)-SUM('特環(共通按分後):浄化(共通按分後)'!R19)</f>
        <v>3099719</v>
      </c>
      <c r="S19" s="22">
        <f>+総係!S19+SUM(特環:浄化!S19)-SUM('特環(共通按分後):浄化(共通按分後)'!S19)</f>
        <v>3099719</v>
      </c>
      <c r="T19" s="109">
        <f>+総係!T19+SUM(特環:浄化!T19)-SUM('特環(共通按分後):浄化(共通按分後)'!T19)</f>
        <v>31026219</v>
      </c>
      <c r="U19" s="107">
        <f t="shared" si="0"/>
        <v>0</v>
      </c>
      <c r="V19" s="107">
        <f t="shared" si="1"/>
        <v>0</v>
      </c>
      <c r="W19" s="107">
        <f t="shared" si="2"/>
        <v>0</v>
      </c>
      <c r="X19" s="107">
        <f t="shared" si="2"/>
        <v>0</v>
      </c>
      <c r="Y19" s="107">
        <f t="shared" si="3"/>
        <v>0.18181818164885044</v>
      </c>
      <c r="Z19" s="106">
        <f t="shared" si="4"/>
        <v>0</v>
      </c>
      <c r="AA19" s="106">
        <f t="shared" si="5"/>
        <v>0</v>
      </c>
      <c r="AB19" s="106">
        <f t="shared" si="6"/>
        <v>0</v>
      </c>
      <c r="AC19" s="106">
        <f t="shared" si="7"/>
        <v>0</v>
      </c>
      <c r="AD19" s="106">
        <f t="shared" si="8"/>
        <v>0</v>
      </c>
    </row>
    <row r="20" spans="1:33">
      <c r="A20" s="165">
        <v>1</v>
      </c>
      <c r="B20" s="164" t="s">
        <v>362</v>
      </c>
      <c r="C20" s="163"/>
      <c r="D20" s="162" t="s">
        <v>81</v>
      </c>
      <c r="E20" s="158">
        <f>+総係!E20+SUM(特環:浄化!E20)-SUM('特環(共通按分後):浄化(共通按分後)'!E20)</f>
        <v>401182988</v>
      </c>
      <c r="F20" s="161">
        <f>+総係!F20+SUM(特環:浄化!F20)-SUM('特環(共通按分後):浄化(共通按分後)'!F20)</f>
        <v>0</v>
      </c>
      <c r="G20" s="160">
        <f>+総係!G20+SUM(特環:浄化!G20)-SUM('特環(共通按分後):浄化(共通按分後)'!G20)</f>
        <v>0</v>
      </c>
      <c r="H20" s="160">
        <f>+総係!H20+SUM(特環:浄化!H20)-SUM('特環(共通按分後):浄化(共通按分後)'!H20)</f>
        <v>0</v>
      </c>
      <c r="I20" s="159">
        <f>+総係!I20+SUM(特環:浄化!I20)-SUM('特環(共通按分後):浄化(共通按分後)'!I20)</f>
        <v>0</v>
      </c>
      <c r="J20" s="159">
        <f>+総係!J20+SUM(特環:浄化!J20)-SUM('特環(共通按分後):浄化(共通按分後)'!J20)</f>
        <v>401182988</v>
      </c>
      <c r="K20" s="34">
        <f>+総係!K20+SUM(特環:浄化!K20)-SUM('特環(共通按分後):浄化(共通按分後)'!K20)</f>
        <v>401182988</v>
      </c>
      <c r="L20" s="158">
        <f>+総係!L20+SUM(特環:浄化!L20)-SUM('特環(共通按分後):浄化(共通按分後)'!L20)</f>
        <v>0</v>
      </c>
      <c r="M20" s="158">
        <f>+総係!M20+SUM(特環:浄化!M20)-SUM('特環(共通按分後):浄化(共通按分後)'!M20)</f>
        <v>0</v>
      </c>
      <c r="N20" s="108">
        <f>+総係!N20+SUM(特環:浄化!N20)-SUM('特環(共通按分後):浄化(共通按分後)'!N20)</f>
        <v>0</v>
      </c>
      <c r="O20" s="25">
        <f>+総係!O20+SUM(特環:浄化!O20)-SUM('特環(共通按分後):浄化(共通按分後)'!O20)</f>
        <v>0</v>
      </c>
      <c r="P20" s="25">
        <f>+総係!P20+SUM(特環:浄化!P20)-SUM('特環(共通按分後):浄化(共通按分後)'!P20)</f>
        <v>0</v>
      </c>
      <c r="Q20" s="157">
        <f>+総係!Q20+SUM(特環:浄化!Q20)-SUM('特環(共通按分後):浄化(共通按分後)'!Q20)</f>
        <v>0</v>
      </c>
      <c r="R20" s="157">
        <f>+総係!R20+SUM(特環:浄化!R20)-SUM('特環(共通按分後):浄化(共通按分後)'!R20)</f>
        <v>36471180</v>
      </c>
      <c r="S20" s="22">
        <f>+総係!S20+SUM(特環:浄化!S20)-SUM('特環(共通按分後):浄化(共通按分後)'!S20)</f>
        <v>36471180</v>
      </c>
      <c r="T20" s="109">
        <f>+総係!T20+SUM(特環:浄化!T20)-SUM('特環(共通按分後):浄化(共通按分後)'!T20)</f>
        <v>364711808</v>
      </c>
      <c r="U20" s="107">
        <f t="shared" si="0"/>
        <v>0</v>
      </c>
      <c r="V20" s="107">
        <f t="shared" si="1"/>
        <v>0</v>
      </c>
      <c r="W20" s="107">
        <f t="shared" si="2"/>
        <v>0</v>
      </c>
      <c r="X20" s="107">
        <f t="shared" si="2"/>
        <v>0</v>
      </c>
      <c r="Y20" s="107">
        <f t="shared" si="3"/>
        <v>-0.72727272659540176</v>
      </c>
      <c r="Z20" s="106">
        <f t="shared" si="4"/>
        <v>0</v>
      </c>
      <c r="AA20" s="106">
        <f t="shared" si="5"/>
        <v>0</v>
      </c>
      <c r="AB20" s="106">
        <f t="shared" si="6"/>
        <v>0</v>
      </c>
      <c r="AC20" s="106">
        <f t="shared" si="7"/>
        <v>0</v>
      </c>
      <c r="AD20" s="106">
        <f t="shared" si="8"/>
        <v>0</v>
      </c>
      <c r="AG20" s="2">
        <v>1</v>
      </c>
    </row>
    <row r="21" spans="1:33">
      <c r="A21" s="165">
        <v>1</v>
      </c>
      <c r="B21" s="164" t="s">
        <v>361</v>
      </c>
      <c r="C21" s="163"/>
      <c r="D21" s="162" t="s">
        <v>79</v>
      </c>
      <c r="E21" s="158">
        <f>+総係!E21+SUM(特環:浄化!E21)-SUM('特環(共通按分後):浄化(共通按分後)'!E21)</f>
        <v>29739753</v>
      </c>
      <c r="F21" s="161">
        <f>+総係!F21+SUM(特環:浄化!F21)-SUM('特環(共通按分後):浄化(共通按分後)'!F21)</f>
        <v>0</v>
      </c>
      <c r="G21" s="160">
        <f>+総係!G21+SUM(特環:浄化!G21)-SUM('特環(共通按分後):浄化(共通按分後)'!G21)</f>
        <v>0</v>
      </c>
      <c r="H21" s="160">
        <f>+総係!H21+SUM(特環:浄化!H21)-SUM('特環(共通按分後):浄化(共通按分後)'!H21)</f>
        <v>0</v>
      </c>
      <c r="I21" s="159">
        <f>+総係!I21+SUM(特環:浄化!I21)-SUM('特環(共通按分後):浄化(共通按分後)'!I21)</f>
        <v>0</v>
      </c>
      <c r="J21" s="159">
        <f>+総係!J21+SUM(特環:浄化!J21)-SUM('特環(共通按分後):浄化(共通按分後)'!J21)</f>
        <v>29739753</v>
      </c>
      <c r="K21" s="34">
        <f>+総係!K21+SUM(特環:浄化!K21)-SUM('特環(共通按分後):浄化(共通按分後)'!K21)</f>
        <v>29739753</v>
      </c>
      <c r="L21" s="158">
        <f>+総係!L21+SUM(特環:浄化!L21)-SUM('特環(共通按分後):浄化(共通按分後)'!L21)</f>
        <v>0</v>
      </c>
      <c r="M21" s="158">
        <f>+総係!M21+SUM(特環:浄化!M21)-SUM('特環(共通按分後):浄化(共通按分後)'!M21)</f>
        <v>0</v>
      </c>
      <c r="N21" s="108">
        <f>+総係!N21+SUM(特環:浄化!N21)-SUM('特環(共通按分後):浄化(共通按分後)'!N21)</f>
        <v>0</v>
      </c>
      <c r="O21" s="25">
        <f>+総係!O21+SUM(特環:浄化!O21)-SUM('特環(共通按分後):浄化(共通按分後)'!O21)</f>
        <v>0</v>
      </c>
      <c r="P21" s="25">
        <f>+総係!P21+SUM(特環:浄化!P21)-SUM('特環(共通按分後):浄化(共通按分後)'!P21)</f>
        <v>0</v>
      </c>
      <c r="Q21" s="157">
        <f>+総係!Q21+SUM(特環:浄化!Q21)-SUM('特環(共通按分後):浄化(共通按分後)'!Q21)</f>
        <v>0</v>
      </c>
      <c r="R21" s="157">
        <f>+総係!R21+SUM(特環:浄化!R21)-SUM('特環(共通按分後):浄化(共通按分後)'!R21)</f>
        <v>2703614</v>
      </c>
      <c r="S21" s="22">
        <f>+総係!S21+SUM(特環:浄化!S21)-SUM('特環(共通按分後):浄化(共通按分後)'!S21)</f>
        <v>2703614</v>
      </c>
      <c r="T21" s="109">
        <f>+総係!T21+SUM(特環:浄化!T21)-SUM('特環(共通按分後):浄化(共通按分後)'!T21)</f>
        <v>27036139</v>
      </c>
      <c r="U21" s="107">
        <f t="shared" si="0"/>
        <v>0</v>
      </c>
      <c r="V21" s="107">
        <f t="shared" si="1"/>
        <v>0</v>
      </c>
      <c r="W21" s="107">
        <f t="shared" si="2"/>
        <v>0</v>
      </c>
      <c r="X21" s="107">
        <f t="shared" si="2"/>
        <v>0</v>
      </c>
      <c r="Y21" s="107">
        <f t="shared" si="3"/>
        <v>9.090909082442522E-2</v>
      </c>
      <c r="Z21" s="106">
        <f t="shared" si="4"/>
        <v>0</v>
      </c>
      <c r="AA21" s="106">
        <f t="shared" si="5"/>
        <v>0</v>
      </c>
      <c r="AB21" s="106">
        <f t="shared" si="6"/>
        <v>0</v>
      </c>
      <c r="AC21" s="106">
        <f t="shared" si="7"/>
        <v>0</v>
      </c>
      <c r="AD21" s="106">
        <f t="shared" si="8"/>
        <v>0</v>
      </c>
    </row>
    <row r="22" spans="1:33">
      <c r="A22" s="165">
        <v>1</v>
      </c>
      <c r="B22" s="164" t="s">
        <v>360</v>
      </c>
      <c r="C22" s="163"/>
      <c r="D22" s="162" t="s">
        <v>77</v>
      </c>
      <c r="E22" s="158">
        <f>+総係!E22+SUM(特環:浄化!E22)-SUM('特環(共通按分後):浄化(共通按分後)'!E22)</f>
        <v>5509394</v>
      </c>
      <c r="F22" s="161">
        <f>+総係!F22+SUM(特環:浄化!F22)-SUM('特環(共通按分後):浄化(共通按分後)'!F22)</f>
        <v>0</v>
      </c>
      <c r="G22" s="160">
        <f>+総係!G22+SUM(特環:浄化!G22)-SUM('特環(共通按分後):浄化(共通按分後)'!G22)</f>
        <v>0</v>
      </c>
      <c r="H22" s="160">
        <f>+総係!H22+SUM(特環:浄化!H22)-SUM('特環(共通按分後):浄化(共通按分後)'!H22)</f>
        <v>0</v>
      </c>
      <c r="I22" s="159">
        <f>+総係!I22+SUM(特環:浄化!I22)-SUM('特環(共通按分後):浄化(共通按分後)'!I22)</f>
        <v>0</v>
      </c>
      <c r="J22" s="159">
        <f>+総係!J22+SUM(特環:浄化!J22)-SUM('特環(共通按分後):浄化(共通按分後)'!J22)</f>
        <v>5509394</v>
      </c>
      <c r="K22" s="34">
        <f>+総係!K22+SUM(特環:浄化!K22)-SUM('特環(共通按分後):浄化(共通按分後)'!K22)</f>
        <v>5509394</v>
      </c>
      <c r="L22" s="158">
        <f>+総係!L22+SUM(特環:浄化!L22)-SUM('特環(共通按分後):浄化(共通按分後)'!L22)</f>
        <v>0</v>
      </c>
      <c r="M22" s="158">
        <f>+総係!M22+SUM(特環:浄化!M22)-SUM('特環(共通按分後):浄化(共通按分後)'!M22)</f>
        <v>0</v>
      </c>
      <c r="N22" s="108">
        <f>+総係!N22+SUM(特環:浄化!N22)-SUM('特環(共通按分後):浄化(共通按分後)'!N22)</f>
        <v>0</v>
      </c>
      <c r="O22" s="25">
        <f>+総係!O22+SUM(特環:浄化!O22)-SUM('特環(共通按分後):浄化(共通按分後)'!O22)</f>
        <v>0</v>
      </c>
      <c r="P22" s="25">
        <f>+総係!P22+SUM(特環:浄化!P22)-SUM('特環(共通按分後):浄化(共通按分後)'!P22)</f>
        <v>0</v>
      </c>
      <c r="Q22" s="157">
        <f>+総係!Q22+SUM(特環:浄化!Q22)-SUM('特環(共通按分後):浄化(共通按分後)'!Q22)</f>
        <v>0</v>
      </c>
      <c r="R22" s="157">
        <f>+総係!R22+SUM(特環:浄化!R22)-SUM('特環(共通按分後):浄化(共通按分後)'!R22)</f>
        <v>500854</v>
      </c>
      <c r="S22" s="22">
        <f>+総係!S22+SUM(特環:浄化!S22)-SUM('特環(共通按分後):浄化(共通按分後)'!S22)</f>
        <v>500854</v>
      </c>
      <c r="T22" s="109">
        <f>+総係!T22+SUM(特環:浄化!T22)-SUM('特環(共通按分後):浄化(共通按分後)'!T22)</f>
        <v>5008540</v>
      </c>
      <c r="U22" s="107">
        <f t="shared" si="0"/>
        <v>0</v>
      </c>
      <c r="V22" s="107">
        <f t="shared" si="1"/>
        <v>0</v>
      </c>
      <c r="W22" s="107">
        <f t="shared" si="2"/>
        <v>0</v>
      </c>
      <c r="X22" s="107">
        <f t="shared" si="2"/>
        <v>0</v>
      </c>
      <c r="Y22" s="107">
        <f t="shared" si="3"/>
        <v>0</v>
      </c>
      <c r="Z22" s="106">
        <f t="shared" si="4"/>
        <v>0</v>
      </c>
      <c r="AA22" s="106">
        <f t="shared" si="5"/>
        <v>0</v>
      </c>
      <c r="AB22" s="106">
        <f t="shared" si="6"/>
        <v>0</v>
      </c>
      <c r="AC22" s="106">
        <f t="shared" si="7"/>
        <v>0</v>
      </c>
      <c r="AD22" s="106">
        <f t="shared" si="8"/>
        <v>0</v>
      </c>
    </row>
    <row r="23" spans="1:33">
      <c r="A23" s="165">
        <v>1</v>
      </c>
      <c r="B23" s="164" t="s">
        <v>359</v>
      </c>
      <c r="C23" s="163"/>
      <c r="D23" s="162" t="s">
        <v>75</v>
      </c>
      <c r="E23" s="158">
        <f>+総係!E23+SUM(特環:浄化!E23)-SUM('特環(共通按分後):浄化(共通按分後)'!E23)</f>
        <v>23561045</v>
      </c>
      <c r="F23" s="161">
        <f>+総係!F23+SUM(特環:浄化!F23)-SUM('特環(共通按分後):浄化(共通按分後)'!F23)</f>
        <v>0</v>
      </c>
      <c r="G23" s="160">
        <f>+総係!G23+SUM(特環:浄化!G23)-SUM('特環(共通按分後):浄化(共通按分後)'!G23)</f>
        <v>0</v>
      </c>
      <c r="H23" s="160">
        <f>+総係!H23+SUM(特環:浄化!H23)-SUM('特環(共通按分後):浄化(共通按分後)'!H23)</f>
        <v>0</v>
      </c>
      <c r="I23" s="159">
        <f>+総係!I23+SUM(特環:浄化!I23)-SUM('特環(共通按分後):浄化(共通按分後)'!I23)</f>
        <v>0</v>
      </c>
      <c r="J23" s="159">
        <f>+総係!J23+SUM(特環:浄化!J23)-SUM('特環(共通按分後):浄化(共通按分後)'!J23)</f>
        <v>23561045</v>
      </c>
      <c r="K23" s="34">
        <f>+総係!K23+SUM(特環:浄化!K23)-SUM('特環(共通按分後):浄化(共通按分後)'!K23)</f>
        <v>23561045</v>
      </c>
      <c r="L23" s="158">
        <f>+総係!L23+SUM(特環:浄化!L23)-SUM('特環(共通按分後):浄化(共通按分後)'!L23)</f>
        <v>0</v>
      </c>
      <c r="M23" s="158">
        <f>+総係!M23+SUM(特環:浄化!M23)-SUM('特環(共通按分後):浄化(共通按分後)'!M23)</f>
        <v>0</v>
      </c>
      <c r="N23" s="108">
        <f>+総係!N23+SUM(特環:浄化!N23)-SUM('特環(共通按分後):浄化(共通按分後)'!N23)</f>
        <v>0</v>
      </c>
      <c r="O23" s="25">
        <f>+総係!O23+SUM(特環:浄化!O23)-SUM('特環(共通按分後):浄化(共通按分後)'!O23)</f>
        <v>0</v>
      </c>
      <c r="P23" s="25">
        <f>+総係!P23+SUM(特環:浄化!P23)-SUM('特環(共通按分後):浄化(共通按分後)'!P23)</f>
        <v>0</v>
      </c>
      <c r="Q23" s="157">
        <f>+総係!Q23+SUM(特環:浄化!Q23)-SUM('特環(共通按分後):浄化(共通按分後)'!Q23)</f>
        <v>0</v>
      </c>
      <c r="R23" s="157">
        <f>+総係!R23+SUM(特環:浄化!R23)-SUM('特環(共通按分後):浄化(共通按分後)'!R23)</f>
        <v>2141913</v>
      </c>
      <c r="S23" s="22">
        <f>+総係!S23+SUM(特環:浄化!S23)-SUM('特環(共通按分後):浄化(共通按分後)'!S23)</f>
        <v>2141913</v>
      </c>
      <c r="T23" s="109">
        <f>+総係!T23+SUM(特環:浄化!T23)-SUM('特環(共通按分後):浄化(共通按分後)'!T23)</f>
        <v>21419132</v>
      </c>
      <c r="U23" s="107">
        <f t="shared" si="0"/>
        <v>0</v>
      </c>
      <c r="V23" s="107">
        <f t="shared" si="1"/>
        <v>0</v>
      </c>
      <c r="W23" s="107">
        <f t="shared" si="2"/>
        <v>0</v>
      </c>
      <c r="X23" s="107">
        <f t="shared" si="2"/>
        <v>0</v>
      </c>
      <c r="Y23" s="107">
        <f t="shared" si="3"/>
        <v>-0.18181818164885044</v>
      </c>
      <c r="Z23" s="106">
        <f t="shared" si="4"/>
        <v>0</v>
      </c>
      <c r="AA23" s="106">
        <f t="shared" si="5"/>
        <v>0</v>
      </c>
      <c r="AB23" s="106">
        <f t="shared" si="6"/>
        <v>0</v>
      </c>
      <c r="AC23" s="106">
        <f t="shared" si="7"/>
        <v>0</v>
      </c>
      <c r="AD23" s="106">
        <f t="shared" si="8"/>
        <v>0</v>
      </c>
    </row>
    <row r="24" spans="1:33">
      <c r="A24" s="165">
        <v>1</v>
      </c>
      <c r="B24" s="164" t="s">
        <v>358</v>
      </c>
      <c r="C24" s="163"/>
      <c r="D24" s="162" t="s">
        <v>73</v>
      </c>
      <c r="E24" s="158">
        <f>+総係!E24+SUM(特環:浄化!E24)-SUM('特環(共通按分後):浄化(共通按分後)'!E24)</f>
        <v>0</v>
      </c>
      <c r="F24" s="161">
        <f>+総係!F24+SUM(特環:浄化!F24)-SUM('特環(共通按分後):浄化(共通按分後)'!F24)</f>
        <v>0</v>
      </c>
      <c r="G24" s="160">
        <f>+総係!G24+SUM(特環:浄化!G24)-SUM('特環(共通按分後):浄化(共通按分後)'!G24)</f>
        <v>0</v>
      </c>
      <c r="H24" s="160">
        <f>+総係!H24+SUM(特環:浄化!H24)-SUM('特環(共通按分後):浄化(共通按分後)'!H24)</f>
        <v>0</v>
      </c>
      <c r="I24" s="159">
        <f>+総係!I24+SUM(特環:浄化!I24)-SUM('特環(共通按分後):浄化(共通按分後)'!I24)</f>
        <v>0</v>
      </c>
      <c r="J24" s="159">
        <f>+総係!J24+SUM(特環:浄化!J24)-SUM('特環(共通按分後):浄化(共通按分後)'!J24)</f>
        <v>0</v>
      </c>
      <c r="K24" s="34">
        <f>+総係!K24+SUM(特環:浄化!K24)-SUM('特環(共通按分後):浄化(共通按分後)'!K24)</f>
        <v>0</v>
      </c>
      <c r="L24" s="158">
        <f>+総係!L24+SUM(特環:浄化!L24)-SUM('特環(共通按分後):浄化(共通按分後)'!L24)</f>
        <v>0</v>
      </c>
      <c r="M24" s="158">
        <f>+総係!M24+SUM(特環:浄化!M24)-SUM('特環(共通按分後):浄化(共通按分後)'!M24)</f>
        <v>0</v>
      </c>
      <c r="N24" s="108">
        <f>+総係!N24+SUM(特環:浄化!N24)-SUM('特環(共通按分後):浄化(共通按分後)'!N24)</f>
        <v>0</v>
      </c>
      <c r="O24" s="25">
        <f>+総係!O24+SUM(特環:浄化!O24)-SUM('特環(共通按分後):浄化(共通按分後)'!O24)</f>
        <v>0</v>
      </c>
      <c r="P24" s="25">
        <f>+総係!P24+SUM(特環:浄化!P24)-SUM('特環(共通按分後):浄化(共通按分後)'!P24)</f>
        <v>0</v>
      </c>
      <c r="Q24" s="157">
        <f>+総係!Q24+SUM(特環:浄化!Q24)-SUM('特環(共通按分後):浄化(共通按分後)'!Q24)</f>
        <v>0</v>
      </c>
      <c r="R24" s="157">
        <f>+総係!R24+SUM(特環:浄化!R24)-SUM('特環(共通按分後):浄化(共通按分後)'!R24)</f>
        <v>0</v>
      </c>
      <c r="S24" s="22">
        <f>+総係!S24+SUM(特環:浄化!S24)-SUM('特環(共通按分後):浄化(共通按分後)'!S24)</f>
        <v>0</v>
      </c>
      <c r="T24" s="109">
        <f>+総係!T24+SUM(特環:浄化!T24)-SUM('特環(共通按分後):浄化(共通按分後)'!T24)</f>
        <v>0</v>
      </c>
      <c r="U24" s="107">
        <f t="shared" si="0"/>
        <v>0</v>
      </c>
      <c r="V24" s="107">
        <f t="shared" si="1"/>
        <v>0</v>
      </c>
      <c r="W24" s="107">
        <f t="shared" si="2"/>
        <v>0</v>
      </c>
      <c r="X24" s="107">
        <f t="shared" si="2"/>
        <v>0</v>
      </c>
      <c r="Y24" s="107">
        <f t="shared" si="3"/>
        <v>0</v>
      </c>
      <c r="Z24" s="106">
        <f t="shared" si="4"/>
        <v>0</v>
      </c>
      <c r="AA24" s="106">
        <f t="shared" si="5"/>
        <v>0</v>
      </c>
      <c r="AB24" s="106">
        <f t="shared" si="6"/>
        <v>0</v>
      </c>
      <c r="AC24" s="106">
        <f t="shared" si="7"/>
        <v>0</v>
      </c>
      <c r="AD24" s="106">
        <f t="shared" si="8"/>
        <v>0</v>
      </c>
    </row>
    <row r="25" spans="1:33">
      <c r="A25" s="165">
        <v>1</v>
      </c>
      <c r="B25" s="164" t="s">
        <v>356</v>
      </c>
      <c r="C25" s="163" t="s">
        <v>357</v>
      </c>
      <c r="D25" s="162" t="s">
        <v>71</v>
      </c>
      <c r="E25" s="158">
        <f>+総係!E25+SUM(特環:浄化!E25)-SUM('特環(共通按分後):浄化(共通按分後)'!E25)</f>
        <v>39778</v>
      </c>
      <c r="F25" s="161">
        <f>+総係!F25+SUM(特環:浄化!F25)-SUM('特環(共通按分後):浄化(共通按分後)'!F25)</f>
        <v>0</v>
      </c>
      <c r="G25" s="160">
        <f>+総係!G25+SUM(特環:浄化!G25)-SUM('特環(共通按分後):浄化(共通按分後)'!G25)</f>
        <v>0</v>
      </c>
      <c r="H25" s="160">
        <f>+総係!H25+SUM(特環:浄化!H25)-SUM('特環(共通按分後):浄化(共通按分後)'!H25)</f>
        <v>0</v>
      </c>
      <c r="I25" s="159">
        <f>+総係!I25+SUM(特環:浄化!I25)-SUM('特環(共通按分後):浄化(共通按分後)'!I25)</f>
        <v>0</v>
      </c>
      <c r="J25" s="159">
        <f>+総係!J25+SUM(特環:浄化!J25)-SUM('特環(共通按分後):浄化(共通按分後)'!J25)</f>
        <v>39778</v>
      </c>
      <c r="K25" s="34">
        <f>+総係!K25+SUM(特環:浄化!K25)-SUM('特環(共通按分後):浄化(共通按分後)'!K25)</f>
        <v>39778</v>
      </c>
      <c r="L25" s="158">
        <f>+総係!L25+SUM(特環:浄化!L25)-SUM('特環(共通按分後):浄化(共通按分後)'!L25)</f>
        <v>0</v>
      </c>
      <c r="M25" s="158">
        <f>+総係!M25+SUM(特環:浄化!M25)-SUM('特環(共通按分後):浄化(共通按分後)'!M25)</f>
        <v>0</v>
      </c>
      <c r="N25" s="108">
        <f>+総係!N25+SUM(特環:浄化!N25)-SUM('特環(共通按分後):浄化(共通按分後)'!N25)</f>
        <v>0</v>
      </c>
      <c r="O25" s="25">
        <f>+総係!O25+SUM(特環:浄化!O25)-SUM('特環(共通按分後):浄化(共通按分後)'!O25)</f>
        <v>0</v>
      </c>
      <c r="P25" s="25">
        <f>+総係!P25+SUM(特環:浄化!P25)-SUM('特環(共通按分後):浄化(共通按分後)'!P25)</f>
        <v>0</v>
      </c>
      <c r="Q25" s="157">
        <f>+総係!Q25+SUM(特環:浄化!Q25)-SUM('特環(共通按分後):浄化(共通按分後)'!Q25)</f>
        <v>0</v>
      </c>
      <c r="R25" s="157">
        <f>+総係!R25+SUM(特環:浄化!R25)-SUM('特環(共通按分後):浄化(共通按分後)'!R25)</f>
        <v>3616</v>
      </c>
      <c r="S25" s="22">
        <f>+総係!S25+SUM(特環:浄化!S25)-SUM('特環(共通按分後):浄化(共通按分後)'!S25)</f>
        <v>3616</v>
      </c>
      <c r="T25" s="109">
        <f>+総係!T25+SUM(特環:浄化!T25)-SUM('特環(共通按分後):浄化(共通按分後)'!T25)</f>
        <v>36162</v>
      </c>
      <c r="U25" s="107">
        <f t="shared" si="0"/>
        <v>0</v>
      </c>
      <c r="V25" s="107">
        <f t="shared" si="1"/>
        <v>0</v>
      </c>
      <c r="W25" s="107">
        <f t="shared" si="2"/>
        <v>0</v>
      </c>
      <c r="X25" s="107">
        <f t="shared" si="2"/>
        <v>0</v>
      </c>
      <c r="Y25" s="107">
        <f t="shared" si="3"/>
        <v>-0.18181818181801646</v>
      </c>
      <c r="Z25" s="106">
        <f t="shared" si="4"/>
        <v>0</v>
      </c>
      <c r="AA25" s="106">
        <f t="shared" si="5"/>
        <v>0</v>
      </c>
      <c r="AB25" s="106">
        <f t="shared" si="6"/>
        <v>0</v>
      </c>
      <c r="AC25" s="106">
        <f t="shared" si="7"/>
        <v>0</v>
      </c>
      <c r="AD25" s="106">
        <f t="shared" si="8"/>
        <v>0</v>
      </c>
    </row>
    <row r="26" spans="1:33">
      <c r="A26" s="165">
        <v>1</v>
      </c>
      <c r="B26" s="164" t="s">
        <v>356</v>
      </c>
      <c r="C26" s="163" t="s">
        <v>355</v>
      </c>
      <c r="D26" s="162" t="s">
        <v>68</v>
      </c>
      <c r="E26" s="158">
        <f>+総係!E26+SUM(特環:浄化!E26)-SUM('特環(共通按分後):浄化(共通按分後)'!E26)</f>
        <v>0</v>
      </c>
      <c r="F26" s="161">
        <f>+総係!F26+SUM(特環:浄化!F26)-SUM('特環(共通按分後):浄化(共通按分後)'!F26)</f>
        <v>0</v>
      </c>
      <c r="G26" s="160">
        <f>+総係!G26+SUM(特環:浄化!G26)-SUM('特環(共通按分後):浄化(共通按分後)'!G26)</f>
        <v>0</v>
      </c>
      <c r="H26" s="160">
        <f>+総係!H26+SUM(特環:浄化!H26)-SUM('特環(共通按分後):浄化(共通按分後)'!H26)</f>
        <v>0</v>
      </c>
      <c r="I26" s="159">
        <f>+総係!I26+SUM(特環:浄化!I26)-SUM('特環(共通按分後):浄化(共通按分後)'!I26)</f>
        <v>0</v>
      </c>
      <c r="J26" s="159">
        <f>+総係!J26+SUM(特環:浄化!J26)-SUM('特環(共通按分後):浄化(共通按分後)'!J26)</f>
        <v>0</v>
      </c>
      <c r="K26" s="34">
        <f>+総係!K26+SUM(特環:浄化!K26)-SUM('特環(共通按分後):浄化(共通按分後)'!K26)</f>
        <v>0</v>
      </c>
      <c r="L26" s="158">
        <f>+総係!L26+SUM(特環:浄化!L26)-SUM('特環(共通按分後):浄化(共通按分後)'!L26)</f>
        <v>0</v>
      </c>
      <c r="M26" s="158">
        <f>+総係!M26+SUM(特環:浄化!M26)-SUM('特環(共通按分後):浄化(共通按分後)'!M26)</f>
        <v>0</v>
      </c>
      <c r="N26" s="108">
        <f>+総係!N26+SUM(特環:浄化!N26)-SUM('特環(共通按分後):浄化(共通按分後)'!N26)</f>
        <v>0</v>
      </c>
      <c r="O26" s="25">
        <f>+総係!O26+SUM(特環:浄化!O26)-SUM('特環(共通按分後):浄化(共通按分後)'!O26)</f>
        <v>0</v>
      </c>
      <c r="P26" s="25">
        <f>+総係!P26+SUM(特環:浄化!P26)-SUM('特環(共通按分後):浄化(共通按分後)'!P26)</f>
        <v>0</v>
      </c>
      <c r="Q26" s="157">
        <f>+総係!Q26+SUM(特環:浄化!Q26)-SUM('特環(共通按分後):浄化(共通按分後)'!Q26)</f>
        <v>0</v>
      </c>
      <c r="R26" s="157">
        <f>+総係!R26+SUM(特環:浄化!R26)-SUM('特環(共通按分後):浄化(共通按分後)'!R26)</f>
        <v>0</v>
      </c>
      <c r="S26" s="22">
        <f>+総係!S26+SUM(特環:浄化!S26)-SUM('特環(共通按分後):浄化(共通按分後)'!S26)</f>
        <v>0</v>
      </c>
      <c r="T26" s="109">
        <f>+総係!T26+SUM(特環:浄化!T26)-SUM('特環(共通按分後):浄化(共通按分後)'!T26)</f>
        <v>0</v>
      </c>
      <c r="U26" s="107">
        <f t="shared" si="0"/>
        <v>0</v>
      </c>
      <c r="V26" s="107">
        <f t="shared" si="1"/>
        <v>0</v>
      </c>
      <c r="W26" s="107">
        <f t="shared" si="2"/>
        <v>0</v>
      </c>
      <c r="X26" s="107">
        <f t="shared" si="2"/>
        <v>0</v>
      </c>
      <c r="Y26" s="107">
        <f t="shared" si="3"/>
        <v>0</v>
      </c>
      <c r="Z26" s="106">
        <f t="shared" si="4"/>
        <v>0</v>
      </c>
      <c r="AA26" s="106">
        <f t="shared" si="5"/>
        <v>0</v>
      </c>
      <c r="AB26" s="106">
        <f t="shared" si="6"/>
        <v>0</v>
      </c>
      <c r="AC26" s="106">
        <f t="shared" si="7"/>
        <v>0</v>
      </c>
      <c r="AD26" s="106">
        <f t="shared" si="8"/>
        <v>0</v>
      </c>
    </row>
    <row r="27" spans="1:33">
      <c r="A27" s="165">
        <v>1</v>
      </c>
      <c r="B27" s="164" t="s">
        <v>354</v>
      </c>
      <c r="C27" s="163"/>
      <c r="D27" s="162" t="s">
        <v>66</v>
      </c>
      <c r="E27" s="158">
        <f>+総係!E27+SUM(特環:浄化!E27)-SUM('特環(共通按分後):浄化(共通按分後)'!E27)</f>
        <v>0</v>
      </c>
      <c r="F27" s="161">
        <f>+総係!F27+SUM(特環:浄化!F27)-SUM('特環(共通按分後):浄化(共通按分後)'!F27)</f>
        <v>0</v>
      </c>
      <c r="G27" s="160">
        <f>+総係!G27+SUM(特環:浄化!G27)-SUM('特環(共通按分後):浄化(共通按分後)'!G27)</f>
        <v>0</v>
      </c>
      <c r="H27" s="160">
        <f>+総係!H27+SUM(特環:浄化!H27)-SUM('特環(共通按分後):浄化(共通按分後)'!H27)</f>
        <v>0</v>
      </c>
      <c r="I27" s="159">
        <f>+総係!I27+SUM(特環:浄化!I27)-SUM('特環(共通按分後):浄化(共通按分後)'!I27)</f>
        <v>0</v>
      </c>
      <c r="J27" s="159">
        <f>+総係!J27+SUM(特環:浄化!J27)-SUM('特環(共通按分後):浄化(共通按分後)'!J27)</f>
        <v>0</v>
      </c>
      <c r="K27" s="34">
        <f>+総係!K27+SUM(特環:浄化!K27)-SUM('特環(共通按分後):浄化(共通按分後)'!K27)</f>
        <v>0</v>
      </c>
      <c r="L27" s="158">
        <f>+総係!L27+SUM(特環:浄化!L27)-SUM('特環(共通按分後):浄化(共通按分後)'!L27)</f>
        <v>0</v>
      </c>
      <c r="M27" s="158">
        <f>+総係!M27+SUM(特環:浄化!M27)-SUM('特環(共通按分後):浄化(共通按分後)'!M27)</f>
        <v>0</v>
      </c>
      <c r="N27" s="108">
        <f>+総係!N27+SUM(特環:浄化!N27)-SUM('特環(共通按分後):浄化(共通按分後)'!N27)</f>
        <v>0</v>
      </c>
      <c r="O27" s="25">
        <f>+総係!O27+SUM(特環:浄化!O27)-SUM('特環(共通按分後):浄化(共通按分後)'!O27)</f>
        <v>0</v>
      </c>
      <c r="P27" s="25">
        <f>+総係!P27+SUM(特環:浄化!P27)-SUM('特環(共通按分後):浄化(共通按分後)'!P27)</f>
        <v>0</v>
      </c>
      <c r="Q27" s="157">
        <f>+総係!Q27+SUM(特環:浄化!Q27)-SUM('特環(共通按分後):浄化(共通按分後)'!Q27)</f>
        <v>0</v>
      </c>
      <c r="R27" s="157">
        <f>+総係!R27+SUM(特環:浄化!R27)-SUM('特環(共通按分後):浄化(共通按分後)'!R27)</f>
        <v>0</v>
      </c>
      <c r="S27" s="22">
        <f>+総係!S27+SUM(特環:浄化!S27)-SUM('特環(共通按分後):浄化(共通按分後)'!S27)</f>
        <v>0</v>
      </c>
      <c r="T27" s="109">
        <f>+総係!T27+SUM(特環:浄化!T27)-SUM('特環(共通按分後):浄化(共通按分後)'!T27)</f>
        <v>0</v>
      </c>
      <c r="U27" s="107">
        <f t="shared" si="0"/>
        <v>0</v>
      </c>
      <c r="V27" s="107">
        <f t="shared" si="1"/>
        <v>0</v>
      </c>
      <c r="W27" s="107">
        <f t="shared" si="2"/>
        <v>0</v>
      </c>
      <c r="X27" s="107">
        <f t="shared" si="2"/>
        <v>0</v>
      </c>
      <c r="Y27" s="107">
        <f t="shared" si="3"/>
        <v>0</v>
      </c>
      <c r="Z27" s="106">
        <f t="shared" si="4"/>
        <v>0</v>
      </c>
      <c r="AA27" s="106">
        <f t="shared" si="5"/>
        <v>0</v>
      </c>
      <c r="AB27" s="106">
        <f t="shared" si="6"/>
        <v>0</v>
      </c>
      <c r="AC27" s="106">
        <f t="shared" si="7"/>
        <v>0</v>
      </c>
      <c r="AD27" s="106">
        <f t="shared" si="8"/>
        <v>0</v>
      </c>
    </row>
    <row r="28" spans="1:33">
      <c r="A28" s="165">
        <v>1</v>
      </c>
      <c r="B28" s="164" t="s">
        <v>353</v>
      </c>
      <c r="C28" s="163"/>
      <c r="D28" s="162" t="s">
        <v>64</v>
      </c>
      <c r="E28" s="158">
        <f>+総係!E28+SUM(特環:浄化!E28)-SUM('特環(共通按分後):浄化(共通按分後)'!E28)</f>
        <v>0</v>
      </c>
      <c r="F28" s="161">
        <f>+総係!F28+SUM(特環:浄化!F28)-SUM('特環(共通按分後):浄化(共通按分後)'!F28)</f>
        <v>0</v>
      </c>
      <c r="G28" s="160">
        <f>+総係!G28+SUM(特環:浄化!G28)-SUM('特環(共通按分後):浄化(共通按分後)'!G28)</f>
        <v>0</v>
      </c>
      <c r="H28" s="160">
        <f>+総係!H28+SUM(特環:浄化!H28)-SUM('特環(共通按分後):浄化(共通按分後)'!H28)</f>
        <v>0</v>
      </c>
      <c r="I28" s="159">
        <f>+総係!I28+SUM(特環:浄化!I28)-SUM('特環(共通按分後):浄化(共通按分後)'!I28)</f>
        <v>0</v>
      </c>
      <c r="J28" s="159">
        <f>+総係!J28+SUM(特環:浄化!J28)-SUM('特環(共通按分後):浄化(共通按分後)'!J28)</f>
        <v>0</v>
      </c>
      <c r="K28" s="34">
        <f>+総係!K28+SUM(特環:浄化!K28)-SUM('特環(共通按分後):浄化(共通按分後)'!K28)</f>
        <v>0</v>
      </c>
      <c r="L28" s="158">
        <f>+総係!L28+SUM(特環:浄化!L28)-SUM('特環(共通按分後):浄化(共通按分後)'!L28)</f>
        <v>0</v>
      </c>
      <c r="M28" s="158">
        <f>+総係!M28+SUM(特環:浄化!M28)-SUM('特環(共通按分後):浄化(共通按分後)'!M28)</f>
        <v>0</v>
      </c>
      <c r="N28" s="108">
        <f>+総係!N28+SUM(特環:浄化!N28)-SUM('特環(共通按分後):浄化(共通按分後)'!N28)</f>
        <v>0</v>
      </c>
      <c r="O28" s="25">
        <f>+総係!O28+SUM(特環:浄化!O28)-SUM('特環(共通按分後):浄化(共通按分後)'!O28)</f>
        <v>0</v>
      </c>
      <c r="P28" s="25">
        <f>+総係!P28+SUM(特環:浄化!P28)-SUM('特環(共通按分後):浄化(共通按分後)'!P28)</f>
        <v>0</v>
      </c>
      <c r="Q28" s="157">
        <f>+総係!Q28+SUM(特環:浄化!Q28)-SUM('特環(共通按分後):浄化(共通按分後)'!Q28)</f>
        <v>0</v>
      </c>
      <c r="R28" s="157">
        <f>+総係!R28+SUM(特環:浄化!R28)-SUM('特環(共通按分後):浄化(共通按分後)'!R28)</f>
        <v>0</v>
      </c>
      <c r="S28" s="22">
        <f>+総係!S28+SUM(特環:浄化!S28)-SUM('特環(共通按分後):浄化(共通按分後)'!S28)</f>
        <v>0</v>
      </c>
      <c r="T28" s="109">
        <f>+総係!T28+SUM(特環:浄化!T28)-SUM('特環(共通按分後):浄化(共通按分後)'!T28)</f>
        <v>0</v>
      </c>
      <c r="U28" s="107">
        <f t="shared" si="0"/>
        <v>0</v>
      </c>
      <c r="V28" s="107">
        <f t="shared" si="1"/>
        <v>0</v>
      </c>
      <c r="W28" s="107">
        <f t="shared" si="2"/>
        <v>0</v>
      </c>
      <c r="X28" s="107">
        <f t="shared" si="2"/>
        <v>0</v>
      </c>
      <c r="Y28" s="107">
        <f t="shared" si="3"/>
        <v>0</v>
      </c>
      <c r="Z28" s="106">
        <f t="shared" si="4"/>
        <v>0</v>
      </c>
      <c r="AA28" s="106">
        <f t="shared" si="5"/>
        <v>0</v>
      </c>
      <c r="AB28" s="106">
        <f t="shared" si="6"/>
        <v>0</v>
      </c>
      <c r="AC28" s="106">
        <f t="shared" si="7"/>
        <v>0</v>
      </c>
      <c r="AD28" s="106">
        <f t="shared" si="8"/>
        <v>0</v>
      </c>
    </row>
    <row r="29" spans="1:33">
      <c r="A29" s="165">
        <v>1</v>
      </c>
      <c r="B29" s="164" t="s">
        <v>352</v>
      </c>
      <c r="C29" s="163"/>
      <c r="D29" s="162" t="s">
        <v>62</v>
      </c>
      <c r="E29" s="158">
        <f>+総係!E29+SUM(特環:浄化!E29)-SUM('特環(共通按分後):浄化(共通按分後)'!E29)</f>
        <v>115985057</v>
      </c>
      <c r="F29" s="161">
        <f>+総係!F29+SUM(特環:浄化!F29)-SUM('特環(共通按分後):浄化(共通按分後)'!F29)</f>
        <v>0</v>
      </c>
      <c r="G29" s="160">
        <f>+総係!G29+SUM(特環:浄化!G29)-SUM('特環(共通按分後):浄化(共通按分後)'!G29)</f>
        <v>0</v>
      </c>
      <c r="H29" s="160">
        <f>+総係!H29+SUM(特環:浄化!H29)-SUM('特環(共通按分後):浄化(共通按分後)'!H29)</f>
        <v>0</v>
      </c>
      <c r="I29" s="159">
        <f>+総係!I29+SUM(特環:浄化!I29)-SUM('特環(共通按分後):浄化(共通按分後)'!I29)</f>
        <v>0</v>
      </c>
      <c r="J29" s="159">
        <f>+総係!J29+SUM(特環:浄化!J29)-SUM('特環(共通按分後):浄化(共通按分後)'!J29)</f>
        <v>110424827</v>
      </c>
      <c r="K29" s="34">
        <f>+総係!K29+SUM(特環:浄化!K29)-SUM('特環(共通按分後):浄化(共通按分後)'!K29)</f>
        <v>110424827</v>
      </c>
      <c r="L29" s="158">
        <f>+総係!L29+SUM(特環:浄化!L29)-SUM('特環(共通按分後):浄化(共通按分後)'!L29)</f>
        <v>0</v>
      </c>
      <c r="M29" s="158">
        <f>+総係!M29+SUM(特環:浄化!M29)-SUM('特環(共通按分後):浄化(共通按分後)'!M29)</f>
        <v>5560230</v>
      </c>
      <c r="N29" s="108">
        <f>+総係!N29+SUM(特環:浄化!N29)-SUM('特環(共通按分後):浄化(共通按分後)'!N29)</f>
        <v>0</v>
      </c>
      <c r="O29" s="25">
        <f>+総係!O29+SUM(特環:浄化!O29)-SUM('特環(共通按分後):浄化(共通按分後)'!O29)</f>
        <v>0</v>
      </c>
      <c r="P29" s="25">
        <f>+総係!P29+SUM(特環:浄化!P29)-SUM('特環(共通按分後):浄化(共通按分後)'!P29)</f>
        <v>0</v>
      </c>
      <c r="Q29" s="157">
        <f>+総係!Q29+SUM(特環:浄化!Q29)-SUM('特環(共通按分後):浄化(共通按分後)'!Q29)</f>
        <v>0</v>
      </c>
      <c r="R29" s="157">
        <f>+総係!R29+SUM(特環:浄化!R29)-SUM('特環(共通按分後):浄化(共通按分後)'!R29)</f>
        <v>10038621</v>
      </c>
      <c r="S29" s="22">
        <f>+総係!S29+SUM(特環:浄化!S29)-SUM('特環(共通按分後):浄化(共通按分後)'!S29)</f>
        <v>10038621</v>
      </c>
      <c r="T29" s="109">
        <f>+総係!T29+SUM(特環:浄化!T29)-SUM('特環(共通按分後):浄化(共通按分後)'!T29)</f>
        <v>105946436</v>
      </c>
      <c r="U29" s="107">
        <f t="shared" si="0"/>
        <v>0</v>
      </c>
      <c r="V29" s="107">
        <f t="shared" si="1"/>
        <v>0</v>
      </c>
      <c r="W29" s="107">
        <f t="shared" si="2"/>
        <v>0</v>
      </c>
      <c r="X29" s="107">
        <f t="shared" si="2"/>
        <v>0</v>
      </c>
      <c r="Y29" s="107">
        <f t="shared" si="3"/>
        <v>0.36363636329770088</v>
      </c>
      <c r="Z29" s="106">
        <f t="shared" si="4"/>
        <v>0</v>
      </c>
      <c r="AA29" s="106">
        <f t="shared" si="5"/>
        <v>0</v>
      </c>
      <c r="AB29" s="106">
        <f t="shared" si="6"/>
        <v>0</v>
      </c>
      <c r="AC29" s="106">
        <f t="shared" si="7"/>
        <v>0</v>
      </c>
      <c r="AD29" s="106">
        <f t="shared" si="8"/>
        <v>0</v>
      </c>
    </row>
    <row r="30" spans="1:33">
      <c r="A30" s="165"/>
      <c r="B30" s="164">
        <v>8831636</v>
      </c>
      <c r="C30" s="163"/>
      <c r="D30" s="162" t="s">
        <v>868</v>
      </c>
      <c r="E30" s="158">
        <f>+総係!E30+SUM(特環:浄化!E30)-SUM('特環(共通按分後):浄化(共通按分後)'!E30)</f>
        <v>3000</v>
      </c>
      <c r="F30" s="161">
        <f>+総係!F30+SUM(特環:浄化!F30)-SUM('特環(共通按分後):浄化(共通按分後)'!F30)</f>
        <v>0</v>
      </c>
      <c r="G30" s="160">
        <f>+総係!G30+SUM(特環:浄化!G30)-SUM('特環(共通按分後):浄化(共通按分後)'!G30)</f>
        <v>0</v>
      </c>
      <c r="H30" s="160">
        <f>+総係!H30+SUM(特環:浄化!H30)-SUM('特環(共通按分後):浄化(共通按分後)'!H30)</f>
        <v>0</v>
      </c>
      <c r="I30" s="159">
        <f>+総係!I30+SUM(特環:浄化!I30)-SUM('特環(共通按分後):浄化(共通按分後)'!I30)</f>
        <v>0</v>
      </c>
      <c r="J30" s="159">
        <f>+総係!J30+SUM(特環:浄化!J30)-SUM('特環(共通按分後):浄化(共通按分後)'!J30)</f>
        <v>3000</v>
      </c>
      <c r="K30" s="34">
        <f>+総係!K30+SUM(特環:浄化!K30)-SUM('特環(共通按分後):浄化(共通按分後)'!K30)</f>
        <v>3000</v>
      </c>
      <c r="L30" s="158">
        <f>+総係!L30+SUM(特環:浄化!L30)-SUM('特環(共通按分後):浄化(共通按分後)'!L30)</f>
        <v>0</v>
      </c>
      <c r="M30" s="158">
        <f>+総係!M30+SUM(特環:浄化!M30)-SUM('特環(共通按分後):浄化(共通按分後)'!M30)</f>
        <v>0</v>
      </c>
      <c r="N30" s="108">
        <f>+総係!N30+SUM(特環:浄化!N30)-SUM('特環(共通按分後):浄化(共通按分後)'!N30)</f>
        <v>0</v>
      </c>
      <c r="O30" s="25">
        <f>+総係!O30+SUM(特環:浄化!O30)-SUM('特環(共通按分後):浄化(共通按分後)'!O30)</f>
        <v>0</v>
      </c>
      <c r="P30" s="25">
        <f>+総係!P30+SUM(特環:浄化!P30)-SUM('特環(共通按分後):浄化(共通按分後)'!P30)</f>
        <v>0</v>
      </c>
      <c r="Q30" s="157">
        <f>+総係!Q30+SUM(特環:浄化!Q30)-SUM('特環(共通按分後):浄化(共通按分後)'!Q30)</f>
        <v>0</v>
      </c>
      <c r="R30" s="157">
        <f>+総係!R30+SUM(特環:浄化!R30)-SUM('特環(共通按分後):浄化(共通按分後)'!R30)</f>
        <v>273</v>
      </c>
      <c r="S30" s="22">
        <f>+総係!S30+SUM(特環:浄化!S30)-SUM('特環(共通按分後):浄化(共通按分後)'!S30)</f>
        <v>273</v>
      </c>
      <c r="T30" s="109">
        <f>+総係!T30+SUM(特環:浄化!T30)-SUM('特環(共通按分後):浄化(共通按分後)'!T30)</f>
        <v>2727</v>
      </c>
      <c r="U30" s="107">
        <f t="shared" ref="U30" si="9">N30-F30*F$4/(100+F$4)</f>
        <v>0</v>
      </c>
      <c r="V30" s="107">
        <f t="shared" ref="V30" si="10">O30-G30*G$4/(100+G$4)</f>
        <v>0</v>
      </c>
      <c r="W30" s="107">
        <f t="shared" ref="W30" si="11">P30-H30*H$4/(100+H$4)</f>
        <v>0</v>
      </c>
      <c r="X30" s="107">
        <f t="shared" ref="X30" si="12">Q30-I30*I$4/(100+I$4)</f>
        <v>0</v>
      </c>
      <c r="Y30" s="107">
        <f t="shared" ref="Y30" si="13">R30-J30*J$4/(100+J$4)</f>
        <v>0.27272727272725206</v>
      </c>
      <c r="Z30" s="106">
        <f t="shared" si="4"/>
        <v>0</v>
      </c>
      <c r="AA30" s="106">
        <f t="shared" si="5"/>
        <v>0</v>
      </c>
      <c r="AB30" s="106">
        <f t="shared" si="6"/>
        <v>0</v>
      </c>
      <c r="AC30" s="106">
        <f t="shared" si="7"/>
        <v>0</v>
      </c>
      <c r="AD30" s="106">
        <f t="shared" si="8"/>
        <v>0</v>
      </c>
    </row>
    <row r="31" spans="1:33">
      <c r="A31" s="165">
        <v>1</v>
      </c>
      <c r="B31" s="164" t="s">
        <v>351</v>
      </c>
      <c r="C31" s="163"/>
      <c r="D31" s="162" t="s">
        <v>60</v>
      </c>
      <c r="E31" s="158">
        <f>+総係!E31+SUM(特環:浄化!E30)-SUM('特環(共通按分後):浄化(共通按分後)'!E31)</f>
        <v>108</v>
      </c>
      <c r="F31" s="161">
        <f>+総係!F31+SUM(特環:浄化!F30)-SUM('特環(共通按分後):浄化(共通按分後)'!F31)</f>
        <v>0</v>
      </c>
      <c r="G31" s="160">
        <f>+総係!G31+SUM(特環:浄化!G30)-SUM('特環(共通按分後):浄化(共通按分後)'!G31)</f>
        <v>0</v>
      </c>
      <c r="H31" s="160">
        <f>+総係!H31+SUM(特環:浄化!H30)-SUM('特環(共通按分後):浄化(共通按分後)'!H31)</f>
        <v>0</v>
      </c>
      <c r="I31" s="159">
        <f>+総係!I31+SUM(特環:浄化!I30)-SUM('特環(共通按分後):浄化(共通按分後)'!I31)</f>
        <v>0</v>
      </c>
      <c r="J31" s="159">
        <f>+総係!J31+SUM(特環:浄化!J30)-SUM('特環(共通按分後):浄化(共通按分後)'!J31)</f>
        <v>108</v>
      </c>
      <c r="K31" s="34">
        <f>+総係!K31+SUM(特環:浄化!K30)-SUM('特環(共通按分後):浄化(共通按分後)'!K31)</f>
        <v>108</v>
      </c>
      <c r="L31" s="158">
        <f>+総係!L31+SUM(特環:浄化!L30)-SUM('特環(共通按分後):浄化(共通按分後)'!L31)</f>
        <v>0</v>
      </c>
      <c r="M31" s="158">
        <f>+総係!M31+SUM(特環:浄化!M30)-SUM('特環(共通按分後):浄化(共通按分後)'!M31)</f>
        <v>0</v>
      </c>
      <c r="N31" s="108">
        <f>+総係!N31+SUM(特環:浄化!N30)-SUM('特環(共通按分後):浄化(共通按分後)'!N31)</f>
        <v>0</v>
      </c>
      <c r="O31" s="25">
        <f>+総係!O31+SUM(特環:浄化!O30)-SUM('特環(共通按分後):浄化(共通按分後)'!O31)</f>
        <v>0</v>
      </c>
      <c r="P31" s="25">
        <f>+総係!P31+SUM(特環:浄化!P30)-SUM('特環(共通按分後):浄化(共通按分後)'!P31)</f>
        <v>0</v>
      </c>
      <c r="Q31" s="157">
        <f>+総係!Q31+SUM(特環:浄化!Q30)-SUM('特環(共通按分後):浄化(共通按分後)'!Q31)</f>
        <v>0</v>
      </c>
      <c r="R31" s="157">
        <f>+総係!R31+SUM(特環:浄化!R30)-SUM('特環(共通按分後):浄化(共通按分後)'!R31)</f>
        <v>10</v>
      </c>
      <c r="S31" s="22">
        <f>+総係!S31+SUM(特環:浄化!S30)-SUM('特環(共通按分後):浄化(共通按分後)'!S31)</f>
        <v>10</v>
      </c>
      <c r="T31" s="109">
        <f>+総係!T31+SUM(特環:浄化!T30)-SUM('特環(共通按分後):浄化(共通按分後)'!T31)</f>
        <v>98</v>
      </c>
      <c r="U31" s="107">
        <f t="shared" si="0"/>
        <v>0</v>
      </c>
      <c r="V31" s="107">
        <f t="shared" si="1"/>
        <v>0</v>
      </c>
      <c r="W31" s="107">
        <f t="shared" si="2"/>
        <v>0</v>
      </c>
      <c r="X31" s="107">
        <f t="shared" si="2"/>
        <v>0</v>
      </c>
      <c r="Y31" s="107">
        <f t="shared" si="3"/>
        <v>0.18181818181818166</v>
      </c>
      <c r="Z31" s="106">
        <f t="shared" si="4"/>
        <v>0</v>
      </c>
      <c r="AA31" s="106">
        <f t="shared" si="5"/>
        <v>0</v>
      </c>
      <c r="AB31" s="106">
        <f t="shared" si="6"/>
        <v>0</v>
      </c>
      <c r="AC31" s="106">
        <f t="shared" si="7"/>
        <v>0</v>
      </c>
      <c r="AD31" s="106">
        <f t="shared" si="8"/>
        <v>0</v>
      </c>
    </row>
    <row r="32" spans="1:33">
      <c r="A32" s="165">
        <v>1</v>
      </c>
      <c r="B32" s="164" t="s">
        <v>350</v>
      </c>
      <c r="C32" s="163"/>
      <c r="D32" s="162" t="s">
        <v>58</v>
      </c>
      <c r="E32" s="158">
        <f>+総係!E32+SUM(特環:浄化!E31)-SUM('特環(共通按分後):浄化(共通按分後)'!E32)</f>
        <v>3828947</v>
      </c>
      <c r="F32" s="161">
        <f>+総係!F32+SUM(特環:浄化!F31)-SUM('特環(共通按分後):浄化(共通按分後)'!F32)</f>
        <v>0</v>
      </c>
      <c r="G32" s="160">
        <f>+総係!G32+SUM(特環:浄化!G31)-SUM('特環(共通按分後):浄化(共通按分後)'!G32)</f>
        <v>0</v>
      </c>
      <c r="H32" s="160">
        <f>+総係!H32+SUM(特環:浄化!H31)-SUM('特環(共通按分後):浄化(共通按分後)'!H32)</f>
        <v>0</v>
      </c>
      <c r="I32" s="159">
        <f>+総係!I32+SUM(特環:浄化!I31)-SUM('特環(共通按分後):浄化(共通按分後)'!I32)</f>
        <v>0</v>
      </c>
      <c r="J32" s="159">
        <f>+総係!J32+SUM(特環:浄化!J31)-SUM('特環(共通按分後):浄化(共通按分後)'!J32)</f>
        <v>0</v>
      </c>
      <c r="K32" s="34">
        <f>+総係!K32+SUM(特環:浄化!K31)-SUM('特環(共通按分後):浄化(共通按分後)'!K32)</f>
        <v>0</v>
      </c>
      <c r="L32" s="158">
        <f>+総係!L32+SUM(特環:浄化!L31)-SUM('特環(共通按分後):浄化(共通按分後)'!L32)</f>
        <v>3828947</v>
      </c>
      <c r="M32" s="158">
        <f>+総係!M32+SUM(特環:浄化!M31)-SUM('特環(共通按分後):浄化(共通按分後)'!M32)</f>
        <v>0</v>
      </c>
      <c r="N32" s="108">
        <f>+総係!N32+SUM(特環:浄化!N31)-SUM('特環(共通按分後):浄化(共通按分後)'!N32)</f>
        <v>0</v>
      </c>
      <c r="O32" s="25">
        <f>+総係!O32+SUM(特環:浄化!O31)-SUM('特環(共通按分後):浄化(共通按分後)'!O32)</f>
        <v>0</v>
      </c>
      <c r="P32" s="25">
        <f>+総係!P32+SUM(特環:浄化!P31)-SUM('特環(共通按分後):浄化(共通按分後)'!P32)</f>
        <v>0</v>
      </c>
      <c r="Q32" s="157">
        <f>+総係!Q32+SUM(特環:浄化!Q31)-SUM('特環(共通按分後):浄化(共通按分後)'!Q32)</f>
        <v>0</v>
      </c>
      <c r="R32" s="157">
        <f>+総係!R32+SUM(特環:浄化!R31)-SUM('特環(共通按分後):浄化(共通按分後)'!R32)</f>
        <v>0</v>
      </c>
      <c r="S32" s="22">
        <f>+総係!S32+SUM(特環:浄化!S31)-SUM('特環(共通按分後):浄化(共通按分後)'!S32)</f>
        <v>0</v>
      </c>
      <c r="T32" s="109">
        <f>+総係!T32+SUM(特環:浄化!T31)-SUM('特環(共通按分後):浄化(共通按分後)'!T32)</f>
        <v>3828947</v>
      </c>
      <c r="U32" s="107">
        <f t="shared" si="0"/>
        <v>0</v>
      </c>
      <c r="V32" s="107">
        <f t="shared" si="1"/>
        <v>0</v>
      </c>
      <c r="W32" s="107">
        <f t="shared" si="2"/>
        <v>0</v>
      </c>
      <c r="X32" s="107">
        <f t="shared" si="2"/>
        <v>0</v>
      </c>
      <c r="Y32" s="107">
        <f t="shared" si="3"/>
        <v>0</v>
      </c>
      <c r="Z32" s="106">
        <f t="shared" si="4"/>
        <v>0</v>
      </c>
      <c r="AA32" s="106">
        <f t="shared" si="5"/>
        <v>0</v>
      </c>
      <c r="AB32" s="106">
        <f t="shared" si="6"/>
        <v>0</v>
      </c>
      <c r="AC32" s="106">
        <f t="shared" si="7"/>
        <v>0</v>
      </c>
      <c r="AD32" s="106">
        <f t="shared" si="8"/>
        <v>0</v>
      </c>
    </row>
    <row r="33" spans="1:30">
      <c r="A33" s="165">
        <v>1</v>
      </c>
      <c r="B33" s="164" t="s">
        <v>349</v>
      </c>
      <c r="C33" s="163"/>
      <c r="D33" s="162" t="s">
        <v>56</v>
      </c>
      <c r="E33" s="158">
        <f>+総係!E33+SUM(特環:浄化!E32)-SUM('特環(共通按分後):浄化(共通按分後)'!E33)</f>
        <v>266633</v>
      </c>
      <c r="F33" s="161">
        <f>+総係!F33+SUM(特環:浄化!F32)-SUM('特環(共通按分後):浄化(共通按分後)'!F33)</f>
        <v>0</v>
      </c>
      <c r="G33" s="160">
        <f>+総係!G33+SUM(特環:浄化!G32)-SUM('特環(共通按分後):浄化(共通按分後)'!G33)</f>
        <v>0</v>
      </c>
      <c r="H33" s="160">
        <f>+総係!H33+SUM(特環:浄化!H32)-SUM('特環(共通按分後):浄化(共通按分後)'!H33)</f>
        <v>0</v>
      </c>
      <c r="I33" s="159">
        <f>+総係!I33+SUM(特環:浄化!I32)-SUM('特環(共通按分後):浄化(共通按分後)'!I33)</f>
        <v>0</v>
      </c>
      <c r="J33" s="159">
        <f>+総係!J33+SUM(特環:浄化!J32)-SUM('特環(共通按分後):浄化(共通按分後)'!J33)</f>
        <v>0</v>
      </c>
      <c r="K33" s="34">
        <f>+総係!K33+SUM(特環:浄化!K32)-SUM('特環(共通按分後):浄化(共通按分後)'!K33)</f>
        <v>0</v>
      </c>
      <c r="L33" s="158">
        <f>+総係!L33+SUM(特環:浄化!L32)-SUM('特環(共通按分後):浄化(共通按分後)'!L33)</f>
        <v>255272</v>
      </c>
      <c r="M33" s="158">
        <f>+総係!M33+SUM(特環:浄化!M32)-SUM('特環(共通按分後):浄化(共通按分後)'!M33)</f>
        <v>11361</v>
      </c>
      <c r="N33" s="108">
        <f>+総係!N33+SUM(特環:浄化!N32)-SUM('特環(共通按分後):浄化(共通按分後)'!N33)</f>
        <v>0</v>
      </c>
      <c r="O33" s="25">
        <f>+総係!O33+SUM(特環:浄化!O32)-SUM('特環(共通按分後):浄化(共通按分後)'!O33)</f>
        <v>0</v>
      </c>
      <c r="P33" s="25">
        <f>+総係!P33+SUM(特環:浄化!P32)-SUM('特環(共通按分後):浄化(共通按分後)'!P33)</f>
        <v>0</v>
      </c>
      <c r="Q33" s="157">
        <f>+総係!Q33+SUM(特環:浄化!Q32)-SUM('特環(共通按分後):浄化(共通按分後)'!Q33)</f>
        <v>0</v>
      </c>
      <c r="R33" s="157">
        <f>+総係!R33+SUM(特環:浄化!R32)-SUM('特環(共通按分後):浄化(共通按分後)'!R33)</f>
        <v>0</v>
      </c>
      <c r="S33" s="22">
        <f>+総係!S33+SUM(特環:浄化!S32)-SUM('特環(共通按分後):浄化(共通按分後)'!S33)</f>
        <v>0</v>
      </c>
      <c r="T33" s="109">
        <f>+総係!T33+SUM(特環:浄化!T32)-SUM('特環(共通按分後):浄化(共通按分後)'!T33)</f>
        <v>266633</v>
      </c>
      <c r="U33" s="107">
        <f t="shared" si="0"/>
        <v>0</v>
      </c>
      <c r="V33" s="107">
        <f t="shared" si="1"/>
        <v>0</v>
      </c>
      <c r="W33" s="107">
        <f t="shared" si="2"/>
        <v>0</v>
      </c>
      <c r="X33" s="107">
        <f t="shared" si="2"/>
        <v>0</v>
      </c>
      <c r="Y33" s="107">
        <f t="shared" si="3"/>
        <v>0</v>
      </c>
      <c r="Z33" s="106">
        <f t="shared" si="4"/>
        <v>0</v>
      </c>
      <c r="AA33" s="106">
        <f t="shared" si="5"/>
        <v>0</v>
      </c>
      <c r="AB33" s="106">
        <f t="shared" si="6"/>
        <v>0</v>
      </c>
      <c r="AC33" s="106">
        <f t="shared" si="7"/>
        <v>0</v>
      </c>
      <c r="AD33" s="106">
        <f t="shared" si="8"/>
        <v>0</v>
      </c>
    </row>
    <row r="34" spans="1:30">
      <c r="A34" s="165">
        <v>1</v>
      </c>
      <c r="B34" s="164" t="s">
        <v>348</v>
      </c>
      <c r="C34" s="163"/>
      <c r="D34" s="162" t="s">
        <v>55</v>
      </c>
      <c r="E34" s="158">
        <f>+総係!E34+SUM(特環:浄化!E33)-SUM('特環(共通按分後):浄化(共通按分後)'!E34)</f>
        <v>422939</v>
      </c>
      <c r="F34" s="161">
        <f>+総係!F34+SUM(特環:浄化!F33)-SUM('特環(共通按分後):浄化(共通按分後)'!F34)</f>
        <v>0</v>
      </c>
      <c r="G34" s="160">
        <f>+総係!G34+SUM(特環:浄化!G33)-SUM('特環(共通按分後):浄化(共通按分後)'!G34)</f>
        <v>0</v>
      </c>
      <c r="H34" s="160">
        <f>+総係!H34+SUM(特環:浄化!H33)-SUM('特環(共通按分後):浄化(共通按分後)'!H34)</f>
        <v>0</v>
      </c>
      <c r="I34" s="159">
        <f>+総係!I34+SUM(特環:浄化!I33)-SUM('特環(共通按分後):浄化(共通按分後)'!I34)</f>
        <v>0</v>
      </c>
      <c r="J34" s="159">
        <f>+総係!J34+SUM(特環:浄化!J33)-SUM('特環(共通按分後):浄化(共通按分後)'!J34)</f>
        <v>422700</v>
      </c>
      <c r="K34" s="34">
        <f>+総係!K34+SUM(特環:浄化!K33)-SUM('特環(共通按分後):浄化(共通按分後)'!K34)</f>
        <v>422700</v>
      </c>
      <c r="L34" s="158">
        <f>+総係!L34+SUM(特環:浄化!L33)-SUM('特環(共通按分後):浄化(共通按分後)'!L34)</f>
        <v>0</v>
      </c>
      <c r="M34" s="158">
        <f>+総係!M34+SUM(特環:浄化!M33)-SUM('特環(共通按分後):浄化(共通按分後)'!M34)</f>
        <v>239</v>
      </c>
      <c r="N34" s="108">
        <f>+総係!N34+SUM(特環:浄化!N33)-SUM('特環(共通按分後):浄化(共通按分後)'!N34)</f>
        <v>0</v>
      </c>
      <c r="O34" s="25">
        <f>+総係!O34+SUM(特環:浄化!O33)-SUM('特環(共通按分後):浄化(共通按分後)'!O34)</f>
        <v>0</v>
      </c>
      <c r="P34" s="25">
        <f>+総係!P34+SUM(特環:浄化!P33)-SUM('特環(共通按分後):浄化(共通按分後)'!P34)</f>
        <v>0</v>
      </c>
      <c r="Q34" s="157">
        <f>+総係!Q34+SUM(特環:浄化!Q33)-SUM('特環(共通按分後):浄化(共通按分後)'!Q34)</f>
        <v>0</v>
      </c>
      <c r="R34" s="157">
        <f>+総係!R34+SUM(特環:浄化!R33)-SUM('特環(共通按分後):浄化(共通按分後)'!R34)</f>
        <v>38427</v>
      </c>
      <c r="S34" s="22">
        <f>+総係!S34+SUM(特環:浄化!S33)-SUM('特環(共通按分後):浄化(共通按分後)'!S34)</f>
        <v>38427</v>
      </c>
      <c r="T34" s="109">
        <f>+総係!T34+SUM(特環:浄化!T33)-SUM('特環(共通按分後):浄化(共通按分後)'!T34)</f>
        <v>384512</v>
      </c>
      <c r="U34" s="107">
        <f t="shared" si="0"/>
        <v>0</v>
      </c>
      <c r="V34" s="107">
        <f t="shared" si="1"/>
        <v>0</v>
      </c>
      <c r="W34" s="107">
        <f t="shared" si="2"/>
        <v>0</v>
      </c>
      <c r="X34" s="107">
        <f t="shared" si="2"/>
        <v>0</v>
      </c>
      <c r="Y34" s="107">
        <f t="shared" si="3"/>
        <v>-0.27272727272793418</v>
      </c>
      <c r="Z34" s="106">
        <f t="shared" si="4"/>
        <v>0</v>
      </c>
      <c r="AA34" s="106">
        <f t="shared" si="5"/>
        <v>0</v>
      </c>
      <c r="AB34" s="106">
        <f t="shared" si="6"/>
        <v>0</v>
      </c>
      <c r="AC34" s="106">
        <f t="shared" si="7"/>
        <v>0</v>
      </c>
      <c r="AD34" s="106">
        <f t="shared" si="8"/>
        <v>0</v>
      </c>
    </row>
    <row r="35" spans="1:30">
      <c r="A35" s="165">
        <v>1</v>
      </c>
      <c r="B35" s="164" t="s">
        <v>347</v>
      </c>
      <c r="C35" s="163"/>
      <c r="D35" s="162" t="s">
        <v>53</v>
      </c>
      <c r="E35" s="158">
        <f>+総係!E35+SUM(特環:浄化!E34)-SUM('特環(共通按分後):浄化(共通按分後)'!E35)</f>
        <v>16172000</v>
      </c>
      <c r="F35" s="161">
        <f>+総係!F35+SUM(特環:浄化!F34)-SUM('特環(共通按分後):浄化(共通按分後)'!F35)</f>
        <v>0</v>
      </c>
      <c r="G35" s="160">
        <f>+総係!G35+SUM(特環:浄化!G34)-SUM('特環(共通按分後):浄化(共通按分後)'!G35)</f>
        <v>0</v>
      </c>
      <c r="H35" s="160">
        <f>+総係!H35+SUM(特環:浄化!H34)-SUM('特環(共通按分後):浄化(共通按分後)'!H35)</f>
        <v>0</v>
      </c>
      <c r="I35" s="159">
        <f>+総係!I35+SUM(特環:浄化!I34)-SUM('特環(共通按分後):浄化(共通按分後)'!I35)</f>
        <v>0</v>
      </c>
      <c r="J35" s="159">
        <f>+総係!J35+SUM(特環:浄化!J34)-SUM('特環(共通按分後):浄化(共通按分後)'!J35)</f>
        <v>0</v>
      </c>
      <c r="K35" s="34">
        <f>+総係!K35+SUM(特環:浄化!K34)-SUM('特環(共通按分後):浄化(共通按分後)'!K35)</f>
        <v>0</v>
      </c>
      <c r="L35" s="158">
        <f>+総係!L35+SUM(特環:浄化!L34)-SUM('特環(共通按分後):浄化(共通按分後)'!L35)</f>
        <v>0</v>
      </c>
      <c r="M35" s="158">
        <f>+総係!M35+SUM(特環:浄化!M34)-SUM('特環(共通按分後):浄化(共通按分後)'!M35)</f>
        <v>16172000</v>
      </c>
      <c r="N35" s="108">
        <f>+総係!N35+SUM(特環:浄化!N34)-SUM('特環(共通按分後):浄化(共通按分後)'!N35)</f>
        <v>0</v>
      </c>
      <c r="O35" s="25">
        <f>+総係!O35+SUM(特環:浄化!O34)-SUM('特環(共通按分後):浄化(共通按分後)'!O35)</f>
        <v>0</v>
      </c>
      <c r="P35" s="25">
        <f>+総係!P35+SUM(特環:浄化!P34)-SUM('特環(共通按分後):浄化(共通按分後)'!P35)</f>
        <v>0</v>
      </c>
      <c r="Q35" s="157">
        <f>+総係!Q35+SUM(特環:浄化!Q34)-SUM('特環(共通按分後):浄化(共通按分後)'!Q35)</f>
        <v>0</v>
      </c>
      <c r="R35" s="157">
        <f>+総係!R35+SUM(特環:浄化!R34)-SUM('特環(共通按分後):浄化(共通按分後)'!R35)</f>
        <v>0</v>
      </c>
      <c r="S35" s="22">
        <f>+総係!S35+SUM(特環:浄化!S34)-SUM('特環(共通按分後):浄化(共通按分後)'!S35)</f>
        <v>0</v>
      </c>
      <c r="T35" s="109">
        <f>+総係!T35+SUM(特環:浄化!T34)-SUM('特環(共通按分後):浄化(共通按分後)'!T35)</f>
        <v>16172000</v>
      </c>
      <c r="U35" s="107">
        <f t="shared" si="0"/>
        <v>0</v>
      </c>
      <c r="V35" s="107">
        <f t="shared" si="1"/>
        <v>0</v>
      </c>
      <c r="W35" s="107">
        <f t="shared" si="2"/>
        <v>0</v>
      </c>
      <c r="X35" s="107">
        <f t="shared" si="2"/>
        <v>0</v>
      </c>
      <c r="Y35" s="107">
        <f t="shared" si="3"/>
        <v>0</v>
      </c>
      <c r="Z35" s="106">
        <f t="shared" si="4"/>
        <v>0</v>
      </c>
      <c r="AA35" s="106">
        <f t="shared" si="5"/>
        <v>0</v>
      </c>
      <c r="AB35" s="106">
        <f t="shared" si="6"/>
        <v>0</v>
      </c>
      <c r="AC35" s="106">
        <f t="shared" si="7"/>
        <v>0</v>
      </c>
      <c r="AD35" s="106">
        <f t="shared" si="8"/>
        <v>0</v>
      </c>
    </row>
    <row r="36" spans="1:30" ht="14.25" thickBot="1">
      <c r="A36" s="165"/>
      <c r="B36" s="164" t="s">
        <v>346</v>
      </c>
      <c r="C36" s="163"/>
      <c r="D36" s="162" t="s">
        <v>51</v>
      </c>
      <c r="E36" s="158">
        <f>+総係!E36+SUM(特環:浄化!E35)-SUM('特環(共通按分後):浄化(共通按分後)'!E36)</f>
        <v>1676445</v>
      </c>
      <c r="F36" s="161">
        <f>+総係!F36+SUM(特環:浄化!F35)-SUM('特環(共通按分後):浄化(共通按分後)'!F36)</f>
        <v>0</v>
      </c>
      <c r="G36" s="160">
        <f>+総係!G36+SUM(特環:浄化!G35)-SUM('特環(共通按分後):浄化(共通按分後)'!G36)</f>
        <v>0</v>
      </c>
      <c r="H36" s="160">
        <f>+総係!H36+SUM(特環:浄化!H35)-SUM('特環(共通按分後):浄化(共通按分後)'!H36)</f>
        <v>0</v>
      </c>
      <c r="I36" s="159">
        <f>+総係!I36+SUM(特環:浄化!I35)-SUM('特環(共通按分後):浄化(共通按分後)'!I36)</f>
        <v>0</v>
      </c>
      <c r="J36" s="159">
        <f>+総係!J36+SUM(特環:浄化!J35)-SUM('特環(共通按分後):浄化(共通按分後)'!J36)</f>
        <v>0</v>
      </c>
      <c r="K36" s="34">
        <f>+総係!K36+SUM(特環:浄化!K35)-SUM('特環(共通按分後):浄化(共通按分後)'!K36)</f>
        <v>0</v>
      </c>
      <c r="L36" s="158">
        <f>+総係!L36+SUM(特環:浄化!L35)-SUM('特環(共通按分後):浄化(共通按分後)'!L36)</f>
        <v>0</v>
      </c>
      <c r="M36" s="158">
        <f>+総係!M36+SUM(特環:浄化!M35)-SUM('特環(共通按分後):浄化(共通按分後)'!M36)</f>
        <v>1676445</v>
      </c>
      <c r="N36" s="108">
        <f>+総係!N36+SUM(特環:浄化!N35)-SUM('特環(共通按分後):浄化(共通按分後)'!N36)</f>
        <v>0</v>
      </c>
      <c r="O36" s="25">
        <f>+総係!O36+SUM(特環:浄化!O35)-SUM('特環(共通按分後):浄化(共通按分後)'!O36)</f>
        <v>0</v>
      </c>
      <c r="P36" s="25">
        <f>+総係!P36+SUM(特環:浄化!P35)-SUM('特環(共通按分後):浄化(共通按分後)'!P36)</f>
        <v>0</v>
      </c>
      <c r="Q36" s="157">
        <f>+総係!Q36+SUM(特環:浄化!Q35)-SUM('特環(共通按分後):浄化(共通按分後)'!Q36)</f>
        <v>0</v>
      </c>
      <c r="R36" s="157">
        <f>+総係!R36+SUM(特環:浄化!R35)-SUM('特環(共通按分後):浄化(共通按分後)'!R36)</f>
        <v>0</v>
      </c>
      <c r="S36" s="22">
        <f>+総係!S36+SUM(特環:浄化!S35)-SUM('特環(共通按分後):浄化(共通按分後)'!S36)</f>
        <v>0</v>
      </c>
      <c r="T36" s="109">
        <f>+総係!T36+SUM(特環:浄化!T35)-SUM('特環(共通按分後):浄化(共通按分後)'!T36)</f>
        <v>1676445</v>
      </c>
      <c r="U36" s="107">
        <f t="shared" si="0"/>
        <v>0</v>
      </c>
      <c r="V36" s="107">
        <f t="shared" si="1"/>
        <v>0</v>
      </c>
      <c r="W36" s="107">
        <f t="shared" si="2"/>
        <v>0</v>
      </c>
      <c r="X36" s="107">
        <f t="shared" si="2"/>
        <v>0</v>
      </c>
      <c r="Y36" s="107">
        <f t="shared" si="3"/>
        <v>0</v>
      </c>
      <c r="Z36" s="106">
        <f t="shared" si="4"/>
        <v>0</v>
      </c>
      <c r="AA36" s="106">
        <f t="shared" si="5"/>
        <v>0</v>
      </c>
      <c r="AB36" s="106">
        <f t="shared" si="6"/>
        <v>0</v>
      </c>
      <c r="AC36" s="106">
        <f t="shared" si="7"/>
        <v>0</v>
      </c>
      <c r="AD36" s="106">
        <f t="shared" si="8"/>
        <v>0</v>
      </c>
    </row>
    <row r="37" spans="1:30" ht="14.25" thickTop="1">
      <c r="A37" s="156"/>
      <c r="B37" s="155"/>
      <c r="C37" s="154"/>
      <c r="D37" s="153" t="s">
        <v>2</v>
      </c>
      <c r="E37" s="149">
        <f t="shared" ref="E37:T37" si="14">SUM(E5:E36)</f>
        <v>914982582</v>
      </c>
      <c r="F37" s="152">
        <f t="shared" si="14"/>
        <v>0</v>
      </c>
      <c r="G37" s="151">
        <f t="shared" si="14"/>
        <v>0</v>
      </c>
      <c r="H37" s="151">
        <f t="shared" si="14"/>
        <v>0</v>
      </c>
      <c r="I37" s="150">
        <f t="shared" ref="I37" si="15">SUM(I5:I36)</f>
        <v>325921</v>
      </c>
      <c r="J37" s="150">
        <f t="shared" si="14"/>
        <v>619320755</v>
      </c>
      <c r="K37" s="74">
        <f t="shared" si="14"/>
        <v>619646676</v>
      </c>
      <c r="L37" s="149">
        <f t="shared" si="14"/>
        <v>56562491</v>
      </c>
      <c r="M37" s="149">
        <f t="shared" si="14"/>
        <v>238773415</v>
      </c>
      <c r="N37" s="146">
        <f t="shared" si="14"/>
        <v>0</v>
      </c>
      <c r="O37" s="145">
        <f t="shared" si="14"/>
        <v>0</v>
      </c>
      <c r="P37" s="145">
        <f t="shared" si="14"/>
        <v>0</v>
      </c>
      <c r="Q37" s="148">
        <f t="shared" ref="Q37" si="16">SUM(Q5:Q36)</f>
        <v>24142</v>
      </c>
      <c r="R37" s="148">
        <f t="shared" si="14"/>
        <v>56301887</v>
      </c>
      <c r="S37" s="144">
        <f t="shared" si="14"/>
        <v>56326029</v>
      </c>
      <c r="T37" s="147">
        <f t="shared" si="14"/>
        <v>858656553</v>
      </c>
      <c r="U37" s="88" t="str">
        <f>+IF(F37=0,"",ROUND(F37*F$4/(100+F$4),7)-N37)</f>
        <v/>
      </c>
      <c r="V37" s="88"/>
      <c r="W37" s="88"/>
      <c r="X37" s="88"/>
      <c r="Y37" s="88"/>
      <c r="Z37" s="88"/>
      <c r="AA37" s="88"/>
      <c r="AB37" s="87"/>
      <c r="AC37" s="87"/>
      <c r="AD37" s="87"/>
    </row>
    <row r="38" spans="1:30">
      <c r="A38" s="143"/>
      <c r="B38" s="142"/>
      <c r="C38" s="141"/>
      <c r="D38" s="140" t="s">
        <v>1</v>
      </c>
      <c r="E38" s="136">
        <f t="shared" ref="E38:J38" si="17">+E37</f>
        <v>914982582</v>
      </c>
      <c r="F38" s="139">
        <f t="shared" si="17"/>
        <v>0</v>
      </c>
      <c r="G38" s="138">
        <f t="shared" si="17"/>
        <v>0</v>
      </c>
      <c r="H38" s="138">
        <f t="shared" si="17"/>
        <v>0</v>
      </c>
      <c r="I38" s="137">
        <f t="shared" si="17"/>
        <v>325921</v>
      </c>
      <c r="J38" s="137">
        <f t="shared" si="17"/>
        <v>619320755</v>
      </c>
      <c r="K38" s="63">
        <f>SUM(F38:J38)</f>
        <v>619646676</v>
      </c>
      <c r="L38" s="136">
        <f>+L37</f>
        <v>56562491</v>
      </c>
      <c r="M38" s="135">
        <f>+M37</f>
        <v>238773415</v>
      </c>
      <c r="N38" s="133">
        <f>+'3条支出(共通按分後)'!N14</f>
        <v>0</v>
      </c>
      <c r="O38" s="132">
        <f>+'3条支出(共通按分後)'!O14</f>
        <v>0</v>
      </c>
      <c r="P38" s="132">
        <f>+'3条支出(共通按分後)'!P14</f>
        <v>0</v>
      </c>
      <c r="Q38" s="132">
        <f>+'3条支出(共通按分後)'!Q14</f>
        <v>24142</v>
      </c>
      <c r="R38" s="132">
        <f>+'3条支出(共通按分後)'!R14</f>
        <v>56301887</v>
      </c>
      <c r="S38" s="131">
        <f>+'3条支出(共通按分後)'!S14</f>
        <v>56326029</v>
      </c>
      <c r="T38" s="134">
        <f>+'3条支出(共通按分後)'!T14</f>
        <v>858656553</v>
      </c>
      <c r="U38" s="88" t="str">
        <f>+IF(F38=0,"",ROUND(F38*F$4/(100+F$4),7)-N38)</f>
        <v/>
      </c>
      <c r="V38" s="88"/>
      <c r="W38" s="88"/>
      <c r="X38" s="88"/>
      <c r="Y38" s="88"/>
      <c r="Z38" s="88"/>
      <c r="AA38" s="88"/>
      <c r="AB38" s="87"/>
      <c r="AC38" s="87"/>
      <c r="AD38" s="87"/>
    </row>
    <row r="39" spans="1:30">
      <c r="E39" s="4">
        <f t="shared" ref="E39:T39" si="18">+E38-E37</f>
        <v>0</v>
      </c>
      <c r="F39" s="4">
        <f t="shared" si="18"/>
        <v>0</v>
      </c>
      <c r="G39" s="4">
        <f t="shared" si="18"/>
        <v>0</v>
      </c>
      <c r="H39" s="4">
        <f t="shared" si="18"/>
        <v>0</v>
      </c>
      <c r="I39" s="4">
        <f t="shared" ref="I39" si="19">+I38-I37</f>
        <v>0</v>
      </c>
      <c r="J39" s="4">
        <f t="shared" si="18"/>
        <v>0</v>
      </c>
      <c r="K39" s="4">
        <f t="shared" si="18"/>
        <v>0</v>
      </c>
      <c r="L39" s="4">
        <f t="shared" si="18"/>
        <v>0</v>
      </c>
      <c r="M39" s="4">
        <f t="shared" si="18"/>
        <v>0</v>
      </c>
      <c r="N39" s="4">
        <f t="shared" si="18"/>
        <v>0</v>
      </c>
      <c r="O39" s="4">
        <f t="shared" si="18"/>
        <v>0</v>
      </c>
      <c r="P39" s="4">
        <f t="shared" si="18"/>
        <v>0</v>
      </c>
      <c r="Q39" s="4">
        <f t="shared" ref="Q39" si="20">+Q38-Q37</f>
        <v>0</v>
      </c>
      <c r="R39" s="4">
        <f t="shared" si="18"/>
        <v>0</v>
      </c>
      <c r="S39" s="4">
        <f t="shared" si="18"/>
        <v>0</v>
      </c>
      <c r="T39" s="4">
        <f t="shared" si="18"/>
        <v>0</v>
      </c>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U40" s="88" t="str">
        <f>+IF(F40=0,"",ROUND(F40*F$4/(100+F$4),7)-N40)</f>
        <v/>
      </c>
      <c r="V40" s="88" t="str">
        <f>+IF(G40=0,"",ROUND(G40*G$4/(100+G$4),7)-O40)</f>
        <v/>
      </c>
      <c r="W40" s="88" t="str">
        <f>+IF(H40=0,"",ROUND(H40*H$4/(100+H$4),7)-P40)</f>
        <v/>
      </c>
      <c r="X40" s="88"/>
      <c r="Y40" s="88" t="str">
        <f>+IF(J40=0,"",ROUND(J40*J$4/(100+J$4),7)-R40)</f>
        <v/>
      </c>
      <c r="Z40" s="88"/>
      <c r="AA40" s="88"/>
      <c r="AB40" s="87" t="str">
        <f>+IF(SUM(U40:Y40)=0,"",SUM(U40:Y40))</f>
        <v/>
      </c>
      <c r="AC40" s="87"/>
      <c r="AD40" s="87"/>
    </row>
    <row r="41" spans="1:30">
      <c r="G41" s="273"/>
      <c r="H41" s="274"/>
      <c r="I41" s="272"/>
      <c r="J41" s="274"/>
      <c r="U41" s="88" t="str">
        <f>+IF(F41=0,"",ROUND(F41*F$4/(100+F$4),7)-N41)</f>
        <v/>
      </c>
      <c r="V41" s="88"/>
      <c r="W41" s="88"/>
      <c r="X41" s="88"/>
      <c r="Y41" s="88"/>
      <c r="Z41" s="88"/>
      <c r="AA41" s="88"/>
      <c r="AB41" s="87"/>
      <c r="AC41" s="87"/>
      <c r="AD41" s="87"/>
    </row>
    <row r="42" spans="1:30">
      <c r="G42" s="273"/>
      <c r="H42" s="274"/>
      <c r="I42" s="272"/>
      <c r="J42" s="274"/>
    </row>
  </sheetData>
  <mergeCells count="13">
    <mergeCell ref="AE3:AI3"/>
    <mergeCell ref="L3:L4"/>
    <mergeCell ref="M3:M4"/>
    <mergeCell ref="N3:S3"/>
    <mergeCell ref="T3:T4"/>
    <mergeCell ref="U3:Y3"/>
    <mergeCell ref="Z3:AD3"/>
    <mergeCell ref="F3:K3"/>
    <mergeCell ref="A3:A4"/>
    <mergeCell ref="B3:B4"/>
    <mergeCell ref="C3:C4"/>
    <mergeCell ref="D3:D4"/>
    <mergeCell ref="E3:E4"/>
  </mergeCells>
  <phoneticPr fontId="3"/>
  <conditionalFormatting sqref="AE5:AI29 AE31:AI36">
    <cfRule type="notContainsBlanks" dxfId="21" priority="5" stopIfTrue="1">
      <formula>LEN(TRIM(AE5))&gt;0</formula>
    </cfRule>
  </conditionalFormatting>
  <conditionalFormatting sqref="AE37:AI38">
    <cfRule type="notContainsBlanks" dxfId="20" priority="6" stopIfTrue="1">
      <formula>LEN(TRIM(AE37))&gt;0</formula>
    </cfRule>
  </conditionalFormatting>
  <conditionalFormatting sqref="Z5:AD29 Z31:AD36">
    <cfRule type="expression" dxfId="19" priority="4">
      <formula>ABS(Z5)=1</formula>
    </cfRule>
  </conditionalFormatting>
  <conditionalFormatting sqref="E39:T39">
    <cfRule type="cellIs" dxfId="18" priority="3" operator="notEqual">
      <formula>0</formula>
    </cfRule>
  </conditionalFormatting>
  <conditionalFormatting sqref="AE30:AI30">
    <cfRule type="notContainsBlanks" dxfId="17" priority="2" stopIfTrue="1">
      <formula>LEN(TRIM(AE30))&gt;0</formula>
    </cfRule>
  </conditionalFormatting>
  <conditionalFormatting sqref="Z30:AD30">
    <cfRule type="expression" dxfId="16" priority="1">
      <formula>ABS(Z30)=1</formula>
    </cfRule>
  </conditionalFormatting>
  <pageMargins left="0.39370078740157483" right="0.39370078740157483" top="0.59055118110236227" bottom="0.39370078740157483" header="0.39370078740157483" footer="0.19685039370078741"/>
  <pageSetup paperSize="9" scale="85" orientation="landscape" blackAndWhite="1" r:id="rId1"/>
  <headerFooter>
    <oddFooter>&amp;L&amp;8&amp;Z&amp;F&amp;A&amp;R&amp;8&amp;D&amp;T</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I42"/>
  <sheetViews>
    <sheetView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+'3条支出(共通按分後)'!D1</f>
        <v>令和3年度決算　消費税算出資料</v>
      </c>
    </row>
    <row r="2" spans="1:35">
      <c r="D2" s="2" t="s">
        <v>545</v>
      </c>
      <c r="V2" s="230"/>
      <c r="W2" s="230"/>
      <c r="X2" s="261"/>
      <c r="Y2" s="230"/>
      <c r="Z2" s="230"/>
      <c r="AA2" s="230"/>
      <c r="AB2" s="230"/>
      <c r="AC2" s="261"/>
      <c r="AD2" s="230"/>
      <c r="AE2" s="230"/>
      <c r="AF2" s="230"/>
      <c r="AG2" s="230"/>
      <c r="AH2" s="261"/>
      <c r="AI2" s="230"/>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230"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230">
        <v>3</v>
      </c>
      <c r="V4" s="230">
        <v>5</v>
      </c>
      <c r="W4" s="230">
        <v>8</v>
      </c>
      <c r="X4" s="267">
        <v>8</v>
      </c>
      <c r="Y4" s="262">
        <v>10</v>
      </c>
      <c r="Z4" s="262">
        <v>3</v>
      </c>
      <c r="AA4" s="262">
        <v>5</v>
      </c>
      <c r="AB4" s="262">
        <v>8</v>
      </c>
      <c r="AC4" s="267">
        <v>8</v>
      </c>
      <c r="AD4" s="262">
        <v>10</v>
      </c>
      <c r="AE4" s="262">
        <v>3</v>
      </c>
      <c r="AF4" s="262">
        <v>5</v>
      </c>
      <c r="AG4" s="262">
        <v>8</v>
      </c>
      <c r="AH4" s="267">
        <v>8</v>
      </c>
      <c r="AI4" s="230">
        <v>10</v>
      </c>
    </row>
    <row r="5" spans="1:35">
      <c r="A5" s="177">
        <v>2</v>
      </c>
      <c r="B5" s="176" t="s">
        <v>412</v>
      </c>
      <c r="C5" s="175"/>
      <c r="D5" s="174" t="s">
        <v>112</v>
      </c>
      <c r="E5" s="170"/>
      <c r="F5" s="173"/>
      <c r="G5" s="172"/>
      <c r="H5" s="275"/>
      <c r="I5" s="270"/>
      <c r="J5" s="171"/>
      <c r="K5" s="112">
        <f t="shared" ref="K5:K36" si="0">SUM(F5:J5)</f>
        <v>0</v>
      </c>
      <c r="L5" s="170"/>
      <c r="M5" s="277"/>
      <c r="N5" s="173"/>
      <c r="O5" s="172"/>
      <c r="P5" s="172"/>
      <c r="Q5" s="171"/>
      <c r="R5" s="171"/>
      <c r="S5" s="112">
        <f t="shared" ref="S5:S36" si="1">SUM(N5:R5)</f>
        <v>0</v>
      </c>
      <c r="T5" s="233">
        <f t="shared" ref="T5:T36" si="2">+E5-S5</f>
        <v>0</v>
      </c>
      <c r="U5" s="107">
        <f t="shared" ref="U5:U36" si="3">N5-F5*F$4/(100+F$4)</f>
        <v>0</v>
      </c>
      <c r="V5" s="107">
        <f t="shared" ref="V5:V36" si="4">O5-G5*G$4/(100+G$4)</f>
        <v>0</v>
      </c>
      <c r="W5" s="107">
        <f t="shared" ref="W5:X36" si="5">P5-H5*H$4/(100+H$4)</f>
        <v>0</v>
      </c>
      <c r="X5" s="107">
        <f t="shared" si="5"/>
        <v>0</v>
      </c>
      <c r="Y5" s="107">
        <f t="shared" ref="Y5:Y36" si="6">R5-J5*J$4/(100+J$4)</f>
        <v>0</v>
      </c>
      <c r="Z5" s="106">
        <f t="shared" ref="Z5:Z36" si="7">+IF(N$39=0,0,IF(N$39&lt;0,-RANK(U5,U$5:U$36,0),RANK(U5,U$5:U$36,1)))</f>
        <v>0</v>
      </c>
      <c r="AA5" s="106">
        <f t="shared" ref="AA5:AA36" si="8">+IF(O$39=0,0,IF(O$39&lt;0,-RANK(V5,V$5:V$36,0),RANK(V5,V$5:V$36,1)))</f>
        <v>0</v>
      </c>
      <c r="AB5" s="106">
        <f t="shared" ref="AB5:AB36" si="9">+IF(P$39=0,0,IF(P$39&lt;0,-RANK(W5,W$5:W$36,0),RANK(W5,W$5:W$36,1)))</f>
        <v>0</v>
      </c>
      <c r="AC5" s="106">
        <f t="shared" ref="AC5:AC36" si="10">+IF(Q$39=0,0,IF(Q$39&lt;0,-RANK(X5,X$5:X$36,0),RANK(X5,X$5:X$36,1)))</f>
        <v>0</v>
      </c>
      <c r="AD5" s="106">
        <f t="shared" ref="AD5:AD36" si="11">+IF(R$39=0,0,IF(R$39&lt;0,-RANK(Y5,Y$5:Y$36,0),RANK(Y5,Y$5:Y$36,1)))</f>
        <v>0</v>
      </c>
    </row>
    <row r="6" spans="1:35">
      <c r="A6" s="165">
        <v>2</v>
      </c>
      <c r="B6" s="164" t="s">
        <v>411</v>
      </c>
      <c r="C6" s="163"/>
      <c r="D6" s="162" t="s">
        <v>110</v>
      </c>
      <c r="E6" s="158"/>
      <c r="F6" s="161"/>
      <c r="G6" s="160"/>
      <c r="H6" s="160"/>
      <c r="I6" s="159"/>
      <c r="J6" s="159"/>
      <c r="K6" s="34">
        <f t="shared" si="0"/>
        <v>0</v>
      </c>
      <c r="L6" s="158"/>
      <c r="M6" s="158"/>
      <c r="N6" s="161"/>
      <c r="O6" s="160"/>
      <c r="P6" s="160"/>
      <c r="Q6" s="159"/>
      <c r="R6" s="159"/>
      <c r="S6" s="34">
        <f t="shared" si="1"/>
        <v>0</v>
      </c>
      <c r="T6" s="234">
        <f t="shared" si="2"/>
        <v>0</v>
      </c>
      <c r="U6" s="107">
        <f t="shared" si="3"/>
        <v>0</v>
      </c>
      <c r="V6" s="107">
        <f t="shared" si="4"/>
        <v>0</v>
      </c>
      <c r="W6" s="107">
        <f t="shared" si="5"/>
        <v>0</v>
      </c>
      <c r="X6" s="107">
        <f t="shared" si="5"/>
        <v>0</v>
      </c>
      <c r="Y6" s="107">
        <f t="shared" si="6"/>
        <v>0</v>
      </c>
      <c r="Z6" s="106">
        <f t="shared" si="7"/>
        <v>0</v>
      </c>
      <c r="AA6" s="106">
        <f t="shared" si="8"/>
        <v>0</v>
      </c>
      <c r="AB6" s="106">
        <f t="shared" si="9"/>
        <v>0</v>
      </c>
      <c r="AC6" s="106">
        <f t="shared" si="10"/>
        <v>0</v>
      </c>
      <c r="AD6" s="106">
        <f t="shared" si="11"/>
        <v>0</v>
      </c>
    </row>
    <row r="7" spans="1:35">
      <c r="A7" s="165">
        <v>2</v>
      </c>
      <c r="B7" s="164" t="s">
        <v>410</v>
      </c>
      <c r="C7" s="163"/>
      <c r="D7" s="162" t="s">
        <v>108</v>
      </c>
      <c r="E7" s="158"/>
      <c r="F7" s="161"/>
      <c r="G7" s="160"/>
      <c r="H7" s="160"/>
      <c r="I7" s="159"/>
      <c r="J7" s="159"/>
      <c r="K7" s="34">
        <f t="shared" si="0"/>
        <v>0</v>
      </c>
      <c r="L7" s="158"/>
      <c r="M7" s="158"/>
      <c r="N7" s="161"/>
      <c r="O7" s="160"/>
      <c r="P7" s="160"/>
      <c r="Q7" s="159"/>
      <c r="R7" s="159"/>
      <c r="S7" s="34">
        <f t="shared" si="1"/>
        <v>0</v>
      </c>
      <c r="T7" s="234">
        <f t="shared" si="2"/>
        <v>0</v>
      </c>
      <c r="U7" s="107">
        <f t="shared" si="3"/>
        <v>0</v>
      </c>
      <c r="V7" s="107">
        <f t="shared" si="4"/>
        <v>0</v>
      </c>
      <c r="W7" s="107">
        <f t="shared" si="5"/>
        <v>0</v>
      </c>
      <c r="X7" s="107">
        <f t="shared" si="5"/>
        <v>0</v>
      </c>
      <c r="Y7" s="107">
        <f t="shared" si="6"/>
        <v>0</v>
      </c>
      <c r="Z7" s="106">
        <f t="shared" si="7"/>
        <v>0</v>
      </c>
      <c r="AA7" s="106">
        <f t="shared" si="8"/>
        <v>0</v>
      </c>
      <c r="AB7" s="106">
        <f t="shared" si="9"/>
        <v>0</v>
      </c>
      <c r="AC7" s="106">
        <f t="shared" si="10"/>
        <v>0</v>
      </c>
      <c r="AD7" s="106">
        <f t="shared" si="11"/>
        <v>0</v>
      </c>
    </row>
    <row r="8" spans="1:35">
      <c r="A8" s="165">
        <v>2</v>
      </c>
      <c r="B8" s="164" t="s">
        <v>409</v>
      </c>
      <c r="C8" s="163"/>
      <c r="D8" s="162" t="s">
        <v>106</v>
      </c>
      <c r="E8" s="158"/>
      <c r="F8" s="161"/>
      <c r="G8" s="160"/>
      <c r="H8" s="160"/>
      <c r="I8" s="159"/>
      <c r="J8" s="159"/>
      <c r="K8" s="34">
        <f t="shared" si="0"/>
        <v>0</v>
      </c>
      <c r="L8" s="158"/>
      <c r="M8" s="158"/>
      <c r="N8" s="161"/>
      <c r="O8" s="160"/>
      <c r="P8" s="160"/>
      <c r="Q8" s="159"/>
      <c r="R8" s="159"/>
      <c r="S8" s="34">
        <f t="shared" si="1"/>
        <v>0</v>
      </c>
      <c r="T8" s="234">
        <f t="shared" si="2"/>
        <v>0</v>
      </c>
      <c r="U8" s="107">
        <f t="shared" si="3"/>
        <v>0</v>
      </c>
      <c r="V8" s="107">
        <f t="shared" si="4"/>
        <v>0</v>
      </c>
      <c r="W8" s="107">
        <f t="shared" si="5"/>
        <v>0</v>
      </c>
      <c r="X8" s="107">
        <f t="shared" si="5"/>
        <v>0</v>
      </c>
      <c r="Y8" s="107">
        <f t="shared" si="6"/>
        <v>0</v>
      </c>
      <c r="Z8" s="106">
        <f t="shared" si="7"/>
        <v>0</v>
      </c>
      <c r="AA8" s="106">
        <f t="shared" si="8"/>
        <v>0</v>
      </c>
      <c r="AB8" s="106">
        <f t="shared" si="9"/>
        <v>0</v>
      </c>
      <c r="AC8" s="106">
        <f t="shared" si="10"/>
        <v>0</v>
      </c>
      <c r="AD8" s="106">
        <f t="shared" si="11"/>
        <v>0</v>
      </c>
    </row>
    <row r="9" spans="1:35">
      <c r="A9" s="165">
        <v>2</v>
      </c>
      <c r="B9" s="164" t="s">
        <v>408</v>
      </c>
      <c r="C9" s="163"/>
      <c r="D9" s="162" t="s">
        <v>104</v>
      </c>
      <c r="E9" s="158"/>
      <c r="F9" s="161"/>
      <c r="G9" s="160"/>
      <c r="H9" s="160"/>
      <c r="I9" s="159"/>
      <c r="J9" s="159"/>
      <c r="K9" s="34">
        <f t="shared" si="0"/>
        <v>0</v>
      </c>
      <c r="L9" s="158"/>
      <c r="M9" s="158"/>
      <c r="N9" s="161"/>
      <c r="O9" s="160"/>
      <c r="P9" s="160"/>
      <c r="Q9" s="159"/>
      <c r="R9" s="159"/>
      <c r="S9" s="34">
        <f t="shared" si="1"/>
        <v>0</v>
      </c>
      <c r="T9" s="234">
        <f t="shared" si="2"/>
        <v>0</v>
      </c>
      <c r="U9" s="107">
        <f t="shared" si="3"/>
        <v>0</v>
      </c>
      <c r="V9" s="107">
        <f t="shared" si="4"/>
        <v>0</v>
      </c>
      <c r="W9" s="107">
        <f t="shared" si="5"/>
        <v>0</v>
      </c>
      <c r="X9" s="107">
        <f t="shared" si="5"/>
        <v>0</v>
      </c>
      <c r="Y9" s="107">
        <f t="shared" si="6"/>
        <v>0</v>
      </c>
      <c r="Z9" s="106">
        <f t="shared" si="7"/>
        <v>0</v>
      </c>
      <c r="AA9" s="106">
        <f t="shared" si="8"/>
        <v>0</v>
      </c>
      <c r="AB9" s="106">
        <f t="shared" si="9"/>
        <v>0</v>
      </c>
      <c r="AC9" s="106">
        <f t="shared" si="10"/>
        <v>0</v>
      </c>
      <c r="AD9" s="106">
        <f t="shared" si="11"/>
        <v>0</v>
      </c>
    </row>
    <row r="10" spans="1:35">
      <c r="A10" s="165">
        <v>2</v>
      </c>
      <c r="B10" s="164" t="s">
        <v>407</v>
      </c>
      <c r="C10" s="163"/>
      <c r="D10" s="162" t="s">
        <v>102</v>
      </c>
      <c r="E10" s="158"/>
      <c r="F10" s="161"/>
      <c r="G10" s="160"/>
      <c r="H10" s="276"/>
      <c r="I10" s="271"/>
      <c r="J10" s="159"/>
      <c r="K10" s="34">
        <f t="shared" si="0"/>
        <v>0</v>
      </c>
      <c r="L10" s="158"/>
      <c r="M10" s="278"/>
      <c r="N10" s="161"/>
      <c r="O10" s="160"/>
      <c r="P10" s="160"/>
      <c r="Q10" s="159"/>
      <c r="R10" s="159"/>
      <c r="S10" s="34">
        <f t="shared" si="1"/>
        <v>0</v>
      </c>
      <c r="T10" s="234">
        <f t="shared" si="2"/>
        <v>0</v>
      </c>
      <c r="U10" s="107">
        <f t="shared" si="3"/>
        <v>0</v>
      </c>
      <c r="V10" s="107">
        <f t="shared" si="4"/>
        <v>0</v>
      </c>
      <c r="W10" s="107">
        <f t="shared" si="5"/>
        <v>0</v>
      </c>
      <c r="X10" s="107">
        <f t="shared" si="5"/>
        <v>0</v>
      </c>
      <c r="Y10" s="107">
        <f t="shared" si="6"/>
        <v>0</v>
      </c>
      <c r="Z10" s="106">
        <f t="shared" si="7"/>
        <v>0</v>
      </c>
      <c r="AA10" s="106">
        <f t="shared" si="8"/>
        <v>0</v>
      </c>
      <c r="AB10" s="106">
        <f t="shared" si="9"/>
        <v>0</v>
      </c>
      <c r="AC10" s="106">
        <f t="shared" si="10"/>
        <v>0</v>
      </c>
      <c r="AD10" s="106">
        <f t="shared" si="11"/>
        <v>0</v>
      </c>
    </row>
    <row r="11" spans="1:35">
      <c r="A11" s="165">
        <v>2</v>
      </c>
      <c r="B11" s="164" t="s">
        <v>406</v>
      </c>
      <c r="C11" s="163"/>
      <c r="D11" s="162" t="s">
        <v>100</v>
      </c>
      <c r="E11" s="158"/>
      <c r="F11" s="161"/>
      <c r="G11" s="160"/>
      <c r="H11" s="160"/>
      <c r="I11" s="159"/>
      <c r="J11" s="159"/>
      <c r="K11" s="34">
        <f t="shared" si="0"/>
        <v>0</v>
      </c>
      <c r="L11" s="158"/>
      <c r="M11" s="158"/>
      <c r="N11" s="161"/>
      <c r="O11" s="160"/>
      <c r="P11" s="160"/>
      <c r="Q11" s="159"/>
      <c r="R11" s="159"/>
      <c r="S11" s="34">
        <f t="shared" si="1"/>
        <v>0</v>
      </c>
      <c r="T11" s="234">
        <f t="shared" si="2"/>
        <v>0</v>
      </c>
      <c r="U11" s="107">
        <f t="shared" si="3"/>
        <v>0</v>
      </c>
      <c r="V11" s="107">
        <f t="shared" si="4"/>
        <v>0</v>
      </c>
      <c r="W11" s="107">
        <f t="shared" si="5"/>
        <v>0</v>
      </c>
      <c r="X11" s="107">
        <f t="shared" si="5"/>
        <v>0</v>
      </c>
      <c r="Y11" s="107">
        <f t="shared" si="6"/>
        <v>0</v>
      </c>
      <c r="Z11" s="106">
        <f t="shared" si="7"/>
        <v>0</v>
      </c>
      <c r="AA11" s="106">
        <f t="shared" si="8"/>
        <v>0</v>
      </c>
      <c r="AB11" s="106">
        <f t="shared" si="9"/>
        <v>0</v>
      </c>
      <c r="AC11" s="106">
        <f t="shared" si="10"/>
        <v>0</v>
      </c>
      <c r="AD11" s="106">
        <f t="shared" si="11"/>
        <v>0</v>
      </c>
    </row>
    <row r="12" spans="1:35">
      <c r="A12" s="165">
        <v>2</v>
      </c>
      <c r="B12" s="164" t="s">
        <v>404</v>
      </c>
      <c r="C12" s="163" t="s">
        <v>405</v>
      </c>
      <c r="D12" s="162" t="s">
        <v>98</v>
      </c>
      <c r="E12" s="158"/>
      <c r="F12" s="161"/>
      <c r="G12" s="160"/>
      <c r="H12" s="160"/>
      <c r="I12" s="159"/>
      <c r="J12" s="159"/>
      <c r="K12" s="34">
        <f t="shared" si="0"/>
        <v>0</v>
      </c>
      <c r="L12" s="158"/>
      <c r="M12" s="158"/>
      <c r="N12" s="161"/>
      <c r="O12" s="160"/>
      <c r="P12" s="160"/>
      <c r="Q12" s="159"/>
      <c r="R12" s="159"/>
      <c r="S12" s="34">
        <f t="shared" si="1"/>
        <v>0</v>
      </c>
      <c r="T12" s="234">
        <f t="shared" si="2"/>
        <v>0</v>
      </c>
      <c r="U12" s="107">
        <f t="shared" si="3"/>
        <v>0</v>
      </c>
      <c r="V12" s="107">
        <f t="shared" si="4"/>
        <v>0</v>
      </c>
      <c r="W12" s="107">
        <f t="shared" si="5"/>
        <v>0</v>
      </c>
      <c r="X12" s="107">
        <f t="shared" si="5"/>
        <v>0</v>
      </c>
      <c r="Y12" s="107">
        <f t="shared" si="6"/>
        <v>0</v>
      </c>
      <c r="Z12" s="106">
        <f t="shared" si="7"/>
        <v>0</v>
      </c>
      <c r="AA12" s="106">
        <f t="shared" si="8"/>
        <v>0</v>
      </c>
      <c r="AB12" s="106">
        <f t="shared" si="9"/>
        <v>0</v>
      </c>
      <c r="AC12" s="106">
        <f t="shared" si="10"/>
        <v>0</v>
      </c>
      <c r="AD12" s="106">
        <f t="shared" si="11"/>
        <v>0</v>
      </c>
    </row>
    <row r="13" spans="1:35">
      <c r="A13" s="165">
        <v>2</v>
      </c>
      <c r="B13" s="164" t="s">
        <v>404</v>
      </c>
      <c r="C13" s="163" t="s">
        <v>403</v>
      </c>
      <c r="D13" s="162" t="s">
        <v>95</v>
      </c>
      <c r="E13" s="158"/>
      <c r="F13" s="161"/>
      <c r="G13" s="160"/>
      <c r="H13" s="160"/>
      <c r="I13" s="159"/>
      <c r="J13" s="159"/>
      <c r="K13" s="34">
        <f t="shared" si="0"/>
        <v>0</v>
      </c>
      <c r="L13" s="158"/>
      <c r="M13" s="158"/>
      <c r="N13" s="161"/>
      <c r="O13" s="160"/>
      <c r="P13" s="160"/>
      <c r="Q13" s="159"/>
      <c r="R13" s="159"/>
      <c r="S13" s="34">
        <f t="shared" si="1"/>
        <v>0</v>
      </c>
      <c r="T13" s="234">
        <f t="shared" si="2"/>
        <v>0</v>
      </c>
      <c r="U13" s="107">
        <f t="shared" si="3"/>
        <v>0</v>
      </c>
      <c r="V13" s="107">
        <f t="shared" si="4"/>
        <v>0</v>
      </c>
      <c r="W13" s="107">
        <f t="shared" si="5"/>
        <v>0</v>
      </c>
      <c r="X13" s="107">
        <f t="shared" si="5"/>
        <v>0</v>
      </c>
      <c r="Y13" s="107">
        <f t="shared" si="6"/>
        <v>0</v>
      </c>
      <c r="Z13" s="106">
        <f t="shared" si="7"/>
        <v>0</v>
      </c>
      <c r="AA13" s="106">
        <f t="shared" si="8"/>
        <v>0</v>
      </c>
      <c r="AB13" s="106">
        <f t="shared" si="9"/>
        <v>0</v>
      </c>
      <c r="AC13" s="106">
        <f t="shared" si="10"/>
        <v>0</v>
      </c>
      <c r="AD13" s="106">
        <f t="shared" si="11"/>
        <v>0</v>
      </c>
    </row>
    <row r="14" spans="1:35">
      <c r="A14" s="165">
        <v>2</v>
      </c>
      <c r="B14" s="164" t="s">
        <v>402</v>
      </c>
      <c r="C14" s="163"/>
      <c r="D14" s="162" t="s">
        <v>93</v>
      </c>
      <c r="E14" s="158"/>
      <c r="F14" s="161"/>
      <c r="G14" s="160"/>
      <c r="H14" s="160"/>
      <c r="I14" s="159"/>
      <c r="J14" s="159"/>
      <c r="K14" s="34">
        <f t="shared" si="0"/>
        <v>0</v>
      </c>
      <c r="L14" s="158"/>
      <c r="M14" s="158"/>
      <c r="N14" s="161"/>
      <c r="O14" s="160"/>
      <c r="P14" s="160"/>
      <c r="Q14" s="159"/>
      <c r="R14" s="159"/>
      <c r="S14" s="34">
        <f t="shared" si="1"/>
        <v>0</v>
      </c>
      <c r="T14" s="234">
        <f t="shared" si="2"/>
        <v>0</v>
      </c>
      <c r="U14" s="107">
        <f t="shared" si="3"/>
        <v>0</v>
      </c>
      <c r="V14" s="107">
        <f t="shared" si="4"/>
        <v>0</v>
      </c>
      <c r="W14" s="107">
        <f t="shared" si="5"/>
        <v>0</v>
      </c>
      <c r="X14" s="107">
        <f t="shared" si="5"/>
        <v>0</v>
      </c>
      <c r="Y14" s="107">
        <f t="shared" si="6"/>
        <v>0</v>
      </c>
      <c r="Z14" s="106">
        <f t="shared" si="7"/>
        <v>0</v>
      </c>
      <c r="AA14" s="106">
        <f t="shared" si="8"/>
        <v>0</v>
      </c>
      <c r="AB14" s="106">
        <f t="shared" si="9"/>
        <v>0</v>
      </c>
      <c r="AC14" s="106">
        <f t="shared" si="10"/>
        <v>0</v>
      </c>
      <c r="AD14" s="106">
        <f t="shared" si="11"/>
        <v>0</v>
      </c>
    </row>
    <row r="15" spans="1:35">
      <c r="A15" s="165">
        <v>2</v>
      </c>
      <c r="B15" s="164" t="s">
        <v>401</v>
      </c>
      <c r="C15" s="163"/>
      <c r="D15" s="162" t="s">
        <v>91</v>
      </c>
      <c r="E15" s="158"/>
      <c r="F15" s="161"/>
      <c r="G15" s="160"/>
      <c r="H15" s="160"/>
      <c r="I15" s="159"/>
      <c r="J15" s="159"/>
      <c r="K15" s="34">
        <f t="shared" si="0"/>
        <v>0</v>
      </c>
      <c r="L15" s="158"/>
      <c r="M15" s="158"/>
      <c r="N15" s="161"/>
      <c r="O15" s="160"/>
      <c r="P15" s="160"/>
      <c r="Q15" s="159"/>
      <c r="R15" s="159"/>
      <c r="S15" s="34">
        <f t="shared" si="1"/>
        <v>0</v>
      </c>
      <c r="T15" s="234">
        <f t="shared" si="2"/>
        <v>0</v>
      </c>
      <c r="U15" s="107">
        <f t="shared" si="3"/>
        <v>0</v>
      </c>
      <c r="V15" s="107">
        <f t="shared" si="4"/>
        <v>0</v>
      </c>
      <c r="W15" s="107">
        <f t="shared" si="5"/>
        <v>0</v>
      </c>
      <c r="X15" s="107">
        <f t="shared" si="5"/>
        <v>0</v>
      </c>
      <c r="Y15" s="107">
        <f t="shared" si="6"/>
        <v>0</v>
      </c>
      <c r="Z15" s="106">
        <f t="shared" si="7"/>
        <v>0</v>
      </c>
      <c r="AA15" s="106">
        <f t="shared" si="8"/>
        <v>0</v>
      </c>
      <c r="AB15" s="106">
        <f t="shared" si="9"/>
        <v>0</v>
      </c>
      <c r="AC15" s="106">
        <f t="shared" si="10"/>
        <v>0</v>
      </c>
      <c r="AD15" s="106">
        <f t="shared" si="11"/>
        <v>0</v>
      </c>
    </row>
    <row r="16" spans="1:35">
      <c r="A16" s="165">
        <v>2</v>
      </c>
      <c r="B16" s="164" t="s">
        <v>400</v>
      </c>
      <c r="C16" s="163"/>
      <c r="D16" s="162" t="s">
        <v>89</v>
      </c>
      <c r="E16" s="158"/>
      <c r="F16" s="161"/>
      <c r="G16" s="160"/>
      <c r="H16" s="160"/>
      <c r="I16" s="159"/>
      <c r="J16" s="159"/>
      <c r="K16" s="34">
        <f t="shared" si="0"/>
        <v>0</v>
      </c>
      <c r="L16" s="158"/>
      <c r="M16" s="158"/>
      <c r="N16" s="161"/>
      <c r="O16" s="160"/>
      <c r="P16" s="160"/>
      <c r="Q16" s="159"/>
      <c r="R16" s="159"/>
      <c r="S16" s="34">
        <f t="shared" si="1"/>
        <v>0</v>
      </c>
      <c r="T16" s="234">
        <f t="shared" si="2"/>
        <v>0</v>
      </c>
      <c r="U16" s="107">
        <f t="shared" si="3"/>
        <v>0</v>
      </c>
      <c r="V16" s="107">
        <f t="shared" si="4"/>
        <v>0</v>
      </c>
      <c r="W16" s="107">
        <f t="shared" si="5"/>
        <v>0</v>
      </c>
      <c r="X16" s="107">
        <f t="shared" si="5"/>
        <v>0</v>
      </c>
      <c r="Y16" s="107">
        <f t="shared" si="6"/>
        <v>0</v>
      </c>
      <c r="Z16" s="106">
        <f t="shared" si="7"/>
        <v>0</v>
      </c>
      <c r="AA16" s="106">
        <f t="shared" si="8"/>
        <v>0</v>
      </c>
      <c r="AB16" s="106">
        <f t="shared" si="9"/>
        <v>0</v>
      </c>
      <c r="AC16" s="106">
        <f t="shared" si="10"/>
        <v>0</v>
      </c>
      <c r="AD16" s="106">
        <f t="shared" si="11"/>
        <v>0</v>
      </c>
    </row>
    <row r="17" spans="1:30">
      <c r="A17" s="165">
        <v>2</v>
      </c>
      <c r="B17" s="164" t="s">
        <v>399</v>
      </c>
      <c r="C17" s="163"/>
      <c r="D17" s="162" t="s">
        <v>87</v>
      </c>
      <c r="E17" s="158"/>
      <c r="F17" s="161"/>
      <c r="G17" s="160"/>
      <c r="H17" s="160"/>
      <c r="I17" s="159"/>
      <c r="J17" s="159"/>
      <c r="K17" s="34">
        <f t="shared" si="0"/>
        <v>0</v>
      </c>
      <c r="L17" s="158"/>
      <c r="M17" s="158"/>
      <c r="N17" s="161"/>
      <c r="O17" s="160"/>
      <c r="P17" s="160"/>
      <c r="Q17" s="159"/>
      <c r="R17" s="159"/>
      <c r="S17" s="34">
        <f t="shared" si="1"/>
        <v>0</v>
      </c>
      <c r="T17" s="234">
        <f t="shared" si="2"/>
        <v>0</v>
      </c>
      <c r="U17" s="107">
        <f t="shared" si="3"/>
        <v>0</v>
      </c>
      <c r="V17" s="107">
        <f t="shared" si="4"/>
        <v>0</v>
      </c>
      <c r="W17" s="107">
        <f t="shared" si="5"/>
        <v>0</v>
      </c>
      <c r="X17" s="107">
        <f t="shared" si="5"/>
        <v>0</v>
      </c>
      <c r="Y17" s="107">
        <f t="shared" si="6"/>
        <v>0</v>
      </c>
      <c r="Z17" s="106">
        <f t="shared" si="7"/>
        <v>0</v>
      </c>
      <c r="AA17" s="106">
        <f t="shared" si="8"/>
        <v>0</v>
      </c>
      <c r="AB17" s="106">
        <f t="shared" si="9"/>
        <v>0</v>
      </c>
      <c r="AC17" s="106">
        <f t="shared" si="10"/>
        <v>0</v>
      </c>
      <c r="AD17" s="106">
        <f t="shared" si="11"/>
        <v>0</v>
      </c>
    </row>
    <row r="18" spans="1:30">
      <c r="A18" s="165">
        <v>2</v>
      </c>
      <c r="B18" s="164" t="s">
        <v>398</v>
      </c>
      <c r="C18" s="163"/>
      <c r="D18" s="162" t="s">
        <v>85</v>
      </c>
      <c r="E18" s="158"/>
      <c r="F18" s="161"/>
      <c r="G18" s="160"/>
      <c r="H18" s="160"/>
      <c r="I18" s="159"/>
      <c r="J18" s="159"/>
      <c r="K18" s="34">
        <f t="shared" si="0"/>
        <v>0</v>
      </c>
      <c r="L18" s="158"/>
      <c r="M18" s="158"/>
      <c r="N18" s="161"/>
      <c r="O18" s="160"/>
      <c r="P18" s="160"/>
      <c r="Q18" s="159"/>
      <c r="R18" s="159"/>
      <c r="S18" s="34">
        <f t="shared" si="1"/>
        <v>0</v>
      </c>
      <c r="T18" s="234">
        <f t="shared" si="2"/>
        <v>0</v>
      </c>
      <c r="U18" s="107">
        <f t="shared" si="3"/>
        <v>0</v>
      </c>
      <c r="V18" s="107">
        <f t="shared" si="4"/>
        <v>0</v>
      </c>
      <c r="W18" s="107">
        <f t="shared" si="5"/>
        <v>0</v>
      </c>
      <c r="X18" s="107">
        <f t="shared" si="5"/>
        <v>0</v>
      </c>
      <c r="Y18" s="107">
        <f t="shared" si="6"/>
        <v>0</v>
      </c>
      <c r="Z18" s="106">
        <f t="shared" si="7"/>
        <v>0</v>
      </c>
      <c r="AA18" s="106">
        <f t="shared" si="8"/>
        <v>0</v>
      </c>
      <c r="AB18" s="106">
        <f t="shared" si="9"/>
        <v>0</v>
      </c>
      <c r="AC18" s="106">
        <f t="shared" si="10"/>
        <v>0</v>
      </c>
      <c r="AD18" s="106">
        <f t="shared" si="11"/>
        <v>0</v>
      </c>
    </row>
    <row r="19" spans="1:30">
      <c r="A19" s="165">
        <v>2</v>
      </c>
      <c r="B19" s="164" t="s">
        <v>397</v>
      </c>
      <c r="C19" s="163"/>
      <c r="D19" s="162" t="s">
        <v>83</v>
      </c>
      <c r="E19" s="158"/>
      <c r="F19" s="161"/>
      <c r="G19" s="160"/>
      <c r="H19" s="160"/>
      <c r="I19" s="159"/>
      <c r="J19" s="159"/>
      <c r="K19" s="34">
        <f t="shared" si="0"/>
        <v>0</v>
      </c>
      <c r="L19" s="158"/>
      <c r="M19" s="158"/>
      <c r="N19" s="161"/>
      <c r="O19" s="160"/>
      <c r="P19" s="160"/>
      <c r="Q19" s="159"/>
      <c r="R19" s="159"/>
      <c r="S19" s="34">
        <f t="shared" si="1"/>
        <v>0</v>
      </c>
      <c r="T19" s="234">
        <f t="shared" si="2"/>
        <v>0</v>
      </c>
      <c r="U19" s="107">
        <f t="shared" si="3"/>
        <v>0</v>
      </c>
      <c r="V19" s="107">
        <f t="shared" si="4"/>
        <v>0</v>
      </c>
      <c r="W19" s="107">
        <f t="shared" si="5"/>
        <v>0</v>
      </c>
      <c r="X19" s="107">
        <f t="shared" si="5"/>
        <v>0</v>
      </c>
      <c r="Y19" s="107">
        <f t="shared" si="6"/>
        <v>0</v>
      </c>
      <c r="Z19" s="106">
        <f t="shared" si="7"/>
        <v>0</v>
      </c>
      <c r="AA19" s="106">
        <f t="shared" si="8"/>
        <v>0</v>
      </c>
      <c r="AB19" s="106">
        <f t="shared" si="9"/>
        <v>0</v>
      </c>
      <c r="AC19" s="106">
        <f t="shared" si="10"/>
        <v>0</v>
      </c>
      <c r="AD19" s="106">
        <f t="shared" si="11"/>
        <v>0</v>
      </c>
    </row>
    <row r="20" spans="1:30">
      <c r="A20" s="165">
        <v>2</v>
      </c>
      <c r="B20" s="164" t="s">
        <v>396</v>
      </c>
      <c r="C20" s="163"/>
      <c r="D20" s="162" t="s">
        <v>81</v>
      </c>
      <c r="E20" s="158"/>
      <c r="F20" s="161"/>
      <c r="G20" s="160"/>
      <c r="H20" s="160"/>
      <c r="I20" s="159"/>
      <c r="J20" s="159"/>
      <c r="K20" s="34">
        <f t="shared" si="0"/>
        <v>0</v>
      </c>
      <c r="L20" s="158"/>
      <c r="M20" s="158"/>
      <c r="N20" s="161"/>
      <c r="O20" s="160"/>
      <c r="P20" s="160"/>
      <c r="Q20" s="159"/>
      <c r="R20" s="159"/>
      <c r="S20" s="34">
        <f t="shared" si="1"/>
        <v>0</v>
      </c>
      <c r="T20" s="234">
        <f t="shared" si="2"/>
        <v>0</v>
      </c>
      <c r="U20" s="107">
        <f t="shared" si="3"/>
        <v>0</v>
      </c>
      <c r="V20" s="107">
        <f t="shared" si="4"/>
        <v>0</v>
      </c>
      <c r="W20" s="107">
        <f t="shared" si="5"/>
        <v>0</v>
      </c>
      <c r="X20" s="107">
        <f t="shared" si="5"/>
        <v>0</v>
      </c>
      <c r="Y20" s="107">
        <f t="shared" si="6"/>
        <v>0</v>
      </c>
      <c r="Z20" s="106">
        <f t="shared" si="7"/>
        <v>0</v>
      </c>
      <c r="AA20" s="106">
        <f t="shared" si="8"/>
        <v>0</v>
      </c>
      <c r="AB20" s="106">
        <f t="shared" si="9"/>
        <v>0</v>
      </c>
      <c r="AC20" s="106">
        <f t="shared" si="10"/>
        <v>0</v>
      </c>
      <c r="AD20" s="106">
        <f t="shared" si="11"/>
        <v>0</v>
      </c>
    </row>
    <row r="21" spans="1:30">
      <c r="A21" s="165">
        <v>2</v>
      </c>
      <c r="B21" s="164" t="s">
        <v>395</v>
      </c>
      <c r="C21" s="163"/>
      <c r="D21" s="162" t="s">
        <v>79</v>
      </c>
      <c r="E21" s="158"/>
      <c r="F21" s="161"/>
      <c r="G21" s="160"/>
      <c r="H21" s="160"/>
      <c r="I21" s="159"/>
      <c r="J21" s="159"/>
      <c r="K21" s="34">
        <f t="shared" si="0"/>
        <v>0</v>
      </c>
      <c r="L21" s="158"/>
      <c r="M21" s="158"/>
      <c r="N21" s="161"/>
      <c r="O21" s="160"/>
      <c r="P21" s="160"/>
      <c r="Q21" s="159"/>
      <c r="R21" s="159"/>
      <c r="S21" s="34">
        <f t="shared" si="1"/>
        <v>0</v>
      </c>
      <c r="T21" s="234">
        <f t="shared" si="2"/>
        <v>0</v>
      </c>
      <c r="U21" s="107">
        <f t="shared" si="3"/>
        <v>0</v>
      </c>
      <c r="V21" s="107">
        <f t="shared" si="4"/>
        <v>0</v>
      </c>
      <c r="W21" s="107">
        <f t="shared" si="5"/>
        <v>0</v>
      </c>
      <c r="X21" s="107">
        <f t="shared" si="5"/>
        <v>0</v>
      </c>
      <c r="Y21" s="107">
        <f t="shared" si="6"/>
        <v>0</v>
      </c>
      <c r="Z21" s="106">
        <f t="shared" si="7"/>
        <v>0</v>
      </c>
      <c r="AA21" s="106">
        <f t="shared" si="8"/>
        <v>0</v>
      </c>
      <c r="AB21" s="106">
        <f t="shared" si="9"/>
        <v>0</v>
      </c>
      <c r="AC21" s="106">
        <f t="shared" si="10"/>
        <v>0</v>
      </c>
      <c r="AD21" s="106">
        <f t="shared" si="11"/>
        <v>0</v>
      </c>
    </row>
    <row r="22" spans="1:30">
      <c r="A22" s="165">
        <v>2</v>
      </c>
      <c r="B22" s="164" t="s">
        <v>394</v>
      </c>
      <c r="C22" s="163"/>
      <c r="D22" s="162" t="s">
        <v>77</v>
      </c>
      <c r="E22" s="158"/>
      <c r="F22" s="161"/>
      <c r="G22" s="160"/>
      <c r="H22" s="160"/>
      <c r="I22" s="159"/>
      <c r="J22" s="159"/>
      <c r="K22" s="34">
        <f t="shared" si="0"/>
        <v>0</v>
      </c>
      <c r="L22" s="158"/>
      <c r="M22" s="158"/>
      <c r="N22" s="161"/>
      <c r="O22" s="160"/>
      <c r="P22" s="160"/>
      <c r="Q22" s="159"/>
      <c r="R22" s="159"/>
      <c r="S22" s="34">
        <f t="shared" si="1"/>
        <v>0</v>
      </c>
      <c r="T22" s="234">
        <f t="shared" si="2"/>
        <v>0</v>
      </c>
      <c r="U22" s="107">
        <f t="shared" si="3"/>
        <v>0</v>
      </c>
      <c r="V22" s="107">
        <f t="shared" si="4"/>
        <v>0</v>
      </c>
      <c r="W22" s="107">
        <f t="shared" si="5"/>
        <v>0</v>
      </c>
      <c r="X22" s="107">
        <f t="shared" si="5"/>
        <v>0</v>
      </c>
      <c r="Y22" s="107">
        <f t="shared" si="6"/>
        <v>0</v>
      </c>
      <c r="Z22" s="106">
        <f t="shared" si="7"/>
        <v>0</v>
      </c>
      <c r="AA22" s="106">
        <f t="shared" si="8"/>
        <v>0</v>
      </c>
      <c r="AB22" s="106">
        <f t="shared" si="9"/>
        <v>0</v>
      </c>
      <c r="AC22" s="106">
        <f t="shared" si="10"/>
        <v>0</v>
      </c>
      <c r="AD22" s="106">
        <f t="shared" si="11"/>
        <v>0</v>
      </c>
    </row>
    <row r="23" spans="1:30">
      <c r="A23" s="165">
        <v>2</v>
      </c>
      <c r="B23" s="164" t="s">
        <v>393</v>
      </c>
      <c r="C23" s="163"/>
      <c r="D23" s="162" t="s">
        <v>75</v>
      </c>
      <c r="E23" s="158"/>
      <c r="F23" s="161"/>
      <c r="G23" s="160"/>
      <c r="H23" s="160"/>
      <c r="I23" s="159"/>
      <c r="J23" s="159"/>
      <c r="K23" s="34">
        <f t="shared" si="0"/>
        <v>0</v>
      </c>
      <c r="L23" s="158"/>
      <c r="M23" s="158"/>
      <c r="N23" s="161"/>
      <c r="O23" s="160"/>
      <c r="P23" s="160"/>
      <c r="Q23" s="159"/>
      <c r="R23" s="159"/>
      <c r="S23" s="34">
        <f t="shared" si="1"/>
        <v>0</v>
      </c>
      <c r="T23" s="234">
        <f t="shared" si="2"/>
        <v>0</v>
      </c>
      <c r="U23" s="107">
        <f t="shared" si="3"/>
        <v>0</v>
      </c>
      <c r="V23" s="107">
        <f t="shared" si="4"/>
        <v>0</v>
      </c>
      <c r="W23" s="107">
        <f t="shared" si="5"/>
        <v>0</v>
      </c>
      <c r="X23" s="107">
        <f t="shared" si="5"/>
        <v>0</v>
      </c>
      <c r="Y23" s="107">
        <f t="shared" si="6"/>
        <v>0</v>
      </c>
      <c r="Z23" s="106">
        <f t="shared" si="7"/>
        <v>0</v>
      </c>
      <c r="AA23" s="106">
        <f t="shared" si="8"/>
        <v>0</v>
      </c>
      <c r="AB23" s="106">
        <f t="shared" si="9"/>
        <v>0</v>
      </c>
      <c r="AC23" s="106">
        <f t="shared" si="10"/>
        <v>0</v>
      </c>
      <c r="AD23" s="106">
        <f t="shared" si="11"/>
        <v>0</v>
      </c>
    </row>
    <row r="24" spans="1:30">
      <c r="A24" s="165">
        <v>2</v>
      </c>
      <c r="B24" s="164" t="s">
        <v>392</v>
      </c>
      <c r="C24" s="163"/>
      <c r="D24" s="162" t="s">
        <v>73</v>
      </c>
      <c r="E24" s="158"/>
      <c r="F24" s="161"/>
      <c r="G24" s="160"/>
      <c r="H24" s="160"/>
      <c r="I24" s="159"/>
      <c r="J24" s="159"/>
      <c r="K24" s="34">
        <f t="shared" si="0"/>
        <v>0</v>
      </c>
      <c r="L24" s="158"/>
      <c r="M24" s="158"/>
      <c r="N24" s="161"/>
      <c r="O24" s="160"/>
      <c r="P24" s="160"/>
      <c r="Q24" s="159"/>
      <c r="R24" s="159"/>
      <c r="S24" s="34">
        <f t="shared" si="1"/>
        <v>0</v>
      </c>
      <c r="T24" s="234">
        <f t="shared" si="2"/>
        <v>0</v>
      </c>
      <c r="U24" s="107">
        <f t="shared" si="3"/>
        <v>0</v>
      </c>
      <c r="V24" s="107">
        <f t="shared" si="4"/>
        <v>0</v>
      </c>
      <c r="W24" s="107">
        <f t="shared" si="5"/>
        <v>0</v>
      </c>
      <c r="X24" s="107">
        <f t="shared" si="5"/>
        <v>0</v>
      </c>
      <c r="Y24" s="107">
        <f t="shared" si="6"/>
        <v>0</v>
      </c>
      <c r="Z24" s="106">
        <f t="shared" si="7"/>
        <v>0</v>
      </c>
      <c r="AA24" s="106">
        <f t="shared" si="8"/>
        <v>0</v>
      </c>
      <c r="AB24" s="106">
        <f t="shared" si="9"/>
        <v>0</v>
      </c>
      <c r="AC24" s="106">
        <f t="shared" si="10"/>
        <v>0</v>
      </c>
      <c r="AD24" s="106">
        <f t="shared" si="11"/>
        <v>0</v>
      </c>
    </row>
    <row r="25" spans="1:30">
      <c r="A25" s="165">
        <v>2</v>
      </c>
      <c r="B25" s="164" t="s">
        <v>390</v>
      </c>
      <c r="C25" s="163" t="s">
        <v>391</v>
      </c>
      <c r="D25" s="162" t="s">
        <v>71</v>
      </c>
      <c r="E25" s="158"/>
      <c r="F25" s="161"/>
      <c r="G25" s="160"/>
      <c r="H25" s="160"/>
      <c r="I25" s="159"/>
      <c r="J25" s="159"/>
      <c r="K25" s="34">
        <f t="shared" si="0"/>
        <v>0</v>
      </c>
      <c r="L25" s="158"/>
      <c r="M25" s="158"/>
      <c r="N25" s="161"/>
      <c r="O25" s="160"/>
      <c r="P25" s="160"/>
      <c r="Q25" s="159"/>
      <c r="R25" s="159"/>
      <c r="S25" s="34">
        <f t="shared" si="1"/>
        <v>0</v>
      </c>
      <c r="T25" s="234">
        <f t="shared" si="2"/>
        <v>0</v>
      </c>
      <c r="U25" s="107">
        <f t="shared" si="3"/>
        <v>0</v>
      </c>
      <c r="V25" s="107">
        <f t="shared" si="4"/>
        <v>0</v>
      </c>
      <c r="W25" s="107">
        <f t="shared" si="5"/>
        <v>0</v>
      </c>
      <c r="X25" s="107">
        <f t="shared" si="5"/>
        <v>0</v>
      </c>
      <c r="Y25" s="107">
        <f t="shared" si="6"/>
        <v>0</v>
      </c>
      <c r="Z25" s="106">
        <f t="shared" si="7"/>
        <v>0</v>
      </c>
      <c r="AA25" s="106">
        <f t="shared" si="8"/>
        <v>0</v>
      </c>
      <c r="AB25" s="106">
        <f t="shared" si="9"/>
        <v>0</v>
      </c>
      <c r="AC25" s="106">
        <f t="shared" si="10"/>
        <v>0</v>
      </c>
      <c r="AD25" s="106">
        <f t="shared" si="11"/>
        <v>0</v>
      </c>
    </row>
    <row r="26" spans="1:30">
      <c r="A26" s="165">
        <v>2</v>
      </c>
      <c r="B26" s="164" t="s">
        <v>390</v>
      </c>
      <c r="C26" s="163" t="s">
        <v>389</v>
      </c>
      <c r="D26" s="162" t="s">
        <v>68</v>
      </c>
      <c r="E26" s="158"/>
      <c r="F26" s="161"/>
      <c r="G26" s="160"/>
      <c r="H26" s="160"/>
      <c r="I26" s="159"/>
      <c r="J26" s="159"/>
      <c r="K26" s="34">
        <f t="shared" si="0"/>
        <v>0</v>
      </c>
      <c r="L26" s="158"/>
      <c r="M26" s="158"/>
      <c r="N26" s="161"/>
      <c r="O26" s="160"/>
      <c r="P26" s="160"/>
      <c r="Q26" s="159"/>
      <c r="R26" s="159"/>
      <c r="S26" s="34">
        <f t="shared" si="1"/>
        <v>0</v>
      </c>
      <c r="T26" s="234">
        <f t="shared" si="2"/>
        <v>0</v>
      </c>
      <c r="U26" s="107">
        <f t="shared" si="3"/>
        <v>0</v>
      </c>
      <c r="V26" s="107">
        <f t="shared" si="4"/>
        <v>0</v>
      </c>
      <c r="W26" s="107">
        <f t="shared" si="5"/>
        <v>0</v>
      </c>
      <c r="X26" s="107">
        <f t="shared" si="5"/>
        <v>0</v>
      </c>
      <c r="Y26" s="107">
        <f t="shared" si="6"/>
        <v>0</v>
      </c>
      <c r="Z26" s="106">
        <f t="shared" si="7"/>
        <v>0</v>
      </c>
      <c r="AA26" s="106">
        <f t="shared" si="8"/>
        <v>0</v>
      </c>
      <c r="AB26" s="106">
        <f t="shared" si="9"/>
        <v>0</v>
      </c>
      <c r="AC26" s="106">
        <f t="shared" si="10"/>
        <v>0</v>
      </c>
      <c r="AD26" s="106">
        <f t="shared" si="11"/>
        <v>0</v>
      </c>
    </row>
    <row r="27" spans="1:30">
      <c r="A27" s="165">
        <v>2</v>
      </c>
      <c r="B27" s="164" t="s">
        <v>388</v>
      </c>
      <c r="C27" s="163"/>
      <c r="D27" s="162" t="s">
        <v>66</v>
      </c>
      <c r="E27" s="158"/>
      <c r="F27" s="161"/>
      <c r="G27" s="160"/>
      <c r="H27" s="160"/>
      <c r="I27" s="159"/>
      <c r="J27" s="159"/>
      <c r="K27" s="34">
        <f t="shared" si="0"/>
        <v>0</v>
      </c>
      <c r="L27" s="158"/>
      <c r="M27" s="158"/>
      <c r="N27" s="161"/>
      <c r="O27" s="160"/>
      <c r="P27" s="160"/>
      <c r="Q27" s="159"/>
      <c r="R27" s="159"/>
      <c r="S27" s="34">
        <f t="shared" si="1"/>
        <v>0</v>
      </c>
      <c r="T27" s="234">
        <f t="shared" si="2"/>
        <v>0</v>
      </c>
      <c r="U27" s="107">
        <f t="shared" si="3"/>
        <v>0</v>
      </c>
      <c r="V27" s="107">
        <f t="shared" si="4"/>
        <v>0</v>
      </c>
      <c r="W27" s="107">
        <f t="shared" si="5"/>
        <v>0</v>
      </c>
      <c r="X27" s="107">
        <f t="shared" si="5"/>
        <v>0</v>
      </c>
      <c r="Y27" s="107">
        <f t="shared" si="6"/>
        <v>0</v>
      </c>
      <c r="Z27" s="106">
        <f t="shared" si="7"/>
        <v>0</v>
      </c>
      <c r="AA27" s="106">
        <f t="shared" si="8"/>
        <v>0</v>
      </c>
      <c r="AB27" s="106">
        <f t="shared" si="9"/>
        <v>0</v>
      </c>
      <c r="AC27" s="106">
        <f t="shared" si="10"/>
        <v>0</v>
      </c>
      <c r="AD27" s="106">
        <f t="shared" si="11"/>
        <v>0</v>
      </c>
    </row>
    <row r="28" spans="1:30">
      <c r="A28" s="165">
        <v>2</v>
      </c>
      <c r="B28" s="164" t="s">
        <v>387</v>
      </c>
      <c r="C28" s="163"/>
      <c r="D28" s="162" t="s">
        <v>64</v>
      </c>
      <c r="E28" s="158"/>
      <c r="F28" s="161"/>
      <c r="G28" s="160"/>
      <c r="H28" s="160"/>
      <c r="I28" s="159"/>
      <c r="J28" s="159"/>
      <c r="K28" s="34">
        <f t="shared" si="0"/>
        <v>0</v>
      </c>
      <c r="L28" s="158"/>
      <c r="M28" s="158"/>
      <c r="N28" s="161"/>
      <c r="O28" s="160"/>
      <c r="P28" s="160"/>
      <c r="Q28" s="159"/>
      <c r="R28" s="159"/>
      <c r="S28" s="34">
        <f t="shared" si="1"/>
        <v>0</v>
      </c>
      <c r="T28" s="234">
        <f t="shared" si="2"/>
        <v>0</v>
      </c>
      <c r="U28" s="107">
        <f t="shared" si="3"/>
        <v>0</v>
      </c>
      <c r="V28" s="107">
        <f t="shared" si="4"/>
        <v>0</v>
      </c>
      <c r="W28" s="107">
        <f t="shared" si="5"/>
        <v>0</v>
      </c>
      <c r="X28" s="107">
        <f t="shared" si="5"/>
        <v>0</v>
      </c>
      <c r="Y28" s="107">
        <f t="shared" si="6"/>
        <v>0</v>
      </c>
      <c r="Z28" s="106">
        <f t="shared" si="7"/>
        <v>0</v>
      </c>
      <c r="AA28" s="106">
        <f t="shared" si="8"/>
        <v>0</v>
      </c>
      <c r="AB28" s="106">
        <f t="shared" si="9"/>
        <v>0</v>
      </c>
      <c r="AC28" s="106">
        <f t="shared" si="10"/>
        <v>0</v>
      </c>
      <c r="AD28" s="106">
        <f t="shared" si="11"/>
        <v>0</v>
      </c>
    </row>
    <row r="29" spans="1:30">
      <c r="A29" s="165">
        <v>2</v>
      </c>
      <c r="B29" s="164" t="s">
        <v>386</v>
      </c>
      <c r="C29" s="163"/>
      <c r="D29" s="162" t="s">
        <v>62</v>
      </c>
      <c r="E29" s="158"/>
      <c r="F29" s="161"/>
      <c r="G29" s="160"/>
      <c r="H29" s="160"/>
      <c r="I29" s="159"/>
      <c r="J29" s="159"/>
      <c r="K29" s="34">
        <f t="shared" si="0"/>
        <v>0</v>
      </c>
      <c r="L29" s="158"/>
      <c r="M29" s="158"/>
      <c r="N29" s="161"/>
      <c r="O29" s="160"/>
      <c r="P29" s="160"/>
      <c r="Q29" s="159"/>
      <c r="R29" s="159"/>
      <c r="S29" s="34">
        <f t="shared" si="1"/>
        <v>0</v>
      </c>
      <c r="T29" s="234">
        <f t="shared" si="2"/>
        <v>0</v>
      </c>
      <c r="U29" s="107">
        <f t="shared" si="3"/>
        <v>0</v>
      </c>
      <c r="V29" s="107">
        <f t="shared" si="4"/>
        <v>0</v>
      </c>
      <c r="W29" s="107">
        <f t="shared" si="5"/>
        <v>0</v>
      </c>
      <c r="X29" s="107">
        <f t="shared" si="5"/>
        <v>0</v>
      </c>
      <c r="Y29" s="107">
        <f t="shared" si="6"/>
        <v>0</v>
      </c>
      <c r="Z29" s="106">
        <f t="shared" si="7"/>
        <v>0</v>
      </c>
      <c r="AA29" s="106">
        <f t="shared" si="8"/>
        <v>0</v>
      </c>
      <c r="AB29" s="106">
        <f t="shared" si="9"/>
        <v>0</v>
      </c>
      <c r="AC29" s="106">
        <f t="shared" si="10"/>
        <v>0</v>
      </c>
      <c r="AD29" s="106">
        <f t="shared" si="11"/>
        <v>0</v>
      </c>
    </row>
    <row r="30" spans="1:30">
      <c r="A30" s="165">
        <v>2</v>
      </c>
      <c r="B30" s="164">
        <v>8831736</v>
      </c>
      <c r="C30" s="163"/>
      <c r="D30" s="162" t="s">
        <v>868</v>
      </c>
      <c r="E30" s="158"/>
      <c r="F30" s="161"/>
      <c r="G30" s="160"/>
      <c r="H30" s="160"/>
      <c r="I30" s="159"/>
      <c r="J30" s="159"/>
      <c r="K30" s="34">
        <f t="shared" si="0"/>
        <v>0</v>
      </c>
      <c r="L30" s="158"/>
      <c r="M30" s="158"/>
      <c r="N30" s="161"/>
      <c r="O30" s="160"/>
      <c r="P30" s="160"/>
      <c r="Q30" s="159"/>
      <c r="R30" s="159"/>
      <c r="S30" s="34">
        <f t="shared" ref="S30" si="12">SUM(N30:R30)</f>
        <v>0</v>
      </c>
      <c r="T30" s="234">
        <f t="shared" ref="T30" si="13">+E30-S30</f>
        <v>0</v>
      </c>
      <c r="U30" s="107">
        <f t="shared" ref="U30" si="14">N30-F30*F$4/(100+F$4)</f>
        <v>0</v>
      </c>
      <c r="V30" s="107">
        <f t="shared" ref="V30" si="15">O30-G30*G$4/(100+G$4)</f>
        <v>0</v>
      </c>
      <c r="W30" s="107">
        <f t="shared" ref="W30" si="16">P30-H30*H$4/(100+H$4)</f>
        <v>0</v>
      </c>
      <c r="X30" s="107">
        <f t="shared" ref="X30" si="17">Q30-I30*I$4/(100+I$4)</f>
        <v>0</v>
      </c>
      <c r="Y30" s="107">
        <f t="shared" ref="Y30" si="18">R30-J30*J$4/(100+J$4)</f>
        <v>0</v>
      </c>
      <c r="Z30" s="106">
        <f t="shared" si="7"/>
        <v>0</v>
      </c>
      <c r="AA30" s="106">
        <f t="shared" si="8"/>
        <v>0</v>
      </c>
      <c r="AB30" s="106">
        <f t="shared" si="9"/>
        <v>0</v>
      </c>
      <c r="AC30" s="106">
        <f t="shared" si="10"/>
        <v>0</v>
      </c>
      <c r="AD30" s="106">
        <f t="shared" si="11"/>
        <v>0</v>
      </c>
    </row>
    <row r="31" spans="1:30">
      <c r="A31" s="165">
        <v>2</v>
      </c>
      <c r="B31" s="164" t="s">
        <v>385</v>
      </c>
      <c r="C31" s="163"/>
      <c r="D31" s="162" t="s">
        <v>60</v>
      </c>
      <c r="E31" s="158"/>
      <c r="F31" s="161"/>
      <c r="G31" s="160"/>
      <c r="H31" s="160"/>
      <c r="I31" s="159"/>
      <c r="J31" s="159"/>
      <c r="K31" s="34">
        <f t="shared" si="0"/>
        <v>0</v>
      </c>
      <c r="L31" s="158"/>
      <c r="M31" s="158"/>
      <c r="N31" s="161"/>
      <c r="O31" s="160"/>
      <c r="P31" s="160"/>
      <c r="Q31" s="159"/>
      <c r="R31" s="159"/>
      <c r="S31" s="34">
        <f t="shared" si="1"/>
        <v>0</v>
      </c>
      <c r="T31" s="234">
        <f t="shared" si="2"/>
        <v>0</v>
      </c>
      <c r="U31" s="107">
        <f t="shared" si="3"/>
        <v>0</v>
      </c>
      <c r="V31" s="107">
        <f t="shared" si="4"/>
        <v>0</v>
      </c>
      <c r="W31" s="107">
        <f t="shared" si="5"/>
        <v>0</v>
      </c>
      <c r="X31" s="107">
        <f t="shared" si="5"/>
        <v>0</v>
      </c>
      <c r="Y31" s="107">
        <f t="shared" si="6"/>
        <v>0</v>
      </c>
      <c r="Z31" s="106">
        <f t="shared" si="7"/>
        <v>0</v>
      </c>
      <c r="AA31" s="106">
        <f t="shared" si="8"/>
        <v>0</v>
      </c>
      <c r="AB31" s="106">
        <f t="shared" si="9"/>
        <v>0</v>
      </c>
      <c r="AC31" s="106">
        <f t="shared" si="10"/>
        <v>0</v>
      </c>
      <c r="AD31" s="106">
        <f t="shared" si="11"/>
        <v>0</v>
      </c>
    </row>
    <row r="32" spans="1:30">
      <c r="A32" s="165">
        <v>2</v>
      </c>
      <c r="B32" s="164" t="s">
        <v>384</v>
      </c>
      <c r="C32" s="163"/>
      <c r="D32" s="162" t="s">
        <v>58</v>
      </c>
      <c r="E32" s="158"/>
      <c r="F32" s="161"/>
      <c r="G32" s="160"/>
      <c r="H32" s="160"/>
      <c r="I32" s="159"/>
      <c r="J32" s="159"/>
      <c r="K32" s="34">
        <f t="shared" si="0"/>
        <v>0</v>
      </c>
      <c r="L32" s="158"/>
      <c r="M32" s="158"/>
      <c r="N32" s="161"/>
      <c r="O32" s="160"/>
      <c r="P32" s="160"/>
      <c r="Q32" s="159"/>
      <c r="R32" s="159"/>
      <c r="S32" s="34">
        <f t="shared" si="1"/>
        <v>0</v>
      </c>
      <c r="T32" s="234">
        <f t="shared" si="2"/>
        <v>0</v>
      </c>
      <c r="U32" s="107">
        <f t="shared" si="3"/>
        <v>0</v>
      </c>
      <c r="V32" s="107">
        <f t="shared" si="4"/>
        <v>0</v>
      </c>
      <c r="W32" s="107">
        <f t="shared" si="5"/>
        <v>0</v>
      </c>
      <c r="X32" s="107">
        <f t="shared" si="5"/>
        <v>0</v>
      </c>
      <c r="Y32" s="107">
        <f t="shared" si="6"/>
        <v>0</v>
      </c>
      <c r="Z32" s="106">
        <f t="shared" si="7"/>
        <v>0</v>
      </c>
      <c r="AA32" s="106">
        <f t="shared" si="8"/>
        <v>0</v>
      </c>
      <c r="AB32" s="106">
        <f t="shared" si="9"/>
        <v>0</v>
      </c>
      <c r="AC32" s="106">
        <f t="shared" si="10"/>
        <v>0</v>
      </c>
      <c r="AD32" s="106">
        <f t="shared" si="11"/>
        <v>0</v>
      </c>
    </row>
    <row r="33" spans="1:30">
      <c r="A33" s="165">
        <v>2</v>
      </c>
      <c r="B33" s="164" t="s">
        <v>383</v>
      </c>
      <c r="C33" s="163"/>
      <c r="D33" s="162" t="s">
        <v>56</v>
      </c>
      <c r="E33" s="158"/>
      <c r="F33" s="161"/>
      <c r="G33" s="160"/>
      <c r="H33" s="160"/>
      <c r="I33" s="159"/>
      <c r="J33" s="159"/>
      <c r="K33" s="34">
        <f t="shared" si="0"/>
        <v>0</v>
      </c>
      <c r="L33" s="158"/>
      <c r="M33" s="158"/>
      <c r="N33" s="161"/>
      <c r="O33" s="160"/>
      <c r="P33" s="160"/>
      <c r="Q33" s="159"/>
      <c r="R33" s="159"/>
      <c r="S33" s="34">
        <f t="shared" si="1"/>
        <v>0</v>
      </c>
      <c r="T33" s="234">
        <f t="shared" si="2"/>
        <v>0</v>
      </c>
      <c r="U33" s="107">
        <f t="shared" si="3"/>
        <v>0</v>
      </c>
      <c r="V33" s="107">
        <f t="shared" si="4"/>
        <v>0</v>
      </c>
      <c r="W33" s="107">
        <f t="shared" si="5"/>
        <v>0</v>
      </c>
      <c r="X33" s="107">
        <f t="shared" si="5"/>
        <v>0</v>
      </c>
      <c r="Y33" s="107">
        <f t="shared" si="6"/>
        <v>0</v>
      </c>
      <c r="Z33" s="106">
        <f t="shared" si="7"/>
        <v>0</v>
      </c>
      <c r="AA33" s="106">
        <f t="shared" si="8"/>
        <v>0</v>
      </c>
      <c r="AB33" s="106">
        <f t="shared" si="9"/>
        <v>0</v>
      </c>
      <c r="AC33" s="106">
        <f t="shared" si="10"/>
        <v>0</v>
      </c>
      <c r="AD33" s="106">
        <f t="shared" si="11"/>
        <v>0</v>
      </c>
    </row>
    <row r="34" spans="1:30">
      <c r="A34" s="165">
        <v>2</v>
      </c>
      <c r="B34" s="164" t="s">
        <v>382</v>
      </c>
      <c r="C34" s="163"/>
      <c r="D34" s="162" t="s">
        <v>55</v>
      </c>
      <c r="E34" s="158"/>
      <c r="F34" s="161"/>
      <c r="G34" s="160"/>
      <c r="H34" s="160"/>
      <c r="I34" s="159"/>
      <c r="J34" s="159"/>
      <c r="K34" s="34">
        <f t="shared" si="0"/>
        <v>0</v>
      </c>
      <c r="L34" s="158"/>
      <c r="M34" s="158"/>
      <c r="N34" s="161"/>
      <c r="O34" s="160"/>
      <c r="P34" s="160"/>
      <c r="Q34" s="159"/>
      <c r="R34" s="159"/>
      <c r="S34" s="34">
        <f t="shared" si="1"/>
        <v>0</v>
      </c>
      <c r="T34" s="234">
        <f t="shared" si="2"/>
        <v>0</v>
      </c>
      <c r="U34" s="107">
        <f t="shared" si="3"/>
        <v>0</v>
      </c>
      <c r="V34" s="107">
        <f t="shared" si="4"/>
        <v>0</v>
      </c>
      <c r="W34" s="107">
        <f t="shared" si="5"/>
        <v>0</v>
      </c>
      <c r="X34" s="107">
        <f t="shared" si="5"/>
        <v>0</v>
      </c>
      <c r="Y34" s="107">
        <f t="shared" si="6"/>
        <v>0</v>
      </c>
      <c r="Z34" s="106">
        <f t="shared" si="7"/>
        <v>0</v>
      </c>
      <c r="AA34" s="106">
        <f t="shared" si="8"/>
        <v>0</v>
      </c>
      <c r="AB34" s="106">
        <f t="shared" si="9"/>
        <v>0</v>
      </c>
      <c r="AC34" s="106">
        <f t="shared" si="10"/>
        <v>0</v>
      </c>
      <c r="AD34" s="106">
        <f t="shared" si="11"/>
        <v>0</v>
      </c>
    </row>
    <row r="35" spans="1:30">
      <c r="A35" s="165">
        <v>2</v>
      </c>
      <c r="B35" s="164" t="s">
        <v>381</v>
      </c>
      <c r="C35" s="163"/>
      <c r="D35" s="162" t="s">
        <v>53</v>
      </c>
      <c r="E35" s="158"/>
      <c r="F35" s="161"/>
      <c r="G35" s="160"/>
      <c r="H35" s="160"/>
      <c r="I35" s="159"/>
      <c r="J35" s="159"/>
      <c r="K35" s="34">
        <f t="shared" si="0"/>
        <v>0</v>
      </c>
      <c r="L35" s="158"/>
      <c r="M35" s="158"/>
      <c r="N35" s="161"/>
      <c r="O35" s="160"/>
      <c r="P35" s="160"/>
      <c r="Q35" s="159"/>
      <c r="R35" s="159"/>
      <c r="S35" s="34">
        <f t="shared" si="1"/>
        <v>0</v>
      </c>
      <c r="T35" s="234">
        <f t="shared" si="2"/>
        <v>0</v>
      </c>
      <c r="U35" s="107">
        <f t="shared" si="3"/>
        <v>0</v>
      </c>
      <c r="V35" s="107">
        <f t="shared" si="4"/>
        <v>0</v>
      </c>
      <c r="W35" s="107">
        <f t="shared" si="5"/>
        <v>0</v>
      </c>
      <c r="X35" s="107">
        <f t="shared" si="5"/>
        <v>0</v>
      </c>
      <c r="Y35" s="107">
        <f t="shared" si="6"/>
        <v>0</v>
      </c>
      <c r="Z35" s="106">
        <f t="shared" si="7"/>
        <v>0</v>
      </c>
      <c r="AA35" s="106">
        <f t="shared" si="8"/>
        <v>0</v>
      </c>
      <c r="AB35" s="106">
        <f t="shared" si="9"/>
        <v>0</v>
      </c>
      <c r="AC35" s="106">
        <f t="shared" si="10"/>
        <v>0</v>
      </c>
      <c r="AD35" s="106">
        <f t="shared" si="11"/>
        <v>0</v>
      </c>
    </row>
    <row r="36" spans="1:30" ht="14.25" thickBot="1">
      <c r="A36" s="165"/>
      <c r="B36" s="164" t="s">
        <v>380</v>
      </c>
      <c r="C36" s="163"/>
      <c r="D36" s="162" t="s">
        <v>51</v>
      </c>
      <c r="E36" s="158"/>
      <c r="F36" s="161"/>
      <c r="G36" s="160"/>
      <c r="H36" s="160"/>
      <c r="I36" s="159"/>
      <c r="J36" s="159"/>
      <c r="K36" s="34">
        <f t="shared" si="0"/>
        <v>0</v>
      </c>
      <c r="L36" s="158"/>
      <c r="M36" s="158"/>
      <c r="N36" s="161"/>
      <c r="O36" s="160"/>
      <c r="P36" s="160"/>
      <c r="Q36" s="159"/>
      <c r="R36" s="159"/>
      <c r="S36" s="34">
        <f t="shared" si="1"/>
        <v>0</v>
      </c>
      <c r="T36" s="234">
        <f t="shared" si="2"/>
        <v>0</v>
      </c>
      <c r="U36" s="107">
        <f t="shared" si="3"/>
        <v>0</v>
      </c>
      <c r="V36" s="107">
        <f t="shared" si="4"/>
        <v>0</v>
      </c>
      <c r="W36" s="107">
        <f t="shared" si="5"/>
        <v>0</v>
      </c>
      <c r="X36" s="107">
        <f t="shared" si="5"/>
        <v>0</v>
      </c>
      <c r="Y36" s="107">
        <f t="shared" si="6"/>
        <v>0</v>
      </c>
      <c r="Z36" s="106">
        <f t="shared" si="7"/>
        <v>0</v>
      </c>
      <c r="AA36" s="106">
        <f t="shared" si="8"/>
        <v>0</v>
      </c>
      <c r="AB36" s="106">
        <f t="shared" si="9"/>
        <v>0</v>
      </c>
      <c r="AC36" s="106">
        <f t="shared" si="10"/>
        <v>0</v>
      </c>
      <c r="AD36" s="106">
        <f t="shared" si="11"/>
        <v>0</v>
      </c>
    </row>
    <row r="37" spans="1:30" ht="14.25" thickTop="1">
      <c r="A37" s="156"/>
      <c r="B37" s="155"/>
      <c r="C37" s="154"/>
      <c r="D37" s="153" t="s">
        <v>2</v>
      </c>
      <c r="E37" s="149">
        <f t="shared" ref="E37:T37" si="19">SUM(E5:E36)</f>
        <v>0</v>
      </c>
      <c r="F37" s="152">
        <f t="shared" si="19"/>
        <v>0</v>
      </c>
      <c r="G37" s="151">
        <f t="shared" si="19"/>
        <v>0</v>
      </c>
      <c r="H37" s="151">
        <f t="shared" si="19"/>
        <v>0</v>
      </c>
      <c r="I37" s="150">
        <f t="shared" ref="I37" si="20">SUM(I5:I36)</f>
        <v>0</v>
      </c>
      <c r="J37" s="150">
        <f t="shared" si="19"/>
        <v>0</v>
      </c>
      <c r="K37" s="74">
        <f t="shared" si="19"/>
        <v>0</v>
      </c>
      <c r="L37" s="149">
        <f t="shared" si="19"/>
        <v>0</v>
      </c>
      <c r="M37" s="149">
        <f t="shared" si="19"/>
        <v>0</v>
      </c>
      <c r="N37" s="146">
        <f t="shared" si="19"/>
        <v>0</v>
      </c>
      <c r="O37" s="145">
        <f t="shared" si="19"/>
        <v>0</v>
      </c>
      <c r="P37" s="145">
        <f t="shared" si="19"/>
        <v>0</v>
      </c>
      <c r="Q37" s="148">
        <f t="shared" ref="Q37" si="21">SUM(Q5:Q36)</f>
        <v>0</v>
      </c>
      <c r="R37" s="148">
        <f t="shared" si="19"/>
        <v>0</v>
      </c>
      <c r="S37" s="144">
        <f t="shared" si="19"/>
        <v>0</v>
      </c>
      <c r="T37" s="147">
        <f t="shared" si="19"/>
        <v>0</v>
      </c>
      <c r="U37" s="88" t="str">
        <f>+IF(F37=0,"",ROUND(F37*F$4/(100+F$4),7)-N37)</f>
        <v/>
      </c>
      <c r="V37" s="88"/>
      <c r="W37" s="88"/>
      <c r="X37" s="88"/>
      <c r="Y37" s="88"/>
      <c r="Z37" s="88"/>
      <c r="AA37" s="88"/>
      <c r="AB37" s="87"/>
      <c r="AC37" s="87"/>
      <c r="AD37" s="87"/>
    </row>
    <row r="38" spans="1:30">
      <c r="A38" s="143"/>
      <c r="B38" s="142"/>
      <c r="C38" s="141"/>
      <c r="D38" s="140" t="s">
        <v>1</v>
      </c>
      <c r="E38" s="136">
        <f t="shared" ref="E38:J38" si="22">+E37</f>
        <v>0</v>
      </c>
      <c r="F38" s="139">
        <f t="shared" si="22"/>
        <v>0</v>
      </c>
      <c r="G38" s="138">
        <f t="shared" si="22"/>
        <v>0</v>
      </c>
      <c r="H38" s="138">
        <f t="shared" si="22"/>
        <v>0</v>
      </c>
      <c r="I38" s="137">
        <f t="shared" si="22"/>
        <v>0</v>
      </c>
      <c r="J38" s="137">
        <f t="shared" si="22"/>
        <v>0</v>
      </c>
      <c r="K38" s="63">
        <f>SUM(F38:J38)</f>
        <v>0</v>
      </c>
      <c r="L38" s="136">
        <f>+L37</f>
        <v>0</v>
      </c>
      <c r="M38" s="135">
        <f>+M37</f>
        <v>0</v>
      </c>
      <c r="N38" s="133">
        <f>+'3条支出(共通按分後)'!N15</f>
        <v>0</v>
      </c>
      <c r="O38" s="132">
        <f>+'3条支出(共通按分後)'!O15</f>
        <v>0</v>
      </c>
      <c r="P38" s="132">
        <f>+'3条支出(共通按分後)'!P15</f>
        <v>0</v>
      </c>
      <c r="Q38" s="132">
        <f>+'3条支出(共通按分後)'!Q15</f>
        <v>0</v>
      </c>
      <c r="R38" s="132">
        <f>+'3条支出(共通按分後)'!R15</f>
        <v>0</v>
      </c>
      <c r="S38" s="131">
        <f>+'3条支出(共通按分後)'!S15</f>
        <v>0</v>
      </c>
      <c r="T38" s="134">
        <f>+'3条支出(共通按分後)'!T15</f>
        <v>0</v>
      </c>
      <c r="U38" s="88" t="str">
        <f>+IF(F38=0,"",ROUND(F38*F$4/(100+F$4),7)-N38)</f>
        <v/>
      </c>
      <c r="V38" s="88"/>
      <c r="W38" s="88"/>
      <c r="X38" s="88"/>
      <c r="Y38" s="88"/>
      <c r="Z38" s="88"/>
      <c r="AA38" s="88"/>
      <c r="AB38" s="87"/>
      <c r="AC38" s="87"/>
      <c r="AD38" s="87"/>
    </row>
    <row r="39" spans="1:30">
      <c r="E39" s="4">
        <f t="shared" ref="E39:T39" si="23">+E38-E37</f>
        <v>0</v>
      </c>
      <c r="F39" s="4">
        <f t="shared" si="23"/>
        <v>0</v>
      </c>
      <c r="G39" s="4">
        <f t="shared" si="23"/>
        <v>0</v>
      </c>
      <c r="H39" s="4">
        <f t="shared" si="23"/>
        <v>0</v>
      </c>
      <c r="I39" s="4">
        <f t="shared" ref="I39" si="24">+I38-I37</f>
        <v>0</v>
      </c>
      <c r="J39" s="4">
        <f t="shared" si="23"/>
        <v>0</v>
      </c>
      <c r="K39" s="4">
        <f t="shared" si="23"/>
        <v>0</v>
      </c>
      <c r="L39" s="4">
        <f t="shared" si="23"/>
        <v>0</v>
      </c>
      <c r="M39" s="4">
        <f t="shared" si="23"/>
        <v>0</v>
      </c>
      <c r="N39" s="4">
        <f t="shared" si="23"/>
        <v>0</v>
      </c>
      <c r="O39" s="4">
        <f t="shared" si="23"/>
        <v>0</v>
      </c>
      <c r="P39" s="4">
        <f t="shared" si="23"/>
        <v>0</v>
      </c>
      <c r="Q39" s="4">
        <f t="shared" ref="Q39" si="25">+Q38-Q37</f>
        <v>0</v>
      </c>
      <c r="R39" s="4">
        <f t="shared" si="23"/>
        <v>0</v>
      </c>
      <c r="S39" s="4">
        <f t="shared" si="23"/>
        <v>0</v>
      </c>
      <c r="T39" s="4">
        <f t="shared" si="23"/>
        <v>0</v>
      </c>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U40" s="88" t="str">
        <f>+IF(F40=0,"",ROUND(F40*F$4/(100+F$4),7)-N40)</f>
        <v/>
      </c>
      <c r="V40" s="88" t="str">
        <f>+IF(G40=0,"",ROUND(G40*G$4/(100+G$4),7)-O40)</f>
        <v/>
      </c>
      <c r="W40" s="88" t="str">
        <f>+IF(H40=0,"",ROUND(H40*H$4/(100+H$4),7)-P40)</f>
        <v/>
      </c>
      <c r="X40" s="88"/>
      <c r="Y40" s="88" t="str">
        <f>+IF(J40=0,"",ROUND(J40*J$4/(100+J$4),7)-R40)</f>
        <v/>
      </c>
      <c r="Z40" s="88"/>
      <c r="AA40" s="88"/>
      <c r="AB40" s="87" t="str">
        <f>+IF(SUM(U40:Y40)=0,"",SUM(U40:Y40))</f>
        <v/>
      </c>
      <c r="AC40" s="87"/>
      <c r="AD40" s="87"/>
    </row>
    <row r="41" spans="1:30">
      <c r="G41" s="273"/>
      <c r="H41" s="272"/>
      <c r="I41" s="272"/>
      <c r="J41" s="272"/>
      <c r="U41" s="88" t="str">
        <f>+IF(F41=0,"",ROUND(F41*F$4/(100+F$4),7)-N41)</f>
        <v/>
      </c>
      <c r="V41" s="88"/>
      <c r="W41" s="88"/>
      <c r="X41" s="88"/>
      <c r="Y41" s="88"/>
      <c r="Z41" s="88"/>
      <c r="AA41" s="88"/>
      <c r="AB41" s="87"/>
      <c r="AC41" s="87"/>
      <c r="AD41" s="87"/>
    </row>
    <row r="42" spans="1:30">
      <c r="G42" s="273"/>
      <c r="H42" s="272"/>
      <c r="I42" s="272"/>
      <c r="J42" s="272"/>
    </row>
  </sheetData>
  <mergeCells count="13">
    <mergeCell ref="AE3:AI3"/>
    <mergeCell ref="L3:L4"/>
    <mergeCell ref="M3:M4"/>
    <mergeCell ref="N3:S3"/>
    <mergeCell ref="T3:T4"/>
    <mergeCell ref="U3:Y3"/>
    <mergeCell ref="Z3:AD3"/>
    <mergeCell ref="F3:K3"/>
    <mergeCell ref="A3:A4"/>
    <mergeCell ref="B3:B4"/>
    <mergeCell ref="C3:C4"/>
    <mergeCell ref="D3:D4"/>
    <mergeCell ref="E3:E4"/>
  </mergeCells>
  <phoneticPr fontId="3"/>
  <conditionalFormatting sqref="AE5:AI29 AE31:AI36 AF30:AI30">
    <cfRule type="notContainsBlanks" dxfId="15" priority="6" stopIfTrue="1">
      <formula>LEN(TRIM(AE5))&gt;0</formula>
    </cfRule>
  </conditionalFormatting>
  <conditionalFormatting sqref="AE37:AI38">
    <cfRule type="notContainsBlanks" dxfId="14" priority="7" stopIfTrue="1">
      <formula>LEN(TRIM(AE37))&gt;0</formula>
    </cfRule>
  </conditionalFormatting>
  <conditionalFormatting sqref="Z5:AD29 Z31:AD36">
    <cfRule type="expression" dxfId="13" priority="5">
      <formula>ABS(Z5)=1</formula>
    </cfRule>
  </conditionalFormatting>
  <conditionalFormatting sqref="E39:T39">
    <cfRule type="cellIs" dxfId="12" priority="4" operator="notEqual">
      <formula>0</formula>
    </cfRule>
  </conditionalFormatting>
  <conditionalFormatting sqref="AE30">
    <cfRule type="notContainsBlanks" dxfId="11" priority="2" stopIfTrue="1">
      <formula>LEN(TRIM(AE30))&gt;0</formula>
    </cfRule>
  </conditionalFormatting>
  <conditionalFormatting sqref="Z30:AD30">
    <cfRule type="expression" dxfId="10" priority="1">
      <formula>ABS(Z30)=1</formula>
    </cfRule>
  </conditionalFormatting>
  <pageMargins left="0.39370078740157483" right="0.39370078740157483" top="0.59055118110236227" bottom="0.39370078740157483" header="0.39370078740157483" footer="0.19685039370078741"/>
  <pageSetup paperSize="9" scale="85" orientation="landscape" blackAndWhite="1" r:id="rId1"/>
  <headerFooter>
    <oddFooter>&amp;L&amp;8&amp;Z&amp;F&amp;A&amp;R&amp;8&amp;D&amp;T</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I43"/>
  <sheetViews>
    <sheetView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+'3条支出(共通按分後)'!D1</f>
        <v>令和3年度決算　消費税算出資料</v>
      </c>
    </row>
    <row r="2" spans="1:35">
      <c r="D2" s="2" t="s">
        <v>546</v>
      </c>
      <c r="V2" s="230"/>
      <c r="W2" s="230"/>
      <c r="X2" s="261"/>
      <c r="Y2" s="230"/>
      <c r="Z2" s="230"/>
      <c r="AA2" s="230"/>
      <c r="AB2" s="230"/>
      <c r="AC2" s="261"/>
      <c r="AD2" s="230"/>
      <c r="AE2" s="230"/>
      <c r="AF2" s="230"/>
      <c r="AG2" s="230"/>
      <c r="AH2" s="261"/>
      <c r="AI2" s="230"/>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230"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230">
        <v>3</v>
      </c>
      <c r="V4" s="230">
        <v>5</v>
      </c>
      <c r="W4" s="230">
        <v>8</v>
      </c>
      <c r="X4" s="267">
        <v>8</v>
      </c>
      <c r="Y4" s="262">
        <v>10</v>
      </c>
      <c r="Z4" s="262">
        <v>3</v>
      </c>
      <c r="AA4" s="262">
        <v>5</v>
      </c>
      <c r="AB4" s="262">
        <v>8</v>
      </c>
      <c r="AC4" s="267">
        <v>8</v>
      </c>
      <c r="AD4" s="262">
        <v>10</v>
      </c>
      <c r="AE4" s="262">
        <v>3</v>
      </c>
      <c r="AF4" s="262">
        <v>5</v>
      </c>
      <c r="AG4" s="262">
        <v>8</v>
      </c>
      <c r="AH4" s="267">
        <v>8</v>
      </c>
      <c r="AI4" s="230">
        <v>10</v>
      </c>
    </row>
    <row r="5" spans="1:35">
      <c r="A5" s="177">
        <v>3</v>
      </c>
      <c r="B5" s="176" t="s">
        <v>446</v>
      </c>
      <c r="C5" s="175"/>
      <c r="D5" s="174" t="s">
        <v>112</v>
      </c>
      <c r="E5" s="170"/>
      <c r="F5" s="173"/>
      <c r="G5" s="172"/>
      <c r="H5" s="275"/>
      <c r="I5" s="270"/>
      <c r="J5" s="171"/>
      <c r="K5" s="112">
        <f t="shared" ref="K5:K36" si="0">SUM(F5:J5)</f>
        <v>0</v>
      </c>
      <c r="L5" s="170"/>
      <c r="M5" s="277"/>
      <c r="N5" s="173"/>
      <c r="O5" s="172"/>
      <c r="P5" s="172"/>
      <c r="Q5" s="171"/>
      <c r="R5" s="171"/>
      <c r="S5" s="112">
        <f t="shared" ref="S5:S36" si="1">SUM(N5:R5)</f>
        <v>0</v>
      </c>
      <c r="T5" s="166">
        <f t="shared" ref="T5:T36" si="2">+E5-S5</f>
        <v>0</v>
      </c>
      <c r="U5" s="107">
        <f t="shared" ref="U5:U36" si="3">N5-F5*F$4/(100+F$4)</f>
        <v>0</v>
      </c>
      <c r="V5" s="107">
        <f t="shared" ref="V5:V36" si="4">O5-G5*G$4/(100+G$4)</f>
        <v>0</v>
      </c>
      <c r="W5" s="107">
        <f t="shared" ref="W5:X36" si="5">P5-H5*H$4/(100+H$4)</f>
        <v>0</v>
      </c>
      <c r="X5" s="107">
        <f t="shared" si="5"/>
        <v>0</v>
      </c>
      <c r="Y5" s="107">
        <f t="shared" ref="Y5:Y36" si="6">R5-J5*J$4/(100+J$4)</f>
        <v>0</v>
      </c>
      <c r="Z5" s="106">
        <f t="shared" ref="Z5:Z36" si="7">+IF(N$39=0,0,IF(N$39&lt;0,-RANK(U5,U$5:U$36,0),RANK(U5,U$5:U$36,1)))</f>
        <v>0</v>
      </c>
      <c r="AA5" s="106">
        <f t="shared" ref="AA5:AA36" si="8">+IF(O$39=0,0,IF(O$39&lt;0,-RANK(V5,V$5:V$36,0),RANK(V5,V$5:V$36,1)))</f>
        <v>0</v>
      </c>
      <c r="AB5" s="106">
        <f t="shared" ref="AB5:AB36" si="9">+IF(P$39=0,0,IF(P$39&lt;0,-RANK(W5,W$5:W$36,0),RANK(W5,W$5:W$36,1)))</f>
        <v>0</v>
      </c>
      <c r="AC5" s="106">
        <f t="shared" ref="AC5:AC36" si="10">+IF(Q$39=0,0,IF(Q$39&lt;0,-RANK(X5,X$5:X$36,0),RANK(X5,X$5:X$36,1)))</f>
        <v>0</v>
      </c>
      <c r="AD5" s="106">
        <f t="shared" ref="AD5:AD36" si="11">+IF(R$39=0,0,IF(R$39&lt;0,-RANK(Y5,Y$5:Y$36,0),RANK(Y5,Y$5:Y$36,1)))</f>
        <v>0</v>
      </c>
    </row>
    <row r="6" spans="1:35">
      <c r="A6" s="165">
        <v>3</v>
      </c>
      <c r="B6" s="164" t="s">
        <v>445</v>
      </c>
      <c r="C6" s="163"/>
      <c r="D6" s="162" t="s">
        <v>110</v>
      </c>
      <c r="E6" s="158"/>
      <c r="F6" s="161"/>
      <c r="G6" s="160"/>
      <c r="H6" s="160"/>
      <c r="I6" s="159"/>
      <c r="J6" s="159"/>
      <c r="K6" s="34">
        <f t="shared" si="0"/>
        <v>0</v>
      </c>
      <c r="L6" s="158"/>
      <c r="M6" s="158"/>
      <c r="N6" s="161"/>
      <c r="O6" s="160"/>
      <c r="P6" s="160"/>
      <c r="Q6" s="159"/>
      <c r="R6" s="159"/>
      <c r="S6" s="34">
        <f t="shared" si="1"/>
        <v>0</v>
      </c>
      <c r="T6" s="109">
        <f t="shared" si="2"/>
        <v>0</v>
      </c>
      <c r="U6" s="107">
        <f t="shared" si="3"/>
        <v>0</v>
      </c>
      <c r="V6" s="107">
        <f t="shared" si="4"/>
        <v>0</v>
      </c>
      <c r="W6" s="107">
        <f t="shared" si="5"/>
        <v>0</v>
      </c>
      <c r="X6" s="107">
        <f t="shared" si="5"/>
        <v>0</v>
      </c>
      <c r="Y6" s="107">
        <f t="shared" si="6"/>
        <v>0</v>
      </c>
      <c r="Z6" s="106">
        <f t="shared" si="7"/>
        <v>0</v>
      </c>
      <c r="AA6" s="106">
        <f t="shared" si="8"/>
        <v>0</v>
      </c>
      <c r="AB6" s="106">
        <f t="shared" si="9"/>
        <v>0</v>
      </c>
      <c r="AC6" s="106">
        <f t="shared" si="10"/>
        <v>0</v>
      </c>
      <c r="AD6" s="106">
        <f t="shared" si="11"/>
        <v>0</v>
      </c>
    </row>
    <row r="7" spans="1:35">
      <c r="A7" s="165">
        <v>3</v>
      </c>
      <c r="B7" s="164" t="s">
        <v>444</v>
      </c>
      <c r="C7" s="163"/>
      <c r="D7" s="162" t="s">
        <v>108</v>
      </c>
      <c r="E7" s="158"/>
      <c r="F7" s="161"/>
      <c r="G7" s="160"/>
      <c r="H7" s="160"/>
      <c r="I7" s="159"/>
      <c r="J7" s="159"/>
      <c r="K7" s="34">
        <f t="shared" si="0"/>
        <v>0</v>
      </c>
      <c r="L7" s="158"/>
      <c r="M7" s="158"/>
      <c r="N7" s="161"/>
      <c r="O7" s="160"/>
      <c r="P7" s="160"/>
      <c r="Q7" s="159"/>
      <c r="R7" s="159"/>
      <c r="S7" s="34">
        <f t="shared" si="1"/>
        <v>0</v>
      </c>
      <c r="T7" s="109">
        <f t="shared" si="2"/>
        <v>0</v>
      </c>
      <c r="U7" s="107">
        <f t="shared" si="3"/>
        <v>0</v>
      </c>
      <c r="V7" s="107">
        <f t="shared" si="4"/>
        <v>0</v>
      </c>
      <c r="W7" s="107">
        <f t="shared" si="5"/>
        <v>0</v>
      </c>
      <c r="X7" s="107">
        <f t="shared" si="5"/>
        <v>0</v>
      </c>
      <c r="Y7" s="107">
        <f t="shared" si="6"/>
        <v>0</v>
      </c>
      <c r="Z7" s="106">
        <f t="shared" si="7"/>
        <v>0</v>
      </c>
      <c r="AA7" s="106">
        <f t="shared" si="8"/>
        <v>0</v>
      </c>
      <c r="AB7" s="106">
        <f t="shared" si="9"/>
        <v>0</v>
      </c>
      <c r="AC7" s="106">
        <f t="shared" si="10"/>
        <v>0</v>
      </c>
      <c r="AD7" s="106">
        <f t="shared" si="11"/>
        <v>0</v>
      </c>
    </row>
    <row r="8" spans="1:35">
      <c r="A8" s="165">
        <v>3</v>
      </c>
      <c r="B8" s="164" t="s">
        <v>443</v>
      </c>
      <c r="C8" s="163"/>
      <c r="D8" s="162" t="s">
        <v>106</v>
      </c>
      <c r="E8" s="158"/>
      <c r="F8" s="161"/>
      <c r="G8" s="160"/>
      <c r="H8" s="160"/>
      <c r="I8" s="159"/>
      <c r="J8" s="159"/>
      <c r="K8" s="34">
        <f t="shared" si="0"/>
        <v>0</v>
      </c>
      <c r="L8" s="158"/>
      <c r="M8" s="158"/>
      <c r="N8" s="161"/>
      <c r="O8" s="160"/>
      <c r="P8" s="160"/>
      <c r="Q8" s="159"/>
      <c r="R8" s="159"/>
      <c r="S8" s="34">
        <f t="shared" si="1"/>
        <v>0</v>
      </c>
      <c r="T8" s="109">
        <f t="shared" si="2"/>
        <v>0</v>
      </c>
      <c r="U8" s="107">
        <f t="shared" si="3"/>
        <v>0</v>
      </c>
      <c r="V8" s="107">
        <f t="shared" si="4"/>
        <v>0</v>
      </c>
      <c r="W8" s="107">
        <f t="shared" si="5"/>
        <v>0</v>
      </c>
      <c r="X8" s="107">
        <f t="shared" si="5"/>
        <v>0</v>
      </c>
      <c r="Y8" s="107">
        <f t="shared" si="6"/>
        <v>0</v>
      </c>
      <c r="Z8" s="106">
        <f t="shared" si="7"/>
        <v>0</v>
      </c>
      <c r="AA8" s="106">
        <f t="shared" si="8"/>
        <v>0</v>
      </c>
      <c r="AB8" s="106">
        <f t="shared" si="9"/>
        <v>0</v>
      </c>
      <c r="AC8" s="106">
        <f t="shared" si="10"/>
        <v>0</v>
      </c>
      <c r="AD8" s="106">
        <f t="shared" si="11"/>
        <v>0</v>
      </c>
    </row>
    <row r="9" spans="1:35">
      <c r="A9" s="165">
        <v>3</v>
      </c>
      <c r="B9" s="164" t="s">
        <v>442</v>
      </c>
      <c r="C9" s="163"/>
      <c r="D9" s="162" t="s">
        <v>104</v>
      </c>
      <c r="E9" s="158"/>
      <c r="F9" s="161"/>
      <c r="G9" s="160"/>
      <c r="H9" s="160"/>
      <c r="I9" s="159"/>
      <c r="J9" s="159"/>
      <c r="K9" s="34">
        <f t="shared" si="0"/>
        <v>0</v>
      </c>
      <c r="L9" s="158"/>
      <c r="M9" s="158"/>
      <c r="N9" s="161"/>
      <c r="O9" s="160"/>
      <c r="P9" s="160"/>
      <c r="Q9" s="159"/>
      <c r="R9" s="159"/>
      <c r="S9" s="34">
        <f t="shared" si="1"/>
        <v>0</v>
      </c>
      <c r="T9" s="109">
        <f t="shared" si="2"/>
        <v>0</v>
      </c>
      <c r="U9" s="107">
        <f t="shared" si="3"/>
        <v>0</v>
      </c>
      <c r="V9" s="107">
        <f t="shared" si="4"/>
        <v>0</v>
      </c>
      <c r="W9" s="107">
        <f t="shared" si="5"/>
        <v>0</v>
      </c>
      <c r="X9" s="107">
        <f t="shared" si="5"/>
        <v>0</v>
      </c>
      <c r="Y9" s="107">
        <f t="shared" si="6"/>
        <v>0</v>
      </c>
      <c r="Z9" s="106">
        <f t="shared" si="7"/>
        <v>0</v>
      </c>
      <c r="AA9" s="106">
        <f t="shared" si="8"/>
        <v>0</v>
      </c>
      <c r="AB9" s="106">
        <f t="shared" si="9"/>
        <v>0</v>
      </c>
      <c r="AC9" s="106">
        <f t="shared" si="10"/>
        <v>0</v>
      </c>
      <c r="AD9" s="106">
        <f t="shared" si="11"/>
        <v>0</v>
      </c>
    </row>
    <row r="10" spans="1:35">
      <c r="A10" s="165">
        <v>3</v>
      </c>
      <c r="B10" s="164" t="s">
        <v>441</v>
      </c>
      <c r="C10" s="163"/>
      <c r="D10" s="162" t="s">
        <v>102</v>
      </c>
      <c r="E10" s="158"/>
      <c r="F10" s="161"/>
      <c r="G10" s="160"/>
      <c r="H10" s="276"/>
      <c r="I10" s="271"/>
      <c r="J10" s="159"/>
      <c r="K10" s="34">
        <f t="shared" si="0"/>
        <v>0</v>
      </c>
      <c r="L10" s="158"/>
      <c r="M10" s="278"/>
      <c r="N10" s="161"/>
      <c r="O10" s="160"/>
      <c r="P10" s="160"/>
      <c r="Q10" s="159"/>
      <c r="R10" s="159"/>
      <c r="S10" s="34">
        <f t="shared" si="1"/>
        <v>0</v>
      </c>
      <c r="T10" s="109">
        <f t="shared" si="2"/>
        <v>0</v>
      </c>
      <c r="U10" s="107">
        <f t="shared" si="3"/>
        <v>0</v>
      </c>
      <c r="V10" s="107">
        <f t="shared" si="4"/>
        <v>0</v>
      </c>
      <c r="W10" s="107">
        <f t="shared" si="5"/>
        <v>0</v>
      </c>
      <c r="X10" s="107">
        <f t="shared" si="5"/>
        <v>0</v>
      </c>
      <c r="Y10" s="107">
        <f t="shared" si="6"/>
        <v>0</v>
      </c>
      <c r="Z10" s="106">
        <f t="shared" si="7"/>
        <v>0</v>
      </c>
      <c r="AA10" s="106">
        <f t="shared" si="8"/>
        <v>0</v>
      </c>
      <c r="AB10" s="106">
        <f t="shared" si="9"/>
        <v>0</v>
      </c>
      <c r="AC10" s="106">
        <f t="shared" si="10"/>
        <v>0</v>
      </c>
      <c r="AD10" s="106">
        <f t="shared" si="11"/>
        <v>0</v>
      </c>
    </row>
    <row r="11" spans="1:35">
      <c r="A11" s="165">
        <v>3</v>
      </c>
      <c r="B11" s="164" t="s">
        <v>440</v>
      </c>
      <c r="C11" s="163"/>
      <c r="D11" s="162" t="s">
        <v>100</v>
      </c>
      <c r="E11" s="158"/>
      <c r="F11" s="161"/>
      <c r="G11" s="160"/>
      <c r="H11" s="160"/>
      <c r="I11" s="159"/>
      <c r="J11" s="159"/>
      <c r="K11" s="34">
        <f t="shared" si="0"/>
        <v>0</v>
      </c>
      <c r="L11" s="158"/>
      <c r="M11" s="158"/>
      <c r="N11" s="161"/>
      <c r="O11" s="160"/>
      <c r="P11" s="160"/>
      <c r="Q11" s="159"/>
      <c r="R11" s="159"/>
      <c r="S11" s="34">
        <f t="shared" si="1"/>
        <v>0</v>
      </c>
      <c r="T11" s="109">
        <f t="shared" si="2"/>
        <v>0</v>
      </c>
      <c r="U11" s="107">
        <f t="shared" si="3"/>
        <v>0</v>
      </c>
      <c r="V11" s="107">
        <f t="shared" si="4"/>
        <v>0</v>
      </c>
      <c r="W11" s="107">
        <f t="shared" si="5"/>
        <v>0</v>
      </c>
      <c r="X11" s="107">
        <f t="shared" si="5"/>
        <v>0</v>
      </c>
      <c r="Y11" s="107">
        <f t="shared" si="6"/>
        <v>0</v>
      </c>
      <c r="Z11" s="106">
        <f t="shared" si="7"/>
        <v>0</v>
      </c>
      <c r="AA11" s="106">
        <f t="shared" si="8"/>
        <v>0</v>
      </c>
      <c r="AB11" s="106">
        <f t="shared" si="9"/>
        <v>0</v>
      </c>
      <c r="AC11" s="106">
        <f t="shared" si="10"/>
        <v>0</v>
      </c>
      <c r="AD11" s="106">
        <f t="shared" si="11"/>
        <v>0</v>
      </c>
    </row>
    <row r="12" spans="1:35">
      <c r="A12" s="165">
        <v>3</v>
      </c>
      <c r="B12" s="164" t="s">
        <v>438</v>
      </c>
      <c r="C12" s="163" t="s">
        <v>439</v>
      </c>
      <c r="D12" s="162" t="s">
        <v>98</v>
      </c>
      <c r="E12" s="158"/>
      <c r="F12" s="161"/>
      <c r="G12" s="160"/>
      <c r="H12" s="160"/>
      <c r="I12" s="159"/>
      <c r="J12" s="159"/>
      <c r="K12" s="34">
        <f t="shared" si="0"/>
        <v>0</v>
      </c>
      <c r="L12" s="158"/>
      <c r="M12" s="158"/>
      <c r="N12" s="161"/>
      <c r="O12" s="160"/>
      <c r="P12" s="160"/>
      <c r="Q12" s="159"/>
      <c r="R12" s="159"/>
      <c r="S12" s="34">
        <f t="shared" si="1"/>
        <v>0</v>
      </c>
      <c r="T12" s="109">
        <f t="shared" si="2"/>
        <v>0</v>
      </c>
      <c r="U12" s="107">
        <f t="shared" si="3"/>
        <v>0</v>
      </c>
      <c r="V12" s="107">
        <f t="shared" si="4"/>
        <v>0</v>
      </c>
      <c r="W12" s="107">
        <f t="shared" si="5"/>
        <v>0</v>
      </c>
      <c r="X12" s="107">
        <f t="shared" si="5"/>
        <v>0</v>
      </c>
      <c r="Y12" s="107">
        <f t="shared" si="6"/>
        <v>0</v>
      </c>
      <c r="Z12" s="106">
        <f t="shared" si="7"/>
        <v>0</v>
      </c>
      <c r="AA12" s="106">
        <f t="shared" si="8"/>
        <v>0</v>
      </c>
      <c r="AB12" s="106">
        <f t="shared" si="9"/>
        <v>0</v>
      </c>
      <c r="AC12" s="106">
        <f t="shared" si="10"/>
        <v>0</v>
      </c>
      <c r="AD12" s="106">
        <f t="shared" si="11"/>
        <v>0</v>
      </c>
    </row>
    <row r="13" spans="1:35">
      <c r="A13" s="165">
        <v>3</v>
      </c>
      <c r="B13" s="164" t="s">
        <v>438</v>
      </c>
      <c r="C13" s="163" t="s">
        <v>437</v>
      </c>
      <c r="D13" s="162" t="s">
        <v>95</v>
      </c>
      <c r="E13" s="158"/>
      <c r="F13" s="161"/>
      <c r="G13" s="160"/>
      <c r="H13" s="160"/>
      <c r="I13" s="159"/>
      <c r="J13" s="159"/>
      <c r="K13" s="34">
        <f t="shared" si="0"/>
        <v>0</v>
      </c>
      <c r="L13" s="158"/>
      <c r="M13" s="158"/>
      <c r="N13" s="161"/>
      <c r="O13" s="160"/>
      <c r="P13" s="160"/>
      <c r="Q13" s="159"/>
      <c r="R13" s="159"/>
      <c r="S13" s="34">
        <f t="shared" si="1"/>
        <v>0</v>
      </c>
      <c r="T13" s="109">
        <f t="shared" si="2"/>
        <v>0</v>
      </c>
      <c r="U13" s="107">
        <f t="shared" si="3"/>
        <v>0</v>
      </c>
      <c r="V13" s="107">
        <f t="shared" si="4"/>
        <v>0</v>
      </c>
      <c r="W13" s="107">
        <f t="shared" si="5"/>
        <v>0</v>
      </c>
      <c r="X13" s="107">
        <f t="shared" si="5"/>
        <v>0</v>
      </c>
      <c r="Y13" s="107">
        <f t="shared" si="6"/>
        <v>0</v>
      </c>
      <c r="Z13" s="106">
        <f t="shared" si="7"/>
        <v>0</v>
      </c>
      <c r="AA13" s="106">
        <f t="shared" si="8"/>
        <v>0</v>
      </c>
      <c r="AB13" s="106">
        <f t="shared" si="9"/>
        <v>0</v>
      </c>
      <c r="AC13" s="106">
        <f t="shared" si="10"/>
        <v>0</v>
      </c>
      <c r="AD13" s="106">
        <f t="shared" si="11"/>
        <v>0</v>
      </c>
    </row>
    <row r="14" spans="1:35">
      <c r="A14" s="165">
        <v>3</v>
      </c>
      <c r="B14" s="164" t="s">
        <v>436</v>
      </c>
      <c r="C14" s="163"/>
      <c r="D14" s="162" t="s">
        <v>93</v>
      </c>
      <c r="E14" s="158"/>
      <c r="F14" s="161"/>
      <c r="G14" s="160"/>
      <c r="H14" s="160"/>
      <c r="I14" s="159"/>
      <c r="J14" s="159"/>
      <c r="K14" s="34">
        <f t="shared" si="0"/>
        <v>0</v>
      </c>
      <c r="L14" s="158"/>
      <c r="M14" s="158"/>
      <c r="N14" s="161"/>
      <c r="O14" s="160"/>
      <c r="P14" s="160"/>
      <c r="Q14" s="159"/>
      <c r="R14" s="159"/>
      <c r="S14" s="34">
        <f t="shared" si="1"/>
        <v>0</v>
      </c>
      <c r="T14" s="109">
        <f t="shared" si="2"/>
        <v>0</v>
      </c>
      <c r="U14" s="107">
        <f t="shared" si="3"/>
        <v>0</v>
      </c>
      <c r="V14" s="107">
        <f t="shared" si="4"/>
        <v>0</v>
      </c>
      <c r="W14" s="107">
        <f t="shared" si="5"/>
        <v>0</v>
      </c>
      <c r="X14" s="107">
        <f t="shared" si="5"/>
        <v>0</v>
      </c>
      <c r="Y14" s="107">
        <f t="shared" si="6"/>
        <v>0</v>
      </c>
      <c r="Z14" s="106">
        <f t="shared" si="7"/>
        <v>0</v>
      </c>
      <c r="AA14" s="106">
        <f t="shared" si="8"/>
        <v>0</v>
      </c>
      <c r="AB14" s="106">
        <f t="shared" si="9"/>
        <v>0</v>
      </c>
      <c r="AC14" s="106">
        <f t="shared" si="10"/>
        <v>0</v>
      </c>
      <c r="AD14" s="106">
        <f t="shared" si="11"/>
        <v>0</v>
      </c>
    </row>
    <row r="15" spans="1:35">
      <c r="A15" s="165">
        <v>3</v>
      </c>
      <c r="B15" s="164" t="s">
        <v>435</v>
      </c>
      <c r="C15" s="163"/>
      <c r="D15" s="162" t="s">
        <v>91</v>
      </c>
      <c r="E15" s="158"/>
      <c r="F15" s="161"/>
      <c r="G15" s="160"/>
      <c r="H15" s="160"/>
      <c r="I15" s="159"/>
      <c r="J15" s="159"/>
      <c r="K15" s="34">
        <f t="shared" si="0"/>
        <v>0</v>
      </c>
      <c r="L15" s="158"/>
      <c r="M15" s="158"/>
      <c r="N15" s="161"/>
      <c r="O15" s="160"/>
      <c r="P15" s="160"/>
      <c r="Q15" s="159"/>
      <c r="R15" s="159"/>
      <c r="S15" s="34">
        <f t="shared" si="1"/>
        <v>0</v>
      </c>
      <c r="T15" s="109">
        <f t="shared" si="2"/>
        <v>0</v>
      </c>
      <c r="U15" s="107">
        <f t="shared" si="3"/>
        <v>0</v>
      </c>
      <c r="V15" s="107">
        <f t="shared" si="4"/>
        <v>0</v>
      </c>
      <c r="W15" s="107">
        <f t="shared" si="5"/>
        <v>0</v>
      </c>
      <c r="X15" s="107">
        <f t="shared" si="5"/>
        <v>0</v>
      </c>
      <c r="Y15" s="107">
        <f t="shared" si="6"/>
        <v>0</v>
      </c>
      <c r="Z15" s="106">
        <f t="shared" si="7"/>
        <v>0</v>
      </c>
      <c r="AA15" s="106">
        <f t="shared" si="8"/>
        <v>0</v>
      </c>
      <c r="AB15" s="106">
        <f t="shared" si="9"/>
        <v>0</v>
      </c>
      <c r="AC15" s="106">
        <f t="shared" si="10"/>
        <v>0</v>
      </c>
      <c r="AD15" s="106">
        <f t="shared" si="11"/>
        <v>0</v>
      </c>
    </row>
    <row r="16" spans="1:35">
      <c r="A16" s="165">
        <v>3</v>
      </c>
      <c r="B16" s="164" t="s">
        <v>434</v>
      </c>
      <c r="C16" s="163"/>
      <c r="D16" s="162" t="s">
        <v>89</v>
      </c>
      <c r="E16" s="158"/>
      <c r="F16" s="161"/>
      <c r="G16" s="160"/>
      <c r="H16" s="160"/>
      <c r="I16" s="159"/>
      <c r="J16" s="159"/>
      <c r="K16" s="34">
        <f t="shared" si="0"/>
        <v>0</v>
      </c>
      <c r="L16" s="158"/>
      <c r="M16" s="158"/>
      <c r="N16" s="161"/>
      <c r="O16" s="160"/>
      <c r="P16" s="160"/>
      <c r="Q16" s="159"/>
      <c r="R16" s="159"/>
      <c r="S16" s="34">
        <f t="shared" si="1"/>
        <v>0</v>
      </c>
      <c r="T16" s="109">
        <f t="shared" si="2"/>
        <v>0</v>
      </c>
      <c r="U16" s="107">
        <f t="shared" si="3"/>
        <v>0</v>
      </c>
      <c r="V16" s="107">
        <f t="shared" si="4"/>
        <v>0</v>
      </c>
      <c r="W16" s="107">
        <f t="shared" si="5"/>
        <v>0</v>
      </c>
      <c r="X16" s="107">
        <f t="shared" si="5"/>
        <v>0</v>
      </c>
      <c r="Y16" s="107">
        <f t="shared" si="6"/>
        <v>0</v>
      </c>
      <c r="Z16" s="106">
        <f t="shared" si="7"/>
        <v>0</v>
      </c>
      <c r="AA16" s="106">
        <f t="shared" si="8"/>
        <v>0</v>
      </c>
      <c r="AB16" s="106">
        <f t="shared" si="9"/>
        <v>0</v>
      </c>
      <c r="AC16" s="106">
        <f t="shared" si="10"/>
        <v>0</v>
      </c>
      <c r="AD16" s="106">
        <f t="shared" si="11"/>
        <v>0</v>
      </c>
    </row>
    <row r="17" spans="1:30">
      <c r="A17" s="165">
        <v>3</v>
      </c>
      <c r="B17" s="164" t="s">
        <v>433</v>
      </c>
      <c r="C17" s="163"/>
      <c r="D17" s="162" t="s">
        <v>87</v>
      </c>
      <c r="E17" s="158"/>
      <c r="F17" s="161"/>
      <c r="G17" s="160"/>
      <c r="H17" s="160"/>
      <c r="I17" s="159"/>
      <c r="J17" s="159"/>
      <c r="K17" s="34">
        <f t="shared" si="0"/>
        <v>0</v>
      </c>
      <c r="L17" s="158"/>
      <c r="M17" s="158"/>
      <c r="N17" s="161"/>
      <c r="O17" s="160"/>
      <c r="P17" s="160"/>
      <c r="Q17" s="159"/>
      <c r="R17" s="159"/>
      <c r="S17" s="34">
        <f t="shared" si="1"/>
        <v>0</v>
      </c>
      <c r="T17" s="109">
        <f t="shared" si="2"/>
        <v>0</v>
      </c>
      <c r="U17" s="107">
        <f t="shared" si="3"/>
        <v>0</v>
      </c>
      <c r="V17" s="107">
        <f t="shared" si="4"/>
        <v>0</v>
      </c>
      <c r="W17" s="107">
        <f t="shared" si="5"/>
        <v>0</v>
      </c>
      <c r="X17" s="107">
        <f t="shared" si="5"/>
        <v>0</v>
      </c>
      <c r="Y17" s="107">
        <f t="shared" si="6"/>
        <v>0</v>
      </c>
      <c r="Z17" s="106">
        <f t="shared" si="7"/>
        <v>0</v>
      </c>
      <c r="AA17" s="106">
        <f t="shared" si="8"/>
        <v>0</v>
      </c>
      <c r="AB17" s="106">
        <f t="shared" si="9"/>
        <v>0</v>
      </c>
      <c r="AC17" s="106">
        <f t="shared" si="10"/>
        <v>0</v>
      </c>
      <c r="AD17" s="106">
        <f t="shared" si="11"/>
        <v>0</v>
      </c>
    </row>
    <row r="18" spans="1:30">
      <c r="A18" s="165">
        <v>3</v>
      </c>
      <c r="B18" s="164" t="s">
        <v>432</v>
      </c>
      <c r="C18" s="163"/>
      <c r="D18" s="162" t="s">
        <v>85</v>
      </c>
      <c r="E18" s="158"/>
      <c r="F18" s="161"/>
      <c r="G18" s="160"/>
      <c r="H18" s="160"/>
      <c r="I18" s="159"/>
      <c r="J18" s="159"/>
      <c r="K18" s="34">
        <f t="shared" si="0"/>
        <v>0</v>
      </c>
      <c r="L18" s="158"/>
      <c r="M18" s="158"/>
      <c r="N18" s="161"/>
      <c r="O18" s="160"/>
      <c r="P18" s="160"/>
      <c r="Q18" s="159"/>
      <c r="R18" s="159"/>
      <c r="S18" s="34">
        <f t="shared" si="1"/>
        <v>0</v>
      </c>
      <c r="T18" s="109">
        <f t="shared" si="2"/>
        <v>0</v>
      </c>
      <c r="U18" s="107">
        <f t="shared" si="3"/>
        <v>0</v>
      </c>
      <c r="V18" s="107">
        <f t="shared" si="4"/>
        <v>0</v>
      </c>
      <c r="W18" s="107">
        <f t="shared" si="5"/>
        <v>0</v>
      </c>
      <c r="X18" s="107">
        <f t="shared" si="5"/>
        <v>0</v>
      </c>
      <c r="Y18" s="107">
        <f t="shared" si="6"/>
        <v>0</v>
      </c>
      <c r="Z18" s="106">
        <f t="shared" si="7"/>
        <v>0</v>
      </c>
      <c r="AA18" s="106">
        <f t="shared" si="8"/>
        <v>0</v>
      </c>
      <c r="AB18" s="106">
        <f t="shared" si="9"/>
        <v>0</v>
      </c>
      <c r="AC18" s="106">
        <f t="shared" si="10"/>
        <v>0</v>
      </c>
      <c r="AD18" s="106">
        <f t="shared" si="11"/>
        <v>0</v>
      </c>
    </row>
    <row r="19" spans="1:30">
      <c r="A19" s="165">
        <v>3</v>
      </c>
      <c r="B19" s="164" t="s">
        <v>431</v>
      </c>
      <c r="C19" s="163"/>
      <c r="D19" s="162" t="s">
        <v>83</v>
      </c>
      <c r="E19" s="158"/>
      <c r="F19" s="161"/>
      <c r="G19" s="160"/>
      <c r="H19" s="160"/>
      <c r="I19" s="159"/>
      <c r="J19" s="159"/>
      <c r="K19" s="34">
        <f t="shared" si="0"/>
        <v>0</v>
      </c>
      <c r="L19" s="158"/>
      <c r="M19" s="158"/>
      <c r="N19" s="161"/>
      <c r="O19" s="160"/>
      <c r="P19" s="160"/>
      <c r="Q19" s="159"/>
      <c r="R19" s="159"/>
      <c r="S19" s="34">
        <f t="shared" si="1"/>
        <v>0</v>
      </c>
      <c r="T19" s="109">
        <f t="shared" si="2"/>
        <v>0</v>
      </c>
      <c r="U19" s="107">
        <f t="shared" si="3"/>
        <v>0</v>
      </c>
      <c r="V19" s="107">
        <f t="shared" si="4"/>
        <v>0</v>
      </c>
      <c r="W19" s="107">
        <f t="shared" si="5"/>
        <v>0</v>
      </c>
      <c r="X19" s="107">
        <f t="shared" si="5"/>
        <v>0</v>
      </c>
      <c r="Y19" s="107">
        <f t="shared" si="6"/>
        <v>0</v>
      </c>
      <c r="Z19" s="106">
        <f t="shared" si="7"/>
        <v>0</v>
      </c>
      <c r="AA19" s="106">
        <f t="shared" si="8"/>
        <v>0</v>
      </c>
      <c r="AB19" s="106">
        <f t="shared" si="9"/>
        <v>0</v>
      </c>
      <c r="AC19" s="106">
        <f t="shared" si="10"/>
        <v>0</v>
      </c>
      <c r="AD19" s="106">
        <f t="shared" si="11"/>
        <v>0</v>
      </c>
    </row>
    <row r="20" spans="1:30">
      <c r="A20" s="165">
        <v>3</v>
      </c>
      <c r="B20" s="164" t="s">
        <v>430</v>
      </c>
      <c r="C20" s="163"/>
      <c r="D20" s="162" t="s">
        <v>81</v>
      </c>
      <c r="E20" s="158"/>
      <c r="F20" s="161"/>
      <c r="G20" s="160"/>
      <c r="H20" s="160"/>
      <c r="I20" s="159"/>
      <c r="J20" s="159"/>
      <c r="K20" s="34">
        <f t="shared" si="0"/>
        <v>0</v>
      </c>
      <c r="L20" s="158"/>
      <c r="M20" s="158"/>
      <c r="N20" s="161"/>
      <c r="O20" s="160"/>
      <c r="P20" s="160"/>
      <c r="Q20" s="159"/>
      <c r="R20" s="159"/>
      <c r="S20" s="34">
        <f t="shared" si="1"/>
        <v>0</v>
      </c>
      <c r="T20" s="109">
        <f t="shared" si="2"/>
        <v>0</v>
      </c>
      <c r="U20" s="107">
        <f t="shared" si="3"/>
        <v>0</v>
      </c>
      <c r="V20" s="107">
        <f t="shared" si="4"/>
        <v>0</v>
      </c>
      <c r="W20" s="107">
        <f t="shared" si="5"/>
        <v>0</v>
      </c>
      <c r="X20" s="107">
        <f t="shared" si="5"/>
        <v>0</v>
      </c>
      <c r="Y20" s="107">
        <f t="shared" si="6"/>
        <v>0</v>
      </c>
      <c r="Z20" s="106">
        <f t="shared" si="7"/>
        <v>0</v>
      </c>
      <c r="AA20" s="106">
        <f t="shared" si="8"/>
        <v>0</v>
      </c>
      <c r="AB20" s="106">
        <f t="shared" si="9"/>
        <v>0</v>
      </c>
      <c r="AC20" s="106">
        <f t="shared" si="10"/>
        <v>0</v>
      </c>
      <c r="AD20" s="106">
        <f t="shared" si="11"/>
        <v>0</v>
      </c>
    </row>
    <row r="21" spans="1:30">
      <c r="A21" s="165">
        <v>3</v>
      </c>
      <c r="B21" s="164" t="s">
        <v>429</v>
      </c>
      <c r="C21" s="163"/>
      <c r="D21" s="162" t="s">
        <v>79</v>
      </c>
      <c r="E21" s="158"/>
      <c r="F21" s="161"/>
      <c r="G21" s="160"/>
      <c r="H21" s="160"/>
      <c r="I21" s="159"/>
      <c r="J21" s="159"/>
      <c r="K21" s="34">
        <f t="shared" si="0"/>
        <v>0</v>
      </c>
      <c r="L21" s="158"/>
      <c r="M21" s="158"/>
      <c r="N21" s="161"/>
      <c r="O21" s="160"/>
      <c r="P21" s="160"/>
      <c r="Q21" s="159"/>
      <c r="R21" s="159"/>
      <c r="S21" s="34">
        <f t="shared" si="1"/>
        <v>0</v>
      </c>
      <c r="T21" s="109">
        <f t="shared" si="2"/>
        <v>0</v>
      </c>
      <c r="U21" s="107">
        <f t="shared" si="3"/>
        <v>0</v>
      </c>
      <c r="V21" s="107">
        <f t="shared" si="4"/>
        <v>0</v>
      </c>
      <c r="W21" s="107">
        <f t="shared" si="5"/>
        <v>0</v>
      </c>
      <c r="X21" s="107">
        <f t="shared" si="5"/>
        <v>0</v>
      </c>
      <c r="Y21" s="107">
        <f t="shared" si="6"/>
        <v>0</v>
      </c>
      <c r="Z21" s="106">
        <f t="shared" si="7"/>
        <v>0</v>
      </c>
      <c r="AA21" s="106">
        <f t="shared" si="8"/>
        <v>0</v>
      </c>
      <c r="AB21" s="106">
        <f t="shared" si="9"/>
        <v>0</v>
      </c>
      <c r="AC21" s="106">
        <f t="shared" si="10"/>
        <v>0</v>
      </c>
      <c r="AD21" s="106">
        <f t="shared" si="11"/>
        <v>0</v>
      </c>
    </row>
    <row r="22" spans="1:30">
      <c r="A22" s="165">
        <v>3</v>
      </c>
      <c r="B22" s="164" t="s">
        <v>428</v>
      </c>
      <c r="C22" s="163"/>
      <c r="D22" s="162" t="s">
        <v>77</v>
      </c>
      <c r="E22" s="158"/>
      <c r="F22" s="161"/>
      <c r="G22" s="160"/>
      <c r="H22" s="160"/>
      <c r="I22" s="159"/>
      <c r="J22" s="159"/>
      <c r="K22" s="34">
        <f t="shared" si="0"/>
        <v>0</v>
      </c>
      <c r="L22" s="158"/>
      <c r="M22" s="158"/>
      <c r="N22" s="161"/>
      <c r="O22" s="160"/>
      <c r="P22" s="160"/>
      <c r="Q22" s="159"/>
      <c r="R22" s="159"/>
      <c r="S22" s="34">
        <f t="shared" si="1"/>
        <v>0</v>
      </c>
      <c r="T22" s="109">
        <f t="shared" si="2"/>
        <v>0</v>
      </c>
      <c r="U22" s="107">
        <f t="shared" si="3"/>
        <v>0</v>
      </c>
      <c r="V22" s="107">
        <f t="shared" si="4"/>
        <v>0</v>
      </c>
      <c r="W22" s="107">
        <f t="shared" si="5"/>
        <v>0</v>
      </c>
      <c r="X22" s="107">
        <f t="shared" si="5"/>
        <v>0</v>
      </c>
      <c r="Y22" s="107">
        <f t="shared" si="6"/>
        <v>0</v>
      </c>
      <c r="Z22" s="106">
        <f t="shared" si="7"/>
        <v>0</v>
      </c>
      <c r="AA22" s="106">
        <f t="shared" si="8"/>
        <v>0</v>
      </c>
      <c r="AB22" s="106">
        <f t="shared" si="9"/>
        <v>0</v>
      </c>
      <c r="AC22" s="106">
        <f t="shared" si="10"/>
        <v>0</v>
      </c>
      <c r="AD22" s="106">
        <f t="shared" si="11"/>
        <v>0</v>
      </c>
    </row>
    <row r="23" spans="1:30">
      <c r="A23" s="165">
        <v>3</v>
      </c>
      <c r="B23" s="164" t="s">
        <v>427</v>
      </c>
      <c r="C23" s="163"/>
      <c r="D23" s="162" t="s">
        <v>75</v>
      </c>
      <c r="E23" s="158"/>
      <c r="F23" s="161"/>
      <c r="G23" s="160"/>
      <c r="H23" s="160"/>
      <c r="I23" s="159"/>
      <c r="J23" s="159"/>
      <c r="K23" s="34">
        <f t="shared" si="0"/>
        <v>0</v>
      </c>
      <c r="L23" s="158"/>
      <c r="M23" s="158"/>
      <c r="N23" s="161"/>
      <c r="O23" s="160"/>
      <c r="P23" s="160"/>
      <c r="Q23" s="159"/>
      <c r="R23" s="159"/>
      <c r="S23" s="34">
        <f t="shared" si="1"/>
        <v>0</v>
      </c>
      <c r="T23" s="109">
        <f t="shared" si="2"/>
        <v>0</v>
      </c>
      <c r="U23" s="107">
        <f t="shared" si="3"/>
        <v>0</v>
      </c>
      <c r="V23" s="107">
        <f t="shared" si="4"/>
        <v>0</v>
      </c>
      <c r="W23" s="107">
        <f t="shared" si="5"/>
        <v>0</v>
      </c>
      <c r="X23" s="107">
        <f t="shared" si="5"/>
        <v>0</v>
      </c>
      <c r="Y23" s="107">
        <f t="shared" si="6"/>
        <v>0</v>
      </c>
      <c r="Z23" s="106">
        <f t="shared" si="7"/>
        <v>0</v>
      </c>
      <c r="AA23" s="106">
        <f t="shared" si="8"/>
        <v>0</v>
      </c>
      <c r="AB23" s="106">
        <f t="shared" si="9"/>
        <v>0</v>
      </c>
      <c r="AC23" s="106">
        <f t="shared" si="10"/>
        <v>0</v>
      </c>
      <c r="AD23" s="106">
        <f t="shared" si="11"/>
        <v>0</v>
      </c>
    </row>
    <row r="24" spans="1:30">
      <c r="A24" s="165">
        <v>3</v>
      </c>
      <c r="B24" s="164" t="s">
        <v>426</v>
      </c>
      <c r="C24" s="163"/>
      <c r="D24" s="162" t="s">
        <v>73</v>
      </c>
      <c r="E24" s="158"/>
      <c r="F24" s="161"/>
      <c r="G24" s="160"/>
      <c r="H24" s="160"/>
      <c r="I24" s="159"/>
      <c r="J24" s="159"/>
      <c r="K24" s="34">
        <f t="shared" si="0"/>
        <v>0</v>
      </c>
      <c r="L24" s="158"/>
      <c r="M24" s="158"/>
      <c r="N24" s="161"/>
      <c r="O24" s="160"/>
      <c r="P24" s="160"/>
      <c r="Q24" s="159"/>
      <c r="R24" s="159"/>
      <c r="S24" s="34">
        <f t="shared" si="1"/>
        <v>0</v>
      </c>
      <c r="T24" s="109">
        <f t="shared" si="2"/>
        <v>0</v>
      </c>
      <c r="U24" s="107">
        <f t="shared" si="3"/>
        <v>0</v>
      </c>
      <c r="V24" s="107">
        <f t="shared" si="4"/>
        <v>0</v>
      </c>
      <c r="W24" s="107">
        <f t="shared" si="5"/>
        <v>0</v>
      </c>
      <c r="X24" s="107">
        <f t="shared" si="5"/>
        <v>0</v>
      </c>
      <c r="Y24" s="107">
        <f t="shared" si="6"/>
        <v>0</v>
      </c>
      <c r="Z24" s="106">
        <f t="shared" si="7"/>
        <v>0</v>
      </c>
      <c r="AA24" s="106">
        <f t="shared" si="8"/>
        <v>0</v>
      </c>
      <c r="AB24" s="106">
        <f t="shared" si="9"/>
        <v>0</v>
      </c>
      <c r="AC24" s="106">
        <f t="shared" si="10"/>
        <v>0</v>
      </c>
      <c r="AD24" s="106">
        <f t="shared" si="11"/>
        <v>0</v>
      </c>
    </row>
    <row r="25" spans="1:30">
      <c r="A25" s="165">
        <v>3</v>
      </c>
      <c r="B25" s="164" t="s">
        <v>424</v>
      </c>
      <c r="C25" s="163" t="s">
        <v>425</v>
      </c>
      <c r="D25" s="162" t="s">
        <v>71</v>
      </c>
      <c r="E25" s="158"/>
      <c r="F25" s="161"/>
      <c r="G25" s="160"/>
      <c r="H25" s="160"/>
      <c r="I25" s="159"/>
      <c r="J25" s="159"/>
      <c r="K25" s="34">
        <f t="shared" si="0"/>
        <v>0</v>
      </c>
      <c r="L25" s="158"/>
      <c r="M25" s="158"/>
      <c r="N25" s="161"/>
      <c r="O25" s="160"/>
      <c r="P25" s="160"/>
      <c r="Q25" s="159"/>
      <c r="R25" s="159"/>
      <c r="S25" s="34">
        <f t="shared" si="1"/>
        <v>0</v>
      </c>
      <c r="T25" s="109">
        <f t="shared" si="2"/>
        <v>0</v>
      </c>
      <c r="U25" s="107">
        <f t="shared" si="3"/>
        <v>0</v>
      </c>
      <c r="V25" s="107">
        <f t="shared" si="4"/>
        <v>0</v>
      </c>
      <c r="W25" s="107">
        <f t="shared" si="5"/>
        <v>0</v>
      </c>
      <c r="X25" s="107">
        <f t="shared" si="5"/>
        <v>0</v>
      </c>
      <c r="Y25" s="107">
        <f t="shared" si="6"/>
        <v>0</v>
      </c>
      <c r="Z25" s="106">
        <f t="shared" si="7"/>
        <v>0</v>
      </c>
      <c r="AA25" s="106">
        <f t="shared" si="8"/>
        <v>0</v>
      </c>
      <c r="AB25" s="106">
        <f t="shared" si="9"/>
        <v>0</v>
      </c>
      <c r="AC25" s="106">
        <f t="shared" si="10"/>
        <v>0</v>
      </c>
      <c r="AD25" s="106">
        <f t="shared" si="11"/>
        <v>0</v>
      </c>
    </row>
    <row r="26" spans="1:30">
      <c r="A26" s="165">
        <v>3</v>
      </c>
      <c r="B26" s="164" t="s">
        <v>424</v>
      </c>
      <c r="C26" s="163" t="s">
        <v>423</v>
      </c>
      <c r="D26" s="162" t="s">
        <v>68</v>
      </c>
      <c r="E26" s="158"/>
      <c r="F26" s="161"/>
      <c r="G26" s="160"/>
      <c r="H26" s="160"/>
      <c r="I26" s="159"/>
      <c r="J26" s="159"/>
      <c r="K26" s="34">
        <f t="shared" si="0"/>
        <v>0</v>
      </c>
      <c r="L26" s="158"/>
      <c r="M26" s="158"/>
      <c r="N26" s="161"/>
      <c r="O26" s="160"/>
      <c r="P26" s="160"/>
      <c r="Q26" s="159"/>
      <c r="R26" s="159"/>
      <c r="S26" s="34">
        <f t="shared" si="1"/>
        <v>0</v>
      </c>
      <c r="T26" s="109">
        <f t="shared" si="2"/>
        <v>0</v>
      </c>
      <c r="U26" s="107">
        <f t="shared" si="3"/>
        <v>0</v>
      </c>
      <c r="V26" s="107">
        <f t="shared" si="4"/>
        <v>0</v>
      </c>
      <c r="W26" s="107">
        <f t="shared" si="5"/>
        <v>0</v>
      </c>
      <c r="X26" s="107">
        <f t="shared" si="5"/>
        <v>0</v>
      </c>
      <c r="Y26" s="107">
        <f t="shared" si="6"/>
        <v>0</v>
      </c>
      <c r="Z26" s="106">
        <f t="shared" si="7"/>
        <v>0</v>
      </c>
      <c r="AA26" s="106">
        <f t="shared" si="8"/>
        <v>0</v>
      </c>
      <c r="AB26" s="106">
        <f t="shared" si="9"/>
        <v>0</v>
      </c>
      <c r="AC26" s="106">
        <f t="shared" si="10"/>
        <v>0</v>
      </c>
      <c r="AD26" s="106">
        <f t="shared" si="11"/>
        <v>0</v>
      </c>
    </row>
    <row r="27" spans="1:30">
      <c r="A27" s="165">
        <v>3</v>
      </c>
      <c r="B27" s="164" t="s">
        <v>422</v>
      </c>
      <c r="C27" s="163"/>
      <c r="D27" s="162" t="s">
        <v>66</v>
      </c>
      <c r="E27" s="158"/>
      <c r="F27" s="161"/>
      <c r="G27" s="160"/>
      <c r="H27" s="160"/>
      <c r="I27" s="159"/>
      <c r="J27" s="159"/>
      <c r="K27" s="34">
        <f t="shared" si="0"/>
        <v>0</v>
      </c>
      <c r="L27" s="158"/>
      <c r="M27" s="158"/>
      <c r="N27" s="161"/>
      <c r="O27" s="160"/>
      <c r="P27" s="160"/>
      <c r="Q27" s="159"/>
      <c r="R27" s="159"/>
      <c r="S27" s="34">
        <f t="shared" si="1"/>
        <v>0</v>
      </c>
      <c r="T27" s="109">
        <f t="shared" si="2"/>
        <v>0</v>
      </c>
      <c r="U27" s="107">
        <f t="shared" si="3"/>
        <v>0</v>
      </c>
      <c r="V27" s="107">
        <f t="shared" si="4"/>
        <v>0</v>
      </c>
      <c r="W27" s="107">
        <f t="shared" si="5"/>
        <v>0</v>
      </c>
      <c r="X27" s="107">
        <f t="shared" si="5"/>
        <v>0</v>
      </c>
      <c r="Y27" s="107">
        <f t="shared" si="6"/>
        <v>0</v>
      </c>
      <c r="Z27" s="106">
        <f t="shared" si="7"/>
        <v>0</v>
      </c>
      <c r="AA27" s="106">
        <f t="shared" si="8"/>
        <v>0</v>
      </c>
      <c r="AB27" s="106">
        <f t="shared" si="9"/>
        <v>0</v>
      </c>
      <c r="AC27" s="106">
        <f t="shared" si="10"/>
        <v>0</v>
      </c>
      <c r="AD27" s="106">
        <f t="shared" si="11"/>
        <v>0</v>
      </c>
    </row>
    <row r="28" spans="1:30">
      <c r="A28" s="165">
        <v>3</v>
      </c>
      <c r="B28" s="164" t="s">
        <v>421</v>
      </c>
      <c r="C28" s="163"/>
      <c r="D28" s="162" t="s">
        <v>64</v>
      </c>
      <c r="E28" s="158"/>
      <c r="F28" s="161"/>
      <c r="G28" s="160"/>
      <c r="H28" s="160"/>
      <c r="I28" s="159"/>
      <c r="J28" s="159"/>
      <c r="K28" s="34">
        <f t="shared" si="0"/>
        <v>0</v>
      </c>
      <c r="L28" s="158"/>
      <c r="M28" s="158"/>
      <c r="N28" s="161"/>
      <c r="O28" s="160"/>
      <c r="P28" s="160"/>
      <c r="Q28" s="159"/>
      <c r="R28" s="159"/>
      <c r="S28" s="34">
        <f t="shared" si="1"/>
        <v>0</v>
      </c>
      <c r="T28" s="109">
        <f t="shared" si="2"/>
        <v>0</v>
      </c>
      <c r="U28" s="107">
        <f t="shared" si="3"/>
        <v>0</v>
      </c>
      <c r="V28" s="107">
        <f t="shared" si="4"/>
        <v>0</v>
      </c>
      <c r="W28" s="107">
        <f t="shared" si="5"/>
        <v>0</v>
      </c>
      <c r="X28" s="107">
        <f t="shared" si="5"/>
        <v>0</v>
      </c>
      <c r="Y28" s="107">
        <f t="shared" si="6"/>
        <v>0</v>
      </c>
      <c r="Z28" s="106">
        <f t="shared" si="7"/>
        <v>0</v>
      </c>
      <c r="AA28" s="106">
        <f t="shared" si="8"/>
        <v>0</v>
      </c>
      <c r="AB28" s="106">
        <f t="shared" si="9"/>
        <v>0</v>
      </c>
      <c r="AC28" s="106">
        <f t="shared" si="10"/>
        <v>0</v>
      </c>
      <c r="AD28" s="106">
        <f t="shared" si="11"/>
        <v>0</v>
      </c>
    </row>
    <row r="29" spans="1:30">
      <c r="A29" s="165">
        <v>3</v>
      </c>
      <c r="B29" s="164" t="s">
        <v>420</v>
      </c>
      <c r="C29" s="163"/>
      <c r="D29" s="162" t="s">
        <v>62</v>
      </c>
      <c r="E29" s="158"/>
      <c r="F29" s="161"/>
      <c r="G29" s="160"/>
      <c r="H29" s="160"/>
      <c r="I29" s="159"/>
      <c r="J29" s="159"/>
      <c r="K29" s="34">
        <f t="shared" ref="K29:K32" si="12">SUM(F29:J29)</f>
        <v>0</v>
      </c>
      <c r="L29" s="158"/>
      <c r="M29" s="158"/>
      <c r="N29" s="161"/>
      <c r="O29" s="160"/>
      <c r="P29" s="160"/>
      <c r="Q29" s="159"/>
      <c r="R29" s="159"/>
      <c r="S29" s="34">
        <f t="shared" si="1"/>
        <v>0</v>
      </c>
      <c r="T29" s="109">
        <f t="shared" si="2"/>
        <v>0</v>
      </c>
      <c r="U29" s="107">
        <f t="shared" si="3"/>
        <v>0</v>
      </c>
      <c r="V29" s="107">
        <f t="shared" si="4"/>
        <v>0</v>
      </c>
      <c r="W29" s="107">
        <f t="shared" si="5"/>
        <v>0</v>
      </c>
      <c r="X29" s="107">
        <f t="shared" si="5"/>
        <v>0</v>
      </c>
      <c r="Y29" s="107">
        <f t="shared" si="6"/>
        <v>0</v>
      </c>
      <c r="Z29" s="106">
        <f t="shared" si="7"/>
        <v>0</v>
      </c>
      <c r="AA29" s="106">
        <f t="shared" si="8"/>
        <v>0</v>
      </c>
      <c r="AB29" s="106">
        <f t="shared" si="9"/>
        <v>0</v>
      </c>
      <c r="AC29" s="106">
        <f t="shared" si="10"/>
        <v>0</v>
      </c>
      <c r="AD29" s="106">
        <f t="shared" si="11"/>
        <v>0</v>
      </c>
    </row>
    <row r="30" spans="1:30">
      <c r="A30" s="165">
        <v>3</v>
      </c>
      <c r="B30" s="164">
        <v>8831836</v>
      </c>
      <c r="C30" s="163"/>
      <c r="D30" s="162" t="s">
        <v>868</v>
      </c>
      <c r="E30" s="158"/>
      <c r="F30" s="161"/>
      <c r="G30" s="160"/>
      <c r="H30" s="160"/>
      <c r="I30" s="159"/>
      <c r="J30" s="159"/>
      <c r="K30" s="34">
        <f t="shared" si="12"/>
        <v>0</v>
      </c>
      <c r="L30" s="158"/>
      <c r="M30" s="158"/>
      <c r="N30" s="161"/>
      <c r="O30" s="160"/>
      <c r="P30" s="160"/>
      <c r="Q30" s="159"/>
      <c r="R30" s="159"/>
      <c r="S30" s="34">
        <f t="shared" ref="S30" si="13">SUM(N30:R30)</f>
        <v>0</v>
      </c>
      <c r="T30" s="109">
        <f t="shared" ref="T30" si="14">+E30-S30</f>
        <v>0</v>
      </c>
      <c r="U30" s="107">
        <f t="shared" ref="U30" si="15">N30-F30*F$4/(100+F$4)</f>
        <v>0</v>
      </c>
      <c r="V30" s="107">
        <f t="shared" ref="V30" si="16">O30-G30*G$4/(100+G$4)</f>
        <v>0</v>
      </c>
      <c r="W30" s="107">
        <f t="shared" ref="W30" si="17">P30-H30*H$4/(100+H$4)</f>
        <v>0</v>
      </c>
      <c r="X30" s="107">
        <f t="shared" ref="X30" si="18">Q30-I30*I$4/(100+I$4)</f>
        <v>0</v>
      </c>
      <c r="Y30" s="107">
        <f t="shared" ref="Y30" si="19">R30-J30*J$4/(100+J$4)</f>
        <v>0</v>
      </c>
      <c r="Z30" s="106">
        <f t="shared" si="7"/>
        <v>0</v>
      </c>
      <c r="AA30" s="106">
        <f t="shared" si="8"/>
        <v>0</v>
      </c>
      <c r="AB30" s="106">
        <f t="shared" si="9"/>
        <v>0</v>
      </c>
      <c r="AC30" s="106">
        <f t="shared" si="10"/>
        <v>0</v>
      </c>
      <c r="AD30" s="106">
        <f t="shared" si="11"/>
        <v>0</v>
      </c>
    </row>
    <row r="31" spans="1:30">
      <c r="A31" s="165">
        <v>3</v>
      </c>
      <c r="B31" s="164" t="s">
        <v>419</v>
      </c>
      <c r="C31" s="163"/>
      <c r="D31" s="162" t="s">
        <v>60</v>
      </c>
      <c r="E31" s="158"/>
      <c r="F31" s="161"/>
      <c r="G31" s="160"/>
      <c r="H31" s="160"/>
      <c r="I31" s="159"/>
      <c r="J31" s="159"/>
      <c r="K31" s="34">
        <f t="shared" si="12"/>
        <v>0</v>
      </c>
      <c r="L31" s="158"/>
      <c r="M31" s="158"/>
      <c r="N31" s="161"/>
      <c r="O31" s="160"/>
      <c r="P31" s="160"/>
      <c r="Q31" s="159"/>
      <c r="R31" s="159"/>
      <c r="S31" s="34">
        <f t="shared" si="1"/>
        <v>0</v>
      </c>
      <c r="T31" s="109">
        <f t="shared" si="2"/>
        <v>0</v>
      </c>
      <c r="U31" s="107">
        <f t="shared" si="3"/>
        <v>0</v>
      </c>
      <c r="V31" s="107">
        <f t="shared" si="4"/>
        <v>0</v>
      </c>
      <c r="W31" s="107">
        <f t="shared" si="5"/>
        <v>0</v>
      </c>
      <c r="X31" s="107">
        <f t="shared" si="5"/>
        <v>0</v>
      </c>
      <c r="Y31" s="107">
        <f t="shared" si="6"/>
        <v>0</v>
      </c>
      <c r="Z31" s="106">
        <f t="shared" si="7"/>
        <v>0</v>
      </c>
      <c r="AA31" s="106">
        <f t="shared" si="8"/>
        <v>0</v>
      </c>
      <c r="AB31" s="106">
        <f t="shared" si="9"/>
        <v>0</v>
      </c>
      <c r="AC31" s="106">
        <f t="shared" si="10"/>
        <v>0</v>
      </c>
      <c r="AD31" s="106">
        <f t="shared" si="11"/>
        <v>0</v>
      </c>
    </row>
    <row r="32" spans="1:30">
      <c r="A32" s="165">
        <v>3</v>
      </c>
      <c r="B32" s="164" t="s">
        <v>418</v>
      </c>
      <c r="C32" s="163"/>
      <c r="D32" s="162" t="s">
        <v>58</v>
      </c>
      <c r="E32" s="158"/>
      <c r="F32" s="161"/>
      <c r="G32" s="160"/>
      <c r="H32" s="160"/>
      <c r="I32" s="159"/>
      <c r="J32" s="159"/>
      <c r="K32" s="34">
        <f t="shared" si="12"/>
        <v>0</v>
      </c>
      <c r="L32" s="158"/>
      <c r="M32" s="158"/>
      <c r="N32" s="161"/>
      <c r="O32" s="160"/>
      <c r="P32" s="160"/>
      <c r="Q32" s="159"/>
      <c r="R32" s="159"/>
      <c r="S32" s="34">
        <f t="shared" si="1"/>
        <v>0</v>
      </c>
      <c r="T32" s="109">
        <f t="shared" si="2"/>
        <v>0</v>
      </c>
      <c r="U32" s="107">
        <f t="shared" si="3"/>
        <v>0</v>
      </c>
      <c r="V32" s="107">
        <f t="shared" si="4"/>
        <v>0</v>
      </c>
      <c r="W32" s="107">
        <f t="shared" si="5"/>
        <v>0</v>
      </c>
      <c r="X32" s="107">
        <f t="shared" si="5"/>
        <v>0</v>
      </c>
      <c r="Y32" s="107">
        <f t="shared" si="6"/>
        <v>0</v>
      </c>
      <c r="Z32" s="106">
        <f t="shared" si="7"/>
        <v>0</v>
      </c>
      <c r="AA32" s="106">
        <f t="shared" si="8"/>
        <v>0</v>
      </c>
      <c r="AB32" s="106">
        <f t="shared" si="9"/>
        <v>0</v>
      </c>
      <c r="AC32" s="106">
        <f t="shared" si="10"/>
        <v>0</v>
      </c>
      <c r="AD32" s="106">
        <f t="shared" si="11"/>
        <v>0</v>
      </c>
    </row>
    <row r="33" spans="1:30">
      <c r="A33" s="165">
        <v>3</v>
      </c>
      <c r="B33" s="164" t="s">
        <v>417</v>
      </c>
      <c r="C33" s="163"/>
      <c r="D33" s="162" t="s">
        <v>56</v>
      </c>
      <c r="E33" s="158"/>
      <c r="F33" s="161"/>
      <c r="G33" s="160"/>
      <c r="H33" s="160"/>
      <c r="I33" s="159"/>
      <c r="J33" s="159"/>
      <c r="K33" s="34">
        <f t="shared" si="0"/>
        <v>0</v>
      </c>
      <c r="L33" s="158"/>
      <c r="M33" s="158"/>
      <c r="N33" s="161"/>
      <c r="O33" s="160"/>
      <c r="P33" s="160"/>
      <c r="Q33" s="159"/>
      <c r="R33" s="159"/>
      <c r="S33" s="34">
        <f t="shared" si="1"/>
        <v>0</v>
      </c>
      <c r="T33" s="109">
        <f t="shared" si="2"/>
        <v>0</v>
      </c>
      <c r="U33" s="107">
        <f t="shared" si="3"/>
        <v>0</v>
      </c>
      <c r="V33" s="107">
        <f t="shared" si="4"/>
        <v>0</v>
      </c>
      <c r="W33" s="107">
        <f t="shared" si="5"/>
        <v>0</v>
      </c>
      <c r="X33" s="107">
        <f t="shared" si="5"/>
        <v>0</v>
      </c>
      <c r="Y33" s="107">
        <f t="shared" si="6"/>
        <v>0</v>
      </c>
      <c r="Z33" s="106">
        <f t="shared" si="7"/>
        <v>0</v>
      </c>
      <c r="AA33" s="106">
        <f t="shared" si="8"/>
        <v>0</v>
      </c>
      <c r="AB33" s="106">
        <f t="shared" si="9"/>
        <v>0</v>
      </c>
      <c r="AC33" s="106">
        <f t="shared" si="10"/>
        <v>0</v>
      </c>
      <c r="AD33" s="106">
        <f t="shared" si="11"/>
        <v>0</v>
      </c>
    </row>
    <row r="34" spans="1:30">
      <c r="A34" s="165">
        <v>3</v>
      </c>
      <c r="B34" s="164" t="s">
        <v>416</v>
      </c>
      <c r="C34" s="163"/>
      <c r="D34" s="162" t="s">
        <v>55</v>
      </c>
      <c r="E34" s="158"/>
      <c r="F34" s="161"/>
      <c r="G34" s="160"/>
      <c r="H34" s="160"/>
      <c r="I34" s="159"/>
      <c r="J34" s="159"/>
      <c r="K34" s="34">
        <f t="shared" si="0"/>
        <v>0</v>
      </c>
      <c r="L34" s="158"/>
      <c r="M34" s="158"/>
      <c r="N34" s="161"/>
      <c r="O34" s="160"/>
      <c r="P34" s="160"/>
      <c r="Q34" s="159"/>
      <c r="R34" s="159"/>
      <c r="S34" s="34">
        <f t="shared" si="1"/>
        <v>0</v>
      </c>
      <c r="T34" s="109">
        <f t="shared" si="2"/>
        <v>0</v>
      </c>
      <c r="U34" s="107">
        <f t="shared" si="3"/>
        <v>0</v>
      </c>
      <c r="V34" s="107">
        <f t="shared" si="4"/>
        <v>0</v>
      </c>
      <c r="W34" s="107">
        <f t="shared" si="5"/>
        <v>0</v>
      </c>
      <c r="X34" s="107">
        <f t="shared" si="5"/>
        <v>0</v>
      </c>
      <c r="Y34" s="107">
        <f t="shared" si="6"/>
        <v>0</v>
      </c>
      <c r="Z34" s="106">
        <f t="shared" si="7"/>
        <v>0</v>
      </c>
      <c r="AA34" s="106">
        <f t="shared" si="8"/>
        <v>0</v>
      </c>
      <c r="AB34" s="106">
        <f t="shared" si="9"/>
        <v>0</v>
      </c>
      <c r="AC34" s="106">
        <f t="shared" si="10"/>
        <v>0</v>
      </c>
      <c r="AD34" s="106">
        <f t="shared" si="11"/>
        <v>0</v>
      </c>
    </row>
    <row r="35" spans="1:30">
      <c r="A35" s="165">
        <v>3</v>
      </c>
      <c r="B35" s="164" t="s">
        <v>415</v>
      </c>
      <c r="C35" s="163"/>
      <c r="D35" s="162" t="s">
        <v>53</v>
      </c>
      <c r="E35" s="158"/>
      <c r="F35" s="161"/>
      <c r="G35" s="160"/>
      <c r="H35" s="160"/>
      <c r="I35" s="159"/>
      <c r="J35" s="159"/>
      <c r="K35" s="34">
        <f t="shared" si="0"/>
        <v>0</v>
      </c>
      <c r="L35" s="158"/>
      <c r="M35" s="158"/>
      <c r="N35" s="161"/>
      <c r="O35" s="160"/>
      <c r="P35" s="160"/>
      <c r="Q35" s="159"/>
      <c r="R35" s="159"/>
      <c r="S35" s="34">
        <f t="shared" si="1"/>
        <v>0</v>
      </c>
      <c r="T35" s="109">
        <f t="shared" si="2"/>
        <v>0</v>
      </c>
      <c r="U35" s="107">
        <f t="shared" si="3"/>
        <v>0</v>
      </c>
      <c r="V35" s="107">
        <f t="shared" si="4"/>
        <v>0</v>
      </c>
      <c r="W35" s="107">
        <f t="shared" si="5"/>
        <v>0</v>
      </c>
      <c r="X35" s="107">
        <f t="shared" si="5"/>
        <v>0</v>
      </c>
      <c r="Y35" s="107">
        <f t="shared" si="6"/>
        <v>0</v>
      </c>
      <c r="Z35" s="106">
        <f t="shared" si="7"/>
        <v>0</v>
      </c>
      <c r="AA35" s="106">
        <f t="shared" si="8"/>
        <v>0</v>
      </c>
      <c r="AB35" s="106">
        <f t="shared" si="9"/>
        <v>0</v>
      </c>
      <c r="AC35" s="106">
        <f t="shared" si="10"/>
        <v>0</v>
      </c>
      <c r="AD35" s="106">
        <f t="shared" si="11"/>
        <v>0</v>
      </c>
    </row>
    <row r="36" spans="1:30" ht="14.25" thickBot="1">
      <c r="A36" s="165"/>
      <c r="B36" s="164" t="s">
        <v>414</v>
      </c>
      <c r="C36" s="163"/>
      <c r="D36" s="162" t="s">
        <v>51</v>
      </c>
      <c r="E36" s="158"/>
      <c r="F36" s="161"/>
      <c r="G36" s="160"/>
      <c r="H36" s="160"/>
      <c r="I36" s="159"/>
      <c r="J36" s="159"/>
      <c r="K36" s="34">
        <f t="shared" si="0"/>
        <v>0</v>
      </c>
      <c r="L36" s="158"/>
      <c r="M36" s="158"/>
      <c r="N36" s="161"/>
      <c r="O36" s="160"/>
      <c r="P36" s="160"/>
      <c r="Q36" s="159"/>
      <c r="R36" s="159"/>
      <c r="S36" s="34">
        <f t="shared" si="1"/>
        <v>0</v>
      </c>
      <c r="T36" s="109">
        <f t="shared" si="2"/>
        <v>0</v>
      </c>
      <c r="U36" s="107">
        <f t="shared" si="3"/>
        <v>0</v>
      </c>
      <c r="V36" s="107">
        <f t="shared" si="4"/>
        <v>0</v>
      </c>
      <c r="W36" s="107">
        <f t="shared" si="5"/>
        <v>0</v>
      </c>
      <c r="X36" s="107">
        <f t="shared" si="5"/>
        <v>0</v>
      </c>
      <c r="Y36" s="107">
        <f t="shared" si="6"/>
        <v>0</v>
      </c>
      <c r="Z36" s="106">
        <f t="shared" si="7"/>
        <v>0</v>
      </c>
      <c r="AA36" s="106">
        <f t="shared" si="8"/>
        <v>0</v>
      </c>
      <c r="AB36" s="106">
        <f t="shared" si="9"/>
        <v>0</v>
      </c>
      <c r="AC36" s="106">
        <f t="shared" si="10"/>
        <v>0</v>
      </c>
      <c r="AD36" s="106">
        <f t="shared" si="11"/>
        <v>0</v>
      </c>
    </row>
    <row r="37" spans="1:30" ht="14.25" thickTop="1">
      <c r="A37" s="156"/>
      <c r="B37" s="155"/>
      <c r="C37" s="154"/>
      <c r="D37" s="153" t="s">
        <v>2</v>
      </c>
      <c r="E37" s="149">
        <f t="shared" ref="E37:N37" si="20">SUM(E5:E36)</f>
        <v>0</v>
      </c>
      <c r="F37" s="152">
        <f t="shared" si="20"/>
        <v>0</v>
      </c>
      <c r="G37" s="151">
        <f t="shared" si="20"/>
        <v>0</v>
      </c>
      <c r="H37" s="151">
        <f t="shared" si="20"/>
        <v>0</v>
      </c>
      <c r="I37" s="150">
        <f t="shared" ref="I37" si="21">SUM(I5:I36)</f>
        <v>0</v>
      </c>
      <c r="J37" s="150">
        <f t="shared" si="20"/>
        <v>0</v>
      </c>
      <c r="K37" s="74">
        <f t="shared" si="20"/>
        <v>0</v>
      </c>
      <c r="L37" s="149">
        <f t="shared" si="20"/>
        <v>0</v>
      </c>
      <c r="M37" s="149">
        <f t="shared" si="20"/>
        <v>0</v>
      </c>
      <c r="N37" s="146">
        <f t="shared" si="20"/>
        <v>0</v>
      </c>
      <c r="O37" s="145">
        <f t="shared" ref="O37:T37" si="22">SUM(O5:O36)</f>
        <v>0</v>
      </c>
      <c r="P37" s="145">
        <f t="shared" si="22"/>
        <v>0</v>
      </c>
      <c r="Q37" s="148">
        <f t="shared" ref="Q37" si="23">SUM(Q5:Q36)</f>
        <v>0</v>
      </c>
      <c r="R37" s="148">
        <f t="shared" si="22"/>
        <v>0</v>
      </c>
      <c r="S37" s="144">
        <f t="shared" si="22"/>
        <v>0</v>
      </c>
      <c r="T37" s="147">
        <f t="shared" si="22"/>
        <v>0</v>
      </c>
      <c r="U37" s="88" t="str">
        <f>+IF(F37=0,"",ROUND(F37*F$4/(100+F$4),7)-N37)</f>
        <v/>
      </c>
      <c r="V37" s="88"/>
      <c r="W37" s="88"/>
      <c r="X37" s="88"/>
      <c r="Y37" s="88"/>
      <c r="Z37" s="88"/>
      <c r="AA37" s="88"/>
      <c r="AB37" s="87"/>
      <c r="AC37" s="87"/>
      <c r="AD37" s="87"/>
    </row>
    <row r="38" spans="1:30">
      <c r="A38" s="143"/>
      <c r="B38" s="142"/>
      <c r="C38" s="141"/>
      <c r="D38" s="140" t="s">
        <v>1</v>
      </c>
      <c r="E38" s="136">
        <f t="shared" ref="E38:J38" si="24">+E37</f>
        <v>0</v>
      </c>
      <c r="F38" s="139">
        <f t="shared" si="24"/>
        <v>0</v>
      </c>
      <c r="G38" s="138">
        <f t="shared" si="24"/>
        <v>0</v>
      </c>
      <c r="H38" s="138">
        <f t="shared" si="24"/>
        <v>0</v>
      </c>
      <c r="I38" s="137">
        <f t="shared" si="24"/>
        <v>0</v>
      </c>
      <c r="J38" s="137">
        <f t="shared" si="24"/>
        <v>0</v>
      </c>
      <c r="K38" s="63">
        <f>SUM(F38:J38)</f>
        <v>0</v>
      </c>
      <c r="L38" s="136">
        <f>+L37</f>
        <v>0</v>
      </c>
      <c r="M38" s="135">
        <f>+M37</f>
        <v>0</v>
      </c>
      <c r="N38" s="133">
        <f>+'3条支出(共通按分後)'!N16</f>
        <v>0</v>
      </c>
      <c r="O38" s="132">
        <f>+'3条支出(共通按分後)'!O16</f>
        <v>0</v>
      </c>
      <c r="P38" s="132">
        <f>+'3条支出(共通按分後)'!P16</f>
        <v>0</v>
      </c>
      <c r="Q38" s="132">
        <f>+'3条支出(共通按分後)'!Q16</f>
        <v>0</v>
      </c>
      <c r="R38" s="132">
        <f>+'3条支出(共通按分後)'!R16</f>
        <v>0</v>
      </c>
      <c r="S38" s="131">
        <f>+'3条支出(共通按分後)'!S16</f>
        <v>0</v>
      </c>
      <c r="T38" s="134">
        <f>+'3条支出(共通按分後)'!T16</f>
        <v>0</v>
      </c>
      <c r="U38" s="88" t="str">
        <f>+IF(F38=0,"",ROUND(F38*F$4/(100+F$4),7)-N38)</f>
        <v/>
      </c>
      <c r="V38" s="88"/>
      <c r="W38" s="88"/>
      <c r="X38" s="88"/>
      <c r="Y38" s="88"/>
      <c r="Z38" s="88"/>
      <c r="AA38" s="88"/>
      <c r="AB38" s="87"/>
      <c r="AC38" s="87"/>
      <c r="AD38" s="87"/>
    </row>
    <row r="39" spans="1:30">
      <c r="E39" s="4">
        <f t="shared" ref="E39:T39" si="25">+E38-E37</f>
        <v>0</v>
      </c>
      <c r="F39" s="4">
        <f t="shared" si="25"/>
        <v>0</v>
      </c>
      <c r="G39" s="4">
        <f t="shared" si="25"/>
        <v>0</v>
      </c>
      <c r="H39" s="4">
        <f t="shared" si="25"/>
        <v>0</v>
      </c>
      <c r="I39" s="4">
        <f t="shared" ref="I39" si="26">+I38-I37</f>
        <v>0</v>
      </c>
      <c r="J39" s="4">
        <f t="shared" si="25"/>
        <v>0</v>
      </c>
      <c r="K39" s="4">
        <f t="shared" si="25"/>
        <v>0</v>
      </c>
      <c r="L39" s="4">
        <f t="shared" si="25"/>
        <v>0</v>
      </c>
      <c r="M39" s="4">
        <f t="shared" si="25"/>
        <v>0</v>
      </c>
      <c r="N39" s="4">
        <f t="shared" si="25"/>
        <v>0</v>
      </c>
      <c r="O39" s="4">
        <f t="shared" si="25"/>
        <v>0</v>
      </c>
      <c r="P39" s="4">
        <f t="shared" si="25"/>
        <v>0</v>
      </c>
      <c r="Q39" s="4">
        <f t="shared" ref="Q39" si="27">+Q38-Q37</f>
        <v>0</v>
      </c>
      <c r="R39" s="4">
        <f t="shared" si="25"/>
        <v>0</v>
      </c>
      <c r="S39" s="4">
        <f t="shared" si="25"/>
        <v>0</v>
      </c>
      <c r="T39" s="4">
        <f t="shared" si="25"/>
        <v>0</v>
      </c>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U40" s="88" t="str">
        <f>+IF(F40=0,"",ROUND(F40*F$4/(100+F$4),7)-N40)</f>
        <v/>
      </c>
      <c r="V40" s="88" t="str">
        <f>+IF(G40=0,"",ROUND(G40*G$4/(100+G$4),7)-O40)</f>
        <v/>
      </c>
      <c r="W40" s="88" t="str">
        <f>+IF(H40=0,"",ROUND(H40*H$4/(100+H$4),7)-P40)</f>
        <v/>
      </c>
      <c r="X40" s="88"/>
      <c r="Y40" s="88" t="str">
        <f>+IF(J40=0,"",ROUND(J40*J$4/(100+J$4),7)-R40)</f>
        <v/>
      </c>
      <c r="Z40" s="88"/>
      <c r="AA40" s="88"/>
      <c r="AB40" s="87" t="str">
        <f>+IF(SUM(U40:Y40)=0,"",SUM(U40:Y40))</f>
        <v/>
      </c>
      <c r="AC40" s="87"/>
      <c r="AD40" s="87"/>
    </row>
    <row r="41" spans="1:30">
      <c r="G41" s="273"/>
      <c r="H41" s="272"/>
      <c r="I41" s="272"/>
      <c r="J41" s="272"/>
      <c r="U41" s="88" t="str">
        <f>+IF(F41=0,"",ROUND(F41*F$4/(100+F$4),7)-N41)</f>
        <v/>
      </c>
      <c r="V41" s="88"/>
      <c r="W41" s="88"/>
      <c r="X41" s="88"/>
      <c r="Y41" s="88"/>
      <c r="Z41" s="88"/>
      <c r="AA41" s="88"/>
      <c r="AB41" s="87"/>
      <c r="AC41" s="87"/>
      <c r="AD41" s="87"/>
    </row>
    <row r="42" spans="1:30">
      <c r="G42" s="273"/>
      <c r="H42" s="272"/>
      <c r="I42" s="272"/>
      <c r="J42" s="272"/>
    </row>
    <row r="43" spans="1:30">
      <c r="G43" s="272"/>
      <c r="H43" s="272"/>
      <c r="I43" s="272"/>
      <c r="J43" s="272"/>
    </row>
  </sheetData>
  <mergeCells count="13">
    <mergeCell ref="AE3:AI3"/>
    <mergeCell ref="L3:L4"/>
    <mergeCell ref="M3:M4"/>
    <mergeCell ref="N3:S3"/>
    <mergeCell ref="T3:T4"/>
    <mergeCell ref="U3:Y3"/>
    <mergeCell ref="Z3:AD3"/>
    <mergeCell ref="F3:K3"/>
    <mergeCell ref="A3:A4"/>
    <mergeCell ref="B3:B4"/>
    <mergeCell ref="C3:C4"/>
    <mergeCell ref="D3:D4"/>
    <mergeCell ref="E3:E4"/>
  </mergeCells>
  <phoneticPr fontId="3"/>
  <conditionalFormatting sqref="AE5:AI36">
    <cfRule type="notContainsBlanks" dxfId="9" priority="4" stopIfTrue="1">
      <formula>LEN(TRIM(AE5))&gt;0</formula>
    </cfRule>
  </conditionalFormatting>
  <conditionalFormatting sqref="AE37:AI38">
    <cfRule type="notContainsBlanks" dxfId="8" priority="5" stopIfTrue="1">
      <formula>LEN(TRIM(AE37))&gt;0</formula>
    </cfRule>
  </conditionalFormatting>
  <conditionalFormatting sqref="Z5:AD29 Z31:AD36">
    <cfRule type="expression" dxfId="7" priority="3">
      <formula>ABS(Z5)=1</formula>
    </cfRule>
  </conditionalFormatting>
  <conditionalFormatting sqref="E39:T39">
    <cfRule type="cellIs" dxfId="6" priority="2" operator="notEqual">
      <formula>0</formula>
    </cfRule>
  </conditionalFormatting>
  <conditionalFormatting sqref="Z30:AD30">
    <cfRule type="expression" dxfId="5" priority="1">
      <formula>ABS(Z30)=1</formula>
    </cfRule>
  </conditionalFormatting>
  <pageMargins left="0.39370078740157483" right="0.39370078740157483" top="0.59055118110236227" bottom="0.39370078740157483" header="0.39370078740157483" footer="0.19685039370078741"/>
  <pageSetup paperSize="9" scale="85" orientation="landscape" blackAndWhite="1" r:id="rId1"/>
  <headerFooter>
    <oddFooter>&amp;L&amp;8&amp;Z&amp;F&amp;A&amp;R&amp;8&amp;D&amp;T</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I43"/>
  <sheetViews>
    <sheetView workbookViewId="0"/>
  </sheetViews>
  <sheetFormatPr defaultColWidth="9" defaultRowHeight="13.5" outlineLevelCol="1"/>
  <cols>
    <col min="1" max="1" width="4.375" style="2" customWidth="1"/>
    <col min="2" max="3" width="6.25" style="2" customWidth="1"/>
    <col min="4" max="4" width="16" style="2" customWidth="1"/>
    <col min="5" max="5" width="13.625" style="2" customWidth="1"/>
    <col min="6" max="6" width="12.625" style="2" customWidth="1" outlineLevel="1"/>
    <col min="7" max="9" width="12.625" style="2" customWidth="1"/>
    <col min="10" max="10" width="12.375" style="2" customWidth="1"/>
    <col min="11" max="11" width="13.625" style="128" customWidth="1"/>
    <col min="12" max="12" width="12.625" style="2" customWidth="1"/>
    <col min="13" max="13" width="13.625" style="2" customWidth="1"/>
    <col min="14" max="14" width="10.625" style="3" customWidth="1" outlineLevel="1"/>
    <col min="15" max="19" width="10.625" style="3" customWidth="1"/>
    <col min="20" max="20" width="13.625" style="2" customWidth="1"/>
    <col min="21" max="25" width="7.125" style="2" customWidth="1"/>
    <col min="26" max="30" width="6.375" style="2" customWidth="1"/>
    <col min="31" max="35" width="5.75" style="2" customWidth="1"/>
    <col min="36" max="16384" width="9" style="2"/>
  </cols>
  <sheetData>
    <row r="1" spans="1:35">
      <c r="D1" s="2" t="str">
        <f>+'3条支出(共通按分後)'!D1</f>
        <v>令和3年度決算　消費税算出資料</v>
      </c>
    </row>
    <row r="2" spans="1:35">
      <c r="D2" s="2" t="s">
        <v>547</v>
      </c>
      <c r="V2" s="230"/>
      <c r="W2" s="230"/>
      <c r="X2" s="261"/>
      <c r="Y2" s="230"/>
      <c r="Z2" s="230"/>
      <c r="AA2" s="230"/>
      <c r="AB2" s="230"/>
      <c r="AC2" s="261"/>
      <c r="AD2" s="230"/>
      <c r="AE2" s="230"/>
      <c r="AF2" s="230"/>
      <c r="AG2" s="230"/>
      <c r="AH2" s="261"/>
      <c r="AI2" s="230"/>
    </row>
    <row r="3" spans="1:35">
      <c r="A3" s="328" t="s">
        <v>49</v>
      </c>
      <c r="B3" s="330" t="s">
        <v>48</v>
      </c>
      <c r="C3" s="332" t="s">
        <v>47</v>
      </c>
      <c r="D3" s="334" t="s">
        <v>28</v>
      </c>
      <c r="E3" s="334" t="s">
        <v>0</v>
      </c>
      <c r="F3" s="336" t="s">
        <v>24</v>
      </c>
      <c r="G3" s="337"/>
      <c r="H3" s="337"/>
      <c r="I3" s="337"/>
      <c r="J3" s="337"/>
      <c r="K3" s="338"/>
      <c r="L3" s="334" t="s">
        <v>46</v>
      </c>
      <c r="M3" s="334" t="s">
        <v>45</v>
      </c>
      <c r="N3" s="313" t="s">
        <v>43</v>
      </c>
      <c r="O3" s="314"/>
      <c r="P3" s="314"/>
      <c r="Q3" s="314"/>
      <c r="R3" s="314"/>
      <c r="S3" s="315"/>
      <c r="T3" s="334" t="s">
        <v>44</v>
      </c>
      <c r="U3" s="308" t="s">
        <v>42</v>
      </c>
      <c r="V3" s="309"/>
      <c r="W3" s="309"/>
      <c r="X3" s="309"/>
      <c r="Y3" s="309"/>
      <c r="Z3" s="309" t="s">
        <v>41</v>
      </c>
      <c r="AA3" s="309"/>
      <c r="AB3" s="309"/>
      <c r="AC3" s="309"/>
      <c r="AD3" s="309"/>
      <c r="AE3" s="310" t="s">
        <v>40</v>
      </c>
      <c r="AF3" s="310"/>
      <c r="AG3" s="310"/>
      <c r="AH3" s="310"/>
      <c r="AI3" s="310"/>
    </row>
    <row r="4" spans="1:35" s="230" customFormat="1">
      <c r="A4" s="329"/>
      <c r="B4" s="331"/>
      <c r="C4" s="333"/>
      <c r="D4" s="335"/>
      <c r="E4" s="335"/>
      <c r="F4" s="53">
        <v>3</v>
      </c>
      <c r="G4" s="52">
        <v>5</v>
      </c>
      <c r="H4" s="52">
        <v>8</v>
      </c>
      <c r="I4" s="269">
        <v>8</v>
      </c>
      <c r="J4" s="51">
        <v>10</v>
      </c>
      <c r="K4" s="178" t="s">
        <v>2</v>
      </c>
      <c r="L4" s="335"/>
      <c r="M4" s="335"/>
      <c r="N4" s="126">
        <v>3</v>
      </c>
      <c r="O4" s="125">
        <v>5</v>
      </c>
      <c r="P4" s="125">
        <v>8</v>
      </c>
      <c r="Q4" s="269">
        <v>8</v>
      </c>
      <c r="R4" s="124">
        <v>10</v>
      </c>
      <c r="S4" s="123" t="s">
        <v>2</v>
      </c>
      <c r="T4" s="335"/>
      <c r="U4" s="230">
        <v>3</v>
      </c>
      <c r="V4" s="230">
        <v>5</v>
      </c>
      <c r="W4" s="230">
        <v>8</v>
      </c>
      <c r="X4" s="267">
        <v>8</v>
      </c>
      <c r="Y4" s="262">
        <v>10</v>
      </c>
      <c r="Z4" s="262">
        <v>3</v>
      </c>
      <c r="AA4" s="262">
        <v>5</v>
      </c>
      <c r="AB4" s="262">
        <v>8</v>
      </c>
      <c r="AC4" s="267">
        <v>8</v>
      </c>
      <c r="AD4" s="262">
        <v>10</v>
      </c>
      <c r="AE4" s="262">
        <v>3</v>
      </c>
      <c r="AF4" s="262">
        <v>5</v>
      </c>
      <c r="AG4" s="262">
        <v>8</v>
      </c>
      <c r="AH4" s="267">
        <v>8</v>
      </c>
      <c r="AI4" s="230">
        <v>10</v>
      </c>
    </row>
    <row r="5" spans="1:35">
      <c r="A5" s="177">
        <v>4</v>
      </c>
      <c r="B5" s="176" t="s">
        <v>480</v>
      </c>
      <c r="C5" s="175"/>
      <c r="D5" s="174" t="s">
        <v>112</v>
      </c>
      <c r="E5" s="170"/>
      <c r="F5" s="173"/>
      <c r="G5" s="172"/>
      <c r="H5" s="275"/>
      <c r="I5" s="270"/>
      <c r="J5" s="171"/>
      <c r="K5" s="112">
        <f t="shared" ref="K5:K36" si="0">SUM(F5:J5)</f>
        <v>0</v>
      </c>
      <c r="L5" s="170"/>
      <c r="M5" s="277"/>
      <c r="N5" s="173"/>
      <c r="O5" s="172"/>
      <c r="P5" s="172"/>
      <c r="Q5" s="171"/>
      <c r="R5" s="171"/>
      <c r="S5" s="167">
        <f t="shared" ref="S5:S36" si="1">SUM(N5:R5)</f>
        <v>0</v>
      </c>
      <c r="T5" s="166">
        <f t="shared" ref="T5:T36" si="2">+E5-S5</f>
        <v>0</v>
      </c>
      <c r="U5" s="107">
        <f t="shared" ref="U5:U36" si="3">N5-F5*F$4/(100+F$4)</f>
        <v>0</v>
      </c>
      <c r="V5" s="107">
        <f t="shared" ref="V5:V36" si="4">O5-G5*G$4/(100+G$4)</f>
        <v>0</v>
      </c>
      <c r="W5" s="107">
        <f t="shared" ref="W5:X36" si="5">P5-H5*H$4/(100+H$4)</f>
        <v>0</v>
      </c>
      <c r="X5" s="107">
        <f t="shared" si="5"/>
        <v>0</v>
      </c>
      <c r="Y5" s="107">
        <f t="shared" ref="Y5:Y36" si="6">R5-J5*J$4/(100+J$4)</f>
        <v>0</v>
      </c>
      <c r="Z5" s="106">
        <f t="shared" ref="Z5:Z36" si="7">+IF(N$39=0,0,IF(N$39&lt;0,-RANK(U5,U$5:U$36,0),RANK(U5,U$5:U$36,1)))</f>
        <v>0</v>
      </c>
      <c r="AA5" s="106">
        <f t="shared" ref="AA5:AA36" si="8">+IF(O$39=0,0,IF(O$39&lt;0,-RANK(V5,V$5:V$36,0),RANK(V5,V$5:V$36,1)))</f>
        <v>0</v>
      </c>
      <c r="AB5" s="106">
        <f t="shared" ref="AB5:AB36" si="9">+IF(P$39=0,0,IF(P$39&lt;0,-RANK(W5,W$5:W$36,0),RANK(W5,W$5:W$36,1)))</f>
        <v>0</v>
      </c>
      <c r="AC5" s="106">
        <f t="shared" ref="AC5:AC36" si="10">+IF(Q$39=0,0,IF(Q$39&lt;0,-RANK(X5,X$5:X$36,0),RANK(X5,X$5:X$36,1)))</f>
        <v>1</v>
      </c>
      <c r="AD5" s="106">
        <f t="shared" ref="AD5:AD36" si="11">+IF(R$39=0,0,IF(R$39&lt;0,-RANK(Y5,Y$5:Y$36,0),RANK(Y5,Y$5:Y$36,1)))</f>
        <v>1</v>
      </c>
    </row>
    <row r="6" spans="1:35">
      <c r="A6" s="165">
        <v>4</v>
      </c>
      <c r="B6" s="164" t="s">
        <v>479</v>
      </c>
      <c r="C6" s="163"/>
      <c r="D6" s="162" t="s">
        <v>110</v>
      </c>
      <c r="E6" s="158"/>
      <c r="F6" s="161"/>
      <c r="G6" s="160"/>
      <c r="H6" s="160"/>
      <c r="I6" s="159"/>
      <c r="J6" s="159"/>
      <c r="K6" s="34">
        <f t="shared" si="0"/>
        <v>0</v>
      </c>
      <c r="L6" s="158"/>
      <c r="M6" s="158"/>
      <c r="N6" s="161"/>
      <c r="O6" s="160"/>
      <c r="P6" s="160"/>
      <c r="Q6" s="159"/>
      <c r="R6" s="159"/>
      <c r="S6" s="22">
        <f t="shared" si="1"/>
        <v>0</v>
      </c>
      <c r="T6" s="109">
        <f t="shared" si="2"/>
        <v>0</v>
      </c>
      <c r="U6" s="107">
        <f t="shared" si="3"/>
        <v>0</v>
      </c>
      <c r="V6" s="107">
        <f t="shared" si="4"/>
        <v>0</v>
      </c>
      <c r="W6" s="107">
        <f t="shared" si="5"/>
        <v>0</v>
      </c>
      <c r="X6" s="107">
        <f t="shared" si="5"/>
        <v>0</v>
      </c>
      <c r="Y6" s="107">
        <f t="shared" si="6"/>
        <v>0</v>
      </c>
      <c r="Z6" s="106">
        <f t="shared" si="7"/>
        <v>0</v>
      </c>
      <c r="AA6" s="106">
        <f t="shared" si="8"/>
        <v>0</v>
      </c>
      <c r="AB6" s="106">
        <f t="shared" si="9"/>
        <v>0</v>
      </c>
      <c r="AC6" s="106">
        <f t="shared" si="10"/>
        <v>1</v>
      </c>
      <c r="AD6" s="106">
        <f t="shared" si="11"/>
        <v>1</v>
      </c>
    </row>
    <row r="7" spans="1:35">
      <c r="A7" s="165">
        <v>4</v>
      </c>
      <c r="B7" s="164" t="s">
        <v>478</v>
      </c>
      <c r="C7" s="163"/>
      <c r="D7" s="162" t="s">
        <v>108</v>
      </c>
      <c r="E7" s="158"/>
      <c r="F7" s="161"/>
      <c r="G7" s="160"/>
      <c r="H7" s="160"/>
      <c r="I7" s="159"/>
      <c r="J7" s="159"/>
      <c r="K7" s="34">
        <f t="shared" si="0"/>
        <v>0</v>
      </c>
      <c r="L7" s="158"/>
      <c r="M7" s="158"/>
      <c r="N7" s="161"/>
      <c r="O7" s="160"/>
      <c r="P7" s="160"/>
      <c r="Q7" s="159"/>
      <c r="R7" s="159"/>
      <c r="S7" s="22">
        <f t="shared" si="1"/>
        <v>0</v>
      </c>
      <c r="T7" s="109">
        <f t="shared" si="2"/>
        <v>0</v>
      </c>
      <c r="U7" s="107">
        <f t="shared" si="3"/>
        <v>0</v>
      </c>
      <c r="V7" s="107">
        <f t="shared" si="4"/>
        <v>0</v>
      </c>
      <c r="W7" s="107">
        <f t="shared" si="5"/>
        <v>0</v>
      </c>
      <c r="X7" s="107">
        <f t="shared" si="5"/>
        <v>0</v>
      </c>
      <c r="Y7" s="107">
        <f t="shared" si="6"/>
        <v>0</v>
      </c>
      <c r="Z7" s="106">
        <f t="shared" si="7"/>
        <v>0</v>
      </c>
      <c r="AA7" s="106">
        <f t="shared" si="8"/>
        <v>0</v>
      </c>
      <c r="AB7" s="106">
        <f t="shared" si="9"/>
        <v>0</v>
      </c>
      <c r="AC7" s="106">
        <f t="shared" si="10"/>
        <v>1</v>
      </c>
      <c r="AD7" s="106">
        <f t="shared" si="11"/>
        <v>1</v>
      </c>
    </row>
    <row r="8" spans="1:35">
      <c r="A8" s="165">
        <v>4</v>
      </c>
      <c r="B8" s="164" t="s">
        <v>477</v>
      </c>
      <c r="C8" s="163"/>
      <c r="D8" s="162" t="s">
        <v>106</v>
      </c>
      <c r="E8" s="158"/>
      <c r="F8" s="161"/>
      <c r="G8" s="160"/>
      <c r="H8" s="160"/>
      <c r="I8" s="159"/>
      <c r="J8" s="159"/>
      <c r="K8" s="34">
        <f t="shared" si="0"/>
        <v>0</v>
      </c>
      <c r="L8" s="158"/>
      <c r="M8" s="158"/>
      <c r="N8" s="161"/>
      <c r="O8" s="160"/>
      <c r="P8" s="160"/>
      <c r="Q8" s="159"/>
      <c r="R8" s="159"/>
      <c r="S8" s="22">
        <f t="shared" si="1"/>
        <v>0</v>
      </c>
      <c r="T8" s="109">
        <f t="shared" si="2"/>
        <v>0</v>
      </c>
      <c r="U8" s="107">
        <f t="shared" si="3"/>
        <v>0</v>
      </c>
      <c r="V8" s="107">
        <f t="shared" si="4"/>
        <v>0</v>
      </c>
      <c r="W8" s="107">
        <f t="shared" si="5"/>
        <v>0</v>
      </c>
      <c r="X8" s="107">
        <f t="shared" si="5"/>
        <v>0</v>
      </c>
      <c r="Y8" s="107">
        <f t="shared" si="6"/>
        <v>0</v>
      </c>
      <c r="Z8" s="106">
        <f t="shared" si="7"/>
        <v>0</v>
      </c>
      <c r="AA8" s="106">
        <f t="shared" si="8"/>
        <v>0</v>
      </c>
      <c r="AB8" s="106">
        <f t="shared" si="9"/>
        <v>0</v>
      </c>
      <c r="AC8" s="106">
        <f t="shared" si="10"/>
        <v>1</v>
      </c>
      <c r="AD8" s="106">
        <f t="shared" si="11"/>
        <v>1</v>
      </c>
    </row>
    <row r="9" spans="1:35">
      <c r="A9" s="165">
        <v>4</v>
      </c>
      <c r="B9" s="164" t="s">
        <v>476</v>
      </c>
      <c r="C9" s="163"/>
      <c r="D9" s="162" t="s">
        <v>104</v>
      </c>
      <c r="E9" s="158"/>
      <c r="F9" s="161"/>
      <c r="G9" s="160"/>
      <c r="H9" s="160"/>
      <c r="I9" s="159"/>
      <c r="J9" s="159"/>
      <c r="K9" s="34">
        <f t="shared" si="0"/>
        <v>0</v>
      </c>
      <c r="L9" s="158"/>
      <c r="M9" s="158"/>
      <c r="N9" s="161"/>
      <c r="O9" s="160"/>
      <c r="P9" s="160"/>
      <c r="Q9" s="159"/>
      <c r="R9" s="159"/>
      <c r="S9" s="22">
        <f t="shared" si="1"/>
        <v>0</v>
      </c>
      <c r="T9" s="109">
        <f t="shared" si="2"/>
        <v>0</v>
      </c>
      <c r="U9" s="107">
        <f t="shared" si="3"/>
        <v>0</v>
      </c>
      <c r="V9" s="107">
        <f t="shared" si="4"/>
        <v>0</v>
      </c>
      <c r="W9" s="107">
        <f t="shared" si="5"/>
        <v>0</v>
      </c>
      <c r="X9" s="107">
        <f t="shared" si="5"/>
        <v>0</v>
      </c>
      <c r="Y9" s="107">
        <f t="shared" si="6"/>
        <v>0</v>
      </c>
      <c r="Z9" s="106">
        <f t="shared" si="7"/>
        <v>0</v>
      </c>
      <c r="AA9" s="106">
        <f t="shared" si="8"/>
        <v>0</v>
      </c>
      <c r="AB9" s="106">
        <f t="shared" si="9"/>
        <v>0</v>
      </c>
      <c r="AC9" s="106">
        <f t="shared" si="10"/>
        <v>1</v>
      </c>
      <c r="AD9" s="106">
        <f t="shared" si="11"/>
        <v>1</v>
      </c>
    </row>
    <row r="10" spans="1:35">
      <c r="A10" s="165">
        <v>4</v>
      </c>
      <c r="B10" s="164" t="s">
        <v>475</v>
      </c>
      <c r="C10" s="163"/>
      <c r="D10" s="162" t="s">
        <v>102</v>
      </c>
      <c r="E10" s="158"/>
      <c r="F10" s="161"/>
      <c r="G10" s="160"/>
      <c r="H10" s="276"/>
      <c r="I10" s="271"/>
      <c r="J10" s="159"/>
      <c r="K10" s="34">
        <f t="shared" si="0"/>
        <v>0</v>
      </c>
      <c r="L10" s="158"/>
      <c r="M10" s="278"/>
      <c r="N10" s="161"/>
      <c r="O10" s="160"/>
      <c r="P10" s="160"/>
      <c r="Q10" s="159"/>
      <c r="R10" s="159"/>
      <c r="S10" s="22">
        <f t="shared" si="1"/>
        <v>0</v>
      </c>
      <c r="T10" s="109">
        <f t="shared" si="2"/>
        <v>0</v>
      </c>
      <c r="U10" s="107">
        <f t="shared" si="3"/>
        <v>0</v>
      </c>
      <c r="V10" s="107">
        <f t="shared" si="4"/>
        <v>0</v>
      </c>
      <c r="W10" s="107">
        <f t="shared" si="5"/>
        <v>0</v>
      </c>
      <c r="X10" s="107">
        <f t="shared" si="5"/>
        <v>0</v>
      </c>
      <c r="Y10" s="107">
        <f t="shared" si="6"/>
        <v>0</v>
      </c>
      <c r="Z10" s="106">
        <f t="shared" si="7"/>
        <v>0</v>
      </c>
      <c r="AA10" s="106">
        <f t="shared" si="8"/>
        <v>0</v>
      </c>
      <c r="AB10" s="106">
        <f t="shared" si="9"/>
        <v>0</v>
      </c>
      <c r="AC10" s="106">
        <f t="shared" si="10"/>
        <v>1</v>
      </c>
      <c r="AD10" s="106">
        <f t="shared" si="11"/>
        <v>1</v>
      </c>
    </row>
    <row r="11" spans="1:35">
      <c r="A11" s="165">
        <v>4</v>
      </c>
      <c r="B11" s="164" t="s">
        <v>474</v>
      </c>
      <c r="C11" s="163"/>
      <c r="D11" s="162" t="s">
        <v>100</v>
      </c>
      <c r="E11" s="158"/>
      <c r="F11" s="161"/>
      <c r="G11" s="160"/>
      <c r="H11" s="160"/>
      <c r="I11" s="159"/>
      <c r="J11" s="159"/>
      <c r="K11" s="34">
        <f t="shared" si="0"/>
        <v>0</v>
      </c>
      <c r="L11" s="158"/>
      <c r="M11" s="158"/>
      <c r="N11" s="161"/>
      <c r="O11" s="160"/>
      <c r="P11" s="160"/>
      <c r="Q11" s="159"/>
      <c r="R11" s="159"/>
      <c r="S11" s="22">
        <f t="shared" si="1"/>
        <v>0</v>
      </c>
      <c r="T11" s="109">
        <f t="shared" si="2"/>
        <v>0</v>
      </c>
      <c r="U11" s="107">
        <f t="shared" si="3"/>
        <v>0</v>
      </c>
      <c r="V11" s="107">
        <f t="shared" si="4"/>
        <v>0</v>
      </c>
      <c r="W11" s="107">
        <f t="shared" si="5"/>
        <v>0</v>
      </c>
      <c r="X11" s="107">
        <f t="shared" si="5"/>
        <v>0</v>
      </c>
      <c r="Y11" s="107">
        <f t="shared" si="6"/>
        <v>0</v>
      </c>
      <c r="Z11" s="106">
        <f t="shared" si="7"/>
        <v>0</v>
      </c>
      <c r="AA11" s="106">
        <f t="shared" si="8"/>
        <v>0</v>
      </c>
      <c r="AB11" s="106">
        <f t="shared" si="9"/>
        <v>0</v>
      </c>
      <c r="AC11" s="106">
        <f t="shared" si="10"/>
        <v>1</v>
      </c>
      <c r="AD11" s="106">
        <f t="shared" si="11"/>
        <v>1</v>
      </c>
    </row>
    <row r="12" spans="1:35">
      <c r="A12" s="165">
        <v>4</v>
      </c>
      <c r="B12" s="164" t="s">
        <v>472</v>
      </c>
      <c r="C12" s="163" t="s">
        <v>473</v>
      </c>
      <c r="D12" s="162" t="s">
        <v>98</v>
      </c>
      <c r="E12" s="158"/>
      <c r="F12" s="161"/>
      <c r="G12" s="160"/>
      <c r="H12" s="160"/>
      <c r="I12" s="159"/>
      <c r="J12" s="159"/>
      <c r="K12" s="34">
        <f t="shared" si="0"/>
        <v>0</v>
      </c>
      <c r="L12" s="158"/>
      <c r="M12" s="158"/>
      <c r="N12" s="161"/>
      <c r="O12" s="160"/>
      <c r="P12" s="160"/>
      <c r="Q12" s="159"/>
      <c r="R12" s="159"/>
      <c r="S12" s="22">
        <f t="shared" si="1"/>
        <v>0</v>
      </c>
      <c r="T12" s="109">
        <f t="shared" si="2"/>
        <v>0</v>
      </c>
      <c r="U12" s="107">
        <f t="shared" si="3"/>
        <v>0</v>
      </c>
      <c r="V12" s="107">
        <f t="shared" si="4"/>
        <v>0</v>
      </c>
      <c r="W12" s="107">
        <f t="shared" si="5"/>
        <v>0</v>
      </c>
      <c r="X12" s="107">
        <f t="shared" si="5"/>
        <v>0</v>
      </c>
      <c r="Y12" s="107">
        <f t="shared" si="6"/>
        <v>0</v>
      </c>
      <c r="Z12" s="106">
        <f t="shared" si="7"/>
        <v>0</v>
      </c>
      <c r="AA12" s="106">
        <f t="shared" si="8"/>
        <v>0</v>
      </c>
      <c r="AB12" s="106">
        <f t="shared" si="9"/>
        <v>0</v>
      </c>
      <c r="AC12" s="106">
        <f t="shared" si="10"/>
        <v>1</v>
      </c>
      <c r="AD12" s="106">
        <f t="shared" si="11"/>
        <v>1</v>
      </c>
    </row>
    <row r="13" spans="1:35">
      <c r="A13" s="165">
        <v>4</v>
      </c>
      <c r="B13" s="164" t="s">
        <v>472</v>
      </c>
      <c r="C13" s="163" t="s">
        <v>471</v>
      </c>
      <c r="D13" s="162" t="s">
        <v>95</v>
      </c>
      <c r="E13" s="158"/>
      <c r="F13" s="161"/>
      <c r="G13" s="160"/>
      <c r="H13" s="160"/>
      <c r="I13" s="159"/>
      <c r="J13" s="159"/>
      <c r="K13" s="34">
        <f t="shared" si="0"/>
        <v>0</v>
      </c>
      <c r="L13" s="158"/>
      <c r="M13" s="158"/>
      <c r="N13" s="161"/>
      <c r="O13" s="160"/>
      <c r="P13" s="160"/>
      <c r="Q13" s="159"/>
      <c r="R13" s="159"/>
      <c r="S13" s="22">
        <f t="shared" si="1"/>
        <v>0</v>
      </c>
      <c r="T13" s="109">
        <f t="shared" si="2"/>
        <v>0</v>
      </c>
      <c r="U13" s="107">
        <f t="shared" si="3"/>
        <v>0</v>
      </c>
      <c r="V13" s="107">
        <f t="shared" si="4"/>
        <v>0</v>
      </c>
      <c r="W13" s="107">
        <f t="shared" si="5"/>
        <v>0</v>
      </c>
      <c r="X13" s="107">
        <f t="shared" si="5"/>
        <v>0</v>
      </c>
      <c r="Y13" s="107">
        <f t="shared" si="6"/>
        <v>0</v>
      </c>
      <c r="Z13" s="106">
        <f t="shared" si="7"/>
        <v>0</v>
      </c>
      <c r="AA13" s="106">
        <f t="shared" si="8"/>
        <v>0</v>
      </c>
      <c r="AB13" s="106">
        <f t="shared" si="9"/>
        <v>0</v>
      </c>
      <c r="AC13" s="106">
        <f t="shared" si="10"/>
        <v>1</v>
      </c>
      <c r="AD13" s="106">
        <f t="shared" si="11"/>
        <v>1</v>
      </c>
    </row>
    <row r="14" spans="1:35">
      <c r="A14" s="165">
        <v>4</v>
      </c>
      <c r="B14" s="164" t="s">
        <v>470</v>
      </c>
      <c r="C14" s="163"/>
      <c r="D14" s="162" t="s">
        <v>93</v>
      </c>
      <c r="E14" s="158"/>
      <c r="F14" s="161"/>
      <c r="G14" s="160"/>
      <c r="H14" s="160"/>
      <c r="I14" s="159"/>
      <c r="J14" s="159"/>
      <c r="K14" s="34">
        <f t="shared" si="0"/>
        <v>0</v>
      </c>
      <c r="L14" s="158"/>
      <c r="M14" s="158"/>
      <c r="N14" s="161"/>
      <c r="O14" s="160"/>
      <c r="P14" s="160"/>
      <c r="Q14" s="159"/>
      <c r="R14" s="159"/>
      <c r="S14" s="22">
        <f t="shared" si="1"/>
        <v>0</v>
      </c>
      <c r="T14" s="109">
        <f t="shared" si="2"/>
        <v>0</v>
      </c>
      <c r="U14" s="107">
        <f t="shared" si="3"/>
        <v>0</v>
      </c>
      <c r="V14" s="107">
        <f t="shared" si="4"/>
        <v>0</v>
      </c>
      <c r="W14" s="107">
        <f t="shared" si="5"/>
        <v>0</v>
      </c>
      <c r="X14" s="107">
        <f t="shared" si="5"/>
        <v>0</v>
      </c>
      <c r="Y14" s="107">
        <f t="shared" si="6"/>
        <v>0</v>
      </c>
      <c r="Z14" s="106">
        <f t="shared" si="7"/>
        <v>0</v>
      </c>
      <c r="AA14" s="106">
        <f t="shared" si="8"/>
        <v>0</v>
      </c>
      <c r="AB14" s="106">
        <f t="shared" si="9"/>
        <v>0</v>
      </c>
      <c r="AC14" s="106">
        <f t="shared" si="10"/>
        <v>1</v>
      </c>
      <c r="AD14" s="106">
        <f t="shared" si="11"/>
        <v>1</v>
      </c>
    </row>
    <row r="15" spans="1:35">
      <c r="A15" s="165">
        <v>4</v>
      </c>
      <c r="B15" s="164" t="s">
        <v>469</v>
      </c>
      <c r="C15" s="163"/>
      <c r="D15" s="162" t="s">
        <v>91</v>
      </c>
      <c r="E15" s="158"/>
      <c r="F15" s="161"/>
      <c r="G15" s="160"/>
      <c r="H15" s="160"/>
      <c r="I15" s="159"/>
      <c r="J15" s="159"/>
      <c r="K15" s="34">
        <f t="shared" si="0"/>
        <v>0</v>
      </c>
      <c r="L15" s="158"/>
      <c r="M15" s="158"/>
      <c r="N15" s="161"/>
      <c r="O15" s="160"/>
      <c r="P15" s="160"/>
      <c r="Q15" s="159"/>
      <c r="R15" s="159"/>
      <c r="S15" s="22">
        <f t="shared" si="1"/>
        <v>0</v>
      </c>
      <c r="T15" s="109">
        <f t="shared" si="2"/>
        <v>0</v>
      </c>
      <c r="U15" s="107">
        <f t="shared" si="3"/>
        <v>0</v>
      </c>
      <c r="V15" s="107">
        <f t="shared" si="4"/>
        <v>0</v>
      </c>
      <c r="W15" s="107">
        <f t="shared" si="5"/>
        <v>0</v>
      </c>
      <c r="X15" s="107">
        <f t="shared" si="5"/>
        <v>0</v>
      </c>
      <c r="Y15" s="107">
        <f t="shared" si="6"/>
        <v>0</v>
      </c>
      <c r="Z15" s="106">
        <f t="shared" si="7"/>
        <v>0</v>
      </c>
      <c r="AA15" s="106">
        <f t="shared" si="8"/>
        <v>0</v>
      </c>
      <c r="AB15" s="106">
        <f t="shared" si="9"/>
        <v>0</v>
      </c>
      <c r="AC15" s="106">
        <f t="shared" si="10"/>
        <v>1</v>
      </c>
      <c r="AD15" s="106">
        <f t="shared" si="11"/>
        <v>1</v>
      </c>
    </row>
    <row r="16" spans="1:35">
      <c r="A16" s="165">
        <v>4</v>
      </c>
      <c r="B16" s="164" t="s">
        <v>468</v>
      </c>
      <c r="C16" s="163"/>
      <c r="D16" s="162" t="s">
        <v>89</v>
      </c>
      <c r="E16" s="158"/>
      <c r="F16" s="161"/>
      <c r="G16" s="160"/>
      <c r="H16" s="160"/>
      <c r="I16" s="159"/>
      <c r="J16" s="159"/>
      <c r="K16" s="34">
        <f t="shared" si="0"/>
        <v>0</v>
      </c>
      <c r="L16" s="158"/>
      <c r="M16" s="158"/>
      <c r="N16" s="161"/>
      <c r="O16" s="160"/>
      <c r="P16" s="160"/>
      <c r="Q16" s="159"/>
      <c r="R16" s="159"/>
      <c r="S16" s="22">
        <f t="shared" si="1"/>
        <v>0</v>
      </c>
      <c r="T16" s="109">
        <f t="shared" si="2"/>
        <v>0</v>
      </c>
      <c r="U16" s="107">
        <f t="shared" si="3"/>
        <v>0</v>
      </c>
      <c r="V16" s="107">
        <f t="shared" si="4"/>
        <v>0</v>
      </c>
      <c r="W16" s="107">
        <f t="shared" si="5"/>
        <v>0</v>
      </c>
      <c r="X16" s="107">
        <f t="shared" si="5"/>
        <v>0</v>
      </c>
      <c r="Y16" s="107">
        <f t="shared" si="6"/>
        <v>0</v>
      </c>
      <c r="Z16" s="106">
        <f t="shared" si="7"/>
        <v>0</v>
      </c>
      <c r="AA16" s="106">
        <f t="shared" si="8"/>
        <v>0</v>
      </c>
      <c r="AB16" s="106">
        <f t="shared" si="9"/>
        <v>0</v>
      </c>
      <c r="AC16" s="106">
        <f t="shared" si="10"/>
        <v>1</v>
      </c>
      <c r="AD16" s="106">
        <f t="shared" si="11"/>
        <v>1</v>
      </c>
    </row>
    <row r="17" spans="1:30">
      <c r="A17" s="165">
        <v>4</v>
      </c>
      <c r="B17" s="164" t="s">
        <v>467</v>
      </c>
      <c r="C17" s="163"/>
      <c r="D17" s="162" t="s">
        <v>87</v>
      </c>
      <c r="E17" s="158"/>
      <c r="F17" s="161"/>
      <c r="G17" s="160"/>
      <c r="H17" s="160"/>
      <c r="I17" s="159"/>
      <c r="J17" s="159"/>
      <c r="K17" s="34">
        <f t="shared" si="0"/>
        <v>0</v>
      </c>
      <c r="L17" s="158"/>
      <c r="M17" s="158"/>
      <c r="N17" s="161"/>
      <c r="O17" s="160"/>
      <c r="P17" s="160"/>
      <c r="Q17" s="159"/>
      <c r="R17" s="159"/>
      <c r="S17" s="22">
        <f t="shared" si="1"/>
        <v>0</v>
      </c>
      <c r="T17" s="109">
        <f t="shared" si="2"/>
        <v>0</v>
      </c>
      <c r="U17" s="107">
        <f t="shared" si="3"/>
        <v>0</v>
      </c>
      <c r="V17" s="107">
        <f t="shared" si="4"/>
        <v>0</v>
      </c>
      <c r="W17" s="107">
        <f t="shared" si="5"/>
        <v>0</v>
      </c>
      <c r="X17" s="107">
        <f t="shared" si="5"/>
        <v>0</v>
      </c>
      <c r="Y17" s="107">
        <f t="shared" si="6"/>
        <v>0</v>
      </c>
      <c r="Z17" s="106">
        <f t="shared" si="7"/>
        <v>0</v>
      </c>
      <c r="AA17" s="106">
        <f t="shared" si="8"/>
        <v>0</v>
      </c>
      <c r="AB17" s="106">
        <f t="shared" si="9"/>
        <v>0</v>
      </c>
      <c r="AC17" s="106">
        <f t="shared" si="10"/>
        <v>1</v>
      </c>
      <c r="AD17" s="106">
        <f t="shared" si="11"/>
        <v>1</v>
      </c>
    </row>
    <row r="18" spans="1:30">
      <c r="A18" s="165">
        <v>4</v>
      </c>
      <c r="B18" s="164" t="s">
        <v>466</v>
      </c>
      <c r="C18" s="163"/>
      <c r="D18" s="162" t="s">
        <v>85</v>
      </c>
      <c r="E18" s="158"/>
      <c r="F18" s="161"/>
      <c r="G18" s="160"/>
      <c r="H18" s="160"/>
      <c r="I18" s="159"/>
      <c r="J18" s="159"/>
      <c r="K18" s="34">
        <f t="shared" si="0"/>
        <v>0</v>
      </c>
      <c r="L18" s="158"/>
      <c r="M18" s="158"/>
      <c r="N18" s="161"/>
      <c r="O18" s="160"/>
      <c r="P18" s="160"/>
      <c r="Q18" s="159"/>
      <c r="R18" s="159"/>
      <c r="S18" s="22">
        <f t="shared" si="1"/>
        <v>0</v>
      </c>
      <c r="T18" s="109">
        <f t="shared" si="2"/>
        <v>0</v>
      </c>
      <c r="U18" s="107">
        <f t="shared" si="3"/>
        <v>0</v>
      </c>
      <c r="V18" s="107">
        <f t="shared" si="4"/>
        <v>0</v>
      </c>
      <c r="W18" s="107">
        <f t="shared" si="5"/>
        <v>0</v>
      </c>
      <c r="X18" s="107">
        <f t="shared" si="5"/>
        <v>0</v>
      </c>
      <c r="Y18" s="107">
        <f t="shared" si="6"/>
        <v>0</v>
      </c>
      <c r="Z18" s="106">
        <f t="shared" si="7"/>
        <v>0</v>
      </c>
      <c r="AA18" s="106">
        <f t="shared" si="8"/>
        <v>0</v>
      </c>
      <c r="AB18" s="106">
        <f t="shared" si="9"/>
        <v>0</v>
      </c>
      <c r="AC18" s="106">
        <f t="shared" si="10"/>
        <v>1</v>
      </c>
      <c r="AD18" s="106">
        <f t="shared" si="11"/>
        <v>1</v>
      </c>
    </row>
    <row r="19" spans="1:30">
      <c r="A19" s="165">
        <v>4</v>
      </c>
      <c r="B19" s="164" t="s">
        <v>465</v>
      </c>
      <c r="C19" s="163"/>
      <c r="D19" s="162" t="s">
        <v>83</v>
      </c>
      <c r="E19" s="158"/>
      <c r="F19" s="161"/>
      <c r="G19" s="160"/>
      <c r="H19" s="160"/>
      <c r="I19" s="159"/>
      <c r="J19" s="159"/>
      <c r="K19" s="34">
        <f t="shared" si="0"/>
        <v>0</v>
      </c>
      <c r="L19" s="158"/>
      <c r="M19" s="158"/>
      <c r="N19" s="161"/>
      <c r="O19" s="160"/>
      <c r="P19" s="160"/>
      <c r="Q19" s="159"/>
      <c r="R19" s="159"/>
      <c r="S19" s="22">
        <f t="shared" si="1"/>
        <v>0</v>
      </c>
      <c r="T19" s="109">
        <f t="shared" si="2"/>
        <v>0</v>
      </c>
      <c r="U19" s="107">
        <f t="shared" si="3"/>
        <v>0</v>
      </c>
      <c r="V19" s="107">
        <f t="shared" si="4"/>
        <v>0</v>
      </c>
      <c r="W19" s="107">
        <f t="shared" si="5"/>
        <v>0</v>
      </c>
      <c r="X19" s="107">
        <f t="shared" si="5"/>
        <v>0</v>
      </c>
      <c r="Y19" s="107">
        <f t="shared" si="6"/>
        <v>0</v>
      </c>
      <c r="Z19" s="106">
        <f t="shared" si="7"/>
        <v>0</v>
      </c>
      <c r="AA19" s="106">
        <f t="shared" si="8"/>
        <v>0</v>
      </c>
      <c r="AB19" s="106">
        <f t="shared" si="9"/>
        <v>0</v>
      </c>
      <c r="AC19" s="106">
        <f t="shared" si="10"/>
        <v>1</v>
      </c>
      <c r="AD19" s="106">
        <f t="shared" si="11"/>
        <v>1</v>
      </c>
    </row>
    <row r="20" spans="1:30">
      <c r="A20" s="165">
        <v>4</v>
      </c>
      <c r="B20" s="164" t="s">
        <v>464</v>
      </c>
      <c r="C20" s="163"/>
      <c r="D20" s="162" t="s">
        <v>81</v>
      </c>
      <c r="E20" s="158"/>
      <c r="F20" s="161"/>
      <c r="G20" s="160"/>
      <c r="H20" s="160"/>
      <c r="I20" s="159"/>
      <c r="J20" s="159"/>
      <c r="K20" s="34">
        <f t="shared" si="0"/>
        <v>0</v>
      </c>
      <c r="L20" s="158"/>
      <c r="M20" s="158"/>
      <c r="N20" s="161"/>
      <c r="O20" s="160"/>
      <c r="P20" s="160"/>
      <c r="Q20" s="159"/>
      <c r="R20" s="159"/>
      <c r="S20" s="22">
        <f t="shared" si="1"/>
        <v>0</v>
      </c>
      <c r="T20" s="109">
        <f t="shared" si="2"/>
        <v>0</v>
      </c>
      <c r="U20" s="107">
        <f t="shared" si="3"/>
        <v>0</v>
      </c>
      <c r="V20" s="107">
        <f t="shared" si="4"/>
        <v>0</v>
      </c>
      <c r="W20" s="107">
        <f t="shared" si="5"/>
        <v>0</v>
      </c>
      <c r="X20" s="107">
        <f t="shared" si="5"/>
        <v>0</v>
      </c>
      <c r="Y20" s="107">
        <f t="shared" si="6"/>
        <v>0</v>
      </c>
      <c r="Z20" s="106">
        <f t="shared" si="7"/>
        <v>0</v>
      </c>
      <c r="AA20" s="106">
        <f t="shared" si="8"/>
        <v>0</v>
      </c>
      <c r="AB20" s="106">
        <f t="shared" si="9"/>
        <v>0</v>
      </c>
      <c r="AC20" s="106">
        <f t="shared" si="10"/>
        <v>1</v>
      </c>
      <c r="AD20" s="106">
        <f t="shared" si="11"/>
        <v>1</v>
      </c>
    </row>
    <row r="21" spans="1:30">
      <c r="A21" s="165">
        <v>4</v>
      </c>
      <c r="B21" s="164" t="s">
        <v>463</v>
      </c>
      <c r="C21" s="163"/>
      <c r="D21" s="162" t="s">
        <v>79</v>
      </c>
      <c r="E21" s="158"/>
      <c r="F21" s="161"/>
      <c r="G21" s="160"/>
      <c r="H21" s="160"/>
      <c r="I21" s="159"/>
      <c r="J21" s="159"/>
      <c r="K21" s="34">
        <f t="shared" si="0"/>
        <v>0</v>
      </c>
      <c r="L21" s="158"/>
      <c r="M21" s="158"/>
      <c r="N21" s="161"/>
      <c r="O21" s="160"/>
      <c r="P21" s="160"/>
      <c r="Q21" s="159"/>
      <c r="R21" s="159"/>
      <c r="S21" s="22">
        <f t="shared" si="1"/>
        <v>0</v>
      </c>
      <c r="T21" s="109">
        <f t="shared" si="2"/>
        <v>0</v>
      </c>
      <c r="U21" s="107">
        <f t="shared" si="3"/>
        <v>0</v>
      </c>
      <c r="V21" s="107">
        <f t="shared" si="4"/>
        <v>0</v>
      </c>
      <c r="W21" s="107">
        <f t="shared" si="5"/>
        <v>0</v>
      </c>
      <c r="X21" s="107">
        <f t="shared" si="5"/>
        <v>0</v>
      </c>
      <c r="Y21" s="107">
        <f t="shared" si="6"/>
        <v>0</v>
      </c>
      <c r="Z21" s="106">
        <f t="shared" si="7"/>
        <v>0</v>
      </c>
      <c r="AA21" s="106">
        <f t="shared" si="8"/>
        <v>0</v>
      </c>
      <c r="AB21" s="106">
        <f t="shared" si="9"/>
        <v>0</v>
      </c>
      <c r="AC21" s="106">
        <f t="shared" si="10"/>
        <v>1</v>
      </c>
      <c r="AD21" s="106">
        <f t="shared" si="11"/>
        <v>1</v>
      </c>
    </row>
    <row r="22" spans="1:30">
      <c r="A22" s="165">
        <v>4</v>
      </c>
      <c r="B22" s="164" t="s">
        <v>462</v>
      </c>
      <c r="C22" s="163"/>
      <c r="D22" s="162" t="s">
        <v>77</v>
      </c>
      <c r="E22" s="158"/>
      <c r="F22" s="161"/>
      <c r="G22" s="160"/>
      <c r="H22" s="160"/>
      <c r="I22" s="159"/>
      <c r="J22" s="159"/>
      <c r="K22" s="34">
        <f t="shared" si="0"/>
        <v>0</v>
      </c>
      <c r="L22" s="158"/>
      <c r="M22" s="158"/>
      <c r="N22" s="161"/>
      <c r="O22" s="160"/>
      <c r="P22" s="160"/>
      <c r="Q22" s="159"/>
      <c r="R22" s="159"/>
      <c r="S22" s="22">
        <f t="shared" si="1"/>
        <v>0</v>
      </c>
      <c r="T22" s="109">
        <f t="shared" si="2"/>
        <v>0</v>
      </c>
      <c r="U22" s="107">
        <f t="shared" si="3"/>
        <v>0</v>
      </c>
      <c r="V22" s="107">
        <f t="shared" si="4"/>
        <v>0</v>
      </c>
      <c r="W22" s="107">
        <f t="shared" si="5"/>
        <v>0</v>
      </c>
      <c r="X22" s="107">
        <f t="shared" si="5"/>
        <v>0</v>
      </c>
      <c r="Y22" s="107">
        <f t="shared" si="6"/>
        <v>0</v>
      </c>
      <c r="Z22" s="106">
        <f t="shared" si="7"/>
        <v>0</v>
      </c>
      <c r="AA22" s="106">
        <f t="shared" si="8"/>
        <v>0</v>
      </c>
      <c r="AB22" s="106">
        <f t="shared" si="9"/>
        <v>0</v>
      </c>
      <c r="AC22" s="106">
        <f t="shared" si="10"/>
        <v>1</v>
      </c>
      <c r="AD22" s="106">
        <f t="shared" si="11"/>
        <v>1</v>
      </c>
    </row>
    <row r="23" spans="1:30">
      <c r="A23" s="165">
        <v>4</v>
      </c>
      <c r="B23" s="164" t="s">
        <v>461</v>
      </c>
      <c r="C23" s="163"/>
      <c r="D23" s="162" t="s">
        <v>75</v>
      </c>
      <c r="E23" s="158"/>
      <c r="F23" s="161"/>
      <c r="G23" s="160"/>
      <c r="H23" s="160"/>
      <c r="I23" s="159"/>
      <c r="J23" s="159"/>
      <c r="K23" s="34">
        <f t="shared" si="0"/>
        <v>0</v>
      </c>
      <c r="L23" s="158"/>
      <c r="M23" s="158"/>
      <c r="N23" s="161"/>
      <c r="O23" s="160"/>
      <c r="P23" s="160"/>
      <c r="Q23" s="159"/>
      <c r="R23" s="159"/>
      <c r="S23" s="22">
        <f t="shared" si="1"/>
        <v>0</v>
      </c>
      <c r="T23" s="109">
        <f t="shared" si="2"/>
        <v>0</v>
      </c>
      <c r="U23" s="107">
        <f t="shared" si="3"/>
        <v>0</v>
      </c>
      <c r="V23" s="107">
        <f t="shared" si="4"/>
        <v>0</v>
      </c>
      <c r="W23" s="107">
        <f t="shared" si="5"/>
        <v>0</v>
      </c>
      <c r="X23" s="107">
        <f t="shared" si="5"/>
        <v>0</v>
      </c>
      <c r="Y23" s="107">
        <f t="shared" si="6"/>
        <v>0</v>
      </c>
      <c r="Z23" s="106">
        <f t="shared" si="7"/>
        <v>0</v>
      </c>
      <c r="AA23" s="106">
        <f t="shared" si="8"/>
        <v>0</v>
      </c>
      <c r="AB23" s="106">
        <f t="shared" si="9"/>
        <v>0</v>
      </c>
      <c r="AC23" s="106">
        <f t="shared" si="10"/>
        <v>1</v>
      </c>
      <c r="AD23" s="106">
        <f t="shared" si="11"/>
        <v>1</v>
      </c>
    </row>
    <row r="24" spans="1:30">
      <c r="A24" s="165">
        <v>4</v>
      </c>
      <c r="B24" s="164" t="s">
        <v>460</v>
      </c>
      <c r="C24" s="163"/>
      <c r="D24" s="162" t="s">
        <v>73</v>
      </c>
      <c r="E24" s="158"/>
      <c r="F24" s="161"/>
      <c r="G24" s="160"/>
      <c r="H24" s="160"/>
      <c r="I24" s="159"/>
      <c r="J24" s="159"/>
      <c r="K24" s="34">
        <f t="shared" si="0"/>
        <v>0</v>
      </c>
      <c r="L24" s="158"/>
      <c r="M24" s="158"/>
      <c r="N24" s="161"/>
      <c r="O24" s="160"/>
      <c r="P24" s="160"/>
      <c r="Q24" s="159"/>
      <c r="R24" s="159"/>
      <c r="S24" s="22">
        <f t="shared" si="1"/>
        <v>0</v>
      </c>
      <c r="T24" s="109">
        <f t="shared" si="2"/>
        <v>0</v>
      </c>
      <c r="U24" s="107">
        <f t="shared" si="3"/>
        <v>0</v>
      </c>
      <c r="V24" s="107">
        <f t="shared" si="4"/>
        <v>0</v>
      </c>
      <c r="W24" s="107">
        <f t="shared" si="5"/>
        <v>0</v>
      </c>
      <c r="X24" s="107">
        <f t="shared" si="5"/>
        <v>0</v>
      </c>
      <c r="Y24" s="107">
        <f t="shared" si="6"/>
        <v>0</v>
      </c>
      <c r="Z24" s="106">
        <f t="shared" si="7"/>
        <v>0</v>
      </c>
      <c r="AA24" s="106">
        <f t="shared" si="8"/>
        <v>0</v>
      </c>
      <c r="AB24" s="106">
        <f t="shared" si="9"/>
        <v>0</v>
      </c>
      <c r="AC24" s="106">
        <f t="shared" si="10"/>
        <v>1</v>
      </c>
      <c r="AD24" s="106">
        <f t="shared" si="11"/>
        <v>1</v>
      </c>
    </row>
    <row r="25" spans="1:30">
      <c r="A25" s="165">
        <v>4</v>
      </c>
      <c r="B25" s="164" t="s">
        <v>458</v>
      </c>
      <c r="C25" s="163" t="s">
        <v>459</v>
      </c>
      <c r="D25" s="162" t="s">
        <v>71</v>
      </c>
      <c r="E25" s="158"/>
      <c r="F25" s="161"/>
      <c r="G25" s="160"/>
      <c r="H25" s="160"/>
      <c r="I25" s="159"/>
      <c r="J25" s="159"/>
      <c r="K25" s="34">
        <f t="shared" si="0"/>
        <v>0</v>
      </c>
      <c r="L25" s="158"/>
      <c r="M25" s="158"/>
      <c r="N25" s="161"/>
      <c r="O25" s="160"/>
      <c r="P25" s="160"/>
      <c r="Q25" s="159"/>
      <c r="R25" s="159"/>
      <c r="S25" s="22">
        <f t="shared" si="1"/>
        <v>0</v>
      </c>
      <c r="T25" s="109">
        <f t="shared" si="2"/>
        <v>0</v>
      </c>
      <c r="U25" s="107">
        <f t="shared" si="3"/>
        <v>0</v>
      </c>
      <c r="V25" s="107">
        <f t="shared" si="4"/>
        <v>0</v>
      </c>
      <c r="W25" s="107">
        <f t="shared" si="5"/>
        <v>0</v>
      </c>
      <c r="X25" s="107">
        <f t="shared" si="5"/>
        <v>0</v>
      </c>
      <c r="Y25" s="107">
        <f t="shared" si="6"/>
        <v>0</v>
      </c>
      <c r="Z25" s="106">
        <f t="shared" si="7"/>
        <v>0</v>
      </c>
      <c r="AA25" s="106">
        <f t="shared" si="8"/>
        <v>0</v>
      </c>
      <c r="AB25" s="106">
        <f t="shared" si="9"/>
        <v>0</v>
      </c>
      <c r="AC25" s="106">
        <f t="shared" si="10"/>
        <v>1</v>
      </c>
      <c r="AD25" s="106">
        <f t="shared" si="11"/>
        <v>1</v>
      </c>
    </row>
    <row r="26" spans="1:30">
      <c r="A26" s="165">
        <v>4</v>
      </c>
      <c r="B26" s="164" t="s">
        <v>458</v>
      </c>
      <c r="C26" s="163" t="s">
        <v>457</v>
      </c>
      <c r="D26" s="162" t="s">
        <v>68</v>
      </c>
      <c r="E26" s="158"/>
      <c r="F26" s="161"/>
      <c r="G26" s="160"/>
      <c r="H26" s="160"/>
      <c r="I26" s="159"/>
      <c r="J26" s="159"/>
      <c r="K26" s="34">
        <f t="shared" si="0"/>
        <v>0</v>
      </c>
      <c r="L26" s="158"/>
      <c r="M26" s="158"/>
      <c r="N26" s="161"/>
      <c r="O26" s="160"/>
      <c r="P26" s="160"/>
      <c r="Q26" s="159"/>
      <c r="R26" s="159"/>
      <c r="S26" s="22">
        <f t="shared" si="1"/>
        <v>0</v>
      </c>
      <c r="T26" s="109">
        <f t="shared" si="2"/>
        <v>0</v>
      </c>
      <c r="U26" s="107">
        <f t="shared" si="3"/>
        <v>0</v>
      </c>
      <c r="V26" s="107">
        <f t="shared" si="4"/>
        <v>0</v>
      </c>
      <c r="W26" s="107">
        <f t="shared" si="5"/>
        <v>0</v>
      </c>
      <c r="X26" s="107">
        <f t="shared" si="5"/>
        <v>0</v>
      </c>
      <c r="Y26" s="107">
        <f t="shared" si="6"/>
        <v>0</v>
      </c>
      <c r="Z26" s="106">
        <f t="shared" si="7"/>
        <v>0</v>
      </c>
      <c r="AA26" s="106">
        <f t="shared" si="8"/>
        <v>0</v>
      </c>
      <c r="AB26" s="106">
        <f t="shared" si="9"/>
        <v>0</v>
      </c>
      <c r="AC26" s="106">
        <f t="shared" si="10"/>
        <v>1</v>
      </c>
      <c r="AD26" s="106">
        <f t="shared" si="11"/>
        <v>1</v>
      </c>
    </row>
    <row r="27" spans="1:30">
      <c r="A27" s="165">
        <v>4</v>
      </c>
      <c r="B27" s="164" t="s">
        <v>456</v>
      </c>
      <c r="C27" s="163"/>
      <c r="D27" s="162" t="s">
        <v>66</v>
      </c>
      <c r="E27" s="158"/>
      <c r="F27" s="161"/>
      <c r="G27" s="160"/>
      <c r="H27" s="160"/>
      <c r="I27" s="159"/>
      <c r="J27" s="159"/>
      <c r="K27" s="34">
        <f t="shared" si="0"/>
        <v>0</v>
      </c>
      <c r="L27" s="158"/>
      <c r="M27" s="158"/>
      <c r="N27" s="161"/>
      <c r="O27" s="160"/>
      <c r="P27" s="160"/>
      <c r="Q27" s="159"/>
      <c r="R27" s="159"/>
      <c r="S27" s="22">
        <f t="shared" si="1"/>
        <v>0</v>
      </c>
      <c r="T27" s="109">
        <f t="shared" si="2"/>
        <v>0</v>
      </c>
      <c r="U27" s="107">
        <f t="shared" si="3"/>
        <v>0</v>
      </c>
      <c r="V27" s="107">
        <f t="shared" si="4"/>
        <v>0</v>
      </c>
      <c r="W27" s="107">
        <f t="shared" si="5"/>
        <v>0</v>
      </c>
      <c r="X27" s="107">
        <f t="shared" si="5"/>
        <v>0</v>
      </c>
      <c r="Y27" s="107">
        <f t="shared" si="6"/>
        <v>0</v>
      </c>
      <c r="Z27" s="106">
        <f t="shared" si="7"/>
        <v>0</v>
      </c>
      <c r="AA27" s="106">
        <f t="shared" si="8"/>
        <v>0</v>
      </c>
      <c r="AB27" s="106">
        <f t="shared" si="9"/>
        <v>0</v>
      </c>
      <c r="AC27" s="106">
        <f t="shared" si="10"/>
        <v>1</v>
      </c>
      <c r="AD27" s="106">
        <f t="shared" si="11"/>
        <v>1</v>
      </c>
    </row>
    <row r="28" spans="1:30">
      <c r="A28" s="165">
        <v>4</v>
      </c>
      <c r="B28" s="164" t="s">
        <v>455</v>
      </c>
      <c r="C28" s="163"/>
      <c r="D28" s="162" t="s">
        <v>64</v>
      </c>
      <c r="E28" s="158"/>
      <c r="F28" s="161"/>
      <c r="G28" s="160"/>
      <c r="H28" s="160"/>
      <c r="I28" s="159"/>
      <c r="J28" s="159"/>
      <c r="K28" s="34">
        <f t="shared" si="0"/>
        <v>0</v>
      </c>
      <c r="L28" s="158"/>
      <c r="M28" s="158"/>
      <c r="N28" s="161"/>
      <c r="O28" s="160"/>
      <c r="P28" s="160"/>
      <c r="Q28" s="159"/>
      <c r="R28" s="159"/>
      <c r="S28" s="22">
        <f t="shared" si="1"/>
        <v>0</v>
      </c>
      <c r="T28" s="109">
        <f t="shared" si="2"/>
        <v>0</v>
      </c>
      <c r="U28" s="107">
        <f t="shared" si="3"/>
        <v>0</v>
      </c>
      <c r="V28" s="107">
        <f t="shared" si="4"/>
        <v>0</v>
      </c>
      <c r="W28" s="107">
        <f t="shared" si="5"/>
        <v>0</v>
      </c>
      <c r="X28" s="107">
        <f t="shared" si="5"/>
        <v>0</v>
      </c>
      <c r="Y28" s="107">
        <f t="shared" si="6"/>
        <v>0</v>
      </c>
      <c r="Z28" s="106">
        <f t="shared" si="7"/>
        <v>0</v>
      </c>
      <c r="AA28" s="106">
        <f t="shared" si="8"/>
        <v>0</v>
      </c>
      <c r="AB28" s="106">
        <f t="shared" si="9"/>
        <v>0</v>
      </c>
      <c r="AC28" s="106">
        <f t="shared" si="10"/>
        <v>1</v>
      </c>
      <c r="AD28" s="106">
        <f t="shared" si="11"/>
        <v>1</v>
      </c>
    </row>
    <row r="29" spans="1:30">
      <c r="A29" s="165">
        <v>4</v>
      </c>
      <c r="B29" s="164" t="s">
        <v>454</v>
      </c>
      <c r="C29" s="163"/>
      <c r="D29" s="162" t="s">
        <v>62</v>
      </c>
      <c r="E29" s="158"/>
      <c r="F29" s="161"/>
      <c r="G29" s="160"/>
      <c r="H29" s="160"/>
      <c r="I29" s="159"/>
      <c r="J29" s="159"/>
      <c r="K29" s="34">
        <f t="shared" ref="K29:K31" si="12">SUM(F29:J29)</f>
        <v>0</v>
      </c>
      <c r="L29" s="158"/>
      <c r="M29" s="158"/>
      <c r="N29" s="161"/>
      <c r="O29" s="160"/>
      <c r="P29" s="160"/>
      <c r="Q29" s="159"/>
      <c r="R29" s="159"/>
      <c r="S29" s="22">
        <f t="shared" si="1"/>
        <v>0</v>
      </c>
      <c r="T29" s="109">
        <f t="shared" si="2"/>
        <v>0</v>
      </c>
      <c r="U29" s="107">
        <f t="shared" si="3"/>
        <v>0</v>
      </c>
      <c r="V29" s="107">
        <f t="shared" si="4"/>
        <v>0</v>
      </c>
      <c r="W29" s="107">
        <f t="shared" si="5"/>
        <v>0</v>
      </c>
      <c r="X29" s="107">
        <f t="shared" si="5"/>
        <v>0</v>
      </c>
      <c r="Y29" s="107">
        <f t="shared" si="6"/>
        <v>0</v>
      </c>
      <c r="Z29" s="106">
        <f t="shared" si="7"/>
        <v>0</v>
      </c>
      <c r="AA29" s="106">
        <f t="shared" si="8"/>
        <v>0</v>
      </c>
      <c r="AB29" s="106">
        <f t="shared" si="9"/>
        <v>0</v>
      </c>
      <c r="AC29" s="106">
        <f t="shared" si="10"/>
        <v>1</v>
      </c>
      <c r="AD29" s="106">
        <f t="shared" si="11"/>
        <v>1</v>
      </c>
    </row>
    <row r="30" spans="1:30">
      <c r="A30" s="165">
        <v>4</v>
      </c>
      <c r="B30" s="164">
        <v>8831936</v>
      </c>
      <c r="C30" s="163"/>
      <c r="D30" s="162" t="s">
        <v>868</v>
      </c>
      <c r="E30" s="158"/>
      <c r="F30" s="161"/>
      <c r="G30" s="160"/>
      <c r="H30" s="160"/>
      <c r="I30" s="159"/>
      <c r="J30" s="159"/>
      <c r="K30" s="34">
        <f t="shared" si="12"/>
        <v>0</v>
      </c>
      <c r="L30" s="158"/>
      <c r="M30" s="158"/>
      <c r="N30" s="161"/>
      <c r="O30" s="160"/>
      <c r="P30" s="160"/>
      <c r="Q30" s="159"/>
      <c r="R30" s="159"/>
      <c r="S30" s="22">
        <f t="shared" ref="S30" si="13">SUM(N30:R30)</f>
        <v>0</v>
      </c>
      <c r="T30" s="109">
        <f t="shared" ref="T30" si="14">+E30-S30</f>
        <v>0</v>
      </c>
      <c r="U30" s="107">
        <f t="shared" ref="U30" si="15">N30-F30*F$4/(100+F$4)</f>
        <v>0</v>
      </c>
      <c r="V30" s="107">
        <f t="shared" ref="V30" si="16">O30-G30*G$4/(100+G$4)</f>
        <v>0</v>
      </c>
      <c r="W30" s="107">
        <f t="shared" ref="W30" si="17">P30-H30*H$4/(100+H$4)</f>
        <v>0</v>
      </c>
      <c r="X30" s="107">
        <f t="shared" ref="X30" si="18">Q30-I30*I$4/(100+I$4)</f>
        <v>0</v>
      </c>
      <c r="Y30" s="107">
        <f t="shared" ref="Y30" si="19">R30-J30*J$4/(100+J$4)</f>
        <v>0</v>
      </c>
      <c r="Z30" s="106">
        <f t="shared" si="7"/>
        <v>0</v>
      </c>
      <c r="AA30" s="106">
        <f t="shared" si="8"/>
        <v>0</v>
      </c>
      <c r="AB30" s="106">
        <f t="shared" si="9"/>
        <v>0</v>
      </c>
      <c r="AC30" s="106">
        <f t="shared" si="10"/>
        <v>1</v>
      </c>
      <c r="AD30" s="106">
        <f t="shared" si="11"/>
        <v>1</v>
      </c>
    </row>
    <row r="31" spans="1:30">
      <c r="A31" s="165">
        <v>4</v>
      </c>
      <c r="B31" s="164" t="s">
        <v>453</v>
      </c>
      <c r="C31" s="163"/>
      <c r="D31" s="162" t="s">
        <v>60</v>
      </c>
      <c r="E31" s="158"/>
      <c r="F31" s="161"/>
      <c r="G31" s="160"/>
      <c r="H31" s="160"/>
      <c r="I31" s="159"/>
      <c r="J31" s="159"/>
      <c r="K31" s="34">
        <f t="shared" si="12"/>
        <v>0</v>
      </c>
      <c r="L31" s="158"/>
      <c r="M31" s="158"/>
      <c r="N31" s="161"/>
      <c r="O31" s="160"/>
      <c r="P31" s="160"/>
      <c r="Q31" s="159"/>
      <c r="R31" s="159"/>
      <c r="S31" s="22">
        <f t="shared" si="1"/>
        <v>0</v>
      </c>
      <c r="T31" s="109">
        <f t="shared" si="2"/>
        <v>0</v>
      </c>
      <c r="U31" s="107">
        <f t="shared" si="3"/>
        <v>0</v>
      </c>
      <c r="V31" s="107">
        <f t="shared" si="4"/>
        <v>0</v>
      </c>
      <c r="W31" s="107">
        <f t="shared" si="5"/>
        <v>0</v>
      </c>
      <c r="X31" s="107">
        <f t="shared" si="5"/>
        <v>0</v>
      </c>
      <c r="Y31" s="107">
        <f t="shared" si="6"/>
        <v>0</v>
      </c>
      <c r="Z31" s="106">
        <f t="shared" si="7"/>
        <v>0</v>
      </c>
      <c r="AA31" s="106">
        <f t="shared" si="8"/>
        <v>0</v>
      </c>
      <c r="AB31" s="106">
        <f t="shared" si="9"/>
        <v>0</v>
      </c>
      <c r="AC31" s="106">
        <f t="shared" si="10"/>
        <v>1</v>
      </c>
      <c r="AD31" s="106">
        <f t="shared" si="11"/>
        <v>1</v>
      </c>
    </row>
    <row r="32" spans="1:30">
      <c r="A32" s="165">
        <v>4</v>
      </c>
      <c r="B32" s="164" t="s">
        <v>452</v>
      </c>
      <c r="C32" s="163"/>
      <c r="D32" s="162" t="s">
        <v>58</v>
      </c>
      <c r="E32" s="158"/>
      <c r="F32" s="161"/>
      <c r="G32" s="160"/>
      <c r="H32" s="160"/>
      <c r="I32" s="159"/>
      <c r="J32" s="159"/>
      <c r="K32" s="34">
        <f t="shared" si="0"/>
        <v>0</v>
      </c>
      <c r="L32" s="158"/>
      <c r="M32" s="158"/>
      <c r="N32" s="161"/>
      <c r="O32" s="160"/>
      <c r="P32" s="160"/>
      <c r="Q32" s="159"/>
      <c r="R32" s="159"/>
      <c r="S32" s="22">
        <f t="shared" si="1"/>
        <v>0</v>
      </c>
      <c r="T32" s="109">
        <f t="shared" si="2"/>
        <v>0</v>
      </c>
      <c r="U32" s="107">
        <f t="shared" si="3"/>
        <v>0</v>
      </c>
      <c r="V32" s="107">
        <f t="shared" si="4"/>
        <v>0</v>
      </c>
      <c r="W32" s="107">
        <f t="shared" si="5"/>
        <v>0</v>
      </c>
      <c r="X32" s="107">
        <f t="shared" si="5"/>
        <v>0</v>
      </c>
      <c r="Y32" s="107">
        <f t="shared" si="6"/>
        <v>0</v>
      </c>
      <c r="Z32" s="106">
        <f t="shared" si="7"/>
        <v>0</v>
      </c>
      <c r="AA32" s="106">
        <f t="shared" si="8"/>
        <v>0</v>
      </c>
      <c r="AB32" s="106">
        <f t="shared" si="9"/>
        <v>0</v>
      </c>
      <c r="AC32" s="106">
        <f t="shared" si="10"/>
        <v>1</v>
      </c>
      <c r="AD32" s="106">
        <f t="shared" si="11"/>
        <v>1</v>
      </c>
    </row>
    <row r="33" spans="1:30">
      <c r="A33" s="165">
        <v>4</v>
      </c>
      <c r="B33" s="164" t="s">
        <v>451</v>
      </c>
      <c r="C33" s="163"/>
      <c r="D33" s="162" t="s">
        <v>56</v>
      </c>
      <c r="E33" s="158"/>
      <c r="F33" s="161"/>
      <c r="G33" s="160"/>
      <c r="H33" s="160"/>
      <c r="I33" s="159"/>
      <c r="J33" s="159"/>
      <c r="K33" s="34">
        <f t="shared" si="0"/>
        <v>0</v>
      </c>
      <c r="L33" s="158"/>
      <c r="M33" s="158"/>
      <c r="N33" s="161"/>
      <c r="O33" s="160"/>
      <c r="P33" s="160"/>
      <c r="Q33" s="159"/>
      <c r="R33" s="159"/>
      <c r="S33" s="22">
        <f t="shared" si="1"/>
        <v>0</v>
      </c>
      <c r="T33" s="109">
        <f t="shared" si="2"/>
        <v>0</v>
      </c>
      <c r="U33" s="107">
        <f t="shared" si="3"/>
        <v>0</v>
      </c>
      <c r="V33" s="107">
        <f t="shared" si="4"/>
        <v>0</v>
      </c>
      <c r="W33" s="107">
        <f t="shared" si="5"/>
        <v>0</v>
      </c>
      <c r="X33" s="107">
        <f t="shared" si="5"/>
        <v>0</v>
      </c>
      <c r="Y33" s="107">
        <f t="shared" si="6"/>
        <v>0</v>
      </c>
      <c r="Z33" s="106">
        <f t="shared" si="7"/>
        <v>0</v>
      </c>
      <c r="AA33" s="106">
        <f t="shared" si="8"/>
        <v>0</v>
      </c>
      <c r="AB33" s="106">
        <f t="shared" si="9"/>
        <v>0</v>
      </c>
      <c r="AC33" s="106">
        <f t="shared" si="10"/>
        <v>1</v>
      </c>
      <c r="AD33" s="106">
        <f t="shared" si="11"/>
        <v>1</v>
      </c>
    </row>
    <row r="34" spans="1:30">
      <c r="A34" s="165">
        <v>4</v>
      </c>
      <c r="B34" s="164" t="s">
        <v>450</v>
      </c>
      <c r="C34" s="163"/>
      <c r="D34" s="162" t="s">
        <v>55</v>
      </c>
      <c r="E34" s="158"/>
      <c r="F34" s="161"/>
      <c r="G34" s="160"/>
      <c r="H34" s="160"/>
      <c r="I34" s="159"/>
      <c r="J34" s="159"/>
      <c r="K34" s="34">
        <f t="shared" si="0"/>
        <v>0</v>
      </c>
      <c r="L34" s="158"/>
      <c r="M34" s="158"/>
      <c r="N34" s="161"/>
      <c r="O34" s="160"/>
      <c r="P34" s="160"/>
      <c r="Q34" s="159"/>
      <c r="R34" s="159"/>
      <c r="S34" s="22">
        <f t="shared" si="1"/>
        <v>0</v>
      </c>
      <c r="T34" s="109">
        <f t="shared" si="2"/>
        <v>0</v>
      </c>
      <c r="U34" s="107">
        <f t="shared" si="3"/>
        <v>0</v>
      </c>
      <c r="V34" s="107">
        <f t="shared" si="4"/>
        <v>0</v>
      </c>
      <c r="W34" s="107">
        <f t="shared" si="5"/>
        <v>0</v>
      </c>
      <c r="X34" s="107">
        <f t="shared" si="5"/>
        <v>0</v>
      </c>
      <c r="Y34" s="107">
        <f t="shared" si="6"/>
        <v>0</v>
      </c>
      <c r="Z34" s="106">
        <f t="shared" si="7"/>
        <v>0</v>
      </c>
      <c r="AA34" s="106">
        <f t="shared" si="8"/>
        <v>0</v>
      </c>
      <c r="AB34" s="106">
        <f t="shared" si="9"/>
        <v>0</v>
      </c>
      <c r="AC34" s="106">
        <f t="shared" si="10"/>
        <v>1</v>
      </c>
      <c r="AD34" s="106">
        <f t="shared" si="11"/>
        <v>1</v>
      </c>
    </row>
    <row r="35" spans="1:30">
      <c r="A35" s="165">
        <v>4</v>
      </c>
      <c r="B35" s="164" t="s">
        <v>449</v>
      </c>
      <c r="C35" s="163"/>
      <c r="D35" s="162" t="s">
        <v>53</v>
      </c>
      <c r="E35" s="158"/>
      <c r="F35" s="161"/>
      <c r="G35" s="160"/>
      <c r="H35" s="160"/>
      <c r="I35" s="159"/>
      <c r="J35" s="159"/>
      <c r="K35" s="34">
        <f t="shared" si="0"/>
        <v>0</v>
      </c>
      <c r="L35" s="158"/>
      <c r="M35" s="158"/>
      <c r="N35" s="161"/>
      <c r="O35" s="160"/>
      <c r="P35" s="160"/>
      <c r="Q35" s="159"/>
      <c r="R35" s="159"/>
      <c r="S35" s="22">
        <f t="shared" si="1"/>
        <v>0</v>
      </c>
      <c r="T35" s="109">
        <f t="shared" si="2"/>
        <v>0</v>
      </c>
      <c r="U35" s="107">
        <f t="shared" si="3"/>
        <v>0</v>
      </c>
      <c r="V35" s="107">
        <f t="shared" si="4"/>
        <v>0</v>
      </c>
      <c r="W35" s="107">
        <f t="shared" si="5"/>
        <v>0</v>
      </c>
      <c r="X35" s="107">
        <f t="shared" si="5"/>
        <v>0</v>
      </c>
      <c r="Y35" s="107">
        <f t="shared" si="6"/>
        <v>0</v>
      </c>
      <c r="Z35" s="106">
        <f t="shared" si="7"/>
        <v>0</v>
      </c>
      <c r="AA35" s="106">
        <f t="shared" si="8"/>
        <v>0</v>
      </c>
      <c r="AB35" s="106">
        <f t="shared" si="9"/>
        <v>0</v>
      </c>
      <c r="AC35" s="106">
        <f t="shared" si="10"/>
        <v>1</v>
      </c>
      <c r="AD35" s="106">
        <f t="shared" si="11"/>
        <v>1</v>
      </c>
    </row>
    <row r="36" spans="1:30" ht="14.25" thickBot="1">
      <c r="A36" s="165"/>
      <c r="B36" s="164" t="s">
        <v>448</v>
      </c>
      <c r="C36" s="163"/>
      <c r="D36" s="162" t="s">
        <v>51</v>
      </c>
      <c r="E36" s="158"/>
      <c r="F36" s="161"/>
      <c r="G36" s="160"/>
      <c r="H36" s="160"/>
      <c r="I36" s="159"/>
      <c r="J36" s="159"/>
      <c r="K36" s="34">
        <f t="shared" si="0"/>
        <v>0</v>
      </c>
      <c r="L36" s="158"/>
      <c r="M36" s="158"/>
      <c r="N36" s="161"/>
      <c r="O36" s="160"/>
      <c r="P36" s="160"/>
      <c r="Q36" s="159"/>
      <c r="R36" s="159"/>
      <c r="S36" s="22">
        <f t="shared" si="1"/>
        <v>0</v>
      </c>
      <c r="T36" s="109">
        <f t="shared" si="2"/>
        <v>0</v>
      </c>
      <c r="U36" s="107">
        <f t="shared" si="3"/>
        <v>0</v>
      </c>
      <c r="V36" s="107">
        <f t="shared" si="4"/>
        <v>0</v>
      </c>
      <c r="W36" s="107">
        <f t="shared" si="5"/>
        <v>0</v>
      </c>
      <c r="X36" s="107">
        <f t="shared" si="5"/>
        <v>0</v>
      </c>
      <c r="Y36" s="107">
        <f t="shared" si="6"/>
        <v>0</v>
      </c>
      <c r="Z36" s="106">
        <f t="shared" si="7"/>
        <v>0</v>
      </c>
      <c r="AA36" s="106">
        <f t="shared" si="8"/>
        <v>0</v>
      </c>
      <c r="AB36" s="106">
        <f t="shared" si="9"/>
        <v>0</v>
      </c>
      <c r="AC36" s="106">
        <f t="shared" si="10"/>
        <v>1</v>
      </c>
      <c r="AD36" s="106">
        <f t="shared" si="11"/>
        <v>1</v>
      </c>
    </row>
    <row r="37" spans="1:30" ht="14.25" thickTop="1">
      <c r="A37" s="156"/>
      <c r="B37" s="155"/>
      <c r="C37" s="154"/>
      <c r="D37" s="153" t="s">
        <v>2</v>
      </c>
      <c r="E37" s="149">
        <f t="shared" ref="E37:T37" si="20">SUM(E5:E36)</f>
        <v>0</v>
      </c>
      <c r="F37" s="152">
        <f t="shared" si="20"/>
        <v>0</v>
      </c>
      <c r="G37" s="151">
        <f t="shared" si="20"/>
        <v>0</v>
      </c>
      <c r="H37" s="151">
        <f t="shared" si="20"/>
        <v>0</v>
      </c>
      <c r="I37" s="150">
        <f t="shared" ref="I37" si="21">SUM(I5:I36)</f>
        <v>0</v>
      </c>
      <c r="J37" s="150">
        <f t="shared" si="20"/>
        <v>0</v>
      </c>
      <c r="K37" s="74">
        <f t="shared" si="20"/>
        <v>0</v>
      </c>
      <c r="L37" s="149">
        <f t="shared" si="20"/>
        <v>0</v>
      </c>
      <c r="M37" s="149">
        <f t="shared" si="20"/>
        <v>0</v>
      </c>
      <c r="N37" s="146">
        <f t="shared" si="20"/>
        <v>0</v>
      </c>
      <c r="O37" s="145">
        <f t="shared" si="20"/>
        <v>0</v>
      </c>
      <c r="P37" s="145">
        <f t="shared" si="20"/>
        <v>0</v>
      </c>
      <c r="Q37" s="148">
        <f t="shared" ref="Q37" si="22">SUM(Q5:Q36)</f>
        <v>0</v>
      </c>
      <c r="R37" s="148">
        <f t="shared" si="20"/>
        <v>0</v>
      </c>
      <c r="S37" s="144">
        <f t="shared" si="20"/>
        <v>0</v>
      </c>
      <c r="T37" s="147">
        <f t="shared" si="20"/>
        <v>0</v>
      </c>
      <c r="U37" s="88" t="str">
        <f>+IF(F37=0,"",ROUND(F37*F$4/(100+F$4),7)-N37)</f>
        <v/>
      </c>
      <c r="V37" s="88"/>
      <c r="W37" s="88"/>
      <c r="X37" s="88"/>
      <c r="Y37" s="88"/>
      <c r="Z37" s="88"/>
      <c r="AA37" s="88"/>
      <c r="AB37" s="87"/>
      <c r="AC37" s="87"/>
      <c r="AD37" s="87"/>
    </row>
    <row r="38" spans="1:30">
      <c r="A38" s="143"/>
      <c r="B38" s="142"/>
      <c r="C38" s="141"/>
      <c r="D38" s="140" t="s">
        <v>1</v>
      </c>
      <c r="E38" s="136">
        <f t="shared" ref="E38:J38" si="23">+E37</f>
        <v>0</v>
      </c>
      <c r="F38" s="139">
        <f t="shared" si="23"/>
        <v>0</v>
      </c>
      <c r="G38" s="138">
        <f t="shared" si="23"/>
        <v>0</v>
      </c>
      <c r="H38" s="138">
        <f t="shared" si="23"/>
        <v>0</v>
      </c>
      <c r="I38" s="137">
        <f t="shared" si="23"/>
        <v>0</v>
      </c>
      <c r="J38" s="137">
        <f t="shared" si="23"/>
        <v>0</v>
      </c>
      <c r="K38" s="63">
        <f>SUM(F38:J38)</f>
        <v>0</v>
      </c>
      <c r="L38" s="136">
        <f>+L37</f>
        <v>0</v>
      </c>
      <c r="M38" s="135">
        <f>+M37</f>
        <v>0</v>
      </c>
      <c r="N38" s="133">
        <f>+'3条支出'!N17</f>
        <v>0</v>
      </c>
      <c r="O38" s="132">
        <f>+'3条支出'!O17</f>
        <v>0</v>
      </c>
      <c r="P38" s="132">
        <f>+'3条支出'!P17</f>
        <v>0</v>
      </c>
      <c r="Q38" s="132">
        <f>+'3条支出'!Q17</f>
        <v>113</v>
      </c>
      <c r="R38" s="132">
        <f>+'3条支出'!R17</f>
        <v>6446888</v>
      </c>
      <c r="S38" s="131">
        <f>+'3条支出'!S17</f>
        <v>6447001</v>
      </c>
      <c r="T38" s="134">
        <f>+'3条支出'!T17</f>
        <v>69941329</v>
      </c>
      <c r="U38" s="88" t="str">
        <f>+IF(F38=0,"",ROUND(F38*F$4/(100+F$4),7)-N38)</f>
        <v/>
      </c>
      <c r="V38" s="88"/>
      <c r="W38" s="88"/>
      <c r="X38" s="88"/>
      <c r="Y38" s="88"/>
      <c r="Z38" s="88"/>
      <c r="AA38" s="88"/>
      <c r="AB38" s="87"/>
      <c r="AC38" s="87"/>
      <c r="AD38" s="87"/>
    </row>
    <row r="39" spans="1:30">
      <c r="E39" s="4">
        <f t="shared" ref="E39:T39" si="24">+E38-E37</f>
        <v>0</v>
      </c>
      <c r="F39" s="4">
        <f t="shared" si="24"/>
        <v>0</v>
      </c>
      <c r="G39" s="4">
        <f t="shared" si="24"/>
        <v>0</v>
      </c>
      <c r="H39" s="4">
        <f t="shared" si="24"/>
        <v>0</v>
      </c>
      <c r="I39" s="4">
        <f t="shared" ref="I39" si="25">+I38-I37</f>
        <v>0</v>
      </c>
      <c r="J39" s="4">
        <f t="shared" si="24"/>
        <v>0</v>
      </c>
      <c r="K39" s="4">
        <f t="shared" si="24"/>
        <v>0</v>
      </c>
      <c r="L39" s="4">
        <f t="shared" si="24"/>
        <v>0</v>
      </c>
      <c r="M39" s="4">
        <f t="shared" si="24"/>
        <v>0</v>
      </c>
      <c r="N39" s="4">
        <f t="shared" si="24"/>
        <v>0</v>
      </c>
      <c r="O39" s="4">
        <f t="shared" si="24"/>
        <v>0</v>
      </c>
      <c r="P39" s="4">
        <f t="shared" si="24"/>
        <v>0</v>
      </c>
      <c r="Q39" s="4">
        <f t="shared" ref="Q39" si="26">+Q38-Q37</f>
        <v>113</v>
      </c>
      <c r="R39" s="4">
        <f t="shared" si="24"/>
        <v>6446888</v>
      </c>
      <c r="S39" s="4">
        <f t="shared" si="24"/>
        <v>6447001</v>
      </c>
      <c r="T39" s="4">
        <f t="shared" si="24"/>
        <v>69941329</v>
      </c>
      <c r="U39" s="88" t="str">
        <f>+IF(F39=0,"",ROUND(F39*F$4/(100+F$4),7)-N39)</f>
        <v/>
      </c>
      <c r="V39" s="88" t="str">
        <f>+IF(G39=0,"",ROUND(G39*G$4/(100+G$4),7)-O39)</f>
        <v/>
      </c>
      <c r="W39" s="88" t="str">
        <f>+IF(H39=0,"",ROUND(H39*H$4/(100+H$4),7)-P39)</f>
        <v/>
      </c>
      <c r="X39" s="88"/>
      <c r="Y39" s="88" t="str">
        <f>+IF(J39=0,"",ROUND(J39*J$4/(100+J$4),7)-R39)</f>
        <v/>
      </c>
      <c r="Z39" s="88"/>
      <c r="AA39" s="88"/>
      <c r="AB39" s="87" t="str">
        <f>+IF(SUM(U39:Y39)=0,"",SUM(U39:Y39))</f>
        <v/>
      </c>
      <c r="AC39" s="87"/>
      <c r="AD39" s="87"/>
    </row>
    <row r="40" spans="1:30">
      <c r="U40" s="88" t="str">
        <f>+IF(F40=0,"",ROUND(F40*F$4/(100+F$4),7)-N40)</f>
        <v/>
      </c>
      <c r="V40" s="88" t="str">
        <f>+IF(G40=0,"",ROUND(G40*G$4/(100+G$4),7)-O40)</f>
        <v/>
      </c>
      <c r="W40" s="88" t="str">
        <f>+IF(H40=0,"",ROUND(H40*H$4/(100+H$4),7)-P40)</f>
        <v/>
      </c>
      <c r="X40" s="88"/>
      <c r="Y40" s="88" t="str">
        <f>+IF(J40=0,"",ROUND(J40*J$4/(100+J$4),7)-R40)</f>
        <v/>
      </c>
      <c r="Z40" s="88"/>
      <c r="AA40" s="88"/>
      <c r="AB40" s="87" t="str">
        <f>+IF(SUM(U40:Y40)=0,"",SUM(U40:Y40))</f>
        <v/>
      </c>
      <c r="AC40" s="87"/>
      <c r="AD40" s="87"/>
    </row>
    <row r="41" spans="1:30">
      <c r="G41" s="273"/>
      <c r="H41" s="272"/>
      <c r="I41" s="272"/>
      <c r="J41" s="272"/>
      <c r="U41" s="88" t="str">
        <f>+IF(F41=0,"",ROUND(F41*F$4/(100+F$4),7)-N41)</f>
        <v/>
      </c>
      <c r="V41" s="88"/>
      <c r="W41" s="88"/>
      <c r="X41" s="88"/>
      <c r="Y41" s="88"/>
      <c r="Z41" s="88"/>
      <c r="AA41" s="88"/>
      <c r="AB41" s="87"/>
      <c r="AC41" s="87"/>
      <c r="AD41" s="87"/>
    </row>
    <row r="42" spans="1:30">
      <c r="G42" s="273"/>
      <c r="H42" s="272"/>
      <c r="I42" s="272"/>
      <c r="J42" s="272"/>
    </row>
    <row r="43" spans="1:30">
      <c r="G43" s="272"/>
      <c r="H43" s="272"/>
      <c r="I43" s="272"/>
      <c r="J43" s="272"/>
    </row>
  </sheetData>
  <mergeCells count="13">
    <mergeCell ref="AE3:AI3"/>
    <mergeCell ref="L3:L4"/>
    <mergeCell ref="M3:M4"/>
    <mergeCell ref="N3:S3"/>
    <mergeCell ref="T3:T4"/>
    <mergeCell ref="U3:Y3"/>
    <mergeCell ref="Z3:AD3"/>
    <mergeCell ref="F3:K3"/>
    <mergeCell ref="A3:A4"/>
    <mergeCell ref="B3:B4"/>
    <mergeCell ref="C3:C4"/>
    <mergeCell ref="D3:D4"/>
    <mergeCell ref="E3:E4"/>
  </mergeCells>
  <phoneticPr fontId="3"/>
  <conditionalFormatting sqref="AE5:AI36">
    <cfRule type="notContainsBlanks" dxfId="4" priority="4" stopIfTrue="1">
      <formula>LEN(TRIM(AE5))&gt;0</formula>
    </cfRule>
  </conditionalFormatting>
  <conditionalFormatting sqref="AE37:AI38">
    <cfRule type="notContainsBlanks" dxfId="3" priority="5" stopIfTrue="1">
      <formula>LEN(TRIM(AE37))&gt;0</formula>
    </cfRule>
  </conditionalFormatting>
  <conditionalFormatting sqref="Z5:AD29 Z31:AD36">
    <cfRule type="expression" dxfId="2" priority="3">
      <formula>ABS(Z5)=1</formula>
    </cfRule>
  </conditionalFormatting>
  <conditionalFormatting sqref="E39:T39">
    <cfRule type="cellIs" dxfId="1" priority="2" operator="notEqual">
      <formula>0</formula>
    </cfRule>
  </conditionalFormatting>
  <conditionalFormatting sqref="Z30:AD30">
    <cfRule type="expression" dxfId="0" priority="1">
      <formula>ABS(Z30)=1</formula>
    </cfRule>
  </conditionalFormatting>
  <pageMargins left="0.39370078740157483" right="0.39370078740157483" top="0.59055118110236227" bottom="0.39370078740157483" header="0.39370078740157483" footer="0.19685039370078741"/>
  <pageSetup paperSize="9" scale="85" orientation="landscape" blackAndWhite="1" r:id="rId1"/>
  <headerFooter>
    <oddFooter>&amp;L&amp;8&amp;Z&amp;F&amp;A&amp;R&amp;8&amp;D&amp;T</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26</vt:i4>
      </vt:variant>
      <vt:variant>
        <vt:lpstr>名前付き一覧</vt:lpstr>
      </vt:variant>
      <vt:variant>
        <vt:i4>23</vt:i4>
      </vt:variant>
    </vt:vector>
  </HeadingPairs>
  <TitlesOfParts>
    <vt:vector size="49" baseType="lpstr">
      <vt:lpstr>年度</vt:lpstr>
      <vt:lpstr>全伝票</vt:lpstr>
      <vt:lpstr>災害伝票</vt:lpstr>
      <vt:lpstr>3条支出</vt:lpstr>
      <vt:lpstr>管</vt:lpstr>
      <vt:lpstr>水質</vt:lpstr>
      <vt:lpstr>ポ</vt:lpstr>
      <vt:lpstr>処</vt:lpstr>
      <vt:lpstr>受工</vt:lpstr>
      <vt:lpstr>普及</vt:lpstr>
      <vt:lpstr>貸付</vt:lpstr>
      <vt:lpstr>業務</vt:lpstr>
      <vt:lpstr>総係</vt:lpstr>
      <vt:lpstr>特環</vt:lpstr>
      <vt:lpstr>農集</vt:lpstr>
      <vt:lpstr>浄化</vt:lpstr>
      <vt:lpstr>災</vt:lpstr>
      <vt:lpstr>減価</vt:lpstr>
      <vt:lpstr>減耗</vt:lpstr>
      <vt:lpstr>営外</vt:lpstr>
      <vt:lpstr>特損</vt:lpstr>
      <vt:lpstr>3条支出(共通按分後)</vt:lpstr>
      <vt:lpstr>総係(共通按分後)</vt:lpstr>
      <vt:lpstr>特環(共通按分後)</vt:lpstr>
      <vt:lpstr>農集(共通按分後)</vt:lpstr>
      <vt:lpstr>浄化(共通按分後)</vt:lpstr>
      <vt:lpstr>'3条支出'!Print_Area</vt:lpstr>
      <vt:lpstr>'3条支出(共通按分後)'!Print_Area</vt:lpstr>
      <vt:lpstr>ポ!Print_Area</vt:lpstr>
      <vt:lpstr>営外!Print_Area</vt:lpstr>
      <vt:lpstr>管!Print_Area</vt:lpstr>
      <vt:lpstr>業務!Print_Area</vt:lpstr>
      <vt:lpstr>減価!Print_Area</vt:lpstr>
      <vt:lpstr>減耗!Print_Area</vt:lpstr>
      <vt:lpstr>災!Print_Area</vt:lpstr>
      <vt:lpstr>受工!Print_Area</vt:lpstr>
      <vt:lpstr>処!Print_Area</vt:lpstr>
      <vt:lpstr>浄化!Print_Area</vt:lpstr>
      <vt:lpstr>'浄化(共通按分後)'!Print_Area</vt:lpstr>
      <vt:lpstr>水質!Print_Area</vt:lpstr>
      <vt:lpstr>総係!Print_Area</vt:lpstr>
      <vt:lpstr>'総係(共通按分後)'!Print_Area</vt:lpstr>
      <vt:lpstr>貸付!Print_Area</vt:lpstr>
      <vt:lpstr>特環!Print_Area</vt:lpstr>
      <vt:lpstr>'特環(共通按分後)'!Print_Area</vt:lpstr>
      <vt:lpstr>特損!Print_Area</vt:lpstr>
      <vt:lpstr>農集!Print_Area</vt:lpstr>
      <vt:lpstr>'農集(共通按分後)'!Print_Area</vt:lpstr>
      <vt:lpstr>普及!Print_Area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広島市</dc:creator>
  <cp:lastModifiedBy>安達 謙介</cp:lastModifiedBy>
  <cp:lastPrinted>2024-05-20T08:13:16Z</cp:lastPrinted>
  <dcterms:created xsi:type="dcterms:W3CDTF">2018-01-17T23:58:02Z</dcterms:created>
  <dcterms:modified xsi:type="dcterms:W3CDTF">2024-06-13T02:44:04Z</dcterms:modified>
</cp:coreProperties>
</file>