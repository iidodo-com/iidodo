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drawings/drawing9.xml" ContentType="application/vnd.openxmlformats-officedocument.drawing+xml"/>
  <Override PartName="/xl/comments11.xml" ContentType="application/vnd.openxmlformats-officedocument.spreadsheetml.comments+xml"/>
  <Override PartName="/xl/drawings/drawing10.xml" ContentType="application/vnd.openxmlformats-officedocument.drawing+xml"/>
  <Override PartName="/xl/comments12.xml" ContentType="application/vnd.openxmlformats-officedocument.spreadsheetml.comments+xml"/>
  <Override PartName="/xl/drawings/drawing11.xml" ContentType="application/vnd.openxmlformats-officedocument.drawing+xml"/>
  <Override PartName="/xl/comments13.xml" ContentType="application/vnd.openxmlformats-officedocument.spreadsheetml.comments+xml"/>
  <Override PartName="/xl/drawings/drawing12.xml" ContentType="application/vnd.openxmlformats-officedocument.drawing+xml"/>
  <Override PartName="/xl/comments14.xml" ContentType="application/vnd.openxmlformats-officedocument.spreadsheetml.comments+xml"/>
  <Override PartName="/xl/drawings/drawing13.xml" ContentType="application/vnd.openxmlformats-officedocument.drawing+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経理係フォルダ\☆決算事務\０５年度決算\06 R5決算 消費税計算\02 繰入金計算\令和５年度決算用\"/>
    </mc:Choice>
  </mc:AlternateContent>
  <bookViews>
    <workbookView xWindow="20190" yWindow="1020" windowWidth="16980" windowHeight="7575" tabRatio="702" activeTab="9"/>
  </bookViews>
  <sheets>
    <sheet name="最終チェック（資本的支出の財源内訳と照合）" sheetId="13" r:id="rId1"/>
    <sheet name="(繰)案" sheetId="1" r:id="rId2"/>
    <sheet name="(繰)精算書" sheetId="2" r:id="rId3"/>
    <sheet name="(繰)繰入金" sheetId="3" r:id="rId4"/>
    <sheet name="(繰)対前年" sheetId="4" r:id="rId5"/>
    <sheet name="(繰)3条収入" sheetId="6" r:id="rId6"/>
    <sheet name="(繰)3条支出 " sheetId="5" r:id="rId7"/>
    <sheet name="(繰)4条収入" sheetId="7" r:id="rId8"/>
    <sheet name="(繰)4条支出 " sheetId="8" r:id="rId9"/>
    <sheet name="出資金しくみ" sheetId="9" r:id="rId10"/>
    <sheet name="総括表 (メモなし)" sheetId="20" r:id="rId11"/>
    <sheet name="総括表" sheetId="15" r:id="rId12"/>
    <sheet name="３条 税抜" sheetId="10" r:id="rId13"/>
    <sheet name="3条税込" sheetId="16" r:id="rId14"/>
    <sheet name="４条（みなし）" sheetId="11" r:id="rId15"/>
    <sheet name="４条（決算）" sheetId="12" r:id="rId16"/>
  </sheets>
  <externalReferences>
    <externalReference r:id="rId19"/>
    <externalReference r:id="rId20"/>
    <externalReference r:id="rId21"/>
    <externalReference r:id="rId22"/>
    <externalReference r:id="rId23"/>
    <externalReference r:id="rId24"/>
  </externalReferences>
  <definedNames>
    <definedName name="_xlnm._FilterDatabase" localSheetId="3" hidden="1">'(繰)繰入金'!$A$3:$K$38</definedName>
    <definedName name="_xlnm._FilterDatabase" localSheetId="2" hidden="1">'(繰)精算書'!$A$10:$N$62</definedName>
    <definedName name="_xlnm._FilterDatabase" localSheetId="4" hidden="1">'(繰)対前年'!$A$4:$R$47</definedName>
    <definedName name="_xlnm._FilterDatabase" localSheetId="12" hidden="1">'３条 税抜'!$A$8:$W$64</definedName>
    <definedName name="_xlnm._FilterDatabase" localSheetId="13" hidden="1">'3条税込'!$A$8:$W$66</definedName>
    <definedName name="_xlnm._FilterDatabase" localSheetId="14" hidden="1">'４条（みなし）'!$A$6:$Z$90</definedName>
    <definedName name="_xlnm._FilterDatabase" localSheetId="15" hidden="1">'４条（決算）'!$A$6:$U$91</definedName>
    <definedName name="_xlnm.Print_Area" localSheetId="6">'(繰)3条支出 '!$A$1:$I$30</definedName>
    <definedName name="_xlnm.Print_Area" localSheetId="5">'(繰)3条収入'!$A$1:$H$23</definedName>
    <definedName name="_xlnm.Print_Area" localSheetId="8">'(繰)4条支出 '!$A$1:$K$23</definedName>
    <definedName name="_xlnm.Print_Area" localSheetId="7">'(繰)4条収入'!$A$1:$M$33</definedName>
    <definedName name="_xlnm.Print_Area" localSheetId="1">'(繰)案'!$A$1:$G$42</definedName>
    <definedName name="_xlnm.Print_Area" localSheetId="3">'(繰)繰入金'!$A$1:$J$44</definedName>
    <definedName name="_xlnm.Print_Area" localSheetId="2">'(繰)精算書'!$A$1:$J$58</definedName>
    <definedName name="_xlnm.Print_Area" localSheetId="4">'(繰)対前年'!$A$1:$Q$46</definedName>
    <definedName name="_xlnm.Print_Area" localSheetId="12">'３条 税抜'!$A$1:$O$68</definedName>
    <definedName name="_xlnm.Print_Area" localSheetId="13">'3条税込'!$A$1:$O$64</definedName>
    <definedName name="_xlnm.Print_Area" localSheetId="14">'４条（みなし）'!$A$1:$P$90</definedName>
    <definedName name="_xlnm.Print_Area" localSheetId="15">'４条（決算）'!$A$1:$P$91</definedName>
    <definedName name="_xlnm.Print_Area" localSheetId="0">'最終チェック（資本的支出の財源内訳と照合）'!$A$1:$H$21</definedName>
    <definedName name="_xlnm.Print_Area" localSheetId="9">出資金しくみ!$A$1:$R$50</definedName>
    <definedName name="_xlnm.Print_Area" localSheetId="11">総括表!$A$1:$O$59</definedName>
    <definedName name="_xlnm.Print_Area" localSheetId="10">'総括表 (メモなし)'!$A$1:$M$46</definedName>
    <definedName name="_xlnm.Print_Titles" localSheetId="12">'３条 税抜'!$A:$D,'３条 税抜'!$3:$7</definedName>
    <definedName name="_xlnm.Print_Titles" localSheetId="13">'3条税込'!$A:$D,'3条税込'!$3:$7</definedName>
    <definedName name="_xlnm.Print_Titles" localSheetId="14">'４条（みなし）'!$A:$D,'４条（みなし）'!$1:$5</definedName>
    <definedName name="_xlnm.Print_Titles" localSheetId="15">'４条（決算）'!$A:$D,'４条（決算）'!$1:$5</definedName>
  </definedNames>
  <calcPr calcId="162913" fullCalcOnLoad="1"/>
</workbook>
</file>

<file path=xl/calcChain.xml><?xml version="1.0" encoding="utf-8"?>
<calcChain xmlns="http://schemas.openxmlformats.org/spreadsheetml/2006/main">
  <c r="F46" i="20" l="1"/>
  <c r="E46" i="20"/>
  <c r="R45" i="20"/>
  <c r="K45" i="20"/>
  <c r="J45" i="20"/>
  <c r="I45" i="20"/>
  <c r="H45" i="20"/>
  <c r="J40" i="20"/>
  <c r="H40" i="20"/>
  <c r="G40" i="20"/>
  <c r="F40" i="20"/>
  <c r="E40" i="20"/>
  <c r="P34" i="20"/>
  <c r="R34" i="20" s="1"/>
  <c r="G34" i="20" s="1"/>
  <c r="P33" i="20"/>
  <c r="R33" i="20" s="1"/>
  <c r="F33" i="20"/>
  <c r="E33" i="20"/>
  <c r="Q32" i="20"/>
  <c r="H32" i="20"/>
  <c r="E32" i="20"/>
  <c r="H31" i="20"/>
  <c r="P30" i="20"/>
  <c r="R30" i="20" s="1"/>
  <c r="G30" i="20" s="1"/>
  <c r="F30" i="20"/>
  <c r="F28" i="20" s="1"/>
  <c r="E30" i="20"/>
  <c r="P29" i="20"/>
  <c r="F29" i="20"/>
  <c r="E29" i="20"/>
  <c r="Q28" i="20"/>
  <c r="H28" i="20"/>
  <c r="G26" i="20"/>
  <c r="R18" i="20"/>
  <c r="G18" i="20" s="1"/>
  <c r="J18" i="20" s="1"/>
  <c r="P17" i="20"/>
  <c r="R17" i="20" s="1"/>
  <c r="G17" i="20" s="1"/>
  <c r="F17" i="20"/>
  <c r="F16" i="20"/>
  <c r="P15" i="20"/>
  <c r="Q14" i="20"/>
  <c r="F14" i="20"/>
  <c r="F20" i="20" s="1"/>
  <c r="E14" i="20"/>
  <c r="P13" i="20"/>
  <c r="R13" i="20" s="1"/>
  <c r="G13" i="20" s="1"/>
  <c r="J13" i="20" s="1"/>
  <c r="P11" i="20"/>
  <c r="R11" i="20" s="1"/>
  <c r="G11" i="20" s="1"/>
  <c r="Q9" i="20"/>
  <c r="Q20" i="20" s="1"/>
  <c r="F9" i="20"/>
  <c r="E9" i="20"/>
  <c r="E20" i="20" s="1"/>
  <c r="E6" i="20"/>
  <c r="E25" i="20" s="1"/>
  <c r="A3" i="20"/>
  <c r="R15" i="20" l="1"/>
  <c r="G15" i="20" s="1"/>
  <c r="P35" i="20"/>
  <c r="R35" i="20" s="1"/>
  <c r="G35" i="20" s="1"/>
  <c r="H17" i="20"/>
  <c r="I17" i="20" s="1"/>
  <c r="J17" i="20"/>
  <c r="K17" i="20" s="1"/>
  <c r="L34" i="20"/>
  <c r="M34" i="20" s="1"/>
  <c r="J34" i="20"/>
  <c r="K34" i="20" s="1"/>
  <c r="H11" i="20"/>
  <c r="I11" i="20" s="1"/>
  <c r="J11" i="20"/>
  <c r="K11" i="20" s="1"/>
  <c r="H15" i="20"/>
  <c r="I15" i="20" s="1"/>
  <c r="J15" i="20"/>
  <c r="K15" i="20" s="1"/>
  <c r="J30" i="20"/>
  <c r="K30" i="20" s="1"/>
  <c r="L30" i="20"/>
  <c r="M30" i="20" s="1"/>
  <c r="K18" i="20"/>
  <c r="H13" i="20"/>
  <c r="I13" i="20" s="1"/>
  <c r="H18" i="20"/>
  <c r="R29" i="20"/>
  <c r="F32" i="20"/>
  <c r="G33" i="20"/>
  <c r="K13" i="20"/>
  <c r="I18" i="20"/>
  <c r="E28" i="20"/>
  <c r="E39" i="20"/>
  <c r="R12" i="4"/>
  <c r="R23" i="4"/>
  <c r="R24" i="4"/>
  <c r="R36" i="4"/>
  <c r="R38" i="4"/>
  <c r="R32" i="20" l="1"/>
  <c r="L35" i="20"/>
  <c r="M35" i="20" s="1"/>
  <c r="J35" i="20"/>
  <c r="K35" i="20" s="1"/>
  <c r="P32" i="20"/>
  <c r="J33" i="20"/>
  <c r="K33" i="20" s="1"/>
  <c r="G32" i="20"/>
  <c r="L33" i="20"/>
  <c r="M33" i="20" s="1"/>
  <c r="G29" i="20"/>
  <c r="A5" i="2"/>
  <c r="L29" i="20" l="1"/>
  <c r="M29" i="20" s="1"/>
  <c r="J29" i="20"/>
  <c r="K29" i="20" s="1"/>
  <c r="L32" i="20"/>
  <c r="M32" i="20" s="1"/>
  <c r="J32" i="20"/>
  <c r="K32" i="20" s="1"/>
  <c r="I61" i="12"/>
  <c r="P1" i="12" l="1"/>
  <c r="P1" i="11"/>
  <c r="O3" i="16"/>
  <c r="O3" i="10"/>
  <c r="P70" i="12"/>
  <c r="O70" i="12"/>
  <c r="P69" i="12"/>
  <c r="O69" i="12"/>
  <c r="P54" i="12"/>
  <c r="O54" i="12"/>
  <c r="P53" i="12"/>
  <c r="O53" i="12"/>
  <c r="P52" i="12"/>
  <c r="O52" i="12"/>
  <c r="P51" i="12"/>
  <c r="O51" i="12"/>
  <c r="P50" i="12"/>
  <c r="O50" i="12"/>
  <c r="P49" i="12"/>
  <c r="O49" i="12"/>
  <c r="P48" i="12"/>
  <c r="O48" i="12"/>
  <c r="P47" i="12"/>
  <c r="O47" i="12"/>
  <c r="P36" i="12"/>
  <c r="O36" i="12"/>
  <c r="P29" i="12"/>
  <c r="O29" i="12"/>
  <c r="P27" i="12"/>
  <c r="O27" i="12"/>
  <c r="P21" i="12"/>
  <c r="O21" i="12"/>
  <c r="P18" i="12"/>
  <c r="O18" i="12"/>
  <c r="P16" i="12"/>
  <c r="O16" i="12"/>
  <c r="A1" i="12"/>
  <c r="N70" i="12"/>
  <c r="M70" i="12"/>
  <c r="N69" i="12"/>
  <c r="M69" i="12"/>
  <c r="N54" i="12"/>
  <c r="M54" i="12"/>
  <c r="N53" i="12"/>
  <c r="M53" i="12"/>
  <c r="N52" i="12"/>
  <c r="M52" i="12"/>
  <c r="N51" i="12"/>
  <c r="M51" i="12"/>
  <c r="N50" i="12"/>
  <c r="M50" i="12"/>
  <c r="N49" i="12"/>
  <c r="M49" i="12"/>
  <c r="N48" i="12"/>
  <c r="M48" i="12"/>
  <c r="N47" i="12"/>
  <c r="M47" i="12"/>
  <c r="N36" i="12"/>
  <c r="N29" i="12"/>
  <c r="M29" i="12"/>
  <c r="N27" i="12"/>
  <c r="M27" i="12"/>
  <c r="N21" i="12"/>
  <c r="N18" i="12"/>
  <c r="N16" i="12"/>
  <c r="L70" i="12"/>
  <c r="K70" i="12"/>
  <c r="L69" i="12"/>
  <c r="K69" i="12"/>
  <c r="L54" i="12"/>
  <c r="K54" i="12"/>
  <c r="L53" i="12"/>
  <c r="K53" i="12"/>
  <c r="L52" i="12"/>
  <c r="K52" i="12"/>
  <c r="L51" i="12"/>
  <c r="K51" i="12"/>
  <c r="L50" i="12"/>
  <c r="K50" i="12"/>
  <c r="L49" i="12"/>
  <c r="K49" i="12"/>
  <c r="L48" i="12"/>
  <c r="K48" i="12"/>
  <c r="L47" i="12"/>
  <c r="K47" i="12"/>
  <c r="L36" i="12"/>
  <c r="K36" i="12"/>
  <c r="L29" i="12"/>
  <c r="K29" i="12"/>
  <c r="L27" i="12"/>
  <c r="K27" i="12"/>
  <c r="L21" i="12"/>
  <c r="K21" i="12"/>
  <c r="L18" i="12"/>
  <c r="K18" i="12"/>
  <c r="L16" i="12"/>
  <c r="K16" i="12"/>
  <c r="I38" i="12" l="1"/>
  <c r="Q27" i="12"/>
  <c r="Q29" i="12"/>
  <c r="Q47" i="12"/>
  <c r="Q48" i="12"/>
  <c r="Q49" i="12"/>
  <c r="Q50" i="12"/>
  <c r="Q51" i="12"/>
  <c r="Q52" i="12"/>
  <c r="Q53" i="12"/>
  <c r="Q54" i="12"/>
  <c r="Q69" i="12"/>
  <c r="Q70" i="12"/>
  <c r="Q72" i="12"/>
  <c r="I59" i="12"/>
  <c r="I56" i="12"/>
  <c r="I46" i="12"/>
  <c r="I45" i="12" s="1"/>
  <c r="I44" i="12" s="1"/>
  <c r="G68" i="12"/>
  <c r="G67" i="12"/>
  <c r="G66" i="12"/>
  <c r="G65" i="12"/>
  <c r="G62" i="12"/>
  <c r="G61" i="12"/>
  <c r="G60" i="12"/>
  <c r="G59" i="12"/>
  <c r="G58" i="12"/>
  <c r="G57" i="12"/>
  <c r="G56" i="12"/>
  <c r="G55" i="12"/>
  <c r="G36" i="12"/>
  <c r="G35" i="12"/>
  <c r="G34" i="12"/>
  <c r="G33" i="12"/>
  <c r="G32" i="12"/>
  <c r="G30" i="12"/>
  <c r="G26" i="12"/>
  <c r="G25" i="12"/>
  <c r="G24" i="12"/>
  <c r="G22" i="12"/>
  <c r="G21" i="12"/>
  <c r="G19" i="12"/>
  <c r="G18" i="12"/>
  <c r="G17" i="12"/>
  <c r="G16" i="12"/>
  <c r="G15" i="12"/>
  <c r="G14" i="12"/>
  <c r="G13" i="12"/>
  <c r="G12" i="12"/>
  <c r="G11" i="12"/>
  <c r="G10" i="12"/>
  <c r="G46" i="12"/>
  <c r="G90" i="12"/>
  <c r="H84" i="12"/>
  <c r="G87" i="12"/>
  <c r="G86" i="12"/>
  <c r="G84" i="12"/>
  <c r="G83" i="12"/>
  <c r="G82" i="12"/>
  <c r="G78" i="12" s="1"/>
  <c r="G77" i="12" s="1"/>
  <c r="G81" i="12"/>
  <c r="G79" i="12"/>
  <c r="G80" i="12"/>
  <c r="G89" i="11"/>
  <c r="I20" i="12"/>
  <c r="I14" i="12"/>
  <c r="I10" i="12"/>
  <c r="I9" i="12" s="1"/>
  <c r="I8" i="12" s="1"/>
  <c r="I31" i="12"/>
  <c r="I28" i="12" s="1"/>
  <c r="I23" i="12"/>
  <c r="G41" i="12"/>
  <c r="R20" i="12"/>
  <c r="G20" i="12" s="1"/>
  <c r="R14" i="12"/>
  <c r="R10" i="12"/>
  <c r="Q21" i="12" l="1"/>
  <c r="M21" i="12"/>
  <c r="G38" i="12"/>
  <c r="Q16" i="12"/>
  <c r="M16" i="12"/>
  <c r="Q18" i="12"/>
  <c r="M18" i="12"/>
  <c r="Q36" i="12"/>
  <c r="M36" i="12"/>
  <c r="G23" i="12"/>
  <c r="G31" i="12"/>
  <c r="G64" i="12"/>
  <c r="I7" i="12"/>
  <c r="I39" i="12" s="1"/>
  <c r="G9" i="12"/>
  <c r="G91" i="12" l="1"/>
  <c r="G63" i="12"/>
  <c r="G28" i="12"/>
  <c r="G8" i="12"/>
  <c r="I73" i="12"/>
  <c r="G7" i="12" l="1"/>
  <c r="G39" i="12" s="1"/>
  <c r="I75" i="12"/>
  <c r="X68" i="12" l="1"/>
  <c r="X67" i="12"/>
  <c r="X66" i="12"/>
  <c r="X65" i="12"/>
  <c r="X62" i="12"/>
  <c r="X60" i="12"/>
  <c r="X58" i="12"/>
  <c r="X57" i="12"/>
  <c r="X55" i="12"/>
  <c r="X54" i="12"/>
  <c r="X53" i="12"/>
  <c r="X52" i="12"/>
  <c r="X51" i="12"/>
  <c r="X50" i="12"/>
  <c r="X49" i="12"/>
  <c r="X48" i="12"/>
  <c r="X47" i="12"/>
  <c r="W61" i="12"/>
  <c r="X61" i="12" s="1"/>
  <c r="W59" i="12"/>
  <c r="X59" i="12" s="1"/>
  <c r="W56" i="12"/>
  <c r="X56" i="12" s="1"/>
  <c r="W46" i="12"/>
  <c r="X46" i="12" s="1"/>
  <c r="W45" i="12" l="1"/>
  <c r="H31" i="15"/>
  <c r="F33" i="15"/>
  <c r="F30" i="15"/>
  <c r="F29" i="15"/>
  <c r="H32" i="15"/>
  <c r="H28" i="15"/>
  <c r="E33" i="15"/>
  <c r="E30" i="15"/>
  <c r="E29" i="15"/>
  <c r="F33" i="11" l="1"/>
  <c r="F32" i="11"/>
  <c r="I51" i="16" l="1"/>
  <c r="I22" i="16"/>
  <c r="G54" i="16" l="1"/>
  <c r="G13" i="16"/>
  <c r="G30" i="16"/>
  <c r="E64" i="16" l="1"/>
  <c r="W60" i="16" l="1"/>
  <c r="O60" i="16"/>
  <c r="N60" i="16"/>
  <c r="K60" i="16"/>
  <c r="J60" i="16"/>
  <c r="G60" i="16"/>
  <c r="M60" i="16" s="1"/>
  <c r="W59" i="16"/>
  <c r="W58" i="16"/>
  <c r="G58" i="16" s="1"/>
  <c r="W57" i="16"/>
  <c r="W56" i="16"/>
  <c r="I55" i="16"/>
  <c r="F55" i="16"/>
  <c r="E55" i="16"/>
  <c r="W54" i="16"/>
  <c r="W52" i="16"/>
  <c r="G51" i="16" s="1"/>
  <c r="F51" i="16"/>
  <c r="E51" i="16"/>
  <c r="W50" i="16"/>
  <c r="W49" i="16"/>
  <c r="W48" i="16"/>
  <c r="W47" i="16"/>
  <c r="W46" i="16"/>
  <c r="W45" i="16"/>
  <c r="W44" i="16"/>
  <c r="W43" i="16"/>
  <c r="W42" i="16"/>
  <c r="W41" i="16"/>
  <c r="W40" i="16"/>
  <c r="W39" i="16"/>
  <c r="W38" i="16"/>
  <c r="I37" i="16"/>
  <c r="I36" i="16" s="1"/>
  <c r="F37" i="16"/>
  <c r="E37" i="16"/>
  <c r="E33" i="16"/>
  <c r="N32" i="16"/>
  <c r="L32" i="16"/>
  <c r="W31" i="16"/>
  <c r="W30" i="16"/>
  <c r="W29" i="16"/>
  <c r="G28" i="16"/>
  <c r="I27" i="16"/>
  <c r="F27" i="16"/>
  <c r="E27" i="16"/>
  <c r="W26" i="16"/>
  <c r="W25" i="16"/>
  <c r="G24" i="16"/>
  <c r="W23" i="16"/>
  <c r="G23" i="16" s="1"/>
  <c r="W22" i="16"/>
  <c r="G21" i="16"/>
  <c r="W20" i="16"/>
  <c r="G20" i="16"/>
  <c r="I19" i="16"/>
  <c r="F19" i="16"/>
  <c r="E19" i="16"/>
  <c r="W18" i="16"/>
  <c r="W17" i="16"/>
  <c r="P17" i="16"/>
  <c r="O17" i="16"/>
  <c r="N17" i="16"/>
  <c r="M17" i="16"/>
  <c r="L17" i="16"/>
  <c r="K17" i="16"/>
  <c r="J17" i="16"/>
  <c r="W16" i="16"/>
  <c r="W15" i="16"/>
  <c r="W14" i="16"/>
  <c r="W13" i="16"/>
  <c r="E13" i="16"/>
  <c r="I12" i="16"/>
  <c r="I33" i="16" s="1"/>
  <c r="F12" i="16"/>
  <c r="F33" i="16" s="1"/>
  <c r="W11" i="16"/>
  <c r="E10" i="16"/>
  <c r="E9" i="16"/>
  <c r="F16" i="15"/>
  <c r="F17" i="15"/>
  <c r="I10" i="16" l="1"/>
  <c r="I9" i="16" s="1"/>
  <c r="E36" i="16"/>
  <c r="E62" i="16" s="1"/>
  <c r="P60" i="16"/>
  <c r="L60" i="16"/>
  <c r="G37" i="16"/>
  <c r="F10" i="16"/>
  <c r="G12" i="16"/>
  <c r="G19" i="16"/>
  <c r="G55" i="16"/>
  <c r="G27" i="16"/>
  <c r="F36" i="16"/>
  <c r="A3" i="15"/>
  <c r="K45" i="15"/>
  <c r="I45" i="15"/>
  <c r="I62" i="16" l="1"/>
  <c r="G10" i="16"/>
  <c r="G33" i="16"/>
  <c r="F9" i="16"/>
  <c r="G36" i="16"/>
  <c r="F40" i="15"/>
  <c r="E40" i="15"/>
  <c r="E6" i="15"/>
  <c r="E39" i="15" s="1"/>
  <c r="R45" i="15"/>
  <c r="Q32" i="15"/>
  <c r="Q28" i="15"/>
  <c r="F62" i="16" l="1"/>
  <c r="G9" i="16"/>
  <c r="G62" i="16" l="1"/>
  <c r="R18" i="15" l="1"/>
  <c r="G18" i="15" s="1"/>
  <c r="Q14" i="15"/>
  <c r="Q9" i="15"/>
  <c r="F9" i="15"/>
  <c r="F14" i="15"/>
  <c r="J45" i="15"/>
  <c r="F32" i="15"/>
  <c r="E32" i="15"/>
  <c r="E28" i="15"/>
  <c r="E9" i="15"/>
  <c r="H40" i="15"/>
  <c r="K18" i="15" l="1"/>
  <c r="I18" i="15"/>
  <c r="Q20" i="15"/>
  <c r="E46" i="15"/>
  <c r="F20" i="15"/>
  <c r="J18" i="15"/>
  <c r="E25" i="15"/>
  <c r="J40" i="15"/>
  <c r="F28" i="15"/>
  <c r="H45" i="15"/>
  <c r="H18" i="15"/>
  <c r="F46" i="15"/>
  <c r="E14" i="15"/>
  <c r="E20" i="15" l="1"/>
  <c r="L25" i="7" l="1"/>
  <c r="E6" i="13" l="1"/>
  <c r="E9" i="13"/>
  <c r="E11" i="13"/>
  <c r="E13" i="13"/>
  <c r="W19" i="11" l="1"/>
  <c r="A1" i="11" l="1"/>
  <c r="S81" i="11"/>
  <c r="V85" i="11" l="1"/>
  <c r="V25" i="11" l="1"/>
  <c r="V33" i="11" l="1"/>
  <c r="V66" i="11"/>
  <c r="V32" i="11"/>
  <c r="V65" i="11"/>
  <c r="V55" i="11"/>
  <c r="V11" i="11"/>
  <c r="V59" i="11"/>
  <c r="V22" i="11"/>
  <c r="V57" i="11"/>
  <c r="V86" i="11"/>
  <c r="V20" i="11"/>
  <c r="V35" i="11" l="1"/>
  <c r="V61" i="11"/>
  <c r="V10" i="11"/>
  <c r="V17" i="11"/>
  <c r="V56" i="11"/>
  <c r="V26" i="11"/>
  <c r="V58" i="11"/>
  <c r="V24" i="11"/>
  <c r="V68" i="11"/>
  <c r="V14" i="11"/>
  <c r="V46" i="11"/>
  <c r="V60" i="11"/>
  <c r="V12" i="11" l="1"/>
  <c r="V79" i="11"/>
  <c r="V62" i="11"/>
  <c r="V78" i="11"/>
  <c r="V13" i="11" l="1"/>
  <c r="V19" i="11" l="1"/>
  <c r="Q16" i="11" l="1"/>
  <c r="Q18" i="11"/>
  <c r="Q21" i="11"/>
  <c r="Q27" i="11"/>
  <c r="Q29" i="11"/>
  <c r="Q36" i="11"/>
  <c r="Q47" i="11"/>
  <c r="Q48" i="11"/>
  <c r="Q49" i="11"/>
  <c r="Q50" i="11"/>
  <c r="Q51" i="11"/>
  <c r="Q52" i="11"/>
  <c r="Q53" i="11"/>
  <c r="Q54" i="11"/>
  <c r="Q69" i="11"/>
  <c r="Q70" i="11"/>
  <c r="Q73" i="11"/>
  <c r="Q83" i="11"/>
  <c r="Q84" i="11"/>
  <c r="P84" i="11"/>
  <c r="O84" i="11"/>
  <c r="N84" i="11"/>
  <c r="M84" i="11"/>
  <c r="L84" i="11"/>
  <c r="K84" i="11"/>
  <c r="P83" i="11"/>
  <c r="O83" i="11"/>
  <c r="N83" i="11"/>
  <c r="M83" i="11"/>
  <c r="L83" i="11"/>
  <c r="K83" i="11"/>
  <c r="P73" i="11"/>
  <c r="O73" i="11"/>
  <c r="N73" i="11"/>
  <c r="M73" i="11"/>
  <c r="L73" i="11"/>
  <c r="K73" i="11"/>
  <c r="P54" i="11"/>
  <c r="O54" i="11"/>
  <c r="N54" i="11"/>
  <c r="M54" i="11"/>
  <c r="L54" i="11"/>
  <c r="K54" i="11"/>
  <c r="P53" i="11"/>
  <c r="O53" i="11"/>
  <c r="N53" i="11"/>
  <c r="M53" i="11"/>
  <c r="L53" i="11"/>
  <c r="K53" i="11"/>
  <c r="P52" i="11"/>
  <c r="O52" i="11"/>
  <c r="N52" i="11"/>
  <c r="M52" i="11"/>
  <c r="L52" i="11"/>
  <c r="K52" i="11"/>
  <c r="P51" i="11"/>
  <c r="O51" i="11"/>
  <c r="N51" i="11"/>
  <c r="M51" i="11"/>
  <c r="L51" i="11"/>
  <c r="K51" i="11"/>
  <c r="P50" i="11"/>
  <c r="O50" i="11"/>
  <c r="N50" i="11"/>
  <c r="M50" i="11"/>
  <c r="L50" i="11"/>
  <c r="K50" i="11"/>
  <c r="P49" i="11"/>
  <c r="O49" i="11"/>
  <c r="N49" i="11"/>
  <c r="M49" i="11"/>
  <c r="L49" i="11"/>
  <c r="K49" i="11"/>
  <c r="P48" i="11"/>
  <c r="O48" i="11"/>
  <c r="N48" i="11"/>
  <c r="M48" i="11"/>
  <c r="L48" i="11"/>
  <c r="K48" i="11"/>
  <c r="P47" i="11"/>
  <c r="O47" i="11"/>
  <c r="N47" i="11"/>
  <c r="M47" i="11"/>
  <c r="L47" i="11"/>
  <c r="K47" i="11"/>
  <c r="P36" i="11"/>
  <c r="O36" i="11"/>
  <c r="N36" i="11"/>
  <c r="M36" i="11"/>
  <c r="L36" i="11"/>
  <c r="K36" i="11"/>
  <c r="P29" i="11"/>
  <c r="O29" i="11"/>
  <c r="N29" i="11"/>
  <c r="M29" i="11"/>
  <c r="L29" i="11"/>
  <c r="K29" i="11"/>
  <c r="P27" i="11"/>
  <c r="O27" i="11"/>
  <c r="N27" i="11"/>
  <c r="M27" i="11"/>
  <c r="L27" i="11"/>
  <c r="K27" i="11"/>
  <c r="P21" i="11"/>
  <c r="O21" i="11"/>
  <c r="N21" i="11"/>
  <c r="M21" i="11"/>
  <c r="L21" i="11"/>
  <c r="K21" i="11"/>
  <c r="P18" i="11"/>
  <c r="O18" i="11"/>
  <c r="N18" i="11"/>
  <c r="M18" i="11"/>
  <c r="L18" i="11"/>
  <c r="K18" i="11"/>
  <c r="P16" i="11"/>
  <c r="O16" i="11"/>
  <c r="N16" i="11"/>
  <c r="M16" i="11"/>
  <c r="L16" i="11"/>
  <c r="K16" i="11"/>
  <c r="G87" i="11"/>
  <c r="G82" i="11"/>
  <c r="G81" i="11"/>
  <c r="G80" i="11"/>
  <c r="G67" i="11"/>
  <c r="G34" i="11"/>
  <c r="G30" i="11"/>
  <c r="G15" i="11"/>
  <c r="G85" i="11" l="1"/>
  <c r="G11" i="11" l="1"/>
  <c r="G55" i="11"/>
  <c r="G32" i="11"/>
  <c r="G33" i="11"/>
  <c r="G31" i="11" l="1"/>
  <c r="G17" i="11"/>
  <c r="G58" i="11"/>
  <c r="G10" i="11"/>
  <c r="G66" i="11"/>
  <c r="G86" i="11"/>
  <c r="G61" i="11"/>
  <c r="G46" i="11"/>
  <c r="G20" i="11"/>
  <c r="G14" i="11"/>
  <c r="G26" i="11"/>
  <c r="G56" i="11"/>
  <c r="G24" i="11"/>
  <c r="G35" i="11"/>
  <c r="G28" i="11" l="1"/>
  <c r="G68" i="11"/>
  <c r="G59" i="11"/>
  <c r="G57" i="11"/>
  <c r="G22" i="11"/>
  <c r="G12" i="11"/>
  <c r="G25" i="11"/>
  <c r="G65" i="11"/>
  <c r="G64" i="11" l="1"/>
  <c r="G23" i="11"/>
  <c r="G79" i="11"/>
  <c r="G62" i="11"/>
  <c r="G60" i="11"/>
  <c r="G13" i="11"/>
  <c r="G63" i="11" l="1"/>
  <c r="G45" i="11"/>
  <c r="G9" i="11"/>
  <c r="G78" i="11"/>
  <c r="G44" i="11" l="1"/>
  <c r="G77" i="11"/>
  <c r="G8" i="11"/>
  <c r="G19" i="11"/>
  <c r="G76" i="11" l="1"/>
  <c r="G38" i="11"/>
  <c r="G7" i="11"/>
  <c r="G39" i="11" l="1"/>
  <c r="G72" i="11"/>
  <c r="G74" i="11" l="1"/>
  <c r="O42" i="11" l="1"/>
  <c r="L19" i="7" l="1"/>
  <c r="G13" i="10" l="1"/>
  <c r="F47" i="10"/>
  <c r="F46" i="10"/>
  <c r="F41" i="10"/>
  <c r="W31" i="10" l="1"/>
  <c r="G31" i="10" s="1"/>
  <c r="P17" i="10"/>
  <c r="P53" i="10"/>
  <c r="N60" i="10"/>
  <c r="N53" i="10"/>
  <c r="N32" i="10"/>
  <c r="N17" i="10"/>
  <c r="L17" i="10"/>
  <c r="L32" i="10"/>
  <c r="L53" i="10"/>
  <c r="J17" i="10"/>
  <c r="J53" i="10"/>
  <c r="J60" i="10"/>
  <c r="O17" i="10"/>
  <c r="O53" i="10"/>
  <c r="O60" i="10"/>
  <c r="M17" i="10"/>
  <c r="M53" i="10"/>
  <c r="K17" i="10"/>
  <c r="K53" i="10"/>
  <c r="K60" i="10"/>
  <c r="W59" i="10"/>
  <c r="W23" i="10"/>
  <c r="W11" i="10" l="1"/>
  <c r="G11" i="10" s="1"/>
  <c r="W13" i="10"/>
  <c r="W14" i="10"/>
  <c r="W15" i="10"/>
  <c r="W16" i="10"/>
  <c r="W17" i="10"/>
  <c r="W18" i="10"/>
  <c r="G18" i="10" s="1"/>
  <c r="W20" i="10"/>
  <c r="G20" i="10" s="1"/>
  <c r="W22" i="10"/>
  <c r="G22" i="10" s="1"/>
  <c r="W26" i="10"/>
  <c r="G26" i="10" s="1"/>
  <c r="W25" i="10"/>
  <c r="G25" i="10" s="1"/>
  <c r="W29" i="10"/>
  <c r="G29" i="10" s="1"/>
  <c r="W30" i="10"/>
  <c r="G30" i="10" s="1"/>
  <c r="W38" i="10"/>
  <c r="G38" i="10" s="1"/>
  <c r="W39" i="10"/>
  <c r="G39" i="10" s="1"/>
  <c r="W40" i="10"/>
  <c r="G40" i="10" s="1"/>
  <c r="W41" i="10"/>
  <c r="G41" i="10" s="1"/>
  <c r="W42" i="10"/>
  <c r="G42" i="10" s="1"/>
  <c r="W43" i="10"/>
  <c r="G43" i="10" s="1"/>
  <c r="W44" i="10"/>
  <c r="G44" i="10" s="1"/>
  <c r="W45" i="10"/>
  <c r="G45" i="10" s="1"/>
  <c r="W46" i="10"/>
  <c r="W47" i="10"/>
  <c r="G47" i="10" s="1"/>
  <c r="W48" i="10"/>
  <c r="G48" i="10" s="1"/>
  <c r="W49" i="10"/>
  <c r="G49" i="10" s="1"/>
  <c r="W50" i="10"/>
  <c r="G50" i="10" s="1"/>
  <c r="W52" i="10"/>
  <c r="G52" i="10" s="1"/>
  <c r="W54" i="10"/>
  <c r="G54" i="10" s="1"/>
  <c r="W56" i="10"/>
  <c r="G56" i="10" s="1"/>
  <c r="W57" i="10"/>
  <c r="G57" i="10" s="1"/>
  <c r="W58" i="10"/>
  <c r="G58" i="10" s="1"/>
  <c r="W60" i="10"/>
  <c r="G60" i="10" s="1"/>
  <c r="G59" i="10"/>
  <c r="G46" i="10"/>
  <c r="G28" i="10"/>
  <c r="G24" i="10"/>
  <c r="G23" i="10"/>
  <c r="G21" i="10"/>
  <c r="L60" i="10" l="1"/>
  <c r="P60" i="10"/>
  <c r="M60" i="10"/>
  <c r="G51" i="10"/>
  <c r="G27" i="10"/>
  <c r="G37" i="10"/>
  <c r="G55" i="10"/>
  <c r="G19" i="10"/>
  <c r="G12" i="10"/>
  <c r="G10" i="10" l="1"/>
  <c r="G9" i="10" s="1"/>
  <c r="G33" i="10"/>
  <c r="G90" i="11" s="1"/>
  <c r="G36" i="10"/>
  <c r="G62" i="10" l="1"/>
  <c r="M12" i="4" l="1"/>
  <c r="M23" i="4"/>
  <c r="M24" i="4"/>
  <c r="M38" i="4"/>
  <c r="J12" i="4"/>
  <c r="J23" i="4"/>
  <c r="J24" i="4"/>
  <c r="N41" i="2" l="1"/>
  <c r="N42" i="2"/>
  <c r="N43" i="2"/>
  <c r="N44" i="2"/>
  <c r="N45" i="2"/>
  <c r="N46" i="2"/>
  <c r="N47" i="2"/>
  <c r="N48" i="2"/>
  <c r="N49" i="2"/>
  <c r="N50" i="2"/>
  <c r="N51" i="2"/>
  <c r="N52" i="2"/>
  <c r="N53" i="2"/>
  <c r="N54" i="2"/>
  <c r="N55" i="2"/>
  <c r="N56" i="2"/>
  <c r="N57" i="2"/>
  <c r="N58" i="2"/>
  <c r="N59" i="2"/>
  <c r="N60" i="2"/>
  <c r="N61" i="2"/>
  <c r="N62" i="2"/>
  <c r="K21" i="2"/>
  <c r="G22" i="5" l="1"/>
  <c r="D7" i="8" l="1"/>
  <c r="D17" i="7"/>
  <c r="D12" i="7"/>
  <c r="D7" i="7"/>
  <c r="D15" i="5" l="1"/>
  <c r="D14" i="5"/>
  <c r="G9" i="4" l="1"/>
  <c r="G8" i="3"/>
  <c r="G9" i="3"/>
  <c r="G10" i="3"/>
  <c r="G14" i="13" l="1"/>
  <c r="G13" i="13" s="1"/>
  <c r="G17" i="13" l="1"/>
  <c r="E19" i="13"/>
  <c r="G8" i="4" l="1"/>
  <c r="G44" i="4"/>
  <c r="F61" i="12" l="1"/>
  <c r="F26" i="12"/>
  <c r="F10" i="12"/>
  <c r="J41" i="12" l="1"/>
  <c r="K42" i="12"/>
  <c r="O42" i="12"/>
  <c r="E9" i="12"/>
  <c r="E8" i="12" s="1"/>
  <c r="J9" i="12"/>
  <c r="F11" i="12"/>
  <c r="F14" i="12"/>
  <c r="F15" i="12"/>
  <c r="F17" i="12"/>
  <c r="F19" i="12"/>
  <c r="E23" i="12"/>
  <c r="J23" i="12"/>
  <c r="T23" i="12"/>
  <c r="F24" i="12"/>
  <c r="F25" i="12"/>
  <c r="F30" i="12"/>
  <c r="E31" i="12"/>
  <c r="E28" i="12" s="1"/>
  <c r="F31" i="12"/>
  <c r="J31" i="12"/>
  <c r="V34" i="12"/>
  <c r="F35" i="12"/>
  <c r="E38" i="12"/>
  <c r="J38" i="12"/>
  <c r="E45" i="12"/>
  <c r="J45" i="12"/>
  <c r="F46" i="12"/>
  <c r="F55" i="12"/>
  <c r="F56" i="12"/>
  <c r="F57" i="12"/>
  <c r="F58" i="12"/>
  <c r="F59" i="12"/>
  <c r="F60" i="12"/>
  <c r="F12" i="12" s="1"/>
  <c r="F62" i="12"/>
  <c r="E64" i="12"/>
  <c r="E63" i="12" s="1"/>
  <c r="F64" i="12"/>
  <c r="J64" i="12"/>
  <c r="F68" i="12"/>
  <c r="K74" i="12"/>
  <c r="L74" i="12"/>
  <c r="O74" i="12"/>
  <c r="P74" i="12"/>
  <c r="E78" i="12"/>
  <c r="E77" i="12" s="1"/>
  <c r="F78" i="12"/>
  <c r="F77" i="12" s="1"/>
  <c r="J78" i="12"/>
  <c r="J77" i="12" s="1"/>
  <c r="K84" i="12"/>
  <c r="L84" i="12"/>
  <c r="O84" i="12"/>
  <c r="P84" i="12"/>
  <c r="K85" i="12"/>
  <c r="L85" i="12"/>
  <c r="O85" i="12"/>
  <c r="P85" i="12"/>
  <c r="X64" i="12" l="1"/>
  <c r="J28" i="12"/>
  <c r="X45" i="12"/>
  <c r="J8" i="12"/>
  <c r="J63" i="12"/>
  <c r="F63" i="12"/>
  <c r="E44" i="12"/>
  <c r="F28" i="12"/>
  <c r="F41" i="12"/>
  <c r="F13" i="12"/>
  <c r="F45" i="12"/>
  <c r="E7" i="12"/>
  <c r="J44" i="12"/>
  <c r="F38" i="12"/>
  <c r="F23" i="12"/>
  <c r="J7" i="12" l="1"/>
  <c r="X44" i="12"/>
  <c r="X63" i="12"/>
  <c r="F91" i="12"/>
  <c r="E73" i="12"/>
  <c r="E75" i="12" s="1"/>
  <c r="F44" i="12"/>
  <c r="J73" i="12"/>
  <c r="F9" i="12"/>
  <c r="J39" i="12" l="1"/>
  <c r="J75" i="12"/>
  <c r="F8" i="12"/>
  <c r="D5" i="5" l="1"/>
  <c r="M30" i="9"/>
  <c r="M38" i="9"/>
  <c r="M40" i="9"/>
  <c r="D20" i="5" l="1"/>
  <c r="F15" i="11" l="1"/>
  <c r="N11" i="7"/>
  <c r="F11" i="7"/>
  <c r="S87" i="11" l="1"/>
  <c r="T87" i="11" s="1"/>
  <c r="H87" i="11" s="1"/>
  <c r="Q87" i="11" l="1"/>
  <c r="H88" i="12"/>
  <c r="L87" i="11"/>
  <c r="O87" i="11"/>
  <c r="P87" i="11" s="1"/>
  <c r="K87" i="11"/>
  <c r="N87" i="11"/>
  <c r="M87" i="11"/>
  <c r="T81" i="11"/>
  <c r="H81" i="11" s="1"/>
  <c r="S86" i="11"/>
  <c r="T86" i="11" s="1"/>
  <c r="H86" i="11" s="1"/>
  <c r="T23" i="11"/>
  <c r="Q81" i="11" l="1"/>
  <c r="H82" i="12"/>
  <c r="L88" i="12"/>
  <c r="O88" i="12"/>
  <c r="P88" i="12"/>
  <c r="K88" i="12"/>
  <c r="Q86" i="11"/>
  <c r="H87" i="12"/>
  <c r="K86" i="11"/>
  <c r="L86" i="11" s="1"/>
  <c r="O86" i="11"/>
  <c r="P86" i="11" s="1"/>
  <c r="M86" i="11"/>
  <c r="N86" i="11" s="1"/>
  <c r="O81" i="11"/>
  <c r="P81" i="11" s="1"/>
  <c r="K81" i="11"/>
  <c r="L81" i="11" s="1"/>
  <c r="M81" i="11"/>
  <c r="N81" i="11" s="1"/>
  <c r="F68" i="11"/>
  <c r="F62" i="11"/>
  <c r="F56" i="11"/>
  <c r="F57" i="11"/>
  <c r="F58" i="11"/>
  <c r="F59" i="11"/>
  <c r="F60" i="11"/>
  <c r="F12" i="11" s="1"/>
  <c r="F61" i="11"/>
  <c r="F55" i="11"/>
  <c r="K87" i="12" l="1"/>
  <c r="L87" i="12" s="1"/>
  <c r="O87" i="12"/>
  <c r="P87" i="12" s="1"/>
  <c r="O82" i="12"/>
  <c r="P82" i="12" s="1"/>
  <c r="K82" i="12"/>
  <c r="L82" i="12" s="1"/>
  <c r="F35" i="11"/>
  <c r="F30" i="11"/>
  <c r="F26" i="11"/>
  <c r="F25" i="11"/>
  <c r="F24" i="11"/>
  <c r="F19" i="11"/>
  <c r="F17" i="11"/>
  <c r="F14" i="11"/>
  <c r="F13" i="11"/>
  <c r="F11" i="11"/>
  <c r="M42" i="11"/>
  <c r="K42" i="11"/>
  <c r="F41" i="11"/>
  <c r="J41" i="11"/>
  <c r="J77" i="11"/>
  <c r="F77" i="11"/>
  <c r="E77" i="11"/>
  <c r="E76" i="11" s="1"/>
  <c r="N70" i="11"/>
  <c r="M70" i="11"/>
  <c r="L70" i="11"/>
  <c r="N69" i="11"/>
  <c r="M69" i="11"/>
  <c r="L69" i="11"/>
  <c r="J64" i="11"/>
  <c r="F64" i="11"/>
  <c r="E64" i="11"/>
  <c r="E63" i="11" s="1"/>
  <c r="J45" i="11"/>
  <c r="E45" i="11"/>
  <c r="E38" i="11"/>
  <c r="E31" i="11"/>
  <c r="E28" i="11" s="1"/>
  <c r="E23" i="11"/>
  <c r="J38" i="11"/>
  <c r="J9" i="11"/>
  <c r="E9" i="11"/>
  <c r="E8" i="11" s="1"/>
  <c r="J76" i="11" l="1"/>
  <c r="J8" i="11"/>
  <c r="F63" i="11"/>
  <c r="J63" i="11"/>
  <c r="J44" i="11" s="1"/>
  <c r="F76" i="11"/>
  <c r="E44" i="11"/>
  <c r="E7" i="11"/>
  <c r="F38" i="11"/>
  <c r="F23" i="11"/>
  <c r="J23" i="11"/>
  <c r="F31" i="11"/>
  <c r="J31" i="11"/>
  <c r="K70" i="11"/>
  <c r="O70" i="11" s="1"/>
  <c r="K69" i="11"/>
  <c r="O69" i="11" s="1"/>
  <c r="J28" i="11" l="1"/>
  <c r="J7" i="11" s="1"/>
  <c r="J39" i="11" s="1"/>
  <c r="F28" i="11"/>
  <c r="P69" i="11"/>
  <c r="P70" i="11"/>
  <c r="E72" i="11"/>
  <c r="E74" i="11" s="1"/>
  <c r="J72" i="11" l="1"/>
  <c r="J74" i="11" l="1"/>
  <c r="I55" i="10" l="1"/>
  <c r="F55" i="10"/>
  <c r="E55" i="10"/>
  <c r="I51" i="10"/>
  <c r="F51" i="10"/>
  <c r="E51" i="10"/>
  <c r="I37" i="10"/>
  <c r="F37" i="10"/>
  <c r="E37" i="10"/>
  <c r="E33" i="10"/>
  <c r="I27" i="10"/>
  <c r="F27" i="10"/>
  <c r="E27" i="10"/>
  <c r="I19" i="10"/>
  <c r="F19" i="10"/>
  <c r="E19" i="10"/>
  <c r="E13" i="10"/>
  <c r="I12" i="10"/>
  <c r="F12" i="10"/>
  <c r="E10" i="10"/>
  <c r="I33" i="10" l="1"/>
  <c r="F33" i="10"/>
  <c r="E36" i="10"/>
  <c r="I10" i="10"/>
  <c r="F36" i="10"/>
  <c r="F10" i="10"/>
  <c r="E9" i="10"/>
  <c r="I36" i="10"/>
  <c r="F90" i="11" l="1"/>
  <c r="I9" i="10"/>
  <c r="I62" i="10" s="1"/>
  <c r="J90" i="11"/>
  <c r="F9" i="10"/>
  <c r="E62" i="10"/>
  <c r="F62" i="10" l="1"/>
  <c r="F46" i="11"/>
  <c r="F45" i="11" s="1"/>
  <c r="F10" i="11"/>
  <c r="F9" i="11" s="1"/>
  <c r="T24" i="4"/>
  <c r="H30" i="2"/>
  <c r="G30" i="2"/>
  <c r="G23" i="3"/>
  <c r="H23" i="3"/>
  <c r="L24" i="4"/>
  <c r="I24" i="4"/>
  <c r="G29" i="2"/>
  <c r="F44" i="11" l="1"/>
  <c r="F90" i="12" s="1"/>
  <c r="F8" i="11"/>
  <c r="I23" i="3"/>
  <c r="K23" i="3" s="1"/>
  <c r="G22" i="3"/>
  <c r="D6" i="8" l="1"/>
  <c r="E6" i="8"/>
  <c r="H6" i="8"/>
  <c r="J6" i="8"/>
  <c r="Q18" i="9" s="1"/>
  <c r="F7" i="8"/>
  <c r="F8" i="8"/>
  <c r="F9" i="8"/>
  <c r="F10" i="8"/>
  <c r="F11" i="8"/>
  <c r="F12" i="8"/>
  <c r="F13" i="8"/>
  <c r="F14" i="8"/>
  <c r="D15" i="8"/>
  <c r="E15" i="8"/>
  <c r="H15" i="8"/>
  <c r="J15" i="8"/>
  <c r="F16" i="8"/>
  <c r="F15" i="8" s="1"/>
  <c r="D17" i="8"/>
  <c r="H17" i="8"/>
  <c r="J17" i="8"/>
  <c r="E17" i="8"/>
  <c r="F19" i="8"/>
  <c r="F20" i="8"/>
  <c r="D21" i="8"/>
  <c r="E21" i="8"/>
  <c r="H21" i="8"/>
  <c r="J21" i="8"/>
  <c r="F22" i="8"/>
  <c r="F21" i="8" s="1"/>
  <c r="E6" i="7"/>
  <c r="H6" i="7"/>
  <c r="K6" i="7"/>
  <c r="L6" i="7"/>
  <c r="M11" i="9" s="1"/>
  <c r="D6" i="7"/>
  <c r="J6" i="7"/>
  <c r="N7" i="7"/>
  <c r="F8" i="7"/>
  <c r="N8" i="7"/>
  <c r="F9" i="7"/>
  <c r="N9" i="7"/>
  <c r="F10" i="7"/>
  <c r="N10" i="7"/>
  <c r="F12" i="7"/>
  <c r="N12" i="7"/>
  <c r="E13" i="7"/>
  <c r="H13" i="7"/>
  <c r="J13" i="7"/>
  <c r="K13" i="7"/>
  <c r="L13" i="7"/>
  <c r="D13" i="7"/>
  <c r="F14" i="7"/>
  <c r="N14" i="7"/>
  <c r="F15" i="7"/>
  <c r="I15" i="7"/>
  <c r="M15" i="7" s="1"/>
  <c r="N15" i="7"/>
  <c r="D16" i="7"/>
  <c r="F20" i="12" s="1"/>
  <c r="E16" i="7"/>
  <c r="H16" i="7"/>
  <c r="J16" i="7"/>
  <c r="K16" i="7"/>
  <c r="L16" i="7"/>
  <c r="M18" i="9" s="1"/>
  <c r="F17" i="7"/>
  <c r="N17" i="7"/>
  <c r="F18" i="7"/>
  <c r="N18" i="7"/>
  <c r="F19" i="7"/>
  <c r="N19" i="7"/>
  <c r="D20" i="7"/>
  <c r="F22" i="12" s="1"/>
  <c r="E20" i="7"/>
  <c r="H20" i="7"/>
  <c r="J20" i="7"/>
  <c r="K20" i="7"/>
  <c r="L20" i="7"/>
  <c r="F21" i="7"/>
  <c r="F20" i="7" s="1"/>
  <c r="N21" i="7"/>
  <c r="N20" i="7" s="1"/>
  <c r="E22" i="7"/>
  <c r="H22" i="7"/>
  <c r="J22" i="7"/>
  <c r="K22" i="7"/>
  <c r="L22" i="7"/>
  <c r="M24" i="9" s="1"/>
  <c r="D22" i="7"/>
  <c r="F23" i="7"/>
  <c r="N23" i="7"/>
  <c r="F24" i="7"/>
  <c r="N24" i="7"/>
  <c r="F25" i="7"/>
  <c r="N25" i="7"/>
  <c r="D26" i="7"/>
  <c r="E26" i="7"/>
  <c r="H26" i="7"/>
  <c r="J26" i="7"/>
  <c r="K26" i="7"/>
  <c r="F27" i="7"/>
  <c r="N27" i="7"/>
  <c r="F28" i="7"/>
  <c r="N28" i="7"/>
  <c r="F29" i="7"/>
  <c r="N29" i="7"/>
  <c r="D30" i="7"/>
  <c r="E30" i="7"/>
  <c r="H30" i="7"/>
  <c r="J30" i="7"/>
  <c r="K30" i="7"/>
  <c r="L30" i="7"/>
  <c r="F31" i="7"/>
  <c r="F30" i="7" s="1"/>
  <c r="N31" i="7"/>
  <c r="N30" i="7" s="1"/>
  <c r="D32" i="7"/>
  <c r="E32" i="7"/>
  <c r="H32" i="7"/>
  <c r="J32" i="7"/>
  <c r="K32" i="7"/>
  <c r="L32" i="7"/>
  <c r="F33" i="7"/>
  <c r="F32" i="7" s="1"/>
  <c r="N33" i="7"/>
  <c r="N32" i="7" s="1"/>
  <c r="D5" i="6"/>
  <c r="E5" i="6"/>
  <c r="F6" i="6"/>
  <c r="F7" i="6"/>
  <c r="F8" i="6"/>
  <c r="F9" i="6"/>
  <c r="E10" i="6"/>
  <c r="F11" i="6"/>
  <c r="F12" i="6"/>
  <c r="F13" i="6"/>
  <c r="F14" i="6"/>
  <c r="F15" i="6"/>
  <c r="F16" i="6"/>
  <c r="F17" i="6"/>
  <c r="D10" i="6"/>
  <c r="D19" i="6"/>
  <c r="E19" i="6"/>
  <c r="F20" i="6"/>
  <c r="F21" i="6"/>
  <c r="F22" i="6"/>
  <c r="F23" i="6"/>
  <c r="E5" i="5"/>
  <c r="F6" i="5"/>
  <c r="F7" i="5"/>
  <c r="F8" i="5"/>
  <c r="F9" i="5"/>
  <c r="F10" i="5"/>
  <c r="F11" i="5"/>
  <c r="F12" i="5"/>
  <c r="F13" i="5"/>
  <c r="F14" i="5"/>
  <c r="F15" i="5"/>
  <c r="F16" i="5"/>
  <c r="F17" i="5"/>
  <c r="F18" i="5"/>
  <c r="F19" i="5"/>
  <c r="E20" i="5"/>
  <c r="F21" i="5"/>
  <c r="F22" i="5"/>
  <c r="F23" i="5"/>
  <c r="D24" i="5"/>
  <c r="E24" i="5"/>
  <c r="F25" i="5"/>
  <c r="F26" i="5"/>
  <c r="F27" i="5"/>
  <c r="F28" i="5"/>
  <c r="D29" i="5"/>
  <c r="E29" i="5"/>
  <c r="G29" i="5"/>
  <c r="H29" i="5"/>
  <c r="I29" i="5"/>
  <c r="F30" i="5"/>
  <c r="F29" i="5" s="1"/>
  <c r="G7" i="4"/>
  <c r="K8" i="4"/>
  <c r="N8" i="4"/>
  <c r="N7" i="4" s="1"/>
  <c r="I12" i="4"/>
  <c r="L12" i="4"/>
  <c r="O12" i="4"/>
  <c r="P12" i="4"/>
  <c r="G18" i="4"/>
  <c r="K18" i="4"/>
  <c r="N18" i="4"/>
  <c r="N17" i="4" s="1"/>
  <c r="G28" i="4"/>
  <c r="K28" i="4"/>
  <c r="N28" i="4"/>
  <c r="N27" i="4" s="1"/>
  <c r="G31" i="4"/>
  <c r="K31" i="4"/>
  <c r="N31" i="4"/>
  <c r="N37" i="4"/>
  <c r="I38" i="4"/>
  <c r="L38" i="4"/>
  <c r="G43" i="4"/>
  <c r="G56" i="2"/>
  <c r="K46" i="4"/>
  <c r="I11" i="3"/>
  <c r="K11" i="3" s="1"/>
  <c r="G12" i="3"/>
  <c r="G13" i="3"/>
  <c r="G14" i="3"/>
  <c r="I18" i="3"/>
  <c r="K18" i="3" s="1"/>
  <c r="G19" i="3"/>
  <c r="G20" i="3"/>
  <c r="G21" i="3"/>
  <c r="G24" i="3"/>
  <c r="G28" i="3"/>
  <c r="G31" i="3"/>
  <c r="G32" i="3"/>
  <c r="G33" i="3"/>
  <c r="H35" i="3"/>
  <c r="H36" i="4" s="1"/>
  <c r="G37" i="3"/>
  <c r="H37" i="3"/>
  <c r="G15" i="2"/>
  <c r="G16" i="2"/>
  <c r="G17" i="2"/>
  <c r="G18" i="2"/>
  <c r="H18" i="2"/>
  <c r="G19" i="2"/>
  <c r="G20" i="2"/>
  <c r="G21" i="2"/>
  <c r="G25" i="2"/>
  <c r="G26" i="2"/>
  <c r="G27" i="2"/>
  <c r="G28" i="2"/>
  <c r="G31" i="2"/>
  <c r="G35" i="2"/>
  <c r="G34" i="2" s="1"/>
  <c r="G33" i="2" s="1"/>
  <c r="G38" i="2"/>
  <c r="G39" i="2"/>
  <c r="G40" i="2"/>
  <c r="G45" i="2"/>
  <c r="G35" i="3" s="1"/>
  <c r="G50" i="2"/>
  <c r="H50" i="2"/>
  <c r="E4" i="1"/>
  <c r="E6" i="1"/>
  <c r="E4" i="6" l="1"/>
  <c r="G27" i="3"/>
  <c r="K30" i="4"/>
  <c r="G27" i="4"/>
  <c r="L36" i="4"/>
  <c r="M36" i="4"/>
  <c r="G30" i="4"/>
  <c r="K7" i="4"/>
  <c r="K17" i="4"/>
  <c r="G55" i="2"/>
  <c r="K27" i="4"/>
  <c r="G17" i="4"/>
  <c r="F7" i="12"/>
  <c r="F39" i="12" s="1"/>
  <c r="D4" i="5"/>
  <c r="F89" i="11" s="1"/>
  <c r="G45" i="4"/>
  <c r="G43" i="3" s="1"/>
  <c r="G61" i="2"/>
  <c r="G62" i="2" s="1"/>
  <c r="F22" i="11"/>
  <c r="N26" i="7"/>
  <c r="H5" i="8"/>
  <c r="N36" i="4"/>
  <c r="O36" i="4" s="1"/>
  <c r="F19" i="6"/>
  <c r="D4" i="6"/>
  <c r="F4" i="6" s="1"/>
  <c r="F5" i="6"/>
  <c r="O15" i="7"/>
  <c r="F20" i="11"/>
  <c r="F7" i="11" s="1"/>
  <c r="F39" i="11" s="1"/>
  <c r="N13" i="7"/>
  <c r="N6" i="7"/>
  <c r="F24" i="5"/>
  <c r="E5" i="8"/>
  <c r="D5" i="8"/>
  <c r="F6" i="8"/>
  <c r="F26" i="7"/>
  <c r="F16" i="7"/>
  <c r="F20" i="5"/>
  <c r="F5" i="5"/>
  <c r="I37" i="3"/>
  <c r="K37" i="3" s="1"/>
  <c r="G41" i="3"/>
  <c r="I50" i="2"/>
  <c r="I35" i="3"/>
  <c r="K35" i="3" s="1"/>
  <c r="I18" i="2"/>
  <c r="N18" i="2" s="1"/>
  <c r="G24" i="2"/>
  <c r="G37" i="2"/>
  <c r="G36" i="2" s="1"/>
  <c r="G32" i="2" s="1"/>
  <c r="G30" i="3"/>
  <c r="G17" i="3"/>
  <c r="G59" i="2"/>
  <c r="G60" i="2" s="1"/>
  <c r="G7" i="3"/>
  <c r="G42" i="3"/>
  <c r="N16" i="7"/>
  <c r="E4" i="5"/>
  <c r="G14" i="2"/>
  <c r="N30" i="4"/>
  <c r="N26" i="4" s="1"/>
  <c r="N16" i="4"/>
  <c r="G16" i="4"/>
  <c r="N6" i="4"/>
  <c r="G6" i="4"/>
  <c r="I45" i="2"/>
  <c r="I25" i="2"/>
  <c r="N25" i="2" s="1"/>
  <c r="G46" i="4"/>
  <c r="I36" i="4"/>
  <c r="K26" i="4"/>
  <c r="G26" i="4"/>
  <c r="F18" i="6"/>
  <c r="F10" i="6" s="1"/>
  <c r="F22" i="7"/>
  <c r="F13" i="7"/>
  <c r="J5" i="7"/>
  <c r="D5" i="7"/>
  <c r="L5" i="7"/>
  <c r="H5" i="7"/>
  <c r="N22" i="7"/>
  <c r="K5" i="7"/>
  <c r="E5" i="7"/>
  <c r="F7" i="7"/>
  <c r="F6" i="7" s="1"/>
  <c r="F18" i="8"/>
  <c r="J5" i="8"/>
  <c r="F73" i="12" l="1"/>
  <c r="F75" i="12" s="1"/>
  <c r="G29" i="3"/>
  <c r="G26" i="3"/>
  <c r="G6" i="3"/>
  <c r="G5" i="3" s="1"/>
  <c r="G16" i="3"/>
  <c r="G15" i="3" s="1"/>
  <c r="F72" i="11"/>
  <c r="K16" i="4"/>
  <c r="G57" i="2"/>
  <c r="G58" i="2" s="1"/>
  <c r="K6" i="4"/>
  <c r="G23" i="2"/>
  <c r="G7" i="13"/>
  <c r="P36" i="4"/>
  <c r="F5" i="7"/>
  <c r="F4" i="5"/>
  <c r="G44" i="3"/>
  <c r="N5" i="7"/>
  <c r="N5" i="4"/>
  <c r="F17" i="8"/>
  <c r="F5" i="8" s="1"/>
  <c r="E2" i="1"/>
  <c r="E3" i="1" s="1"/>
  <c r="G5" i="4"/>
  <c r="G13" i="2"/>
  <c r="G25" i="3" l="1"/>
  <c r="F74" i="11"/>
  <c r="G35" i="4"/>
  <c r="K5" i="4"/>
  <c r="G22" i="2"/>
  <c r="N35" i="4"/>
  <c r="G4" i="3"/>
  <c r="G12" i="2"/>
  <c r="K35" i="4" l="1"/>
  <c r="G37" i="4"/>
  <c r="G47" i="4"/>
  <c r="G11" i="2"/>
  <c r="G34" i="3"/>
  <c r="G36" i="3" l="1"/>
  <c r="G38" i="3" s="1"/>
  <c r="K37" i="4"/>
  <c r="G42" i="2"/>
  <c r="G48" i="2" s="1"/>
  <c r="G51" i="2" s="1"/>
  <c r="G39" i="4"/>
  <c r="K39" i="4" l="1"/>
  <c r="K47" i="4"/>
  <c r="I30" i="2"/>
  <c r="N30" i="2" s="1"/>
  <c r="H29" i="2" l="1"/>
  <c r="I29" i="2" s="1"/>
  <c r="N29" i="2" s="1"/>
  <c r="H22" i="3"/>
  <c r="L23" i="4"/>
  <c r="I23" i="4"/>
  <c r="I22" i="3" l="1"/>
  <c r="K22" i="3" s="1"/>
  <c r="G22" i="8"/>
  <c r="G21" i="8" l="1"/>
  <c r="K22" i="8"/>
  <c r="P46" i="9" s="1"/>
  <c r="I22" i="8"/>
  <c r="I21" i="8" s="1"/>
  <c r="K21" i="8" l="1"/>
  <c r="L21" i="8" s="1"/>
  <c r="L22" i="8"/>
  <c r="A1" i="3" l="1"/>
  <c r="C1" i="8"/>
  <c r="B1" i="9"/>
  <c r="A3" i="16" s="1"/>
  <c r="A1" i="4"/>
  <c r="C1" i="5"/>
  <c r="C1" i="7"/>
  <c r="C1" i="6"/>
  <c r="A3" i="10" l="1"/>
  <c r="H33" i="4"/>
  <c r="R33" i="4" s="1"/>
  <c r="H34" i="4"/>
  <c r="R34" i="4" s="1"/>
  <c r="H32" i="4"/>
  <c r="R32" i="4" s="1"/>
  <c r="I33" i="4" l="1"/>
  <c r="H32" i="3"/>
  <c r="M33" i="4"/>
  <c r="L33" i="4"/>
  <c r="O33" i="4"/>
  <c r="J33" i="4"/>
  <c r="P33" i="4"/>
  <c r="H39" i="2"/>
  <c r="I39" i="2" s="1"/>
  <c r="N39" i="2" s="1"/>
  <c r="J32" i="4"/>
  <c r="H31" i="3"/>
  <c r="H31" i="4"/>
  <c r="R31" i="4" s="1"/>
  <c r="M32" i="4"/>
  <c r="L32" i="4"/>
  <c r="P32" i="4"/>
  <c r="I32" i="4"/>
  <c r="H38" i="2"/>
  <c r="O32" i="4"/>
  <c r="J34" i="4"/>
  <c r="L34" i="4"/>
  <c r="I34" i="4"/>
  <c r="M34" i="4"/>
  <c r="P34" i="4"/>
  <c r="O34" i="4"/>
  <c r="H33" i="3"/>
  <c r="H40" i="2"/>
  <c r="I40" i="2" s="1"/>
  <c r="N40" i="2" s="1"/>
  <c r="G28" i="7"/>
  <c r="I28" i="7" s="1"/>
  <c r="I33" i="3" l="1"/>
  <c r="K33" i="3" s="1"/>
  <c r="I32" i="3"/>
  <c r="K32" i="3" s="1"/>
  <c r="S30" i="12"/>
  <c r="T30" i="12" s="1"/>
  <c r="H30" i="12" s="1"/>
  <c r="E38" i="1"/>
  <c r="M28" i="7"/>
  <c r="I38" i="2"/>
  <c r="N38" i="2" s="1"/>
  <c r="H37" i="2"/>
  <c r="J31" i="4"/>
  <c r="I31" i="4"/>
  <c r="M31" i="4"/>
  <c r="P31" i="4"/>
  <c r="L31" i="4"/>
  <c r="H30" i="4"/>
  <c r="R30" i="4" s="1"/>
  <c r="H45" i="4"/>
  <c r="O31" i="4"/>
  <c r="H30" i="3"/>
  <c r="I31" i="3"/>
  <c r="K31" i="3" s="1"/>
  <c r="P30" i="12" l="1"/>
  <c r="O30" i="12"/>
  <c r="Q30" i="12"/>
  <c r="K30" i="12"/>
  <c r="N30" i="12"/>
  <c r="L30" i="12"/>
  <c r="M30" i="12"/>
  <c r="M45" i="4"/>
  <c r="J45" i="4"/>
  <c r="L45" i="4"/>
  <c r="I45" i="4"/>
  <c r="O30" i="4"/>
  <c r="P30" i="4"/>
  <c r="L30" i="4"/>
  <c r="J30" i="4"/>
  <c r="M30" i="4"/>
  <c r="I30" i="4"/>
  <c r="M46" i="9"/>
  <c r="O28" i="7"/>
  <c r="S30" i="11"/>
  <c r="T30" i="11" s="1"/>
  <c r="H30" i="11" s="1"/>
  <c r="Q30" i="11" s="1"/>
  <c r="H29" i="3"/>
  <c r="I30" i="3"/>
  <c r="K30" i="3" s="1"/>
  <c r="H43" i="3"/>
  <c r="I37" i="2"/>
  <c r="N37" i="2" s="1"/>
  <c r="H36" i="2"/>
  <c r="I36" i="2" s="1"/>
  <c r="N36" i="2" s="1"/>
  <c r="I29" i="3" l="1"/>
  <c r="K29" i="3" s="1"/>
  <c r="O30" i="11"/>
  <c r="K30" i="11"/>
  <c r="L30" i="11"/>
  <c r="P30" i="11"/>
  <c r="M30" i="11"/>
  <c r="N30" i="11"/>
  <c r="I43" i="3"/>
  <c r="H57" i="2"/>
  <c r="I57" i="2" s="1"/>
  <c r="G45" i="12" l="1"/>
  <c r="G44" i="12" l="1"/>
  <c r="G73" i="12" l="1"/>
  <c r="G75" i="12" s="1"/>
  <c r="G26" i="15" l="1"/>
  <c r="G40" i="15"/>
  <c r="G17" i="7" l="1"/>
  <c r="I17" i="7" l="1"/>
  <c r="M17" i="7" l="1"/>
  <c r="O17" i="7" l="1"/>
  <c r="G25" i="7" l="1"/>
  <c r="I25" i="7" s="1"/>
  <c r="S26" i="12" l="1"/>
  <c r="T26" i="12" s="1"/>
  <c r="H26" i="12" s="1"/>
  <c r="M25" i="7"/>
  <c r="S26" i="11" l="1"/>
  <c r="T26" i="11" s="1"/>
  <c r="H26" i="11" s="1"/>
  <c r="O25" i="7"/>
  <c r="Q26" i="12"/>
  <c r="K26" i="12"/>
  <c r="L26" i="12" s="1"/>
  <c r="O26" i="12"/>
  <c r="P26" i="12" s="1"/>
  <c r="M26" i="12"/>
  <c r="N26" i="12" s="1"/>
  <c r="M26" i="11" l="1"/>
  <c r="N26" i="11" s="1"/>
  <c r="K26" i="11"/>
  <c r="L26" i="11" s="1"/>
  <c r="Q26" i="11"/>
  <c r="O26" i="11"/>
  <c r="P26" i="11" s="1"/>
  <c r="G18" i="7" l="1"/>
  <c r="I18" i="7" l="1"/>
  <c r="G11" i="7"/>
  <c r="I11" i="7" s="1"/>
  <c r="S15" i="12" l="1"/>
  <c r="T15" i="12" s="1"/>
  <c r="H15" i="12" s="1"/>
  <c r="M11" i="7"/>
  <c r="M18" i="7"/>
  <c r="M15" i="12" l="1"/>
  <c r="L15" i="12"/>
  <c r="N15" i="12"/>
  <c r="P15" i="12"/>
  <c r="K15" i="12"/>
  <c r="O15" i="12"/>
  <c r="Q15" i="12"/>
  <c r="O18" i="7"/>
  <c r="O11" i="7"/>
  <c r="S15" i="11"/>
  <c r="T15" i="11" s="1"/>
  <c r="H15" i="11" s="1"/>
  <c r="Q15" i="11" l="1"/>
  <c r="M15" i="11"/>
  <c r="N15" i="11"/>
  <c r="P15" i="11"/>
  <c r="O15" i="11"/>
  <c r="K15" i="11"/>
  <c r="L15" i="11"/>
  <c r="G8" i="7" l="1"/>
  <c r="I8" i="7" s="1"/>
  <c r="G9" i="7"/>
  <c r="I9" i="7" s="1"/>
  <c r="G10" i="7"/>
  <c r="I10" i="7" s="1"/>
  <c r="G21" i="7"/>
  <c r="G23" i="7"/>
  <c r="G27" i="7"/>
  <c r="G31" i="7"/>
  <c r="G33" i="7"/>
  <c r="G20" i="7" l="1"/>
  <c r="I21" i="7"/>
  <c r="I27" i="7"/>
  <c r="G32" i="7"/>
  <c r="I33" i="7"/>
  <c r="G30" i="7"/>
  <c r="I31" i="7"/>
  <c r="I23" i="7"/>
  <c r="M10" i="7"/>
  <c r="M9" i="7"/>
  <c r="S11" i="12"/>
  <c r="T11" i="12" s="1"/>
  <c r="H11" i="12" s="1"/>
  <c r="M8" i="7"/>
  <c r="S14" i="12"/>
  <c r="T14" i="12" s="1"/>
  <c r="H14" i="12" s="1"/>
  <c r="G19" i="7"/>
  <c r="G12" i="7"/>
  <c r="I12" i="7" s="1"/>
  <c r="G7" i="7"/>
  <c r="S34" i="12" l="1"/>
  <c r="T34" i="12" s="1"/>
  <c r="H34" i="12" s="1"/>
  <c r="S34" i="11"/>
  <c r="T34" i="11" s="1"/>
  <c r="H34" i="11" s="1"/>
  <c r="O14" i="12"/>
  <c r="P14" i="12" s="1"/>
  <c r="M14" i="12"/>
  <c r="N14" i="12" s="1"/>
  <c r="K14" i="12"/>
  <c r="L14" i="12" s="1"/>
  <c r="Q14" i="12"/>
  <c r="I30" i="7"/>
  <c r="S35" i="12" s="1"/>
  <c r="T35" i="12" s="1"/>
  <c r="H35" i="12" s="1"/>
  <c r="M31" i="7"/>
  <c r="S33" i="12"/>
  <c r="T33" i="12" s="1"/>
  <c r="H33" i="12" s="1"/>
  <c r="S33" i="11"/>
  <c r="T33" i="11" s="1"/>
  <c r="H33" i="11" s="1"/>
  <c r="S14" i="11"/>
  <c r="T14" i="11" s="1"/>
  <c r="H14" i="11" s="1"/>
  <c r="O8" i="7"/>
  <c r="O10" i="7"/>
  <c r="M27" i="7"/>
  <c r="I7" i="7"/>
  <c r="G6" i="7"/>
  <c r="S32" i="12"/>
  <c r="T32" i="12" s="1"/>
  <c r="H32" i="12" s="1"/>
  <c r="S32" i="11"/>
  <c r="T32" i="11" s="1"/>
  <c r="H32" i="11" s="1"/>
  <c r="I19" i="7"/>
  <c r="G16" i="7"/>
  <c r="O11" i="12"/>
  <c r="P11" i="12" s="1"/>
  <c r="M11" i="12"/>
  <c r="N11" i="12" s="1"/>
  <c r="K11" i="12"/>
  <c r="L11" i="12" s="1"/>
  <c r="Q11" i="12"/>
  <c r="I32" i="7"/>
  <c r="M33" i="7"/>
  <c r="I20" i="7"/>
  <c r="S22" i="12" s="1"/>
  <c r="T22" i="12" s="1"/>
  <c r="H22" i="12" s="1"/>
  <c r="M21" i="7"/>
  <c r="S17" i="12"/>
  <c r="T17" i="12" s="1"/>
  <c r="H17" i="12" s="1"/>
  <c r="M12" i="7"/>
  <c r="O9" i="7"/>
  <c r="S11" i="11"/>
  <c r="T11" i="11" s="1"/>
  <c r="H11" i="11" s="1"/>
  <c r="M23" i="7"/>
  <c r="S24" i="12"/>
  <c r="T24" i="12" s="1"/>
  <c r="H24" i="12" s="1"/>
  <c r="G24" i="7"/>
  <c r="G29" i="7"/>
  <c r="P29" i="15" l="1"/>
  <c r="R29" i="15" s="1"/>
  <c r="G29" i="15" s="1"/>
  <c r="Q24" i="12"/>
  <c r="M24" i="12"/>
  <c r="N24" i="12" s="1"/>
  <c r="O24" i="12"/>
  <c r="P24" i="12" s="1"/>
  <c r="K24" i="12"/>
  <c r="L24" i="12" s="1"/>
  <c r="O12" i="7"/>
  <c r="S17" i="11"/>
  <c r="T17" i="11" s="1"/>
  <c r="H17" i="11" s="1"/>
  <c r="O33" i="7"/>
  <c r="O32" i="7" s="1"/>
  <c r="M32" i="7"/>
  <c r="H31" i="11"/>
  <c r="K32" i="11"/>
  <c r="L32" i="11" s="1"/>
  <c r="Q32" i="11"/>
  <c r="M32" i="11"/>
  <c r="N32" i="11" s="1"/>
  <c r="O32" i="11"/>
  <c r="P32" i="11" s="1"/>
  <c r="M30" i="7"/>
  <c r="S35" i="11" s="1"/>
  <c r="T35" i="11" s="1"/>
  <c r="H35" i="11" s="1"/>
  <c r="O31" i="7"/>
  <c r="O30" i="7" s="1"/>
  <c r="S24" i="11"/>
  <c r="T24" i="11" s="1"/>
  <c r="H24" i="11" s="1"/>
  <c r="O23" i="7"/>
  <c r="O17" i="12"/>
  <c r="P17" i="12" s="1"/>
  <c r="Q17" i="12"/>
  <c r="K17" i="12"/>
  <c r="L17" i="12" s="1"/>
  <c r="M17" i="12"/>
  <c r="N17" i="12" s="1"/>
  <c r="O32" i="12"/>
  <c r="P32" i="12" s="1"/>
  <c r="Q32" i="12"/>
  <c r="H31" i="12"/>
  <c r="K32" i="12"/>
  <c r="L32" i="12" s="1"/>
  <c r="M32" i="12"/>
  <c r="N32" i="12" s="1"/>
  <c r="O27" i="7"/>
  <c r="Q14" i="11"/>
  <c r="O14" i="11"/>
  <c r="P14" i="11" s="1"/>
  <c r="M14" i="11"/>
  <c r="N14" i="11" s="1"/>
  <c r="K14" i="11"/>
  <c r="L14" i="11" s="1"/>
  <c r="O35" i="12"/>
  <c r="P35" i="12" s="1"/>
  <c r="K35" i="12"/>
  <c r="L35" i="12" s="1"/>
  <c r="Q35" i="12"/>
  <c r="M35" i="12"/>
  <c r="N35" i="12" s="1"/>
  <c r="I29" i="7"/>
  <c r="G26" i="7"/>
  <c r="O11" i="11"/>
  <c r="P11" i="11" s="1"/>
  <c r="K11" i="11"/>
  <c r="L11" i="11" s="1"/>
  <c r="Q11" i="11"/>
  <c r="M11" i="11"/>
  <c r="N11" i="11" s="1"/>
  <c r="M20" i="7"/>
  <c r="S22" i="11" s="1"/>
  <c r="T22" i="11" s="1"/>
  <c r="H22" i="11" s="1"/>
  <c r="O21" i="7"/>
  <c r="O20" i="7" s="1"/>
  <c r="K33" i="11"/>
  <c r="L33" i="11" s="1"/>
  <c r="O33" i="11"/>
  <c r="P33" i="11" s="1"/>
  <c r="Q33" i="11"/>
  <c r="M33" i="11"/>
  <c r="N33" i="11" s="1"/>
  <c r="N34" i="11"/>
  <c r="L34" i="11"/>
  <c r="K34" i="11"/>
  <c r="Q34" i="11"/>
  <c r="M34" i="11"/>
  <c r="O34" i="11"/>
  <c r="P34" i="11"/>
  <c r="I24" i="7"/>
  <c r="G22" i="7"/>
  <c r="P30" i="15"/>
  <c r="R30" i="15" s="1"/>
  <c r="G30" i="15" s="1"/>
  <c r="K22" i="12"/>
  <c r="L22" i="12" s="1"/>
  <c r="M22" i="12"/>
  <c r="N22" i="12" s="1"/>
  <c r="O22" i="12"/>
  <c r="P22" i="12"/>
  <c r="Q22" i="12"/>
  <c r="M19" i="7"/>
  <c r="I16" i="7"/>
  <c r="S20" i="12" s="1"/>
  <c r="T20" i="12" s="1"/>
  <c r="H20" i="12" s="1"/>
  <c r="M7" i="7"/>
  <c r="I6" i="7"/>
  <c r="S10" i="12"/>
  <c r="T10" i="12" s="1"/>
  <c r="H10" i="12" s="1"/>
  <c r="O33" i="12"/>
  <c r="P33" i="12" s="1"/>
  <c r="K33" i="12"/>
  <c r="L33" i="12" s="1"/>
  <c r="Q33" i="12"/>
  <c r="M33" i="12"/>
  <c r="N33" i="12" s="1"/>
  <c r="K34" i="12"/>
  <c r="O34" i="12"/>
  <c r="Q34" i="12"/>
  <c r="P34" i="12"/>
  <c r="L34" i="12"/>
  <c r="M34" i="12"/>
  <c r="N34" i="12"/>
  <c r="S10" i="11" l="1"/>
  <c r="T10" i="11" s="1"/>
  <c r="H10" i="11" s="1"/>
  <c r="M6" i="7"/>
  <c r="O7" i="7"/>
  <c r="O6" i="7" s="1"/>
  <c r="L30" i="15"/>
  <c r="M30" i="15" s="1"/>
  <c r="J30" i="15"/>
  <c r="K30" i="15" s="1"/>
  <c r="K22" i="11"/>
  <c r="L22" i="11" s="1"/>
  <c r="Q22" i="11"/>
  <c r="M22" i="11"/>
  <c r="N22" i="11" s="1"/>
  <c r="O22" i="11"/>
  <c r="P22" i="11" s="1"/>
  <c r="Q24" i="11"/>
  <c r="K24" i="11"/>
  <c r="L24" i="11" s="1"/>
  <c r="M24" i="11"/>
  <c r="N24" i="11" s="1"/>
  <c r="O24" i="11"/>
  <c r="P24" i="11" s="1"/>
  <c r="O20" i="12"/>
  <c r="P20" i="12" s="1"/>
  <c r="M20" i="12"/>
  <c r="N20" i="12" s="1"/>
  <c r="Q20" i="12"/>
  <c r="K20" i="12"/>
  <c r="L20" i="12" s="1"/>
  <c r="K10" i="12"/>
  <c r="L10" i="12" s="1"/>
  <c r="O10" i="12"/>
  <c r="P10" i="12" s="1"/>
  <c r="Q10" i="12"/>
  <c r="M10" i="12"/>
  <c r="N10" i="12" s="1"/>
  <c r="O19" i="7"/>
  <c r="O16" i="7" s="1"/>
  <c r="M16" i="7"/>
  <c r="M29" i="7"/>
  <c r="I26" i="7"/>
  <c r="M35" i="11"/>
  <c r="N35" i="11" s="1"/>
  <c r="O35" i="11"/>
  <c r="P35" i="11" s="1"/>
  <c r="K35" i="11"/>
  <c r="L35" i="11" s="1"/>
  <c r="Q35" i="11"/>
  <c r="Q17" i="11"/>
  <c r="M17" i="11"/>
  <c r="N17" i="11" s="1"/>
  <c r="O17" i="11"/>
  <c r="P17" i="11" s="1"/>
  <c r="K17" i="11"/>
  <c r="L17" i="11" s="1"/>
  <c r="L29" i="15"/>
  <c r="M29" i="15" s="1"/>
  <c r="J29" i="15"/>
  <c r="K29" i="15" s="1"/>
  <c r="S25" i="12"/>
  <c r="T25" i="12" s="1"/>
  <c r="H25" i="12" s="1"/>
  <c r="M24" i="7"/>
  <c r="I22" i="7"/>
  <c r="O31" i="12"/>
  <c r="P31" i="12" s="1"/>
  <c r="M31" i="12"/>
  <c r="N31" i="12" s="1"/>
  <c r="H28" i="12"/>
  <c r="K31" i="12"/>
  <c r="L31" i="12" s="1"/>
  <c r="Q31" i="12"/>
  <c r="H28" i="11"/>
  <c r="K31" i="11"/>
  <c r="L31" i="11" s="1"/>
  <c r="Q31" i="11"/>
  <c r="O31" i="11"/>
  <c r="P31" i="11" s="1"/>
  <c r="M31" i="11"/>
  <c r="N31" i="11" s="1"/>
  <c r="L14" i="9" l="1"/>
  <c r="M16" i="9" s="1"/>
  <c r="S20" i="11"/>
  <c r="T20" i="11" s="1"/>
  <c r="H20" i="11" s="1"/>
  <c r="K28" i="12"/>
  <c r="L28" i="12" s="1"/>
  <c r="M28" i="12"/>
  <c r="N28" i="12" s="1"/>
  <c r="O28" i="12"/>
  <c r="P28" i="12" s="1"/>
  <c r="Q28" i="12"/>
  <c r="S25" i="11"/>
  <c r="T25" i="11" s="1"/>
  <c r="H25" i="11" s="1"/>
  <c r="O24" i="7"/>
  <c r="O22" i="7" s="1"/>
  <c r="M22" i="7"/>
  <c r="M22" i="9" s="1"/>
  <c r="L20" i="9" s="1"/>
  <c r="L7" i="9"/>
  <c r="M9" i="9" s="1"/>
  <c r="M28" i="11"/>
  <c r="N28" i="11" s="1"/>
  <c r="K28" i="11"/>
  <c r="L28" i="11" s="1"/>
  <c r="O28" i="11"/>
  <c r="P28" i="11" s="1"/>
  <c r="Q28" i="11"/>
  <c r="O25" i="12"/>
  <c r="P25" i="12" s="1"/>
  <c r="Q25" i="12"/>
  <c r="M25" i="12"/>
  <c r="N25" i="12" s="1"/>
  <c r="K25" i="12"/>
  <c r="L25" i="12" s="1"/>
  <c r="H23" i="12"/>
  <c r="O29" i="7"/>
  <c r="O26" i="7" s="1"/>
  <c r="M26" i="7"/>
  <c r="Q10" i="11"/>
  <c r="K10" i="11"/>
  <c r="L10" i="11" s="1"/>
  <c r="M10" i="11"/>
  <c r="N10" i="11" s="1"/>
  <c r="O10" i="11"/>
  <c r="P10" i="11" s="1"/>
  <c r="E18" i="1" l="1"/>
  <c r="O23" i="12"/>
  <c r="P23" i="12" s="1"/>
  <c r="Q23" i="12"/>
  <c r="M23" i="12"/>
  <c r="N23" i="12" s="1"/>
  <c r="K23" i="12"/>
  <c r="L23" i="12" s="1"/>
  <c r="O25" i="11"/>
  <c r="P25" i="11" s="1"/>
  <c r="M25" i="11"/>
  <c r="N25" i="11" s="1"/>
  <c r="K25" i="11"/>
  <c r="L25" i="11" s="1"/>
  <c r="Q25" i="11"/>
  <c r="H23" i="11"/>
  <c r="Q20" i="11"/>
  <c r="K20" i="11"/>
  <c r="L20" i="11" s="1"/>
  <c r="O20" i="11"/>
  <c r="P20" i="11" s="1"/>
  <c r="M20" i="11"/>
  <c r="N20" i="11" s="1"/>
  <c r="Q23" i="11" l="1"/>
  <c r="M23" i="11"/>
  <c r="N23" i="11" s="1"/>
  <c r="K23" i="11"/>
  <c r="L23" i="11" s="1"/>
  <c r="O23" i="11"/>
  <c r="P23" i="11" s="1"/>
  <c r="G19" i="8" l="1"/>
  <c r="G20" i="8"/>
  <c r="I20" i="8" l="1"/>
  <c r="S68" i="12"/>
  <c r="T68" i="12" s="1"/>
  <c r="H68" i="12" s="1"/>
  <c r="K20" i="8"/>
  <c r="K19" i="8"/>
  <c r="L19" i="8" s="1"/>
  <c r="I19" i="8"/>
  <c r="G10" i="8"/>
  <c r="G13" i="8"/>
  <c r="G11" i="8"/>
  <c r="S66" i="11" l="1"/>
  <c r="T66" i="11" s="1"/>
  <c r="H66" i="11" s="1"/>
  <c r="S66" i="12"/>
  <c r="T66" i="12" s="1"/>
  <c r="H66" i="12" s="1"/>
  <c r="S58" i="12"/>
  <c r="T58" i="12" s="1"/>
  <c r="H58" i="12" s="1"/>
  <c r="K11" i="8"/>
  <c r="I11" i="8"/>
  <c r="S65" i="12"/>
  <c r="T65" i="12" s="1"/>
  <c r="H65" i="12" s="1"/>
  <c r="S65" i="11"/>
  <c r="T65" i="11" s="1"/>
  <c r="H65" i="11" s="1"/>
  <c r="S68" i="11"/>
  <c r="T68" i="11" s="1"/>
  <c r="H68" i="11" s="1"/>
  <c r="L20" i="8"/>
  <c r="O68" i="12"/>
  <c r="P68" i="12" s="1"/>
  <c r="K68" i="12"/>
  <c r="L68" i="12" s="1"/>
  <c r="M68" i="12"/>
  <c r="N68" i="12" s="1"/>
  <c r="Q68" i="12"/>
  <c r="S67" i="12"/>
  <c r="T67" i="12" s="1"/>
  <c r="H67" i="12" s="1"/>
  <c r="S67" i="11"/>
  <c r="T67" i="11" s="1"/>
  <c r="H67" i="11" s="1"/>
  <c r="I13" i="8"/>
  <c r="K13" i="8"/>
  <c r="S60" i="12"/>
  <c r="T60" i="12" s="1"/>
  <c r="H60" i="12" s="1"/>
  <c r="S12" i="12"/>
  <c r="K10" i="8"/>
  <c r="S57" i="12"/>
  <c r="T57" i="12" s="1"/>
  <c r="H57" i="12" s="1"/>
  <c r="I10" i="8"/>
  <c r="G7" i="8"/>
  <c r="G8" i="8"/>
  <c r="P57" i="12" l="1"/>
  <c r="K57" i="12"/>
  <c r="L57" i="12"/>
  <c r="O57" i="12"/>
  <c r="N57" i="12"/>
  <c r="M57" i="12"/>
  <c r="Q57" i="12"/>
  <c r="S12" i="11"/>
  <c r="L13" i="8"/>
  <c r="S60" i="11"/>
  <c r="T60" i="11" s="1"/>
  <c r="H60" i="11" s="1"/>
  <c r="L67" i="12"/>
  <c r="M67" i="12"/>
  <c r="N67" i="12"/>
  <c r="P67" i="12"/>
  <c r="K67" i="12"/>
  <c r="O67" i="12"/>
  <c r="Q67" i="12"/>
  <c r="K65" i="11"/>
  <c r="L65" i="11" s="1"/>
  <c r="Q65" i="11"/>
  <c r="M65" i="11"/>
  <c r="N65" i="11" s="1"/>
  <c r="H64" i="11"/>
  <c r="O65" i="11"/>
  <c r="P65" i="11" s="1"/>
  <c r="Q58" i="12"/>
  <c r="O58" i="12"/>
  <c r="P58" i="12" s="1"/>
  <c r="K58" i="12"/>
  <c r="L58" i="12" s="1"/>
  <c r="M58" i="12"/>
  <c r="N58" i="12" s="1"/>
  <c r="G9" i="8"/>
  <c r="P34" i="15"/>
  <c r="R34" i="15" s="1"/>
  <c r="G34" i="15" s="1"/>
  <c r="G16" i="8"/>
  <c r="L10" i="8"/>
  <c r="S57" i="11"/>
  <c r="T57" i="11" s="1"/>
  <c r="H57" i="11" s="1"/>
  <c r="O65" i="12"/>
  <c r="P65" i="12" s="1"/>
  <c r="K65" i="12"/>
  <c r="L65" i="12" s="1"/>
  <c r="M65" i="12"/>
  <c r="N65" i="12" s="1"/>
  <c r="Q65" i="12"/>
  <c r="H64" i="12"/>
  <c r="K7" i="8"/>
  <c r="S46" i="12"/>
  <c r="T46" i="12" s="1"/>
  <c r="I7" i="8"/>
  <c r="T12" i="12"/>
  <c r="H12" i="12" s="1"/>
  <c r="S13" i="12"/>
  <c r="T13" i="12" s="1"/>
  <c r="H13" i="12" s="1"/>
  <c r="M68" i="11"/>
  <c r="N68" i="11" s="1"/>
  <c r="O68" i="11"/>
  <c r="P68" i="11" s="1"/>
  <c r="Q68" i="11"/>
  <c r="K68" i="11"/>
  <c r="L68" i="11" s="1"/>
  <c r="O66" i="12"/>
  <c r="P66" i="12" s="1"/>
  <c r="Q66" i="12"/>
  <c r="M66" i="12"/>
  <c r="N66" i="12" s="1"/>
  <c r="K66" i="12"/>
  <c r="L66" i="12" s="1"/>
  <c r="I8" i="8"/>
  <c r="K8" i="8"/>
  <c r="S55" i="12"/>
  <c r="T55" i="12" s="1"/>
  <c r="H55" i="12" s="1"/>
  <c r="O60" i="12"/>
  <c r="P60" i="12" s="1"/>
  <c r="K60" i="12"/>
  <c r="L60" i="12" s="1"/>
  <c r="M60" i="12"/>
  <c r="N60" i="12" s="1"/>
  <c r="Q60" i="12"/>
  <c r="P67" i="11"/>
  <c r="N67" i="11"/>
  <c r="M67" i="11"/>
  <c r="L67" i="11"/>
  <c r="K67" i="11"/>
  <c r="Q67" i="11"/>
  <c r="O67" i="11"/>
  <c r="L11" i="8"/>
  <c r="S58" i="11"/>
  <c r="T58" i="11" s="1"/>
  <c r="H58" i="11" s="1"/>
  <c r="M66" i="11"/>
  <c r="N66" i="11" s="1"/>
  <c r="O66" i="11"/>
  <c r="P66" i="11" s="1"/>
  <c r="Q66" i="11"/>
  <c r="K66" i="11"/>
  <c r="L66" i="11" s="1"/>
  <c r="G14" i="8"/>
  <c r="G18" i="8"/>
  <c r="I18" i="8" l="1"/>
  <c r="I17" i="8" s="1"/>
  <c r="G17" i="8"/>
  <c r="K18" i="8"/>
  <c r="I14" i="8"/>
  <c r="K14" i="8"/>
  <c r="S61" i="12"/>
  <c r="T61" i="12" s="1"/>
  <c r="H61" i="12" s="1"/>
  <c r="G12" i="8"/>
  <c r="O55" i="12"/>
  <c r="P55" i="12" s="1"/>
  <c r="K55" i="12"/>
  <c r="L55" i="12" s="1"/>
  <c r="Q55" i="12"/>
  <c r="M55" i="12"/>
  <c r="N55" i="12" s="1"/>
  <c r="O12" i="12"/>
  <c r="P12" i="12" s="1"/>
  <c r="Q12" i="12"/>
  <c r="M12" i="12"/>
  <c r="N12" i="12" s="1"/>
  <c r="K12" i="12"/>
  <c r="L12" i="12" s="1"/>
  <c r="H9" i="12"/>
  <c r="L7" i="8"/>
  <c r="S46" i="11"/>
  <c r="T46" i="11" s="1"/>
  <c r="N57" i="11"/>
  <c r="P57" i="11"/>
  <c r="O57" i="11"/>
  <c r="Q57" i="11"/>
  <c r="L57" i="11"/>
  <c r="M57" i="11"/>
  <c r="K57" i="11"/>
  <c r="M60" i="11"/>
  <c r="N60" i="11" s="1"/>
  <c r="K60" i="11"/>
  <c r="L60" i="11" s="1"/>
  <c r="O60" i="11"/>
  <c r="P60" i="11" s="1"/>
  <c r="Q60" i="11"/>
  <c r="S55" i="11"/>
  <c r="T55" i="11" s="1"/>
  <c r="H55" i="11" s="1"/>
  <c r="L8" i="8"/>
  <c r="S56" i="12"/>
  <c r="T56" i="12" s="1"/>
  <c r="H56" i="12" s="1"/>
  <c r="K9" i="8"/>
  <c r="I9" i="8"/>
  <c r="M64" i="11"/>
  <c r="N64" i="11" s="1"/>
  <c r="H63" i="11"/>
  <c r="K64" i="11"/>
  <c r="L64" i="11" s="1"/>
  <c r="Q64" i="11"/>
  <c r="O64" i="11"/>
  <c r="P64" i="11" s="1"/>
  <c r="Q58" i="11"/>
  <c r="M58" i="11"/>
  <c r="N58" i="11" s="1"/>
  <c r="O58" i="11"/>
  <c r="P58" i="11" s="1"/>
  <c r="K58" i="11"/>
  <c r="L58" i="11" s="1"/>
  <c r="K16" i="8"/>
  <c r="G15" i="8"/>
  <c r="S62" i="12" s="1"/>
  <c r="T62" i="12" s="1"/>
  <c r="H62" i="12" s="1"/>
  <c r="I16" i="8"/>
  <c r="I15" i="8" s="1"/>
  <c r="T12" i="11"/>
  <c r="H12" i="11" s="1"/>
  <c r="S13" i="11"/>
  <c r="T13" i="11" s="1"/>
  <c r="H13" i="11" s="1"/>
  <c r="O13" i="12"/>
  <c r="P13" i="12" s="1"/>
  <c r="M13" i="12"/>
  <c r="N13" i="12" s="1"/>
  <c r="Q13" i="12"/>
  <c r="K13" i="12"/>
  <c r="L13" i="12" s="1"/>
  <c r="H46" i="12"/>
  <c r="Q64" i="12"/>
  <c r="K64" i="12"/>
  <c r="L64" i="12" s="1"/>
  <c r="O64" i="12"/>
  <c r="P64" i="12" s="1"/>
  <c r="M64" i="12"/>
  <c r="N64" i="12" s="1"/>
  <c r="H63" i="12"/>
  <c r="L34" i="15"/>
  <c r="M34" i="15" s="1"/>
  <c r="J34" i="15"/>
  <c r="K34" i="15" s="1"/>
  <c r="M12" i="11" l="1"/>
  <c r="N12" i="11" s="1"/>
  <c r="O12" i="11"/>
  <c r="P12" i="11" s="1"/>
  <c r="Q12" i="11"/>
  <c r="K12" i="11"/>
  <c r="L12" i="11" s="1"/>
  <c r="H9" i="11"/>
  <c r="Q62" i="12"/>
  <c r="K62" i="12"/>
  <c r="L62" i="12" s="1"/>
  <c r="O62" i="12"/>
  <c r="P62" i="12" s="1"/>
  <c r="M62" i="12"/>
  <c r="N62" i="12" s="1"/>
  <c r="O63" i="11"/>
  <c r="P63" i="11" s="1"/>
  <c r="M63" i="11"/>
  <c r="N63" i="11" s="1"/>
  <c r="K63" i="11"/>
  <c r="L63" i="11" s="1"/>
  <c r="Q63" i="11"/>
  <c r="M56" i="12"/>
  <c r="N56" i="12" s="1"/>
  <c r="Q56" i="12"/>
  <c r="K56" i="12"/>
  <c r="L56" i="12" s="1"/>
  <c r="O56" i="12"/>
  <c r="P56" i="12" s="1"/>
  <c r="M55" i="11"/>
  <c r="N55" i="11" s="1"/>
  <c r="K55" i="11"/>
  <c r="L55" i="11" s="1"/>
  <c r="O55" i="11"/>
  <c r="P55" i="11" s="1"/>
  <c r="Q55" i="11"/>
  <c r="O9" i="12"/>
  <c r="P9" i="12" s="1"/>
  <c r="H8" i="12"/>
  <c r="K9" i="12"/>
  <c r="L9" i="12" s="1"/>
  <c r="Q9" i="12"/>
  <c r="M9" i="12"/>
  <c r="N9" i="12" s="1"/>
  <c r="S61" i="11"/>
  <c r="T61" i="11" s="1"/>
  <c r="H61" i="11" s="1"/>
  <c r="L14" i="8"/>
  <c r="L16" i="8"/>
  <c r="K15" i="8"/>
  <c r="S59" i="12"/>
  <c r="T59" i="12" s="1"/>
  <c r="I12" i="8"/>
  <c r="I6" i="8" s="1"/>
  <c r="I5" i="8" s="1"/>
  <c r="K12" i="8"/>
  <c r="G6" i="8"/>
  <c r="G5" i="8" s="1"/>
  <c r="P33" i="15"/>
  <c r="O46" i="12"/>
  <c r="P46" i="12" s="1"/>
  <c r="K46" i="12"/>
  <c r="L46" i="12" s="1"/>
  <c r="M46" i="12"/>
  <c r="N46" i="12" s="1"/>
  <c r="Q46" i="12"/>
  <c r="H46" i="11"/>
  <c r="L18" i="8"/>
  <c r="L17" i="8" s="1"/>
  <c r="K17" i="8"/>
  <c r="P42" i="9" s="1"/>
  <c r="O63" i="12"/>
  <c r="P63" i="12" s="1"/>
  <c r="M63" i="12"/>
  <c r="N63" i="12" s="1"/>
  <c r="Q63" i="12"/>
  <c r="K63" i="12"/>
  <c r="L63" i="12" s="1"/>
  <c r="K13" i="11"/>
  <c r="L13" i="11" s="1"/>
  <c r="O13" i="11"/>
  <c r="P13" i="11" s="1"/>
  <c r="Q13" i="11"/>
  <c r="M13" i="11"/>
  <c r="N13" i="11" s="1"/>
  <c r="S56" i="11"/>
  <c r="T56" i="11" s="1"/>
  <c r="H56" i="11" s="1"/>
  <c r="L9" i="8"/>
  <c r="O61" i="12"/>
  <c r="P61" i="12" s="1"/>
  <c r="M61" i="12"/>
  <c r="N61" i="12" s="1"/>
  <c r="Q61" i="12"/>
  <c r="K61" i="12"/>
  <c r="L61" i="12" s="1"/>
  <c r="R33" i="15" l="1"/>
  <c r="P34" i="9"/>
  <c r="L15" i="8"/>
  <c r="S62" i="11"/>
  <c r="T62" i="11" s="1"/>
  <c r="H62" i="11" s="1"/>
  <c r="M61" i="11"/>
  <c r="N61" i="11" s="1"/>
  <c r="O61" i="11"/>
  <c r="P61" i="11" s="1"/>
  <c r="Q61" i="11"/>
  <c r="K61" i="11"/>
  <c r="L61" i="11" s="1"/>
  <c r="O8" i="12"/>
  <c r="P8" i="12" s="1"/>
  <c r="K8" i="12"/>
  <c r="L8" i="12" s="1"/>
  <c r="Q8" i="12"/>
  <c r="M8" i="12"/>
  <c r="N8" i="12" s="1"/>
  <c r="P35" i="15"/>
  <c r="R35" i="15" s="1"/>
  <c r="G35" i="15" s="1"/>
  <c r="K46" i="11"/>
  <c r="L46" i="11" s="1"/>
  <c r="Q46" i="11"/>
  <c r="M46" i="11"/>
  <c r="N46" i="11" s="1"/>
  <c r="O46" i="11"/>
  <c r="P46" i="11" s="1"/>
  <c r="H59" i="12"/>
  <c r="T71" i="12"/>
  <c r="G3" i="13"/>
  <c r="S44" i="12"/>
  <c r="T44" i="12" s="1"/>
  <c r="M9" i="11"/>
  <c r="N9" i="11" s="1"/>
  <c r="Q9" i="11"/>
  <c r="O9" i="11"/>
  <c r="P9" i="11" s="1"/>
  <c r="K9" i="11"/>
  <c r="L9" i="11" s="1"/>
  <c r="H8" i="11"/>
  <c r="O56" i="11"/>
  <c r="P56" i="11" s="1"/>
  <c r="M56" i="11"/>
  <c r="N56" i="11" s="1"/>
  <c r="Q56" i="11"/>
  <c r="K56" i="11"/>
  <c r="L56" i="11" s="1"/>
  <c r="L12" i="8"/>
  <c r="L6" i="8" s="1"/>
  <c r="S59" i="11"/>
  <c r="T59" i="11" s="1"/>
  <c r="H59" i="11" s="1"/>
  <c r="K6" i="8"/>
  <c r="L5" i="8" l="1"/>
  <c r="M62" i="11"/>
  <c r="N62" i="11" s="1"/>
  <c r="Q62" i="11"/>
  <c r="O62" i="11"/>
  <c r="P62" i="11" s="1"/>
  <c r="K62" i="11"/>
  <c r="L62" i="11" s="1"/>
  <c r="G33" i="15"/>
  <c r="R32" i="15"/>
  <c r="T71" i="11"/>
  <c r="K5" i="8"/>
  <c r="P14" i="9"/>
  <c r="O59" i="12"/>
  <c r="P59" i="12" s="1"/>
  <c r="M59" i="12"/>
  <c r="N59" i="12" s="1"/>
  <c r="K59" i="12"/>
  <c r="L59" i="12" s="1"/>
  <c r="Q59" i="12"/>
  <c r="H45" i="12"/>
  <c r="O59" i="11"/>
  <c r="P59" i="11" s="1"/>
  <c r="Q59" i="11"/>
  <c r="K59" i="11"/>
  <c r="L59" i="11" s="1"/>
  <c r="M59" i="11"/>
  <c r="N59" i="11" s="1"/>
  <c r="H45" i="11"/>
  <c r="L35" i="15"/>
  <c r="M35" i="15" s="1"/>
  <c r="J35" i="15"/>
  <c r="K35" i="15" s="1"/>
  <c r="K8" i="11"/>
  <c r="L8" i="11" s="1"/>
  <c r="O8" i="11"/>
  <c r="P8" i="11" s="1"/>
  <c r="Q8" i="11"/>
  <c r="M8" i="11"/>
  <c r="N8" i="11" s="1"/>
  <c r="P32" i="15"/>
  <c r="O45" i="12" l="1"/>
  <c r="P45" i="12" s="1"/>
  <c r="K45" i="12"/>
  <c r="L45" i="12" s="1"/>
  <c r="M45" i="12"/>
  <c r="N45" i="12" s="1"/>
  <c r="Q45" i="12"/>
  <c r="H44" i="12"/>
  <c r="P49" i="9"/>
  <c r="Q16" i="9"/>
  <c r="L33" i="15"/>
  <c r="M33" i="15" s="1"/>
  <c r="J33" i="15"/>
  <c r="K33" i="15" s="1"/>
  <c r="G32" i="15"/>
  <c r="E17" i="1"/>
  <c r="S44" i="11"/>
  <c r="T44" i="11" s="1"/>
  <c r="Q45" i="11"/>
  <c r="O45" i="11"/>
  <c r="P45" i="11" s="1"/>
  <c r="K45" i="11"/>
  <c r="L45" i="11" s="1"/>
  <c r="M45" i="11"/>
  <c r="N45" i="11" s="1"/>
  <c r="H44" i="11"/>
  <c r="J32" i="15" l="1"/>
  <c r="K32" i="15" s="1"/>
  <c r="L32" i="15"/>
  <c r="M32" i="15" s="1"/>
  <c r="Q44" i="11"/>
  <c r="O44" i="11"/>
  <c r="P44" i="11" s="1"/>
  <c r="K44" i="11"/>
  <c r="L44" i="11" s="1"/>
  <c r="M44" i="11"/>
  <c r="N44" i="11" s="1"/>
  <c r="O44" i="12"/>
  <c r="P44" i="12" s="1"/>
  <c r="K44" i="12"/>
  <c r="L44" i="12" s="1"/>
  <c r="Q44" i="12"/>
  <c r="M44" i="12"/>
  <c r="N44" i="12" s="1"/>
  <c r="G8" i="6" l="1"/>
  <c r="R11" i="16" l="1"/>
  <c r="S11" i="16" s="1"/>
  <c r="H11" i="16" s="1"/>
  <c r="G6" i="6"/>
  <c r="J11" i="16" l="1"/>
  <c r="K11" i="16" s="1"/>
  <c r="N11" i="16"/>
  <c r="O11" i="16" s="1"/>
  <c r="P11" i="16"/>
  <c r="L11" i="16"/>
  <c r="M11" i="16" s="1"/>
  <c r="G20" i="6" l="1"/>
  <c r="G16" i="6"/>
  <c r="G12" i="6"/>
  <c r="G21" i="6"/>
  <c r="P11" i="15" l="1"/>
  <c r="R11" i="15" s="1"/>
  <c r="G11" i="15" s="1"/>
  <c r="R26" i="16"/>
  <c r="S26" i="16" s="1"/>
  <c r="H26" i="16" s="1"/>
  <c r="G17" i="6"/>
  <c r="R31" i="16"/>
  <c r="S31" i="16" s="1"/>
  <c r="H31" i="16" s="1"/>
  <c r="G23" i="6"/>
  <c r="R20" i="16"/>
  <c r="S20" i="16" s="1"/>
  <c r="H20" i="16" s="1"/>
  <c r="G11" i="6"/>
  <c r="R22" i="16"/>
  <c r="S22" i="16" s="1"/>
  <c r="H22" i="16" s="1"/>
  <c r="G14" i="6"/>
  <c r="R18" i="16"/>
  <c r="S18" i="16" s="1"/>
  <c r="H18" i="16" s="1"/>
  <c r="G9" i="6"/>
  <c r="R29" i="16"/>
  <c r="S29" i="16" s="1"/>
  <c r="H29" i="16" s="1"/>
  <c r="G22" i="6"/>
  <c r="G19" i="6" s="1"/>
  <c r="R25" i="16"/>
  <c r="S25" i="16" s="1"/>
  <c r="H25" i="16" s="1"/>
  <c r="G18" i="6"/>
  <c r="J25" i="16" l="1"/>
  <c r="K25" i="16" s="1"/>
  <c r="P25" i="16"/>
  <c r="L25" i="16"/>
  <c r="M25" i="16" s="1"/>
  <c r="N25" i="16"/>
  <c r="O25" i="16" s="1"/>
  <c r="L18" i="16"/>
  <c r="M18" i="16" s="1"/>
  <c r="P18" i="16"/>
  <c r="J18" i="16"/>
  <c r="K18" i="16" s="1"/>
  <c r="N18" i="16"/>
  <c r="O18" i="16" s="1"/>
  <c r="P26" i="16"/>
  <c r="J26" i="16"/>
  <c r="K26" i="16" s="1"/>
  <c r="L26" i="16"/>
  <c r="M26" i="16" s="1"/>
  <c r="N26" i="16"/>
  <c r="O26" i="16" s="1"/>
  <c r="J11" i="15"/>
  <c r="K11" i="15" s="1"/>
  <c r="H11" i="15"/>
  <c r="I11" i="15" s="1"/>
  <c r="P13" i="15"/>
  <c r="R13" i="15" s="1"/>
  <c r="G13" i="15" s="1"/>
  <c r="J22" i="16"/>
  <c r="K22" i="16" s="1"/>
  <c r="L22" i="16"/>
  <c r="M22" i="16" s="1"/>
  <c r="P22" i="16"/>
  <c r="N22" i="16"/>
  <c r="O22" i="16" s="1"/>
  <c r="N31" i="16"/>
  <c r="O31" i="16" s="1"/>
  <c r="P31" i="16"/>
  <c r="J31" i="16"/>
  <c r="K31" i="16"/>
  <c r="L31" i="16"/>
  <c r="M31" i="16" s="1"/>
  <c r="P20" i="16"/>
  <c r="J20" i="16"/>
  <c r="K20" i="16" s="1"/>
  <c r="L20" i="16"/>
  <c r="M20" i="16" s="1"/>
  <c r="N20" i="16"/>
  <c r="O20" i="16" s="1"/>
  <c r="J29" i="16"/>
  <c r="K29" i="16" s="1"/>
  <c r="P29" i="16"/>
  <c r="L29" i="16"/>
  <c r="M29" i="16" s="1"/>
  <c r="N29" i="16"/>
  <c r="O29" i="16" s="1"/>
  <c r="H13" i="15" l="1"/>
  <c r="I13" i="15" s="1"/>
  <c r="J13" i="15"/>
  <c r="K13" i="15" s="1"/>
  <c r="H6" i="6" l="1"/>
  <c r="R11" i="10"/>
  <c r="S11" i="10" s="1"/>
  <c r="H11" i="10" s="1"/>
  <c r="B10" i="9"/>
  <c r="H8" i="6"/>
  <c r="R30" i="16"/>
  <c r="S30" i="16" s="1"/>
  <c r="H30" i="16" s="1"/>
  <c r="H20" i="6"/>
  <c r="R30" i="10"/>
  <c r="S30" i="10" s="1"/>
  <c r="H30" i="10" s="1"/>
  <c r="E28" i="1" l="1"/>
  <c r="H9" i="6"/>
  <c r="R18" i="10"/>
  <c r="S18" i="10" s="1"/>
  <c r="H18" i="10" s="1"/>
  <c r="R21" i="16"/>
  <c r="S21" i="16" s="1"/>
  <c r="H21" i="16" s="1"/>
  <c r="B16" i="9"/>
  <c r="R21" i="10"/>
  <c r="S21" i="10" s="1"/>
  <c r="H21" i="10" s="1"/>
  <c r="H12" i="6"/>
  <c r="H18" i="6"/>
  <c r="E27" i="1" s="1"/>
  <c r="R25" i="10"/>
  <c r="S25" i="10" s="1"/>
  <c r="H25" i="10" s="1"/>
  <c r="R31" i="10"/>
  <c r="S31" i="10" s="1"/>
  <c r="H31" i="10" s="1"/>
  <c r="H23" i="6"/>
  <c r="H11" i="6"/>
  <c r="R20" i="10"/>
  <c r="S20" i="10" s="1"/>
  <c r="H20" i="10" s="1"/>
  <c r="R28" i="16"/>
  <c r="H21" i="6"/>
  <c r="R28" i="10"/>
  <c r="S28" i="10" s="1"/>
  <c r="H28" i="10" s="1"/>
  <c r="R24" i="16"/>
  <c r="S24" i="16" s="1"/>
  <c r="H24" i="16" s="1"/>
  <c r="H16" i="6"/>
  <c r="R24" i="10"/>
  <c r="S24" i="10" s="1"/>
  <c r="H24" i="10" s="1"/>
  <c r="H14" i="6"/>
  <c r="R22" i="10"/>
  <c r="S22" i="10" s="1"/>
  <c r="H22" i="10" s="1"/>
  <c r="B20" i="9"/>
  <c r="R29" i="10"/>
  <c r="S29" i="10" s="1"/>
  <c r="H29" i="10" s="1"/>
  <c r="H22" i="6"/>
  <c r="N30" i="16"/>
  <c r="M30" i="16"/>
  <c r="J30" i="16"/>
  <c r="O30" i="16"/>
  <c r="P30" i="16"/>
  <c r="L30" i="16"/>
  <c r="K30" i="16"/>
  <c r="N30" i="10"/>
  <c r="P30" i="10"/>
  <c r="O30" i="10"/>
  <c r="M30" i="10"/>
  <c r="L30" i="10"/>
  <c r="J30" i="10"/>
  <c r="K30" i="10"/>
  <c r="P11" i="10"/>
  <c r="L11" i="10"/>
  <c r="M11" i="10" s="1"/>
  <c r="N11" i="10"/>
  <c r="O11" i="10" s="1"/>
  <c r="J11" i="10"/>
  <c r="K11" i="10" s="1"/>
  <c r="H19" i="6" l="1"/>
  <c r="M21" i="10"/>
  <c r="K21" i="10"/>
  <c r="N21" i="10"/>
  <c r="J21" i="10"/>
  <c r="P21" i="10"/>
  <c r="O21" i="10"/>
  <c r="L21" i="10"/>
  <c r="P25" i="10"/>
  <c r="N25" i="10"/>
  <c r="O25" i="10" s="1"/>
  <c r="L25" i="10"/>
  <c r="M25" i="10" s="1"/>
  <c r="J25" i="10"/>
  <c r="K25" i="10" s="1"/>
  <c r="L29" i="10"/>
  <c r="M29" i="10" s="1"/>
  <c r="N29" i="10"/>
  <c r="O29" i="10" s="1"/>
  <c r="P29" i="10"/>
  <c r="J29" i="10"/>
  <c r="K29" i="10" s="1"/>
  <c r="J24" i="10"/>
  <c r="L24" i="10"/>
  <c r="N24" i="10"/>
  <c r="O24" i="10"/>
  <c r="M24" i="10"/>
  <c r="K24" i="10"/>
  <c r="P24" i="10"/>
  <c r="J28" i="10"/>
  <c r="N28" i="10"/>
  <c r="K28" i="10"/>
  <c r="H27" i="10"/>
  <c r="M28" i="10"/>
  <c r="L28" i="10"/>
  <c r="P28" i="10"/>
  <c r="O28" i="10"/>
  <c r="J22" i="10"/>
  <c r="K22" i="10" s="1"/>
  <c r="N22" i="10"/>
  <c r="O22" i="10" s="1"/>
  <c r="P22" i="10"/>
  <c r="L22" i="10"/>
  <c r="M22" i="10" s="1"/>
  <c r="K24" i="16"/>
  <c r="M24" i="16"/>
  <c r="O24" i="16"/>
  <c r="P24" i="16"/>
  <c r="L24" i="16"/>
  <c r="J24" i="16"/>
  <c r="N24" i="16"/>
  <c r="S28" i="16"/>
  <c r="H28" i="16" s="1"/>
  <c r="R27" i="16"/>
  <c r="N31" i="10"/>
  <c r="O31" i="10" s="1"/>
  <c r="L31" i="10"/>
  <c r="M31" i="10" s="1"/>
  <c r="J31" i="10"/>
  <c r="K31" i="10"/>
  <c r="P31" i="10"/>
  <c r="K21" i="16"/>
  <c r="P21" i="16"/>
  <c r="L21" i="16"/>
  <c r="O21" i="16"/>
  <c r="N21" i="16"/>
  <c r="M21" i="16"/>
  <c r="J21" i="16"/>
  <c r="J20" i="10"/>
  <c r="K20" i="10" s="1"/>
  <c r="N20" i="10"/>
  <c r="O20" i="10" s="1"/>
  <c r="L20" i="10"/>
  <c r="M20" i="10" s="1"/>
  <c r="P20" i="10"/>
  <c r="L18" i="10"/>
  <c r="M18" i="10" s="1"/>
  <c r="N18" i="10"/>
  <c r="O18" i="10" s="1"/>
  <c r="J18" i="10"/>
  <c r="K18" i="10" s="1"/>
  <c r="P18" i="10"/>
  <c r="L27" i="10" l="1"/>
  <c r="M27" i="10" s="1"/>
  <c r="J27" i="10"/>
  <c r="K27" i="10" s="1"/>
  <c r="P27" i="10"/>
  <c r="N27" i="10"/>
  <c r="O27" i="10" s="1"/>
  <c r="O28" i="16"/>
  <c r="H27" i="16"/>
  <c r="K28" i="16"/>
  <c r="L28" i="16"/>
  <c r="M28" i="16"/>
  <c r="P28" i="16"/>
  <c r="N28" i="16"/>
  <c r="J28" i="16"/>
  <c r="N27" i="16" l="1"/>
  <c r="O27" i="16" s="1"/>
  <c r="P27" i="16"/>
  <c r="L27" i="16"/>
  <c r="M27" i="16" s="1"/>
  <c r="J27" i="16"/>
  <c r="K27" i="16" s="1"/>
  <c r="S79" i="11" l="1"/>
  <c r="T79" i="11" s="1"/>
  <c r="H79" i="11" s="1"/>
  <c r="H80" i="12" l="1"/>
  <c r="Q79" i="11"/>
  <c r="O79" i="11"/>
  <c r="P79" i="11" s="1"/>
  <c r="K79" i="11"/>
  <c r="L79" i="11" s="1"/>
  <c r="M79" i="11"/>
  <c r="N79" i="11" s="1"/>
  <c r="R59" i="16"/>
  <c r="S59" i="16" s="1"/>
  <c r="H59" i="16" s="1"/>
  <c r="G27" i="5"/>
  <c r="R56" i="16"/>
  <c r="G25" i="5"/>
  <c r="R57" i="16"/>
  <c r="S57" i="16" s="1"/>
  <c r="H57" i="16" s="1"/>
  <c r="G26" i="5"/>
  <c r="E24" i="1"/>
  <c r="E30" i="1"/>
  <c r="J57" i="16" l="1"/>
  <c r="K57" i="16" s="1"/>
  <c r="L57" i="16"/>
  <c r="M57" i="16" s="1"/>
  <c r="P57" i="16"/>
  <c r="N57" i="16"/>
  <c r="O57" i="16" s="1"/>
  <c r="S56" i="16"/>
  <c r="H56" i="16" s="1"/>
  <c r="N59" i="16"/>
  <c r="K59" i="16"/>
  <c r="M59" i="16"/>
  <c r="P59" i="16"/>
  <c r="J59" i="16"/>
  <c r="O59" i="16"/>
  <c r="L59" i="16"/>
  <c r="O80" i="12"/>
  <c r="P80" i="12" s="1"/>
  <c r="K80" i="12"/>
  <c r="L80" i="12" s="1"/>
  <c r="G28" i="5"/>
  <c r="S80" i="11" s="1"/>
  <c r="T80" i="11" s="1"/>
  <c r="H80" i="11" s="1"/>
  <c r="E25" i="1"/>
  <c r="G24" i="5" l="1"/>
  <c r="R38" i="16"/>
  <c r="G6" i="5"/>
  <c r="R44" i="16"/>
  <c r="S44" i="16" s="1"/>
  <c r="H44" i="16" s="1"/>
  <c r="G12" i="5"/>
  <c r="R43" i="16"/>
  <c r="S43" i="16" s="1"/>
  <c r="H43" i="16" s="1"/>
  <c r="G11" i="5"/>
  <c r="R49" i="16"/>
  <c r="S49" i="16" s="1"/>
  <c r="H49" i="16" s="1"/>
  <c r="G18" i="5"/>
  <c r="R54" i="16"/>
  <c r="S54" i="16" s="1"/>
  <c r="H54" i="16" s="1"/>
  <c r="G23" i="5"/>
  <c r="R40" i="16"/>
  <c r="S40" i="16" s="1"/>
  <c r="H40" i="16" s="1"/>
  <c r="G8" i="5"/>
  <c r="R52" i="16"/>
  <c r="S52" i="16" s="1"/>
  <c r="H52" i="16" s="1"/>
  <c r="G21" i="5"/>
  <c r="R50" i="16"/>
  <c r="S50" i="16" s="1"/>
  <c r="H50" i="16" s="1"/>
  <c r="G19" i="5"/>
  <c r="R47" i="16"/>
  <c r="S47" i="16" s="1"/>
  <c r="H47" i="16" s="1"/>
  <c r="G15" i="5"/>
  <c r="P17" i="15"/>
  <c r="R17" i="15" s="1"/>
  <c r="G17" i="15" s="1"/>
  <c r="K80" i="11"/>
  <c r="M80" i="11"/>
  <c r="H81" i="12"/>
  <c r="P80" i="11"/>
  <c r="Q80" i="11"/>
  <c r="O80" i="11"/>
  <c r="L80" i="11"/>
  <c r="N80" i="11"/>
  <c r="L56" i="16"/>
  <c r="M56" i="16" s="1"/>
  <c r="P56" i="16"/>
  <c r="O56" i="16"/>
  <c r="K56" i="16"/>
  <c r="N56" i="16"/>
  <c r="J56" i="16"/>
  <c r="G17" i="5"/>
  <c r="R42" i="16"/>
  <c r="S42" i="16" s="1"/>
  <c r="H42" i="16" s="1"/>
  <c r="G10" i="5"/>
  <c r="R58" i="16"/>
  <c r="I28" i="5"/>
  <c r="E26" i="1" s="1"/>
  <c r="H28" i="5"/>
  <c r="R58" i="10"/>
  <c r="S58" i="10" s="1"/>
  <c r="H58" i="10" s="1"/>
  <c r="H25" i="5"/>
  <c r="R56" i="10"/>
  <c r="S56" i="10" s="1"/>
  <c r="H56" i="10" s="1"/>
  <c r="I25" i="5"/>
  <c r="R39" i="16"/>
  <c r="S39" i="16" s="1"/>
  <c r="H39" i="16" s="1"/>
  <c r="G7" i="5"/>
  <c r="R41" i="16"/>
  <c r="S41" i="16" s="1"/>
  <c r="H41" i="16" s="1"/>
  <c r="G9" i="5"/>
  <c r="R45" i="16"/>
  <c r="S45" i="16" s="1"/>
  <c r="H45" i="16" s="1"/>
  <c r="G13" i="5"/>
  <c r="R46" i="16"/>
  <c r="S46" i="16" s="1"/>
  <c r="H46" i="16" s="1"/>
  <c r="G14" i="5"/>
  <c r="R48" i="16"/>
  <c r="S48" i="16" s="1"/>
  <c r="H48" i="16" s="1"/>
  <c r="G16" i="5"/>
  <c r="J46" i="16" l="1"/>
  <c r="P46" i="16"/>
  <c r="L46" i="16"/>
  <c r="M46" i="16" s="1"/>
  <c r="K46" i="16"/>
  <c r="N46" i="16"/>
  <c r="O46" i="16" s="1"/>
  <c r="L41" i="16"/>
  <c r="M41" i="16" s="1"/>
  <c r="J41" i="16"/>
  <c r="K41" i="16" s="1"/>
  <c r="P41" i="16"/>
  <c r="N41" i="16"/>
  <c r="O41" i="16" s="1"/>
  <c r="P39" i="16"/>
  <c r="L39" i="16"/>
  <c r="M39" i="16" s="1"/>
  <c r="J39" i="16"/>
  <c r="K39" i="16" s="1"/>
  <c r="N39" i="16"/>
  <c r="O39" i="16" s="1"/>
  <c r="J52" i="16"/>
  <c r="K52" i="16" s="1"/>
  <c r="L52" i="16"/>
  <c r="M52" i="16" s="1"/>
  <c r="N52" i="16"/>
  <c r="O52" i="16" s="1"/>
  <c r="P52" i="16"/>
  <c r="N49" i="16"/>
  <c r="P49" i="16"/>
  <c r="J49" i="16"/>
  <c r="K49" i="16" s="1"/>
  <c r="L49" i="16"/>
  <c r="M49" i="16" s="1"/>
  <c r="O49" i="16"/>
  <c r="P43" i="16"/>
  <c r="N43" i="16"/>
  <c r="O43" i="16" s="1"/>
  <c r="J43" i="16"/>
  <c r="K43" i="16" s="1"/>
  <c r="L43" i="16"/>
  <c r="M43" i="16" s="1"/>
  <c r="R37" i="16"/>
  <c r="S38" i="16"/>
  <c r="H38" i="16" s="1"/>
  <c r="N48" i="16"/>
  <c r="J48" i="16"/>
  <c r="K48" i="16" s="1"/>
  <c r="P48" i="16"/>
  <c r="L48" i="16"/>
  <c r="M48" i="16" s="1"/>
  <c r="O48" i="16"/>
  <c r="O56" i="10"/>
  <c r="P56" i="10"/>
  <c r="K56" i="10"/>
  <c r="L56" i="10"/>
  <c r="M56" i="10" s="1"/>
  <c r="N56" i="10"/>
  <c r="J56" i="10"/>
  <c r="S58" i="16"/>
  <c r="H58" i="16" s="1"/>
  <c r="R55" i="16"/>
  <c r="L42" i="16"/>
  <c r="M42" i="16" s="1"/>
  <c r="P42" i="16"/>
  <c r="J42" i="16"/>
  <c r="K42" i="16" s="1"/>
  <c r="N42" i="16"/>
  <c r="O42" i="16" s="1"/>
  <c r="K81" i="12"/>
  <c r="L81" i="12"/>
  <c r="P81" i="12"/>
  <c r="O81" i="12"/>
  <c r="J40" i="16"/>
  <c r="K40" i="16" s="1"/>
  <c r="N40" i="16"/>
  <c r="O40" i="16" s="1"/>
  <c r="L40" i="16"/>
  <c r="M40" i="16" s="1"/>
  <c r="P40" i="16"/>
  <c r="L44" i="16"/>
  <c r="M44" i="16" s="1"/>
  <c r="N44" i="16"/>
  <c r="O44" i="16" s="1"/>
  <c r="J44" i="16"/>
  <c r="K44" i="16" s="1"/>
  <c r="P44" i="16"/>
  <c r="I27" i="5"/>
  <c r="R59" i="10"/>
  <c r="S59" i="10" s="1"/>
  <c r="H59" i="10" s="1"/>
  <c r="H27" i="5"/>
  <c r="K58" i="10"/>
  <c r="P58" i="10"/>
  <c r="O58" i="10"/>
  <c r="L58" i="10"/>
  <c r="M58" i="10"/>
  <c r="J58" i="10"/>
  <c r="N58" i="10"/>
  <c r="J17" i="15"/>
  <c r="K17" i="15" s="1"/>
  <c r="H17" i="15"/>
  <c r="I17" i="15" s="1"/>
  <c r="N47" i="16"/>
  <c r="O47" i="16" s="1"/>
  <c r="L47" i="16"/>
  <c r="M47" i="16" s="1"/>
  <c r="J47" i="16"/>
  <c r="K47" i="16" s="1"/>
  <c r="P47" i="16"/>
  <c r="P50" i="16"/>
  <c r="N50" i="16"/>
  <c r="O50" i="16" s="1"/>
  <c r="L50" i="16"/>
  <c r="M50" i="16" s="1"/>
  <c r="J50" i="16"/>
  <c r="K50" i="16" s="1"/>
  <c r="H26" i="5"/>
  <c r="R57" i="10"/>
  <c r="S57" i="10" s="1"/>
  <c r="H57" i="10" s="1"/>
  <c r="I26" i="5"/>
  <c r="P15" i="15"/>
  <c r="R15" i="15" s="1"/>
  <c r="G15" i="15" s="1"/>
  <c r="L45" i="16"/>
  <c r="N45" i="16"/>
  <c r="O45" i="16" s="1"/>
  <c r="P45" i="16"/>
  <c r="J45" i="16"/>
  <c r="K45" i="16" s="1"/>
  <c r="M45" i="16"/>
  <c r="G20" i="5"/>
  <c r="L54" i="16"/>
  <c r="M54" i="16" s="1"/>
  <c r="N54" i="16"/>
  <c r="O54" i="16" s="1"/>
  <c r="P54" i="16"/>
  <c r="J54" i="16"/>
  <c r="K54" i="16" s="1"/>
  <c r="G5" i="5"/>
  <c r="H23" i="5"/>
  <c r="G4" i="5" l="1"/>
  <c r="H89" i="11" s="1"/>
  <c r="O89" i="11" s="1"/>
  <c r="P89" i="11" s="1"/>
  <c r="I24" i="5"/>
  <c r="H24" i="5"/>
  <c r="I19" i="5"/>
  <c r="H19" i="5"/>
  <c r="R50" i="10"/>
  <c r="S50" i="10" s="1"/>
  <c r="H50" i="10" s="1"/>
  <c r="N38" i="16"/>
  <c r="O38" i="16" s="1"/>
  <c r="L38" i="16"/>
  <c r="M38" i="16" s="1"/>
  <c r="P38" i="16"/>
  <c r="J38" i="16"/>
  <c r="K38" i="16" s="1"/>
  <c r="H37" i="16"/>
  <c r="H13" i="5"/>
  <c r="R45" i="10"/>
  <c r="S45" i="10" s="1"/>
  <c r="H45" i="10" s="1"/>
  <c r="I13" i="5"/>
  <c r="H55" i="10"/>
  <c r="N59" i="10"/>
  <c r="L59" i="10"/>
  <c r="K59" i="10"/>
  <c r="O59" i="10"/>
  <c r="J59" i="10"/>
  <c r="P59" i="10"/>
  <c r="M59" i="10"/>
  <c r="R49" i="10"/>
  <c r="S49" i="10" s="1"/>
  <c r="H49" i="10" s="1"/>
  <c r="I18" i="5"/>
  <c r="E23" i="1" s="1"/>
  <c r="E22" i="1" s="1"/>
  <c r="H18" i="5"/>
  <c r="R48" i="10"/>
  <c r="S48" i="10" s="1"/>
  <c r="H48" i="10" s="1"/>
  <c r="H16" i="5"/>
  <c r="I16" i="5"/>
  <c r="J15" i="15"/>
  <c r="K15" i="15" s="1"/>
  <c r="H15" i="15"/>
  <c r="I15" i="15" s="1"/>
  <c r="J57" i="10"/>
  <c r="K57" i="10" s="1"/>
  <c r="P57" i="10"/>
  <c r="L57" i="10"/>
  <c r="M57" i="10" s="1"/>
  <c r="N57" i="10"/>
  <c r="O57" i="10" s="1"/>
  <c r="O58" i="16"/>
  <c r="N58" i="16"/>
  <c r="L58" i="16"/>
  <c r="P58" i="16"/>
  <c r="K58" i="16"/>
  <c r="M58" i="16"/>
  <c r="J58" i="16"/>
  <c r="H55" i="16"/>
  <c r="M89" i="11" l="1"/>
  <c r="N89" i="11" s="1"/>
  <c r="K89" i="11"/>
  <c r="L89" i="11" s="1"/>
  <c r="Q89" i="11"/>
  <c r="H14" i="5"/>
  <c r="R46" i="10"/>
  <c r="S46" i="10" s="1"/>
  <c r="H46" i="10" s="1"/>
  <c r="I14" i="5"/>
  <c r="G16" i="13"/>
  <c r="I15" i="5"/>
  <c r="H15" i="5"/>
  <c r="R47" i="10"/>
  <c r="S47" i="10" s="1"/>
  <c r="H47" i="10" s="1"/>
  <c r="R39" i="10"/>
  <c r="S39" i="10" s="1"/>
  <c r="H39" i="10" s="1"/>
  <c r="I7" i="5"/>
  <c r="H7" i="5"/>
  <c r="I6" i="5"/>
  <c r="H6" i="5"/>
  <c r="R38" i="10"/>
  <c r="S38" i="10" s="1"/>
  <c r="H38" i="10" s="1"/>
  <c r="I8" i="5"/>
  <c r="H8" i="5"/>
  <c r="R40" i="10"/>
  <c r="S40" i="10" s="1"/>
  <c r="H40" i="10" s="1"/>
  <c r="J49" i="10"/>
  <c r="K49" i="10" s="1"/>
  <c r="L49" i="10"/>
  <c r="M49" i="10" s="1"/>
  <c r="N49" i="10"/>
  <c r="O49" i="10" s="1"/>
  <c r="P49" i="10"/>
  <c r="J45" i="10"/>
  <c r="K45" i="10" s="1"/>
  <c r="P45" i="10"/>
  <c r="L45" i="10"/>
  <c r="M45" i="10" s="1"/>
  <c r="N45" i="10"/>
  <c r="O45" i="10" s="1"/>
  <c r="L50" i="10"/>
  <c r="M50" i="10" s="1"/>
  <c r="J50" i="10"/>
  <c r="K50" i="10" s="1"/>
  <c r="N50" i="10"/>
  <c r="O50" i="10" s="1"/>
  <c r="P50" i="10"/>
  <c r="I17" i="5"/>
  <c r="H17" i="5"/>
  <c r="I11" i="5"/>
  <c r="H11" i="5"/>
  <c r="R43" i="10"/>
  <c r="S43" i="10" s="1"/>
  <c r="H43" i="10" s="1"/>
  <c r="N55" i="16"/>
  <c r="O55" i="16" s="1"/>
  <c r="J55" i="16"/>
  <c r="K55" i="16" s="1"/>
  <c r="P55" i="16"/>
  <c r="L55" i="16"/>
  <c r="M55" i="16" s="1"/>
  <c r="N48" i="10"/>
  <c r="O48" i="10" s="1"/>
  <c r="L48" i="10"/>
  <c r="M48" i="10" s="1"/>
  <c r="J48" i="10"/>
  <c r="K48" i="10" s="1"/>
  <c r="P48" i="10"/>
  <c r="L55" i="10"/>
  <c r="M55" i="10" s="1"/>
  <c r="P55" i="10"/>
  <c r="J55" i="10"/>
  <c r="K55" i="10" s="1"/>
  <c r="N55" i="10"/>
  <c r="O55" i="10" s="1"/>
  <c r="J37" i="16"/>
  <c r="K37" i="16" s="1"/>
  <c r="P37" i="16"/>
  <c r="L37" i="16"/>
  <c r="M37" i="16" s="1"/>
  <c r="N37" i="16"/>
  <c r="O37" i="16" s="1"/>
  <c r="H12" i="5"/>
  <c r="R44" i="10"/>
  <c r="S44" i="10" s="1"/>
  <c r="H44" i="10" s="1"/>
  <c r="I12" i="5"/>
  <c r="H21" i="5"/>
  <c r="H20" i="5" s="1"/>
  <c r="R52" i="10"/>
  <c r="S52" i="10" s="1"/>
  <c r="H52" i="10" s="1"/>
  <c r="I21" i="5"/>
  <c r="I9" i="5"/>
  <c r="R41" i="10"/>
  <c r="S41" i="10" s="1"/>
  <c r="H41" i="10" s="1"/>
  <c r="H9" i="5"/>
  <c r="I10" i="5"/>
  <c r="R42" i="10"/>
  <c r="S42" i="10" s="1"/>
  <c r="H42" i="10" s="1"/>
  <c r="H10" i="5"/>
  <c r="L52" i="10" l="1"/>
  <c r="M52" i="10" s="1"/>
  <c r="P52" i="10"/>
  <c r="N52" i="10"/>
  <c r="O52" i="10" s="1"/>
  <c r="J52" i="10"/>
  <c r="K52" i="10" s="1"/>
  <c r="N38" i="10"/>
  <c r="O38" i="10" s="1"/>
  <c r="H37" i="10"/>
  <c r="P38" i="10"/>
  <c r="J38" i="10"/>
  <c r="K38" i="10" s="1"/>
  <c r="L38" i="10"/>
  <c r="M38" i="10" s="1"/>
  <c r="N42" i="10"/>
  <c r="O42" i="10" s="1"/>
  <c r="L42" i="10"/>
  <c r="M42" i="10" s="1"/>
  <c r="P42" i="10"/>
  <c r="J42" i="10"/>
  <c r="K42" i="10" s="1"/>
  <c r="L43" i="10"/>
  <c r="M43" i="10" s="1"/>
  <c r="J43" i="10"/>
  <c r="K43" i="10" s="1"/>
  <c r="N43" i="10"/>
  <c r="O43" i="10" s="1"/>
  <c r="P43" i="10"/>
  <c r="H5" i="5"/>
  <c r="H4" i="5" s="1"/>
  <c r="N47" i="10"/>
  <c r="O47" i="10" s="1"/>
  <c r="P47" i="10"/>
  <c r="L47" i="10"/>
  <c r="M47" i="10" s="1"/>
  <c r="J47" i="10"/>
  <c r="K47" i="10" s="1"/>
  <c r="P41" i="10"/>
  <c r="N41" i="10"/>
  <c r="O41" i="10" s="1"/>
  <c r="L41" i="10"/>
  <c r="M41" i="10" s="1"/>
  <c r="J41" i="10"/>
  <c r="K41" i="10" s="1"/>
  <c r="L44" i="10"/>
  <c r="M44" i="10" s="1"/>
  <c r="P44" i="10"/>
  <c r="J44" i="10"/>
  <c r="K44" i="10" s="1"/>
  <c r="N44" i="10"/>
  <c r="O44" i="10" s="1"/>
  <c r="I5" i="5"/>
  <c r="P40" i="10"/>
  <c r="N40" i="10"/>
  <c r="O40" i="10" s="1"/>
  <c r="J40" i="10"/>
  <c r="K40" i="10" s="1"/>
  <c r="L40" i="10"/>
  <c r="M40" i="10" s="1"/>
  <c r="P39" i="10"/>
  <c r="J39" i="10"/>
  <c r="K39" i="10" s="1"/>
  <c r="L39" i="10"/>
  <c r="M39" i="10" s="1"/>
  <c r="N39" i="10"/>
  <c r="O39" i="10" s="1"/>
  <c r="P46" i="10"/>
  <c r="J46" i="10"/>
  <c r="K46" i="10" s="1"/>
  <c r="L46" i="10"/>
  <c r="M46" i="10" s="1"/>
  <c r="N46" i="10"/>
  <c r="O46" i="10" s="1"/>
  <c r="L37" i="10" l="1"/>
  <c r="M37" i="10" s="1"/>
  <c r="J37" i="10"/>
  <c r="K37" i="10" s="1"/>
  <c r="P37" i="10"/>
  <c r="N37" i="10"/>
  <c r="O37" i="10" s="1"/>
  <c r="A2" i="7" l="1"/>
  <c r="J1" i="2"/>
  <c r="A2" i="8"/>
  <c r="S78" i="11" l="1"/>
  <c r="T78" i="11" s="1"/>
  <c r="H78" i="11" l="1"/>
  <c r="Q78" i="11" l="1"/>
  <c r="H79" i="12"/>
  <c r="M78" i="11"/>
  <c r="N78" i="11" s="1"/>
  <c r="O78" i="11"/>
  <c r="P78" i="11" s="1"/>
  <c r="K78" i="11"/>
  <c r="L78" i="11" s="1"/>
  <c r="K79" i="12" l="1"/>
  <c r="L79" i="12" s="1"/>
  <c r="O79" i="12"/>
  <c r="P79" i="12" s="1"/>
  <c r="G38" i="9" l="1"/>
  <c r="S82" i="11" l="1"/>
  <c r="T82" i="11" s="1"/>
  <c r="H82" i="11" l="1"/>
  <c r="H83" i="12" l="1"/>
  <c r="Q82" i="11"/>
  <c r="O82" i="11"/>
  <c r="K82" i="11"/>
  <c r="N82" i="11"/>
  <c r="P82" i="11"/>
  <c r="L82" i="11"/>
  <c r="M82" i="11"/>
  <c r="H77" i="11"/>
  <c r="G34" i="9"/>
  <c r="G36" i="9"/>
  <c r="F29" i="9" l="1"/>
  <c r="G31" i="9" s="1"/>
  <c r="M32" i="9" s="1"/>
  <c r="K77" i="11"/>
  <c r="L77" i="11" s="1"/>
  <c r="M77" i="11"/>
  <c r="N77" i="11" s="1"/>
  <c r="Q77" i="11"/>
  <c r="O77" i="11"/>
  <c r="P77" i="11" s="1"/>
  <c r="P83" i="12"/>
  <c r="O83" i="12"/>
  <c r="L83" i="12"/>
  <c r="K83" i="12"/>
  <c r="H78" i="12"/>
  <c r="K78" i="12" l="1"/>
  <c r="L78" i="12" s="1"/>
  <c r="O78" i="12"/>
  <c r="P78" i="12" s="1"/>
  <c r="R26" i="10" l="1"/>
  <c r="S26" i="10" s="1"/>
  <c r="H26" i="10" s="1"/>
  <c r="H17" i="6"/>
  <c r="J26" i="10" l="1"/>
  <c r="K26" i="10" s="1"/>
  <c r="N26" i="10"/>
  <c r="O26" i="10" s="1"/>
  <c r="P26" i="10"/>
  <c r="L26" i="10"/>
  <c r="M26" i="10" s="1"/>
  <c r="P21" i="20" l="1"/>
  <c r="R21" i="20" s="1"/>
  <c r="P21" i="15"/>
  <c r="R21" i="15" s="1"/>
  <c r="E33" i="1"/>
  <c r="M36" i="9"/>
  <c r="L28" i="9" s="1"/>
  <c r="R63" i="16"/>
  <c r="T63" i="16" s="1"/>
  <c r="E31" i="1" l="1"/>
  <c r="E20" i="1" s="1"/>
  <c r="E37" i="1" s="1"/>
  <c r="S85" i="11"/>
  <c r="T85" i="11" s="1"/>
  <c r="G12" i="13"/>
  <c r="G11" i="13" s="1"/>
  <c r="H85" i="11" l="1"/>
  <c r="T88" i="11"/>
  <c r="J39" i="1"/>
  <c r="E39" i="1"/>
  <c r="H29" i="4" l="1"/>
  <c r="G14" i="7"/>
  <c r="H86" i="12"/>
  <c r="K85" i="11"/>
  <c r="L85" i="11" s="1"/>
  <c r="H76" i="11"/>
  <c r="O85" i="11"/>
  <c r="P85" i="11" s="1"/>
  <c r="M85" i="11"/>
  <c r="N85" i="11" s="1"/>
  <c r="Q85" i="11"/>
  <c r="Q76" i="11" l="1"/>
  <c r="O76" i="11"/>
  <c r="P76" i="11" s="1"/>
  <c r="M76" i="11"/>
  <c r="N76" i="11" s="1"/>
  <c r="K76" i="11"/>
  <c r="L76" i="11" s="1"/>
  <c r="I14" i="7"/>
  <c r="G13" i="7"/>
  <c r="G5" i="7" s="1"/>
  <c r="G35" i="7" s="1"/>
  <c r="G5" i="13" s="1"/>
  <c r="O86" i="12"/>
  <c r="P86" i="12" s="1"/>
  <c r="H77" i="12"/>
  <c r="K86" i="12"/>
  <c r="L86" i="12" s="1"/>
  <c r="P44" i="15"/>
  <c r="R44" i="15" s="1"/>
  <c r="G44" i="15" s="1"/>
  <c r="P44" i="20"/>
  <c r="R44" i="20" s="1"/>
  <c r="G44" i="20" s="1"/>
  <c r="R29" i="4"/>
  <c r="H28" i="3"/>
  <c r="H28" i="4"/>
  <c r="L29" i="4"/>
  <c r="O29" i="4"/>
  <c r="J29" i="4"/>
  <c r="M29" i="4"/>
  <c r="H35" i="2"/>
  <c r="P29" i="4"/>
  <c r="I29" i="4"/>
  <c r="I28" i="4" s="1"/>
  <c r="J28" i="4" l="1"/>
  <c r="H27" i="4"/>
  <c r="O28" i="4"/>
  <c r="P28" i="4"/>
  <c r="L28" i="4"/>
  <c r="R28" i="4"/>
  <c r="M28" i="4"/>
  <c r="H27" i="3"/>
  <c r="I28" i="3"/>
  <c r="K28" i="3" s="1"/>
  <c r="J44" i="15"/>
  <c r="K44" i="15" s="1"/>
  <c r="H44" i="15"/>
  <c r="I44" i="15" s="1"/>
  <c r="G6" i="13"/>
  <c r="G9" i="13"/>
  <c r="G19" i="13" s="1"/>
  <c r="I13" i="7"/>
  <c r="M14" i="7"/>
  <c r="I35" i="2"/>
  <c r="N35" i="2" s="1"/>
  <c r="H34" i="2"/>
  <c r="H44" i="20"/>
  <c r="I44" i="20" s="1"/>
  <c r="J44" i="20"/>
  <c r="K44" i="20" s="1"/>
  <c r="K77" i="12"/>
  <c r="L77" i="12" s="1"/>
  <c r="O77" i="12"/>
  <c r="P77" i="12" s="1"/>
  <c r="P31" i="20"/>
  <c r="P31" i="15"/>
  <c r="I27" i="3" l="1"/>
  <c r="K27" i="3" s="1"/>
  <c r="H26" i="3"/>
  <c r="P28" i="15"/>
  <c r="R31" i="15"/>
  <c r="M13" i="7"/>
  <c r="O14" i="7"/>
  <c r="O13" i="7" s="1"/>
  <c r="O5" i="7" s="1"/>
  <c r="L43" i="9"/>
  <c r="L49" i="9" s="1"/>
  <c r="R51" i="9" s="1"/>
  <c r="R31" i="20"/>
  <c r="P28" i="20"/>
  <c r="S19" i="12"/>
  <c r="T19" i="12" s="1"/>
  <c r="I5" i="7"/>
  <c r="S7" i="12" s="1"/>
  <c r="H26" i="4"/>
  <c r="P27" i="4"/>
  <c r="J27" i="4"/>
  <c r="R27" i="4"/>
  <c r="M27" i="4"/>
  <c r="L27" i="4"/>
  <c r="I27" i="4"/>
  <c r="O27" i="4"/>
  <c r="I34" i="2"/>
  <c r="N34" i="2" s="1"/>
  <c r="H33" i="2"/>
  <c r="H19" i="12" l="1"/>
  <c r="T38" i="12"/>
  <c r="T72" i="12" s="1"/>
  <c r="I26" i="3"/>
  <c r="K26" i="3" s="1"/>
  <c r="H25" i="3"/>
  <c r="I33" i="2"/>
  <c r="N33" i="2" s="1"/>
  <c r="H32" i="2"/>
  <c r="M5" i="7"/>
  <c r="S19" i="11"/>
  <c r="T19" i="11" s="1"/>
  <c r="R26" i="4"/>
  <c r="P26" i="4"/>
  <c r="I26" i="4"/>
  <c r="L26" i="4"/>
  <c r="J26" i="4"/>
  <c r="M26" i="4"/>
  <c r="O26" i="4"/>
  <c r="G31" i="20"/>
  <c r="R28" i="20"/>
  <c r="G31" i="15"/>
  <c r="R28" i="15"/>
  <c r="T7" i="12"/>
  <c r="S72" i="12"/>
  <c r="G28" i="20" l="1"/>
  <c r="L31" i="20"/>
  <c r="M31" i="20" s="1"/>
  <c r="J31" i="20"/>
  <c r="K31" i="20" s="1"/>
  <c r="T38" i="11"/>
  <c r="T72" i="11" s="1"/>
  <c r="H19" i="11"/>
  <c r="I25" i="3"/>
  <c r="K25" i="3"/>
  <c r="M43" i="7"/>
  <c r="S7" i="11"/>
  <c r="L31" i="15"/>
  <c r="M31" i="15" s="1"/>
  <c r="J31" i="15"/>
  <c r="K31" i="15" s="1"/>
  <c r="G28" i="15"/>
  <c r="I32" i="2"/>
  <c r="N32" i="2"/>
  <c r="K19" i="12"/>
  <c r="L19" i="12" s="1"/>
  <c r="H38" i="12"/>
  <c r="M19" i="12"/>
  <c r="N19" i="12" s="1"/>
  <c r="H7" i="12"/>
  <c r="O19" i="12"/>
  <c r="P19" i="12" s="1"/>
  <c r="Q19" i="12"/>
  <c r="Q38" i="12" l="1"/>
  <c r="M38" i="12"/>
  <c r="N38" i="12" s="1"/>
  <c r="O38" i="12"/>
  <c r="P38" i="12" s="1"/>
  <c r="K38" i="12"/>
  <c r="L38" i="12" s="1"/>
  <c r="L28" i="15"/>
  <c r="M28" i="15" s="1"/>
  <c r="J28" i="15"/>
  <c r="K28" i="15" s="1"/>
  <c r="H39" i="12"/>
  <c r="H73" i="12"/>
  <c r="K7" i="12"/>
  <c r="K39" i="12" s="1"/>
  <c r="O7" i="12"/>
  <c r="P7" i="12" s="1"/>
  <c r="Q7" i="12"/>
  <c r="L7" i="12"/>
  <c r="M7" i="12"/>
  <c r="M39" i="12" s="1"/>
  <c r="N7" i="12"/>
  <c r="T7" i="11"/>
  <c r="S72" i="11"/>
  <c r="S76" i="11" s="1"/>
  <c r="T76" i="11" s="1"/>
  <c r="H38" i="11"/>
  <c r="M19" i="11"/>
  <c r="N19" i="11" s="1"/>
  <c r="H7" i="11"/>
  <c r="K19" i="11"/>
  <c r="L19" i="11" s="1"/>
  <c r="O19" i="11"/>
  <c r="P19" i="11" s="1"/>
  <c r="Q19" i="11"/>
  <c r="J28" i="20"/>
  <c r="K28" i="20" s="1"/>
  <c r="L28" i="20"/>
  <c r="M28" i="20" s="1"/>
  <c r="K7" i="11" l="1"/>
  <c r="L7" i="11" s="1"/>
  <c r="Q7" i="11"/>
  <c r="H72" i="11"/>
  <c r="O7" i="11"/>
  <c r="P7" i="11" s="1"/>
  <c r="H39" i="11"/>
  <c r="M7" i="11"/>
  <c r="N7" i="11" s="1"/>
  <c r="O73" i="12"/>
  <c r="P73" i="12" s="1"/>
  <c r="H75" i="12"/>
  <c r="K73" i="12"/>
  <c r="L73" i="12" s="1"/>
  <c r="N39" i="12"/>
  <c r="L39" i="12"/>
  <c r="O39" i="12"/>
  <c r="P39" i="12" s="1"/>
  <c r="M38" i="11"/>
  <c r="N38" i="11" s="1"/>
  <c r="O38" i="11"/>
  <c r="P38" i="11" s="1"/>
  <c r="K38" i="11"/>
  <c r="L38" i="11" s="1"/>
  <c r="Q38" i="11"/>
  <c r="K75" i="12" l="1"/>
  <c r="L75" i="12" s="1"/>
  <c r="O75" i="12"/>
  <c r="P75" i="12" s="1"/>
  <c r="H74" i="11"/>
  <c r="O72" i="11"/>
  <c r="P72" i="11" s="1"/>
  <c r="K72" i="11"/>
  <c r="L72" i="11" s="1"/>
  <c r="M72" i="11"/>
  <c r="N72" i="11" s="1"/>
  <c r="Q72" i="11"/>
  <c r="K39" i="11"/>
  <c r="L39" i="11" s="1"/>
  <c r="M39" i="11"/>
  <c r="N39" i="11" s="1"/>
  <c r="O39" i="11"/>
  <c r="P39" i="11" s="1"/>
  <c r="K74" i="11" l="1"/>
  <c r="L74" i="11" s="1"/>
  <c r="Q74" i="11"/>
  <c r="M74" i="11"/>
  <c r="N74" i="11" s="1"/>
  <c r="O74" i="11"/>
  <c r="P74" i="11" s="1"/>
  <c r="I23" i="5" l="1"/>
  <c r="I20" i="5" s="1"/>
  <c r="I4" i="5" s="1"/>
  <c r="E11" i="1" s="1"/>
  <c r="R54" i="10"/>
  <c r="S54" i="10" s="1"/>
  <c r="H54" i="10" l="1"/>
  <c r="S62" i="10"/>
  <c r="J54" i="10" l="1"/>
  <c r="K54" i="10" s="1"/>
  <c r="H51" i="10"/>
  <c r="P54" i="10"/>
  <c r="N54" i="10"/>
  <c r="O54" i="10" s="1"/>
  <c r="L54" i="10"/>
  <c r="M54" i="10" s="1"/>
  <c r="R36" i="10"/>
  <c r="H11" i="1"/>
  <c r="R67" i="10" l="1"/>
  <c r="S36" i="10"/>
  <c r="J51" i="10"/>
  <c r="K51" i="10" s="1"/>
  <c r="H36" i="10"/>
  <c r="L51" i="10"/>
  <c r="M51" i="10" s="1"/>
  <c r="N51" i="10"/>
  <c r="O51" i="10" s="1"/>
  <c r="P51" i="10"/>
  <c r="P16" i="20" l="1"/>
  <c r="P16" i="15"/>
  <c r="R53" i="16"/>
  <c r="P36" i="10"/>
  <c r="N36" i="10"/>
  <c r="O36" i="10" s="1"/>
  <c r="L36" i="10"/>
  <c r="M36" i="10" s="1"/>
  <c r="J36" i="10"/>
  <c r="K36" i="10" s="1"/>
  <c r="R15" i="16" l="1"/>
  <c r="S15" i="16" s="1"/>
  <c r="H15" i="16" s="1"/>
  <c r="R51" i="16"/>
  <c r="R36" i="16" s="1"/>
  <c r="S53" i="16"/>
  <c r="H53" i="16" s="1"/>
  <c r="R16" i="15"/>
  <c r="P14" i="15"/>
  <c r="H22" i="4"/>
  <c r="R16" i="20"/>
  <c r="P14" i="20"/>
  <c r="R14" i="15" l="1"/>
  <c r="G16" i="15"/>
  <c r="L53" i="16"/>
  <c r="M53" i="16" s="1"/>
  <c r="H51" i="16"/>
  <c r="N53" i="16"/>
  <c r="O53" i="16" s="1"/>
  <c r="P53" i="16"/>
  <c r="J53" i="16"/>
  <c r="K53" i="16" s="1"/>
  <c r="H25" i="4"/>
  <c r="R14" i="20"/>
  <c r="G16" i="20"/>
  <c r="R16" i="16"/>
  <c r="S16" i="16" s="1"/>
  <c r="H16" i="16" s="1"/>
  <c r="H28" i="2"/>
  <c r="I28" i="2" s="1"/>
  <c r="N28" i="2" s="1"/>
  <c r="P22" i="4"/>
  <c r="M22" i="4"/>
  <c r="L22" i="4"/>
  <c r="O22" i="4"/>
  <c r="I22" i="4"/>
  <c r="H21" i="3"/>
  <c r="I21" i="3" s="1"/>
  <c r="K21" i="3" s="1"/>
  <c r="J22" i="4"/>
  <c r="R22" i="4"/>
  <c r="R14" i="16"/>
  <c r="S14" i="16" s="1"/>
  <c r="H14" i="16" s="1"/>
  <c r="H14" i="4"/>
  <c r="R15" i="10"/>
  <c r="S15" i="10" s="1"/>
  <c r="H15" i="10" s="1"/>
  <c r="F14" i="9"/>
  <c r="H20" i="4"/>
  <c r="N15" i="16"/>
  <c r="O15" i="16" s="1"/>
  <c r="P15" i="16"/>
  <c r="L15" i="16"/>
  <c r="M15" i="16" s="1"/>
  <c r="J15" i="16"/>
  <c r="K15" i="16" s="1"/>
  <c r="H21" i="4"/>
  <c r="N15" i="10" l="1"/>
  <c r="O15" i="10" s="1"/>
  <c r="J15" i="10"/>
  <c r="K15" i="10" s="1"/>
  <c r="P15" i="10"/>
  <c r="L15" i="10"/>
  <c r="M15" i="10" s="1"/>
  <c r="N16" i="16"/>
  <c r="O16" i="16" s="1"/>
  <c r="P16" i="16"/>
  <c r="L16" i="16"/>
  <c r="M16" i="16" s="1"/>
  <c r="J16" i="16"/>
  <c r="K16" i="16" s="1"/>
  <c r="O21" i="4"/>
  <c r="R21" i="4"/>
  <c r="I21" i="4"/>
  <c r="H27" i="2"/>
  <c r="I27" i="2" s="1"/>
  <c r="N27" i="2" s="1"/>
  <c r="H20" i="3"/>
  <c r="I20" i="3" s="1"/>
  <c r="K20" i="3" s="1"/>
  <c r="J21" i="4"/>
  <c r="L21" i="4"/>
  <c r="P21" i="4"/>
  <c r="M21" i="4"/>
  <c r="J20" i="4"/>
  <c r="P20" i="4"/>
  <c r="H26" i="2"/>
  <c r="R20" i="4"/>
  <c r="L20" i="4"/>
  <c r="O20" i="4"/>
  <c r="I20" i="4"/>
  <c r="H19" i="3"/>
  <c r="M20" i="4"/>
  <c r="R14" i="4"/>
  <c r="I14" i="4"/>
  <c r="H13" i="3"/>
  <c r="I13" i="3" s="1"/>
  <c r="K13" i="3" s="1"/>
  <c r="L14" i="4"/>
  <c r="O14" i="4"/>
  <c r="J14" i="4"/>
  <c r="M14" i="4"/>
  <c r="P14" i="4"/>
  <c r="H20" i="2"/>
  <c r="I20" i="2" s="1"/>
  <c r="N20" i="2" s="1"/>
  <c r="H16" i="15"/>
  <c r="I16" i="15" s="1"/>
  <c r="J16" i="15"/>
  <c r="K16" i="15" s="1"/>
  <c r="G14" i="15"/>
  <c r="H15" i="4"/>
  <c r="R16" i="10"/>
  <c r="S16" i="10" s="1"/>
  <c r="H16" i="10" s="1"/>
  <c r="F8" i="9"/>
  <c r="F45" i="9" s="1"/>
  <c r="H13" i="4"/>
  <c r="R14" i="10"/>
  <c r="S14" i="10" s="1"/>
  <c r="H14" i="10" s="1"/>
  <c r="G14" i="20"/>
  <c r="H16" i="20"/>
  <c r="I16" i="20" s="1"/>
  <c r="J16" i="20"/>
  <c r="K16" i="20" s="1"/>
  <c r="H31" i="2"/>
  <c r="I31" i="2" s="1"/>
  <c r="N31" i="2" s="1"/>
  <c r="I25" i="4"/>
  <c r="R25" i="4"/>
  <c r="L25" i="4"/>
  <c r="H24" i="3"/>
  <c r="I24" i="3" s="1"/>
  <c r="K24" i="3" s="1"/>
  <c r="M25" i="4"/>
  <c r="J25" i="4"/>
  <c r="N14" i="16"/>
  <c r="O14" i="16" s="1"/>
  <c r="P14" i="16"/>
  <c r="L14" i="16"/>
  <c r="M14" i="16" s="1"/>
  <c r="J14" i="16"/>
  <c r="K14" i="16" s="1"/>
  <c r="N51" i="16"/>
  <c r="O51" i="16" s="1"/>
  <c r="H36" i="16"/>
  <c r="P51" i="16"/>
  <c r="J51" i="16"/>
  <c r="K51" i="16" s="1"/>
  <c r="L51" i="16"/>
  <c r="M51" i="16" s="1"/>
  <c r="L36" i="16" l="1"/>
  <c r="M36" i="16" s="1"/>
  <c r="H90" i="12"/>
  <c r="N36" i="16"/>
  <c r="O36" i="16" s="1"/>
  <c r="J36" i="16"/>
  <c r="K36" i="16" s="1"/>
  <c r="P36" i="16"/>
  <c r="J14" i="20"/>
  <c r="K14" i="20" s="1"/>
  <c r="W29" i="20"/>
  <c r="H14" i="20"/>
  <c r="I14" i="20" s="1"/>
  <c r="L16" i="10"/>
  <c r="M16" i="10" s="1"/>
  <c r="P16" i="10"/>
  <c r="N16" i="10"/>
  <c r="O16" i="10" s="1"/>
  <c r="J16" i="10"/>
  <c r="K16" i="10" s="1"/>
  <c r="I26" i="2"/>
  <c r="N26" i="2" s="1"/>
  <c r="H24" i="2"/>
  <c r="P14" i="10"/>
  <c r="N14" i="10"/>
  <c r="O14" i="10" s="1"/>
  <c r="L14" i="10"/>
  <c r="M14" i="10" s="1"/>
  <c r="J14" i="10"/>
  <c r="K14" i="10" s="1"/>
  <c r="L15" i="4"/>
  <c r="H21" i="2"/>
  <c r="I21" i="2" s="1"/>
  <c r="N21" i="2" s="1"/>
  <c r="H14" i="3"/>
  <c r="I14" i="3" s="1"/>
  <c r="K14" i="3" s="1"/>
  <c r="I15" i="4"/>
  <c r="P15" i="4"/>
  <c r="R15" i="4"/>
  <c r="O15" i="4"/>
  <c r="M15" i="4"/>
  <c r="J15" i="4"/>
  <c r="H19" i="2"/>
  <c r="I19" i="2" s="1"/>
  <c r="N19" i="2" s="1"/>
  <c r="H12" i="3"/>
  <c r="I12" i="3" s="1"/>
  <c r="K12" i="3" s="1"/>
  <c r="L13" i="4"/>
  <c r="J13" i="4"/>
  <c r="R13" i="4"/>
  <c r="M13" i="4"/>
  <c r="P13" i="4"/>
  <c r="I13" i="4"/>
  <c r="O13" i="4"/>
  <c r="W29" i="15"/>
  <c r="H14" i="15"/>
  <c r="I14" i="15" s="1"/>
  <c r="J14" i="15"/>
  <c r="K14" i="15" s="1"/>
  <c r="L18" i="4"/>
  <c r="L17" i="4" s="1"/>
  <c r="L16" i="4" s="1"/>
  <c r="H17" i="3"/>
  <c r="I19" i="3"/>
  <c r="K19" i="3" s="1"/>
  <c r="I17" i="3" l="1"/>
  <c r="K17" i="3" s="1"/>
  <c r="H16" i="3"/>
  <c r="P90" i="12"/>
  <c r="K90" i="12"/>
  <c r="L90" i="12" s="1"/>
  <c r="O90" i="12"/>
  <c r="H11" i="4"/>
  <c r="H23" i="2"/>
  <c r="I24" i="2"/>
  <c r="N24" i="2" s="1"/>
  <c r="H22" i="2" l="1"/>
  <c r="I22" i="2" s="1"/>
  <c r="N22" i="2" s="1"/>
  <c r="I23" i="2"/>
  <c r="N23" i="2" s="1"/>
  <c r="P11" i="4"/>
  <c r="H10" i="3"/>
  <c r="I10" i="3" s="1"/>
  <c r="K10" i="3" s="1"/>
  <c r="J11" i="4"/>
  <c r="H17" i="2"/>
  <c r="I17" i="2" s="1"/>
  <c r="N17" i="2" s="1"/>
  <c r="R11" i="4"/>
  <c r="I11" i="4"/>
  <c r="O11" i="4"/>
  <c r="M11" i="4"/>
  <c r="L11" i="4"/>
  <c r="I16" i="3"/>
  <c r="K16" i="3" s="1"/>
  <c r="H15" i="3"/>
  <c r="I15" i="3" s="1"/>
  <c r="K15" i="3" s="1"/>
  <c r="R23" i="16" l="1"/>
  <c r="P43" i="15"/>
  <c r="R43" i="15" s="1"/>
  <c r="G43" i="15" s="1"/>
  <c r="P43" i="20"/>
  <c r="R43" i="20" s="1"/>
  <c r="G43" i="20" s="1"/>
  <c r="G15" i="6"/>
  <c r="G10" i="6" s="1"/>
  <c r="H10" i="4"/>
  <c r="H19" i="4"/>
  <c r="H43" i="15" l="1"/>
  <c r="I43" i="15"/>
  <c r="J43" i="15"/>
  <c r="K43" i="15" s="1"/>
  <c r="B37" i="9"/>
  <c r="R23" i="10"/>
  <c r="S23" i="10" s="1"/>
  <c r="H23" i="10" s="1"/>
  <c r="H15" i="6"/>
  <c r="H10" i="6" s="1"/>
  <c r="I10" i="4"/>
  <c r="O10" i="4"/>
  <c r="P10" i="4"/>
  <c r="H9" i="3"/>
  <c r="H16" i="2"/>
  <c r="M10" i="4"/>
  <c r="L10" i="4"/>
  <c r="J10" i="4"/>
  <c r="R10" i="4"/>
  <c r="H43" i="4"/>
  <c r="I43" i="20"/>
  <c r="J43" i="20"/>
  <c r="K43" i="20" s="1"/>
  <c r="H43" i="20"/>
  <c r="I19" i="4"/>
  <c r="J19" i="4"/>
  <c r="H18" i="4"/>
  <c r="M19" i="4"/>
  <c r="R19" i="4"/>
  <c r="R13" i="16"/>
  <c r="P12" i="20"/>
  <c r="R12" i="20" s="1"/>
  <c r="G12" i="20" s="1"/>
  <c r="P12" i="15"/>
  <c r="R12" i="15" s="1"/>
  <c r="G12" i="15" s="1"/>
  <c r="R19" i="16"/>
  <c r="S23" i="16"/>
  <c r="H23" i="16" s="1"/>
  <c r="H9" i="4"/>
  <c r="R18" i="4" l="1"/>
  <c r="H17" i="4"/>
  <c r="J18" i="4"/>
  <c r="P18" i="4"/>
  <c r="M18" i="4"/>
  <c r="O18" i="4"/>
  <c r="I18" i="4"/>
  <c r="R13" i="10"/>
  <c r="S13" i="10" s="1"/>
  <c r="H12" i="20"/>
  <c r="I12" i="20" s="1"/>
  <c r="J12" i="20"/>
  <c r="K12" i="20" s="1"/>
  <c r="I16" i="2"/>
  <c r="N16" i="2" s="1"/>
  <c r="H59" i="2"/>
  <c r="R9" i="4"/>
  <c r="M9" i="4"/>
  <c r="J9" i="4"/>
  <c r="I9" i="4"/>
  <c r="L9" i="4"/>
  <c r="P9" i="4"/>
  <c r="H15" i="2"/>
  <c r="H44" i="4"/>
  <c r="O9" i="4"/>
  <c r="H8" i="3"/>
  <c r="H8" i="4"/>
  <c r="N23" i="16"/>
  <c r="O23" i="16" s="1"/>
  <c r="H19" i="16"/>
  <c r="P23" i="16"/>
  <c r="J23" i="16"/>
  <c r="K23" i="16" s="1"/>
  <c r="L23" i="16"/>
  <c r="M23" i="16" s="1"/>
  <c r="I9" i="3"/>
  <c r="K9" i="3" s="1"/>
  <c r="H41" i="3"/>
  <c r="H19" i="10"/>
  <c r="N23" i="10"/>
  <c r="O23" i="10" s="1"/>
  <c r="K23" i="10"/>
  <c r="J23" i="10"/>
  <c r="P23" i="10"/>
  <c r="L23" i="10"/>
  <c r="M23" i="10" s="1"/>
  <c r="P42" i="15"/>
  <c r="R42" i="15" s="1"/>
  <c r="G42" i="15" s="1"/>
  <c r="G7" i="6"/>
  <c r="G5" i="6" s="1"/>
  <c r="G4" i="6" s="1"/>
  <c r="P42" i="20"/>
  <c r="R42" i="20" s="1"/>
  <c r="G42" i="20" s="1"/>
  <c r="L8" i="4"/>
  <c r="L7" i="4" s="1"/>
  <c r="L6" i="4" s="1"/>
  <c r="L5" i="4" s="1"/>
  <c r="J12" i="15"/>
  <c r="K12" i="15" s="1"/>
  <c r="H12" i="15"/>
  <c r="I12" i="15" s="1"/>
  <c r="S13" i="16"/>
  <c r="R12" i="16"/>
  <c r="R10" i="16" s="1"/>
  <c r="R9" i="16" s="1"/>
  <c r="M43" i="4"/>
  <c r="J43" i="4"/>
  <c r="L43" i="4"/>
  <c r="I43" i="4"/>
  <c r="J44" i="4" l="1"/>
  <c r="L44" i="4"/>
  <c r="I44" i="4"/>
  <c r="M44" i="4"/>
  <c r="H14" i="1"/>
  <c r="H7" i="6"/>
  <c r="H5" i="6" s="1"/>
  <c r="H4" i="6" s="1"/>
  <c r="B31" i="9"/>
  <c r="R17" i="4"/>
  <c r="P17" i="4"/>
  <c r="I17" i="4"/>
  <c r="J17" i="4"/>
  <c r="O17" i="4"/>
  <c r="H16" i="4"/>
  <c r="M17" i="4"/>
  <c r="I41" i="3"/>
  <c r="H55" i="2"/>
  <c r="H46" i="4"/>
  <c r="J42" i="15"/>
  <c r="K42" i="15" s="1"/>
  <c r="H42" i="15"/>
  <c r="I42" i="15" s="1"/>
  <c r="G46" i="15"/>
  <c r="P19" i="16"/>
  <c r="L19" i="16"/>
  <c r="M19" i="16" s="1"/>
  <c r="N19" i="16"/>
  <c r="O19" i="16" s="1"/>
  <c r="J19" i="16"/>
  <c r="K19" i="16" s="1"/>
  <c r="H7" i="4"/>
  <c r="I8" i="4"/>
  <c r="M8" i="4"/>
  <c r="J8" i="4"/>
  <c r="O8" i="4"/>
  <c r="R8" i="4"/>
  <c r="P8" i="4"/>
  <c r="H61" i="2"/>
  <c r="I15" i="2"/>
  <c r="N15" i="2" s="1"/>
  <c r="H14" i="2"/>
  <c r="H13" i="10"/>
  <c r="S33" i="10"/>
  <c r="S67" i="10" s="1"/>
  <c r="P10" i="15"/>
  <c r="P10" i="20"/>
  <c r="I8" i="3"/>
  <c r="K8" i="3" s="1"/>
  <c r="H42" i="3"/>
  <c r="H44" i="3" s="1"/>
  <c r="H7" i="3"/>
  <c r="G26" i="6"/>
  <c r="G27" i="6"/>
  <c r="R69" i="16"/>
  <c r="R62" i="16"/>
  <c r="R64" i="16" s="1"/>
  <c r="S64" i="16" s="1"/>
  <c r="H64" i="16" s="1"/>
  <c r="H13" i="16"/>
  <c r="S33" i="16"/>
  <c r="S69" i="16" s="1"/>
  <c r="H42" i="20"/>
  <c r="I42" i="20" s="1"/>
  <c r="J42" i="20"/>
  <c r="K42" i="20" s="1"/>
  <c r="G46" i="20"/>
  <c r="L19" i="10"/>
  <c r="M19" i="10" s="1"/>
  <c r="P19" i="10"/>
  <c r="J19" i="10"/>
  <c r="K19" i="10" s="1"/>
  <c r="N19" i="10"/>
  <c r="O19" i="10" s="1"/>
  <c r="H13" i="2" l="1"/>
  <c r="I14" i="2"/>
  <c r="N14" i="2" s="1"/>
  <c r="H6" i="4"/>
  <c r="O7" i="4"/>
  <c r="R7" i="4"/>
  <c r="M7" i="4"/>
  <c r="P7" i="4"/>
  <c r="J7" i="4"/>
  <c r="I7" i="4"/>
  <c r="J16" i="4"/>
  <c r="R16" i="4"/>
  <c r="P16" i="4"/>
  <c r="O16" i="4"/>
  <c r="I16" i="4"/>
  <c r="M16" i="4"/>
  <c r="E12" i="1"/>
  <c r="H27" i="6"/>
  <c r="E13" i="1"/>
  <c r="H26" i="6"/>
  <c r="H6" i="3"/>
  <c r="I7" i="3"/>
  <c r="K7" i="3" s="1"/>
  <c r="R10" i="20"/>
  <c r="P9" i="20"/>
  <c r="P20" i="20" s="1"/>
  <c r="P22" i="20" s="1"/>
  <c r="R22" i="20" s="1"/>
  <c r="G22" i="20" s="1"/>
  <c r="M46" i="4"/>
  <c r="I46" i="4"/>
  <c r="J46" i="4"/>
  <c r="L46" i="4"/>
  <c r="H46" i="20"/>
  <c r="I46" i="20" s="1"/>
  <c r="J46" i="20"/>
  <c r="K46" i="20" s="1"/>
  <c r="N13" i="16"/>
  <c r="O13" i="16" s="1"/>
  <c r="J13" i="16"/>
  <c r="K13" i="16" s="1"/>
  <c r="L13" i="16"/>
  <c r="M13" i="16" s="1"/>
  <c r="H12" i="16"/>
  <c r="P13" i="16"/>
  <c r="L64" i="16"/>
  <c r="M64" i="16" s="1"/>
  <c r="N64" i="16"/>
  <c r="O64" i="16" s="1"/>
  <c r="J64" i="16"/>
  <c r="K64" i="16" s="1"/>
  <c r="I42" i="3"/>
  <c r="I44" i="3" s="1"/>
  <c r="H56" i="2"/>
  <c r="R10" i="15"/>
  <c r="P9" i="15"/>
  <c r="P20" i="15" s="1"/>
  <c r="P22" i="15" s="1"/>
  <c r="R22" i="15" s="1"/>
  <c r="G22" i="15" s="1"/>
  <c r="L13" i="10"/>
  <c r="M13" i="10" s="1"/>
  <c r="H12" i="10"/>
  <c r="J13" i="10"/>
  <c r="K13" i="10" s="1"/>
  <c r="P13" i="10"/>
  <c r="N13" i="10"/>
  <c r="O13" i="10" s="1"/>
  <c r="J46" i="15"/>
  <c r="K46" i="15" s="1"/>
  <c r="H46" i="15"/>
  <c r="I46" i="15" s="1"/>
  <c r="H60" i="2"/>
  <c r="I55" i="2"/>
  <c r="H58" i="2"/>
  <c r="B47" i="9"/>
  <c r="B49" i="9" s="1"/>
  <c r="G48" i="9" s="1"/>
  <c r="H12" i="1"/>
  <c r="H13" i="1" l="1"/>
  <c r="G51" i="9"/>
  <c r="G52" i="9" s="1"/>
  <c r="H29" i="6"/>
  <c r="H30" i="6" s="1"/>
  <c r="R9" i="15"/>
  <c r="R20" i="15" s="1"/>
  <c r="G10" i="15"/>
  <c r="H5" i="3"/>
  <c r="I6" i="3"/>
  <c r="K6" i="3" s="1"/>
  <c r="E14" i="1"/>
  <c r="E42" i="1" s="1"/>
  <c r="I13" i="2"/>
  <c r="N13" i="2" s="1"/>
  <c r="H12" i="2"/>
  <c r="H22" i="15"/>
  <c r="I22" i="15" s="1"/>
  <c r="J22" i="15"/>
  <c r="K22" i="15" s="1"/>
  <c r="P12" i="16"/>
  <c r="H33" i="16"/>
  <c r="H10" i="16"/>
  <c r="J12" i="16"/>
  <c r="K12" i="16" s="1"/>
  <c r="L12" i="16"/>
  <c r="M12" i="16" s="1"/>
  <c r="N12" i="16"/>
  <c r="O12" i="16" s="1"/>
  <c r="N12" i="10"/>
  <c r="O12" i="10" s="1"/>
  <c r="P12" i="10"/>
  <c r="L12" i="10"/>
  <c r="M12" i="10" s="1"/>
  <c r="J12" i="10"/>
  <c r="K12" i="10" s="1"/>
  <c r="H33" i="10"/>
  <c r="H10" i="10"/>
  <c r="I56" i="2"/>
  <c r="H62" i="2"/>
  <c r="J22" i="20"/>
  <c r="K22" i="20" s="1"/>
  <c r="H22" i="20"/>
  <c r="I22" i="20" s="1"/>
  <c r="O6" i="4"/>
  <c r="R6" i="4"/>
  <c r="I6" i="4"/>
  <c r="P6" i="4"/>
  <c r="J6" i="4"/>
  <c r="H5" i="4"/>
  <c r="M6" i="4"/>
  <c r="I58" i="2"/>
  <c r="R9" i="20"/>
  <c r="R20" i="20" s="1"/>
  <c r="G10" i="20"/>
  <c r="T22" i="20"/>
  <c r="V22" i="20" s="1"/>
  <c r="T22" i="15"/>
  <c r="V22" i="15" s="1"/>
  <c r="H10" i="20" l="1"/>
  <c r="I10" i="20" s="1"/>
  <c r="J10" i="20"/>
  <c r="K10" i="20" s="1"/>
  <c r="G9" i="20"/>
  <c r="O5" i="4"/>
  <c r="J5" i="4"/>
  <c r="I5" i="4"/>
  <c r="P5" i="4"/>
  <c r="M5" i="4"/>
  <c r="R5" i="4"/>
  <c r="H35" i="4"/>
  <c r="L33" i="16"/>
  <c r="M33" i="16" s="1"/>
  <c r="N33" i="16"/>
  <c r="O33" i="16" s="1"/>
  <c r="J33" i="16"/>
  <c r="K33" i="16" s="1"/>
  <c r="H91" i="12"/>
  <c r="I12" i="2"/>
  <c r="N12" i="2" s="1"/>
  <c r="H11" i="2"/>
  <c r="H4" i="3"/>
  <c r="I5" i="3"/>
  <c r="K5" i="3" s="1"/>
  <c r="G9" i="15"/>
  <c r="J10" i="15"/>
  <c r="K10" i="15" s="1"/>
  <c r="H10" i="15"/>
  <c r="I10" i="15" s="1"/>
  <c r="L10" i="10"/>
  <c r="M10" i="10" s="1"/>
  <c r="J10" i="10"/>
  <c r="K10" i="10" s="1"/>
  <c r="P10" i="10"/>
  <c r="N10" i="10"/>
  <c r="O10" i="10" s="1"/>
  <c r="H9" i="10"/>
  <c r="L33" i="10"/>
  <c r="M33" i="10" s="1"/>
  <c r="J33" i="10"/>
  <c r="K33" i="10" s="1"/>
  <c r="N33" i="10"/>
  <c r="O33" i="10" s="1"/>
  <c r="H90" i="11"/>
  <c r="N10" i="16"/>
  <c r="O10" i="16" s="1"/>
  <c r="J10" i="16"/>
  <c r="K10" i="16" s="1"/>
  <c r="P10" i="16"/>
  <c r="H9" i="16"/>
  <c r="L10" i="16"/>
  <c r="M10" i="16" s="1"/>
  <c r="I11" i="2" l="1"/>
  <c r="I42" i="2" s="1"/>
  <c r="I48" i="2" s="1"/>
  <c r="I51" i="2" s="1"/>
  <c r="J59" i="2" s="1"/>
  <c r="H42" i="2"/>
  <c r="H48" i="2" s="1"/>
  <c r="H51" i="2" s="1"/>
  <c r="W27" i="15"/>
  <c r="J9" i="15"/>
  <c r="K9" i="15" s="1"/>
  <c r="H9" i="15"/>
  <c r="I9" i="15" s="1"/>
  <c r="G20" i="15"/>
  <c r="I4" i="3"/>
  <c r="I34" i="3" s="1"/>
  <c r="K34" i="3" s="1"/>
  <c r="H34" i="3"/>
  <c r="H36" i="3" s="1"/>
  <c r="G20" i="20"/>
  <c r="W27" i="20"/>
  <c r="J9" i="20"/>
  <c r="K9" i="20" s="1"/>
  <c r="H9" i="20"/>
  <c r="I9" i="20" s="1"/>
  <c r="J9" i="10"/>
  <c r="K9" i="10" s="1"/>
  <c r="L9" i="10"/>
  <c r="M9" i="10" s="1"/>
  <c r="P9" i="10"/>
  <c r="H62" i="10"/>
  <c r="N9" i="10"/>
  <c r="O9" i="10" s="1"/>
  <c r="K91" i="12"/>
  <c r="L91" i="12" s="1"/>
  <c r="P91" i="12"/>
  <c r="O91" i="12"/>
  <c r="H37" i="4"/>
  <c r="M35" i="4"/>
  <c r="R35" i="4"/>
  <c r="I35" i="4"/>
  <c r="P35" i="4"/>
  <c r="J35" i="4"/>
  <c r="O35" i="4"/>
  <c r="L35" i="4"/>
  <c r="J9" i="16"/>
  <c r="K9" i="16" s="1"/>
  <c r="H62" i="16"/>
  <c r="N9" i="16"/>
  <c r="O9" i="16" s="1"/>
  <c r="P9" i="16"/>
  <c r="L9" i="16"/>
  <c r="M9" i="16" s="1"/>
  <c r="K90" i="11"/>
  <c r="L90" i="11" s="1"/>
  <c r="O90" i="11"/>
  <c r="P90" i="11" s="1"/>
  <c r="M90" i="11"/>
  <c r="N90" i="11" s="1"/>
  <c r="Q90" i="11"/>
  <c r="J20" i="20" l="1"/>
  <c r="K20" i="20" s="1"/>
  <c r="H20" i="20"/>
  <c r="I20" i="20" s="1"/>
  <c r="J20" i="15"/>
  <c r="K20" i="15" s="1"/>
  <c r="H20" i="15"/>
  <c r="I20" i="15" s="1"/>
  <c r="J62" i="16"/>
  <c r="K62" i="16" s="1"/>
  <c r="L62" i="16"/>
  <c r="M62" i="16" s="1"/>
  <c r="N62" i="16"/>
  <c r="O62" i="16" s="1"/>
  <c r="L62" i="10"/>
  <c r="M62" i="10" s="1"/>
  <c r="N62" i="10"/>
  <c r="O62" i="10" s="1"/>
  <c r="J62" i="10"/>
  <c r="K62" i="10" s="1"/>
  <c r="H38" i="3"/>
  <c r="I36" i="3"/>
  <c r="I38" i="3" s="1"/>
  <c r="R37" i="4"/>
  <c r="I37" i="4"/>
  <c r="I39" i="4" s="1"/>
  <c r="L37" i="4"/>
  <c r="O37" i="4"/>
  <c r="M37" i="4"/>
  <c r="J37" i="4"/>
  <c r="H47" i="4"/>
  <c r="P37" i="4"/>
  <c r="H39" i="4"/>
  <c r="K4" i="3"/>
  <c r="N11" i="2"/>
  <c r="K36" i="3" l="1"/>
  <c r="K38" i="3"/>
  <c r="M39" i="4"/>
  <c r="R39" i="4"/>
  <c r="L39" i="4"/>
  <c r="J39" i="4"/>
  <c r="E5" i="1"/>
  <c r="E7" i="1" s="1"/>
</calcChain>
</file>

<file path=xl/comments1.xml><?xml version="1.0" encoding="utf-8"?>
<comments xmlns="http://schemas.openxmlformats.org/spreadsheetml/2006/main">
  <authors>
    <author>work</author>
  </authors>
  <commentList>
    <comment ref="G4" authorId="0" shapeId="0">
      <text>
        <r>
          <rPr>
            <b/>
            <sz val="9"/>
            <color indexed="81"/>
            <rFont val="MS P ゴシック"/>
            <family val="3"/>
            <charset val="128"/>
          </rPr>
          <t>work:</t>
        </r>
        <r>
          <rPr>
            <sz val="9"/>
            <color indexed="81"/>
            <rFont val="MS P ゴシック"/>
            <family val="3"/>
            <charset val="128"/>
          </rPr>
          <t xml:space="preserve">
この部分は一般会計出資金の現年度分</t>
        </r>
      </text>
    </comment>
    <comment ref="G7" authorId="0" shapeId="0">
      <text>
        <r>
          <rPr>
            <b/>
            <sz val="9"/>
            <color indexed="81"/>
            <rFont val="MS P ゴシック"/>
            <family val="3"/>
            <charset val="128"/>
          </rPr>
          <t>work:</t>
        </r>
        <r>
          <rPr>
            <sz val="9"/>
            <color indexed="81"/>
            <rFont val="MS P ゴシック"/>
            <family val="3"/>
            <charset val="128"/>
          </rPr>
          <t xml:space="preserve">
この部分は一般会計出資金の来年度への繰越部分
現年度＋来年度繰越＝一般会計出資金の額</t>
        </r>
      </text>
    </comment>
  </commentList>
</comments>
</file>

<file path=xl/comments2.xml><?xml version="1.0" encoding="utf-8"?>
<comments xmlns="http://schemas.openxmlformats.org/spreadsheetml/2006/main">
  <authors>
    <author>安達 謙介</author>
    <author>広島市</author>
    <author>楠 宏</author>
  </authors>
  <commentList>
    <comment ref="E29" authorId="0" shapeId="0">
      <text>
        <r>
          <rPr>
            <sz val="9"/>
            <color indexed="81"/>
            <rFont val="MS P ゴシック"/>
            <family val="3"/>
            <charset val="128"/>
          </rPr>
          <t xml:space="preserve">R5決算：過年度に購入した固定資産の取得に伴う振替
</t>
        </r>
      </text>
    </comment>
    <comment ref="C30" authorId="1" shapeId="0">
      <text>
        <r>
          <rPr>
            <b/>
            <sz val="9"/>
            <color indexed="81"/>
            <rFont val="ＭＳ Ｐゴシック"/>
            <family val="3"/>
            <charset val="128"/>
          </rPr>
          <t>H27から借り入れ方法を変更したため、以降は発生しない予定。</t>
        </r>
      </text>
    </comment>
    <comment ref="E34" authorId="2" shapeId="0">
      <text>
        <r>
          <rPr>
            <sz val="8"/>
            <color indexed="81"/>
            <rFont val="ＭＳ Ｐゴシック"/>
            <family val="3"/>
            <charset val="128"/>
          </rPr>
          <t>一昨年度の純利益
（当年度予算で補てん財源となっている。予算説明資料で確認）</t>
        </r>
      </text>
    </comment>
    <comment ref="E35" authorId="2" shapeId="0">
      <text>
        <r>
          <rPr>
            <b/>
            <sz val="12"/>
            <color indexed="81"/>
            <rFont val="ＭＳ Ｐゴシック"/>
            <family val="3"/>
            <charset val="128"/>
          </rPr>
          <t>昨年度から繰り越した事業の財源の余りを今年度の事業に充当した額。「資本的支出の事業別財源内訳」表より
現年度分を参照すること。</t>
        </r>
      </text>
    </comment>
  </commentList>
</comments>
</file>

<file path=xl/comments3.xml><?xml version="1.0" encoding="utf-8"?>
<comments xmlns="http://schemas.openxmlformats.org/spreadsheetml/2006/main">
  <authors>
    <author>楠 宏</author>
    <author>Windows ユーザー</author>
  </authors>
  <commentList>
    <comment ref="J15" authorId="0" shapeId="0">
      <text>
        <r>
          <rPr>
            <b/>
            <sz val="9"/>
            <color indexed="81"/>
            <rFont val="ＭＳ Ｐゴシック"/>
            <family val="3"/>
            <charset val="128"/>
          </rPr>
          <t>前受金（災害復旧等繰越財源分）
の精算額はここに満額入っている</t>
        </r>
      </text>
    </comment>
    <comment ref="J30" authorId="1" shapeId="0">
      <text>
        <r>
          <rPr>
            <b/>
            <sz val="9"/>
            <color indexed="81"/>
            <rFont val="ＭＳ Ｐゴシック"/>
            <family val="3"/>
            <charset val="128"/>
          </rPr>
          <t>H28決算で算入していなかった熊本地震被災者減免分</t>
        </r>
      </text>
    </comment>
  </commentList>
</comments>
</file>

<file path=xl/comments4.xml><?xml version="1.0" encoding="utf-8"?>
<comments xmlns="http://schemas.openxmlformats.org/spreadsheetml/2006/main">
  <authors>
    <author>Windows ユーザー</author>
  </authors>
  <commentList>
    <comment ref="Q24" authorId="0" shapeId="0">
      <text>
        <r>
          <rPr>
            <b/>
            <sz val="12"/>
            <color indexed="81"/>
            <rFont val="ＭＳ Ｐゴシック"/>
            <family val="3"/>
            <charset val="128"/>
          </rPr>
          <t>手入力</t>
        </r>
        <r>
          <rPr>
            <b/>
            <sz val="9"/>
            <color indexed="81"/>
            <rFont val="ＭＳ Ｐゴシック"/>
            <family val="3"/>
            <charset val="128"/>
          </rPr>
          <t xml:space="preserve">
H28決算で算入していなかった熊本地震被災者減免分</t>
        </r>
      </text>
    </comment>
  </commentList>
</comments>
</file>

<file path=xl/comments5.xml><?xml version="1.0" encoding="utf-8"?>
<comments xmlns="http://schemas.openxmlformats.org/spreadsheetml/2006/main">
  <authors>
    <author>広島市</author>
  </authors>
  <commentList>
    <comment ref="D2" authorId="0" shapeId="0">
      <text>
        <r>
          <rPr>
            <b/>
            <sz val="9"/>
            <color indexed="81"/>
            <rFont val="ＭＳ Ｐゴシック"/>
            <family val="3"/>
            <charset val="128"/>
          </rPr>
          <t>予算書から直打ち</t>
        </r>
      </text>
    </comment>
  </commentList>
</comments>
</file>

<file path=xl/comments6.xml><?xml version="1.0" encoding="utf-8"?>
<comments xmlns="http://schemas.openxmlformats.org/spreadsheetml/2006/main">
  <authors>
    <author>広島市</author>
    <author>4202453</author>
  </authors>
  <commentList>
    <comment ref="D2" authorId="0" shapeId="0">
      <text>
        <r>
          <rPr>
            <b/>
            <sz val="9"/>
            <color indexed="81"/>
            <rFont val="ＭＳ Ｐゴシック"/>
            <family val="3"/>
            <charset val="128"/>
          </rPr>
          <t>支出予算執行状況表を目レベルで出力したものを見ながら入力</t>
        </r>
      </text>
    </comment>
    <comment ref="H23" authorId="1" shapeId="0">
      <text>
        <r>
          <rPr>
            <b/>
            <sz val="11"/>
            <color indexed="81"/>
            <rFont val="ＭＳ Ｐゴシック"/>
            <family val="3"/>
            <charset val="128"/>
          </rPr>
          <t>税抜きの雑支出には、仕入控除税額の算定にあたって、仮払消費税額×課税売上割合しか計上できなくなったことにより控除できなくなった額があるが、それを入力すると、「消費税」シートの「３条の控除不可消費税（雑支出）」の額が狂うので、入力していない。</t>
        </r>
      </text>
    </comment>
    <comment ref="I23" authorId="1" shapeId="0">
      <text>
        <r>
          <rPr>
            <b/>
            <sz val="11"/>
            <color indexed="81"/>
            <rFont val="ＭＳ Ｐゴシック"/>
            <family val="3"/>
            <charset val="128"/>
          </rPr>
          <t>税抜きの雑支出には、仕入控除税額の算定にあたって、仮払消費税額×課税売上割合しか計上できなくなったことにより控除できなくなった額があるが、それを入力すると、「消費税」シートの「３条の控除不可消費税（雑支出）」の額が狂うので、入力していない。</t>
        </r>
      </text>
    </comment>
  </commentList>
</comments>
</file>

<file path=xl/comments7.xml><?xml version="1.0" encoding="utf-8"?>
<comments xmlns="http://schemas.openxmlformats.org/spreadsheetml/2006/main">
  <authors>
    <author>広島市</author>
    <author>経理</author>
    <author>work</author>
  </authors>
  <commentList>
    <comment ref="D3" authorId="0" shapeId="0">
      <text>
        <r>
          <rPr>
            <b/>
            <sz val="10"/>
            <color indexed="81"/>
            <rFont val="ＭＳ Ｐゴシック"/>
            <family val="3"/>
            <charset val="128"/>
          </rPr>
          <t>支出予算執行状況表を節レベルで出力したものを見ながら入力</t>
        </r>
      </text>
    </comment>
    <comment ref="G3" authorId="1" shapeId="0">
      <text>
        <r>
          <rPr>
            <b/>
            <sz val="9"/>
            <color indexed="81"/>
            <rFont val="MS P ゴシック"/>
            <family val="3"/>
            <charset val="128"/>
          </rPr>
          <t>当該年度に収入した額</t>
        </r>
      </text>
    </comment>
    <comment ref="J7" authorId="0" shapeId="0">
      <text>
        <r>
          <rPr>
            <sz val="9"/>
            <color indexed="81"/>
            <rFont val="ＭＳ Ｐゴシック"/>
            <family val="3"/>
            <charset val="128"/>
          </rPr>
          <t xml:space="preserve">=+'I:\経理係フォルダ\☆決算事務\２８年度決算\H28資本的支出の事業別財源内訳（決算）\有本加工中\[H28資本的支出の事業別財源内訳（決算）（全事業分）.xls]H28 27→28繰越'!$F$6+'I:\経理係フォルダ\☆決算事務\２８年度決算\H28資本的支出の事業別財源内訳（決算）\有本加工中\[H28資本的支出の事業別財源内訳（決算）（全事業分）.xls]H28 27→28繰越'!$F$42
</t>
        </r>
        <r>
          <rPr>
            <b/>
            <sz val="9"/>
            <color indexed="81"/>
            <rFont val="ＭＳ Ｐゴシック"/>
            <family val="3"/>
            <charset val="128"/>
          </rPr>
          <t>R2決算：事故繰越分R1→3は含めず
R3決算：事故繰越分R1→3を決算額から除く必要があることから含めた</t>
        </r>
      </text>
    </comment>
    <comment ref="L7"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28→29繰越'!$F$6=+'I:\経理係フォルダ\☆決算事務\２８年度決算\H28資本的支出の事業別財源内訳（決算）\有本加工中\[H28資本的支出の事業別財源内訳（決算）（全事業分）.xls]H28 28→29繰越'!$F$36
R2決算：</t>
        </r>
        <r>
          <rPr>
            <b/>
            <sz val="9"/>
            <color indexed="81"/>
            <rFont val="ＭＳ Ｐゴシック"/>
            <family val="3"/>
            <charset val="128"/>
          </rPr>
          <t>事故繰越分R1→3含めず
R3決算：事故繰越分R2→4含めず</t>
        </r>
      </text>
    </comment>
    <comment ref="C11" authorId="2" shapeId="0">
      <text>
        <r>
          <rPr>
            <b/>
            <sz val="9"/>
            <color indexed="81"/>
            <rFont val="MS P ゴシック"/>
            <family val="3"/>
            <charset val="128"/>
          </rPr>
          <t>work:</t>
        </r>
        <r>
          <rPr>
            <sz val="9"/>
            <color indexed="81"/>
            <rFont val="MS P ゴシック"/>
            <family val="3"/>
            <charset val="128"/>
          </rPr>
          <t xml:space="preserve">
緊急自然災害防止対策事業債</t>
        </r>
      </text>
    </comment>
    <comment ref="J17" authorId="0" shapeId="0">
      <text>
        <r>
          <rPr>
            <sz val="9"/>
            <color indexed="81"/>
            <rFont val="ＭＳ Ｐゴシック"/>
            <family val="3"/>
            <charset val="128"/>
          </rPr>
          <t xml:space="preserve">=+'I:\経理係フォルダ\☆決算事務\２８年度決算\H28資本的支出の事業別財源内訳（決算）\有本加工中\[H28資本的支出の事業別財源内訳（決算）（全事業分）.xls]H28 27→28繰越'!$G$6
</t>
        </r>
        <r>
          <rPr>
            <b/>
            <sz val="9"/>
            <color indexed="81"/>
            <rFont val="ＭＳ Ｐゴシック"/>
            <family val="3"/>
            <charset val="128"/>
          </rPr>
          <t>R2決算：事故繰越分R1→3は含めず
R3決算：事故繰越分R1→3を決算額から除く必要があることから含めた</t>
        </r>
      </text>
    </comment>
    <comment ref="L17" authorId="0" shapeId="0">
      <text>
        <r>
          <rPr>
            <sz val="9"/>
            <color indexed="81"/>
            <rFont val="ＭＳ Ｐゴシック"/>
            <family val="3"/>
            <charset val="128"/>
          </rPr>
          <t xml:space="preserve">=+'I:\経理係フォルダ\☆決算事務\２８年度決算\H28資本的支出の事業別財源内訳（決算）\有本加工中\[H28資本的支出の事業別財源内訳（決算）（全事業分）.xls]H28 28→29繰越'!$G$6
</t>
        </r>
      </text>
    </comment>
    <comment ref="J18"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27→28繰越'!$G$36</t>
        </r>
      </text>
    </comment>
    <comment ref="L18"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28→29繰越'!$G$36</t>
        </r>
      </text>
    </comment>
    <comment ref="J19"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27→28繰越'!$G$36</t>
        </r>
      </text>
    </comment>
    <comment ref="L19" authorId="0" shapeId="0">
      <text>
        <r>
          <rPr>
            <sz val="9"/>
            <color indexed="81"/>
            <rFont val="ＭＳ Ｐゴシック"/>
            <family val="3"/>
            <charset val="128"/>
          </rPr>
          <t>=+'I:\経理係フォルダ\☆決算事務\２８年度決算\H28資本的支出の事業別財源内訳（決算）\有本加工中\[H28資本的支出の事業別財源内訳（決算）（全事業分）.xls]H28 28→29繰越'!$G$36</t>
        </r>
      </text>
    </comment>
    <comment ref="L25" authorId="1" shapeId="0">
      <text>
        <r>
          <rPr>
            <b/>
            <sz val="9"/>
            <color indexed="81"/>
            <rFont val="MS P ゴシック"/>
            <family val="3"/>
            <charset val="128"/>
          </rPr>
          <t>R5→6繰越の工事負担金</t>
        </r>
        <r>
          <rPr>
            <sz val="9"/>
            <color indexed="81"/>
            <rFont val="MS P ゴシック"/>
            <family val="3"/>
            <charset val="128"/>
          </rPr>
          <t xml:space="preserve">
維持課小林補佐がR5-6の繰越工事負担金が６０００万円あると回答(決算見込において)したため、ここに計上。
R5決算：未契約の移設工事について、一定の工事負担金が見込まれることから、+１億３０００万円（5/17 計画調整課　松田補佐、石川主事　と調整済み）</t>
        </r>
      </text>
    </comment>
  </commentList>
</comments>
</file>

<file path=xl/comments8.xml><?xml version="1.0" encoding="utf-8"?>
<comments xmlns="http://schemas.openxmlformats.org/spreadsheetml/2006/main">
  <authors>
    <author>広島市</author>
    <author>安達 謙介</author>
    <author>経理</author>
    <author>楠 宏</author>
  </authors>
  <commentList>
    <comment ref="D3" authorId="0" shapeId="0">
      <text>
        <r>
          <rPr>
            <b/>
            <sz val="10"/>
            <color indexed="81"/>
            <rFont val="ＭＳ Ｐゴシック"/>
            <family val="3"/>
            <charset val="128"/>
          </rPr>
          <t>予算書から直打ち
H28は、人件費流用後の数値</t>
        </r>
      </text>
    </comment>
    <comment ref="E3" authorId="1" shapeId="0">
      <text>
        <r>
          <rPr>
            <b/>
            <sz val="9"/>
            <color indexed="81"/>
            <rFont val="MS P ゴシック"/>
            <family val="3"/>
            <charset val="128"/>
          </rPr>
          <t>R5決算：流用なし</t>
        </r>
      </text>
    </comment>
    <comment ref="G3" authorId="2" shapeId="0">
      <text>
        <r>
          <rPr>
            <b/>
            <sz val="9"/>
            <color indexed="81"/>
            <rFont val="MS P ゴシック"/>
            <family val="3"/>
            <charset val="128"/>
          </rPr>
          <t>当該年度に支出した額（現年+建繰+事故繰越）</t>
        </r>
        <r>
          <rPr>
            <sz val="9"/>
            <color indexed="81"/>
            <rFont val="MS P ゴシック"/>
            <family val="3"/>
            <charset val="128"/>
          </rPr>
          <t xml:space="preserve">
</t>
        </r>
      </text>
    </comment>
    <comment ref="H3" authorId="3" shapeId="0">
      <text>
        <r>
          <rPr>
            <b/>
            <sz val="11"/>
            <color indexed="81"/>
            <rFont val="ＭＳ Ｐゴシック"/>
            <family val="3"/>
            <charset val="128"/>
          </rPr>
          <t>H28まで、前年度決算の繰越財源計算書の数値を記載。
繰越事業に不用が生じると、現年度分決算額欄とみなし決算額欄の数値が実際より少なくなるが、
不用により余った出資金を現年度事業に充てるので、"(繰)案"シートで計算する当年度の出資金の額は、少なくなった数値で計算したものと一致した。
H29では、公共の28→29繰越が18,000,000不用になったとともに、企業債収入も8,000,000減り、
不用により余った出資金は、18,000,000ではなく、10,000,000となったため、
"(繰)案"シートで計算する当年度の出資金の額が正しく計算しないようになった。
　↓
実際の繰越事業の決算額をここに入力し、
"(繰)案"シートの34行目の"繰越工事資金当年度充当額"に、不用により余った出資金の額を入力することで、正しく計算する。</t>
        </r>
      </text>
    </comment>
    <comment ref="J3" authorId="3" shapeId="0">
      <text>
        <r>
          <rPr>
            <b/>
            <sz val="9"/>
            <color indexed="81"/>
            <rFont val="ＭＳ Ｐゴシック"/>
            <family val="3"/>
            <charset val="128"/>
          </rPr>
          <t>当年度決算の繰越財源計算書より</t>
        </r>
      </text>
    </comment>
    <comment ref="H7" authorId="0" shapeId="0">
      <text>
        <r>
          <rPr>
            <sz val="9"/>
            <color indexed="81"/>
            <rFont val="ＭＳ Ｐゴシック"/>
            <family val="3"/>
            <charset val="128"/>
          </rPr>
          <t>=+'I:\経理係フォルダ\☆決算事務\２７年度決算\50 H27→H28繰越\《財政課提出》最終原稿\最終原稿　下水道事業\[★H27繰越計算書【下水】建設改良繰越 _280512.xls]Ｈ27繰越財源計算書'!$D$5-'I:\経理係フォルダ\☆決算事務\２８年度決算\50 H28→H29繰越・H27→H29事故繰\05　経理　起債担当・決算担当にメールでデータ提供\[H28繰越計算書【下水】事故繰越　4.20修正（4.24財政課で再修正）.xls]H28繰越財源計算書　事故繰越'!$D$5
3年度支出のうち前年度からの繰越分を計上⇒</t>
        </r>
        <r>
          <rPr>
            <b/>
            <sz val="9"/>
            <color indexed="81"/>
            <rFont val="ＭＳ Ｐゴシック"/>
            <family val="3"/>
            <charset val="128"/>
          </rPr>
          <t>R1→R3事故繰越分含む</t>
        </r>
      </text>
    </comment>
    <comment ref="J7" authorId="0" shapeId="0">
      <text>
        <r>
          <rPr>
            <sz val="9"/>
            <color indexed="81"/>
            <rFont val="ＭＳ Ｐゴシック"/>
            <family val="3"/>
            <charset val="128"/>
          </rPr>
          <t xml:space="preserve">=+'I:\経理係フォルダ\☆決算事務\２８年度決算\50 H28→H29繰越・H27→H29事故繰\05　経理　起債担当・決算担当にメールでデータ提供\[H28繰越計算書【下水】建設改良繰越　4.28修正.xls]Ｈ28繰越財源計算書'!$D$5
</t>
        </r>
      </text>
    </comment>
    <comment ref="H9" authorId="0" shapeId="0">
      <text>
        <r>
          <rPr>
            <sz val="9"/>
            <color indexed="81"/>
            <rFont val="ＭＳ Ｐゴシック"/>
            <family val="3"/>
            <charset val="128"/>
          </rPr>
          <t>=+'I:\経理係フォルダ\☆決算事務\２７年度決算\50 H27→H28繰越\《財政課提出》最終原稿\最終原稿　下水道事業\[★H27繰越計算書【下水】建設改良繰越 _280512.xls]Ｈ27繰越財源計算書'!$D$10</t>
        </r>
      </text>
    </comment>
    <comment ref="J9" authorId="0" shapeId="0">
      <text>
        <r>
          <rPr>
            <sz val="9"/>
            <color indexed="81"/>
            <rFont val="ＭＳ Ｐゴシック"/>
            <family val="3"/>
            <charset val="128"/>
          </rPr>
          <t>=+'I:\経理係フォルダ\☆決算事務\２８年度決算\50 H28→H29繰越・H27→H29事故繰\05　経理　起債担当・決算担当にメールでデータ提供\[H28繰越計算書【下水】建設改良繰越　4.28修正.xls]Ｈ28繰越財源計算書'!$D$10</t>
        </r>
      </text>
    </comment>
    <comment ref="H12" authorId="0" shapeId="0">
      <text>
        <r>
          <rPr>
            <sz val="9"/>
            <color indexed="81"/>
            <rFont val="ＭＳ Ｐゴシック"/>
            <family val="3"/>
            <charset val="128"/>
          </rPr>
          <t>=+'I:\経理係フォルダ\☆決算事務\２７年度決算\50 H27→H28繰越\《財政課提出》最終原稿\最終原稿　下水道事業\[★H27繰越計算書【下水】建設改良繰越 _280512.xls]Ｈ27繰越財源計算書'!$D$20</t>
        </r>
      </text>
    </comment>
    <comment ref="J12" authorId="0" shapeId="0">
      <text>
        <r>
          <rPr>
            <sz val="9"/>
            <color indexed="81"/>
            <rFont val="ＭＳ Ｐゴシック"/>
            <family val="3"/>
            <charset val="128"/>
          </rPr>
          <t>=+'I:\経理係フォルダ\☆決算事務\２８年度決算\50 H28→H29繰越・H27→H29事故繰\05　経理　起債担当・決算担当にメールでデータ提供\[H28繰越計算書【下水】建設改良繰越　4.28修正.xls]Ｈ28繰越財源計算書'!$D$20</t>
        </r>
      </text>
    </comment>
    <comment ref="H14" authorId="0" shapeId="0">
      <text>
        <r>
          <rPr>
            <sz val="9"/>
            <color indexed="81"/>
            <rFont val="ＭＳ Ｐゴシック"/>
            <family val="3"/>
            <charset val="128"/>
          </rPr>
          <t>=+'I:\経理係フォルダ\☆決算事務\２７年度決算\50 H27→H28繰越\《財政課提出》最終原稿\最終原稿　下水道事業\[★H27繰越計算書【下水】建設改良繰越 _280512.xls]Ｈ27繰越財源計算書'!$D$21</t>
        </r>
      </text>
    </comment>
    <comment ref="J14" authorId="0" shapeId="0">
      <text>
        <r>
          <rPr>
            <sz val="9"/>
            <color indexed="81"/>
            <rFont val="ＭＳ Ｐゴシック"/>
            <family val="3"/>
            <charset val="128"/>
          </rPr>
          <t>=+'I:\経理係フォルダ\☆決算事務\２８年度決算\50 H28→H29繰越・H27→H29事故繰\05　経理　起債担当・決算担当にメールでデータ提供\[H28繰越計算書【下水】建設改良繰越　4.28修正.xls]Ｈ28繰越財源計算書'!$D$21
3年度予算のうち翌年度への繰越額を計上⇒</t>
        </r>
        <r>
          <rPr>
            <b/>
            <sz val="9"/>
            <color indexed="81"/>
            <rFont val="ＭＳ Ｐゴシック"/>
            <family val="3"/>
            <charset val="128"/>
          </rPr>
          <t>R2→R4事故繰越分含めず</t>
        </r>
        <r>
          <rPr>
            <sz val="9"/>
            <color indexed="81"/>
            <rFont val="ＭＳ Ｐゴシック"/>
            <family val="3"/>
            <charset val="128"/>
          </rPr>
          <t xml:space="preserve">
</t>
        </r>
      </text>
    </comment>
  </commentList>
</comments>
</file>

<file path=xl/comments9.xml><?xml version="1.0" encoding="utf-8"?>
<comments xmlns="http://schemas.openxmlformats.org/spreadsheetml/2006/main">
  <authors>
    <author>4202453</author>
  </authors>
  <commentList>
    <comment ref="F8" authorId="0" shapeId="0">
      <text>
        <r>
          <rPr>
            <b/>
            <sz val="9"/>
            <color indexed="81"/>
            <rFont val="ＭＳ Ｐゴシック"/>
            <family val="3"/>
            <charset val="128"/>
          </rPr>
          <t>この表の下の欄外を参照</t>
        </r>
      </text>
    </comment>
    <comment ref="F14" authorId="0" shapeId="0">
      <text>
        <r>
          <rPr>
            <b/>
            <sz val="9"/>
            <color indexed="81"/>
            <rFont val="ＭＳ Ｐゴシック"/>
            <family val="3"/>
            <charset val="128"/>
          </rPr>
          <t>この表の下の欄外を参照</t>
        </r>
      </text>
    </comment>
  </commentList>
</comments>
</file>

<file path=xl/comments10.xml><?xml version="1.0" encoding="utf-8"?>
<comments xmlns="http://schemas.openxmlformats.org/spreadsheetml/2006/main">
  <authors>
    <author>Windows ユーザー</author>
    <author>安達 謙介</author>
  </authors>
  <commentList>
    <comment ref="T4" authorId="0" shapeId="0">
      <text>
        <r>
          <rPr>
            <b/>
            <sz val="18"/>
            <color indexed="81"/>
            <rFont val="ＭＳ Ｐゴシック"/>
            <family val="3"/>
            <charset val="128"/>
          </rPr>
          <t>年度を西暦で入力</t>
        </r>
      </text>
    </comment>
    <comment ref="K10" authorId="1" shapeId="0">
      <text>
        <r>
          <rPr>
            <b/>
            <sz val="9"/>
            <color indexed="81"/>
            <rFont val="MS P ゴシック"/>
            <family val="3"/>
            <charset val="128"/>
          </rPr>
          <t>営業収益</t>
        </r>
        <r>
          <rPr>
            <sz val="9"/>
            <color indexed="81"/>
            <rFont val="MS P ゴシック"/>
            <family val="3"/>
            <charset val="128"/>
          </rPr>
          <t xml:space="preserve">
【対議決予算】
・使用料　　　　　△895,765
・一般会計負担金　＋332,241
【対4月決見】
・一般会計負担金　＋235,818
・使用料　　　　　 ＋47,206</t>
        </r>
      </text>
    </comment>
    <comment ref="K12" authorId="1" shapeId="0">
      <text>
        <r>
          <rPr>
            <b/>
            <sz val="9"/>
            <color indexed="81"/>
            <rFont val="MS P ゴシック"/>
            <family val="3"/>
            <charset val="128"/>
          </rPr>
          <t>営業外収益</t>
        </r>
        <r>
          <rPr>
            <sz val="9"/>
            <color indexed="81"/>
            <rFont val="MS P ゴシック"/>
            <family val="3"/>
            <charset val="128"/>
          </rPr>
          <t xml:space="preserve">
【対議決予算】
・長期前受金戻入　＋30,265
・一般会計補助金
（能登応援・減免）＋9,203（皆増）
【対4月決見】
・負担金　＋3,810
</t>
        </r>
      </text>
    </comment>
    <comment ref="K15" authorId="1" shapeId="0">
      <text>
        <r>
          <rPr>
            <b/>
            <sz val="9"/>
            <color indexed="81"/>
            <rFont val="MS P ゴシック"/>
            <family val="3"/>
            <charset val="128"/>
          </rPr>
          <t xml:space="preserve">営業費用
</t>
        </r>
        <r>
          <rPr>
            <sz val="9"/>
            <color indexed="81"/>
            <rFont val="MS P ゴシック"/>
            <family val="3"/>
            <charset val="128"/>
          </rPr>
          <t>【対議決予算】
・処理場費　　△549,300
・ポンプ場費　 △90,013
・資産減耗費（除却）＋152,224
【対4月決見】
・処理場費　△118,498
・総係費　　 △31,798</t>
        </r>
        <r>
          <rPr>
            <b/>
            <sz val="9"/>
            <color indexed="81"/>
            <rFont val="MS P ゴシック"/>
            <family val="3"/>
            <charset val="128"/>
          </rPr>
          <t xml:space="preserve">
</t>
        </r>
        <r>
          <rPr>
            <sz val="9"/>
            <color indexed="81"/>
            <rFont val="MS P ゴシック"/>
            <family val="3"/>
            <charset val="128"/>
          </rPr>
          <t>・管きょ費　 △23,746</t>
        </r>
      </text>
    </comment>
    <comment ref="F16" authorId="1" shapeId="0">
      <text>
        <r>
          <rPr>
            <sz val="9"/>
            <color indexed="81"/>
            <rFont val="MS P ゴシック"/>
            <family val="3"/>
            <charset val="128"/>
          </rPr>
          <t>能登半島地震経費（8,000千円（決見））については、4月決見の表では、予備費執行の形にしていた。
この表では確実に比較できるよう、実際の執行に併せて営業外費用とした。</t>
        </r>
      </text>
    </comment>
    <comment ref="K16" authorId="1" shapeId="0">
      <text>
        <r>
          <rPr>
            <b/>
            <sz val="9"/>
            <color indexed="81"/>
            <rFont val="MS P ゴシック"/>
            <family val="3"/>
            <charset val="128"/>
          </rPr>
          <t xml:space="preserve">営業外費用
</t>
        </r>
        <r>
          <rPr>
            <sz val="9"/>
            <color indexed="81"/>
            <rFont val="MS P ゴシック"/>
            <family val="3"/>
            <charset val="128"/>
          </rPr>
          <t>【対議決予算】
・支払利息等　　　　　 △261,589
・消費税及び地方消費税　△48,724
・雑支出（能登応援含む） ＋9,207
【対4月決見】
・消費税及び地方消費税　＋79,173</t>
        </r>
      </text>
    </comment>
    <comment ref="H17" authorId="1" shapeId="0">
      <text>
        <r>
          <rPr>
            <b/>
            <sz val="9"/>
            <color indexed="81"/>
            <rFont val="MS P ゴシック"/>
            <family val="3"/>
            <charset val="128"/>
          </rPr>
          <t>特別損失</t>
        </r>
        <r>
          <rPr>
            <sz val="9"/>
            <color indexed="81"/>
            <rFont val="MS P ゴシック"/>
            <family val="3"/>
            <charset val="128"/>
          </rPr>
          <t>　【対議決予算】・固定資産売却損（旧東浄団地処理場）＋10,315</t>
        </r>
      </text>
    </comment>
    <comment ref="K26" authorId="1" shapeId="0">
      <text>
        <r>
          <rPr>
            <sz val="9"/>
            <color indexed="81"/>
            <rFont val="MS P ゴシック"/>
            <family val="3"/>
            <charset val="128"/>
          </rPr>
          <t>不用額に対応</t>
        </r>
      </text>
    </comment>
    <comment ref="K29" authorId="1" shapeId="0">
      <text>
        <r>
          <rPr>
            <b/>
            <sz val="9"/>
            <color indexed="81"/>
            <rFont val="MS P ゴシック"/>
            <family val="3"/>
            <charset val="128"/>
          </rPr>
          <t>企業債　</t>
        </r>
        <r>
          <rPr>
            <sz val="9"/>
            <color indexed="81"/>
            <rFont val="MS P ゴシック"/>
            <family val="3"/>
            <charset val="128"/>
          </rPr>
          <t>【対議決予算】　　・資本費平準化債　△109,500　　・流域下水道債　△39,900</t>
        </r>
      </text>
    </comment>
    <comment ref="M31" authorId="1" shapeId="0">
      <text>
        <r>
          <rPr>
            <b/>
            <sz val="9"/>
            <color indexed="81"/>
            <rFont val="MS P ゴシック"/>
            <family val="3"/>
            <charset val="128"/>
          </rPr>
          <t xml:space="preserve">その他資本的収入
</t>
        </r>
        <r>
          <rPr>
            <sz val="9"/>
            <color indexed="81"/>
            <rFont val="MS P ゴシック"/>
            <family val="3"/>
            <charset val="128"/>
          </rPr>
          <t>【対議決予算】
・一般会計出資金　        △354,969
・負担金（翌年度繰越含む）＋131,308</t>
        </r>
        <r>
          <rPr>
            <b/>
            <sz val="9"/>
            <color indexed="81"/>
            <rFont val="MS P ゴシック"/>
            <family val="3"/>
            <charset val="128"/>
          </rPr>
          <t xml:space="preserve">
</t>
        </r>
        <r>
          <rPr>
            <sz val="9"/>
            <color indexed="81"/>
            <rFont val="MS P ゴシック"/>
            <family val="3"/>
            <charset val="128"/>
          </rPr>
          <t>【対4月決見】
・負担金　　　　　＋193,224
・一般会計出資金 　△94,148
・工事受託金　　 　△29,863</t>
        </r>
      </text>
    </comment>
    <comment ref="J33" authorId="1" shapeId="0">
      <text>
        <r>
          <rPr>
            <b/>
            <sz val="9"/>
            <color indexed="81"/>
            <rFont val="MS P ゴシック"/>
            <family val="3"/>
            <charset val="128"/>
          </rPr>
          <t>建設改良費</t>
        </r>
        <r>
          <rPr>
            <sz val="9"/>
            <color indexed="81"/>
            <rFont val="MS P ゴシック"/>
            <family val="3"/>
            <charset val="128"/>
          </rPr>
          <t xml:space="preserve">
【対議決予算】　※主に単市の不用
・排水施設整備費　 △98,949
・公共下水道整備費　△60,952
・流域下水道整備費　△40,220
【対4月決見】
・公共下水道整備費　＋127,610
・排水施設整備費　 　△49,801
・流域下水道整備費　 △40,220</t>
        </r>
      </text>
    </comment>
    <comment ref="H42" authorId="1" shapeId="0">
      <text>
        <r>
          <rPr>
            <b/>
            <sz val="9"/>
            <color indexed="81"/>
            <rFont val="MS P ゴシック"/>
            <family val="3"/>
            <charset val="128"/>
          </rPr>
          <t xml:space="preserve">一般会計負担金
</t>
        </r>
        <r>
          <rPr>
            <sz val="9"/>
            <color indexed="81"/>
            <rFont val="MS P ゴシック"/>
            <family val="3"/>
            <charset val="128"/>
          </rPr>
          <t>【対議決予算】
・プラン枠内への減額査定　　　　 　 ＋597,760
・雨水処理負担金-支払利息分の減少　 △127,096
・雨水処理負担金-維持管理費分の減少　△95,275
【対4月決見】
・維持管理費分の増加　＋175,535
　（処理場費分　＋163,426、ポンプ場費分＋55,565　等）</t>
        </r>
      </text>
    </comment>
    <comment ref="H43" authorId="1" shapeId="0">
      <text>
        <r>
          <rPr>
            <b/>
            <sz val="9"/>
            <color indexed="81"/>
            <rFont val="MS P ゴシック"/>
            <family val="3"/>
            <charset val="128"/>
          </rPr>
          <t xml:space="preserve">一般会計補助金
</t>
        </r>
        <r>
          <rPr>
            <sz val="9"/>
            <color indexed="81"/>
            <rFont val="MS P ゴシック"/>
            <family val="3"/>
            <charset val="128"/>
          </rPr>
          <t>【対議決予算】
・能登半島応援　　＋9,198
・被災者使用料減免　＋5</t>
        </r>
      </text>
    </comment>
    <comment ref="K44" authorId="1" shapeId="0">
      <text>
        <r>
          <rPr>
            <b/>
            <sz val="9"/>
            <color indexed="81"/>
            <rFont val="MS P ゴシック"/>
            <family val="3"/>
            <charset val="128"/>
          </rPr>
          <t>一般会計出資金</t>
        </r>
        <r>
          <rPr>
            <sz val="9"/>
            <color indexed="81"/>
            <rFont val="MS P ゴシック"/>
            <family val="3"/>
            <charset val="128"/>
          </rPr>
          <t xml:space="preserve">
【対議決予算】
・負担金の増加　△131,308
・当年度分損益勘定留保資金の増加（減価償却費等）△102,753
・繰越工事資金の計上　△56,815
【対4月決見】
・負担金の増加　△193,224　　・繰越工事資金の計上　△56,815
・建設改良費の増加　＋81,666</t>
        </r>
      </text>
    </comment>
  </commentList>
</comments>
</file>

<file path=xl/comments11.xml><?xml version="1.0" encoding="utf-8"?>
<comments xmlns="http://schemas.openxmlformats.org/spreadsheetml/2006/main">
  <authors>
    <author>Windows ユーザー</author>
    <author>安達 謙介</author>
  </authors>
  <commentList>
    <comment ref="T4" authorId="0" shapeId="0">
      <text>
        <r>
          <rPr>
            <b/>
            <sz val="18"/>
            <color indexed="81"/>
            <rFont val="ＭＳ Ｐゴシック"/>
            <family val="3"/>
            <charset val="128"/>
          </rPr>
          <t>年度を西暦で入力</t>
        </r>
      </text>
    </comment>
    <comment ref="K10" authorId="1" shapeId="0">
      <text>
        <r>
          <rPr>
            <b/>
            <sz val="9"/>
            <color indexed="81"/>
            <rFont val="MS P ゴシック"/>
            <family val="3"/>
            <charset val="128"/>
          </rPr>
          <t>営業収益</t>
        </r>
        <r>
          <rPr>
            <sz val="9"/>
            <color indexed="81"/>
            <rFont val="MS P ゴシック"/>
            <family val="3"/>
            <charset val="128"/>
          </rPr>
          <t xml:space="preserve">
【対議決予算】
・使用料　　　　　△895,765
・一般会計負担金　＋332,241
【対4月決見】
・一般会計負担金　＋235,818
・使用料　　　　　 ＋47,206</t>
        </r>
      </text>
    </comment>
    <comment ref="K12" authorId="1" shapeId="0">
      <text>
        <r>
          <rPr>
            <b/>
            <sz val="9"/>
            <color indexed="81"/>
            <rFont val="MS P ゴシック"/>
            <family val="3"/>
            <charset val="128"/>
          </rPr>
          <t>営業外収益</t>
        </r>
        <r>
          <rPr>
            <sz val="9"/>
            <color indexed="81"/>
            <rFont val="MS P ゴシック"/>
            <family val="3"/>
            <charset val="128"/>
          </rPr>
          <t xml:space="preserve">
【対議決予算】
・長期前受金戻入　＋30,265
・一般会計補助金
（能登応援・減免）＋9,203（皆増）
【対4月決見】
・負担金　＋3,810
</t>
        </r>
      </text>
    </comment>
    <comment ref="K15" authorId="1" shapeId="0">
      <text>
        <r>
          <rPr>
            <b/>
            <sz val="9"/>
            <color indexed="81"/>
            <rFont val="MS P ゴシック"/>
            <family val="3"/>
            <charset val="128"/>
          </rPr>
          <t xml:space="preserve">営業費用
</t>
        </r>
        <r>
          <rPr>
            <sz val="9"/>
            <color indexed="81"/>
            <rFont val="MS P ゴシック"/>
            <family val="3"/>
            <charset val="128"/>
          </rPr>
          <t>【対議決予算】
・処理場費　　△549,300
・ポンプ場費　 △90,013
・資産減耗費（除却）＋152,224
【対4月決見】
・処理場費　△118,498
・総係費　　 △31,798</t>
        </r>
        <r>
          <rPr>
            <b/>
            <sz val="9"/>
            <color indexed="81"/>
            <rFont val="MS P ゴシック"/>
            <family val="3"/>
            <charset val="128"/>
          </rPr>
          <t xml:space="preserve">
</t>
        </r>
        <r>
          <rPr>
            <sz val="9"/>
            <color indexed="81"/>
            <rFont val="MS P ゴシック"/>
            <family val="3"/>
            <charset val="128"/>
          </rPr>
          <t>・管きょ費　 △23,746</t>
        </r>
      </text>
    </comment>
    <comment ref="F16" authorId="1" shapeId="0">
      <text>
        <r>
          <rPr>
            <sz val="9"/>
            <color indexed="81"/>
            <rFont val="MS P ゴシック"/>
            <family val="3"/>
            <charset val="128"/>
          </rPr>
          <t>能登半島地震経費（8,000千円（決見））については、4月決見の表では、予備費執行の形にしていた。
この表では確実に比較できるよう、実際の執行に併せて営業外費用とした。</t>
        </r>
      </text>
    </comment>
    <comment ref="K16" authorId="1" shapeId="0">
      <text>
        <r>
          <rPr>
            <b/>
            <sz val="9"/>
            <color indexed="81"/>
            <rFont val="MS P ゴシック"/>
            <family val="3"/>
            <charset val="128"/>
          </rPr>
          <t xml:space="preserve">営業外費用
</t>
        </r>
        <r>
          <rPr>
            <sz val="9"/>
            <color indexed="81"/>
            <rFont val="MS P ゴシック"/>
            <family val="3"/>
            <charset val="128"/>
          </rPr>
          <t>【対議決予算】
・支払利息等　　　　　 △261,589
・消費税及び地方消費税　△48,724
・雑支出（能登応援含む） ＋9,207
【対4月決見】
・消費税及び地方消費税　＋79,173</t>
        </r>
      </text>
    </comment>
    <comment ref="H17" authorId="1" shapeId="0">
      <text>
        <r>
          <rPr>
            <b/>
            <sz val="9"/>
            <color indexed="81"/>
            <rFont val="MS P ゴシック"/>
            <family val="3"/>
            <charset val="128"/>
          </rPr>
          <t>特別損失</t>
        </r>
        <r>
          <rPr>
            <sz val="9"/>
            <color indexed="81"/>
            <rFont val="MS P ゴシック"/>
            <family val="3"/>
            <charset val="128"/>
          </rPr>
          <t>　【対議決予算】・固定資産売却損（旧東浄団地処理場）＋10,315</t>
        </r>
      </text>
    </comment>
    <comment ref="K26" authorId="1" shapeId="0">
      <text>
        <r>
          <rPr>
            <sz val="9"/>
            <color indexed="81"/>
            <rFont val="MS P ゴシック"/>
            <family val="3"/>
            <charset val="128"/>
          </rPr>
          <t>不用額に対応</t>
        </r>
      </text>
    </comment>
    <comment ref="K29" authorId="1" shapeId="0">
      <text>
        <r>
          <rPr>
            <b/>
            <sz val="9"/>
            <color indexed="81"/>
            <rFont val="MS P ゴシック"/>
            <family val="3"/>
            <charset val="128"/>
          </rPr>
          <t>企業債　</t>
        </r>
        <r>
          <rPr>
            <sz val="9"/>
            <color indexed="81"/>
            <rFont val="MS P ゴシック"/>
            <family val="3"/>
            <charset val="128"/>
          </rPr>
          <t>【対議決予算】　　・資本費平準化債　△109,500　　・流域下水道債　△39,900</t>
        </r>
      </text>
    </comment>
    <comment ref="M31" authorId="1" shapeId="0">
      <text>
        <r>
          <rPr>
            <b/>
            <sz val="9"/>
            <color indexed="81"/>
            <rFont val="MS P ゴシック"/>
            <family val="3"/>
            <charset val="128"/>
          </rPr>
          <t xml:space="preserve">その他資本的収入
</t>
        </r>
        <r>
          <rPr>
            <sz val="9"/>
            <color indexed="81"/>
            <rFont val="MS P ゴシック"/>
            <family val="3"/>
            <charset val="128"/>
          </rPr>
          <t>【対議決予算】
・一般会計出資金　        △354,969
・負担金（翌年度繰越含む）＋131,308</t>
        </r>
        <r>
          <rPr>
            <b/>
            <sz val="9"/>
            <color indexed="81"/>
            <rFont val="MS P ゴシック"/>
            <family val="3"/>
            <charset val="128"/>
          </rPr>
          <t xml:space="preserve">
</t>
        </r>
        <r>
          <rPr>
            <sz val="9"/>
            <color indexed="81"/>
            <rFont val="MS P ゴシック"/>
            <family val="3"/>
            <charset val="128"/>
          </rPr>
          <t>【対4月決見】
・負担金　　　　　＋193,224
・一般会計出資金 　△94,148
・工事受託金　　 　△29,863</t>
        </r>
      </text>
    </comment>
    <comment ref="J33" authorId="1" shapeId="0">
      <text>
        <r>
          <rPr>
            <b/>
            <sz val="9"/>
            <color indexed="81"/>
            <rFont val="MS P ゴシック"/>
            <family val="3"/>
            <charset val="128"/>
          </rPr>
          <t>建設改良費</t>
        </r>
        <r>
          <rPr>
            <sz val="9"/>
            <color indexed="81"/>
            <rFont val="MS P ゴシック"/>
            <family val="3"/>
            <charset val="128"/>
          </rPr>
          <t xml:space="preserve">
【対議決予算】　※主に単市の不用
・排水施設整備費　 △98,949
・公共下水道整備費　△60,952
・流域下水道整備費　△40,220
【対4月決見】
・公共下水道整備費　＋127,610
・排水施設整備費　 　△49,801
・流域下水道整備費　 △40,220</t>
        </r>
      </text>
    </comment>
    <comment ref="H42" authorId="1" shapeId="0">
      <text>
        <r>
          <rPr>
            <b/>
            <sz val="9"/>
            <color indexed="81"/>
            <rFont val="MS P ゴシック"/>
            <family val="3"/>
            <charset val="128"/>
          </rPr>
          <t xml:space="preserve">一般会計負担金
</t>
        </r>
        <r>
          <rPr>
            <sz val="9"/>
            <color indexed="81"/>
            <rFont val="MS P ゴシック"/>
            <family val="3"/>
            <charset val="128"/>
          </rPr>
          <t>【対議決予算】
・プラン枠内への減額査定　　　　 　 ＋597,760
・雨水処理負担金-支払利息分の減少　 △127,096
・雨水処理負担金-維持管理費分の減少　△95,275
【対4月決見】
・維持管理費分の増加　＋175,535
　（処理場費分　＋163,426、ポンプ場費分＋55,565　等）</t>
        </r>
      </text>
    </comment>
    <comment ref="H43" authorId="1" shapeId="0">
      <text>
        <r>
          <rPr>
            <b/>
            <sz val="9"/>
            <color indexed="81"/>
            <rFont val="MS P ゴシック"/>
            <family val="3"/>
            <charset val="128"/>
          </rPr>
          <t xml:space="preserve">一般会計補助金
</t>
        </r>
        <r>
          <rPr>
            <sz val="9"/>
            <color indexed="81"/>
            <rFont val="MS P ゴシック"/>
            <family val="3"/>
            <charset val="128"/>
          </rPr>
          <t>【対議決予算】
・能登半島応援　　＋9,198
・被災者使用料減免　＋5</t>
        </r>
      </text>
    </comment>
    <comment ref="K44" authorId="1" shapeId="0">
      <text>
        <r>
          <rPr>
            <b/>
            <sz val="9"/>
            <color indexed="81"/>
            <rFont val="MS P ゴシック"/>
            <family val="3"/>
            <charset val="128"/>
          </rPr>
          <t>一般会計出資金</t>
        </r>
        <r>
          <rPr>
            <sz val="9"/>
            <color indexed="81"/>
            <rFont val="MS P ゴシック"/>
            <family val="3"/>
            <charset val="128"/>
          </rPr>
          <t xml:space="preserve">
【対議決予算】
・負担金の増加　△131,308
・当年度分損益勘定留保資金の増加（減価償却費等）△102,753
・繰越工事資金の計上　△56,815
【対4月決見】
・負担金の増加　△193,224　　・繰越工事資金の計上　△56,815
・建設改良費の増加　＋81,666</t>
        </r>
      </text>
    </comment>
  </commentList>
</comments>
</file>

<file path=xl/comments12.xml><?xml version="1.0" encoding="utf-8"?>
<comments xmlns="http://schemas.openxmlformats.org/spreadsheetml/2006/main">
  <authors>
    <author>安達 謙介</author>
    <author>経理</author>
  </authors>
  <commentList>
    <comment ref="E7" authorId="0" shapeId="0">
      <text>
        <r>
          <rPr>
            <sz val="9"/>
            <color indexed="81"/>
            <rFont val="MS P ゴシック"/>
            <family val="3"/>
            <charset val="128"/>
          </rPr>
          <t>R5決算：未更新</t>
        </r>
      </text>
    </comment>
    <comment ref="F7" authorId="1" shapeId="0">
      <text>
        <r>
          <rPr>
            <b/>
            <sz val="9"/>
            <color indexed="81"/>
            <rFont val="MS P ゴシック"/>
            <family val="3"/>
            <charset val="128"/>
          </rPr>
          <t>補正後</t>
        </r>
        <r>
          <rPr>
            <sz val="9"/>
            <color indexed="81"/>
            <rFont val="MS P ゴシック"/>
            <family val="3"/>
            <charset val="128"/>
          </rPr>
          <t xml:space="preserve">
</t>
        </r>
      </text>
    </comment>
    <comment ref="F41" authorId="0" shapeId="0">
      <text>
        <r>
          <rPr>
            <b/>
            <sz val="9"/>
            <color indexed="81"/>
            <rFont val="MS P ゴシック"/>
            <family val="3"/>
            <charset val="128"/>
          </rPr>
          <t xml:space="preserve">R5決算：
</t>
        </r>
        <r>
          <rPr>
            <sz val="9"/>
            <color indexed="81"/>
            <rFont val="MS P ゴシック"/>
            <family val="3"/>
            <charset val="128"/>
          </rPr>
          <t>当初　6,489,024（税抜）
2月補正　52,311（税込）
※厳密には、
・2月補正額・・・税抜、
・一般会計負担金・・・仕入れ税額控除できない金額を加算
・雑支出・・・同上
すべきだが、補正予算でもそこまでしていない（処理場・特環・農集で同様）</t>
        </r>
      </text>
    </comment>
    <comment ref="F46" authorId="0" shapeId="0">
      <text>
        <r>
          <rPr>
            <b/>
            <sz val="9"/>
            <color indexed="81"/>
            <rFont val="MS P ゴシック"/>
            <family val="3"/>
            <charset val="128"/>
          </rPr>
          <t xml:space="preserve">R5決算：
</t>
        </r>
        <r>
          <rPr>
            <sz val="9"/>
            <color indexed="81"/>
            <rFont val="MS P ゴシック"/>
            <family val="3"/>
            <charset val="128"/>
          </rPr>
          <t>当初　98,793（税抜）
12月補正　623（税込）
※厳密には、
・12月補正額・・・税抜、
・一般会計負担金・・・仕入れ税額控除できない金額を加算
・雑支出・・・同上
すべきだが、補正予算でもそこまでしていない（処理場・特環・農集で同様）</t>
        </r>
      </text>
    </comment>
    <comment ref="F47" authorId="0" shapeId="0">
      <text>
        <r>
          <rPr>
            <b/>
            <sz val="9"/>
            <color indexed="81"/>
            <rFont val="MS P ゴシック"/>
            <family val="3"/>
            <charset val="128"/>
          </rPr>
          <t xml:space="preserve">R5決算：
</t>
        </r>
        <r>
          <rPr>
            <sz val="9"/>
            <color indexed="81"/>
            <rFont val="MS P ゴシック"/>
            <family val="3"/>
            <charset val="128"/>
          </rPr>
          <t>当初　233,770（税抜）
12月補正　4,311（税込）
※厳密には、
・12月補正額・・・税抜、
・一般会計負担金・・・仕入れ税額控除できない金額を加算
・雑支出・・・同上
すべきだが、補正予算でもそこまでしていない（処理場・特環・農集で同様）</t>
        </r>
      </text>
    </comment>
  </commentList>
</comments>
</file>

<file path=xl/comments13.xml><?xml version="1.0" encoding="utf-8"?>
<comments xmlns="http://schemas.openxmlformats.org/spreadsheetml/2006/main">
  <authors>
    <author>安達 謙介</author>
    <author>経理</author>
  </authors>
  <commentList>
    <comment ref="E7" authorId="0" shapeId="0">
      <text>
        <r>
          <rPr>
            <sz val="9"/>
            <color indexed="81"/>
            <rFont val="MS P ゴシック"/>
            <family val="3"/>
            <charset val="128"/>
          </rPr>
          <t>R5決算：未更新</t>
        </r>
      </text>
    </comment>
    <comment ref="F7" authorId="1" shapeId="0">
      <text>
        <r>
          <rPr>
            <b/>
            <sz val="9"/>
            <color indexed="81"/>
            <rFont val="MS P ゴシック"/>
            <family val="3"/>
            <charset val="128"/>
          </rPr>
          <t>補正後</t>
        </r>
        <r>
          <rPr>
            <sz val="9"/>
            <color indexed="81"/>
            <rFont val="MS P ゴシック"/>
            <family val="3"/>
            <charset val="128"/>
          </rPr>
          <t xml:space="preserve">
</t>
        </r>
      </text>
    </comment>
    <comment ref="G13" authorId="0" shapeId="0">
      <text>
        <r>
          <rPr>
            <b/>
            <sz val="9"/>
            <color indexed="81"/>
            <rFont val="MS P ゴシック"/>
            <family val="3"/>
            <charset val="128"/>
          </rPr>
          <t>R5決算：
能登半島応援経費に係る繰入金（決見8,000千円）については、最終的な予算執行に合わせて、一般会計補助金に計上。</t>
        </r>
      </text>
    </comment>
    <comment ref="I22" authorId="0" shapeId="0">
      <text>
        <r>
          <rPr>
            <b/>
            <sz val="9"/>
            <color indexed="81"/>
            <rFont val="MS P ゴシック"/>
            <family val="3"/>
            <charset val="128"/>
          </rPr>
          <t>R5決算：端数調整＋１</t>
        </r>
      </text>
    </comment>
    <comment ref="F41" authorId="0" shapeId="0">
      <text>
        <r>
          <rPr>
            <b/>
            <sz val="9"/>
            <color indexed="81"/>
            <rFont val="MS P ゴシック"/>
            <family val="3"/>
            <charset val="128"/>
          </rPr>
          <t xml:space="preserve">R5決算：
</t>
        </r>
        <r>
          <rPr>
            <sz val="9"/>
            <color indexed="81"/>
            <rFont val="MS P ゴシック"/>
            <family val="3"/>
            <charset val="128"/>
          </rPr>
          <t>当初　6,489,024（税抜）
2月補正　52,311（税込）
※厳密には、
・2月補正額・・・税抜、
・一般会計負担金・・・仕入れ税額控除できない金額を加算
・雑支出・・・同上
すべきだが、補正予算でもそこまでしていない（処理場・特環・農集で同様）</t>
        </r>
      </text>
    </comment>
    <comment ref="F46" authorId="0" shapeId="0">
      <text>
        <r>
          <rPr>
            <b/>
            <sz val="9"/>
            <color indexed="81"/>
            <rFont val="MS P ゴシック"/>
            <family val="3"/>
            <charset val="128"/>
          </rPr>
          <t xml:space="preserve">R5決算：
</t>
        </r>
        <r>
          <rPr>
            <sz val="9"/>
            <color indexed="81"/>
            <rFont val="MS P ゴシック"/>
            <family val="3"/>
            <charset val="128"/>
          </rPr>
          <t>当初　98,793（税抜）
12月補正　623（税込）
※厳密には、
・12月補正額・・・税抜、
・一般会計負担金・・・仕入れ税額控除できない金額を加算
・雑支出・・・同上
すべきだが、補正予算でもそこまでしていない（処理場・特環・農集で同様）</t>
        </r>
      </text>
    </comment>
    <comment ref="F47" authorId="0" shapeId="0">
      <text>
        <r>
          <rPr>
            <b/>
            <sz val="9"/>
            <color indexed="81"/>
            <rFont val="MS P ゴシック"/>
            <family val="3"/>
            <charset val="128"/>
          </rPr>
          <t xml:space="preserve">R5決算：
</t>
        </r>
        <r>
          <rPr>
            <sz val="9"/>
            <color indexed="81"/>
            <rFont val="MS P ゴシック"/>
            <family val="3"/>
            <charset val="128"/>
          </rPr>
          <t>当初　233,770（税抜）
12月補正　4,311（税込）
※厳密には、
・12月補正額・・・税抜、
・一般会計負担金・・・仕入れ税額控除できない金額を加算
・雑支出・・・同上
すべきだが、補正予算でもそこまでしていない（処理場・特環・農集で同様）</t>
        </r>
      </text>
    </comment>
  </commentList>
</comments>
</file>

<file path=xl/comments14.xml><?xml version="1.0" encoding="utf-8"?>
<comments xmlns="http://schemas.openxmlformats.org/spreadsheetml/2006/main">
  <authors>
    <author>安達 謙介</author>
    <author>経理</author>
    <author>4601928</author>
    <author>4202453</author>
  </authors>
  <commentList>
    <comment ref="E5" authorId="0" shapeId="0">
      <text>
        <r>
          <rPr>
            <sz val="9"/>
            <color indexed="81"/>
            <rFont val="MS P ゴシック"/>
            <family val="3"/>
            <charset val="128"/>
          </rPr>
          <t>R5決算：未更新</t>
        </r>
      </text>
    </comment>
    <comment ref="F5" authorId="1" shapeId="0">
      <text>
        <r>
          <rPr>
            <b/>
            <sz val="9"/>
            <color indexed="81"/>
            <rFont val="MS P ゴシック"/>
            <family val="3"/>
            <charset val="128"/>
          </rPr>
          <t>補正後</t>
        </r>
        <r>
          <rPr>
            <sz val="9"/>
            <color indexed="81"/>
            <rFont val="MS P ゴシック"/>
            <family val="3"/>
            <charset val="128"/>
          </rPr>
          <t xml:space="preserve">
</t>
        </r>
      </text>
    </comment>
    <comment ref="G73" authorId="2" shapeId="0">
      <text>
        <r>
          <rPr>
            <b/>
            <sz val="9"/>
            <color indexed="81"/>
            <rFont val="ＭＳ Ｐゴシック"/>
            <family val="3"/>
            <charset val="128"/>
          </rPr>
          <t>4601928:</t>
        </r>
        <r>
          <rPr>
            <sz val="9"/>
            <color indexed="81"/>
            <rFont val="ＭＳ Ｐゴシック"/>
            <family val="3"/>
            <charset val="128"/>
          </rPr>
          <t xml:space="preserve">
未発行分を入力</t>
        </r>
      </text>
    </comment>
    <comment ref="H73" authorId="2" shapeId="0">
      <text>
        <r>
          <rPr>
            <b/>
            <sz val="9"/>
            <color indexed="81"/>
            <rFont val="ＭＳ Ｐゴシック"/>
            <family val="3"/>
            <charset val="128"/>
          </rPr>
          <t>4601928:</t>
        </r>
        <r>
          <rPr>
            <sz val="9"/>
            <color indexed="81"/>
            <rFont val="ＭＳ Ｐゴシック"/>
            <family val="3"/>
            <charset val="128"/>
          </rPr>
          <t xml:space="preserve">
未発行分を入力</t>
        </r>
      </text>
    </comment>
    <comment ref="G76" authorId="3" shapeId="0">
      <text>
        <r>
          <rPr>
            <b/>
            <sz val="9"/>
            <color indexed="81"/>
            <rFont val="ＭＳ Ｐゴシック"/>
            <family val="3"/>
            <charset val="128"/>
          </rPr>
          <t>財源不足額＝補てん財源</t>
        </r>
      </text>
    </comment>
    <comment ref="H76" authorId="3" shapeId="0">
      <text>
        <r>
          <rPr>
            <b/>
            <sz val="9"/>
            <color indexed="81"/>
            <rFont val="ＭＳ Ｐゴシック"/>
            <family val="3"/>
            <charset val="128"/>
          </rPr>
          <t>財源不足額＝補てん財源</t>
        </r>
      </text>
    </comment>
    <comment ref="F83" authorId="2" shapeId="0">
      <text>
        <r>
          <rPr>
            <b/>
            <sz val="9"/>
            <color indexed="81"/>
            <rFont val="ＭＳ Ｐゴシック"/>
            <family val="3"/>
            <charset val="128"/>
          </rPr>
          <t>4601928:</t>
        </r>
        <r>
          <rPr>
            <sz val="9"/>
            <color indexed="81"/>
            <rFont val="ＭＳ Ｐゴシック"/>
            <family val="3"/>
            <charset val="128"/>
          </rPr>
          <t xml:space="preserve">
企業債発行差金は予算には入れない。</t>
        </r>
      </text>
    </comment>
    <comment ref="F87" authorId="2" shapeId="0">
      <text>
        <r>
          <rPr>
            <b/>
            <sz val="9"/>
            <color indexed="81"/>
            <rFont val="ＭＳ Ｐゴシック"/>
            <family val="3"/>
            <charset val="128"/>
          </rPr>
          <t>4601928:</t>
        </r>
        <r>
          <rPr>
            <sz val="9"/>
            <color indexed="81"/>
            <rFont val="ＭＳ Ｐゴシック"/>
            <family val="3"/>
            <charset val="128"/>
          </rPr>
          <t xml:space="preserve">
前年度からの繰越分の財源の一般会計出資金を入れる。</t>
        </r>
      </text>
    </comment>
    <comment ref="H87" authorId="2" shapeId="0">
      <text>
        <r>
          <rPr>
            <b/>
            <sz val="9"/>
            <color indexed="81"/>
            <rFont val="ＭＳ Ｐゴシック"/>
            <family val="3"/>
            <charset val="128"/>
          </rPr>
          <t>4601928:</t>
        </r>
        <r>
          <rPr>
            <sz val="9"/>
            <color indexed="81"/>
            <rFont val="ＭＳ Ｐゴシック"/>
            <family val="3"/>
            <charset val="128"/>
          </rPr>
          <t xml:space="preserve">
前年度からの繰越分の財源の一般会計出資金を入れる。</t>
        </r>
      </text>
    </comment>
  </commentList>
</comments>
</file>

<file path=xl/comments15.xml><?xml version="1.0" encoding="utf-8"?>
<comments xmlns="http://schemas.openxmlformats.org/spreadsheetml/2006/main">
  <authors>
    <author>安達 謙介</author>
    <author>経理</author>
    <author>Windows ユーザー</author>
    <author>work</author>
    <author>4601928</author>
    <author>4202453</author>
  </authors>
  <commentList>
    <comment ref="E5" authorId="0" shapeId="0">
      <text>
        <r>
          <rPr>
            <sz val="9"/>
            <color indexed="81"/>
            <rFont val="MS P ゴシック"/>
            <family val="3"/>
            <charset val="128"/>
          </rPr>
          <t>R5決算：未更新</t>
        </r>
      </text>
    </comment>
    <comment ref="F5" authorId="1" shapeId="0">
      <text>
        <r>
          <rPr>
            <b/>
            <sz val="9"/>
            <color indexed="81"/>
            <rFont val="MS P ゴシック"/>
            <family val="3"/>
            <charset val="128"/>
          </rPr>
          <t>補正後</t>
        </r>
        <r>
          <rPr>
            <sz val="9"/>
            <color indexed="81"/>
            <rFont val="MS P ゴシック"/>
            <family val="3"/>
            <charset val="128"/>
          </rPr>
          <t xml:space="preserve">
</t>
        </r>
      </text>
    </comment>
    <comment ref="R5" authorId="2" shapeId="0">
      <text>
        <r>
          <rPr>
            <b/>
            <sz val="9"/>
            <color indexed="81"/>
            <rFont val="ＭＳ Ｐゴシック"/>
            <family val="3"/>
            <charset val="128"/>
          </rPr>
          <t>前年度のファイルの"(繰)4条収入"シートの翌年度繰越充当財源</t>
        </r>
      </text>
    </comment>
    <comment ref="R14" authorId="3" shapeId="0">
      <text>
        <r>
          <rPr>
            <b/>
            <sz val="9"/>
            <color indexed="81"/>
            <rFont val="MS P ゴシック"/>
            <family val="3"/>
            <charset val="128"/>
          </rPr>
          <t>work:</t>
        </r>
        <r>
          <rPr>
            <sz val="9"/>
            <color indexed="81"/>
            <rFont val="MS P ゴシック"/>
            <family val="3"/>
            <charset val="128"/>
          </rPr>
          <t xml:space="preserve">
事故繰越追加</t>
        </r>
      </text>
    </comment>
    <comment ref="R20" authorId="3" shapeId="0">
      <text>
        <r>
          <rPr>
            <b/>
            <sz val="9"/>
            <color indexed="81"/>
            <rFont val="MS P ゴシック"/>
            <family val="3"/>
            <charset val="128"/>
          </rPr>
          <t>work:</t>
        </r>
        <r>
          <rPr>
            <sz val="9"/>
            <color indexed="81"/>
            <rFont val="MS P ゴシック"/>
            <family val="3"/>
            <charset val="128"/>
          </rPr>
          <t xml:space="preserve">
事故繰越追加</t>
        </r>
      </text>
    </comment>
    <comment ref="R42" authorId="2" shapeId="0">
      <text>
        <r>
          <rPr>
            <b/>
            <sz val="9"/>
            <color indexed="81"/>
            <rFont val="ＭＳ Ｐゴシック"/>
            <family val="3"/>
            <charset val="128"/>
          </rPr>
          <t>前年度のファイルの"(繰)4条支出"シートの翌年度繰越額</t>
        </r>
      </text>
    </comment>
    <comment ref="H74" authorId="4" shapeId="0">
      <text>
        <r>
          <rPr>
            <b/>
            <sz val="9"/>
            <color indexed="81"/>
            <rFont val="ＭＳ Ｐゴシック"/>
            <family val="3"/>
            <charset val="128"/>
          </rPr>
          <t>4601928:</t>
        </r>
        <r>
          <rPr>
            <sz val="9"/>
            <color indexed="81"/>
            <rFont val="ＭＳ Ｐゴシック"/>
            <family val="3"/>
            <charset val="128"/>
          </rPr>
          <t xml:space="preserve">
未発行分を入力</t>
        </r>
      </text>
    </comment>
    <comment ref="H77" authorId="5" shapeId="0">
      <text>
        <r>
          <rPr>
            <b/>
            <sz val="9"/>
            <color indexed="81"/>
            <rFont val="ＭＳ Ｐゴシック"/>
            <family val="3"/>
            <charset val="128"/>
          </rPr>
          <t>財源不足額＝補てん財源</t>
        </r>
      </text>
    </comment>
    <comment ref="F84" authorId="4" shapeId="0">
      <text>
        <r>
          <rPr>
            <b/>
            <sz val="9"/>
            <color indexed="81"/>
            <rFont val="ＭＳ Ｐゴシック"/>
            <family val="3"/>
            <charset val="128"/>
          </rPr>
          <t>4601928:</t>
        </r>
        <r>
          <rPr>
            <sz val="9"/>
            <color indexed="81"/>
            <rFont val="ＭＳ Ｐゴシック"/>
            <family val="3"/>
            <charset val="128"/>
          </rPr>
          <t xml:space="preserve">
企業債発行差金は予算には入れない。</t>
        </r>
      </text>
    </comment>
    <comment ref="F88" authorId="4" shapeId="0">
      <text>
        <r>
          <rPr>
            <b/>
            <sz val="9"/>
            <color indexed="81"/>
            <rFont val="ＭＳ Ｐゴシック"/>
            <family val="3"/>
            <charset val="128"/>
          </rPr>
          <t>4601928:</t>
        </r>
        <r>
          <rPr>
            <sz val="9"/>
            <color indexed="81"/>
            <rFont val="ＭＳ Ｐゴシック"/>
            <family val="3"/>
            <charset val="128"/>
          </rPr>
          <t xml:space="preserve">
前年度からの繰越分の財源の一般会計出資金を入れる。</t>
        </r>
      </text>
    </comment>
    <comment ref="H88" authorId="4" shapeId="0">
      <text>
        <r>
          <rPr>
            <b/>
            <sz val="9"/>
            <color indexed="81"/>
            <rFont val="ＭＳ Ｐゴシック"/>
            <family val="3"/>
            <charset val="128"/>
          </rPr>
          <t>4601928:</t>
        </r>
        <r>
          <rPr>
            <sz val="9"/>
            <color indexed="81"/>
            <rFont val="ＭＳ Ｐゴシック"/>
            <family val="3"/>
            <charset val="128"/>
          </rPr>
          <t xml:space="preserve">
前年度からの繰越分の財源の一般会計出資金を入れる。</t>
        </r>
      </text>
    </comment>
  </commentList>
</comments>
</file>

<file path=xl/sharedStrings.xml><?xml version="1.0" encoding="utf-8"?>
<sst xmlns="http://schemas.openxmlformats.org/spreadsheetml/2006/main" count="1297" uniqueCount="666">
  <si>
    <t>（Ｂ）</t>
    <phoneticPr fontId="3"/>
  </si>
  <si>
    <t>円</t>
  </si>
  <si>
    <t>３  繰入金総額（C+D）＝今回精算（確定）額＝下水決算額</t>
    <rPh sb="24" eb="26">
      <t>ゲスイ</t>
    </rPh>
    <rPh sb="26" eb="28">
      <t>ケッサン</t>
    </rPh>
    <rPh sb="28" eb="29">
      <t>ガク</t>
    </rPh>
    <phoneticPr fontId="3"/>
  </si>
  <si>
    <t>（D）</t>
    <phoneticPr fontId="3"/>
  </si>
  <si>
    <t xml:space="preserve"> （エ－オ－カ）</t>
    <phoneticPr fontId="3"/>
  </si>
  <si>
    <t>(4) 繰入金額（一般会計出資金、一般会計借入金）</t>
    <rPh sb="9" eb="13">
      <t>イ</t>
    </rPh>
    <rPh sb="13" eb="16">
      <t>シュッシキン</t>
    </rPh>
    <rPh sb="17" eb="19">
      <t>イッパン</t>
    </rPh>
    <rPh sb="19" eb="21">
      <t>カイケイ</t>
    </rPh>
    <rPh sb="21" eb="23">
      <t>カリイレ</t>
    </rPh>
    <rPh sb="23" eb="24">
      <t>キン</t>
    </rPh>
    <phoneticPr fontId="3"/>
  </si>
  <si>
    <t xml:space="preserve">   ④繰越工事資金当年度充当額</t>
    <phoneticPr fontId="3"/>
  </si>
  <si>
    <t>↓非表示行あり</t>
    <rPh sb="1" eb="4">
      <t>ヒヒョウジ</t>
    </rPh>
    <rPh sb="4" eb="5">
      <t>ギョウ</t>
    </rPh>
    <phoneticPr fontId="3"/>
  </si>
  <si>
    <t xml:space="preserve">   ③減債積立金</t>
    <phoneticPr fontId="3"/>
  </si>
  <si>
    <t xml:space="preserve">    ＊現年度分</t>
    <phoneticPr fontId="3"/>
  </si>
  <si>
    <t xml:space="preserve">    ＊過年度分</t>
    <phoneticPr fontId="3"/>
  </si>
  <si>
    <t xml:space="preserve">   ②消費税及び地方消費税資本的収支調整額</t>
    <phoneticPr fontId="3"/>
  </si>
  <si>
    <t xml:space="preserve">    ＊企業債発行差金(見なし決算分）</t>
    <rPh sb="5" eb="8">
      <t>キギョウサイ</t>
    </rPh>
    <rPh sb="8" eb="10">
      <t>ハッコウ</t>
    </rPh>
    <rPh sb="10" eb="12">
      <t>サキン</t>
    </rPh>
    <rPh sb="13" eb="14">
      <t>ミ</t>
    </rPh>
    <rPh sb="16" eb="18">
      <t>ケッサン</t>
    </rPh>
    <rPh sb="18" eb="19">
      <t>フン</t>
    </rPh>
    <phoneticPr fontId="3"/>
  </si>
  <si>
    <t xml:space="preserve">    ＊長期前受金戻入益（減損見合分）</t>
    <rPh sb="5" eb="13">
      <t>チョウキ</t>
    </rPh>
    <rPh sb="14" eb="16">
      <t>ゲンソン</t>
    </rPh>
    <phoneticPr fontId="3"/>
  </si>
  <si>
    <t xml:space="preserve">    ＊長期前受金戻入（償却・除却見合分）</t>
    <rPh sb="5" eb="7">
      <t>チョウキ</t>
    </rPh>
    <rPh sb="7" eb="10">
      <t>マエウケキン</t>
    </rPh>
    <rPh sb="10" eb="12">
      <t>レイニュウ</t>
    </rPh>
    <rPh sb="13" eb="15">
      <t>ショウキャク</t>
    </rPh>
    <rPh sb="16" eb="18">
      <t>ジョキャク</t>
    </rPh>
    <rPh sb="18" eb="20">
      <t>ミアイ</t>
    </rPh>
    <rPh sb="20" eb="21">
      <t>ブン</t>
    </rPh>
    <phoneticPr fontId="3"/>
  </si>
  <si>
    <t>円</t>
    <rPh sb="0" eb="1">
      <t>エン</t>
    </rPh>
    <phoneticPr fontId="3"/>
  </si>
  <si>
    <t xml:space="preserve">    ＊減損損失</t>
    <rPh sb="5" eb="7">
      <t>ゲンソン</t>
    </rPh>
    <rPh sb="7" eb="9">
      <t>ソンシツ</t>
    </rPh>
    <phoneticPr fontId="3"/>
  </si>
  <si>
    <t xml:space="preserve">    ＊固定資産売却損</t>
    <rPh sb="5" eb="7">
      <t>コテイ</t>
    </rPh>
    <rPh sb="7" eb="9">
      <t>シサン</t>
    </rPh>
    <rPh sb="9" eb="12">
      <t>バイキャクゾン</t>
    </rPh>
    <phoneticPr fontId="3"/>
  </si>
  <si>
    <t xml:space="preserve">    ＊固定資産除却費</t>
    <rPh sb="5" eb="7">
      <t>コテイ</t>
    </rPh>
    <rPh sb="7" eb="9">
      <t>シサン</t>
    </rPh>
    <rPh sb="9" eb="11">
      <t>ジョキャク</t>
    </rPh>
    <rPh sb="11" eb="12">
      <t>ヒ</t>
    </rPh>
    <phoneticPr fontId="3"/>
  </si>
  <si>
    <t xml:space="preserve">    ＊減価償却費</t>
    <phoneticPr fontId="3"/>
  </si>
  <si>
    <t xml:space="preserve">   ①当年度分損益勘定留保資金</t>
    <phoneticPr fontId="3"/>
  </si>
  <si>
    <t xml:space="preserve"> </t>
    <phoneticPr fontId="3"/>
  </si>
  <si>
    <t xml:space="preserve">  （補てん財源の内訳）</t>
    <phoneticPr fontId="3"/>
  </si>
  <si>
    <t>（カ）</t>
    <phoneticPr fontId="3"/>
  </si>
  <si>
    <t>(3) 補てん財源</t>
    <phoneticPr fontId="3"/>
  </si>
  <si>
    <t xml:space="preserve">  （前年度充当財源（企業債未発行分）を除く）</t>
    <rPh sb="6" eb="8">
      <t>ジュウトウ</t>
    </rPh>
    <rPh sb="8" eb="10">
      <t>ザイゲン</t>
    </rPh>
    <rPh sb="11" eb="13">
      <t>キギョウ</t>
    </rPh>
    <rPh sb="13" eb="14">
      <t>サイ</t>
    </rPh>
    <rPh sb="14" eb="17">
      <t>ミハッコウ</t>
    </rPh>
    <rPh sb="17" eb="18">
      <t>ブン</t>
    </rPh>
    <phoneticPr fontId="3"/>
  </si>
  <si>
    <t>（オ）</t>
  </si>
  <si>
    <t>(2) 収入決算額（繰入金除く。）</t>
    <phoneticPr fontId="3"/>
  </si>
  <si>
    <t>（エ）</t>
    <phoneticPr fontId="3"/>
  </si>
  <si>
    <t>(1) 支出決算額</t>
    <phoneticPr fontId="3"/>
  </si>
  <si>
    <t>２  資本的収支（４条分、税込み、みなしベース）</t>
    <phoneticPr fontId="3"/>
  </si>
  <si>
    <t>（C）</t>
    <phoneticPr fontId="3"/>
  </si>
  <si>
    <t>（ア－イ＋ウ）</t>
    <phoneticPr fontId="3"/>
  </si>
  <si>
    <t>(4) 繰入金額（一般会計負担金、一般会計補助金）</t>
    <rPh sb="9" eb="13">
      <t>イ</t>
    </rPh>
    <rPh sb="13" eb="16">
      <t>フ</t>
    </rPh>
    <rPh sb="17" eb="21">
      <t>イ</t>
    </rPh>
    <rPh sb="21" eb="24">
      <t>ホ</t>
    </rPh>
    <phoneticPr fontId="3"/>
  </si>
  <si>
    <t>（ウ）</t>
    <phoneticPr fontId="3"/>
  </si>
  <si>
    <t>(3) 当年度純利益</t>
    <rPh sb="4" eb="5">
      <t>トウ</t>
    </rPh>
    <rPh sb="5" eb="7">
      <t>ネンド</t>
    </rPh>
    <rPh sb="7" eb="8">
      <t>ジュン</t>
    </rPh>
    <rPh sb="8" eb="10">
      <t>リエキ</t>
    </rPh>
    <phoneticPr fontId="3"/>
  </si>
  <si>
    <t>（イ）</t>
  </si>
  <si>
    <t>(2) 収入決算額（繰入金除く。）</t>
    <rPh sb="10" eb="13">
      <t>ク</t>
    </rPh>
    <rPh sb="13" eb="14">
      <t>ノゾ</t>
    </rPh>
    <phoneticPr fontId="3"/>
  </si>
  <si>
    <t>（ア）</t>
  </si>
  <si>
    <t>(1) 支出決算額</t>
    <phoneticPr fontId="3"/>
  </si>
  <si>
    <t>↓3条収入・支出シート</t>
    <rPh sb="2" eb="3">
      <t>ジョウ</t>
    </rPh>
    <rPh sb="3" eb="5">
      <t>シュウニュウ</t>
    </rPh>
    <rPh sb="6" eb="8">
      <t>シシュツ</t>
    </rPh>
    <phoneticPr fontId="3"/>
  </si>
  <si>
    <r>
      <t>1  収益的収支（３条分、</t>
    </r>
    <r>
      <rPr>
        <sz val="11"/>
        <color indexed="10"/>
        <rFont val="ＭＳ Ｐゴシック"/>
        <family val="3"/>
        <charset val="128"/>
      </rPr>
      <t>税抜き</t>
    </r>
    <r>
      <rPr>
        <sz val="11"/>
        <rFont val="ＭＳ Ｐゴシック"/>
        <family val="3"/>
        <charset val="128"/>
      </rPr>
      <t>）</t>
    </r>
    <phoneticPr fontId="3"/>
  </si>
  <si>
    <t>【一般会計繰入金精算額＝下水決算額の説明】</t>
    <rPh sb="1" eb="5">
      <t>イ</t>
    </rPh>
    <rPh sb="5" eb="8">
      <t>ク</t>
    </rPh>
    <rPh sb="8" eb="11">
      <t>セイサンガク</t>
    </rPh>
    <rPh sb="12" eb="14">
      <t>ゲスイ</t>
    </rPh>
    <rPh sb="14" eb="16">
      <t>ケッサン</t>
    </rPh>
    <rPh sb="16" eb="17">
      <t>ガク</t>
    </rPh>
    <phoneticPr fontId="3"/>
  </si>
  <si>
    <t>（Ａ－Ｂ）</t>
    <phoneticPr fontId="3"/>
  </si>
  <si>
    <t>4  差引精算戻入額</t>
    <rPh sb="5" eb="7">
      <t>セイサン</t>
    </rPh>
    <rPh sb="7" eb="9">
      <t>レイニュウ</t>
    </rPh>
    <rPh sb="9" eb="10">
      <t>ガク</t>
    </rPh>
    <phoneticPr fontId="3"/>
  </si>
  <si>
    <t>（Ｄ）</t>
    <phoneticPr fontId="3"/>
  </si>
  <si>
    <t>5  前年度一般会計出資金未収額</t>
    <rPh sb="3" eb="4">
      <t>マエ</t>
    </rPh>
    <rPh sb="4" eb="6">
      <t>ネンド</t>
    </rPh>
    <rPh sb="6" eb="8">
      <t>イッパン</t>
    </rPh>
    <rPh sb="8" eb="10">
      <t>カイケイ</t>
    </rPh>
    <rPh sb="10" eb="13">
      <t>シュッシキン</t>
    </rPh>
    <rPh sb="13" eb="15">
      <t>ミシュウ</t>
    </rPh>
    <rPh sb="15" eb="16">
      <t>ガク</t>
    </rPh>
    <phoneticPr fontId="3"/>
  </si>
  <si>
    <t>（B）</t>
    <phoneticPr fontId="3"/>
  </si>
  <si>
    <t>3  一般会計繰入金精算額　＝ 下水決算額</t>
    <rPh sb="3" eb="7">
      <t>イ</t>
    </rPh>
    <rPh sb="7" eb="10">
      <t>ク</t>
    </rPh>
    <rPh sb="16" eb="18">
      <t>ゲスイ</t>
    </rPh>
    <rPh sb="18" eb="20">
      <t>ケッサン</t>
    </rPh>
    <rPh sb="20" eb="21">
      <t>ガク</t>
    </rPh>
    <phoneticPr fontId="3"/>
  </si>
  <si>
    <t>（Ｂ）</t>
    <phoneticPr fontId="3"/>
  </si>
  <si>
    <t>3  前受金（災害復旧等繰越財源分）</t>
    <rPh sb="3" eb="6">
      <t>マエウケキン</t>
    </rPh>
    <phoneticPr fontId="3"/>
  </si>
  <si>
    <t>（Ａ）</t>
  </si>
  <si>
    <t xml:space="preserve">2  一般会計繰入金受入済額 </t>
    <rPh sb="3" eb="7">
      <t>イ</t>
    </rPh>
    <rPh sb="7" eb="10">
      <t>ク</t>
    </rPh>
    <phoneticPr fontId="3"/>
  </si>
  <si>
    <t>1  一般会計繰入金予算額</t>
    <rPh sb="3" eb="7">
      <t>イ</t>
    </rPh>
    <rPh sb="7" eb="10">
      <t>ク</t>
    </rPh>
    <phoneticPr fontId="3"/>
  </si>
  <si>
    <t>（案の１）</t>
    <phoneticPr fontId="3"/>
  </si>
  <si>
    <t>一般会計の補助費との差</t>
    <rPh sb="0" eb="4">
      <t>イ</t>
    </rPh>
    <rPh sb="5" eb="7">
      <t>ホジョ</t>
    </rPh>
    <rPh sb="7" eb="8">
      <t>ヒ</t>
    </rPh>
    <rPh sb="10" eb="11">
      <t>サ</t>
    </rPh>
    <phoneticPr fontId="3"/>
  </si>
  <si>
    <t>下水会計の補助費</t>
    <rPh sb="0" eb="2">
      <t>ゲスイ</t>
    </rPh>
    <rPh sb="2" eb="4">
      <t>カイケイ</t>
    </rPh>
    <rPh sb="5" eb="7">
      <t>ホジョ</t>
    </rPh>
    <rPh sb="7" eb="8">
      <t>ヒ</t>
    </rPh>
    <phoneticPr fontId="3"/>
  </si>
  <si>
    <t>一般会計の普建との差</t>
    <rPh sb="0" eb="4">
      <t>イ</t>
    </rPh>
    <rPh sb="5" eb="6">
      <t>ススム</t>
    </rPh>
    <rPh sb="6" eb="7">
      <t>ケン</t>
    </rPh>
    <rPh sb="9" eb="10">
      <t>サ</t>
    </rPh>
    <phoneticPr fontId="3"/>
  </si>
  <si>
    <t>精算戻入額チェック</t>
    <rPh sb="0" eb="2">
      <t>セイサン</t>
    </rPh>
    <rPh sb="2" eb="3">
      <t>レイ</t>
    </rPh>
    <rPh sb="3" eb="4">
      <t>ニュウガク</t>
    </rPh>
    <rPh sb="4" eb="5">
      <t>ガク</t>
    </rPh>
    <phoneticPr fontId="3"/>
  </si>
  <si>
    <t>普建分チェック</t>
    <rPh sb="0" eb="1">
      <t>アマネ</t>
    </rPh>
    <rPh sb="1" eb="2">
      <t>タツル</t>
    </rPh>
    <rPh sb="2" eb="3">
      <t>ブン</t>
    </rPh>
    <phoneticPr fontId="3"/>
  </si>
  <si>
    <t>計（一般会計決算額)</t>
    <rPh sb="2" eb="6">
      <t>イ</t>
    </rPh>
    <rPh sb="6" eb="9">
      <t>ケッサンガク</t>
    </rPh>
    <phoneticPr fontId="3"/>
  </si>
  <si>
    <t>貸付金</t>
    <rPh sb="0" eb="2">
      <t>カシツケ</t>
    </rPh>
    <rPh sb="2" eb="3">
      <t>キン</t>
    </rPh>
    <phoneticPr fontId="3"/>
  </si>
  <si>
    <t>補助費</t>
  </si>
  <si>
    <t>普       　 建</t>
    <phoneticPr fontId="3"/>
  </si>
  <si>
    <t>内
訳</t>
    <rPh sb="0" eb="4">
      <t>ウチワケ</t>
    </rPh>
    <phoneticPr fontId="3"/>
  </si>
  <si>
    <t>備     考</t>
    <rPh sb="0" eb="7">
      <t>ビコウ</t>
    </rPh>
    <phoneticPr fontId="3"/>
  </si>
  <si>
    <t>精算戻入額(a-b)</t>
    <rPh sb="0" eb="2">
      <t>セイサン</t>
    </rPh>
    <rPh sb="2" eb="3">
      <t>レイ</t>
    </rPh>
    <rPh sb="3" eb="4">
      <t>ニュウガク</t>
    </rPh>
    <rPh sb="4" eb="5">
      <t>ガク</t>
    </rPh>
    <phoneticPr fontId="3"/>
  </si>
  <si>
    <t>精算額(b)</t>
    <rPh sb="0" eb="2">
      <t>セイサン</t>
    </rPh>
    <rPh sb="2" eb="3">
      <t>ガク</t>
    </rPh>
    <phoneticPr fontId="3"/>
  </si>
  <si>
    <t>受入済額(a)</t>
    <rPh sb="0" eb="2">
      <t>ウケイレ</t>
    </rPh>
    <rPh sb="2" eb="3">
      <t>スミ</t>
    </rPh>
    <rPh sb="3" eb="4">
      <t>ガク</t>
    </rPh>
    <phoneticPr fontId="3"/>
  </si>
  <si>
    <t>区     分</t>
    <rPh sb="0" eb="7">
      <t>クブン</t>
    </rPh>
    <phoneticPr fontId="3"/>
  </si>
  <si>
    <t>合　　　　　計</t>
    <rPh sb="0" eb="1">
      <t>ア</t>
    </rPh>
    <rPh sb="6" eb="7">
      <t>ケイ</t>
    </rPh>
    <phoneticPr fontId="3"/>
  </si>
  <si>
    <t>普建</t>
  </si>
  <si>
    <t>前年度下水道建設費出資金未収金</t>
    <rPh sb="0" eb="3">
      <t>ゼンネンド</t>
    </rPh>
    <phoneticPr fontId="3"/>
  </si>
  <si>
    <t>（前受金）</t>
    <rPh sb="1" eb="4">
      <t>マエウケキン</t>
    </rPh>
    <phoneticPr fontId="3"/>
  </si>
  <si>
    <t>計（下水道事業会計決算額）</t>
    <rPh sb="0" eb="1">
      <t>ケイ</t>
    </rPh>
    <rPh sb="2" eb="5">
      <t>ゲスイドウ</t>
    </rPh>
    <rPh sb="5" eb="7">
      <t>ジギョウ</t>
    </rPh>
    <rPh sb="7" eb="9">
      <t>カイケイ</t>
    </rPh>
    <rPh sb="9" eb="11">
      <t>ケッサン</t>
    </rPh>
    <rPh sb="11" eb="12">
      <t>ガク</t>
    </rPh>
    <phoneticPr fontId="3"/>
  </si>
  <si>
    <t>　</t>
    <phoneticPr fontId="3"/>
  </si>
  <si>
    <t>前受金（災害復旧等繰越財源分）</t>
    <rPh sb="0" eb="2">
      <t>マエウケ</t>
    </rPh>
    <rPh sb="2" eb="3">
      <t>キン</t>
    </rPh>
    <rPh sb="4" eb="6">
      <t>サイガイ</t>
    </rPh>
    <rPh sb="6" eb="8">
      <t>フッキュウ</t>
    </rPh>
    <rPh sb="8" eb="9">
      <t>トウ</t>
    </rPh>
    <rPh sb="9" eb="11">
      <t>クリコシ</t>
    </rPh>
    <rPh sb="11" eb="13">
      <t>ザイゲン</t>
    </rPh>
    <rPh sb="13" eb="14">
      <t>ブン</t>
    </rPh>
    <phoneticPr fontId="3"/>
  </si>
  <si>
    <t xml:space="preserve"> 計　　（当年度決算分）</t>
    <rPh sb="1" eb="2">
      <t>ケイ</t>
    </rPh>
    <rPh sb="5" eb="8">
      <t>トウネンド</t>
    </rPh>
    <rPh sb="8" eb="10">
      <t>ケッサン</t>
    </rPh>
    <rPh sb="10" eb="11">
      <t>ブン</t>
    </rPh>
    <phoneticPr fontId="3"/>
  </si>
  <si>
    <t>排水設備改修資金貸付借入金</t>
    <rPh sb="0" eb="2">
      <t>ハイスイ</t>
    </rPh>
    <rPh sb="2" eb="4">
      <t>セツビ</t>
    </rPh>
    <rPh sb="4" eb="6">
      <t>シュウジ</t>
    </rPh>
    <rPh sb="6" eb="8">
      <t>シキン</t>
    </rPh>
    <rPh sb="8" eb="10">
      <t>カシツケ</t>
    </rPh>
    <rPh sb="10" eb="12">
      <t>カリイレ</t>
    </rPh>
    <rPh sb="12" eb="13">
      <t>キン</t>
    </rPh>
    <phoneticPr fontId="3"/>
  </si>
  <si>
    <t>し尿浄化槽廃止資金貸付借入金</t>
    <rPh sb="1" eb="2">
      <t>ニョウ</t>
    </rPh>
    <rPh sb="2" eb="5">
      <t>ジョウカソウ</t>
    </rPh>
    <rPh sb="5" eb="7">
      <t>ハイシ</t>
    </rPh>
    <rPh sb="7" eb="9">
      <t>シキン</t>
    </rPh>
    <rPh sb="9" eb="11">
      <t>カシツケ</t>
    </rPh>
    <rPh sb="11" eb="13">
      <t>カリイレ</t>
    </rPh>
    <rPh sb="13" eb="14">
      <t>キン</t>
    </rPh>
    <phoneticPr fontId="3"/>
  </si>
  <si>
    <t>水洗便所改造資金貸付借入金</t>
    <rPh sb="0" eb="2">
      <t>スイセン</t>
    </rPh>
    <rPh sb="2" eb="4">
      <t>ベンジョ</t>
    </rPh>
    <rPh sb="4" eb="6">
      <t>カイゾウ</t>
    </rPh>
    <rPh sb="6" eb="8">
      <t>シキン</t>
    </rPh>
    <rPh sb="8" eb="10">
      <t>カシツケ</t>
    </rPh>
    <rPh sb="10" eb="12">
      <t>カリイレ</t>
    </rPh>
    <rPh sb="12" eb="13">
      <t>キン</t>
    </rPh>
    <phoneticPr fontId="3"/>
  </si>
  <si>
    <t>貸付金</t>
    <rPh sb="0" eb="3">
      <t>カシツケキン</t>
    </rPh>
    <phoneticPr fontId="3"/>
  </si>
  <si>
    <t>一般会計借入金</t>
    <rPh sb="0" eb="2">
      <t>イッパン</t>
    </rPh>
    <rPh sb="2" eb="4">
      <t>カイケイ</t>
    </rPh>
    <rPh sb="4" eb="6">
      <t>カリイレ</t>
    </rPh>
    <rPh sb="6" eb="7">
      <t>キン</t>
    </rPh>
    <phoneticPr fontId="3"/>
  </si>
  <si>
    <t>水洗化貸付事業収入</t>
    <rPh sb="0" eb="3">
      <t>スイセンカ</t>
    </rPh>
    <rPh sb="3" eb="5">
      <t>カシツケ</t>
    </rPh>
    <rPh sb="5" eb="7">
      <t>ジギョウ</t>
    </rPh>
    <rPh sb="7" eb="9">
      <t>シュウニュウ</t>
    </rPh>
    <phoneticPr fontId="3"/>
  </si>
  <si>
    <t>下水道建設費出資金</t>
    <rPh sb="0" eb="3">
      <t>ゲスイドウ</t>
    </rPh>
    <rPh sb="3" eb="6">
      <t>ケンセツヒ</t>
    </rPh>
    <rPh sb="6" eb="9">
      <t>シュッシキン</t>
    </rPh>
    <phoneticPr fontId="3"/>
  </si>
  <si>
    <t>一般会計出資金</t>
    <rPh sb="0" eb="2">
      <t>イッパン</t>
    </rPh>
    <rPh sb="2" eb="4">
      <t>カイケイ</t>
    </rPh>
    <rPh sb="4" eb="6">
      <t>シュッシ</t>
    </rPh>
    <rPh sb="6" eb="7">
      <t>カネ</t>
    </rPh>
    <phoneticPr fontId="3"/>
  </si>
  <si>
    <t>資本的収入</t>
    <rPh sb="0" eb="3">
      <t>シホンテキ</t>
    </rPh>
    <rPh sb="3" eb="5">
      <t>シュウニュウ</t>
    </rPh>
    <phoneticPr fontId="3"/>
  </si>
  <si>
    <t>補助費</t>
    <rPh sb="0" eb="3">
      <t>ホジョヒ</t>
    </rPh>
    <phoneticPr fontId="3"/>
  </si>
  <si>
    <t>その他補助金</t>
    <rPh sb="2" eb="3">
      <t>タ</t>
    </rPh>
    <rPh sb="3" eb="6">
      <t>ホジョキン</t>
    </rPh>
    <phoneticPr fontId="3"/>
  </si>
  <si>
    <t>普建</t>
    <rPh sb="0" eb="1">
      <t>フツウ</t>
    </rPh>
    <rPh sb="1" eb="2">
      <t>ケンセツ</t>
    </rPh>
    <phoneticPr fontId="3"/>
  </si>
  <si>
    <t>下水道使用料減免分</t>
    <rPh sb="0" eb="3">
      <t>ゲスイドウ</t>
    </rPh>
    <rPh sb="3" eb="6">
      <t>シヨウリョウ</t>
    </rPh>
    <rPh sb="6" eb="8">
      <t>ゲンメン</t>
    </rPh>
    <rPh sb="8" eb="9">
      <t>フン</t>
    </rPh>
    <phoneticPr fontId="3"/>
  </si>
  <si>
    <t>支払利息分</t>
    <rPh sb="0" eb="2">
      <t>シハライ</t>
    </rPh>
    <rPh sb="2" eb="4">
      <t>リソク</t>
    </rPh>
    <rPh sb="4" eb="5">
      <t>フン</t>
    </rPh>
    <phoneticPr fontId="3"/>
  </si>
  <si>
    <t>減価償却費分</t>
    <rPh sb="0" eb="2">
      <t>ゲンカ</t>
    </rPh>
    <rPh sb="2" eb="5">
      <t>ショウキャクヒ</t>
    </rPh>
    <rPh sb="5" eb="6">
      <t>フン</t>
    </rPh>
    <phoneticPr fontId="3"/>
  </si>
  <si>
    <t>維持管理費分</t>
    <rPh sb="0" eb="2">
      <t>イジ</t>
    </rPh>
    <rPh sb="2" eb="4">
      <t>カンリ</t>
    </rPh>
    <rPh sb="4" eb="5">
      <t>ヒ</t>
    </rPh>
    <rPh sb="5" eb="6">
      <t>フン</t>
    </rPh>
    <phoneticPr fontId="3"/>
  </si>
  <si>
    <t>汚水処理補助金</t>
    <rPh sb="0" eb="2">
      <t>オスイ</t>
    </rPh>
    <rPh sb="2" eb="4">
      <t>ショリ</t>
    </rPh>
    <rPh sb="4" eb="7">
      <t>ホジョキン</t>
    </rPh>
    <phoneticPr fontId="3"/>
  </si>
  <si>
    <t>一般会計補助金</t>
    <rPh sb="0" eb="2">
      <t>イッパン</t>
    </rPh>
    <rPh sb="2" eb="4">
      <t>カイケイ</t>
    </rPh>
    <rPh sb="4" eb="7">
      <t>ホジョキン</t>
    </rPh>
    <phoneticPr fontId="3"/>
  </si>
  <si>
    <t>営業外収益</t>
    <rPh sb="0" eb="3">
      <t>エイギョウガイ</t>
    </rPh>
    <rPh sb="3" eb="5">
      <t>シュウエキ</t>
    </rPh>
    <phoneticPr fontId="3"/>
  </si>
  <si>
    <t>普建分</t>
    <rPh sb="0" eb="1">
      <t>アマネ</t>
    </rPh>
    <rPh sb="1" eb="2">
      <t>タツル</t>
    </rPh>
    <rPh sb="2" eb="3">
      <t>ブン</t>
    </rPh>
    <phoneticPr fontId="3"/>
  </si>
  <si>
    <t>←</t>
    <phoneticPr fontId="3"/>
  </si>
  <si>
    <t>貸付事業費負担金</t>
    <rPh sb="0" eb="2">
      <t>カシツケ</t>
    </rPh>
    <rPh sb="2" eb="5">
      <t>ジギョウヒ</t>
    </rPh>
    <rPh sb="5" eb="8">
      <t>フタンキン</t>
    </rPh>
    <phoneticPr fontId="3"/>
  </si>
  <si>
    <t>補助費</t>
    <rPh sb="0" eb="2">
      <t>ホジョ</t>
    </rPh>
    <rPh sb="2" eb="3">
      <t>ヒ</t>
    </rPh>
    <phoneticPr fontId="3"/>
  </si>
  <si>
    <t>普及促進費負担金</t>
    <rPh sb="0" eb="2">
      <t>フキュウ</t>
    </rPh>
    <rPh sb="2" eb="5">
      <t>ソクシンヒ</t>
    </rPh>
    <rPh sb="5" eb="8">
      <t>フタンキン</t>
    </rPh>
    <phoneticPr fontId="3"/>
  </si>
  <si>
    <t>水質指導費負担金</t>
    <rPh sb="0" eb="2">
      <t>スイシツ</t>
    </rPh>
    <rPh sb="2" eb="4">
      <t>シドウ</t>
    </rPh>
    <rPh sb="4" eb="5">
      <t>ヒ</t>
    </rPh>
    <rPh sb="5" eb="8">
      <t>フタンキン</t>
    </rPh>
    <phoneticPr fontId="3"/>
  </si>
  <si>
    <t>維持管理費分（災害復旧繰越分)</t>
    <rPh sb="0" eb="4">
      <t>イ</t>
    </rPh>
    <rPh sb="4" eb="5">
      <t>ヒ</t>
    </rPh>
    <rPh sb="5" eb="6">
      <t>フン</t>
    </rPh>
    <phoneticPr fontId="3"/>
  </si>
  <si>
    <t>雨水処理負担金</t>
    <rPh sb="0" eb="2">
      <t>ウスイ</t>
    </rPh>
    <rPh sb="2" eb="4">
      <t>ショリ</t>
    </rPh>
    <rPh sb="4" eb="7">
      <t>フタンキン</t>
    </rPh>
    <phoneticPr fontId="3"/>
  </si>
  <si>
    <t>一般会計負担金</t>
    <rPh sb="0" eb="2">
      <t>イッパン</t>
    </rPh>
    <rPh sb="2" eb="4">
      <t>カイケイ</t>
    </rPh>
    <rPh sb="4" eb="7">
      <t>フタンキン</t>
    </rPh>
    <phoneticPr fontId="3"/>
  </si>
  <si>
    <t>営業収益</t>
    <rPh sb="0" eb="2">
      <t>エイギョウ</t>
    </rPh>
    <rPh sb="2" eb="4">
      <t>シュウエキ</t>
    </rPh>
    <phoneticPr fontId="3"/>
  </si>
  <si>
    <t>下水道事業収益</t>
    <rPh sb="0" eb="3">
      <t>ゲスイドウ</t>
    </rPh>
    <rPh sb="3" eb="5">
      <t>ジギョウ</t>
    </rPh>
    <rPh sb="5" eb="7">
      <t>シュウエキ</t>
    </rPh>
    <phoneticPr fontId="3"/>
  </si>
  <si>
    <t>科     目</t>
    <rPh sb="0" eb="7">
      <t>カモク</t>
    </rPh>
    <phoneticPr fontId="3"/>
  </si>
  <si>
    <t>（単位：円）</t>
    <rPh sb="1" eb="3">
      <t>タンイ</t>
    </rPh>
    <rPh sb="4" eb="5">
      <t>エン</t>
    </rPh>
    <phoneticPr fontId="3"/>
  </si>
  <si>
    <t>記</t>
    <rPh sb="0" eb="1">
      <t>キ</t>
    </rPh>
    <phoneticPr fontId="3"/>
  </si>
  <si>
    <t>広島市長
（下水道局経営企画課）</t>
    <rPh sb="0" eb="4">
      <t>ヒロシマシチョウ</t>
    </rPh>
    <rPh sb="6" eb="7">
      <t>ゲスイ</t>
    </rPh>
    <rPh sb="7" eb="10">
      <t>スイドウキョク</t>
    </rPh>
    <rPh sb="10" eb="12">
      <t>ケイエイ</t>
    </rPh>
    <rPh sb="12" eb="14">
      <t>キカク</t>
    </rPh>
    <rPh sb="14" eb="15">
      <t>カ</t>
    </rPh>
    <phoneticPr fontId="3"/>
  </si>
  <si>
    <r>
      <t>広 　島</t>
    </r>
    <r>
      <rPr>
        <sz val="11"/>
        <rFont val="ＭＳ Ｐゴシック"/>
        <family val="3"/>
        <charset val="128"/>
      </rPr>
      <t xml:space="preserve"> 　市 　長　　様
（財政局財政課）</t>
    </r>
    <rPh sb="0" eb="1">
      <t>ヒロ</t>
    </rPh>
    <rPh sb="3" eb="4">
      <t>シマ</t>
    </rPh>
    <rPh sb="6" eb="7">
      <t>シ</t>
    </rPh>
    <rPh sb="9" eb="10">
      <t>チョウ</t>
    </rPh>
    <rPh sb="12" eb="13">
      <t>サマ</t>
    </rPh>
    <rPh sb="15" eb="17">
      <t>ザイセイ</t>
    </rPh>
    <rPh sb="17" eb="18">
      <t>キョク</t>
    </rPh>
    <rPh sb="18" eb="20">
      <t>ザイセイ</t>
    </rPh>
    <rPh sb="20" eb="21">
      <t>カ</t>
    </rPh>
    <phoneticPr fontId="3"/>
  </si>
  <si>
    <t>（案の２）</t>
    <rPh sb="1" eb="2">
      <t>アン</t>
    </rPh>
    <phoneticPr fontId="3"/>
  </si>
  <si>
    <t>計</t>
  </si>
  <si>
    <t>差  引(a-b)</t>
    <phoneticPr fontId="3"/>
  </si>
  <si>
    <t>決算額(b)</t>
    <rPh sb="0" eb="2">
      <t>ケッサン</t>
    </rPh>
    <rPh sb="2" eb="3">
      <t>ガク</t>
    </rPh>
    <phoneticPr fontId="3"/>
  </si>
  <si>
    <t>議決予算額</t>
    <rPh sb="0" eb="2">
      <t>ギケツ</t>
    </rPh>
    <rPh sb="2" eb="4">
      <t>ヨサン</t>
    </rPh>
    <rPh sb="4" eb="5">
      <t>ガク</t>
    </rPh>
    <phoneticPr fontId="3"/>
  </si>
  <si>
    <t>前年度下水道建設費出資金未収金</t>
    <phoneticPr fontId="3"/>
  </si>
  <si>
    <t>排水設備改修資金貸付借入金</t>
    <rPh sb="0" eb="2">
      <t>ハイスイ</t>
    </rPh>
    <rPh sb="2" eb="4">
      <t>セツビ</t>
    </rPh>
    <rPh sb="4" eb="6">
      <t>カイシュウ</t>
    </rPh>
    <rPh sb="6" eb="8">
      <t>シキン</t>
    </rPh>
    <rPh sb="8" eb="10">
      <t>カシツケ</t>
    </rPh>
    <rPh sb="10" eb="12">
      <t>カリイレ</t>
    </rPh>
    <rPh sb="12" eb="13">
      <t>キン</t>
    </rPh>
    <phoneticPr fontId="3"/>
  </si>
  <si>
    <t>差  引(a-b)</t>
    <rPh sb="0" eb="4">
      <t>サシヒキ</t>
    </rPh>
    <phoneticPr fontId="3"/>
  </si>
  <si>
    <t>議決予算額(a)</t>
    <rPh sb="0" eb="2">
      <t>ギケツ</t>
    </rPh>
    <rPh sb="2" eb="5">
      <t>ヨサンガク</t>
    </rPh>
    <phoneticPr fontId="3"/>
  </si>
  <si>
    <t>チェック</t>
    <phoneticPr fontId="3"/>
  </si>
  <si>
    <t>-</t>
    <phoneticPr fontId="3"/>
  </si>
  <si>
    <t>差引き(ｂ-ｃ)</t>
    <rPh sb="0" eb="2">
      <t>サシヒ</t>
    </rPh>
    <phoneticPr fontId="3"/>
  </si>
  <si>
    <t>（Ｃ）</t>
    <phoneticPr fontId="3"/>
  </si>
  <si>
    <t>差引き(a-b)</t>
    <phoneticPr fontId="3"/>
  </si>
  <si>
    <t>【下水会計分】</t>
    <rPh sb="1" eb="3">
      <t>ゲスイ</t>
    </rPh>
    <rPh sb="3" eb="5">
      <t>カイケイ</t>
    </rPh>
    <rPh sb="5" eb="6">
      <t>フン</t>
    </rPh>
    <phoneticPr fontId="3"/>
  </si>
  <si>
    <t>前年度決算額との比較</t>
    <rPh sb="0" eb="3">
      <t>ゼンネンド</t>
    </rPh>
    <rPh sb="3" eb="5">
      <t>ケッサン</t>
    </rPh>
    <rPh sb="5" eb="6">
      <t>ガク</t>
    </rPh>
    <rPh sb="8" eb="10">
      <t>ヒカク</t>
    </rPh>
    <phoneticPr fontId="3"/>
  </si>
  <si>
    <t>前年度決算額</t>
    <rPh sb="0" eb="3">
      <t>ゼンネンド</t>
    </rPh>
    <rPh sb="3" eb="5">
      <t>ケッサン</t>
    </rPh>
    <rPh sb="5" eb="6">
      <t>ガク</t>
    </rPh>
    <phoneticPr fontId="3"/>
  </si>
  <si>
    <t>予算との比較</t>
    <rPh sb="0" eb="2">
      <t>ヨサン</t>
    </rPh>
    <rPh sb="4" eb="6">
      <t>ヒカク</t>
    </rPh>
    <phoneticPr fontId="3"/>
  </si>
  <si>
    <t>決算額(b)</t>
  </si>
  <si>
    <t>合　　　　計</t>
    <rPh sb="0" eb="1">
      <t>ア</t>
    </rPh>
    <rPh sb="5" eb="6">
      <t>ケイ</t>
    </rPh>
    <phoneticPr fontId="3"/>
  </si>
  <si>
    <t>-</t>
    <phoneticPr fontId="3"/>
  </si>
  <si>
    <t xml:space="preserve"> 計</t>
    <rPh sb="1" eb="2">
      <t>ケイ</t>
    </rPh>
    <phoneticPr fontId="3"/>
  </si>
  <si>
    <t xml:space="preserve"> 計　　（下水決算分）</t>
    <rPh sb="1" eb="2">
      <t>ケイ</t>
    </rPh>
    <rPh sb="5" eb="7">
      <t>ゲスイ</t>
    </rPh>
    <rPh sb="7" eb="9">
      <t>ケッサン</t>
    </rPh>
    <rPh sb="9" eb="10">
      <t>ブン</t>
    </rPh>
    <phoneticPr fontId="3"/>
  </si>
  <si>
    <t>-</t>
  </si>
  <si>
    <t>高資本費対策費負担金</t>
    <rPh sb="0" eb="1">
      <t>コウ</t>
    </rPh>
    <rPh sb="1" eb="4">
      <t>シホンヒ</t>
    </rPh>
    <rPh sb="4" eb="6">
      <t>タイサク</t>
    </rPh>
    <rPh sb="6" eb="7">
      <t>ヒ</t>
    </rPh>
    <rPh sb="7" eb="10">
      <t>フタンキン</t>
    </rPh>
    <phoneticPr fontId="3"/>
  </si>
  <si>
    <t>対前年度比</t>
  </si>
  <si>
    <t>差引き(d-b)</t>
    <rPh sb="0" eb="2">
      <t>サシヒ</t>
    </rPh>
    <phoneticPr fontId="3"/>
  </si>
  <si>
    <t>（Ｄ）</t>
    <phoneticPr fontId="3"/>
  </si>
  <si>
    <t>財政収支計画額との比較</t>
    <rPh sb="0" eb="6">
      <t>ザ</t>
    </rPh>
    <rPh sb="6" eb="7">
      <t>ガク</t>
    </rPh>
    <rPh sb="9" eb="11">
      <t>ヒカク</t>
    </rPh>
    <phoneticPr fontId="3"/>
  </si>
  <si>
    <t>財政収支計画額</t>
    <rPh sb="0" eb="6">
      <t>ザ</t>
    </rPh>
    <rPh sb="6" eb="7">
      <t>ガク</t>
    </rPh>
    <phoneticPr fontId="3"/>
  </si>
  <si>
    <t>、</t>
    <phoneticPr fontId="3"/>
  </si>
  <si>
    <t>予備費</t>
    <rPh sb="0" eb="2">
      <t>ヨビ</t>
    </rPh>
    <rPh sb="2" eb="3">
      <t>ヒ</t>
    </rPh>
    <phoneticPr fontId="3"/>
  </si>
  <si>
    <t>減損損失</t>
    <phoneticPr fontId="3"/>
  </si>
  <si>
    <t>その他特別損失</t>
  </si>
  <si>
    <t>過年度損益修正損</t>
    <rPh sb="0" eb="3">
      <t>カネンド</t>
    </rPh>
    <rPh sb="3" eb="5">
      <t>ソンエキ</t>
    </rPh>
    <rPh sb="5" eb="7">
      <t>シュウセイ</t>
    </rPh>
    <rPh sb="7" eb="8">
      <t>ソン</t>
    </rPh>
    <phoneticPr fontId="3"/>
  </si>
  <si>
    <t>固定資産売却損</t>
    <rPh sb="0" eb="4">
      <t>コテイシサン</t>
    </rPh>
    <rPh sb="4" eb="6">
      <t>バイキャク</t>
    </rPh>
    <rPh sb="6" eb="7">
      <t>ソン</t>
    </rPh>
    <phoneticPr fontId="3"/>
  </si>
  <si>
    <t>特別損失</t>
    <rPh sb="0" eb="2">
      <t>トクベツ</t>
    </rPh>
    <rPh sb="2" eb="4">
      <t>ソンシツ</t>
    </rPh>
    <phoneticPr fontId="3"/>
  </si>
  <si>
    <t>雑支出</t>
  </si>
  <si>
    <t>消費税</t>
    <rPh sb="0" eb="3">
      <t>ショウヒゼイ</t>
    </rPh>
    <phoneticPr fontId="3"/>
  </si>
  <si>
    <t>営業外費用</t>
    <rPh sb="0" eb="3">
      <t>エイギョウガイ</t>
    </rPh>
    <rPh sb="3" eb="5">
      <t>ヒヨウ</t>
    </rPh>
    <phoneticPr fontId="3"/>
  </si>
  <si>
    <t>資産減耗費</t>
  </si>
  <si>
    <t>減価償却費</t>
    <rPh sb="0" eb="2">
      <t>ゲンカ</t>
    </rPh>
    <rPh sb="2" eb="4">
      <t>ショウキャク</t>
    </rPh>
    <rPh sb="4" eb="5">
      <t>ヒ</t>
    </rPh>
    <phoneticPr fontId="3"/>
  </si>
  <si>
    <t>災害復旧費</t>
    <rPh sb="0" eb="2">
      <t>サイガイ</t>
    </rPh>
    <rPh sb="2" eb="4">
      <t>フッキュウ</t>
    </rPh>
    <rPh sb="4" eb="5">
      <t>ヒ</t>
    </rPh>
    <phoneticPr fontId="3"/>
  </si>
  <si>
    <t>浄化槽費</t>
    <rPh sb="0" eb="3">
      <t>ジョウカソウ</t>
    </rPh>
    <rPh sb="3" eb="4">
      <t>ヒ</t>
    </rPh>
    <phoneticPr fontId="3"/>
  </si>
  <si>
    <t>農業集落排水費</t>
    <rPh sb="0" eb="2">
      <t>ノウギョウ</t>
    </rPh>
    <rPh sb="2" eb="4">
      <t>シュウラク</t>
    </rPh>
    <rPh sb="4" eb="6">
      <t>ハイスイ</t>
    </rPh>
    <rPh sb="6" eb="7">
      <t>ヒ</t>
    </rPh>
    <phoneticPr fontId="3"/>
  </si>
  <si>
    <t>特環公共下水道費</t>
    <rPh sb="0" eb="2">
      <t>トッカン</t>
    </rPh>
    <rPh sb="2" eb="4">
      <t>コウキョウ</t>
    </rPh>
    <rPh sb="4" eb="6">
      <t>ゲスイ</t>
    </rPh>
    <rPh sb="6" eb="7">
      <t>ドウ</t>
    </rPh>
    <rPh sb="7" eb="8">
      <t>ヒ</t>
    </rPh>
    <phoneticPr fontId="3"/>
  </si>
  <si>
    <t>総係費</t>
    <rPh sb="0" eb="1">
      <t>ソウ</t>
    </rPh>
    <rPh sb="1" eb="2">
      <t>カカリ</t>
    </rPh>
    <rPh sb="2" eb="3">
      <t>ヒ</t>
    </rPh>
    <phoneticPr fontId="3"/>
  </si>
  <si>
    <t>業務費</t>
    <rPh sb="0" eb="2">
      <t>ギョウム</t>
    </rPh>
    <rPh sb="2" eb="3">
      <t>ヒ</t>
    </rPh>
    <phoneticPr fontId="3"/>
  </si>
  <si>
    <t>水洗化貸付事業費</t>
    <rPh sb="0" eb="2">
      <t>スイセン</t>
    </rPh>
    <rPh sb="2" eb="3">
      <t>カ</t>
    </rPh>
    <rPh sb="3" eb="5">
      <t>カシツケ</t>
    </rPh>
    <rPh sb="5" eb="8">
      <t>ジギョウヒ</t>
    </rPh>
    <phoneticPr fontId="3"/>
  </si>
  <si>
    <t>普及促進費</t>
    <rPh sb="0" eb="2">
      <t>フキュウ</t>
    </rPh>
    <rPh sb="2" eb="4">
      <t>ソクシン</t>
    </rPh>
    <rPh sb="4" eb="5">
      <t>ヒ</t>
    </rPh>
    <phoneticPr fontId="3"/>
  </si>
  <si>
    <t>処理場費</t>
    <rPh sb="0" eb="2">
      <t>ショリ</t>
    </rPh>
    <rPh sb="2" eb="3">
      <t>バ</t>
    </rPh>
    <rPh sb="3" eb="4">
      <t>ヒ</t>
    </rPh>
    <phoneticPr fontId="3"/>
  </si>
  <si>
    <t>ポンプ場費</t>
    <rPh sb="3" eb="4">
      <t>バ</t>
    </rPh>
    <rPh sb="4" eb="5">
      <t>ヒ</t>
    </rPh>
    <phoneticPr fontId="3"/>
  </si>
  <si>
    <t>水質指導費</t>
    <rPh sb="0" eb="2">
      <t>スイシツ</t>
    </rPh>
    <rPh sb="2" eb="4">
      <t>シドウ</t>
    </rPh>
    <rPh sb="4" eb="5">
      <t>ヒ</t>
    </rPh>
    <phoneticPr fontId="3"/>
  </si>
  <si>
    <t>管きょ費</t>
    <rPh sb="0" eb="1">
      <t>カン</t>
    </rPh>
    <rPh sb="3" eb="4">
      <t>ヒ</t>
    </rPh>
    <phoneticPr fontId="3"/>
  </si>
  <si>
    <t>営業費用</t>
    <rPh sb="0" eb="2">
      <t>エイギョウ</t>
    </rPh>
    <rPh sb="2" eb="4">
      <t>ヒヨウ</t>
    </rPh>
    <phoneticPr fontId="3"/>
  </si>
  <si>
    <t>下水道事業費用</t>
    <rPh sb="0" eb="3">
      <t>ゲスイドウ</t>
    </rPh>
    <rPh sb="3" eb="5">
      <t>ジギョウ</t>
    </rPh>
    <rPh sb="5" eb="7">
      <t>ヒヨウ</t>
    </rPh>
    <phoneticPr fontId="3"/>
  </si>
  <si>
    <t>Ｄ</t>
    <phoneticPr fontId="3"/>
  </si>
  <si>
    <t>Ｃ（Ａ＋Ｂ）</t>
    <phoneticPr fontId="3"/>
  </si>
  <si>
    <t>増減額  Ｂ</t>
    <rPh sb="0" eb="2">
      <t>ゾウゲン</t>
    </rPh>
    <rPh sb="2" eb="3">
      <t>ガク</t>
    </rPh>
    <phoneticPr fontId="3"/>
  </si>
  <si>
    <t>（補正後）　Ａ</t>
    <phoneticPr fontId="3"/>
  </si>
  <si>
    <t>税抜決算額</t>
    <rPh sb="0" eb="2">
      <t>ゼイヌキ</t>
    </rPh>
    <rPh sb="2" eb="4">
      <t>ケッサン</t>
    </rPh>
    <phoneticPr fontId="3"/>
  </si>
  <si>
    <t>税込決算額</t>
    <rPh sb="0" eb="2">
      <t>ゼイコ</t>
    </rPh>
    <phoneticPr fontId="3"/>
  </si>
  <si>
    <t>現計予算額</t>
    <rPh sb="0" eb="1">
      <t>ゲン</t>
    </rPh>
    <rPh sb="1" eb="2">
      <t>ケイ</t>
    </rPh>
    <rPh sb="2" eb="5">
      <t>ヨサンガク</t>
    </rPh>
    <phoneticPr fontId="3"/>
  </si>
  <si>
    <t>流用・振替等</t>
    <rPh sb="0" eb="2">
      <t>リュウヨウ</t>
    </rPh>
    <rPh sb="3" eb="5">
      <t>フリカエ</t>
    </rPh>
    <rPh sb="5" eb="6">
      <t>トウ</t>
    </rPh>
    <phoneticPr fontId="3"/>
  </si>
  <si>
    <t>予算額（繰越+現年）</t>
    <rPh sb="0" eb="2">
      <t>ヨサン</t>
    </rPh>
    <rPh sb="2" eb="3">
      <t>ガク</t>
    </rPh>
    <rPh sb="4" eb="6">
      <t>クリコシ</t>
    </rPh>
    <rPh sb="7" eb="9">
      <t>ゲンネン</t>
    </rPh>
    <phoneticPr fontId="3"/>
  </si>
  <si>
    <t>科    目</t>
    <rPh sb="0" eb="6">
      <t>カモク</t>
    </rPh>
    <phoneticPr fontId="3"/>
  </si>
  <si>
    <t>繰入金を除いた額→</t>
    <rPh sb="0" eb="3">
      <t>ク</t>
    </rPh>
    <rPh sb="4" eb="5">
      <t>ノゾ</t>
    </rPh>
    <rPh sb="7" eb="8">
      <t>ガク</t>
    </rPh>
    <phoneticPr fontId="3"/>
  </si>
  <si>
    <t>純利益</t>
    <rPh sb="0" eb="3">
      <t>ジュンリエキ</t>
    </rPh>
    <phoneticPr fontId="3"/>
  </si>
  <si>
    <t>その他特別利益</t>
    <rPh sb="0" eb="3">
      <t>ソノタ</t>
    </rPh>
    <rPh sb="3" eb="5">
      <t>トクベツ</t>
    </rPh>
    <rPh sb="5" eb="7">
      <t>リエキ</t>
    </rPh>
    <phoneticPr fontId="3"/>
  </si>
  <si>
    <t>過年度損益修正益</t>
    <rPh sb="0" eb="3">
      <t>カネンド</t>
    </rPh>
    <rPh sb="3" eb="5">
      <t>ソンエキ</t>
    </rPh>
    <rPh sb="5" eb="7">
      <t>シュウセイ</t>
    </rPh>
    <rPh sb="7" eb="8">
      <t>エキ</t>
    </rPh>
    <phoneticPr fontId="3"/>
  </si>
  <si>
    <t>固定資産売却益</t>
    <rPh sb="0" eb="4">
      <t>コテイシサン</t>
    </rPh>
    <rPh sb="4" eb="6">
      <t>バイキャク</t>
    </rPh>
    <rPh sb="6" eb="7">
      <t>エキ</t>
    </rPh>
    <phoneticPr fontId="3"/>
  </si>
  <si>
    <t>長期前受金戻入益（減損）</t>
    <rPh sb="0" eb="8">
      <t>チョウキ</t>
    </rPh>
    <rPh sb="9" eb="11">
      <t>ゲンソン</t>
    </rPh>
    <phoneticPr fontId="3"/>
  </si>
  <si>
    <t>特別利益</t>
    <rPh sb="0" eb="2">
      <t>トクベツ</t>
    </rPh>
    <rPh sb="2" eb="4">
      <t>リエキ</t>
    </rPh>
    <phoneticPr fontId="3"/>
  </si>
  <si>
    <t>長期前受金戻入（償却・除却）</t>
    <rPh sb="0" eb="2">
      <t>チョウキ</t>
    </rPh>
    <rPh sb="2" eb="5">
      <t>マエウケキン</t>
    </rPh>
    <rPh sb="5" eb="7">
      <t>レイニュウ</t>
    </rPh>
    <rPh sb="8" eb="10">
      <t>ショウキャク</t>
    </rPh>
    <rPh sb="11" eb="13">
      <t>ジョキャク</t>
    </rPh>
    <phoneticPr fontId="3"/>
  </si>
  <si>
    <t>雑収益</t>
    <rPh sb="0" eb="1">
      <t>ザツ</t>
    </rPh>
    <rPh sb="1" eb="3">
      <t>シュウエキ</t>
    </rPh>
    <phoneticPr fontId="3"/>
  </si>
  <si>
    <t>消費税等還付金</t>
    <rPh sb="0" eb="3">
      <t>ショウヒゼイ</t>
    </rPh>
    <rPh sb="3" eb="4">
      <t>トウ</t>
    </rPh>
    <rPh sb="4" eb="6">
      <t>カンプ</t>
    </rPh>
    <rPh sb="6" eb="7">
      <t>キン</t>
    </rPh>
    <phoneticPr fontId="3"/>
  </si>
  <si>
    <t>一般会計補助金</t>
    <rPh sb="0" eb="4">
      <t>イッパンカイケイ</t>
    </rPh>
    <rPh sb="4" eb="7">
      <t>ホジョキン</t>
    </rPh>
    <phoneticPr fontId="3"/>
  </si>
  <si>
    <t>負担金</t>
    <rPh sb="0" eb="3">
      <t>フタンキン</t>
    </rPh>
    <phoneticPr fontId="3"/>
  </si>
  <si>
    <t>県補助金</t>
    <rPh sb="0" eb="1">
      <t>ケン</t>
    </rPh>
    <rPh sb="1" eb="4">
      <t>ホ</t>
    </rPh>
    <phoneticPr fontId="3"/>
  </si>
  <si>
    <t>国庫補助金</t>
    <rPh sb="0" eb="5">
      <t>コッコホジョキン</t>
    </rPh>
    <phoneticPr fontId="3"/>
  </si>
  <si>
    <t>受取利息</t>
    <rPh sb="0" eb="2">
      <t>ウケトリ</t>
    </rPh>
    <rPh sb="2" eb="4">
      <t>リソク</t>
    </rPh>
    <phoneticPr fontId="3"/>
  </si>
  <si>
    <t>その他営業収益</t>
    <rPh sb="0" eb="3">
      <t>ソノタ</t>
    </rPh>
    <rPh sb="3" eb="5">
      <t>エイギョウ</t>
    </rPh>
    <rPh sb="5" eb="7">
      <t>シュウエキ</t>
    </rPh>
    <phoneticPr fontId="3"/>
  </si>
  <si>
    <t>受託工事収益</t>
    <rPh sb="0" eb="2">
      <t>ジュタク</t>
    </rPh>
    <rPh sb="2" eb="4">
      <t>コウジ</t>
    </rPh>
    <rPh sb="4" eb="6">
      <t>シュウエキ</t>
    </rPh>
    <phoneticPr fontId="3"/>
  </si>
  <si>
    <t>一般会計負担金</t>
    <rPh sb="0" eb="4">
      <t>イッパンカイケイ</t>
    </rPh>
    <rPh sb="4" eb="7">
      <t>フタンキン</t>
    </rPh>
    <phoneticPr fontId="3"/>
  </si>
  <si>
    <t>下水道使用料</t>
    <rPh sb="0" eb="3">
      <t>ゲスイドウ</t>
    </rPh>
    <rPh sb="3" eb="6">
      <t>シヨウリョウ</t>
    </rPh>
    <phoneticPr fontId="3"/>
  </si>
  <si>
    <t>（消費税雑収益加算後）</t>
    <rPh sb="1" eb="4">
      <t>ショウヒゼイ</t>
    </rPh>
    <rPh sb="4" eb="7">
      <t>ザツシュウエキ</t>
    </rPh>
    <rPh sb="7" eb="9">
      <t>カサン</t>
    </rPh>
    <rPh sb="9" eb="10">
      <t>ゴ</t>
    </rPh>
    <phoneticPr fontId="3"/>
  </si>
  <si>
    <t>Ｄ</t>
    <phoneticPr fontId="3"/>
  </si>
  <si>
    <t>Ｃ（Ａ＋Ｂ）</t>
    <phoneticPr fontId="3"/>
  </si>
  <si>
    <t>（補正後）　Ａ</t>
    <phoneticPr fontId="3"/>
  </si>
  <si>
    <t>科    目</t>
  </si>
  <si>
    <t>（収入決算額）</t>
    <rPh sb="1" eb="3">
      <t>シュウニュウ</t>
    </rPh>
    <rPh sb="3" eb="5">
      <t>ケッサン</t>
    </rPh>
    <rPh sb="5" eb="6">
      <t>ガク</t>
    </rPh>
    <phoneticPr fontId="3"/>
  </si>
  <si>
    <t>＝</t>
    <phoneticPr fontId="3"/>
  </si>
  <si>
    <t>資本的収入合計</t>
    <rPh sb="0" eb="3">
      <t>シホンテキ</t>
    </rPh>
    <rPh sb="3" eb="5">
      <t>シュウニュウ</t>
    </rPh>
    <rPh sb="5" eb="7">
      <t>ゴウケイ</t>
    </rPh>
    <phoneticPr fontId="3"/>
  </si>
  <si>
    <t>＊</t>
    <phoneticPr fontId="3"/>
  </si>
  <si>
    <t>その他資本的収入</t>
    <rPh sb="2" eb="3">
      <t>タ</t>
    </rPh>
    <rPh sb="3" eb="6">
      <t>シホンテキ</t>
    </rPh>
    <rPh sb="6" eb="8">
      <t>シュウニュウ</t>
    </rPh>
    <phoneticPr fontId="3"/>
  </si>
  <si>
    <t>土地売却代金</t>
    <rPh sb="0" eb="2">
      <t>トチ</t>
    </rPh>
    <rPh sb="2" eb="4">
      <t>バイキャク</t>
    </rPh>
    <rPh sb="4" eb="6">
      <t>ダイキン</t>
    </rPh>
    <phoneticPr fontId="3"/>
  </si>
  <si>
    <t>固定資産売却代金</t>
    <rPh sb="0" eb="4">
      <t>コテイシサン</t>
    </rPh>
    <rPh sb="4" eb="6">
      <t>バイキャク</t>
    </rPh>
    <rPh sb="6" eb="8">
      <t>ダイキン</t>
    </rPh>
    <phoneticPr fontId="3"/>
  </si>
  <si>
    <t>貸付金回収金</t>
    <rPh sb="0" eb="3">
      <t>カシツケキン</t>
    </rPh>
    <rPh sb="3" eb="5">
      <t>カイシュウ</t>
    </rPh>
    <rPh sb="5" eb="6">
      <t>カネ</t>
    </rPh>
    <phoneticPr fontId="3"/>
  </si>
  <si>
    <t>一般会計借入金</t>
    <rPh sb="0" eb="2">
      <t>イッパン</t>
    </rPh>
    <rPh sb="2" eb="4">
      <t>カイケイ</t>
    </rPh>
    <rPh sb="4" eb="6">
      <t>カリイレ</t>
    </rPh>
    <rPh sb="6" eb="7">
      <t>カネ</t>
    </rPh>
    <phoneticPr fontId="3"/>
  </si>
  <si>
    <t>貸付企業債</t>
    <rPh sb="0" eb="2">
      <t>カシツケ</t>
    </rPh>
    <rPh sb="2" eb="5">
      <t>キギョウサイ</t>
    </rPh>
    <phoneticPr fontId="3"/>
  </si>
  <si>
    <t>水洗化貸付事業収入</t>
    <rPh sb="0" eb="2">
      <t>スイセン</t>
    </rPh>
    <rPh sb="2" eb="3">
      <t>カ</t>
    </rPh>
    <rPh sb="3" eb="5">
      <t>カシツケ</t>
    </rPh>
    <rPh sb="5" eb="7">
      <t>ジギョウ</t>
    </rPh>
    <rPh sb="7" eb="9">
      <t>シュウニュウ</t>
    </rPh>
    <phoneticPr fontId="3"/>
  </si>
  <si>
    <t>工事負担金</t>
    <rPh sb="0" eb="2">
      <t>コウジ</t>
    </rPh>
    <rPh sb="2" eb="5">
      <t>フタンキン</t>
    </rPh>
    <phoneticPr fontId="3"/>
  </si>
  <si>
    <t>受益者分担金</t>
    <rPh sb="0" eb="3">
      <t>ジュエキシャ</t>
    </rPh>
    <rPh sb="3" eb="6">
      <t>ブンタンキン</t>
    </rPh>
    <phoneticPr fontId="3"/>
  </si>
  <si>
    <t>受益者負担金</t>
    <rPh sb="0" eb="3">
      <t>ジュエキシャ</t>
    </rPh>
    <rPh sb="3" eb="6">
      <t>フタンキン</t>
    </rPh>
    <phoneticPr fontId="3"/>
  </si>
  <si>
    <t>工事受託金</t>
    <rPh sb="0" eb="2">
      <t>コウジ</t>
    </rPh>
    <rPh sb="2" eb="4">
      <t>ジュタク</t>
    </rPh>
    <rPh sb="4" eb="5">
      <t>キン</t>
    </rPh>
    <phoneticPr fontId="3"/>
  </si>
  <si>
    <t>工事受託金</t>
    <rPh sb="0" eb="2">
      <t>コウジ</t>
    </rPh>
    <rPh sb="2" eb="4">
      <t>ジュタク</t>
    </rPh>
    <rPh sb="4" eb="5">
      <t>カネ</t>
    </rPh>
    <phoneticPr fontId="3"/>
  </si>
  <si>
    <t>汚水処理施設整備交付金</t>
    <rPh sb="0" eb="2">
      <t>オスイ</t>
    </rPh>
    <rPh sb="2" eb="4">
      <t>ショリ</t>
    </rPh>
    <rPh sb="4" eb="6">
      <t>シセツ</t>
    </rPh>
    <rPh sb="6" eb="8">
      <t>セイビ</t>
    </rPh>
    <rPh sb="8" eb="11">
      <t>コウフキン</t>
    </rPh>
    <phoneticPr fontId="3"/>
  </si>
  <si>
    <t>公共下水道整備国庫補助金</t>
    <rPh sb="0" eb="2">
      <t>コウキョウ</t>
    </rPh>
    <rPh sb="2" eb="5">
      <t>ゲスイドウ</t>
    </rPh>
    <rPh sb="5" eb="7">
      <t>セイビ</t>
    </rPh>
    <rPh sb="7" eb="9">
      <t>コッコ</t>
    </rPh>
    <rPh sb="9" eb="12">
      <t>ホジョキン</t>
    </rPh>
    <phoneticPr fontId="3"/>
  </si>
  <si>
    <t>国庫補助金</t>
    <rPh sb="0" eb="2">
      <t>コッコ</t>
    </rPh>
    <rPh sb="2" eb="5">
      <t>ホジョキン</t>
    </rPh>
    <phoneticPr fontId="3"/>
  </si>
  <si>
    <t>その他出資金</t>
    <rPh sb="0" eb="3">
      <t>ソノタ</t>
    </rPh>
    <rPh sb="3" eb="6">
      <t>シュッシキン</t>
    </rPh>
    <phoneticPr fontId="3"/>
  </si>
  <si>
    <t>一般会計出資金</t>
    <rPh sb="0" eb="2">
      <t>イッパン</t>
    </rPh>
    <rPh sb="2" eb="4">
      <t>カイケイ</t>
    </rPh>
    <rPh sb="4" eb="7">
      <t>シュッシキン</t>
    </rPh>
    <phoneticPr fontId="3"/>
  </si>
  <si>
    <t>その他事業債（借換債等）</t>
    <rPh sb="2" eb="3">
      <t>タ</t>
    </rPh>
    <rPh sb="3" eb="6">
      <t>ジギョウサイ</t>
    </rPh>
    <rPh sb="7" eb="9">
      <t>カリカエ</t>
    </rPh>
    <rPh sb="9" eb="10">
      <t>サイ</t>
    </rPh>
    <rPh sb="10" eb="11">
      <t>トウ</t>
    </rPh>
    <phoneticPr fontId="3"/>
  </si>
  <si>
    <t>資本費平準化債</t>
    <rPh sb="0" eb="2">
      <t>シホン</t>
    </rPh>
    <rPh sb="2" eb="3">
      <t>ヒ</t>
    </rPh>
    <rPh sb="3" eb="6">
      <t>ヘイジュンカ</t>
    </rPh>
    <rPh sb="6" eb="7">
      <t>サイ</t>
    </rPh>
    <phoneticPr fontId="3"/>
  </si>
  <si>
    <t>流域下水道事業債</t>
    <rPh sb="0" eb="2">
      <t>リュウイキ</t>
    </rPh>
    <rPh sb="2" eb="5">
      <t>ゲスイドウ</t>
    </rPh>
    <rPh sb="5" eb="8">
      <t>ジギョウサイ</t>
    </rPh>
    <phoneticPr fontId="3"/>
  </si>
  <si>
    <t>公共下水道事業債</t>
    <phoneticPr fontId="3"/>
  </si>
  <si>
    <t>企業債</t>
    <rPh sb="0" eb="3">
      <t>キギョウサイ</t>
    </rPh>
    <phoneticPr fontId="3"/>
  </si>
  <si>
    <t>J－Ｃ</t>
    <phoneticPr fontId="3"/>
  </si>
  <si>
    <t>K</t>
    <phoneticPr fontId="3"/>
  </si>
  <si>
    <t>Ｊ(F-G+H＋Ｉ)</t>
    <phoneticPr fontId="3"/>
  </si>
  <si>
    <t>Ｉ</t>
    <phoneticPr fontId="3"/>
  </si>
  <si>
    <t>Ｈ</t>
    <phoneticPr fontId="3"/>
  </si>
  <si>
    <t>Ｇ</t>
    <phoneticPr fontId="3"/>
  </si>
  <si>
    <t>F(D-E)</t>
    <phoneticPr fontId="3"/>
  </si>
  <si>
    <t>E</t>
    <phoneticPr fontId="3"/>
  </si>
  <si>
    <t>Ｄ</t>
    <phoneticPr fontId="3"/>
  </si>
  <si>
    <t>Ｃ（Ａ＋Ｂ）</t>
    <phoneticPr fontId="3"/>
  </si>
  <si>
    <t>Ｂ</t>
    <phoneticPr fontId="3"/>
  </si>
  <si>
    <t>Ａ</t>
    <phoneticPr fontId="3"/>
  </si>
  <si>
    <t>差  引</t>
    <phoneticPr fontId="3"/>
  </si>
  <si>
    <t>翌年度繰越
充当額</t>
    <rPh sb="0" eb="3">
      <t>ヨクネンド</t>
    </rPh>
    <rPh sb="3" eb="5">
      <t>クリコシ</t>
    </rPh>
    <rPh sb="6" eb="8">
      <t>ジュウトウ</t>
    </rPh>
    <rPh sb="8" eb="9">
      <t>ガク</t>
    </rPh>
    <phoneticPr fontId="3"/>
  </si>
  <si>
    <t>みなし決算額</t>
    <rPh sb="3" eb="5">
      <t>ケッサン</t>
    </rPh>
    <rPh sb="5" eb="6">
      <t>ガク</t>
    </rPh>
    <phoneticPr fontId="3"/>
  </si>
  <si>
    <t>翌年度繰越
充当財源</t>
    <rPh sb="0" eb="3">
      <t>ヨクネンド</t>
    </rPh>
    <rPh sb="3" eb="5">
      <t>クリコシ</t>
    </rPh>
    <rPh sb="6" eb="8">
      <t>ジュウトウ</t>
    </rPh>
    <rPh sb="8" eb="10">
      <t>ザイゲン</t>
    </rPh>
    <phoneticPr fontId="3"/>
  </si>
  <si>
    <t>当年度決算
未充当額</t>
    <rPh sb="0" eb="3">
      <t>トウネンド</t>
    </rPh>
    <rPh sb="3" eb="5">
      <t>ケッサン</t>
    </rPh>
    <rPh sb="6" eb="7">
      <t>ミ</t>
    </rPh>
    <rPh sb="7" eb="9">
      <t>ジュウトウ</t>
    </rPh>
    <rPh sb="9" eb="10">
      <t>ガク</t>
    </rPh>
    <phoneticPr fontId="3"/>
  </si>
  <si>
    <t>前年度繰越
充当財源</t>
    <rPh sb="0" eb="3">
      <t>ゼンネンド</t>
    </rPh>
    <rPh sb="3" eb="5">
      <t>クリコシ</t>
    </rPh>
    <rPh sb="6" eb="8">
      <t>ジュウトウ</t>
    </rPh>
    <rPh sb="8" eb="10">
      <t>ザイゲン</t>
    </rPh>
    <phoneticPr fontId="3"/>
  </si>
  <si>
    <t>当年度決算額</t>
    <rPh sb="0" eb="3">
      <t>トウネンド</t>
    </rPh>
    <rPh sb="3" eb="5">
      <t>ケッサン</t>
    </rPh>
    <rPh sb="5" eb="6">
      <t>ガク</t>
    </rPh>
    <phoneticPr fontId="3"/>
  </si>
  <si>
    <t>前年度充当額（未発行債）</t>
    <rPh sb="0" eb="3">
      <t>ゼンネンド</t>
    </rPh>
    <rPh sb="3" eb="5">
      <t>ジュウトウ</t>
    </rPh>
    <rPh sb="5" eb="6">
      <t>ガク</t>
    </rPh>
    <rPh sb="7" eb="8">
      <t>ミ</t>
    </rPh>
    <rPh sb="8" eb="10">
      <t>ハッコウ</t>
    </rPh>
    <rPh sb="10" eb="11">
      <t>サイ</t>
    </rPh>
    <phoneticPr fontId="3"/>
  </si>
  <si>
    <t>決算額（電算）</t>
    <rPh sb="4" eb="6">
      <t>デンサン</t>
    </rPh>
    <phoneticPr fontId="3"/>
  </si>
  <si>
    <t>流用・振替等
増減額</t>
    <rPh sb="0" eb="2">
      <t>リュウヨウ</t>
    </rPh>
    <rPh sb="3" eb="5">
      <t>フリカエ</t>
    </rPh>
    <rPh sb="5" eb="6">
      <t>トウ</t>
    </rPh>
    <rPh sb="7" eb="10">
      <t>ゾウゲンガク</t>
    </rPh>
    <phoneticPr fontId="3"/>
  </si>
  <si>
    <t>議決予算額　　　　　（補正後）</t>
    <rPh sb="11" eb="13">
      <t>ホセイ</t>
    </rPh>
    <rPh sb="13" eb="14">
      <t>ゴ</t>
    </rPh>
    <phoneticPr fontId="3"/>
  </si>
  <si>
    <t>国庫補助金返還金</t>
    <rPh sb="0" eb="2">
      <t>コッコ</t>
    </rPh>
    <rPh sb="2" eb="5">
      <t>ホジョキン</t>
    </rPh>
    <rPh sb="5" eb="8">
      <t>ヘンカンキン</t>
    </rPh>
    <phoneticPr fontId="3"/>
  </si>
  <si>
    <t>返還金</t>
    <rPh sb="0" eb="3">
      <t>ヘンカンキン</t>
    </rPh>
    <phoneticPr fontId="3"/>
  </si>
  <si>
    <t>一般会計借入金償還金</t>
    <rPh sb="0" eb="4">
      <t>イ</t>
    </rPh>
    <rPh sb="4" eb="6">
      <t>カリイレ</t>
    </rPh>
    <rPh sb="6" eb="7">
      <t>キン</t>
    </rPh>
    <rPh sb="7" eb="9">
      <t>ショウカン</t>
    </rPh>
    <rPh sb="9" eb="10">
      <t>キン</t>
    </rPh>
    <phoneticPr fontId="3"/>
  </si>
  <si>
    <t>貸付資金企業債償還金</t>
    <rPh sb="0" eb="2">
      <t>カシツケ</t>
    </rPh>
    <rPh sb="2" eb="4">
      <t>シキン</t>
    </rPh>
    <rPh sb="4" eb="7">
      <t>キギョウサイ</t>
    </rPh>
    <rPh sb="7" eb="9">
      <t>ショウカン</t>
    </rPh>
    <rPh sb="9" eb="10">
      <t>キン</t>
    </rPh>
    <phoneticPr fontId="3"/>
  </si>
  <si>
    <t>企業債償還金</t>
    <rPh sb="0" eb="3">
      <t>キギョウサイ</t>
    </rPh>
    <rPh sb="3" eb="5">
      <t>ショウカン</t>
    </rPh>
    <rPh sb="5" eb="6">
      <t>キン</t>
    </rPh>
    <phoneticPr fontId="3"/>
  </si>
  <si>
    <t>償還金</t>
    <rPh sb="0" eb="2">
      <t>ショウカン</t>
    </rPh>
    <rPh sb="2" eb="3">
      <t>キン</t>
    </rPh>
    <phoneticPr fontId="3"/>
  </si>
  <si>
    <t>市街化区域外整備費</t>
    <rPh sb="0" eb="3">
      <t>シガイカ</t>
    </rPh>
    <rPh sb="3" eb="6">
      <t>クイキガイ</t>
    </rPh>
    <rPh sb="6" eb="9">
      <t>セイビヒ</t>
    </rPh>
    <phoneticPr fontId="3"/>
  </si>
  <si>
    <t>建設利息</t>
    <rPh sb="0" eb="2">
      <t>ケンセツ</t>
    </rPh>
    <rPh sb="2" eb="4">
      <t>リソク</t>
    </rPh>
    <phoneticPr fontId="3"/>
  </si>
  <si>
    <t>諸設備新設改良費</t>
    <rPh sb="0" eb="3">
      <t>ショセツビ</t>
    </rPh>
    <rPh sb="3" eb="5">
      <t>シンセツ</t>
    </rPh>
    <rPh sb="5" eb="7">
      <t>カイリョウ</t>
    </rPh>
    <rPh sb="7" eb="8">
      <t>ヒ</t>
    </rPh>
    <phoneticPr fontId="3"/>
  </si>
  <si>
    <t>流域下水道整備費</t>
    <rPh sb="0" eb="2">
      <t>リュウイキ</t>
    </rPh>
    <rPh sb="2" eb="5">
      <t>ゲスイドウ</t>
    </rPh>
    <rPh sb="5" eb="8">
      <t>セイビヒ</t>
    </rPh>
    <phoneticPr fontId="3"/>
  </si>
  <si>
    <t>都市下水路整備費</t>
    <rPh sb="0" eb="2">
      <t>トシ</t>
    </rPh>
    <rPh sb="2" eb="3">
      <t>ゲ</t>
    </rPh>
    <rPh sb="3" eb="5">
      <t>スイロ</t>
    </rPh>
    <rPh sb="5" eb="8">
      <t>セイビヒ</t>
    </rPh>
    <phoneticPr fontId="3"/>
  </si>
  <si>
    <t>排水設備整備費</t>
    <rPh sb="0" eb="2">
      <t>ハイスイ</t>
    </rPh>
    <rPh sb="2" eb="4">
      <t>セツビ</t>
    </rPh>
    <rPh sb="4" eb="7">
      <t>セイビヒ</t>
    </rPh>
    <phoneticPr fontId="3"/>
  </si>
  <si>
    <t>受益者負担金業務費</t>
    <rPh sb="0" eb="3">
      <t>ジュエキシャ</t>
    </rPh>
    <rPh sb="3" eb="6">
      <t>フタンキン</t>
    </rPh>
    <rPh sb="6" eb="8">
      <t>ギョウム</t>
    </rPh>
    <rPh sb="8" eb="9">
      <t>ヒ</t>
    </rPh>
    <phoneticPr fontId="3"/>
  </si>
  <si>
    <t>公共下水道整備費</t>
    <rPh sb="0" eb="2">
      <t>コウキョウ</t>
    </rPh>
    <rPh sb="2" eb="5">
      <t>ゲスイドウ</t>
    </rPh>
    <rPh sb="5" eb="8">
      <t>セイビヒ</t>
    </rPh>
    <phoneticPr fontId="3"/>
  </si>
  <si>
    <t>建設改良費</t>
    <rPh sb="0" eb="2">
      <t>ケンセツ</t>
    </rPh>
    <rPh sb="2" eb="4">
      <t>カイリョウ</t>
    </rPh>
    <rPh sb="4" eb="5">
      <t>ヒ</t>
    </rPh>
    <phoneticPr fontId="3"/>
  </si>
  <si>
    <t>資本的支出</t>
    <rPh sb="0" eb="3">
      <t>シホンテキ</t>
    </rPh>
    <rPh sb="3" eb="5">
      <t>シシュツ</t>
    </rPh>
    <phoneticPr fontId="3"/>
  </si>
  <si>
    <t>Ｃ－Ｈ</t>
    <phoneticPr fontId="3"/>
  </si>
  <si>
    <t>Ｈ（F+G）</t>
    <phoneticPr fontId="3"/>
  </si>
  <si>
    <t>Ｇ</t>
    <phoneticPr fontId="3"/>
  </si>
  <si>
    <t>Ｆ（Ｄ-Ｅ）</t>
    <phoneticPr fontId="3"/>
  </si>
  <si>
    <t>Ｅ</t>
    <phoneticPr fontId="3"/>
  </si>
  <si>
    <t>Ｄ</t>
    <phoneticPr fontId="3"/>
  </si>
  <si>
    <t>Ｃ（Ａ＋Ｂ）</t>
    <phoneticPr fontId="3"/>
  </si>
  <si>
    <t>Ｂ</t>
    <phoneticPr fontId="3"/>
  </si>
  <si>
    <t>Ａ</t>
    <phoneticPr fontId="3"/>
  </si>
  <si>
    <t>不用額</t>
    <rPh sb="0" eb="3">
      <t>フヨウガク</t>
    </rPh>
    <phoneticPr fontId="3"/>
  </si>
  <si>
    <t>翌年度繰越額</t>
    <rPh sb="0" eb="2">
      <t>ヨクネン</t>
    </rPh>
    <phoneticPr fontId="3"/>
  </si>
  <si>
    <t>決算額（電算）</t>
    <rPh sb="0" eb="2">
      <t>ケッサン</t>
    </rPh>
    <rPh sb="2" eb="3">
      <t>ガク</t>
    </rPh>
    <rPh sb="4" eb="6">
      <t>デンサン</t>
    </rPh>
    <phoneticPr fontId="3"/>
  </si>
  <si>
    <t>議決予算額
（補正後）</t>
    <rPh sb="7" eb="9">
      <t>ホセイ</t>
    </rPh>
    <rPh sb="9" eb="10">
      <t>ゴ</t>
    </rPh>
    <phoneticPr fontId="3"/>
  </si>
  <si>
    <t>（単位：円）</t>
  </si>
  <si>
    <t>差引チェック（「０」が正しい）→</t>
    <rPh sb="0" eb="2">
      <t>サシヒキ</t>
    </rPh>
    <rPh sb="11" eb="12">
      <t>タダ</t>
    </rPh>
    <phoneticPr fontId="3"/>
  </si>
  <si>
    <t>3条収入シート純利益額→</t>
    <rPh sb="1" eb="2">
      <t>ジョウ</t>
    </rPh>
    <rPh sb="2" eb="4">
      <t>シュウニュウ</t>
    </rPh>
    <rPh sb="7" eb="10">
      <t>ジュンリエキ</t>
    </rPh>
    <rPh sb="10" eb="11">
      <t>ガク</t>
    </rPh>
    <phoneticPr fontId="3"/>
  </si>
  <si>
    <t>注：資本的収入及び支出は、みなし決算額である。</t>
    <rPh sb="0" eb="1">
      <t>チュウ</t>
    </rPh>
    <rPh sb="2" eb="5">
      <t>シホンテキ</t>
    </rPh>
    <rPh sb="5" eb="7">
      <t>シュウニュウ</t>
    </rPh>
    <rPh sb="7" eb="8">
      <t>オヨ</t>
    </rPh>
    <rPh sb="9" eb="11">
      <t>シシュツ</t>
    </rPh>
    <rPh sb="16" eb="18">
      <t>ケッサン</t>
    </rPh>
    <rPh sb="18" eb="19">
      <t>ガク</t>
    </rPh>
    <phoneticPr fontId="3"/>
  </si>
  <si>
    <t>合計額</t>
    <rPh sb="0" eb="2">
      <t>ゴウケイ</t>
    </rPh>
    <rPh sb="2" eb="3">
      <t>ガク</t>
    </rPh>
    <phoneticPr fontId="3"/>
  </si>
  <si>
    <t>純利益</t>
    <rPh sb="0" eb="1">
      <t>ジュン</t>
    </rPh>
    <rPh sb="1" eb="3">
      <t>リエキ</t>
    </rPh>
    <phoneticPr fontId="3"/>
  </si>
  <si>
    <t>その他収入</t>
    <rPh sb="0" eb="3">
      <t>ソノタ</t>
    </rPh>
    <rPh sb="3" eb="5">
      <t>シュウニュウ</t>
    </rPh>
    <phoneticPr fontId="3"/>
  </si>
  <si>
    <t>出資金</t>
    <rPh sb="0" eb="3">
      <t>シュッシキン</t>
    </rPh>
    <phoneticPr fontId="3"/>
  </si>
  <si>
    <t>一般会計出資金</t>
    <rPh sb="0" eb="2">
      <t>イッパン</t>
    </rPh>
    <rPh sb="2" eb="4">
      <t>カイケイ</t>
    </rPh>
    <rPh sb="4" eb="6">
      <t>シュッシ</t>
    </rPh>
    <rPh sb="6" eb="7">
      <t>キン</t>
    </rPh>
    <phoneticPr fontId="3"/>
  </si>
  <si>
    <t>水洗化貸付事業費</t>
    <rPh sb="0" eb="2">
      <t>スイセン</t>
    </rPh>
    <rPh sb="2" eb="3">
      <t>カ</t>
    </rPh>
    <rPh sb="3" eb="5">
      <t>カシツケ</t>
    </rPh>
    <rPh sb="5" eb="7">
      <t>ジギョウ</t>
    </rPh>
    <rPh sb="7" eb="8">
      <t>ヒ</t>
    </rPh>
    <phoneticPr fontId="3"/>
  </si>
  <si>
    <t>(うち前年度からの繰越分)</t>
    <rPh sb="3" eb="4">
      <t>マエ</t>
    </rPh>
    <rPh sb="4" eb="6">
      <t>ネンド</t>
    </rPh>
    <rPh sb="9" eb="11">
      <t>クリコシ</t>
    </rPh>
    <rPh sb="11" eb="12">
      <t>ブン</t>
    </rPh>
    <phoneticPr fontId="3"/>
  </si>
  <si>
    <t>(前年度繰越工事資金当年度充当額)</t>
    <rPh sb="1" eb="4">
      <t>ゼンネンド</t>
    </rPh>
    <rPh sb="4" eb="6">
      <t>クリコシ</t>
    </rPh>
    <rPh sb="6" eb="8">
      <t>コウジ</t>
    </rPh>
    <rPh sb="8" eb="10">
      <t>シキン</t>
    </rPh>
    <phoneticPr fontId="3"/>
  </si>
  <si>
    <t>企業債発行差金（実決算）</t>
    <rPh sb="0" eb="3">
      <t>キギョウサイ</t>
    </rPh>
    <rPh sb="3" eb="5">
      <t>ハッコウ</t>
    </rPh>
    <rPh sb="5" eb="7">
      <t>サキン</t>
    </rPh>
    <rPh sb="8" eb="9">
      <t>ジツ</t>
    </rPh>
    <rPh sb="9" eb="11">
      <t>ケッサン</t>
    </rPh>
    <phoneticPr fontId="3"/>
  </si>
  <si>
    <t>(減債積立金)</t>
    <rPh sb="1" eb="3">
      <t>ゲンサイ</t>
    </rPh>
    <rPh sb="3" eb="5">
      <t>ツミタテ</t>
    </rPh>
    <rPh sb="5" eb="6">
      <t>キン</t>
    </rPh>
    <phoneticPr fontId="3"/>
  </si>
  <si>
    <t>長期前受金戻入等</t>
    <rPh sb="0" eb="2">
      <t>チョウキ</t>
    </rPh>
    <rPh sb="2" eb="5">
      <t>マエウケキン</t>
    </rPh>
    <rPh sb="5" eb="7">
      <t>レイニュウ</t>
    </rPh>
    <rPh sb="7" eb="8">
      <t>トウ</t>
    </rPh>
    <phoneticPr fontId="3"/>
  </si>
  <si>
    <t>(当年度消費税等資本的収支調整額)</t>
    <rPh sb="1" eb="2">
      <t>トウ</t>
    </rPh>
    <rPh sb="2" eb="3">
      <t>ネン</t>
    </rPh>
    <rPh sb="3" eb="4">
      <t>ネンド</t>
    </rPh>
    <rPh sb="4" eb="6">
      <t>ショウヒ</t>
    </rPh>
    <rPh sb="6" eb="7">
      <t>ゼイ</t>
    </rPh>
    <rPh sb="7" eb="8">
      <t>トウ</t>
    </rPh>
    <rPh sb="8" eb="11">
      <t>シホンテキ</t>
    </rPh>
    <rPh sb="11" eb="13">
      <t>シュウシ</t>
    </rPh>
    <rPh sb="13" eb="15">
      <t>チョウセイ</t>
    </rPh>
    <rPh sb="15" eb="16">
      <t>ガク</t>
    </rPh>
    <phoneticPr fontId="3"/>
  </si>
  <si>
    <t>固定資産除却費等</t>
    <rPh sb="0" eb="4">
      <t>コテイシサン</t>
    </rPh>
    <rPh sb="4" eb="5">
      <t>ノゾ</t>
    </rPh>
    <rPh sb="5" eb="6">
      <t>キャク</t>
    </rPh>
    <rPh sb="6" eb="7">
      <t>ヒ</t>
    </rPh>
    <rPh sb="7" eb="8">
      <t>トウ</t>
    </rPh>
    <phoneticPr fontId="3"/>
  </si>
  <si>
    <t>企業債償還金</t>
    <rPh sb="0" eb="3">
      <t>キギョウサイ</t>
    </rPh>
    <rPh sb="3" eb="5">
      <t>ショウカン</t>
    </rPh>
    <rPh sb="5" eb="6">
      <t>サキン</t>
    </rPh>
    <phoneticPr fontId="3"/>
  </si>
  <si>
    <t>(当年度損益勘定留保資金)</t>
    <rPh sb="1" eb="2">
      <t>トウガイ</t>
    </rPh>
    <rPh sb="2" eb="4">
      <t>ネンド</t>
    </rPh>
    <rPh sb="4" eb="6">
      <t>ソンエキ</t>
    </rPh>
    <rPh sb="6" eb="8">
      <t>カンジョウ</t>
    </rPh>
    <rPh sb="8" eb="10">
      <t>リュウホ</t>
    </rPh>
    <rPh sb="10" eb="12">
      <t>シキン</t>
    </rPh>
    <phoneticPr fontId="3"/>
  </si>
  <si>
    <t>(うち前年度からの繰越分を除く)</t>
    <rPh sb="3" eb="4">
      <t>ゼン</t>
    </rPh>
    <rPh sb="4" eb="6">
      <t>ネンド</t>
    </rPh>
    <rPh sb="9" eb="11">
      <t>クリコシ</t>
    </rPh>
    <rPh sb="11" eb="12">
      <t>ブン</t>
    </rPh>
    <rPh sb="13" eb="14">
      <t>ノゾ</t>
    </rPh>
    <phoneticPr fontId="3"/>
  </si>
  <si>
    <t>一般会計負担金</t>
    <rPh sb="0" eb="4">
      <t>イッパンカイケイ</t>
    </rPh>
    <rPh sb="4" eb="6">
      <t>フタン</t>
    </rPh>
    <rPh sb="6" eb="7">
      <t>ホジョキン</t>
    </rPh>
    <phoneticPr fontId="3"/>
  </si>
  <si>
    <t>(過年度損益勘定留保資金)</t>
    <rPh sb="1" eb="2">
      <t>カ</t>
    </rPh>
    <rPh sb="2" eb="4">
      <t>ネンド</t>
    </rPh>
    <rPh sb="4" eb="6">
      <t>ソンエキ</t>
    </rPh>
    <rPh sb="6" eb="8">
      <t>カンジョウ</t>
    </rPh>
    <rPh sb="8" eb="10">
      <t>リュウホ</t>
    </rPh>
    <rPh sb="10" eb="12">
      <t>シキン</t>
    </rPh>
    <phoneticPr fontId="3"/>
  </si>
  <si>
    <t>(損益勘定留保資金)</t>
    <rPh sb="1" eb="3">
      <t>ソンエキ</t>
    </rPh>
    <rPh sb="3" eb="5">
      <t>カンジョウ</t>
    </rPh>
    <rPh sb="5" eb="7">
      <t>リュウホ</t>
    </rPh>
    <rPh sb="7" eb="9">
      <t>シキン</t>
    </rPh>
    <phoneticPr fontId="3"/>
  </si>
  <si>
    <t>補てん財源</t>
    <rPh sb="0" eb="1">
      <t>ホ</t>
    </rPh>
    <rPh sb="3" eb="5">
      <t>ザイゲン</t>
    </rPh>
    <phoneticPr fontId="3"/>
  </si>
  <si>
    <t>(翌年度繰越分)</t>
    <rPh sb="1" eb="4">
      <t>ヨクネンド</t>
    </rPh>
    <rPh sb="4" eb="6">
      <t>クリコシ</t>
    </rPh>
    <rPh sb="6" eb="7">
      <t>ブン</t>
    </rPh>
    <phoneticPr fontId="3"/>
  </si>
  <si>
    <t>(現年度分)</t>
    <rPh sb="1" eb="4">
      <t>ゲンネンド</t>
    </rPh>
    <rPh sb="4" eb="5">
      <t>ブン</t>
    </rPh>
    <phoneticPr fontId="3"/>
  </si>
  <si>
    <t>国庫補助金・県補助金</t>
    <rPh sb="0" eb="2">
      <t>コッコ</t>
    </rPh>
    <rPh sb="2" eb="5">
      <t>ホジョキン</t>
    </rPh>
    <rPh sb="6" eb="7">
      <t>ケン</t>
    </rPh>
    <rPh sb="7" eb="10">
      <t>ホ</t>
    </rPh>
    <phoneticPr fontId="3"/>
  </si>
  <si>
    <t>資本費</t>
    <rPh sb="0" eb="2">
      <t>シホン</t>
    </rPh>
    <rPh sb="2" eb="3">
      <t>ヒ</t>
    </rPh>
    <phoneticPr fontId="3"/>
  </si>
  <si>
    <t>維持管理費</t>
    <rPh sb="0" eb="2">
      <t>イジ</t>
    </rPh>
    <rPh sb="2" eb="5">
      <t>カンリヒ</t>
    </rPh>
    <phoneticPr fontId="3"/>
  </si>
  <si>
    <t>企業債</t>
    <rPh sb="0" eb="2">
      <t>キギョウ</t>
    </rPh>
    <rPh sb="2" eb="3">
      <t>サイ</t>
    </rPh>
    <phoneticPr fontId="3"/>
  </si>
  <si>
    <t>(支出)</t>
    <rPh sb="1" eb="3">
      <t>シシュツ</t>
    </rPh>
    <phoneticPr fontId="3"/>
  </si>
  <si>
    <t>(収入)</t>
    <rPh sb="1" eb="3">
      <t>シュウニュウ</t>
    </rPh>
    <phoneticPr fontId="3"/>
  </si>
  <si>
    <t>資本的収入及び支出(税込み)</t>
    <rPh sb="0" eb="2">
      <t>シホン</t>
    </rPh>
    <rPh sb="2" eb="3">
      <t>シュウエキテキ</t>
    </rPh>
    <rPh sb="3" eb="5">
      <t>シュウニュウ</t>
    </rPh>
    <rPh sb="5" eb="6">
      <t>オヨ</t>
    </rPh>
    <rPh sb="7" eb="9">
      <t>シシュツ</t>
    </rPh>
    <rPh sb="10" eb="12">
      <t>ゼイコ</t>
    </rPh>
    <phoneticPr fontId="3"/>
  </si>
  <si>
    <t>収益的収入及び支出(税抜き)</t>
    <rPh sb="0" eb="3">
      <t>シュウエキテキ</t>
    </rPh>
    <rPh sb="3" eb="5">
      <t>シュウニュウ</t>
    </rPh>
    <rPh sb="5" eb="6">
      <t>オヨ</t>
    </rPh>
    <rPh sb="7" eb="9">
      <t>シシュツ</t>
    </rPh>
    <rPh sb="10" eb="12">
      <t>ゼイヌ</t>
    </rPh>
    <phoneticPr fontId="3"/>
  </si>
  <si>
    <t>(単位:円)</t>
    <rPh sb="1" eb="3">
      <t>タンイ</t>
    </rPh>
    <rPh sb="4" eb="5">
      <t>エン</t>
    </rPh>
    <phoneticPr fontId="3"/>
  </si>
  <si>
    <t>↓資金余剰調整額</t>
    <rPh sb="1" eb="3">
      <t>シキン</t>
    </rPh>
    <rPh sb="3" eb="5">
      <t>ヨジョウ</t>
    </rPh>
    <rPh sb="5" eb="7">
      <t>チョウセイ</t>
    </rPh>
    <rPh sb="7" eb="8">
      <t>ガク</t>
    </rPh>
    <phoneticPr fontId="3"/>
  </si>
  <si>
    <t>当年度分</t>
    <rPh sb="0" eb="1">
      <t>トウ</t>
    </rPh>
    <rPh sb="1" eb="4">
      <t>ネンドブン</t>
    </rPh>
    <phoneticPr fontId="3"/>
  </si>
  <si>
    <t>前年度未収分</t>
    <rPh sb="0" eb="2">
      <t>ゼンネン</t>
    </rPh>
    <rPh sb="3" eb="5">
      <t>ミシュウ</t>
    </rPh>
    <rPh sb="5" eb="6">
      <t>ブン</t>
    </rPh>
    <phoneticPr fontId="3"/>
  </si>
  <si>
    <t>対前年
度比</t>
    <rPh sb="0" eb="1">
      <t>タイ</t>
    </rPh>
    <rPh sb="1" eb="3">
      <t>ゼンネン</t>
    </rPh>
    <rPh sb="4" eb="5">
      <t>ド</t>
    </rPh>
    <rPh sb="5" eb="6">
      <t>ヒ</t>
    </rPh>
    <phoneticPr fontId="3"/>
  </si>
  <si>
    <t>対予算
比</t>
    <rPh sb="0" eb="1">
      <t>タイ</t>
    </rPh>
    <rPh sb="1" eb="3">
      <t>ヨサン</t>
    </rPh>
    <rPh sb="4" eb="5">
      <t>ヒ</t>
    </rPh>
    <phoneticPr fontId="3"/>
  </si>
  <si>
    <t>水洗便所改造資金
貸付借入金</t>
    <rPh sb="0" eb="2">
      <t>スイセン</t>
    </rPh>
    <rPh sb="2" eb="4">
      <t>ベンジョ</t>
    </rPh>
    <rPh sb="4" eb="6">
      <t>カイゾウ</t>
    </rPh>
    <rPh sb="6" eb="8">
      <t>シキン</t>
    </rPh>
    <rPh sb="9" eb="11">
      <t>カシツケ</t>
    </rPh>
    <rPh sb="11" eb="13">
      <t>カリイレ</t>
    </rPh>
    <rPh sb="13" eb="14">
      <t>キン</t>
    </rPh>
    <phoneticPr fontId="3"/>
  </si>
  <si>
    <t>し尿浄化槽廃止資金
貸付借入金</t>
    <rPh sb="1" eb="2">
      <t>ニョウ</t>
    </rPh>
    <rPh sb="2" eb="5">
      <t>ジョウカソウ</t>
    </rPh>
    <rPh sb="5" eb="7">
      <t>ハイシ</t>
    </rPh>
    <rPh sb="7" eb="9">
      <t>シキン</t>
    </rPh>
    <rPh sb="10" eb="12">
      <t>カシツケ</t>
    </rPh>
    <rPh sb="12" eb="14">
      <t>カリイレ</t>
    </rPh>
    <rPh sb="14" eb="15">
      <t>キン</t>
    </rPh>
    <phoneticPr fontId="3"/>
  </si>
  <si>
    <t>排水設備改修資金
貸付借入金</t>
    <rPh sb="0" eb="2">
      <t>ハイスイ</t>
    </rPh>
    <rPh sb="2" eb="4">
      <t>セツビ</t>
    </rPh>
    <rPh sb="4" eb="6">
      <t>カイシュウ</t>
    </rPh>
    <rPh sb="6" eb="8">
      <t>シキン</t>
    </rPh>
    <rPh sb="9" eb="11">
      <t>カシツケ</t>
    </rPh>
    <rPh sb="11" eb="13">
      <t>カリイレ</t>
    </rPh>
    <rPh sb="13" eb="14">
      <t>キン</t>
    </rPh>
    <phoneticPr fontId="3"/>
  </si>
  <si>
    <t>収 入</t>
    <rPh sb="0" eb="3">
      <t>シュウニュウ</t>
    </rPh>
    <phoneticPr fontId="28"/>
  </si>
  <si>
    <t>（単位：千円、％）</t>
    <rPh sb="1" eb="3">
      <t>タンイ</t>
    </rPh>
    <rPh sb="4" eb="6">
      <t>センエン</t>
    </rPh>
    <phoneticPr fontId="28"/>
  </si>
  <si>
    <t>区　　　　　　　　分</t>
    <rPh sb="0" eb="10">
      <t>クブン</t>
    </rPh>
    <phoneticPr fontId="28"/>
  </si>
  <si>
    <t>増　 減</t>
    <rPh sb="0" eb="1">
      <t>ゾウ</t>
    </rPh>
    <rPh sb="3" eb="4">
      <t>ゲン</t>
    </rPh>
    <phoneticPr fontId="28"/>
  </si>
  <si>
    <t>財政収支計画
（参考）</t>
    <rPh sb="0" eb="2">
      <t>ザイセイ</t>
    </rPh>
    <rPh sb="2" eb="4">
      <t>シュウシ</t>
    </rPh>
    <rPh sb="4" eb="6">
      <t>ケイカク</t>
    </rPh>
    <rPh sb="8" eb="10">
      <t>サンコウ</t>
    </rPh>
    <phoneticPr fontId="28"/>
  </si>
  <si>
    <t>決算額
（b）</t>
    <rPh sb="0" eb="2">
      <t>ケッサン</t>
    </rPh>
    <rPh sb="2" eb="3">
      <t>ガク</t>
    </rPh>
    <phoneticPr fontId="28"/>
  </si>
  <si>
    <t>率</t>
    <rPh sb="0" eb="1">
      <t>リツ</t>
    </rPh>
    <phoneticPr fontId="28"/>
  </si>
  <si>
    <t>下水道事業収益</t>
    <rPh sb="0" eb="3">
      <t>ゲスイドウ</t>
    </rPh>
    <rPh sb="3" eb="5">
      <t>ジギョウ</t>
    </rPh>
    <rPh sb="5" eb="7">
      <t>シュウエキ</t>
    </rPh>
    <phoneticPr fontId="28"/>
  </si>
  <si>
    <t>営業収益</t>
    <rPh sb="0" eb="2">
      <t>エイギョウ</t>
    </rPh>
    <rPh sb="2" eb="4">
      <t>シュウエキ</t>
    </rPh>
    <phoneticPr fontId="28"/>
  </si>
  <si>
    <t>下水道使用料</t>
    <rPh sb="0" eb="3">
      <t>ゲスイドウ</t>
    </rPh>
    <rPh sb="3" eb="6">
      <t>シヨウリョウ</t>
    </rPh>
    <phoneticPr fontId="28"/>
  </si>
  <si>
    <t>一般会計負担金</t>
    <rPh sb="0" eb="2">
      <t>イッパン</t>
    </rPh>
    <rPh sb="2" eb="4">
      <t>カイケイ</t>
    </rPh>
    <rPh sb="4" eb="7">
      <t>フタンキン</t>
    </rPh>
    <phoneticPr fontId="28"/>
  </si>
  <si>
    <t>雨水処理負担金</t>
    <rPh sb="0" eb="2">
      <t>ウスイ</t>
    </rPh>
    <rPh sb="2" eb="4">
      <t>ショリ</t>
    </rPh>
    <rPh sb="4" eb="7">
      <t>フタンキン</t>
    </rPh>
    <phoneticPr fontId="28"/>
  </si>
  <si>
    <t>水質指導費負担金</t>
    <rPh sb="0" eb="2">
      <t>スイシツ</t>
    </rPh>
    <rPh sb="2" eb="4">
      <t>シドウ</t>
    </rPh>
    <rPh sb="4" eb="5">
      <t>ヒ</t>
    </rPh>
    <rPh sb="5" eb="8">
      <t>フタンキン</t>
    </rPh>
    <phoneticPr fontId="28"/>
  </si>
  <si>
    <t>普及促進費負担金</t>
    <rPh sb="0" eb="2">
      <t>フキュウ</t>
    </rPh>
    <rPh sb="2" eb="4">
      <t>ソクシン</t>
    </rPh>
    <rPh sb="4" eb="5">
      <t>ヒ</t>
    </rPh>
    <rPh sb="5" eb="8">
      <t>フタンキン</t>
    </rPh>
    <phoneticPr fontId="28"/>
  </si>
  <si>
    <t>貸付事業費負担金</t>
    <rPh sb="0" eb="2">
      <t>カシツケ</t>
    </rPh>
    <rPh sb="2" eb="5">
      <t>ジギョウヒ</t>
    </rPh>
    <rPh sb="5" eb="8">
      <t>フタンキン</t>
    </rPh>
    <phoneticPr fontId="28"/>
  </si>
  <si>
    <t>高資本費対策費負担金</t>
    <rPh sb="0" eb="3">
      <t>コウシホン</t>
    </rPh>
    <rPh sb="3" eb="4">
      <t>ヒ</t>
    </rPh>
    <rPh sb="4" eb="7">
      <t>タイサクヒ</t>
    </rPh>
    <rPh sb="7" eb="10">
      <t>フタンキン</t>
    </rPh>
    <phoneticPr fontId="28"/>
  </si>
  <si>
    <t>その他営業収益</t>
    <rPh sb="0" eb="3">
      <t>ソノタ</t>
    </rPh>
    <rPh sb="3" eb="5">
      <t>エイギョウ</t>
    </rPh>
    <rPh sb="5" eb="7">
      <t>シュウエキ</t>
    </rPh>
    <phoneticPr fontId="28"/>
  </si>
  <si>
    <t>営業外収益</t>
    <rPh sb="0" eb="3">
      <t>エイギョウガイ</t>
    </rPh>
    <rPh sb="3" eb="5">
      <t>シュウエキ</t>
    </rPh>
    <phoneticPr fontId="28"/>
  </si>
  <si>
    <t>受取利息</t>
    <rPh sb="0" eb="2">
      <t>ウケトリ</t>
    </rPh>
    <rPh sb="2" eb="4">
      <t>リソク</t>
    </rPh>
    <phoneticPr fontId="28"/>
  </si>
  <si>
    <t>負担金</t>
    <rPh sb="0" eb="3">
      <t>フタンキン</t>
    </rPh>
    <phoneticPr fontId="28"/>
  </si>
  <si>
    <t>一般会計補助金</t>
    <rPh sb="0" eb="2">
      <t>イッパン</t>
    </rPh>
    <rPh sb="2" eb="4">
      <t>カイケイ</t>
    </rPh>
    <rPh sb="4" eb="7">
      <t>ホジョキン</t>
    </rPh>
    <phoneticPr fontId="28"/>
  </si>
  <si>
    <t>消費税還付金</t>
    <rPh sb="0" eb="3">
      <t>ショウヒゼイ</t>
    </rPh>
    <rPh sb="3" eb="6">
      <t>カンプキン</t>
    </rPh>
    <phoneticPr fontId="28"/>
  </si>
  <si>
    <t>雑収益</t>
    <rPh sb="0" eb="1">
      <t>ザツ</t>
    </rPh>
    <rPh sb="1" eb="3">
      <t>シュウエキ</t>
    </rPh>
    <phoneticPr fontId="28"/>
  </si>
  <si>
    <t>長期前受金戻入</t>
    <rPh sb="0" eb="2">
      <t>チョウキ</t>
    </rPh>
    <rPh sb="2" eb="5">
      <t>マエウケキン</t>
    </rPh>
    <rPh sb="5" eb="7">
      <t>レイニュウ</t>
    </rPh>
    <phoneticPr fontId="28"/>
  </si>
  <si>
    <t>特別利益</t>
    <rPh sb="0" eb="2">
      <t>トクベツ</t>
    </rPh>
    <rPh sb="2" eb="4">
      <t>リエキ</t>
    </rPh>
    <phoneticPr fontId="28"/>
  </si>
  <si>
    <t>固定資産売却収益</t>
    <rPh sb="0" eb="4">
      <t>コテイシサン</t>
    </rPh>
    <rPh sb="4" eb="6">
      <t>バイキャク</t>
    </rPh>
    <rPh sb="6" eb="8">
      <t>シュウエキ</t>
    </rPh>
    <phoneticPr fontId="28"/>
  </si>
  <si>
    <t>過年度損益修正益</t>
    <rPh sb="0" eb="3">
      <t>カネンド</t>
    </rPh>
    <rPh sb="3" eb="5">
      <t>ソンエキ</t>
    </rPh>
    <rPh sb="5" eb="7">
      <t>シュウセイ</t>
    </rPh>
    <rPh sb="7" eb="8">
      <t>エキ</t>
    </rPh>
    <phoneticPr fontId="28"/>
  </si>
  <si>
    <t>長期前受金戻入益</t>
    <rPh sb="0" eb="2">
      <t>チョウキ</t>
    </rPh>
    <rPh sb="2" eb="5">
      <t>マエウケキン</t>
    </rPh>
    <rPh sb="5" eb="7">
      <t>レイニュウ</t>
    </rPh>
    <rPh sb="7" eb="8">
      <t>エキ</t>
    </rPh>
    <phoneticPr fontId="28"/>
  </si>
  <si>
    <t>その他特別利益</t>
    <rPh sb="2" eb="3">
      <t>タ</t>
    </rPh>
    <rPh sb="3" eb="5">
      <t>トクベツ</t>
    </rPh>
    <rPh sb="5" eb="7">
      <t>リエキ</t>
    </rPh>
    <phoneticPr fontId="28"/>
  </si>
  <si>
    <t>一般会計負担金・補助金合計</t>
    <rPh sb="0" eb="2">
      <t>イッパン</t>
    </rPh>
    <rPh sb="2" eb="4">
      <t>カイケイ</t>
    </rPh>
    <rPh sb="4" eb="7">
      <t>フタンキン</t>
    </rPh>
    <rPh sb="8" eb="11">
      <t>ホジョキン</t>
    </rPh>
    <rPh sb="11" eb="13">
      <t>ゴウケイ</t>
    </rPh>
    <phoneticPr fontId="28"/>
  </si>
  <si>
    <t>支 出</t>
    <rPh sb="0" eb="3">
      <t>シシュツ</t>
    </rPh>
    <phoneticPr fontId="28"/>
  </si>
  <si>
    <t>下 水 道 事 業 費 用</t>
    <rPh sb="0" eb="5">
      <t>ゲスイドウ</t>
    </rPh>
    <rPh sb="6" eb="9">
      <t>ジギョウ</t>
    </rPh>
    <rPh sb="10" eb="13">
      <t>ヒヨウ</t>
    </rPh>
    <phoneticPr fontId="28"/>
  </si>
  <si>
    <t>営業費用</t>
    <rPh sb="0" eb="2">
      <t>エイギョウ</t>
    </rPh>
    <rPh sb="2" eb="4">
      <t>ヒヨウ</t>
    </rPh>
    <phoneticPr fontId="28"/>
  </si>
  <si>
    <t>管きょ費</t>
    <rPh sb="0" eb="1">
      <t>カン</t>
    </rPh>
    <rPh sb="3" eb="4">
      <t>ヒ</t>
    </rPh>
    <phoneticPr fontId="28"/>
  </si>
  <si>
    <t>水質指導費</t>
    <rPh sb="0" eb="2">
      <t>スイシツ</t>
    </rPh>
    <rPh sb="2" eb="5">
      <t>シドウヒ</t>
    </rPh>
    <phoneticPr fontId="28"/>
  </si>
  <si>
    <t>ポンプ場費</t>
    <rPh sb="0" eb="4">
      <t>ポンプジョウ</t>
    </rPh>
    <rPh sb="4" eb="5">
      <t>ヒ</t>
    </rPh>
    <phoneticPr fontId="28"/>
  </si>
  <si>
    <t>処理場費</t>
    <rPh sb="0" eb="3">
      <t>ショリジョウ</t>
    </rPh>
    <rPh sb="3" eb="4">
      <t>ヒ</t>
    </rPh>
    <phoneticPr fontId="28"/>
  </si>
  <si>
    <t>普及促進費</t>
    <rPh sb="0" eb="2">
      <t>フキュウ</t>
    </rPh>
    <rPh sb="2" eb="4">
      <t>ソクシン</t>
    </rPh>
    <rPh sb="4" eb="5">
      <t>ヒ</t>
    </rPh>
    <phoneticPr fontId="28"/>
  </si>
  <si>
    <t>水洗化貸付事業費</t>
    <rPh sb="0" eb="3">
      <t>スイセンカ</t>
    </rPh>
    <rPh sb="3" eb="5">
      <t>カシツケ</t>
    </rPh>
    <rPh sb="5" eb="8">
      <t>ジギョウヒ</t>
    </rPh>
    <phoneticPr fontId="28"/>
  </si>
  <si>
    <t>業務費</t>
    <rPh sb="0" eb="3">
      <t>ギョウムヒ</t>
    </rPh>
    <phoneticPr fontId="28"/>
  </si>
  <si>
    <t>総係費</t>
    <rPh sb="0" eb="1">
      <t>ソウ</t>
    </rPh>
    <rPh sb="1" eb="2">
      <t>カカリ</t>
    </rPh>
    <rPh sb="2" eb="3">
      <t>ヒ</t>
    </rPh>
    <phoneticPr fontId="28"/>
  </si>
  <si>
    <t>特環公共下水道費</t>
    <rPh sb="0" eb="1">
      <t>トク</t>
    </rPh>
    <rPh sb="1" eb="2">
      <t>カン</t>
    </rPh>
    <rPh sb="2" eb="4">
      <t>コウキョウ</t>
    </rPh>
    <rPh sb="4" eb="7">
      <t>ゲスイドウ</t>
    </rPh>
    <rPh sb="7" eb="8">
      <t>ヒ</t>
    </rPh>
    <phoneticPr fontId="28"/>
  </si>
  <si>
    <t>農業集落排水費</t>
    <rPh sb="0" eb="2">
      <t>ノウギョウ</t>
    </rPh>
    <rPh sb="2" eb="4">
      <t>シュウラク</t>
    </rPh>
    <rPh sb="4" eb="7">
      <t>ハイスイヒ</t>
    </rPh>
    <phoneticPr fontId="28"/>
  </si>
  <si>
    <t>浄化槽費</t>
    <rPh sb="0" eb="3">
      <t>ジョウカソウ</t>
    </rPh>
    <rPh sb="3" eb="4">
      <t>ヒ</t>
    </rPh>
    <phoneticPr fontId="28"/>
  </si>
  <si>
    <t>減価償却費</t>
    <rPh sb="0" eb="2">
      <t>ゲンカ</t>
    </rPh>
    <rPh sb="2" eb="5">
      <t>ショウキャクヒ</t>
    </rPh>
    <phoneticPr fontId="28"/>
  </si>
  <si>
    <t>資産減耗費</t>
    <rPh sb="0" eb="2">
      <t>シサン</t>
    </rPh>
    <rPh sb="2" eb="5">
      <t>ゲンモウヒ</t>
    </rPh>
    <phoneticPr fontId="28"/>
  </si>
  <si>
    <t>営業外費用</t>
    <rPh sb="0" eb="3">
      <t>エイギョウガイ</t>
    </rPh>
    <rPh sb="3" eb="5">
      <t>ヒヨウ</t>
    </rPh>
    <phoneticPr fontId="28"/>
  </si>
  <si>
    <t>支払利息及び企業債取扱諸費</t>
    <rPh sb="0" eb="2">
      <t>シハライ</t>
    </rPh>
    <rPh sb="2" eb="4">
      <t>リソク</t>
    </rPh>
    <rPh sb="4" eb="5">
      <t>オヨ</t>
    </rPh>
    <rPh sb="6" eb="9">
      <t>キギョウサイ</t>
    </rPh>
    <rPh sb="9" eb="11">
      <t>トリアツカイ</t>
    </rPh>
    <rPh sb="11" eb="13">
      <t>ショヒ</t>
    </rPh>
    <phoneticPr fontId="28"/>
  </si>
  <si>
    <t>消費税及び地方消費税</t>
    <rPh sb="0" eb="3">
      <t>ショウヒゼイ</t>
    </rPh>
    <rPh sb="3" eb="4">
      <t>オヨ</t>
    </rPh>
    <rPh sb="5" eb="7">
      <t>チホウ</t>
    </rPh>
    <rPh sb="7" eb="10">
      <t>ショウヒゼイ</t>
    </rPh>
    <phoneticPr fontId="28"/>
  </si>
  <si>
    <t>雑支出</t>
    <rPh sb="0" eb="1">
      <t>ザツ</t>
    </rPh>
    <rPh sb="1" eb="3">
      <t>シシュツ</t>
    </rPh>
    <phoneticPr fontId="28"/>
  </si>
  <si>
    <t>特別損失</t>
    <rPh sb="0" eb="2">
      <t>トクベツ</t>
    </rPh>
    <rPh sb="2" eb="4">
      <t>ソンシツ</t>
    </rPh>
    <phoneticPr fontId="28"/>
  </si>
  <si>
    <t>固定資産売却損</t>
    <rPh sb="0" eb="2">
      <t>コテイ</t>
    </rPh>
    <rPh sb="2" eb="4">
      <t>シサン</t>
    </rPh>
    <rPh sb="4" eb="6">
      <t>バイキャク</t>
    </rPh>
    <rPh sb="6" eb="7">
      <t>ソン</t>
    </rPh>
    <phoneticPr fontId="28"/>
  </si>
  <si>
    <t>過年度損益修正損</t>
    <rPh sb="0" eb="3">
      <t>カネンド</t>
    </rPh>
    <rPh sb="3" eb="5">
      <t>ソンエキ</t>
    </rPh>
    <rPh sb="5" eb="7">
      <t>シュウセイ</t>
    </rPh>
    <rPh sb="7" eb="8">
      <t>ソン</t>
    </rPh>
    <phoneticPr fontId="28"/>
  </si>
  <si>
    <t>減損損失</t>
    <rPh sb="0" eb="2">
      <t>ゲンソン</t>
    </rPh>
    <rPh sb="2" eb="4">
      <t>ソンシツ</t>
    </rPh>
    <phoneticPr fontId="28"/>
  </si>
  <si>
    <t>その他特別損失</t>
    <rPh sb="0" eb="3">
      <t>ソノタ</t>
    </rPh>
    <rPh sb="3" eb="5">
      <t>トクベツ</t>
    </rPh>
    <rPh sb="5" eb="7">
      <t>ソンシツ</t>
    </rPh>
    <phoneticPr fontId="28"/>
  </si>
  <si>
    <t>予備費</t>
    <rPh sb="0" eb="3">
      <t>ヨビヒ</t>
    </rPh>
    <phoneticPr fontId="28"/>
  </si>
  <si>
    <t>収支差引</t>
    <rPh sb="0" eb="2">
      <t>シュウシ</t>
    </rPh>
    <rPh sb="2" eb="4">
      <t>サシヒキ</t>
    </rPh>
    <phoneticPr fontId="3"/>
  </si>
  <si>
    <t>当年度補てん財源分</t>
    <rPh sb="0" eb="3">
      <t>トウネンド</t>
    </rPh>
    <rPh sb="3" eb="4">
      <t>ホ</t>
    </rPh>
    <rPh sb="6" eb="8">
      <t>ザイゲン</t>
    </rPh>
    <rPh sb="8" eb="9">
      <t>ブン</t>
    </rPh>
    <phoneticPr fontId="28"/>
  </si>
  <si>
    <t>翌年度補てん財源分</t>
    <rPh sb="0" eb="3">
      <t>ヨクネンド</t>
    </rPh>
    <rPh sb="3" eb="4">
      <t>ホ</t>
    </rPh>
    <rPh sb="6" eb="8">
      <t>ザイゲン</t>
    </rPh>
    <rPh sb="8" eb="9">
      <t>ブン</t>
    </rPh>
    <phoneticPr fontId="28"/>
  </si>
  <si>
    <t>各項目 合計 →</t>
    <rPh sb="0" eb="1">
      <t>カク</t>
    </rPh>
    <rPh sb="1" eb="3">
      <t>コウモク</t>
    </rPh>
    <rPh sb="4" eb="6">
      <t>ゴウケイ</t>
    </rPh>
    <phoneticPr fontId="3"/>
  </si>
  <si>
    <t>↓端数調整</t>
    <phoneticPr fontId="3"/>
  </si>
  <si>
    <t>平成２１年度</t>
    <phoneticPr fontId="28"/>
  </si>
  <si>
    <t>財政収支計画
（参考）</t>
    <rPh sb="0" eb="2">
      <t>ザイセイ</t>
    </rPh>
    <rPh sb="2" eb="4">
      <t>シュウシ</t>
    </rPh>
    <rPh sb="4" eb="6">
      <t>ケイカク</t>
    </rPh>
    <phoneticPr fontId="28"/>
  </si>
  <si>
    <t>議決予算額
（補正後）
（a）</t>
    <rPh sb="0" eb="2">
      <t>ギケツ</t>
    </rPh>
    <rPh sb="2" eb="5">
      <t>ヨサンガク</t>
    </rPh>
    <rPh sb="7" eb="9">
      <t>ホセイ</t>
    </rPh>
    <rPh sb="9" eb="10">
      <t>ゴ</t>
    </rPh>
    <phoneticPr fontId="28"/>
  </si>
  <si>
    <t>決算　　　　（c）</t>
    <rPh sb="0" eb="2">
      <t>ケッサン</t>
    </rPh>
    <phoneticPr fontId="28"/>
  </si>
  <si>
    <t>資本的収入</t>
    <rPh sb="0" eb="3">
      <t>シホンテキ</t>
    </rPh>
    <rPh sb="3" eb="5">
      <t>シュウニュウ</t>
    </rPh>
    <phoneticPr fontId="28"/>
  </si>
  <si>
    <t>企業債</t>
    <rPh sb="0" eb="3">
      <t>キギョウサイ</t>
    </rPh>
    <phoneticPr fontId="28"/>
  </si>
  <si>
    <t>建設企業債</t>
    <rPh sb="0" eb="2">
      <t>ケンセツ</t>
    </rPh>
    <rPh sb="2" eb="5">
      <t>キギョウサイ</t>
    </rPh>
    <phoneticPr fontId="28"/>
  </si>
  <si>
    <t>公共下水道事業債</t>
    <rPh sb="0" eb="2">
      <t>コウキョウ</t>
    </rPh>
    <rPh sb="2" eb="5">
      <t>ゲスイドウ</t>
    </rPh>
    <rPh sb="5" eb="8">
      <t>ジギョウサイ</t>
    </rPh>
    <phoneticPr fontId="28"/>
  </si>
  <si>
    <t>流域下水道事業債</t>
    <rPh sb="0" eb="2">
      <t>リュウイキ</t>
    </rPh>
    <rPh sb="2" eb="5">
      <t>ゲスイドウ</t>
    </rPh>
    <rPh sb="5" eb="8">
      <t>ジギョウサイ</t>
    </rPh>
    <phoneticPr fontId="28"/>
  </si>
  <si>
    <t>資本費平準化債（通常分）</t>
    <rPh sb="0" eb="3">
      <t>シホンヒ</t>
    </rPh>
    <rPh sb="3" eb="6">
      <t>ヘイジュンカ</t>
    </rPh>
    <rPh sb="6" eb="7">
      <t>サイ</t>
    </rPh>
    <rPh sb="8" eb="10">
      <t>ツウジョウ</t>
    </rPh>
    <rPh sb="10" eb="11">
      <t>ブン</t>
    </rPh>
    <phoneticPr fontId="28"/>
  </si>
  <si>
    <t>資本費平準化債（拡大分）</t>
    <rPh sb="0" eb="3">
      <t>シホンヒ</t>
    </rPh>
    <rPh sb="3" eb="6">
      <t>ヘイジュンカ</t>
    </rPh>
    <rPh sb="6" eb="7">
      <t>サイ</t>
    </rPh>
    <rPh sb="8" eb="10">
      <t>カクダイ</t>
    </rPh>
    <rPh sb="10" eb="11">
      <t>ブン</t>
    </rPh>
    <phoneticPr fontId="28"/>
  </si>
  <si>
    <t>市街化区域外汚水処理施設事業債</t>
    <rPh sb="0" eb="3">
      <t>シガイカ</t>
    </rPh>
    <rPh sb="3" eb="6">
      <t>クイキガイ</t>
    </rPh>
    <rPh sb="6" eb="8">
      <t>オスイ</t>
    </rPh>
    <rPh sb="8" eb="10">
      <t>ショリ</t>
    </rPh>
    <rPh sb="10" eb="12">
      <t>シセツ</t>
    </rPh>
    <rPh sb="12" eb="14">
      <t>ジギョウ</t>
    </rPh>
    <rPh sb="14" eb="15">
      <t>サイ</t>
    </rPh>
    <phoneticPr fontId="28"/>
  </si>
  <si>
    <t>借換債</t>
    <rPh sb="0" eb="2">
      <t>カリカエ</t>
    </rPh>
    <rPh sb="2" eb="3">
      <t>サイ</t>
    </rPh>
    <phoneticPr fontId="28"/>
  </si>
  <si>
    <t>出資債</t>
    <rPh sb="0" eb="2">
      <t>シュッシ</t>
    </rPh>
    <rPh sb="2" eb="3">
      <t>サイ</t>
    </rPh>
    <phoneticPr fontId="28"/>
  </si>
  <si>
    <t>一般会計出資金</t>
    <rPh sb="0" eb="2">
      <t>イッパン</t>
    </rPh>
    <rPh sb="2" eb="4">
      <t>カイケイ</t>
    </rPh>
    <rPh sb="4" eb="7">
      <t>シュッシキン</t>
    </rPh>
    <phoneticPr fontId="28"/>
  </si>
  <si>
    <t>国庫補助金</t>
    <rPh sb="0" eb="2">
      <t>コッコ</t>
    </rPh>
    <rPh sb="2" eb="5">
      <t>ホジョキン</t>
    </rPh>
    <phoneticPr fontId="28"/>
  </si>
  <si>
    <t>県補助金</t>
    <rPh sb="0" eb="1">
      <t>ケン</t>
    </rPh>
    <rPh sb="1" eb="4">
      <t>ホジョキン</t>
    </rPh>
    <phoneticPr fontId="28"/>
  </si>
  <si>
    <t>工事受託金</t>
    <rPh sb="0" eb="2">
      <t>コウジ</t>
    </rPh>
    <rPh sb="2" eb="4">
      <t>ジュタク</t>
    </rPh>
    <rPh sb="4" eb="5">
      <t>キン</t>
    </rPh>
    <phoneticPr fontId="28"/>
  </si>
  <si>
    <t>受益者負担金</t>
    <rPh sb="0" eb="3">
      <t>ジュエキシャ</t>
    </rPh>
    <rPh sb="3" eb="6">
      <t>フタンキン</t>
    </rPh>
    <phoneticPr fontId="28"/>
  </si>
  <si>
    <t>受益者分担金</t>
    <rPh sb="0" eb="3">
      <t>ジュエキシャ</t>
    </rPh>
    <rPh sb="3" eb="6">
      <t>ブンタンキン</t>
    </rPh>
    <phoneticPr fontId="28"/>
  </si>
  <si>
    <t>工事負担金</t>
    <rPh sb="0" eb="2">
      <t>コウジ</t>
    </rPh>
    <rPh sb="2" eb="5">
      <t>フタンキン</t>
    </rPh>
    <phoneticPr fontId="28"/>
  </si>
  <si>
    <t>他会計負担金</t>
    <rPh sb="0" eb="3">
      <t>タカイケイ</t>
    </rPh>
    <rPh sb="3" eb="6">
      <t>フタンキン</t>
    </rPh>
    <phoneticPr fontId="28"/>
  </si>
  <si>
    <t>水洗化貸付事業収入</t>
    <rPh sb="0" eb="3">
      <t>スイセンカ</t>
    </rPh>
    <rPh sb="3" eb="5">
      <t>カシツケ</t>
    </rPh>
    <rPh sb="5" eb="7">
      <t>ジギョウ</t>
    </rPh>
    <rPh sb="7" eb="9">
      <t>シュウニュウ</t>
    </rPh>
    <phoneticPr fontId="28"/>
  </si>
  <si>
    <t>貸付企業債</t>
    <rPh sb="0" eb="2">
      <t>カシツケ</t>
    </rPh>
    <rPh sb="2" eb="5">
      <t>キギョウサイ</t>
    </rPh>
    <phoneticPr fontId="28"/>
  </si>
  <si>
    <t>一般会計借入金</t>
    <rPh sb="0" eb="2">
      <t>イッパン</t>
    </rPh>
    <rPh sb="2" eb="4">
      <t>カイケイ</t>
    </rPh>
    <rPh sb="4" eb="7">
      <t>カリイレキン</t>
    </rPh>
    <phoneticPr fontId="28"/>
  </si>
  <si>
    <t>貸付金回収金</t>
    <rPh sb="0" eb="3">
      <t>カシツケキン</t>
    </rPh>
    <rPh sb="3" eb="6">
      <t>カイシュウキン</t>
    </rPh>
    <phoneticPr fontId="28"/>
  </si>
  <si>
    <t>水洗便所改造資金貸付金回収金</t>
    <rPh sb="0" eb="2">
      <t>スイセン</t>
    </rPh>
    <rPh sb="2" eb="4">
      <t>ベンジョ</t>
    </rPh>
    <rPh sb="4" eb="6">
      <t>カイゾウ</t>
    </rPh>
    <rPh sb="6" eb="8">
      <t>シキン</t>
    </rPh>
    <rPh sb="8" eb="11">
      <t>カシツケキン</t>
    </rPh>
    <rPh sb="11" eb="14">
      <t>カイシュウキン</t>
    </rPh>
    <phoneticPr fontId="28"/>
  </si>
  <si>
    <t>し尿浄化槽廃止資金貸付金回収金</t>
    <rPh sb="0" eb="2">
      <t>シニョウ</t>
    </rPh>
    <rPh sb="2" eb="5">
      <t>ジョウカソウ</t>
    </rPh>
    <rPh sb="5" eb="7">
      <t>ハイシ</t>
    </rPh>
    <rPh sb="7" eb="9">
      <t>シキン</t>
    </rPh>
    <rPh sb="9" eb="12">
      <t>カシツケキン</t>
    </rPh>
    <rPh sb="12" eb="15">
      <t>カイシュウキン</t>
    </rPh>
    <phoneticPr fontId="28"/>
  </si>
  <si>
    <t>排水設備改修資金貸付金回収金</t>
    <rPh sb="0" eb="2">
      <t>ハイスイ</t>
    </rPh>
    <rPh sb="2" eb="4">
      <t>セツビ</t>
    </rPh>
    <rPh sb="4" eb="6">
      <t>カイシュウ</t>
    </rPh>
    <rPh sb="6" eb="8">
      <t>シキン</t>
    </rPh>
    <rPh sb="8" eb="11">
      <t>カシツケキン</t>
    </rPh>
    <rPh sb="11" eb="14">
      <t>カイシュウキン</t>
    </rPh>
    <phoneticPr fontId="28"/>
  </si>
  <si>
    <t>固定資産売却代金</t>
    <rPh sb="0" eb="4">
      <t>コテイシサン</t>
    </rPh>
    <rPh sb="4" eb="6">
      <t>バイキャク</t>
    </rPh>
    <rPh sb="6" eb="8">
      <t>ダイキン</t>
    </rPh>
    <phoneticPr fontId="28"/>
  </si>
  <si>
    <t>その他資本的収入</t>
    <rPh sb="2" eb="3">
      <t>タ</t>
    </rPh>
    <rPh sb="3" eb="6">
      <t>シホンテキ</t>
    </rPh>
    <rPh sb="6" eb="8">
      <t>シュウニュウ</t>
    </rPh>
    <phoneticPr fontId="28"/>
  </si>
  <si>
    <t>一般会計出資金・借入金合計</t>
    <rPh sb="0" eb="2">
      <t>イッパン</t>
    </rPh>
    <rPh sb="2" eb="4">
      <t>カイケイ</t>
    </rPh>
    <rPh sb="4" eb="6">
      <t>シュッシ</t>
    </rPh>
    <rPh sb="6" eb="7">
      <t>フタンキン</t>
    </rPh>
    <rPh sb="8" eb="11">
      <t>カリイレキン</t>
    </rPh>
    <rPh sb="11" eb="13">
      <t>ゴウケイ</t>
    </rPh>
    <phoneticPr fontId="28"/>
  </si>
  <si>
    <t>資 本 的 支 出</t>
    <rPh sb="0" eb="5">
      <t>シホンテキ</t>
    </rPh>
    <rPh sb="6" eb="9">
      <t>シシュツ</t>
    </rPh>
    <phoneticPr fontId="28"/>
  </si>
  <si>
    <t>建設改良費</t>
    <rPh sb="0" eb="2">
      <t>ケンセツ</t>
    </rPh>
    <rPh sb="2" eb="5">
      <t>カイリョウヒ</t>
    </rPh>
    <phoneticPr fontId="28"/>
  </si>
  <si>
    <t>公共下水道整備費</t>
    <rPh sb="0" eb="2">
      <t>コウキョウ</t>
    </rPh>
    <rPh sb="2" eb="5">
      <t>ゲスイドウ</t>
    </rPh>
    <rPh sb="5" eb="8">
      <t>セイビヒ</t>
    </rPh>
    <phoneticPr fontId="28"/>
  </si>
  <si>
    <t>（認 　証 　分）</t>
    <rPh sb="1" eb="5">
      <t>ニンショウ</t>
    </rPh>
    <rPh sb="7" eb="8">
      <t>ブン</t>
    </rPh>
    <phoneticPr fontId="28"/>
  </si>
  <si>
    <t>（単 　独 　分）</t>
    <rPh sb="1" eb="5">
      <t>タンドク</t>
    </rPh>
    <rPh sb="7" eb="8">
      <t>ブン</t>
    </rPh>
    <phoneticPr fontId="28"/>
  </si>
  <si>
    <t>（継足人件費）</t>
    <rPh sb="1" eb="3">
      <t>ツギタ</t>
    </rPh>
    <rPh sb="3" eb="6">
      <t>ジンケンヒ</t>
    </rPh>
    <phoneticPr fontId="28"/>
  </si>
  <si>
    <t>管きょ整備</t>
  </si>
  <si>
    <t>ポンプ場整備</t>
  </si>
  <si>
    <t>処理場整備</t>
  </si>
  <si>
    <t>浸水対策</t>
  </si>
  <si>
    <t>その他</t>
    <rPh sb="0" eb="3">
      <t>ソノタ</t>
    </rPh>
    <phoneticPr fontId="28"/>
  </si>
  <si>
    <t>受益者負担金業務費</t>
  </si>
  <si>
    <t>排水設備整備費</t>
  </si>
  <si>
    <t>都市下水路整備費</t>
  </si>
  <si>
    <t>流域下水道整備費</t>
  </si>
  <si>
    <t>諸設備新設改良費</t>
  </si>
  <si>
    <t>建設利息</t>
  </si>
  <si>
    <t>市街化区域外汚水処理施設整備費</t>
    <rPh sb="12" eb="15">
      <t>セイビヒ</t>
    </rPh>
    <phoneticPr fontId="28"/>
  </si>
  <si>
    <t>償還金</t>
  </si>
  <si>
    <t>水洗化貸付事業費</t>
  </si>
  <si>
    <t>貸付金</t>
  </si>
  <si>
    <t>水洗便所改造資金貸付金</t>
    <rPh sb="0" eb="2">
      <t>スイセン</t>
    </rPh>
    <rPh sb="2" eb="4">
      <t>ベンジョ</t>
    </rPh>
    <rPh sb="4" eb="6">
      <t>カイゾウ</t>
    </rPh>
    <rPh sb="6" eb="8">
      <t>シキン</t>
    </rPh>
    <rPh sb="8" eb="11">
      <t>カシツケキン</t>
    </rPh>
    <phoneticPr fontId="28"/>
  </si>
  <si>
    <t>し尿浄化槽廃止資金貸付金</t>
    <rPh sb="0" eb="2">
      <t>シニョウ</t>
    </rPh>
    <rPh sb="2" eb="5">
      <t>ジョウカソウ</t>
    </rPh>
    <rPh sb="5" eb="7">
      <t>ハイシ</t>
    </rPh>
    <rPh sb="7" eb="9">
      <t>シキン</t>
    </rPh>
    <rPh sb="9" eb="12">
      <t>カシツケキン</t>
    </rPh>
    <phoneticPr fontId="28"/>
  </si>
  <si>
    <t>排水設備改修資金貸付金</t>
    <rPh sb="0" eb="2">
      <t>ハイスイ</t>
    </rPh>
    <rPh sb="2" eb="4">
      <t>セツビ</t>
    </rPh>
    <rPh sb="4" eb="6">
      <t>カイシュウ</t>
    </rPh>
    <rPh sb="6" eb="8">
      <t>シキン</t>
    </rPh>
    <rPh sb="8" eb="11">
      <t>カシツケキン</t>
    </rPh>
    <phoneticPr fontId="28"/>
  </si>
  <si>
    <t>出資金</t>
    <rPh sb="0" eb="3">
      <t>シュッシキン</t>
    </rPh>
    <phoneticPr fontId="28"/>
  </si>
  <si>
    <t>返還金</t>
    <rPh sb="0" eb="3">
      <t>ヘンカンキン</t>
    </rPh>
    <phoneticPr fontId="28"/>
  </si>
  <si>
    <t>差　　　　　　　　　　引</t>
    <rPh sb="0" eb="12">
      <t>サシヒキ</t>
    </rPh>
    <phoneticPr fontId="28"/>
  </si>
  <si>
    <t>前年度財源充当額</t>
    <rPh sb="0" eb="3">
      <t>ゼンネンド</t>
    </rPh>
    <rPh sb="3" eb="5">
      <t>ザイゲン</t>
    </rPh>
    <rPh sb="5" eb="7">
      <t>ジュウトウ</t>
    </rPh>
    <rPh sb="7" eb="8">
      <t>ガク</t>
    </rPh>
    <phoneticPr fontId="28"/>
  </si>
  <si>
    <t>財源不足額</t>
    <rPh sb="0" eb="2">
      <t>ザイゲン</t>
    </rPh>
    <rPh sb="2" eb="4">
      <t>フソク</t>
    </rPh>
    <rPh sb="4" eb="5">
      <t>ガク</t>
    </rPh>
    <phoneticPr fontId="28"/>
  </si>
  <si>
    <t>補てん財源</t>
    <rPh sb="0" eb="1">
      <t>ホ</t>
    </rPh>
    <rPh sb="3" eb="5">
      <t>ザイゲン</t>
    </rPh>
    <phoneticPr fontId="28"/>
  </si>
  <si>
    <t>当年度分損益勘定留保資金</t>
    <rPh sb="0" eb="3">
      <t>トウネンド</t>
    </rPh>
    <rPh sb="3" eb="4">
      <t>ブン</t>
    </rPh>
    <rPh sb="4" eb="6">
      <t>ソンエキ</t>
    </rPh>
    <rPh sb="6" eb="8">
      <t>カンジョウ</t>
    </rPh>
    <rPh sb="8" eb="10">
      <t>リュウホ</t>
    </rPh>
    <rPh sb="10" eb="12">
      <t>シキン</t>
    </rPh>
    <phoneticPr fontId="28"/>
  </si>
  <si>
    <t>減損損失</t>
    <rPh sb="0" eb="2">
      <t>ゲンソン</t>
    </rPh>
    <rPh sb="2" eb="4">
      <t>ソンシツ</t>
    </rPh>
    <phoneticPr fontId="32"/>
  </si>
  <si>
    <t>過年度損益修正損</t>
    <phoneticPr fontId="32"/>
  </si>
  <si>
    <t>企業債発行差金</t>
    <rPh sb="0" eb="3">
      <t>キギョウサイ</t>
    </rPh>
    <rPh sb="3" eb="5">
      <t>ハッコウ</t>
    </rPh>
    <rPh sb="5" eb="7">
      <t>サキン</t>
    </rPh>
    <phoneticPr fontId="28"/>
  </si>
  <si>
    <t>過年度分消費税資本的収支調整額</t>
    <rPh sb="0" eb="3">
      <t>カネンド</t>
    </rPh>
    <rPh sb="3" eb="4">
      <t>ブン</t>
    </rPh>
    <rPh sb="4" eb="7">
      <t>ショウヒゼイ</t>
    </rPh>
    <rPh sb="7" eb="10">
      <t>シホンテキ</t>
    </rPh>
    <rPh sb="10" eb="12">
      <t>シュウシ</t>
    </rPh>
    <rPh sb="12" eb="15">
      <t>チョウセイガク</t>
    </rPh>
    <phoneticPr fontId="28"/>
  </si>
  <si>
    <t>当年度分消費税資本的収支調整額</t>
    <rPh sb="0" eb="3">
      <t>トウネンド</t>
    </rPh>
    <rPh sb="3" eb="4">
      <t>ブン</t>
    </rPh>
    <rPh sb="4" eb="7">
      <t>ショウヒゼイ</t>
    </rPh>
    <rPh sb="7" eb="10">
      <t>シホンテキ</t>
    </rPh>
    <rPh sb="10" eb="12">
      <t>シュウシ</t>
    </rPh>
    <rPh sb="12" eb="15">
      <t>チョウセイガク</t>
    </rPh>
    <phoneticPr fontId="28"/>
  </si>
  <si>
    <t>減債積立金</t>
    <rPh sb="0" eb="2">
      <t>ゲンサイ</t>
    </rPh>
    <rPh sb="2" eb="4">
      <t>ツミタテ</t>
    </rPh>
    <rPh sb="4" eb="5">
      <t>キン</t>
    </rPh>
    <phoneticPr fontId="32"/>
  </si>
  <si>
    <t>繰越工事資金</t>
    <rPh sb="0" eb="2">
      <t>クリコシ</t>
    </rPh>
    <rPh sb="2" eb="4">
      <t>コウジ</t>
    </rPh>
    <rPh sb="4" eb="6">
      <t>シキン</t>
    </rPh>
    <phoneticPr fontId="28"/>
  </si>
  <si>
    <t>予算規模</t>
    <rPh sb="0" eb="2">
      <t>ヨサン</t>
    </rPh>
    <rPh sb="2" eb="4">
      <t>キボ</t>
    </rPh>
    <phoneticPr fontId="28"/>
  </si>
  <si>
    <t>繰入金合計</t>
    <rPh sb="0" eb="3">
      <t>クリイレキン</t>
    </rPh>
    <rPh sb="3" eb="5">
      <t>ゴウケイ</t>
    </rPh>
    <phoneticPr fontId="28"/>
  </si>
  <si>
    <t>一般会計借入金償還金</t>
    <phoneticPr fontId="3"/>
  </si>
  <si>
    <t>前年度からの繰越
（単位：千円）</t>
    <rPh sb="0" eb="3">
      <t>ゼンネンド</t>
    </rPh>
    <rPh sb="6" eb="8">
      <t>クリコシ</t>
    </rPh>
    <rPh sb="10" eb="12">
      <t>タンイ</t>
    </rPh>
    <rPh sb="13" eb="15">
      <t>センエン</t>
    </rPh>
    <phoneticPr fontId="3"/>
  </si>
  <si>
    <t>前年度からの繰越
（単位：千円）</t>
    <rPh sb="0" eb="3">
      <t>ゼンネンド</t>
    </rPh>
    <rPh sb="6" eb="8">
      <t>クリコシ</t>
    </rPh>
    <phoneticPr fontId="3"/>
  </si>
  <si>
    <t>控除不可消費税加算前</t>
    <rPh sb="0" eb="2">
      <t>コウジョ</t>
    </rPh>
    <rPh sb="2" eb="4">
      <t>フカ</t>
    </rPh>
    <rPh sb="4" eb="7">
      <t>ショウヒゼイ</t>
    </rPh>
    <rPh sb="7" eb="9">
      <t>カサン</t>
    </rPh>
    <rPh sb="9" eb="10">
      <t>マエ</t>
    </rPh>
    <phoneticPr fontId="3"/>
  </si>
  <si>
    <t>控除不可消費税加算後</t>
    <rPh sb="0" eb="2">
      <t>コウジョ</t>
    </rPh>
    <rPh sb="2" eb="4">
      <t>フカ</t>
    </rPh>
    <rPh sb="4" eb="7">
      <t>ショウヒゼイ</t>
    </rPh>
    <rPh sb="7" eb="9">
      <t>カサン</t>
    </rPh>
    <rPh sb="9" eb="10">
      <t>ゴ</t>
    </rPh>
    <phoneticPr fontId="3"/>
  </si>
  <si>
    <t>支払利息及び
企業債取扱諸費</t>
    <phoneticPr fontId="3"/>
  </si>
  <si>
    <t>災害復旧事業債</t>
  </si>
  <si>
    <t>災害復旧事業債</t>
    <phoneticPr fontId="3"/>
  </si>
  <si>
    <t>その他国庫補助金</t>
    <rPh sb="0" eb="3">
      <t>ソノタ</t>
    </rPh>
    <rPh sb="3" eb="8">
      <t>コッコホジョキン</t>
    </rPh>
    <phoneticPr fontId="3"/>
  </si>
  <si>
    <t>令和４年度</t>
    <rPh sb="0" eb="2">
      <t>レイワ</t>
    </rPh>
    <rPh sb="3" eb="5">
      <t>ネンド</t>
    </rPh>
    <phoneticPr fontId="37"/>
  </si>
  <si>
    <r>
      <t>資本的支出総額（</t>
    </r>
    <r>
      <rPr>
        <u/>
        <sz val="11"/>
        <color theme="1"/>
        <rFont val="ＭＳ Ｐゴシック"/>
        <family val="3"/>
        <charset val="128"/>
      </rPr>
      <t>執行額</t>
    </r>
    <r>
      <rPr>
        <sz val="11"/>
        <color theme="1"/>
        <rFont val="ＭＳ Ｐゴシック"/>
        <family val="3"/>
        <charset val="128"/>
      </rPr>
      <t>）</t>
    </r>
    <rPh sb="0" eb="5">
      <t>シホンテキシシュツ</t>
    </rPh>
    <rPh sb="5" eb="7">
      <t>ソウガク</t>
    </rPh>
    <rPh sb="8" eb="11">
      <t>シッコウガク</t>
    </rPh>
    <phoneticPr fontId="37"/>
  </si>
  <si>
    <t>a</t>
    <phoneticPr fontId="37"/>
  </si>
  <si>
    <t>資本的収入</t>
    <rPh sb="0" eb="5">
      <t>シホンテキシュウニュウ</t>
    </rPh>
    <phoneticPr fontId="37"/>
  </si>
  <si>
    <t>b=c-d</t>
    <phoneticPr fontId="37"/>
  </si>
  <si>
    <t>執行額（一般会計出資金収入含む）</t>
    <rPh sb="0" eb="2">
      <t>シッコウ</t>
    </rPh>
    <rPh sb="2" eb="3">
      <t>ガク</t>
    </rPh>
    <rPh sb="4" eb="8">
      <t>イッパンカイケイ</t>
    </rPh>
    <rPh sb="8" eb="11">
      <t>シュッシキン</t>
    </rPh>
    <rPh sb="11" eb="13">
      <t>シュウニュウ</t>
    </rPh>
    <rPh sb="13" eb="14">
      <t>フク</t>
    </rPh>
    <phoneticPr fontId="37"/>
  </si>
  <si>
    <t>c</t>
    <phoneticPr fontId="37"/>
  </si>
  <si>
    <t>うち翌年度に繰越す予算への財源充当額</t>
    <rPh sb="2" eb="5">
      <t>ヨクネンド</t>
    </rPh>
    <rPh sb="6" eb="8">
      <t>クリコシ</t>
    </rPh>
    <rPh sb="9" eb="11">
      <t>ヨサン</t>
    </rPh>
    <rPh sb="13" eb="15">
      <t>ザイゲン</t>
    </rPh>
    <rPh sb="15" eb="18">
      <t>ジュウトウガク</t>
    </rPh>
    <phoneticPr fontId="37"/>
  </si>
  <si>
    <t>d</t>
    <phoneticPr fontId="37"/>
  </si>
  <si>
    <t>資本的収支不足額</t>
    <rPh sb="0" eb="3">
      <t>シホンテキ</t>
    </rPh>
    <rPh sb="3" eb="5">
      <t>シュウシ</t>
    </rPh>
    <rPh sb="5" eb="8">
      <t>フソクガク</t>
    </rPh>
    <phoneticPr fontId="37"/>
  </si>
  <si>
    <t>e=a-b</t>
    <phoneticPr fontId="37"/>
  </si>
  <si>
    <t>補填財源</t>
    <rPh sb="0" eb="4">
      <t>ホテンザイゲン</t>
    </rPh>
    <phoneticPr fontId="37"/>
  </si>
  <si>
    <t>f=g+h+i+j</t>
    <phoneticPr fontId="37"/>
  </si>
  <si>
    <t>消費税資本的収支調整額</t>
    <rPh sb="0" eb="3">
      <t>ショウヒゼイ</t>
    </rPh>
    <rPh sb="3" eb="8">
      <t>シホンテキシュウシ</t>
    </rPh>
    <rPh sb="8" eb="11">
      <t>チョウセイガク</t>
    </rPh>
    <phoneticPr fontId="37"/>
  </si>
  <si>
    <t>g</t>
    <phoneticPr fontId="37"/>
  </si>
  <si>
    <t>繰越工事資金</t>
    <rPh sb="0" eb="2">
      <t>クリコシ</t>
    </rPh>
    <rPh sb="2" eb="6">
      <t>コウジシキン</t>
    </rPh>
    <phoneticPr fontId="37"/>
  </si>
  <si>
    <t>h=i+j</t>
    <phoneticPr fontId="37"/>
  </si>
  <si>
    <t>前年度からの自己財源</t>
    <phoneticPr fontId="37"/>
  </si>
  <si>
    <t>i</t>
    <phoneticPr fontId="37"/>
  </si>
  <si>
    <t>前々年度からの自己財源（事故繰越分）</t>
    <rPh sb="0" eb="4">
      <t>ゼンゼンネンド</t>
    </rPh>
    <rPh sb="7" eb="11">
      <t>ジコザイゲン</t>
    </rPh>
    <rPh sb="12" eb="16">
      <t>ジコクリコシ</t>
    </rPh>
    <rPh sb="16" eb="17">
      <t>ブン</t>
    </rPh>
    <phoneticPr fontId="37"/>
  </si>
  <si>
    <t>j</t>
    <phoneticPr fontId="37"/>
  </si>
  <si>
    <t>事故繰越分の予算繰越計算書の自己財源</t>
    <rPh sb="6" eb="8">
      <t>ヨサン</t>
    </rPh>
    <rPh sb="8" eb="10">
      <t>クリコシ</t>
    </rPh>
    <rPh sb="10" eb="13">
      <t>ケイサンショ</t>
    </rPh>
    <phoneticPr fontId="37"/>
  </si>
  <si>
    <t>損益勘定留保資金</t>
    <rPh sb="0" eb="4">
      <t>ソンエキカンジョウ</t>
    </rPh>
    <rPh sb="4" eb="8">
      <t>リュウホシキン</t>
    </rPh>
    <phoneticPr fontId="37"/>
  </si>
  <si>
    <t>k</t>
    <phoneticPr fontId="37"/>
  </si>
  <si>
    <t>減債積立金</t>
    <rPh sb="0" eb="5">
      <t>ゲンサイツミタテキン</t>
    </rPh>
    <phoneticPr fontId="37"/>
  </si>
  <si>
    <t>l</t>
    <phoneticPr fontId="37"/>
  </si>
  <si>
    <t>過不足額</t>
    <rPh sb="0" eb="3">
      <t>カブソク</t>
    </rPh>
    <rPh sb="3" eb="4">
      <t>ガク</t>
    </rPh>
    <phoneticPr fontId="37"/>
  </si>
  <si>
    <t>m=e-f</t>
    <phoneticPr fontId="37"/>
  </si>
  <si>
    <t>←この数値が０になることを確認</t>
    <rPh sb="3" eb="5">
      <t>スウチ</t>
    </rPh>
    <rPh sb="13" eb="15">
      <t>カクニン</t>
    </rPh>
    <phoneticPr fontId="37"/>
  </si>
  <si>
    <t>全５（決算）の企業債～固定資産売却代金+一般財源　F72～M72+R72と一致</t>
    <rPh sb="0" eb="1">
      <t>ゼン</t>
    </rPh>
    <rPh sb="3" eb="5">
      <t>ケッサン</t>
    </rPh>
    <rPh sb="7" eb="9">
      <t>ケッサン</t>
    </rPh>
    <rPh sb="9" eb="10">
      <t>ガク</t>
    </rPh>
    <rPh sb="37" eb="39">
      <t>イッチ</t>
    </rPh>
    <phoneticPr fontId="37"/>
  </si>
  <si>
    <t>全５（決算）の決算額　E72と一致</t>
    <rPh sb="0" eb="1">
      <t>ゼン</t>
    </rPh>
    <rPh sb="3" eb="5">
      <t>ケッサン</t>
    </rPh>
    <rPh sb="7" eb="9">
      <t>ケッサン</t>
    </rPh>
    <rPh sb="9" eb="10">
      <t>ガク</t>
    </rPh>
    <rPh sb="15" eb="17">
      <t>イッチ</t>
    </rPh>
    <phoneticPr fontId="37"/>
  </si>
  <si>
    <t>全１（現年）の減価償却費+資産減耗費+その他　O74+O75+O79と一致</t>
    <rPh sb="0" eb="1">
      <t>ゼン</t>
    </rPh>
    <rPh sb="3" eb="5">
      <t>ゲンネン</t>
    </rPh>
    <rPh sb="7" eb="9">
      <t>ゲンカ</t>
    </rPh>
    <rPh sb="9" eb="11">
      <t>ショウキャク</t>
    </rPh>
    <rPh sb="11" eb="12">
      <t>ヒ</t>
    </rPh>
    <rPh sb="13" eb="15">
      <t>シサン</t>
    </rPh>
    <rPh sb="15" eb="17">
      <t>ゲンモウ</t>
    </rPh>
    <rPh sb="17" eb="18">
      <t>ヒ</t>
    </rPh>
    <rPh sb="21" eb="22">
      <t>タ</t>
    </rPh>
    <rPh sb="35" eb="37">
      <t>イッチ</t>
    </rPh>
    <phoneticPr fontId="37"/>
  </si>
  <si>
    <t>全１（現年）の減債積立金　O77と一致</t>
    <rPh sb="0" eb="1">
      <t>ゼン</t>
    </rPh>
    <rPh sb="3" eb="5">
      <t>ゲンネン</t>
    </rPh>
    <rPh sb="7" eb="9">
      <t>ゲンサイ</t>
    </rPh>
    <rPh sb="9" eb="11">
      <t>ツミタテ</t>
    </rPh>
    <rPh sb="11" eb="12">
      <t>キン</t>
    </rPh>
    <rPh sb="17" eb="19">
      <t>イッチ</t>
    </rPh>
    <phoneticPr fontId="37"/>
  </si>
  <si>
    <t>全３（繰越）の出資金　R75と一致</t>
    <rPh sb="0" eb="1">
      <t>ゼン</t>
    </rPh>
    <rPh sb="3" eb="5">
      <t>クリコシ</t>
    </rPh>
    <rPh sb="7" eb="10">
      <t>シュッシキン</t>
    </rPh>
    <rPh sb="15" eb="17">
      <t>イッチ</t>
    </rPh>
    <phoneticPr fontId="37"/>
  </si>
  <si>
    <t>備考（資本的支出の財源内訳との照合場所）</t>
    <rPh sb="0" eb="2">
      <t>ビコウ</t>
    </rPh>
    <rPh sb="3" eb="6">
      <t>シホンテキ</t>
    </rPh>
    <rPh sb="6" eb="8">
      <t>シシュツ</t>
    </rPh>
    <rPh sb="9" eb="13">
      <t>ザイゲンウチワケ</t>
    </rPh>
    <rPh sb="15" eb="17">
      <t>ショウゴウ</t>
    </rPh>
    <rPh sb="17" eb="19">
      <t>バショ</t>
    </rPh>
    <phoneticPr fontId="37"/>
  </si>
  <si>
    <t>全５（決算）の一般財源R72を入力</t>
    <rPh sb="0" eb="1">
      <t>ゼン</t>
    </rPh>
    <rPh sb="3" eb="5">
      <t>ケッサン</t>
    </rPh>
    <rPh sb="15" eb="17">
      <t>ニュウリョク</t>
    </rPh>
    <phoneticPr fontId="37"/>
  </si>
  <si>
    <t>黄色部分は全１（現年）の当年度消費税　O78と一致</t>
    <rPh sb="0" eb="4">
      <t>キイロブブン</t>
    </rPh>
    <rPh sb="5" eb="6">
      <t>ゼン</t>
    </rPh>
    <rPh sb="8" eb="10">
      <t>ゲンネン</t>
    </rPh>
    <rPh sb="12" eb="15">
      <t>トウネンド</t>
    </rPh>
    <rPh sb="15" eb="18">
      <t>ショウヒゼイ</t>
    </rPh>
    <rPh sb="23" eb="25">
      <t>イッチ</t>
    </rPh>
    <phoneticPr fontId="37"/>
  </si>
  <si>
    <r>
      <rPr>
        <sz val="11"/>
        <color rgb="FFFF00FF"/>
        <rFont val="ＭＳ Ｐゴシック"/>
        <family val="3"/>
        <charset val="128"/>
      </rPr>
      <t>ピンク</t>
    </r>
    <r>
      <rPr>
        <sz val="11"/>
        <color theme="1"/>
        <rFont val="ＭＳ Ｐゴシック"/>
        <family val="3"/>
        <charset val="128"/>
      </rPr>
      <t>は手入力、</t>
    </r>
    <r>
      <rPr>
        <sz val="11"/>
        <color rgb="FFFFFF00"/>
        <rFont val="ＭＳ Ｐゴシック"/>
        <family val="3"/>
        <charset val="128"/>
      </rPr>
      <t>黄色</t>
    </r>
    <r>
      <rPr>
        <sz val="11"/>
        <color theme="1"/>
        <rFont val="ＭＳ Ｐゴシック"/>
        <family val="3"/>
        <charset val="128"/>
      </rPr>
      <t>は自動計算</t>
    </r>
    <rPh sb="4" eb="7">
      <t>テニュウリョク</t>
    </rPh>
    <rPh sb="8" eb="10">
      <t>キイロ</t>
    </rPh>
    <rPh sb="11" eb="13">
      <t>ジドウ</t>
    </rPh>
    <rPh sb="13" eb="15">
      <t>ケイサン</t>
    </rPh>
    <phoneticPr fontId="3"/>
  </si>
  <si>
    <t>※ここでの計算はエラーチェックのために行うものであり、他のシートには一切反映されません</t>
    <rPh sb="5" eb="7">
      <t>ケイサン</t>
    </rPh>
    <rPh sb="19" eb="20">
      <t>オコナ</t>
    </rPh>
    <rPh sb="27" eb="28">
      <t>ホカ</t>
    </rPh>
    <rPh sb="34" eb="36">
      <t>イッサイ</t>
    </rPh>
    <rPh sb="36" eb="38">
      <t>ハンエイ</t>
    </rPh>
    <phoneticPr fontId="3"/>
  </si>
  <si>
    <t>5現年度分
決算額</t>
    <rPh sb="1" eb="2">
      <t>ウツツ</t>
    </rPh>
    <rPh sb="2" eb="4">
      <t>ネンド</t>
    </rPh>
    <rPh sb="4" eb="5">
      <t>ブン</t>
    </rPh>
    <rPh sb="6" eb="8">
      <t>ケッサン</t>
    </rPh>
    <rPh sb="8" eb="9">
      <t>ガク</t>
    </rPh>
    <phoneticPr fontId="3"/>
  </si>
  <si>
    <t>4-5繰越
決算額</t>
    <rPh sb="3" eb="5">
      <t>クリコシ</t>
    </rPh>
    <rPh sb="6" eb="9">
      <t>ケッサンガク</t>
    </rPh>
    <phoneticPr fontId="3"/>
  </si>
  <si>
    <t>令和5年度</t>
    <rPh sb="0" eb="2">
      <t>レイワ</t>
    </rPh>
    <rPh sb="3" eb="5">
      <t>ネンド</t>
    </rPh>
    <phoneticPr fontId="37"/>
  </si>
  <si>
    <t>AAA</t>
    <phoneticPr fontId="3"/>
  </si>
  <si>
    <t>AAA</t>
    <phoneticPr fontId="3"/>
  </si>
  <si>
    <t>AAA</t>
    <phoneticPr fontId="3"/>
  </si>
  <si>
    <t>AAA</t>
    <phoneticPr fontId="3"/>
  </si>
  <si>
    <t>R5決算から使うよ</t>
    <rPh sb="2" eb="4">
      <t>ケッサン</t>
    </rPh>
    <rPh sb="6" eb="7">
      <t>ツカ</t>
    </rPh>
    <phoneticPr fontId="3"/>
  </si>
  <si>
    <t>↓高資本費対策　R5決算から使うよ</t>
    <rPh sb="1" eb="7">
      <t>コウシホンヒタイサク</t>
    </rPh>
    <rPh sb="10" eb="12">
      <t>ケッサン</t>
    </rPh>
    <rPh sb="14" eb="15">
      <t>ツカ</t>
    </rPh>
    <phoneticPr fontId="3"/>
  </si>
  <si>
    <r>
      <t>前受金
（</t>
    </r>
    <r>
      <rPr>
        <sz val="10"/>
        <rFont val="ＭＳ Ｐゴシック"/>
        <family val="3"/>
        <charset val="128"/>
      </rPr>
      <t>災害復旧等繰越財源分）</t>
    </r>
    <rPh sb="0" eb="2">
      <t>マエウケ</t>
    </rPh>
    <rPh sb="2" eb="3">
      <t>キン</t>
    </rPh>
    <rPh sb="5" eb="7">
      <t>サイガイ</t>
    </rPh>
    <rPh sb="7" eb="9">
      <t>フッキュウ</t>
    </rPh>
    <rPh sb="9" eb="10">
      <t>トウ</t>
    </rPh>
    <rPh sb="10" eb="12">
      <t>クリコシ</t>
    </rPh>
    <rPh sb="12" eb="14">
      <t>ザイゲン</t>
    </rPh>
    <rPh sb="14" eb="15">
      <t>ブン</t>
    </rPh>
    <phoneticPr fontId="3"/>
  </si>
  <si>
    <t xml:space="preserve">    ＊過年度損益修正益</t>
    <rPh sb="5" eb="13">
      <t>カネンドソンエキシュウセイエキ</t>
    </rPh>
    <phoneticPr fontId="3"/>
  </si>
  <si>
    <t>令和5年度4月決見</t>
    <rPh sb="6" eb="7">
      <t>ガツ</t>
    </rPh>
    <phoneticPr fontId="3"/>
  </si>
  <si>
    <t>決見額千円</t>
    <rPh sb="3" eb="5">
      <t>センエン</t>
    </rPh>
    <phoneticPr fontId="3"/>
  </si>
  <si>
    <t>調整</t>
    <rPh sb="0" eb="2">
      <t>チョウセイ</t>
    </rPh>
    <phoneticPr fontId="3"/>
  </si>
  <si>
    <t>(a)</t>
    <phoneticPr fontId="3"/>
  </si>
  <si>
    <t>(b)</t>
    <phoneticPr fontId="3"/>
  </si>
  <si>
    <t>(c)</t>
    <phoneticPr fontId="3"/>
  </si>
  <si>
    <t>(d)</t>
    <phoneticPr fontId="3"/>
  </si>
  <si>
    <t>差引増減</t>
    <rPh sb="0" eb="2">
      <t>サシヒキ</t>
    </rPh>
    <rPh sb="2" eb="4">
      <t>ゾウゲン</t>
    </rPh>
    <phoneticPr fontId="28"/>
  </si>
  <si>
    <t>（単位：千円、％）</t>
    <phoneticPr fontId="28"/>
  </si>
  <si>
    <t>対Ｒ４決算</t>
    <rPh sb="3" eb="5">
      <t>ケッサン</t>
    </rPh>
    <phoneticPr fontId="28"/>
  </si>
  <si>
    <t>対Ｒ５決見（4月）</t>
    <phoneticPr fontId="28"/>
  </si>
  <si>
    <t>対Ｒ５議決予算</t>
    <phoneticPr fontId="28"/>
  </si>
  <si>
    <t>表示</t>
    <rPh sb="0" eb="2">
      <t>ヒョウジ</t>
    </rPh>
    <phoneticPr fontId="28"/>
  </si>
  <si>
    <t>Ｒ５
決見（4月）</t>
    <rPh sb="4" eb="5">
      <t>ミ</t>
    </rPh>
    <rPh sb="7" eb="8">
      <t>ガツ</t>
    </rPh>
    <phoneticPr fontId="28"/>
  </si>
  <si>
    <t>Ｒ５
決算</t>
    <rPh sb="3" eb="5">
      <t>ケッサン</t>
    </rPh>
    <phoneticPr fontId="28"/>
  </si>
  <si>
    <t>Ｒ５
議決予算</t>
    <rPh sb="3" eb="5">
      <t>ギケツ</t>
    </rPh>
    <rPh sb="5" eb="7">
      <t>ヨサン</t>
    </rPh>
    <phoneticPr fontId="28"/>
  </si>
  <si>
    <t>Ｒ４
決算</t>
    <rPh sb="3" eb="5">
      <t>ケッサン</t>
    </rPh>
    <phoneticPr fontId="28"/>
  </si>
  <si>
    <t>区分</t>
    <rPh sb="0" eb="2">
      <t>クブン</t>
    </rPh>
    <phoneticPr fontId="28"/>
  </si>
  <si>
    <t>収支差引（純利益）</t>
    <rPh sb="0" eb="2">
      <t>シュウシ</t>
    </rPh>
    <rPh sb="2" eb="4">
      <t>サシヒキ</t>
    </rPh>
    <rPh sb="5" eb="8">
      <t>ジュンリエキ</t>
    </rPh>
    <phoneticPr fontId="28"/>
  </si>
  <si>
    <t>表示判定</t>
    <rPh sb="0" eb="4">
      <t>ヒョウジハンテイ</t>
    </rPh>
    <phoneticPr fontId="28"/>
  </si>
  <si>
    <t>AAA</t>
    <phoneticPr fontId="28"/>
  </si>
  <si>
    <t>千円返還＋端数調整</t>
    <rPh sb="0" eb="2">
      <t>センエン</t>
    </rPh>
    <rPh sb="2" eb="4">
      <t>ヘンカン</t>
    </rPh>
    <rPh sb="5" eb="9">
      <t>ハスウチョウセイ</t>
    </rPh>
    <phoneticPr fontId="28"/>
  </si>
  <si>
    <t>（参照数式）</t>
    <rPh sb="1" eb="3">
      <t>サンショウ</t>
    </rPh>
    <rPh sb="3" eb="5">
      <t>スウシキ</t>
    </rPh>
    <phoneticPr fontId="28"/>
  </si>
  <si>
    <t>R5決算</t>
    <phoneticPr fontId="28"/>
  </si>
  <si>
    <t>市街化区域外汚水処理施設事業債</t>
    <rPh sb="0" eb="3">
      <t>シガイカ</t>
    </rPh>
    <rPh sb="3" eb="6">
      <t>クイキガイ</t>
    </rPh>
    <rPh sb="6" eb="8">
      <t>オスイ</t>
    </rPh>
    <rPh sb="8" eb="10">
      <t>ショリ</t>
    </rPh>
    <rPh sb="10" eb="12">
      <t>シセツ</t>
    </rPh>
    <rPh sb="12" eb="14">
      <t>ジギョウ</t>
    </rPh>
    <rPh sb="14" eb="15">
      <t>サイ</t>
    </rPh>
    <phoneticPr fontId="3"/>
  </si>
  <si>
    <t>予算</t>
    <rPh sb="0" eb="2">
      <t>ヨサン</t>
    </rPh>
    <phoneticPr fontId="3"/>
  </si>
  <si>
    <t>(c-a)</t>
    <phoneticPr fontId="3"/>
  </si>
  <si>
    <t>表示</t>
    <rPh sb="0" eb="2">
      <t>ヒョウジ</t>
    </rPh>
    <phoneticPr fontId="3"/>
  </si>
  <si>
    <t>×表示しない</t>
  </si>
  <si>
    <t>調整</t>
    <rPh sb="0" eb="2">
      <t>チョウセイ</t>
    </rPh>
    <phoneticPr fontId="3"/>
  </si>
  <si>
    <t>#='[4-04 集計表.xlsx]4条収支'!$G10</t>
  </si>
  <si>
    <t>#='[4-04 集計表.xlsx]4条収支'!$G11</t>
  </si>
  <si>
    <t>#='[4-04 集計表.xlsx]4条収支'!$G12</t>
  </si>
  <si>
    <t>#='[4-04 集計表.xlsx]4条収支'!$G13</t>
  </si>
  <si>
    <t>#='[4-04 集計表.xlsx]4条収支'!$G14</t>
  </si>
  <si>
    <t>#='[4-04 集計表.xlsx]4条収支'!$G16</t>
  </si>
  <si>
    <t>#='[4-04 集計表.xlsx]4条収支'!$G18</t>
  </si>
  <si>
    <t>#='[4-04 集計表.xlsx]4条収支'!$G19</t>
  </si>
  <si>
    <t>#='[4-04 集計表.xlsx]4条収支'!$G21</t>
  </si>
  <si>
    <t>#='[4-04 集計表.xlsx]4条収支'!$G22</t>
  </si>
  <si>
    <t>#='[4-04 集計表.xlsx]4条収支'!$G23</t>
  </si>
  <si>
    <t>#='[4-04 集計表.xlsx]4条収支'!$G29</t>
  </si>
  <si>
    <t>#='[4-04 集計表.xlsx]4条収支'!$G30</t>
  </si>
  <si>
    <t>#='[4-04 集計表.xlsx]4条収支'!$G32</t>
  </si>
  <si>
    <t>#='[4-04 集計表.xlsx]4条収支'!$G40</t>
  </si>
  <si>
    <t>#='[4-04 集計表.xlsx]4条収支'!$G49</t>
  </si>
  <si>
    <t>#='[4-04 集計表.xlsx]4条収支'!$G50</t>
  </si>
  <si>
    <t>#='[4-04 集計表.xlsx]4条収支'!$G51</t>
  </si>
  <si>
    <t>#='[4-04 集計表.xlsx]4条収支'!$G52</t>
  </si>
  <si>
    <t>#='[4-04 集計表.xlsx]4条収支'!$G53</t>
  </si>
  <si>
    <t>#='[4-04 集計表.xlsx]4条収支'!$G54</t>
  </si>
  <si>
    <t>#='[4-04 集計表.xlsx]4条収支'!$G55</t>
  </si>
  <si>
    <t>#='[4-04 集計表.xlsx]4条収支'!$G56</t>
  </si>
  <si>
    <t>#='[4-04 集計表.xlsx]4条収支'!$G61</t>
  </si>
  <si>
    <t>#='[4-04 集計表.xlsx]4条収支'!$G62</t>
  </si>
  <si>
    <t>#='[4-04 集計表.xlsx]4条収支'!$G64</t>
  </si>
  <si>
    <t>#='[4-04 集計表.xlsx]4条収支'!$G73</t>
  </si>
  <si>
    <t>#='[4-04 集計表.xlsx]4条収支'!$G74</t>
  </si>
  <si>
    <t>#='[4-04 集計表.xlsx]4条収支'!$G$76</t>
  </si>
  <si>
    <t>#='[4-04 集計表.xlsx]4条収支'!$G$77</t>
  </si>
  <si>
    <t>上記を除いた資本的収入</t>
    <rPh sb="0" eb="2">
      <t>ジョウキ</t>
    </rPh>
    <rPh sb="3" eb="4">
      <t>ノゾ</t>
    </rPh>
    <rPh sb="6" eb="11">
      <t>シホンテキシュウニュウ</t>
    </rPh>
    <phoneticPr fontId="3"/>
  </si>
  <si>
    <t>(c-d)</t>
    <phoneticPr fontId="3"/>
  </si>
  <si>
    <t>（Ｄ）のうち　一般会計借入金</t>
    <rPh sb="7" eb="9">
      <t>イッパン</t>
    </rPh>
    <rPh sb="9" eb="11">
      <t>カイケイ</t>
    </rPh>
    <rPh sb="11" eb="14">
      <t>カリイレキン</t>
    </rPh>
    <phoneticPr fontId="3"/>
  </si>
  <si>
    <t>抽出用</t>
    <rPh sb="0" eb="3">
      <t>チュウシュツヨウ</t>
    </rPh>
    <phoneticPr fontId="3"/>
  </si>
  <si>
    <t>合計</t>
    <rPh sb="0" eb="2">
      <t>ゴウケイ</t>
    </rPh>
    <phoneticPr fontId="3"/>
  </si>
  <si>
    <t>(c-b)</t>
    <phoneticPr fontId="3"/>
  </si>
  <si>
    <t xml:space="preserve"> (1) 収益的収入及び支出(税込)</t>
    <rPh sb="5" eb="8">
      <t>シュウエキテキ</t>
    </rPh>
    <rPh sb="8" eb="10">
      <t>シュウニュウ</t>
    </rPh>
    <rPh sb="10" eb="11">
      <t>オヨ</t>
    </rPh>
    <rPh sb="12" eb="14">
      <t>シシュツ</t>
    </rPh>
    <rPh sb="15" eb="17">
      <t>ゼイコミ</t>
    </rPh>
    <phoneticPr fontId="28"/>
  </si>
  <si>
    <t>（単位：千円）</t>
    <rPh sb="1" eb="3">
      <t>タンイ</t>
    </rPh>
    <rPh sb="4" eb="6">
      <t>センエン</t>
    </rPh>
    <phoneticPr fontId="28"/>
  </si>
  <si>
    <t>増 △ 減</t>
    <rPh sb="0" eb="1">
      <t>ゾウ</t>
    </rPh>
    <rPh sb="4" eb="5">
      <t>ゲン</t>
    </rPh>
    <phoneticPr fontId="28"/>
  </si>
  <si>
    <t>G列
項目名リスト</t>
    <rPh sb="1" eb="2">
      <t>レツ</t>
    </rPh>
    <rPh sb="3" eb="5">
      <t>コウモク</t>
    </rPh>
    <rPh sb="5" eb="6">
      <t>メイ</t>
    </rPh>
    <phoneticPr fontId="58"/>
  </si>
  <si>
    <t>要求額
（ｃ）</t>
    <rPh sb="0" eb="2">
      <t>ヨウキュウ</t>
    </rPh>
    <rPh sb="2" eb="3">
      <t>ガク</t>
    </rPh>
    <phoneticPr fontId="28"/>
  </si>
  <si>
    <t>査定額
（ｃ）</t>
    <rPh sb="0" eb="2">
      <t>サテイ</t>
    </rPh>
    <rPh sb="2" eb="3">
      <t>ガク</t>
    </rPh>
    <phoneticPr fontId="28"/>
  </si>
  <si>
    <t>(下水道使用料)</t>
    <rPh sb="1" eb="4">
      <t>ゲスイドウ</t>
    </rPh>
    <rPh sb="4" eb="7">
      <t>シヨウリョウ</t>
    </rPh>
    <phoneticPr fontId="28"/>
  </si>
  <si>
    <t>予算案
（ｃ）</t>
    <rPh sb="0" eb="2">
      <t>ヨサン</t>
    </rPh>
    <rPh sb="2" eb="3">
      <t>アン</t>
    </rPh>
    <phoneticPr fontId="28"/>
  </si>
  <si>
    <t>収支差引</t>
    <rPh sb="0" eb="2">
      <t>シュウシ</t>
    </rPh>
    <rPh sb="2" eb="4">
      <t>サシヒキ</t>
    </rPh>
    <phoneticPr fontId="28"/>
  </si>
  <si>
    <t>税抜収支差引（純利益）</t>
    <rPh sb="0" eb="2">
      <t>ゼイヌキ</t>
    </rPh>
    <rPh sb="2" eb="4">
      <t>シュウシ</t>
    </rPh>
    <rPh sb="4" eb="6">
      <t>サシヒキ</t>
    </rPh>
    <rPh sb="7" eb="10">
      <t>ジュンリエキ</t>
    </rPh>
    <phoneticPr fontId="28"/>
  </si>
  <si>
    <t xml:space="preserve"> (2) 資本的収入及び支出（税込）</t>
    <rPh sb="5" eb="7">
      <t>シホン</t>
    </rPh>
    <rPh sb="7" eb="8">
      <t>テキ</t>
    </rPh>
    <rPh sb="8" eb="10">
      <t>シュウニュウ</t>
    </rPh>
    <rPh sb="10" eb="11">
      <t>オヨ</t>
    </rPh>
    <rPh sb="12" eb="14">
      <t>シシュツ</t>
    </rPh>
    <rPh sb="15" eb="17">
      <t>ゼイコミ</t>
    </rPh>
    <phoneticPr fontId="28"/>
  </si>
  <si>
    <t>税込３条収入（一般会計負担金を除く）</t>
    <rPh sb="0" eb="2">
      <t>ゼイコミ</t>
    </rPh>
    <rPh sb="3" eb="4">
      <t>ジョウ</t>
    </rPh>
    <rPh sb="4" eb="6">
      <t>シュウニュウ</t>
    </rPh>
    <rPh sb="7" eb="9">
      <t>イッパン</t>
    </rPh>
    <rPh sb="9" eb="11">
      <t>カイケイ</t>
    </rPh>
    <rPh sb="11" eb="14">
      <t>フタンキン</t>
    </rPh>
    <rPh sb="15" eb="16">
      <t>ノゾ</t>
    </rPh>
    <phoneticPr fontId="32"/>
  </si>
  <si>
    <t>①</t>
    <phoneticPr fontId="58"/>
  </si>
  <si>
    <t>一般会計負担金</t>
    <rPh sb="0" eb="2">
      <t>イッパン</t>
    </rPh>
    <rPh sb="2" eb="4">
      <t>カイケイ</t>
    </rPh>
    <rPh sb="4" eb="7">
      <t>フタンキン</t>
    </rPh>
    <phoneticPr fontId="58"/>
  </si>
  <si>
    <t>税込３条支出</t>
    <rPh sb="0" eb="2">
      <t>ゼイコミ</t>
    </rPh>
    <rPh sb="3" eb="4">
      <t>ジョウ</t>
    </rPh>
    <rPh sb="4" eb="6">
      <t>シシュツ</t>
    </rPh>
    <phoneticPr fontId="32"/>
  </si>
  <si>
    <t>消費税納付額</t>
    <rPh sb="0" eb="3">
      <t>ショウヒゼイ</t>
    </rPh>
    <rPh sb="3" eb="5">
      <t>ノウフ</t>
    </rPh>
    <rPh sb="5" eb="6">
      <t>ガク</t>
    </rPh>
    <phoneticPr fontId="32"/>
  </si>
  <si>
    <t>消費税４条調整額</t>
    <rPh sb="0" eb="3">
      <t>ショウヒゼイ</t>
    </rPh>
    <rPh sb="4" eb="5">
      <t>ジョウ</t>
    </rPh>
    <rPh sb="5" eb="7">
      <t>チョウセイ</t>
    </rPh>
    <rPh sb="7" eb="8">
      <t>ガク</t>
    </rPh>
    <phoneticPr fontId="32"/>
  </si>
  <si>
    <t>差引（純利益）　（①＋②－③－④－⑤）</t>
    <rPh sb="0" eb="2">
      <t>サシヒキ</t>
    </rPh>
    <rPh sb="3" eb="6">
      <t>ジュンリエキ</t>
    </rPh>
    <phoneticPr fontId="32"/>
  </si>
  <si>
    <t>税抜３条収入（一般会計負担金を除く）</t>
    <rPh sb="0" eb="2">
      <t>ゼイヌキ</t>
    </rPh>
    <rPh sb="3" eb="4">
      <t>ジョウ</t>
    </rPh>
    <rPh sb="4" eb="6">
      <t>シュウニュウ</t>
    </rPh>
    <rPh sb="7" eb="9">
      <t>イッパン</t>
    </rPh>
    <rPh sb="9" eb="11">
      <t>カイケイ</t>
    </rPh>
    <rPh sb="11" eb="14">
      <t>フタンキン</t>
    </rPh>
    <rPh sb="15" eb="16">
      <t>ノゾ</t>
    </rPh>
    <phoneticPr fontId="32"/>
  </si>
  <si>
    <t>税抜３条支出</t>
    <rPh sb="3" eb="4">
      <t>ジョウ</t>
    </rPh>
    <rPh sb="4" eb="6">
      <t>シシュツ</t>
    </rPh>
    <phoneticPr fontId="32"/>
  </si>
  <si>
    <t>⑧</t>
    <phoneticPr fontId="58"/>
  </si>
  <si>
    <t>消費税雑支出</t>
    <rPh sb="0" eb="3">
      <t>ショウヒゼイ</t>
    </rPh>
    <rPh sb="3" eb="4">
      <t>ザツ</t>
    </rPh>
    <rPh sb="4" eb="6">
      <t>シシュツ</t>
    </rPh>
    <phoneticPr fontId="58"/>
  </si>
  <si>
    <t>⑨</t>
    <phoneticPr fontId="58"/>
  </si>
  <si>
    <t>差引（純利益）　（⑦＋②－⑧－⑨）</t>
    <rPh sb="0" eb="2">
      <t>サシヒキ</t>
    </rPh>
    <rPh sb="3" eb="6">
      <t>ジュンリエキ</t>
    </rPh>
    <phoneticPr fontId="32"/>
  </si>
  <si>
    <t>２　一般会計繰入金の状況</t>
    <rPh sb="2" eb="4">
      <t>イッパン</t>
    </rPh>
    <rPh sb="4" eb="6">
      <t>カイケイ</t>
    </rPh>
    <rPh sb="6" eb="8">
      <t>クリイレ</t>
    </rPh>
    <rPh sb="8" eb="9">
      <t>キン</t>
    </rPh>
    <rPh sb="10" eb="12">
      <t>ジョウキョウ</t>
    </rPh>
    <phoneticPr fontId="28"/>
  </si>
  <si>
    <t>一般会計借入金</t>
    <rPh sb="0" eb="2">
      <t>イッパン</t>
    </rPh>
    <rPh sb="2" eb="4">
      <t>カイケイ</t>
    </rPh>
    <rPh sb="4" eb="6">
      <t>カリイレ</t>
    </rPh>
    <rPh sb="6" eb="7">
      <t>キン</t>
    </rPh>
    <phoneticPr fontId="28"/>
  </si>
  <si>
    <t>繰入金　合計</t>
    <rPh sb="0" eb="2">
      <t>クリイレ</t>
    </rPh>
    <rPh sb="2" eb="3">
      <t>キン</t>
    </rPh>
    <rPh sb="4" eb="6">
      <t>ゴウケイ</t>
    </rPh>
    <phoneticPr fontId="28"/>
  </si>
  <si>
    <t>３　今後の変動要素</t>
    <rPh sb="2" eb="4">
      <t>コンゴ</t>
    </rPh>
    <rPh sb="5" eb="7">
      <t>ヘンドウ</t>
    </rPh>
    <rPh sb="7" eb="9">
      <t>ヨウソ</t>
    </rPh>
    <phoneticPr fontId="28"/>
  </si>
  <si>
    <t xml:space="preserve"> (1)  人件費の修正（⇒現在は給与改定後の数値を使用しているが、人員配置見直しについては未反映）</t>
    <rPh sb="6" eb="9">
      <t>ジンケンヒ</t>
    </rPh>
    <rPh sb="10" eb="12">
      <t>シュウセイ</t>
    </rPh>
    <rPh sb="14" eb="16">
      <t>ゲンザイ</t>
    </rPh>
    <rPh sb="17" eb="19">
      <t>キュウヨ</t>
    </rPh>
    <rPh sb="19" eb="21">
      <t>カイテイ</t>
    </rPh>
    <rPh sb="21" eb="22">
      <t>ゴ</t>
    </rPh>
    <rPh sb="23" eb="25">
      <t>スウチ</t>
    </rPh>
    <rPh sb="26" eb="28">
      <t>シヨウ</t>
    </rPh>
    <rPh sb="34" eb="36">
      <t>ジンイン</t>
    </rPh>
    <rPh sb="36" eb="38">
      <t>ハイチ</t>
    </rPh>
    <rPh sb="38" eb="40">
      <t>ミナオ</t>
    </rPh>
    <rPh sb="46" eb="49">
      <t>ミハンエイ</t>
    </rPh>
    <phoneticPr fontId="28"/>
  </si>
  <si>
    <t xml:space="preserve"> (2)  情報システム関連経費のCIO審査結果による修正</t>
    <rPh sb="6" eb="8">
      <t>ジョウホウ</t>
    </rPh>
    <rPh sb="12" eb="14">
      <t>カンレン</t>
    </rPh>
    <rPh sb="14" eb="16">
      <t>ケイヒ</t>
    </rPh>
    <rPh sb="20" eb="22">
      <t>シンサ</t>
    </rPh>
    <rPh sb="22" eb="24">
      <t>ケッカ</t>
    </rPh>
    <rPh sb="27" eb="29">
      <t>シュウセイ</t>
    </rPh>
    <phoneticPr fontId="28"/>
  </si>
  <si>
    <t xml:space="preserve"> (3)  財政課の査定による修正ほか</t>
    <rPh sb="6" eb="8">
      <t>ザイセイ</t>
    </rPh>
    <rPh sb="8" eb="9">
      <t>カ</t>
    </rPh>
    <rPh sb="10" eb="12">
      <t>サテイ</t>
    </rPh>
    <rPh sb="15" eb="17">
      <t>シュウセイ</t>
    </rPh>
    <phoneticPr fontId="28"/>
  </si>
  <si>
    <t>決見額
（ｃ）</t>
    <rPh sb="0" eb="2">
      <t>ケツミ</t>
    </rPh>
    <rPh sb="2" eb="3">
      <t>ガク</t>
    </rPh>
    <phoneticPr fontId="28"/>
  </si>
  <si>
    <t>②</t>
    <phoneticPr fontId="58"/>
  </si>
  <si>
    <t>③</t>
    <phoneticPr fontId="58"/>
  </si>
  <si>
    <t>④</t>
    <phoneticPr fontId="58"/>
  </si>
  <si>
    <t>⑤</t>
    <phoneticPr fontId="58"/>
  </si>
  <si>
    <t>⑥</t>
    <phoneticPr fontId="58"/>
  </si>
  <si>
    <t>⑦</t>
    <phoneticPr fontId="58"/>
  </si>
  <si>
    <t>4月決見
（b）</t>
    <rPh sb="1" eb="4">
      <t>ガツケツミ</t>
    </rPh>
    <phoneticPr fontId="28"/>
  </si>
  <si>
    <t>議決予算
（a）</t>
    <rPh sb="0" eb="2">
      <t>ギケツ</t>
    </rPh>
    <rPh sb="2" eb="4">
      <t>ヨサン</t>
    </rPh>
    <phoneticPr fontId="28"/>
  </si>
  <si>
    <t>決算円</t>
    <rPh sb="0" eb="2">
      <t>ケッサン</t>
    </rPh>
    <rPh sb="2" eb="3">
      <t>エン</t>
    </rPh>
    <phoneticPr fontId="3"/>
  </si>
  <si>
    <t>端数調整</t>
    <rPh sb="0" eb="4">
      <t>ハスウチョウセイ</t>
    </rPh>
    <phoneticPr fontId="3"/>
  </si>
  <si>
    <t>千円</t>
    <rPh sb="0" eb="2">
      <t>センエン</t>
    </rPh>
    <phoneticPr fontId="3"/>
  </si>
  <si>
    <t>注意</t>
    <rPh sb="0" eb="2">
      <t>チュウイ</t>
    </rPh>
    <phoneticPr fontId="3"/>
  </si>
  <si>
    <t>消費税資本的収支調整を控除</t>
    <rPh sb="0" eb="3">
      <t>ショウヒゼイ</t>
    </rPh>
    <rPh sb="3" eb="10">
      <t>シホンテキシュウシチョウセイ</t>
    </rPh>
    <rPh sb="11" eb="13">
      <t>コウジョ</t>
    </rPh>
    <phoneticPr fontId="3"/>
  </si>
  <si>
    <t>3条支出（3条消費税・4条消費税含む）
＝営業外費用（消費税除く）＋消費税</t>
    <rPh sb="1" eb="2">
      <t>ジョウ</t>
    </rPh>
    <rPh sb="2" eb="4">
      <t>シシュツ</t>
    </rPh>
    <rPh sb="6" eb="7">
      <t>ジョウ</t>
    </rPh>
    <rPh sb="7" eb="10">
      <t>ショウヒゼイ</t>
    </rPh>
    <rPh sb="12" eb="13">
      <t>ジョウ</t>
    </rPh>
    <rPh sb="13" eb="16">
      <t>ショウヒゼイ</t>
    </rPh>
    <rPh sb="16" eb="17">
      <t>フク</t>
    </rPh>
    <rPh sb="21" eb="26">
      <t>エイギョウガイヒヨウ</t>
    </rPh>
    <rPh sb="27" eb="30">
      <t>ショウヒゼイ</t>
    </rPh>
    <rPh sb="30" eb="31">
      <t>ノゾ</t>
    </rPh>
    <rPh sb="34" eb="37">
      <t>ショウヒゼイ</t>
    </rPh>
    <phoneticPr fontId="3"/>
  </si>
  <si>
    <t>チェック</t>
    <phoneticPr fontId="3"/>
  </si>
  <si>
    <t>決算(c)
-議決予算(a)</t>
    <rPh sb="0" eb="2">
      <t>ケッサン</t>
    </rPh>
    <rPh sb="7" eb="11">
      <t>ギケツヨサン</t>
    </rPh>
    <phoneticPr fontId="3"/>
  </si>
  <si>
    <t>決算(c)
-4月決見(b)</t>
    <rPh sb="0" eb="2">
      <t>ケッサン</t>
    </rPh>
    <rPh sb="8" eb="9">
      <t>ガツ</t>
    </rPh>
    <rPh sb="9" eb="10">
      <t>ケツ</t>
    </rPh>
    <rPh sb="10" eb="11">
      <t>ミ</t>
    </rPh>
    <phoneticPr fontId="3"/>
  </si>
  <si>
    <t>経営企画課</t>
    <rPh sb="0" eb="2">
      <t>ケイエイ</t>
    </rPh>
    <rPh sb="2" eb="4">
      <t>キカク</t>
    </rPh>
    <rPh sb="4" eb="5">
      <t>カ</t>
    </rPh>
    <phoneticPr fontId="28"/>
  </si>
  <si>
    <t>税抜収支差引（純利益）</t>
    <rPh sb="0" eb="2">
      <t>ゼイヌキ</t>
    </rPh>
    <rPh sb="2" eb="6">
      <t>シュウシサシヒキ</t>
    </rPh>
    <rPh sb="7" eb="10">
      <t>ジュンリエキ</t>
    </rPh>
    <phoneticPr fontId="28"/>
  </si>
  <si>
    <t>消費税資本的収支調整を控除</t>
  </si>
  <si>
    <t>決算
(c)</t>
    <rPh sb="0" eb="2">
      <t>ケッサン</t>
    </rPh>
    <phoneticPr fontId="28"/>
  </si>
  <si>
    <t>-4月決見(b)</t>
    <phoneticPr fontId="28"/>
  </si>
  <si>
    <t>-議決予算(a)</t>
    <phoneticPr fontId="28"/>
  </si>
  <si>
    <t>議決予算
（a）</t>
    <phoneticPr fontId="28"/>
  </si>
  <si>
    <t>4月決見
（b）</t>
    <phoneticPr fontId="28"/>
  </si>
  <si>
    <t>※上記金額には前年度からの繰り越し分を含む。</t>
    <rPh sb="1" eb="5">
      <t>ジョウキキンガク</t>
    </rPh>
    <rPh sb="7" eb="10">
      <t>ゼンネンド</t>
    </rPh>
    <rPh sb="13" eb="14">
      <t>ク</t>
    </rPh>
    <rPh sb="15" eb="16">
      <t>コ</t>
    </rPh>
    <rPh sb="17" eb="18">
      <t>ブン</t>
    </rPh>
    <rPh sb="19" eb="20">
      <t>フク</t>
    </rPh>
    <phoneticPr fontId="28"/>
  </si>
  <si>
    <t>議決予算額
（補正後）
（a）</t>
  </si>
  <si>
    <t>(d)</t>
    <phoneticPr fontId="3"/>
  </si>
  <si>
    <t>表示（強制）</t>
    <rPh sb="3" eb="5">
      <t>キョウセイ</t>
    </rPh>
    <phoneticPr fontId="3"/>
  </si>
  <si>
    <t>(c+d-a)</t>
    <phoneticPr fontId="3"/>
  </si>
  <si>
    <t>AAA</t>
    <phoneticPr fontId="3"/>
  </si>
  <si>
    <t>対Ｒ５決見（4月）</t>
    <phoneticPr fontId="28"/>
  </si>
  <si>
    <t>(c+d-b)</t>
    <phoneticPr fontId="3"/>
  </si>
  <si>
    <t>(c-d)</t>
    <phoneticPr fontId="3"/>
  </si>
  <si>
    <t>※　上記金額には前年度からの繰り越し分を含む</t>
    <rPh sb="2" eb="6">
      <t>ジョウキキンガク</t>
    </rPh>
    <rPh sb="8" eb="11">
      <t>ゼンネンド</t>
    </rPh>
    <rPh sb="14" eb="15">
      <t>ク</t>
    </rPh>
    <rPh sb="16" eb="17">
      <t>コ</t>
    </rPh>
    <rPh sb="18" eb="19">
      <t>ブン</t>
    </rPh>
    <rPh sb="20" eb="21">
      <t>フク</t>
    </rPh>
    <phoneticPr fontId="3"/>
  </si>
  <si>
    <t>翌年度への繰越</t>
    <rPh sb="0" eb="3">
      <t>ヨクネンド</t>
    </rPh>
    <rPh sb="5" eb="7">
      <t>クリコシ</t>
    </rPh>
    <phoneticPr fontId="3"/>
  </si>
  <si>
    <t>翌年度への
繰越
(d)</t>
    <rPh sb="0" eb="3">
      <t>ヨクネンド</t>
    </rPh>
    <rPh sb="6" eb="8">
      <t>クリコシ</t>
    </rPh>
    <phoneticPr fontId="28"/>
  </si>
  <si>
    <t>決算(c)+翌年度への繰越(d)</t>
    <rPh sb="6" eb="9">
      <t>ヨクネンド</t>
    </rPh>
    <rPh sb="11" eb="13">
      <t>クリコシ</t>
    </rPh>
    <phoneticPr fontId="28"/>
  </si>
  <si>
    <t>決算(c)+翌年度への繰越(d)</t>
    <rPh sb="6" eb="7">
      <t>ヨク</t>
    </rPh>
    <phoneticPr fontId="28"/>
  </si>
  <si>
    <t>このことについて、下記のとおり精算します。ついては、5月31日を納期限とした納入通知書を作成してください。</t>
    <rPh sb="9" eb="11">
      <t>カキ</t>
    </rPh>
    <rPh sb="15" eb="17">
      <t>セイサン</t>
    </rPh>
    <rPh sb="27" eb="28">
      <t>ガツ</t>
    </rPh>
    <rPh sb="30" eb="31">
      <t>ニチ</t>
    </rPh>
    <rPh sb="32" eb="35">
      <t>ノウキゲン</t>
    </rPh>
    <rPh sb="38" eb="40">
      <t>ノウニュウ</t>
    </rPh>
    <rPh sb="40" eb="43">
      <t>ツウチショ</t>
    </rPh>
    <rPh sb="44" eb="46">
      <t>サクセイ</t>
    </rPh>
    <phoneticPr fontId="3"/>
  </si>
  <si>
    <t>抽出用</t>
    <rPh sb="0" eb="3">
      <t>チュウシュツヨウ</t>
    </rPh>
    <phoneticPr fontId="3"/>
  </si>
  <si>
    <t>(c)</t>
    <phoneticPr fontId="3"/>
  </si>
  <si>
    <t>差引(a-b)</t>
    <rPh sb="0" eb="2">
      <t>サシヒ</t>
    </rPh>
    <phoneticPr fontId="3"/>
  </si>
  <si>
    <t>(a)</t>
    <phoneticPr fontId="3"/>
  </si>
  <si>
    <t>(b)</t>
    <phoneticPr fontId="3"/>
  </si>
  <si>
    <t>決算額</t>
    <rPh sb="0" eb="2">
      <t>ケッサン</t>
    </rPh>
    <rPh sb="2" eb="3">
      <t>ガク</t>
    </rPh>
    <phoneticPr fontId="3"/>
  </si>
  <si>
    <t>議決予算額</t>
    <rPh sb="0" eb="2">
      <t>ギケツ</t>
    </rPh>
    <rPh sb="2" eb="5">
      <t>ヨサンガク</t>
    </rPh>
    <phoneticPr fontId="3"/>
  </si>
  <si>
    <t>表示（強制）</t>
    <rPh sb="3" eb="5">
      <t>キョウセイ</t>
    </rPh>
    <phoneticPr fontId="3"/>
  </si>
  <si>
    <t>非表示（強制）</t>
    <rPh sb="4" eb="6">
      <t>キョウセイ</t>
    </rPh>
    <phoneticPr fontId="3"/>
  </si>
  <si>
    <t>差引(ｂ-ｃ)</t>
    <rPh sb="0" eb="2">
      <t>サシヒ</t>
    </rPh>
    <phoneticPr fontId="3"/>
  </si>
  <si>
    <t>令和6年5月22日</t>
    <rPh sb="0" eb="2">
      <t>レイワ</t>
    </rPh>
    <rPh sb="3" eb="4">
      <t>ネン</t>
    </rPh>
    <rPh sb="5" eb="6">
      <t>ガツ</t>
    </rPh>
    <rPh sb="8" eb="9">
      <t>ニチ</t>
    </rPh>
    <phoneticPr fontId="28"/>
  </si>
  <si>
    <t>１　決算</t>
    <rPh sb="2" eb="4">
      <t>ケッサン</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</si>
</sst>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76" formatCode="#,##0;&quot;△ &quot;#,##0"/>
    <numFmt numFmtId="177" formatCode="0.0%"/>
    <numFmt numFmtId="178" formatCode="#,##0;&quot;▲ &quot;#,##0"/>
    <numFmt numFmtId="179" formatCode="#,##0_);[Red]\(#,##0\)"/>
    <numFmt numFmtId="180" formatCode="#,##0.00000_);[Red]\(#,##0.00000\)"/>
    <numFmt numFmtId="181" formatCode="#,##0\ ;[Red]&quot;&quot;#,##0\ "/>
    <numFmt numFmtId="182" formatCode="#,##0\ ;[Red]&quot;△&quot;#,##0\ "/>
    <numFmt numFmtId="183" formatCode="0.0%\ ;[Red]&quot;△&quot;0.0%\ "/>
    <numFmt numFmtId="184" formatCode="#,##0\ ;[Red]&quot;&quot;#,##0;&quot;&quot;\ "/>
    <numFmt numFmtId="185" formatCode="\(#,##0\)\ ;[Red]\(&quot;&quot;#,##0\)\ "/>
    <numFmt numFmtId="186" formatCode="#,##0\ ;\-\ #,##0\ ;&quot;－ &quot;"/>
    <numFmt numFmtId="187" formatCode="#,##0\ ;&quot;△ &quot;#,##0\ "/>
    <numFmt numFmtId="188" formatCode="0.0%\ ;&quot;△&quot;0.0%\ "/>
  </numFmts>
  <fonts count="78">
    <font>
      <sz val="11"/>
      <name val="ＭＳ Ｐゴシック"/>
      <family val="3"/>
      <charset val="128"/>
    </font>
    <font>
      <sz val="11"/>
      <color theme="1"/>
      <name val="ＭＳ ゴシック"/>
      <family val="2"/>
      <charset val="128"/>
      <scheme val="minor"/>
    </font>
    <font>
      <sz val="11"/>
      <name val="ＭＳ Ｐゴシック"/>
      <family val="3"/>
      <charset val="128"/>
    </font>
    <font>
      <sz val="6"/>
      <name val="ＭＳ Ｐゴシック"/>
      <family val="3"/>
      <charset val="128"/>
    </font>
    <font>
      <b/>
      <sz val="11"/>
      <color rgb="FFFF0000"/>
      <name val="ＭＳ Ｐゴシック"/>
      <family val="3"/>
      <charset val="128"/>
    </font>
    <font>
      <sz val="11"/>
      <color indexed="10"/>
      <name val="ＭＳ Ｐゴシック"/>
      <family val="3"/>
      <charset val="128"/>
    </font>
    <font>
      <sz val="16"/>
      <name val="ＭＳ Ｐゴシック"/>
      <family val="3"/>
      <charset val="128"/>
    </font>
    <font>
      <sz val="8"/>
      <color indexed="81"/>
      <name val="ＭＳ Ｐゴシック"/>
      <family val="3"/>
      <charset val="128"/>
    </font>
    <font>
      <b/>
      <sz val="9"/>
      <color indexed="81"/>
      <name val="ＭＳ Ｐゴシック"/>
      <family val="3"/>
      <charset val="128"/>
    </font>
    <font>
      <sz val="11"/>
      <color theme="1"/>
      <name val="ＭＳ ゴシック"/>
      <family val="3"/>
      <charset val="128"/>
      <scheme val="minor"/>
    </font>
    <font>
      <sz val="10"/>
      <name val="ＭＳ 明朝"/>
      <family val="1"/>
      <charset val="128"/>
    </font>
    <font>
      <sz val="11"/>
      <color theme="1"/>
      <name val="ＭＳ ゴシック"/>
      <family val="2"/>
      <scheme val="minor"/>
    </font>
    <font>
      <sz val="11"/>
      <name val="ＭＳ Ｐ明朝"/>
      <family val="1"/>
      <charset val="128"/>
    </font>
    <font>
      <b/>
      <sz val="11"/>
      <name val="ＭＳ Ｐゴシック"/>
      <family val="3"/>
      <charset val="128"/>
    </font>
    <font>
      <sz val="9"/>
      <name val="ＭＳ Ｐゴシック"/>
      <family val="3"/>
      <charset val="128"/>
    </font>
    <font>
      <sz val="10"/>
      <name val="ＭＳ Ｐゴシック"/>
      <family val="3"/>
      <charset val="128"/>
    </font>
    <font>
      <sz val="8"/>
      <name val="ＭＳ Ｐゴシック"/>
      <family val="3"/>
      <charset val="128"/>
    </font>
    <font>
      <b/>
      <sz val="12"/>
      <name val="ＭＳ Ｐゴシック"/>
      <family val="3"/>
      <charset val="128"/>
    </font>
    <font>
      <b/>
      <sz val="14"/>
      <name val="ＭＳ Ｐゴシック"/>
      <family val="3"/>
      <charset val="128"/>
    </font>
    <font>
      <b/>
      <sz val="11"/>
      <color indexed="10"/>
      <name val="ＭＳ Ｐゴシック"/>
      <family val="3"/>
      <charset val="128"/>
    </font>
    <font>
      <sz val="11"/>
      <color indexed="12"/>
      <name val="ＭＳ Ｐゴシック"/>
      <family val="3"/>
      <charset val="128"/>
    </font>
    <font>
      <sz val="12"/>
      <name val="ＭＳ Ｐゴシック"/>
      <family val="3"/>
      <charset val="128"/>
    </font>
    <font>
      <b/>
      <sz val="12"/>
      <color indexed="10"/>
      <name val="ＭＳ Ｐゴシック"/>
      <family val="3"/>
      <charset val="128"/>
    </font>
    <font>
      <b/>
      <sz val="11"/>
      <color indexed="81"/>
      <name val="ＭＳ Ｐゴシック"/>
      <family val="3"/>
      <charset val="128"/>
    </font>
    <font>
      <sz val="9"/>
      <color indexed="81"/>
      <name val="ＭＳ Ｐゴシック"/>
      <family val="3"/>
      <charset val="128"/>
    </font>
    <font>
      <b/>
      <sz val="10"/>
      <color indexed="81"/>
      <name val="ＭＳ Ｐゴシック"/>
      <family val="3"/>
      <charset val="128"/>
    </font>
    <font>
      <b/>
      <sz val="12"/>
      <color indexed="81"/>
      <name val="ＭＳ Ｐゴシック"/>
      <family val="3"/>
      <charset val="128"/>
    </font>
    <font>
      <sz val="11"/>
      <name val="ＭＳ ゴシック"/>
      <family val="3"/>
      <charset val="128"/>
    </font>
    <font>
      <sz val="6"/>
      <name val="ＭＳ Ｐ明朝"/>
      <family val="1"/>
      <charset val="128"/>
    </font>
    <font>
      <sz val="9"/>
      <name val="ＭＳ 明朝"/>
      <family val="1"/>
      <charset val="128"/>
    </font>
    <font>
      <sz val="10"/>
      <color indexed="12"/>
      <name val="ＭＳ 明朝"/>
      <family val="1"/>
      <charset val="128"/>
    </font>
    <font>
      <sz val="10"/>
      <color rgb="FF0000FF"/>
      <name val="ＭＳ 明朝"/>
      <family val="1"/>
      <charset val="128"/>
    </font>
    <font>
      <sz val="6"/>
      <name val="ＭＳ 明朝"/>
      <family val="1"/>
      <charset val="128"/>
    </font>
    <font>
      <b/>
      <sz val="24"/>
      <color rgb="FFFF0000"/>
      <name val="ＭＳ Ｐゴシック"/>
      <family val="3"/>
      <charset val="128"/>
    </font>
    <font>
      <b/>
      <sz val="9"/>
      <color indexed="81"/>
      <name val="MS P ゴシック"/>
      <family val="3"/>
      <charset val="128"/>
    </font>
    <font>
      <sz val="9"/>
      <color indexed="81"/>
      <name val="MS P ゴシック"/>
      <family val="3"/>
      <charset val="128"/>
    </font>
    <font>
      <sz val="11"/>
      <color theme="1"/>
      <name val="ＭＳ Ｐゴシック"/>
      <family val="3"/>
      <charset val="128"/>
    </font>
    <font>
      <sz val="6"/>
      <name val="ＭＳ ゴシック"/>
      <family val="2"/>
      <charset val="128"/>
      <scheme val="minor"/>
    </font>
    <font>
      <u/>
      <sz val="11"/>
      <color theme="1"/>
      <name val="ＭＳ Ｐゴシック"/>
      <family val="3"/>
      <charset val="128"/>
    </font>
    <font>
      <sz val="11"/>
      <color rgb="FF0070C0"/>
      <name val="ＭＳ Ｐゴシック"/>
      <family val="3"/>
      <charset val="128"/>
    </font>
    <font>
      <sz val="11"/>
      <color rgb="FFFF00FF"/>
      <name val="ＭＳ Ｐゴシック"/>
      <family val="3"/>
      <charset val="128"/>
    </font>
    <font>
      <sz val="11"/>
      <color rgb="FFFFFF00"/>
      <name val="ＭＳ Ｐゴシック"/>
      <family val="3"/>
      <charset val="128"/>
    </font>
    <font>
      <sz val="10"/>
      <name val="BIZ UDゴシック"/>
      <family val="3"/>
      <charset val="128"/>
    </font>
    <font>
      <sz val="10"/>
      <color indexed="12"/>
      <name val="BIZ UDゴシック"/>
      <family val="3"/>
      <charset val="128"/>
    </font>
    <font>
      <sz val="9"/>
      <color indexed="12"/>
      <name val="BIZ UDゴシック"/>
      <family val="3"/>
      <charset val="128"/>
    </font>
    <font>
      <sz val="9"/>
      <name val="BIZ UDゴシック"/>
      <family val="3"/>
      <charset val="128"/>
    </font>
    <font>
      <sz val="16"/>
      <name val="BIZ UDゴシック"/>
      <family val="3"/>
      <charset val="128"/>
    </font>
    <font>
      <sz val="10"/>
      <color indexed="21"/>
      <name val="BIZ UDゴシック"/>
      <family val="3"/>
      <charset val="128"/>
    </font>
    <font>
      <sz val="10"/>
      <color rgb="FF0000FF"/>
      <name val="BIZ UDゴシック"/>
      <family val="3"/>
      <charset val="128"/>
    </font>
    <font>
      <sz val="9"/>
      <color indexed="8"/>
      <name val="BIZ UDゴシック"/>
      <family val="3"/>
      <charset val="128"/>
    </font>
    <font>
      <sz val="9"/>
      <color rgb="FF0000FF"/>
      <name val="BIZ UDゴシック"/>
      <family val="3"/>
      <charset val="128"/>
    </font>
    <font>
      <sz val="9"/>
      <color rgb="FFFF0000"/>
      <name val="BIZ UDゴシック"/>
      <family val="3"/>
      <charset val="128"/>
    </font>
    <font>
      <b/>
      <sz val="10"/>
      <name val="BIZ UDゴシック"/>
      <family val="3"/>
      <charset val="128"/>
    </font>
    <font>
      <sz val="12"/>
      <name val="BIZ UDゴシック"/>
      <family val="3"/>
      <charset val="128"/>
    </font>
    <font>
      <sz val="11"/>
      <name val="BIZ UDゴシック"/>
      <family val="3"/>
      <charset val="128"/>
    </font>
    <font>
      <sz val="10"/>
      <color indexed="8"/>
      <name val="BIZ UDゴシック"/>
      <family val="3"/>
      <charset val="128"/>
    </font>
    <font>
      <b/>
      <sz val="10"/>
      <color indexed="12"/>
      <name val="BIZ UDゴシック"/>
      <family val="3"/>
      <charset val="128"/>
    </font>
    <font>
      <sz val="10"/>
      <color rgb="FFFF0000"/>
      <name val="BIZ UDゴシック"/>
      <family val="3"/>
      <charset val="128"/>
    </font>
    <font>
      <sz val="6"/>
      <name val="ＭＳ ゴシック"/>
      <family val="3"/>
      <charset val="128"/>
      <scheme val="minor"/>
    </font>
    <font>
      <b/>
      <sz val="18"/>
      <color indexed="81"/>
      <name val="ＭＳ Ｐゴシック"/>
      <family val="3"/>
      <charset val="128"/>
    </font>
    <font>
      <sz val="8"/>
      <name val="ＭＳ 明朝"/>
      <family val="1"/>
      <charset val="128"/>
    </font>
    <font>
      <sz val="14"/>
      <name val="ＭＳ 明朝"/>
      <family val="1"/>
      <charset val="128"/>
    </font>
    <font>
      <sz val="11"/>
      <name val="ＭＳ 明朝"/>
      <family val="1"/>
      <charset val="128"/>
    </font>
    <font>
      <b/>
      <sz val="20"/>
      <name val="ＭＳ 明朝"/>
      <family val="1"/>
      <charset val="128"/>
    </font>
    <font>
      <sz val="10"/>
      <color rgb="FF0070C0"/>
      <name val="ＭＳ 明朝"/>
      <family val="1"/>
      <charset val="128"/>
    </font>
    <font>
      <sz val="8"/>
      <color rgb="FF0070C0"/>
      <name val="ＭＳ 明朝"/>
      <family val="1"/>
      <charset val="128"/>
    </font>
    <font>
      <sz val="9"/>
      <color rgb="FF0070C0"/>
      <name val="ＭＳ 明朝"/>
      <family val="1"/>
      <charset val="128"/>
    </font>
    <font>
      <sz val="11"/>
      <color rgb="FF0000FF"/>
      <name val="ＭＳ 明朝"/>
      <family val="1"/>
      <charset val="128"/>
    </font>
    <font>
      <sz val="11"/>
      <color rgb="FFFF0000"/>
      <name val="ＭＳ 明朝"/>
      <family val="1"/>
      <charset val="128"/>
    </font>
    <font>
      <b/>
      <sz val="11"/>
      <color rgb="FFFF0000"/>
      <name val="ＭＳ 明朝"/>
      <family val="1"/>
      <charset val="128"/>
    </font>
    <font>
      <sz val="16"/>
      <name val="ＭＳ ゴシック"/>
      <family val="3"/>
      <charset val="128"/>
    </font>
    <font>
      <b/>
      <sz val="10"/>
      <color rgb="FF0000FF"/>
      <name val="BIZ UDゴシック"/>
      <family val="3"/>
      <charset val="128"/>
    </font>
    <font>
      <sz val="11"/>
      <name val="ＭＳ ゴシック"/>
      <family val="3"/>
      <charset val="128"/>
      <scheme val="minor"/>
    </font>
    <font>
      <b/>
      <sz val="18"/>
      <name val="ＭＳ ゴシック"/>
      <family val="3"/>
      <charset val="128"/>
      <scheme val="minor"/>
    </font>
    <font>
      <sz val="10"/>
      <name val="ＭＳ ゴシック"/>
      <family val="3"/>
      <charset val="128"/>
      <scheme val="minor"/>
    </font>
    <font>
      <b/>
      <sz val="12"/>
      <name val="ＭＳ ゴシック"/>
      <family val="3"/>
      <charset val="128"/>
      <scheme val="minor"/>
    </font>
    <font>
      <sz val="9"/>
      <name val="ＭＳ ゴシック"/>
      <family val="3"/>
      <charset val="128"/>
      <scheme val="minor"/>
    </font>
    <font>
      <b/>
      <sz val="11"/>
      <name val="ＭＳ ゴシック"/>
      <family val="3"/>
      <charset val="128"/>
      <scheme val="minor"/>
    </font>
  </fonts>
  <fills count="1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7" tint="0.59999389629810485"/>
        <bgColor indexed="64"/>
      </patternFill>
    </fill>
    <fill>
      <patternFill patternType="solid">
        <fgColor rgb="FF00CC00"/>
        <bgColor indexed="64"/>
      </patternFill>
    </fill>
    <fill>
      <patternFill patternType="solid">
        <fgColor indexed="46"/>
        <bgColor indexed="64"/>
      </patternFill>
    </fill>
    <fill>
      <patternFill patternType="solid">
        <fgColor rgb="FF00B0F0"/>
        <bgColor indexed="64"/>
      </patternFill>
    </fill>
    <fill>
      <patternFill patternType="solid">
        <fgColor rgb="FF00B050"/>
        <bgColor indexed="64"/>
      </patternFill>
    </fill>
    <fill>
      <patternFill patternType="solid">
        <fgColor rgb="FF6699FF"/>
        <bgColor indexed="64"/>
      </patternFill>
    </fill>
    <fill>
      <patternFill patternType="solid">
        <fgColor rgb="FFFF7C80"/>
        <bgColor indexed="64"/>
      </patternFill>
    </fill>
    <fill>
      <patternFill patternType="solid">
        <fgColor rgb="FFFFFFCC"/>
        <bgColor indexed="64"/>
      </patternFill>
    </fill>
    <fill>
      <patternFill patternType="solid">
        <fgColor rgb="FFCCFFFF"/>
        <bgColor indexed="64"/>
      </patternFill>
    </fill>
    <fill>
      <patternFill patternType="solid">
        <fgColor rgb="FFFF99FF"/>
        <bgColor indexed="64"/>
      </patternFill>
    </fill>
    <fill>
      <patternFill patternType="solid">
        <fgColor theme="1" tint="0.34998626667073579"/>
        <bgColor indexed="64"/>
      </patternFill>
    </fill>
    <fill>
      <patternFill patternType="solid">
        <fgColor theme="5" tint="0.59999389629810485"/>
        <bgColor indexed="64"/>
      </patternFill>
    </fill>
  </fills>
  <borders count="322">
    <border>
      <left/>
      <right/>
      <top/>
      <bottom/>
      <diagonal/>
    </border>
    <border>
      <left/>
      <right/>
      <top/>
      <bottom style="double">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double">
        <color indexed="64"/>
      </top>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right/>
      <top style="double">
        <color indexed="64"/>
      </top>
      <bottom/>
      <diagonal/>
    </border>
    <border>
      <left style="medium">
        <color indexed="64"/>
      </left>
      <right/>
      <top style="double">
        <color indexed="64"/>
      </top>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style="medium">
        <color indexed="64"/>
      </left>
      <right/>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bottom style="double">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double">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top style="double">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double">
        <color indexed="64"/>
      </bottom>
      <diagonal/>
    </border>
    <border>
      <left style="medium">
        <color indexed="64"/>
      </left>
      <right/>
      <top style="double">
        <color indexed="64"/>
      </top>
      <bottom style="double">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style="double">
        <color indexed="64"/>
      </right>
      <top/>
      <bottom style="double">
        <color indexed="64"/>
      </bottom>
      <diagonal/>
    </border>
    <border>
      <left style="double">
        <color indexed="64"/>
      </left>
      <right/>
      <top/>
      <bottom style="double">
        <color indexed="64"/>
      </bottom>
      <diagonal/>
    </border>
    <border>
      <left/>
      <right style="double">
        <color indexed="64"/>
      </right>
      <top/>
      <bottom/>
      <diagonal/>
    </border>
    <border>
      <left style="double">
        <color indexed="64"/>
      </left>
      <right/>
      <top/>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style="hair">
        <color indexed="64"/>
      </left>
      <right/>
      <top/>
      <bottom style="thin">
        <color indexed="64"/>
      </bottom>
      <diagonal/>
    </border>
    <border>
      <left style="hair">
        <color indexed="64"/>
      </left>
      <right/>
      <top/>
      <bottom/>
      <diagonal/>
    </border>
    <border>
      <left style="thin">
        <color indexed="64"/>
      </left>
      <right style="hair">
        <color indexed="64"/>
      </right>
      <top/>
      <bottom/>
      <diagonal/>
    </border>
    <border>
      <left style="hair">
        <color indexed="64"/>
      </left>
      <right/>
      <top style="hair">
        <color indexed="64"/>
      </top>
      <bottom/>
      <diagonal/>
    </border>
    <border>
      <left/>
      <right/>
      <top style="thin">
        <color indexed="64"/>
      </top>
      <bottom style="medium">
        <color indexed="64"/>
      </bottom>
      <diagonal/>
    </border>
    <border>
      <left/>
      <right style="thin">
        <color indexed="64"/>
      </right>
      <top style="double">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medium">
        <color indexed="64"/>
      </left>
      <right style="hair">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style="hair">
        <color indexed="64"/>
      </bottom>
      <diagonal/>
    </border>
    <border>
      <left style="medium">
        <color indexed="64"/>
      </left>
      <right style="hair">
        <color indexed="64"/>
      </right>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top/>
      <bottom style="hair">
        <color indexed="64"/>
      </bottom>
      <diagonal/>
    </border>
    <border>
      <left style="medium">
        <color indexed="64"/>
      </left>
      <right style="hair">
        <color indexed="64"/>
      </right>
      <top/>
      <bottom style="hair">
        <color indexed="64"/>
      </bottom>
      <diagonal/>
    </border>
    <border>
      <left style="medium">
        <color indexed="64"/>
      </left>
      <right style="medium">
        <color indexed="64"/>
      </right>
      <top/>
      <bottom style="hair">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medium">
        <color indexed="64"/>
      </left>
      <right/>
      <top style="hair">
        <color indexed="64"/>
      </top>
      <bottom/>
      <diagonal/>
    </border>
    <border>
      <left style="medium">
        <color indexed="64"/>
      </left>
      <right style="hair">
        <color indexed="64"/>
      </right>
      <top style="hair">
        <color indexed="64"/>
      </top>
      <bottom/>
      <diagonal/>
    </border>
    <border>
      <left style="medium">
        <color indexed="64"/>
      </left>
      <right style="medium">
        <color indexed="64"/>
      </right>
      <top style="hair">
        <color indexed="64"/>
      </top>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medium">
        <color indexed="64"/>
      </left>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hair">
        <color indexed="64"/>
      </right>
      <top/>
      <bottom/>
      <diagonal/>
    </border>
    <border>
      <left/>
      <right/>
      <top style="thin">
        <color indexed="64"/>
      </top>
      <bottom style="hair">
        <color indexed="64"/>
      </bottom>
      <diagonal/>
    </border>
    <border>
      <left/>
      <right/>
      <top style="hair">
        <color indexed="64"/>
      </top>
      <bottom style="hair">
        <color indexed="64"/>
      </bottom>
      <diagonal/>
    </border>
    <border>
      <left/>
      <right style="medium">
        <color indexed="64"/>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thin">
        <color indexed="64"/>
      </left>
      <right style="hair">
        <color indexed="64"/>
      </right>
      <top style="medium">
        <color indexed="64"/>
      </top>
      <bottom/>
      <diagonal/>
    </border>
    <border>
      <left style="hair">
        <color indexed="64"/>
      </left>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style="hair">
        <color indexed="64"/>
      </left>
      <right style="hair">
        <color indexed="64"/>
      </right>
      <top/>
      <bottom style="medium">
        <color indexed="64"/>
      </bottom>
      <diagonal/>
    </border>
    <border>
      <left style="hair">
        <color indexed="64"/>
      </left>
      <right/>
      <top style="hair">
        <color indexed="64"/>
      </top>
      <bottom style="medium">
        <color indexed="64"/>
      </bottom>
      <diagonal/>
    </border>
    <border>
      <left/>
      <right style="medium">
        <color indexed="64"/>
      </right>
      <top/>
      <bottom style="hair">
        <color indexed="64"/>
      </bottom>
      <diagonal/>
    </border>
    <border>
      <left style="hair">
        <color indexed="64"/>
      </left>
      <right/>
      <top/>
      <bottom style="medium">
        <color indexed="64"/>
      </bottom>
      <diagonal/>
    </border>
    <border>
      <left style="hair">
        <color indexed="64"/>
      </left>
      <right style="hair">
        <color indexed="64"/>
      </right>
      <top style="medium">
        <color indexed="64"/>
      </top>
      <bottom style="hair">
        <color indexed="64"/>
      </bottom>
      <diagonal/>
    </border>
    <border>
      <left style="medium">
        <color indexed="64"/>
      </left>
      <right/>
      <top style="medium">
        <color indexed="64"/>
      </top>
      <bottom style="hair">
        <color indexed="64"/>
      </bottom>
      <diagonal/>
    </border>
    <border>
      <left/>
      <right style="hair">
        <color indexed="64"/>
      </right>
      <top/>
      <bottom/>
      <diagonal/>
    </border>
    <border>
      <left style="medium">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right/>
      <top style="medium">
        <color indexed="64"/>
      </top>
      <bottom style="hair">
        <color indexed="64"/>
      </bottom>
      <diagonal/>
    </border>
    <border>
      <left style="medium">
        <color indexed="64"/>
      </left>
      <right style="thin">
        <color auto="1"/>
      </right>
      <top/>
      <bottom style="hair">
        <color indexed="64"/>
      </bottom>
      <diagonal/>
    </border>
    <border>
      <left style="thin">
        <color auto="1"/>
      </left>
      <right style="thin">
        <color auto="1"/>
      </right>
      <top/>
      <bottom style="hair">
        <color indexed="64"/>
      </bottom>
      <diagonal/>
    </border>
    <border>
      <left style="medium">
        <color indexed="64"/>
      </left>
      <right style="thin">
        <color auto="1"/>
      </right>
      <top style="hair">
        <color indexed="64"/>
      </top>
      <bottom style="hair">
        <color indexed="64"/>
      </bottom>
      <diagonal/>
    </border>
    <border>
      <left style="medium">
        <color indexed="64"/>
      </left>
      <right style="thin">
        <color auto="1"/>
      </right>
      <top style="hair">
        <color indexed="64"/>
      </top>
      <bottom/>
      <diagonal/>
    </border>
    <border>
      <left style="thin">
        <color auto="1"/>
      </left>
      <right style="thin">
        <color auto="1"/>
      </right>
      <top style="hair">
        <color indexed="64"/>
      </top>
      <bottom/>
      <diagonal/>
    </border>
    <border>
      <left style="medium">
        <color indexed="64"/>
      </left>
      <right style="thin">
        <color auto="1"/>
      </right>
      <top style="hair">
        <color indexed="64"/>
      </top>
      <bottom style="medium">
        <color indexed="64"/>
      </bottom>
      <diagonal/>
    </border>
    <border>
      <left style="thin">
        <color auto="1"/>
      </left>
      <right style="thin">
        <color auto="1"/>
      </right>
      <top style="hair">
        <color indexed="64"/>
      </top>
      <bottom style="medium">
        <color indexed="64"/>
      </bottom>
      <diagonal/>
    </border>
    <border>
      <left style="medium">
        <color indexed="64"/>
      </left>
      <right style="thin">
        <color auto="1"/>
      </right>
      <top style="medium">
        <color indexed="64"/>
      </top>
      <bottom style="hair">
        <color indexed="64"/>
      </bottom>
      <diagonal/>
    </border>
    <border>
      <left style="thin">
        <color auto="1"/>
      </left>
      <right style="thin">
        <color auto="1"/>
      </right>
      <top style="medium">
        <color indexed="64"/>
      </top>
      <bottom style="hair">
        <color indexed="64"/>
      </bottom>
      <diagonal/>
    </border>
    <border>
      <left style="hair">
        <color indexed="64"/>
      </left>
      <right/>
      <top style="medium">
        <color indexed="64"/>
      </top>
      <bottom style="medium">
        <color indexed="64"/>
      </bottom>
      <diagonal/>
    </border>
    <border>
      <left style="hair">
        <color indexed="64"/>
      </left>
      <right style="thin">
        <color indexed="64"/>
      </right>
      <top/>
      <bottom style="hair">
        <color indexed="64"/>
      </bottom>
      <diagonal/>
    </border>
    <border>
      <left style="hair">
        <color indexed="64"/>
      </left>
      <right style="thin">
        <color auto="1"/>
      </right>
      <top style="hair">
        <color indexed="64"/>
      </top>
      <bottom style="hair">
        <color indexed="64"/>
      </bottom>
      <diagonal/>
    </border>
    <border>
      <left style="hair">
        <color indexed="64"/>
      </left>
      <right style="thin">
        <color auto="1"/>
      </right>
      <top style="hair">
        <color indexed="64"/>
      </top>
      <bottom/>
      <diagonal/>
    </border>
    <border>
      <left style="hair">
        <color indexed="64"/>
      </left>
      <right style="thin">
        <color auto="1"/>
      </right>
      <top style="hair">
        <color indexed="64"/>
      </top>
      <bottom style="medium">
        <color indexed="64"/>
      </bottom>
      <diagonal/>
    </border>
    <border>
      <left style="hair">
        <color indexed="64"/>
      </left>
      <right style="thin">
        <color auto="1"/>
      </right>
      <top style="medium">
        <color indexed="64"/>
      </top>
      <bottom style="medium">
        <color indexed="64"/>
      </bottom>
      <diagonal/>
    </border>
    <border>
      <left style="hair">
        <color indexed="64"/>
      </left>
      <right style="thin">
        <color auto="1"/>
      </right>
      <top style="medium">
        <color indexed="64"/>
      </top>
      <bottom style="hair">
        <color indexed="64"/>
      </bottom>
      <diagonal/>
    </border>
    <border>
      <left style="thin">
        <color indexed="64"/>
      </left>
      <right/>
      <top style="hair">
        <color indexed="64"/>
      </top>
      <bottom style="hair">
        <color indexed="64"/>
      </bottom>
      <diagonal/>
    </border>
    <border>
      <left style="thin">
        <color auto="1"/>
      </left>
      <right/>
      <top style="hair">
        <color indexed="64"/>
      </top>
      <bottom style="medium">
        <color indexed="64"/>
      </bottom>
      <diagonal/>
    </border>
    <border>
      <left style="thin">
        <color auto="1"/>
      </left>
      <right/>
      <top style="medium">
        <color indexed="64"/>
      </top>
      <bottom style="hair">
        <color indexed="64"/>
      </bottom>
      <diagonal/>
    </border>
    <border>
      <left/>
      <right style="hair">
        <color indexed="64"/>
      </right>
      <top/>
      <bottom style="thin">
        <color indexed="64"/>
      </bottom>
      <diagonal/>
    </border>
    <border>
      <left/>
      <right style="hair">
        <color indexed="64"/>
      </right>
      <top style="medium">
        <color indexed="64"/>
      </top>
      <bottom style="medium">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ck">
        <color indexed="64"/>
      </left>
      <right style="thick">
        <color indexed="64"/>
      </right>
      <top/>
      <bottom style="hair">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medium">
        <color indexed="64"/>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hair">
        <color indexed="64"/>
      </bottom>
      <diagonal/>
    </border>
    <border>
      <left style="thick">
        <color indexed="64"/>
      </left>
      <right style="thick">
        <color indexed="64"/>
      </right>
      <top style="medium">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medium">
        <color indexed="64"/>
      </top>
      <bottom style="thin">
        <color indexed="64"/>
      </bottom>
      <diagonal/>
    </border>
    <border>
      <left style="thick">
        <color indexed="64"/>
      </left>
      <right style="thick">
        <color indexed="64"/>
      </right>
      <top style="thin">
        <color indexed="64"/>
      </top>
      <bottom/>
      <diagonal/>
    </border>
    <border>
      <left style="thick">
        <color indexed="64"/>
      </left>
      <right style="thick">
        <color indexed="64"/>
      </right>
      <top style="medium">
        <color indexed="64"/>
      </top>
      <bottom/>
      <diagonal/>
    </border>
    <border>
      <left style="thick">
        <color indexed="64"/>
      </left>
      <right style="thick">
        <color indexed="64"/>
      </right>
      <top style="thin">
        <color indexed="64"/>
      </top>
      <bottom style="hair">
        <color indexed="64"/>
      </bottom>
      <diagonal/>
    </border>
    <border>
      <left style="thick">
        <color indexed="64"/>
      </left>
      <right style="thick">
        <color indexed="64"/>
      </right>
      <top/>
      <bottom style="medium">
        <color indexed="64"/>
      </bottom>
      <diagonal/>
    </border>
    <border>
      <left style="hair">
        <color indexed="64"/>
      </left>
      <right style="thick">
        <color indexed="64"/>
      </right>
      <top style="medium">
        <color indexed="64"/>
      </top>
      <bottom/>
      <diagonal/>
    </border>
    <border>
      <left style="hair">
        <color indexed="64"/>
      </left>
      <right style="thick">
        <color indexed="64"/>
      </right>
      <top/>
      <bottom/>
      <diagonal/>
    </border>
    <border>
      <left style="hair">
        <color indexed="64"/>
      </left>
      <right style="thick">
        <color indexed="64"/>
      </right>
      <top/>
      <bottom style="thin">
        <color indexed="64"/>
      </bottom>
      <diagonal/>
    </border>
    <border>
      <left style="hair">
        <color indexed="64"/>
      </left>
      <right style="thick">
        <color indexed="64"/>
      </right>
      <top style="thin">
        <color indexed="64"/>
      </top>
      <bottom style="thin">
        <color indexed="64"/>
      </bottom>
      <diagonal/>
    </border>
    <border>
      <left style="hair">
        <color indexed="64"/>
      </left>
      <right style="thick">
        <color indexed="64"/>
      </right>
      <top/>
      <bottom style="hair">
        <color indexed="64"/>
      </bottom>
      <diagonal/>
    </border>
    <border>
      <left style="hair">
        <color indexed="64"/>
      </left>
      <right style="thick">
        <color indexed="64"/>
      </right>
      <top style="hair">
        <color indexed="64"/>
      </top>
      <bottom style="hair">
        <color indexed="64"/>
      </bottom>
      <diagonal/>
    </border>
    <border>
      <left style="hair">
        <color indexed="64"/>
      </left>
      <right style="thick">
        <color indexed="64"/>
      </right>
      <top style="hair">
        <color indexed="64"/>
      </top>
      <bottom style="medium">
        <color indexed="64"/>
      </bottom>
      <diagonal/>
    </border>
    <border>
      <left style="hair">
        <color indexed="64"/>
      </left>
      <right style="thick">
        <color indexed="64"/>
      </right>
      <top style="medium">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style="thick">
        <color indexed="64"/>
      </right>
      <top style="medium">
        <color indexed="64"/>
      </top>
      <bottom style="thin">
        <color indexed="64"/>
      </bottom>
      <diagonal/>
    </border>
    <border>
      <left style="hair">
        <color indexed="64"/>
      </left>
      <right style="thick">
        <color indexed="64"/>
      </right>
      <top style="thin">
        <color indexed="64"/>
      </top>
      <bottom/>
      <diagonal/>
    </border>
    <border>
      <left style="medium">
        <color indexed="64"/>
      </left>
      <right style="hair">
        <color indexed="64"/>
      </right>
      <top style="thin">
        <color indexed="64"/>
      </top>
      <bottom style="hair">
        <color indexed="64"/>
      </bottom>
      <diagonal/>
    </border>
    <border>
      <left style="hair">
        <color indexed="64"/>
      </left>
      <right style="thick">
        <color indexed="64"/>
      </right>
      <top style="thin">
        <color indexed="64"/>
      </top>
      <bottom style="hair">
        <color indexed="64"/>
      </bottom>
      <diagonal/>
    </border>
    <border>
      <left/>
      <right style="hair">
        <color indexed="64"/>
      </right>
      <top/>
      <bottom style="medium">
        <color indexed="64"/>
      </bottom>
      <diagonal/>
    </border>
    <border>
      <left style="hair">
        <color indexed="64"/>
      </left>
      <right style="thick">
        <color indexed="64"/>
      </right>
      <top/>
      <bottom style="medium">
        <color indexed="64"/>
      </bottom>
      <diagonal/>
    </border>
    <border>
      <left style="hair">
        <color indexed="64"/>
      </left>
      <right style="thick">
        <color indexed="64"/>
      </right>
      <top style="medium">
        <color indexed="64"/>
      </top>
      <bottom style="hair">
        <color indexed="64"/>
      </bottom>
      <diagonal/>
    </border>
    <border>
      <left style="medium">
        <color indexed="64"/>
      </left>
      <right style="hair">
        <color indexed="64"/>
      </right>
      <top style="thin">
        <color indexed="64"/>
      </top>
      <bottom style="medium">
        <color indexed="64"/>
      </bottom>
      <diagonal/>
    </border>
    <border>
      <left style="hair">
        <color indexed="64"/>
      </left>
      <right style="thick">
        <color indexed="64"/>
      </right>
      <top style="thin">
        <color indexed="64"/>
      </top>
      <bottom style="medium">
        <color indexed="64"/>
      </bottom>
      <diagonal/>
    </border>
    <border>
      <left style="hair">
        <color indexed="64"/>
      </left>
      <right style="thin">
        <color indexed="64"/>
      </right>
      <top/>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thin">
        <color indexed="64"/>
      </left>
      <right style="hair">
        <color indexed="64"/>
      </right>
      <top/>
      <bottom style="medium">
        <color indexed="64"/>
      </bottom>
      <diagonal/>
    </border>
    <border>
      <left style="hair">
        <color indexed="64"/>
      </left>
      <right style="thin">
        <color indexed="64"/>
      </right>
      <top style="medium">
        <color indexed="64"/>
      </top>
      <bottom/>
      <diagonal/>
    </border>
    <border>
      <left style="thin">
        <color indexed="64"/>
      </left>
      <right style="hair">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style="hair">
        <color indexed="64"/>
      </left>
      <right style="medium">
        <color indexed="64"/>
      </right>
      <top style="medium">
        <color indexed="64"/>
      </top>
      <bottom style="thin">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style="thick">
        <color rgb="FF00FF00"/>
      </left>
      <right style="thick">
        <color rgb="FF00FF00"/>
      </right>
      <top style="thick">
        <color rgb="FF00FF00"/>
      </top>
      <bottom/>
      <diagonal/>
    </border>
    <border>
      <left style="thick">
        <color rgb="FF00FF00"/>
      </left>
      <right style="thick">
        <color rgb="FF00FF00"/>
      </right>
      <top/>
      <bottom style="thick">
        <color rgb="FF00FF00"/>
      </bottom>
      <diagonal/>
    </border>
    <border>
      <left/>
      <right style="thin">
        <color indexed="64"/>
      </right>
      <top style="thin">
        <color indexed="64"/>
      </top>
      <bottom style="hair">
        <color indexed="64"/>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thin">
        <color indexed="64"/>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hair">
        <color indexed="64"/>
      </left>
      <right style="thin">
        <color indexed="64"/>
      </right>
      <top/>
      <bottom style="thin">
        <color indexed="64"/>
      </bottom>
      <diagonal/>
    </border>
    <border>
      <left style="thick">
        <color indexed="64"/>
      </left>
      <right style="thick">
        <color indexed="64"/>
      </right>
      <top style="hair">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ck">
        <color indexed="64"/>
      </right>
      <top style="hair">
        <color indexed="64"/>
      </top>
      <bottom style="thick">
        <color indexed="64"/>
      </bottom>
      <diagonal/>
    </border>
    <border>
      <left style="thick">
        <color auto="1"/>
      </left>
      <right style="thick">
        <color auto="1"/>
      </right>
      <top style="hair">
        <color indexed="64"/>
      </top>
      <bottom style="double">
        <color indexed="64"/>
      </bottom>
      <diagonal/>
    </border>
    <border>
      <left style="thick">
        <color auto="1"/>
      </left>
      <right style="thick">
        <color auto="1"/>
      </right>
      <top/>
      <bottom style="thick">
        <color auto="1"/>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hair">
        <color indexed="64"/>
      </bottom>
      <diagonal/>
    </border>
    <border>
      <left style="thick">
        <color indexed="64"/>
      </left>
      <right style="thin">
        <color indexed="64"/>
      </right>
      <top style="hair">
        <color indexed="64"/>
      </top>
      <bottom style="hair">
        <color indexed="64"/>
      </bottom>
      <diagonal/>
    </border>
    <border>
      <left style="thick">
        <color indexed="64"/>
      </left>
      <right style="thin">
        <color indexed="64"/>
      </right>
      <top style="hair">
        <color indexed="64"/>
      </top>
      <bottom style="thin">
        <color indexed="64"/>
      </bottom>
      <diagonal/>
    </border>
    <border>
      <left style="thick">
        <color indexed="64"/>
      </left>
      <right style="thin">
        <color indexed="64"/>
      </right>
      <top/>
      <bottom/>
      <diagonal/>
    </border>
    <border>
      <left style="thick">
        <color indexed="64"/>
      </left>
      <right style="thin">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medium">
        <color indexed="64"/>
      </top>
      <bottom style="hair">
        <color indexed="64"/>
      </bottom>
      <diagonal/>
    </border>
    <border>
      <left style="hair">
        <color indexed="64"/>
      </left>
      <right/>
      <top style="medium">
        <color indexed="64"/>
      </top>
      <bottom/>
      <diagonal/>
    </border>
  </borders>
  <cellStyleXfs count="19">
    <xf numFmtId="0" fontId="0" fillId="0" borderId="0"/>
    <xf numFmtId="38" fontId="2" fillId="0" borderId="0" applyFont="0" applyFill="0" applyBorder="0" applyAlignment="0" applyProtection="0"/>
    <xf numFmtId="9" fontId="9" fillId="0" borderId="0" applyFont="0" applyFill="0" applyBorder="0" applyAlignment="0" applyProtection="0">
      <alignment vertical="center"/>
    </xf>
    <xf numFmtId="38" fontId="9" fillId="0" borderId="0" applyFont="0" applyFill="0" applyBorder="0" applyAlignment="0" applyProtection="0">
      <alignment vertical="center"/>
    </xf>
    <xf numFmtId="38" fontId="2" fillId="0" borderId="0" applyFont="0" applyFill="0" applyBorder="0" applyAlignment="0" applyProtection="0"/>
    <xf numFmtId="38" fontId="10" fillId="0" borderId="0" applyFont="0" applyFill="0" applyBorder="0" applyAlignment="0" applyProtection="0"/>
    <xf numFmtId="38" fontId="11" fillId="0" borderId="0" applyFont="0" applyFill="0" applyBorder="0" applyAlignment="0" applyProtection="0">
      <alignment vertical="center"/>
    </xf>
    <xf numFmtId="0" fontId="9" fillId="0" borderId="0"/>
    <xf numFmtId="0" fontId="2" fillId="0" borderId="0"/>
    <xf numFmtId="0" fontId="10" fillId="0" borderId="0"/>
    <xf numFmtId="0" fontId="9" fillId="0" borderId="0">
      <alignment vertical="center"/>
    </xf>
    <xf numFmtId="0" fontId="11" fillId="0" borderId="0"/>
    <xf numFmtId="0" fontId="12" fillId="0" borderId="0"/>
    <xf numFmtId="0" fontId="2" fillId="0" borderId="0"/>
    <xf numFmtId="0" fontId="1" fillId="0" borderId="0">
      <alignment vertical="center"/>
    </xf>
    <xf numFmtId="38" fontId="1" fillId="0" borderId="0" applyFont="0" applyFill="0" applyBorder="0" applyAlignment="0" applyProtection="0">
      <alignment vertical="center"/>
    </xf>
    <xf numFmtId="0" fontId="10" fillId="0" borderId="0"/>
    <xf numFmtId="38" fontId="10" fillId="0" borderId="0" applyFont="0" applyFill="0" applyBorder="0" applyAlignment="0" applyProtection="0"/>
    <xf numFmtId="9" fontId="2" fillId="0" borderId="0" applyFont="0" applyFill="0" applyBorder="0" applyAlignment="0" applyProtection="0">
      <alignment vertical="center"/>
    </xf>
  </cellStyleXfs>
  <cellXfs count="1646">
    <xf numFmtId="0" fontId="0" fillId="0" borderId="0" xfId="0"/>
    <xf numFmtId="38" fontId="0" fillId="0" borderId="0" xfId="1" applyFont="1"/>
    <xf numFmtId="0" fontId="0" fillId="0" borderId="0" xfId="0" applyFill="1" applyAlignment="1">
      <alignment horizontal="center" vertical="center"/>
    </xf>
    <xf numFmtId="0" fontId="0" fillId="0" borderId="0" xfId="0" applyFill="1" applyBorder="1" applyAlignment="1">
      <alignment vertical="center"/>
    </xf>
    <xf numFmtId="176" fontId="2" fillId="0" borderId="0" xfId="1" applyNumberFormat="1" applyFont="1" applyFill="1" applyBorder="1" applyAlignment="1">
      <alignment vertical="center"/>
    </xf>
    <xf numFmtId="176" fontId="2" fillId="0" borderId="0" xfId="1" applyNumberFormat="1" applyFont="1"/>
    <xf numFmtId="0" fontId="0" fillId="0" borderId="0" xfId="0" applyAlignment="1">
      <alignment horizontal="right"/>
    </xf>
    <xf numFmtId="0" fontId="4" fillId="0" borderId="0" xfId="0" applyFont="1"/>
    <xf numFmtId="0" fontId="0" fillId="0" borderId="0" xfId="0" applyAlignment="1">
      <alignment horizontal="center"/>
    </xf>
    <xf numFmtId="0" fontId="0" fillId="0" borderId="0" xfId="0" applyFont="1" applyAlignment="1">
      <alignment horizontal="center" shrinkToFit="1"/>
    </xf>
    <xf numFmtId="176" fontId="2" fillId="0" borderId="0" xfId="1" applyNumberFormat="1" applyFont="1" applyFill="1"/>
    <xf numFmtId="176" fontId="2" fillId="2" borderId="0" xfId="1" applyNumberFormat="1" applyFont="1" applyFill="1"/>
    <xf numFmtId="176" fontId="2" fillId="3" borderId="0" xfId="1" applyNumberFormat="1" applyFont="1" applyFill="1"/>
    <xf numFmtId="176" fontId="2" fillId="4" borderId="0" xfId="1" applyNumberFormat="1" applyFont="1" applyFill="1"/>
    <xf numFmtId="176" fontId="2" fillId="5" borderId="0" xfId="1" applyNumberFormat="1" applyFont="1" applyFill="1"/>
    <xf numFmtId="38" fontId="0" fillId="6" borderId="0" xfId="0" applyNumberFormat="1" applyFill="1"/>
    <xf numFmtId="38" fontId="0" fillId="0" borderId="0" xfId="0" applyNumberFormat="1"/>
    <xf numFmtId="0" fontId="0" fillId="0" borderId="0" xfId="0" applyFill="1" applyAlignment="1">
      <alignment horizontal="center"/>
    </xf>
    <xf numFmtId="0" fontId="0" fillId="0" borderId="0" xfId="0" applyBorder="1"/>
    <xf numFmtId="176" fontId="2" fillId="0" borderId="0" xfId="1" applyNumberFormat="1" applyFont="1" applyBorder="1"/>
    <xf numFmtId="0" fontId="0" fillId="0" borderId="1" xfId="0" applyBorder="1"/>
    <xf numFmtId="176" fontId="2" fillId="0" borderId="1" xfId="1" applyNumberFormat="1" applyFont="1" applyBorder="1"/>
    <xf numFmtId="0" fontId="0" fillId="0" borderId="0" xfId="0" applyFill="1"/>
    <xf numFmtId="38" fontId="0" fillId="0" borderId="0" xfId="0" applyNumberFormat="1" applyFill="1"/>
    <xf numFmtId="0" fontId="0" fillId="0" borderId="0" xfId="0" applyFont="1" applyFill="1"/>
    <xf numFmtId="176" fontId="0" fillId="0" borderId="0" xfId="1" applyNumberFormat="1" applyFont="1" applyFill="1"/>
    <xf numFmtId="0" fontId="13" fillId="0" borderId="0" xfId="0" applyFont="1" applyFill="1"/>
    <xf numFmtId="176" fontId="13" fillId="0" borderId="0" xfId="1" applyNumberFormat="1" applyFont="1" applyFill="1"/>
    <xf numFmtId="176" fontId="0" fillId="0" borderId="0" xfId="0" applyNumberFormat="1" applyFont="1" applyFill="1"/>
    <xf numFmtId="0" fontId="0" fillId="0" borderId="2" xfId="0" applyFont="1" applyFill="1" applyBorder="1"/>
    <xf numFmtId="176" fontId="0" fillId="0" borderId="3" xfId="1" applyNumberFormat="1" applyFont="1" applyFill="1" applyBorder="1" applyAlignment="1">
      <alignment vertical="center"/>
    </xf>
    <xf numFmtId="176" fontId="0" fillId="0" borderId="4" xfId="1" applyNumberFormat="1" applyFont="1" applyFill="1" applyBorder="1" applyAlignment="1">
      <alignment vertical="center"/>
    </xf>
    <xf numFmtId="176" fontId="0" fillId="0" borderId="8" xfId="1" applyNumberFormat="1" applyFont="1" applyFill="1" applyBorder="1" applyAlignment="1">
      <alignment vertical="center"/>
    </xf>
    <xf numFmtId="176" fontId="0" fillId="0" borderId="9" xfId="1" applyNumberFormat="1" applyFont="1" applyFill="1" applyBorder="1" applyAlignment="1">
      <alignment vertical="center"/>
    </xf>
    <xf numFmtId="176" fontId="0" fillId="0" borderId="14" xfId="1" applyNumberFormat="1" applyFont="1" applyFill="1" applyBorder="1" applyAlignment="1">
      <alignment vertical="center"/>
    </xf>
    <xf numFmtId="176" fontId="0" fillId="0" borderId="15" xfId="1" applyNumberFormat="1" applyFont="1" applyFill="1" applyBorder="1" applyAlignment="1">
      <alignment vertical="center"/>
    </xf>
    <xf numFmtId="176" fontId="0" fillId="0" borderId="20" xfId="1" applyNumberFormat="1" applyFont="1" applyFill="1" applyBorder="1" applyAlignment="1">
      <alignment vertical="center"/>
    </xf>
    <xf numFmtId="176" fontId="0" fillId="0" borderId="21" xfId="1" applyNumberFormat="1" applyFont="1" applyFill="1" applyBorder="1" applyAlignment="1">
      <alignment vertical="center"/>
    </xf>
    <xf numFmtId="0" fontId="0" fillId="0" borderId="31" xfId="0" applyFont="1" applyFill="1" applyBorder="1"/>
    <xf numFmtId="176" fontId="0" fillId="0" borderId="32" xfId="1" applyNumberFormat="1" applyFont="1" applyFill="1" applyBorder="1" applyAlignment="1">
      <alignment vertical="center"/>
    </xf>
    <xf numFmtId="0" fontId="0" fillId="0" borderId="33" xfId="0" applyFont="1" applyFill="1" applyBorder="1" applyAlignment="1">
      <alignment vertical="center"/>
    </xf>
    <xf numFmtId="176" fontId="0" fillId="0" borderId="34" xfId="1" applyNumberFormat="1" applyFont="1" applyFill="1" applyBorder="1" applyAlignment="1">
      <alignment vertical="center"/>
    </xf>
    <xf numFmtId="0" fontId="0" fillId="0" borderId="13" xfId="0" applyFont="1" applyFill="1" applyBorder="1"/>
    <xf numFmtId="176" fontId="0" fillId="0" borderId="35" xfId="1" applyNumberFormat="1" applyFont="1" applyFill="1" applyBorder="1" applyAlignment="1">
      <alignment vertical="center"/>
    </xf>
    <xf numFmtId="176" fontId="16" fillId="0" borderId="35" xfId="1" applyNumberFormat="1" applyFont="1" applyFill="1" applyBorder="1" applyAlignment="1">
      <alignment horizontal="center" vertical="center"/>
    </xf>
    <xf numFmtId="0" fontId="0" fillId="0" borderId="13" xfId="0" applyFont="1" applyFill="1" applyBorder="1" applyAlignment="1">
      <alignment vertical="center"/>
    </xf>
    <xf numFmtId="0" fontId="0" fillId="0" borderId="37" xfId="0" applyFont="1" applyFill="1" applyBorder="1" applyAlignment="1">
      <alignment vertical="center"/>
    </xf>
    <xf numFmtId="176" fontId="0" fillId="0" borderId="38" xfId="1" applyNumberFormat="1" applyFont="1" applyFill="1" applyBorder="1" applyAlignment="1">
      <alignment vertical="center"/>
    </xf>
    <xf numFmtId="0" fontId="0" fillId="0" borderId="7" xfId="0" applyFont="1" applyFill="1" applyBorder="1" applyAlignment="1">
      <alignment vertical="center"/>
    </xf>
    <xf numFmtId="176" fontId="0" fillId="0" borderId="42" xfId="1" applyNumberFormat="1" applyFont="1" applyFill="1" applyBorder="1" applyAlignment="1">
      <alignment horizontal="right" vertical="center"/>
    </xf>
    <xf numFmtId="176" fontId="0" fillId="0" borderId="26" xfId="1" applyNumberFormat="1" applyFont="1" applyFill="1" applyBorder="1" applyAlignment="1">
      <alignment vertical="center"/>
    </xf>
    <xf numFmtId="0" fontId="0" fillId="0" borderId="13" xfId="0" applyFont="1" applyFill="1" applyBorder="1" applyAlignment="1">
      <alignment vertical="center" shrinkToFit="1"/>
    </xf>
    <xf numFmtId="176" fontId="0" fillId="0" borderId="35" xfId="1" applyNumberFormat="1" applyFont="1" applyFill="1" applyBorder="1" applyAlignment="1">
      <alignment horizontal="right" vertical="center"/>
    </xf>
    <xf numFmtId="176" fontId="0" fillId="0" borderId="38" xfId="1" applyNumberFormat="1" applyFont="1" applyFill="1" applyBorder="1" applyAlignment="1">
      <alignment horizontal="right" vertical="center"/>
    </xf>
    <xf numFmtId="0" fontId="0" fillId="0" borderId="45" xfId="0" applyFont="1" applyFill="1" applyBorder="1" applyAlignment="1">
      <alignment vertical="center"/>
    </xf>
    <xf numFmtId="176" fontId="0" fillId="0" borderId="46" xfId="1" applyNumberFormat="1" applyFont="1" applyFill="1" applyBorder="1" applyAlignment="1">
      <alignment vertical="center"/>
    </xf>
    <xf numFmtId="0" fontId="0" fillId="0" borderId="47" xfId="0" applyFont="1" applyFill="1" applyBorder="1" applyAlignment="1">
      <alignment vertical="center"/>
    </xf>
    <xf numFmtId="0" fontId="14" fillId="0" borderId="48" xfId="0" applyFont="1" applyFill="1" applyBorder="1" applyAlignment="1">
      <alignment vertical="center"/>
    </xf>
    <xf numFmtId="0" fontId="0" fillId="0" borderId="49" xfId="0" applyFont="1" applyFill="1" applyBorder="1" applyAlignment="1">
      <alignment vertical="center"/>
    </xf>
    <xf numFmtId="0" fontId="0" fillId="0" borderId="44" xfId="0" applyFont="1" applyFill="1" applyBorder="1" applyAlignment="1">
      <alignment vertical="center"/>
    </xf>
    <xf numFmtId="0" fontId="0" fillId="0" borderId="50" xfId="0" applyFont="1" applyFill="1" applyBorder="1" applyAlignment="1">
      <alignment vertical="center"/>
    </xf>
    <xf numFmtId="176" fontId="0" fillId="0" borderId="51" xfId="1" applyNumberFormat="1" applyFont="1" applyFill="1" applyBorder="1" applyAlignment="1">
      <alignment vertical="center"/>
    </xf>
    <xf numFmtId="0" fontId="0" fillId="0" borderId="16" xfId="0" applyFont="1" applyFill="1" applyBorder="1" applyAlignment="1">
      <alignment vertical="center"/>
    </xf>
    <xf numFmtId="0" fontId="14" fillId="0" borderId="17" xfId="0" applyFont="1" applyFill="1" applyBorder="1" applyAlignment="1">
      <alignment vertical="center"/>
    </xf>
    <xf numFmtId="0" fontId="0" fillId="0" borderId="52" xfId="0" applyFont="1" applyFill="1" applyBorder="1" applyAlignment="1">
      <alignment vertical="center"/>
    </xf>
    <xf numFmtId="0" fontId="0" fillId="0" borderId="18" xfId="0" applyFont="1" applyFill="1" applyBorder="1" applyAlignment="1">
      <alignment vertical="center"/>
    </xf>
    <xf numFmtId="0" fontId="0" fillId="0" borderId="14" xfId="0" applyFont="1" applyFill="1" applyBorder="1" applyAlignment="1">
      <alignment vertical="center"/>
    </xf>
    <xf numFmtId="0" fontId="0" fillId="0" borderId="53" xfId="0" applyFont="1" applyFill="1" applyBorder="1" applyAlignment="1">
      <alignment vertical="center"/>
    </xf>
    <xf numFmtId="0" fontId="0" fillId="0" borderId="17" xfId="0" applyFont="1" applyFill="1" applyBorder="1" applyAlignment="1">
      <alignment vertical="center"/>
    </xf>
    <xf numFmtId="0" fontId="0" fillId="0" borderId="54" xfId="0" applyFont="1" applyFill="1" applyBorder="1" applyAlignment="1">
      <alignment vertical="center"/>
    </xf>
    <xf numFmtId="0" fontId="0" fillId="0" borderId="15" xfId="0" applyFont="1" applyFill="1" applyBorder="1" applyAlignment="1">
      <alignment vertical="center"/>
    </xf>
    <xf numFmtId="0" fontId="0" fillId="0" borderId="35" xfId="0" applyFont="1" applyFill="1" applyBorder="1" applyAlignment="1">
      <alignment vertical="center"/>
    </xf>
    <xf numFmtId="0" fontId="0" fillId="0" borderId="55" xfId="0" applyFont="1" applyFill="1" applyBorder="1" applyAlignment="1">
      <alignment vertical="center"/>
    </xf>
    <xf numFmtId="0" fontId="0" fillId="0" borderId="51" xfId="0" applyFont="1" applyFill="1" applyBorder="1" applyAlignment="1">
      <alignment vertical="center"/>
    </xf>
    <xf numFmtId="0" fontId="0" fillId="0" borderId="56" xfId="0" applyFont="1" applyFill="1" applyBorder="1" applyAlignment="1">
      <alignment vertical="center"/>
    </xf>
    <xf numFmtId="0" fontId="0" fillId="0" borderId="57" xfId="0" applyFont="1" applyFill="1" applyBorder="1" applyAlignment="1">
      <alignment vertical="center"/>
    </xf>
    <xf numFmtId="176" fontId="0" fillId="0" borderId="58" xfId="1" applyNumberFormat="1" applyFont="1" applyFill="1" applyBorder="1" applyAlignment="1">
      <alignment vertical="center"/>
    </xf>
    <xf numFmtId="0" fontId="0" fillId="0" borderId="58" xfId="0" applyFont="1" applyFill="1" applyBorder="1" applyAlignment="1">
      <alignment vertical="center"/>
    </xf>
    <xf numFmtId="0" fontId="0" fillId="0" borderId="59" xfId="0" applyFont="1" applyFill="1" applyBorder="1" applyAlignment="1">
      <alignment vertical="center"/>
    </xf>
    <xf numFmtId="0" fontId="0" fillId="0" borderId="46" xfId="0" applyFont="1" applyFill="1" applyBorder="1" applyAlignment="1">
      <alignment vertical="center"/>
    </xf>
    <xf numFmtId="0" fontId="0" fillId="0" borderId="42" xfId="0" applyFont="1" applyFill="1" applyBorder="1" applyAlignment="1">
      <alignment vertical="center"/>
    </xf>
    <xf numFmtId="0" fontId="0" fillId="0" borderId="60" xfId="0" applyFont="1" applyFill="1" applyBorder="1" applyAlignment="1">
      <alignment vertical="center"/>
    </xf>
    <xf numFmtId="3" fontId="0" fillId="0" borderId="0" xfId="0" applyNumberFormat="1" applyFont="1" applyFill="1"/>
    <xf numFmtId="0" fontId="0" fillId="0" borderId="16" xfId="0" applyFont="1" applyFill="1" applyBorder="1" applyAlignment="1">
      <alignment horizontal="left" vertical="center" shrinkToFit="1"/>
    </xf>
    <xf numFmtId="0" fontId="0" fillId="0" borderId="58" xfId="0" applyFont="1" applyFill="1" applyBorder="1" applyAlignment="1">
      <alignment horizontal="left" vertical="center" shrinkToFit="1"/>
    </xf>
    <xf numFmtId="0" fontId="0" fillId="0" borderId="2" xfId="0" applyFont="1" applyFill="1" applyBorder="1" applyAlignment="1">
      <alignment horizontal="center" vertical="center"/>
    </xf>
    <xf numFmtId="176" fontId="0" fillId="0" borderId="4" xfId="1" applyNumberFormat="1" applyFont="1" applyFill="1" applyBorder="1" applyAlignment="1">
      <alignment horizontal="center" vertical="center"/>
    </xf>
    <xf numFmtId="0" fontId="0" fillId="0" borderId="0" xfId="0" applyFont="1" applyFill="1" applyAlignment="1">
      <alignment horizontal="center"/>
    </xf>
    <xf numFmtId="0" fontId="0" fillId="0" borderId="0" xfId="0" applyFont="1" applyFill="1" applyAlignment="1">
      <alignment vertical="center"/>
    </xf>
    <xf numFmtId="0" fontId="0" fillId="0" borderId="0" xfId="0" applyFont="1" applyFill="1" applyBorder="1" applyAlignment="1">
      <alignment horizontal="distributed" vertical="center" wrapText="1"/>
    </xf>
    <xf numFmtId="0" fontId="0" fillId="0" borderId="0" xfId="0" applyFont="1" applyFill="1" applyBorder="1" applyAlignment="1">
      <alignment horizontal="center" vertical="top" justifyLastLine="1"/>
    </xf>
    <xf numFmtId="176" fontId="0" fillId="0" borderId="0" xfId="1" applyNumberFormat="1" applyFont="1" applyFill="1" applyBorder="1" applyAlignment="1">
      <alignment horizontal="center" vertical="top" justifyLastLine="1"/>
    </xf>
    <xf numFmtId="58" fontId="0" fillId="0" borderId="0" xfId="0" applyNumberFormat="1" applyFont="1" applyFill="1" applyBorder="1" applyAlignment="1">
      <alignment horizontal="distributed"/>
    </xf>
    <xf numFmtId="176" fontId="6" fillId="0" borderId="0" xfId="1" applyNumberFormat="1" applyFont="1" applyFill="1" applyBorder="1" applyAlignment="1">
      <alignment horizontal="left" vertical="top" justifyLastLine="1"/>
    </xf>
    <xf numFmtId="176" fontId="0" fillId="0" borderId="0" xfId="0" applyNumberFormat="1" applyFont="1" applyFill="1" applyAlignment="1">
      <alignment horizontal="right"/>
    </xf>
    <xf numFmtId="3" fontId="0" fillId="0" borderId="0" xfId="0" applyNumberFormat="1" applyFont="1" applyFill="1" applyAlignment="1">
      <alignment horizontal="left"/>
    </xf>
    <xf numFmtId="176" fontId="0" fillId="0" borderId="7" xfId="1" applyNumberFormat="1" applyFont="1" applyFill="1" applyBorder="1" applyAlignment="1">
      <alignment vertical="center"/>
    </xf>
    <xf numFmtId="176" fontId="0" fillId="0" borderId="63" xfId="0" applyNumberFormat="1" applyFont="1" applyFill="1" applyBorder="1" applyAlignment="1">
      <alignment vertical="center"/>
    </xf>
    <xf numFmtId="176" fontId="0" fillId="0" borderId="9" xfId="0" applyNumberFormat="1" applyFont="1" applyFill="1" applyBorder="1" applyAlignment="1">
      <alignment vertical="center"/>
    </xf>
    <xf numFmtId="176" fontId="0" fillId="0" borderId="54" xfId="0" applyNumberFormat="1" applyFont="1" applyFill="1" applyBorder="1" applyAlignment="1">
      <alignment vertical="center"/>
    </xf>
    <xf numFmtId="176" fontId="0" fillId="0" borderId="15" xfId="0" applyNumberFormat="1" applyFont="1" applyFill="1" applyBorder="1" applyAlignment="1">
      <alignment vertical="center"/>
    </xf>
    <xf numFmtId="176" fontId="0" fillId="0" borderId="57" xfId="0" applyNumberFormat="1" applyFont="1" applyFill="1" applyBorder="1" applyAlignment="1">
      <alignment vertical="center"/>
    </xf>
    <xf numFmtId="176" fontId="0" fillId="0" borderId="58" xfId="0" applyNumberFormat="1" applyFont="1" applyFill="1" applyBorder="1" applyAlignment="1">
      <alignment vertical="center"/>
    </xf>
    <xf numFmtId="0" fontId="0" fillId="0" borderId="31" xfId="0" applyFont="1" applyFill="1" applyBorder="1" applyAlignment="1">
      <alignment vertical="center"/>
    </xf>
    <xf numFmtId="0" fontId="0" fillId="0" borderId="63" xfId="0" applyFont="1" applyFill="1" applyBorder="1" applyAlignment="1">
      <alignment vertical="center"/>
    </xf>
    <xf numFmtId="0" fontId="0" fillId="0" borderId="10" xfId="0" applyFont="1" applyFill="1" applyBorder="1" applyAlignment="1">
      <alignment vertical="center"/>
    </xf>
    <xf numFmtId="0" fontId="14" fillId="0" borderId="8" xfId="0" applyFont="1" applyFill="1" applyBorder="1" applyAlignment="1">
      <alignment vertical="center"/>
    </xf>
    <xf numFmtId="0" fontId="0" fillId="0" borderId="25" xfId="0" applyFont="1" applyFill="1" applyBorder="1" applyAlignment="1">
      <alignment vertical="center"/>
    </xf>
    <xf numFmtId="176" fontId="0" fillId="2" borderId="51" xfId="1" applyNumberFormat="1" applyFont="1" applyFill="1" applyBorder="1" applyAlignment="1">
      <alignment vertical="center"/>
    </xf>
    <xf numFmtId="176" fontId="0" fillId="0" borderId="4" xfId="0" applyNumberFormat="1" applyFont="1" applyFill="1" applyBorder="1" applyAlignment="1">
      <alignment horizontal="center" vertical="center"/>
    </xf>
    <xf numFmtId="0" fontId="19" fillId="0" borderId="0" xfId="0" applyFont="1"/>
    <xf numFmtId="38" fontId="19" fillId="0" borderId="0" xfId="0" applyNumberFormat="1" applyFont="1"/>
    <xf numFmtId="176" fontId="19" fillId="0" borderId="0" xfId="0" applyNumberFormat="1" applyFont="1"/>
    <xf numFmtId="176" fontId="13" fillId="0" borderId="0" xfId="0" applyNumberFormat="1" applyFont="1" applyFill="1"/>
    <xf numFmtId="38" fontId="13" fillId="0" borderId="0" xfId="0" applyNumberFormat="1" applyFont="1" applyFill="1"/>
    <xf numFmtId="178" fontId="13" fillId="0" borderId="0" xfId="0" applyNumberFormat="1" applyFont="1" applyFill="1"/>
    <xf numFmtId="0" fontId="19" fillId="0" borderId="0" xfId="0" applyFont="1" applyAlignment="1">
      <alignment horizontal="center"/>
    </xf>
    <xf numFmtId="38" fontId="20" fillId="0" borderId="26" xfId="1" applyFont="1" applyBorder="1" applyAlignment="1">
      <alignment vertical="center"/>
    </xf>
    <xf numFmtId="38" fontId="20" fillId="0" borderId="27" xfId="1" applyFont="1" applyBorder="1" applyAlignment="1">
      <alignment vertical="center"/>
    </xf>
    <xf numFmtId="38" fontId="0" fillId="0" borderId="62" xfId="1" applyFont="1" applyFill="1" applyBorder="1" applyAlignment="1">
      <alignment vertical="center"/>
    </xf>
    <xf numFmtId="38" fontId="0" fillId="0" borderId="26" xfId="1" applyFont="1" applyFill="1" applyBorder="1" applyAlignment="1">
      <alignment vertical="center"/>
    </xf>
    <xf numFmtId="38" fontId="0" fillId="0" borderId="9" xfId="1" applyFont="1" applyBorder="1" applyAlignment="1">
      <alignment vertical="center"/>
    </xf>
    <xf numFmtId="38" fontId="0" fillId="0" borderId="10" xfId="1" applyFont="1" applyBorder="1" applyAlignment="1">
      <alignment vertical="center"/>
    </xf>
    <xf numFmtId="177" fontId="0" fillId="0" borderId="63" xfId="1" applyNumberFormat="1" applyFont="1" applyFill="1" applyBorder="1" applyAlignment="1">
      <alignment horizontal="center" vertical="center"/>
    </xf>
    <xf numFmtId="177" fontId="0" fillId="0" borderId="8" xfId="1" applyNumberFormat="1" applyFont="1" applyFill="1" applyBorder="1" applyAlignment="1">
      <alignment horizontal="center" vertical="center" shrinkToFit="1"/>
    </xf>
    <xf numFmtId="38" fontId="0" fillId="0" borderId="9" xfId="1" applyFont="1" applyFill="1" applyBorder="1" applyAlignment="1">
      <alignment vertical="center"/>
    </xf>
    <xf numFmtId="38" fontId="0" fillId="0" borderId="15" xfId="1" applyFont="1" applyBorder="1" applyAlignment="1">
      <alignment vertical="center"/>
    </xf>
    <xf numFmtId="38" fontId="0" fillId="0" borderId="70" xfId="1" applyFont="1" applyBorder="1" applyAlignment="1">
      <alignment vertical="center"/>
    </xf>
    <xf numFmtId="38" fontId="0" fillId="0" borderId="15" xfId="1" applyFont="1" applyFill="1" applyBorder="1" applyAlignment="1">
      <alignment vertical="center"/>
    </xf>
    <xf numFmtId="38" fontId="0" fillId="0" borderId="58" xfId="1" applyFont="1" applyBorder="1" applyAlignment="1">
      <alignment vertical="center"/>
    </xf>
    <xf numFmtId="38" fontId="0" fillId="0" borderId="71" xfId="1" applyFont="1" applyBorder="1" applyAlignment="1">
      <alignment vertical="center"/>
    </xf>
    <xf numFmtId="38" fontId="0" fillId="0" borderId="58" xfId="1" applyFont="1" applyFill="1" applyBorder="1" applyAlignment="1">
      <alignment vertical="center"/>
    </xf>
    <xf numFmtId="38" fontId="0" fillId="0" borderId="21" xfId="1" applyFont="1" applyFill="1" applyBorder="1" applyAlignment="1">
      <alignment vertical="center"/>
    </xf>
    <xf numFmtId="0" fontId="0" fillId="0" borderId="26" xfId="0" applyBorder="1" applyAlignment="1">
      <alignment horizontal="center" vertical="center"/>
    </xf>
    <xf numFmtId="176" fontId="0" fillId="0" borderId="9" xfId="0" applyNumberFormat="1" applyFont="1" applyFill="1" applyBorder="1" applyAlignment="1">
      <alignment horizontal="center" vertical="center" shrinkToFit="1"/>
    </xf>
    <xf numFmtId="0" fontId="0" fillId="0" borderId="62" xfId="0" applyFont="1" applyFill="1" applyBorder="1" applyAlignment="1">
      <alignment horizontal="center" vertical="center" shrinkToFit="1"/>
    </xf>
    <xf numFmtId="0" fontId="0" fillId="0" borderId="26" xfId="0" applyFont="1" applyFill="1" applyBorder="1" applyAlignment="1">
      <alignment horizontal="center" vertical="center"/>
    </xf>
    <xf numFmtId="0" fontId="0" fillId="0" borderId="29" xfId="0" applyBorder="1" applyAlignment="1">
      <alignment horizontal="center" vertical="center"/>
    </xf>
    <xf numFmtId="0" fontId="0" fillId="0" borderId="65" xfId="0" applyFont="1" applyFill="1" applyBorder="1" applyAlignment="1">
      <alignment horizontal="center" vertical="center" shrinkToFit="1"/>
    </xf>
    <xf numFmtId="0" fontId="0" fillId="0" borderId="29" xfId="0" applyFont="1" applyFill="1" applyBorder="1" applyAlignment="1">
      <alignment horizontal="center"/>
    </xf>
    <xf numFmtId="176" fontId="0" fillId="0" borderId="4" xfId="0" applyNumberFormat="1" applyFont="1" applyFill="1" applyBorder="1" applyAlignment="1">
      <alignment vertical="center"/>
    </xf>
    <xf numFmtId="176" fontId="0" fillId="0" borderId="61" xfId="1" applyNumberFormat="1" applyFont="1" applyFill="1" applyBorder="1" applyAlignment="1">
      <alignment vertical="center"/>
    </xf>
    <xf numFmtId="38" fontId="0" fillId="0" borderId="4" xfId="0" applyNumberFormat="1" applyFont="1" applyFill="1" applyBorder="1" applyAlignment="1">
      <alignment vertical="center"/>
    </xf>
    <xf numFmtId="177" fontId="0" fillId="0" borderId="13" xfId="1" applyNumberFormat="1" applyFont="1" applyFill="1" applyBorder="1" applyAlignment="1">
      <alignment horizontal="center" vertical="center"/>
    </xf>
    <xf numFmtId="0" fontId="0" fillId="0" borderId="61" xfId="0" applyFont="1" applyFill="1" applyBorder="1" applyAlignment="1">
      <alignment vertical="center"/>
    </xf>
    <xf numFmtId="0" fontId="0" fillId="0" borderId="4" xfId="0" applyFont="1" applyFill="1" applyBorder="1" applyAlignment="1">
      <alignment vertical="center"/>
    </xf>
    <xf numFmtId="0" fontId="0" fillId="0" borderId="77" xfId="0" applyBorder="1" applyAlignment="1">
      <alignment vertical="center"/>
    </xf>
    <xf numFmtId="177" fontId="0" fillId="0" borderId="52" xfId="1" applyNumberFormat="1" applyFont="1" applyFill="1" applyBorder="1" applyAlignment="1">
      <alignment horizontal="center" vertical="center"/>
    </xf>
    <xf numFmtId="0" fontId="0" fillId="0" borderId="79" xfId="0" applyBorder="1" applyAlignment="1">
      <alignment vertical="center"/>
    </xf>
    <xf numFmtId="177" fontId="2" fillId="7" borderId="63" xfId="1" applyNumberFormat="1" applyFill="1" applyBorder="1" applyAlignment="1">
      <alignment vertical="center"/>
    </xf>
    <xf numFmtId="38" fontId="2" fillId="7" borderId="9" xfId="1" applyFill="1" applyBorder="1" applyAlignment="1">
      <alignment vertical="center"/>
    </xf>
    <xf numFmtId="38" fontId="2" fillId="7" borderId="64" xfId="1" applyFill="1" applyBorder="1" applyAlignment="1">
      <alignment vertical="center"/>
    </xf>
    <xf numFmtId="38" fontId="0" fillId="2" borderId="64" xfId="4" applyFont="1" applyFill="1" applyBorder="1" applyAlignment="1">
      <alignment vertical="center"/>
    </xf>
    <xf numFmtId="177" fontId="0" fillId="0" borderId="8" xfId="1" applyNumberFormat="1" applyFont="1" applyFill="1" applyBorder="1" applyAlignment="1">
      <alignment horizontal="center" vertical="center"/>
    </xf>
    <xf numFmtId="38" fontId="0" fillId="8" borderId="9" xfId="1" applyFont="1" applyFill="1" applyBorder="1" applyAlignment="1">
      <alignment vertical="center"/>
    </xf>
    <xf numFmtId="38" fontId="0" fillId="2" borderId="9" xfId="1" applyFont="1" applyFill="1" applyBorder="1" applyAlignment="1">
      <alignment vertical="center"/>
    </xf>
    <xf numFmtId="0" fontId="0" fillId="0" borderId="25" xfId="0" applyBorder="1" applyAlignment="1">
      <alignment vertical="center"/>
    </xf>
    <xf numFmtId="0" fontId="0" fillId="0" borderId="18" xfId="0" applyBorder="1" applyAlignment="1">
      <alignment vertical="center"/>
    </xf>
    <xf numFmtId="0" fontId="0" fillId="0" borderId="80" xfId="0" applyBorder="1" applyAlignment="1">
      <alignment vertical="center"/>
    </xf>
    <xf numFmtId="177" fontId="2" fillId="7" borderId="50" xfId="1" applyNumberFormat="1" applyFill="1" applyBorder="1" applyAlignment="1">
      <alignment vertical="center"/>
    </xf>
    <xf numFmtId="38" fontId="2" fillId="7" borderId="51" xfId="1" applyFill="1" applyBorder="1" applyAlignment="1">
      <alignment vertical="center"/>
    </xf>
    <xf numFmtId="38" fontId="2" fillId="7" borderId="81" xfId="1" applyFill="1" applyBorder="1" applyAlignment="1">
      <alignment vertical="center"/>
    </xf>
    <xf numFmtId="177" fontId="0" fillId="0" borderId="54" xfId="1" applyNumberFormat="1" applyFont="1" applyFill="1" applyBorder="1" applyAlignment="1">
      <alignment horizontal="center" vertical="center"/>
    </xf>
    <xf numFmtId="38" fontId="0" fillId="2" borderId="56" xfId="4" applyFont="1" applyFill="1" applyBorder="1" applyAlignment="1">
      <alignment vertical="center"/>
    </xf>
    <xf numFmtId="177" fontId="0" fillId="0" borderId="14" xfId="1" applyNumberFormat="1" applyFont="1" applyFill="1" applyBorder="1" applyAlignment="1">
      <alignment horizontal="center" vertical="center"/>
    </xf>
    <xf numFmtId="38" fontId="0" fillId="8" borderId="51" xfId="1" applyFont="1" applyFill="1" applyBorder="1" applyAlignment="1">
      <alignment vertical="center"/>
    </xf>
    <xf numFmtId="38" fontId="0" fillId="2" borderId="51" xfId="1" applyFont="1" applyFill="1" applyBorder="1" applyAlignment="1">
      <alignment vertical="center"/>
    </xf>
    <xf numFmtId="0" fontId="0" fillId="0" borderId="16" xfId="0" applyBorder="1" applyAlignment="1">
      <alignment vertical="center"/>
    </xf>
    <xf numFmtId="0" fontId="0" fillId="0" borderId="52" xfId="0" applyBorder="1" applyAlignment="1">
      <alignment vertical="center"/>
    </xf>
    <xf numFmtId="38" fontId="0" fillId="2" borderId="81" xfId="4" applyFont="1" applyFill="1" applyBorder="1" applyAlignment="1">
      <alignment vertical="center"/>
    </xf>
    <xf numFmtId="0" fontId="0" fillId="0" borderId="14" xfId="0" applyBorder="1" applyAlignment="1">
      <alignment vertical="center"/>
    </xf>
    <xf numFmtId="177" fontId="20" fillId="7" borderId="50" xfId="1" applyNumberFormat="1" applyFont="1" applyFill="1" applyBorder="1" applyAlignment="1">
      <alignment vertical="center"/>
    </xf>
    <xf numFmtId="38" fontId="20" fillId="7" borderId="51" xfId="1" applyFont="1" applyFill="1" applyBorder="1" applyAlignment="1">
      <alignment vertical="center"/>
    </xf>
    <xf numFmtId="38" fontId="20" fillId="7" borderId="81" xfId="1" applyFont="1" applyFill="1" applyBorder="1" applyAlignment="1">
      <alignment vertical="center"/>
    </xf>
    <xf numFmtId="38" fontId="0" fillId="0" borderId="81" xfId="1" applyFont="1" applyFill="1" applyBorder="1" applyAlignment="1">
      <alignment vertical="center"/>
    </xf>
    <xf numFmtId="38" fontId="0" fillId="0" borderId="51" xfId="1" applyFont="1" applyFill="1" applyBorder="1" applyAlignment="1">
      <alignment vertical="center"/>
    </xf>
    <xf numFmtId="0" fontId="0" fillId="0" borderId="53" xfId="0" applyBorder="1" applyAlignment="1">
      <alignment vertical="center"/>
    </xf>
    <xf numFmtId="0" fontId="0" fillId="0" borderId="17" xfId="0" applyBorder="1" applyAlignment="1">
      <alignment vertical="center"/>
    </xf>
    <xf numFmtId="0" fontId="0" fillId="0" borderId="82" xfId="0" applyBorder="1" applyAlignment="1">
      <alignment vertical="center"/>
    </xf>
    <xf numFmtId="177" fontId="2" fillId="7" borderId="54" xfId="1" applyNumberFormat="1" applyFill="1" applyBorder="1" applyAlignment="1">
      <alignment vertical="center"/>
    </xf>
    <xf numFmtId="38" fontId="2" fillId="7" borderId="15" xfId="1" applyFill="1" applyBorder="1" applyAlignment="1">
      <alignment vertical="center"/>
    </xf>
    <xf numFmtId="38" fontId="2" fillId="7" borderId="56" xfId="1" applyFill="1" applyBorder="1" applyAlignment="1">
      <alignment vertical="center"/>
    </xf>
    <xf numFmtId="38" fontId="0" fillId="8" borderId="15" xfId="1" applyFont="1" applyFill="1" applyBorder="1" applyAlignment="1">
      <alignment vertical="center"/>
    </xf>
    <xf numFmtId="38" fontId="0" fillId="2" borderId="15" xfId="1" applyFont="1" applyFill="1" applyBorder="1" applyAlignment="1">
      <alignment vertical="center"/>
    </xf>
    <xf numFmtId="0" fontId="0" fillId="0" borderId="35" xfId="0" applyBorder="1" applyAlignment="1">
      <alignment vertical="center"/>
    </xf>
    <xf numFmtId="0" fontId="0" fillId="0" borderId="55" xfId="0" applyBorder="1" applyAlignment="1">
      <alignment vertical="center"/>
    </xf>
    <xf numFmtId="177" fontId="0" fillId="0" borderId="17" xfId="1" applyNumberFormat="1" applyFont="1" applyFill="1" applyBorder="1" applyAlignment="1">
      <alignment horizontal="center" vertical="center"/>
    </xf>
    <xf numFmtId="0" fontId="0" fillId="0" borderId="51" xfId="0" applyBorder="1" applyAlignment="1">
      <alignment vertical="center"/>
    </xf>
    <xf numFmtId="0" fontId="0" fillId="0" borderId="15" xfId="0" applyBorder="1" applyAlignment="1">
      <alignment vertical="center"/>
    </xf>
    <xf numFmtId="0" fontId="0" fillId="0" borderId="56" xfId="0" applyBorder="1" applyAlignment="1">
      <alignment vertical="center"/>
    </xf>
    <xf numFmtId="0" fontId="0" fillId="0" borderId="83" xfId="0" applyBorder="1" applyAlignment="1">
      <alignment vertical="center"/>
    </xf>
    <xf numFmtId="177" fontId="20" fillId="7" borderId="57" xfId="1" applyNumberFormat="1" applyFont="1" applyFill="1" applyBorder="1" applyAlignment="1">
      <alignment vertical="center"/>
    </xf>
    <xf numFmtId="38" fontId="20" fillId="7" borderId="58" xfId="1" applyFont="1" applyFill="1" applyBorder="1" applyAlignment="1">
      <alignment vertical="center"/>
    </xf>
    <xf numFmtId="38" fontId="20" fillId="7" borderId="59" xfId="1" applyFont="1" applyFill="1" applyBorder="1" applyAlignment="1">
      <alignment vertical="center"/>
    </xf>
    <xf numFmtId="38" fontId="0" fillId="0" borderId="59" xfId="1" applyFont="1" applyFill="1" applyBorder="1" applyAlignment="1">
      <alignment vertical="center"/>
    </xf>
    <xf numFmtId="177" fontId="0" fillId="0" borderId="72" xfId="1" applyNumberFormat="1" applyFont="1" applyFill="1" applyBorder="1" applyAlignment="1">
      <alignment horizontal="center" vertical="center"/>
    </xf>
    <xf numFmtId="0" fontId="0" fillId="0" borderId="58" xfId="0" applyBorder="1" applyAlignment="1">
      <alignment vertical="center"/>
    </xf>
    <xf numFmtId="0" fontId="0" fillId="0" borderId="59" xfId="0" applyBorder="1" applyAlignment="1">
      <alignment vertical="center"/>
    </xf>
    <xf numFmtId="0" fontId="0" fillId="0" borderId="84" xfId="0" applyBorder="1" applyAlignment="1">
      <alignment vertical="center"/>
    </xf>
    <xf numFmtId="177" fontId="2" fillId="7" borderId="45" xfId="1" applyNumberFormat="1" applyFill="1" applyBorder="1" applyAlignment="1">
      <alignment vertical="center"/>
    </xf>
    <xf numFmtId="38" fontId="2" fillId="7" borderId="46" xfId="1" applyFill="1" applyBorder="1" applyAlignment="1">
      <alignment vertical="center"/>
    </xf>
    <xf numFmtId="38" fontId="2" fillId="7" borderId="85" xfId="1" applyFill="1" applyBorder="1" applyAlignment="1">
      <alignment vertical="center"/>
    </xf>
    <xf numFmtId="177" fontId="0" fillId="0" borderId="45" xfId="1" applyNumberFormat="1" applyFont="1" applyFill="1" applyBorder="1" applyAlignment="1">
      <alignment horizontal="center" vertical="center"/>
    </xf>
    <xf numFmtId="38" fontId="0" fillId="2" borderId="85" xfId="4" applyFont="1" applyFill="1" applyBorder="1" applyAlignment="1">
      <alignment vertical="center"/>
    </xf>
    <xf numFmtId="177" fontId="0" fillId="0" borderId="48" xfId="1" applyNumberFormat="1" applyFont="1" applyFill="1" applyBorder="1" applyAlignment="1">
      <alignment horizontal="center" vertical="center"/>
    </xf>
    <xf numFmtId="38" fontId="0" fillId="6" borderId="46" xfId="1" applyFont="1" applyFill="1" applyBorder="1" applyAlignment="1">
      <alignment vertical="center"/>
    </xf>
    <xf numFmtId="38" fontId="0" fillId="2" borderId="46" xfId="1" applyFont="1" applyFill="1" applyBorder="1" applyAlignment="1">
      <alignment vertical="center"/>
    </xf>
    <xf numFmtId="0" fontId="0" fillId="0" borderId="46" xfId="0" applyBorder="1" applyAlignment="1">
      <alignment vertical="center" shrinkToFit="1"/>
    </xf>
    <xf numFmtId="0" fontId="0" fillId="0" borderId="46" xfId="0" applyFont="1" applyBorder="1" applyAlignment="1">
      <alignment vertical="center"/>
    </xf>
    <xf numFmtId="0" fontId="0" fillId="0" borderId="42" xfId="0" applyBorder="1" applyAlignment="1">
      <alignment vertical="center"/>
    </xf>
    <xf numFmtId="0" fontId="0" fillId="0" borderId="60" xfId="0" applyBorder="1" applyAlignment="1">
      <alignment vertical="center"/>
    </xf>
    <xf numFmtId="38" fontId="0" fillId="6" borderId="15" xfId="1" applyFont="1" applyFill="1" applyBorder="1" applyAlignment="1">
      <alignment vertical="center"/>
    </xf>
    <xf numFmtId="0" fontId="0" fillId="0" borderId="15" xfId="0" applyBorder="1" applyAlignment="1">
      <alignment vertical="center" shrinkToFit="1"/>
    </xf>
    <xf numFmtId="177" fontId="0" fillId="0" borderId="50" xfId="1" applyNumberFormat="1" applyFont="1" applyFill="1" applyBorder="1" applyAlignment="1">
      <alignment horizontal="center" vertical="center"/>
    </xf>
    <xf numFmtId="38" fontId="0" fillId="2" borderId="81" xfId="1" applyFont="1" applyFill="1" applyBorder="1" applyAlignment="1">
      <alignment vertical="center"/>
    </xf>
    <xf numFmtId="177" fontId="2" fillId="7" borderId="50" xfId="1" applyNumberFormat="1" applyFill="1" applyBorder="1" applyAlignment="1">
      <alignment horizontal="center" vertical="center"/>
    </xf>
    <xf numFmtId="38" fontId="0" fillId="6" borderId="51" xfId="1" applyFont="1" applyFill="1" applyBorder="1" applyAlignment="1">
      <alignment vertical="center"/>
    </xf>
    <xf numFmtId="176" fontId="0" fillId="0" borderId="51" xfId="1" applyNumberFormat="1" applyFont="1" applyFill="1" applyBorder="1" applyAlignment="1">
      <alignment vertical="center" shrinkToFit="1"/>
    </xf>
    <xf numFmtId="0" fontId="0" fillId="0" borderId="0" xfId="0" applyAlignment="1">
      <alignment shrinkToFit="1"/>
    </xf>
    <xf numFmtId="0" fontId="0" fillId="0" borderId="76" xfId="0" applyBorder="1" applyAlignment="1">
      <alignment horizontal="center" vertical="center" shrinkToFit="1"/>
    </xf>
    <xf numFmtId="0" fontId="0" fillId="7" borderId="63" xfId="0" applyFill="1" applyBorder="1" applyAlignment="1">
      <alignment horizontal="center" vertical="center" shrinkToFit="1"/>
    </xf>
    <xf numFmtId="0" fontId="0" fillId="7" borderId="9" xfId="0" applyFill="1" applyBorder="1" applyAlignment="1">
      <alignment horizontal="center" vertical="center" shrinkToFit="1"/>
    </xf>
    <xf numFmtId="0" fontId="0" fillId="7" borderId="62" xfId="0" applyFill="1" applyBorder="1" applyAlignment="1">
      <alignment horizontal="center" vertical="center" shrinkToFit="1"/>
    </xf>
    <xf numFmtId="0" fontId="0" fillId="0" borderId="26" xfId="0" applyFont="1" applyFill="1" applyBorder="1" applyAlignment="1">
      <alignment horizontal="center" vertical="center" shrinkToFit="1"/>
    </xf>
    <xf numFmtId="0" fontId="0" fillId="0" borderId="78" xfId="0" applyBorder="1" applyAlignment="1">
      <alignment horizontal="center" vertical="center" shrinkToFit="1"/>
    </xf>
    <xf numFmtId="0" fontId="0" fillId="7" borderId="65" xfId="0" applyFill="1" applyBorder="1" applyAlignment="1">
      <alignment horizontal="center" vertical="center" shrinkToFit="1"/>
    </xf>
    <xf numFmtId="0" fontId="0" fillId="0" borderId="29" xfId="0" applyFont="1" applyFill="1" applyBorder="1" applyAlignment="1">
      <alignment horizontal="center" vertical="center" shrinkToFit="1"/>
    </xf>
    <xf numFmtId="0" fontId="21" fillId="0" borderId="0" xfId="0" applyFont="1" applyBorder="1" applyAlignment="1">
      <alignment horizontal="center" vertical="top"/>
    </xf>
    <xf numFmtId="0" fontId="17" fillId="0" borderId="11" xfId="0" applyFont="1" applyFill="1" applyBorder="1" applyAlignment="1">
      <alignment horizontal="left" vertical="top"/>
    </xf>
    <xf numFmtId="177" fontId="21" fillId="0" borderId="0" xfId="0" applyNumberFormat="1" applyFont="1" applyFill="1" applyBorder="1" applyAlignment="1">
      <alignment horizontal="center" vertical="top"/>
    </xf>
    <xf numFmtId="176" fontId="21" fillId="0" borderId="0" xfId="0" applyNumberFormat="1" applyFont="1" applyFill="1" applyBorder="1" applyAlignment="1">
      <alignment horizontal="center" vertical="top"/>
    </xf>
    <xf numFmtId="0" fontId="17" fillId="0" borderId="0" xfId="0" applyFont="1" applyFill="1" applyBorder="1" applyAlignment="1">
      <alignment horizontal="center" vertical="top"/>
    </xf>
    <xf numFmtId="0" fontId="22" fillId="0" borderId="0" xfId="0" applyFont="1" applyBorder="1" applyAlignment="1">
      <alignment horizontal="center" vertical="top"/>
    </xf>
    <xf numFmtId="0" fontId="0" fillId="0" borderId="0" xfId="0" applyAlignment="1">
      <alignment vertical="center"/>
    </xf>
    <xf numFmtId="0" fontId="17" fillId="0" borderId="0" xfId="0" applyFont="1" applyBorder="1" applyAlignment="1">
      <alignment horizontal="center" vertical="top"/>
    </xf>
    <xf numFmtId="176" fontId="17" fillId="0" borderId="0" xfId="0" applyNumberFormat="1" applyFont="1" applyFill="1" applyBorder="1" applyAlignment="1">
      <alignment horizontal="center" vertical="top"/>
    </xf>
    <xf numFmtId="38" fontId="17" fillId="0" borderId="0" xfId="0" applyNumberFormat="1" applyFont="1" applyFill="1" applyBorder="1" applyAlignment="1">
      <alignment horizontal="center" vertical="top"/>
    </xf>
    <xf numFmtId="177" fontId="17" fillId="0" borderId="0" xfId="0" applyNumberFormat="1" applyFont="1" applyFill="1" applyBorder="1" applyAlignment="1">
      <alignment horizontal="center" vertical="top"/>
    </xf>
    <xf numFmtId="176" fontId="0" fillId="2" borderId="51" xfId="1" applyNumberFormat="1" applyFont="1" applyFill="1" applyBorder="1"/>
    <xf numFmtId="176" fontId="0" fillId="0" borderId="51" xfId="1" applyNumberFormat="1" applyFont="1" applyFill="1" applyBorder="1"/>
    <xf numFmtId="0" fontId="0" fillId="0" borderId="72" xfId="0" applyFont="1" applyFill="1" applyBorder="1" applyAlignment="1">
      <alignment vertical="center"/>
    </xf>
    <xf numFmtId="176" fontId="0" fillId="9" borderId="51" xfId="1" applyNumberFormat="1" applyFont="1" applyFill="1" applyBorder="1"/>
    <xf numFmtId="176" fontId="0" fillId="4" borderId="51" xfId="1" applyNumberFormat="1" applyFont="1" applyFill="1" applyBorder="1"/>
    <xf numFmtId="176" fontId="0" fillId="3" borderId="51" xfId="1" applyNumberFormat="1" applyFont="1" applyFill="1" applyBorder="1"/>
    <xf numFmtId="0" fontId="0" fillId="0" borderId="86" xfId="0" applyFont="1" applyFill="1" applyBorder="1" applyAlignment="1">
      <alignment vertical="center"/>
    </xf>
    <xf numFmtId="0" fontId="16" fillId="0" borderId="58" xfId="0" applyFont="1" applyFill="1" applyBorder="1" applyAlignment="1">
      <alignment horizontal="left" vertical="center"/>
    </xf>
    <xf numFmtId="0" fontId="0" fillId="0" borderId="58" xfId="0" applyFont="1" applyFill="1" applyBorder="1" applyAlignment="1">
      <alignment horizontal="center" vertical="center"/>
    </xf>
    <xf numFmtId="0" fontId="0" fillId="0" borderId="72" xfId="0" applyFont="1" applyFill="1" applyBorder="1" applyAlignment="1">
      <alignment horizontal="center" vertical="center"/>
    </xf>
    <xf numFmtId="0" fontId="0" fillId="0" borderId="15" xfId="0" applyFont="1" applyFill="1" applyBorder="1" applyAlignment="1">
      <alignment horizontal="center"/>
    </xf>
    <xf numFmtId="0" fontId="0" fillId="0" borderId="15" xfId="0" applyFont="1" applyFill="1" applyBorder="1" applyAlignment="1">
      <alignment horizontal="center" vertical="center"/>
    </xf>
    <xf numFmtId="0" fontId="0" fillId="0" borderId="14" xfId="0" applyFont="1" applyFill="1" applyBorder="1" applyAlignment="1">
      <alignment horizontal="center" vertical="center"/>
    </xf>
    <xf numFmtId="0" fontId="0" fillId="0" borderId="15" xfId="0" applyFont="1" applyFill="1" applyBorder="1" applyAlignment="1">
      <alignment horizontal="center" shrinkToFit="1"/>
    </xf>
    <xf numFmtId="0" fontId="0" fillId="0" borderId="0" xfId="0" applyFont="1" applyFill="1" applyAlignment="1"/>
    <xf numFmtId="0" fontId="0" fillId="0" borderId="0" xfId="0" applyFont="1" applyFill="1" applyAlignment="1">
      <alignment horizontal="right"/>
    </xf>
    <xf numFmtId="0" fontId="13" fillId="0" borderId="0" xfId="0" applyFont="1" applyFill="1" applyAlignment="1">
      <alignment horizontal="center"/>
    </xf>
    <xf numFmtId="38" fontId="0" fillId="0" borderId="0" xfId="1" applyFont="1" applyFill="1"/>
    <xf numFmtId="38" fontId="0" fillId="0" borderId="0" xfId="0" applyNumberFormat="1" applyFont="1" applyFill="1"/>
    <xf numFmtId="176" fontId="0" fillId="6" borderId="51" xfId="1" applyNumberFormat="1" applyFont="1" applyFill="1" applyBorder="1"/>
    <xf numFmtId="176" fontId="0" fillId="2" borderId="72" xfId="1" applyNumberFormat="1" applyFont="1" applyFill="1" applyBorder="1"/>
    <xf numFmtId="176" fontId="0" fillId="2" borderId="58" xfId="1" applyNumberFormat="1" applyFont="1" applyFill="1" applyBorder="1"/>
    <xf numFmtId="0" fontId="0" fillId="0" borderId="58" xfId="0" applyFont="1" applyFill="1" applyBorder="1" applyAlignment="1">
      <alignment vertical="center" shrinkToFit="1"/>
    </xf>
    <xf numFmtId="176" fontId="0" fillId="0" borderId="72" xfId="1" applyNumberFormat="1" applyFont="1" applyFill="1" applyBorder="1"/>
    <xf numFmtId="176" fontId="0" fillId="0" borderId="58" xfId="1" applyNumberFormat="1" applyFont="1" applyFill="1" applyBorder="1"/>
    <xf numFmtId="0" fontId="0" fillId="0" borderId="71" xfId="0" applyFont="1" applyFill="1" applyBorder="1" applyAlignment="1">
      <alignment vertical="center"/>
    </xf>
    <xf numFmtId="176" fontId="0" fillId="0" borderId="51" xfId="1" applyNumberFormat="1" applyFont="1" applyFill="1" applyBorder="1" applyAlignment="1"/>
    <xf numFmtId="0" fontId="0" fillId="0" borderId="0" xfId="0" applyFont="1" applyFill="1" applyBorder="1" applyAlignment="1">
      <alignment horizontal="center" vertical="center"/>
    </xf>
    <xf numFmtId="179" fontId="0" fillId="0" borderId="0" xfId="0" applyNumberFormat="1" applyFont="1"/>
    <xf numFmtId="179" fontId="0" fillId="0" borderId="0" xfId="0" applyNumberFormat="1" applyFont="1" applyAlignment="1">
      <alignment horizontal="right"/>
    </xf>
    <xf numFmtId="179" fontId="0" fillId="0" borderId="0" xfId="0" applyNumberFormat="1" applyFont="1" applyFill="1"/>
    <xf numFmtId="179" fontId="0" fillId="0" borderId="0" xfId="0" applyNumberFormat="1" applyFont="1" applyBorder="1" applyAlignment="1">
      <alignment vertical="center"/>
    </xf>
    <xf numFmtId="179" fontId="0" fillId="0" borderId="0" xfId="0" applyNumberFormat="1" applyFont="1" applyFill="1" applyBorder="1" applyAlignment="1">
      <alignment vertical="center"/>
    </xf>
    <xf numFmtId="179" fontId="0" fillId="0" borderId="0" xfId="1" applyNumberFormat="1" applyFont="1" applyBorder="1" applyAlignment="1">
      <alignment vertical="center"/>
    </xf>
    <xf numFmtId="179" fontId="0" fillId="0" borderId="0" xfId="1" applyNumberFormat="1" applyFont="1" applyFill="1" applyBorder="1" applyAlignment="1">
      <alignment vertical="center"/>
    </xf>
    <xf numFmtId="179" fontId="0" fillId="0" borderId="0" xfId="0" applyNumberFormat="1" applyFont="1" applyAlignment="1">
      <alignment horizontal="center" vertical="center"/>
    </xf>
    <xf numFmtId="179" fontId="0" fillId="0" borderId="0" xfId="0" applyNumberFormat="1" applyFont="1" applyAlignment="1">
      <alignment vertical="center"/>
    </xf>
    <xf numFmtId="176" fontId="0" fillId="0" borderId="88" xfId="1" applyNumberFormat="1" applyFont="1" applyBorder="1" applyAlignment="1">
      <alignment horizontal="right" vertical="center"/>
    </xf>
    <xf numFmtId="176" fontId="0" fillId="0" borderId="86" xfId="1" applyNumberFormat="1" applyFont="1" applyBorder="1" applyAlignment="1">
      <alignment vertical="center"/>
    </xf>
    <xf numFmtId="176" fontId="0" fillId="0" borderId="88" xfId="1" applyNumberFormat="1" applyFont="1" applyFill="1" applyBorder="1" applyAlignment="1">
      <alignment vertical="center"/>
    </xf>
    <xf numFmtId="176" fontId="0" fillId="2" borderId="72" xfId="1" applyNumberFormat="1" applyFont="1" applyFill="1" applyBorder="1" applyAlignment="1">
      <alignment vertical="center"/>
    </xf>
    <xf numFmtId="176" fontId="0" fillId="0" borderId="58" xfId="1" applyNumberFormat="1" applyFont="1" applyBorder="1" applyAlignment="1">
      <alignment vertical="center"/>
    </xf>
    <xf numFmtId="176" fontId="0" fillId="2" borderId="58" xfId="1" applyNumberFormat="1" applyFont="1" applyFill="1" applyBorder="1" applyAlignment="1">
      <alignment vertical="center"/>
    </xf>
    <xf numFmtId="176" fontId="0" fillId="0" borderId="71" xfId="1" applyNumberFormat="1" applyFont="1" applyBorder="1" applyAlignment="1">
      <alignment vertical="center"/>
    </xf>
    <xf numFmtId="176" fontId="0" fillId="8" borderId="88" xfId="1" applyNumberFormat="1" applyFont="1" applyFill="1" applyBorder="1" applyAlignment="1">
      <alignment vertical="center"/>
    </xf>
    <xf numFmtId="176" fontId="0" fillId="0" borderId="57" xfId="1" applyNumberFormat="1" applyFont="1" applyBorder="1" applyAlignment="1">
      <alignment vertical="center"/>
    </xf>
    <xf numFmtId="176" fontId="0" fillId="0" borderId="72" xfId="1" applyNumberFormat="1" applyFont="1" applyBorder="1" applyAlignment="1">
      <alignment vertical="center"/>
    </xf>
    <xf numFmtId="179" fontId="0" fillId="0" borderId="58" xfId="0" applyNumberFormat="1" applyFont="1" applyBorder="1" applyAlignment="1">
      <alignment vertical="center"/>
    </xf>
    <xf numFmtId="176" fontId="0" fillId="0" borderId="89" xfId="1" applyNumberFormat="1" applyFont="1" applyBorder="1" applyAlignment="1">
      <alignment horizontal="right" vertical="center"/>
    </xf>
    <xf numFmtId="176" fontId="0" fillId="0" borderId="89" xfId="1" applyNumberFormat="1" applyFont="1" applyFill="1" applyBorder="1" applyAlignment="1">
      <alignment vertical="center"/>
    </xf>
    <xf numFmtId="179" fontId="0" fillId="0" borderId="71" xfId="0" applyNumberFormat="1" applyFont="1" applyBorder="1" applyAlignment="1">
      <alignment vertical="center"/>
    </xf>
    <xf numFmtId="179" fontId="0" fillId="0" borderId="72" xfId="0" applyNumberFormat="1" applyFont="1" applyBorder="1" applyAlignment="1">
      <alignment vertical="center"/>
    </xf>
    <xf numFmtId="179" fontId="0" fillId="0" borderId="35" xfId="0" applyNumberFormat="1" applyFont="1" applyBorder="1" applyAlignment="1">
      <alignment vertical="center"/>
    </xf>
    <xf numFmtId="176" fontId="0" fillId="0" borderId="90" xfId="1" applyNumberFormat="1" applyFont="1" applyBorder="1" applyAlignment="1">
      <alignment horizontal="right" vertical="center"/>
    </xf>
    <xf numFmtId="176" fontId="0" fillId="0" borderId="90" xfId="1" applyNumberFormat="1" applyFont="1" applyFill="1" applyBorder="1" applyAlignment="1">
      <alignment vertical="center"/>
    </xf>
    <xf numFmtId="179" fontId="0" fillId="0" borderId="51" xfId="0" applyNumberFormat="1" applyFont="1" applyBorder="1" applyAlignment="1">
      <alignment vertical="center"/>
    </xf>
    <xf numFmtId="176" fontId="0" fillId="8" borderId="89" xfId="1" applyNumberFormat="1" applyFont="1" applyFill="1" applyBorder="1" applyAlignment="1">
      <alignment vertical="center"/>
    </xf>
    <xf numFmtId="179" fontId="0" fillId="0" borderId="52" xfId="0" applyNumberFormat="1" applyFont="1" applyBorder="1" applyAlignment="1">
      <alignment vertical="center"/>
    </xf>
    <xf numFmtId="176" fontId="0" fillId="0" borderId="71" xfId="1" applyNumberFormat="1" applyFont="1" applyFill="1" applyBorder="1" applyAlignment="1">
      <alignment vertical="center"/>
    </xf>
    <xf numFmtId="176" fontId="0" fillId="0" borderId="72" xfId="1" applyNumberFormat="1" applyFont="1" applyFill="1" applyBorder="1" applyAlignment="1">
      <alignment vertical="center"/>
    </xf>
    <xf numFmtId="179" fontId="0" fillId="0" borderId="58" xfId="0" applyNumberFormat="1" applyFont="1" applyFill="1" applyBorder="1" applyAlignment="1">
      <alignment vertical="center"/>
    </xf>
    <xf numFmtId="179" fontId="15" fillId="0" borderId="58" xfId="0" applyNumberFormat="1" applyFont="1" applyBorder="1" applyAlignment="1">
      <alignment vertical="center"/>
    </xf>
    <xf numFmtId="179" fontId="0" fillId="0" borderId="17" xfId="0" applyNumberFormat="1" applyFont="1" applyBorder="1" applyAlignment="1">
      <alignment vertical="center"/>
    </xf>
    <xf numFmtId="176" fontId="0" fillId="2" borderId="89" xfId="1" applyNumberFormat="1" applyFont="1" applyFill="1" applyBorder="1" applyAlignment="1">
      <alignment vertical="center"/>
    </xf>
    <xf numFmtId="179" fontId="0" fillId="0" borderId="86" xfId="0" applyNumberFormat="1" applyFont="1" applyBorder="1" applyAlignment="1">
      <alignment vertical="center"/>
    </xf>
    <xf numFmtId="179" fontId="0" fillId="0" borderId="89" xfId="0" applyNumberFormat="1" applyFont="1" applyFill="1" applyBorder="1" applyAlignment="1">
      <alignment horizontal="center" vertical="center"/>
    </xf>
    <xf numFmtId="179" fontId="0" fillId="0" borderId="86" xfId="0" applyNumberFormat="1" applyFont="1" applyFill="1" applyBorder="1" applyAlignment="1">
      <alignment horizontal="center" vertical="center"/>
    </xf>
    <xf numFmtId="179" fontId="0" fillId="0" borderId="72" xfId="0" applyNumberFormat="1" applyFont="1" applyFill="1" applyBorder="1" applyAlignment="1">
      <alignment horizontal="center" vertical="center"/>
    </xf>
    <xf numFmtId="179" fontId="0" fillId="0" borderId="58" xfId="0" applyNumberFormat="1" applyFont="1" applyFill="1" applyBorder="1" applyAlignment="1">
      <alignment horizontal="center" vertical="center"/>
    </xf>
    <xf numFmtId="179" fontId="0" fillId="0" borderId="71" xfId="0" applyNumberFormat="1" applyFont="1" applyFill="1" applyBorder="1" applyAlignment="1">
      <alignment horizontal="center" vertical="center"/>
    </xf>
    <xf numFmtId="179" fontId="0" fillId="0" borderId="57" xfId="0" applyNumberFormat="1" applyFont="1" applyFill="1" applyBorder="1" applyAlignment="1">
      <alignment horizontal="center" vertical="center"/>
    </xf>
    <xf numFmtId="179" fontId="0" fillId="0" borderId="91" xfId="0" applyNumberFormat="1" applyFont="1" applyFill="1" applyBorder="1" applyAlignment="1">
      <alignment horizontal="center" vertical="center" wrapText="1"/>
    </xf>
    <xf numFmtId="179" fontId="0" fillId="0" borderId="87" xfId="0" applyNumberFormat="1" applyFont="1" applyFill="1" applyBorder="1" applyAlignment="1">
      <alignment horizontal="distributed" vertical="center" wrapText="1"/>
    </xf>
    <xf numFmtId="179" fontId="0" fillId="0" borderId="14" xfId="0" applyNumberFormat="1" applyFont="1" applyFill="1" applyBorder="1" applyAlignment="1">
      <alignment horizontal="distributed" vertical="center" wrapText="1"/>
    </xf>
    <xf numFmtId="179" fontId="0" fillId="0" borderId="15" xfId="0" applyNumberFormat="1" applyFont="1" applyFill="1" applyBorder="1" applyAlignment="1">
      <alignment horizontal="distributed" vertical="center" wrapText="1"/>
    </xf>
    <xf numFmtId="179" fontId="0" fillId="0" borderId="15" xfId="0" applyNumberFormat="1" applyFont="1" applyFill="1" applyBorder="1" applyAlignment="1">
      <alignment horizontal="center" vertical="center" wrapText="1"/>
    </xf>
    <xf numFmtId="179" fontId="0" fillId="0" borderId="70" xfId="0" applyNumberFormat="1" applyFont="1" applyFill="1" applyBorder="1" applyAlignment="1">
      <alignment horizontal="center" vertical="center" wrapText="1"/>
    </xf>
    <xf numFmtId="179" fontId="0" fillId="0" borderId="91" xfId="0" applyNumberFormat="1" applyFont="1" applyFill="1" applyBorder="1" applyAlignment="1">
      <alignment horizontal="center" vertical="center"/>
    </xf>
    <xf numFmtId="179" fontId="0" fillId="0" borderId="54" xfId="0" applyNumberFormat="1" applyFont="1" applyFill="1" applyBorder="1" applyAlignment="1">
      <alignment horizontal="center" vertical="center"/>
    </xf>
    <xf numFmtId="0" fontId="0" fillId="0" borderId="14" xfId="0" applyFont="1" applyFill="1" applyBorder="1" applyAlignment="1">
      <alignment horizontal="center" vertical="center" wrapText="1"/>
    </xf>
    <xf numFmtId="0" fontId="0" fillId="0" borderId="15" xfId="0" applyFont="1" applyFill="1" applyBorder="1" applyAlignment="1">
      <alignment horizontal="center" vertical="center" wrapText="1"/>
    </xf>
    <xf numFmtId="179" fontId="0" fillId="0" borderId="0" xfId="0" applyNumberFormat="1" applyFont="1" applyFill="1" applyAlignment="1">
      <alignment horizontal="right"/>
    </xf>
    <xf numFmtId="179" fontId="0" fillId="0" borderId="0" xfId="0" applyNumberFormat="1" applyFont="1" applyBorder="1" applyAlignment="1">
      <alignment horizontal="center"/>
    </xf>
    <xf numFmtId="179" fontId="13" fillId="0" borderId="0" xfId="0" applyNumberFormat="1" applyFont="1" applyBorder="1" applyAlignment="1"/>
    <xf numFmtId="180" fontId="0" fillId="0" borderId="0" xfId="0" applyNumberFormat="1" applyFont="1"/>
    <xf numFmtId="176" fontId="0" fillId="2" borderId="86" xfId="1" applyNumberFormat="1" applyFont="1" applyFill="1" applyBorder="1" applyAlignment="1">
      <alignment vertical="center"/>
    </xf>
    <xf numFmtId="176" fontId="0" fillId="10" borderId="88" xfId="1" applyNumberFormat="1" applyFont="1" applyFill="1" applyBorder="1" applyAlignment="1">
      <alignment vertical="center"/>
    </xf>
    <xf numFmtId="176" fontId="0" fillId="0" borderId="57" xfId="1" applyNumberFormat="1" applyFont="1" applyFill="1" applyBorder="1" applyAlignment="1">
      <alignment vertical="center"/>
    </xf>
    <xf numFmtId="176" fontId="0" fillId="0" borderId="86" xfId="1" applyNumberFormat="1" applyFont="1" applyFill="1" applyBorder="1" applyAlignment="1">
      <alignment vertical="center"/>
    </xf>
    <xf numFmtId="176" fontId="0" fillId="10" borderId="90" xfId="1" applyNumberFormat="1" applyFont="1" applyFill="1" applyBorder="1" applyAlignment="1">
      <alignment vertical="center"/>
    </xf>
    <xf numFmtId="176" fontId="0" fillId="10" borderId="89" xfId="1" applyNumberFormat="1" applyFont="1" applyFill="1" applyBorder="1" applyAlignment="1">
      <alignment vertical="center"/>
    </xf>
    <xf numFmtId="176" fontId="0" fillId="0" borderId="92" xfId="1" applyNumberFormat="1" applyFont="1" applyFill="1" applyBorder="1" applyAlignment="1">
      <alignment vertical="center"/>
    </xf>
    <xf numFmtId="0" fontId="0" fillId="0" borderId="89" xfId="0" applyFont="1" applyFill="1" applyBorder="1" applyAlignment="1">
      <alignment horizontal="center" vertical="center"/>
    </xf>
    <xf numFmtId="0" fontId="0" fillId="0" borderId="86" xfId="0" applyFont="1" applyFill="1" applyBorder="1" applyAlignment="1">
      <alignment horizontal="center" vertical="center"/>
    </xf>
    <xf numFmtId="0" fontId="0" fillId="0" borderId="57" xfId="0" applyFont="1" applyFill="1" applyBorder="1" applyAlignment="1">
      <alignment horizontal="center" vertical="center"/>
    </xf>
    <xf numFmtId="0" fontId="0" fillId="0" borderId="91" xfId="0" applyFont="1" applyFill="1" applyBorder="1" applyAlignment="1">
      <alignment horizontal="center" vertical="center" wrapText="1"/>
    </xf>
    <xf numFmtId="0" fontId="0" fillId="0" borderId="87" xfId="0" applyFont="1" applyFill="1" applyBorder="1" applyAlignment="1">
      <alignment horizontal="center" vertical="center" wrapText="1" shrinkToFit="1"/>
    </xf>
    <xf numFmtId="0" fontId="0" fillId="0" borderId="15" xfId="0" applyFont="1" applyFill="1" applyBorder="1" applyAlignment="1">
      <alignment horizontal="center" vertical="center" wrapText="1" shrinkToFit="1"/>
    </xf>
    <xf numFmtId="0" fontId="0" fillId="0" borderId="91" xfId="0" applyFont="1" applyFill="1" applyBorder="1" applyAlignment="1">
      <alignment horizontal="center" vertical="center" wrapText="1" shrinkToFit="1"/>
    </xf>
    <xf numFmtId="0" fontId="0" fillId="0" borderId="54" xfId="0" applyFont="1" applyFill="1" applyBorder="1" applyAlignment="1">
      <alignment horizontal="center" vertical="center" wrapText="1"/>
    </xf>
    <xf numFmtId="0" fontId="0" fillId="0" borderId="36" xfId="0" applyFont="1" applyFill="1" applyBorder="1" applyAlignment="1">
      <alignment horizontal="center" vertical="center"/>
    </xf>
    <xf numFmtId="0" fontId="14" fillId="0" borderId="68" xfId="0" applyFont="1" applyFill="1" applyBorder="1" applyAlignment="1">
      <alignment horizontal="distributed" vertical="center" justifyLastLine="1"/>
    </xf>
    <xf numFmtId="0" fontId="0" fillId="0" borderId="70" xfId="0" applyFont="1" applyFill="1" applyBorder="1" applyAlignment="1">
      <alignment vertical="center"/>
    </xf>
    <xf numFmtId="176" fontId="0" fillId="0" borderId="116" xfId="1" applyNumberFormat="1" applyFont="1" applyFill="1" applyBorder="1" applyAlignment="1">
      <alignment vertical="center"/>
    </xf>
    <xf numFmtId="0" fontId="0" fillId="0" borderId="115" xfId="0" applyFont="1" applyFill="1" applyBorder="1" applyAlignment="1">
      <alignment vertical="center"/>
    </xf>
    <xf numFmtId="0" fontId="0" fillId="0" borderId="27" xfId="0" applyBorder="1" applyAlignment="1">
      <alignment horizontal="center" vertical="center" shrinkToFit="1"/>
    </xf>
    <xf numFmtId="0" fontId="0" fillId="0" borderId="120" xfId="0" applyFont="1" applyFill="1" applyBorder="1" applyAlignment="1">
      <alignment vertical="center"/>
    </xf>
    <xf numFmtId="0" fontId="0" fillId="0" borderId="116" xfId="0" applyFont="1" applyFill="1" applyBorder="1" applyAlignment="1">
      <alignment vertical="center"/>
    </xf>
    <xf numFmtId="177" fontId="0" fillId="0" borderId="57" xfId="1" applyNumberFormat="1" applyFont="1" applyFill="1" applyBorder="1" applyAlignment="1">
      <alignment horizontal="center" vertical="center"/>
    </xf>
    <xf numFmtId="177" fontId="0" fillId="0" borderId="25" xfId="1" applyNumberFormat="1" applyFont="1" applyFill="1" applyBorder="1" applyAlignment="1">
      <alignment horizontal="center" vertical="center"/>
    </xf>
    <xf numFmtId="177" fontId="0" fillId="0" borderId="7" xfId="1" applyNumberFormat="1" applyFont="1" applyFill="1" applyBorder="1" applyAlignment="1">
      <alignment horizontal="center" vertical="center"/>
    </xf>
    <xf numFmtId="0" fontId="14" fillId="0" borderId="63" xfId="0" applyFont="1" applyFill="1" applyBorder="1" applyAlignment="1">
      <alignment horizontal="center" vertical="center" wrapText="1" shrinkToFit="1"/>
    </xf>
    <xf numFmtId="177" fontId="14" fillId="0" borderId="8" xfId="0" applyNumberFormat="1" applyFont="1" applyFill="1" applyBorder="1" applyAlignment="1">
      <alignment horizontal="center" vertical="center" wrapText="1" shrinkToFit="1"/>
    </xf>
    <xf numFmtId="0" fontId="0" fillId="0" borderId="30" xfId="0" applyBorder="1" applyAlignment="1">
      <alignment horizontal="center" vertical="center"/>
    </xf>
    <xf numFmtId="0" fontId="0" fillId="0" borderId="27" xfId="0" applyBorder="1" applyAlignment="1">
      <alignment horizontal="center" vertical="center"/>
    </xf>
    <xf numFmtId="38" fontId="0" fillId="2" borderId="59" xfId="4" applyFont="1" applyFill="1" applyBorder="1" applyAlignment="1">
      <alignment vertical="center"/>
    </xf>
    <xf numFmtId="0" fontId="15" fillId="0" borderId="58" xfId="0" applyFont="1" applyFill="1" applyBorder="1" applyAlignment="1">
      <alignment horizontal="center" vertical="center"/>
    </xf>
    <xf numFmtId="0" fontId="0" fillId="0" borderId="51" xfId="0" applyFont="1" applyFill="1" applyBorder="1" applyAlignment="1">
      <alignment vertical="center" shrinkToFit="1"/>
    </xf>
    <xf numFmtId="0" fontId="15" fillId="0" borderId="51" xfId="0" applyFont="1" applyFill="1" applyBorder="1" applyAlignment="1">
      <alignment vertical="center" wrapText="1" shrinkToFit="1"/>
    </xf>
    <xf numFmtId="179" fontId="14" fillId="0" borderId="58" xfId="0" applyNumberFormat="1" applyFont="1" applyBorder="1" applyAlignment="1">
      <alignment vertical="center" wrapText="1"/>
    </xf>
    <xf numFmtId="176" fontId="0" fillId="0" borderId="0" xfId="0" applyNumberFormat="1"/>
    <xf numFmtId="38" fontId="0" fillId="0" borderId="0" xfId="1" applyFont="1" applyAlignment="1"/>
    <xf numFmtId="38" fontId="0" fillId="0" borderId="0" xfId="1" applyFont="1" applyFill="1" applyAlignment="1"/>
    <xf numFmtId="176" fontId="0" fillId="13" borderId="89" xfId="1" applyNumberFormat="1" applyFont="1" applyFill="1" applyBorder="1" applyAlignment="1">
      <alignment vertical="center"/>
    </xf>
    <xf numFmtId="176" fontId="0" fillId="13" borderId="90" xfId="1" applyNumberFormat="1" applyFont="1" applyFill="1" applyBorder="1" applyAlignment="1">
      <alignment vertical="center"/>
    </xf>
    <xf numFmtId="179" fontId="33" fillId="0" borderId="0" xfId="0" applyNumberFormat="1" applyFont="1" applyFill="1"/>
    <xf numFmtId="0" fontId="0" fillId="0" borderId="35" xfId="0" applyBorder="1" applyAlignment="1">
      <alignment vertical="center" shrinkToFit="1"/>
    </xf>
    <xf numFmtId="38" fontId="0" fillId="2" borderId="35" xfId="1" applyFont="1" applyFill="1" applyBorder="1" applyAlignment="1">
      <alignment vertical="center"/>
    </xf>
    <xf numFmtId="38" fontId="0" fillId="6" borderId="35" xfId="1" applyFont="1" applyFill="1" applyBorder="1" applyAlignment="1">
      <alignment vertical="center"/>
    </xf>
    <xf numFmtId="38" fontId="0" fillId="2" borderId="55" xfId="4" applyFont="1" applyFill="1" applyBorder="1" applyAlignment="1">
      <alignment vertical="center"/>
    </xf>
    <xf numFmtId="38" fontId="2" fillId="7" borderId="55" xfId="1" applyFill="1" applyBorder="1" applyAlignment="1">
      <alignment vertical="center"/>
    </xf>
    <xf numFmtId="38" fontId="2" fillId="7" borderId="35" xfId="1" applyFill="1" applyBorder="1" applyAlignment="1">
      <alignment vertical="center"/>
    </xf>
    <xf numFmtId="177" fontId="2" fillId="7" borderId="13" xfId="1" applyNumberFormat="1" applyFill="1" applyBorder="1" applyAlignment="1">
      <alignment vertical="center"/>
    </xf>
    <xf numFmtId="176" fontId="13" fillId="2" borderId="72" xfId="1" applyNumberFormat="1" applyFont="1" applyFill="1" applyBorder="1" applyAlignment="1">
      <alignment vertical="center"/>
    </xf>
    <xf numFmtId="38" fontId="0" fillId="2" borderId="51" xfId="1" applyFont="1" applyFill="1" applyBorder="1" applyAlignment="1">
      <alignment horizontal="right" vertical="center"/>
    </xf>
    <xf numFmtId="0" fontId="0" fillId="0" borderId="0" xfId="0" applyFont="1" applyFill="1" applyBorder="1" applyAlignment="1">
      <alignment vertical="center"/>
    </xf>
    <xf numFmtId="0" fontId="15" fillId="0" borderId="50" xfId="0" applyFont="1" applyFill="1" applyBorder="1" applyAlignment="1">
      <alignment vertical="center"/>
    </xf>
    <xf numFmtId="0" fontId="15" fillId="0" borderId="0" xfId="0" applyFont="1" applyFill="1"/>
    <xf numFmtId="0" fontId="36" fillId="0" borderId="0" xfId="14" applyFont="1">
      <alignment vertical="center"/>
    </xf>
    <xf numFmtId="0" fontId="36" fillId="0" borderId="86" xfId="14" applyFont="1" applyBorder="1" applyAlignment="1">
      <alignment horizontal="center" vertical="center"/>
    </xf>
    <xf numFmtId="38" fontId="36" fillId="2" borderId="0" xfId="15" applyFont="1" applyFill="1">
      <alignment vertical="center"/>
    </xf>
    <xf numFmtId="38" fontId="36" fillId="0" borderId="0" xfId="15" applyFont="1">
      <alignment vertical="center"/>
    </xf>
    <xf numFmtId="0" fontId="36" fillId="0" borderId="0" xfId="14" applyFont="1" applyAlignment="1">
      <alignment vertical="center" shrinkToFit="1"/>
    </xf>
    <xf numFmtId="38" fontId="2" fillId="2" borderId="0" xfId="15" applyFont="1" applyFill="1">
      <alignment vertical="center"/>
    </xf>
    <xf numFmtId="0" fontId="38" fillId="0" borderId="0" xfId="14" applyFont="1">
      <alignment vertical="center"/>
    </xf>
    <xf numFmtId="38" fontId="39" fillId="0" borderId="0" xfId="15" applyFont="1" applyFill="1">
      <alignment vertical="center"/>
    </xf>
    <xf numFmtId="38" fontId="36" fillId="2" borderId="162" xfId="15" applyFont="1" applyFill="1" applyBorder="1">
      <alignment vertical="center"/>
    </xf>
    <xf numFmtId="38" fontId="39" fillId="0" borderId="0" xfId="15" applyFont="1">
      <alignment vertical="center"/>
    </xf>
    <xf numFmtId="38" fontId="39" fillId="0" borderId="162" xfId="15" applyFont="1" applyFill="1" applyBorder="1">
      <alignment vertical="center"/>
    </xf>
    <xf numFmtId="38" fontId="39" fillId="0" borderId="0" xfId="15" applyFont="1" applyFill="1" applyBorder="1">
      <alignment vertical="center"/>
    </xf>
    <xf numFmtId="38" fontId="39" fillId="0" borderId="53" xfId="15" applyFont="1" applyBorder="1">
      <alignment vertical="center"/>
    </xf>
    <xf numFmtId="38" fontId="2" fillId="14" borderId="0" xfId="15" applyFont="1" applyFill="1">
      <alignment vertical="center"/>
    </xf>
    <xf numFmtId="38" fontId="36" fillId="14" borderId="0" xfId="15" applyFont="1" applyFill="1" applyBorder="1">
      <alignment vertical="center"/>
    </xf>
    <xf numFmtId="38" fontId="36" fillId="14" borderId="0" xfId="15" applyFont="1" applyFill="1">
      <alignment vertical="center"/>
    </xf>
    <xf numFmtId="38" fontId="36" fillId="0" borderId="0" xfId="14" applyNumberFormat="1" applyFont="1">
      <alignment vertical="center"/>
    </xf>
    <xf numFmtId="38" fontId="36" fillId="14" borderId="162" xfId="15" applyFont="1" applyFill="1" applyBorder="1">
      <alignment vertical="center"/>
    </xf>
    <xf numFmtId="38" fontId="36" fillId="0" borderId="0" xfId="1" applyFont="1" applyAlignment="1">
      <alignment vertical="center"/>
    </xf>
    <xf numFmtId="0" fontId="17" fillId="0" borderId="0" xfId="0" applyFont="1" applyFill="1" applyBorder="1" applyAlignment="1">
      <alignment horizontal="center" vertical="top"/>
    </xf>
    <xf numFmtId="177" fontId="0" fillId="0" borderId="75" xfId="0" applyNumberFormat="1" applyFont="1" applyFill="1" applyBorder="1" applyAlignment="1">
      <alignment horizontal="center" vertical="center"/>
    </xf>
    <xf numFmtId="176" fontId="13" fillId="0" borderId="0" xfId="0" applyNumberFormat="1" applyFont="1" applyFill="1" applyAlignment="1">
      <alignment horizontal="center"/>
    </xf>
    <xf numFmtId="177" fontId="0" fillId="0" borderId="3" xfId="0" applyNumberFormat="1" applyFont="1" applyFill="1" applyBorder="1" applyAlignment="1">
      <alignment horizontal="center" vertical="center"/>
    </xf>
    <xf numFmtId="177" fontId="0" fillId="0" borderId="0" xfId="0" applyNumberFormat="1" applyFont="1" applyFill="1" applyAlignment="1">
      <alignment horizontal="center"/>
    </xf>
    <xf numFmtId="177" fontId="13" fillId="0" borderId="0" xfId="0" applyNumberFormat="1" applyFont="1" applyFill="1" applyAlignment="1">
      <alignment horizontal="center"/>
    </xf>
    <xf numFmtId="0" fontId="0" fillId="0" borderId="6" xfId="0" applyBorder="1" applyAlignment="1">
      <alignment vertical="center"/>
    </xf>
    <xf numFmtId="0" fontId="0" fillId="0" borderId="5" xfId="0" applyBorder="1" applyAlignment="1">
      <alignment vertical="center"/>
    </xf>
    <xf numFmtId="0" fontId="0" fillId="0" borderId="111" xfId="0" applyBorder="1" applyAlignment="1">
      <alignment vertical="center"/>
    </xf>
    <xf numFmtId="38" fontId="0" fillId="0" borderId="4" xfId="1" applyFont="1" applyFill="1" applyBorder="1" applyAlignment="1">
      <alignment vertical="center"/>
    </xf>
    <xf numFmtId="177" fontId="0" fillId="0" borderId="3" xfId="1" applyNumberFormat="1" applyFont="1" applyFill="1" applyBorder="1" applyAlignment="1">
      <alignment horizontal="center" vertical="center"/>
    </xf>
    <xf numFmtId="38" fontId="0" fillId="0" borderId="61" xfId="1" applyFont="1" applyFill="1" applyBorder="1" applyAlignment="1">
      <alignment vertical="center"/>
    </xf>
    <xf numFmtId="177" fontId="0" fillId="0" borderId="2" xfId="1" applyNumberFormat="1" applyFont="1" applyFill="1" applyBorder="1" applyAlignment="1">
      <alignment horizontal="center" vertical="center"/>
    </xf>
    <xf numFmtId="38" fontId="20" fillId="7" borderId="61" xfId="1" applyFont="1" applyFill="1" applyBorder="1" applyAlignment="1">
      <alignment vertical="center"/>
    </xf>
    <xf numFmtId="38" fontId="20" fillId="7" borderId="4" xfId="1" applyFont="1" applyFill="1" applyBorder="1" applyAlignment="1">
      <alignment vertical="center"/>
    </xf>
    <xf numFmtId="177" fontId="20" fillId="7" borderId="2" xfId="1" applyNumberFormat="1" applyFont="1" applyFill="1" applyBorder="1" applyAlignment="1">
      <alignment vertical="center"/>
    </xf>
    <xf numFmtId="0" fontId="0" fillId="0" borderId="75" xfId="0" applyBorder="1" applyAlignment="1">
      <alignment vertical="center"/>
    </xf>
    <xf numFmtId="176" fontId="0" fillId="0" borderId="4" xfId="1" applyNumberFormat="1" applyFont="1" applyFill="1" applyBorder="1" applyAlignment="1">
      <alignment horizontal="right" vertical="center"/>
    </xf>
    <xf numFmtId="177" fontId="0" fillId="0" borderId="3" xfId="1" applyNumberFormat="1" applyFont="1" applyFill="1" applyBorder="1" applyAlignment="1">
      <alignment horizontal="center" vertical="center" shrinkToFit="1"/>
    </xf>
    <xf numFmtId="0" fontId="0" fillId="7" borderId="5" xfId="0" applyFill="1" applyBorder="1" applyAlignment="1">
      <alignment vertical="center"/>
    </xf>
    <xf numFmtId="0" fontId="0" fillId="0" borderId="75" xfId="0" applyBorder="1"/>
    <xf numFmtId="186" fontId="43" fillId="0" borderId="61" xfId="9" applyNumberFormat="1" applyFont="1" applyFill="1" applyBorder="1" applyAlignment="1">
      <alignment vertical="center" shrinkToFit="1"/>
    </xf>
    <xf numFmtId="186" fontId="43" fillId="0" borderId="3" xfId="9" applyNumberFormat="1" applyFont="1" applyFill="1" applyBorder="1" applyAlignment="1">
      <alignment vertical="center" shrinkToFit="1"/>
    </xf>
    <xf numFmtId="186" fontId="43" fillId="0" borderId="235" xfId="9" applyNumberFormat="1" applyFont="1" applyFill="1" applyBorder="1" applyAlignment="1">
      <alignment vertical="center" shrinkToFit="1"/>
    </xf>
    <xf numFmtId="186" fontId="43" fillId="0" borderId="4" xfId="9" applyNumberFormat="1" applyFont="1" applyFill="1" applyBorder="1" applyAlignment="1">
      <alignment vertical="center" shrinkToFit="1"/>
    </xf>
    <xf numFmtId="182" fontId="44" fillId="0" borderId="228" xfId="9" applyNumberFormat="1" applyFont="1" applyBorder="1" applyAlignment="1">
      <alignment horizontal="right" vertical="center" shrinkToFit="1"/>
    </xf>
    <xf numFmtId="183" fontId="44" fillId="0" borderId="222" xfId="9" applyNumberFormat="1" applyFont="1" applyBorder="1" applyAlignment="1">
      <alignment horizontal="right" vertical="center" shrinkToFit="1"/>
    </xf>
    <xf numFmtId="182" fontId="44" fillId="0" borderId="190" xfId="9" applyNumberFormat="1" applyFont="1" applyBorder="1" applyAlignment="1">
      <alignment horizontal="right" vertical="center" shrinkToFit="1"/>
    </xf>
    <xf numFmtId="183" fontId="44" fillId="0" borderId="163" xfId="9" applyNumberFormat="1" applyFont="1" applyBorder="1" applyAlignment="1">
      <alignment horizontal="right" vertical="center" shrinkToFit="1"/>
    </xf>
    <xf numFmtId="183" fontId="45" fillId="0" borderId="0" xfId="9" applyNumberFormat="1" applyFont="1" applyAlignment="1">
      <alignment vertical="center"/>
    </xf>
    <xf numFmtId="0" fontId="42" fillId="0" borderId="0" xfId="9" applyFont="1" applyAlignment="1"/>
    <xf numFmtId="0" fontId="42" fillId="0" borderId="0" xfId="9" applyFont="1" applyAlignment="1">
      <alignment horizontal="right"/>
    </xf>
    <xf numFmtId="176" fontId="42" fillId="0" borderId="0" xfId="9" applyNumberFormat="1" applyFont="1" applyAlignment="1"/>
    <xf numFmtId="38" fontId="42" fillId="0" borderId="0" xfId="1" applyFont="1" applyAlignment="1"/>
    <xf numFmtId="0" fontId="42" fillId="15" borderId="0" xfId="9" applyFont="1" applyFill="1" applyAlignment="1"/>
    <xf numFmtId="186" fontId="42" fillId="0" borderId="0" xfId="9" applyNumberFormat="1" applyFont="1" applyFill="1" applyAlignment="1"/>
    <xf numFmtId="0" fontId="46" fillId="0" borderId="0" xfId="9" applyFont="1" applyAlignment="1"/>
    <xf numFmtId="0" fontId="46" fillId="0" borderId="0" xfId="9" applyFont="1" applyAlignment="1">
      <alignment horizontal="centerContinuous"/>
    </xf>
    <xf numFmtId="0" fontId="46" fillId="15" borderId="0" xfId="9" applyFont="1" applyFill="1" applyAlignment="1"/>
    <xf numFmtId="186" fontId="46" fillId="0" borderId="0" xfId="9" applyNumberFormat="1" applyFont="1" applyFill="1" applyAlignment="1"/>
    <xf numFmtId="186" fontId="46" fillId="0" borderId="0" xfId="9" applyNumberFormat="1" applyFont="1" applyFill="1" applyAlignment="1">
      <alignment horizontal="centerContinuous"/>
    </xf>
    <xf numFmtId="57" fontId="42" fillId="0" borderId="0" xfId="9" applyNumberFormat="1" applyFont="1" applyAlignment="1"/>
    <xf numFmtId="38" fontId="46" fillId="0" borderId="0" xfId="1" applyFont="1" applyAlignment="1"/>
    <xf numFmtId="181" fontId="42" fillId="0" borderId="0" xfId="9" applyNumberFormat="1" applyFont="1" applyAlignment="1">
      <alignment vertical="center"/>
    </xf>
    <xf numFmtId="181" fontId="42" fillId="15" borderId="0" xfId="9" applyNumberFormat="1" applyFont="1" applyFill="1" applyAlignment="1">
      <alignment vertical="center"/>
    </xf>
    <xf numFmtId="186" fontId="42" fillId="0" borderId="0" xfId="9" applyNumberFormat="1" applyFont="1" applyFill="1" applyAlignment="1">
      <alignment vertical="center"/>
    </xf>
    <xf numFmtId="186" fontId="42" fillId="0" borderId="0" xfId="9" applyNumberFormat="1" applyFont="1" applyFill="1" applyAlignment="1">
      <alignment horizontal="center"/>
    </xf>
    <xf numFmtId="0" fontId="42" fillId="0" borderId="0" xfId="9" applyFont="1" applyBorder="1" applyAlignment="1"/>
    <xf numFmtId="0" fontId="42" fillId="0" borderId="0" xfId="9" applyFont="1" applyBorder="1" applyAlignment="1">
      <alignment horizontal="right"/>
    </xf>
    <xf numFmtId="181" fontId="42" fillId="0" borderId="24" xfId="9" applyNumberFormat="1" applyFont="1" applyBorder="1" applyAlignment="1">
      <alignment vertical="center"/>
    </xf>
    <xf numFmtId="181" fontId="42" fillId="0" borderId="23" xfId="9" applyNumberFormat="1" applyFont="1" applyBorder="1" applyAlignment="1">
      <alignment vertical="center"/>
    </xf>
    <xf numFmtId="181" fontId="42" fillId="0" borderId="78" xfId="9" applyNumberFormat="1" applyFont="1" applyBorder="1" applyAlignment="1">
      <alignment vertical="center"/>
    </xf>
    <xf numFmtId="181" fontId="42" fillId="15" borderId="23" xfId="9" applyNumberFormat="1" applyFont="1" applyFill="1" applyBorder="1" applyAlignment="1">
      <alignment vertical="center"/>
    </xf>
    <xf numFmtId="186" fontId="42" fillId="0" borderId="65" xfId="9" applyNumberFormat="1" applyFont="1" applyFill="1" applyBorder="1" applyAlignment="1">
      <alignment horizontal="center" vertical="top"/>
    </xf>
    <xf numFmtId="186" fontId="42" fillId="0" borderId="28" xfId="9" applyNumberFormat="1" applyFont="1" applyFill="1" applyBorder="1" applyAlignment="1">
      <alignment horizontal="center" vertical="top"/>
    </xf>
    <xf numFmtId="186" fontId="42" fillId="0" borderId="229" xfId="9" applyNumberFormat="1" applyFont="1" applyFill="1" applyBorder="1" applyAlignment="1">
      <alignment horizontal="center" vertical="top"/>
    </xf>
    <xf numFmtId="0" fontId="42" fillId="0" borderId="22" xfId="9" applyFont="1" applyBorder="1" applyAlignment="1">
      <alignment horizontal="centerContinuous" vertical="center"/>
    </xf>
    <xf numFmtId="181" fontId="42" fillId="0" borderId="20" xfId="9" applyNumberFormat="1" applyFont="1" applyFill="1" applyBorder="1" applyAlignment="1">
      <alignment horizontal="centerContinuous" vertical="center"/>
    </xf>
    <xf numFmtId="0" fontId="42" fillId="0" borderId="73" xfId="9" applyFont="1" applyBorder="1" applyAlignment="1">
      <alignment horizontal="centerContinuous" vertical="center"/>
    </xf>
    <xf numFmtId="0" fontId="42" fillId="0" borderId="0" xfId="9" applyFont="1" applyBorder="1" applyAlignment="1">
      <alignment vertical="center"/>
    </xf>
    <xf numFmtId="38" fontId="42" fillId="0" borderId="0" xfId="1" applyFont="1" applyBorder="1" applyAlignment="1"/>
    <xf numFmtId="181" fontId="42" fillId="15" borderId="24" xfId="9" applyNumberFormat="1" applyFont="1" applyFill="1" applyBorder="1" applyAlignment="1">
      <alignment vertical="center"/>
    </xf>
    <xf numFmtId="186" fontId="42" fillId="0" borderId="55" xfId="9" applyNumberFormat="1" applyFont="1" applyFill="1" applyBorder="1" applyAlignment="1">
      <alignment horizontal="center" vertical="top" wrapText="1"/>
    </xf>
    <xf numFmtId="186" fontId="42" fillId="0" borderId="52" xfId="9" applyNumberFormat="1" applyFont="1" applyFill="1" applyBorder="1" applyAlignment="1">
      <alignment horizontal="center" vertical="top" wrapText="1"/>
    </xf>
    <xf numFmtId="186" fontId="42" fillId="0" borderId="230" xfId="9" applyNumberFormat="1" applyFont="1" applyFill="1" applyBorder="1" applyAlignment="1">
      <alignment horizontal="center" vertical="top" wrapText="1"/>
    </xf>
    <xf numFmtId="186" fontId="42" fillId="0" borderId="35" xfId="9" applyNumberFormat="1" applyFont="1" applyFill="1" applyBorder="1" applyAlignment="1">
      <alignment horizontal="center" vertical="top" wrapText="1"/>
    </xf>
    <xf numFmtId="181" fontId="42" fillId="0" borderId="0" xfId="9" applyNumberFormat="1" applyFont="1" applyFill="1" applyBorder="1" applyAlignment="1">
      <alignment horizontal="centerContinuous" vertical="center"/>
    </xf>
    <xf numFmtId="0" fontId="42" fillId="0" borderId="36" xfId="9" applyFont="1" applyBorder="1" applyAlignment="1">
      <alignment horizontal="centerContinuous" vertical="center"/>
    </xf>
    <xf numFmtId="181" fontId="42" fillId="0" borderId="52" xfId="9" applyNumberFormat="1" applyFont="1" applyFill="1" applyBorder="1" applyAlignment="1">
      <alignment horizontal="centerContinuous" vertical="center"/>
    </xf>
    <xf numFmtId="0" fontId="42" fillId="0" borderId="77" xfId="9" applyFont="1" applyBorder="1" applyAlignment="1">
      <alignment horizontal="centerContinuous" vertical="center"/>
    </xf>
    <xf numFmtId="181" fontId="42" fillId="0" borderId="92" xfId="9" applyNumberFormat="1" applyFont="1" applyBorder="1" applyAlignment="1">
      <alignment vertical="center"/>
    </xf>
    <xf numFmtId="181" fontId="42" fillId="0" borderId="86" xfId="9" applyNumberFormat="1" applyFont="1" applyBorder="1" applyAlignment="1">
      <alignment vertical="center"/>
    </xf>
    <xf numFmtId="181" fontId="42" fillId="0" borderId="83" xfId="9" applyNumberFormat="1" applyFont="1" applyBorder="1" applyAlignment="1">
      <alignment vertical="center"/>
    </xf>
    <xf numFmtId="181" fontId="42" fillId="15" borderId="92" xfId="9" applyNumberFormat="1" applyFont="1" applyFill="1" applyBorder="1" applyAlignment="1">
      <alignment vertical="center"/>
    </xf>
    <xf numFmtId="186" fontId="42" fillId="0" borderId="59" xfId="9" applyNumberFormat="1" applyFont="1" applyFill="1" applyBorder="1" applyAlignment="1">
      <alignment horizontal="center" vertical="center"/>
    </xf>
    <xf numFmtId="186" fontId="42" fillId="0" borderId="72" xfId="9" applyNumberFormat="1" applyFont="1" applyFill="1" applyBorder="1" applyAlignment="1">
      <alignment horizontal="center" vertical="center"/>
    </xf>
    <xf numFmtId="186" fontId="42" fillId="0" borderId="231" xfId="9" applyNumberFormat="1" applyFont="1" applyFill="1" applyBorder="1" applyAlignment="1">
      <alignment horizontal="center" vertical="center"/>
    </xf>
    <xf numFmtId="186" fontId="42" fillId="0" borderId="58" xfId="9" applyNumberFormat="1" applyFont="1" applyFill="1" applyBorder="1" applyAlignment="1">
      <alignment horizontal="center" vertical="center"/>
    </xf>
    <xf numFmtId="181" fontId="42" fillId="0" borderId="227" xfId="9" applyNumberFormat="1" applyFont="1" applyFill="1" applyBorder="1" applyAlignment="1">
      <alignment horizontal="center" vertical="center"/>
    </xf>
    <xf numFmtId="0" fontId="42" fillId="0" borderId="177" xfId="9" applyFont="1" applyBorder="1" applyAlignment="1">
      <alignment horizontal="center" vertical="center"/>
    </xf>
    <xf numFmtId="181" fontId="42" fillId="0" borderId="151" xfId="9" applyNumberFormat="1" applyFont="1" applyFill="1" applyBorder="1" applyAlignment="1">
      <alignment horizontal="center" vertical="center"/>
    </xf>
    <xf numFmtId="0" fontId="42" fillId="0" borderId="126" xfId="9" applyFont="1" applyBorder="1" applyAlignment="1">
      <alignment horizontal="center" vertical="center"/>
    </xf>
    <xf numFmtId="0" fontId="42" fillId="2" borderId="0" xfId="9" applyFont="1" applyFill="1" applyAlignment="1">
      <alignment horizontal="right"/>
    </xf>
    <xf numFmtId="181" fontId="43" fillId="15" borderId="130" xfId="9" applyNumberFormat="1" applyFont="1" applyFill="1" applyBorder="1" applyAlignment="1">
      <alignment vertical="center"/>
    </xf>
    <xf numFmtId="186" fontId="43" fillId="0" borderId="208" xfId="9" applyNumberFormat="1" applyFont="1" applyFill="1" applyBorder="1" applyAlignment="1">
      <alignment vertical="center" shrinkToFit="1"/>
    </xf>
    <xf numFmtId="186" fontId="43" fillId="0" borderId="104" xfId="9" applyNumberFormat="1" applyFont="1" applyFill="1" applyBorder="1" applyAlignment="1">
      <alignment vertical="center" shrinkToFit="1"/>
    </xf>
    <xf numFmtId="186" fontId="43" fillId="0" borderId="232" xfId="9" applyNumberFormat="1" applyFont="1" applyFill="1" applyBorder="1" applyAlignment="1">
      <alignment vertical="center" shrinkToFit="1"/>
    </xf>
    <xf numFmtId="186" fontId="43" fillId="0" borderId="209" xfId="9" applyNumberFormat="1" applyFont="1" applyFill="1" applyBorder="1" applyAlignment="1">
      <alignment vertical="center" shrinkToFit="1"/>
    </xf>
    <xf numFmtId="182" fontId="44" fillId="0" borderId="133" xfId="9" applyNumberFormat="1" applyFont="1" applyBorder="1" applyAlignment="1">
      <alignment horizontal="right" vertical="center" shrinkToFit="1"/>
    </xf>
    <xf numFmtId="183" fontId="44" fillId="0" borderId="218" xfId="9" applyNumberFormat="1" applyFont="1" applyBorder="1" applyAlignment="1">
      <alignment horizontal="right" vertical="center" shrinkToFit="1"/>
    </xf>
    <xf numFmtId="182" fontId="44" fillId="0" borderId="127" xfId="9" applyNumberFormat="1" applyFont="1" applyBorder="1" applyAlignment="1">
      <alignment horizontal="right" vertical="center" shrinkToFit="1"/>
    </xf>
    <xf numFmtId="183" fontId="44" fillId="0" borderId="134" xfId="9" applyNumberFormat="1" applyFont="1" applyBorder="1" applyAlignment="1">
      <alignment horizontal="right" vertical="center" shrinkToFit="1"/>
    </xf>
    <xf numFmtId="183" fontId="44" fillId="0" borderId="0" xfId="9" applyNumberFormat="1" applyFont="1" applyBorder="1" applyAlignment="1">
      <alignment vertical="center"/>
    </xf>
    <xf numFmtId="181" fontId="42" fillId="0" borderId="147" xfId="9" applyNumberFormat="1" applyFont="1" applyBorder="1" applyAlignment="1">
      <alignment vertical="center" shrinkToFit="1"/>
    </xf>
    <xf numFmtId="181" fontId="43" fillId="15" borderId="138" xfId="9" applyNumberFormat="1" applyFont="1" applyFill="1" applyBorder="1" applyAlignment="1">
      <alignment vertical="center"/>
    </xf>
    <xf numFmtId="186" fontId="43" fillId="0" borderId="210" xfId="9" applyNumberFormat="1" applyFont="1" applyFill="1" applyBorder="1" applyAlignment="1">
      <alignment vertical="center" shrinkToFit="1"/>
    </xf>
    <xf numFmtId="186" fontId="43" fillId="0" borderId="224" xfId="9" applyNumberFormat="1" applyFont="1" applyFill="1" applyBorder="1" applyAlignment="1">
      <alignment vertical="center" shrinkToFit="1"/>
    </xf>
    <xf numFmtId="186" fontId="43" fillId="0" borderId="233" xfId="9" applyNumberFormat="1" applyFont="1" applyFill="1" applyBorder="1" applyAlignment="1">
      <alignment vertical="center" shrinkToFit="1"/>
    </xf>
    <xf numFmtId="186" fontId="43" fillId="0" borderId="206" xfId="9" applyNumberFormat="1" applyFont="1" applyFill="1" applyBorder="1" applyAlignment="1">
      <alignment vertical="center" shrinkToFit="1"/>
    </xf>
    <xf numFmtId="182" fontId="44" fillId="0" borderId="141" xfId="9" applyNumberFormat="1" applyFont="1" applyBorder="1" applyAlignment="1">
      <alignment horizontal="right" vertical="center" shrinkToFit="1"/>
    </xf>
    <xf numFmtId="183" fontId="44" fillId="0" borderId="219" xfId="9" applyNumberFormat="1" applyFont="1" applyBorder="1" applyAlignment="1">
      <alignment horizontal="right" vertical="center" shrinkToFit="1"/>
    </xf>
    <xf numFmtId="182" fontId="44" fillId="0" borderId="143" xfId="9" applyNumberFormat="1" applyFont="1" applyBorder="1" applyAlignment="1">
      <alignment horizontal="right" vertical="center" shrinkToFit="1"/>
    </xf>
    <xf numFmtId="183" fontId="44" fillId="0" borderId="142" xfId="9" applyNumberFormat="1" applyFont="1" applyBorder="1" applyAlignment="1">
      <alignment horizontal="right" vertical="center" shrinkToFit="1"/>
    </xf>
    <xf numFmtId="181" fontId="42" fillId="0" borderId="181" xfId="9" applyNumberFormat="1" applyFont="1" applyBorder="1" applyAlignment="1">
      <alignment vertical="center" shrinkToFit="1"/>
    </xf>
    <xf numFmtId="181" fontId="42" fillId="0" borderId="144" xfId="9" applyNumberFormat="1" applyFont="1" applyBorder="1" applyAlignment="1">
      <alignment vertical="center" shrinkToFit="1"/>
    </xf>
    <xf numFmtId="181" fontId="47" fillId="15" borderId="138" xfId="9" applyNumberFormat="1" applyFont="1" applyFill="1" applyBorder="1" applyAlignment="1">
      <alignment vertical="center"/>
    </xf>
    <xf numFmtId="186" fontId="42" fillId="2" borderId="210" xfId="9" applyNumberFormat="1" applyFont="1" applyFill="1" applyBorder="1" applyAlignment="1">
      <alignment vertical="center" shrinkToFit="1"/>
    </xf>
    <xf numFmtId="186" fontId="42" fillId="2" borderId="224" xfId="9" applyNumberFormat="1" applyFont="1" applyFill="1" applyBorder="1" applyAlignment="1">
      <alignment vertical="center" shrinkToFit="1"/>
    </xf>
    <xf numFmtId="186" fontId="48" fillId="0" borderId="233" xfId="9" applyNumberFormat="1" applyFont="1" applyFill="1" applyBorder="1" applyAlignment="1">
      <alignment vertical="center" shrinkToFit="1"/>
    </xf>
    <xf numFmtId="186" fontId="42" fillId="2" borderId="206" xfId="9" applyNumberFormat="1" applyFont="1" applyFill="1" applyBorder="1" applyAlignment="1">
      <alignment vertical="center" shrinkToFit="1"/>
    </xf>
    <xf numFmtId="38" fontId="42" fillId="0" borderId="0" xfId="9" applyNumberFormat="1" applyFont="1" applyAlignment="1"/>
    <xf numFmtId="181" fontId="42" fillId="0" borderId="145" xfId="9" applyNumberFormat="1" applyFont="1" applyBorder="1" applyAlignment="1">
      <alignment vertical="center" shrinkToFit="1"/>
    </xf>
    <xf numFmtId="181" fontId="42" fillId="0" borderId="137" xfId="9" applyNumberFormat="1" applyFont="1" applyBorder="1" applyAlignment="1">
      <alignment horizontal="distributed" vertical="center" shrinkToFit="1"/>
    </xf>
    <xf numFmtId="0" fontId="42" fillId="0" borderId="0" xfId="9" applyFont="1" applyFill="1" applyAlignment="1"/>
    <xf numFmtId="181" fontId="42" fillId="0" borderId="128" xfId="9" applyNumberFormat="1" applyFont="1" applyBorder="1" applyAlignment="1">
      <alignment vertical="center" shrinkToFit="1"/>
    </xf>
    <xf numFmtId="186" fontId="42" fillId="0" borderId="233" xfId="9" applyNumberFormat="1" applyFont="1" applyFill="1" applyBorder="1" applyAlignment="1">
      <alignment vertical="center" shrinkToFit="1"/>
    </xf>
    <xf numFmtId="183" fontId="49" fillId="0" borderId="219" xfId="9" applyNumberFormat="1" applyFont="1" applyBorder="1" applyAlignment="1">
      <alignment horizontal="right" vertical="center" shrinkToFit="1"/>
    </xf>
    <xf numFmtId="183" fontId="49" fillId="0" borderId="142" xfId="9" applyNumberFormat="1" applyFont="1" applyBorder="1" applyAlignment="1">
      <alignment horizontal="right" vertical="center" shrinkToFit="1"/>
    </xf>
    <xf numFmtId="0" fontId="42" fillId="2" borderId="0" xfId="9" applyFont="1" applyFill="1" applyAlignment="1"/>
    <xf numFmtId="181" fontId="42" fillId="15" borderId="181" xfId="9" applyNumberFormat="1" applyFont="1" applyFill="1" applyBorder="1" applyAlignment="1">
      <alignment vertical="center" shrinkToFit="1"/>
    </xf>
    <xf numFmtId="181" fontId="42" fillId="15" borderId="145" xfId="9" applyNumberFormat="1" applyFont="1" applyFill="1" applyBorder="1" applyAlignment="1">
      <alignment vertical="center" shrinkToFit="1"/>
    </xf>
    <xf numFmtId="181" fontId="47" fillId="15" borderId="146" xfId="9" applyNumberFormat="1" applyFont="1" applyFill="1" applyBorder="1" applyAlignment="1">
      <alignment vertical="center"/>
    </xf>
    <xf numFmtId="186" fontId="42" fillId="2" borderId="211" xfId="9" applyNumberFormat="1" applyFont="1" applyFill="1" applyBorder="1" applyAlignment="1">
      <alignment vertical="center" shrinkToFit="1"/>
    </xf>
    <xf numFmtId="186" fontId="42" fillId="2" borderId="100" xfId="9" applyNumberFormat="1" applyFont="1" applyFill="1" applyBorder="1" applyAlignment="1">
      <alignment vertical="center" shrinkToFit="1"/>
    </xf>
    <xf numFmtId="186" fontId="42" fillId="2" borderId="212" xfId="9" applyNumberFormat="1" applyFont="1" applyFill="1" applyBorder="1" applyAlignment="1">
      <alignment vertical="center" shrinkToFit="1"/>
    </xf>
    <xf numFmtId="182" fontId="44" fillId="0" borderId="149" xfId="9" applyNumberFormat="1" applyFont="1" applyBorder="1" applyAlignment="1">
      <alignment horizontal="right" vertical="center" shrinkToFit="1"/>
    </xf>
    <xf numFmtId="183" fontId="44" fillId="0" borderId="220" xfId="9" applyNumberFormat="1" applyFont="1" applyBorder="1" applyAlignment="1">
      <alignment horizontal="right" vertical="center" shrinkToFit="1"/>
    </xf>
    <xf numFmtId="182" fontId="44" fillId="0" borderId="135" xfId="9" applyNumberFormat="1" applyFont="1" applyBorder="1" applyAlignment="1">
      <alignment horizontal="right" vertical="center" shrinkToFit="1"/>
    </xf>
    <xf numFmtId="183" fontId="44" fillId="0" borderId="150" xfId="9" applyNumberFormat="1" applyFont="1" applyBorder="1" applyAlignment="1">
      <alignment horizontal="right" vertical="center" shrinkToFit="1"/>
    </xf>
    <xf numFmtId="181" fontId="42" fillId="0" borderId="185" xfId="9" applyNumberFormat="1" applyFont="1" applyBorder="1" applyAlignment="1">
      <alignment vertical="center" shrinkToFit="1"/>
    </xf>
    <xf numFmtId="181" fontId="42" fillId="0" borderId="197" xfId="9" applyNumberFormat="1" applyFont="1" applyBorder="1" applyAlignment="1">
      <alignment vertical="center" shrinkToFit="1"/>
    </xf>
    <xf numFmtId="181" fontId="47" fillId="15" borderId="154" xfId="9" applyNumberFormat="1" applyFont="1" applyFill="1" applyBorder="1" applyAlignment="1">
      <alignment vertical="center"/>
    </xf>
    <xf numFmtId="186" fontId="42" fillId="2" borderId="213" xfId="9" applyNumberFormat="1" applyFont="1" applyFill="1" applyBorder="1" applyAlignment="1">
      <alignment vertical="center" shrinkToFit="1"/>
    </xf>
    <xf numFmtId="186" fontId="42" fillId="2" borderId="225" xfId="9" applyNumberFormat="1" applyFont="1" applyFill="1" applyBorder="1" applyAlignment="1">
      <alignment vertical="center" shrinkToFit="1"/>
    </xf>
    <xf numFmtId="186" fontId="48" fillId="0" borderId="234" xfId="9" applyNumberFormat="1" applyFont="1" applyFill="1" applyBorder="1" applyAlignment="1">
      <alignment vertical="center" shrinkToFit="1"/>
    </xf>
    <xf numFmtId="186" fontId="42" fillId="2" borderId="214" xfId="9" applyNumberFormat="1" applyFont="1" applyFill="1" applyBorder="1" applyAlignment="1">
      <alignment vertical="center" shrinkToFit="1"/>
    </xf>
    <xf numFmtId="182" fontId="44" fillId="0" borderId="157" xfId="9" applyNumberFormat="1" applyFont="1" applyBorder="1" applyAlignment="1">
      <alignment horizontal="right" vertical="center" shrinkToFit="1"/>
    </xf>
    <xf numFmtId="183" fontId="50" fillId="0" borderId="221" xfId="9" applyNumberFormat="1" applyFont="1" applyBorder="1" applyAlignment="1">
      <alignment horizontal="right" vertical="center" shrinkToFit="1"/>
    </xf>
    <xf numFmtId="182" fontId="44" fillId="0" borderId="159" xfId="9" applyNumberFormat="1" applyFont="1" applyBorder="1" applyAlignment="1">
      <alignment horizontal="right" vertical="center" shrinkToFit="1"/>
    </xf>
    <xf numFmtId="183" fontId="50" fillId="0" borderId="158" xfId="9" applyNumberFormat="1" applyFont="1" applyBorder="1" applyAlignment="1">
      <alignment horizontal="right" vertical="center" shrinkToFit="1"/>
    </xf>
    <xf numFmtId="181" fontId="42" fillId="0" borderId="0" xfId="9" applyNumberFormat="1" applyFont="1" applyAlignment="1">
      <alignment vertical="center" shrinkToFit="1"/>
    </xf>
    <xf numFmtId="186" fontId="42" fillId="0" borderId="0" xfId="9" applyNumberFormat="1" applyFont="1" applyFill="1" applyAlignment="1">
      <alignment vertical="center" shrinkToFit="1"/>
    </xf>
    <xf numFmtId="186" fontId="42" fillId="0" borderId="230" xfId="9" applyNumberFormat="1" applyFont="1" applyFill="1" applyBorder="1" applyAlignment="1">
      <alignment vertical="center" shrinkToFit="1"/>
    </xf>
    <xf numFmtId="182" fontId="44" fillId="0" borderId="0" xfId="9" applyNumberFormat="1" applyFont="1" applyBorder="1" applyAlignment="1">
      <alignment horizontal="right" vertical="center" shrinkToFit="1"/>
    </xf>
    <xf numFmtId="183" fontId="45" fillId="0" borderId="0" xfId="9" applyNumberFormat="1" applyFont="1" applyAlignment="1">
      <alignment horizontal="right" vertical="center" shrinkToFit="1"/>
    </xf>
    <xf numFmtId="183" fontId="45" fillId="0" borderId="5" xfId="9" applyNumberFormat="1" applyFont="1" applyBorder="1" applyAlignment="1">
      <alignment horizontal="right" vertical="center" shrinkToFit="1"/>
    </xf>
    <xf numFmtId="181" fontId="43" fillId="15" borderId="6" xfId="9" applyNumberFormat="1" applyFont="1" applyFill="1" applyBorder="1" applyAlignment="1">
      <alignment vertical="center"/>
    </xf>
    <xf numFmtId="181" fontId="42" fillId="0" borderId="0" xfId="9" applyNumberFormat="1" applyFont="1" applyBorder="1" applyAlignment="1">
      <alignment horizontal="distributed" vertical="center" shrinkToFit="1"/>
    </xf>
    <xf numFmtId="181" fontId="43" fillId="15" borderId="0" xfId="9" applyNumberFormat="1" applyFont="1" applyFill="1" applyBorder="1" applyAlignment="1">
      <alignment vertical="center"/>
    </xf>
    <xf numFmtId="186" fontId="43" fillId="0" borderId="0" xfId="9" applyNumberFormat="1" applyFont="1" applyFill="1" applyBorder="1" applyAlignment="1">
      <alignment vertical="center" shrinkToFit="1"/>
    </xf>
    <xf numFmtId="186" fontId="43" fillId="0" borderId="230" xfId="9" applyNumberFormat="1" applyFont="1" applyFill="1" applyBorder="1" applyAlignment="1">
      <alignment vertical="center" shrinkToFit="1"/>
    </xf>
    <xf numFmtId="183" fontId="45" fillId="0" borderId="23" xfId="9" applyNumberFormat="1" applyFont="1" applyBorder="1" applyAlignment="1">
      <alignment horizontal="right" vertical="center" shrinkToFit="1"/>
    </xf>
    <xf numFmtId="182" fontId="44" fillId="0" borderId="23" xfId="9" applyNumberFormat="1" applyFont="1" applyBorder="1" applyAlignment="1">
      <alignment horizontal="right" vertical="center" shrinkToFit="1"/>
    </xf>
    <xf numFmtId="0" fontId="42" fillId="0" borderId="0" xfId="9" applyFont="1" applyAlignment="1">
      <alignment shrinkToFit="1"/>
    </xf>
    <xf numFmtId="186" fontId="42" fillId="0" borderId="0" xfId="9" applyNumberFormat="1" applyFont="1" applyFill="1" applyAlignment="1">
      <alignment shrinkToFit="1"/>
    </xf>
    <xf numFmtId="186" fontId="42" fillId="0" borderId="230" xfId="9" applyNumberFormat="1" applyFont="1" applyFill="1" applyBorder="1" applyAlignment="1">
      <alignment shrinkToFit="1"/>
    </xf>
    <xf numFmtId="183" fontId="45" fillId="0" borderId="11" xfId="9" applyNumberFormat="1" applyFont="1" applyBorder="1" applyAlignment="1">
      <alignment horizontal="right" vertical="center" shrinkToFit="1"/>
    </xf>
    <xf numFmtId="182" fontId="44" fillId="0" borderId="11" xfId="9" applyNumberFormat="1" applyFont="1" applyBorder="1" applyAlignment="1">
      <alignment horizontal="right" vertical="center" shrinkToFit="1"/>
    </xf>
    <xf numFmtId="181" fontId="43" fillId="15" borderId="202" xfId="9" applyNumberFormat="1" applyFont="1" applyFill="1" applyBorder="1" applyAlignment="1">
      <alignment vertical="center"/>
    </xf>
    <xf numFmtId="186" fontId="43" fillId="0" borderId="215" xfId="9" applyNumberFormat="1" applyFont="1" applyFill="1" applyBorder="1" applyAlignment="1">
      <alignment vertical="center" shrinkToFit="1"/>
    </xf>
    <xf numFmtId="186" fontId="43" fillId="0" borderId="226" xfId="9" applyNumberFormat="1" applyFont="1" applyFill="1" applyBorder="1" applyAlignment="1">
      <alignment vertical="center" shrinkToFit="1"/>
    </xf>
    <xf numFmtId="186" fontId="43" fillId="0" borderId="236" xfId="9" applyNumberFormat="1" applyFont="1" applyFill="1" applyBorder="1" applyAlignment="1">
      <alignment vertical="center" shrinkToFit="1"/>
    </xf>
    <xf numFmtId="186" fontId="43" fillId="0" borderId="216" xfId="9" applyNumberFormat="1" applyFont="1" applyFill="1" applyBorder="1" applyAlignment="1">
      <alignment vertical="center" shrinkToFit="1"/>
    </xf>
    <xf numFmtId="182" fontId="45" fillId="0" borderId="172" xfId="9" applyNumberFormat="1" applyFont="1" applyBorder="1" applyAlignment="1">
      <alignment horizontal="right" vertical="center" shrinkToFit="1"/>
    </xf>
    <xf numFmtId="183" fontId="44" fillId="0" borderId="223" xfId="9" applyNumberFormat="1" applyFont="1" applyBorder="1" applyAlignment="1">
      <alignment horizontal="right" vertical="center" shrinkToFit="1"/>
    </xf>
    <xf numFmtId="182" fontId="45" fillId="0" borderId="173" xfId="9" applyNumberFormat="1" applyFont="1" applyBorder="1" applyAlignment="1">
      <alignment horizontal="right" vertical="center" shrinkToFit="1"/>
    </xf>
    <xf numFmtId="183" fontId="44" fillId="0" borderId="171" xfId="9" applyNumberFormat="1" applyFont="1" applyBorder="1" applyAlignment="1">
      <alignment horizontal="right" vertical="center" shrinkToFit="1"/>
    </xf>
    <xf numFmtId="183" fontId="50" fillId="0" borderId="219" xfId="9" applyNumberFormat="1" applyFont="1" applyBorder="1" applyAlignment="1">
      <alignment horizontal="right" vertical="center" shrinkToFit="1"/>
    </xf>
    <xf numFmtId="183" fontId="50" fillId="0" borderId="142" xfId="9" applyNumberFormat="1" applyFont="1" applyBorder="1" applyAlignment="1">
      <alignment horizontal="right" vertical="center" shrinkToFit="1"/>
    </xf>
    <xf numFmtId="183" fontId="51" fillId="0" borderId="219" xfId="9" applyNumberFormat="1" applyFont="1" applyBorder="1" applyAlignment="1">
      <alignment horizontal="right" vertical="center" shrinkToFit="1"/>
    </xf>
    <xf numFmtId="183" fontId="51" fillId="0" borderId="142" xfId="9" applyNumberFormat="1" applyFont="1" applyBorder="1" applyAlignment="1">
      <alignment horizontal="right" vertical="center" shrinkToFit="1"/>
    </xf>
    <xf numFmtId="186" fontId="42" fillId="0" borderId="234" xfId="9" applyNumberFormat="1" applyFont="1" applyFill="1" applyBorder="1" applyAlignment="1">
      <alignment vertical="center" shrinkToFit="1"/>
    </xf>
    <xf numFmtId="183" fontId="51" fillId="0" borderId="221" xfId="9" applyNumberFormat="1" applyFont="1" applyBorder="1" applyAlignment="1">
      <alignment horizontal="right" vertical="center" shrinkToFit="1"/>
    </xf>
    <xf numFmtId="183" fontId="51" fillId="0" borderId="158" xfId="9" applyNumberFormat="1" applyFont="1" applyBorder="1" applyAlignment="1">
      <alignment horizontal="right" vertical="center" shrinkToFit="1"/>
    </xf>
    <xf numFmtId="182" fontId="44" fillId="0" borderId="5" xfId="9" applyNumberFormat="1" applyFont="1" applyBorder="1" applyAlignment="1">
      <alignment horizontal="right" vertical="center" shrinkToFit="1"/>
    </xf>
    <xf numFmtId="181" fontId="47" fillId="15" borderId="6" xfId="9" applyNumberFormat="1" applyFont="1" applyFill="1" applyBorder="1" applyAlignment="1">
      <alignment vertical="center"/>
    </xf>
    <xf numFmtId="186" fontId="42" fillId="2" borderId="61" xfId="9" applyNumberFormat="1" applyFont="1" applyFill="1" applyBorder="1" applyAlignment="1">
      <alignment vertical="center" shrinkToFit="1"/>
    </xf>
    <xf numFmtId="186" fontId="42" fillId="2" borderId="3" xfId="9" applyNumberFormat="1" applyFont="1" applyFill="1" applyBorder="1" applyAlignment="1">
      <alignment vertical="center" shrinkToFit="1"/>
    </xf>
    <xf numFmtId="186" fontId="52" fillId="0" borderId="237" xfId="9" applyNumberFormat="1" applyFont="1" applyFill="1" applyBorder="1" applyAlignment="1">
      <alignment vertical="center" shrinkToFit="1"/>
    </xf>
    <xf numFmtId="186" fontId="42" fillId="2" borderId="4" xfId="9" applyNumberFormat="1" applyFont="1" applyFill="1" applyBorder="1" applyAlignment="1">
      <alignment vertical="center" shrinkToFit="1"/>
    </xf>
    <xf numFmtId="183" fontId="51" fillId="0" borderId="222" xfId="9" applyNumberFormat="1" applyFont="1" applyBorder="1" applyAlignment="1">
      <alignment horizontal="right" vertical="center" shrinkToFit="1"/>
    </xf>
    <xf numFmtId="183" fontId="51" fillId="0" borderId="163" xfId="9" applyNumberFormat="1" applyFont="1" applyBorder="1" applyAlignment="1">
      <alignment horizontal="right" vertical="center" shrinkToFit="1"/>
    </xf>
    <xf numFmtId="0" fontId="53" fillId="0" borderId="0" xfId="9" applyFont="1"/>
    <xf numFmtId="0" fontId="42" fillId="0" borderId="0" xfId="9" applyFont="1"/>
    <xf numFmtId="186" fontId="42" fillId="0" borderId="0" xfId="9" applyNumberFormat="1" applyFont="1" applyFill="1"/>
    <xf numFmtId="38" fontId="42" fillId="0" borderId="0" xfId="1" applyFont="1" applyAlignment="1">
      <alignment horizontal="right" vertical="center"/>
    </xf>
    <xf numFmtId="38" fontId="42" fillId="0" borderId="0" xfId="1" applyFont="1" applyAlignment="1">
      <alignment vertical="center"/>
    </xf>
    <xf numFmtId="181" fontId="54" fillId="0" borderId="0" xfId="9" applyNumberFormat="1" applyFont="1" applyAlignment="1">
      <alignment vertical="center"/>
    </xf>
    <xf numFmtId="186" fontId="42" fillId="0" borderId="191" xfId="9" applyNumberFormat="1" applyFont="1" applyFill="1" applyBorder="1" applyAlignment="1">
      <alignment horizontal="center" vertical="top"/>
    </xf>
    <xf numFmtId="186" fontId="42" fillId="0" borderId="244" xfId="9" applyNumberFormat="1" applyFont="1" applyFill="1" applyBorder="1" applyAlignment="1">
      <alignment horizontal="center" vertical="top"/>
    </xf>
    <xf numFmtId="186" fontId="42" fillId="0" borderId="241" xfId="9" applyNumberFormat="1" applyFont="1" applyFill="1" applyBorder="1" applyAlignment="1">
      <alignment horizontal="center" vertical="top"/>
    </xf>
    <xf numFmtId="186" fontId="42" fillId="0" borderId="23" xfId="9" applyNumberFormat="1" applyFont="1" applyFill="1" applyBorder="1" applyAlignment="1">
      <alignment horizontal="center" vertical="top"/>
    </xf>
    <xf numFmtId="38" fontId="42" fillId="0" borderId="0" xfId="1" applyFont="1" applyBorder="1" applyAlignment="1">
      <alignment horizontal="right" vertical="center"/>
    </xf>
    <xf numFmtId="38" fontId="42" fillId="0" borderId="0" xfId="1" applyFont="1" applyBorder="1" applyAlignment="1">
      <alignment vertical="center"/>
    </xf>
    <xf numFmtId="186" fontId="42" fillId="0" borderId="181" xfId="9" applyNumberFormat="1" applyFont="1" applyFill="1" applyBorder="1" applyAlignment="1">
      <alignment horizontal="center" vertical="top" wrapText="1"/>
    </xf>
    <xf numFmtId="186" fontId="42" fillId="0" borderId="245" xfId="9" applyNumberFormat="1" applyFont="1" applyFill="1" applyBorder="1" applyAlignment="1">
      <alignment horizontal="center" vertical="top" wrapText="1"/>
    </xf>
    <xf numFmtId="186" fontId="42" fillId="0" borderId="0" xfId="9" applyNumberFormat="1" applyFont="1" applyFill="1" applyBorder="1" applyAlignment="1">
      <alignment horizontal="center" vertical="top" wrapText="1"/>
    </xf>
    <xf numFmtId="186" fontId="42" fillId="0" borderId="125" xfId="9" applyNumberFormat="1" applyFont="1" applyFill="1" applyBorder="1" applyAlignment="1">
      <alignment horizontal="center" vertical="center"/>
    </xf>
    <xf numFmtId="186" fontId="42" fillId="0" borderId="246" xfId="9" applyNumberFormat="1" applyFont="1" applyFill="1" applyBorder="1" applyAlignment="1">
      <alignment horizontal="center" vertical="center"/>
    </xf>
    <xf numFmtId="186" fontId="42" fillId="0" borderId="86" xfId="9" applyNumberFormat="1" applyFont="1" applyFill="1" applyBorder="1" applyAlignment="1">
      <alignment horizontal="center" vertical="center"/>
    </xf>
    <xf numFmtId="38" fontId="42" fillId="2" borderId="0" xfId="1" applyFont="1" applyFill="1" applyAlignment="1">
      <alignment horizontal="right" vertical="center"/>
    </xf>
    <xf numFmtId="182" fontId="43" fillId="0" borderId="180" xfId="9" applyNumberFormat="1" applyFont="1" applyBorder="1" applyAlignment="1">
      <alignment vertical="center"/>
    </xf>
    <xf numFmtId="186" fontId="43" fillId="0" borderId="178" xfId="9" applyNumberFormat="1" applyFont="1" applyFill="1" applyBorder="1" applyAlignment="1">
      <alignment vertical="center"/>
    </xf>
    <xf numFmtId="186" fontId="43" fillId="0" borderId="247" xfId="9" applyNumberFormat="1" applyFont="1" applyFill="1" applyBorder="1" applyAlignment="1">
      <alignment vertical="center"/>
    </xf>
    <xf numFmtId="186" fontId="43" fillId="0" borderId="238" xfId="9" applyNumberFormat="1" applyFont="1" applyFill="1" applyBorder="1" applyAlignment="1">
      <alignment vertical="center"/>
    </xf>
    <xf numFmtId="186" fontId="43" fillId="0" borderId="53" xfId="9" applyNumberFormat="1" applyFont="1" applyFill="1" applyBorder="1" applyAlignment="1">
      <alignment vertical="center"/>
    </xf>
    <xf numFmtId="182" fontId="43" fillId="0" borderId="160" xfId="9" applyNumberFormat="1" applyFont="1" applyBorder="1" applyAlignment="1">
      <alignment horizontal="right" vertical="center" shrinkToFit="1"/>
    </xf>
    <xf numFmtId="183" fontId="43" fillId="0" borderId="263" xfId="9" applyNumberFormat="1" applyFont="1" applyBorder="1" applyAlignment="1">
      <alignment horizontal="right" vertical="center" shrinkToFit="1"/>
    </xf>
    <xf numFmtId="183" fontId="43" fillId="0" borderId="179" xfId="9" applyNumberFormat="1" applyFont="1" applyBorder="1" applyAlignment="1">
      <alignment horizontal="right" vertical="center" shrinkToFit="1"/>
    </xf>
    <xf numFmtId="181" fontId="45" fillId="0" borderId="181" xfId="9" applyNumberFormat="1" applyFont="1" applyBorder="1" applyAlignment="1">
      <alignment vertical="center"/>
    </xf>
    <xf numFmtId="181" fontId="43" fillId="0" borderId="132" xfId="9" applyNumberFormat="1" applyFont="1" applyBorder="1" applyAlignment="1">
      <alignment vertical="center"/>
    </xf>
    <xf numFmtId="186" fontId="43" fillId="0" borderId="131" xfId="9" applyNumberFormat="1" applyFont="1" applyFill="1" applyBorder="1" applyAlignment="1">
      <alignment vertical="center"/>
    </xf>
    <xf numFmtId="186" fontId="43" fillId="0" borderId="248" xfId="9" applyNumberFormat="1" applyFont="1" applyFill="1" applyBorder="1" applyAlignment="1">
      <alignment vertical="center"/>
    </xf>
    <xf numFmtId="186" fontId="43" fillId="0" borderId="232" xfId="9" applyNumberFormat="1" applyFont="1" applyFill="1" applyBorder="1" applyAlignment="1">
      <alignment vertical="center"/>
    </xf>
    <xf numFmtId="186" fontId="43" fillId="0" borderId="103" xfId="9" applyNumberFormat="1" applyFont="1" applyFill="1" applyBorder="1" applyAlignment="1">
      <alignment vertical="center"/>
    </xf>
    <xf numFmtId="182" fontId="43" fillId="0" borderId="166" xfId="9" applyNumberFormat="1" applyFont="1" applyBorder="1" applyAlignment="1">
      <alignment horizontal="right" vertical="center" shrinkToFit="1"/>
    </xf>
    <xf numFmtId="183" fontId="43" fillId="0" borderId="264" xfId="9" applyNumberFormat="1" applyFont="1" applyBorder="1" applyAlignment="1">
      <alignment horizontal="right" vertical="center" shrinkToFit="1"/>
    </xf>
    <xf numFmtId="182" fontId="43" fillId="0" borderId="164" xfId="9" applyNumberFormat="1" applyFont="1" applyBorder="1" applyAlignment="1">
      <alignment horizontal="right" vertical="center" shrinkToFit="1"/>
    </xf>
    <xf numFmtId="183" fontId="43" fillId="0" borderId="168" xfId="9" applyNumberFormat="1" applyFont="1" applyBorder="1" applyAlignment="1">
      <alignment horizontal="right" vertical="center" shrinkToFit="1"/>
    </xf>
    <xf numFmtId="181" fontId="45" fillId="0" borderId="144" xfId="9" applyNumberFormat="1" applyFont="1" applyBorder="1" applyAlignment="1">
      <alignment vertical="center"/>
    </xf>
    <xf numFmtId="181" fontId="43" fillId="0" borderId="140" xfId="9" applyNumberFormat="1" applyFont="1" applyBorder="1" applyAlignment="1">
      <alignment vertical="center"/>
    </xf>
    <xf numFmtId="186" fontId="43" fillId="0" borderId="139" xfId="9" applyNumberFormat="1" applyFont="1" applyFill="1" applyBorder="1" applyAlignment="1">
      <alignment vertical="center"/>
    </xf>
    <xf numFmtId="186" fontId="43" fillId="0" borderId="249" xfId="9" applyNumberFormat="1" applyFont="1" applyFill="1" applyBorder="1" applyAlignment="1">
      <alignment vertical="center"/>
    </xf>
    <xf numFmtId="186" fontId="43" fillId="0" borderId="233" xfId="9" applyNumberFormat="1" applyFont="1" applyFill="1" applyBorder="1" applyAlignment="1">
      <alignment vertical="center"/>
    </xf>
    <xf numFmtId="186" fontId="43" fillId="0" borderId="183" xfId="9" applyNumberFormat="1" applyFont="1" applyFill="1" applyBorder="1" applyAlignment="1">
      <alignment vertical="center"/>
    </xf>
    <xf numFmtId="182" fontId="43" fillId="0" borderId="143" xfId="9" applyNumberFormat="1" applyFont="1" applyBorder="1" applyAlignment="1">
      <alignment horizontal="right" vertical="center" shrinkToFit="1"/>
    </xf>
    <xf numFmtId="183" fontId="43" fillId="0" borderId="219" xfId="9" applyNumberFormat="1" applyFont="1" applyBorder="1" applyAlignment="1">
      <alignment horizontal="right" vertical="center" shrinkToFit="1"/>
    </xf>
    <xf numFmtId="183" fontId="43" fillId="0" borderId="142" xfId="9" applyNumberFormat="1" applyFont="1" applyBorder="1" applyAlignment="1">
      <alignment horizontal="right" vertical="center" shrinkToFit="1"/>
    </xf>
    <xf numFmtId="181" fontId="45" fillId="0" borderId="145" xfId="9" applyNumberFormat="1" applyFont="1" applyBorder="1" applyAlignment="1">
      <alignment vertical="center"/>
    </xf>
    <xf numFmtId="181" fontId="45" fillId="0" borderId="142" xfId="9" applyNumberFormat="1" applyFont="1" applyBorder="1" applyAlignment="1">
      <alignment horizontal="distributed" vertical="center"/>
    </xf>
    <xf numFmtId="181" fontId="55" fillId="0" borderId="140" xfId="9" applyNumberFormat="1" applyFont="1" applyBorder="1" applyAlignment="1">
      <alignment vertical="center"/>
    </xf>
    <xf numFmtId="186" fontId="48" fillId="0" borderId="139" xfId="9" applyNumberFormat="1" applyFont="1" applyFill="1" applyBorder="1" applyAlignment="1">
      <alignment vertical="center"/>
    </xf>
    <xf numFmtId="186" fontId="48" fillId="0" borderId="249" xfId="9" applyNumberFormat="1" applyFont="1" applyFill="1" applyBorder="1" applyAlignment="1">
      <alignment vertical="center"/>
    </xf>
    <xf numFmtId="186" fontId="48" fillId="0" borderId="233" xfId="9" applyNumberFormat="1" applyFont="1" applyFill="1" applyBorder="1" applyAlignment="1">
      <alignment vertical="center"/>
    </xf>
    <xf numFmtId="186" fontId="42" fillId="2" borderId="183" xfId="9" applyNumberFormat="1" applyFont="1" applyFill="1" applyBorder="1" applyAlignment="1">
      <alignment vertical="center"/>
    </xf>
    <xf numFmtId="181" fontId="42" fillId="0" borderId="140" xfId="9" applyNumberFormat="1" applyFont="1" applyBorder="1" applyAlignment="1">
      <alignment vertical="center"/>
    </xf>
    <xf numFmtId="186" fontId="48" fillId="0" borderId="141" xfId="9" applyNumberFormat="1" applyFont="1" applyFill="1" applyBorder="1" applyAlignment="1">
      <alignment vertical="center"/>
    </xf>
    <xf numFmtId="181" fontId="45" fillId="0" borderId="145" xfId="9" applyNumberFormat="1" applyFont="1" applyBorder="1" applyAlignment="1">
      <alignment horizontal="distributed" vertical="center"/>
    </xf>
    <xf numFmtId="183" fontId="43" fillId="0" borderId="220" xfId="9" applyNumberFormat="1" applyFont="1" applyBorder="1" applyAlignment="1">
      <alignment horizontal="right" vertical="center" shrinkToFit="1"/>
    </xf>
    <xf numFmtId="183" fontId="43" fillId="0" borderId="150" xfId="9" applyNumberFormat="1" applyFont="1" applyBorder="1" applyAlignment="1">
      <alignment horizontal="right" vertical="center" shrinkToFit="1"/>
    </xf>
    <xf numFmtId="181" fontId="45" fillId="0" borderId="128" xfId="9" applyNumberFormat="1" applyFont="1" applyBorder="1" applyAlignment="1">
      <alignment horizontal="distributed" vertical="center"/>
    </xf>
    <xf numFmtId="186" fontId="55" fillId="0" borderId="141" xfId="9" applyNumberFormat="1" applyFont="1" applyFill="1" applyBorder="1" applyAlignment="1">
      <alignment vertical="center"/>
    </xf>
    <xf numFmtId="186" fontId="55" fillId="0" borderId="249" xfId="9" applyNumberFormat="1" applyFont="1" applyFill="1" applyBorder="1" applyAlignment="1">
      <alignment vertical="center"/>
    </xf>
    <xf numFmtId="186" fontId="42" fillId="0" borderId="233" xfId="9" applyNumberFormat="1" applyFont="1" applyFill="1" applyBorder="1" applyAlignment="1">
      <alignment vertical="center"/>
    </xf>
    <xf numFmtId="181" fontId="45" fillId="0" borderId="128" xfId="9" applyNumberFormat="1" applyFont="1" applyBorder="1" applyAlignment="1">
      <alignment vertical="center"/>
    </xf>
    <xf numFmtId="186" fontId="55" fillId="0" borderId="233" xfId="9" applyNumberFormat="1" applyFont="1" applyFill="1" applyBorder="1" applyAlignment="1">
      <alignment vertical="center"/>
    </xf>
    <xf numFmtId="186" fontId="55" fillId="0" borderId="139" xfId="9" applyNumberFormat="1" applyFont="1" applyFill="1" applyBorder="1" applyAlignment="1">
      <alignment vertical="center"/>
    </xf>
    <xf numFmtId="181" fontId="42" fillId="0" borderId="140" xfId="9" applyNumberFormat="1" applyFont="1" applyFill="1" applyBorder="1" applyAlignment="1">
      <alignment vertical="center"/>
    </xf>
    <xf numFmtId="186" fontId="42" fillId="0" borderId="139" xfId="9" applyNumberFormat="1" applyFont="1" applyFill="1" applyBorder="1" applyAlignment="1">
      <alignment vertical="center"/>
    </xf>
    <xf numFmtId="186" fontId="42" fillId="0" borderId="249" xfId="9" applyNumberFormat="1" applyFont="1" applyFill="1" applyBorder="1" applyAlignment="1">
      <alignment vertical="center"/>
    </xf>
    <xf numFmtId="186" fontId="48" fillId="0" borderId="183" xfId="9" applyNumberFormat="1" applyFont="1" applyFill="1" applyBorder="1" applyAlignment="1">
      <alignment vertical="center"/>
    </xf>
    <xf numFmtId="182" fontId="43" fillId="0" borderId="140" xfId="9" applyNumberFormat="1" applyFont="1" applyBorder="1" applyAlignment="1">
      <alignment vertical="center"/>
    </xf>
    <xf numFmtId="186" fontId="57" fillId="2" borderId="139" xfId="9" applyNumberFormat="1" applyFont="1" applyFill="1" applyBorder="1" applyAlignment="1">
      <alignment vertical="center"/>
    </xf>
    <xf numFmtId="186" fontId="57" fillId="2" borderId="249" xfId="9" applyNumberFormat="1" applyFont="1" applyFill="1" applyBorder="1" applyAlignment="1">
      <alignment vertical="center"/>
    </xf>
    <xf numFmtId="181" fontId="42" fillId="0" borderId="148" xfId="9" applyNumberFormat="1" applyFont="1" applyBorder="1" applyAlignment="1">
      <alignment vertical="center"/>
    </xf>
    <xf numFmtId="186" fontId="42" fillId="2" borderId="99" xfId="9" applyNumberFormat="1" applyFont="1" applyFill="1" applyBorder="1" applyAlignment="1">
      <alignment vertical="center"/>
    </xf>
    <xf numFmtId="181" fontId="45" fillId="0" borderId="185" xfId="9" applyNumberFormat="1" applyFont="1" applyBorder="1" applyAlignment="1">
      <alignment vertical="center"/>
    </xf>
    <xf numFmtId="181" fontId="42" fillId="0" borderId="156" xfId="9" applyNumberFormat="1" applyFont="1" applyBorder="1" applyAlignment="1">
      <alignment vertical="center"/>
    </xf>
    <xf numFmtId="186" fontId="57" fillId="2" borderId="155" xfId="9" applyNumberFormat="1" applyFont="1" applyFill="1" applyBorder="1" applyAlignment="1">
      <alignment vertical="center"/>
    </xf>
    <xf numFmtId="186" fontId="57" fillId="2" borderId="250" xfId="9" applyNumberFormat="1" applyFont="1" applyFill="1" applyBorder="1" applyAlignment="1">
      <alignment vertical="center"/>
    </xf>
    <xf numFmtId="186" fontId="42" fillId="0" borderId="234" xfId="9" applyNumberFormat="1" applyFont="1" applyFill="1" applyBorder="1" applyAlignment="1">
      <alignment vertical="center"/>
    </xf>
    <xf numFmtId="186" fontId="42" fillId="2" borderId="187" xfId="9" applyNumberFormat="1" applyFont="1" applyFill="1" applyBorder="1" applyAlignment="1">
      <alignment vertical="center"/>
    </xf>
    <xf numFmtId="182" fontId="43" fillId="0" borderId="159" xfId="9" applyNumberFormat="1" applyFont="1" applyBorder="1" applyAlignment="1">
      <alignment horizontal="right" vertical="center" shrinkToFit="1"/>
    </xf>
    <xf numFmtId="183" fontId="43" fillId="0" borderId="221" xfId="9" applyNumberFormat="1" applyFont="1" applyBorder="1" applyAlignment="1">
      <alignment horizontal="right" vertical="center" shrinkToFit="1"/>
    </xf>
    <xf numFmtId="183" fontId="43" fillId="0" borderId="158" xfId="9" applyNumberFormat="1" applyFont="1" applyBorder="1" applyAlignment="1">
      <alignment horizontal="right" vertical="center" shrinkToFit="1"/>
    </xf>
    <xf numFmtId="181" fontId="45" fillId="0" borderId="23" xfId="9" applyNumberFormat="1" applyFont="1" applyBorder="1" applyAlignment="1">
      <alignment vertical="center"/>
    </xf>
    <xf numFmtId="181" fontId="42" fillId="0" borderId="0" xfId="9" applyNumberFormat="1" applyFont="1" applyBorder="1" applyAlignment="1">
      <alignment vertical="center"/>
    </xf>
    <xf numFmtId="186" fontId="42" fillId="0" borderId="23" xfId="9" applyNumberFormat="1" applyFont="1" applyFill="1" applyBorder="1" applyAlignment="1">
      <alignment vertical="center"/>
    </xf>
    <xf numFmtId="186" fontId="42" fillId="0" borderId="241" xfId="9" applyNumberFormat="1" applyFont="1" applyFill="1" applyBorder="1" applyAlignment="1">
      <alignment vertical="center"/>
    </xf>
    <xf numFmtId="182" fontId="42" fillId="0" borderId="23" xfId="9" applyNumberFormat="1" applyFont="1" applyBorder="1" applyAlignment="1">
      <alignment horizontal="right" vertical="center" shrinkToFit="1"/>
    </xf>
    <xf numFmtId="183" fontId="42" fillId="0" borderId="23" xfId="9" applyNumberFormat="1" applyFont="1" applyBorder="1" applyAlignment="1">
      <alignment horizontal="right" vertical="center" shrinkToFit="1"/>
    </xf>
    <xf numFmtId="184" fontId="43" fillId="0" borderId="162" xfId="9" applyNumberFormat="1" applyFont="1" applyBorder="1" applyAlignment="1">
      <alignment vertical="center"/>
    </xf>
    <xf numFmtId="186" fontId="43" fillId="0" borderId="228" xfId="9" applyNumberFormat="1" applyFont="1" applyFill="1" applyBorder="1" applyAlignment="1">
      <alignment vertical="center"/>
    </xf>
    <xf numFmtId="186" fontId="43" fillId="0" borderId="251" xfId="9" applyNumberFormat="1" applyFont="1" applyFill="1" applyBorder="1" applyAlignment="1">
      <alignment vertical="center"/>
    </xf>
    <xf numFmtId="186" fontId="43" fillId="0" borderId="235" xfId="9" applyNumberFormat="1" applyFont="1" applyFill="1" applyBorder="1" applyAlignment="1">
      <alignment vertical="center"/>
    </xf>
    <xf numFmtId="186" fontId="43" fillId="0" borderId="5" xfId="9" applyNumberFormat="1" applyFont="1" applyFill="1" applyBorder="1" applyAlignment="1">
      <alignment vertical="center"/>
    </xf>
    <xf numFmtId="182" fontId="43" fillId="0" borderId="190" xfId="9" applyNumberFormat="1" applyFont="1" applyBorder="1" applyAlignment="1">
      <alignment horizontal="right" vertical="center" shrinkToFit="1"/>
    </xf>
    <xf numFmtId="183" fontId="43" fillId="0" borderId="222" xfId="9" applyNumberFormat="1" applyFont="1" applyBorder="1" applyAlignment="1">
      <alignment horizontal="right" vertical="center" shrinkToFit="1"/>
    </xf>
    <xf numFmtId="183" fontId="43" fillId="0" borderId="163" xfId="9" applyNumberFormat="1" applyFont="1" applyBorder="1" applyAlignment="1">
      <alignment horizontal="right" vertical="center" shrinkToFit="1"/>
    </xf>
    <xf numFmtId="0" fontId="45" fillId="0" borderId="0" xfId="9" applyFont="1"/>
    <xf numFmtId="186" fontId="42" fillId="0" borderId="230" xfId="9" applyNumberFormat="1" applyFont="1" applyFill="1" applyBorder="1" applyAlignment="1">
      <alignment vertical="center"/>
    </xf>
    <xf numFmtId="182" fontId="42" fillId="0" borderId="0" xfId="9" applyNumberFormat="1" applyFont="1" applyAlignment="1">
      <alignment horizontal="right" vertical="center"/>
    </xf>
    <xf numFmtId="183" fontId="42" fillId="0" borderId="0" xfId="9" applyNumberFormat="1" applyFont="1" applyAlignment="1">
      <alignment horizontal="right" vertical="center"/>
    </xf>
    <xf numFmtId="181" fontId="45" fillId="0" borderId="0" xfId="9" applyNumberFormat="1" applyFont="1" applyAlignment="1">
      <alignment vertical="center"/>
    </xf>
    <xf numFmtId="181" fontId="42" fillId="0" borderId="24" xfId="9" applyNumberFormat="1" applyFont="1" applyBorder="1" applyAlignment="1">
      <alignment horizontal="center" vertical="center"/>
    </xf>
    <xf numFmtId="186" fontId="42" fillId="0" borderId="252" xfId="9" applyNumberFormat="1" applyFont="1" applyFill="1" applyBorder="1" applyAlignment="1">
      <alignment vertical="center"/>
    </xf>
    <xf numFmtId="186" fontId="42" fillId="0" borderId="253" xfId="9" applyNumberFormat="1" applyFont="1" applyFill="1" applyBorder="1" applyAlignment="1">
      <alignment vertical="center"/>
    </xf>
    <xf numFmtId="186" fontId="42" fillId="0" borderId="239" xfId="9" applyNumberFormat="1" applyFont="1" applyFill="1" applyBorder="1" applyAlignment="1">
      <alignment vertical="center"/>
    </xf>
    <xf numFmtId="186" fontId="42" fillId="0" borderId="23" xfId="9" applyNumberFormat="1" applyFont="1" applyFill="1" applyBorder="1" applyAlignment="1">
      <alignment horizontal="center" vertical="center"/>
    </xf>
    <xf numFmtId="0" fontId="42" fillId="0" borderId="265" xfId="9" applyFont="1" applyBorder="1" applyAlignment="1">
      <alignment vertical="center"/>
    </xf>
    <xf numFmtId="0" fontId="42" fillId="0" borderId="266" xfId="9" applyFont="1" applyBorder="1" applyAlignment="1">
      <alignment vertical="center"/>
    </xf>
    <xf numFmtId="0" fontId="42" fillId="0" borderId="271" xfId="9" applyFont="1" applyBorder="1" applyAlignment="1">
      <alignment vertical="center"/>
    </xf>
    <xf numFmtId="0" fontId="42" fillId="0" borderId="0" xfId="9" applyFont="1" applyBorder="1"/>
    <xf numFmtId="181" fontId="42" fillId="0" borderId="18" xfId="9" applyNumberFormat="1" applyFont="1" applyBorder="1" applyAlignment="1">
      <alignment vertical="center"/>
    </xf>
    <xf numFmtId="181" fontId="42" fillId="0" borderId="77" xfId="9" applyNumberFormat="1" applyFont="1" applyBorder="1" applyAlignment="1">
      <alignment vertical="center"/>
    </xf>
    <xf numFmtId="181" fontId="42" fillId="0" borderId="121" xfId="9" applyNumberFormat="1" applyFont="1" applyBorder="1" applyAlignment="1">
      <alignment vertical="center" wrapText="1"/>
    </xf>
    <xf numFmtId="186" fontId="42" fillId="0" borderId="122" xfId="9" applyNumberFormat="1" applyFont="1" applyFill="1" applyBorder="1" applyAlignment="1">
      <alignment vertical="center" wrapText="1"/>
    </xf>
    <xf numFmtId="186" fontId="42" fillId="0" borderId="254" xfId="9" applyNumberFormat="1" applyFont="1" applyFill="1" applyBorder="1" applyAlignment="1">
      <alignment horizontal="center" vertical="center" wrapText="1"/>
    </xf>
    <xf numFmtId="186" fontId="42" fillId="0" borderId="240" xfId="9" applyNumberFormat="1" applyFont="1" applyFill="1" applyBorder="1" applyAlignment="1">
      <alignment vertical="center" wrapText="1"/>
    </xf>
    <xf numFmtId="186" fontId="42" fillId="0" borderId="87" xfId="9" applyNumberFormat="1" applyFont="1" applyFill="1" applyBorder="1" applyAlignment="1">
      <alignment vertical="center" wrapText="1"/>
    </xf>
    <xf numFmtId="181" fontId="42" fillId="0" borderId="164" xfId="9" applyNumberFormat="1" applyFont="1" applyFill="1" applyBorder="1" applyAlignment="1">
      <alignment vertical="center" wrapText="1"/>
    </xf>
    <xf numFmtId="0" fontId="42" fillId="0" borderId="264" xfId="9" applyFont="1" applyBorder="1" applyAlignment="1">
      <alignment horizontal="right" vertical="center"/>
    </xf>
    <xf numFmtId="181" fontId="45" fillId="0" borderId="164" xfId="9" applyNumberFormat="1" applyFont="1" applyFill="1" applyBorder="1" applyAlignment="1">
      <alignment vertical="center" wrapText="1"/>
    </xf>
    <xf numFmtId="0" fontId="42" fillId="0" borderId="168" xfId="9" applyFont="1" applyBorder="1" applyAlignment="1">
      <alignment horizontal="right" vertical="center"/>
    </xf>
    <xf numFmtId="181" fontId="42" fillId="0" borderId="89" xfId="9" applyNumberFormat="1" applyFont="1" applyBorder="1" applyAlignment="1">
      <alignment vertical="center" wrapText="1"/>
    </xf>
    <xf numFmtId="186" fontId="42" fillId="0" borderId="125" xfId="9" applyNumberFormat="1" applyFont="1" applyFill="1" applyBorder="1" applyAlignment="1">
      <alignment vertical="center"/>
    </xf>
    <xf numFmtId="186" fontId="42" fillId="0" borderId="231" xfId="9" applyNumberFormat="1" applyFont="1" applyFill="1" applyBorder="1" applyAlignment="1">
      <alignment vertical="center" wrapText="1"/>
    </xf>
    <xf numFmtId="186" fontId="42" fillId="0" borderId="86" xfId="9" applyNumberFormat="1" applyFont="1" applyFill="1" applyBorder="1" applyAlignment="1">
      <alignment vertical="center" wrapText="1"/>
    </xf>
    <xf numFmtId="181" fontId="42" fillId="0" borderId="267" xfId="9" applyNumberFormat="1" applyFont="1" applyFill="1" applyBorder="1" applyAlignment="1">
      <alignment vertical="center" wrapText="1"/>
    </xf>
    <xf numFmtId="0" fontId="42" fillId="0" borderId="177" xfId="9" applyFont="1" applyBorder="1" applyAlignment="1">
      <alignment horizontal="right" vertical="center"/>
    </xf>
    <xf numFmtId="181" fontId="45" fillId="0" borderId="267" xfId="9" applyNumberFormat="1" applyFont="1" applyFill="1" applyBorder="1" applyAlignment="1">
      <alignment vertical="center" wrapText="1"/>
    </xf>
    <xf numFmtId="0" fontId="42" fillId="0" borderId="126" xfId="9" applyFont="1" applyBorder="1" applyAlignment="1">
      <alignment horizontal="right" vertical="center"/>
    </xf>
    <xf numFmtId="181" fontId="43" fillId="0" borderId="91" xfId="9" applyNumberFormat="1" applyFont="1" applyBorder="1" applyAlignment="1">
      <alignment vertical="center"/>
    </xf>
    <xf numFmtId="186" fontId="43" fillId="0" borderId="191" xfId="9" applyNumberFormat="1" applyFont="1" applyFill="1" applyBorder="1" applyAlignment="1">
      <alignment vertical="center"/>
    </xf>
    <xf numFmtId="186" fontId="43" fillId="0" borderId="244" xfId="9" applyNumberFormat="1" applyFont="1" applyFill="1" applyBorder="1" applyAlignment="1">
      <alignment vertical="center"/>
    </xf>
    <xf numFmtId="186" fontId="43" fillId="0" borderId="241" xfId="9" applyNumberFormat="1" applyFont="1" applyFill="1" applyBorder="1" applyAlignment="1">
      <alignment vertical="center"/>
    </xf>
    <xf numFmtId="186" fontId="43" fillId="0" borderId="23" xfId="9" applyNumberFormat="1" applyFont="1" applyFill="1" applyBorder="1" applyAlignment="1">
      <alignment vertical="center"/>
    </xf>
    <xf numFmtId="182" fontId="43" fillId="0" borderId="194" xfId="9" applyNumberFormat="1" applyFont="1" applyBorder="1" applyAlignment="1">
      <alignment horizontal="right" vertical="center" shrinkToFit="1"/>
    </xf>
    <xf numFmtId="183" fontId="43" fillId="0" borderId="268" xfId="9" applyNumberFormat="1" applyFont="1" applyBorder="1" applyAlignment="1">
      <alignment horizontal="right" vertical="center" shrinkToFit="1"/>
    </xf>
    <xf numFmtId="183" fontId="43" fillId="0" borderId="193" xfId="9" applyNumberFormat="1" applyFont="1" applyBorder="1" applyAlignment="1">
      <alignment horizontal="right" vertical="center" shrinkToFit="1"/>
    </xf>
    <xf numFmtId="181" fontId="45" fillId="0" borderId="122" xfId="9" applyNumberFormat="1" applyFont="1" applyBorder="1" applyAlignment="1">
      <alignment vertical="center"/>
    </xf>
    <xf numFmtId="181" fontId="43" fillId="0" borderId="196" xfId="9" applyNumberFormat="1" applyFont="1" applyBorder="1" applyAlignment="1">
      <alignment vertical="center"/>
    </xf>
    <xf numFmtId="186" fontId="43" fillId="0" borderId="255" xfId="9" applyNumberFormat="1" applyFont="1" applyFill="1" applyBorder="1" applyAlignment="1">
      <alignment vertical="center"/>
    </xf>
    <xf numFmtId="186" fontId="43" fillId="0" borderId="256" xfId="9" applyNumberFormat="1" applyFont="1" applyFill="1" applyBorder="1" applyAlignment="1">
      <alignment vertical="center"/>
    </xf>
    <xf numFmtId="186" fontId="43" fillId="0" borderId="242" xfId="9" applyNumberFormat="1" applyFont="1" applyFill="1" applyBorder="1" applyAlignment="1">
      <alignment vertical="center"/>
    </xf>
    <xf numFmtId="186" fontId="43" fillId="0" borderId="182" xfId="9" applyNumberFormat="1" applyFont="1" applyFill="1" applyBorder="1" applyAlignment="1">
      <alignment vertical="center"/>
    </xf>
    <xf numFmtId="181" fontId="45" fillId="0" borderId="142" xfId="9" applyNumberFormat="1" applyFont="1" applyBorder="1" applyAlignment="1">
      <alignment horizontal="distributed" vertical="center" justifyLastLine="1"/>
    </xf>
    <xf numFmtId="185" fontId="55" fillId="0" borderId="140" xfId="9" applyNumberFormat="1" applyFont="1" applyBorder="1" applyAlignment="1">
      <alignment vertical="center"/>
    </xf>
    <xf numFmtId="186" fontId="42" fillId="0" borderId="141" xfId="9" applyNumberFormat="1" applyFont="1" applyFill="1" applyBorder="1" applyAlignment="1">
      <alignment vertical="center"/>
    </xf>
    <xf numFmtId="181" fontId="45" fillId="0" borderId="18" xfId="9" applyNumberFormat="1" applyFont="1" applyBorder="1" applyAlignment="1">
      <alignment vertical="center"/>
    </xf>
    <xf numFmtId="186" fontId="43" fillId="0" borderId="141" xfId="9" applyNumberFormat="1" applyFont="1" applyFill="1" applyBorder="1" applyAlignment="1">
      <alignment vertical="center"/>
    </xf>
    <xf numFmtId="186" fontId="57" fillId="2" borderId="141" xfId="9" applyNumberFormat="1" applyFont="1" applyFill="1" applyBorder="1" applyAlignment="1">
      <alignment vertical="center"/>
    </xf>
    <xf numFmtId="181" fontId="45" fillId="0" borderId="197" xfId="9" applyNumberFormat="1" applyFont="1" applyBorder="1" applyAlignment="1">
      <alignment vertical="center"/>
    </xf>
    <xf numFmtId="181" fontId="55" fillId="0" borderId="156" xfId="9" applyNumberFormat="1" applyFont="1" applyBorder="1" applyAlignment="1">
      <alignment vertical="center"/>
    </xf>
    <xf numFmtId="186" fontId="48" fillId="0" borderId="157" xfId="9" applyNumberFormat="1" applyFont="1" applyFill="1" applyBorder="1" applyAlignment="1">
      <alignment vertical="center"/>
    </xf>
    <xf numFmtId="186" fontId="48" fillId="0" borderId="250" xfId="9" applyNumberFormat="1" applyFont="1" applyFill="1" applyBorder="1" applyAlignment="1">
      <alignment vertical="center"/>
    </xf>
    <xf numFmtId="186" fontId="48" fillId="0" borderId="234" xfId="9" applyNumberFormat="1" applyFont="1" applyFill="1" applyBorder="1" applyAlignment="1">
      <alignment vertical="center"/>
    </xf>
    <xf numFmtId="181" fontId="55" fillId="0" borderId="132" xfId="9" applyNumberFormat="1" applyFont="1" applyBorder="1" applyAlignment="1">
      <alignment vertical="center"/>
    </xf>
    <xf numFmtId="186" fontId="42" fillId="0" borderId="133" xfId="9" applyNumberFormat="1" applyFont="1" applyFill="1" applyBorder="1" applyAlignment="1">
      <alignment vertical="center"/>
    </xf>
    <xf numFmtId="186" fontId="42" fillId="0" borderId="248" xfId="9" applyNumberFormat="1" applyFont="1" applyFill="1" applyBorder="1" applyAlignment="1">
      <alignment vertical="center"/>
    </xf>
    <xf numFmtId="186" fontId="42" fillId="0" borderId="232" xfId="9" applyNumberFormat="1" applyFont="1" applyFill="1" applyBorder="1" applyAlignment="1">
      <alignment vertical="center"/>
    </xf>
    <xf numFmtId="186" fontId="42" fillId="0" borderId="103" xfId="9" applyNumberFormat="1" applyFont="1" applyFill="1" applyBorder="1" applyAlignment="1">
      <alignment vertical="center"/>
    </xf>
    <xf numFmtId="182" fontId="43" fillId="0" borderId="127" xfId="9" applyNumberFormat="1" applyFont="1" applyBorder="1" applyAlignment="1">
      <alignment horizontal="right" vertical="center" shrinkToFit="1"/>
    </xf>
    <xf numFmtId="183" fontId="43" fillId="0" borderId="218" xfId="9" applyNumberFormat="1" applyFont="1" applyBorder="1" applyAlignment="1">
      <alignment horizontal="right" vertical="center" shrinkToFit="1"/>
    </xf>
    <xf numFmtId="182" fontId="43" fillId="0" borderId="107" xfId="9" applyNumberFormat="1" applyFont="1" applyBorder="1" applyAlignment="1">
      <alignment horizontal="right" vertical="center" shrinkToFit="1"/>
    </xf>
    <xf numFmtId="183" fontId="43" fillId="0" borderId="134" xfId="9" applyNumberFormat="1" applyFont="1" applyBorder="1" applyAlignment="1">
      <alignment horizontal="right" vertical="center" shrinkToFit="1"/>
    </xf>
    <xf numFmtId="181" fontId="55" fillId="0" borderId="88" xfId="9" applyNumberFormat="1" applyFont="1" applyBorder="1" applyAlignment="1">
      <alignment vertical="center"/>
    </xf>
    <xf numFmtId="186" fontId="42" fillId="0" borderId="257" xfId="9" applyNumberFormat="1" applyFont="1" applyFill="1" applyBorder="1" applyAlignment="1">
      <alignment vertical="center"/>
    </xf>
    <xf numFmtId="186" fontId="42" fillId="0" borderId="258" xfId="9" applyNumberFormat="1" applyFont="1" applyFill="1" applyBorder="1" applyAlignment="1">
      <alignment vertical="center"/>
    </xf>
    <xf numFmtId="186" fontId="42" fillId="0" borderId="243" xfId="9" applyNumberFormat="1" applyFont="1" applyFill="1" applyBorder="1" applyAlignment="1">
      <alignment vertical="center"/>
    </xf>
    <xf numFmtId="186" fontId="42" fillId="0" borderId="11" xfId="9" applyNumberFormat="1" applyFont="1" applyFill="1" applyBorder="1" applyAlignment="1">
      <alignment vertical="center"/>
    </xf>
    <xf numFmtId="182" fontId="43" fillId="0" borderId="267" xfId="9" applyNumberFormat="1" applyFont="1" applyBorder="1" applyAlignment="1">
      <alignment horizontal="right" vertical="center" shrinkToFit="1"/>
    </xf>
    <xf numFmtId="186" fontId="42" fillId="0" borderId="203" xfId="9" applyNumberFormat="1" applyFont="1" applyFill="1" applyBorder="1"/>
    <xf numFmtId="186" fontId="42" fillId="0" borderId="245" xfId="9" applyNumberFormat="1" applyFont="1" applyFill="1" applyBorder="1" applyAlignment="1">
      <alignment vertical="center"/>
    </xf>
    <xf numFmtId="182" fontId="43" fillId="0" borderId="75" xfId="9" applyNumberFormat="1" applyFont="1" applyBorder="1" applyAlignment="1">
      <alignment vertical="center" shrinkToFit="1"/>
    </xf>
    <xf numFmtId="186" fontId="43" fillId="0" borderId="188" xfId="9" applyNumberFormat="1" applyFont="1" applyFill="1" applyBorder="1" applyAlignment="1">
      <alignment vertical="center" shrinkToFit="1"/>
    </xf>
    <xf numFmtId="186" fontId="43" fillId="0" borderId="251" xfId="9" applyNumberFormat="1" applyFont="1" applyFill="1" applyBorder="1" applyAlignment="1">
      <alignment vertical="center" shrinkToFit="1"/>
    </xf>
    <xf numFmtId="186" fontId="43" fillId="0" borderId="5" xfId="9" applyNumberFormat="1" applyFont="1" applyFill="1" applyBorder="1" applyAlignment="1">
      <alignment vertical="center" shrinkToFit="1"/>
    </xf>
    <xf numFmtId="0" fontId="42" fillId="0" borderId="0" xfId="9" applyFont="1" applyAlignment="1">
      <alignment vertical="center"/>
    </xf>
    <xf numFmtId="182" fontId="42" fillId="0" borderId="77" xfId="9" applyNumberFormat="1" applyFont="1" applyBorder="1" applyAlignment="1">
      <alignment vertical="center"/>
    </xf>
    <xf numFmtId="186" fontId="42" fillId="0" borderId="181" xfId="9" applyNumberFormat="1" applyFont="1" applyFill="1" applyBorder="1" applyAlignment="1">
      <alignment vertical="center" shrinkToFit="1"/>
    </xf>
    <xf numFmtId="186" fontId="42" fillId="0" borderId="245" xfId="9" applyNumberFormat="1" applyFont="1" applyFill="1" applyBorder="1" applyAlignment="1">
      <alignment vertical="center" shrinkToFit="1"/>
    </xf>
    <xf numFmtId="186" fontId="42" fillId="0" borderId="0" xfId="9" applyNumberFormat="1" applyFont="1" applyFill="1" applyBorder="1" applyAlignment="1">
      <alignment vertical="center" shrinkToFit="1"/>
    </xf>
    <xf numFmtId="182" fontId="42" fillId="0" borderId="0" xfId="9" applyNumberFormat="1" applyFont="1" applyAlignment="1">
      <alignment horizontal="right" vertical="center" shrinkToFit="1"/>
    </xf>
    <xf numFmtId="183" fontId="42" fillId="0" borderId="0" xfId="9" applyNumberFormat="1" applyFont="1" applyAlignment="1">
      <alignment horizontal="right" vertical="center" shrinkToFit="1"/>
    </xf>
    <xf numFmtId="181" fontId="43" fillId="0" borderId="169" xfId="9" applyNumberFormat="1" applyFont="1" applyBorder="1" applyAlignment="1">
      <alignment vertical="center"/>
    </xf>
    <xf numFmtId="186" fontId="43" fillId="0" borderId="170" xfId="9" applyNumberFormat="1" applyFont="1" applyFill="1" applyBorder="1" applyAlignment="1">
      <alignment vertical="center"/>
    </xf>
    <xf numFmtId="186" fontId="43" fillId="0" borderId="259" xfId="9" applyNumberFormat="1" applyFont="1" applyFill="1" applyBorder="1" applyAlignment="1">
      <alignment vertical="center"/>
    </xf>
    <xf numFmtId="186" fontId="43" fillId="0" borderId="236" xfId="9" applyNumberFormat="1" applyFont="1" applyFill="1" applyBorder="1" applyAlignment="1">
      <alignment vertical="center"/>
    </xf>
    <xf numFmtId="186" fontId="43" fillId="0" borderId="207" xfId="9" applyNumberFormat="1" applyFont="1" applyFill="1" applyBorder="1" applyAlignment="1">
      <alignment vertical="center"/>
    </xf>
    <xf numFmtId="182" fontId="43" fillId="0" borderId="173" xfId="9" applyNumberFormat="1" applyFont="1" applyBorder="1" applyAlignment="1">
      <alignment horizontal="right" vertical="center" shrinkToFit="1"/>
    </xf>
    <xf numFmtId="183" fontId="43" fillId="0" borderId="171" xfId="9" applyNumberFormat="1" applyFont="1" applyBorder="1" applyAlignment="1">
      <alignment horizontal="right" vertical="center" shrinkToFit="1"/>
    </xf>
    <xf numFmtId="0" fontId="45" fillId="0" borderId="147" xfId="9" applyFont="1" applyBorder="1" applyAlignment="1">
      <alignment vertical="center"/>
    </xf>
    <xf numFmtId="181" fontId="43" fillId="0" borderId="174" xfId="9" applyNumberFormat="1" applyFont="1" applyBorder="1" applyAlignment="1">
      <alignment vertical="center"/>
    </xf>
    <xf numFmtId="0" fontId="45" fillId="0" borderId="181" xfId="9" applyFont="1" applyBorder="1" applyAlignment="1">
      <alignment vertical="center"/>
    </xf>
    <xf numFmtId="0" fontId="45" fillId="0" borderId="108" xfId="9" applyFont="1" applyFill="1" applyBorder="1" applyAlignment="1">
      <alignment vertical="center"/>
    </xf>
    <xf numFmtId="0" fontId="45" fillId="0" borderId="149" xfId="9" applyFont="1" applyFill="1" applyBorder="1" applyAlignment="1">
      <alignment vertical="center"/>
    </xf>
    <xf numFmtId="0" fontId="45" fillId="0" borderId="142" xfId="9" applyFont="1" applyFill="1" applyBorder="1" applyAlignment="1">
      <alignment horizontal="distributed" vertical="center"/>
    </xf>
    <xf numFmtId="181" fontId="42" fillId="0" borderId="174" xfId="9" applyNumberFormat="1" applyFont="1" applyBorder="1" applyAlignment="1">
      <alignment vertical="center"/>
    </xf>
    <xf numFmtId="38" fontId="57" fillId="2" borderId="0" xfId="1" applyFont="1" applyFill="1" applyAlignment="1">
      <alignment horizontal="right" vertical="center"/>
    </xf>
    <xf numFmtId="0" fontId="45" fillId="0" borderId="106" xfId="9" applyFont="1" applyFill="1" applyBorder="1" applyAlignment="1">
      <alignment vertical="center"/>
    </xf>
    <xf numFmtId="0" fontId="45" fillId="0" borderId="203" xfId="9" applyFont="1" applyFill="1" applyBorder="1" applyAlignment="1">
      <alignment vertical="center"/>
    </xf>
    <xf numFmtId="0" fontId="45" fillId="0" borderId="129" xfId="9" applyFont="1" applyFill="1" applyBorder="1" applyAlignment="1">
      <alignment vertical="center"/>
    </xf>
    <xf numFmtId="0" fontId="45" fillId="0" borderId="133" xfId="9" applyFont="1" applyFill="1" applyBorder="1" applyAlignment="1">
      <alignment vertical="center"/>
    </xf>
    <xf numFmtId="186" fontId="42" fillId="2" borderId="139" xfId="9" applyNumberFormat="1" applyFont="1" applyFill="1" applyBorder="1" applyAlignment="1">
      <alignment vertical="center"/>
    </xf>
    <xf numFmtId="181" fontId="42" fillId="0" borderId="184" xfId="9" applyNumberFormat="1" applyFont="1" applyBorder="1" applyAlignment="1">
      <alignment vertical="center"/>
    </xf>
    <xf numFmtId="186" fontId="57" fillId="2" borderId="149" xfId="9" applyNumberFormat="1" applyFont="1" applyFill="1" applyBorder="1" applyAlignment="1">
      <alignment vertical="center"/>
    </xf>
    <xf numFmtId="182" fontId="43" fillId="0" borderId="135" xfId="9" applyNumberFormat="1" applyFont="1" applyBorder="1" applyAlignment="1">
      <alignment horizontal="right" vertical="center" shrinkToFit="1"/>
    </xf>
    <xf numFmtId="0" fontId="45" fillId="0" borderId="185" xfId="9" applyFont="1" applyBorder="1" applyAlignment="1">
      <alignment vertical="center"/>
    </xf>
    <xf numFmtId="181" fontId="42" fillId="0" borderId="175" xfId="9" applyNumberFormat="1" applyFont="1" applyBorder="1" applyAlignment="1">
      <alignment vertical="center"/>
    </xf>
    <xf numFmtId="0" fontId="45" fillId="0" borderId="0" xfId="9" applyFont="1" applyAlignment="1">
      <alignment vertical="center"/>
    </xf>
    <xf numFmtId="0" fontId="45" fillId="0" borderId="204" xfId="9" applyFont="1" applyBorder="1" applyAlignment="1">
      <alignment horizontal="distributed" vertical="center"/>
    </xf>
    <xf numFmtId="182" fontId="43" fillId="0" borderId="73" xfId="9" applyNumberFormat="1" applyFont="1" applyBorder="1" applyAlignment="1">
      <alignment vertical="center"/>
    </xf>
    <xf numFmtId="186" fontId="42" fillId="2" borderId="23" xfId="9" applyNumberFormat="1" applyFont="1" applyFill="1" applyBorder="1" applyAlignment="1">
      <alignment vertical="center"/>
    </xf>
    <xf numFmtId="0" fontId="45" fillId="0" borderId="90" xfId="9" applyFont="1" applyBorder="1" applyAlignment="1">
      <alignment horizontal="distributed" vertical="center"/>
    </xf>
    <xf numFmtId="182" fontId="43" fillId="0" borderId="79" xfId="9" applyNumberFormat="1" applyFont="1" applyBorder="1" applyAlignment="1">
      <alignment vertical="center"/>
    </xf>
    <xf numFmtId="186" fontId="43" fillId="0" borderId="260" xfId="9" applyNumberFormat="1" applyFont="1" applyFill="1" applyBorder="1" applyAlignment="1">
      <alignment vertical="center"/>
    </xf>
    <xf numFmtId="186" fontId="43" fillId="0" borderId="261" xfId="9" applyNumberFormat="1" applyFont="1" applyFill="1" applyBorder="1" applyAlignment="1">
      <alignment vertical="center"/>
    </xf>
    <xf numFmtId="186" fontId="43" fillId="0" borderId="270" xfId="9" applyNumberFormat="1" applyFont="1" applyFill="1" applyBorder="1" applyAlignment="1">
      <alignment vertical="center"/>
    </xf>
    <xf numFmtId="186" fontId="43" fillId="0" borderId="109" xfId="9" applyNumberFormat="1" applyFont="1" applyFill="1" applyBorder="1" applyAlignment="1">
      <alignment vertical="center"/>
    </xf>
    <xf numFmtId="182" fontId="43" fillId="0" borderId="269" xfId="9" applyNumberFormat="1" applyFont="1" applyBorder="1" applyAlignment="1">
      <alignment horizontal="right" vertical="center" shrinkToFit="1"/>
    </xf>
    <xf numFmtId="183" fontId="43" fillId="0" borderId="205" xfId="9" applyNumberFormat="1" applyFont="1" applyBorder="1" applyAlignment="1">
      <alignment horizontal="right" vertical="center" shrinkToFit="1"/>
    </xf>
    <xf numFmtId="0" fontId="0" fillId="0" borderId="110" xfId="0" applyFont="1" applyFill="1" applyBorder="1" applyAlignment="1">
      <alignment horizontal="distributed" vertical="center" justifyLastLine="1"/>
    </xf>
    <xf numFmtId="0" fontId="16" fillId="0" borderId="16" xfId="0" applyFont="1" applyFill="1" applyBorder="1" applyAlignment="1">
      <alignment horizontal="left" vertical="center"/>
    </xf>
    <xf numFmtId="0" fontId="0" fillId="0" borderId="24" xfId="0" applyFont="1" applyFill="1" applyBorder="1" applyAlignment="1">
      <alignment vertical="center"/>
    </xf>
    <xf numFmtId="0" fontId="0" fillId="0" borderId="36" xfId="0" applyFont="1" applyFill="1" applyBorder="1" applyAlignment="1">
      <alignment vertical="center"/>
    </xf>
    <xf numFmtId="0" fontId="14" fillId="0" borderId="69" xfId="0" applyFont="1" applyFill="1" applyBorder="1" applyAlignment="1">
      <alignment vertical="center" justifyLastLine="1"/>
    </xf>
    <xf numFmtId="0" fontId="14" fillId="0" borderId="68" xfId="0" applyFont="1" applyFill="1" applyBorder="1" applyAlignment="1">
      <alignment vertical="center" justifyLastLine="1"/>
    </xf>
    <xf numFmtId="0" fontId="0" fillId="0" borderId="67" xfId="0" applyFont="1" applyFill="1" applyBorder="1" applyAlignment="1">
      <alignment vertical="center" justifyLastLine="1"/>
    </xf>
    <xf numFmtId="0" fontId="0" fillId="0" borderId="66" xfId="0" applyFont="1" applyFill="1" applyBorder="1" applyAlignment="1">
      <alignment vertical="center" justifyLastLine="1"/>
    </xf>
    <xf numFmtId="0" fontId="0" fillId="0" borderId="110" xfId="0" applyFont="1" applyFill="1" applyBorder="1" applyAlignment="1">
      <alignment vertical="center" justifyLastLine="1"/>
    </xf>
    <xf numFmtId="176" fontId="0" fillId="0" borderId="52" xfId="0" applyNumberFormat="1" applyFont="1" applyFill="1" applyBorder="1" applyAlignment="1">
      <alignment horizontal="center" vertical="center"/>
    </xf>
    <xf numFmtId="176" fontId="0" fillId="0" borderId="4" xfId="0" applyNumberFormat="1" applyFont="1" applyFill="1" applyBorder="1" applyAlignment="1">
      <alignment horizontal="center"/>
    </xf>
    <xf numFmtId="176" fontId="0" fillId="0" borderId="2" xfId="0" applyNumberFormat="1" applyFont="1" applyFill="1" applyBorder="1" applyAlignment="1">
      <alignment horizontal="center"/>
    </xf>
    <xf numFmtId="0" fontId="0" fillId="0" borderId="273" xfId="0" applyFont="1" applyFill="1" applyBorder="1" applyAlignment="1">
      <alignment vertical="center" justifyLastLine="1"/>
    </xf>
    <xf numFmtId="0" fontId="0" fillId="0" borderId="62" xfId="0" applyFont="1" applyFill="1" applyBorder="1" applyAlignment="1">
      <alignment vertical="center"/>
    </xf>
    <xf numFmtId="0" fontId="0" fillId="0" borderId="26" xfId="0" applyFont="1" applyFill="1" applyBorder="1" applyAlignment="1">
      <alignment vertical="center"/>
    </xf>
    <xf numFmtId="0" fontId="0" fillId="0" borderId="8" xfId="0" applyFont="1" applyFill="1" applyBorder="1" applyAlignment="1">
      <alignment vertical="center"/>
    </xf>
    <xf numFmtId="0" fontId="0" fillId="0" borderId="9" xfId="0" applyFont="1" applyFill="1" applyBorder="1" applyAlignment="1">
      <alignment vertical="center"/>
    </xf>
    <xf numFmtId="176" fontId="0" fillId="0" borderId="277" xfId="1" applyNumberFormat="1" applyFont="1" applyFill="1" applyBorder="1" applyAlignment="1">
      <alignment vertical="center"/>
    </xf>
    <xf numFmtId="0" fontId="0" fillId="0" borderId="278" xfId="0" applyFont="1" applyFill="1" applyBorder="1" applyAlignment="1">
      <alignment vertical="center"/>
    </xf>
    <xf numFmtId="0" fontId="0" fillId="0" borderId="279" xfId="0" applyFont="1" applyFill="1" applyBorder="1" applyAlignment="1">
      <alignment vertical="center"/>
    </xf>
    <xf numFmtId="0" fontId="0" fillId="0" borderId="114" xfId="0" applyFont="1" applyFill="1" applyBorder="1" applyAlignment="1">
      <alignment horizontal="center" vertical="center"/>
    </xf>
    <xf numFmtId="0" fontId="10" fillId="0" borderId="0" xfId="16" applyFont="1" applyFill="1"/>
    <xf numFmtId="0" fontId="10" fillId="0" borderId="0" xfId="16" applyFont="1" applyFill="1" applyAlignment="1">
      <alignment shrinkToFit="1"/>
    </xf>
    <xf numFmtId="0" fontId="10" fillId="15" borderId="0" xfId="16" applyFont="1" applyFill="1"/>
    <xf numFmtId="38" fontId="10" fillId="15" borderId="0" xfId="1" applyFont="1" applyFill="1"/>
    <xf numFmtId="0" fontId="60" fillId="0" borderId="0" xfId="16" applyFont="1" applyFill="1"/>
    <xf numFmtId="38" fontId="10" fillId="0" borderId="0" xfId="17" applyFont="1" applyFill="1"/>
    <xf numFmtId="0" fontId="61" fillId="0" borderId="0" xfId="16" applyNumberFormat="1" applyFont="1" applyFill="1" applyAlignment="1">
      <alignment horizontal="centerContinuous" vertical="center"/>
    </xf>
    <xf numFmtId="0" fontId="62" fillId="0" borderId="0" xfId="0" applyFont="1" applyAlignment="1">
      <alignment horizontal="centerContinuous"/>
    </xf>
    <xf numFmtId="0" fontId="62" fillId="0" borderId="0" xfId="16" applyFont="1" applyFill="1" applyAlignment="1">
      <alignment vertical="center"/>
    </xf>
    <xf numFmtId="181" fontId="62" fillId="0" borderId="0" xfId="16" applyNumberFormat="1" applyFont="1" applyFill="1" applyAlignment="1">
      <alignment vertical="center"/>
    </xf>
    <xf numFmtId="0" fontId="62" fillId="0" borderId="0" xfId="16" applyFont="1" applyFill="1" applyBorder="1" applyAlignment="1">
      <alignment horizontal="right" vertical="center"/>
    </xf>
    <xf numFmtId="0" fontId="62" fillId="0" borderId="0" xfId="16" applyFont="1" applyAlignment="1">
      <alignment vertical="center"/>
    </xf>
    <xf numFmtId="0" fontId="62" fillId="15" borderId="0" xfId="16" applyFont="1" applyFill="1" applyAlignment="1">
      <alignment vertical="center"/>
    </xf>
    <xf numFmtId="38" fontId="62" fillId="15" borderId="0" xfId="1" applyFont="1" applyFill="1" applyAlignment="1">
      <alignment vertical="center"/>
    </xf>
    <xf numFmtId="0" fontId="60" fillId="0" borderId="0" xfId="16" applyFont="1" applyFill="1" applyAlignment="1">
      <alignment vertical="center"/>
    </xf>
    <xf numFmtId="38" fontId="62" fillId="0" borderId="0" xfId="17" applyFont="1" applyFill="1" applyAlignment="1">
      <alignment vertical="center"/>
    </xf>
    <xf numFmtId="0" fontId="62" fillId="0" borderId="0" xfId="16" applyFont="1" applyFill="1" applyAlignment="1">
      <alignment vertical="center" shrinkToFit="1"/>
    </xf>
    <xf numFmtId="0" fontId="62" fillId="0" borderId="0" xfId="16" applyFont="1" applyFill="1" applyBorder="1" applyAlignment="1"/>
    <xf numFmtId="0" fontId="62" fillId="0" borderId="0" xfId="16" applyFont="1" applyFill="1" applyBorder="1" applyAlignment="1">
      <alignment horizontal="right"/>
    </xf>
    <xf numFmtId="181" fontId="64" fillId="0" borderId="87" xfId="16" applyNumberFormat="1" applyFont="1" applyFill="1" applyBorder="1" applyAlignment="1">
      <alignment horizontal="centerContinuous" vertical="center"/>
    </xf>
    <xf numFmtId="181" fontId="64" fillId="0" borderId="14" xfId="16" applyNumberFormat="1" applyFont="1" applyFill="1" applyBorder="1" applyAlignment="1">
      <alignment horizontal="centerContinuous" vertical="center"/>
    </xf>
    <xf numFmtId="181" fontId="65" fillId="0" borderId="15" xfId="16" applyNumberFormat="1" applyFont="1" applyFill="1" applyBorder="1" applyAlignment="1">
      <alignment horizontal="centerContinuous" vertical="center"/>
    </xf>
    <xf numFmtId="0" fontId="10" fillId="0" borderId="53" xfId="16" applyFont="1" applyFill="1" applyBorder="1" applyAlignment="1">
      <alignment horizontal="centerContinuous" vertical="center"/>
    </xf>
    <xf numFmtId="0" fontId="10" fillId="0" borderId="16" xfId="16" applyFont="1" applyFill="1" applyBorder="1" applyAlignment="1">
      <alignment horizontal="centerContinuous" vertical="center"/>
    </xf>
    <xf numFmtId="0" fontId="10" fillId="0" borderId="0" xfId="16" applyFont="1" applyFill="1" applyBorder="1"/>
    <xf numFmtId="0" fontId="10" fillId="0" borderId="282" xfId="16" applyFont="1" applyFill="1" applyBorder="1" applyAlignment="1">
      <alignment horizontal="center" vertical="center" shrinkToFit="1"/>
    </xf>
    <xf numFmtId="0" fontId="10" fillId="0" borderId="177" xfId="16" applyFont="1" applyFill="1" applyBorder="1" applyAlignment="1">
      <alignment horizontal="center" vertical="center" shrinkToFit="1"/>
    </xf>
    <xf numFmtId="187" fontId="67" fillId="0" borderId="52" xfId="16" applyNumberFormat="1" applyFont="1" applyFill="1" applyBorder="1" applyAlignment="1">
      <alignment vertical="center"/>
    </xf>
    <xf numFmtId="187" fontId="67" fillId="0" borderId="230" xfId="16" applyNumberFormat="1" applyFont="1" applyFill="1" applyBorder="1" applyAlignment="1">
      <alignment vertical="center"/>
    </xf>
    <xf numFmtId="187" fontId="67" fillId="0" borderId="284" xfId="16" applyNumberFormat="1" applyFont="1" applyFill="1" applyBorder="1" applyAlignment="1">
      <alignment vertical="center"/>
    </xf>
    <xf numFmtId="188" fontId="67" fillId="0" borderId="283" xfId="16" applyNumberFormat="1" applyFont="1" applyFill="1" applyBorder="1" applyAlignment="1">
      <alignment horizontal="right" vertical="center" shrinkToFit="1"/>
    </xf>
    <xf numFmtId="188" fontId="67" fillId="0" borderId="262" xfId="16" applyNumberFormat="1" applyFont="1" applyFill="1" applyBorder="1" applyAlignment="1">
      <alignment horizontal="right" vertical="center" shrinkToFit="1"/>
    </xf>
    <xf numFmtId="0" fontId="62" fillId="0" borderId="0" xfId="16" applyFont="1" applyFill="1"/>
    <xf numFmtId="38" fontId="10" fillId="16" borderId="0" xfId="1" applyFont="1" applyFill="1"/>
    <xf numFmtId="0" fontId="10" fillId="0" borderId="15" xfId="16" applyFont="1" applyFill="1" applyBorder="1" applyAlignment="1">
      <alignment horizontal="center" vertical="center" wrapText="1"/>
    </xf>
    <xf numFmtId="181" fontId="62" fillId="0" borderId="35" xfId="16" applyNumberFormat="1" applyFont="1" applyFill="1" applyBorder="1" applyAlignment="1">
      <alignment vertical="center"/>
    </xf>
    <xf numFmtId="187" fontId="67" fillId="2" borderId="285" xfId="16" applyNumberFormat="1" applyFont="1" applyFill="1" applyBorder="1" applyAlignment="1">
      <alignment vertical="center"/>
    </xf>
    <xf numFmtId="187" fontId="67" fillId="16" borderId="242" xfId="16" applyNumberFormat="1" applyFont="1" applyFill="1" applyBorder="1" applyAlignment="1">
      <alignment vertical="center"/>
    </xf>
    <xf numFmtId="187" fontId="67" fillId="0" borderId="286" xfId="16" applyNumberFormat="1" applyFont="1" applyFill="1" applyBorder="1" applyAlignment="1">
      <alignment vertical="center"/>
    </xf>
    <xf numFmtId="188" fontId="67" fillId="0" borderId="264" xfId="16" applyNumberFormat="1" applyFont="1" applyFill="1" applyBorder="1" applyAlignment="1">
      <alignment horizontal="right" vertical="center" shrinkToFit="1"/>
    </xf>
    <xf numFmtId="38" fontId="10" fillId="2" borderId="0" xfId="1" applyFont="1" applyFill="1"/>
    <xf numFmtId="0" fontId="10" fillId="0" borderId="35" xfId="16" applyFont="1" applyFill="1" applyBorder="1" applyAlignment="1">
      <alignment horizontal="center" vertical="center" wrapText="1"/>
    </xf>
    <xf numFmtId="181" fontId="62" fillId="0" borderId="100" xfId="16" applyNumberFormat="1" applyFont="1" applyFill="1" applyBorder="1" applyAlignment="1">
      <alignment vertical="center"/>
    </xf>
    <xf numFmtId="187" fontId="67" fillId="2" borderId="224" xfId="16" applyNumberFormat="1" applyFont="1" applyFill="1" applyBorder="1" applyAlignment="1">
      <alignment vertical="center"/>
    </xf>
    <xf numFmtId="187" fontId="67" fillId="16" borderId="233" xfId="16" applyNumberFormat="1" applyFont="1" applyFill="1" applyBorder="1" applyAlignment="1">
      <alignment vertical="center"/>
    </xf>
    <xf numFmtId="187" fontId="67" fillId="0" borderId="141" xfId="16" applyNumberFormat="1" applyFont="1" applyFill="1" applyBorder="1" applyAlignment="1">
      <alignment vertical="center"/>
    </xf>
    <xf numFmtId="188" fontId="67" fillId="0" borderId="219" xfId="16" applyNumberFormat="1" applyFont="1" applyFill="1" applyBorder="1" applyAlignment="1">
      <alignment horizontal="right" vertical="center" shrinkToFit="1"/>
    </xf>
    <xf numFmtId="0" fontId="10" fillId="0" borderId="58" xfId="16" applyFont="1" applyFill="1" applyBorder="1" applyAlignment="1">
      <alignment horizontal="center" vertical="center" wrapText="1"/>
    </xf>
    <xf numFmtId="181" fontId="62" fillId="0" borderId="58" xfId="16" applyNumberFormat="1" applyFont="1" applyFill="1" applyBorder="1" applyAlignment="1">
      <alignment vertical="center"/>
    </xf>
    <xf numFmtId="187" fontId="67" fillId="2" borderId="287" xfId="16" applyNumberFormat="1" applyFont="1" applyFill="1" applyBorder="1" applyAlignment="1">
      <alignment vertical="center"/>
    </xf>
    <xf numFmtId="187" fontId="67" fillId="16" borderId="302" xfId="16" applyNumberFormat="1" applyFont="1" applyFill="1" applyBorder="1" applyAlignment="1">
      <alignment vertical="center"/>
    </xf>
    <xf numFmtId="187" fontId="67" fillId="0" borderId="288" xfId="16" applyNumberFormat="1" applyFont="1" applyFill="1" applyBorder="1" applyAlignment="1">
      <alignment vertical="center"/>
    </xf>
    <xf numFmtId="188" fontId="67" fillId="0" borderId="177" xfId="16" applyNumberFormat="1" applyFont="1" applyFill="1" applyBorder="1" applyAlignment="1">
      <alignment horizontal="right" vertical="center" shrinkToFit="1"/>
    </xf>
    <xf numFmtId="187" fontId="67" fillId="0" borderId="203" xfId="16" applyNumberFormat="1" applyFont="1" applyFill="1" applyBorder="1" applyAlignment="1">
      <alignment vertical="center" shrinkToFit="1"/>
    </xf>
    <xf numFmtId="187" fontId="67" fillId="0" borderId="107" xfId="16" applyNumberFormat="1" applyFont="1" applyFill="1" applyBorder="1" applyAlignment="1">
      <alignment vertical="center" shrinkToFit="1"/>
    </xf>
    <xf numFmtId="38" fontId="60" fillId="0" borderId="0" xfId="17" applyFont="1" applyFill="1"/>
    <xf numFmtId="187" fontId="67" fillId="0" borderId="286" xfId="16" applyNumberFormat="1" applyFont="1" applyFill="1" applyBorder="1" applyAlignment="1">
      <alignment vertical="center" shrinkToFit="1"/>
    </xf>
    <xf numFmtId="187" fontId="67" fillId="0" borderId="166" xfId="16" applyNumberFormat="1" applyFont="1" applyFill="1" applyBorder="1" applyAlignment="1">
      <alignment vertical="center" shrinkToFit="1"/>
    </xf>
    <xf numFmtId="187" fontId="67" fillId="0" borderId="141" xfId="16" applyNumberFormat="1" applyFont="1" applyFill="1" applyBorder="1" applyAlignment="1">
      <alignment vertical="center" shrinkToFit="1"/>
    </xf>
    <xf numFmtId="187" fontId="67" fillId="0" borderId="143" xfId="16" applyNumberFormat="1" applyFont="1" applyFill="1" applyBorder="1" applyAlignment="1">
      <alignment vertical="center" shrinkToFit="1"/>
    </xf>
    <xf numFmtId="0" fontId="60" fillId="0" borderId="0" xfId="16" applyFont="1" applyFill="1" applyAlignment="1">
      <alignment wrapText="1"/>
    </xf>
    <xf numFmtId="187" fontId="67" fillId="0" borderId="227" xfId="16" applyNumberFormat="1" applyFont="1" applyFill="1" applyBorder="1" applyAlignment="1">
      <alignment vertical="center"/>
    </xf>
    <xf numFmtId="187" fontId="67" fillId="0" borderId="176" xfId="16" applyNumberFormat="1" applyFont="1" applyFill="1" applyBorder="1" applyAlignment="1">
      <alignment vertical="center"/>
    </xf>
    <xf numFmtId="0" fontId="62" fillId="0" borderId="0" xfId="16" applyFont="1" applyFill="1" applyBorder="1"/>
    <xf numFmtId="0" fontId="67" fillId="0" borderId="0" xfId="16" applyFont="1" applyFill="1"/>
    <xf numFmtId="0" fontId="67" fillId="0" borderId="230" xfId="16" applyFont="1" applyFill="1" applyBorder="1"/>
    <xf numFmtId="182" fontId="67" fillId="0" borderId="0" xfId="16" applyNumberFormat="1" applyFont="1" applyFill="1" applyBorder="1" applyAlignment="1">
      <alignment vertical="center"/>
    </xf>
    <xf numFmtId="183" fontId="67" fillId="0" borderId="0" xfId="16" applyNumberFormat="1" applyFont="1" applyFill="1" applyBorder="1" applyAlignment="1">
      <alignment vertical="center" shrinkToFit="1"/>
    </xf>
    <xf numFmtId="182" fontId="67" fillId="0" borderId="0" xfId="16" applyNumberFormat="1" applyFont="1" applyFill="1" applyAlignment="1">
      <alignment vertical="center"/>
    </xf>
    <xf numFmtId="183" fontId="67" fillId="0" borderId="0" xfId="16" applyNumberFormat="1" applyFont="1" applyFill="1" applyAlignment="1">
      <alignment vertical="center" shrinkToFit="1"/>
    </xf>
    <xf numFmtId="187" fontId="67" fillId="2" borderId="17" xfId="16" applyNumberFormat="1" applyFont="1" applyFill="1" applyBorder="1" applyAlignment="1">
      <alignment vertical="center"/>
    </xf>
    <xf numFmtId="187" fontId="67" fillId="16" borderId="238" xfId="16" applyNumberFormat="1" applyFont="1" applyFill="1" applyBorder="1" applyAlignment="1">
      <alignment vertical="center"/>
    </xf>
    <xf numFmtId="187" fontId="67" fillId="0" borderId="290" xfId="16" applyNumberFormat="1" applyFont="1" applyFill="1" applyBorder="1" applyAlignment="1">
      <alignment vertical="center"/>
    </xf>
    <xf numFmtId="188" fontId="67" fillId="0" borderId="263" xfId="16" applyNumberFormat="1" applyFont="1" applyFill="1" applyBorder="1" applyAlignment="1">
      <alignment horizontal="right" vertical="center" shrinkToFit="1"/>
    </xf>
    <xf numFmtId="187" fontId="67" fillId="0" borderId="160" xfId="16" applyNumberFormat="1" applyFont="1" applyFill="1" applyBorder="1" applyAlignment="1">
      <alignment vertical="center"/>
    </xf>
    <xf numFmtId="0" fontId="31" fillId="0" borderId="0" xfId="16" applyFont="1" applyFill="1"/>
    <xf numFmtId="0" fontId="31" fillId="0" borderId="230" xfId="16" applyFont="1" applyFill="1" applyBorder="1"/>
    <xf numFmtId="38" fontId="31" fillId="0" borderId="0" xfId="17" applyFont="1" applyFill="1"/>
    <xf numFmtId="0" fontId="31" fillId="0" borderId="0" xfId="16" applyFont="1" applyFill="1" applyAlignment="1">
      <alignment shrinkToFit="1"/>
    </xf>
    <xf numFmtId="187" fontId="67" fillId="16" borderId="303" xfId="16" applyNumberFormat="1" applyFont="1" applyFill="1" applyBorder="1" applyAlignment="1">
      <alignment vertical="center"/>
    </xf>
    <xf numFmtId="38" fontId="29" fillId="15" borderId="0" xfId="1" applyFont="1" applyFill="1"/>
    <xf numFmtId="0" fontId="68" fillId="0" borderId="0" xfId="16" applyFont="1" applyFill="1" applyAlignment="1">
      <alignment vertical="center"/>
    </xf>
    <xf numFmtId="0" fontId="10" fillId="0" borderId="0" xfId="16" applyFont="1"/>
    <xf numFmtId="0" fontId="60" fillId="0" borderId="0" xfId="16" applyFont="1"/>
    <xf numFmtId="176" fontId="62" fillId="0" borderId="0" xfId="16" applyNumberFormat="1" applyFont="1" applyAlignment="1">
      <alignment vertical="center"/>
    </xf>
    <xf numFmtId="187" fontId="67" fillId="0" borderId="53" xfId="16" applyNumberFormat="1" applyFont="1" applyFill="1" applyBorder="1" applyAlignment="1">
      <alignment vertical="center"/>
    </xf>
    <xf numFmtId="187" fontId="67" fillId="0" borderId="17" xfId="16" applyNumberFormat="1" applyFont="1" applyFill="1" applyBorder="1" applyAlignment="1">
      <alignment vertical="center"/>
    </xf>
    <xf numFmtId="187" fontId="67" fillId="0" borderId="238" xfId="16" applyNumberFormat="1" applyFont="1" applyFill="1" applyBorder="1" applyAlignment="1">
      <alignment vertical="center"/>
    </xf>
    <xf numFmtId="0" fontId="62" fillId="15" borderId="0" xfId="16" applyFont="1" applyFill="1"/>
    <xf numFmtId="181" fontId="62" fillId="0" borderId="52" xfId="16" applyNumberFormat="1" applyFont="1" applyFill="1" applyBorder="1" applyAlignment="1">
      <alignment vertical="center"/>
    </xf>
    <xf numFmtId="187" fontId="67" fillId="2" borderId="103" xfId="16" applyNumberFormat="1" applyFont="1" applyFill="1" applyBorder="1" applyAlignment="1">
      <alignment vertical="center"/>
    </xf>
    <xf numFmtId="187" fontId="67" fillId="2" borderId="104" xfId="16" applyNumberFormat="1" applyFont="1" applyFill="1" applyBorder="1" applyAlignment="1">
      <alignment vertical="center"/>
    </xf>
    <xf numFmtId="187" fontId="67" fillId="16" borderId="232" xfId="16" applyNumberFormat="1" applyFont="1" applyFill="1" applyBorder="1" applyAlignment="1">
      <alignment vertical="center"/>
    </xf>
    <xf numFmtId="187" fontId="67" fillId="0" borderId="127" xfId="16" applyNumberFormat="1" applyFont="1" applyFill="1" applyBorder="1" applyAlignment="1">
      <alignment vertical="center"/>
    </xf>
    <xf numFmtId="176" fontId="62" fillId="0" borderId="0" xfId="16" applyNumberFormat="1" applyFont="1" applyFill="1" applyAlignment="1">
      <alignment vertical="center"/>
    </xf>
    <xf numFmtId="187" fontId="67" fillId="2" borderId="183" xfId="16" applyNumberFormat="1" applyFont="1" applyFill="1" applyBorder="1" applyAlignment="1">
      <alignment vertical="center"/>
    </xf>
    <xf numFmtId="187" fontId="67" fillId="0" borderId="143" xfId="16" applyNumberFormat="1" applyFont="1" applyFill="1" applyBorder="1" applyAlignment="1">
      <alignment vertical="center"/>
    </xf>
    <xf numFmtId="181" fontId="62" fillId="0" borderId="72" xfId="16" applyNumberFormat="1" applyFont="1" applyFill="1" applyBorder="1" applyAlignment="1">
      <alignment vertical="center"/>
    </xf>
    <xf numFmtId="0" fontId="69" fillId="0" borderId="0" xfId="16" applyFont="1" applyFill="1" applyAlignment="1">
      <alignment vertical="center"/>
    </xf>
    <xf numFmtId="187" fontId="67" fillId="0" borderId="87" xfId="16" applyNumberFormat="1" applyFont="1" applyFill="1" applyBorder="1" applyAlignment="1">
      <alignment vertical="center"/>
    </xf>
    <xf numFmtId="187" fontId="67" fillId="0" borderId="14" xfId="16" applyNumberFormat="1" applyFont="1" applyFill="1" applyBorder="1" applyAlignment="1">
      <alignment vertical="center"/>
    </xf>
    <xf numFmtId="188" fontId="67" fillId="0" borderId="16" xfId="16" applyNumberFormat="1" applyFont="1" applyFill="1" applyBorder="1" applyAlignment="1">
      <alignment horizontal="right" vertical="center" shrinkToFit="1"/>
    </xf>
    <xf numFmtId="0" fontId="67" fillId="0" borderId="0" xfId="16" applyFont="1" applyFill="1" applyAlignment="1">
      <alignment vertical="center"/>
    </xf>
    <xf numFmtId="176" fontId="67" fillId="0" borderId="0" xfId="16" applyNumberFormat="1" applyFont="1" applyFill="1" applyAlignment="1">
      <alignment vertical="center"/>
    </xf>
    <xf numFmtId="187" fontId="67" fillId="2" borderId="182" xfId="16" applyNumberFormat="1" applyFont="1" applyFill="1" applyBorder="1" applyAlignment="1">
      <alignment vertical="center"/>
    </xf>
    <xf numFmtId="188" fontId="67" fillId="0" borderId="102" xfId="16" applyNumberFormat="1" applyFont="1" applyFill="1" applyBorder="1" applyAlignment="1">
      <alignment horizontal="right" vertical="center" shrinkToFit="1"/>
    </xf>
    <xf numFmtId="188" fontId="67" fillId="0" borderId="291" xfId="16" applyNumberFormat="1" applyFont="1" applyFill="1" applyBorder="1" applyAlignment="1">
      <alignment horizontal="right" vertical="center" shrinkToFit="1"/>
    </xf>
    <xf numFmtId="187" fontId="67" fillId="2" borderId="292" xfId="16" applyNumberFormat="1" applyFont="1" applyFill="1" applyBorder="1" applyAlignment="1">
      <alignment vertical="center"/>
    </xf>
    <xf numFmtId="187" fontId="67" fillId="16" borderId="304" xfId="16" applyNumberFormat="1" applyFont="1" applyFill="1" applyBorder="1" applyAlignment="1">
      <alignment vertical="center"/>
    </xf>
    <xf numFmtId="188" fontId="67" fillId="0" borderId="293" xfId="16" applyNumberFormat="1" applyFont="1" applyFill="1" applyBorder="1" applyAlignment="1">
      <alignment horizontal="right" vertical="center" shrinkToFit="1"/>
    </xf>
    <xf numFmtId="181" fontId="10" fillId="0" borderId="0" xfId="16" applyNumberFormat="1" applyFont="1" applyFill="1" applyBorder="1" applyAlignment="1">
      <alignment vertical="center"/>
    </xf>
    <xf numFmtId="0" fontId="10" fillId="0" borderId="0" xfId="16" applyFont="1" applyFill="1" applyBorder="1" applyAlignment="1">
      <alignment horizontal="distributed" vertical="center"/>
    </xf>
    <xf numFmtId="182" fontId="10" fillId="0" borderId="0" xfId="16" applyNumberFormat="1" applyFont="1" applyFill="1" applyBorder="1" applyAlignment="1">
      <alignment vertical="center"/>
    </xf>
    <xf numFmtId="182" fontId="30" fillId="0" borderId="0" xfId="16" applyNumberFormat="1" applyFont="1" applyFill="1" applyBorder="1" applyAlignment="1">
      <alignment vertical="center"/>
    </xf>
    <xf numFmtId="183" fontId="10" fillId="0" borderId="0" xfId="16" applyNumberFormat="1" applyFont="1" applyFill="1" applyBorder="1" applyAlignment="1">
      <alignment horizontal="center" vertical="center" shrinkToFit="1"/>
    </xf>
    <xf numFmtId="183" fontId="30" fillId="0" borderId="0" xfId="16" applyNumberFormat="1" applyFont="1" applyFill="1" applyBorder="1" applyAlignment="1">
      <alignment horizontal="center" vertical="center" shrinkToFit="1"/>
    </xf>
    <xf numFmtId="176" fontId="69" fillId="0" borderId="0" xfId="16" applyNumberFormat="1" applyFont="1" applyFill="1" applyAlignment="1">
      <alignment horizontal="right" vertical="center"/>
    </xf>
    <xf numFmtId="181" fontId="64" fillId="0" borderId="15" xfId="16" applyNumberFormat="1" applyFont="1" applyFill="1" applyBorder="1" applyAlignment="1">
      <alignment horizontal="centerContinuous" vertical="center"/>
    </xf>
    <xf numFmtId="187" fontId="67" fillId="2" borderId="52" xfId="16" applyNumberFormat="1" applyFont="1" applyFill="1" applyBorder="1" applyAlignment="1">
      <alignment vertical="center"/>
    </xf>
    <xf numFmtId="187" fontId="67" fillId="16" borderId="230" xfId="16" applyNumberFormat="1" applyFont="1" applyFill="1" applyBorder="1" applyAlignment="1">
      <alignment vertical="center"/>
    </xf>
    <xf numFmtId="187" fontId="67" fillId="2" borderId="298" xfId="16" applyNumberFormat="1" applyFont="1" applyFill="1" applyBorder="1" applyAlignment="1">
      <alignment vertical="center"/>
    </xf>
    <xf numFmtId="187" fontId="67" fillId="0" borderId="305" xfId="16" applyNumberFormat="1" applyFont="1" applyFill="1" applyBorder="1" applyAlignment="1">
      <alignment vertical="center"/>
    </xf>
    <xf numFmtId="187" fontId="67" fillId="0" borderId="299" xfId="16" applyNumberFormat="1" applyFont="1" applyFill="1" applyBorder="1" applyAlignment="1">
      <alignment vertical="center"/>
    </xf>
    <xf numFmtId="188" fontId="67" fillId="0" borderId="300" xfId="16" applyNumberFormat="1" applyFont="1" applyFill="1" applyBorder="1" applyAlignment="1">
      <alignment horizontal="right" vertical="center" shrinkToFit="1"/>
    </xf>
    <xf numFmtId="187" fontId="67" fillId="0" borderId="72" xfId="16" applyNumberFormat="1" applyFont="1" applyFill="1" applyBorder="1" applyAlignment="1">
      <alignment vertical="center"/>
    </xf>
    <xf numFmtId="187" fontId="67" fillId="0" borderId="306" xfId="16" applyNumberFormat="1" applyFont="1" applyFill="1" applyBorder="1" applyAlignment="1">
      <alignment vertical="center"/>
    </xf>
    <xf numFmtId="188" fontId="67" fillId="0" borderId="301" xfId="16" applyNumberFormat="1" applyFont="1" applyFill="1" applyBorder="1" applyAlignment="1">
      <alignment horizontal="right" vertical="center" shrinkToFit="1"/>
    </xf>
    <xf numFmtId="38" fontId="62" fillId="15" borderId="0" xfId="1" applyFont="1" applyFill="1"/>
    <xf numFmtId="0" fontId="62" fillId="0" borderId="0" xfId="16" applyFont="1" applyFill="1" applyAlignment="1">
      <alignment shrinkToFit="1"/>
    </xf>
    <xf numFmtId="38" fontId="62" fillId="0" borderId="0" xfId="17" applyFont="1" applyFill="1"/>
    <xf numFmtId="0" fontId="70" fillId="0" borderId="0" xfId="16" applyFont="1" applyFill="1" applyAlignment="1">
      <alignment horizontal="centerContinuous"/>
    </xf>
    <xf numFmtId="0" fontId="27" fillId="0" borderId="0" xfId="16" applyFont="1" applyFill="1" applyAlignment="1">
      <alignment vertical="center"/>
    </xf>
    <xf numFmtId="177" fontId="10" fillId="15" borderId="0" xfId="18" applyNumberFormat="1" applyFont="1" applyFill="1" applyAlignment="1"/>
    <xf numFmtId="177" fontId="60" fillId="15" borderId="0" xfId="18" applyNumberFormat="1" applyFont="1" applyFill="1" applyAlignment="1"/>
    <xf numFmtId="177" fontId="29" fillId="15" borderId="0" xfId="18" applyNumberFormat="1" applyFont="1" applyFill="1" applyAlignment="1"/>
    <xf numFmtId="177" fontId="62" fillId="15" borderId="0" xfId="18" applyNumberFormat="1" applyFont="1" applyFill="1" applyAlignment="1"/>
    <xf numFmtId="177" fontId="62" fillId="15" borderId="0" xfId="18" applyNumberFormat="1" applyFont="1" applyFill="1" applyAlignment="1">
      <alignment vertical="center"/>
    </xf>
    <xf numFmtId="14" fontId="10" fillId="0" borderId="0" xfId="16" quotePrefix="1" applyNumberFormat="1" applyFont="1" applyFill="1" applyAlignment="1">
      <alignment horizontal="right"/>
    </xf>
    <xf numFmtId="181" fontId="42" fillId="0" borderId="137" xfId="9" applyNumberFormat="1" applyFont="1" applyBorder="1" applyAlignment="1">
      <alignment horizontal="distributed" vertical="center" shrinkToFit="1"/>
    </xf>
    <xf numFmtId="0" fontId="62" fillId="0" borderId="0" xfId="16" applyFont="1" applyFill="1" applyBorder="1" applyAlignment="1">
      <alignment horizontal="right"/>
    </xf>
    <xf numFmtId="181" fontId="45" fillId="0" borderId="142" xfId="9" applyNumberFormat="1" applyFont="1" applyBorder="1" applyAlignment="1">
      <alignment horizontal="distributed" vertical="center"/>
    </xf>
    <xf numFmtId="0" fontId="42" fillId="0" borderId="0" xfId="9" applyFont="1" applyBorder="1" applyAlignment="1">
      <alignment horizontal="center"/>
    </xf>
    <xf numFmtId="38" fontId="42" fillId="0" borderId="0" xfId="1" applyFont="1" applyAlignment="1">
      <alignment horizontal="right"/>
    </xf>
    <xf numFmtId="38" fontId="42" fillId="2" borderId="0" xfId="1" applyFont="1" applyFill="1" applyAlignment="1">
      <alignment horizontal="right"/>
    </xf>
    <xf numFmtId="38" fontId="42" fillId="0" borderId="0" xfId="1" applyFont="1" applyFill="1" applyAlignment="1"/>
    <xf numFmtId="38" fontId="42" fillId="2" borderId="0" xfId="1" applyFont="1" applyFill="1" applyAlignment="1"/>
    <xf numFmtId="0" fontId="10" fillId="0" borderId="0" xfId="16" applyFont="1" applyFill="1" applyBorder="1" applyAlignment="1">
      <alignment horizontal="center" vertical="center" shrinkToFit="1"/>
    </xf>
    <xf numFmtId="188" fontId="67" fillId="0" borderId="0" xfId="16" applyNumberFormat="1" applyFont="1" applyFill="1" applyBorder="1" applyAlignment="1">
      <alignment horizontal="right" vertical="center" shrinkToFit="1"/>
    </xf>
    <xf numFmtId="0" fontId="10" fillId="0" borderId="0" xfId="16" applyFont="1" applyFill="1" applyBorder="1" applyAlignment="1">
      <alignment horizontal="center" vertical="center"/>
    </xf>
    <xf numFmtId="0" fontId="10" fillId="0" borderId="0" xfId="16" applyFont="1" applyFill="1" applyBorder="1" applyAlignment="1">
      <alignment horizontal="left" vertical="center"/>
    </xf>
    <xf numFmtId="181" fontId="66" fillId="0" borderId="87" xfId="16" applyNumberFormat="1" applyFont="1" applyFill="1" applyBorder="1" applyAlignment="1">
      <alignment horizontal="centerContinuous" vertical="center"/>
    </xf>
    <xf numFmtId="0" fontId="10" fillId="0" borderId="282" xfId="16" applyFont="1" applyFill="1" applyBorder="1" applyAlignment="1">
      <alignment horizontal="centerContinuous" vertical="center"/>
    </xf>
    <xf numFmtId="181" fontId="66" fillId="0" borderId="86" xfId="16" applyNumberFormat="1" applyFont="1" applyFill="1" applyBorder="1" applyAlignment="1">
      <alignment horizontal="centerContinuous" vertical="center"/>
    </xf>
    <xf numFmtId="181" fontId="66" fillId="0" borderId="72" xfId="16" quotePrefix="1" applyNumberFormat="1" applyFont="1" applyFill="1" applyBorder="1" applyAlignment="1">
      <alignment horizontal="centerContinuous" vertical="center"/>
    </xf>
    <xf numFmtId="181" fontId="66" fillId="0" borderId="86" xfId="16" quotePrefix="1" applyNumberFormat="1" applyFont="1" applyFill="1" applyBorder="1" applyAlignment="1">
      <alignment horizontal="centerContinuous" vertical="center"/>
    </xf>
    <xf numFmtId="38" fontId="62" fillId="0" borderId="86" xfId="1" applyFont="1" applyFill="1" applyBorder="1"/>
    <xf numFmtId="38" fontId="62" fillId="0" borderId="182" xfId="1" applyFont="1" applyFill="1" applyBorder="1"/>
    <xf numFmtId="38" fontId="62" fillId="0" borderId="183" xfId="1" applyFont="1" applyFill="1" applyBorder="1"/>
    <xf numFmtId="38" fontId="62" fillId="0" borderId="292" xfId="1" applyFont="1" applyFill="1" applyBorder="1"/>
    <xf numFmtId="38" fontId="62" fillId="0" borderId="53" xfId="1" applyFont="1" applyFill="1" applyBorder="1"/>
    <xf numFmtId="187" fontId="67" fillId="0" borderId="308" xfId="16" applyNumberFormat="1" applyFont="1" applyFill="1" applyBorder="1" applyAlignment="1">
      <alignment vertical="center"/>
    </xf>
    <xf numFmtId="187" fontId="67" fillId="16" borderId="310" xfId="16" applyNumberFormat="1" applyFont="1" applyFill="1" applyBorder="1" applyAlignment="1">
      <alignment vertical="center"/>
    </xf>
    <xf numFmtId="187" fontId="67" fillId="16" borderId="311" xfId="16" applyNumberFormat="1" applyFont="1" applyFill="1" applyBorder="1" applyAlignment="1">
      <alignment vertical="center"/>
    </xf>
    <xf numFmtId="187" fontId="67" fillId="16" borderId="312" xfId="16" applyNumberFormat="1" applyFont="1" applyFill="1" applyBorder="1" applyAlignment="1">
      <alignment vertical="center"/>
    </xf>
    <xf numFmtId="187" fontId="67" fillId="0" borderId="313" xfId="16" applyNumberFormat="1" applyFont="1" applyFill="1" applyBorder="1" applyAlignment="1">
      <alignment vertical="center"/>
    </xf>
    <xf numFmtId="187" fontId="67" fillId="16" borderId="314" xfId="16" applyNumberFormat="1" applyFont="1" applyFill="1" applyBorder="1" applyAlignment="1">
      <alignment vertical="center"/>
    </xf>
    <xf numFmtId="181" fontId="65" fillId="0" borderId="14" xfId="16" applyNumberFormat="1" applyFont="1" applyFill="1" applyBorder="1" applyAlignment="1">
      <alignment horizontal="centerContinuous" vertical="center"/>
    </xf>
    <xf numFmtId="0" fontId="42" fillId="0" borderId="0" xfId="9" applyFont="1" applyFill="1"/>
    <xf numFmtId="176" fontId="42" fillId="0" borderId="0" xfId="9" applyNumberFormat="1" applyFont="1"/>
    <xf numFmtId="181" fontId="42" fillId="0" borderId="0" xfId="9" applyNumberFormat="1" applyFont="1" applyFill="1" applyAlignment="1">
      <alignment vertical="center"/>
    </xf>
    <xf numFmtId="0" fontId="42" fillId="0" borderId="0" xfId="9" applyFont="1" applyFill="1" applyAlignment="1">
      <alignment horizontal="center"/>
    </xf>
    <xf numFmtId="181" fontId="42" fillId="0" borderId="24" xfId="9" applyNumberFormat="1" applyFont="1" applyFill="1" applyBorder="1" applyAlignment="1">
      <alignment horizontal="center" vertical="center"/>
    </xf>
    <xf numFmtId="176" fontId="42" fillId="0" borderId="18" xfId="9" applyNumberFormat="1" applyFont="1" applyBorder="1"/>
    <xf numFmtId="176" fontId="57" fillId="2" borderId="0" xfId="9" applyNumberFormat="1" applyFont="1" applyFill="1"/>
    <xf numFmtId="182" fontId="42" fillId="0" borderId="0" xfId="9" applyNumberFormat="1" applyFont="1" applyFill="1" applyAlignment="1">
      <alignment vertical="center"/>
    </xf>
    <xf numFmtId="183" fontId="42" fillId="0" borderId="0" xfId="9" applyNumberFormat="1" applyFont="1" applyAlignment="1">
      <alignment vertical="center" shrinkToFit="1"/>
    </xf>
    <xf numFmtId="183" fontId="42" fillId="0" borderId="0" xfId="9" applyNumberFormat="1" applyFont="1" applyAlignment="1">
      <alignment vertical="center"/>
    </xf>
    <xf numFmtId="182" fontId="42" fillId="0" borderId="0" xfId="9" applyNumberFormat="1" applyFont="1"/>
    <xf numFmtId="0" fontId="42" fillId="2" borderId="0" xfId="9" applyFont="1" applyFill="1"/>
    <xf numFmtId="176" fontId="42" fillId="0" borderId="0" xfId="9" applyNumberFormat="1" applyFont="1" applyAlignment="1">
      <alignment vertical="center"/>
    </xf>
    <xf numFmtId="181" fontId="42" fillId="0" borderId="123" xfId="9" applyNumberFormat="1" applyFont="1" applyFill="1" applyBorder="1" applyAlignment="1">
      <alignment horizontal="center" vertical="center" wrapText="1"/>
    </xf>
    <xf numFmtId="181" fontId="42" fillId="0" borderId="92" xfId="9" applyNumberFormat="1" applyFont="1" applyFill="1" applyBorder="1" applyAlignment="1">
      <alignment horizontal="center" vertical="center"/>
    </xf>
    <xf numFmtId="181" fontId="42" fillId="0" borderId="23" xfId="9" applyNumberFormat="1" applyFont="1" applyFill="1" applyBorder="1" applyAlignment="1">
      <alignment horizontal="center" vertical="center"/>
    </xf>
    <xf numFmtId="181" fontId="42" fillId="0" borderId="121" xfId="9" applyNumberFormat="1" applyFont="1" applyFill="1" applyBorder="1" applyAlignment="1">
      <alignment horizontal="center" vertical="center" wrapText="1"/>
    </xf>
    <xf numFmtId="181" fontId="42" fillId="0" borderId="89" xfId="9" applyNumberFormat="1" applyFont="1" applyFill="1" applyBorder="1" applyAlignment="1">
      <alignment horizontal="center" vertical="center" wrapText="1"/>
    </xf>
    <xf numFmtId="0" fontId="42" fillId="0" borderId="0" xfId="9" applyFont="1" applyBorder="1" applyAlignment="1">
      <alignment horizontal="center" vertical="center"/>
    </xf>
    <xf numFmtId="183" fontId="43" fillId="0" borderId="0" xfId="9" applyNumberFormat="1" applyFont="1" applyBorder="1" applyAlignment="1">
      <alignment vertical="center" shrinkToFit="1"/>
    </xf>
    <xf numFmtId="181" fontId="42" fillId="0" borderId="74" xfId="9" applyNumberFormat="1" applyFont="1" applyFill="1" applyBorder="1" applyAlignment="1">
      <alignment horizontal="centerContinuous" vertical="center"/>
    </xf>
    <xf numFmtId="186" fontId="42" fillId="0" borderId="29" xfId="9" applyNumberFormat="1" applyFont="1" applyFill="1" applyBorder="1" applyAlignment="1">
      <alignment horizontal="center" vertical="top"/>
    </xf>
    <xf numFmtId="182" fontId="43" fillId="0" borderId="4" xfId="9" applyNumberFormat="1" applyFont="1" applyFill="1" applyBorder="1" applyAlignment="1">
      <alignment vertical="center" shrinkToFit="1"/>
    </xf>
    <xf numFmtId="0" fontId="42" fillId="0" borderId="0" xfId="9" applyFont="1" applyBorder="1" applyAlignment="1">
      <alignment horizontal="left" vertical="center"/>
    </xf>
    <xf numFmtId="176" fontId="42" fillId="0" borderId="0" xfId="9" applyNumberFormat="1" applyFont="1" applyBorder="1"/>
    <xf numFmtId="176" fontId="42" fillId="0" borderId="0" xfId="9" applyNumberFormat="1" applyFont="1" applyBorder="1" applyAlignment="1">
      <alignment wrapText="1"/>
    </xf>
    <xf numFmtId="176" fontId="42" fillId="0" borderId="0" xfId="9" applyNumberFormat="1" applyFont="1" applyBorder="1" applyAlignment="1"/>
    <xf numFmtId="182" fontId="43" fillId="15" borderId="75" xfId="9" applyNumberFormat="1" applyFont="1" applyFill="1" applyBorder="1" applyAlignment="1">
      <alignment vertical="center" shrinkToFit="1"/>
    </xf>
    <xf numFmtId="182" fontId="43" fillId="15" borderId="61" xfId="9" applyNumberFormat="1" applyFont="1" applyFill="1" applyBorder="1" applyAlignment="1">
      <alignment vertical="center" shrinkToFit="1"/>
    </xf>
    <xf numFmtId="182" fontId="43" fillId="15" borderId="4" xfId="9" applyNumberFormat="1" applyFont="1" applyFill="1" applyBorder="1" applyAlignment="1">
      <alignment vertical="center" shrinkToFit="1"/>
    </xf>
    <xf numFmtId="182" fontId="43" fillId="15" borderId="2" xfId="9" applyNumberFormat="1" applyFont="1" applyFill="1" applyBorder="1" applyAlignment="1">
      <alignment vertical="center" shrinkToFit="1"/>
    </xf>
    <xf numFmtId="183" fontId="43" fillId="15" borderId="0" xfId="9" applyNumberFormat="1" applyFont="1" applyFill="1" applyBorder="1" applyAlignment="1">
      <alignment vertical="center" shrinkToFit="1"/>
    </xf>
    <xf numFmtId="176" fontId="42" fillId="15" borderId="0" xfId="9" applyNumberFormat="1" applyFont="1" applyFill="1" applyAlignment="1">
      <alignment vertical="center"/>
    </xf>
    <xf numFmtId="0" fontId="42" fillId="15" borderId="0" xfId="9" applyFont="1" applyFill="1" applyAlignment="1">
      <alignment vertical="center"/>
    </xf>
    <xf numFmtId="182" fontId="42" fillId="15" borderId="77" xfId="9" applyNumberFormat="1" applyFont="1" applyFill="1" applyBorder="1" applyAlignment="1">
      <alignment vertical="center"/>
    </xf>
    <xf numFmtId="182" fontId="42" fillId="15" borderId="55" xfId="9" applyNumberFormat="1" applyFont="1" applyFill="1" applyBorder="1" applyAlignment="1">
      <alignment vertical="center" shrinkToFit="1"/>
    </xf>
    <xf numFmtId="182" fontId="42" fillId="15" borderId="35" xfId="9" applyNumberFormat="1" applyFont="1" applyFill="1" applyBorder="1" applyAlignment="1">
      <alignment vertical="center" shrinkToFit="1"/>
    </xf>
    <xf numFmtId="182" fontId="42" fillId="15" borderId="13" xfId="9" applyNumberFormat="1" applyFont="1" applyFill="1" applyBorder="1" applyAlignment="1">
      <alignment vertical="center" shrinkToFit="1"/>
    </xf>
    <xf numFmtId="176" fontId="42" fillId="15" borderId="0" xfId="9" applyNumberFormat="1" applyFont="1" applyFill="1"/>
    <xf numFmtId="0" fontId="42" fillId="15" borderId="0" xfId="9" applyFont="1" applyFill="1"/>
    <xf numFmtId="0" fontId="45" fillId="15" borderId="0" xfId="9" applyFont="1" applyFill="1"/>
    <xf numFmtId="182" fontId="42" fillId="15" borderId="0" xfId="9" applyNumberFormat="1" applyFont="1" applyFill="1" applyAlignment="1">
      <alignment vertical="center"/>
    </xf>
    <xf numFmtId="183" fontId="42" fillId="15" borderId="0" xfId="9" applyNumberFormat="1" applyFont="1" applyFill="1" applyAlignment="1">
      <alignment vertical="center" shrinkToFit="1"/>
    </xf>
    <xf numFmtId="181" fontId="43" fillId="15" borderId="169" xfId="9" applyNumberFormat="1" applyFont="1" applyFill="1" applyBorder="1" applyAlignment="1">
      <alignment vertical="center"/>
    </xf>
    <xf numFmtId="181" fontId="43" fillId="15" borderId="215" xfId="9" applyNumberFormat="1" applyFont="1" applyFill="1" applyBorder="1" applyAlignment="1">
      <alignment vertical="center"/>
    </xf>
    <xf numFmtId="181" fontId="43" fillId="15" borderId="216" xfId="9" applyNumberFormat="1" applyFont="1" applyFill="1" applyBorder="1" applyAlignment="1">
      <alignment vertical="center"/>
    </xf>
    <xf numFmtId="181" fontId="43" fillId="15" borderId="320" xfId="9" applyNumberFormat="1" applyFont="1" applyFill="1" applyBorder="1" applyAlignment="1">
      <alignment vertical="center"/>
    </xf>
    <xf numFmtId="0" fontId="45" fillId="15" borderId="147" xfId="9" applyFont="1" applyFill="1" applyBorder="1" applyAlignment="1">
      <alignment vertical="center"/>
    </xf>
    <xf numFmtId="181" fontId="43" fillId="15" borderId="174" xfId="9" applyNumberFormat="1" applyFont="1" applyFill="1" applyBorder="1" applyAlignment="1">
      <alignment vertical="center"/>
    </xf>
    <xf numFmtId="181" fontId="43" fillId="15" borderId="210" xfId="9" applyNumberFormat="1" applyFont="1" applyFill="1" applyBorder="1" applyAlignment="1">
      <alignment vertical="center"/>
    </xf>
    <xf numFmtId="181" fontId="43" fillId="15" borderId="206" xfId="9" applyNumberFormat="1" applyFont="1" applyFill="1" applyBorder="1" applyAlignment="1">
      <alignment vertical="center"/>
    </xf>
    <xf numFmtId="182" fontId="43" fillId="15" borderId="206" xfId="9" applyNumberFormat="1" applyFont="1" applyFill="1" applyBorder="1" applyAlignment="1">
      <alignment vertical="center"/>
    </xf>
    <xf numFmtId="182" fontId="43" fillId="15" borderId="315" xfId="9" applyNumberFormat="1" applyFont="1" applyFill="1" applyBorder="1" applyAlignment="1">
      <alignment vertical="center"/>
    </xf>
    <xf numFmtId="176" fontId="57" fillId="15" borderId="0" xfId="9" applyNumberFormat="1" applyFont="1" applyFill="1" applyAlignment="1">
      <alignment vertical="center"/>
    </xf>
    <xf numFmtId="0" fontId="45" fillId="15" borderId="181" xfId="9" applyFont="1" applyFill="1" applyBorder="1" applyAlignment="1">
      <alignment vertical="center"/>
    </xf>
    <xf numFmtId="0" fontId="45" fillId="15" borderId="108" xfId="9" applyFont="1" applyFill="1" applyBorder="1" applyAlignment="1">
      <alignment vertical="center"/>
    </xf>
    <xf numFmtId="0" fontId="45" fillId="15" borderId="149" xfId="9" applyFont="1" applyFill="1" applyBorder="1" applyAlignment="1">
      <alignment vertical="center"/>
    </xf>
    <xf numFmtId="0" fontId="45" fillId="15" borderId="142" xfId="9" applyFont="1" applyFill="1" applyBorder="1" applyAlignment="1">
      <alignment horizontal="distributed" vertical="center"/>
    </xf>
    <xf numFmtId="181" fontId="42" fillId="15" borderId="174" xfId="9" applyNumberFormat="1" applyFont="1" applyFill="1" applyBorder="1" applyAlignment="1">
      <alignment vertical="center"/>
    </xf>
    <xf numFmtId="181" fontId="57" fillId="15" borderId="210" xfId="9" applyNumberFormat="1" applyFont="1" applyFill="1" applyBorder="1" applyAlignment="1">
      <alignment vertical="center"/>
    </xf>
    <xf numFmtId="181" fontId="57" fillId="15" borderId="206" xfId="9" applyNumberFormat="1" applyFont="1" applyFill="1" applyBorder="1" applyAlignment="1">
      <alignment vertical="center"/>
    </xf>
    <xf numFmtId="182" fontId="48" fillId="15" borderId="206" xfId="9" applyNumberFormat="1" applyFont="1" applyFill="1" applyBorder="1" applyAlignment="1">
      <alignment vertical="center"/>
    </xf>
    <xf numFmtId="181" fontId="42" fillId="15" borderId="315" xfId="9" applyNumberFormat="1" applyFont="1" applyFill="1" applyBorder="1" applyAlignment="1">
      <alignment vertical="center"/>
    </xf>
    <xf numFmtId="0" fontId="45" fillId="15" borderId="106" xfId="9" applyFont="1" applyFill="1" applyBorder="1" applyAlignment="1">
      <alignment vertical="center"/>
    </xf>
    <xf numFmtId="0" fontId="45" fillId="15" borderId="203" xfId="9" applyFont="1" applyFill="1" applyBorder="1" applyAlignment="1">
      <alignment vertical="center"/>
    </xf>
    <xf numFmtId="182" fontId="42" fillId="15" borderId="315" xfId="9" applyNumberFormat="1" applyFont="1" applyFill="1" applyBorder="1" applyAlignment="1">
      <alignment vertical="center"/>
    </xf>
    <xf numFmtId="0" fontId="45" fillId="15" borderId="129" xfId="9" applyFont="1" applyFill="1" applyBorder="1" applyAlignment="1">
      <alignment vertical="center"/>
    </xf>
    <xf numFmtId="0" fontId="45" fillId="15" borderId="133" xfId="9" applyFont="1" applyFill="1" applyBorder="1" applyAlignment="1">
      <alignment vertical="center"/>
    </xf>
    <xf numFmtId="182" fontId="42" fillId="15" borderId="206" xfId="9" applyNumberFormat="1" applyFont="1" applyFill="1" applyBorder="1" applyAlignment="1">
      <alignment vertical="center"/>
    </xf>
    <xf numFmtId="181" fontId="42" fillId="15" borderId="210" xfId="9" applyNumberFormat="1" applyFont="1" applyFill="1" applyBorder="1" applyAlignment="1">
      <alignment vertical="center"/>
    </xf>
    <xf numFmtId="181" fontId="42" fillId="15" borderId="206" xfId="9" applyNumberFormat="1" applyFont="1" applyFill="1" applyBorder="1" applyAlignment="1">
      <alignment vertical="center"/>
    </xf>
    <xf numFmtId="181" fontId="42" fillId="15" borderId="184" xfId="9" applyNumberFormat="1" applyFont="1" applyFill="1" applyBorder="1" applyAlignment="1">
      <alignment vertical="center"/>
    </xf>
    <xf numFmtId="182" fontId="57" fillId="15" borderId="211" xfId="9" applyNumberFormat="1" applyFont="1" applyFill="1" applyBorder="1" applyAlignment="1">
      <alignment vertical="center"/>
    </xf>
    <xf numFmtId="182" fontId="57" fillId="15" borderId="212" xfId="9" applyNumberFormat="1" applyFont="1" applyFill="1" applyBorder="1" applyAlignment="1">
      <alignment vertical="center"/>
    </xf>
    <xf numFmtId="182" fontId="48" fillId="15" borderId="212" xfId="9" applyNumberFormat="1" applyFont="1" applyFill="1" applyBorder="1" applyAlignment="1">
      <alignment vertical="center"/>
    </xf>
    <xf numFmtId="182" fontId="42" fillId="15" borderId="316" xfId="9" applyNumberFormat="1" applyFont="1" applyFill="1" applyBorder="1" applyAlignment="1">
      <alignment vertical="center"/>
    </xf>
    <xf numFmtId="0" fontId="45" fillId="15" borderId="185" xfId="9" applyFont="1" applyFill="1" applyBorder="1" applyAlignment="1">
      <alignment vertical="center"/>
    </xf>
    <xf numFmtId="181" fontId="42" fillId="15" borderId="175" xfId="9" applyNumberFormat="1" applyFont="1" applyFill="1" applyBorder="1" applyAlignment="1">
      <alignment vertical="center"/>
    </xf>
    <xf numFmtId="181" fontId="57" fillId="15" borderId="213" xfId="9" applyNumberFormat="1" applyFont="1" applyFill="1" applyBorder="1" applyAlignment="1">
      <alignment vertical="center"/>
    </xf>
    <xf numFmtId="181" fontId="57" fillId="15" borderId="214" xfId="9" applyNumberFormat="1" applyFont="1" applyFill="1" applyBorder="1" applyAlignment="1">
      <alignment vertical="center"/>
    </xf>
    <xf numFmtId="182" fontId="42" fillId="15" borderId="214" xfId="9" applyNumberFormat="1" applyFont="1" applyFill="1" applyBorder="1" applyAlignment="1">
      <alignment vertical="center"/>
    </xf>
    <xf numFmtId="182" fontId="42" fillId="15" borderId="317" xfId="9" applyNumberFormat="1" applyFont="1" applyFill="1" applyBorder="1" applyAlignment="1">
      <alignment vertical="center"/>
    </xf>
    <xf numFmtId="0" fontId="42" fillId="15" borderId="0" xfId="9" applyFont="1" applyFill="1" applyAlignment="1">
      <alignment horizontal="right"/>
    </xf>
    <xf numFmtId="0" fontId="45" fillId="15" borderId="0" xfId="9" applyFont="1" applyFill="1" applyAlignment="1">
      <alignment vertical="center"/>
    </xf>
    <xf numFmtId="0" fontId="45" fillId="15" borderId="204" xfId="9" applyFont="1" applyFill="1" applyBorder="1" applyAlignment="1">
      <alignment horizontal="distributed" vertical="center"/>
    </xf>
    <xf numFmtId="182" fontId="43" fillId="15" borderId="73" xfId="9" applyNumberFormat="1" applyFont="1" applyFill="1" applyBorder="1" applyAlignment="1">
      <alignment vertical="center"/>
    </xf>
    <xf numFmtId="182" fontId="43" fillId="15" borderId="65" xfId="9" applyNumberFormat="1" applyFont="1" applyFill="1" applyBorder="1" applyAlignment="1">
      <alignment vertical="center"/>
    </xf>
    <xf numFmtId="182" fontId="43" fillId="15" borderId="29" xfId="9" applyNumberFormat="1" applyFont="1" applyFill="1" applyBorder="1" applyAlignment="1">
      <alignment vertical="center"/>
    </xf>
    <xf numFmtId="182" fontId="43" fillId="15" borderId="19" xfId="9" applyNumberFormat="1" applyFont="1" applyFill="1" applyBorder="1" applyAlignment="1">
      <alignment vertical="center"/>
    </xf>
    <xf numFmtId="0" fontId="45" fillId="15" borderId="90" xfId="9" applyFont="1" applyFill="1" applyBorder="1" applyAlignment="1">
      <alignment horizontal="distributed" vertical="center"/>
    </xf>
    <xf numFmtId="182" fontId="43" fillId="15" borderId="79" xfId="9" applyNumberFormat="1" applyFont="1" applyFill="1" applyBorder="1" applyAlignment="1">
      <alignment vertical="center"/>
    </xf>
    <xf numFmtId="182" fontId="43" fillId="15" borderId="64" xfId="9" applyNumberFormat="1" applyFont="1" applyFill="1" applyBorder="1" applyAlignment="1">
      <alignment vertical="center"/>
    </xf>
    <xf numFmtId="182" fontId="43" fillId="15" borderId="9" xfId="9" applyNumberFormat="1" applyFont="1" applyFill="1" applyBorder="1" applyAlignment="1">
      <alignment vertical="center"/>
    </xf>
    <xf numFmtId="182" fontId="43" fillId="15" borderId="63" xfId="9" applyNumberFormat="1" applyFont="1" applyFill="1" applyBorder="1" applyAlignment="1">
      <alignment vertical="center"/>
    </xf>
    <xf numFmtId="186" fontId="42" fillId="0" borderId="183" xfId="9" applyNumberFormat="1" applyFont="1" applyFill="1" applyBorder="1" applyAlignment="1">
      <alignment vertical="center"/>
    </xf>
    <xf numFmtId="186" fontId="55" fillId="0" borderId="183" xfId="9" applyNumberFormat="1" applyFont="1" applyFill="1" applyBorder="1" applyAlignment="1">
      <alignment vertical="center"/>
    </xf>
    <xf numFmtId="186" fontId="42" fillId="0" borderId="187" xfId="9" applyNumberFormat="1" applyFont="1" applyFill="1" applyBorder="1" applyAlignment="1">
      <alignment vertical="center"/>
    </xf>
    <xf numFmtId="186" fontId="42" fillId="15" borderId="0" xfId="9" applyNumberFormat="1" applyFont="1" applyFill="1"/>
    <xf numFmtId="186" fontId="42" fillId="15" borderId="0" xfId="9" applyNumberFormat="1" applyFont="1" applyFill="1" applyAlignment="1">
      <alignment horizontal="center"/>
    </xf>
    <xf numFmtId="186" fontId="42" fillId="15" borderId="23" xfId="9" applyNumberFormat="1" applyFont="1" applyFill="1" applyBorder="1" applyAlignment="1">
      <alignment horizontal="center" vertical="top"/>
    </xf>
    <xf numFmtId="186" fontId="42" fillId="15" borderId="0" xfId="9" applyNumberFormat="1" applyFont="1" applyFill="1" applyBorder="1" applyAlignment="1">
      <alignment horizontal="center" vertical="top" wrapText="1"/>
    </xf>
    <xf numFmtId="186" fontId="42" fillId="15" borderId="86" xfId="9" applyNumberFormat="1" applyFont="1" applyFill="1" applyBorder="1" applyAlignment="1">
      <alignment horizontal="center" vertical="center"/>
    </xf>
    <xf numFmtId="186" fontId="43" fillId="15" borderId="53" xfId="9" applyNumberFormat="1" applyFont="1" applyFill="1" applyBorder="1" applyAlignment="1">
      <alignment vertical="center"/>
    </xf>
    <xf numFmtId="186" fontId="43" fillId="15" borderId="103" xfId="9" applyNumberFormat="1" applyFont="1" applyFill="1" applyBorder="1" applyAlignment="1">
      <alignment vertical="center"/>
    </xf>
    <xf numFmtId="186" fontId="43" fillId="15" borderId="183" xfId="9" applyNumberFormat="1" applyFont="1" applyFill="1" applyBorder="1" applyAlignment="1">
      <alignment vertical="center"/>
    </xf>
    <xf numFmtId="186" fontId="48" fillId="15" borderId="183" xfId="9" applyNumberFormat="1" applyFont="1" applyFill="1" applyBorder="1" applyAlignment="1">
      <alignment vertical="center"/>
    </xf>
    <xf numFmtId="186" fontId="48" fillId="15" borderId="99" xfId="9" applyNumberFormat="1" applyFont="1" applyFill="1" applyBorder="1" applyAlignment="1">
      <alignment vertical="center"/>
    </xf>
    <xf numFmtId="186" fontId="42" fillId="15" borderId="23" xfId="9" applyNumberFormat="1" applyFont="1" applyFill="1" applyBorder="1" applyAlignment="1">
      <alignment vertical="center"/>
    </xf>
    <xf numFmtId="186" fontId="43" fillId="15" borderId="5" xfId="9" applyNumberFormat="1" applyFont="1" applyFill="1" applyBorder="1" applyAlignment="1">
      <alignment vertical="center"/>
    </xf>
    <xf numFmtId="186" fontId="42" fillId="15" borderId="0" xfId="9" applyNumberFormat="1" applyFont="1" applyFill="1" applyBorder="1" applyAlignment="1">
      <alignment vertical="center"/>
    </xf>
    <xf numFmtId="186" fontId="43" fillId="15" borderId="23" xfId="9" applyNumberFormat="1" applyFont="1" applyFill="1" applyBorder="1" applyAlignment="1">
      <alignment vertical="center"/>
    </xf>
    <xf numFmtId="186" fontId="43" fillId="15" borderId="182" xfId="9" applyNumberFormat="1" applyFont="1" applyFill="1" applyBorder="1" applyAlignment="1">
      <alignment vertical="center"/>
    </xf>
    <xf numFmtId="186" fontId="48" fillId="15" borderId="187" xfId="9" applyNumberFormat="1" applyFont="1" applyFill="1" applyBorder="1" applyAlignment="1">
      <alignment vertical="center"/>
    </xf>
    <xf numFmtId="186" fontId="43" fillId="15" borderId="207" xfId="9" applyNumberFormat="1" applyFont="1" applyFill="1" applyBorder="1" applyAlignment="1">
      <alignment vertical="center"/>
    </xf>
    <xf numFmtId="186" fontId="43" fillId="15" borderId="109" xfId="9" applyNumberFormat="1" applyFont="1" applyFill="1" applyBorder="1" applyAlignment="1">
      <alignment vertical="center"/>
    </xf>
    <xf numFmtId="0" fontId="42" fillId="0" borderId="124" xfId="9" applyFont="1" applyBorder="1" applyAlignment="1">
      <alignment horizontal="right" vertical="center"/>
    </xf>
    <xf numFmtId="182" fontId="43" fillId="15" borderId="5" xfId="9" applyNumberFormat="1" applyFont="1" applyFill="1" applyBorder="1" applyAlignment="1">
      <alignment horizontal="right" vertical="center" shrinkToFit="1"/>
    </xf>
    <xf numFmtId="183" fontId="43" fillId="15" borderId="163" xfId="9" applyNumberFormat="1" applyFont="1" applyFill="1" applyBorder="1" applyAlignment="1">
      <alignment horizontal="right" vertical="center" shrinkToFit="1"/>
    </xf>
    <xf numFmtId="182" fontId="43" fillId="15" borderId="0" xfId="9" applyNumberFormat="1" applyFont="1" applyFill="1" applyBorder="1" applyAlignment="1">
      <alignment horizontal="right" vertical="center" shrinkToFit="1"/>
    </xf>
    <xf numFmtId="183" fontId="43" fillId="15" borderId="142" xfId="9" applyNumberFormat="1" applyFont="1" applyFill="1" applyBorder="1" applyAlignment="1">
      <alignment horizontal="right" vertical="center" shrinkToFit="1"/>
    </xf>
    <xf numFmtId="182" fontId="42" fillId="15" borderId="0" xfId="9" applyNumberFormat="1" applyFont="1" applyFill="1" applyAlignment="1">
      <alignment horizontal="right" vertical="center" shrinkToFit="1"/>
    </xf>
    <xf numFmtId="183" fontId="42" fillId="15" borderId="0" xfId="9" applyNumberFormat="1" applyFont="1" applyFill="1" applyAlignment="1">
      <alignment horizontal="right" vertical="center" shrinkToFit="1"/>
    </xf>
    <xf numFmtId="182" fontId="43" fillId="15" borderId="207" xfId="9" applyNumberFormat="1" applyFont="1" applyFill="1" applyBorder="1" applyAlignment="1">
      <alignment horizontal="right" vertical="center" shrinkToFit="1"/>
    </xf>
    <xf numFmtId="183" fontId="43" fillId="15" borderId="171" xfId="9" applyNumberFormat="1" applyFont="1" applyFill="1" applyBorder="1" applyAlignment="1">
      <alignment horizontal="right" vertical="center" shrinkToFit="1"/>
    </xf>
    <xf numFmtId="182" fontId="43" fillId="15" borderId="183" xfId="9" applyNumberFormat="1" applyFont="1" applyFill="1" applyBorder="1" applyAlignment="1">
      <alignment horizontal="right" vertical="center" shrinkToFit="1"/>
    </xf>
    <xf numFmtId="182" fontId="43" fillId="15" borderId="99" xfId="9" applyNumberFormat="1" applyFont="1" applyFill="1" applyBorder="1" applyAlignment="1">
      <alignment horizontal="right" vertical="center" shrinkToFit="1"/>
    </xf>
    <xf numFmtId="183" fontId="43" fillId="15" borderId="150" xfId="9" applyNumberFormat="1" applyFont="1" applyFill="1" applyBorder="1" applyAlignment="1">
      <alignment horizontal="right" vertical="center" shrinkToFit="1"/>
    </xf>
    <xf numFmtId="182" fontId="43" fillId="15" borderId="187" xfId="9" applyNumberFormat="1" applyFont="1" applyFill="1" applyBorder="1" applyAlignment="1">
      <alignment horizontal="right" vertical="center" shrinkToFit="1"/>
    </xf>
    <xf numFmtId="183" fontId="43" fillId="15" borderId="158" xfId="9" applyNumberFormat="1" applyFont="1" applyFill="1" applyBorder="1" applyAlignment="1">
      <alignment horizontal="right" vertical="center" shrinkToFit="1"/>
    </xf>
    <xf numFmtId="182" fontId="43" fillId="15" borderId="23" xfId="9" applyNumberFormat="1" applyFont="1" applyFill="1" applyBorder="1" applyAlignment="1">
      <alignment horizontal="right" vertical="center" shrinkToFit="1"/>
    </xf>
    <xf numFmtId="183" fontId="43" fillId="15" borderId="193" xfId="9" applyNumberFormat="1" applyFont="1" applyFill="1" applyBorder="1" applyAlignment="1">
      <alignment horizontal="right" vertical="center" shrinkToFit="1"/>
    </xf>
    <xf numFmtId="182" fontId="43" fillId="15" borderId="109" xfId="9" applyNumberFormat="1" applyFont="1" applyFill="1" applyBorder="1" applyAlignment="1">
      <alignment horizontal="right" vertical="center" shrinkToFit="1"/>
    </xf>
    <xf numFmtId="183" fontId="43" fillId="15" borderId="205" xfId="9" applyNumberFormat="1" applyFont="1" applyFill="1" applyBorder="1" applyAlignment="1">
      <alignment horizontal="right" vertical="center" shrinkToFit="1"/>
    </xf>
    <xf numFmtId="181" fontId="45" fillId="0" borderId="5" xfId="9" applyNumberFormat="1" applyFont="1" applyBorder="1" applyAlignment="1">
      <alignment vertical="center"/>
    </xf>
    <xf numFmtId="181" fontId="42" fillId="0" borderId="5" xfId="9" applyNumberFormat="1" applyFont="1" applyBorder="1" applyAlignment="1">
      <alignment vertical="center"/>
    </xf>
    <xf numFmtId="181" fontId="42" fillId="0" borderId="5" xfId="9" applyNumberFormat="1" applyFont="1" applyFill="1" applyBorder="1" applyAlignment="1">
      <alignment vertical="center"/>
    </xf>
    <xf numFmtId="182" fontId="42" fillId="0" borderId="5" xfId="9" applyNumberFormat="1" applyFont="1" applyFill="1" applyBorder="1" applyAlignment="1">
      <alignment vertical="center"/>
    </xf>
    <xf numFmtId="182" fontId="42" fillId="0" borderId="5" xfId="9" applyNumberFormat="1" applyFont="1" applyBorder="1" applyAlignment="1">
      <alignment horizontal="right" vertical="center" shrinkToFit="1"/>
    </xf>
    <xf numFmtId="183" fontId="42" fillId="0" borderId="5" xfId="9" applyNumberFormat="1" applyFont="1" applyBorder="1" applyAlignment="1">
      <alignment horizontal="right" vertical="center" shrinkToFit="1"/>
    </xf>
    <xf numFmtId="183" fontId="43" fillId="0" borderId="195" xfId="9" applyNumberFormat="1" applyFont="1" applyBorder="1" applyAlignment="1">
      <alignment horizontal="right" vertical="center" shrinkToFit="1"/>
    </xf>
    <xf numFmtId="183" fontId="43" fillId="0" borderId="137" xfId="9" applyNumberFormat="1" applyFont="1" applyBorder="1" applyAlignment="1">
      <alignment horizontal="right" vertical="center" shrinkToFit="1"/>
    </xf>
    <xf numFmtId="183" fontId="43" fillId="0" borderId="198" xfId="9" applyNumberFormat="1" applyFont="1" applyBorder="1" applyAlignment="1">
      <alignment horizontal="right" vertical="center" shrinkToFit="1"/>
    </xf>
    <xf numFmtId="182" fontId="43" fillId="0" borderId="17" xfId="9" applyNumberFormat="1" applyFont="1" applyBorder="1" applyAlignment="1">
      <alignment horizontal="right" vertical="center" shrinkToFit="1"/>
    </xf>
    <xf numFmtId="182" fontId="43" fillId="0" borderId="285" xfId="9" applyNumberFormat="1" applyFont="1" applyBorder="1" applyAlignment="1">
      <alignment horizontal="right" vertical="center" shrinkToFit="1"/>
    </xf>
    <xf numFmtId="182" fontId="43" fillId="0" borderId="224" xfId="9" applyNumberFormat="1" applyFont="1" applyBorder="1" applyAlignment="1">
      <alignment horizontal="right" vertical="center" shrinkToFit="1"/>
    </xf>
    <xf numFmtId="182" fontId="43" fillId="0" borderId="225" xfId="9" applyNumberFormat="1" applyFont="1" applyBorder="1" applyAlignment="1">
      <alignment horizontal="right" vertical="center" shrinkToFit="1"/>
    </xf>
    <xf numFmtId="182" fontId="43" fillId="0" borderId="3" xfId="9" applyNumberFormat="1" applyFont="1" applyBorder="1" applyAlignment="1">
      <alignment horizontal="right" vertical="center" shrinkToFit="1"/>
    </xf>
    <xf numFmtId="0" fontId="42" fillId="0" borderId="282" xfId="9" applyFont="1" applyBorder="1" applyAlignment="1">
      <alignment horizontal="right" vertical="center"/>
    </xf>
    <xf numFmtId="182" fontId="43" fillId="0" borderId="28" xfId="9" applyNumberFormat="1" applyFont="1" applyBorder="1" applyAlignment="1">
      <alignment horizontal="right" vertical="center" shrinkToFit="1"/>
    </xf>
    <xf numFmtId="182" fontId="43" fillId="0" borderId="104" xfId="9" applyNumberFormat="1" applyFont="1" applyBorder="1" applyAlignment="1">
      <alignment horizontal="right" vertical="center" shrinkToFit="1"/>
    </xf>
    <xf numFmtId="182" fontId="43" fillId="0" borderId="25" xfId="9" applyNumberFormat="1" applyFont="1" applyBorder="1" applyAlignment="1">
      <alignment horizontal="right" vertical="center" shrinkToFit="1"/>
    </xf>
    <xf numFmtId="0" fontId="42" fillId="0" borderId="182" xfId="9" applyFont="1" applyBorder="1" applyAlignment="1">
      <alignment horizontal="right" vertical="center"/>
    </xf>
    <xf numFmtId="0" fontId="42" fillId="0" borderId="289" xfId="9" applyFont="1" applyBorder="1" applyAlignment="1">
      <alignment horizontal="right" vertical="center"/>
    </xf>
    <xf numFmtId="183" fontId="43" fillId="0" borderId="321" xfId="9" applyNumberFormat="1" applyFont="1" applyBorder="1" applyAlignment="1">
      <alignment horizontal="right" vertical="center" shrinkToFit="1"/>
    </xf>
    <xf numFmtId="183" fontId="43" fillId="0" borderId="129" xfId="9" applyNumberFormat="1" applyFont="1" applyBorder="1" applyAlignment="1">
      <alignment horizontal="right" vertical="center" shrinkToFit="1"/>
    </xf>
    <xf numFmtId="182" fontId="43" fillId="0" borderId="81" xfId="9" applyNumberFormat="1" applyFont="1" applyFill="1" applyBorder="1" applyAlignment="1">
      <alignment vertical="center" shrinkToFit="1"/>
    </xf>
    <xf numFmtId="182" fontId="43" fillId="0" borderId="51" xfId="9" applyNumberFormat="1" applyFont="1" applyFill="1" applyBorder="1" applyAlignment="1">
      <alignment vertical="center" shrinkToFit="1"/>
    </xf>
    <xf numFmtId="182" fontId="43" fillId="0" borderId="17" xfId="9" applyNumberFormat="1" applyFont="1" applyFill="1" applyBorder="1" applyAlignment="1">
      <alignment vertical="center" shrinkToFit="1"/>
    </xf>
    <xf numFmtId="181" fontId="43" fillId="0" borderId="208" xfId="9" applyNumberFormat="1" applyFont="1" applyFill="1" applyBorder="1" applyAlignment="1">
      <alignment vertical="center" shrinkToFit="1"/>
    </xf>
    <xf numFmtId="181" fontId="43" fillId="0" borderId="209" xfId="9" applyNumberFormat="1" applyFont="1" applyFill="1" applyBorder="1" applyAlignment="1">
      <alignment vertical="center" shrinkToFit="1"/>
    </xf>
    <xf numFmtId="181" fontId="43" fillId="0" borderId="104" xfId="9" applyNumberFormat="1" applyFont="1" applyFill="1" applyBorder="1" applyAlignment="1">
      <alignment vertical="center" shrinkToFit="1"/>
    </xf>
    <xf numFmtId="181" fontId="43" fillId="0" borderId="210" xfId="9" applyNumberFormat="1" applyFont="1" applyFill="1" applyBorder="1" applyAlignment="1">
      <alignment vertical="center" shrinkToFit="1"/>
    </xf>
    <xf numFmtId="181" fontId="43" fillId="0" borderId="206" xfId="9" applyNumberFormat="1" applyFont="1" applyFill="1" applyBorder="1" applyAlignment="1">
      <alignment vertical="center" shrinkToFit="1"/>
    </xf>
    <xf numFmtId="181" fontId="43" fillId="0" borderId="224" xfId="9" applyNumberFormat="1" applyFont="1" applyFill="1" applyBorder="1" applyAlignment="1">
      <alignment vertical="center" shrinkToFit="1"/>
    </xf>
    <xf numFmtId="181" fontId="48" fillId="0" borderId="210" xfId="9" applyNumberFormat="1" applyFont="1" applyFill="1" applyBorder="1" applyAlignment="1">
      <alignment vertical="center" shrinkToFit="1"/>
    </xf>
    <xf numFmtId="182" fontId="42" fillId="2" borderId="206" xfId="9" applyNumberFormat="1" applyFont="1" applyFill="1" applyBorder="1" applyAlignment="1">
      <alignment vertical="center" shrinkToFit="1"/>
    </xf>
    <xf numFmtId="182" fontId="48" fillId="0" borderId="206" xfId="9" applyNumberFormat="1" applyFont="1" applyFill="1" applyBorder="1" applyAlignment="1">
      <alignment vertical="center" shrinkToFit="1"/>
    </xf>
    <xf numFmtId="182" fontId="42" fillId="2" borderId="224" xfId="9" applyNumberFormat="1" applyFont="1" applyFill="1" applyBorder="1" applyAlignment="1">
      <alignment vertical="center" shrinkToFit="1"/>
    </xf>
    <xf numFmtId="182" fontId="48" fillId="0" borderId="210" xfId="9" applyNumberFormat="1" applyFont="1" applyFill="1" applyBorder="1" applyAlignment="1">
      <alignment vertical="center" shrinkToFit="1"/>
    </xf>
    <xf numFmtId="182" fontId="55" fillId="0" borderId="210" xfId="9" applyNumberFormat="1" applyFont="1" applyFill="1" applyBorder="1" applyAlignment="1">
      <alignment vertical="center" shrinkToFit="1"/>
    </xf>
    <xf numFmtId="182" fontId="42" fillId="0" borderId="206" xfId="9" applyNumberFormat="1" applyFont="1" applyFill="1" applyBorder="1" applyAlignment="1">
      <alignment vertical="center" shrinkToFit="1"/>
    </xf>
    <xf numFmtId="182" fontId="55" fillId="0" borderId="206" xfId="9" applyNumberFormat="1" applyFont="1" applyFill="1" applyBorder="1" applyAlignment="1">
      <alignment vertical="center" shrinkToFit="1"/>
    </xf>
    <xf numFmtId="181" fontId="55" fillId="0" borderId="210" xfId="9" applyNumberFormat="1" applyFont="1" applyFill="1" applyBorder="1" applyAlignment="1">
      <alignment vertical="center" shrinkToFit="1"/>
    </xf>
    <xf numFmtId="182" fontId="43" fillId="0" borderId="206" xfId="9" applyNumberFormat="1" applyFont="1" applyFill="1" applyBorder="1" applyAlignment="1">
      <alignment vertical="center" shrinkToFit="1"/>
    </xf>
    <xf numFmtId="182" fontId="43" fillId="0" borderId="224" xfId="9" applyNumberFormat="1" applyFont="1" applyFill="1" applyBorder="1" applyAlignment="1">
      <alignment vertical="center" shrinkToFit="1"/>
    </xf>
    <xf numFmtId="181" fontId="42" fillId="0" borderId="210" xfId="9" applyNumberFormat="1" applyFont="1" applyFill="1" applyBorder="1" applyAlignment="1">
      <alignment vertical="center" shrinkToFit="1"/>
    </xf>
    <xf numFmtId="182" fontId="48" fillId="0" borderId="224" xfId="9" applyNumberFormat="1" applyFont="1" applyFill="1" applyBorder="1" applyAlignment="1">
      <alignment vertical="center" shrinkToFit="1"/>
    </xf>
    <xf numFmtId="182" fontId="43" fillId="0" borderId="210" xfId="9" applyNumberFormat="1" applyFont="1" applyFill="1" applyBorder="1" applyAlignment="1">
      <alignment vertical="center" shrinkToFit="1"/>
    </xf>
    <xf numFmtId="181" fontId="57" fillId="2" borderId="210" xfId="9" applyNumberFormat="1" applyFont="1" applyFill="1" applyBorder="1" applyAlignment="1">
      <alignment vertical="center" shrinkToFit="1"/>
    </xf>
    <xf numFmtId="182" fontId="42" fillId="2" borderId="212" xfId="9" applyNumberFormat="1" applyFont="1" applyFill="1" applyBorder="1" applyAlignment="1">
      <alignment vertical="center" shrinkToFit="1"/>
    </xf>
    <xf numFmtId="182" fontId="48" fillId="0" borderId="212" xfId="9" applyNumberFormat="1" applyFont="1" applyFill="1" applyBorder="1" applyAlignment="1">
      <alignment vertical="center" shrinkToFit="1"/>
    </xf>
    <xf numFmtId="182" fontId="42" fillId="2" borderId="100" xfId="9" applyNumberFormat="1" applyFont="1" applyFill="1" applyBorder="1" applyAlignment="1">
      <alignment vertical="center" shrinkToFit="1"/>
    </xf>
    <xf numFmtId="181" fontId="57" fillId="2" borderId="213" xfId="9" applyNumberFormat="1" applyFont="1" applyFill="1" applyBorder="1" applyAlignment="1">
      <alignment vertical="center" shrinkToFit="1"/>
    </xf>
    <xf numFmtId="182" fontId="42" fillId="2" borderId="214" xfId="9" applyNumberFormat="1" applyFont="1" applyFill="1" applyBorder="1" applyAlignment="1">
      <alignment vertical="center" shrinkToFit="1"/>
    </xf>
    <xf numFmtId="182" fontId="42" fillId="0" borderId="214" xfId="9" applyNumberFormat="1" applyFont="1" applyFill="1" applyBorder="1" applyAlignment="1">
      <alignment vertical="center" shrinkToFit="1"/>
    </xf>
    <xf numFmtId="182" fontId="42" fillId="2" borderId="225" xfId="9" applyNumberFormat="1" applyFont="1" applyFill="1" applyBorder="1" applyAlignment="1">
      <alignment vertical="center" shrinkToFit="1"/>
    </xf>
    <xf numFmtId="184" fontId="43" fillId="0" borderId="61" xfId="9" applyNumberFormat="1" applyFont="1" applyFill="1" applyBorder="1" applyAlignment="1">
      <alignment vertical="center" shrinkToFit="1"/>
    </xf>
    <xf numFmtId="184" fontId="43" fillId="0" borderId="4" xfId="9" applyNumberFormat="1" applyFont="1" applyFill="1" applyBorder="1" applyAlignment="1">
      <alignment vertical="center" shrinkToFit="1"/>
    </xf>
    <xf numFmtId="182" fontId="43" fillId="0" borderId="3" xfId="9" applyNumberFormat="1" applyFont="1" applyFill="1" applyBorder="1" applyAlignment="1">
      <alignment vertical="center" shrinkToFit="1"/>
    </xf>
    <xf numFmtId="182" fontId="42" fillId="0" borderId="0" xfId="9" applyNumberFormat="1" applyFont="1" applyFill="1" applyAlignment="1">
      <alignment vertical="center" shrinkToFit="1"/>
    </xf>
    <xf numFmtId="182" fontId="42" fillId="0" borderId="0" xfId="9" applyNumberFormat="1" applyFont="1" applyFill="1" applyAlignment="1">
      <alignment horizontal="right" vertical="center" shrinkToFit="1"/>
    </xf>
    <xf numFmtId="181" fontId="43" fillId="0" borderId="65" xfId="9" applyNumberFormat="1" applyFont="1" applyFill="1" applyBorder="1" applyAlignment="1">
      <alignment vertical="center" shrinkToFit="1"/>
    </xf>
    <xf numFmtId="181" fontId="43" fillId="0" borderId="29" xfId="9" applyNumberFormat="1" applyFont="1" applyFill="1" applyBorder="1" applyAlignment="1">
      <alignment vertical="center" shrinkToFit="1"/>
    </xf>
    <xf numFmtId="182" fontId="43" fillId="0" borderId="29" xfId="9" applyNumberFormat="1" applyFont="1" applyFill="1" applyBorder="1" applyAlignment="1">
      <alignment vertical="center" shrinkToFit="1"/>
    </xf>
    <xf numFmtId="182" fontId="43" fillId="0" borderId="28" xfId="9" applyNumberFormat="1" applyFont="1" applyFill="1" applyBorder="1" applyAlignment="1">
      <alignment vertical="center" shrinkToFit="1"/>
    </xf>
    <xf numFmtId="181" fontId="43" fillId="0" borderId="318" xfId="9" applyNumberFormat="1" applyFont="1" applyFill="1" applyBorder="1" applyAlignment="1">
      <alignment vertical="center" shrinkToFit="1"/>
    </xf>
    <xf numFmtId="181" fontId="43" fillId="0" borderId="319" xfId="9" applyNumberFormat="1" applyFont="1" applyFill="1" applyBorder="1" applyAlignment="1">
      <alignment vertical="center" shrinkToFit="1"/>
    </xf>
    <xf numFmtId="182" fontId="43" fillId="0" borderId="319" xfId="9" applyNumberFormat="1" applyFont="1" applyFill="1" applyBorder="1" applyAlignment="1">
      <alignment vertical="center" shrinkToFit="1"/>
    </xf>
    <xf numFmtId="182" fontId="43" fillId="0" borderId="285" xfId="9" applyNumberFormat="1" applyFont="1" applyFill="1" applyBorder="1" applyAlignment="1">
      <alignment vertical="center" shrinkToFit="1"/>
    </xf>
    <xf numFmtId="182" fontId="42" fillId="0" borderId="210" xfId="9" applyNumberFormat="1" applyFont="1" applyFill="1" applyBorder="1" applyAlignment="1">
      <alignment vertical="center" shrinkToFit="1"/>
    </xf>
    <xf numFmtId="182" fontId="42" fillId="0" borderId="224" xfId="9" applyNumberFormat="1" applyFont="1" applyFill="1" applyBorder="1" applyAlignment="1">
      <alignment vertical="center" shrinkToFit="1"/>
    </xf>
    <xf numFmtId="182" fontId="71" fillId="0" borderId="210" xfId="9" applyNumberFormat="1" applyFont="1" applyFill="1" applyBorder="1" applyAlignment="1">
      <alignment vertical="center" shrinkToFit="1"/>
    </xf>
    <xf numFmtId="182" fontId="71" fillId="0" borderId="206" xfId="9" applyNumberFormat="1" applyFont="1" applyFill="1" applyBorder="1" applyAlignment="1">
      <alignment vertical="center" shrinkToFit="1"/>
    </xf>
    <xf numFmtId="182" fontId="56" fillId="0" borderId="210" xfId="9" applyNumberFormat="1" applyFont="1" applyFill="1" applyBorder="1" applyAlignment="1">
      <alignment vertical="center" shrinkToFit="1"/>
    </xf>
    <xf numFmtId="182" fontId="56" fillId="0" borderId="206" xfId="9" applyNumberFormat="1" applyFont="1" applyFill="1" applyBorder="1" applyAlignment="1">
      <alignment vertical="center" shrinkToFit="1"/>
    </xf>
    <xf numFmtId="182" fontId="57" fillId="2" borderId="210" xfId="9" applyNumberFormat="1" applyFont="1" applyFill="1" applyBorder="1" applyAlignment="1">
      <alignment vertical="center" shrinkToFit="1"/>
    </xf>
    <xf numFmtId="182" fontId="57" fillId="2" borderId="206" xfId="9" applyNumberFormat="1" applyFont="1" applyFill="1" applyBorder="1" applyAlignment="1">
      <alignment vertical="center" shrinkToFit="1"/>
    </xf>
    <xf numFmtId="182" fontId="48" fillId="0" borderId="213" xfId="9" applyNumberFormat="1" applyFont="1" applyFill="1" applyBorder="1" applyAlignment="1">
      <alignment vertical="center" shrinkToFit="1"/>
    </xf>
    <xf numFmtId="182" fontId="48" fillId="0" borderId="214" xfId="9" applyNumberFormat="1" applyFont="1" applyFill="1" applyBorder="1" applyAlignment="1">
      <alignment vertical="center" shrinkToFit="1"/>
    </xf>
    <xf numFmtId="182" fontId="42" fillId="0" borderId="208" xfId="9" applyNumberFormat="1" applyFont="1" applyFill="1" applyBorder="1" applyAlignment="1">
      <alignment vertical="center" shrinkToFit="1"/>
    </xf>
    <xf numFmtId="182" fontId="42" fillId="0" borderId="209" xfId="9" applyNumberFormat="1" applyFont="1" applyFill="1" applyBorder="1" applyAlignment="1">
      <alignment vertical="center" shrinkToFit="1"/>
    </xf>
    <xf numFmtId="182" fontId="42" fillId="0" borderId="104" xfId="9" applyNumberFormat="1" applyFont="1" applyFill="1" applyBorder="1" applyAlignment="1">
      <alignment vertical="center" shrinkToFit="1"/>
    </xf>
    <xf numFmtId="182" fontId="42" fillId="0" borderId="62" xfId="9" applyNumberFormat="1" applyFont="1" applyFill="1" applyBorder="1" applyAlignment="1">
      <alignment vertical="center" shrinkToFit="1"/>
    </xf>
    <xf numFmtId="182" fontId="42" fillId="0" borderId="26" xfId="9" applyNumberFormat="1" applyFont="1" applyFill="1" applyBorder="1" applyAlignment="1">
      <alignment vertical="center" shrinkToFit="1"/>
    </xf>
    <xf numFmtId="182" fontId="42" fillId="0" borderId="25" xfId="9" applyNumberFormat="1" applyFont="1" applyFill="1" applyBorder="1" applyAlignment="1">
      <alignment vertical="center" shrinkToFit="1"/>
    </xf>
    <xf numFmtId="14" fontId="42" fillId="0" borderId="0" xfId="9" quotePrefix="1" applyNumberFormat="1" applyFont="1" applyAlignment="1">
      <alignment horizontal="right"/>
    </xf>
    <xf numFmtId="181" fontId="45" fillId="0" borderId="52" xfId="9" applyNumberFormat="1" applyFont="1" applyFill="1" applyBorder="1" applyAlignment="1">
      <alignment horizontal="centerContinuous" vertical="center"/>
    </xf>
    <xf numFmtId="0" fontId="45" fillId="0" borderId="36" xfId="9" applyFont="1" applyBorder="1" applyAlignment="1">
      <alignment horizontal="centerContinuous" vertical="center"/>
    </xf>
    <xf numFmtId="181" fontId="45" fillId="0" borderId="0" xfId="9" applyNumberFormat="1" applyFont="1" applyFill="1" applyBorder="1" applyAlignment="1">
      <alignment horizontal="centerContinuous" vertical="center"/>
    </xf>
    <xf numFmtId="0" fontId="45" fillId="0" borderId="77" xfId="9" applyFont="1" applyBorder="1" applyAlignment="1">
      <alignment horizontal="centerContinuous" vertical="center"/>
    </xf>
    <xf numFmtId="0" fontId="0" fillId="0" borderId="0" xfId="0" applyFont="1" applyFill="1" applyBorder="1" applyAlignment="1">
      <alignment horizontal="center" vertical="center"/>
    </xf>
    <xf numFmtId="0" fontId="0" fillId="0" borderId="17" xfId="0" applyFont="1" applyFill="1" applyBorder="1" applyAlignment="1">
      <alignment vertical="center"/>
    </xf>
    <xf numFmtId="0" fontId="0" fillId="0" borderId="5" xfId="0" applyBorder="1"/>
    <xf numFmtId="0" fontId="0" fillId="0" borderId="5" xfId="0" applyFont="1" applyFill="1" applyBorder="1"/>
    <xf numFmtId="176" fontId="0" fillId="0" borderId="5" xfId="0" applyNumberFormat="1" applyFont="1" applyFill="1" applyBorder="1"/>
    <xf numFmtId="177" fontId="0" fillId="0" borderId="5" xfId="0" applyNumberFormat="1" applyFont="1" applyFill="1" applyBorder="1" applyAlignment="1">
      <alignment horizontal="center"/>
    </xf>
    <xf numFmtId="0" fontId="0" fillId="0" borderId="5" xfId="0" applyFont="1" applyFill="1" applyBorder="1" applyAlignment="1">
      <alignment horizontal="center"/>
    </xf>
    <xf numFmtId="38" fontId="0" fillId="0" borderId="72" xfId="1" applyFont="1" applyBorder="1" applyAlignment="1">
      <alignment vertical="center"/>
    </xf>
    <xf numFmtId="38" fontId="0" fillId="0" borderId="14" xfId="1" applyFont="1" applyBorder="1" applyAlignment="1">
      <alignment vertical="center"/>
    </xf>
    <xf numFmtId="38" fontId="0" fillId="0" borderId="8" xfId="1" applyFont="1" applyBorder="1" applyAlignment="1">
      <alignment vertical="center"/>
    </xf>
    <xf numFmtId="38" fontId="20" fillId="0" borderId="25" xfId="1" applyFont="1" applyBorder="1" applyAlignment="1">
      <alignment vertical="center"/>
    </xf>
    <xf numFmtId="0" fontId="0" fillId="0" borderId="13" xfId="0" applyBorder="1" applyAlignment="1">
      <alignment horizontal="center" vertical="center"/>
    </xf>
    <xf numFmtId="176" fontId="20" fillId="0" borderId="18" xfId="0" applyNumberFormat="1" applyFont="1" applyBorder="1" applyAlignment="1">
      <alignment vertical="center"/>
    </xf>
    <xf numFmtId="176" fontId="20" fillId="0" borderId="18" xfId="1" applyNumberFormat="1" applyFont="1" applyBorder="1" applyAlignment="1">
      <alignment vertical="center"/>
    </xf>
    <xf numFmtId="0" fontId="0" fillId="0" borderId="13" xfId="0" applyBorder="1" applyAlignment="1">
      <alignment horizontal="center"/>
    </xf>
    <xf numFmtId="0" fontId="0" fillId="0" borderId="23" xfId="0" applyBorder="1"/>
    <xf numFmtId="0" fontId="3" fillId="0" borderId="58" xfId="0" applyFont="1" applyFill="1" applyBorder="1" applyAlignment="1">
      <alignment horizontal="center" vertical="center"/>
    </xf>
    <xf numFmtId="0" fontId="10" fillId="0" borderId="15" xfId="16" applyFont="1" applyFill="1" applyBorder="1" applyAlignment="1">
      <alignment horizontal="center" vertical="center" wrapText="1"/>
    </xf>
    <xf numFmtId="0" fontId="62" fillId="0" borderId="0" xfId="16" applyFont="1" applyFill="1" applyBorder="1" applyAlignment="1">
      <alignment horizontal="right"/>
    </xf>
    <xf numFmtId="0" fontId="6" fillId="0" borderId="0" xfId="0" applyFont="1" applyAlignment="1">
      <alignment horizontal="center" vertical="center"/>
    </xf>
    <xf numFmtId="0" fontId="14" fillId="0" borderId="19" xfId="0" applyFont="1" applyFill="1" applyBorder="1" applyAlignment="1">
      <alignment horizontal="left" vertical="center" wrapText="1"/>
    </xf>
    <xf numFmtId="0" fontId="14" fillId="0" borderId="13" xfId="0" applyFont="1" applyFill="1" applyBorder="1" applyAlignment="1">
      <alignment horizontal="left" vertical="center" wrapText="1"/>
    </xf>
    <xf numFmtId="0" fontId="14" fillId="0" borderId="7" xfId="0" applyFont="1" applyFill="1" applyBorder="1" applyAlignment="1">
      <alignment horizontal="left" vertical="center" wrapText="1"/>
    </xf>
    <xf numFmtId="0" fontId="0" fillId="0" borderId="0" xfId="0" applyFont="1" applyFill="1" applyBorder="1" applyAlignment="1">
      <alignment horizontal="distributed" vertical="top" wrapText="1"/>
    </xf>
    <xf numFmtId="0" fontId="0" fillId="0" borderId="112" xfId="0" applyFont="1" applyFill="1" applyBorder="1" applyAlignment="1">
      <alignment vertical="center"/>
    </xf>
    <xf numFmtId="0" fontId="0" fillId="0" borderId="113" xfId="0" applyFont="1" applyFill="1" applyBorder="1" applyAlignment="1">
      <alignment vertical="center"/>
    </xf>
    <xf numFmtId="0" fontId="0" fillId="0" borderId="114" xfId="0" applyFont="1" applyFill="1" applyBorder="1" applyAlignment="1">
      <alignment vertical="center"/>
    </xf>
    <xf numFmtId="0" fontId="0" fillId="0" borderId="17" xfId="0" applyFont="1" applyFill="1" applyBorder="1" applyAlignment="1">
      <alignment vertical="center"/>
    </xf>
    <xf numFmtId="0" fontId="0" fillId="0" borderId="53" xfId="0" applyFont="1" applyFill="1" applyBorder="1" applyAlignment="1">
      <alignment vertical="center"/>
    </xf>
    <xf numFmtId="0" fontId="0" fillId="0" borderId="16" xfId="0" applyFont="1" applyFill="1" applyBorder="1" applyAlignment="1">
      <alignment vertical="center"/>
    </xf>
    <xf numFmtId="0" fontId="0" fillId="0" borderId="24" xfId="0" applyFont="1" applyFill="1" applyBorder="1" applyAlignment="1">
      <alignment horizontal="distributed" vertical="center" justifyLastLine="1"/>
    </xf>
    <xf numFmtId="0" fontId="0" fillId="0" borderId="23" xfId="0" applyFont="1" applyFill="1" applyBorder="1" applyAlignment="1">
      <alignment horizontal="distributed" vertical="center" justifyLastLine="1"/>
    </xf>
    <xf numFmtId="0" fontId="0" fillId="0" borderId="30" xfId="0" applyFont="1" applyFill="1" applyBorder="1" applyAlignment="1">
      <alignment horizontal="distributed" vertical="center" justifyLastLine="1"/>
    </xf>
    <xf numFmtId="0" fontId="0" fillId="0" borderId="12" xfId="0" applyFont="1" applyFill="1" applyBorder="1" applyAlignment="1">
      <alignment horizontal="distributed" vertical="center" justifyLastLine="1"/>
    </xf>
    <xf numFmtId="0" fontId="0" fillId="0" borderId="11" xfId="0" applyFont="1" applyFill="1" applyBorder="1" applyAlignment="1">
      <alignment horizontal="distributed" vertical="center" justifyLastLine="1"/>
    </xf>
    <xf numFmtId="0" fontId="0" fillId="0" borderId="27" xfId="0" applyFont="1" applyFill="1" applyBorder="1" applyAlignment="1">
      <alignment horizontal="distributed" vertical="center" justifyLastLine="1"/>
    </xf>
    <xf numFmtId="0" fontId="0" fillId="0" borderId="0" xfId="0" applyFont="1" applyFill="1" applyBorder="1" applyAlignment="1">
      <alignment horizontal="center" vertical="center"/>
    </xf>
    <xf numFmtId="0" fontId="17" fillId="0" borderId="11" xfId="0" applyFont="1" applyFill="1" applyBorder="1" applyAlignment="1">
      <alignment horizontal="center" vertical="top"/>
    </xf>
    <xf numFmtId="0" fontId="0" fillId="0" borderId="6"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111" xfId="0" applyFont="1" applyFill="1" applyBorder="1" applyAlignment="1">
      <alignment horizontal="center" vertical="center"/>
    </xf>
    <xf numFmtId="0" fontId="0" fillId="0" borderId="19" xfId="0" applyFont="1" applyFill="1" applyBorder="1" applyAlignment="1">
      <alignment horizontal="distributed" vertical="center" justifyLastLine="1"/>
    </xf>
    <xf numFmtId="0" fontId="0" fillId="0" borderId="7" xfId="0" applyFont="1" applyFill="1" applyBorder="1" applyAlignment="1">
      <alignment horizontal="distributed" vertical="center" justifyLastLine="1"/>
    </xf>
    <xf numFmtId="176" fontId="0" fillId="0" borderId="29" xfId="1" applyNumberFormat="1" applyFont="1" applyFill="1" applyBorder="1" applyAlignment="1">
      <alignment horizontal="center" vertical="center"/>
    </xf>
    <xf numFmtId="176" fontId="0" fillId="0" borderId="26" xfId="1" applyNumberFormat="1" applyFont="1" applyFill="1" applyBorder="1" applyAlignment="1">
      <alignment horizontal="center" vertical="center"/>
    </xf>
    <xf numFmtId="0" fontId="0" fillId="0" borderId="24" xfId="0" applyFont="1" applyFill="1" applyBorder="1" applyAlignment="1">
      <alignment horizontal="center" vertical="center" wrapText="1"/>
    </xf>
    <xf numFmtId="0" fontId="0" fillId="0" borderId="23" xfId="0" applyFont="1" applyFill="1" applyBorder="1" applyAlignment="1">
      <alignment horizontal="center" vertical="center"/>
    </xf>
    <xf numFmtId="0" fontId="0" fillId="0" borderId="18" xfId="0" applyFont="1" applyFill="1" applyBorder="1" applyAlignment="1">
      <alignment horizontal="center" vertical="center"/>
    </xf>
    <xf numFmtId="0" fontId="0" fillId="0" borderId="12" xfId="0" applyFont="1" applyFill="1" applyBorder="1" applyAlignment="1">
      <alignment horizontal="center" vertical="center"/>
    </xf>
    <xf numFmtId="0" fontId="0" fillId="0" borderId="11" xfId="0" applyFont="1" applyFill="1" applyBorder="1" applyAlignment="1">
      <alignment horizontal="center" vertical="center"/>
    </xf>
    <xf numFmtId="176" fontId="0" fillId="0" borderId="28" xfId="1" applyNumberFormat="1" applyFont="1" applyFill="1" applyBorder="1" applyAlignment="1">
      <alignment horizontal="center" vertical="center"/>
    </xf>
    <xf numFmtId="176" fontId="0" fillId="0" borderId="25" xfId="1" applyNumberFormat="1" applyFont="1" applyFill="1" applyBorder="1" applyAlignment="1">
      <alignment horizontal="center" vertical="center"/>
    </xf>
    <xf numFmtId="0" fontId="13" fillId="0" borderId="0" xfId="0" applyFont="1" applyFill="1" applyAlignment="1">
      <alignment shrinkToFit="1"/>
    </xf>
    <xf numFmtId="0" fontId="0" fillId="0" borderId="20" xfId="0" applyFont="1" applyFill="1" applyBorder="1" applyAlignment="1">
      <alignment horizontal="distributed" vertical="center" justifyLastLine="1"/>
    </xf>
    <xf numFmtId="0" fontId="0" fillId="0" borderId="74" xfId="0" applyFont="1" applyFill="1" applyBorder="1" applyAlignment="1">
      <alignment horizontal="distributed" vertical="center" justifyLastLine="1"/>
    </xf>
    <xf numFmtId="0" fontId="0" fillId="0" borderId="22" xfId="0" applyFont="1" applyFill="1" applyBorder="1" applyAlignment="1">
      <alignment horizontal="distributed" vertical="center" justifyLastLine="1"/>
    </xf>
    <xf numFmtId="0" fontId="0" fillId="0" borderId="17" xfId="0" applyFont="1" applyFill="1" applyBorder="1" applyAlignment="1">
      <alignment horizontal="distributed" vertical="center" justifyLastLine="1"/>
    </xf>
    <xf numFmtId="0" fontId="0" fillId="0" borderId="53" xfId="0" applyFont="1" applyFill="1" applyBorder="1" applyAlignment="1">
      <alignment horizontal="distributed" vertical="center" justifyLastLine="1"/>
    </xf>
    <xf numFmtId="0" fontId="0" fillId="0" borderId="16" xfId="0" applyFont="1" applyFill="1" applyBorder="1" applyAlignment="1">
      <alignment horizontal="distributed" vertical="center" justifyLastLine="1"/>
    </xf>
    <xf numFmtId="0" fontId="0" fillId="0" borderId="41" xfId="0" applyFont="1" applyFill="1" applyBorder="1" applyAlignment="1">
      <alignment horizontal="center" vertical="center"/>
    </xf>
    <xf numFmtId="0" fontId="0" fillId="0" borderId="40" xfId="0" applyFont="1" applyFill="1" applyBorder="1" applyAlignment="1">
      <alignment horizontal="center" vertical="center"/>
    </xf>
    <xf numFmtId="0" fontId="0" fillId="0" borderId="39" xfId="0" applyFont="1" applyFill="1" applyBorder="1" applyAlignment="1">
      <alignment horizontal="center" vertical="center"/>
    </xf>
    <xf numFmtId="0" fontId="0" fillId="0" borderId="36" xfId="0" applyFont="1" applyFill="1" applyBorder="1" applyAlignment="1">
      <alignment horizontal="center" vertical="center"/>
    </xf>
    <xf numFmtId="0" fontId="0" fillId="0" borderId="44"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43" xfId="0" applyFont="1" applyFill="1" applyBorder="1" applyAlignment="1">
      <alignment horizontal="center" vertical="center"/>
    </xf>
    <xf numFmtId="0" fontId="0" fillId="0" borderId="67" xfId="0" applyFont="1" applyFill="1" applyBorder="1" applyAlignment="1">
      <alignment horizontal="center" vertical="center"/>
    </xf>
    <xf numFmtId="0" fontId="0" fillId="0" borderId="66" xfId="0" applyFont="1" applyFill="1" applyBorder="1" applyAlignment="1">
      <alignment horizontal="center" vertical="center"/>
    </xf>
    <xf numFmtId="0" fontId="0" fillId="0" borderId="110" xfId="0" applyFont="1" applyFill="1" applyBorder="1" applyAlignment="1">
      <alignment horizontal="center" vertical="center"/>
    </xf>
    <xf numFmtId="0" fontId="0" fillId="0" borderId="8" xfId="0" applyFont="1" applyFill="1" applyBorder="1" applyAlignment="1">
      <alignment horizontal="distributed" vertical="center" justifyLastLine="1"/>
    </xf>
    <xf numFmtId="0" fontId="0" fillId="0" borderId="109" xfId="0" applyFont="1" applyFill="1" applyBorder="1" applyAlignment="1">
      <alignment horizontal="distributed" vertical="center" justifyLastLine="1"/>
    </xf>
    <xf numFmtId="0" fontId="0" fillId="0" borderId="10" xfId="0" applyFont="1" applyFill="1" applyBorder="1" applyAlignment="1">
      <alignment horizontal="distributed" vertical="center" justifyLastLine="1"/>
    </xf>
    <xf numFmtId="0" fontId="0" fillId="0" borderId="41" xfId="0" applyFont="1" applyFill="1" applyBorder="1" applyAlignment="1">
      <alignment horizontal="center" vertical="center" justifyLastLine="1"/>
    </xf>
    <xf numFmtId="0" fontId="0" fillId="0" borderId="40" xfId="0" applyFont="1" applyFill="1" applyBorder="1" applyAlignment="1">
      <alignment horizontal="center" vertical="center" justifyLastLine="1"/>
    </xf>
    <xf numFmtId="0" fontId="0" fillId="0" borderId="39" xfId="0" applyFont="1" applyFill="1" applyBorder="1" applyAlignment="1">
      <alignment horizontal="center" vertical="center" justifyLastLine="1"/>
    </xf>
    <xf numFmtId="0" fontId="0" fillId="0" borderId="18" xfId="0" applyFont="1" applyFill="1" applyBorder="1" applyAlignment="1">
      <alignment horizontal="center" vertical="center" justifyLastLine="1"/>
    </xf>
    <xf numFmtId="0" fontId="0" fillId="0" borderId="0" xfId="0" applyFont="1" applyFill="1" applyBorder="1" applyAlignment="1">
      <alignment horizontal="center" vertical="center" justifyLastLine="1"/>
    </xf>
    <xf numFmtId="0" fontId="0" fillId="0" borderId="36" xfId="0" applyFont="1" applyFill="1" applyBorder="1" applyAlignment="1">
      <alignment horizontal="center" vertical="center" justifyLastLine="1"/>
    </xf>
    <xf numFmtId="0" fontId="0" fillId="0" borderId="44" xfId="0" applyFont="1" applyFill="1" applyBorder="1" applyAlignment="1">
      <alignment horizontal="center" vertical="center" justifyLastLine="1"/>
    </xf>
    <xf numFmtId="0" fontId="0" fillId="0" borderId="1" xfId="0" applyFont="1" applyFill="1" applyBorder="1" applyAlignment="1">
      <alignment horizontal="center" vertical="center" justifyLastLine="1"/>
    </xf>
    <xf numFmtId="0" fontId="0" fillId="0" borderId="43" xfId="0" applyFont="1" applyFill="1" applyBorder="1" applyAlignment="1">
      <alignment horizontal="center" vertical="center" justifyLastLine="1"/>
    </xf>
    <xf numFmtId="0" fontId="15" fillId="0" borderId="69" xfId="0" applyFont="1" applyFill="1" applyBorder="1" applyAlignment="1">
      <alignment horizontal="center" vertical="center"/>
    </xf>
    <xf numFmtId="0" fontId="15" fillId="0" borderId="68" xfId="0" applyFont="1" applyFill="1" applyBorder="1" applyAlignment="1">
      <alignment horizontal="center" vertical="center"/>
    </xf>
    <xf numFmtId="0" fontId="15" fillId="0" borderId="272" xfId="0" applyFont="1" applyFill="1" applyBorder="1" applyAlignment="1">
      <alignment horizontal="center" vertical="center"/>
    </xf>
    <xf numFmtId="0" fontId="0" fillId="0" borderId="92" xfId="0" applyFont="1" applyFill="1" applyBorder="1" applyAlignment="1">
      <alignment horizontal="center" vertical="center"/>
    </xf>
    <xf numFmtId="0" fontId="0" fillId="0" borderId="71" xfId="0" applyFont="1" applyFill="1" applyBorder="1" applyAlignment="1">
      <alignment horizontal="center" vertical="center"/>
    </xf>
    <xf numFmtId="0" fontId="0" fillId="0" borderId="118" xfId="0" applyFont="1" applyFill="1" applyBorder="1" applyAlignment="1">
      <alignment horizontal="center" vertical="center"/>
    </xf>
    <xf numFmtId="0" fontId="0" fillId="0" borderId="16" xfId="0" applyFont="1" applyFill="1" applyBorder="1" applyAlignment="1">
      <alignment horizontal="center" vertical="center"/>
    </xf>
    <xf numFmtId="0" fontId="0" fillId="0" borderId="119" xfId="0" applyFont="1" applyFill="1" applyBorder="1" applyAlignment="1">
      <alignment horizontal="center" vertical="center"/>
    </xf>
    <xf numFmtId="0" fontId="0" fillId="0" borderId="10" xfId="0" applyFont="1" applyFill="1" applyBorder="1" applyAlignment="1">
      <alignment horizontal="center" vertical="center"/>
    </xf>
    <xf numFmtId="0" fontId="0" fillId="0" borderId="6" xfId="0" applyFont="1" applyFill="1" applyBorder="1" applyAlignment="1">
      <alignment horizontal="center"/>
    </xf>
    <xf numFmtId="0" fontId="0" fillId="0" borderId="111" xfId="0" applyFont="1" applyFill="1" applyBorder="1" applyAlignment="1">
      <alignment horizontal="center"/>
    </xf>
    <xf numFmtId="0" fontId="0" fillId="0" borderId="67" xfId="0" applyFont="1" applyFill="1" applyBorder="1" applyAlignment="1">
      <alignment horizontal="distributed" vertical="center" justifyLastLine="1"/>
    </xf>
    <xf numFmtId="0" fontId="0" fillId="0" borderId="66" xfId="0" applyFont="1" applyFill="1" applyBorder="1" applyAlignment="1">
      <alignment horizontal="distributed" vertical="center" justifyLastLine="1"/>
    </xf>
    <xf numFmtId="0" fontId="0" fillId="0" borderId="110" xfId="0" applyFont="1" applyFill="1" applyBorder="1" applyAlignment="1">
      <alignment horizontal="distributed" vertical="center" justifyLastLine="1"/>
    </xf>
    <xf numFmtId="0" fontId="0" fillId="0" borderId="15" xfId="0" applyFont="1" applyFill="1" applyBorder="1" applyAlignment="1">
      <alignment vertical="center"/>
    </xf>
    <xf numFmtId="0" fontId="0" fillId="0" borderId="58" xfId="0" applyFont="1" applyFill="1" applyBorder="1" applyAlignment="1">
      <alignment vertical="center"/>
    </xf>
    <xf numFmtId="0" fontId="0" fillId="0" borderId="274" xfId="0" applyFont="1" applyFill="1" applyBorder="1" applyAlignment="1">
      <alignment horizontal="center" vertical="center" justifyLastLine="1"/>
    </xf>
    <xf numFmtId="0" fontId="0" fillId="0" borderId="275" xfId="0" applyFont="1" applyFill="1" applyBorder="1" applyAlignment="1">
      <alignment horizontal="center" vertical="center" justifyLastLine="1"/>
    </xf>
    <xf numFmtId="0" fontId="0" fillId="0" borderId="276" xfId="0" applyFont="1" applyFill="1" applyBorder="1" applyAlignment="1">
      <alignment horizontal="center" vertical="center" justifyLastLine="1"/>
    </xf>
    <xf numFmtId="0" fontId="18" fillId="0" borderId="0" xfId="0" applyFont="1" applyFill="1" applyBorder="1" applyAlignment="1">
      <alignment horizontal="center" vertical="top" justifyLastLine="1"/>
    </xf>
    <xf numFmtId="0" fontId="17" fillId="0" borderId="0" xfId="0" applyFont="1" applyFill="1" applyBorder="1" applyAlignment="1">
      <alignment horizontal="center" vertical="top"/>
    </xf>
    <xf numFmtId="0" fontId="0" fillId="0" borderId="117" xfId="0" applyBorder="1" applyAlignment="1">
      <alignment horizontal="center" vertical="center"/>
    </xf>
    <xf numFmtId="0" fontId="0" fillId="0" borderId="22" xfId="0" applyBorder="1" applyAlignment="1">
      <alignment horizontal="center" vertical="center"/>
    </xf>
    <xf numFmtId="0" fontId="0" fillId="0" borderId="118" xfId="0" applyBorder="1" applyAlignment="1">
      <alignment horizontal="center" vertical="center"/>
    </xf>
    <xf numFmtId="0" fontId="0" fillId="0" borderId="16" xfId="0" applyBorder="1" applyAlignment="1">
      <alignment horizontal="center" vertical="center"/>
    </xf>
    <xf numFmtId="0" fontId="0" fillId="0" borderId="119"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11" xfId="0" applyBorder="1" applyAlignment="1">
      <alignment horizontal="center" vertical="center"/>
    </xf>
    <xf numFmtId="0" fontId="0" fillId="0" borderId="6" xfId="0" applyBorder="1" applyAlignment="1">
      <alignment horizontal="distributed" vertical="center" justifyLastLine="1"/>
    </xf>
    <xf numFmtId="0" fontId="0" fillId="0" borderId="5" xfId="0" applyBorder="1" applyAlignment="1">
      <alignment horizontal="distributed" vertical="center" justifyLastLine="1"/>
    </xf>
    <xf numFmtId="0" fontId="0" fillId="0" borderId="111" xfId="0" applyBorder="1" applyAlignment="1">
      <alignment horizontal="distributed" vertical="center" justifyLastLine="1"/>
    </xf>
    <xf numFmtId="0" fontId="0" fillId="0" borderId="11" xfId="0" applyFont="1" applyFill="1" applyBorder="1" applyAlignment="1">
      <alignment horizontal="right"/>
    </xf>
    <xf numFmtId="0" fontId="17" fillId="0" borderId="0" xfId="0" applyFont="1" applyBorder="1" applyAlignment="1">
      <alignment horizontal="center" vertical="top"/>
    </xf>
    <xf numFmtId="0" fontId="0" fillId="0" borderId="20" xfId="0" applyFont="1" applyFill="1" applyBorder="1" applyAlignment="1">
      <alignment horizontal="center" vertical="center" shrinkToFit="1"/>
    </xf>
    <xf numFmtId="0" fontId="0" fillId="0" borderId="74" xfId="0" applyFont="1" applyFill="1" applyBorder="1" applyAlignment="1">
      <alignment horizontal="center" vertical="center" shrinkToFit="1"/>
    </xf>
    <xf numFmtId="0" fontId="0" fillId="0" borderId="73" xfId="0" applyFont="1" applyFill="1" applyBorder="1" applyAlignment="1">
      <alignment horizontal="center" vertical="center" shrinkToFit="1"/>
    </xf>
    <xf numFmtId="0" fontId="0" fillId="0" borderId="17" xfId="0" applyFont="1" applyBorder="1" applyAlignment="1">
      <alignment horizontal="center" vertical="center" shrinkToFit="1"/>
    </xf>
    <xf numFmtId="0" fontId="0" fillId="0" borderId="53" xfId="0" applyFont="1" applyBorder="1" applyAlignment="1">
      <alignment horizontal="center" vertical="center" shrinkToFit="1"/>
    </xf>
    <xf numFmtId="0" fontId="0" fillId="0" borderId="16" xfId="0" applyFont="1" applyBorder="1" applyAlignment="1">
      <alignment horizontal="center" vertical="center" shrinkToFit="1"/>
    </xf>
    <xf numFmtId="0" fontId="0" fillId="0" borderId="6" xfId="0" applyBorder="1" applyAlignment="1">
      <alignment horizontal="center" vertical="center" justifyLastLine="1"/>
    </xf>
    <xf numFmtId="0" fontId="0" fillId="0" borderId="5" xfId="0" applyBorder="1" applyAlignment="1">
      <alignment horizontal="center" vertical="center" justifyLastLine="1"/>
    </xf>
    <xf numFmtId="0" fontId="0" fillId="0" borderId="111" xfId="0" applyBorder="1" applyAlignment="1">
      <alignment horizontal="center" vertical="center" justifyLastLine="1"/>
    </xf>
    <xf numFmtId="0" fontId="0" fillId="0" borderId="12" xfId="0" applyBorder="1" applyAlignment="1">
      <alignment horizontal="center" vertical="center" shrinkToFit="1"/>
    </xf>
    <xf numFmtId="0" fontId="0" fillId="0" borderId="11" xfId="0" applyBorder="1" applyAlignment="1">
      <alignment horizontal="center" vertical="center" shrinkToFit="1"/>
    </xf>
    <xf numFmtId="0" fontId="0" fillId="7" borderId="20" xfId="0" applyFill="1" applyBorder="1" applyAlignment="1">
      <alignment horizontal="center" vertical="center" shrinkToFit="1"/>
    </xf>
    <xf numFmtId="0" fontId="0" fillId="7" borderId="73" xfId="0" applyFill="1" applyBorder="1" applyAlignment="1">
      <alignment horizontal="center" vertical="center" shrinkToFit="1"/>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12" xfId="0" applyBorder="1" applyAlignment="1">
      <alignment horizontal="center" vertical="center"/>
    </xf>
    <xf numFmtId="0" fontId="0" fillId="0" borderId="27" xfId="0" applyBorder="1" applyAlignment="1">
      <alignment horizontal="center" vertical="center"/>
    </xf>
    <xf numFmtId="0" fontId="0" fillId="0" borderId="24" xfId="0" applyBorder="1" applyAlignment="1">
      <alignment horizontal="center" vertical="center" shrinkToFit="1"/>
    </xf>
    <xf numFmtId="0" fontId="0" fillId="0" borderId="23" xfId="0" applyBorder="1" applyAlignment="1">
      <alignment horizontal="center" vertical="center" shrinkToFit="1"/>
    </xf>
    <xf numFmtId="0" fontId="0" fillId="0" borderId="30" xfId="0" applyBorder="1" applyAlignment="1">
      <alignment horizontal="center" vertical="center" shrinkToFit="1"/>
    </xf>
    <xf numFmtId="0" fontId="0" fillId="0" borderId="35" xfId="0" applyBorder="1" applyAlignment="1">
      <alignment vertical="center" shrinkToFit="1"/>
    </xf>
    <xf numFmtId="0" fontId="0" fillId="0" borderId="58" xfId="0" applyBorder="1" applyAlignment="1">
      <alignment vertical="center" shrinkToFit="1"/>
    </xf>
    <xf numFmtId="0" fontId="15" fillId="0" borderId="17" xfId="0" applyFont="1" applyBorder="1" applyAlignment="1">
      <alignment vertical="center" wrapText="1"/>
    </xf>
    <xf numFmtId="0" fontId="15" fillId="0" borderId="53" xfId="0" applyFont="1" applyBorder="1" applyAlignment="1">
      <alignment vertical="center"/>
    </xf>
    <xf numFmtId="0" fontId="15" fillId="0" borderId="16" xfId="0" applyFont="1" applyBorder="1" applyAlignment="1">
      <alignment vertical="center"/>
    </xf>
    <xf numFmtId="0" fontId="15" fillId="0" borderId="8" xfId="0" applyFont="1" applyBorder="1" applyAlignment="1">
      <alignment vertical="center" wrapText="1"/>
    </xf>
    <xf numFmtId="0" fontId="15" fillId="0" borderId="109" xfId="0" applyFont="1" applyBorder="1" applyAlignment="1">
      <alignment vertical="center" wrapText="1"/>
    </xf>
    <xf numFmtId="0" fontId="15" fillId="0" borderId="10" xfId="0" applyFont="1" applyBorder="1" applyAlignment="1">
      <alignment vertical="center" wrapText="1"/>
    </xf>
    <xf numFmtId="0" fontId="0" fillId="0" borderId="17" xfId="0" applyBorder="1" applyAlignment="1">
      <alignment vertical="center" shrinkToFit="1"/>
    </xf>
    <xf numFmtId="0" fontId="0" fillId="0" borderId="16" xfId="0" applyBorder="1" applyAlignment="1">
      <alignment vertical="center" shrinkToFit="1"/>
    </xf>
    <xf numFmtId="0" fontId="0" fillId="0" borderId="17" xfId="0" applyBorder="1" applyAlignment="1">
      <alignment horizontal="left" vertical="center" shrinkToFit="1"/>
    </xf>
    <xf numFmtId="0" fontId="0" fillId="0" borderId="53" xfId="0" applyBorder="1" applyAlignment="1">
      <alignment horizontal="left" vertical="center" shrinkToFit="1"/>
    </xf>
    <xf numFmtId="0" fontId="0" fillId="0" borderId="16" xfId="0" applyBorder="1" applyAlignment="1">
      <alignment horizontal="left" vertical="center" shrinkToFit="1"/>
    </xf>
    <xf numFmtId="0" fontId="16" fillId="0" borderId="6" xfId="0" applyFont="1" applyBorder="1" applyAlignment="1">
      <alignment horizontal="distributed" vertical="center" justifyLastLine="1"/>
    </xf>
    <xf numFmtId="0" fontId="16" fillId="0" borderId="5" xfId="0" applyFont="1" applyBorder="1" applyAlignment="1">
      <alignment horizontal="distributed" vertical="center" justifyLastLine="1"/>
    </xf>
    <xf numFmtId="0" fontId="16" fillId="0" borderId="111" xfId="0" applyFont="1" applyBorder="1" applyAlignment="1">
      <alignment horizontal="distributed" vertical="center" justifyLastLine="1"/>
    </xf>
    <xf numFmtId="0" fontId="0" fillId="0" borderId="6" xfId="0" applyFill="1" applyBorder="1" applyAlignment="1">
      <alignment horizontal="center" vertical="center" wrapText="1" justifyLastLine="1"/>
    </xf>
    <xf numFmtId="0" fontId="0" fillId="0" borderId="5" xfId="0" applyFill="1" applyBorder="1" applyAlignment="1">
      <alignment horizontal="center" vertical="center" justifyLastLine="1"/>
    </xf>
    <xf numFmtId="0" fontId="0" fillId="0" borderId="111" xfId="0" applyFill="1" applyBorder="1" applyAlignment="1">
      <alignment horizontal="center" vertical="center" justifyLastLine="1"/>
    </xf>
    <xf numFmtId="0" fontId="0" fillId="0" borderId="58" xfId="0" applyFont="1" applyFill="1" applyBorder="1" applyAlignment="1">
      <alignment horizontal="center"/>
    </xf>
    <xf numFmtId="0" fontId="0" fillId="0" borderId="14" xfId="0" applyFont="1" applyFill="1" applyBorder="1" applyAlignment="1">
      <alignment horizontal="center"/>
    </xf>
    <xf numFmtId="0" fontId="0" fillId="0" borderId="87" xfId="0" applyFont="1" applyFill="1" applyBorder="1" applyAlignment="1">
      <alignment horizontal="center"/>
    </xf>
    <xf numFmtId="0" fontId="0" fillId="0" borderId="70" xfId="0" applyFont="1" applyFill="1" applyBorder="1" applyAlignment="1">
      <alignment horizontal="center"/>
    </xf>
    <xf numFmtId="0" fontId="0" fillId="0" borderId="0" xfId="0" applyFont="1" applyFill="1" applyAlignment="1">
      <alignment horizontal="distributed" vertical="center"/>
    </xf>
    <xf numFmtId="176" fontId="0" fillId="3" borderId="0" xfId="0" applyNumberFormat="1" applyFont="1" applyFill="1" applyAlignment="1">
      <alignment vertical="center" wrapText="1"/>
    </xf>
    <xf numFmtId="0" fontId="0" fillId="3" borderId="0" xfId="0" applyFont="1" applyFill="1" applyAlignment="1">
      <alignment vertical="center" wrapText="1"/>
    </xf>
    <xf numFmtId="0" fontId="0" fillId="0" borderId="15" xfId="0" applyFont="1" applyFill="1" applyBorder="1" applyAlignment="1">
      <alignment horizontal="center"/>
    </xf>
    <xf numFmtId="179" fontId="0" fillId="0" borderId="0" xfId="0" applyNumberFormat="1" applyFont="1" applyAlignment="1">
      <alignment horizontal="distributed"/>
    </xf>
    <xf numFmtId="179" fontId="0" fillId="0" borderId="14" xfId="0" applyNumberFormat="1" applyFont="1" applyFill="1" applyBorder="1" applyAlignment="1">
      <alignment horizontal="center" vertical="center"/>
    </xf>
    <xf numFmtId="179" fontId="0" fillId="0" borderId="87" xfId="0" applyNumberFormat="1" applyFont="1" applyFill="1" applyBorder="1" applyAlignment="1">
      <alignment horizontal="center" vertical="center"/>
    </xf>
    <xf numFmtId="179" fontId="0" fillId="0" borderId="70" xfId="0" applyNumberFormat="1" applyFont="1" applyFill="1" applyBorder="1" applyAlignment="1">
      <alignment horizontal="center" vertical="center"/>
    </xf>
    <xf numFmtId="179" fontId="0" fillId="0" borderId="72" xfId="0" applyNumberFormat="1" applyFont="1" applyFill="1" applyBorder="1" applyAlignment="1">
      <alignment horizontal="center" vertical="center"/>
    </xf>
    <xf numFmtId="179" fontId="0" fillId="0" borderId="86" xfId="0" applyNumberFormat="1" applyFont="1" applyFill="1" applyBorder="1" applyAlignment="1">
      <alignment horizontal="center" vertical="center"/>
    </xf>
    <xf numFmtId="179" fontId="0" fillId="0" borderId="71" xfId="0" applyNumberFormat="1" applyFont="1" applyFill="1" applyBorder="1" applyAlignment="1">
      <alignment horizontal="center" vertical="center"/>
    </xf>
    <xf numFmtId="0" fontId="0" fillId="0" borderId="58" xfId="0" applyFont="1" applyFill="1" applyBorder="1" applyAlignment="1">
      <alignment horizontal="center" vertical="center"/>
    </xf>
    <xf numFmtId="0" fontId="0" fillId="0" borderId="15" xfId="0" applyFont="1" applyFill="1" applyBorder="1" applyAlignment="1">
      <alignment horizontal="center" vertical="center"/>
    </xf>
    <xf numFmtId="0" fontId="0" fillId="0" borderId="0" xfId="0" applyFont="1" applyFill="1" applyAlignment="1">
      <alignment horizontal="distributed"/>
    </xf>
    <xf numFmtId="3" fontId="29" fillId="0" borderId="165" xfId="13" applyNumberFormat="1" applyFont="1" applyFill="1" applyBorder="1" applyAlignment="1">
      <alignment horizontal="right" vertical="center"/>
    </xf>
    <xf numFmtId="3" fontId="29" fillId="0" borderId="152" xfId="13" applyNumberFormat="1" applyFont="1" applyFill="1" applyBorder="1" applyAlignment="1">
      <alignment horizontal="right" vertical="center"/>
    </xf>
    <xf numFmtId="0" fontId="62" fillId="0" borderId="143" xfId="16" applyFont="1" applyFill="1" applyBorder="1" applyAlignment="1">
      <alignment horizontal="distributed" vertical="center"/>
    </xf>
    <xf numFmtId="0" fontId="62" fillId="0" borderId="136" xfId="16" applyFont="1" applyFill="1" applyBorder="1" applyAlignment="1">
      <alignment horizontal="distributed" vertical="center"/>
    </xf>
    <xf numFmtId="0" fontId="62" fillId="0" borderId="137" xfId="16" applyFont="1" applyFill="1" applyBorder="1" applyAlignment="1">
      <alignment horizontal="distributed" vertical="center"/>
    </xf>
    <xf numFmtId="0" fontId="62" fillId="0" borderId="295" xfId="16" applyFont="1" applyFill="1" applyBorder="1" applyAlignment="1">
      <alignment horizontal="distributed" vertical="center"/>
    </xf>
    <xf numFmtId="0" fontId="62" fillId="0" borderId="296" xfId="16" applyFont="1" applyFill="1" applyBorder="1" applyAlignment="1">
      <alignment horizontal="distributed" vertical="center"/>
    </xf>
    <xf numFmtId="0" fontId="62" fillId="0" borderId="297" xfId="16" applyFont="1" applyFill="1" applyBorder="1" applyAlignment="1">
      <alignment horizontal="distributed" vertical="center"/>
    </xf>
    <xf numFmtId="0" fontId="62" fillId="0" borderId="151" xfId="16" applyFont="1" applyFill="1" applyBorder="1" applyAlignment="1">
      <alignment horizontal="distributed" vertical="center"/>
    </xf>
    <xf numFmtId="0" fontId="62" fillId="0" borderId="152" xfId="16" applyFont="1" applyFill="1" applyBorder="1" applyAlignment="1">
      <alignment horizontal="distributed" vertical="center"/>
    </xf>
    <xf numFmtId="0" fontId="62" fillId="0" borderId="105" xfId="16" applyFont="1" applyFill="1" applyBorder="1" applyAlignment="1">
      <alignment horizontal="distributed" vertical="center"/>
    </xf>
    <xf numFmtId="0" fontId="62" fillId="0" borderId="0" xfId="16" applyFont="1" applyFill="1" applyBorder="1" applyAlignment="1">
      <alignment horizontal="right"/>
    </xf>
    <xf numFmtId="181" fontId="10" fillId="0" borderId="14" xfId="16" applyNumberFormat="1" applyFont="1" applyFill="1" applyBorder="1" applyAlignment="1">
      <alignment horizontal="center" vertical="center" wrapText="1"/>
    </xf>
    <xf numFmtId="181" fontId="10" fillId="0" borderId="72" xfId="16" applyNumberFormat="1" applyFont="1" applyFill="1" applyBorder="1" applyAlignment="1">
      <alignment horizontal="center" vertical="center" wrapText="1"/>
    </xf>
    <xf numFmtId="181" fontId="10" fillId="0" borderId="229" xfId="16" applyNumberFormat="1" applyFont="1" applyFill="1" applyBorder="1" applyAlignment="1">
      <alignment horizontal="center" vertical="center" wrapText="1"/>
    </xf>
    <xf numFmtId="181" fontId="10" fillId="0" borderId="231" xfId="16" applyNumberFormat="1" applyFont="1" applyFill="1" applyBorder="1" applyAlignment="1">
      <alignment horizontal="center" vertical="center" wrapText="1"/>
    </xf>
    <xf numFmtId="181" fontId="66" fillId="0" borderId="87" xfId="16" applyNumberFormat="1" applyFont="1" applyFill="1" applyBorder="1" applyAlignment="1">
      <alignment horizontal="center" vertical="center" wrapText="1"/>
    </xf>
    <xf numFmtId="181" fontId="66" fillId="0" borderId="86" xfId="16" applyNumberFormat="1" applyFont="1" applyFill="1" applyBorder="1" applyAlignment="1">
      <alignment horizontal="center" vertical="center" wrapText="1"/>
    </xf>
    <xf numFmtId="0" fontId="62" fillId="0" borderId="164" xfId="16" applyFont="1" applyFill="1" applyBorder="1" applyAlignment="1">
      <alignment horizontal="distributed" vertical="center"/>
    </xf>
    <xf numFmtId="0" fontId="62" fillId="0" borderId="165" xfId="16" applyFont="1" applyFill="1" applyBorder="1" applyAlignment="1">
      <alignment horizontal="distributed" vertical="center"/>
    </xf>
    <xf numFmtId="0" fontId="62" fillId="0" borderId="294" xfId="16" applyFont="1" applyFill="1" applyBorder="1" applyAlignment="1">
      <alignment horizontal="distributed" vertical="center"/>
    </xf>
    <xf numFmtId="181" fontId="10" fillId="0" borderId="15" xfId="16" applyNumberFormat="1" applyFont="1" applyFill="1" applyBorder="1" applyAlignment="1">
      <alignment horizontal="center" vertical="center" wrapText="1"/>
    </xf>
    <xf numFmtId="181" fontId="10" fillId="0" borderId="58" xfId="16" applyNumberFormat="1" applyFont="1" applyFill="1" applyBorder="1" applyAlignment="1">
      <alignment horizontal="center" vertical="center" wrapText="1"/>
    </xf>
    <xf numFmtId="181" fontId="62" fillId="0" borderId="164" xfId="16" applyNumberFormat="1" applyFont="1" applyFill="1" applyBorder="1" applyAlignment="1">
      <alignment horizontal="distributed" vertical="center"/>
    </xf>
    <xf numFmtId="181" fontId="62" fillId="0" borderId="165" xfId="16" applyNumberFormat="1" applyFont="1" applyFill="1" applyBorder="1" applyAlignment="1">
      <alignment horizontal="distributed" vertical="center"/>
    </xf>
    <xf numFmtId="181" fontId="62" fillId="0" borderId="283" xfId="16" applyNumberFormat="1" applyFont="1" applyFill="1" applyBorder="1" applyAlignment="1">
      <alignment horizontal="distributed" vertical="center"/>
    </xf>
    <xf numFmtId="181" fontId="62" fillId="0" borderId="182" xfId="16" applyNumberFormat="1" applyFont="1" applyFill="1" applyBorder="1" applyAlignment="1">
      <alignment horizontal="distributed" vertical="center"/>
    </xf>
    <xf numFmtId="0" fontId="62" fillId="0" borderId="182" xfId="16" applyFont="1" applyFill="1" applyBorder="1" applyAlignment="1">
      <alignment horizontal="distributed" vertical="center"/>
    </xf>
    <xf numFmtId="0" fontId="62" fillId="0" borderId="282" xfId="16" applyFont="1" applyFill="1" applyBorder="1" applyAlignment="1">
      <alignment horizontal="distributed" vertical="center"/>
    </xf>
    <xf numFmtId="0" fontId="62" fillId="0" borderId="183" xfId="16" applyFont="1" applyFill="1" applyBorder="1" applyAlignment="1">
      <alignment horizontal="distributed" vertical="center"/>
    </xf>
    <xf numFmtId="0" fontId="62" fillId="0" borderId="291" xfId="16" applyFont="1" applyFill="1" applyBorder="1" applyAlignment="1">
      <alignment horizontal="distributed" vertical="center"/>
    </xf>
    <xf numFmtId="0" fontId="62" fillId="0" borderId="292" xfId="16" applyFont="1" applyFill="1" applyBorder="1" applyAlignment="1">
      <alignment horizontal="distributed" vertical="center"/>
    </xf>
    <xf numFmtId="0" fontId="62" fillId="0" borderId="293" xfId="16" applyFont="1" applyFill="1" applyBorder="1" applyAlignment="1">
      <alignment horizontal="distributed" vertical="center"/>
    </xf>
    <xf numFmtId="181" fontId="10" fillId="0" borderId="14" xfId="16" applyNumberFormat="1" applyFont="1" applyBorder="1" applyAlignment="1">
      <alignment horizontal="center" vertical="center"/>
    </xf>
    <xf numFmtId="181" fontId="10" fillId="0" borderId="87" xfId="16" applyNumberFormat="1" applyFont="1" applyBorder="1" applyAlignment="1">
      <alignment horizontal="center" vertical="center"/>
    </xf>
    <xf numFmtId="181" fontId="10" fillId="0" borderId="52" xfId="16" applyNumberFormat="1" applyFont="1" applyBorder="1" applyAlignment="1">
      <alignment horizontal="center" vertical="center"/>
    </xf>
    <xf numFmtId="181" fontId="10" fillId="0" borderId="0" xfId="16" applyNumberFormat="1" applyFont="1" applyBorder="1" applyAlignment="1">
      <alignment horizontal="center" vertical="center"/>
    </xf>
    <xf numFmtId="181" fontId="10" fillId="0" borderId="72" xfId="16" applyNumberFormat="1" applyFont="1" applyBorder="1" applyAlignment="1">
      <alignment horizontal="center" vertical="center"/>
    </xf>
    <xf numFmtId="181" fontId="10" fillId="0" borderId="86" xfId="16" applyNumberFormat="1" applyFont="1" applyBorder="1" applyAlignment="1">
      <alignment horizontal="center" vertical="center"/>
    </xf>
    <xf numFmtId="0" fontId="69" fillId="0" borderId="0" xfId="16" applyFont="1" applyAlignment="1">
      <alignment horizontal="center" vertical="center"/>
    </xf>
    <xf numFmtId="181" fontId="62" fillId="0" borderId="161" xfId="16" applyNumberFormat="1" applyFont="1" applyFill="1" applyBorder="1" applyAlignment="1">
      <alignment horizontal="distributed" vertical="center"/>
    </xf>
    <xf numFmtId="181" fontId="62" fillId="0" borderId="263" xfId="16" applyNumberFormat="1" applyFont="1" applyFill="1" applyBorder="1" applyAlignment="1">
      <alignment horizontal="distributed" vertical="center"/>
    </xf>
    <xf numFmtId="181" fontId="62" fillId="0" borderId="166" xfId="16" applyNumberFormat="1" applyFont="1" applyFill="1" applyBorder="1" applyAlignment="1">
      <alignment horizontal="distributed" vertical="center"/>
    </xf>
    <xf numFmtId="181" fontId="62" fillId="0" borderId="167" xfId="16" applyNumberFormat="1" applyFont="1" applyFill="1" applyBorder="1" applyAlignment="1">
      <alignment horizontal="distributed" vertical="center"/>
    </xf>
    <xf numFmtId="181" fontId="62" fillId="0" borderId="264" xfId="16" applyNumberFormat="1" applyFont="1" applyFill="1" applyBorder="1" applyAlignment="1">
      <alignment horizontal="distributed" vertical="center"/>
    </xf>
    <xf numFmtId="181" fontId="62" fillId="0" borderId="143" xfId="16" applyNumberFormat="1" applyFont="1" applyFill="1" applyBorder="1" applyAlignment="1">
      <alignment horizontal="distributed" vertical="center"/>
    </xf>
    <xf numFmtId="181" fontId="62" fillId="0" borderId="136" xfId="16" applyNumberFormat="1" applyFont="1" applyFill="1" applyBorder="1" applyAlignment="1">
      <alignment horizontal="distributed" vertical="center"/>
    </xf>
    <xf numFmtId="181" fontId="62" fillId="0" borderId="219" xfId="16" applyNumberFormat="1" applyFont="1" applyFill="1" applyBorder="1" applyAlignment="1">
      <alignment horizontal="distributed" vertical="center"/>
    </xf>
    <xf numFmtId="181" fontId="10" fillId="0" borderId="309" xfId="16" applyNumberFormat="1" applyFont="1" applyFill="1" applyBorder="1" applyAlignment="1">
      <alignment horizontal="center" vertical="center" wrapText="1"/>
    </xf>
    <xf numFmtId="181" fontId="10" fillId="0" borderId="307" xfId="16" applyNumberFormat="1" applyFont="1" applyFill="1" applyBorder="1" applyAlignment="1">
      <alignment horizontal="center" vertical="center" wrapText="1"/>
    </xf>
    <xf numFmtId="181" fontId="62" fillId="0" borderId="176" xfId="16" applyNumberFormat="1" applyFont="1" applyFill="1" applyBorder="1" applyAlignment="1">
      <alignment horizontal="distributed" vertical="center"/>
    </xf>
    <xf numFmtId="181" fontId="62" fillId="0" borderId="153" xfId="16" applyNumberFormat="1" applyFont="1" applyFill="1" applyBorder="1" applyAlignment="1">
      <alignment horizontal="distributed" vertical="center"/>
    </xf>
    <xf numFmtId="181" fontId="62" fillId="0" borderId="177" xfId="16" applyNumberFormat="1" applyFont="1" applyFill="1" applyBorder="1" applyAlignment="1">
      <alignment horizontal="distributed" vertical="center"/>
    </xf>
    <xf numFmtId="181" fontId="10" fillId="0" borderId="17" xfId="16" applyNumberFormat="1" applyFont="1" applyFill="1" applyBorder="1" applyAlignment="1">
      <alignment horizontal="distributed" vertical="center"/>
    </xf>
    <xf numFmtId="181" fontId="10" fillId="0" borderId="53" xfId="16" applyNumberFormat="1" applyFont="1" applyFill="1" applyBorder="1" applyAlignment="1">
      <alignment horizontal="distributed" vertical="center"/>
    </xf>
    <xf numFmtId="181" fontId="10" fillId="0" borderId="16" xfId="16" applyNumberFormat="1" applyFont="1" applyFill="1" applyBorder="1" applyAlignment="1">
      <alignment horizontal="distributed" vertical="center"/>
    </xf>
    <xf numFmtId="181" fontId="62" fillId="0" borderId="17" xfId="16" applyNumberFormat="1" applyFont="1" applyFill="1" applyBorder="1" applyAlignment="1">
      <alignment horizontal="distributed" vertical="center"/>
    </xf>
    <xf numFmtId="181" fontId="62" fillId="0" borderId="53" xfId="16" applyNumberFormat="1" applyFont="1" applyFill="1" applyBorder="1" applyAlignment="1">
      <alignment horizontal="distributed" vertical="center"/>
    </xf>
    <xf numFmtId="181" fontId="62" fillId="0" borderId="16" xfId="16" applyNumberFormat="1" applyFont="1" applyFill="1" applyBorder="1" applyAlignment="1">
      <alignment horizontal="distributed" vertical="center"/>
    </xf>
    <xf numFmtId="0" fontId="10" fillId="0" borderId="15" xfId="16" applyFont="1" applyFill="1" applyBorder="1" applyAlignment="1">
      <alignment horizontal="center" vertical="center" wrapText="1"/>
    </xf>
    <xf numFmtId="0" fontId="10" fillId="0" borderId="58" xfId="16" applyFont="1" applyFill="1" applyBorder="1" applyAlignment="1">
      <alignment horizontal="center" vertical="center"/>
    </xf>
    <xf numFmtId="181" fontId="62" fillId="0" borderId="107" xfId="16" applyNumberFormat="1" applyFont="1" applyFill="1" applyBorder="1" applyAlignment="1">
      <alignment horizontal="distributed" vertical="center"/>
    </xf>
    <xf numFmtId="181" fontId="62" fillId="0" borderId="145" xfId="16" applyNumberFormat="1" applyFont="1" applyFill="1" applyBorder="1" applyAlignment="1">
      <alignment horizontal="distributed" vertical="center"/>
    </xf>
    <xf numFmtId="181" fontId="62" fillId="0" borderId="106" xfId="16" applyNumberFormat="1" applyFont="1" applyFill="1" applyBorder="1" applyAlignment="1">
      <alignment horizontal="distributed" vertical="center"/>
    </xf>
    <xf numFmtId="181" fontId="62" fillId="0" borderId="195" xfId="16" applyNumberFormat="1" applyFont="1" applyFill="1" applyBorder="1" applyAlignment="1">
      <alignment horizontal="distributed" vertical="center"/>
    </xf>
    <xf numFmtId="181" fontId="62" fillId="0" borderId="137" xfId="16" applyNumberFormat="1" applyFont="1" applyFill="1" applyBorder="1" applyAlignment="1">
      <alignment horizontal="distributed" vertical="center"/>
    </xf>
    <xf numFmtId="181" fontId="62" fillId="0" borderId="289" xfId="16" applyNumberFormat="1" applyFont="1" applyFill="1" applyBorder="1" applyAlignment="1">
      <alignment horizontal="distributed" vertical="center"/>
    </xf>
    <xf numFmtId="0" fontId="63" fillId="12" borderId="280" xfId="16" applyNumberFormat="1" applyFont="1" applyFill="1" applyBorder="1" applyAlignment="1">
      <alignment horizontal="center" vertical="center"/>
    </xf>
    <xf numFmtId="0" fontId="63" fillId="12" borderId="281" xfId="16" applyNumberFormat="1" applyFont="1" applyFill="1" applyBorder="1" applyAlignment="1">
      <alignment horizontal="center" vertical="center"/>
    </xf>
    <xf numFmtId="181" fontId="10" fillId="0" borderId="14" xfId="16" applyNumberFormat="1" applyFont="1" applyFill="1" applyBorder="1" applyAlignment="1">
      <alignment horizontal="center" vertical="center"/>
    </xf>
    <xf numFmtId="181" fontId="10" fillId="0" borderId="87" xfId="16" applyNumberFormat="1" applyFont="1" applyFill="1" applyBorder="1" applyAlignment="1">
      <alignment horizontal="center" vertical="center"/>
    </xf>
    <xf numFmtId="181" fontId="10" fillId="0" borderId="70" xfId="16" applyNumberFormat="1" applyFont="1" applyFill="1" applyBorder="1" applyAlignment="1">
      <alignment horizontal="center" vertical="center"/>
    </xf>
    <xf numFmtId="181" fontId="10" fillId="0" borderId="52" xfId="16" applyNumberFormat="1" applyFont="1" applyFill="1" applyBorder="1" applyAlignment="1">
      <alignment horizontal="center" vertical="center"/>
    </xf>
    <xf numFmtId="181" fontId="10" fillId="0" borderId="0" xfId="16" applyNumberFormat="1" applyFont="1" applyFill="1" applyBorder="1" applyAlignment="1">
      <alignment horizontal="center" vertical="center"/>
    </xf>
    <xf numFmtId="181" fontId="10" fillId="0" borderId="36" xfId="16" applyNumberFormat="1" applyFont="1" applyFill="1" applyBorder="1" applyAlignment="1">
      <alignment horizontal="center" vertical="center"/>
    </xf>
    <xf numFmtId="181" fontId="10" fillId="0" borderId="72" xfId="16" applyNumberFormat="1" applyFont="1" applyFill="1" applyBorder="1" applyAlignment="1">
      <alignment horizontal="center" vertical="center"/>
    </xf>
    <xf numFmtId="181" fontId="10" fillId="0" borderId="86" xfId="16" applyNumberFormat="1" applyFont="1" applyFill="1" applyBorder="1" applyAlignment="1">
      <alignment horizontal="center" vertical="center"/>
    </xf>
    <xf numFmtId="181" fontId="10" fillId="0" borderId="71" xfId="16" applyNumberFormat="1" applyFont="1" applyFill="1" applyBorder="1" applyAlignment="1">
      <alignment horizontal="center" vertical="center"/>
    </xf>
    <xf numFmtId="181" fontId="10" fillId="0" borderId="87" xfId="16" applyNumberFormat="1" applyFont="1" applyFill="1" applyBorder="1" applyAlignment="1">
      <alignment horizontal="center" vertical="center" wrapText="1"/>
    </xf>
    <xf numFmtId="181" fontId="10" fillId="0" borderId="86" xfId="16" applyNumberFormat="1" applyFont="1" applyFill="1" applyBorder="1" applyAlignment="1">
      <alignment horizontal="center" vertical="center" wrapText="1"/>
    </xf>
    <xf numFmtId="181" fontId="42" fillId="0" borderId="18" xfId="9" applyNumberFormat="1" applyFont="1" applyBorder="1" applyAlignment="1">
      <alignment horizontal="distributed" vertical="center" justifyLastLine="1"/>
    </xf>
    <xf numFmtId="181" fontId="42" fillId="0" borderId="0" xfId="9" applyNumberFormat="1" applyFont="1" applyBorder="1" applyAlignment="1">
      <alignment horizontal="distributed" vertical="center" justifyLastLine="1"/>
    </xf>
    <xf numFmtId="181" fontId="42" fillId="0" borderId="77" xfId="9" applyNumberFormat="1" applyFont="1" applyBorder="1" applyAlignment="1">
      <alignment horizontal="distributed" vertical="center" justifyLastLine="1"/>
    </xf>
    <xf numFmtId="181" fontId="42" fillId="0" borderId="136" xfId="9" applyNumberFormat="1" applyFont="1" applyBorder="1" applyAlignment="1">
      <alignment horizontal="distributed" vertical="center" shrinkToFit="1"/>
    </xf>
    <xf numFmtId="181" fontId="42" fillId="0" borderId="137" xfId="9" applyNumberFormat="1" applyFont="1" applyBorder="1" applyAlignment="1">
      <alignment horizontal="distributed" vertical="center" shrinkToFit="1"/>
    </xf>
    <xf numFmtId="181" fontId="42" fillId="0" borderId="131" xfId="9" applyNumberFormat="1" applyFont="1" applyBorder="1" applyAlignment="1">
      <alignment horizontal="distributed" vertical="center" shrinkToFit="1"/>
    </xf>
    <xf numFmtId="181" fontId="42" fillId="0" borderId="128" xfId="9" applyNumberFormat="1" applyFont="1" applyBorder="1" applyAlignment="1">
      <alignment horizontal="distributed" vertical="center" shrinkToFit="1"/>
    </xf>
    <xf numFmtId="181" fontId="42" fillId="0" borderId="129" xfId="9" applyNumberFormat="1" applyFont="1" applyBorder="1" applyAlignment="1">
      <alignment horizontal="distributed" vertical="center" shrinkToFit="1"/>
    </xf>
    <xf numFmtId="181" fontId="42" fillId="15" borderId="136" xfId="9" applyNumberFormat="1" applyFont="1" applyFill="1" applyBorder="1" applyAlignment="1">
      <alignment horizontal="distributed" vertical="center" shrinkToFit="1"/>
    </xf>
    <xf numFmtId="181" fontId="42" fillId="15" borderId="137" xfId="9" applyNumberFormat="1" applyFont="1" applyFill="1" applyBorder="1" applyAlignment="1">
      <alignment horizontal="distributed" vertical="center" shrinkToFit="1"/>
    </xf>
    <xf numFmtId="181" fontId="42" fillId="0" borderId="144" xfId="9" applyNumberFormat="1" applyFont="1" applyBorder="1" applyAlignment="1">
      <alignment horizontal="distributed" vertical="center" shrinkToFit="1"/>
    </xf>
    <xf numFmtId="181" fontId="42" fillId="0" borderId="108" xfId="9" applyNumberFormat="1" applyFont="1" applyBorder="1" applyAlignment="1">
      <alignment horizontal="distributed" vertical="center" shrinkToFit="1"/>
    </xf>
    <xf numFmtId="181" fontId="42" fillId="0" borderId="186" xfId="9" applyNumberFormat="1" applyFont="1" applyBorder="1" applyAlignment="1">
      <alignment horizontal="distributed" vertical="center" shrinkToFit="1"/>
    </xf>
    <xf numFmtId="181" fontId="42" fillId="0" borderId="198" xfId="9" applyNumberFormat="1" applyFont="1" applyBorder="1" applyAlignment="1">
      <alignment horizontal="distributed" vertical="center" shrinkToFit="1"/>
    </xf>
    <xf numFmtId="181" fontId="42" fillId="0" borderId="188" xfId="9" applyNumberFormat="1" applyFont="1" applyBorder="1" applyAlignment="1">
      <alignment horizontal="center" vertical="center" shrinkToFit="1"/>
    </xf>
    <xf numFmtId="181" fontId="42" fillId="0" borderId="189" xfId="9" applyNumberFormat="1" applyFont="1" applyBorder="1" applyAlignment="1">
      <alignment horizontal="center" vertical="center" shrinkToFit="1"/>
    </xf>
    <xf numFmtId="181" fontId="42" fillId="0" borderId="217" xfId="9" applyNumberFormat="1" applyFont="1" applyBorder="1" applyAlignment="1">
      <alignment horizontal="center" vertical="center" shrinkToFit="1"/>
    </xf>
    <xf numFmtId="181" fontId="42" fillId="0" borderId="170" xfId="9" applyNumberFormat="1" applyFont="1" applyBorder="1" applyAlignment="1">
      <alignment horizontal="distributed" vertical="center" shrinkToFit="1"/>
    </xf>
    <xf numFmtId="181" fontId="42" fillId="0" borderId="201" xfId="9" applyNumberFormat="1" applyFont="1" applyBorder="1" applyAlignment="1">
      <alignment horizontal="distributed" vertical="center" shrinkToFit="1"/>
    </xf>
    <xf numFmtId="181" fontId="42" fillId="0" borderId="171" xfId="9" applyNumberFormat="1" applyFont="1" applyBorder="1" applyAlignment="1">
      <alignment horizontal="distributed" vertical="center" shrinkToFit="1"/>
    </xf>
    <xf numFmtId="181" fontId="42" fillId="0" borderId="174" xfId="9" applyNumberFormat="1" applyFont="1" applyBorder="1" applyAlignment="1">
      <alignment horizontal="distributed" vertical="center" shrinkToFit="1"/>
    </xf>
    <xf numFmtId="181" fontId="45" fillId="0" borderId="137" xfId="9" applyNumberFormat="1" applyFont="1" applyBorder="1" applyAlignment="1">
      <alignment horizontal="distributed" vertical="center" shrinkToFit="1"/>
    </xf>
    <xf numFmtId="181" fontId="45" fillId="0" borderId="174" xfId="9" applyNumberFormat="1" applyFont="1" applyBorder="1" applyAlignment="1">
      <alignment horizontal="distributed" vertical="center" shrinkToFit="1"/>
    </xf>
    <xf numFmtId="0" fontId="42" fillId="0" borderId="176" xfId="9" applyFont="1" applyBorder="1" applyAlignment="1">
      <alignment horizontal="distributed" vertical="center"/>
    </xf>
    <xf numFmtId="0" fontId="42" fillId="0" borderId="153" xfId="9" applyFont="1" applyBorder="1" applyAlignment="1">
      <alignment horizontal="distributed" vertical="center"/>
    </xf>
    <xf numFmtId="0" fontId="42" fillId="0" borderId="177" xfId="9" applyFont="1" applyBorder="1" applyAlignment="1">
      <alignment horizontal="distributed" vertical="center"/>
    </xf>
    <xf numFmtId="181" fontId="42" fillId="0" borderId="6" xfId="9" applyNumberFormat="1" applyFont="1" applyBorder="1" applyAlignment="1">
      <alignment horizontal="distributed" vertical="center" shrinkToFit="1"/>
    </xf>
    <xf numFmtId="181" fontId="42" fillId="0" borderId="5" xfId="9" applyNumberFormat="1" applyFont="1" applyBorder="1" applyAlignment="1">
      <alignment horizontal="distributed" vertical="center" shrinkToFit="1"/>
    </xf>
    <xf numFmtId="181" fontId="42" fillId="0" borderId="75" xfId="9" applyNumberFormat="1" applyFont="1" applyBorder="1" applyAlignment="1">
      <alignment horizontal="distributed" vertical="center" shrinkToFit="1"/>
    </xf>
    <xf numFmtId="0" fontId="42" fillId="0" borderId="127" xfId="9" applyFont="1" applyBorder="1" applyAlignment="1">
      <alignment horizontal="distributed" vertical="center"/>
    </xf>
    <xf numFmtId="0" fontId="42" fillId="0" borderId="128" xfId="9" applyFont="1" applyBorder="1" applyAlignment="1">
      <alignment horizontal="distributed" vertical="center"/>
    </xf>
    <xf numFmtId="0" fontId="42" fillId="0" borderId="218" xfId="9" applyFont="1" applyBorder="1" applyAlignment="1">
      <alignment horizontal="distributed" vertical="center"/>
    </xf>
    <xf numFmtId="0" fontId="42" fillId="0" borderId="0" xfId="9" applyFont="1" applyBorder="1" applyAlignment="1">
      <alignment horizontal="center"/>
    </xf>
    <xf numFmtId="181" fontId="45" fillId="0" borderId="137" xfId="9" applyNumberFormat="1" applyFont="1" applyBorder="1" applyAlignment="1">
      <alignment horizontal="distributed" vertical="center"/>
    </xf>
    <xf numFmtId="0" fontId="45" fillId="0" borderId="174" xfId="9" applyFont="1" applyBorder="1" applyAlignment="1">
      <alignment horizontal="distributed" vertical="center"/>
    </xf>
    <xf numFmtId="181" fontId="45" fillId="0" borderId="178" xfId="9" applyNumberFormat="1" applyFont="1" applyBorder="1" applyAlignment="1">
      <alignment horizontal="distributed" vertical="center"/>
    </xf>
    <xf numFmtId="181" fontId="45" fillId="0" borderId="161" xfId="9" applyNumberFormat="1" applyFont="1" applyBorder="1" applyAlignment="1">
      <alignment horizontal="distributed" vertical="center"/>
    </xf>
    <xf numFmtId="181" fontId="45" fillId="0" borderId="179" xfId="9" applyNumberFormat="1" applyFont="1" applyBorder="1" applyAlignment="1">
      <alignment horizontal="distributed" vertical="center"/>
    </xf>
    <xf numFmtId="181" fontId="45" fillId="0" borderId="167" xfId="9" applyNumberFormat="1" applyFont="1" applyBorder="1" applyAlignment="1">
      <alignment horizontal="distributed" vertical="center"/>
    </xf>
    <xf numFmtId="181" fontId="45" fillId="0" borderId="168" xfId="9" applyNumberFormat="1" applyFont="1" applyBorder="1" applyAlignment="1">
      <alignment horizontal="distributed" vertical="center"/>
    </xf>
    <xf numFmtId="181" fontId="45" fillId="0" borderId="136" xfId="9" applyNumberFormat="1" applyFont="1" applyBorder="1" applyAlignment="1">
      <alignment horizontal="distributed" vertical="center"/>
    </xf>
    <xf numFmtId="181" fontId="45" fillId="0" borderId="142" xfId="9" applyNumberFormat="1" applyFont="1" applyBorder="1" applyAlignment="1">
      <alignment horizontal="distributed" vertical="center"/>
    </xf>
    <xf numFmtId="181" fontId="45" fillId="0" borderId="144" xfId="9" applyNumberFormat="1" applyFont="1" applyBorder="1" applyAlignment="1">
      <alignment horizontal="distributed" vertical="center"/>
    </xf>
    <xf numFmtId="181" fontId="45" fillId="0" borderId="150" xfId="9" applyNumberFormat="1" applyFont="1" applyBorder="1" applyAlignment="1">
      <alignment horizontal="distributed" vertical="center"/>
    </xf>
    <xf numFmtId="181" fontId="45" fillId="0" borderId="186" xfId="9" applyNumberFormat="1" applyFont="1" applyBorder="1" applyAlignment="1">
      <alignment horizontal="distributed" vertical="center"/>
    </xf>
    <xf numFmtId="181" fontId="45" fillId="0" borderId="158" xfId="9" applyNumberFormat="1" applyFont="1" applyBorder="1" applyAlignment="1">
      <alignment horizontal="distributed" vertical="center"/>
    </xf>
    <xf numFmtId="181" fontId="45" fillId="0" borderId="188" xfId="9" applyNumberFormat="1" applyFont="1" applyBorder="1" applyAlignment="1">
      <alignment horizontal="distributed" vertical="center"/>
    </xf>
    <xf numFmtId="181" fontId="45" fillId="0" borderId="189" xfId="9" applyNumberFormat="1" applyFont="1" applyBorder="1" applyAlignment="1">
      <alignment horizontal="distributed" vertical="center"/>
    </xf>
    <xf numFmtId="181" fontId="45" fillId="0" borderId="163" xfId="9" applyNumberFormat="1" applyFont="1" applyBorder="1" applyAlignment="1">
      <alignment horizontal="distributed" vertical="center"/>
    </xf>
    <xf numFmtId="181" fontId="45" fillId="0" borderId="191" xfId="9" applyNumberFormat="1" applyFont="1" applyBorder="1" applyAlignment="1">
      <alignment horizontal="distributed" vertical="center"/>
    </xf>
    <xf numFmtId="181" fontId="45" fillId="0" borderId="192" xfId="9" applyNumberFormat="1" applyFont="1" applyBorder="1" applyAlignment="1">
      <alignment horizontal="distributed" vertical="center"/>
    </xf>
    <xf numFmtId="181" fontId="45" fillId="0" borderId="193" xfId="9" applyNumberFormat="1" applyFont="1" applyBorder="1" applyAlignment="1">
      <alignment horizontal="distributed" vertical="center"/>
    </xf>
    <xf numFmtId="181" fontId="45" fillId="0" borderId="195" xfId="9" applyNumberFormat="1" applyFont="1" applyBorder="1" applyAlignment="1">
      <alignment horizontal="distributed" vertical="center"/>
    </xf>
    <xf numFmtId="0" fontId="45" fillId="0" borderId="182" xfId="9" applyFont="1" applyBorder="1" applyAlignment="1">
      <alignment horizontal="distributed" vertical="center"/>
    </xf>
    <xf numFmtId="0" fontId="45" fillId="0" borderId="124" xfId="9" applyFont="1" applyBorder="1" applyAlignment="1">
      <alignment horizontal="distributed" vertical="center"/>
    </xf>
    <xf numFmtId="0" fontId="45" fillId="0" borderId="6" xfId="9" applyFont="1" applyFill="1" applyBorder="1" applyAlignment="1">
      <alignment horizontal="distributed" vertical="center"/>
    </xf>
    <xf numFmtId="0" fontId="45" fillId="0" borderId="5" xfId="9" applyFont="1" applyFill="1" applyBorder="1" applyAlignment="1">
      <alignment horizontal="distributed" vertical="center"/>
    </xf>
    <xf numFmtId="0" fontId="45" fillId="0" borderId="75" xfId="9" applyFont="1" applyFill="1" applyBorder="1" applyAlignment="1">
      <alignment horizontal="distributed" vertical="center"/>
    </xf>
    <xf numFmtId="0" fontId="45" fillId="0" borderId="137" xfId="9" applyFont="1" applyBorder="1" applyAlignment="1">
      <alignment horizontal="distributed" vertical="center"/>
    </xf>
    <xf numFmtId="0" fontId="45" fillId="0" borderId="183" xfId="9" applyFont="1" applyBorder="1" applyAlignment="1">
      <alignment horizontal="distributed" vertical="center"/>
    </xf>
    <xf numFmtId="181" fontId="45" fillId="0" borderId="198" xfId="9" applyNumberFormat="1" applyFont="1" applyBorder="1" applyAlignment="1">
      <alignment horizontal="distributed" vertical="center"/>
    </xf>
    <xf numFmtId="0" fontId="45" fillId="0" borderId="175" xfId="9" applyFont="1" applyBorder="1" applyAlignment="1">
      <alignment horizontal="distributed" vertical="center"/>
    </xf>
    <xf numFmtId="0" fontId="45" fillId="0" borderId="129" xfId="9" applyFont="1" applyBorder="1" applyAlignment="1">
      <alignment horizontal="distributed" vertical="center"/>
    </xf>
    <xf numFmtId="0" fontId="45" fillId="0" borderId="103" xfId="9" applyFont="1" applyBorder="1" applyAlignment="1">
      <alignment horizontal="distributed" vertical="center"/>
    </xf>
    <xf numFmtId="0" fontId="45" fillId="0" borderId="199" xfId="9" applyFont="1" applyBorder="1" applyAlignment="1">
      <alignment horizontal="distributed" vertical="center"/>
    </xf>
    <xf numFmtId="0" fontId="45" fillId="0" borderId="200" xfId="9" applyFont="1" applyBorder="1" applyAlignment="1">
      <alignment horizontal="distributed" vertical="center"/>
    </xf>
    <xf numFmtId="0" fontId="45" fillId="0" borderId="11" xfId="9" applyFont="1" applyBorder="1" applyAlignment="1">
      <alignment horizontal="distributed" vertical="center"/>
    </xf>
    <xf numFmtId="0" fontId="45" fillId="0" borderId="76" xfId="9" applyFont="1" applyBorder="1" applyAlignment="1">
      <alignment horizontal="distributed" vertical="center"/>
    </xf>
    <xf numFmtId="0" fontId="45" fillId="0" borderId="6" xfId="9" applyFont="1" applyBorder="1" applyAlignment="1">
      <alignment horizontal="distributed" vertical="center"/>
    </xf>
    <xf numFmtId="0" fontId="45" fillId="0" borderId="5" xfId="9" applyFont="1" applyBorder="1" applyAlignment="1">
      <alignment horizontal="distributed" vertical="center"/>
    </xf>
    <xf numFmtId="0" fontId="45" fillId="0" borderId="75" xfId="9" applyFont="1" applyBorder="1" applyAlignment="1">
      <alignment horizontal="distributed" vertical="center"/>
    </xf>
    <xf numFmtId="0" fontId="45" fillId="0" borderId="186" xfId="9" applyFont="1" applyFill="1" applyBorder="1" applyAlignment="1">
      <alignment horizontal="distributed" vertical="center"/>
    </xf>
    <xf numFmtId="0" fontId="45" fillId="0" borderId="158" xfId="9" applyFont="1" applyFill="1" applyBorder="1" applyAlignment="1">
      <alignment horizontal="distributed" vertical="center"/>
    </xf>
    <xf numFmtId="0" fontId="45" fillId="0" borderId="170" xfId="9" applyFont="1" applyBorder="1" applyAlignment="1">
      <alignment horizontal="distributed" vertical="center"/>
    </xf>
    <xf numFmtId="0" fontId="45" fillId="0" borderId="201" xfId="9" applyFont="1" applyBorder="1" applyAlignment="1">
      <alignment horizontal="distributed" vertical="center"/>
    </xf>
    <xf numFmtId="0" fontId="45" fillId="0" borderId="171" xfId="9" applyFont="1" applyBorder="1" applyAlignment="1">
      <alignment horizontal="distributed" vertical="center"/>
    </xf>
    <xf numFmtId="0" fontId="45" fillId="0" borderId="136" xfId="9" applyFont="1" applyBorder="1" applyAlignment="1">
      <alignment horizontal="distributed" vertical="center"/>
    </xf>
    <xf numFmtId="0" fontId="45" fillId="0" borderId="142" xfId="9" applyFont="1" applyBorder="1" applyAlignment="1">
      <alignment horizontal="distributed" vertical="center"/>
    </xf>
    <xf numFmtId="0" fontId="45" fillId="0" borderId="136" xfId="9" applyFont="1" applyFill="1" applyBorder="1" applyAlignment="1">
      <alignment horizontal="distributed" vertical="center"/>
    </xf>
    <xf numFmtId="0" fontId="45" fillId="0" borderId="142" xfId="9" applyFont="1" applyFill="1" applyBorder="1" applyAlignment="1">
      <alignment horizontal="distributed" vertical="center"/>
    </xf>
    <xf numFmtId="0" fontId="45" fillId="0" borderId="144" xfId="9" applyFont="1" applyFill="1" applyBorder="1" applyAlignment="1">
      <alignment horizontal="distributed" vertical="center"/>
    </xf>
    <xf numFmtId="0" fontId="45" fillId="0" borderId="150" xfId="9" applyFont="1" applyFill="1" applyBorder="1" applyAlignment="1">
      <alignment horizontal="distributed" vertical="center"/>
    </xf>
    <xf numFmtId="0" fontId="45" fillId="0" borderId="137" xfId="9" applyFont="1" applyFill="1" applyBorder="1" applyAlignment="1">
      <alignment horizontal="distributed" vertical="center"/>
    </xf>
    <xf numFmtId="0" fontId="45" fillId="0" borderId="183" xfId="9" applyFont="1" applyFill="1" applyBorder="1" applyAlignment="1">
      <alignment horizontal="distributed" vertical="center"/>
    </xf>
    <xf numFmtId="0" fontId="45" fillId="0" borderId="174" xfId="9" applyFont="1" applyFill="1" applyBorder="1" applyAlignment="1">
      <alignment horizontal="distributed" vertical="center"/>
    </xf>
    <xf numFmtId="0" fontId="42" fillId="0" borderId="11" xfId="9" applyFont="1" applyBorder="1" applyAlignment="1">
      <alignment horizontal="center"/>
    </xf>
    <xf numFmtId="181" fontId="42" fillId="0" borderId="24" xfId="9" applyNumberFormat="1" applyFont="1" applyBorder="1" applyAlignment="1">
      <alignment horizontal="center" vertical="center"/>
    </xf>
    <xf numFmtId="181" fontId="42" fillId="0" borderId="23" xfId="9" applyNumberFormat="1" applyFont="1" applyBorder="1" applyAlignment="1">
      <alignment horizontal="center" vertical="center"/>
    </xf>
    <xf numFmtId="181" fontId="42" fillId="0" borderId="78" xfId="9" applyNumberFormat="1" applyFont="1" applyBorder="1" applyAlignment="1">
      <alignment horizontal="center" vertical="center"/>
    </xf>
    <xf numFmtId="181" fontId="42" fillId="0" borderId="18" xfId="9" applyNumberFormat="1" applyFont="1" applyBorder="1" applyAlignment="1">
      <alignment horizontal="center" vertical="center"/>
    </xf>
    <xf numFmtId="181" fontId="42" fillId="0" borderId="0" xfId="9" applyNumberFormat="1" applyFont="1" applyBorder="1" applyAlignment="1">
      <alignment horizontal="center" vertical="center"/>
    </xf>
    <xf numFmtId="181" fontId="42" fillId="0" borderId="77" xfId="9" applyNumberFormat="1" applyFont="1" applyBorder="1" applyAlignment="1">
      <alignment horizontal="center" vertical="center"/>
    </xf>
    <xf numFmtId="181" fontId="42" fillId="0" borderId="92" xfId="9" applyNumberFormat="1" applyFont="1" applyBorder="1" applyAlignment="1">
      <alignment horizontal="center" vertical="center"/>
    </xf>
    <xf numFmtId="181" fontId="42" fillId="0" borderId="86" xfId="9" applyNumberFormat="1" applyFont="1" applyBorder="1" applyAlignment="1">
      <alignment horizontal="center" vertical="center"/>
    </xf>
    <xf numFmtId="181" fontId="42" fillId="0" borderId="83" xfId="9" applyNumberFormat="1" applyFont="1" applyBorder="1" applyAlignment="1">
      <alignment horizontal="center" vertical="center"/>
    </xf>
    <xf numFmtId="0" fontId="42" fillId="0" borderId="20" xfId="9" applyFont="1" applyBorder="1" applyAlignment="1">
      <alignment horizontal="right" vertical="center"/>
    </xf>
    <xf numFmtId="0" fontId="42" fillId="0" borderId="73" xfId="9" applyFont="1" applyBorder="1" applyAlignment="1">
      <alignment horizontal="right" vertical="center"/>
    </xf>
    <xf numFmtId="181" fontId="42" fillId="0" borderId="121" xfId="9" applyNumberFormat="1" applyFont="1" applyBorder="1" applyAlignment="1">
      <alignment horizontal="center" vertical="center" wrapText="1"/>
    </xf>
    <xf numFmtId="181" fontId="42" fillId="0" borderId="89" xfId="9" applyNumberFormat="1" applyFont="1" applyBorder="1" applyAlignment="1">
      <alignment horizontal="center" vertical="center" wrapText="1"/>
    </xf>
    <xf numFmtId="181" fontId="42" fillId="0" borderId="122" xfId="9" applyNumberFormat="1" applyFont="1" applyFill="1" applyBorder="1" applyAlignment="1">
      <alignment horizontal="center" vertical="center" wrapText="1"/>
    </xf>
    <xf numFmtId="181" fontId="42" fillId="0" borderId="125" xfId="9" applyNumberFormat="1" applyFont="1" applyFill="1" applyBorder="1" applyAlignment="1">
      <alignment horizontal="center" vertical="center"/>
    </xf>
    <xf numFmtId="181" fontId="42" fillId="0" borderId="121" xfId="9" applyNumberFormat="1" applyFont="1" applyFill="1" applyBorder="1" applyAlignment="1">
      <alignment horizontal="center" vertical="center" wrapText="1"/>
    </xf>
    <xf numFmtId="181" fontId="42" fillId="0" borderId="89" xfId="9" applyNumberFormat="1" applyFont="1" applyFill="1" applyBorder="1" applyAlignment="1">
      <alignment horizontal="center" vertical="center" wrapText="1"/>
    </xf>
    <xf numFmtId="181" fontId="42" fillId="0" borderId="123" xfId="9" applyNumberFormat="1" applyFont="1" applyFill="1" applyBorder="1" applyAlignment="1">
      <alignment horizontal="center" vertical="center" wrapText="1"/>
    </xf>
    <xf numFmtId="181" fontId="42" fillId="0" borderId="92" xfId="9" applyNumberFormat="1" applyFont="1" applyFill="1" applyBorder="1" applyAlignment="1">
      <alignment horizontal="center" vertical="center" wrapText="1"/>
    </xf>
    <xf numFmtId="181" fontId="42" fillId="0" borderId="14" xfId="9" applyNumberFormat="1" applyFont="1" applyFill="1" applyBorder="1" applyAlignment="1">
      <alignment horizontal="right" vertical="center" wrapText="1"/>
    </xf>
    <xf numFmtId="181" fontId="42" fillId="0" borderId="25" xfId="9" applyNumberFormat="1" applyFont="1" applyFill="1" applyBorder="1" applyAlignment="1">
      <alignment horizontal="right" vertical="center" wrapText="1"/>
    </xf>
    <xf numFmtId="0" fontId="42" fillId="0" borderId="22" xfId="9" applyFont="1" applyBorder="1" applyAlignment="1">
      <alignment horizontal="right" vertical="center"/>
    </xf>
    <xf numFmtId="181" fontId="42" fillId="0" borderId="117" xfId="9" applyNumberFormat="1" applyFont="1" applyFill="1" applyBorder="1" applyAlignment="1">
      <alignment horizontal="center" vertical="center"/>
    </xf>
    <xf numFmtId="181" fontId="42" fillId="0" borderId="74" xfId="9" applyNumberFormat="1" applyFont="1" applyFill="1" applyBorder="1" applyAlignment="1">
      <alignment horizontal="center" vertical="center"/>
    </xf>
    <xf numFmtId="181" fontId="42" fillId="0" borderId="73" xfId="9" applyNumberFormat="1" applyFont="1" applyFill="1" applyBorder="1" applyAlignment="1">
      <alignment horizontal="center" vertical="center"/>
    </xf>
    <xf numFmtId="0" fontId="42" fillId="0" borderId="74" xfId="9" applyFont="1" applyBorder="1" applyAlignment="1">
      <alignment horizontal="right" vertical="center"/>
    </xf>
    <xf numFmtId="176" fontId="42" fillId="0" borderId="18" xfId="9" applyNumberFormat="1" applyFont="1" applyBorder="1" applyAlignment="1">
      <alignment horizontal="center" wrapText="1"/>
    </xf>
    <xf numFmtId="0" fontId="45" fillId="15" borderId="6" xfId="9" applyFont="1" applyFill="1" applyBorder="1" applyAlignment="1">
      <alignment horizontal="distributed" vertical="center"/>
    </xf>
    <xf numFmtId="0" fontId="45" fillId="15" borderId="5" xfId="9" applyFont="1" applyFill="1" applyBorder="1" applyAlignment="1">
      <alignment horizontal="distributed" vertical="center"/>
    </xf>
    <xf numFmtId="0" fontId="45" fillId="15" borderId="75" xfId="9" applyFont="1" applyFill="1" applyBorder="1" applyAlignment="1">
      <alignment horizontal="distributed" vertical="center"/>
    </xf>
    <xf numFmtId="0" fontId="45" fillId="15" borderId="170" xfId="9" applyFont="1" applyFill="1" applyBorder="1" applyAlignment="1">
      <alignment horizontal="distributed" vertical="center"/>
    </xf>
    <xf numFmtId="0" fontId="45" fillId="15" borderId="201" xfId="9" applyFont="1" applyFill="1" applyBorder="1" applyAlignment="1">
      <alignment horizontal="distributed" vertical="center"/>
    </xf>
    <xf numFmtId="0" fontId="45" fillId="15" borderId="171" xfId="9" applyFont="1" applyFill="1" applyBorder="1" applyAlignment="1">
      <alignment horizontal="distributed" vertical="center"/>
    </xf>
    <xf numFmtId="0" fontId="45" fillId="15" borderId="136" xfId="9" applyFont="1" applyFill="1" applyBorder="1" applyAlignment="1">
      <alignment horizontal="distributed" vertical="center"/>
    </xf>
    <xf numFmtId="0" fontId="45" fillId="15" borderId="142" xfId="9" applyFont="1" applyFill="1" applyBorder="1" applyAlignment="1">
      <alignment horizontal="distributed" vertical="center"/>
    </xf>
    <xf numFmtId="0" fontId="45" fillId="15" borderId="186" xfId="9" applyFont="1" applyFill="1" applyBorder="1" applyAlignment="1">
      <alignment horizontal="distributed" vertical="center"/>
    </xf>
    <xf numFmtId="0" fontId="45" fillId="15" borderId="158" xfId="9" applyFont="1" applyFill="1" applyBorder="1" applyAlignment="1">
      <alignment horizontal="distributed" vertical="center"/>
    </xf>
    <xf numFmtId="0" fontId="45" fillId="15" borderId="144" xfId="9" applyFont="1" applyFill="1" applyBorder="1" applyAlignment="1">
      <alignment horizontal="distributed" vertical="center"/>
    </xf>
    <xf numFmtId="0" fontId="45" fillId="15" borderId="150" xfId="9" applyFont="1" applyFill="1" applyBorder="1" applyAlignment="1">
      <alignment horizontal="distributed" vertical="center"/>
    </xf>
    <xf numFmtId="0" fontId="45" fillId="15" borderId="137" xfId="9" applyFont="1" applyFill="1" applyBorder="1" applyAlignment="1">
      <alignment horizontal="distributed" vertical="center"/>
    </xf>
    <xf numFmtId="0" fontId="45" fillId="15" borderId="183" xfId="9" applyFont="1" applyFill="1" applyBorder="1" applyAlignment="1">
      <alignment horizontal="distributed" vertical="center"/>
    </xf>
    <xf numFmtId="0" fontId="45" fillId="15" borderId="174" xfId="9" applyFont="1" applyFill="1" applyBorder="1" applyAlignment="1">
      <alignment horizontal="distributed" vertical="center"/>
    </xf>
    <xf numFmtId="0" fontId="72" fillId="0" borderId="0" xfId="0" applyFont="1" applyFill="1" applyBorder="1"/>
    <xf numFmtId="38" fontId="73" fillId="0" borderId="0" xfId="1" applyFont="1" applyFill="1" applyBorder="1" applyAlignment="1">
      <alignment horizontal="center"/>
    </xf>
    <xf numFmtId="38" fontId="72" fillId="0" borderId="0" xfId="1" applyFont="1" applyFill="1" applyBorder="1"/>
    <xf numFmtId="38" fontId="74" fillId="0" borderId="0" xfId="1" applyFont="1" applyFill="1" applyBorder="1"/>
    <xf numFmtId="38" fontId="72" fillId="0" borderId="0" xfId="1" applyFont="1" applyFill="1" applyBorder="1" applyAlignment="1">
      <alignment horizontal="right"/>
    </xf>
    <xf numFmtId="38" fontId="75" fillId="0" borderId="0" xfId="1" applyFont="1" applyFill="1" applyBorder="1"/>
    <xf numFmtId="0" fontId="72" fillId="0" borderId="14" xfId="0" applyFont="1" applyFill="1" applyBorder="1"/>
    <xf numFmtId="38" fontId="72" fillId="0" borderId="87" xfId="1" applyFont="1" applyFill="1" applyBorder="1"/>
    <xf numFmtId="0" fontId="72" fillId="0" borderId="70" xfId="0" applyFont="1" applyFill="1" applyBorder="1"/>
    <xf numFmtId="0" fontId="72" fillId="0" borderId="87" xfId="0" applyFont="1" applyFill="1" applyBorder="1"/>
    <xf numFmtId="38" fontId="74" fillId="0" borderId="87" xfId="1" applyFont="1" applyFill="1" applyBorder="1"/>
    <xf numFmtId="0" fontId="72" fillId="0" borderId="52" xfId="0" applyFont="1" applyFill="1" applyBorder="1"/>
    <xf numFmtId="0" fontId="72" fillId="0" borderId="36" xfId="0" applyFont="1" applyFill="1" applyBorder="1"/>
    <xf numFmtId="38" fontId="72" fillId="5" borderId="0" xfId="1" applyFont="1" applyFill="1" applyBorder="1" applyAlignment="1">
      <alignment horizontal="right"/>
    </xf>
    <xf numFmtId="38" fontId="72" fillId="11" borderId="0" xfId="1" applyFont="1" applyFill="1" applyBorder="1" applyAlignment="1">
      <alignment horizontal="right"/>
    </xf>
    <xf numFmtId="38" fontId="72" fillId="0" borderId="0" xfId="1" applyFont="1" applyFill="1" applyBorder="1" applyAlignment="1">
      <alignment horizontal="right"/>
    </xf>
    <xf numFmtId="38" fontId="72" fillId="6" borderId="0" xfId="1" applyFont="1" applyFill="1" applyBorder="1" applyAlignment="1">
      <alignment horizontal="right"/>
    </xf>
    <xf numFmtId="0" fontId="72" fillId="0" borderId="104" xfId="0" applyFont="1" applyFill="1" applyBorder="1"/>
    <xf numFmtId="0" fontId="72" fillId="0" borderId="103" xfId="0" applyFont="1" applyFill="1" applyBorder="1"/>
    <xf numFmtId="0" fontId="72" fillId="0" borderId="102" xfId="0" applyFont="1" applyFill="1" applyBorder="1"/>
    <xf numFmtId="38" fontId="72" fillId="5" borderId="0" xfId="1" applyFont="1" applyFill="1" applyBorder="1" applyAlignment="1">
      <alignment horizontal="right"/>
    </xf>
    <xf numFmtId="0" fontId="72" fillId="0" borderId="100" xfId="0" applyFont="1" applyFill="1" applyBorder="1"/>
    <xf numFmtId="38" fontId="72" fillId="0" borderId="99" xfId="1" applyFont="1" applyFill="1" applyBorder="1"/>
    <xf numFmtId="38" fontId="74" fillId="0" borderId="99" xfId="1" applyFont="1" applyFill="1" applyBorder="1"/>
    <xf numFmtId="0" fontId="72" fillId="0" borderId="101" xfId="0" applyFont="1" applyFill="1" applyBorder="1"/>
    <xf numFmtId="38" fontId="72" fillId="0" borderId="103" xfId="1" applyFont="1" applyFill="1" applyBorder="1"/>
    <xf numFmtId="38" fontId="72" fillId="5" borderId="103" xfId="1" applyFont="1" applyFill="1" applyBorder="1"/>
    <xf numFmtId="38" fontId="72" fillId="5" borderId="0" xfId="1" applyFont="1" applyFill="1" applyBorder="1"/>
    <xf numFmtId="38" fontId="72" fillId="0" borderId="108" xfId="1" applyFont="1" applyFill="1" applyBorder="1"/>
    <xf numFmtId="38" fontId="72" fillId="0" borderId="106" xfId="1" applyFont="1" applyFill="1" applyBorder="1"/>
    <xf numFmtId="0" fontId="72" fillId="0" borderId="107" xfId="0" applyFont="1" applyFill="1" applyBorder="1"/>
    <xf numFmtId="38" fontId="72" fillId="0" borderId="106" xfId="1" applyFont="1" applyFill="1" applyBorder="1" applyAlignment="1">
      <alignment horizontal="right"/>
    </xf>
    <xf numFmtId="38" fontId="76" fillId="0" borderId="106" xfId="1" applyFont="1" applyFill="1" applyBorder="1"/>
    <xf numFmtId="179" fontId="72" fillId="0" borderId="0" xfId="1" applyNumberFormat="1" applyFont="1" applyFill="1" applyBorder="1"/>
    <xf numFmtId="38" fontId="72" fillId="11" borderId="0" xfId="1" applyFont="1" applyFill="1" applyBorder="1"/>
    <xf numFmtId="176" fontId="72" fillId="3" borderId="0" xfId="1" applyNumberFormat="1" applyFont="1" applyFill="1" applyBorder="1"/>
    <xf numFmtId="176" fontId="72" fillId="11" borderId="0" xfId="1" applyNumberFormat="1" applyFont="1" applyFill="1" applyBorder="1"/>
    <xf numFmtId="38" fontId="72" fillId="2" borderId="0" xfId="1" applyFont="1" applyFill="1" applyBorder="1"/>
    <xf numFmtId="38" fontId="72" fillId="0" borderId="99" xfId="1" applyFont="1" applyFill="1" applyBorder="1" applyAlignment="1">
      <alignment horizontal="right"/>
    </xf>
    <xf numFmtId="38" fontId="76" fillId="0" borderId="0" xfId="1" applyFont="1" applyFill="1" applyBorder="1"/>
    <xf numFmtId="179" fontId="72" fillId="2" borderId="0" xfId="1" applyNumberFormat="1" applyFont="1" applyFill="1" applyBorder="1"/>
    <xf numFmtId="38" fontId="72" fillId="0" borderId="105" xfId="1" applyFont="1" applyFill="1" applyBorder="1"/>
    <xf numFmtId="38" fontId="72" fillId="0" borderId="103" xfId="1" applyFont="1" applyFill="1" applyBorder="1" applyAlignment="1">
      <alignment horizontal="right"/>
    </xf>
    <xf numFmtId="0" fontId="72" fillId="0" borderId="99" xfId="0" applyFont="1" applyFill="1" applyBorder="1"/>
    <xf numFmtId="0" fontId="72" fillId="0" borderId="98" xfId="0" applyFont="1" applyFill="1" applyBorder="1"/>
    <xf numFmtId="38" fontId="72" fillId="0" borderId="40" xfId="1" applyFont="1" applyFill="1" applyBorder="1"/>
    <xf numFmtId="0" fontId="72" fillId="0" borderId="97" xfId="0" applyFont="1" applyFill="1" applyBorder="1"/>
    <xf numFmtId="0" fontId="72" fillId="0" borderId="96" xfId="0" applyFont="1" applyFill="1" applyBorder="1"/>
    <xf numFmtId="0" fontId="72" fillId="0" borderId="95" xfId="0" applyFont="1" applyFill="1" applyBorder="1"/>
    <xf numFmtId="0" fontId="72" fillId="0" borderId="72" xfId="0" applyFont="1" applyFill="1" applyBorder="1"/>
    <xf numFmtId="38" fontId="72" fillId="0" borderId="86" xfId="1" applyFont="1" applyFill="1" applyBorder="1" applyAlignment="1">
      <alignment horizontal="right"/>
    </xf>
    <xf numFmtId="0" fontId="72" fillId="0" borderId="86" xfId="0" applyFont="1" applyFill="1" applyBorder="1"/>
    <xf numFmtId="0" fontId="72" fillId="0" borderId="94" xfId="0" applyFont="1" applyFill="1" applyBorder="1"/>
    <xf numFmtId="38" fontId="72" fillId="0" borderId="1" xfId="1" applyFont="1" applyFill="1" applyBorder="1"/>
    <xf numFmtId="0" fontId="72" fillId="0" borderId="93" xfId="0" applyFont="1" applyFill="1" applyBorder="1"/>
    <xf numFmtId="0" fontId="72" fillId="0" borderId="71" xfId="0" applyFont="1" applyFill="1" applyBorder="1"/>
    <xf numFmtId="38" fontId="77" fillId="0" borderId="0" xfId="1" applyFont="1" applyFill="1" applyBorder="1" applyAlignment="1">
      <alignment horizontal="right"/>
    </xf>
    <xf numFmtId="38" fontId="72" fillId="6" borderId="0" xfId="0" applyNumberFormat="1" applyFont="1" applyFill="1" applyBorder="1" applyAlignment="1">
      <alignment shrinkToFit="1"/>
    </xf>
    <xf numFmtId="178" fontId="77" fillId="0" borderId="0" xfId="0" applyNumberFormat="1" applyFont="1" applyFill="1" applyBorder="1" applyAlignment="1">
      <alignment horizontal="right" shrinkToFit="1"/>
    </xf>
    <xf numFmtId="178" fontId="72" fillId="0" borderId="0" xfId="0" applyNumberFormat="1" applyFont="1" applyFill="1" applyBorder="1" applyAlignment="1">
      <alignment horizontal="center"/>
    </xf>
    <xf numFmtId="38" fontId="72" fillId="0" borderId="0" xfId="0" applyNumberFormat="1" applyFont="1" applyFill="1" applyBorder="1"/>
  </cellXfs>
  <cellStyles count="19">
    <cellStyle name="パーセント" xfId="18" builtinId="5"/>
    <cellStyle name="パーセント 2" xfId="2"/>
    <cellStyle name="桁区切り" xfId="1" builtinId="6"/>
    <cellStyle name="桁区切り 2" xfId="3"/>
    <cellStyle name="桁区切り 2 2" xfId="4"/>
    <cellStyle name="桁区切り 2 3" xfId="17"/>
    <cellStyle name="桁区切り 3" xfId="5"/>
    <cellStyle name="桁区切り 4" xfId="6"/>
    <cellStyle name="桁区切り 5" xfId="15"/>
    <cellStyle name="標準" xfId="0" builtinId="0"/>
    <cellStyle name="標準 2" xfId="7"/>
    <cellStyle name="標準 2 2" xfId="8"/>
    <cellStyle name="標準 2 3" xfId="16"/>
    <cellStyle name="標準 3" xfId="9"/>
    <cellStyle name="標準 4" xfId="10"/>
    <cellStyle name="標準 5" xfId="11"/>
    <cellStyle name="標準 6" xfId="12"/>
    <cellStyle name="標準 7" xfId="14"/>
    <cellStyle name="標準_メーター取替_5.予算配当通知書" xfId="13"/>
  </cellStyles>
  <dxfs count="1">
    <dxf>
      <fill>
        <patternFill>
          <bgColor rgb="FFFFFF00"/>
        </patternFill>
      </fill>
    </dxf>
  </dxfs>
  <tableStyles count="0" defaultTableStyle="TableStyleMedium2" defaultPivotStyle="PivotStyleLight16"/>
  <colors>
    <mruColors>
      <color rgb="FF0000FF"/>
      <color rgb="FFFF00FF"/>
      <color rgb="FFFF99FF"/>
      <color rgb="FFCCFFFF"/>
      <color rgb="FFFFFFCC"/>
      <color rgb="FF00FF00"/>
      <color rgb="FF00FFFF"/>
      <color rgb="FF66FF3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sharedStrings" Target="sharedStrings.xml"/></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2171700</xdr:colOff>
      <xdr:row>37</xdr:row>
      <xdr:rowOff>0</xdr:rowOff>
    </xdr:from>
    <xdr:to>
      <xdr:col>6</xdr:col>
      <xdr:colOff>76200</xdr:colOff>
      <xdr:row>39</xdr:row>
      <xdr:rowOff>123825</xdr:rowOff>
    </xdr:to>
    <xdr:sp macro="" textlink="">
      <xdr:nvSpPr>
        <xdr:cNvPr id="2" name="大かっこ 1"/>
        <xdr:cNvSpPr/>
      </xdr:nvSpPr>
      <xdr:spPr>
        <a:xfrm>
          <a:off x="2667000" y="9201150"/>
          <a:ext cx="3771900" cy="6953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358588</xdr:colOff>
      <xdr:row>1</xdr:row>
      <xdr:rowOff>22410</xdr:rowOff>
    </xdr:from>
    <xdr:to>
      <xdr:col>29</xdr:col>
      <xdr:colOff>224117</xdr:colOff>
      <xdr:row>6</xdr:row>
      <xdr:rowOff>168087</xdr:rowOff>
    </xdr:to>
    <xdr:sp macro="" textlink="">
      <xdr:nvSpPr>
        <xdr:cNvPr id="4" name="角丸四角形吹き出し 3"/>
        <xdr:cNvSpPr/>
      </xdr:nvSpPr>
      <xdr:spPr>
        <a:xfrm>
          <a:off x="12718676" y="347381"/>
          <a:ext cx="4650441" cy="1647265"/>
        </a:xfrm>
        <a:prstGeom prst="wedgeRoundRectCallout">
          <a:avLst>
            <a:gd name="adj1" fmla="val -48303"/>
            <a:gd name="adj2" fmla="val 6838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G</a:t>
          </a:r>
          <a:r>
            <a:rPr kumimoji="1" lang="ja-JP" altLang="en-US" sz="1800" b="1">
              <a:latin typeface="+mn-ea"/>
              <a:ea typeface="+mn-ea"/>
            </a:rPr>
            <a:t>列：議決予算額　は入力済</a:t>
          </a:r>
          <a:r>
            <a:rPr kumimoji="1" lang="en-US" altLang="ja-JP" sz="1800" b="1">
              <a:latin typeface="+mn-ea"/>
              <a:ea typeface="+mn-ea"/>
            </a:rPr>
            <a:t>R6.3.13</a:t>
          </a:r>
        </a:p>
        <a:p>
          <a:pPr algn="l"/>
          <a:endParaRPr kumimoji="1" lang="en-US" altLang="ja-JP" sz="1800" b="1">
            <a:latin typeface="+mn-ea"/>
            <a:ea typeface="+mn-ea"/>
          </a:endParaRPr>
        </a:p>
        <a:p>
          <a:pPr algn="l"/>
          <a:r>
            <a:rPr kumimoji="1" lang="en-US" altLang="ja-JP" sz="1800" b="1">
              <a:latin typeface="+mn-ea"/>
              <a:ea typeface="+mn-ea"/>
            </a:rPr>
            <a:t>K</a:t>
          </a:r>
          <a:r>
            <a:rPr kumimoji="1" lang="ja-JP" altLang="en-US" sz="1800" b="1">
              <a:latin typeface="+mn-ea"/>
              <a:ea typeface="+mn-ea"/>
            </a:rPr>
            <a:t>列：前年度決算額　は入力済</a:t>
          </a:r>
          <a:r>
            <a:rPr kumimoji="1" lang="en-US" altLang="ja-JP" sz="1800" b="1">
              <a:latin typeface="+mn-ea"/>
              <a:ea typeface="+mn-ea"/>
            </a:rPr>
            <a:t>R6.3.13</a:t>
          </a:r>
          <a:endParaRPr kumimoji="1" lang="ja-JP" altLang="en-US" sz="1800" b="1">
            <a:latin typeface="+mn-ea"/>
            <a:ea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403410</xdr:colOff>
      <xdr:row>0</xdr:row>
      <xdr:rowOff>190499</xdr:rowOff>
    </xdr:from>
    <xdr:to>
      <xdr:col>17</xdr:col>
      <xdr:colOff>560294</xdr:colOff>
      <xdr:row>6</xdr:row>
      <xdr:rowOff>168089</xdr:rowOff>
    </xdr:to>
    <xdr:sp macro="" textlink="">
      <xdr:nvSpPr>
        <xdr:cNvPr id="3" name="角丸四角形吹き出し 2"/>
        <xdr:cNvSpPr/>
      </xdr:nvSpPr>
      <xdr:spPr>
        <a:xfrm>
          <a:off x="7194175" y="190499"/>
          <a:ext cx="6331325" cy="1277472"/>
        </a:xfrm>
        <a:prstGeom prst="wedgeRoundRectCallout">
          <a:avLst>
            <a:gd name="adj1" fmla="val -48303"/>
            <a:gd name="adj2" fmla="val 6838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D</a:t>
          </a:r>
          <a:r>
            <a:rPr kumimoji="1" lang="ja-JP" altLang="en-US" sz="1800" b="1">
              <a:latin typeface="+mn-ea"/>
              <a:ea typeface="+mn-ea"/>
            </a:rPr>
            <a:t>列：議決予算額（補正第</a:t>
          </a:r>
          <a:r>
            <a:rPr kumimoji="1" lang="en-US" altLang="ja-JP" sz="1800" b="1">
              <a:latin typeface="+mn-ea"/>
              <a:ea typeface="+mn-ea"/>
            </a:rPr>
            <a:t>2</a:t>
          </a:r>
          <a:r>
            <a:rPr kumimoji="1" lang="ja-JP" altLang="en-US" sz="1800" b="1">
              <a:latin typeface="+mn-ea"/>
              <a:ea typeface="+mn-ea"/>
            </a:rPr>
            <a:t>号含む）　は入力済</a:t>
          </a:r>
          <a:r>
            <a:rPr kumimoji="1" lang="en-US" altLang="ja-JP" sz="1800" b="1">
              <a:latin typeface="+mn-ea"/>
              <a:ea typeface="+mn-ea"/>
            </a:rPr>
            <a:t>R6.3.13</a:t>
          </a:r>
        </a:p>
        <a:p>
          <a:pPr algn="l"/>
          <a:r>
            <a:rPr kumimoji="1" lang="en-US" altLang="ja-JP" sz="1800" b="1">
              <a:latin typeface="+mn-ea"/>
              <a:ea typeface="+mn-ea"/>
            </a:rPr>
            <a:t>E</a:t>
          </a:r>
          <a:r>
            <a:rPr kumimoji="1" lang="ja-JP" altLang="en-US" sz="1800" b="1">
              <a:latin typeface="+mn-ea"/>
              <a:ea typeface="+mn-ea"/>
            </a:rPr>
            <a:t>列は該当なし</a:t>
          </a:r>
          <a:r>
            <a:rPr kumimoji="1" lang="en-US" altLang="ja-JP" sz="1800" b="1">
              <a:latin typeface="+mn-ea"/>
              <a:ea typeface="+mn-ea"/>
            </a:rPr>
            <a:t>R5.5.10</a:t>
          </a:r>
          <a:endParaRPr kumimoji="1" lang="ja-JP" altLang="en-US" sz="1800" b="1">
            <a:latin typeface="+mn-ea"/>
            <a:ea typeface="+mn-ea"/>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24</xdr:row>
      <xdr:rowOff>100853</xdr:rowOff>
    </xdr:from>
    <xdr:to>
      <xdr:col>15</xdr:col>
      <xdr:colOff>773206</xdr:colOff>
      <xdr:row>27</xdr:row>
      <xdr:rowOff>134471</xdr:rowOff>
    </xdr:to>
    <xdr:sp macro="" textlink="">
      <xdr:nvSpPr>
        <xdr:cNvPr id="2" name="テキスト ボックス 1"/>
        <xdr:cNvSpPr txBox="1"/>
      </xdr:nvSpPr>
      <xdr:spPr>
        <a:xfrm>
          <a:off x="8034618" y="6947647"/>
          <a:ext cx="4191000" cy="907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2000"/>
            </a:lnSpc>
          </a:pPr>
          <a:r>
            <a:rPr kumimoji="1" lang="ja-JP" altLang="en-US" sz="1800">
              <a:solidFill>
                <a:srgbClr val="FF0000"/>
              </a:solidFill>
            </a:rPr>
            <a:t>課税売上割合を乗じることにより控除できなくなった額をいる状態は、控除できない額を算出するための仮の決算額</a:t>
          </a:r>
        </a:p>
      </xdr:txBody>
    </xdr:sp>
    <xdr:clientData/>
  </xdr:twoCellAnchor>
  <xdr:twoCellAnchor>
    <xdr:from>
      <xdr:col>10</xdr:col>
      <xdr:colOff>0</xdr:colOff>
      <xdr:row>0</xdr:row>
      <xdr:rowOff>0</xdr:rowOff>
    </xdr:from>
    <xdr:to>
      <xdr:col>15</xdr:col>
      <xdr:colOff>511970</xdr:colOff>
      <xdr:row>3</xdr:row>
      <xdr:rowOff>190500</xdr:rowOff>
    </xdr:to>
    <xdr:sp macro="" textlink="">
      <xdr:nvSpPr>
        <xdr:cNvPr id="3" name="テキスト ボックス 2"/>
        <xdr:cNvSpPr txBox="1"/>
      </xdr:nvSpPr>
      <xdr:spPr>
        <a:xfrm>
          <a:off x="8034618" y="0"/>
          <a:ext cx="3929764" cy="918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2000"/>
            </a:lnSpc>
          </a:pPr>
          <a:r>
            <a:rPr kumimoji="1" lang="ja-JP" altLang="en-US" sz="1800">
              <a:solidFill>
                <a:srgbClr val="FF0000"/>
              </a:solidFill>
            </a:rPr>
            <a:t>このシートは、課税売上割合を乗じることにより控除できない額を算出するための仮の決算額算出用シート</a:t>
          </a:r>
        </a:p>
      </xdr:txBody>
    </xdr:sp>
    <xdr:clientData/>
  </xdr:twoCellAnchor>
  <xdr:twoCellAnchor>
    <xdr:from>
      <xdr:col>9</xdr:col>
      <xdr:colOff>336177</xdr:colOff>
      <xdr:row>3</xdr:row>
      <xdr:rowOff>134470</xdr:rowOff>
    </xdr:from>
    <xdr:to>
      <xdr:col>18</xdr:col>
      <xdr:colOff>0</xdr:colOff>
      <xdr:row>11</xdr:row>
      <xdr:rowOff>257735</xdr:rowOff>
    </xdr:to>
    <xdr:sp macro="" textlink="">
      <xdr:nvSpPr>
        <xdr:cNvPr id="5" name="角丸四角形吹き出し 4"/>
        <xdr:cNvSpPr/>
      </xdr:nvSpPr>
      <xdr:spPr>
        <a:xfrm>
          <a:off x="7261412" y="862852"/>
          <a:ext cx="6420970" cy="2454089"/>
        </a:xfrm>
        <a:prstGeom prst="wedgeRoundRectCallout">
          <a:avLst>
            <a:gd name="adj1" fmla="val -48303"/>
            <a:gd name="adj2" fmla="val 6838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D</a:t>
          </a:r>
          <a:r>
            <a:rPr kumimoji="1" lang="ja-JP" altLang="en-US" sz="1800" b="1">
              <a:latin typeface="+mn-ea"/>
              <a:ea typeface="+mn-ea"/>
            </a:rPr>
            <a:t>列：議決予算額（補正第</a:t>
          </a:r>
          <a:r>
            <a:rPr kumimoji="1" lang="en-US" altLang="ja-JP" sz="1800" b="1">
              <a:latin typeface="+mn-ea"/>
              <a:ea typeface="+mn-ea"/>
            </a:rPr>
            <a:t>2</a:t>
          </a:r>
          <a:r>
            <a:rPr kumimoji="1" lang="ja-JP" altLang="en-US" sz="1800" b="1">
              <a:latin typeface="+mn-ea"/>
              <a:ea typeface="+mn-ea"/>
            </a:rPr>
            <a:t>号含む）　は入力済</a:t>
          </a:r>
          <a:r>
            <a:rPr kumimoji="1" lang="en-US" altLang="ja-JP" sz="1800" b="1">
              <a:latin typeface="+mn-ea"/>
              <a:ea typeface="+mn-ea"/>
            </a:rPr>
            <a:t>R6.3.13</a:t>
          </a:r>
        </a:p>
        <a:p>
          <a:pPr algn="l"/>
          <a:endParaRPr kumimoji="1" lang="en-US" altLang="ja-JP" sz="1800" b="1">
            <a:latin typeface="+mn-ea"/>
            <a:ea typeface="+mn-ea"/>
          </a:endParaRPr>
        </a:p>
        <a:p>
          <a:pPr algn="l"/>
          <a:r>
            <a:rPr kumimoji="1" lang="en-US" altLang="ja-JP" sz="1800" b="1">
              <a:latin typeface="+mn-ea"/>
              <a:ea typeface="+mn-ea"/>
            </a:rPr>
            <a:t>E</a:t>
          </a:r>
          <a:r>
            <a:rPr kumimoji="1" lang="ja-JP" altLang="en-US" sz="1800" b="1">
              <a:latin typeface="+mn-ea"/>
              <a:ea typeface="+mn-ea"/>
            </a:rPr>
            <a:t>列：</a:t>
          </a:r>
          <a:r>
            <a:rPr kumimoji="1" lang="en-US" altLang="ja-JP" sz="1800" b="1">
              <a:latin typeface="+mn-ea"/>
              <a:ea typeface="+mn-ea"/>
            </a:rPr>
            <a:t>R6.5.9</a:t>
          </a:r>
          <a:r>
            <a:rPr kumimoji="1" lang="ja-JP" altLang="en-US" sz="1800" b="1">
              <a:latin typeface="+mn-ea"/>
              <a:ea typeface="+mn-ea"/>
            </a:rPr>
            <a:t>入力</a:t>
          </a:r>
          <a:endParaRPr kumimoji="1" lang="en-US" altLang="ja-JP" sz="1800" b="1">
            <a:latin typeface="+mn-ea"/>
            <a:ea typeface="+mn-ea"/>
          </a:endParaRPr>
        </a:p>
        <a:p>
          <a:pPr algn="l"/>
          <a:endParaRPr kumimoji="1" lang="en-US" altLang="ja-JP" sz="1800" b="1">
            <a:latin typeface="+mn-ea"/>
            <a:ea typeface="+mn-ea"/>
          </a:endParaRPr>
        </a:p>
        <a:p>
          <a:pPr algn="l"/>
          <a:r>
            <a:rPr kumimoji="1" lang="ja-JP" altLang="en-US" sz="1800" b="1">
              <a:latin typeface="+mn-ea"/>
              <a:ea typeface="+mn-ea"/>
            </a:rPr>
            <a:t>全体：</a:t>
          </a:r>
          <a:endParaRPr kumimoji="1" lang="en-US" altLang="ja-JP" sz="1800" b="1">
            <a:latin typeface="+mn-ea"/>
            <a:ea typeface="+mn-ea"/>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20</xdr:col>
      <xdr:colOff>593911</xdr:colOff>
      <xdr:row>2</xdr:row>
      <xdr:rowOff>44823</xdr:rowOff>
    </xdr:from>
    <xdr:to>
      <xdr:col>27</xdr:col>
      <xdr:colOff>459441</xdr:colOff>
      <xdr:row>17</xdr:row>
      <xdr:rowOff>179295</xdr:rowOff>
    </xdr:to>
    <xdr:sp macro="" textlink="">
      <xdr:nvSpPr>
        <xdr:cNvPr id="2" name="角丸四角形吹き出し 1"/>
        <xdr:cNvSpPr/>
      </xdr:nvSpPr>
      <xdr:spPr>
        <a:xfrm>
          <a:off x="16629529" y="493058"/>
          <a:ext cx="4650441" cy="3933266"/>
        </a:xfrm>
        <a:prstGeom prst="wedgeRoundRectCallout">
          <a:avLst>
            <a:gd name="adj1" fmla="val -52641"/>
            <a:gd name="adj2" fmla="val -5625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D</a:t>
          </a:r>
          <a:r>
            <a:rPr kumimoji="1" lang="ja-JP" altLang="en-US" sz="1800" b="1">
              <a:latin typeface="+mn-ea"/>
              <a:ea typeface="+mn-ea"/>
            </a:rPr>
            <a:t>列：議決予算額（補正第</a:t>
          </a:r>
          <a:r>
            <a:rPr kumimoji="1" lang="en-US" altLang="ja-JP" sz="1800" b="1">
              <a:latin typeface="+mn-ea"/>
              <a:ea typeface="+mn-ea"/>
            </a:rPr>
            <a:t>2</a:t>
          </a:r>
          <a:r>
            <a:rPr kumimoji="1" lang="ja-JP" altLang="en-US" sz="1800" b="1">
              <a:latin typeface="+mn-ea"/>
              <a:ea typeface="+mn-ea"/>
            </a:rPr>
            <a:t>号含む）　は入力済</a:t>
          </a:r>
          <a:r>
            <a:rPr kumimoji="1" lang="en-US" altLang="ja-JP" sz="1800" b="1">
              <a:latin typeface="+mn-ea"/>
              <a:ea typeface="+mn-ea"/>
            </a:rPr>
            <a:t>R6.3.13</a:t>
          </a:r>
        </a:p>
        <a:p>
          <a:pPr algn="l"/>
          <a:endParaRPr kumimoji="1" lang="en-US" altLang="ja-JP" sz="1800" b="1">
            <a:latin typeface="+mn-ea"/>
            <a:ea typeface="+mn-ea"/>
          </a:endParaRPr>
        </a:p>
        <a:p>
          <a:pPr algn="l"/>
          <a:r>
            <a:rPr kumimoji="1" lang="ja-JP" altLang="en-US" sz="1800" b="1">
              <a:latin typeface="+mn-ea"/>
              <a:ea typeface="+mn-ea"/>
            </a:rPr>
            <a:t>Ｊ列：前年度繰越充当財源　は資本的支出の事業別財源内訳（決算）を基に入力済</a:t>
          </a:r>
          <a:r>
            <a:rPr kumimoji="1" lang="en-US" altLang="ja-JP" sz="1800" b="1">
              <a:latin typeface="+mn-ea"/>
              <a:ea typeface="+mn-ea"/>
            </a:rPr>
            <a:t>R5.5.10</a:t>
          </a:r>
        </a:p>
        <a:p>
          <a:pPr algn="l"/>
          <a:r>
            <a:rPr kumimoji="1" lang="en-US" altLang="ja-JP" sz="1800" b="1">
              <a:latin typeface="+mn-ea"/>
              <a:ea typeface="+mn-ea"/>
            </a:rPr>
            <a:t>※M</a:t>
          </a:r>
          <a:r>
            <a:rPr kumimoji="1" lang="ja-JP" altLang="en-US" sz="1800" b="1">
              <a:latin typeface="+mn-ea"/>
              <a:ea typeface="+mn-ea"/>
            </a:rPr>
            <a:t>列で</a:t>
          </a:r>
          <a:r>
            <a:rPr kumimoji="1" lang="en-US" altLang="ja-JP" sz="1800" b="1">
              <a:latin typeface="+mn-ea"/>
              <a:ea typeface="+mn-ea"/>
            </a:rPr>
            <a:t>R3</a:t>
          </a:r>
          <a:r>
            <a:rPr kumimoji="1" lang="ja-JP" altLang="en-US" sz="1800" b="1">
              <a:latin typeface="+mn-ea"/>
              <a:ea typeface="+mn-ea"/>
            </a:rPr>
            <a:t>のみなしベースの額を算出するため、事故繰越分</a:t>
          </a:r>
          <a:r>
            <a:rPr kumimoji="1" lang="en-US" altLang="ja-JP" sz="1800" b="1">
              <a:latin typeface="+mn-ea"/>
              <a:ea typeface="+mn-ea"/>
            </a:rPr>
            <a:t>R</a:t>
          </a:r>
          <a:r>
            <a:rPr kumimoji="1" lang="ja-JP" altLang="en-US" sz="1800" b="1">
              <a:latin typeface="+mn-ea"/>
              <a:ea typeface="+mn-ea"/>
            </a:rPr>
            <a:t>２→４を除く必要があることから、ここに含めること</a:t>
          </a:r>
          <a:endParaRPr kumimoji="1" lang="en-US" altLang="ja-JP" sz="1800" b="1">
            <a:latin typeface="+mn-ea"/>
            <a:ea typeface="+mn-ea"/>
          </a:endParaRPr>
        </a:p>
        <a:p>
          <a:pPr algn="l"/>
          <a:endParaRPr kumimoji="1" lang="en-US" altLang="ja-JP" sz="1800" b="1">
            <a:latin typeface="+mn-ea"/>
            <a:ea typeface="+mn-ea"/>
          </a:endParaRPr>
        </a:p>
        <a:p>
          <a:pPr algn="l"/>
          <a:r>
            <a:rPr kumimoji="1" lang="ja-JP" altLang="en-US" sz="1800" b="1">
              <a:solidFill>
                <a:schemeClr val="bg1"/>
              </a:solidFill>
              <a:latin typeface="+mn-ea"/>
              <a:ea typeface="+mn-ea"/>
            </a:rPr>
            <a:t>Ｌ列は</a:t>
          </a:r>
          <a:r>
            <a:rPr kumimoji="1" lang="en-US" altLang="ja-JP" sz="1800" b="1">
              <a:solidFill>
                <a:schemeClr val="bg1"/>
              </a:solidFill>
              <a:latin typeface="+mn-ea"/>
              <a:ea typeface="+mn-ea"/>
            </a:rPr>
            <a:t>R5.5.10</a:t>
          </a:r>
          <a:r>
            <a:rPr kumimoji="1" lang="ja-JP" altLang="en-US" sz="1800" b="1">
              <a:solidFill>
                <a:schemeClr val="bg1"/>
              </a:solidFill>
              <a:latin typeface="+mn-ea"/>
              <a:ea typeface="+mn-ea"/>
            </a:rPr>
            <a:t>入力済</a:t>
          </a:r>
        </a:p>
      </xdr:txBody>
    </xdr:sp>
    <xdr:clientData/>
  </xdr:twoCellAnchor>
  <xdr:twoCellAnchor>
    <xdr:from>
      <xdr:col>21</xdr:col>
      <xdr:colOff>571501</xdr:colOff>
      <xdr:row>19</xdr:row>
      <xdr:rowOff>145678</xdr:rowOff>
    </xdr:from>
    <xdr:to>
      <xdr:col>23</xdr:col>
      <xdr:colOff>448236</xdr:colOff>
      <xdr:row>23</xdr:row>
      <xdr:rowOff>246530</xdr:rowOff>
    </xdr:to>
    <xdr:sp macro="" textlink="">
      <xdr:nvSpPr>
        <xdr:cNvPr id="11" name="楕円 10"/>
        <xdr:cNvSpPr/>
      </xdr:nvSpPr>
      <xdr:spPr>
        <a:xfrm>
          <a:off x="17290677" y="4964207"/>
          <a:ext cx="1243853" cy="1176617"/>
        </a:xfrm>
        <a:prstGeom prst="ellipse">
          <a:avLst/>
        </a:prstGeom>
        <a:solidFill>
          <a:srgbClr val="FF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t>済</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18</xdr:col>
      <xdr:colOff>89645</xdr:colOff>
      <xdr:row>1</xdr:row>
      <xdr:rowOff>44821</xdr:rowOff>
    </xdr:from>
    <xdr:to>
      <xdr:col>24</xdr:col>
      <xdr:colOff>638733</xdr:colOff>
      <xdr:row>17</xdr:row>
      <xdr:rowOff>302558</xdr:rowOff>
    </xdr:to>
    <xdr:sp macro="" textlink="">
      <xdr:nvSpPr>
        <xdr:cNvPr id="2" name="角丸四角形吹き出し 1"/>
        <xdr:cNvSpPr/>
      </xdr:nvSpPr>
      <xdr:spPr>
        <a:xfrm>
          <a:off x="16001998" y="268939"/>
          <a:ext cx="4650441" cy="4986619"/>
        </a:xfrm>
        <a:prstGeom prst="wedgeRoundRectCallout">
          <a:avLst>
            <a:gd name="adj1" fmla="val -49025"/>
            <a:gd name="adj2" fmla="val -5531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D</a:t>
          </a:r>
          <a:r>
            <a:rPr kumimoji="1" lang="ja-JP" altLang="en-US" sz="1800" b="1">
              <a:latin typeface="+mn-ea"/>
              <a:ea typeface="+mn-ea"/>
            </a:rPr>
            <a:t>列：議決予算額（補正第</a:t>
          </a:r>
          <a:r>
            <a:rPr kumimoji="1" lang="en-US" altLang="ja-JP" sz="1800" b="1">
              <a:latin typeface="+mn-ea"/>
              <a:ea typeface="+mn-ea"/>
            </a:rPr>
            <a:t>2</a:t>
          </a:r>
          <a:r>
            <a:rPr kumimoji="1" lang="ja-JP" altLang="en-US" sz="1800" b="1">
              <a:latin typeface="+mn-ea"/>
              <a:ea typeface="+mn-ea"/>
            </a:rPr>
            <a:t>号含む）　は入力済</a:t>
          </a:r>
          <a:r>
            <a:rPr kumimoji="1" lang="en-US" altLang="ja-JP" sz="1800" b="1">
              <a:latin typeface="+mn-ea"/>
              <a:ea typeface="+mn-ea"/>
            </a:rPr>
            <a:t>R6.3.13</a:t>
          </a:r>
        </a:p>
        <a:p>
          <a:pPr algn="l"/>
          <a:endParaRPr kumimoji="1" lang="en-US" altLang="ja-JP" sz="1800" b="1">
            <a:latin typeface="+mn-ea"/>
            <a:ea typeface="+mn-ea"/>
          </a:endParaRPr>
        </a:p>
        <a:p>
          <a:pPr algn="l"/>
          <a:r>
            <a:rPr kumimoji="1" lang="en-US" altLang="ja-JP" sz="1800" b="1">
              <a:latin typeface="+mn-ea"/>
              <a:ea typeface="+mn-ea"/>
            </a:rPr>
            <a:t>H</a:t>
          </a:r>
          <a:r>
            <a:rPr kumimoji="1" lang="ja-JP" altLang="en-US" sz="1800" b="1">
              <a:latin typeface="+mn-ea"/>
              <a:ea typeface="+mn-ea"/>
            </a:rPr>
            <a:t>列：</a:t>
          </a:r>
          <a:r>
            <a:rPr kumimoji="1" lang="en-US" altLang="ja-JP" sz="1800" b="1">
              <a:latin typeface="+mn-ea"/>
              <a:ea typeface="+mn-ea"/>
            </a:rPr>
            <a:t>3-4</a:t>
          </a:r>
          <a:r>
            <a:rPr kumimoji="1" lang="ja-JP" altLang="en-US" sz="1800" b="1">
              <a:latin typeface="+mn-ea"/>
              <a:ea typeface="+mn-ea"/>
            </a:rPr>
            <a:t>繰越決算額　は繰越計算書、起債財源計算書（決算）を基に入力済</a:t>
          </a:r>
          <a:r>
            <a:rPr kumimoji="1" lang="en-US" altLang="ja-JP" sz="1800" b="1">
              <a:latin typeface="+mn-ea"/>
              <a:ea typeface="+mn-ea"/>
            </a:rPr>
            <a:t>R5.5.10</a:t>
          </a:r>
        </a:p>
        <a:p>
          <a:pPr algn="l"/>
          <a:r>
            <a:rPr kumimoji="1" lang="en-US" altLang="ja-JP" sz="1800" b="1">
              <a:latin typeface="+mn-ea"/>
              <a:ea typeface="+mn-ea"/>
            </a:rPr>
            <a:t>※I</a:t>
          </a:r>
          <a:r>
            <a:rPr kumimoji="1" lang="ja-JP" altLang="en-US" sz="1800" b="1">
              <a:latin typeface="+mn-ea"/>
              <a:ea typeface="+mn-ea"/>
            </a:rPr>
            <a:t>列で</a:t>
          </a:r>
          <a:r>
            <a:rPr kumimoji="1" lang="en-US" altLang="ja-JP" sz="1800" b="1">
              <a:latin typeface="+mn-ea"/>
              <a:ea typeface="+mn-ea"/>
            </a:rPr>
            <a:t>R3</a:t>
          </a:r>
          <a:r>
            <a:rPr kumimoji="1" lang="ja-JP" altLang="en-US" sz="1800" b="1">
              <a:latin typeface="+mn-ea"/>
              <a:ea typeface="+mn-ea"/>
            </a:rPr>
            <a:t>のみなしベースの額を算出するため、事故繰越分</a:t>
          </a:r>
          <a:r>
            <a:rPr kumimoji="1" lang="en-US" altLang="ja-JP" sz="1800" b="1">
              <a:latin typeface="+mn-ea"/>
              <a:ea typeface="+mn-ea"/>
            </a:rPr>
            <a:t>R2→4</a:t>
          </a:r>
          <a:r>
            <a:rPr kumimoji="1" lang="ja-JP" altLang="en-US" sz="1800" b="1">
              <a:latin typeface="+mn-ea"/>
              <a:ea typeface="+mn-ea"/>
            </a:rPr>
            <a:t>を除く必要があることから、ここに含める</a:t>
          </a:r>
        </a:p>
        <a:p>
          <a:pPr algn="l"/>
          <a:endParaRPr kumimoji="1" lang="en-US" altLang="ja-JP" sz="1800" b="1">
            <a:latin typeface="+mn-ea"/>
            <a:ea typeface="+mn-ea"/>
          </a:endParaRPr>
        </a:p>
        <a:p>
          <a:pPr algn="l"/>
          <a:r>
            <a:rPr kumimoji="1" lang="en-US" altLang="ja-JP" sz="1800" b="1">
              <a:latin typeface="+mn-ea"/>
              <a:ea typeface="+mn-ea"/>
            </a:rPr>
            <a:t>E</a:t>
          </a:r>
          <a:r>
            <a:rPr kumimoji="1" lang="ja-JP" altLang="en-US" sz="1800" b="1">
              <a:latin typeface="+mn-ea"/>
              <a:ea typeface="+mn-ea"/>
            </a:rPr>
            <a:t>列　は入力済</a:t>
          </a:r>
          <a:r>
            <a:rPr kumimoji="1" lang="en-US" altLang="ja-JP" sz="1800" b="1">
              <a:latin typeface="+mn-ea"/>
              <a:ea typeface="+mn-ea"/>
            </a:rPr>
            <a:t>R5.5.10</a:t>
          </a:r>
        </a:p>
        <a:p>
          <a:pPr algn="l"/>
          <a:endParaRPr kumimoji="1" lang="en-US" altLang="ja-JP" sz="1800" b="1">
            <a:latin typeface="+mn-ea"/>
            <a:ea typeface="+mn-ea"/>
          </a:endParaRPr>
        </a:p>
        <a:p>
          <a:pPr algn="l"/>
          <a:r>
            <a:rPr kumimoji="1" lang="en-US" altLang="ja-JP" sz="1800" b="1">
              <a:latin typeface="+mn-ea"/>
              <a:ea typeface="+mn-ea"/>
            </a:rPr>
            <a:t>J</a:t>
          </a:r>
          <a:r>
            <a:rPr kumimoji="1" lang="ja-JP" altLang="en-US" sz="1800" b="1">
              <a:latin typeface="+mn-ea"/>
              <a:ea typeface="+mn-ea"/>
            </a:rPr>
            <a:t>列：翌年度繰越額　は、</a:t>
          </a:r>
          <a:r>
            <a:rPr kumimoji="1" lang="en-US" altLang="ja-JP" sz="1800" b="1">
              <a:latin typeface="+mn-ea"/>
              <a:ea typeface="+mn-ea"/>
            </a:rPr>
            <a:t>R4</a:t>
          </a:r>
          <a:r>
            <a:rPr kumimoji="1" lang="ja-JP" altLang="en-US" sz="1800" b="1">
              <a:latin typeface="+mn-ea"/>
              <a:ea typeface="+mn-ea"/>
            </a:rPr>
            <a:t>予算繰越計算書の額どおり入力済</a:t>
          </a:r>
          <a:r>
            <a:rPr kumimoji="1" lang="en-US" altLang="ja-JP" sz="1800" b="1">
              <a:latin typeface="+mn-ea"/>
              <a:ea typeface="+mn-ea"/>
            </a:rPr>
            <a:t>R5.5.10</a:t>
          </a:r>
          <a:endParaRPr kumimoji="1" lang="ja-JP" altLang="en-US" sz="1800" b="1">
            <a:solidFill>
              <a:srgbClr val="FFFF00"/>
            </a:solidFill>
            <a:latin typeface="+mn-ea"/>
            <a:ea typeface="+mn-ea"/>
          </a:endParaRPr>
        </a:p>
        <a:p>
          <a:pPr algn="l"/>
          <a:endParaRPr kumimoji="1" lang="ja-JP" altLang="en-US" sz="1800" b="1">
            <a:latin typeface="+mn-ea"/>
            <a:ea typeface="+mn-ea"/>
          </a:endParaRPr>
        </a:p>
      </xdr:txBody>
    </xdr:sp>
    <xdr:clientData/>
  </xdr:twoCellAnchor>
  <xdr:twoCellAnchor>
    <xdr:from>
      <xdr:col>18</xdr:col>
      <xdr:colOff>448236</xdr:colOff>
      <xdr:row>17</xdr:row>
      <xdr:rowOff>33617</xdr:rowOff>
    </xdr:from>
    <xdr:to>
      <xdr:col>20</xdr:col>
      <xdr:colOff>324971</xdr:colOff>
      <xdr:row>22</xdr:row>
      <xdr:rowOff>302558</xdr:rowOff>
    </xdr:to>
    <xdr:sp macro="" textlink="">
      <xdr:nvSpPr>
        <xdr:cNvPr id="3" name="楕円 2"/>
        <xdr:cNvSpPr/>
      </xdr:nvSpPr>
      <xdr:spPr>
        <a:xfrm>
          <a:off x="16360589" y="4986617"/>
          <a:ext cx="1243853" cy="1176617"/>
        </a:xfrm>
        <a:prstGeom prst="ellipse">
          <a:avLst/>
        </a:prstGeom>
        <a:solidFill>
          <a:srgbClr val="FF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t>済</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361950</xdr:colOff>
      <xdr:row>30</xdr:row>
      <xdr:rowOff>82363</xdr:rowOff>
    </xdr:from>
    <xdr:to>
      <xdr:col>9</xdr:col>
      <xdr:colOff>0</xdr:colOff>
      <xdr:row>30</xdr:row>
      <xdr:rowOff>82363</xdr:rowOff>
    </xdr:to>
    <xdr:sp macro="" textlink="">
      <xdr:nvSpPr>
        <xdr:cNvPr id="2" name="Line 1"/>
        <xdr:cNvSpPr>
          <a:spLocks noChangeShapeType="1"/>
        </xdr:cNvSpPr>
      </xdr:nvSpPr>
      <xdr:spPr bwMode="auto">
        <a:xfrm flipV="1">
          <a:off x="5162550" y="5225863"/>
          <a:ext cx="10096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91955</xdr:rowOff>
    </xdr:from>
    <xdr:to>
      <xdr:col>9</xdr:col>
      <xdr:colOff>0</xdr:colOff>
      <xdr:row>31</xdr:row>
      <xdr:rowOff>104698</xdr:rowOff>
    </xdr:to>
    <xdr:sp macro="" textlink="">
      <xdr:nvSpPr>
        <xdr:cNvPr id="3" name="Line 2"/>
        <xdr:cNvSpPr>
          <a:spLocks noChangeShapeType="1"/>
        </xdr:cNvSpPr>
      </xdr:nvSpPr>
      <xdr:spPr bwMode="auto">
        <a:xfrm flipV="1">
          <a:off x="6172200" y="5235455"/>
          <a:ext cx="0" cy="18419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104775</xdr:rowOff>
    </xdr:from>
    <xdr:to>
      <xdr:col>12</xdr:col>
      <xdr:colOff>552450</xdr:colOff>
      <xdr:row>31</xdr:row>
      <xdr:rowOff>104775</xdr:rowOff>
    </xdr:to>
    <xdr:sp macro="" textlink="">
      <xdr:nvSpPr>
        <xdr:cNvPr id="4" name="Line 3"/>
        <xdr:cNvSpPr>
          <a:spLocks noChangeShapeType="1"/>
        </xdr:cNvSpPr>
      </xdr:nvSpPr>
      <xdr:spPr bwMode="auto">
        <a:xfrm>
          <a:off x="6172200" y="5419725"/>
          <a:ext cx="26098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881063</xdr:colOff>
      <xdr:row>60</xdr:row>
      <xdr:rowOff>130969</xdr:rowOff>
    </xdr:from>
    <xdr:to>
      <xdr:col>32</xdr:col>
      <xdr:colOff>522292</xdr:colOff>
      <xdr:row>107</xdr:row>
      <xdr:rowOff>141964</xdr:rowOff>
    </xdr:to>
    <xdr:pic>
      <xdr:nvPicPr>
        <xdr:cNvPr id="2" name="図 1"/>
        <xdr:cNvPicPr>
          <a:picLocks noChangeAspect="1"/>
        </xdr:cNvPicPr>
      </xdr:nvPicPr>
      <xdr:blipFill>
        <a:blip xmlns:r="http://schemas.openxmlformats.org/officeDocument/2006/relationships" r:embed="rId1"/>
        <a:stretch>
          <a:fillRect/>
        </a:stretch>
      </xdr:blipFill>
      <xdr:spPr>
        <a:xfrm>
          <a:off x="13415963" y="12627769"/>
          <a:ext cx="12614279" cy="7173795"/>
        </a:xfrm>
        <a:prstGeom prst="rect">
          <a:avLst/>
        </a:prstGeom>
      </xdr:spPr>
    </xdr:pic>
    <xdr:clientData/>
  </xdr:twoCellAnchor>
  <xdr:twoCellAnchor>
    <xdr:from>
      <xdr:col>15</xdr:col>
      <xdr:colOff>504825</xdr:colOff>
      <xdr:row>2</xdr:row>
      <xdr:rowOff>9525</xdr:rowOff>
    </xdr:from>
    <xdr:to>
      <xdr:col>18</xdr:col>
      <xdr:colOff>962025</xdr:colOff>
      <xdr:row>6</xdr:row>
      <xdr:rowOff>9525</xdr:rowOff>
    </xdr:to>
    <xdr:sp macro="" textlink="">
      <xdr:nvSpPr>
        <xdr:cNvPr id="3" name="テキスト ボックス 2"/>
        <xdr:cNvSpPr txBox="1"/>
      </xdr:nvSpPr>
      <xdr:spPr>
        <a:xfrm>
          <a:off x="10439400" y="314325"/>
          <a:ext cx="30575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先にメモ入りを作成</a:t>
          </a:r>
          <a:endParaRPr kumimoji="1" lang="en-US" altLang="ja-JP" sz="1100"/>
        </a:p>
        <a:p>
          <a:r>
            <a:rPr kumimoji="1" lang="ja-JP" altLang="en-US" sz="1100"/>
            <a:t>シートをコピー</a:t>
          </a:r>
          <a:endParaRPr kumimoji="1" lang="en-US" altLang="ja-JP" sz="1100"/>
        </a:p>
        <a:p>
          <a:r>
            <a:rPr kumimoji="1" lang="ja-JP" altLang="en-US" sz="1100"/>
            <a:t>印刷範囲を調整し</a:t>
          </a:r>
          <a:endParaRPr kumimoji="1" lang="en-US" altLang="ja-JP" sz="1100"/>
        </a:p>
        <a:p>
          <a:r>
            <a:rPr kumimoji="1" lang="ja-JP" altLang="en-US" sz="1100"/>
            <a:t>コメント印刷しない</a:t>
          </a:r>
          <a:endParaRPr kumimoji="1" lang="en-US" altLang="ja-JP" sz="1100"/>
        </a:p>
        <a:p>
          <a:endParaRPr kumimoji="1" lang="ja-JP" altLang="en-US" sz="1100"/>
        </a:p>
      </xdr:txBody>
    </xdr:sp>
    <xdr:clientData/>
  </xdr:twoCellAnchor>
  <xdr:twoCellAnchor>
    <xdr:from>
      <xdr:col>18</xdr:col>
      <xdr:colOff>676275</xdr:colOff>
      <xdr:row>7</xdr:row>
      <xdr:rowOff>266699</xdr:rowOff>
    </xdr:from>
    <xdr:to>
      <xdr:col>19</xdr:col>
      <xdr:colOff>1152525</xdr:colOff>
      <xdr:row>12</xdr:row>
      <xdr:rowOff>104774</xdr:rowOff>
    </xdr:to>
    <xdr:sp macro="" textlink="">
      <xdr:nvSpPr>
        <xdr:cNvPr id="4" name="テキスト ボックス 3"/>
        <xdr:cNvSpPr txBox="1"/>
      </xdr:nvSpPr>
      <xdr:spPr>
        <a:xfrm>
          <a:off x="13211175" y="1752599"/>
          <a:ext cx="3057525"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R5</a:t>
          </a:r>
          <a:r>
            <a:rPr kumimoji="1" lang="ja-JP" altLang="en-US" sz="1100"/>
            <a:t>決算：</a:t>
          </a:r>
          <a:endParaRPr kumimoji="1" lang="en-US" altLang="ja-JP" sz="1100"/>
        </a:p>
        <a:p>
          <a:r>
            <a:rPr kumimoji="1" lang="ja-JP" altLang="en-US" sz="1100"/>
            <a:t>担当手持ちのつもりで、メモは作成したが、</a:t>
          </a:r>
          <a:endParaRPr kumimoji="1" lang="en-US" altLang="ja-JP" sz="1100"/>
        </a:p>
        <a:p>
          <a:r>
            <a:rPr kumimoji="1" lang="ja-JP" altLang="en-US" sz="1100"/>
            <a:t>せっかくなので課長まで手持ちとして渡した。</a:t>
          </a:r>
          <a:endParaRPr kumimoji="1" lang="en-US" altLang="ja-JP" sz="1100"/>
        </a:p>
        <a:p>
          <a:r>
            <a:rPr kumimoji="1" lang="ja-JP" altLang="en-US" sz="1100"/>
            <a:t>結局、小笹山次長から、要望があり、次長にもお渡することになった。</a:t>
          </a:r>
        </a:p>
      </xdr:txBody>
    </xdr:sp>
    <xdr:clientData/>
  </xdr:twoCellAnchor>
  <xdr:twoCellAnchor editAs="oneCell">
    <xdr:from>
      <xdr:col>5</xdr:col>
      <xdr:colOff>0</xdr:colOff>
      <xdr:row>62</xdr:row>
      <xdr:rowOff>0</xdr:rowOff>
    </xdr:from>
    <xdr:to>
      <xdr:col>11</xdr:col>
      <xdr:colOff>124542</xdr:colOff>
      <xdr:row>112</xdr:row>
      <xdr:rowOff>143958</xdr:rowOff>
    </xdr:to>
    <xdr:pic>
      <xdr:nvPicPr>
        <xdr:cNvPr id="5" name="図 4"/>
        <xdr:cNvPicPr>
          <a:picLocks noChangeAspect="1"/>
        </xdr:cNvPicPr>
      </xdr:nvPicPr>
      <xdr:blipFill>
        <a:blip xmlns:r="http://schemas.openxmlformats.org/officeDocument/2006/relationships" r:embed="rId2"/>
        <a:stretch>
          <a:fillRect/>
        </a:stretch>
      </xdr:blipFill>
      <xdr:spPr>
        <a:xfrm>
          <a:off x="2609850" y="12801600"/>
          <a:ext cx="5134692" cy="7763958"/>
        </a:xfrm>
        <a:prstGeom prst="rect">
          <a:avLst/>
        </a:prstGeom>
      </xdr:spPr>
    </xdr:pic>
    <xdr:clientData/>
  </xdr:twoCellAnchor>
  <xdr:twoCellAnchor>
    <xdr:from>
      <xdr:col>5</xdr:col>
      <xdr:colOff>695325</xdr:colOff>
      <xdr:row>99</xdr:row>
      <xdr:rowOff>57150</xdr:rowOff>
    </xdr:from>
    <xdr:to>
      <xdr:col>10</xdr:col>
      <xdr:colOff>257175</xdr:colOff>
      <xdr:row>107</xdr:row>
      <xdr:rowOff>0</xdr:rowOff>
    </xdr:to>
    <xdr:sp macro="" textlink="">
      <xdr:nvSpPr>
        <xdr:cNvPr id="6" name="テキスト ボックス 5"/>
        <xdr:cNvSpPr txBox="1"/>
      </xdr:nvSpPr>
      <xdr:spPr>
        <a:xfrm>
          <a:off x="3305175" y="18497550"/>
          <a:ext cx="3990975"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維持管理費分</a:t>
          </a:r>
          <a:endParaRPr kumimoji="1" lang="en-US" altLang="ja-JP" sz="1100"/>
        </a:p>
        <a:p>
          <a:r>
            <a:rPr kumimoji="1" lang="ja-JP" altLang="en-US" sz="1100"/>
            <a:t>決算　　 　</a:t>
          </a:r>
          <a:r>
            <a:rPr kumimoji="1" lang="en-US" altLang="ja-JP" sz="1100"/>
            <a:t>3,591,522,898</a:t>
          </a:r>
        </a:p>
        <a:p>
          <a:r>
            <a:rPr kumimoji="1" lang="en-US" altLang="ja-JP" sz="1100"/>
            <a:t>4</a:t>
          </a:r>
          <a:r>
            <a:rPr kumimoji="1" lang="ja-JP" altLang="en-US" sz="1100"/>
            <a:t>月決見　</a:t>
          </a:r>
          <a:r>
            <a:rPr kumimoji="1" lang="en-US" altLang="ja-JP" sz="1100"/>
            <a:t>3,415,988,000</a:t>
          </a:r>
        </a:p>
        <a:p>
          <a:r>
            <a:rPr kumimoji="1" lang="ja-JP" altLang="en-US" sz="1100"/>
            <a:t>差引　　　　</a:t>
          </a:r>
          <a:r>
            <a:rPr kumimoji="1" lang="ja-JP" altLang="en-US" sz="1100" baseline="0"/>
            <a:t> </a:t>
          </a:r>
          <a:r>
            <a:rPr kumimoji="1" lang="en-US" altLang="ja-JP" sz="1100"/>
            <a:t>175,534,898</a:t>
          </a:r>
          <a:endParaRPr kumimoji="1" lang="ja-JP" altLang="en-US" sz="1100"/>
        </a:p>
      </xdr:txBody>
    </xdr:sp>
    <xdr:clientData/>
  </xdr:twoCellAnchor>
  <xdr:twoCellAnchor>
    <xdr:from>
      <xdr:col>16</xdr:col>
      <xdr:colOff>228600</xdr:colOff>
      <xdr:row>16</xdr:row>
      <xdr:rowOff>123825</xdr:rowOff>
    </xdr:from>
    <xdr:to>
      <xdr:col>19</xdr:col>
      <xdr:colOff>1476375</xdr:colOff>
      <xdr:row>26</xdr:row>
      <xdr:rowOff>57150</xdr:rowOff>
    </xdr:to>
    <xdr:sp macro="" textlink="">
      <xdr:nvSpPr>
        <xdr:cNvPr id="7" name="テキスト ボックス 6"/>
        <xdr:cNvSpPr txBox="1"/>
      </xdr:nvSpPr>
      <xdr:spPr>
        <a:xfrm>
          <a:off x="11229975" y="4029075"/>
          <a:ext cx="5362575" cy="207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メモなし</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881063</xdr:colOff>
      <xdr:row>60</xdr:row>
      <xdr:rowOff>130969</xdr:rowOff>
    </xdr:from>
    <xdr:to>
      <xdr:col>32</xdr:col>
      <xdr:colOff>522292</xdr:colOff>
      <xdr:row>107</xdr:row>
      <xdr:rowOff>141964</xdr:rowOff>
    </xdr:to>
    <xdr:pic>
      <xdr:nvPicPr>
        <xdr:cNvPr id="3" name="図 2"/>
        <xdr:cNvPicPr>
          <a:picLocks noChangeAspect="1"/>
        </xdr:cNvPicPr>
      </xdr:nvPicPr>
      <xdr:blipFill>
        <a:blip xmlns:r="http://schemas.openxmlformats.org/officeDocument/2006/relationships" r:embed="rId1"/>
        <a:stretch>
          <a:fillRect/>
        </a:stretch>
      </xdr:blipFill>
      <xdr:spPr>
        <a:xfrm>
          <a:off x="13454063" y="12561094"/>
          <a:ext cx="12666667" cy="7285714"/>
        </a:xfrm>
        <a:prstGeom prst="rect">
          <a:avLst/>
        </a:prstGeom>
      </xdr:spPr>
    </xdr:pic>
    <xdr:clientData/>
  </xdr:twoCellAnchor>
  <xdr:twoCellAnchor>
    <xdr:from>
      <xdr:col>15</xdr:col>
      <xdr:colOff>504825</xdr:colOff>
      <xdr:row>2</xdr:row>
      <xdr:rowOff>9525</xdr:rowOff>
    </xdr:from>
    <xdr:to>
      <xdr:col>18</xdr:col>
      <xdr:colOff>962025</xdr:colOff>
      <xdr:row>6</xdr:row>
      <xdr:rowOff>9525</xdr:rowOff>
    </xdr:to>
    <xdr:sp macro="" textlink="">
      <xdr:nvSpPr>
        <xdr:cNvPr id="2" name="テキスト ボックス 1"/>
        <xdr:cNvSpPr txBox="1"/>
      </xdr:nvSpPr>
      <xdr:spPr>
        <a:xfrm>
          <a:off x="10439400" y="314325"/>
          <a:ext cx="30575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先にメモ入りを作成</a:t>
          </a:r>
          <a:endParaRPr kumimoji="1" lang="en-US" altLang="ja-JP" sz="1100"/>
        </a:p>
        <a:p>
          <a:r>
            <a:rPr kumimoji="1" lang="ja-JP" altLang="en-US" sz="1100"/>
            <a:t>シートをコピー</a:t>
          </a:r>
          <a:endParaRPr kumimoji="1" lang="en-US" altLang="ja-JP" sz="1100"/>
        </a:p>
        <a:p>
          <a:r>
            <a:rPr kumimoji="1" lang="ja-JP" altLang="en-US" sz="1100"/>
            <a:t>印刷範囲を調整し</a:t>
          </a:r>
          <a:endParaRPr kumimoji="1" lang="en-US" altLang="ja-JP" sz="1100"/>
        </a:p>
        <a:p>
          <a:r>
            <a:rPr kumimoji="1" lang="ja-JP" altLang="en-US" sz="1100"/>
            <a:t>コメント印刷しない</a:t>
          </a:r>
          <a:endParaRPr kumimoji="1" lang="en-US" altLang="ja-JP" sz="1100"/>
        </a:p>
        <a:p>
          <a:endParaRPr kumimoji="1" lang="ja-JP" altLang="en-US" sz="1100"/>
        </a:p>
      </xdr:txBody>
    </xdr:sp>
    <xdr:clientData/>
  </xdr:twoCellAnchor>
  <xdr:twoCellAnchor>
    <xdr:from>
      <xdr:col>18</xdr:col>
      <xdr:colOff>676275</xdr:colOff>
      <xdr:row>7</xdr:row>
      <xdr:rowOff>266699</xdr:rowOff>
    </xdr:from>
    <xdr:to>
      <xdr:col>19</xdr:col>
      <xdr:colOff>1152525</xdr:colOff>
      <xdr:row>12</xdr:row>
      <xdr:rowOff>104774</xdr:rowOff>
    </xdr:to>
    <xdr:sp macro="" textlink="">
      <xdr:nvSpPr>
        <xdr:cNvPr id="4" name="テキスト ボックス 3"/>
        <xdr:cNvSpPr txBox="1"/>
      </xdr:nvSpPr>
      <xdr:spPr>
        <a:xfrm>
          <a:off x="13211175" y="1752599"/>
          <a:ext cx="3057525"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R5</a:t>
          </a:r>
          <a:r>
            <a:rPr kumimoji="1" lang="ja-JP" altLang="en-US" sz="1100"/>
            <a:t>決算：</a:t>
          </a:r>
          <a:endParaRPr kumimoji="1" lang="en-US" altLang="ja-JP" sz="1100"/>
        </a:p>
        <a:p>
          <a:r>
            <a:rPr kumimoji="1" lang="ja-JP" altLang="en-US" sz="1100"/>
            <a:t>担当手持ちのつもりで、メモは作成したが、</a:t>
          </a:r>
          <a:endParaRPr kumimoji="1" lang="en-US" altLang="ja-JP" sz="1100"/>
        </a:p>
        <a:p>
          <a:r>
            <a:rPr kumimoji="1" lang="ja-JP" altLang="en-US" sz="1100"/>
            <a:t>せっかくなので課長まで手持ちとして渡した。</a:t>
          </a:r>
          <a:endParaRPr kumimoji="1" lang="en-US" altLang="ja-JP" sz="1100"/>
        </a:p>
        <a:p>
          <a:r>
            <a:rPr kumimoji="1" lang="ja-JP" altLang="en-US" sz="1100"/>
            <a:t>結局、小笹山次長から、要望があり、次長にもお渡することになった。</a:t>
          </a:r>
        </a:p>
      </xdr:txBody>
    </xdr:sp>
    <xdr:clientData/>
  </xdr:twoCellAnchor>
  <xdr:twoCellAnchor editAs="oneCell">
    <xdr:from>
      <xdr:col>5</xdr:col>
      <xdr:colOff>0</xdr:colOff>
      <xdr:row>62</xdr:row>
      <xdr:rowOff>0</xdr:rowOff>
    </xdr:from>
    <xdr:to>
      <xdr:col>11</xdr:col>
      <xdr:colOff>124542</xdr:colOff>
      <xdr:row>112</xdr:row>
      <xdr:rowOff>143958</xdr:rowOff>
    </xdr:to>
    <xdr:pic>
      <xdr:nvPicPr>
        <xdr:cNvPr id="5" name="図 4"/>
        <xdr:cNvPicPr>
          <a:picLocks noChangeAspect="1"/>
        </xdr:cNvPicPr>
      </xdr:nvPicPr>
      <xdr:blipFill>
        <a:blip xmlns:r="http://schemas.openxmlformats.org/officeDocument/2006/relationships" r:embed="rId2"/>
        <a:stretch>
          <a:fillRect/>
        </a:stretch>
      </xdr:blipFill>
      <xdr:spPr>
        <a:xfrm>
          <a:off x="2609850" y="12801600"/>
          <a:ext cx="5134692" cy="7763958"/>
        </a:xfrm>
        <a:prstGeom prst="rect">
          <a:avLst/>
        </a:prstGeom>
      </xdr:spPr>
    </xdr:pic>
    <xdr:clientData/>
  </xdr:twoCellAnchor>
  <xdr:twoCellAnchor>
    <xdr:from>
      <xdr:col>5</xdr:col>
      <xdr:colOff>695325</xdr:colOff>
      <xdr:row>99</xdr:row>
      <xdr:rowOff>57150</xdr:rowOff>
    </xdr:from>
    <xdr:to>
      <xdr:col>10</xdr:col>
      <xdr:colOff>257175</xdr:colOff>
      <xdr:row>107</xdr:row>
      <xdr:rowOff>0</xdr:rowOff>
    </xdr:to>
    <xdr:sp macro="" textlink="">
      <xdr:nvSpPr>
        <xdr:cNvPr id="6" name="テキスト ボックス 5"/>
        <xdr:cNvSpPr txBox="1"/>
      </xdr:nvSpPr>
      <xdr:spPr>
        <a:xfrm>
          <a:off x="3305175" y="18497550"/>
          <a:ext cx="3990975"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維持管理費分</a:t>
          </a:r>
          <a:endParaRPr kumimoji="1" lang="en-US" altLang="ja-JP" sz="1100"/>
        </a:p>
        <a:p>
          <a:r>
            <a:rPr kumimoji="1" lang="ja-JP" altLang="en-US" sz="1100"/>
            <a:t>決算　　 　</a:t>
          </a:r>
          <a:r>
            <a:rPr kumimoji="1" lang="en-US" altLang="ja-JP" sz="1100"/>
            <a:t>3,591,522,898</a:t>
          </a:r>
        </a:p>
        <a:p>
          <a:r>
            <a:rPr kumimoji="1" lang="en-US" altLang="ja-JP" sz="1100"/>
            <a:t>4</a:t>
          </a:r>
          <a:r>
            <a:rPr kumimoji="1" lang="ja-JP" altLang="en-US" sz="1100"/>
            <a:t>月決見　</a:t>
          </a:r>
          <a:r>
            <a:rPr kumimoji="1" lang="en-US" altLang="ja-JP" sz="1100"/>
            <a:t>3,415,988,000</a:t>
          </a:r>
        </a:p>
        <a:p>
          <a:r>
            <a:rPr kumimoji="1" lang="ja-JP" altLang="en-US" sz="1100"/>
            <a:t>差引　　　　</a:t>
          </a:r>
          <a:r>
            <a:rPr kumimoji="1" lang="ja-JP" altLang="en-US" sz="1100" baseline="0"/>
            <a:t> </a:t>
          </a:r>
          <a:r>
            <a:rPr kumimoji="1" lang="en-US" altLang="ja-JP" sz="1100"/>
            <a:t>175,534,898</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33</xdr:col>
      <xdr:colOff>0</xdr:colOff>
      <xdr:row>9</xdr:row>
      <xdr:rowOff>0</xdr:rowOff>
    </xdr:from>
    <xdr:to>
      <xdr:col>39</xdr:col>
      <xdr:colOff>521709</xdr:colOff>
      <xdr:row>25</xdr:row>
      <xdr:rowOff>55870</xdr:rowOff>
    </xdr:to>
    <xdr:sp macro="" textlink="">
      <xdr:nvSpPr>
        <xdr:cNvPr id="3" name="角丸四角形吹き出し 2"/>
        <xdr:cNvSpPr/>
      </xdr:nvSpPr>
      <xdr:spPr>
        <a:xfrm>
          <a:off x="24864680" y="1428750"/>
          <a:ext cx="4641826" cy="2791539"/>
        </a:xfrm>
        <a:prstGeom prst="wedgeRoundRectCallout">
          <a:avLst>
            <a:gd name="adj1" fmla="val -42466"/>
            <a:gd name="adj2" fmla="val 6369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F</a:t>
          </a:r>
          <a:r>
            <a:rPr kumimoji="1" lang="ja-JP" altLang="en-US" sz="1800" b="1">
              <a:latin typeface="+mn-ea"/>
              <a:ea typeface="+mn-ea"/>
            </a:rPr>
            <a:t>列：議決予算額　は当初予算額を入力</a:t>
          </a:r>
          <a:endParaRPr kumimoji="1" lang="en-US" altLang="ja-JP" sz="1800" b="1">
            <a:latin typeface="+mn-ea"/>
            <a:ea typeface="+mn-ea"/>
          </a:endParaRPr>
        </a:p>
        <a:p>
          <a:pPr algn="l"/>
          <a:r>
            <a:rPr kumimoji="1" lang="ja-JP" altLang="en-US" sz="1800" b="1">
              <a:latin typeface="+mn-ea"/>
              <a:ea typeface="+mn-ea"/>
            </a:rPr>
            <a:t>補正額を含んだ額に修正</a:t>
          </a:r>
          <a:r>
            <a:rPr kumimoji="1" lang="en-US" altLang="ja-JP" sz="1800" b="1">
              <a:latin typeface="+mn-ea"/>
              <a:ea typeface="+mn-ea"/>
            </a:rPr>
            <a:t>R4.4.19</a:t>
          </a:r>
        </a:p>
        <a:p>
          <a:pPr algn="l"/>
          <a:endParaRPr kumimoji="1" lang="en-US" altLang="ja-JP" sz="1800" b="1">
            <a:latin typeface="+mn-ea"/>
            <a:ea typeface="+mn-ea"/>
          </a:endParaRPr>
        </a:p>
        <a:p>
          <a:pPr algn="l"/>
          <a:r>
            <a:rPr kumimoji="1" lang="en-US" altLang="ja-JP" sz="1800" b="1">
              <a:latin typeface="+mn-ea"/>
              <a:ea typeface="+mn-ea"/>
            </a:rPr>
            <a:t>K</a:t>
          </a:r>
          <a:r>
            <a:rPr kumimoji="1" lang="ja-JP" altLang="en-US" sz="1800" b="1">
              <a:latin typeface="+mn-ea"/>
              <a:ea typeface="+mn-ea"/>
            </a:rPr>
            <a:t>列：</a:t>
          </a:r>
          <a:r>
            <a:rPr kumimoji="1" lang="en-US" altLang="ja-JP" sz="1800" b="1">
              <a:latin typeface="+mn-ea"/>
              <a:ea typeface="+mn-ea"/>
            </a:rPr>
            <a:t>R2</a:t>
          </a:r>
          <a:r>
            <a:rPr kumimoji="1" lang="ja-JP" altLang="en-US" sz="1800" b="1">
              <a:latin typeface="+mn-ea"/>
              <a:ea typeface="+mn-ea"/>
            </a:rPr>
            <a:t>決算額　は入力済</a:t>
          </a:r>
          <a:r>
            <a:rPr kumimoji="1" lang="en-US" altLang="ja-JP" sz="1800" b="1">
              <a:latin typeface="+mn-ea"/>
              <a:ea typeface="+mn-ea"/>
            </a:rPr>
            <a:t>R3.10.25</a:t>
          </a:r>
        </a:p>
        <a:p>
          <a:pPr algn="l"/>
          <a:endParaRPr kumimoji="1" lang="en-US" altLang="ja-JP" sz="1800" b="1">
            <a:latin typeface="+mn-ea"/>
            <a:ea typeface="+mn-ea"/>
          </a:endParaRPr>
        </a:p>
        <a:p>
          <a:pPr algn="l"/>
          <a:r>
            <a:rPr kumimoji="1" lang="en-US" altLang="ja-JP" sz="1800" b="1">
              <a:latin typeface="+mn-ea"/>
              <a:ea typeface="+mn-ea"/>
            </a:rPr>
            <a:t>V</a:t>
          </a:r>
          <a:r>
            <a:rPr kumimoji="1" lang="ja-JP" altLang="en-US" sz="1800" b="1">
              <a:latin typeface="+mn-ea"/>
              <a:ea typeface="+mn-ea"/>
            </a:rPr>
            <a:t>列　は入力済み</a:t>
          </a:r>
          <a:r>
            <a:rPr kumimoji="1" lang="en-US" altLang="ja-JP" sz="1800" b="1">
              <a:latin typeface="+mn-ea"/>
              <a:ea typeface="+mn-ea"/>
            </a:rPr>
            <a:t>R4.5.14</a:t>
          </a:r>
          <a:r>
            <a:rPr kumimoji="1" lang="ja-JP" altLang="en-US" sz="1800" b="1">
              <a:latin typeface="+mn-ea"/>
              <a:ea typeface="+mn-ea"/>
            </a:rPr>
            <a:t>修正</a:t>
          </a:r>
          <a:r>
            <a:rPr kumimoji="1" lang="en-US" altLang="ja-JP" sz="1800" b="1">
              <a:latin typeface="+mn-ea"/>
              <a:ea typeface="+mn-ea"/>
            </a:rPr>
            <a:t/>
          </a:r>
          <a:br>
            <a:rPr kumimoji="1" lang="en-US" altLang="ja-JP" sz="1800" b="1">
              <a:latin typeface="+mn-ea"/>
              <a:ea typeface="+mn-ea"/>
            </a:rPr>
          </a:br>
          <a:r>
            <a:rPr kumimoji="1" lang="ja-JP" altLang="en-US" sz="1800" b="1">
              <a:latin typeface="+mn-ea"/>
              <a:ea typeface="+mn-ea"/>
            </a:rPr>
            <a:t>令和５年度では使用していません。</a:t>
          </a:r>
        </a:p>
      </xdr:txBody>
    </xdr:sp>
    <xdr:clientData/>
  </xdr:twoCellAnchor>
  <xdr:twoCellAnchor>
    <xdr:from>
      <xdr:col>6</xdr:col>
      <xdr:colOff>952500</xdr:colOff>
      <xdr:row>5</xdr:row>
      <xdr:rowOff>0</xdr:rowOff>
    </xdr:from>
    <xdr:to>
      <xdr:col>7</xdr:col>
      <xdr:colOff>952500</xdr:colOff>
      <xdr:row>62</xdr:row>
      <xdr:rowOff>0</xdr:rowOff>
    </xdr:to>
    <xdr:sp macro="" textlink="">
      <xdr:nvSpPr>
        <xdr:cNvPr id="4" name="正方形/長方形 3"/>
        <xdr:cNvSpPr/>
      </xdr:nvSpPr>
      <xdr:spPr>
        <a:xfrm>
          <a:off x="3861288" y="512885"/>
          <a:ext cx="952500" cy="11561884"/>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33</xdr:col>
      <xdr:colOff>0</xdr:colOff>
      <xdr:row>9</xdr:row>
      <xdr:rowOff>0</xdr:rowOff>
    </xdr:from>
    <xdr:to>
      <xdr:col>39</xdr:col>
      <xdr:colOff>521709</xdr:colOff>
      <xdr:row>25</xdr:row>
      <xdr:rowOff>55870</xdr:rowOff>
    </xdr:to>
    <xdr:sp macro="" textlink="">
      <xdr:nvSpPr>
        <xdr:cNvPr id="2" name="角丸四角形吹き出し 1"/>
        <xdr:cNvSpPr/>
      </xdr:nvSpPr>
      <xdr:spPr>
        <a:xfrm>
          <a:off x="23450550" y="1485900"/>
          <a:ext cx="4636509" cy="3399145"/>
        </a:xfrm>
        <a:prstGeom prst="wedgeRoundRectCallout">
          <a:avLst>
            <a:gd name="adj1" fmla="val -42466"/>
            <a:gd name="adj2" fmla="val 6369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F</a:t>
          </a:r>
          <a:r>
            <a:rPr kumimoji="1" lang="ja-JP" altLang="en-US" sz="1800" b="1">
              <a:latin typeface="+mn-ea"/>
              <a:ea typeface="+mn-ea"/>
            </a:rPr>
            <a:t>列：議決予算額　は当初予算額を入力</a:t>
          </a:r>
          <a:endParaRPr kumimoji="1" lang="en-US" altLang="ja-JP" sz="1800" b="1">
            <a:latin typeface="+mn-ea"/>
            <a:ea typeface="+mn-ea"/>
          </a:endParaRPr>
        </a:p>
        <a:p>
          <a:pPr algn="l"/>
          <a:r>
            <a:rPr kumimoji="1" lang="ja-JP" altLang="en-US" sz="1800" b="1">
              <a:latin typeface="+mn-ea"/>
              <a:ea typeface="+mn-ea"/>
            </a:rPr>
            <a:t>補正額を含んだ額に修正</a:t>
          </a:r>
          <a:r>
            <a:rPr kumimoji="1" lang="en-US" altLang="ja-JP" sz="1800" b="1">
              <a:latin typeface="+mn-ea"/>
              <a:ea typeface="+mn-ea"/>
            </a:rPr>
            <a:t>R4.4.19</a:t>
          </a:r>
        </a:p>
        <a:p>
          <a:pPr algn="l"/>
          <a:endParaRPr kumimoji="1" lang="en-US" altLang="ja-JP" sz="1800" b="1">
            <a:latin typeface="+mn-ea"/>
            <a:ea typeface="+mn-ea"/>
          </a:endParaRPr>
        </a:p>
        <a:p>
          <a:pPr algn="l"/>
          <a:r>
            <a:rPr kumimoji="1" lang="en-US" altLang="ja-JP" sz="1800" b="1">
              <a:latin typeface="+mn-ea"/>
              <a:ea typeface="+mn-ea"/>
            </a:rPr>
            <a:t>K</a:t>
          </a:r>
          <a:r>
            <a:rPr kumimoji="1" lang="ja-JP" altLang="en-US" sz="1800" b="1">
              <a:latin typeface="+mn-ea"/>
              <a:ea typeface="+mn-ea"/>
            </a:rPr>
            <a:t>列：</a:t>
          </a:r>
          <a:r>
            <a:rPr kumimoji="1" lang="en-US" altLang="ja-JP" sz="1800" b="1">
              <a:latin typeface="+mn-ea"/>
              <a:ea typeface="+mn-ea"/>
            </a:rPr>
            <a:t>R2</a:t>
          </a:r>
          <a:r>
            <a:rPr kumimoji="1" lang="ja-JP" altLang="en-US" sz="1800" b="1">
              <a:latin typeface="+mn-ea"/>
              <a:ea typeface="+mn-ea"/>
            </a:rPr>
            <a:t>決算額　は入力済</a:t>
          </a:r>
          <a:r>
            <a:rPr kumimoji="1" lang="en-US" altLang="ja-JP" sz="1800" b="1">
              <a:latin typeface="+mn-ea"/>
              <a:ea typeface="+mn-ea"/>
            </a:rPr>
            <a:t>R3.10.25</a:t>
          </a:r>
        </a:p>
        <a:p>
          <a:pPr algn="l"/>
          <a:endParaRPr kumimoji="1" lang="en-US" altLang="ja-JP" sz="1800" b="1">
            <a:latin typeface="+mn-ea"/>
            <a:ea typeface="+mn-ea"/>
          </a:endParaRPr>
        </a:p>
        <a:p>
          <a:pPr algn="l"/>
          <a:r>
            <a:rPr kumimoji="1" lang="en-US" altLang="ja-JP" sz="1800" b="1">
              <a:latin typeface="+mn-ea"/>
              <a:ea typeface="+mn-ea"/>
            </a:rPr>
            <a:t>V</a:t>
          </a:r>
          <a:r>
            <a:rPr kumimoji="1" lang="ja-JP" altLang="en-US" sz="1800" b="1">
              <a:latin typeface="+mn-ea"/>
              <a:ea typeface="+mn-ea"/>
            </a:rPr>
            <a:t>列　は入力済み</a:t>
          </a:r>
          <a:r>
            <a:rPr kumimoji="1" lang="en-US" altLang="ja-JP" sz="1800" b="1">
              <a:latin typeface="+mn-ea"/>
              <a:ea typeface="+mn-ea"/>
            </a:rPr>
            <a:t>R4.5.14</a:t>
          </a:r>
          <a:r>
            <a:rPr kumimoji="1" lang="ja-JP" altLang="en-US" sz="1800" b="1">
              <a:latin typeface="+mn-ea"/>
              <a:ea typeface="+mn-ea"/>
            </a:rPr>
            <a:t>修正</a:t>
          </a:r>
          <a:r>
            <a:rPr kumimoji="1" lang="en-US" altLang="ja-JP" sz="1800" b="1">
              <a:latin typeface="+mn-ea"/>
              <a:ea typeface="+mn-ea"/>
            </a:rPr>
            <a:t/>
          </a:r>
          <a:br>
            <a:rPr kumimoji="1" lang="en-US" altLang="ja-JP" sz="1800" b="1">
              <a:latin typeface="+mn-ea"/>
              <a:ea typeface="+mn-ea"/>
            </a:rPr>
          </a:br>
          <a:r>
            <a:rPr kumimoji="1" lang="ja-JP" altLang="en-US" sz="1800" b="1">
              <a:latin typeface="+mn-ea"/>
              <a:ea typeface="+mn-ea"/>
            </a:rPr>
            <a:t>令和５年度では使用していません。</a:t>
          </a:r>
        </a:p>
      </xdr:txBody>
    </xdr:sp>
    <xdr:clientData/>
  </xdr:twoCellAnchor>
  <xdr:twoCellAnchor>
    <xdr:from>
      <xdr:col>6</xdr:col>
      <xdr:colOff>885825</xdr:colOff>
      <xdr:row>5</xdr:row>
      <xdr:rowOff>0</xdr:rowOff>
    </xdr:from>
    <xdr:to>
      <xdr:col>7</xdr:col>
      <xdr:colOff>885825</xdr:colOff>
      <xdr:row>64</xdr:row>
      <xdr:rowOff>0</xdr:rowOff>
    </xdr:to>
    <xdr:sp macro="" textlink="">
      <xdr:nvSpPr>
        <xdr:cNvPr id="3" name="正方形/長方形 2"/>
        <xdr:cNvSpPr/>
      </xdr:nvSpPr>
      <xdr:spPr>
        <a:xfrm>
          <a:off x="3596787" y="498231"/>
          <a:ext cx="886557" cy="14705134"/>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25</xdr:col>
      <xdr:colOff>525991</xdr:colOff>
      <xdr:row>1</xdr:row>
      <xdr:rowOff>70907</xdr:rowOff>
    </xdr:from>
    <xdr:to>
      <xdr:col>32</xdr:col>
      <xdr:colOff>361016</xdr:colOff>
      <xdr:row>23</xdr:row>
      <xdr:rowOff>29632</xdr:rowOff>
    </xdr:to>
    <xdr:sp macro="" textlink="">
      <xdr:nvSpPr>
        <xdr:cNvPr id="2" name="角丸四角形吹き出し 1"/>
        <xdr:cNvSpPr/>
      </xdr:nvSpPr>
      <xdr:spPr>
        <a:xfrm>
          <a:off x="17918641" y="251882"/>
          <a:ext cx="4635625" cy="3235325"/>
        </a:xfrm>
        <a:prstGeom prst="wedgeRoundRectCallout">
          <a:avLst>
            <a:gd name="adj1" fmla="val -42466"/>
            <a:gd name="adj2" fmla="val 6369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F</a:t>
          </a:r>
          <a:r>
            <a:rPr kumimoji="1" lang="ja-JP" altLang="en-US" sz="1800" b="1">
              <a:latin typeface="+mn-ea"/>
              <a:ea typeface="+mn-ea"/>
            </a:rPr>
            <a:t>列：議決予算額　は当初予算額を入力</a:t>
          </a:r>
          <a:endParaRPr kumimoji="1" lang="en-US" altLang="ja-JP" sz="1800" b="1">
            <a:latin typeface="+mn-ea"/>
            <a:ea typeface="+mn-ea"/>
          </a:endParaRPr>
        </a:p>
        <a:p>
          <a:pPr algn="l"/>
          <a:r>
            <a:rPr kumimoji="1" lang="ja-JP" altLang="en-US" sz="1800" b="1">
              <a:latin typeface="+mn-ea"/>
              <a:ea typeface="+mn-ea"/>
            </a:rPr>
            <a:t>補正額を含んだ額に修正　（繰）</a:t>
          </a:r>
          <a:r>
            <a:rPr kumimoji="1" lang="en-US" altLang="ja-JP" sz="1800" b="1">
              <a:latin typeface="+mn-ea"/>
              <a:ea typeface="+mn-ea"/>
            </a:rPr>
            <a:t>4</a:t>
          </a:r>
          <a:r>
            <a:rPr kumimoji="1" lang="ja-JP" altLang="en-US" sz="1800" b="1">
              <a:latin typeface="+mn-ea"/>
              <a:ea typeface="+mn-ea"/>
            </a:rPr>
            <a:t>条収入シート（繰）</a:t>
          </a:r>
          <a:r>
            <a:rPr kumimoji="1" lang="en-US" altLang="ja-JP" sz="1800" b="1">
              <a:latin typeface="+mn-ea"/>
              <a:ea typeface="+mn-ea"/>
            </a:rPr>
            <a:t>4</a:t>
          </a:r>
          <a:r>
            <a:rPr kumimoji="1" lang="ja-JP" altLang="en-US" sz="1800" b="1">
              <a:latin typeface="+mn-ea"/>
              <a:ea typeface="+mn-ea"/>
            </a:rPr>
            <a:t>条支出シートを</a:t>
          </a:r>
          <a:r>
            <a:rPr kumimoji="1" lang="en-US" altLang="ja-JP" sz="1800" b="1">
              <a:latin typeface="+mn-ea"/>
              <a:ea typeface="+mn-ea"/>
            </a:rPr>
            <a:t>R4.4.19</a:t>
          </a:r>
          <a:r>
            <a:rPr kumimoji="1" lang="ja-JP" altLang="en-US" sz="1800" b="1">
              <a:latin typeface="+mn-ea"/>
              <a:ea typeface="+mn-ea"/>
            </a:rPr>
            <a:t>修正</a:t>
          </a:r>
          <a:endParaRPr kumimoji="1" lang="en-US" altLang="ja-JP" sz="1800" b="1">
            <a:latin typeface="+mn-ea"/>
            <a:ea typeface="+mn-ea"/>
          </a:endParaRPr>
        </a:p>
        <a:p>
          <a:pPr algn="l"/>
          <a:endParaRPr kumimoji="1" lang="en-US" altLang="ja-JP" sz="1800" b="1">
            <a:latin typeface="+mn-ea"/>
            <a:ea typeface="+mn-ea"/>
          </a:endParaRPr>
        </a:p>
        <a:p>
          <a:pPr algn="l"/>
          <a:r>
            <a:rPr kumimoji="1" lang="en-US" altLang="ja-JP" sz="1800" b="1">
              <a:latin typeface="+mn-ea"/>
              <a:ea typeface="+mn-ea"/>
            </a:rPr>
            <a:t>H</a:t>
          </a:r>
          <a:r>
            <a:rPr kumimoji="1" lang="ja-JP" altLang="en-US" sz="1800" b="1">
              <a:latin typeface="+mn-ea"/>
              <a:ea typeface="+mn-ea"/>
            </a:rPr>
            <a:t>列：</a:t>
          </a:r>
          <a:r>
            <a:rPr kumimoji="1" lang="en-US" altLang="ja-JP" sz="1800" b="1">
              <a:latin typeface="+mn-ea"/>
              <a:ea typeface="+mn-ea"/>
            </a:rPr>
            <a:t>R2</a:t>
          </a:r>
          <a:r>
            <a:rPr kumimoji="1" lang="ja-JP" altLang="en-US" sz="1800" b="1">
              <a:latin typeface="+mn-ea"/>
              <a:ea typeface="+mn-ea"/>
            </a:rPr>
            <a:t>決算額　は入力済</a:t>
          </a:r>
          <a:r>
            <a:rPr kumimoji="1" lang="en-US" altLang="ja-JP" sz="1800" b="1">
              <a:latin typeface="+mn-ea"/>
              <a:ea typeface="+mn-ea"/>
            </a:rPr>
            <a:t>R3.10.25</a:t>
          </a:r>
        </a:p>
        <a:p>
          <a:pPr algn="l"/>
          <a:endParaRPr kumimoji="1" lang="en-US" altLang="ja-JP" sz="1800" b="1">
            <a:latin typeface="+mn-ea"/>
            <a:ea typeface="+mn-ea"/>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lt1"/>
              </a:solidFill>
              <a:effectLst/>
              <a:latin typeface="+mn-ea"/>
              <a:ea typeface="+mn-ea"/>
              <a:cs typeface="+mn-cs"/>
            </a:rPr>
            <a:t>N</a:t>
          </a:r>
          <a:r>
            <a:rPr kumimoji="1" lang="ja-JP" altLang="ja-JP" sz="1800" b="1">
              <a:solidFill>
                <a:schemeClr val="lt1"/>
              </a:solidFill>
              <a:effectLst/>
              <a:latin typeface="+mn-ea"/>
              <a:ea typeface="+mn-ea"/>
              <a:cs typeface="+mn-cs"/>
            </a:rPr>
            <a:t>列</a:t>
          </a:r>
          <a:r>
            <a:rPr kumimoji="1" lang="ja-JP" altLang="en-US" sz="1800" b="1">
              <a:solidFill>
                <a:schemeClr val="lt1"/>
              </a:solidFill>
              <a:effectLst/>
              <a:latin typeface="+mn-ea"/>
              <a:ea typeface="+mn-ea"/>
              <a:cs typeface="+mn-cs"/>
            </a:rPr>
            <a:t>、</a:t>
          </a:r>
          <a:r>
            <a:rPr kumimoji="1" lang="en-US" altLang="ja-JP" sz="1800" b="1">
              <a:solidFill>
                <a:schemeClr val="lt1"/>
              </a:solidFill>
              <a:effectLst/>
              <a:latin typeface="+mn-ea"/>
              <a:ea typeface="+mn-ea"/>
              <a:cs typeface="+mn-cs"/>
            </a:rPr>
            <a:t>P</a:t>
          </a:r>
          <a:r>
            <a:rPr kumimoji="1" lang="ja-JP" altLang="en-US" sz="1800" b="1">
              <a:solidFill>
                <a:schemeClr val="lt1"/>
              </a:solidFill>
              <a:effectLst/>
              <a:latin typeface="+mn-ea"/>
              <a:ea typeface="+mn-ea"/>
              <a:cs typeface="+mn-cs"/>
            </a:rPr>
            <a:t>列　は</a:t>
          </a:r>
          <a:r>
            <a:rPr kumimoji="1" lang="en-US" altLang="ja-JP" sz="1800" b="1">
              <a:solidFill>
                <a:schemeClr val="lt1"/>
              </a:solidFill>
              <a:effectLst/>
              <a:latin typeface="+mn-ea"/>
              <a:ea typeface="+mn-ea"/>
              <a:cs typeface="+mn-cs"/>
            </a:rPr>
            <a:t>R4.5.14</a:t>
          </a:r>
          <a:r>
            <a:rPr kumimoji="1" lang="ja-JP" altLang="en-US" sz="1800" b="1">
              <a:solidFill>
                <a:schemeClr val="lt1"/>
              </a:solidFill>
              <a:effectLst/>
              <a:latin typeface="+mn-ea"/>
              <a:ea typeface="+mn-ea"/>
              <a:cs typeface="+mn-cs"/>
            </a:rPr>
            <a:t>修正</a:t>
          </a:r>
          <a:endParaRPr kumimoji="1" lang="ja-JP" altLang="en-US" sz="1800" b="1">
            <a:latin typeface="+mn-ea"/>
            <a:ea typeface="+mn-ea"/>
          </a:endParaRPr>
        </a:p>
      </xdr:txBody>
    </xdr:sp>
    <xdr:clientData/>
  </xdr:twoCellAnchor>
  <xdr:twoCellAnchor>
    <xdr:from>
      <xdr:col>7</xdr:col>
      <xdr:colOff>0</xdr:colOff>
      <xdr:row>3</xdr:row>
      <xdr:rowOff>0</xdr:rowOff>
    </xdr:from>
    <xdr:to>
      <xdr:col>8</xdr:col>
      <xdr:colOff>0</xdr:colOff>
      <xdr:row>90</xdr:row>
      <xdr:rowOff>0</xdr:rowOff>
    </xdr:to>
    <xdr:sp macro="" textlink="">
      <xdr:nvSpPr>
        <xdr:cNvPr id="3" name="正方形/長方形 2"/>
        <xdr:cNvSpPr/>
      </xdr:nvSpPr>
      <xdr:spPr>
        <a:xfrm>
          <a:off x="4191000" y="770283"/>
          <a:ext cx="944217" cy="13848521"/>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21</xdr:col>
      <xdr:colOff>95250</xdr:colOff>
      <xdr:row>0</xdr:row>
      <xdr:rowOff>84667</xdr:rowOff>
    </xdr:from>
    <xdr:to>
      <xdr:col>28</xdr:col>
      <xdr:colOff>190500</xdr:colOff>
      <xdr:row>28</xdr:row>
      <xdr:rowOff>0</xdr:rowOff>
    </xdr:to>
    <xdr:sp macro="" textlink="">
      <xdr:nvSpPr>
        <xdr:cNvPr id="3" name="角丸四角形吹き出し 2"/>
        <xdr:cNvSpPr/>
      </xdr:nvSpPr>
      <xdr:spPr>
        <a:xfrm>
          <a:off x="12065000" y="84667"/>
          <a:ext cx="4910667" cy="4000500"/>
        </a:xfrm>
        <a:prstGeom prst="wedgeRoundRectCallout">
          <a:avLst>
            <a:gd name="adj1" fmla="val -43544"/>
            <a:gd name="adj2" fmla="val 5583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latin typeface="+mn-ea"/>
              <a:ea typeface="+mn-ea"/>
            </a:rPr>
            <a:t>F</a:t>
          </a:r>
          <a:r>
            <a:rPr kumimoji="1" lang="ja-JP" altLang="en-US" sz="1800" b="1">
              <a:latin typeface="+mn-ea"/>
              <a:ea typeface="+mn-ea"/>
            </a:rPr>
            <a:t>列：議決予算額　は当初予算額を入力</a:t>
          </a:r>
          <a:endParaRPr kumimoji="1" lang="en-US" altLang="ja-JP" sz="1800" b="1">
            <a:latin typeface="+mn-ea"/>
            <a:ea typeface="+mn-ea"/>
          </a:endParaRPr>
        </a:p>
        <a:p>
          <a:pPr algn="l"/>
          <a:r>
            <a:rPr kumimoji="1" lang="ja-JP" altLang="en-US" sz="1800" b="1">
              <a:latin typeface="+mn-ea"/>
              <a:ea typeface="+mn-ea"/>
            </a:rPr>
            <a:t>補正額を含んだ額に修正　（繰）</a:t>
          </a:r>
          <a:r>
            <a:rPr kumimoji="1" lang="en-US" altLang="ja-JP" sz="1800" b="1">
              <a:latin typeface="+mn-ea"/>
              <a:ea typeface="+mn-ea"/>
            </a:rPr>
            <a:t>4</a:t>
          </a:r>
          <a:r>
            <a:rPr kumimoji="1" lang="ja-JP" altLang="en-US" sz="1800" b="1">
              <a:latin typeface="+mn-ea"/>
              <a:ea typeface="+mn-ea"/>
            </a:rPr>
            <a:t>条収入シート（繰）</a:t>
          </a:r>
          <a:r>
            <a:rPr kumimoji="1" lang="en-US" altLang="ja-JP" sz="1800" b="1">
              <a:latin typeface="+mn-ea"/>
              <a:ea typeface="+mn-ea"/>
            </a:rPr>
            <a:t>4</a:t>
          </a:r>
          <a:r>
            <a:rPr kumimoji="1" lang="ja-JP" altLang="en-US" sz="1800" b="1">
              <a:latin typeface="+mn-ea"/>
              <a:ea typeface="+mn-ea"/>
            </a:rPr>
            <a:t>条支出シートを</a:t>
          </a:r>
          <a:r>
            <a:rPr kumimoji="1" lang="en-US" altLang="ja-JP" sz="1800" b="1">
              <a:latin typeface="+mn-ea"/>
              <a:ea typeface="+mn-ea"/>
            </a:rPr>
            <a:t>R4.4.19</a:t>
          </a:r>
          <a:r>
            <a:rPr kumimoji="1" lang="ja-JP" altLang="en-US" sz="1800" b="1">
              <a:latin typeface="+mn-ea"/>
              <a:ea typeface="+mn-ea"/>
            </a:rPr>
            <a:t>修正</a:t>
          </a:r>
        </a:p>
        <a:p>
          <a:pPr algn="l"/>
          <a:endParaRPr kumimoji="1" lang="en-US" altLang="ja-JP" sz="1800" b="1">
            <a:latin typeface="+mn-ea"/>
            <a:ea typeface="+mn-ea"/>
          </a:endParaRPr>
        </a:p>
        <a:p>
          <a:pPr algn="l"/>
          <a:r>
            <a:rPr kumimoji="1" lang="en-US" altLang="ja-JP" sz="1800" b="1">
              <a:latin typeface="+mn-ea"/>
              <a:ea typeface="+mn-ea"/>
            </a:rPr>
            <a:t>H</a:t>
          </a:r>
          <a:r>
            <a:rPr kumimoji="1" lang="ja-JP" altLang="en-US" sz="1800" b="1">
              <a:latin typeface="+mn-ea"/>
              <a:ea typeface="+mn-ea"/>
            </a:rPr>
            <a:t>列：</a:t>
          </a:r>
          <a:r>
            <a:rPr kumimoji="1" lang="en-US" altLang="ja-JP" sz="1800" b="1">
              <a:latin typeface="+mn-ea"/>
              <a:ea typeface="+mn-ea"/>
            </a:rPr>
            <a:t>R2</a:t>
          </a:r>
          <a:r>
            <a:rPr kumimoji="1" lang="ja-JP" altLang="en-US" sz="1800" b="1">
              <a:latin typeface="+mn-ea"/>
              <a:ea typeface="+mn-ea"/>
            </a:rPr>
            <a:t>決算額　は入力済</a:t>
          </a:r>
          <a:r>
            <a:rPr kumimoji="1" lang="en-US" altLang="ja-JP" sz="1800" b="1">
              <a:latin typeface="+mn-ea"/>
              <a:ea typeface="+mn-ea"/>
            </a:rPr>
            <a:t>R3.10.25</a:t>
          </a:r>
        </a:p>
        <a:p>
          <a:pPr algn="l"/>
          <a:endParaRPr kumimoji="1" lang="en-US" altLang="ja-JP" sz="1800" b="1">
            <a:latin typeface="+mn-ea"/>
            <a:ea typeface="+mn-ea"/>
          </a:endParaRPr>
        </a:p>
        <a:p>
          <a:pPr algn="l"/>
          <a:r>
            <a:rPr kumimoji="1" lang="en-US" altLang="ja-JP" sz="1800" b="1">
              <a:latin typeface="+mn-ea"/>
              <a:ea typeface="+mn-ea"/>
            </a:rPr>
            <a:t>M</a:t>
          </a:r>
          <a:r>
            <a:rPr kumimoji="1" lang="ja-JP" altLang="en-US" sz="1800" b="1">
              <a:latin typeface="+mn-ea"/>
              <a:ea typeface="+mn-ea"/>
            </a:rPr>
            <a:t>列：前年度からの繰越　は</a:t>
          </a:r>
          <a:r>
            <a:rPr kumimoji="1" lang="en-US" altLang="ja-JP" sz="1800" b="1">
              <a:latin typeface="+mn-ea"/>
              <a:ea typeface="+mn-ea"/>
            </a:rPr>
            <a:t>R2</a:t>
          </a:r>
          <a:r>
            <a:rPr kumimoji="1" lang="ja-JP" altLang="en-US" sz="1800" b="1">
              <a:latin typeface="+mn-ea"/>
              <a:ea typeface="+mn-ea"/>
            </a:rPr>
            <a:t>決算書どおり入力済</a:t>
          </a:r>
          <a:r>
            <a:rPr kumimoji="1" lang="en-US" altLang="ja-JP" sz="1800" b="1">
              <a:latin typeface="+mn-ea"/>
              <a:ea typeface="+mn-ea"/>
            </a:rPr>
            <a:t>R3.10.25</a:t>
          </a:r>
          <a:r>
            <a:rPr kumimoji="1" lang="ja-JP" altLang="en-US" sz="1800" b="1">
              <a:latin typeface="+mn-ea"/>
              <a:ea typeface="+mn-ea"/>
            </a:rPr>
            <a:t>（事故繰越</a:t>
          </a:r>
          <a:r>
            <a:rPr kumimoji="1" lang="en-US" altLang="ja-JP" sz="1800" b="1">
              <a:latin typeface="+mn-ea"/>
              <a:ea typeface="+mn-ea"/>
            </a:rPr>
            <a:t>R1</a:t>
          </a:r>
          <a:r>
            <a:rPr kumimoji="1" lang="ja-JP" altLang="en-US" sz="1800" b="1">
              <a:latin typeface="+mn-ea"/>
              <a:ea typeface="+mn-ea"/>
            </a:rPr>
            <a:t>→</a:t>
          </a:r>
          <a:r>
            <a:rPr kumimoji="1" lang="en-US" altLang="ja-JP" sz="1800" b="1">
              <a:latin typeface="+mn-ea"/>
              <a:ea typeface="+mn-ea"/>
            </a:rPr>
            <a:t>3</a:t>
          </a:r>
          <a:r>
            <a:rPr kumimoji="1" lang="ja-JP" altLang="en-US" sz="1800" b="1">
              <a:latin typeface="+mn-ea"/>
              <a:ea typeface="+mn-ea"/>
            </a:rPr>
            <a:t>を加算）</a:t>
          </a:r>
          <a:endParaRPr kumimoji="1" lang="en-US" altLang="ja-JP" sz="1800" b="1">
            <a:latin typeface="+mn-ea"/>
            <a:ea typeface="+mn-ea"/>
          </a:endParaRPr>
        </a:p>
        <a:p>
          <a:pPr algn="l"/>
          <a:endParaRPr kumimoji="1" lang="en-US" altLang="ja-JP" sz="1800" b="1">
            <a:latin typeface="+mn-ea"/>
            <a:ea typeface="+mn-ea"/>
          </a:endParaRPr>
        </a:p>
        <a:p>
          <a:pPr algn="l"/>
          <a:r>
            <a:rPr kumimoji="1" lang="en-US" altLang="ja-JP" sz="1800" b="1">
              <a:latin typeface="+mn-ea"/>
              <a:ea typeface="+mn-ea"/>
            </a:rPr>
            <a:t>P</a:t>
          </a:r>
          <a:r>
            <a:rPr kumimoji="1" lang="ja-JP" altLang="en-US" sz="1800" b="1">
              <a:latin typeface="+mn-ea"/>
              <a:ea typeface="+mn-ea"/>
            </a:rPr>
            <a:t>列は</a:t>
          </a:r>
          <a:r>
            <a:rPr kumimoji="1" lang="en-US" altLang="ja-JP" sz="1800" b="1">
              <a:latin typeface="+mn-ea"/>
              <a:ea typeface="+mn-ea"/>
            </a:rPr>
            <a:t>R4.5.14</a:t>
          </a:r>
          <a:r>
            <a:rPr kumimoji="1" lang="ja-JP" altLang="en-US" sz="1800" b="1">
              <a:latin typeface="+mn-ea"/>
              <a:ea typeface="+mn-ea"/>
            </a:rPr>
            <a:t>修正</a:t>
          </a:r>
        </a:p>
      </xdr:txBody>
    </xdr:sp>
    <xdr:clientData/>
  </xdr:twoCellAnchor>
  <xdr:twoCellAnchor>
    <xdr:from>
      <xdr:col>7</xdr:col>
      <xdr:colOff>0</xdr:colOff>
      <xdr:row>3</xdr:row>
      <xdr:rowOff>0</xdr:rowOff>
    </xdr:from>
    <xdr:to>
      <xdr:col>8</xdr:col>
      <xdr:colOff>1242</xdr:colOff>
      <xdr:row>70</xdr:row>
      <xdr:rowOff>0</xdr:rowOff>
    </xdr:to>
    <xdr:sp macro="" textlink="">
      <xdr:nvSpPr>
        <xdr:cNvPr id="4" name="正方形/長方形 3"/>
        <xdr:cNvSpPr/>
      </xdr:nvSpPr>
      <xdr:spPr>
        <a:xfrm>
          <a:off x="4538382" y="773206"/>
          <a:ext cx="942536" cy="16338176"/>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9312;R5%20&#65299;&#26465;&#25903;&#2098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9313;R5%20&#65299;&#26465;&#21454;&#2083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9318;R5%20&#28040;&#36027;&#3124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9316;R5%20&#38632;&#27738;&#277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9315;R5%20&#65300;&#26465;&#21454;&#2083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9314;R5%20&#65300;&#26465;&#25903;&#2098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年度"/>
      <sheetName val="全伝票"/>
      <sheetName val="災害伝票"/>
      <sheetName val="3条支出"/>
      <sheetName val="管"/>
      <sheetName val="水質"/>
      <sheetName val="ポ"/>
      <sheetName val="処"/>
      <sheetName val="受工"/>
      <sheetName val="普及"/>
      <sheetName val="貸付"/>
      <sheetName val="業務"/>
      <sheetName val="総係"/>
      <sheetName val="特環"/>
      <sheetName val="農集"/>
      <sheetName val="浄化"/>
      <sheetName val="災"/>
      <sheetName val="減価"/>
      <sheetName val="減耗"/>
      <sheetName val="営外"/>
      <sheetName val="特損"/>
      <sheetName val="3条支出(共通按分後)"/>
      <sheetName val="総係(共通按分後)"/>
      <sheetName val="特環(共通按分後)"/>
      <sheetName val="農集(共通按分後)"/>
      <sheetName val="浄化(共通按分後)"/>
    </sheetNames>
    <sheetDataSet>
      <sheetData sheetId="0"/>
      <sheetData sheetId="1"/>
      <sheetData sheetId="2"/>
      <sheetData sheetId="3">
        <row r="1">
          <cell r="D1" t="str">
            <v>令和５年度決算　消費税算出資料</v>
          </cell>
        </row>
        <row r="5">
          <cell r="E5">
            <v>38667489041</v>
          </cell>
        </row>
        <row r="6">
          <cell r="E6">
            <v>611819957</v>
          </cell>
          <cell r="T6">
            <v>564664608</v>
          </cell>
        </row>
        <row r="7">
          <cell r="E7">
            <v>52443869</v>
          </cell>
          <cell r="T7">
            <v>51313295</v>
          </cell>
        </row>
        <row r="8">
          <cell r="E8">
            <v>2356040225</v>
          </cell>
          <cell r="T8">
            <v>2251657967</v>
          </cell>
        </row>
        <row r="9">
          <cell r="E9">
            <v>6557703864</v>
          </cell>
          <cell r="T9">
            <v>6037810078</v>
          </cell>
        </row>
        <row r="11">
          <cell r="E11">
            <v>88849549</v>
          </cell>
          <cell r="T11">
            <v>87134052</v>
          </cell>
        </row>
        <row r="12">
          <cell r="E12">
            <v>10483859</v>
          </cell>
          <cell r="T12">
            <v>10396270</v>
          </cell>
        </row>
        <row r="13">
          <cell r="E13">
            <v>1019945143</v>
          </cell>
          <cell r="T13">
            <v>929691714</v>
          </cell>
        </row>
        <row r="14">
          <cell r="E14">
            <v>483965214</v>
          </cell>
          <cell r="T14">
            <v>466286409</v>
          </cell>
        </row>
        <row r="15">
          <cell r="E15">
            <v>106990906</v>
          </cell>
          <cell r="T15">
            <v>97276922</v>
          </cell>
        </row>
        <row r="16">
          <cell r="E16">
            <v>247654024</v>
          </cell>
          <cell r="T16">
            <v>225167795</v>
          </cell>
        </row>
        <row r="17">
          <cell r="E17">
            <v>76388330</v>
          </cell>
          <cell r="T17">
            <v>69941329</v>
          </cell>
        </row>
        <row r="18">
          <cell r="E18">
            <v>0</v>
          </cell>
          <cell r="T18">
            <v>0</v>
          </cell>
        </row>
        <row r="19">
          <cell r="E19">
            <v>26551442230</v>
          </cell>
          <cell r="T19">
            <v>26551442230</v>
          </cell>
        </row>
        <row r="20">
          <cell r="E20">
            <v>503761871</v>
          </cell>
          <cell r="T20">
            <v>503761871</v>
          </cell>
        </row>
        <row r="22">
          <cell r="E22">
            <v>3955185318</v>
          </cell>
        </row>
        <row r="23">
          <cell r="E23">
            <v>3945961149</v>
          </cell>
          <cell r="T23">
            <v>3940341717</v>
          </cell>
        </row>
        <row r="24">
          <cell r="E24">
            <v>9224169</v>
          </cell>
          <cell r="T24">
            <v>8734347</v>
          </cell>
        </row>
        <row r="25">
          <cell r="T25">
            <v>212487477</v>
          </cell>
        </row>
        <row r="27">
          <cell r="E27">
            <v>20995298</v>
          </cell>
        </row>
        <row r="28">
          <cell r="E28">
            <v>10679943</v>
          </cell>
          <cell r="T28">
            <v>9711499</v>
          </cell>
        </row>
        <row r="29">
          <cell r="E29">
            <v>0</v>
          </cell>
          <cell r="T29">
            <v>0</v>
          </cell>
        </row>
        <row r="30">
          <cell r="E30">
            <v>10315355</v>
          </cell>
          <cell r="T30">
            <v>10315355</v>
          </cell>
        </row>
        <row r="31">
          <cell r="E31">
            <v>0</v>
          </cell>
          <cell r="T31">
            <v>0</v>
          </cell>
        </row>
        <row r="41">
          <cell r="T41">
            <v>42028134935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E5">
            <v>503761871</v>
          </cell>
          <cell r="T5">
            <v>503761871</v>
          </cell>
        </row>
      </sheetData>
      <sheetData sheetId="19">
        <row r="12">
          <cell r="T12">
            <v>0</v>
          </cell>
        </row>
        <row r="22">
          <cell r="E22">
            <v>343538729</v>
          </cell>
        </row>
      </sheetData>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条収入"/>
    </sheetNames>
    <sheetDataSet>
      <sheetData sheetId="0">
        <row r="7">
          <cell r="E7">
            <v>20488962528</v>
          </cell>
        </row>
        <row r="8">
          <cell r="E8">
            <v>20488962528</v>
          </cell>
          <cell r="AI8">
            <v>18626337467</v>
          </cell>
        </row>
        <row r="9">
          <cell r="E9">
            <v>14187102335</v>
          </cell>
          <cell r="AI9">
            <v>14187102335</v>
          </cell>
        </row>
        <row r="10">
          <cell r="E10">
            <v>14079749832</v>
          </cell>
          <cell r="AI10">
            <v>14079749832</v>
          </cell>
        </row>
        <row r="11">
          <cell r="AI11">
            <v>3591522898</v>
          </cell>
        </row>
        <row r="12">
          <cell r="AI12">
            <v>8476549651</v>
          </cell>
        </row>
        <row r="13">
          <cell r="AI13">
            <v>2011677283</v>
          </cell>
        </row>
        <row r="14">
          <cell r="E14">
            <v>52443869</v>
          </cell>
          <cell r="AI14">
            <v>52443869</v>
          </cell>
        </row>
        <row r="15">
          <cell r="E15">
            <v>44424775</v>
          </cell>
          <cell r="AI15">
            <v>44424775</v>
          </cell>
        </row>
        <row r="16">
          <cell r="E16">
            <v>10483859</v>
          </cell>
          <cell r="AI16">
            <v>10483859</v>
          </cell>
        </row>
        <row r="18">
          <cell r="E18">
            <v>0</v>
          </cell>
          <cell r="AI18">
            <v>0</v>
          </cell>
        </row>
        <row r="19">
          <cell r="E19">
            <v>189846869</v>
          </cell>
          <cell r="AI19">
            <v>172643606</v>
          </cell>
        </row>
        <row r="27">
          <cell r="E27">
            <v>34865911732</v>
          </cell>
        </row>
        <row r="28">
          <cell r="E28">
            <v>88770</v>
          </cell>
          <cell r="AI28">
            <v>88770</v>
          </cell>
        </row>
        <row r="32">
          <cell r="E32">
            <v>0</v>
          </cell>
          <cell r="AI32">
            <v>0</v>
          </cell>
        </row>
        <row r="39">
          <cell r="E39">
            <v>53493193</v>
          </cell>
          <cell r="AI39">
            <v>50128048</v>
          </cell>
        </row>
        <row r="42">
          <cell r="E42">
            <v>9203253</v>
          </cell>
          <cell r="AI42">
            <v>9203253</v>
          </cell>
        </row>
        <row r="44">
          <cell r="AI44">
            <v>0</v>
          </cell>
        </row>
        <row r="45">
          <cell r="AI45">
            <v>0</v>
          </cell>
        </row>
        <row r="46">
          <cell r="AI46">
            <v>0</v>
          </cell>
        </row>
        <row r="47">
          <cell r="AI47">
            <v>4980</v>
          </cell>
        </row>
        <row r="48">
          <cell r="AI48">
            <v>9198273</v>
          </cell>
        </row>
        <row r="49">
          <cell r="E49">
            <v>0</v>
          </cell>
          <cell r="AI49">
            <v>0</v>
          </cell>
        </row>
        <row r="51">
          <cell r="E51">
            <v>36460334</v>
          </cell>
          <cell r="AI51">
            <v>37130542</v>
          </cell>
        </row>
        <row r="55">
          <cell r="E55">
            <v>9485355002</v>
          </cell>
          <cell r="AI55">
            <v>9485355002</v>
          </cell>
        </row>
        <row r="57">
          <cell r="E57">
            <v>9584600552</v>
          </cell>
        </row>
        <row r="58">
          <cell r="E58">
            <v>0</v>
          </cell>
          <cell r="AI58">
            <v>0</v>
          </cell>
        </row>
        <row r="60">
          <cell r="E60">
            <v>2769570</v>
          </cell>
          <cell r="AI60">
            <v>2623682</v>
          </cell>
        </row>
        <row r="62">
          <cell r="E62">
            <v>1429429</v>
          </cell>
          <cell r="AI62">
            <v>1429429</v>
          </cell>
        </row>
        <row r="66">
          <cell r="E66">
            <v>0</v>
          </cell>
          <cell r="AI66">
            <v>0</v>
          </cell>
        </row>
        <row r="68">
          <cell r="E68">
            <v>4198999</v>
          </cell>
        </row>
        <row r="69">
          <cell r="AI69">
            <v>42572042134</v>
          </cell>
        </row>
        <row r="74">
          <cell r="AI74">
            <v>543907199</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申)3%"/>
      <sheetName val="(申)5%"/>
      <sheetName val="(申)8%"/>
      <sheetName val="(申)軽8%"/>
      <sheetName val="(申)10%"/>
      <sheetName val="(申)計"/>
      <sheetName val="消費税旧"/>
      <sheetName val="対価返還"/>
      <sheetName val="基礎数値"/>
      <sheetName val="消費税"/>
      <sheetName val="4条圧縮"/>
      <sheetName val="仮受仮払"/>
      <sheetName val="精算表"/>
      <sheetName val="振替表"/>
    </sheetNames>
    <sheetDataSet>
      <sheetData sheetId="0"/>
      <sheetData sheetId="1"/>
      <sheetData sheetId="2"/>
      <sheetData sheetId="3"/>
      <sheetData sheetId="4"/>
      <sheetData sheetId="5"/>
      <sheetData sheetId="6"/>
      <sheetData sheetId="7"/>
      <sheetData sheetId="8"/>
      <sheetData sheetId="9">
        <row r="113">
          <cell r="Z113">
            <v>0</v>
          </cell>
          <cell r="AF113">
            <v>0</v>
          </cell>
        </row>
        <row r="118">
          <cell r="AF118">
            <v>-923595698</v>
          </cell>
        </row>
      </sheetData>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雨汚水"/>
      <sheetName val="雨汚収入"/>
      <sheetName val="雨汚支出"/>
      <sheetName val="補助補給"/>
      <sheetName val="3条税込み"/>
      <sheetName val="3条税抜き"/>
      <sheetName val="3条税抜き (消費税雑支出加算)"/>
      <sheetName val="収入税込"/>
      <sheetName val="収入税抜き"/>
      <sheetName val="収入税抜き (消費税雑収入加算）)"/>
      <sheetName val="雨汚水(共通按分後)"/>
      <sheetName val="3条税込み(共通按分後)"/>
      <sheetName val="3条税抜き(共通按分後)"/>
      <sheetName val="3条税抜き (消費税雑支出加算)(共通按分後)"/>
      <sheetName val="雨汚水(共通按分後) (確認用)"/>
    </sheetNames>
    <sheetDataSet>
      <sheetData sheetId="0">
        <row r="1">
          <cell r="D1" t="str">
            <v>令和５年度決算　消費税算出資料</v>
          </cell>
        </row>
        <row r="28">
          <cell r="E28">
            <v>10315355</v>
          </cell>
        </row>
        <row r="34">
          <cell r="E34">
            <v>26551442230</v>
          </cell>
        </row>
        <row r="35">
          <cell r="E35">
            <v>503761871</v>
          </cell>
        </row>
        <row r="42">
          <cell r="E42">
            <v>0</v>
          </cell>
        </row>
        <row r="44">
          <cell r="E44">
            <v>0</v>
          </cell>
        </row>
        <row r="47">
          <cell r="AD47">
            <v>11030037961</v>
          </cell>
        </row>
        <row r="48">
          <cell r="AD48">
            <v>30998096974</v>
          </cell>
        </row>
        <row r="85">
          <cell r="E85">
            <v>9364620277</v>
          </cell>
        </row>
        <row r="86">
          <cell r="E86">
            <v>120734725</v>
          </cell>
        </row>
        <row r="93">
          <cell r="E93">
            <v>334220</v>
          </cell>
        </row>
        <row r="95">
          <cell r="E95">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条収入"/>
    </sheetNames>
    <sheetDataSet>
      <sheetData sheetId="0">
        <row r="7">
          <cell r="E7">
            <v>32373300000</v>
          </cell>
        </row>
        <row r="9">
          <cell r="E9">
            <v>8822500000</v>
          </cell>
        </row>
        <row r="12">
          <cell r="E12">
            <v>493400000</v>
          </cell>
        </row>
        <row r="13">
          <cell r="E13">
            <v>120200000</v>
          </cell>
        </row>
        <row r="14">
          <cell r="E14">
            <v>5929500000</v>
          </cell>
        </row>
        <row r="15">
          <cell r="E15">
            <v>0</v>
          </cell>
        </row>
        <row r="16">
          <cell r="E16">
            <v>17007700000</v>
          </cell>
        </row>
        <row r="21">
          <cell r="E21">
            <v>3285504551</v>
          </cell>
        </row>
        <row r="22">
          <cell r="E22">
            <v>3285504551</v>
          </cell>
        </row>
        <row r="23">
          <cell r="E23">
            <v>5717788000</v>
          </cell>
        </row>
        <row r="25">
          <cell r="E25">
            <v>5683800000</v>
          </cell>
        </row>
        <row r="26">
          <cell r="E26">
            <v>0</v>
          </cell>
        </row>
        <row r="31">
          <cell r="E31">
            <v>33988000</v>
          </cell>
        </row>
        <row r="37">
          <cell r="E37">
            <v>24373083</v>
          </cell>
        </row>
        <row r="43">
          <cell r="E43">
            <v>8799605</v>
          </cell>
        </row>
        <row r="45">
          <cell r="E45">
            <v>35218280</v>
          </cell>
        </row>
        <row r="50">
          <cell r="E50">
            <v>530286509</v>
          </cell>
        </row>
        <row r="56">
          <cell r="E56">
            <v>0</v>
          </cell>
        </row>
        <row r="58">
          <cell r="E58">
            <v>0</v>
          </cell>
        </row>
        <row r="59">
          <cell r="E59">
            <v>0</v>
          </cell>
        </row>
        <row r="63">
          <cell r="E63">
            <v>0</v>
          </cell>
        </row>
        <row r="67">
          <cell r="E67">
            <v>0</v>
          </cell>
        </row>
        <row r="71">
          <cell r="E71">
            <v>3987000</v>
          </cell>
        </row>
        <row r="72">
          <cell r="E72">
            <v>2118000</v>
          </cell>
        </row>
        <row r="77">
          <cell r="E77">
            <v>1869000</v>
          </cell>
        </row>
        <row r="82">
          <cell r="E82">
            <v>0</v>
          </cell>
        </row>
        <row r="87">
          <cell r="E87">
            <v>45948113</v>
          </cell>
        </row>
        <row r="89">
          <cell r="E89">
            <v>0</v>
          </cell>
        </row>
        <row r="91">
          <cell r="E91">
            <v>42025205141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条支出"/>
      <sheetName val="公整"/>
      <sheetName val="受益"/>
      <sheetName val="排水"/>
      <sheetName val="都下"/>
      <sheetName val="流下"/>
      <sheetName val="諸公"/>
      <sheetName val="諸特"/>
      <sheetName val="諸農"/>
      <sheetName val="建利"/>
      <sheetName val="特整"/>
      <sheetName val="農整"/>
      <sheetName val="浄整"/>
      <sheetName val="償還"/>
      <sheetName val="水洗"/>
      <sheetName val="返還"/>
    </sheetNames>
    <sheetDataSet>
      <sheetData sheetId="0">
        <row r="5">
          <cell r="E5">
            <v>17250555070</v>
          </cell>
        </row>
        <row r="6">
          <cell r="E6">
            <v>15677649564</v>
          </cell>
        </row>
        <row r="7">
          <cell r="E7">
            <v>15860357</v>
          </cell>
        </row>
        <row r="8">
          <cell r="E8">
            <v>665100151</v>
          </cell>
        </row>
        <row r="9">
          <cell r="E9">
            <v>0</v>
          </cell>
        </row>
        <row r="10">
          <cell r="E10">
            <v>131921564</v>
          </cell>
        </row>
        <row r="11">
          <cell r="E11">
            <v>59178010</v>
          </cell>
        </row>
        <row r="15">
          <cell r="E15">
            <v>12600000</v>
          </cell>
        </row>
        <row r="16">
          <cell r="E16">
            <v>688245424</v>
          </cell>
        </row>
        <row r="21">
          <cell r="E21">
            <v>44621240467</v>
          </cell>
        </row>
        <row r="24">
          <cell r="E24">
            <v>3759000</v>
          </cell>
        </row>
        <row r="25">
          <cell r="E25">
            <v>0</v>
          </cell>
        </row>
        <row r="26">
          <cell r="E26">
            <v>423000</v>
          </cell>
        </row>
        <row r="28">
          <cell r="E28">
            <v>0</v>
          </cell>
        </row>
        <row r="41">
          <cell r="E41">
            <v>61875977537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ow r="6">
          <cell r="E6">
            <v>2600000</v>
          </cell>
        </row>
        <row r="12">
          <cell r="E12">
            <v>1159000</v>
          </cell>
        </row>
        <row r="18">
          <cell r="E18">
            <v>0</v>
          </cell>
        </row>
      </sheetData>
      <sheetData sheetId="1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ＭＳ ゴシック">
      <a:majorFont>
        <a:latin typeface="ＭＳ ゴシック"/>
        <a:ea typeface="ＭＳ ゴシック"/>
        <a:cs typeface=""/>
      </a:majorFont>
      <a:minorFont>
        <a:latin typeface="ＭＳ ゴシック"/>
        <a:ea typeface="ＭＳ 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8.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1.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2.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3.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26"/>
  <sheetViews>
    <sheetView view="pageBreakPreview" zoomScaleNormal="100" zoomScaleSheetLayoutView="100" workbookViewId="0">
      <selection activeCell="G12" sqref="G12"/>
    </sheetView>
  </sheetViews>
  <sheetFormatPr defaultRowHeight="13.5"/>
  <cols>
    <col min="1" max="2" width="2.625" style="376" customWidth="1"/>
    <col min="3" max="3" width="38" style="376" bestFit="1" customWidth="1"/>
    <col min="4" max="4" width="9.875" style="376" bestFit="1" customWidth="1"/>
    <col min="5" max="5" width="17.625" style="376" customWidth="1"/>
    <col min="6" max="6" width="2.75" style="376" customWidth="1"/>
    <col min="7" max="7" width="17.625" style="376" customWidth="1"/>
    <col min="8" max="8" width="59.375" style="376" customWidth="1"/>
    <col min="9" max="10" width="9" style="376"/>
    <col min="11" max="11" width="14" style="394" bestFit="1" customWidth="1"/>
    <col min="12" max="16384" width="9" style="376"/>
  </cols>
  <sheetData>
    <row r="1" spans="1:8" ht="18.75" customHeight="1">
      <c r="C1" s="376" t="s">
        <v>503</v>
      </c>
      <c r="E1" s="377" t="s">
        <v>466</v>
      </c>
      <c r="G1" s="377" t="s">
        <v>507</v>
      </c>
      <c r="H1" s="377" t="s">
        <v>500</v>
      </c>
    </row>
    <row r="2" spans="1:8" ht="20.25" customHeight="1">
      <c r="C2" s="376" t="s">
        <v>504</v>
      </c>
    </row>
    <row r="3" spans="1:8" ht="18.75" customHeight="1">
      <c r="A3" s="376" t="s">
        <v>467</v>
      </c>
      <c r="D3" s="376" t="s">
        <v>468</v>
      </c>
      <c r="E3" s="391">
        <v>59709459299</v>
      </c>
      <c r="F3" s="379"/>
      <c r="G3" s="378">
        <f>'(繰)4条支出 '!G5</f>
        <v>61875977537</v>
      </c>
      <c r="H3" s="380" t="s">
        <v>496</v>
      </c>
    </row>
    <row r="4" spans="1:8" ht="18.75" customHeight="1">
      <c r="E4" s="379"/>
      <c r="F4" s="379"/>
      <c r="G4" s="391">
        <v>2698946190.9999962</v>
      </c>
      <c r="H4" s="380" t="s">
        <v>501</v>
      </c>
    </row>
    <row r="5" spans="1:8" ht="18.75" customHeight="1">
      <c r="A5" s="376" t="s">
        <v>469</v>
      </c>
      <c r="D5" s="376" t="s">
        <v>470</v>
      </c>
      <c r="E5" s="389">
        <v>39670381852</v>
      </c>
      <c r="F5" s="379"/>
      <c r="G5" s="381">
        <f>G4+'(繰)4条収入'!G35</f>
        <v>41438646781</v>
      </c>
      <c r="H5" s="380" t="s">
        <v>495</v>
      </c>
    </row>
    <row r="6" spans="1:8" ht="18.75" customHeight="1" thickBot="1">
      <c r="B6" s="382" t="s">
        <v>471</v>
      </c>
      <c r="C6" s="382"/>
      <c r="D6" s="376" t="s">
        <v>472</v>
      </c>
      <c r="E6" s="383">
        <f>E5+E7</f>
        <v>40554720469</v>
      </c>
      <c r="F6" s="379"/>
      <c r="G6" s="383">
        <f>G5+G7</f>
        <v>42025205141</v>
      </c>
      <c r="H6" s="380"/>
    </row>
    <row r="7" spans="1:8" ht="18.75" customHeight="1" thickBot="1">
      <c r="B7" s="376" t="s">
        <v>473</v>
      </c>
      <c r="D7" s="376" t="s">
        <v>474</v>
      </c>
      <c r="E7" s="393">
        <v>884338617</v>
      </c>
      <c r="F7" s="379"/>
      <c r="G7" s="384">
        <f>'(繰)4条支出 '!J5-'(繰)4条収入'!L5</f>
        <v>586558360</v>
      </c>
      <c r="H7" s="380" t="s">
        <v>499</v>
      </c>
    </row>
    <row r="8" spans="1:8" ht="18.75" customHeight="1">
      <c r="E8" s="379"/>
      <c r="F8" s="379"/>
      <c r="G8" s="379"/>
      <c r="H8" s="380"/>
    </row>
    <row r="9" spans="1:8" ht="18.75" customHeight="1">
      <c r="A9" s="376" t="s">
        <v>475</v>
      </c>
      <c r="D9" s="376" t="s">
        <v>476</v>
      </c>
      <c r="E9" s="385">
        <f>E3-E5</f>
        <v>20039077447</v>
      </c>
      <c r="F9" s="379"/>
      <c r="G9" s="385">
        <f>G3-G5</f>
        <v>20437330756</v>
      </c>
      <c r="H9" s="380"/>
    </row>
    <row r="10" spans="1:8" ht="18.75" customHeight="1">
      <c r="E10" s="379"/>
      <c r="F10" s="379"/>
      <c r="G10" s="379"/>
      <c r="H10" s="380"/>
    </row>
    <row r="11" spans="1:8" ht="18.75" customHeight="1">
      <c r="A11" s="376" t="s">
        <v>477</v>
      </c>
      <c r="D11" s="376" t="s">
        <v>478</v>
      </c>
      <c r="E11" s="385">
        <f>SUM(E12:E13,E16:E17)</f>
        <v>20039077447</v>
      </c>
      <c r="F11" s="379"/>
      <c r="G11" s="385">
        <f>SUM(G12:G13,G16:G17)</f>
        <v>20437330756</v>
      </c>
      <c r="H11" s="380"/>
    </row>
    <row r="12" spans="1:8" ht="18.75" customHeight="1" thickBot="1">
      <c r="B12" s="376" t="s">
        <v>479</v>
      </c>
      <c r="D12" s="376" t="s">
        <v>480</v>
      </c>
      <c r="E12" s="391">
        <v>769659721</v>
      </c>
      <c r="F12" s="379"/>
      <c r="G12" s="378">
        <f>'(繰)案'!E33</f>
        <v>923595698</v>
      </c>
      <c r="H12" s="380" t="s">
        <v>502</v>
      </c>
    </row>
    <row r="13" spans="1:8" ht="18.75" customHeight="1" thickBot="1">
      <c r="B13" s="376" t="s">
        <v>481</v>
      </c>
      <c r="D13" s="376" t="s">
        <v>482</v>
      </c>
      <c r="E13" s="386">
        <f>SUM(E14:E15)</f>
        <v>627253803</v>
      </c>
      <c r="F13" s="379"/>
      <c r="G13" s="386">
        <f>SUM(G14:G15)</f>
        <v>884338617</v>
      </c>
      <c r="H13" s="380"/>
    </row>
    <row r="14" spans="1:8" ht="18.75" customHeight="1">
      <c r="C14" s="376" t="s">
        <v>483</v>
      </c>
      <c r="D14" s="376" t="s">
        <v>484</v>
      </c>
      <c r="E14" s="391">
        <v>627111363</v>
      </c>
      <c r="F14" s="379"/>
      <c r="G14" s="387">
        <f>E7</f>
        <v>884338617</v>
      </c>
      <c r="H14" s="380"/>
    </row>
    <row r="15" spans="1:8" ht="18.75" customHeight="1">
      <c r="C15" s="376" t="s">
        <v>485</v>
      </c>
      <c r="D15" s="376" t="s">
        <v>486</v>
      </c>
      <c r="E15" s="391">
        <v>142440</v>
      </c>
      <c r="F15" s="379"/>
      <c r="G15" s="390"/>
      <c r="H15" s="380" t="s">
        <v>487</v>
      </c>
    </row>
    <row r="16" spans="1:8" ht="18.75" customHeight="1">
      <c r="B16" s="376" t="s">
        <v>488</v>
      </c>
      <c r="D16" s="376" t="s">
        <v>489</v>
      </c>
      <c r="E16" s="391">
        <v>17443558426</v>
      </c>
      <c r="F16" s="379"/>
      <c r="G16" s="378">
        <f>'(繰)案'!E22</f>
        <v>17579830234</v>
      </c>
      <c r="H16" s="380" t="s">
        <v>497</v>
      </c>
    </row>
    <row r="17" spans="1:8" ht="18.75" customHeight="1">
      <c r="B17" s="376" t="s">
        <v>490</v>
      </c>
      <c r="D17" s="376" t="s">
        <v>491</v>
      </c>
      <c r="E17" s="391">
        <v>1198605497</v>
      </c>
      <c r="F17" s="379"/>
      <c r="G17" s="378">
        <f>'(繰)案'!E34</f>
        <v>1049566207</v>
      </c>
      <c r="H17" s="380" t="s">
        <v>498</v>
      </c>
    </row>
    <row r="18" spans="1:8" ht="18.75" customHeight="1">
      <c r="E18" s="379"/>
      <c r="F18" s="379"/>
      <c r="G18" s="379"/>
      <c r="H18" s="380"/>
    </row>
    <row r="19" spans="1:8" ht="18.75" customHeight="1">
      <c r="A19" s="376" t="s">
        <v>492</v>
      </c>
      <c r="D19" s="376" t="s">
        <v>493</v>
      </c>
      <c r="E19" s="388">
        <f>E9-E11</f>
        <v>0</v>
      </c>
      <c r="F19" s="379"/>
      <c r="G19" s="388">
        <f>G9-G11</f>
        <v>0</v>
      </c>
      <c r="H19" s="380" t="s">
        <v>494</v>
      </c>
    </row>
    <row r="20" spans="1:8" ht="18.75" customHeight="1">
      <c r="E20" s="379"/>
      <c r="F20" s="379"/>
      <c r="G20" s="379"/>
    </row>
    <row r="21" spans="1:8" ht="18.75" customHeight="1">
      <c r="E21" s="379"/>
      <c r="F21" s="379"/>
      <c r="G21" s="379"/>
    </row>
    <row r="22" spans="1:8" ht="18.75" customHeight="1"/>
    <row r="23" spans="1:8" ht="18.75" customHeight="1"/>
    <row r="24" spans="1:8" ht="18.75" customHeight="1">
      <c r="G24" s="392"/>
    </row>
    <row r="25" spans="1:8" ht="18.75" customHeight="1"/>
    <row r="26" spans="1:8" ht="18.75" customHeight="1"/>
  </sheetData>
  <phoneticPr fontId="3"/>
  <pageMargins left="0.70866141732283472" right="0.70866141732283472" top="0.74803149606299213" bottom="0.74803149606299213" header="0.31496062992125984" footer="0.31496062992125984"/>
  <pageSetup paperSize="9" scale="88" orientation="landscape" r:id="rId1"/>
  <headerFooter>
    <oddHeader>&amp;C一般会計出資金の最終チェック</oddHeader>
  </headerFooter>
  <colBreaks count="1" manualBreakCount="1">
    <brk id="7"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sheetPr>
  <dimension ref="A1:K42"/>
  <sheetViews>
    <sheetView view="pageBreakPreview" zoomScaleNormal="115" zoomScaleSheetLayoutView="100" workbookViewId="0">
      <selection sqref="A1:G1"/>
    </sheetView>
  </sheetViews>
  <sheetFormatPr defaultRowHeight="13.5" outlineLevelRow="1"/>
  <cols>
    <col min="1" max="1" width="3.375" customWidth="1"/>
    <col min="2" max="2" width="3.125" customWidth="1"/>
    <col min="3" max="3" width="41.625" customWidth="1"/>
    <col min="4" max="4" width="12.625" customWidth="1"/>
    <col min="5" max="5" width="15.625" style="1" bestFit="1" customWidth="1"/>
    <col min="6" max="6" width="4.375" customWidth="1"/>
    <col min="7" max="7" width="5" customWidth="1"/>
    <col min="8" max="8" width="24.25" customWidth="1"/>
    <col min="10" max="10" width="14" style="359" bestFit="1" customWidth="1"/>
  </cols>
  <sheetData>
    <row r="1" spans="1:11" ht="39" customHeight="1">
      <c r="A1" s="1224" t="s">
        <v>54</v>
      </c>
      <c r="B1" s="1224"/>
      <c r="C1" s="1224"/>
      <c r="D1" s="1224"/>
      <c r="E1" s="1224"/>
      <c r="F1" s="1224"/>
      <c r="G1" s="1224"/>
    </row>
    <row r="2" spans="1:11" ht="23.1" customHeight="1">
      <c r="A2" t="s">
        <v>53</v>
      </c>
      <c r="E2" s="14">
        <f>'(繰)対前年'!G46</f>
        <v>17495336000</v>
      </c>
      <c r="F2" t="s">
        <v>1</v>
      </c>
    </row>
    <row r="3" spans="1:11" ht="23.1" customHeight="1">
      <c r="A3" t="s">
        <v>52</v>
      </c>
      <c r="D3" s="8" t="s">
        <v>51</v>
      </c>
      <c r="E3" s="5">
        <f>+E2</f>
        <v>17495336000</v>
      </c>
      <c r="F3" t="s">
        <v>1</v>
      </c>
    </row>
    <row r="4" spans="1:11" ht="23.1" hidden="1" customHeight="1">
      <c r="A4" s="22" t="s">
        <v>50</v>
      </c>
      <c r="C4" s="16"/>
      <c r="D4" s="8" t="s">
        <v>49</v>
      </c>
      <c r="E4" s="14">
        <f>+'(繰)対前年'!G36</f>
        <v>0</v>
      </c>
      <c r="F4" s="22" t="s">
        <v>1</v>
      </c>
      <c r="I4" s="22"/>
    </row>
    <row r="5" spans="1:11" s="22" customFormat="1" ht="23.1" customHeight="1">
      <c r="A5" t="s">
        <v>48</v>
      </c>
      <c r="C5" s="23"/>
      <c r="D5" s="8" t="s">
        <v>47</v>
      </c>
      <c r="E5" s="14">
        <f>+'(繰)対前年'!H39</f>
        <v>17481810139</v>
      </c>
      <c r="F5" s="22" t="s">
        <v>1</v>
      </c>
      <c r="H5" t="s">
        <v>7</v>
      </c>
      <c r="J5" s="360"/>
    </row>
    <row r="6" spans="1:11" s="22" customFormat="1" ht="23.1" hidden="1" customHeight="1">
      <c r="A6" t="s">
        <v>46</v>
      </c>
      <c r="C6" s="23"/>
      <c r="D6" s="8" t="s">
        <v>45</v>
      </c>
      <c r="E6" s="14">
        <f>+'(繰)対前年'!H38</f>
        <v>0</v>
      </c>
      <c r="F6" s="22" t="s">
        <v>1</v>
      </c>
      <c r="J6" s="360"/>
    </row>
    <row r="7" spans="1:11" ht="23.1" customHeight="1" thickBot="1">
      <c r="A7" t="s">
        <v>44</v>
      </c>
      <c r="D7" s="8" t="s">
        <v>43</v>
      </c>
      <c r="E7" s="21">
        <f>E3+E4-E5-E6</f>
        <v>13525861</v>
      </c>
      <c r="F7" s="20" t="s">
        <v>1</v>
      </c>
    </row>
    <row r="8" spans="1:11" ht="14.25" thickTop="1">
      <c r="D8" s="8"/>
      <c r="E8" s="19"/>
      <c r="F8" s="18"/>
    </row>
    <row r="9" spans="1:11" ht="23.1" customHeight="1">
      <c r="A9" t="s">
        <v>42</v>
      </c>
      <c r="D9" s="17"/>
      <c r="E9" s="5"/>
    </row>
    <row r="10" spans="1:11" ht="23.1" customHeight="1">
      <c r="B10" t="s">
        <v>41</v>
      </c>
      <c r="E10" s="5"/>
      <c r="H10" t="s">
        <v>40</v>
      </c>
    </row>
    <row r="11" spans="1:11" ht="23.1" customHeight="1">
      <c r="C11" t="s">
        <v>39</v>
      </c>
      <c r="D11" s="8" t="s">
        <v>38</v>
      </c>
      <c r="E11" s="14">
        <f>'(繰)3条支出 '!I4</f>
        <v>42028134935</v>
      </c>
      <c r="F11" t="s">
        <v>1</v>
      </c>
      <c r="H11" s="15">
        <f>+'[1]3条支出'!T41</f>
        <v>42028134935</v>
      </c>
      <c r="K11" s="358"/>
    </row>
    <row r="12" spans="1:11" ht="23.1" customHeight="1">
      <c r="C12" t="s">
        <v>37</v>
      </c>
      <c r="D12" s="8" t="s">
        <v>36</v>
      </c>
      <c r="E12" s="14">
        <f>'(繰)3条収入'!H4-'(繰)3条収入'!H7-'(繰)3条収入'!H15</f>
        <v>28375736546</v>
      </c>
      <c r="F12" t="s">
        <v>1</v>
      </c>
      <c r="H12" s="15">
        <f>+'[2]3条収入'!AI69</f>
        <v>42572042134</v>
      </c>
      <c r="K12" s="358"/>
    </row>
    <row r="13" spans="1:11" ht="23.1" customHeight="1">
      <c r="C13" t="s">
        <v>35</v>
      </c>
      <c r="D13" s="8" t="s">
        <v>34</v>
      </c>
      <c r="E13" s="14">
        <f>+'(繰)3条収入'!H4-'(繰)3条支出 '!I4</f>
        <v>543907199</v>
      </c>
      <c r="F13" t="s">
        <v>1</v>
      </c>
      <c r="H13" s="15">
        <f>+'[2]3条収入'!AI74</f>
        <v>543907199</v>
      </c>
      <c r="K13" s="358"/>
    </row>
    <row r="14" spans="1:11" ht="23.1" customHeight="1">
      <c r="C14" t="s">
        <v>33</v>
      </c>
      <c r="D14" s="8" t="s">
        <v>32</v>
      </c>
      <c r="E14" s="10">
        <f>E11-E12+E13</f>
        <v>14196305588</v>
      </c>
      <c r="F14" t="s">
        <v>1</v>
      </c>
      <c r="G14" s="8" t="s">
        <v>31</v>
      </c>
      <c r="H14" s="15">
        <f>+'[2]3条収入'!AI9+'[2]3条収入'!AI42</f>
        <v>14196305588</v>
      </c>
      <c r="K14" s="358"/>
    </row>
    <row r="15" spans="1:11" ht="23.1" customHeight="1">
      <c r="E15" s="5"/>
    </row>
    <row r="16" spans="1:11" ht="23.1" customHeight="1">
      <c r="B16" t="s">
        <v>30</v>
      </c>
      <c r="E16" s="5"/>
    </row>
    <row r="17" spans="3:8" ht="23.1" customHeight="1">
      <c r="C17" t="s">
        <v>29</v>
      </c>
      <c r="D17" s="8" t="s">
        <v>28</v>
      </c>
      <c r="E17" s="14">
        <f>'(繰)4条支出 '!K5</f>
        <v>61852897933</v>
      </c>
      <c r="F17" t="s">
        <v>1</v>
      </c>
    </row>
    <row r="18" spans="3:8" ht="23.1" customHeight="1">
      <c r="C18" t="s">
        <v>27</v>
      </c>
      <c r="D18" s="8" t="s">
        <v>26</v>
      </c>
      <c r="E18" s="14">
        <f>SUM('(繰)4条収入'!M6,'(繰)4条収入'!M16,'(繰)4条収入'!M20,'(繰)4条収入'!M22,'(繰)4条収入'!M29,'(繰)4条収入'!M30)</f>
        <v>38957586329</v>
      </c>
      <c r="F18" t="s">
        <v>1</v>
      </c>
    </row>
    <row r="19" spans="3:8" ht="23.1" customHeight="1">
      <c r="C19" t="s">
        <v>25</v>
      </c>
      <c r="E19" s="5"/>
    </row>
    <row r="20" spans="3:8" ht="23.1" customHeight="1">
      <c r="C20" t="s">
        <v>24</v>
      </c>
      <c r="D20" s="8" t="s">
        <v>23</v>
      </c>
      <c r="E20" s="5">
        <f>E22+E31+E34+E35</f>
        <v>19609807053</v>
      </c>
      <c r="F20" t="s">
        <v>1</v>
      </c>
    </row>
    <row r="21" spans="3:8" ht="23.1" customHeight="1">
      <c r="C21" t="s">
        <v>22</v>
      </c>
      <c r="E21" s="5" t="s">
        <v>21</v>
      </c>
    </row>
    <row r="22" spans="3:8" ht="23.1" customHeight="1">
      <c r="C22" t="s">
        <v>20</v>
      </c>
      <c r="E22" s="5">
        <f>SUM(E23:E30)</f>
        <v>17579830234</v>
      </c>
      <c r="F22" t="s">
        <v>1</v>
      </c>
      <c r="H22" s="7" t="s">
        <v>316</v>
      </c>
    </row>
    <row r="23" spans="3:8" ht="23.1" customHeight="1">
      <c r="C23" t="s">
        <v>19</v>
      </c>
      <c r="E23" s="10">
        <f>'(繰)3条支出 '!I18-H23</f>
        <v>26551442230</v>
      </c>
      <c r="F23" t="s">
        <v>1</v>
      </c>
    </row>
    <row r="24" spans="3:8" ht="23.1" customHeight="1">
      <c r="C24" t="s">
        <v>18</v>
      </c>
      <c r="E24" s="13">
        <f>+[1]減耗!T5</f>
        <v>503761871</v>
      </c>
      <c r="F24" t="s">
        <v>1</v>
      </c>
      <c r="H24" t="s">
        <v>7</v>
      </c>
    </row>
    <row r="25" spans="3:8" ht="23.1" customHeight="1">
      <c r="C25" t="s">
        <v>17</v>
      </c>
      <c r="E25" s="14">
        <f>'(繰)3条支出 '!G25</f>
        <v>10315355</v>
      </c>
      <c r="F25" t="s">
        <v>15</v>
      </c>
    </row>
    <row r="26" spans="3:8" ht="23.1" hidden="1" customHeight="1" outlineLevel="1">
      <c r="C26" t="s">
        <v>16</v>
      </c>
      <c r="E26" s="14">
        <f>+'(繰)3条支出 '!I28</f>
        <v>0</v>
      </c>
      <c r="F26" t="s">
        <v>15</v>
      </c>
    </row>
    <row r="27" spans="3:8" ht="23.1" customHeight="1" collapsed="1">
      <c r="C27" t="s">
        <v>14</v>
      </c>
      <c r="E27" s="14">
        <f>-'(繰)3条収入'!H18</f>
        <v>-9485355002</v>
      </c>
      <c r="F27" t="s">
        <v>15</v>
      </c>
      <c r="H27" s="358"/>
    </row>
    <row r="28" spans="3:8" ht="23.1" hidden="1" customHeight="1" outlineLevel="1">
      <c r="C28" t="s">
        <v>13</v>
      </c>
      <c r="E28" s="14">
        <f>-'(繰)3条収入'!H20</f>
        <v>0</v>
      </c>
      <c r="H28" s="358"/>
    </row>
    <row r="29" spans="3:8" ht="23.1" customHeight="1" collapsed="1">
      <c r="C29" t="s">
        <v>515</v>
      </c>
      <c r="E29" s="11">
        <v>-334220</v>
      </c>
      <c r="F29" t="s">
        <v>15</v>
      </c>
      <c r="H29" s="358"/>
    </row>
    <row r="30" spans="3:8" ht="23.1" hidden="1" customHeight="1" outlineLevel="1">
      <c r="C30" t="s">
        <v>12</v>
      </c>
      <c r="E30" s="13">
        <f>+[1]営外!T12</f>
        <v>0</v>
      </c>
      <c r="F30" t="s">
        <v>1</v>
      </c>
    </row>
    <row r="31" spans="3:8" ht="23.1" customHeight="1" collapsed="1">
      <c r="C31" t="s">
        <v>11</v>
      </c>
      <c r="E31" s="5">
        <f>E32+E33</f>
        <v>923595698</v>
      </c>
      <c r="F31" t="s">
        <v>1</v>
      </c>
    </row>
    <row r="32" spans="3:8" ht="23.1" hidden="1" customHeight="1">
      <c r="C32" t="s">
        <v>10</v>
      </c>
      <c r="E32" s="11">
        <v>0</v>
      </c>
      <c r="F32" t="s">
        <v>1</v>
      </c>
    </row>
    <row r="33" spans="2:11" ht="23.1" customHeight="1">
      <c r="C33" t="s">
        <v>9</v>
      </c>
      <c r="E33" s="12">
        <f>-[3]消費税!AF118</f>
        <v>923595698</v>
      </c>
      <c r="F33" t="s">
        <v>1</v>
      </c>
    </row>
    <row r="34" spans="2:11" ht="23.1" customHeight="1">
      <c r="C34" t="s">
        <v>8</v>
      </c>
      <c r="E34" s="11">
        <v>1049566207</v>
      </c>
      <c r="F34" t="s">
        <v>1</v>
      </c>
      <c r="H34" t="s">
        <v>7</v>
      </c>
    </row>
    <row r="35" spans="2:11" ht="23.1" customHeight="1">
      <c r="C35" t="s">
        <v>6</v>
      </c>
      <c r="E35" s="11">
        <v>56814914</v>
      </c>
      <c r="F35" t="s">
        <v>1</v>
      </c>
    </row>
    <row r="36" spans="2:11">
      <c r="E36" s="10"/>
    </row>
    <row r="37" spans="2:11" ht="23.1" customHeight="1">
      <c r="C37" t="s">
        <v>5</v>
      </c>
      <c r="D37" s="9" t="s">
        <v>4</v>
      </c>
      <c r="E37" s="5">
        <f>E17-E18-E20</f>
        <v>3285504551</v>
      </c>
      <c r="F37" t="s">
        <v>1</v>
      </c>
      <c r="G37" s="8" t="s">
        <v>3</v>
      </c>
      <c r="J37" s="359" t="s">
        <v>541</v>
      </c>
    </row>
    <row r="38" spans="2:11" ht="23.1" customHeight="1" outlineLevel="1">
      <c r="D38" s="6" t="s">
        <v>578</v>
      </c>
      <c r="E38" s="5">
        <f>'(繰)4条収入'!I28</f>
        <v>0</v>
      </c>
      <c r="J38" s="359">
        <v>3640474000</v>
      </c>
    </row>
    <row r="39" spans="2:11" ht="23.1" customHeight="1">
      <c r="C39" s="6"/>
      <c r="D39" s="6" t="s">
        <v>223</v>
      </c>
      <c r="E39" s="5">
        <f>E37-E38</f>
        <v>3285504551</v>
      </c>
      <c r="H39" s="7"/>
      <c r="J39" s="359">
        <f>E37-J38</f>
        <v>-354969449</v>
      </c>
      <c r="K39" s="358"/>
    </row>
    <row r="40" spans="2:11">
      <c r="C40" s="6"/>
      <c r="E40" s="5"/>
    </row>
    <row r="41" spans="2:11" ht="23.1" customHeight="1">
      <c r="B41" t="s">
        <v>2</v>
      </c>
      <c r="E41" s="5"/>
    </row>
    <row r="42" spans="2:11" ht="23.25" customHeight="1">
      <c r="E42" s="4">
        <f>E14+E37</f>
        <v>17481810139</v>
      </c>
      <c r="F42" s="3" t="s">
        <v>1</v>
      </c>
      <c r="G42" s="2" t="s">
        <v>0</v>
      </c>
      <c r="K42" s="358"/>
    </row>
  </sheetData>
  <mergeCells count="1">
    <mergeCell ref="A1:G1"/>
  </mergeCells>
  <phoneticPr fontId="3"/>
  <conditionalFormatting sqref="H22">
    <cfRule type="expression" dxfId="0" priority="1">
      <formula>"if($E$36&lt;0)"</formula>
    </cfRule>
  </conditionalFormatting>
  <pageMargins left="0.86614173228346458" right="0.70866141732283472" top="0.6692913385826772" bottom="0.55118110236220474" header="0.51181102362204722" footer="0.51181102362204722"/>
  <pageSetup paperSize="9" orientation="portrait" blackAndWhite="1"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7"/>
  </sheetPr>
  <dimension ref="A1:P62"/>
  <sheetViews>
    <sheetView view="pageBreakPreview" zoomScaleNormal="80" zoomScaleSheetLayoutView="100" workbookViewId="0"/>
  </sheetViews>
  <sheetFormatPr defaultColWidth="9" defaultRowHeight="13.5" outlineLevelRow="1"/>
  <cols>
    <col min="1" max="1" width="2.125" style="24" customWidth="1"/>
    <col min="2" max="4" width="2.25" style="24" customWidth="1"/>
    <col min="5" max="5" width="2.125" style="24" customWidth="1"/>
    <col min="6" max="6" width="17.125" style="24" customWidth="1"/>
    <col min="7" max="7" width="15.875" style="25" customWidth="1"/>
    <col min="8" max="9" width="16" style="25" customWidth="1"/>
    <col min="10" max="10" width="20.875" style="24" customWidth="1"/>
    <col min="11" max="11" width="8.75" style="24" customWidth="1"/>
    <col min="12" max="12" width="2.375" style="24" customWidth="1"/>
    <col min="13" max="13" width="5.75" style="24" customWidth="1"/>
    <col min="14" max="14" width="9" style="24"/>
    <col min="15" max="15" width="12.875" style="24" bestFit="1" customWidth="1"/>
    <col min="16" max="16" width="9.25" style="24" bestFit="1" customWidth="1"/>
    <col min="17" max="16384" width="9" style="24"/>
  </cols>
  <sheetData>
    <row r="1" spans="1:14" ht="36" customHeight="1">
      <c r="A1" s="90"/>
      <c r="B1" s="90"/>
      <c r="C1" s="90"/>
      <c r="D1" s="90"/>
      <c r="E1" s="90"/>
      <c r="F1" s="90"/>
      <c r="G1" s="91"/>
      <c r="H1" s="93" t="s">
        <v>113</v>
      </c>
      <c r="I1" s="91"/>
      <c r="J1" s="92">
        <f>+DATE(MID([4]雨汚水!D1,3,1)+2019,3,31)</f>
        <v>45382</v>
      </c>
    </row>
    <row r="2" spans="1:14" ht="30" customHeight="1">
      <c r="A2" s="90"/>
      <c r="B2" s="1228" t="s">
        <v>112</v>
      </c>
      <c r="C2" s="1228"/>
      <c r="D2" s="1228"/>
      <c r="E2" s="1228"/>
      <c r="F2" s="1228"/>
      <c r="G2" s="91"/>
      <c r="H2" s="91"/>
      <c r="I2" s="91"/>
      <c r="J2" s="90"/>
    </row>
    <row r="3" spans="1:14" ht="30" customHeight="1">
      <c r="A3" s="90"/>
      <c r="B3" s="90"/>
      <c r="C3" s="90"/>
      <c r="D3" s="90"/>
      <c r="E3" s="90"/>
      <c r="F3" s="90"/>
      <c r="G3" s="91"/>
      <c r="H3" s="91"/>
      <c r="I3" s="91"/>
      <c r="J3" s="89" t="s">
        <v>111</v>
      </c>
    </row>
    <row r="4" spans="1:14" ht="19.5" customHeight="1">
      <c r="A4" s="90"/>
      <c r="B4" s="90"/>
      <c r="C4" s="90"/>
      <c r="D4" s="90"/>
      <c r="E4" s="90"/>
      <c r="F4" s="90"/>
      <c r="G4" s="91"/>
      <c r="H4" s="91"/>
      <c r="I4" s="91"/>
      <c r="J4" s="89"/>
    </row>
    <row r="5" spans="1:14" ht="19.5" customHeight="1">
      <c r="A5" s="1241" t="str">
        <f>+CONCATENATE(LEFT('[1]3条支出'!$D$1,7),"下水道事業会計に対する一般会計繰入金の精算について")</f>
        <v>令和５年度決算下水道事業会計に対する一般会計繰入金の精算について</v>
      </c>
      <c r="B5" s="1241"/>
      <c r="C5" s="1241"/>
      <c r="D5" s="1241"/>
      <c r="E5" s="1241"/>
      <c r="F5" s="1241"/>
      <c r="G5" s="1241"/>
      <c r="H5" s="1241"/>
      <c r="I5" s="1241"/>
      <c r="J5" s="1241"/>
    </row>
    <row r="6" spans="1:14" ht="19.5" customHeight="1">
      <c r="A6" s="1205"/>
      <c r="B6" s="1205"/>
      <c r="C6" s="1205"/>
      <c r="D6" s="1205"/>
      <c r="E6" s="1205"/>
      <c r="F6" s="1205"/>
      <c r="G6" s="1205"/>
      <c r="H6" s="1205"/>
      <c r="I6" s="1205"/>
      <c r="J6" s="1205"/>
    </row>
    <row r="7" spans="1:14" ht="19.5" customHeight="1">
      <c r="A7" s="90"/>
      <c r="B7" s="373" t="s">
        <v>653</v>
      </c>
      <c r="C7" s="373"/>
      <c r="D7" s="373"/>
      <c r="E7" s="373"/>
      <c r="F7" s="373"/>
      <c r="G7" s="373"/>
      <c r="H7" s="373"/>
      <c r="I7" s="373"/>
      <c r="J7" s="89"/>
    </row>
    <row r="8" spans="1:14" ht="19.5" customHeight="1">
      <c r="A8" s="1241" t="s">
        <v>110</v>
      </c>
      <c r="B8" s="1241"/>
      <c r="C8" s="1241"/>
      <c r="D8" s="1241"/>
      <c r="E8" s="1241"/>
      <c r="F8" s="1241"/>
      <c r="G8" s="1241"/>
      <c r="H8" s="1241"/>
      <c r="I8" s="1241"/>
      <c r="J8" s="1241"/>
    </row>
    <row r="9" spans="1:14" ht="24" customHeight="1" thickBot="1">
      <c r="B9" s="88"/>
      <c r="C9" s="88"/>
      <c r="D9" s="88"/>
      <c r="E9" s="1242"/>
      <c r="F9" s="1242"/>
      <c r="G9" s="1242"/>
      <c r="H9" s="1242"/>
      <c r="J9" s="87" t="s">
        <v>109</v>
      </c>
    </row>
    <row r="10" spans="1:14" ht="21" customHeight="1" thickBot="1">
      <c r="A10" s="1243" t="s">
        <v>108</v>
      </c>
      <c r="B10" s="1244"/>
      <c r="C10" s="1244"/>
      <c r="D10" s="1244"/>
      <c r="E10" s="1244"/>
      <c r="F10" s="1245"/>
      <c r="G10" s="86" t="s">
        <v>68</v>
      </c>
      <c r="H10" s="86" t="s">
        <v>67</v>
      </c>
      <c r="I10" s="86" t="s">
        <v>66</v>
      </c>
      <c r="J10" s="85" t="s">
        <v>65</v>
      </c>
      <c r="K10" s="24" t="s">
        <v>508</v>
      </c>
      <c r="L10" s="24" t="s">
        <v>509</v>
      </c>
      <c r="M10" s="24" t="s">
        <v>510</v>
      </c>
      <c r="N10" s="24" t="s">
        <v>511</v>
      </c>
    </row>
    <row r="11" spans="1:14" ht="21" customHeight="1">
      <c r="A11" s="78" t="s">
        <v>107</v>
      </c>
      <c r="B11" s="77"/>
      <c r="C11" s="77"/>
      <c r="D11" s="77"/>
      <c r="E11" s="77"/>
      <c r="F11" s="77"/>
      <c r="G11" s="76">
        <f>G12+G22</f>
        <v>13854862000</v>
      </c>
      <c r="H11" s="76">
        <f>H12+H22</f>
        <v>14196305588</v>
      </c>
      <c r="I11" s="76">
        <f t="shared" ref="I11:I40" si="0">G11-H11</f>
        <v>-341443588</v>
      </c>
      <c r="J11" s="75"/>
      <c r="N11" s="24" t="b">
        <f>OR(G11&gt;0,H11&gt;0,I11&gt;0)</f>
        <v>1</v>
      </c>
    </row>
    <row r="12" spans="1:14" ht="21" customHeight="1">
      <c r="A12" s="74"/>
      <c r="B12" s="1232" t="s">
        <v>106</v>
      </c>
      <c r="C12" s="1233"/>
      <c r="D12" s="1233"/>
      <c r="E12" s="1233"/>
      <c r="F12" s="1234"/>
      <c r="G12" s="61">
        <f>G13</f>
        <v>13854862000</v>
      </c>
      <c r="H12" s="61">
        <f>H13</f>
        <v>14187102335</v>
      </c>
      <c r="I12" s="61">
        <f t="shared" si="0"/>
        <v>-332240335</v>
      </c>
      <c r="J12" s="60"/>
      <c r="N12" s="24" t="b">
        <f t="shared" ref="N12:N40" si="1">OR(G12&gt;0,H12&gt;0,I12&gt;0)</f>
        <v>1</v>
      </c>
    </row>
    <row r="13" spans="1:14" ht="21" customHeight="1">
      <c r="A13" s="72"/>
      <c r="B13" s="70"/>
      <c r="C13" s="73" t="s">
        <v>105</v>
      </c>
      <c r="D13" s="73"/>
      <c r="E13" s="73"/>
      <c r="F13" s="73"/>
      <c r="G13" s="61">
        <f>G14+G19+G20+G21+G18</f>
        <v>13854862000</v>
      </c>
      <c r="H13" s="61">
        <f>H14+H19+H20+H21</f>
        <v>14187102335</v>
      </c>
      <c r="I13" s="61">
        <f t="shared" si="0"/>
        <v>-332240335</v>
      </c>
      <c r="J13" s="60"/>
      <c r="N13" s="24" t="b">
        <f t="shared" si="1"/>
        <v>1</v>
      </c>
    </row>
    <row r="14" spans="1:14" ht="21" customHeight="1">
      <c r="A14" s="72"/>
      <c r="B14" s="71"/>
      <c r="C14" s="70"/>
      <c r="D14" s="73" t="s">
        <v>104</v>
      </c>
      <c r="E14" s="73"/>
      <c r="F14" s="73"/>
      <c r="G14" s="61">
        <f>SUM(G15:G17)</f>
        <v>13738282000</v>
      </c>
      <c r="H14" s="61">
        <f>SUM(H15:H18)</f>
        <v>14079749832</v>
      </c>
      <c r="I14" s="61">
        <f t="shared" si="0"/>
        <v>-341467832</v>
      </c>
      <c r="J14" s="60"/>
      <c r="N14" s="24" t="b">
        <f t="shared" si="1"/>
        <v>1</v>
      </c>
    </row>
    <row r="15" spans="1:14" ht="21" customHeight="1">
      <c r="A15" s="72"/>
      <c r="B15" s="71"/>
      <c r="C15" s="71"/>
      <c r="D15" s="70"/>
      <c r="E15" s="73" t="s">
        <v>93</v>
      </c>
      <c r="F15" s="73"/>
      <c r="G15" s="61">
        <f>+'(繰)対前年'!G9</f>
        <v>3686798000</v>
      </c>
      <c r="H15" s="61">
        <f>'(繰)対前年'!H9-H18</f>
        <v>3591522898</v>
      </c>
      <c r="I15" s="61">
        <f t="shared" si="0"/>
        <v>95275102</v>
      </c>
      <c r="J15" s="60" t="s">
        <v>100</v>
      </c>
      <c r="N15" s="24" t="b">
        <f t="shared" si="1"/>
        <v>1</v>
      </c>
    </row>
    <row r="16" spans="1:14" ht="21" customHeight="1">
      <c r="A16" s="72"/>
      <c r="B16" s="71"/>
      <c r="C16" s="71"/>
      <c r="D16" s="71"/>
      <c r="E16" s="73" t="s">
        <v>92</v>
      </c>
      <c r="F16" s="73"/>
      <c r="G16" s="61">
        <f>+'(繰)対前年'!G10</f>
        <v>7912710000</v>
      </c>
      <c r="H16" s="61">
        <f>'(繰)対前年'!H10</f>
        <v>8476549651</v>
      </c>
      <c r="I16" s="61">
        <f t="shared" si="0"/>
        <v>-563839651</v>
      </c>
      <c r="J16" s="60" t="s">
        <v>89</v>
      </c>
      <c r="N16" s="24" t="b">
        <f t="shared" si="1"/>
        <v>1</v>
      </c>
    </row>
    <row r="17" spans="1:14" ht="21" customHeight="1">
      <c r="A17" s="72"/>
      <c r="B17" s="71"/>
      <c r="C17" s="71"/>
      <c r="D17" s="71"/>
      <c r="E17" s="73" t="s">
        <v>91</v>
      </c>
      <c r="F17" s="73"/>
      <c r="G17" s="61">
        <f>+'(繰)対前年'!G11</f>
        <v>2138774000</v>
      </c>
      <c r="H17" s="61">
        <f>'(繰)対前年'!H11</f>
        <v>2011677283</v>
      </c>
      <c r="I17" s="61">
        <f t="shared" si="0"/>
        <v>127096717</v>
      </c>
      <c r="J17" s="60" t="s">
        <v>89</v>
      </c>
      <c r="N17" s="24" t="b">
        <f t="shared" si="1"/>
        <v>1</v>
      </c>
    </row>
    <row r="18" spans="1:14" ht="21" hidden="1" customHeight="1">
      <c r="A18" s="72"/>
      <c r="B18" s="71"/>
      <c r="C18" s="71"/>
      <c r="D18" s="84"/>
      <c r="E18" s="83" t="s">
        <v>103</v>
      </c>
      <c r="F18" s="83"/>
      <c r="G18" s="61">
        <f>+'(繰)対前年'!G12</f>
        <v>0</v>
      </c>
      <c r="H18" s="61">
        <f>'(繰)繰入金'!H11</f>
        <v>0</v>
      </c>
      <c r="I18" s="61">
        <f t="shared" si="0"/>
        <v>0</v>
      </c>
      <c r="J18" s="60" t="s">
        <v>100</v>
      </c>
      <c r="N18" s="24" t="b">
        <f t="shared" si="1"/>
        <v>0</v>
      </c>
    </row>
    <row r="19" spans="1:14" ht="21" customHeight="1">
      <c r="A19" s="72"/>
      <c r="B19" s="71"/>
      <c r="C19" s="71"/>
      <c r="D19" s="73" t="s">
        <v>102</v>
      </c>
      <c r="E19" s="73"/>
      <c r="F19" s="73"/>
      <c r="G19" s="61">
        <f>+'(繰)対前年'!G13</f>
        <v>61778000</v>
      </c>
      <c r="H19" s="61">
        <f>'(繰)対前年'!H13</f>
        <v>52443869</v>
      </c>
      <c r="I19" s="61">
        <f t="shared" si="0"/>
        <v>9334131</v>
      </c>
      <c r="J19" s="60" t="s">
        <v>100</v>
      </c>
      <c r="N19" s="24" t="b">
        <f t="shared" si="1"/>
        <v>1</v>
      </c>
    </row>
    <row r="20" spans="1:14" ht="21" customHeight="1">
      <c r="A20" s="72"/>
      <c r="B20" s="71"/>
      <c r="C20" s="71"/>
      <c r="D20" s="73" t="s">
        <v>101</v>
      </c>
      <c r="E20" s="73"/>
      <c r="F20" s="73"/>
      <c r="G20" s="61">
        <f>+'(繰)対前年'!G14</f>
        <v>40039000</v>
      </c>
      <c r="H20" s="61">
        <f>'(繰)対前年'!H14</f>
        <v>44424775</v>
      </c>
      <c r="I20" s="61">
        <f t="shared" si="0"/>
        <v>-4385775</v>
      </c>
      <c r="J20" s="60" t="s">
        <v>100</v>
      </c>
      <c r="N20" s="24" t="b">
        <f t="shared" si="1"/>
        <v>1</v>
      </c>
    </row>
    <row r="21" spans="1:14" ht="21" customHeight="1">
      <c r="A21" s="72"/>
      <c r="B21" s="77"/>
      <c r="C21" s="77"/>
      <c r="D21" s="73" t="s">
        <v>99</v>
      </c>
      <c r="E21" s="73"/>
      <c r="F21" s="73"/>
      <c r="G21" s="61">
        <f>+'(繰)対前年'!G15</f>
        <v>14763000</v>
      </c>
      <c r="H21" s="61">
        <f>'(繰)対前年'!H15</f>
        <v>10483859</v>
      </c>
      <c r="I21" s="61">
        <f t="shared" si="0"/>
        <v>4279141</v>
      </c>
      <c r="J21" s="60" t="s">
        <v>87</v>
      </c>
      <c r="K21" s="82">
        <f>+'(繰)繰入金'!H11</f>
        <v>0</v>
      </c>
      <c r="L21" s="24" t="s">
        <v>98</v>
      </c>
      <c r="M21" s="24" t="s">
        <v>97</v>
      </c>
      <c r="N21" s="24" t="b">
        <f t="shared" si="1"/>
        <v>1</v>
      </c>
    </row>
    <row r="22" spans="1:14" ht="21" customHeight="1">
      <c r="A22" s="72"/>
      <c r="B22" s="1232" t="s">
        <v>96</v>
      </c>
      <c r="C22" s="1233"/>
      <c r="D22" s="1233"/>
      <c r="E22" s="1233"/>
      <c r="F22" s="1234"/>
      <c r="G22" s="61">
        <f>G23</f>
        <v>0</v>
      </c>
      <c r="H22" s="61">
        <f>H23</f>
        <v>9203253</v>
      </c>
      <c r="I22" s="61">
        <f t="shared" si="0"/>
        <v>-9203253</v>
      </c>
      <c r="J22" s="60"/>
      <c r="N22" s="24" t="b">
        <f t="shared" si="1"/>
        <v>1</v>
      </c>
    </row>
    <row r="23" spans="1:14" ht="21" customHeight="1">
      <c r="A23" s="72"/>
      <c r="B23" s="70"/>
      <c r="C23" s="73" t="s">
        <v>95</v>
      </c>
      <c r="D23" s="73"/>
      <c r="E23" s="73"/>
      <c r="F23" s="73"/>
      <c r="G23" s="61">
        <f>G24+G31</f>
        <v>0</v>
      </c>
      <c r="H23" s="61">
        <f>H24+H31</f>
        <v>9203253</v>
      </c>
      <c r="I23" s="61">
        <f t="shared" si="0"/>
        <v>-9203253</v>
      </c>
      <c r="J23" s="60"/>
      <c r="N23" s="24" t="b">
        <f t="shared" si="1"/>
        <v>1</v>
      </c>
    </row>
    <row r="24" spans="1:14" ht="21" customHeight="1">
      <c r="A24" s="72"/>
      <c r="B24" s="71"/>
      <c r="C24" s="70"/>
      <c r="D24" s="73" t="s">
        <v>94</v>
      </c>
      <c r="E24" s="73"/>
      <c r="F24" s="73"/>
      <c r="G24" s="61">
        <f>SUM(G25:G28)</f>
        <v>0</v>
      </c>
      <c r="H24" s="61">
        <f>SUM(H25:H28)</f>
        <v>4980</v>
      </c>
      <c r="I24" s="61">
        <f t="shared" si="0"/>
        <v>-4980</v>
      </c>
      <c r="J24" s="60"/>
      <c r="N24" s="24" t="b">
        <f t="shared" si="1"/>
        <v>1</v>
      </c>
    </row>
    <row r="25" spans="1:14" ht="21" hidden="1" customHeight="1">
      <c r="A25" s="72"/>
      <c r="B25" s="71"/>
      <c r="C25" s="71"/>
      <c r="D25" s="70"/>
      <c r="E25" s="73" t="s">
        <v>93</v>
      </c>
      <c r="F25" s="73"/>
      <c r="G25" s="61">
        <f>'(繰)対前年'!G19</f>
        <v>0</v>
      </c>
      <c r="H25" s="61">
        <v>0</v>
      </c>
      <c r="I25" s="61">
        <f t="shared" si="0"/>
        <v>0</v>
      </c>
      <c r="J25" s="60"/>
      <c r="N25" s="24" t="b">
        <f t="shared" si="1"/>
        <v>0</v>
      </c>
    </row>
    <row r="26" spans="1:14" ht="21" hidden="1" customHeight="1">
      <c r="A26" s="72"/>
      <c r="B26" s="71"/>
      <c r="C26" s="71"/>
      <c r="D26" s="71"/>
      <c r="E26" s="73" t="s">
        <v>92</v>
      </c>
      <c r="F26" s="73"/>
      <c r="G26" s="61">
        <f>'(繰)対前年'!G20</f>
        <v>0</v>
      </c>
      <c r="H26" s="61">
        <f>'(繰)対前年'!H20</f>
        <v>0</v>
      </c>
      <c r="I26" s="61">
        <f t="shared" si="0"/>
        <v>0</v>
      </c>
      <c r="J26" s="60" t="s">
        <v>89</v>
      </c>
      <c r="N26" s="24" t="b">
        <f t="shared" si="1"/>
        <v>0</v>
      </c>
    </row>
    <row r="27" spans="1:14" ht="21" hidden="1" customHeight="1">
      <c r="A27" s="72"/>
      <c r="B27" s="71"/>
      <c r="C27" s="71"/>
      <c r="D27" s="71"/>
      <c r="E27" s="73" t="s">
        <v>91</v>
      </c>
      <c r="F27" s="73"/>
      <c r="G27" s="61">
        <f>'(繰)対前年'!G21</f>
        <v>0</v>
      </c>
      <c r="H27" s="61">
        <f>'(繰)対前年'!H21</f>
        <v>0</v>
      </c>
      <c r="I27" s="61">
        <f t="shared" si="0"/>
        <v>0</v>
      </c>
      <c r="J27" s="60" t="s">
        <v>89</v>
      </c>
      <c r="N27" s="24" t="b">
        <f t="shared" si="1"/>
        <v>0</v>
      </c>
    </row>
    <row r="28" spans="1:14" ht="21" customHeight="1">
      <c r="A28" s="72"/>
      <c r="B28" s="71"/>
      <c r="C28" s="71"/>
      <c r="D28" s="71"/>
      <c r="E28" s="70" t="s">
        <v>90</v>
      </c>
      <c r="F28" s="70"/>
      <c r="G28" s="35">
        <f>+'(繰)対前年'!G22</f>
        <v>0</v>
      </c>
      <c r="H28" s="35">
        <f>'(繰)対前年'!H22</f>
        <v>4980</v>
      </c>
      <c r="I28" s="35">
        <f t="shared" si="0"/>
        <v>-4980</v>
      </c>
      <c r="J28" s="69" t="s">
        <v>89</v>
      </c>
      <c r="N28" s="24" t="b">
        <f t="shared" si="1"/>
        <v>1</v>
      </c>
    </row>
    <row r="29" spans="1:14" ht="21" hidden="1" customHeight="1">
      <c r="A29" s="72"/>
      <c r="B29" s="71"/>
      <c r="C29" s="71"/>
      <c r="D29" s="71"/>
      <c r="E29" s="70"/>
      <c r="F29" s="73" t="s">
        <v>317</v>
      </c>
      <c r="G29" s="35">
        <f>+'(繰)対前年'!G23</f>
        <v>0</v>
      </c>
      <c r="H29" s="35">
        <f>'(繰)対前年'!H23</f>
        <v>0</v>
      </c>
      <c r="I29" s="35">
        <f t="shared" si="0"/>
        <v>0</v>
      </c>
      <c r="J29" s="69"/>
      <c r="N29" s="24" t="b">
        <f t="shared" si="1"/>
        <v>0</v>
      </c>
    </row>
    <row r="30" spans="1:14" ht="21" hidden="1" customHeight="1">
      <c r="A30" s="72"/>
      <c r="B30" s="71"/>
      <c r="C30" s="71"/>
      <c r="D30" s="71"/>
      <c r="E30" s="77"/>
      <c r="F30" s="71" t="s">
        <v>318</v>
      </c>
      <c r="G30" s="35">
        <f>+'(繰)対前年'!G24</f>
        <v>0</v>
      </c>
      <c r="H30" s="35">
        <f>'(繰)対前年'!H24</f>
        <v>0</v>
      </c>
      <c r="I30" s="35">
        <f t="shared" si="0"/>
        <v>0</v>
      </c>
      <c r="J30" s="69"/>
      <c r="N30" s="24" t="b">
        <f t="shared" si="1"/>
        <v>0</v>
      </c>
    </row>
    <row r="31" spans="1:14" ht="21" customHeight="1" thickBot="1">
      <c r="A31" s="81"/>
      <c r="B31" s="80"/>
      <c r="C31" s="80"/>
      <c r="D31" s="79" t="s">
        <v>88</v>
      </c>
      <c r="E31" s="79"/>
      <c r="F31" s="79"/>
      <c r="G31" s="55">
        <f>+'(繰)対前年'!G25</f>
        <v>0</v>
      </c>
      <c r="H31" s="55">
        <f>'(繰)対前年'!H25</f>
        <v>9198273</v>
      </c>
      <c r="I31" s="55">
        <f t="shared" si="0"/>
        <v>-9198273</v>
      </c>
      <c r="J31" s="54" t="s">
        <v>87</v>
      </c>
      <c r="N31" s="24" t="b">
        <f t="shared" si="1"/>
        <v>1</v>
      </c>
    </row>
    <row r="32" spans="1:14" ht="21" customHeight="1" thickTop="1">
      <c r="A32" s="1229" t="s">
        <v>86</v>
      </c>
      <c r="B32" s="1230"/>
      <c r="C32" s="1230"/>
      <c r="D32" s="1230"/>
      <c r="E32" s="1230"/>
      <c r="F32" s="1231"/>
      <c r="G32" s="341">
        <f>G33+G36</f>
        <v>3640474000</v>
      </c>
      <c r="H32" s="341">
        <f>H33+H36</f>
        <v>3285504551</v>
      </c>
      <c r="I32" s="341">
        <f t="shared" si="0"/>
        <v>354969449</v>
      </c>
      <c r="J32" s="342"/>
      <c r="N32" s="24" t="b">
        <f t="shared" si="1"/>
        <v>1</v>
      </c>
    </row>
    <row r="33" spans="1:16" ht="21" customHeight="1">
      <c r="A33" s="74"/>
      <c r="B33" s="73" t="s">
        <v>85</v>
      </c>
      <c r="C33" s="73"/>
      <c r="D33" s="73"/>
      <c r="E33" s="73"/>
      <c r="F33" s="73"/>
      <c r="G33" s="61">
        <f>G34</f>
        <v>3640474000</v>
      </c>
      <c r="H33" s="61">
        <f>H34</f>
        <v>3285504551</v>
      </c>
      <c r="I33" s="61">
        <f t="shared" si="0"/>
        <v>354969449</v>
      </c>
      <c r="J33" s="60"/>
      <c r="N33" s="24" t="b">
        <f t="shared" si="1"/>
        <v>1</v>
      </c>
      <c r="O33" s="255"/>
      <c r="P33" s="256"/>
    </row>
    <row r="34" spans="1:16" ht="21" customHeight="1">
      <c r="A34" s="72"/>
      <c r="B34" s="70"/>
      <c r="C34" s="73" t="s">
        <v>84</v>
      </c>
      <c r="D34" s="73"/>
      <c r="E34" s="73"/>
      <c r="F34" s="73"/>
      <c r="G34" s="61">
        <f>SUM(G35:G35)</f>
        <v>3640474000</v>
      </c>
      <c r="H34" s="61">
        <f>SUM(H35:H35)</f>
        <v>3285504551</v>
      </c>
      <c r="I34" s="61">
        <f t="shared" si="0"/>
        <v>354969449</v>
      </c>
      <c r="J34" s="60"/>
      <c r="N34" s="24" t="b">
        <f t="shared" si="1"/>
        <v>1</v>
      </c>
    </row>
    <row r="35" spans="1:16" ht="21" customHeight="1" thickBot="1">
      <c r="A35" s="72"/>
      <c r="B35" s="71"/>
      <c r="C35" s="66"/>
      <c r="D35" s="70" t="s">
        <v>84</v>
      </c>
      <c r="E35" s="70"/>
      <c r="F35" s="70"/>
      <c r="G35" s="35">
        <f>+'(繰)対前年'!G29</f>
        <v>3640474000</v>
      </c>
      <c r="H35" s="61">
        <f>'(繰)対前年'!H29</f>
        <v>3285504551</v>
      </c>
      <c r="I35" s="35">
        <f t="shared" si="0"/>
        <v>354969449</v>
      </c>
      <c r="J35" s="69" t="s">
        <v>71</v>
      </c>
      <c r="N35" s="24" t="b">
        <f t="shared" si="1"/>
        <v>1</v>
      </c>
    </row>
    <row r="36" spans="1:16" ht="21" hidden="1" customHeight="1">
      <c r="A36" s="65"/>
      <c r="B36" s="68" t="s">
        <v>83</v>
      </c>
      <c r="C36" s="67"/>
      <c r="D36" s="67"/>
      <c r="E36" s="62"/>
      <c r="F36" s="62"/>
      <c r="G36" s="61">
        <f>G37</f>
        <v>0</v>
      </c>
      <c r="H36" s="61">
        <f>H37</f>
        <v>0</v>
      </c>
      <c r="I36" s="61">
        <f t="shared" si="0"/>
        <v>0</v>
      </c>
      <c r="J36" s="60"/>
      <c r="N36" s="24" t="b">
        <f t="shared" si="1"/>
        <v>0</v>
      </c>
    </row>
    <row r="37" spans="1:16" ht="21" hidden="1" customHeight="1">
      <c r="A37" s="65"/>
      <c r="B37" s="66"/>
      <c r="C37" s="68" t="s">
        <v>82</v>
      </c>
      <c r="D37" s="67"/>
      <c r="E37" s="62"/>
      <c r="F37" s="62"/>
      <c r="G37" s="61">
        <f>SUM(G38:G40)</f>
        <v>0</v>
      </c>
      <c r="H37" s="61">
        <f>SUM(H38:H40)</f>
        <v>0</v>
      </c>
      <c r="I37" s="61">
        <f t="shared" si="0"/>
        <v>0</v>
      </c>
      <c r="J37" s="60" t="s">
        <v>81</v>
      </c>
      <c r="N37" s="24" t="b">
        <f t="shared" si="1"/>
        <v>0</v>
      </c>
    </row>
    <row r="38" spans="1:16" ht="21" hidden="1" customHeight="1">
      <c r="A38" s="65"/>
      <c r="B38" s="64"/>
      <c r="C38" s="66"/>
      <c r="D38" s="63" t="s">
        <v>80</v>
      </c>
      <c r="E38" s="62"/>
      <c r="F38" s="340"/>
      <c r="G38" s="35">
        <f>+'(繰)対前年'!G32</f>
        <v>0</v>
      </c>
      <c r="H38" s="61">
        <f>'(繰)対前年'!H32</f>
        <v>0</v>
      </c>
      <c r="I38" s="61">
        <f t="shared" si="0"/>
        <v>0</v>
      </c>
      <c r="J38" s="60"/>
      <c r="N38" s="24" t="b">
        <f t="shared" si="1"/>
        <v>0</v>
      </c>
    </row>
    <row r="39" spans="1:16" ht="21" hidden="1" customHeight="1">
      <c r="A39" s="65"/>
      <c r="B39" s="64"/>
      <c r="C39" s="64"/>
      <c r="D39" s="63" t="s">
        <v>79</v>
      </c>
      <c r="E39" s="62"/>
      <c r="F39" s="340"/>
      <c r="G39" s="35">
        <f>+'(繰)対前年'!G33</f>
        <v>0</v>
      </c>
      <c r="H39" s="61">
        <f>'(繰)対前年'!H33</f>
        <v>0</v>
      </c>
      <c r="I39" s="61">
        <f t="shared" si="0"/>
        <v>0</v>
      </c>
      <c r="J39" s="60"/>
      <c r="N39" s="24" t="b">
        <f t="shared" si="1"/>
        <v>0</v>
      </c>
    </row>
    <row r="40" spans="1:16" ht="21" hidden="1" customHeight="1" thickBot="1">
      <c r="A40" s="59"/>
      <c r="B40" s="58"/>
      <c r="C40" s="58"/>
      <c r="D40" s="57" t="s">
        <v>78</v>
      </c>
      <c r="E40" s="56"/>
      <c r="F40" s="56"/>
      <c r="G40" s="55">
        <f>+'(繰)対前年'!G34</f>
        <v>0</v>
      </c>
      <c r="H40" s="55">
        <f>'(繰)対前年'!H34</f>
        <v>0</v>
      </c>
      <c r="I40" s="55">
        <f t="shared" si="0"/>
        <v>0</v>
      </c>
      <c r="J40" s="54"/>
      <c r="N40" s="24" t="b">
        <f t="shared" si="1"/>
        <v>0</v>
      </c>
    </row>
    <row r="41" spans="1:16" ht="12" hidden="1" customHeight="1" outlineLevel="1" thickTop="1">
      <c r="A41" s="1264" t="s">
        <v>77</v>
      </c>
      <c r="B41" s="1265"/>
      <c r="C41" s="1265"/>
      <c r="D41" s="1265"/>
      <c r="E41" s="1265"/>
      <c r="F41" s="1266"/>
      <c r="G41" s="47"/>
      <c r="H41" s="47"/>
      <c r="I41" s="47"/>
      <c r="J41" s="46"/>
      <c r="N41" s="24" t="b">
        <f>TRUE()</f>
        <v>1</v>
      </c>
    </row>
    <row r="42" spans="1:16" ht="12" hidden="1" customHeight="1" outlineLevel="1">
      <c r="A42" s="1252"/>
      <c r="B42" s="1241"/>
      <c r="C42" s="1241"/>
      <c r="D42" s="1241"/>
      <c r="E42" s="1241"/>
      <c r="F42" s="1267"/>
      <c r="G42" s="43">
        <f>G11+G32</f>
        <v>17495336000</v>
      </c>
      <c r="H42" s="43">
        <f>H11+H32</f>
        <v>17481810139</v>
      </c>
      <c r="I42" s="43">
        <f>I11+I32</f>
        <v>13525861</v>
      </c>
      <c r="J42" s="45"/>
      <c r="N42" s="24" t="b">
        <f>TRUE()</f>
        <v>1</v>
      </c>
    </row>
    <row r="43" spans="1:16" ht="12" hidden="1" customHeight="1" outlineLevel="1" thickBot="1">
      <c r="A43" s="1268"/>
      <c r="B43" s="1269"/>
      <c r="C43" s="1269"/>
      <c r="D43" s="1269"/>
      <c r="E43" s="1269"/>
      <c r="F43" s="1270"/>
      <c r="G43" s="50"/>
      <c r="H43" s="50"/>
      <c r="I43" s="50"/>
      <c r="J43" s="48"/>
      <c r="N43" s="24" t="b">
        <f>TRUE()</f>
        <v>1</v>
      </c>
    </row>
    <row r="44" spans="1:16" ht="10.5" hidden="1" customHeight="1" outlineLevel="1" thickTop="1">
      <c r="A44" s="1277" t="s">
        <v>76</v>
      </c>
      <c r="B44" s="1278"/>
      <c r="C44" s="1278"/>
      <c r="D44" s="1278"/>
      <c r="E44" s="1278"/>
      <c r="F44" s="1279"/>
      <c r="G44" s="47"/>
      <c r="H44" s="53"/>
      <c r="I44" s="53"/>
      <c r="J44" s="46"/>
      <c r="N44" s="24" t="b">
        <f>TRUE()</f>
        <v>1</v>
      </c>
    </row>
    <row r="45" spans="1:16" ht="15" hidden="1" customHeight="1" outlineLevel="1">
      <c r="A45" s="1280"/>
      <c r="B45" s="1281"/>
      <c r="C45" s="1281"/>
      <c r="D45" s="1281"/>
      <c r="E45" s="1281"/>
      <c r="F45" s="1282"/>
      <c r="G45" s="52">
        <f>+'(繰)対前年'!G36</f>
        <v>0</v>
      </c>
      <c r="H45" s="52">
        <v>0</v>
      </c>
      <c r="I45" s="52">
        <f>G45-H45</f>
        <v>0</v>
      </c>
      <c r="J45" s="51" t="s">
        <v>75</v>
      </c>
      <c r="N45" s="24" t="b">
        <f>TRUE()</f>
        <v>1</v>
      </c>
    </row>
    <row r="46" spans="1:16" ht="10.5" hidden="1" customHeight="1" outlineLevel="1" thickBot="1">
      <c r="A46" s="1283"/>
      <c r="B46" s="1284"/>
      <c r="C46" s="1284"/>
      <c r="D46" s="1284"/>
      <c r="E46" s="1284"/>
      <c r="F46" s="1285"/>
      <c r="G46" s="50"/>
      <c r="H46" s="49"/>
      <c r="I46" s="49"/>
      <c r="J46" s="48"/>
      <c r="N46" s="24" t="b">
        <f>TRUE()</f>
        <v>1</v>
      </c>
    </row>
    <row r="47" spans="1:16" ht="10.5" hidden="1" customHeight="1" outlineLevel="1" thickTop="1">
      <c r="A47" s="1277" t="s">
        <v>74</v>
      </c>
      <c r="B47" s="1278"/>
      <c r="C47" s="1278"/>
      <c r="D47" s="1278"/>
      <c r="E47" s="1278"/>
      <c r="F47" s="1279"/>
      <c r="G47" s="47"/>
      <c r="H47" s="47"/>
      <c r="I47" s="47"/>
      <c r="J47" s="46"/>
      <c r="N47" s="24" t="b">
        <f>TRUE()</f>
        <v>1</v>
      </c>
    </row>
    <row r="48" spans="1:16" ht="15" hidden="1" customHeight="1" outlineLevel="1">
      <c r="A48" s="1280"/>
      <c r="B48" s="1281"/>
      <c r="C48" s="1281"/>
      <c r="D48" s="1281"/>
      <c r="E48" s="1281"/>
      <c r="F48" s="1282"/>
      <c r="G48" s="43">
        <f>G42+G45</f>
        <v>17495336000</v>
      </c>
      <c r="H48" s="43">
        <f>H42+H45</f>
        <v>17481810139</v>
      </c>
      <c r="I48" s="43">
        <f>I42+I45</f>
        <v>13525861</v>
      </c>
      <c r="J48" s="45"/>
      <c r="N48" s="24" t="b">
        <f>TRUE()</f>
        <v>1</v>
      </c>
    </row>
    <row r="49" spans="1:14" ht="10.5" hidden="1" customHeight="1" outlineLevel="1" thickBot="1">
      <c r="A49" s="1283"/>
      <c r="B49" s="1284"/>
      <c r="C49" s="1284"/>
      <c r="D49" s="1284"/>
      <c r="E49" s="1284"/>
      <c r="F49" s="1285"/>
      <c r="G49" s="44" t="s">
        <v>73</v>
      </c>
      <c r="H49" s="43"/>
      <c r="I49" s="43"/>
      <c r="J49" s="42"/>
      <c r="N49" s="24" t="b">
        <f>TRUE()</f>
        <v>1</v>
      </c>
    </row>
    <row r="50" spans="1:14" ht="30.75" hidden="1" customHeight="1" outlineLevel="1" thickTop="1" thickBot="1">
      <c r="A50" s="1286" t="s">
        <v>72</v>
      </c>
      <c r="B50" s="1287"/>
      <c r="C50" s="1287"/>
      <c r="D50" s="1287"/>
      <c r="E50" s="1287"/>
      <c r="F50" s="1288"/>
      <c r="G50" s="41">
        <f>+'(繰)対前年'!G38</f>
        <v>0</v>
      </c>
      <c r="H50" s="41">
        <f>'(繰)対前年'!H38</f>
        <v>0</v>
      </c>
      <c r="I50" s="41">
        <f>G50-H50</f>
        <v>0</v>
      </c>
      <c r="J50" s="40" t="s">
        <v>71</v>
      </c>
      <c r="N50" s="24" t="b">
        <f>TRUE()</f>
        <v>1</v>
      </c>
    </row>
    <row r="51" spans="1:14" ht="30.75" customHeight="1" collapsed="1" thickTop="1" thickBot="1">
      <c r="A51" s="1271" t="s">
        <v>70</v>
      </c>
      <c r="B51" s="1272"/>
      <c r="C51" s="1272"/>
      <c r="D51" s="1272"/>
      <c r="E51" s="1272"/>
      <c r="F51" s="1273"/>
      <c r="G51" s="39">
        <f>G48+G50</f>
        <v>17495336000</v>
      </c>
      <c r="H51" s="39">
        <f>H48+H50</f>
        <v>17481810139</v>
      </c>
      <c r="I51" s="39">
        <f>I48+I50</f>
        <v>13525861</v>
      </c>
      <c r="J51" s="38"/>
      <c r="N51" s="24" t="b">
        <f>TRUE()</f>
        <v>1</v>
      </c>
    </row>
    <row r="52" spans="1:14" ht="14.25" thickBot="1">
      <c r="N52" s="24" t="b">
        <f>TRUE()</f>
        <v>1</v>
      </c>
    </row>
    <row r="53" spans="1:14" ht="20.100000000000001" customHeight="1">
      <c r="A53" s="1235" t="s">
        <v>69</v>
      </c>
      <c r="B53" s="1236"/>
      <c r="C53" s="1236"/>
      <c r="D53" s="1236"/>
      <c r="E53" s="1236"/>
      <c r="F53" s="1237"/>
      <c r="G53" s="1248" t="s">
        <v>68</v>
      </c>
      <c r="H53" s="1248" t="s">
        <v>67</v>
      </c>
      <c r="I53" s="1255" t="s">
        <v>66</v>
      </c>
      <c r="J53" s="1246" t="s">
        <v>65</v>
      </c>
      <c r="N53" s="24" t="b">
        <f>TRUE()</f>
        <v>1</v>
      </c>
    </row>
    <row r="54" spans="1:14" ht="20.100000000000001" customHeight="1" thickBot="1">
      <c r="A54" s="1238"/>
      <c r="B54" s="1239"/>
      <c r="C54" s="1239"/>
      <c r="D54" s="1239"/>
      <c r="E54" s="1239"/>
      <c r="F54" s="1240"/>
      <c r="G54" s="1249"/>
      <c r="H54" s="1249"/>
      <c r="I54" s="1256"/>
      <c r="J54" s="1247"/>
      <c r="N54" s="24" t="b">
        <f>TRUE()</f>
        <v>1</v>
      </c>
    </row>
    <row r="55" spans="1:14" ht="23.25" customHeight="1">
      <c r="A55" s="1250" t="s">
        <v>64</v>
      </c>
      <c r="B55" s="1251"/>
      <c r="C55" s="1251"/>
      <c r="D55" s="1258" t="s">
        <v>63</v>
      </c>
      <c r="E55" s="1259"/>
      <c r="F55" s="1260"/>
      <c r="G55" s="37">
        <f>+'(繰)対前年'!G43</f>
        <v>13691958000</v>
      </c>
      <c r="H55" s="37">
        <f>'(繰)繰入金'!H41</f>
        <v>13773736465</v>
      </c>
      <c r="I55" s="36">
        <f>G55-H55</f>
        <v>-81778465</v>
      </c>
      <c r="J55" s="1225"/>
      <c r="N55" s="24" t="b">
        <f>TRUE()</f>
        <v>1</v>
      </c>
    </row>
    <row r="56" spans="1:14" ht="23.25" customHeight="1">
      <c r="A56" s="1252"/>
      <c r="B56" s="1241"/>
      <c r="C56" s="1241"/>
      <c r="D56" s="1261" t="s">
        <v>62</v>
      </c>
      <c r="E56" s="1262"/>
      <c r="F56" s="1263"/>
      <c r="G56" s="35">
        <f>+'(繰)対前年'!G44</f>
        <v>3803378000</v>
      </c>
      <c r="H56" s="35">
        <f>'(繰)繰入金'!H42-G45</f>
        <v>3708073674</v>
      </c>
      <c r="I56" s="34">
        <f>G56-H56</f>
        <v>95304326</v>
      </c>
      <c r="J56" s="1226"/>
      <c r="N56" s="24" t="b">
        <f>TRUE()</f>
        <v>1</v>
      </c>
    </row>
    <row r="57" spans="1:14" ht="23.25" customHeight="1" thickBot="1">
      <c r="A57" s="1253"/>
      <c r="B57" s="1254"/>
      <c r="C57" s="1254"/>
      <c r="D57" s="1274" t="s">
        <v>61</v>
      </c>
      <c r="E57" s="1275"/>
      <c r="F57" s="1276"/>
      <c r="G57" s="33">
        <f>+'(繰)対前年'!G45</f>
        <v>0</v>
      </c>
      <c r="H57" s="33">
        <f>'(繰)繰入金'!H43</f>
        <v>0</v>
      </c>
      <c r="I57" s="32">
        <f>G57-H57</f>
        <v>0</v>
      </c>
      <c r="J57" s="1227"/>
      <c r="N57" s="24" t="b">
        <f>TRUE()</f>
        <v>1</v>
      </c>
    </row>
    <row r="58" spans="1:14" ht="20.100000000000001" customHeight="1" thickBot="1">
      <c r="A58" s="1243" t="s">
        <v>60</v>
      </c>
      <c r="B58" s="1244"/>
      <c r="C58" s="1244"/>
      <c r="D58" s="1244"/>
      <c r="E58" s="1244"/>
      <c r="F58" s="1245"/>
      <c r="G58" s="31">
        <f>SUM(G55:G57)</f>
        <v>17495336000</v>
      </c>
      <c r="H58" s="31">
        <f>SUM(H55:H57)</f>
        <v>17481810139</v>
      </c>
      <c r="I58" s="30">
        <f>SUM(I55:I57)</f>
        <v>13525861</v>
      </c>
      <c r="J58" s="29"/>
      <c r="N58" s="24" t="b">
        <f>TRUE()</f>
        <v>1</v>
      </c>
    </row>
    <row r="59" spans="1:14">
      <c r="E59" s="24" t="s">
        <v>59</v>
      </c>
      <c r="G59" s="25">
        <f>G16+G17+G26+G27+G28+G35</f>
        <v>13691958000</v>
      </c>
      <c r="H59" s="25">
        <f>H16+H17+H26+H27+H28+H35+K21</f>
        <v>13773736465</v>
      </c>
      <c r="I59" s="25" t="s">
        <v>58</v>
      </c>
      <c r="J59" s="28">
        <f>+I51-I58</f>
        <v>0</v>
      </c>
      <c r="N59" s="24" t="b">
        <f>TRUE()</f>
        <v>1</v>
      </c>
    </row>
    <row r="60" spans="1:14" s="26" customFormat="1">
      <c r="E60" s="1257" t="s">
        <v>57</v>
      </c>
      <c r="F60" s="1257"/>
      <c r="G60" s="27">
        <f>G55-G59</f>
        <v>0</v>
      </c>
      <c r="H60" s="27">
        <f>H55-H59</f>
        <v>0</v>
      </c>
      <c r="I60" s="27"/>
      <c r="N60" s="26" t="b">
        <f>TRUE()</f>
        <v>1</v>
      </c>
    </row>
    <row r="61" spans="1:14">
      <c r="E61" s="24" t="s">
        <v>56</v>
      </c>
      <c r="G61" s="25">
        <f>G15+G18+G19+G20+G21</f>
        <v>3803378000</v>
      </c>
      <c r="H61" s="25">
        <f>H15+H18+H19+H20+H21-K21+H31</f>
        <v>3708073674</v>
      </c>
      <c r="N61" s="24" t="b">
        <f>TRUE()</f>
        <v>1</v>
      </c>
    </row>
    <row r="62" spans="1:14" s="26" customFormat="1">
      <c r="E62" s="1257" t="s">
        <v>55</v>
      </c>
      <c r="F62" s="1257"/>
      <c r="G62" s="27">
        <f>G56-G61</f>
        <v>0</v>
      </c>
      <c r="H62" s="27">
        <f>H56-H61</f>
        <v>0</v>
      </c>
      <c r="I62" s="27"/>
      <c r="N62" s="26" t="b">
        <f>TRUE()</f>
        <v>1</v>
      </c>
    </row>
  </sheetData>
  <autoFilter ref="A10:N62">
    <filterColumn colId="0" showButton="0"/>
    <filterColumn colId="1" showButton="0"/>
    <filterColumn colId="2" showButton="0"/>
    <filterColumn colId="3" showButton="0"/>
    <filterColumn colId="4" showButton="0"/>
    <filterColumn colId="13">
      <filters>
        <filter val="TRUE"/>
      </filters>
    </filterColumn>
  </autoFilter>
  <mergeCells count="26">
    <mergeCell ref="E60:F60"/>
    <mergeCell ref="E62:F62"/>
    <mergeCell ref="D55:F55"/>
    <mergeCell ref="D56:F56"/>
    <mergeCell ref="A41:F43"/>
    <mergeCell ref="A51:F51"/>
    <mergeCell ref="D57:F57"/>
    <mergeCell ref="A58:F58"/>
    <mergeCell ref="A47:F49"/>
    <mergeCell ref="A44:F46"/>
    <mergeCell ref="A50:F50"/>
    <mergeCell ref="J55:J57"/>
    <mergeCell ref="B2:F2"/>
    <mergeCell ref="A32:F32"/>
    <mergeCell ref="B12:F12"/>
    <mergeCell ref="B22:F22"/>
    <mergeCell ref="A53:F54"/>
    <mergeCell ref="A5:J5"/>
    <mergeCell ref="A8:J8"/>
    <mergeCell ref="E9:H9"/>
    <mergeCell ref="A10:F10"/>
    <mergeCell ref="J53:J54"/>
    <mergeCell ref="H53:H54"/>
    <mergeCell ref="G53:G54"/>
    <mergeCell ref="A55:C57"/>
    <mergeCell ref="I53:I54"/>
  </mergeCells>
  <phoneticPr fontId="3"/>
  <printOptions horizontalCentered="1"/>
  <pageMargins left="0.59055118110236227" right="0.19685039370078741" top="0.47244094488188981" bottom="0.39370078740157483" header="0.51181102362204722" footer="0.51181102362204722"/>
  <pageSetup paperSize="9" fitToWidth="0" fitToHeight="0" orientation="portrait" blackAndWhite="1"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7"/>
    <pageSetUpPr fitToPage="1"/>
  </sheetPr>
  <dimension ref="A1:K45"/>
  <sheetViews>
    <sheetView view="pageBreakPreview" zoomScale="85" zoomScaleNormal="90" zoomScaleSheetLayoutView="85" workbookViewId="0">
      <pane ySplit="3" topLeftCell="A4" activePane="bottomLeft" state="frozen"/>
      <selection activeCell="E7" sqref="E7"/>
      <selection pane="bottomLeft" activeCell="A4" sqref="A4"/>
    </sheetView>
  </sheetViews>
  <sheetFormatPr defaultColWidth="9" defaultRowHeight="29.25" customHeight="1" outlineLevelRow="1"/>
  <cols>
    <col min="1" max="1" width="1" style="24" customWidth="1"/>
    <col min="2" max="3" width="2.25" style="24" customWidth="1"/>
    <col min="4" max="4" width="1.875" style="24" customWidth="1"/>
    <col min="5" max="5" width="2" style="24" customWidth="1"/>
    <col min="6" max="6" width="18.75" style="24" customWidth="1"/>
    <col min="7" max="7" width="15.875" style="28" customWidth="1"/>
    <col min="8" max="9" width="16" style="28" customWidth="1"/>
    <col min="10" max="10" width="20.375" style="24" customWidth="1"/>
    <col min="11" max="16384" width="9" style="24"/>
  </cols>
  <sheetData>
    <row r="1" spans="1:11" ht="29.25" customHeight="1">
      <c r="A1" s="1305" t="str">
        <f>+CONCATENATE(LEFT('[1]3条支出'!$D$1,5),"一般会計繰入金の性質別等の区分")</f>
        <v>令和５年度一般会計繰入金の性質別等の区分</v>
      </c>
      <c r="B1" s="1305"/>
      <c r="C1" s="1305"/>
      <c r="D1" s="1305"/>
      <c r="E1" s="1305"/>
      <c r="F1" s="1305"/>
      <c r="G1" s="1305"/>
      <c r="H1" s="1305"/>
      <c r="I1" s="1305"/>
      <c r="J1" s="1305"/>
    </row>
    <row r="2" spans="1:11" ht="29.25" customHeight="1" thickBot="1">
      <c r="B2" s="88"/>
      <c r="C2" s="88"/>
      <c r="D2" s="88"/>
      <c r="E2" s="1306"/>
      <c r="F2" s="1306"/>
      <c r="G2" s="1306"/>
      <c r="H2" s="1306"/>
      <c r="J2" s="87" t="s">
        <v>109</v>
      </c>
    </row>
    <row r="3" spans="1:11" ht="29.25" customHeight="1" thickBot="1">
      <c r="A3" s="1243" t="s">
        <v>108</v>
      </c>
      <c r="B3" s="1244"/>
      <c r="C3" s="1244"/>
      <c r="D3" s="1244"/>
      <c r="E3" s="1244"/>
      <c r="F3" s="1245"/>
      <c r="G3" s="109" t="s">
        <v>121</v>
      </c>
      <c r="H3" s="109" t="s">
        <v>116</v>
      </c>
      <c r="I3" s="109" t="s">
        <v>120</v>
      </c>
      <c r="J3" s="85" t="s">
        <v>65</v>
      </c>
      <c r="K3" s="806" t="s">
        <v>579</v>
      </c>
    </row>
    <row r="4" spans="1:11" ht="29.25" customHeight="1">
      <c r="A4" s="78" t="s">
        <v>107</v>
      </c>
      <c r="B4" s="77"/>
      <c r="C4" s="77"/>
      <c r="D4" s="77"/>
      <c r="E4" s="77"/>
      <c r="F4" s="77"/>
      <c r="G4" s="76">
        <f>G5+G15</f>
        <v>13854862000</v>
      </c>
      <c r="H4" s="76">
        <f>H5+H15</f>
        <v>14196305588</v>
      </c>
      <c r="I4" s="76">
        <f t="shared" ref="I4:I33" si="0">G4-H4</f>
        <v>-341443588</v>
      </c>
      <c r="J4" s="75"/>
      <c r="K4" s="24" t="b">
        <f>OR(G4&gt;0,H4&gt;0,I4&gt;0)</f>
        <v>1</v>
      </c>
    </row>
    <row r="5" spans="1:11" ht="29.25" customHeight="1">
      <c r="A5" s="74"/>
      <c r="B5" s="1232" t="s">
        <v>106</v>
      </c>
      <c r="C5" s="1233"/>
      <c r="D5" s="1233"/>
      <c r="E5" s="1233"/>
      <c r="F5" s="1234"/>
      <c r="G5" s="61">
        <f>G6</f>
        <v>13854862000</v>
      </c>
      <c r="H5" s="61">
        <f>H6</f>
        <v>14187102335</v>
      </c>
      <c r="I5" s="61">
        <f t="shared" si="0"/>
        <v>-332240335</v>
      </c>
      <c r="J5" s="60"/>
      <c r="K5" s="24" t="b">
        <f t="shared" ref="K5:K38" si="1">OR(G5&gt;0,H5&gt;0,I5&gt;0)</f>
        <v>1</v>
      </c>
    </row>
    <row r="6" spans="1:11" ht="29.25" customHeight="1">
      <c r="A6" s="72"/>
      <c r="B6" s="70"/>
      <c r="C6" s="73" t="s">
        <v>105</v>
      </c>
      <c r="D6" s="73"/>
      <c r="E6" s="73"/>
      <c r="F6" s="73"/>
      <c r="G6" s="61">
        <f>G7+G12+G13+G14+G11</f>
        <v>13854862000</v>
      </c>
      <c r="H6" s="61">
        <f>H7+H12+H13+H14</f>
        <v>14187102335</v>
      </c>
      <c r="I6" s="61">
        <f t="shared" si="0"/>
        <v>-332240335</v>
      </c>
      <c r="J6" s="60"/>
      <c r="K6" s="24" t="b">
        <f t="shared" si="1"/>
        <v>1</v>
      </c>
    </row>
    <row r="7" spans="1:11" ht="29.25" customHeight="1">
      <c r="A7" s="72"/>
      <c r="B7" s="71"/>
      <c r="C7" s="70"/>
      <c r="D7" s="73" t="s">
        <v>104</v>
      </c>
      <c r="E7" s="73"/>
      <c r="F7" s="73"/>
      <c r="G7" s="61">
        <f>SUM(G8:G10)</f>
        <v>13738282000</v>
      </c>
      <c r="H7" s="61">
        <f>SUM(H8:H11)</f>
        <v>14079749832</v>
      </c>
      <c r="I7" s="61">
        <f t="shared" si="0"/>
        <v>-341467832</v>
      </c>
      <c r="J7" s="60"/>
      <c r="K7" s="24" t="b">
        <f t="shared" si="1"/>
        <v>1</v>
      </c>
    </row>
    <row r="8" spans="1:11" ht="29.25" customHeight="1">
      <c r="A8" s="72"/>
      <c r="B8" s="71"/>
      <c r="C8" s="71"/>
      <c r="D8" s="70"/>
      <c r="E8" s="73" t="s">
        <v>93</v>
      </c>
      <c r="F8" s="73"/>
      <c r="G8" s="61">
        <f>'(繰)対前年'!G9</f>
        <v>3686798000</v>
      </c>
      <c r="H8" s="61">
        <f>'(繰)対前年'!H9-H11</f>
        <v>3591522898</v>
      </c>
      <c r="I8" s="61">
        <f t="shared" si="0"/>
        <v>95275102</v>
      </c>
      <c r="J8" s="60" t="s">
        <v>100</v>
      </c>
      <c r="K8" s="24" t="b">
        <f t="shared" si="1"/>
        <v>1</v>
      </c>
    </row>
    <row r="9" spans="1:11" ht="29.25" customHeight="1">
      <c r="A9" s="72"/>
      <c r="B9" s="71"/>
      <c r="C9" s="71"/>
      <c r="D9" s="71"/>
      <c r="E9" s="73" t="s">
        <v>92</v>
      </c>
      <c r="F9" s="73"/>
      <c r="G9" s="61">
        <f>'(繰)対前年'!G10</f>
        <v>7912710000</v>
      </c>
      <c r="H9" s="61">
        <f>'(繰)対前年'!H10</f>
        <v>8476549651</v>
      </c>
      <c r="I9" s="61">
        <f t="shared" si="0"/>
        <v>-563839651</v>
      </c>
      <c r="J9" s="60" t="s">
        <v>89</v>
      </c>
      <c r="K9" s="24" t="b">
        <f t="shared" si="1"/>
        <v>1</v>
      </c>
    </row>
    <row r="10" spans="1:11" ht="29.25" customHeight="1">
      <c r="A10" s="72"/>
      <c r="B10" s="71"/>
      <c r="C10" s="71"/>
      <c r="D10" s="71"/>
      <c r="E10" s="73" t="s">
        <v>91</v>
      </c>
      <c r="F10" s="73"/>
      <c r="G10" s="61">
        <f>'(繰)対前年'!G11</f>
        <v>2138774000</v>
      </c>
      <c r="H10" s="61">
        <f>'(繰)対前年'!H11</f>
        <v>2011677283</v>
      </c>
      <c r="I10" s="61">
        <f t="shared" si="0"/>
        <v>127096717</v>
      </c>
      <c r="J10" s="60" t="s">
        <v>89</v>
      </c>
      <c r="K10" s="24" t="b">
        <f t="shared" si="1"/>
        <v>1</v>
      </c>
    </row>
    <row r="11" spans="1:11" ht="29.25" hidden="1" customHeight="1">
      <c r="A11" s="72"/>
      <c r="B11" s="71"/>
      <c r="C11" s="71"/>
      <c r="D11" s="84"/>
      <c r="E11" s="798" t="s">
        <v>103</v>
      </c>
      <c r="F11" s="83"/>
      <c r="G11" s="108">
        <v>0</v>
      </c>
      <c r="H11" s="108">
        <v>0</v>
      </c>
      <c r="I11" s="61">
        <f t="shared" si="0"/>
        <v>0</v>
      </c>
      <c r="J11" s="60" t="s">
        <v>100</v>
      </c>
      <c r="K11" s="24" t="b">
        <f t="shared" si="1"/>
        <v>0</v>
      </c>
    </row>
    <row r="12" spans="1:11" ht="29.25" customHeight="1">
      <c r="A12" s="72"/>
      <c r="B12" s="71"/>
      <c r="C12" s="71"/>
      <c r="D12" s="73" t="s">
        <v>102</v>
      </c>
      <c r="E12" s="73"/>
      <c r="F12" s="73"/>
      <c r="G12" s="61">
        <f>'(繰)対前年'!G13</f>
        <v>61778000</v>
      </c>
      <c r="H12" s="61">
        <f>'(繰)対前年'!H13</f>
        <v>52443869</v>
      </c>
      <c r="I12" s="61">
        <f t="shared" si="0"/>
        <v>9334131</v>
      </c>
      <c r="J12" s="60" t="s">
        <v>100</v>
      </c>
      <c r="K12" s="24" t="b">
        <f t="shared" si="1"/>
        <v>1</v>
      </c>
    </row>
    <row r="13" spans="1:11" ht="29.25" customHeight="1">
      <c r="A13" s="72"/>
      <c r="B13" s="71"/>
      <c r="C13" s="71"/>
      <c r="D13" s="73" t="s">
        <v>101</v>
      </c>
      <c r="E13" s="73"/>
      <c r="F13" s="73"/>
      <c r="G13" s="61">
        <f>'(繰)対前年'!G14</f>
        <v>40039000</v>
      </c>
      <c r="H13" s="61">
        <f>'(繰)対前年'!H14</f>
        <v>44424775</v>
      </c>
      <c r="I13" s="61">
        <f t="shared" si="0"/>
        <v>-4385775</v>
      </c>
      <c r="J13" s="60" t="s">
        <v>100</v>
      </c>
      <c r="K13" s="24" t="b">
        <f t="shared" si="1"/>
        <v>1</v>
      </c>
    </row>
    <row r="14" spans="1:11" ht="29.25" customHeight="1">
      <c r="A14" s="72"/>
      <c r="B14" s="71"/>
      <c r="C14" s="71"/>
      <c r="D14" s="73" t="s">
        <v>99</v>
      </c>
      <c r="E14" s="73"/>
      <c r="F14" s="73"/>
      <c r="G14" s="61">
        <f>'(繰)対前年'!G15</f>
        <v>14763000</v>
      </c>
      <c r="H14" s="61">
        <f>'(繰)対前年'!H15</f>
        <v>10483859</v>
      </c>
      <c r="I14" s="61">
        <f t="shared" si="0"/>
        <v>4279141</v>
      </c>
      <c r="J14" s="60" t="s">
        <v>100</v>
      </c>
      <c r="K14" s="24" t="b">
        <f t="shared" si="1"/>
        <v>1</v>
      </c>
    </row>
    <row r="15" spans="1:11" ht="29.25" customHeight="1">
      <c r="A15" s="72"/>
      <c r="B15" s="73" t="s">
        <v>96</v>
      </c>
      <c r="C15" s="73"/>
      <c r="D15" s="73"/>
      <c r="E15" s="73"/>
      <c r="F15" s="73"/>
      <c r="G15" s="61">
        <f>G16</f>
        <v>0</v>
      </c>
      <c r="H15" s="61">
        <f>H16</f>
        <v>9203253</v>
      </c>
      <c r="I15" s="61">
        <f t="shared" si="0"/>
        <v>-9203253</v>
      </c>
      <c r="J15" s="60"/>
      <c r="K15" s="24" t="b">
        <f t="shared" si="1"/>
        <v>1</v>
      </c>
    </row>
    <row r="16" spans="1:11" ht="29.25" customHeight="1">
      <c r="A16" s="72"/>
      <c r="B16" s="70"/>
      <c r="C16" s="73" t="s">
        <v>95</v>
      </c>
      <c r="D16" s="73"/>
      <c r="E16" s="73"/>
      <c r="F16" s="73"/>
      <c r="G16" s="61">
        <f>G17+G24</f>
        <v>0</v>
      </c>
      <c r="H16" s="61">
        <f>H17+H24</f>
        <v>9203253</v>
      </c>
      <c r="I16" s="61">
        <f t="shared" si="0"/>
        <v>-9203253</v>
      </c>
      <c r="J16" s="60"/>
      <c r="K16" s="24" t="b">
        <f t="shared" si="1"/>
        <v>1</v>
      </c>
    </row>
    <row r="17" spans="1:11" ht="29.25" customHeight="1">
      <c r="A17" s="72"/>
      <c r="B17" s="71"/>
      <c r="C17" s="70"/>
      <c r="D17" s="73" t="s">
        <v>94</v>
      </c>
      <c r="E17" s="73"/>
      <c r="F17" s="73"/>
      <c r="G17" s="61">
        <f>SUM(G18:G21)</f>
        <v>0</v>
      </c>
      <c r="H17" s="61">
        <f>SUM(H18:H21)</f>
        <v>4980</v>
      </c>
      <c r="I17" s="61">
        <f t="shared" si="0"/>
        <v>-4980</v>
      </c>
      <c r="J17" s="60"/>
      <c r="K17" s="24" t="b">
        <f t="shared" si="1"/>
        <v>1</v>
      </c>
    </row>
    <row r="18" spans="1:11" ht="29.25" hidden="1" customHeight="1">
      <c r="A18" s="72"/>
      <c r="B18" s="71"/>
      <c r="C18" s="71"/>
      <c r="D18" s="70"/>
      <c r="E18" s="73" t="s">
        <v>93</v>
      </c>
      <c r="F18" s="73"/>
      <c r="G18" s="61">
        <v>0</v>
      </c>
      <c r="H18" s="61">
        <v>0</v>
      </c>
      <c r="I18" s="61">
        <f t="shared" si="0"/>
        <v>0</v>
      </c>
      <c r="J18" s="60"/>
      <c r="K18" s="24" t="b">
        <f t="shared" si="1"/>
        <v>0</v>
      </c>
    </row>
    <row r="19" spans="1:11" ht="29.25" hidden="1" customHeight="1">
      <c r="A19" s="72"/>
      <c r="B19" s="71"/>
      <c r="C19" s="71"/>
      <c r="D19" s="71"/>
      <c r="E19" s="73" t="s">
        <v>92</v>
      </c>
      <c r="F19" s="73"/>
      <c r="G19" s="61">
        <f>'(繰)対前年'!G20</f>
        <v>0</v>
      </c>
      <c r="H19" s="61">
        <f>'(繰)対前年'!H20</f>
        <v>0</v>
      </c>
      <c r="I19" s="61">
        <f t="shared" si="0"/>
        <v>0</v>
      </c>
      <c r="J19" s="60" t="s">
        <v>89</v>
      </c>
      <c r="K19" s="24" t="b">
        <f t="shared" si="1"/>
        <v>0</v>
      </c>
    </row>
    <row r="20" spans="1:11" ht="29.25" hidden="1" customHeight="1">
      <c r="A20" s="72"/>
      <c r="B20" s="71"/>
      <c r="C20" s="71"/>
      <c r="D20" s="71"/>
      <c r="E20" s="73" t="s">
        <v>91</v>
      </c>
      <c r="F20" s="73"/>
      <c r="G20" s="61">
        <f>'(繰)対前年'!G21</f>
        <v>0</v>
      </c>
      <c r="H20" s="61">
        <f>'(繰)対前年'!H21</f>
        <v>0</v>
      </c>
      <c r="I20" s="61">
        <f t="shared" si="0"/>
        <v>0</v>
      </c>
      <c r="J20" s="60" t="s">
        <v>89</v>
      </c>
      <c r="K20" s="24" t="b">
        <f t="shared" si="1"/>
        <v>0</v>
      </c>
    </row>
    <row r="21" spans="1:11" ht="29.25" customHeight="1">
      <c r="A21" s="72"/>
      <c r="B21" s="71"/>
      <c r="C21" s="71"/>
      <c r="D21" s="71"/>
      <c r="E21" s="70" t="s">
        <v>90</v>
      </c>
      <c r="F21" s="70"/>
      <c r="G21" s="35">
        <f>'(繰)対前年'!G22</f>
        <v>0</v>
      </c>
      <c r="H21" s="35">
        <f>'(繰)対前年'!H22</f>
        <v>4980</v>
      </c>
      <c r="I21" s="35">
        <f t="shared" si="0"/>
        <v>-4980</v>
      </c>
      <c r="J21" s="69" t="s">
        <v>89</v>
      </c>
      <c r="K21" s="24" t="b">
        <f t="shared" si="1"/>
        <v>1</v>
      </c>
    </row>
    <row r="22" spans="1:11" ht="29.25" hidden="1" customHeight="1">
      <c r="A22" s="72"/>
      <c r="B22" s="71"/>
      <c r="C22" s="71"/>
      <c r="D22" s="71"/>
      <c r="E22" s="1300"/>
      <c r="F22" s="70" t="s">
        <v>317</v>
      </c>
      <c r="G22" s="35">
        <f>'(繰)対前年'!G23</f>
        <v>0</v>
      </c>
      <c r="H22" s="35">
        <f>'(繰)対前年'!H23</f>
        <v>0</v>
      </c>
      <c r="I22" s="35">
        <f t="shared" si="0"/>
        <v>0</v>
      </c>
      <c r="J22" s="69"/>
      <c r="K22" s="24" t="b">
        <f t="shared" si="1"/>
        <v>0</v>
      </c>
    </row>
    <row r="23" spans="1:11" ht="29.25" hidden="1" customHeight="1">
      <c r="A23" s="72"/>
      <c r="B23" s="71"/>
      <c r="C23" s="71"/>
      <c r="D23" s="71"/>
      <c r="E23" s="1301"/>
      <c r="F23" s="70" t="s">
        <v>318</v>
      </c>
      <c r="G23" s="35">
        <f>'(繰)対前年'!G24</f>
        <v>0</v>
      </c>
      <c r="H23" s="35">
        <f>'(繰)対前年'!H24</f>
        <v>0</v>
      </c>
      <c r="I23" s="35">
        <f t="shared" si="0"/>
        <v>0</v>
      </c>
      <c r="J23" s="69"/>
      <c r="K23" s="24" t="b">
        <f t="shared" si="1"/>
        <v>0</v>
      </c>
    </row>
    <row r="24" spans="1:11" ht="29.25" customHeight="1" thickBot="1">
      <c r="A24" s="81"/>
      <c r="B24" s="80"/>
      <c r="C24" s="80"/>
      <c r="D24" s="79" t="s">
        <v>88</v>
      </c>
      <c r="E24" s="79"/>
      <c r="F24" s="79"/>
      <c r="G24" s="55">
        <f>'(繰)対前年'!G25</f>
        <v>0</v>
      </c>
      <c r="H24" s="55">
        <f>'(繰)対前年'!H25</f>
        <v>9198273</v>
      </c>
      <c r="I24" s="55">
        <f t="shared" si="0"/>
        <v>-9198273</v>
      </c>
      <c r="J24" s="54" t="s">
        <v>100</v>
      </c>
      <c r="K24" s="24" t="b">
        <f t="shared" si="1"/>
        <v>1</v>
      </c>
    </row>
    <row r="25" spans="1:11" ht="29.25" customHeight="1" thickTop="1">
      <c r="A25" s="344" t="s">
        <v>86</v>
      </c>
      <c r="B25" s="345"/>
      <c r="C25" s="345"/>
      <c r="D25" s="345"/>
      <c r="E25" s="816"/>
      <c r="F25" s="817"/>
      <c r="G25" s="341">
        <f>G26+G29</f>
        <v>3640474000</v>
      </c>
      <c r="H25" s="341">
        <f>H26+H29</f>
        <v>3285504551</v>
      </c>
      <c r="I25" s="341">
        <f t="shared" si="0"/>
        <v>354969449</v>
      </c>
      <c r="J25" s="342"/>
      <c r="K25" s="24" t="b">
        <f t="shared" si="1"/>
        <v>1</v>
      </c>
    </row>
    <row r="26" spans="1:11" ht="29.25" customHeight="1">
      <c r="A26" s="74"/>
      <c r="B26" s="73" t="s">
        <v>85</v>
      </c>
      <c r="C26" s="73"/>
      <c r="D26" s="73"/>
      <c r="E26" s="73"/>
      <c r="F26" s="73"/>
      <c r="G26" s="61">
        <f>G27</f>
        <v>3640474000</v>
      </c>
      <c r="H26" s="61">
        <f>H27</f>
        <v>3285504551</v>
      </c>
      <c r="I26" s="61">
        <f t="shared" si="0"/>
        <v>354969449</v>
      </c>
      <c r="J26" s="374"/>
      <c r="K26" s="24" t="b">
        <f t="shared" si="1"/>
        <v>1</v>
      </c>
    </row>
    <row r="27" spans="1:11" ht="29.25" customHeight="1">
      <c r="A27" s="72"/>
      <c r="B27" s="70"/>
      <c r="C27" s="73" t="s">
        <v>84</v>
      </c>
      <c r="D27" s="73"/>
      <c r="E27" s="73"/>
      <c r="F27" s="73"/>
      <c r="G27" s="61">
        <f>SUM(G28:G28)</f>
        <v>3640474000</v>
      </c>
      <c r="H27" s="61">
        <f>SUM(H28:H28)</f>
        <v>3285504551</v>
      </c>
      <c r="I27" s="61">
        <f t="shared" si="0"/>
        <v>354969449</v>
      </c>
      <c r="J27" s="60"/>
      <c r="K27" s="24" t="b">
        <f t="shared" si="1"/>
        <v>1</v>
      </c>
    </row>
    <row r="28" spans="1:11" ht="29.25" customHeight="1" thickBot="1">
      <c r="A28" s="810"/>
      <c r="B28" s="811"/>
      <c r="C28" s="812"/>
      <c r="D28" s="813" t="s">
        <v>84</v>
      </c>
      <c r="E28" s="813"/>
      <c r="F28" s="813"/>
      <c r="G28" s="33">
        <f>'(繰)対前年'!G29</f>
        <v>3640474000</v>
      </c>
      <c r="H28" s="33">
        <f>'(繰)対前年'!H29</f>
        <v>3285504551</v>
      </c>
      <c r="I28" s="33">
        <f t="shared" si="0"/>
        <v>354969449</v>
      </c>
      <c r="J28" s="104" t="s">
        <v>71</v>
      </c>
      <c r="K28" s="24" t="b">
        <f t="shared" si="1"/>
        <v>1</v>
      </c>
    </row>
    <row r="29" spans="1:11" ht="29.25" hidden="1" customHeight="1">
      <c r="A29" s="65"/>
      <c r="B29" s="240" t="s">
        <v>83</v>
      </c>
      <c r="C29" s="244"/>
      <c r="D29" s="244"/>
      <c r="E29" s="263"/>
      <c r="F29" s="263"/>
      <c r="G29" s="76">
        <f>G30</f>
        <v>0</v>
      </c>
      <c r="H29" s="76">
        <f>H30</f>
        <v>0</v>
      </c>
      <c r="I29" s="76">
        <f t="shared" si="0"/>
        <v>0</v>
      </c>
      <c r="J29" s="75"/>
      <c r="K29" s="24" t="b">
        <f t="shared" si="1"/>
        <v>0</v>
      </c>
    </row>
    <row r="30" spans="1:11" ht="29.25" hidden="1" customHeight="1">
      <c r="A30" s="65"/>
      <c r="B30" s="66"/>
      <c r="C30" s="68" t="s">
        <v>82</v>
      </c>
      <c r="D30" s="67"/>
      <c r="E30" s="62"/>
      <c r="F30" s="62"/>
      <c r="G30" s="61">
        <f>SUM(G31:G33)</f>
        <v>0</v>
      </c>
      <c r="H30" s="61">
        <f>SUM(H31:H33)</f>
        <v>0</v>
      </c>
      <c r="I30" s="61">
        <f t="shared" si="0"/>
        <v>0</v>
      </c>
      <c r="J30" s="60" t="s">
        <v>61</v>
      </c>
      <c r="K30" s="24" t="b">
        <f t="shared" si="1"/>
        <v>0</v>
      </c>
    </row>
    <row r="31" spans="1:11" ht="29.25" hidden="1" customHeight="1">
      <c r="A31" s="65"/>
      <c r="B31" s="64"/>
      <c r="C31" s="66"/>
      <c r="D31" s="63" t="s">
        <v>80</v>
      </c>
      <c r="E31" s="62"/>
      <c r="F31" s="62"/>
      <c r="G31" s="61">
        <f>'(繰)対前年'!G32</f>
        <v>0</v>
      </c>
      <c r="H31" s="61">
        <f>'(繰)対前年'!H32</f>
        <v>0</v>
      </c>
      <c r="I31" s="61">
        <f t="shared" si="0"/>
        <v>0</v>
      </c>
      <c r="J31" s="60"/>
      <c r="K31" s="24" t="b">
        <f t="shared" si="1"/>
        <v>0</v>
      </c>
    </row>
    <row r="32" spans="1:11" ht="29.25" hidden="1" customHeight="1">
      <c r="A32" s="65"/>
      <c r="B32" s="64"/>
      <c r="C32" s="64"/>
      <c r="D32" s="63" t="s">
        <v>79</v>
      </c>
      <c r="E32" s="62"/>
      <c r="F32" s="62"/>
      <c r="G32" s="61">
        <f>'(繰)対前年'!G33</f>
        <v>0</v>
      </c>
      <c r="H32" s="61">
        <f>'(繰)対前年'!H33</f>
        <v>0</v>
      </c>
      <c r="I32" s="61">
        <f t="shared" si="0"/>
        <v>0</v>
      </c>
      <c r="J32" s="60"/>
      <c r="K32" s="24" t="b">
        <f t="shared" si="1"/>
        <v>0</v>
      </c>
    </row>
    <row r="33" spans="1:11" ht="29.25" hidden="1" customHeight="1" thickBot="1">
      <c r="A33" s="65"/>
      <c r="B33" s="107"/>
      <c r="C33" s="107"/>
      <c r="D33" s="106" t="s">
        <v>119</v>
      </c>
      <c r="E33" s="105"/>
      <c r="F33" s="105"/>
      <c r="G33" s="33">
        <f>'(繰)対前年'!G34</f>
        <v>0</v>
      </c>
      <c r="H33" s="33">
        <f>'(繰)対前年'!H34</f>
        <v>0</v>
      </c>
      <c r="I33" s="33">
        <f t="shared" si="0"/>
        <v>0</v>
      </c>
      <c r="J33" s="104"/>
      <c r="K33" s="24" t="b">
        <f t="shared" si="1"/>
        <v>0</v>
      </c>
    </row>
    <row r="34" spans="1:11" ht="29.25" customHeight="1" outlineLevel="1" thickBot="1">
      <c r="A34" s="799" t="s">
        <v>77</v>
      </c>
      <c r="B34" s="373"/>
      <c r="C34" s="373"/>
      <c r="D34" s="373"/>
      <c r="E34" s="800"/>
      <c r="F34" s="338"/>
      <c r="G34" s="43">
        <f>G4+G25</f>
        <v>17495336000</v>
      </c>
      <c r="H34" s="43">
        <f>H4+H25</f>
        <v>17481810139</v>
      </c>
      <c r="I34" s="43">
        <f>I4+I25</f>
        <v>13525861</v>
      </c>
      <c r="J34" s="45"/>
      <c r="K34" s="24" t="b">
        <f t="shared" si="1"/>
        <v>1</v>
      </c>
    </row>
    <row r="35" spans="1:11" ht="29.25" hidden="1" customHeight="1" thickTop="1" thickBot="1">
      <c r="A35" s="803"/>
      <c r="B35" s="809" t="s">
        <v>76</v>
      </c>
      <c r="C35" s="804"/>
      <c r="D35" s="804"/>
      <c r="E35" s="805"/>
      <c r="F35" s="797"/>
      <c r="G35" s="39">
        <f>'(繰)精算書'!G45</f>
        <v>0</v>
      </c>
      <c r="H35" s="39">
        <f>'(繰)精算書'!H45</f>
        <v>0</v>
      </c>
      <c r="I35" s="39">
        <f>G35-H35</f>
        <v>0</v>
      </c>
      <c r="J35" s="103" t="s">
        <v>100</v>
      </c>
      <c r="K35" s="24" t="b">
        <f t="shared" si="1"/>
        <v>0</v>
      </c>
    </row>
    <row r="36" spans="1:11" ht="29.25" customHeight="1" outlineLevel="1" thickBot="1">
      <c r="A36" s="1302" t="s">
        <v>580</v>
      </c>
      <c r="B36" s="1303"/>
      <c r="C36" s="1303"/>
      <c r="D36" s="1303"/>
      <c r="E36" s="1303"/>
      <c r="F36" s="1304"/>
      <c r="G36" s="814">
        <f>G34+G35</f>
        <v>17495336000</v>
      </c>
      <c r="H36" s="814">
        <f>H34+H35</f>
        <v>17481810139</v>
      </c>
      <c r="I36" s="814">
        <f>G36-H36</f>
        <v>13525861</v>
      </c>
      <c r="J36" s="815"/>
      <c r="K36" s="24" t="b">
        <f t="shared" si="1"/>
        <v>1</v>
      </c>
    </row>
    <row r="37" spans="1:11" ht="29.25" hidden="1" customHeight="1" thickTop="1" thickBot="1">
      <c r="A37" s="801" t="s">
        <v>118</v>
      </c>
      <c r="B37" s="802"/>
      <c r="C37" s="802"/>
      <c r="D37" s="802"/>
      <c r="E37" s="802"/>
      <c r="F37" s="339"/>
      <c r="G37" s="41">
        <f>'(繰)対前年'!G38</f>
        <v>0</v>
      </c>
      <c r="H37" s="41">
        <f>'(繰)対前年'!H38</f>
        <v>0</v>
      </c>
      <c r="I37" s="41">
        <f>G37-H37</f>
        <v>0</v>
      </c>
      <c r="J37" s="40" t="s">
        <v>89</v>
      </c>
      <c r="K37" s="24" t="b">
        <f t="shared" si="1"/>
        <v>0</v>
      </c>
    </row>
    <row r="38" spans="1:11" ht="29.25" customHeight="1" thickTop="1" thickBot="1">
      <c r="A38" s="1297" t="s">
        <v>70</v>
      </c>
      <c r="B38" s="1298"/>
      <c r="C38" s="1298"/>
      <c r="D38" s="1298"/>
      <c r="E38" s="1298"/>
      <c r="F38" s="1299"/>
      <c r="G38" s="39">
        <f>SUM(G36:G37)</f>
        <v>17495336000</v>
      </c>
      <c r="H38" s="39">
        <f>SUM(H36:H37)</f>
        <v>17481810139</v>
      </c>
      <c r="I38" s="39">
        <f>SUM(I36:I37)</f>
        <v>13525861</v>
      </c>
      <c r="J38" s="103"/>
      <c r="K38" s="24" t="b">
        <f t="shared" si="1"/>
        <v>1</v>
      </c>
    </row>
    <row r="39" spans="1:11" ht="29.25" customHeight="1" thickBot="1"/>
    <row r="40" spans="1:11" ht="29.25" customHeight="1" thickBot="1">
      <c r="E40" s="1295" t="s">
        <v>69</v>
      </c>
      <c r="F40" s="1296"/>
      <c r="G40" s="807" t="s">
        <v>117</v>
      </c>
      <c r="H40" s="807" t="s">
        <v>116</v>
      </c>
      <c r="I40" s="808" t="s">
        <v>115</v>
      </c>
    </row>
    <row r="41" spans="1:11" ht="29.25" customHeight="1">
      <c r="E41" s="1289" t="s">
        <v>71</v>
      </c>
      <c r="F41" s="1290"/>
      <c r="G41" s="76">
        <f>+'(繰)対前年'!G43</f>
        <v>13691958000</v>
      </c>
      <c r="H41" s="102">
        <f>SUMIF(J4:J33,E41,H4:H33)+H37</f>
        <v>13773736465</v>
      </c>
      <c r="I41" s="101">
        <f>G41-H41</f>
        <v>-81778465</v>
      </c>
      <c r="J41" s="375"/>
    </row>
    <row r="42" spans="1:11" ht="29.25" customHeight="1">
      <c r="E42" s="1291" t="s">
        <v>62</v>
      </c>
      <c r="F42" s="1292"/>
      <c r="G42" s="35">
        <f>+'(繰)対前年'!G44</f>
        <v>3803378000</v>
      </c>
      <c r="H42" s="100">
        <f>SUMIF(J4:J35,E42,H4:H35)</f>
        <v>3708073674</v>
      </c>
      <c r="I42" s="99">
        <f>G42-H42</f>
        <v>95304326</v>
      </c>
    </row>
    <row r="43" spans="1:11" ht="29.25" customHeight="1" thickBot="1">
      <c r="E43" s="1293" t="s">
        <v>61</v>
      </c>
      <c r="F43" s="1294"/>
      <c r="G43" s="33">
        <f>+'(繰)対前年'!G45</f>
        <v>0</v>
      </c>
      <c r="H43" s="98">
        <f>SUMIF(J4:J33,E43,H4:H33)</f>
        <v>0</v>
      </c>
      <c r="I43" s="97">
        <f>G43-H43</f>
        <v>0</v>
      </c>
    </row>
    <row r="44" spans="1:11" ht="29.25" customHeight="1" thickBot="1">
      <c r="E44" s="1243" t="s">
        <v>114</v>
      </c>
      <c r="F44" s="1245"/>
      <c r="G44" s="50">
        <f>SUM(G41:G43)</f>
        <v>17495336000</v>
      </c>
      <c r="H44" s="50">
        <f>SUM(H41:H43)</f>
        <v>17481810139</v>
      </c>
      <c r="I44" s="96">
        <f>SUM(I41:I43)</f>
        <v>13525861</v>
      </c>
    </row>
    <row r="45" spans="1:11" s="82" customFormat="1" ht="29.25" customHeight="1">
      <c r="E45" s="95"/>
      <c r="F45" s="95"/>
      <c r="G45" s="94"/>
      <c r="H45" s="28"/>
      <c r="I45" s="28"/>
    </row>
  </sheetData>
  <autoFilter ref="A3:K38">
    <filterColumn colId="0" showButton="0"/>
    <filterColumn colId="1" showButton="0"/>
    <filterColumn colId="2" showButton="0"/>
    <filterColumn colId="3" showButton="0"/>
    <filterColumn colId="4" showButton="0"/>
    <filterColumn colId="10">
      <filters>
        <filter val="TRUE"/>
      </filters>
    </filterColumn>
  </autoFilter>
  <mergeCells count="12">
    <mergeCell ref="A38:F38"/>
    <mergeCell ref="E22:E23"/>
    <mergeCell ref="A36:F36"/>
    <mergeCell ref="A1:J1"/>
    <mergeCell ref="E2:H2"/>
    <mergeCell ref="B5:F5"/>
    <mergeCell ref="A3:F3"/>
    <mergeCell ref="E41:F41"/>
    <mergeCell ref="E42:F42"/>
    <mergeCell ref="E43:F43"/>
    <mergeCell ref="E44:F44"/>
    <mergeCell ref="E40:F40"/>
  </mergeCells>
  <phoneticPr fontId="3"/>
  <printOptions horizontalCentered="1"/>
  <pageMargins left="0.94488188976377963" right="0.43307086614173229" top="0.74803149606299213" bottom="0.43307086614173229" header="0.51181102362204722" footer="0.39370078740157483"/>
  <pageSetup paperSize="9" scale="92"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7"/>
    <pageSetUpPr fitToPage="1"/>
  </sheetPr>
  <dimension ref="A1:T47"/>
  <sheetViews>
    <sheetView view="pageBreakPreview" zoomScaleNormal="85" zoomScaleSheetLayoutView="100" workbookViewId="0">
      <pane ySplit="4" topLeftCell="A5" activePane="bottomLeft" state="frozen"/>
      <selection activeCell="E7" sqref="E7"/>
      <selection pane="bottomLeft" activeCell="A5" sqref="A5"/>
    </sheetView>
  </sheetViews>
  <sheetFormatPr defaultRowHeight="27.75" customHeight="1" outlineLevelRow="1" outlineLevelCol="1"/>
  <cols>
    <col min="1" max="5" width="1.75" customWidth="1"/>
    <col min="6" max="6" width="13.375" customWidth="1"/>
    <col min="7" max="8" width="15" style="24" customWidth="1"/>
    <col min="9" max="9" width="15" style="28" customWidth="1"/>
    <col min="10" max="10" width="6.375" style="399" customWidth="1"/>
    <col min="11" max="11" width="15" style="24" customWidth="1"/>
    <col min="12" max="12" width="15" style="28" customWidth="1"/>
    <col min="13" max="13" width="8.875" style="87" bestFit="1" customWidth="1"/>
    <col min="14" max="15" width="14.75" hidden="1" customWidth="1" outlineLevel="1"/>
    <col min="16" max="16" width="8.375" hidden="1" customWidth="1" outlineLevel="1"/>
    <col min="17" max="17" width="8.125" customWidth="1" collapsed="1"/>
  </cols>
  <sheetData>
    <row r="1" spans="1:19" ht="27.75" customHeight="1">
      <c r="A1" s="1319" t="str">
        <f>+CONCATENATE(LEFT('[1]3条支出'!$D$1,5),"一般会計繰入金の前年度比較表")</f>
        <v>令和５年度一般会計繰入金の前年度比較表</v>
      </c>
      <c r="B1" s="1319"/>
      <c r="C1" s="1319"/>
      <c r="D1" s="1319"/>
      <c r="E1" s="1319"/>
      <c r="F1" s="1319"/>
      <c r="G1" s="1319"/>
      <c r="H1" s="1319"/>
      <c r="I1" s="1319"/>
      <c r="J1" s="237"/>
      <c r="K1" s="236"/>
      <c r="L1" s="235"/>
      <c r="M1" s="395"/>
      <c r="N1" s="234"/>
      <c r="O1" s="234"/>
      <c r="P1" s="234"/>
      <c r="Q1" s="234"/>
    </row>
    <row r="2" spans="1:19" ht="27.75" customHeight="1" thickBot="1">
      <c r="B2" s="233"/>
      <c r="C2" s="233"/>
      <c r="D2" s="233"/>
      <c r="E2" s="232"/>
      <c r="F2" s="232"/>
      <c r="G2" s="231"/>
      <c r="H2" s="231"/>
      <c r="I2" s="230"/>
      <c r="J2" s="229"/>
      <c r="K2" s="228"/>
      <c r="L2" s="1318" t="s">
        <v>109</v>
      </c>
      <c r="M2" s="1318"/>
      <c r="N2" s="227"/>
      <c r="O2" s="227"/>
    </row>
    <row r="3" spans="1:19" s="218" customFormat="1" ht="27.75" customHeight="1">
      <c r="A3" s="1337" t="s">
        <v>108</v>
      </c>
      <c r="B3" s="1338"/>
      <c r="C3" s="1338"/>
      <c r="D3" s="1338"/>
      <c r="E3" s="1338"/>
      <c r="F3" s="1339"/>
      <c r="G3" s="226" t="s">
        <v>660</v>
      </c>
      <c r="H3" s="226" t="s">
        <v>659</v>
      </c>
      <c r="I3" s="1320" t="s">
        <v>130</v>
      </c>
      <c r="J3" s="1321"/>
      <c r="K3" s="138" t="s">
        <v>129</v>
      </c>
      <c r="L3" s="1320" t="s">
        <v>128</v>
      </c>
      <c r="M3" s="1322"/>
      <c r="N3" s="225" t="s">
        <v>142</v>
      </c>
      <c r="O3" s="1331" t="s">
        <v>141</v>
      </c>
      <c r="P3" s="1332"/>
      <c r="Q3" s="224" t="s">
        <v>65</v>
      </c>
    </row>
    <row r="4" spans="1:19" s="218" customFormat="1" ht="27.75" customHeight="1" thickBot="1">
      <c r="A4" s="1329"/>
      <c r="B4" s="1330"/>
      <c r="C4" s="1330"/>
      <c r="D4" s="1330"/>
      <c r="E4" s="1330"/>
      <c r="F4" s="343"/>
      <c r="G4" s="223" t="s">
        <v>657</v>
      </c>
      <c r="H4" s="223" t="s">
        <v>658</v>
      </c>
      <c r="I4" s="134" t="s">
        <v>656</v>
      </c>
      <c r="J4" s="350" t="s">
        <v>320</v>
      </c>
      <c r="K4" s="135" t="s">
        <v>655</v>
      </c>
      <c r="L4" s="134" t="s">
        <v>663</v>
      </c>
      <c r="M4" s="349" t="s">
        <v>319</v>
      </c>
      <c r="N4" s="222" t="s">
        <v>140</v>
      </c>
      <c r="O4" s="221" t="s">
        <v>139</v>
      </c>
      <c r="P4" s="220" t="s">
        <v>138</v>
      </c>
      <c r="Q4" s="219"/>
      <c r="R4" s="218" t="s">
        <v>654</v>
      </c>
    </row>
    <row r="5" spans="1:19" ht="27.75" customHeight="1">
      <c r="A5" s="197" t="s">
        <v>107</v>
      </c>
      <c r="B5" s="196"/>
      <c r="C5" s="196"/>
      <c r="D5" s="196"/>
      <c r="E5" s="196"/>
      <c r="F5" s="196"/>
      <c r="G5" s="131">
        <f>G6+G16</f>
        <v>13854862000</v>
      </c>
      <c r="H5" s="131">
        <f>H6+H16</f>
        <v>14196305588</v>
      </c>
      <c r="I5" s="76">
        <f t="shared" ref="I5:I27" si="0">G5-H5</f>
        <v>-341443588</v>
      </c>
      <c r="J5" s="195">
        <f t="shared" ref="J5:J35" si="1">IF(AND(G5=0,H5&gt;0),"皆増",IF(AND(G5&gt;0,H5=0),"皆減",IF(AND(G5=0,H5=0),"-",H5/G5)))</f>
        <v>1.0246443153313256</v>
      </c>
      <c r="K5" s="194">
        <f>K6+K16</f>
        <v>13993380952</v>
      </c>
      <c r="L5" s="76">
        <f>L6+L16</f>
        <v>202924636</v>
      </c>
      <c r="M5" s="346">
        <f t="shared" ref="M5:M35" si="2">IF(AND(K5=0,H5&gt;0),"皆増",IF(AND(K5&gt;0,H5=0),"皆減",IF(AND(K5=0,H5=0),"-",H5/K5)))</f>
        <v>1.0145014729961308</v>
      </c>
      <c r="N5" s="193">
        <f>N6+N16</f>
        <v>0</v>
      </c>
      <c r="O5" s="192">
        <f t="shared" ref="O5:O18" si="3">N5-H5</f>
        <v>-14196305588</v>
      </c>
      <c r="P5" s="191" t="e">
        <f t="shared" ref="P5:P18" si="4">H5/N5</f>
        <v>#DIV/0!</v>
      </c>
      <c r="Q5" s="190"/>
      <c r="R5" t="str">
        <f t="shared" ref="R5:R39" si="5">IF(OR(G5&gt;0,H5&gt;0,K5&gt;0),"表示（自動）","非表示（自動）")</f>
        <v>表示（自動）</v>
      </c>
    </row>
    <row r="6" spans="1:19" ht="27.75" customHeight="1">
      <c r="A6" s="189"/>
      <c r="B6" s="187" t="s">
        <v>106</v>
      </c>
      <c r="C6" s="187"/>
      <c r="D6" s="187"/>
      <c r="E6" s="187"/>
      <c r="F6" s="187"/>
      <c r="G6" s="175">
        <f>G7</f>
        <v>13854862000</v>
      </c>
      <c r="H6" s="175">
        <f>H7</f>
        <v>14187102335</v>
      </c>
      <c r="I6" s="61">
        <f t="shared" si="0"/>
        <v>-332240335</v>
      </c>
      <c r="J6" s="186">
        <f t="shared" si="1"/>
        <v>1.0239800537168828</v>
      </c>
      <c r="K6" s="174">
        <f>K7</f>
        <v>13993349494</v>
      </c>
      <c r="L6" s="61">
        <f>SUM(L7)</f>
        <v>193752841</v>
      </c>
      <c r="M6" s="213">
        <f t="shared" si="2"/>
        <v>1.0138460660246553</v>
      </c>
      <c r="N6" s="173">
        <f>N7</f>
        <v>0</v>
      </c>
      <c r="O6" s="172">
        <f t="shared" si="3"/>
        <v>-14187102335</v>
      </c>
      <c r="P6" s="171" t="e">
        <f t="shared" si="4"/>
        <v>#DIV/0!</v>
      </c>
      <c r="Q6" s="158"/>
      <c r="R6" t="str">
        <f t="shared" si="5"/>
        <v>表示（自動）</v>
      </c>
    </row>
    <row r="7" spans="1:19" ht="27.75" customHeight="1">
      <c r="A7" s="185"/>
      <c r="B7" s="188"/>
      <c r="C7" s="187" t="s">
        <v>105</v>
      </c>
      <c r="D7" s="187"/>
      <c r="E7" s="187"/>
      <c r="F7" s="187"/>
      <c r="G7" s="175">
        <f>G8+G13+G14+G15+G12</f>
        <v>13854862000</v>
      </c>
      <c r="H7" s="175">
        <f>H8+H13+H14+H15+H12</f>
        <v>14187102335</v>
      </c>
      <c r="I7" s="61">
        <f t="shared" si="0"/>
        <v>-332240335</v>
      </c>
      <c r="J7" s="186">
        <f t="shared" si="1"/>
        <v>1.0239800537168828</v>
      </c>
      <c r="K7" s="174">
        <f>K8+K13+K14+K15+K12</f>
        <v>13993349494</v>
      </c>
      <c r="L7" s="61">
        <f>L8+L13+L14+L15+L12</f>
        <v>193752841</v>
      </c>
      <c r="M7" s="213">
        <f t="shared" si="2"/>
        <v>1.0138460660246553</v>
      </c>
      <c r="N7" s="173">
        <f>N8+N13+N14+N15+N12</f>
        <v>0</v>
      </c>
      <c r="O7" s="172">
        <f t="shared" si="3"/>
        <v>-14187102335</v>
      </c>
      <c r="P7" s="171" t="e">
        <f t="shared" si="4"/>
        <v>#DIV/0!</v>
      </c>
      <c r="Q7" s="158"/>
      <c r="R7" t="str">
        <f t="shared" si="5"/>
        <v>表示（自動）</v>
      </c>
    </row>
    <row r="8" spans="1:19" ht="27.75" customHeight="1">
      <c r="A8" s="185"/>
      <c r="B8" s="184"/>
      <c r="C8" s="188"/>
      <c r="D8" s="187" t="s">
        <v>104</v>
      </c>
      <c r="E8" s="187"/>
      <c r="F8" s="187"/>
      <c r="G8" s="175">
        <f>SUM(G9:G11)</f>
        <v>13738282000</v>
      </c>
      <c r="H8" s="175">
        <f>SUM(H9:H11)</f>
        <v>14079749832</v>
      </c>
      <c r="I8" s="61">
        <f t="shared" si="0"/>
        <v>-341467832</v>
      </c>
      <c r="J8" s="186">
        <f t="shared" si="1"/>
        <v>1.0248552062040945</v>
      </c>
      <c r="K8" s="174">
        <f>SUM(K9:K11)</f>
        <v>13893559179</v>
      </c>
      <c r="L8" s="61">
        <f>SUM(L9:L11)</f>
        <v>186190653</v>
      </c>
      <c r="M8" s="213">
        <f t="shared" si="2"/>
        <v>1.0134012207096239</v>
      </c>
      <c r="N8" s="173">
        <f>SUM(N9:N11)</f>
        <v>0</v>
      </c>
      <c r="O8" s="172">
        <f t="shared" si="3"/>
        <v>-14079749832</v>
      </c>
      <c r="P8" s="171" t="e">
        <f t="shared" si="4"/>
        <v>#DIV/0!</v>
      </c>
      <c r="Q8" s="158"/>
      <c r="R8" t="str">
        <f t="shared" si="5"/>
        <v>表示（自動）</v>
      </c>
    </row>
    <row r="9" spans="1:19" ht="27.75" customHeight="1">
      <c r="A9" s="185"/>
      <c r="B9" s="184"/>
      <c r="C9" s="184"/>
      <c r="D9" s="188"/>
      <c r="E9" s="187" t="s">
        <v>93</v>
      </c>
      <c r="F9" s="187"/>
      <c r="G9" s="166">
        <f>3629553000+4934000+52311000</f>
        <v>3686798000</v>
      </c>
      <c r="H9" s="216">
        <f>+'[2]3条収入'!AI11</f>
        <v>3591522898</v>
      </c>
      <c r="I9" s="61">
        <f t="shared" si="0"/>
        <v>95275102</v>
      </c>
      <c r="J9" s="186">
        <f t="shared" si="1"/>
        <v>0.97415776454256509</v>
      </c>
      <c r="K9" s="169">
        <v>3319461162</v>
      </c>
      <c r="L9" s="61">
        <f t="shared" ref="L9:L15" si="6">H9-K9</f>
        <v>272061736</v>
      </c>
      <c r="M9" s="213">
        <f t="shared" si="2"/>
        <v>1.0819596081178671</v>
      </c>
      <c r="N9" s="161"/>
      <c r="O9" s="160">
        <f t="shared" si="3"/>
        <v>-3591522898</v>
      </c>
      <c r="P9" s="159" t="e">
        <f t="shared" si="4"/>
        <v>#DIV/0!</v>
      </c>
      <c r="Q9" s="158" t="s">
        <v>100</v>
      </c>
      <c r="R9" t="str">
        <f t="shared" si="5"/>
        <v>表示（自動）</v>
      </c>
    </row>
    <row r="10" spans="1:19" ht="27.75" customHeight="1">
      <c r="A10" s="185"/>
      <c r="B10" s="184"/>
      <c r="C10" s="184"/>
      <c r="D10" s="184"/>
      <c r="E10" s="187" t="s">
        <v>92</v>
      </c>
      <c r="F10" s="187"/>
      <c r="G10" s="372">
        <v>7912710000</v>
      </c>
      <c r="H10" s="216">
        <f>+'[2]3条収入'!AI12</f>
        <v>8476549651</v>
      </c>
      <c r="I10" s="61">
        <f t="shared" si="0"/>
        <v>-563839651</v>
      </c>
      <c r="J10" s="186">
        <f t="shared" si="1"/>
        <v>1.0712574643832518</v>
      </c>
      <c r="K10" s="169">
        <v>8333522738</v>
      </c>
      <c r="L10" s="61">
        <f t="shared" si="6"/>
        <v>143026913</v>
      </c>
      <c r="M10" s="213">
        <f t="shared" si="2"/>
        <v>1.0171628394733732</v>
      </c>
      <c r="N10" s="161"/>
      <c r="O10" s="160">
        <f t="shared" si="3"/>
        <v>-8476549651</v>
      </c>
      <c r="P10" s="159" t="e">
        <f t="shared" si="4"/>
        <v>#DIV/0!</v>
      </c>
      <c r="Q10" s="158" t="s">
        <v>89</v>
      </c>
      <c r="R10" t="str">
        <f t="shared" si="5"/>
        <v>表示（自動）</v>
      </c>
    </row>
    <row r="11" spans="1:19" ht="27.75" customHeight="1">
      <c r="A11" s="185"/>
      <c r="B11" s="184"/>
      <c r="C11" s="184"/>
      <c r="D11" s="196"/>
      <c r="E11" s="187" t="s">
        <v>91</v>
      </c>
      <c r="F11" s="187"/>
      <c r="G11" s="166">
        <v>2138774000</v>
      </c>
      <c r="H11" s="216">
        <f>+'[2]3条収入'!AI13</f>
        <v>2011677283</v>
      </c>
      <c r="I11" s="217">
        <f t="shared" si="0"/>
        <v>127096717</v>
      </c>
      <c r="J11" s="186">
        <f t="shared" si="1"/>
        <v>0.94057496631247617</v>
      </c>
      <c r="K11" s="169">
        <v>2240575279</v>
      </c>
      <c r="L11" s="217">
        <f t="shared" si="6"/>
        <v>-228897996</v>
      </c>
      <c r="M11" s="213">
        <f t="shared" si="2"/>
        <v>0.8978396315690137</v>
      </c>
      <c r="N11" s="161"/>
      <c r="O11" s="160">
        <f t="shared" si="3"/>
        <v>-2011677283</v>
      </c>
      <c r="P11" s="159" t="e">
        <f t="shared" si="4"/>
        <v>#DIV/0!</v>
      </c>
      <c r="Q11" s="158" t="s">
        <v>89</v>
      </c>
      <c r="R11" t="str">
        <f t="shared" si="5"/>
        <v>表示（自動）</v>
      </c>
      <c r="S11" t="s">
        <v>513</v>
      </c>
    </row>
    <row r="12" spans="1:19" ht="27.75" hidden="1" customHeight="1">
      <c r="A12" s="185"/>
      <c r="B12" s="184"/>
      <c r="C12" s="184"/>
      <c r="D12" s="1323" t="s">
        <v>137</v>
      </c>
      <c r="E12" s="1324"/>
      <c r="F12" s="1325"/>
      <c r="G12" s="166">
        <v>0</v>
      </c>
      <c r="H12" s="175">
        <v>0</v>
      </c>
      <c r="I12" s="217">
        <f t="shared" si="0"/>
        <v>0</v>
      </c>
      <c r="J12" s="186" t="str">
        <f t="shared" si="1"/>
        <v>-</v>
      </c>
      <c r="K12" s="169">
        <v>0</v>
      </c>
      <c r="L12" s="217">
        <f t="shared" si="6"/>
        <v>0</v>
      </c>
      <c r="M12" s="213" t="str">
        <f t="shared" si="2"/>
        <v>-</v>
      </c>
      <c r="N12" s="161"/>
      <c r="O12" s="160">
        <f t="shared" si="3"/>
        <v>0</v>
      </c>
      <c r="P12" s="159" t="e">
        <f t="shared" si="4"/>
        <v>#DIV/0!</v>
      </c>
      <c r="Q12" s="158" t="s">
        <v>89</v>
      </c>
      <c r="R12" t="str">
        <f t="shared" si="5"/>
        <v>非表示（自動）</v>
      </c>
      <c r="S12" t="s">
        <v>512</v>
      </c>
    </row>
    <row r="13" spans="1:19" ht="27.75" customHeight="1">
      <c r="A13" s="185"/>
      <c r="B13" s="184"/>
      <c r="C13" s="184"/>
      <c r="D13" s="187" t="s">
        <v>102</v>
      </c>
      <c r="E13" s="187"/>
      <c r="F13" s="187"/>
      <c r="G13" s="166">
        <v>61778000</v>
      </c>
      <c r="H13" s="216">
        <f>+'[2]3条収入'!AI14</f>
        <v>52443869</v>
      </c>
      <c r="I13" s="61">
        <f t="shared" si="0"/>
        <v>9334131</v>
      </c>
      <c r="J13" s="186">
        <f t="shared" si="1"/>
        <v>0.84890849493347142</v>
      </c>
      <c r="K13" s="169">
        <v>51549179</v>
      </c>
      <c r="L13" s="61">
        <f t="shared" si="6"/>
        <v>894690</v>
      </c>
      <c r="M13" s="213">
        <f t="shared" si="2"/>
        <v>1.0173560475133852</v>
      </c>
      <c r="N13" s="161"/>
      <c r="O13" s="160">
        <f t="shared" si="3"/>
        <v>-52443869</v>
      </c>
      <c r="P13" s="159" t="e">
        <f t="shared" si="4"/>
        <v>#DIV/0!</v>
      </c>
      <c r="Q13" s="158" t="s">
        <v>100</v>
      </c>
      <c r="R13" t="str">
        <f t="shared" si="5"/>
        <v>表示（自動）</v>
      </c>
    </row>
    <row r="14" spans="1:19" ht="27.75" customHeight="1">
      <c r="A14" s="185"/>
      <c r="B14" s="184"/>
      <c r="C14" s="184"/>
      <c r="D14" s="187" t="s">
        <v>101</v>
      </c>
      <c r="E14" s="187"/>
      <c r="F14" s="187"/>
      <c r="G14" s="166">
        <v>40039000</v>
      </c>
      <c r="H14" s="216">
        <f>+'[2]3条収入'!AI15</f>
        <v>44424775</v>
      </c>
      <c r="I14" s="61">
        <f t="shared" si="0"/>
        <v>-4385775</v>
      </c>
      <c r="J14" s="186">
        <f t="shared" si="1"/>
        <v>1.1095375758635331</v>
      </c>
      <c r="K14" s="169">
        <v>37494710</v>
      </c>
      <c r="L14" s="61">
        <f t="shared" si="6"/>
        <v>6930065</v>
      </c>
      <c r="M14" s="213">
        <f t="shared" si="2"/>
        <v>1.1848278063758861</v>
      </c>
      <c r="N14" s="161"/>
      <c r="O14" s="160">
        <f t="shared" si="3"/>
        <v>-44424775</v>
      </c>
      <c r="P14" s="159" t="e">
        <f t="shared" si="4"/>
        <v>#DIV/0!</v>
      </c>
      <c r="Q14" s="158" t="s">
        <v>100</v>
      </c>
      <c r="R14" t="str">
        <f t="shared" si="5"/>
        <v>表示（自動）</v>
      </c>
    </row>
    <row r="15" spans="1:19" ht="27.75" customHeight="1">
      <c r="A15" s="185"/>
      <c r="B15" s="184"/>
      <c r="C15" s="184"/>
      <c r="D15" s="187" t="s">
        <v>99</v>
      </c>
      <c r="E15" s="187"/>
      <c r="F15" s="187"/>
      <c r="G15" s="166">
        <v>14763000</v>
      </c>
      <c r="H15" s="216">
        <f>+'[2]3条収入'!AI16</f>
        <v>10483859</v>
      </c>
      <c r="I15" s="61">
        <f t="shared" si="0"/>
        <v>4279141</v>
      </c>
      <c r="J15" s="186">
        <f t="shared" si="1"/>
        <v>0.71014421188105403</v>
      </c>
      <c r="K15" s="214">
        <v>10746426</v>
      </c>
      <c r="L15" s="61">
        <f t="shared" si="6"/>
        <v>-262567</v>
      </c>
      <c r="M15" s="213">
        <f t="shared" si="2"/>
        <v>0.97556703968370506</v>
      </c>
      <c r="N15" s="173"/>
      <c r="O15" s="172">
        <f t="shared" si="3"/>
        <v>-10483859</v>
      </c>
      <c r="P15" s="171" t="e">
        <f t="shared" si="4"/>
        <v>#DIV/0!</v>
      </c>
      <c r="Q15" s="158" t="s">
        <v>100</v>
      </c>
      <c r="R15" t="str">
        <f t="shared" si="5"/>
        <v>表示（自動）</v>
      </c>
    </row>
    <row r="16" spans="1:19" ht="27.75" customHeight="1">
      <c r="A16" s="185"/>
      <c r="B16" s="187" t="s">
        <v>96</v>
      </c>
      <c r="C16" s="187"/>
      <c r="D16" s="187"/>
      <c r="E16" s="187"/>
      <c r="F16" s="187"/>
      <c r="G16" s="175">
        <f>G17</f>
        <v>0</v>
      </c>
      <c r="H16" s="175">
        <f>H17</f>
        <v>9203253</v>
      </c>
      <c r="I16" s="61">
        <f t="shared" si="0"/>
        <v>-9203253</v>
      </c>
      <c r="J16" s="186" t="str">
        <f t="shared" si="1"/>
        <v>皆増</v>
      </c>
      <c r="K16" s="174">
        <f>K17</f>
        <v>31458</v>
      </c>
      <c r="L16" s="61">
        <f>SUM(L17)</f>
        <v>9171795</v>
      </c>
      <c r="M16" s="213">
        <f t="shared" si="2"/>
        <v>292.55683768834638</v>
      </c>
      <c r="N16" s="173">
        <f>N17</f>
        <v>0</v>
      </c>
      <c r="O16" s="172">
        <f t="shared" si="3"/>
        <v>-9203253</v>
      </c>
      <c r="P16" s="171" t="e">
        <f t="shared" si="4"/>
        <v>#DIV/0!</v>
      </c>
      <c r="Q16" s="158"/>
      <c r="R16" t="str">
        <f t="shared" si="5"/>
        <v>表示（自動）</v>
      </c>
    </row>
    <row r="17" spans="1:20" ht="27.75" customHeight="1">
      <c r="A17" s="185"/>
      <c r="B17" s="188"/>
      <c r="C17" s="187" t="s">
        <v>95</v>
      </c>
      <c r="D17" s="187"/>
      <c r="E17" s="187"/>
      <c r="F17" s="187"/>
      <c r="G17" s="175">
        <f>G18+G25</f>
        <v>0</v>
      </c>
      <c r="H17" s="175">
        <f>H18+H25</f>
        <v>9203253</v>
      </c>
      <c r="I17" s="61">
        <f t="shared" si="0"/>
        <v>-9203253</v>
      </c>
      <c r="J17" s="186" t="str">
        <f t="shared" si="1"/>
        <v>皆増</v>
      </c>
      <c r="K17" s="174">
        <f>K18+K25</f>
        <v>31458</v>
      </c>
      <c r="L17" s="61">
        <f>SUM(L18,L25)</f>
        <v>9171795</v>
      </c>
      <c r="M17" s="213">
        <f t="shared" si="2"/>
        <v>292.55683768834638</v>
      </c>
      <c r="N17" s="173">
        <f>N18</f>
        <v>0</v>
      </c>
      <c r="O17" s="172">
        <f t="shared" si="3"/>
        <v>-9203253</v>
      </c>
      <c r="P17" s="171" t="e">
        <f t="shared" si="4"/>
        <v>#DIV/0!</v>
      </c>
      <c r="Q17" s="158"/>
      <c r="R17" t="str">
        <f t="shared" si="5"/>
        <v>表示（自動）</v>
      </c>
    </row>
    <row r="18" spans="1:20" ht="27.75" customHeight="1">
      <c r="A18" s="185"/>
      <c r="B18" s="184"/>
      <c r="C18" s="188"/>
      <c r="D18" s="187" t="s">
        <v>94</v>
      </c>
      <c r="E18" s="187"/>
      <c r="F18" s="187"/>
      <c r="G18" s="175">
        <f>SUM(G19:G22)</f>
        <v>0</v>
      </c>
      <c r="H18" s="175">
        <f>SUM(H19:H22)</f>
        <v>4980</v>
      </c>
      <c r="I18" s="61">
        <f t="shared" si="0"/>
        <v>-4980</v>
      </c>
      <c r="J18" s="186" t="str">
        <f t="shared" si="1"/>
        <v>皆増</v>
      </c>
      <c r="K18" s="174">
        <f>SUM(K19:K22)</f>
        <v>31458</v>
      </c>
      <c r="L18" s="61">
        <f>SUM(L19:L22)</f>
        <v>-26478</v>
      </c>
      <c r="M18" s="213">
        <f t="shared" si="2"/>
        <v>0.15830631317947741</v>
      </c>
      <c r="N18" s="173">
        <f>SUM(N19:N22)</f>
        <v>0</v>
      </c>
      <c r="O18" s="172">
        <f t="shared" si="3"/>
        <v>-4980</v>
      </c>
      <c r="P18" s="171" t="e">
        <f t="shared" si="4"/>
        <v>#DIV/0!</v>
      </c>
      <c r="Q18" s="158"/>
      <c r="R18" t="str">
        <f t="shared" si="5"/>
        <v>表示（自動）</v>
      </c>
    </row>
    <row r="19" spans="1:20" ht="27.75" hidden="1" customHeight="1">
      <c r="A19" s="185"/>
      <c r="B19" s="184"/>
      <c r="C19" s="184"/>
      <c r="D19" s="184"/>
      <c r="E19" s="187" t="s">
        <v>93</v>
      </c>
      <c r="F19" s="187"/>
      <c r="G19" s="166">
        <v>0</v>
      </c>
      <c r="H19" s="211">
        <f>+'[2]3条収入'!AI44</f>
        <v>0</v>
      </c>
      <c r="I19" s="61">
        <f t="shared" si="0"/>
        <v>0</v>
      </c>
      <c r="J19" s="186" t="str">
        <f t="shared" si="1"/>
        <v>-</v>
      </c>
      <c r="K19" s="214"/>
      <c r="L19" s="61">
        <v>0</v>
      </c>
      <c r="M19" s="213" t="str">
        <f t="shared" si="2"/>
        <v>-</v>
      </c>
      <c r="N19" s="161">
        <v>0</v>
      </c>
      <c r="O19" s="160">
        <v>0</v>
      </c>
      <c r="P19" s="215" t="s">
        <v>136</v>
      </c>
      <c r="Q19" s="158"/>
      <c r="R19" t="str">
        <f t="shared" si="5"/>
        <v>非表示（自動）</v>
      </c>
    </row>
    <row r="20" spans="1:20" ht="27.75" hidden="1" customHeight="1">
      <c r="A20" s="185"/>
      <c r="B20" s="184"/>
      <c r="C20" s="184"/>
      <c r="D20" s="184"/>
      <c r="E20" s="187" t="s">
        <v>92</v>
      </c>
      <c r="F20" s="187"/>
      <c r="G20" s="166">
        <v>0</v>
      </c>
      <c r="H20" s="211">
        <f>+'[2]3条収入'!AI45</f>
        <v>0</v>
      </c>
      <c r="I20" s="61">
        <f t="shared" si="0"/>
        <v>0</v>
      </c>
      <c r="J20" s="186" t="str">
        <f t="shared" si="1"/>
        <v>-</v>
      </c>
      <c r="K20" s="214">
        <v>0</v>
      </c>
      <c r="L20" s="61">
        <f t="shared" ref="L20:L34" si="7">H20-K20</f>
        <v>0</v>
      </c>
      <c r="M20" s="213" t="str">
        <f t="shared" si="2"/>
        <v>-</v>
      </c>
      <c r="N20" s="161"/>
      <c r="O20" s="160">
        <f>N20-H20</f>
        <v>0</v>
      </c>
      <c r="P20" s="159" t="e">
        <f>H20/N20</f>
        <v>#DIV/0!</v>
      </c>
      <c r="Q20" s="158" t="s">
        <v>89</v>
      </c>
      <c r="R20" t="str">
        <f t="shared" si="5"/>
        <v>非表示（自動）</v>
      </c>
    </row>
    <row r="21" spans="1:20" ht="27.75" hidden="1" customHeight="1">
      <c r="A21" s="185"/>
      <c r="B21" s="184"/>
      <c r="C21" s="184"/>
      <c r="D21" s="184"/>
      <c r="E21" s="187" t="s">
        <v>91</v>
      </c>
      <c r="F21" s="187"/>
      <c r="G21" s="166">
        <v>0</v>
      </c>
      <c r="H21" s="211">
        <f>+'[2]3条収入'!AI46</f>
        <v>0</v>
      </c>
      <c r="I21" s="61">
        <f t="shared" si="0"/>
        <v>0</v>
      </c>
      <c r="J21" s="186" t="str">
        <f t="shared" si="1"/>
        <v>-</v>
      </c>
      <c r="K21" s="214">
        <v>0</v>
      </c>
      <c r="L21" s="61">
        <f t="shared" si="7"/>
        <v>0</v>
      </c>
      <c r="M21" s="213" t="str">
        <f t="shared" si="2"/>
        <v>-</v>
      </c>
      <c r="N21" s="161"/>
      <c r="O21" s="160">
        <f>N21-H21</f>
        <v>0</v>
      </c>
      <c r="P21" s="159" t="e">
        <f>H21/N21</f>
        <v>#DIV/0!</v>
      </c>
      <c r="Q21" s="158" t="s">
        <v>89</v>
      </c>
      <c r="R21" t="str">
        <f t="shared" si="5"/>
        <v>非表示（自動）</v>
      </c>
    </row>
    <row r="22" spans="1:20" ht="27.75" customHeight="1">
      <c r="A22" s="185"/>
      <c r="B22" s="184"/>
      <c r="C22" s="184"/>
      <c r="D22" s="184"/>
      <c r="E22" s="1348" t="s">
        <v>90</v>
      </c>
      <c r="F22" s="1349"/>
      <c r="G22" s="166">
        <v>0</v>
      </c>
      <c r="H22" s="216">
        <f>+'[2]3条収入'!AI47</f>
        <v>4980</v>
      </c>
      <c r="I22" s="61">
        <f t="shared" si="0"/>
        <v>-4980</v>
      </c>
      <c r="J22" s="186" t="str">
        <f t="shared" si="1"/>
        <v>皆増</v>
      </c>
      <c r="K22" s="169">
        <v>31458</v>
      </c>
      <c r="L22" s="61">
        <f t="shared" si="7"/>
        <v>-26478</v>
      </c>
      <c r="M22" s="213">
        <f t="shared" si="2"/>
        <v>0.15830631317947741</v>
      </c>
      <c r="N22" s="161"/>
      <c r="O22" s="160">
        <f>N22-H22</f>
        <v>-4980</v>
      </c>
      <c r="P22" s="159" t="e">
        <f>H22/N22</f>
        <v>#DIV/0!</v>
      </c>
      <c r="Q22" s="158" t="s">
        <v>89</v>
      </c>
      <c r="R22" t="str">
        <f t="shared" si="5"/>
        <v>表示（自動）</v>
      </c>
    </row>
    <row r="23" spans="1:20" ht="27.75" hidden="1" customHeight="1">
      <c r="A23" s="185"/>
      <c r="B23" s="184"/>
      <c r="C23" s="184"/>
      <c r="D23" s="184"/>
      <c r="E23" s="1340"/>
      <c r="F23" s="364" t="s">
        <v>317</v>
      </c>
      <c r="G23" s="365"/>
      <c r="H23" s="366"/>
      <c r="I23" s="43">
        <f t="shared" ref="I23:I24" si="8">G23-H23</f>
        <v>0</v>
      </c>
      <c r="J23" s="147" t="str">
        <f t="shared" si="1"/>
        <v>-</v>
      </c>
      <c r="K23" s="367"/>
      <c r="L23" s="43">
        <f t="shared" ref="L23:L24" si="9">H23-K23</f>
        <v>0</v>
      </c>
      <c r="M23" s="143" t="str">
        <f t="shared" si="2"/>
        <v>-</v>
      </c>
      <c r="N23" s="368"/>
      <c r="O23" s="369"/>
      <c r="P23" s="370"/>
      <c r="Q23" s="146"/>
      <c r="R23" t="str">
        <f t="shared" si="5"/>
        <v>非表示（自動）</v>
      </c>
    </row>
    <row r="24" spans="1:20" ht="27.75" hidden="1" customHeight="1">
      <c r="A24" s="185"/>
      <c r="B24" s="184"/>
      <c r="C24" s="184"/>
      <c r="D24" s="184"/>
      <c r="E24" s="1341"/>
      <c r="F24" s="212" t="s">
        <v>318</v>
      </c>
      <c r="G24" s="183">
        <v>0</v>
      </c>
      <c r="H24" s="211"/>
      <c r="I24" s="35">
        <f t="shared" si="8"/>
        <v>0</v>
      </c>
      <c r="J24" s="164" t="str">
        <f t="shared" si="1"/>
        <v>-</v>
      </c>
      <c r="K24" s="163">
        <v>0</v>
      </c>
      <c r="L24" s="35">
        <f t="shared" si="9"/>
        <v>0</v>
      </c>
      <c r="M24" s="162" t="str">
        <f t="shared" si="2"/>
        <v>-</v>
      </c>
      <c r="N24" s="181"/>
      <c r="O24" s="180"/>
      <c r="P24" s="179"/>
      <c r="Q24" s="178"/>
      <c r="R24" t="str">
        <f t="shared" si="5"/>
        <v>非表示（自動）</v>
      </c>
      <c r="T24" t="str">
        <f>IF(ISERROR(H24/G24),IF(AND(G24=0,H24=0),"-",IF(G24=0,"皆増",H24/G24)),H24/G24)</f>
        <v>-</v>
      </c>
    </row>
    <row r="25" spans="1:20" ht="27.75" customHeight="1" thickBot="1">
      <c r="A25" s="210"/>
      <c r="B25" s="209"/>
      <c r="C25" s="209"/>
      <c r="D25" s="208" t="s">
        <v>88</v>
      </c>
      <c r="E25" s="207"/>
      <c r="F25" s="207"/>
      <c r="G25" s="206">
        <v>0</v>
      </c>
      <c r="H25" s="205">
        <f>+'[2]3条収入'!AI48</f>
        <v>9198273</v>
      </c>
      <c r="I25" s="55">
        <f t="shared" si="0"/>
        <v>-9198273</v>
      </c>
      <c r="J25" s="204" t="str">
        <f t="shared" si="1"/>
        <v>皆増</v>
      </c>
      <c r="K25" s="203">
        <v>0</v>
      </c>
      <c r="L25" s="55">
        <f t="shared" si="7"/>
        <v>9198273</v>
      </c>
      <c r="M25" s="202" t="str">
        <f t="shared" si="2"/>
        <v>皆増</v>
      </c>
      <c r="N25" s="201"/>
      <c r="O25" s="200"/>
      <c r="P25" s="199"/>
      <c r="Q25" s="198" t="s">
        <v>62</v>
      </c>
      <c r="R25" t="str">
        <f t="shared" si="5"/>
        <v>表示（自動）</v>
      </c>
    </row>
    <row r="26" spans="1:20" ht="27.75" customHeight="1" thickTop="1">
      <c r="A26" s="197" t="s">
        <v>86</v>
      </c>
      <c r="B26" s="196"/>
      <c r="C26" s="196"/>
      <c r="D26" s="196"/>
      <c r="E26" s="196"/>
      <c r="F26" s="196"/>
      <c r="G26" s="131">
        <f>G27+G30</f>
        <v>3640474000</v>
      </c>
      <c r="H26" s="131">
        <f>H27+H30</f>
        <v>3285504551</v>
      </c>
      <c r="I26" s="76">
        <f t="shared" si="0"/>
        <v>354969449</v>
      </c>
      <c r="J26" s="195">
        <f t="shared" si="1"/>
        <v>0.90249361786404736</v>
      </c>
      <c r="K26" s="194">
        <f>K27+K30</f>
        <v>4465118734</v>
      </c>
      <c r="L26" s="76">
        <f t="shared" si="7"/>
        <v>-1179614183</v>
      </c>
      <c r="M26" s="346">
        <f t="shared" si="2"/>
        <v>0.73581571884802655</v>
      </c>
      <c r="N26" s="193">
        <f>N27+N30</f>
        <v>0</v>
      </c>
      <c r="O26" s="192">
        <f t="shared" ref="O26:O34" si="10">N26-H26</f>
        <v>-3285504551</v>
      </c>
      <c r="P26" s="191" t="e">
        <f t="shared" ref="P26:P34" si="11">H26/N26</f>
        <v>#DIV/0!</v>
      </c>
      <c r="Q26" s="190"/>
      <c r="R26" t="str">
        <f t="shared" si="5"/>
        <v>表示（自動）</v>
      </c>
    </row>
    <row r="27" spans="1:20" ht="27.75" customHeight="1">
      <c r="A27" s="189"/>
      <c r="B27" s="187" t="s">
        <v>85</v>
      </c>
      <c r="C27" s="187"/>
      <c r="D27" s="187"/>
      <c r="E27" s="187"/>
      <c r="F27" s="187"/>
      <c r="G27" s="175">
        <f>G28</f>
        <v>3640474000</v>
      </c>
      <c r="H27" s="175">
        <f>H28</f>
        <v>3285504551</v>
      </c>
      <c r="I27" s="61">
        <f t="shared" si="0"/>
        <v>354969449</v>
      </c>
      <c r="J27" s="186">
        <f t="shared" si="1"/>
        <v>0.90249361786404736</v>
      </c>
      <c r="K27" s="174">
        <f>K28</f>
        <v>4465118734</v>
      </c>
      <c r="L27" s="61">
        <f t="shared" si="7"/>
        <v>-1179614183</v>
      </c>
      <c r="M27" s="213">
        <f t="shared" si="2"/>
        <v>0.73581571884802655</v>
      </c>
      <c r="N27" s="173">
        <f>N28</f>
        <v>0</v>
      </c>
      <c r="O27" s="172">
        <f t="shared" si="10"/>
        <v>-3285504551</v>
      </c>
      <c r="P27" s="171" t="e">
        <f t="shared" si="11"/>
        <v>#DIV/0!</v>
      </c>
      <c r="Q27" s="158"/>
      <c r="R27" t="str">
        <f t="shared" si="5"/>
        <v>表示（自動）</v>
      </c>
    </row>
    <row r="28" spans="1:20" ht="27.75" customHeight="1">
      <c r="A28" s="185"/>
      <c r="B28" s="188"/>
      <c r="C28" s="187" t="s">
        <v>84</v>
      </c>
      <c r="D28" s="187"/>
      <c r="E28" s="187"/>
      <c r="F28" s="187"/>
      <c r="G28" s="175">
        <f>SUM(G29:G29)</f>
        <v>3640474000</v>
      </c>
      <c r="H28" s="175">
        <f>SUM(H29:H29)</f>
        <v>3285504551</v>
      </c>
      <c r="I28" s="61">
        <f>SUM(I29:I29)</f>
        <v>354969449</v>
      </c>
      <c r="J28" s="186">
        <f t="shared" si="1"/>
        <v>0.90249361786404736</v>
      </c>
      <c r="K28" s="174">
        <f>SUM(K29:K29)</f>
        <v>4465118734</v>
      </c>
      <c r="L28" s="61">
        <f t="shared" si="7"/>
        <v>-1179614183</v>
      </c>
      <c r="M28" s="213">
        <f t="shared" si="2"/>
        <v>0.73581571884802655</v>
      </c>
      <c r="N28" s="173">
        <f>N29</f>
        <v>0</v>
      </c>
      <c r="O28" s="172">
        <f t="shared" si="10"/>
        <v>-3285504551</v>
      </c>
      <c r="P28" s="171" t="e">
        <f t="shared" si="11"/>
        <v>#DIV/0!</v>
      </c>
      <c r="Q28" s="158"/>
      <c r="R28" t="str">
        <f t="shared" si="5"/>
        <v>表示（自動）</v>
      </c>
    </row>
    <row r="29" spans="1:20" ht="27.75" customHeight="1" thickBot="1">
      <c r="A29" s="185"/>
      <c r="B29" s="184"/>
      <c r="C29" s="170"/>
      <c r="D29" s="1350" t="s">
        <v>84</v>
      </c>
      <c r="E29" s="1351"/>
      <c r="F29" s="1352"/>
      <c r="G29" s="183">
        <v>3640474000</v>
      </c>
      <c r="H29" s="182">
        <f>+'[5]4条収入'!E22</f>
        <v>3285504551</v>
      </c>
      <c r="I29" s="35">
        <f t="shared" ref="I29:I34" si="12">G29-H29</f>
        <v>354969449</v>
      </c>
      <c r="J29" s="164">
        <f t="shared" si="1"/>
        <v>0.90249361786404736</v>
      </c>
      <c r="K29" s="163">
        <v>4465118734</v>
      </c>
      <c r="L29" s="35">
        <f t="shared" si="7"/>
        <v>-1179614183</v>
      </c>
      <c r="M29" s="162">
        <f t="shared" si="2"/>
        <v>0.73581571884802655</v>
      </c>
      <c r="N29" s="181"/>
      <c r="O29" s="180">
        <f t="shared" si="10"/>
        <v>-3285504551</v>
      </c>
      <c r="P29" s="179" t="e">
        <f t="shared" si="11"/>
        <v>#DIV/0!</v>
      </c>
      <c r="Q29" s="178" t="s">
        <v>71</v>
      </c>
      <c r="R29" t="str">
        <f t="shared" si="5"/>
        <v>表示（自動）</v>
      </c>
    </row>
    <row r="30" spans="1:20" ht="27.75" hidden="1" customHeight="1">
      <c r="A30" s="157"/>
      <c r="B30" s="177" t="s">
        <v>83</v>
      </c>
      <c r="C30" s="176"/>
      <c r="D30" s="176"/>
      <c r="E30" s="167"/>
      <c r="F30" s="167"/>
      <c r="G30" s="175">
        <f>G31</f>
        <v>0</v>
      </c>
      <c r="H30" s="175">
        <f>H31</f>
        <v>0</v>
      </c>
      <c r="I30" s="61">
        <f t="shared" si="12"/>
        <v>0</v>
      </c>
      <c r="J30" s="164" t="str">
        <f t="shared" si="1"/>
        <v>-</v>
      </c>
      <c r="K30" s="174">
        <f>K31</f>
        <v>0</v>
      </c>
      <c r="L30" s="61">
        <f t="shared" si="7"/>
        <v>0</v>
      </c>
      <c r="M30" s="162" t="str">
        <f t="shared" si="2"/>
        <v>-</v>
      </c>
      <c r="N30" s="173">
        <f>N31</f>
        <v>0</v>
      </c>
      <c r="O30" s="172">
        <f t="shared" si="10"/>
        <v>0</v>
      </c>
      <c r="P30" s="171" t="e">
        <f t="shared" si="11"/>
        <v>#DIV/0!</v>
      </c>
      <c r="Q30" s="158"/>
      <c r="R30" t="str">
        <f t="shared" si="5"/>
        <v>非表示（自動）</v>
      </c>
    </row>
    <row r="31" spans="1:20" ht="27.75" hidden="1" customHeight="1">
      <c r="A31" s="157"/>
      <c r="B31" s="170"/>
      <c r="C31" s="177" t="s">
        <v>82</v>
      </c>
      <c r="D31" s="176"/>
      <c r="E31" s="167"/>
      <c r="F31" s="167"/>
      <c r="G31" s="175">
        <f>SUM(G32:G34)</f>
        <v>0</v>
      </c>
      <c r="H31" s="175">
        <f>SUM(H32:H34)</f>
        <v>0</v>
      </c>
      <c r="I31" s="61">
        <f t="shared" si="12"/>
        <v>0</v>
      </c>
      <c r="J31" s="164" t="str">
        <f t="shared" si="1"/>
        <v>-</v>
      </c>
      <c r="K31" s="174">
        <f>SUM(K32:K34)</f>
        <v>0</v>
      </c>
      <c r="L31" s="61">
        <f t="shared" si="7"/>
        <v>0</v>
      </c>
      <c r="M31" s="162" t="str">
        <f t="shared" si="2"/>
        <v>-</v>
      </c>
      <c r="N31" s="173">
        <f>SUM(N32:N34)</f>
        <v>0</v>
      </c>
      <c r="O31" s="172">
        <f t="shared" si="10"/>
        <v>0</v>
      </c>
      <c r="P31" s="171" t="e">
        <f t="shared" si="11"/>
        <v>#DIV/0!</v>
      </c>
      <c r="Q31" s="158" t="s">
        <v>61</v>
      </c>
      <c r="R31" t="str">
        <f t="shared" si="5"/>
        <v>非表示（自動）</v>
      </c>
    </row>
    <row r="32" spans="1:20" ht="27.75" hidden="1" customHeight="1">
      <c r="A32" s="157"/>
      <c r="B32" s="168"/>
      <c r="C32" s="170"/>
      <c r="D32" s="1342" t="s">
        <v>321</v>
      </c>
      <c r="E32" s="1343"/>
      <c r="F32" s="1344"/>
      <c r="G32" s="166">
        <v>0</v>
      </c>
      <c r="H32" s="165">
        <f>+'[5]4条収入'!E59</f>
        <v>0</v>
      </c>
      <c r="I32" s="61">
        <f t="shared" si="12"/>
        <v>0</v>
      </c>
      <c r="J32" s="164" t="str">
        <f t="shared" si="1"/>
        <v>-</v>
      </c>
      <c r="K32" s="169">
        <v>0</v>
      </c>
      <c r="L32" s="61">
        <f t="shared" si="7"/>
        <v>0</v>
      </c>
      <c r="M32" s="162" t="str">
        <f t="shared" si="2"/>
        <v>-</v>
      </c>
      <c r="N32" s="161"/>
      <c r="O32" s="160">
        <f t="shared" si="10"/>
        <v>0</v>
      </c>
      <c r="P32" s="159" t="e">
        <f t="shared" si="11"/>
        <v>#DIV/0!</v>
      </c>
      <c r="Q32" s="158"/>
      <c r="R32" t="str">
        <f t="shared" si="5"/>
        <v>非表示（自動）</v>
      </c>
    </row>
    <row r="33" spans="1:18" ht="27.75" hidden="1" customHeight="1">
      <c r="A33" s="157"/>
      <c r="B33" s="168"/>
      <c r="C33" s="168"/>
      <c r="D33" s="1342" t="s">
        <v>322</v>
      </c>
      <c r="E33" s="1343"/>
      <c r="F33" s="1344"/>
      <c r="G33" s="166">
        <v>0</v>
      </c>
      <c r="H33" s="165">
        <f>+'[5]4条収入'!E63</f>
        <v>0</v>
      </c>
      <c r="I33" s="61">
        <f t="shared" si="12"/>
        <v>0</v>
      </c>
      <c r="J33" s="164" t="str">
        <f t="shared" si="1"/>
        <v>-</v>
      </c>
      <c r="K33" s="163">
        <v>0</v>
      </c>
      <c r="L33" s="61">
        <f t="shared" si="7"/>
        <v>0</v>
      </c>
      <c r="M33" s="162" t="str">
        <f t="shared" si="2"/>
        <v>-</v>
      </c>
      <c r="N33" s="161"/>
      <c r="O33" s="160">
        <f t="shared" si="10"/>
        <v>0</v>
      </c>
      <c r="P33" s="159" t="e">
        <f t="shared" si="11"/>
        <v>#DIV/0!</v>
      </c>
      <c r="Q33" s="158"/>
      <c r="R33" t="str">
        <f t="shared" si="5"/>
        <v>非表示（自動）</v>
      </c>
    </row>
    <row r="34" spans="1:18" ht="27.75" hidden="1" customHeight="1" thickBot="1">
      <c r="A34" s="157"/>
      <c r="B34" s="156"/>
      <c r="C34" s="156"/>
      <c r="D34" s="1345" t="s">
        <v>323</v>
      </c>
      <c r="E34" s="1346"/>
      <c r="F34" s="1347"/>
      <c r="G34" s="155">
        <v>0</v>
      </c>
      <c r="H34" s="154">
        <f>+'[5]4条収入'!E67</f>
        <v>0</v>
      </c>
      <c r="I34" s="33">
        <f t="shared" si="12"/>
        <v>0</v>
      </c>
      <c r="J34" s="153" t="str">
        <f t="shared" si="1"/>
        <v>-</v>
      </c>
      <c r="K34" s="152">
        <v>0</v>
      </c>
      <c r="L34" s="33">
        <f t="shared" si="7"/>
        <v>0</v>
      </c>
      <c r="M34" s="123" t="str">
        <f t="shared" si="2"/>
        <v>-</v>
      </c>
      <c r="N34" s="151"/>
      <c r="O34" s="150">
        <f t="shared" si="10"/>
        <v>0</v>
      </c>
      <c r="P34" s="149" t="e">
        <f t="shared" si="11"/>
        <v>#DIV/0!</v>
      </c>
      <c r="Q34" s="148"/>
      <c r="R34" t="str">
        <f t="shared" si="5"/>
        <v>非表示（自動）</v>
      </c>
    </row>
    <row r="35" spans="1:18" ht="27.75" customHeight="1" thickBot="1">
      <c r="A35" s="401" t="s">
        <v>135</v>
      </c>
      <c r="B35" s="402"/>
      <c r="C35" s="402"/>
      <c r="D35" s="402"/>
      <c r="E35" s="402"/>
      <c r="F35" s="403"/>
      <c r="G35" s="404">
        <f>G5+G26</f>
        <v>17495336000</v>
      </c>
      <c r="H35" s="404">
        <f>H5+H26</f>
        <v>17481810139</v>
      </c>
      <c r="I35" s="31">
        <f>G35-H35</f>
        <v>13525861</v>
      </c>
      <c r="J35" s="405">
        <f t="shared" si="1"/>
        <v>0.99922688761164691</v>
      </c>
      <c r="K35" s="406">
        <f>K5+K26</f>
        <v>18458499686</v>
      </c>
      <c r="L35" s="31">
        <f>H35-K35</f>
        <v>-976689547</v>
      </c>
      <c r="M35" s="407">
        <f t="shared" si="2"/>
        <v>0.9470872734179594</v>
      </c>
      <c r="N35" s="408">
        <f>N5+N26</f>
        <v>0</v>
      </c>
      <c r="O35" s="409">
        <f>N35-H35</f>
        <v>-17481810139</v>
      </c>
      <c r="P35" s="410" t="e">
        <f>H35/N35</f>
        <v>#DIV/0!</v>
      </c>
      <c r="Q35" s="411"/>
      <c r="R35" t="str">
        <f t="shared" si="5"/>
        <v>表示（自動）</v>
      </c>
    </row>
    <row r="36" spans="1:18" ht="27.75" hidden="1" customHeight="1" thickBot="1">
      <c r="A36" s="1356" t="s">
        <v>514</v>
      </c>
      <c r="B36" s="1357"/>
      <c r="C36" s="1357"/>
      <c r="D36" s="1357"/>
      <c r="E36" s="1357"/>
      <c r="F36" s="1358"/>
      <c r="G36" s="404">
        <v>0</v>
      </c>
      <c r="H36" s="404">
        <f>'(繰)繰入金'!H35</f>
        <v>0</v>
      </c>
      <c r="I36" s="412">
        <f>G36-H36</f>
        <v>0</v>
      </c>
      <c r="J36" s="413" t="s">
        <v>123</v>
      </c>
      <c r="K36" s="406">
        <v>0</v>
      </c>
      <c r="L36" s="31">
        <f>H36-K36</f>
        <v>0</v>
      </c>
      <c r="M36" s="407" t="str">
        <f>IF(AND(K36=0,H36&gt;0),"皆増",IF(AND(K36&gt;0,H36=0),"皆減",IF(AND(K36=0,H36=0),"-",H36/K36)))</f>
        <v>-</v>
      </c>
      <c r="N36" s="408">
        <f>N8+N29</f>
        <v>0</v>
      </c>
      <c r="O36" s="409">
        <f>N36-H36</f>
        <v>0</v>
      </c>
      <c r="P36" s="410" t="e">
        <f>H36/N36</f>
        <v>#DIV/0!</v>
      </c>
      <c r="Q36" s="411" t="s">
        <v>100</v>
      </c>
      <c r="R36" t="str">
        <f t="shared" si="5"/>
        <v>非表示（自動）</v>
      </c>
    </row>
    <row r="37" spans="1:18" ht="27.75" customHeight="1" thickBot="1">
      <c r="A37" s="1326" t="s">
        <v>134</v>
      </c>
      <c r="B37" s="1327"/>
      <c r="C37" s="1327"/>
      <c r="D37" s="1327"/>
      <c r="E37" s="1327"/>
      <c r="F37" s="1328"/>
      <c r="G37" s="404">
        <f>G35+G36</f>
        <v>17495336000</v>
      </c>
      <c r="H37" s="404">
        <f>H35+H36</f>
        <v>17481810139</v>
      </c>
      <c r="I37" s="31">
        <f>G37-H37</f>
        <v>13525861</v>
      </c>
      <c r="J37" s="405">
        <f>IF(AND(G37=0,H37&gt;0),"皆増",IF(AND(G37&gt;0,H37=0),"皆減",IF(AND(G37=0,H37=0),"-",H37/G37)))</f>
        <v>0.99922688761164691</v>
      </c>
      <c r="K37" s="406">
        <f>K35+K36</f>
        <v>18458499686</v>
      </c>
      <c r="L37" s="31">
        <f>H37-K37</f>
        <v>-976689547</v>
      </c>
      <c r="M37" s="407">
        <f>IF(AND(K37=0,H37&gt;0),"皆増",IF(AND(K37&gt;0,H37=0),"皆減",IF(AND(K37=0,H37=0),"-",H37/K37)))</f>
        <v>0.9470872734179594</v>
      </c>
      <c r="N37" s="408">
        <f>N11+N32</f>
        <v>0</v>
      </c>
      <c r="O37" s="409">
        <f>N37-H37</f>
        <v>-17481810139</v>
      </c>
      <c r="P37" s="410" t="e">
        <f>H37/N37</f>
        <v>#DIV/0!</v>
      </c>
      <c r="Q37" s="411"/>
      <c r="R37" t="str">
        <f t="shared" si="5"/>
        <v>表示（自動）</v>
      </c>
    </row>
    <row r="38" spans="1:18" ht="27.75" hidden="1" customHeight="1" thickBot="1">
      <c r="A38" s="1353" t="s">
        <v>118</v>
      </c>
      <c r="B38" s="1354"/>
      <c r="C38" s="1354"/>
      <c r="D38" s="1354"/>
      <c r="E38" s="1354"/>
      <c r="F38" s="1355"/>
      <c r="G38" s="145">
        <v>0</v>
      </c>
      <c r="H38" s="142">
        <v>0</v>
      </c>
      <c r="I38" s="140">
        <f>G38-H38</f>
        <v>0</v>
      </c>
      <c r="J38" s="413" t="s">
        <v>133</v>
      </c>
      <c r="K38" s="144">
        <v>0</v>
      </c>
      <c r="L38" s="140">
        <f>H38-K38</f>
        <v>0</v>
      </c>
      <c r="M38" s="407" t="str">
        <f>IF(AND(K38=0,H38&gt;0),"皆増",IF(AND(K38&gt;0,H38=0),"皆減",IF(AND(K38=0,H38=0),"-",H38/K38)))</f>
        <v>-</v>
      </c>
      <c r="N38" s="414"/>
      <c r="O38" s="414"/>
      <c r="P38" s="414"/>
      <c r="Q38" s="415"/>
      <c r="R38" t="str">
        <f t="shared" si="5"/>
        <v>非表示（自動）</v>
      </c>
    </row>
    <row r="39" spans="1:18" ht="27.75" customHeight="1" thickBot="1">
      <c r="A39" s="1315" t="s">
        <v>132</v>
      </c>
      <c r="B39" s="1316"/>
      <c r="C39" s="1316"/>
      <c r="D39" s="1316"/>
      <c r="E39" s="1316"/>
      <c r="F39" s="1317"/>
      <c r="G39" s="142">
        <f>G37+G38</f>
        <v>17495336000</v>
      </c>
      <c r="H39" s="31">
        <f>H37+H38</f>
        <v>17481810139</v>
      </c>
      <c r="I39" s="140">
        <f>I37+I38</f>
        <v>13525861</v>
      </c>
      <c r="J39" s="398">
        <f>IF(AND(G39=0,H39&gt;0),"皆増",IF(AND(G39&gt;0,H39=0),"皆減",IF(AND(G39=0,H39=0),"-",H39/G39)))</f>
        <v>0.99922688761164691</v>
      </c>
      <c r="K39" s="141">
        <f>K37+K38</f>
        <v>18458499686</v>
      </c>
      <c r="L39" s="140">
        <f>H39-K39</f>
        <v>-976689547</v>
      </c>
      <c r="M39" s="396">
        <f>IF(AND(K39=0,H39&gt;0),"皆増",IF(AND(K39&gt;0,H39=0),"皆減",IF(AND(K39=0,H39=0),"-",H39/K39)))</f>
        <v>0.9470872734179594</v>
      </c>
      <c r="N39" s="414"/>
      <c r="O39" s="414"/>
      <c r="P39" s="414"/>
      <c r="Q39" s="415"/>
      <c r="R39" t="str">
        <f t="shared" si="5"/>
        <v>表示（自動）</v>
      </c>
    </row>
    <row r="40" spans="1:18" ht="27.75" customHeight="1" thickBot="1">
      <c r="E40" s="1207"/>
      <c r="F40" s="1207"/>
      <c r="G40" s="1208"/>
      <c r="H40" s="1208"/>
      <c r="I40" s="1209"/>
      <c r="J40" s="1210"/>
      <c r="K40" s="1208"/>
      <c r="L40" s="1209"/>
      <c r="M40" s="1211"/>
      <c r="Q40" s="1220"/>
      <c r="R40" t="s">
        <v>661</v>
      </c>
    </row>
    <row r="41" spans="1:18" ht="27.75" hidden="1" customHeight="1" outlineLevel="1">
      <c r="E41" s="1333" t="s">
        <v>69</v>
      </c>
      <c r="F41" s="1334"/>
      <c r="G41" s="139" t="s">
        <v>117</v>
      </c>
      <c r="H41" s="139" t="s">
        <v>131</v>
      </c>
      <c r="I41" s="1320" t="s">
        <v>130</v>
      </c>
      <c r="J41" s="1321"/>
      <c r="K41" s="138" t="s">
        <v>129</v>
      </c>
      <c r="L41" s="1320" t="s">
        <v>128</v>
      </c>
      <c r="M41" s="1322"/>
      <c r="N41" s="351"/>
      <c r="O41" s="137"/>
      <c r="P41" s="137"/>
      <c r="Q41" s="1219"/>
      <c r="R41" t="s">
        <v>662</v>
      </c>
    </row>
    <row r="42" spans="1:18" ht="27.75" hidden="1" customHeight="1" outlineLevel="1" thickBot="1">
      <c r="E42" s="1335"/>
      <c r="F42" s="1336"/>
      <c r="G42" s="136" t="s">
        <v>127</v>
      </c>
      <c r="H42" s="136"/>
      <c r="I42" s="134" t="s">
        <v>126</v>
      </c>
      <c r="J42" s="350" t="s">
        <v>320</v>
      </c>
      <c r="K42" s="135" t="s">
        <v>125</v>
      </c>
      <c r="L42" s="134" t="s">
        <v>124</v>
      </c>
      <c r="M42" s="349" t="s">
        <v>319</v>
      </c>
      <c r="N42" s="352"/>
      <c r="O42" s="133"/>
      <c r="P42" s="133"/>
      <c r="Q42" s="1216"/>
      <c r="R42" t="s">
        <v>662</v>
      </c>
    </row>
    <row r="43" spans="1:18" ht="27.75" customHeight="1" collapsed="1">
      <c r="E43" s="1307" t="s">
        <v>71</v>
      </c>
      <c r="F43" s="1308"/>
      <c r="G43" s="132">
        <f>SUMIF($Q$5:$Q$34,$E$43,G5:G34)</f>
        <v>13691958000</v>
      </c>
      <c r="H43" s="131">
        <f>SUMIF($Q$5:$Q$34,$E$43,H5:H34)</f>
        <v>13773736465</v>
      </c>
      <c r="I43" s="76">
        <f>G43-H43</f>
        <v>-81778465</v>
      </c>
      <c r="J43" s="195">
        <f>IF(AND(G43=0,H43&gt;0),"皆増",IF(AND(G43&gt;0,H43=0),"皆減",IF(AND(G43=0,H43=0),"-",H43/G43)))</f>
        <v>1.0059727370621498</v>
      </c>
      <c r="K43" s="353">
        <v>15039248209</v>
      </c>
      <c r="L43" s="76">
        <f>H43-K43</f>
        <v>-1265511744</v>
      </c>
      <c r="M43" s="346">
        <f>IF(AND(K43=0,H43&gt;0),"皆増",IF(AND(K43&gt;0,H43=0),"皆減",IF(AND(K43=0,H43=0),"-",H43/K43)))</f>
        <v>0.91585272572051346</v>
      </c>
      <c r="N43" s="130"/>
      <c r="O43" s="129"/>
      <c r="P43" s="1212"/>
      <c r="Q43" s="1217"/>
      <c r="R43" t="s">
        <v>661</v>
      </c>
    </row>
    <row r="44" spans="1:18" ht="27.75" customHeight="1">
      <c r="E44" s="1309" t="s">
        <v>62</v>
      </c>
      <c r="F44" s="1310"/>
      <c r="G44" s="128">
        <f>SUMIF($Q$5:$Q$31,$E$44,G5:G31)</f>
        <v>3803378000</v>
      </c>
      <c r="H44" s="128">
        <f>SUMIF($Q$5:$Q$36,$E$44,H5:H36)</f>
        <v>3708073674</v>
      </c>
      <c r="I44" s="35">
        <f>G44-H44</f>
        <v>95304326</v>
      </c>
      <c r="J44" s="164">
        <f>IF(AND(G44=0,H44&gt;0),"皆増",IF(AND(G44&gt;0,H44=0),"皆減",IF(AND(G44=0,H44=0),"-",H44/G44)))</f>
        <v>0.97494218928541942</v>
      </c>
      <c r="K44" s="163">
        <v>3419251477</v>
      </c>
      <c r="L44" s="35">
        <f>H44-K44</f>
        <v>288822197</v>
      </c>
      <c r="M44" s="162">
        <f>IF(AND(K44=0,H44&gt;0),"皆増",IF(AND(K44&gt;0,H44=0),"皆減",IF(AND(K44=0,H44=0),"-",H44/K44)))</f>
        <v>1.0844694223115197</v>
      </c>
      <c r="N44" s="127"/>
      <c r="O44" s="126"/>
      <c r="P44" s="1213"/>
      <c r="Q44" s="1217"/>
      <c r="R44" t="s">
        <v>661</v>
      </c>
    </row>
    <row r="45" spans="1:18" ht="27.75" customHeight="1" thickBot="1">
      <c r="E45" s="1311" t="s">
        <v>61</v>
      </c>
      <c r="F45" s="1312"/>
      <c r="G45" s="125">
        <f>G31</f>
        <v>0</v>
      </c>
      <c r="H45" s="125">
        <f>H31</f>
        <v>0</v>
      </c>
      <c r="I45" s="33">
        <f>G45-H45</f>
        <v>0</v>
      </c>
      <c r="J45" s="124" t="str">
        <f>IF(AND(G45=0,H45&gt;0),"皆増",IF(AND(G45&gt;0,H45=0),"皆減",IF(AND(G45=0,H45=0),"-",H45/G45)))</f>
        <v>-</v>
      </c>
      <c r="K45" s="152">
        <v>0</v>
      </c>
      <c r="L45" s="33">
        <f>H45-K45</f>
        <v>0</v>
      </c>
      <c r="M45" s="123" t="str">
        <f>IF(AND(K45=0,H45&gt;0),"皆増",IF(AND(K45&gt;0,H45=0),"皆減",IF(AND(K45=0,H45=0),"-",H45/K45)))</f>
        <v>-</v>
      </c>
      <c r="N45" s="122"/>
      <c r="O45" s="121"/>
      <c r="P45" s="1214"/>
      <c r="Q45" s="1217"/>
      <c r="R45" t="s">
        <v>661</v>
      </c>
    </row>
    <row r="46" spans="1:18" ht="27.75" customHeight="1" thickBot="1">
      <c r="E46" s="1313" t="s">
        <v>114</v>
      </c>
      <c r="F46" s="1314"/>
      <c r="G46" s="120">
        <f>SUM(G43:G45)</f>
        <v>17495336000</v>
      </c>
      <c r="H46" s="120">
        <f>SUM(H43:H45)</f>
        <v>17481810139</v>
      </c>
      <c r="I46" s="50">
        <f>G46-H46</f>
        <v>13525861</v>
      </c>
      <c r="J46" s="347">
        <f>IF(AND(G46=0,H46&gt;0),"皆増",IF(AND(G46&gt;0,H46=0),"皆減",IF(AND(G46=0,H46=0),"-",H46/G46)))</f>
        <v>0.99922688761164691</v>
      </c>
      <c r="K46" s="119">
        <f>SUM(K43:K45)</f>
        <v>18458499686</v>
      </c>
      <c r="L46" s="50">
        <f>H46-K46</f>
        <v>-976689547</v>
      </c>
      <c r="M46" s="348">
        <f>IF(AND(K46=0,H46&gt;0),"皆増",IF(AND(K46&gt;0,H46=0),"皆減",IF(AND(K46=0,H46=0),"-",H46/K46)))</f>
        <v>0.9470872734179594</v>
      </c>
      <c r="N46" s="118"/>
      <c r="O46" s="117"/>
      <c r="P46" s="1215"/>
      <c r="Q46" s="1218"/>
      <c r="R46" t="s">
        <v>661</v>
      </c>
    </row>
    <row r="47" spans="1:18" s="110" customFormat="1" ht="27.75" customHeight="1">
      <c r="E47" s="116" t="s">
        <v>122</v>
      </c>
      <c r="F47" s="116"/>
      <c r="G47" s="115">
        <f>G35-G46</f>
        <v>0</v>
      </c>
      <c r="H47" s="114">
        <f>H37-H46</f>
        <v>0</v>
      </c>
      <c r="I47" s="113"/>
      <c r="J47" s="400"/>
      <c r="K47" s="114">
        <f>K37-K46</f>
        <v>0</v>
      </c>
      <c r="L47" s="113"/>
      <c r="M47" s="397"/>
      <c r="N47" s="112"/>
      <c r="O47" s="112"/>
      <c r="P47" s="112"/>
      <c r="Q47" s="111"/>
    </row>
  </sheetData>
  <autoFilter ref="A4:R47">
    <filterColumn colId="0" showButton="0"/>
    <filterColumn colId="1" showButton="0"/>
    <filterColumn colId="2" showButton="0"/>
    <filterColumn colId="3" showButton="0"/>
    <filterColumn colId="17">
      <filters blank="1">
        <filter val="表示（強制）"/>
        <filter val="表示（自動）"/>
      </filters>
    </filterColumn>
  </autoFilter>
  <mergeCells count="25">
    <mergeCell ref="A37:F37"/>
    <mergeCell ref="L41:M41"/>
    <mergeCell ref="I41:J41"/>
    <mergeCell ref="A4:E4"/>
    <mergeCell ref="O3:P3"/>
    <mergeCell ref="E41:F42"/>
    <mergeCell ref="A3:F3"/>
    <mergeCell ref="E23:E24"/>
    <mergeCell ref="D32:F32"/>
    <mergeCell ref="D33:F33"/>
    <mergeCell ref="D34:F34"/>
    <mergeCell ref="E22:F22"/>
    <mergeCell ref="D29:F29"/>
    <mergeCell ref="A38:F38"/>
    <mergeCell ref="A36:F36"/>
    <mergeCell ref="L2:M2"/>
    <mergeCell ref="A1:I1"/>
    <mergeCell ref="I3:J3"/>
    <mergeCell ref="L3:M3"/>
    <mergeCell ref="D12:F12"/>
    <mergeCell ref="E43:F43"/>
    <mergeCell ref="E44:F44"/>
    <mergeCell ref="E45:F45"/>
    <mergeCell ref="E46:F46"/>
    <mergeCell ref="A39:F39"/>
  </mergeCells>
  <phoneticPr fontId="3"/>
  <printOptions horizontalCentered="1"/>
  <pageMargins left="0.78740157480314965" right="0.35433070866141736" top="0.59055118110236227" bottom="0.51181102362204722" header="0.51181102362204722" footer="0.51181102362204722"/>
  <pageSetup paperSize="9" scale="77" orientation="portrait" blackAndWhite="1"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pageSetUpPr fitToPage="1"/>
  </sheetPr>
  <dimension ref="A1:J33"/>
  <sheetViews>
    <sheetView view="pageBreakPreview" zoomScaleNormal="85" zoomScaleSheetLayoutView="100" workbookViewId="0">
      <pane xSplit="3" ySplit="4" topLeftCell="D5" activePane="bottomRight" state="frozen"/>
      <selection activeCell="A7" sqref="A7:XFD7"/>
      <selection pane="topRight" activeCell="A7" sqref="A7:XFD7"/>
      <selection pane="bottomLeft" activeCell="A7" sqref="A7:XFD7"/>
      <selection pane="bottomRight" activeCell="D5" sqref="D5"/>
    </sheetView>
  </sheetViews>
  <sheetFormatPr defaultColWidth="9" defaultRowHeight="24" customHeight="1" outlineLevelRow="1"/>
  <cols>
    <col min="1" max="2" width="1.625" style="24" customWidth="1"/>
    <col min="3" max="3" width="15.625" style="24" customWidth="1"/>
    <col min="4" max="8" width="14.625" style="24" customWidth="1"/>
    <col min="9" max="9" width="9.25" style="24" bestFit="1" customWidth="1"/>
    <col min="10" max="16384" width="9" style="24"/>
  </cols>
  <sheetData>
    <row r="1" spans="1:8" s="88" customFormat="1" ht="24" customHeight="1">
      <c r="A1" s="265"/>
      <c r="B1" s="265"/>
      <c r="C1" s="1363" t="str">
        <f>+CONCATENATE(LEFT('[1]3条支出'!$D$1,5),"   収益的収入（決算）")</f>
        <v>令和５年度   収益的収入（決算）</v>
      </c>
      <c r="D1" s="1363"/>
      <c r="E1" s="1363"/>
      <c r="G1" s="254"/>
      <c r="H1" s="253" t="s">
        <v>109</v>
      </c>
    </row>
    <row r="2" spans="1:8" ht="24" customHeight="1">
      <c r="A2" s="1360" t="s">
        <v>202</v>
      </c>
      <c r="B2" s="1361"/>
      <c r="C2" s="1362"/>
      <c r="D2" s="251" t="s">
        <v>177</v>
      </c>
      <c r="E2" s="250" t="s">
        <v>176</v>
      </c>
      <c r="F2" s="249" t="s">
        <v>175</v>
      </c>
      <c r="G2" s="248" t="s">
        <v>174</v>
      </c>
      <c r="H2" s="248" t="s">
        <v>173</v>
      </c>
    </row>
    <row r="3" spans="1:8" ht="24" customHeight="1">
      <c r="A3" s="1359"/>
      <c r="B3" s="1359"/>
      <c r="C3" s="1359"/>
      <c r="D3" s="246" t="s">
        <v>201</v>
      </c>
      <c r="E3" s="247" t="s">
        <v>171</v>
      </c>
      <c r="F3" s="246" t="s">
        <v>200</v>
      </c>
      <c r="G3" s="246" t="s">
        <v>199</v>
      </c>
      <c r="H3" s="1221" t="s">
        <v>198</v>
      </c>
    </row>
    <row r="4" spans="1:8" ht="24" customHeight="1">
      <c r="A4" s="240" t="s">
        <v>107</v>
      </c>
      <c r="B4" s="244"/>
      <c r="C4" s="263"/>
      <c r="D4" s="262">
        <f>D5+D10+D19</f>
        <v>44975817000</v>
      </c>
      <c r="E4" s="261">
        <f>E5+E10+E19</f>
        <v>0</v>
      </c>
      <c r="F4" s="239">
        <f>D4+E4</f>
        <v>44975817000</v>
      </c>
      <c r="G4" s="239">
        <f>G5+G10+G19</f>
        <v>44454711283</v>
      </c>
      <c r="H4" s="264">
        <f>H5+H10+H19</f>
        <v>42572042134</v>
      </c>
    </row>
    <row r="5" spans="1:8" ht="24" customHeight="1">
      <c r="A5" s="71"/>
      <c r="B5" s="240" t="s">
        <v>106</v>
      </c>
      <c r="C5" s="263"/>
      <c r="D5" s="262">
        <f>+SUM(D6:D9)</f>
        <v>35444153000</v>
      </c>
      <c r="E5" s="261">
        <f>+SUM(E6:E9)</f>
        <v>0</v>
      </c>
      <c r="F5" s="239">
        <f>+SUM(F6:F9)</f>
        <v>35444153000</v>
      </c>
      <c r="G5" s="239">
        <f>+SUM(G6:G9)</f>
        <v>34865911732</v>
      </c>
      <c r="H5" s="239">
        <f>+SUM(H6:H9)</f>
        <v>32986083408</v>
      </c>
    </row>
    <row r="6" spans="1:8" ht="24" customHeight="1">
      <c r="A6" s="71"/>
      <c r="B6" s="71"/>
      <c r="C6" s="77" t="s">
        <v>197</v>
      </c>
      <c r="D6" s="259">
        <v>21384728000</v>
      </c>
      <c r="E6" s="258"/>
      <c r="F6" s="239">
        <f>D6+E6</f>
        <v>21384728000</v>
      </c>
      <c r="G6" s="257">
        <f>+'[2]3条収入'!$E$8</f>
        <v>20488962528</v>
      </c>
      <c r="H6" s="257">
        <f>+'[2]3条収入'!$AI$8</f>
        <v>18626337467</v>
      </c>
    </row>
    <row r="7" spans="1:8" ht="24" customHeight="1">
      <c r="A7" s="71"/>
      <c r="B7" s="71"/>
      <c r="C7" s="77" t="s">
        <v>196</v>
      </c>
      <c r="D7" s="259">
        <v>13854862000</v>
      </c>
      <c r="E7" s="258"/>
      <c r="F7" s="239">
        <f>D7+E7</f>
        <v>13854862000</v>
      </c>
      <c r="G7" s="257">
        <f>+'[2]3条収入'!$E$9</f>
        <v>14187102335</v>
      </c>
      <c r="H7" s="257">
        <f>+'[2]3条収入'!$AI$9</f>
        <v>14187102335</v>
      </c>
    </row>
    <row r="8" spans="1:8" ht="24" customHeight="1">
      <c r="A8" s="71"/>
      <c r="B8" s="71"/>
      <c r="C8" s="77" t="s">
        <v>195</v>
      </c>
      <c r="D8" s="259"/>
      <c r="E8" s="258"/>
      <c r="F8" s="239">
        <f>D8+E8</f>
        <v>0</v>
      </c>
      <c r="G8" s="257">
        <f>+'[2]3条収入'!$E$18</f>
        <v>0</v>
      </c>
      <c r="H8" s="257">
        <f>+'[2]3条収入'!$AI$18</f>
        <v>0</v>
      </c>
    </row>
    <row r="9" spans="1:8" ht="24" customHeight="1">
      <c r="A9" s="71"/>
      <c r="B9" s="77"/>
      <c r="C9" s="77" t="s">
        <v>194</v>
      </c>
      <c r="D9" s="259">
        <v>204563000</v>
      </c>
      <c r="E9" s="258"/>
      <c r="F9" s="239">
        <f>D9+E9</f>
        <v>204563000</v>
      </c>
      <c r="G9" s="257">
        <f>+'[2]3条収入'!$E$19</f>
        <v>189846869</v>
      </c>
      <c r="H9" s="257">
        <f>+'[2]3条収入'!$AI$19</f>
        <v>172643606</v>
      </c>
    </row>
    <row r="10" spans="1:8" ht="24" customHeight="1">
      <c r="A10" s="71"/>
      <c r="B10" s="240" t="s">
        <v>96</v>
      </c>
      <c r="C10" s="263"/>
      <c r="D10" s="262">
        <f>+SUM(D11:D18)</f>
        <v>9528788000</v>
      </c>
      <c r="E10" s="261">
        <f>+SUM(E11:E18)</f>
        <v>0</v>
      </c>
      <c r="F10" s="239">
        <f>+SUM(F11:F18)</f>
        <v>9528788000</v>
      </c>
      <c r="G10" s="239">
        <f>+SUM(G11:G18)</f>
        <v>9584600552</v>
      </c>
      <c r="H10" s="239">
        <f>+SUM(H11:H18)</f>
        <v>9581905615</v>
      </c>
    </row>
    <row r="11" spans="1:8" ht="24" customHeight="1">
      <c r="A11" s="71"/>
      <c r="B11" s="71"/>
      <c r="C11" s="77" t="s">
        <v>193</v>
      </c>
      <c r="D11" s="259">
        <v>70000</v>
      </c>
      <c r="E11" s="258"/>
      <c r="F11" s="239">
        <f t="shared" ref="F11:F18" si="0">D11+E11</f>
        <v>70000</v>
      </c>
      <c r="G11" s="257">
        <f>+'[2]3条収入'!$E$28</f>
        <v>88770</v>
      </c>
      <c r="H11" s="257">
        <f>+'[2]3条収入'!$AI$28</f>
        <v>88770</v>
      </c>
    </row>
    <row r="12" spans="1:8" ht="24" hidden="1" customHeight="1" outlineLevel="1">
      <c r="A12" s="71"/>
      <c r="B12" s="71"/>
      <c r="C12" s="77" t="s">
        <v>192</v>
      </c>
      <c r="D12" s="259"/>
      <c r="E12" s="258"/>
      <c r="F12" s="239">
        <f t="shared" si="0"/>
        <v>0</v>
      </c>
      <c r="G12" s="257">
        <f>+'[2]3条収入'!$E$32</f>
        <v>0</v>
      </c>
      <c r="H12" s="257">
        <f>+'[2]3条収入'!$AI$32</f>
        <v>0</v>
      </c>
    </row>
    <row r="13" spans="1:8" ht="24" hidden="1" customHeight="1" outlineLevel="1">
      <c r="A13" s="71"/>
      <c r="B13" s="71"/>
      <c r="C13" s="77" t="s">
        <v>191</v>
      </c>
      <c r="D13" s="259"/>
      <c r="E13" s="258"/>
      <c r="F13" s="239">
        <f t="shared" si="0"/>
        <v>0</v>
      </c>
      <c r="G13" s="238"/>
      <c r="H13" s="238"/>
    </row>
    <row r="14" spans="1:8" ht="24" customHeight="1" collapsed="1">
      <c r="A14" s="71"/>
      <c r="B14" s="71"/>
      <c r="C14" s="77" t="s">
        <v>190</v>
      </c>
      <c r="D14" s="259">
        <v>49683000</v>
      </c>
      <c r="E14" s="258"/>
      <c r="F14" s="239">
        <f t="shared" si="0"/>
        <v>49683000</v>
      </c>
      <c r="G14" s="257">
        <f>+'[2]3条収入'!$E$39</f>
        <v>53493193</v>
      </c>
      <c r="H14" s="257">
        <f>+'[2]3条収入'!$AI$39</f>
        <v>50128048</v>
      </c>
    </row>
    <row r="15" spans="1:8" ht="24" customHeight="1">
      <c r="A15" s="71"/>
      <c r="B15" s="71"/>
      <c r="C15" s="77" t="s">
        <v>189</v>
      </c>
      <c r="D15" s="259"/>
      <c r="E15" s="258"/>
      <c r="F15" s="239">
        <f t="shared" si="0"/>
        <v>0</v>
      </c>
      <c r="G15" s="257">
        <f>+'[2]3条収入'!$E$42</f>
        <v>9203253</v>
      </c>
      <c r="H15" s="257">
        <f>+'[2]3条収入'!$AI$42</f>
        <v>9203253</v>
      </c>
    </row>
    <row r="16" spans="1:8" ht="24" hidden="1" customHeight="1" outlineLevel="1">
      <c r="A16" s="71"/>
      <c r="B16" s="71"/>
      <c r="C16" s="77" t="s">
        <v>188</v>
      </c>
      <c r="D16" s="262">
        <v>0</v>
      </c>
      <c r="E16" s="261">
        <v>0</v>
      </c>
      <c r="F16" s="239">
        <f t="shared" si="0"/>
        <v>0</v>
      </c>
      <c r="G16" s="257">
        <f>+'[2]3条収入'!$E$49</f>
        <v>0</v>
      </c>
      <c r="H16" s="257">
        <f>+'[2]3条収入'!$AI$49</f>
        <v>0</v>
      </c>
    </row>
    <row r="17" spans="1:10" ht="24" customHeight="1" collapsed="1">
      <c r="A17" s="71"/>
      <c r="B17" s="71"/>
      <c r="C17" s="77" t="s">
        <v>187</v>
      </c>
      <c r="D17" s="259">
        <v>23945000</v>
      </c>
      <c r="E17" s="258"/>
      <c r="F17" s="239">
        <f t="shared" si="0"/>
        <v>23945000</v>
      </c>
      <c r="G17" s="257">
        <f>+'[2]3条収入'!$E$51</f>
        <v>36460334</v>
      </c>
      <c r="H17" s="257">
        <f>+'[2]3条収入'!$AI$51</f>
        <v>37130542</v>
      </c>
      <c r="J17" s="28"/>
    </row>
    <row r="18" spans="1:10" ht="24" customHeight="1">
      <c r="A18" s="71"/>
      <c r="B18" s="71"/>
      <c r="C18" s="260" t="s">
        <v>186</v>
      </c>
      <c r="D18" s="259">
        <v>9455090000</v>
      </c>
      <c r="E18" s="258"/>
      <c r="F18" s="239">
        <f t="shared" si="0"/>
        <v>9455090000</v>
      </c>
      <c r="G18" s="257">
        <f>+'[2]3条収入'!$E$55</f>
        <v>9485355002</v>
      </c>
      <c r="H18" s="257">
        <f>+'[2]3条収入'!$AI$55</f>
        <v>9485355002</v>
      </c>
    </row>
    <row r="19" spans="1:10" ht="24" customHeight="1">
      <c r="A19" s="71"/>
      <c r="B19" s="1206" t="s">
        <v>185</v>
      </c>
      <c r="C19" s="263"/>
      <c r="D19" s="262">
        <f>+SUM(D20:D23)</f>
        <v>2876000</v>
      </c>
      <c r="E19" s="261">
        <f>+SUM(E20:E23)</f>
        <v>0</v>
      </c>
      <c r="F19" s="239">
        <f>+SUM(F20:F23)</f>
        <v>2876000</v>
      </c>
      <c r="G19" s="239">
        <f>+SUM(G20:G23)</f>
        <v>4198999</v>
      </c>
      <c r="H19" s="239">
        <f>+SUM(H20:H23)</f>
        <v>4053111</v>
      </c>
    </row>
    <row r="20" spans="1:10" ht="24" hidden="1" customHeight="1" outlineLevel="1">
      <c r="A20" s="71"/>
      <c r="B20" s="71"/>
      <c r="C20" s="260" t="s">
        <v>184</v>
      </c>
      <c r="D20" s="259">
        <v>0</v>
      </c>
      <c r="E20" s="258"/>
      <c r="F20" s="239">
        <f>D20+E20</f>
        <v>0</v>
      </c>
      <c r="G20" s="257">
        <f>+'[2]3条収入'!$E$66</f>
        <v>0</v>
      </c>
      <c r="H20" s="257">
        <f>+'[2]3条収入'!$AI$66</f>
        <v>0</v>
      </c>
    </row>
    <row r="21" spans="1:10" ht="24" customHeight="1" collapsed="1">
      <c r="A21" s="71"/>
      <c r="B21" s="71"/>
      <c r="C21" s="77" t="s">
        <v>183</v>
      </c>
      <c r="D21" s="259">
        <v>0</v>
      </c>
      <c r="E21" s="258"/>
      <c r="F21" s="239">
        <f>D21+E21</f>
        <v>0</v>
      </c>
      <c r="G21" s="257">
        <f>+'[2]3条収入'!$E$58</f>
        <v>0</v>
      </c>
      <c r="H21" s="257">
        <f>+'[2]3条収入'!$AI$58</f>
        <v>0</v>
      </c>
    </row>
    <row r="22" spans="1:10" ht="24" customHeight="1">
      <c r="A22" s="71"/>
      <c r="B22" s="71"/>
      <c r="C22" s="260" t="s">
        <v>182</v>
      </c>
      <c r="D22" s="259">
        <v>2876000</v>
      </c>
      <c r="E22" s="258"/>
      <c r="F22" s="239">
        <f>D22+E22</f>
        <v>2876000</v>
      </c>
      <c r="G22" s="257">
        <f>+'[2]3条収入'!$E$60</f>
        <v>2769570</v>
      </c>
      <c r="H22" s="257">
        <f>+'[2]3条収入'!$AI$60</f>
        <v>2623682</v>
      </c>
    </row>
    <row r="23" spans="1:10" ht="24" customHeight="1">
      <c r="A23" s="77"/>
      <c r="B23" s="77"/>
      <c r="C23" s="77" t="s">
        <v>181</v>
      </c>
      <c r="D23" s="259">
        <v>0</v>
      </c>
      <c r="E23" s="258"/>
      <c r="F23" s="239">
        <f>D23+E23</f>
        <v>0</v>
      </c>
      <c r="G23" s="257">
        <f>+'[2]3条収入'!$E$62</f>
        <v>1429429</v>
      </c>
      <c r="H23" s="257">
        <f>+'[2]3条収入'!$AI$62</f>
        <v>1429429</v>
      </c>
    </row>
    <row r="26" spans="1:10" ht="24" customHeight="1">
      <c r="F26" s="253" t="s">
        <v>180</v>
      </c>
      <c r="G26" s="256">
        <f>+G4-'(繰)3条支出 '!G4+[3]消費税!AF113</f>
        <v>1811041626</v>
      </c>
      <c r="H26" s="256">
        <f>+H4-'(繰)3条支出 '!I4</f>
        <v>543907199</v>
      </c>
      <c r="I26" s="256"/>
    </row>
    <row r="27" spans="1:10" ht="24" customHeight="1">
      <c r="F27" s="253" t="s">
        <v>179</v>
      </c>
      <c r="G27" s="256">
        <f>G4-G7-G15</f>
        <v>30258405695</v>
      </c>
      <c r="H27" s="256">
        <f>H4-H7-H15</f>
        <v>28375736546</v>
      </c>
    </row>
    <row r="29" spans="1:10" ht="24" customHeight="1">
      <c r="H29" s="256">
        <f>+'[2]3条収入'!AI74</f>
        <v>543907199</v>
      </c>
    </row>
    <row r="30" spans="1:10" ht="24" customHeight="1">
      <c r="H30" s="256">
        <f>+H26-H29</f>
        <v>0</v>
      </c>
    </row>
    <row r="32" spans="1:10" ht="24" customHeight="1">
      <c r="G32" s="28"/>
    </row>
    <row r="33" spans="7:7" ht="24" customHeight="1">
      <c r="G33" s="255"/>
    </row>
  </sheetData>
  <mergeCells count="3">
    <mergeCell ref="A3:C3"/>
    <mergeCell ref="A2:C2"/>
    <mergeCell ref="C1:E1"/>
  </mergeCells>
  <phoneticPr fontId="3"/>
  <pageMargins left="0.78740157480314965" right="0.39370078740157483" top="0.98425196850393704" bottom="0.98425196850393704" header="0.51181102362204722" footer="0.51181102362204722"/>
  <pageSetup paperSize="9" orientation="landscape" blackAndWhite="1" r:id="rId1"/>
  <headerFooter alignWithMargins="0"/>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pageSetUpPr fitToPage="1"/>
  </sheetPr>
  <dimension ref="A1:U50"/>
  <sheetViews>
    <sheetView view="pageBreakPreview" zoomScale="75" zoomScaleNormal="89" zoomScaleSheetLayoutView="75" workbookViewId="0">
      <pane xSplit="3" ySplit="4" topLeftCell="D5" activePane="bottomRight" state="frozen"/>
      <selection activeCell="H3" sqref="H3"/>
      <selection pane="topRight" activeCell="H3" sqref="H3"/>
      <selection pane="bottomLeft" activeCell="H3" sqref="H3"/>
      <selection pane="bottomRight" activeCell="D5" sqref="D5"/>
    </sheetView>
  </sheetViews>
  <sheetFormatPr defaultColWidth="9" defaultRowHeight="13.5" outlineLevelRow="1"/>
  <cols>
    <col min="1" max="2" width="1.625" style="24" customWidth="1"/>
    <col min="3" max="3" width="15.625" style="24" customWidth="1"/>
    <col min="4" max="7" width="14.625" style="24" customWidth="1"/>
    <col min="8" max="8" width="14.625" style="24" hidden="1" customWidth="1"/>
    <col min="9" max="10" width="14.625" style="24" customWidth="1"/>
    <col min="11" max="15" width="9" style="24"/>
    <col min="16" max="16" width="11.375" style="24" bestFit="1" customWidth="1"/>
    <col min="17" max="19" width="9" style="24"/>
    <col min="20" max="20" width="17.25" style="24" bestFit="1" customWidth="1"/>
    <col min="21" max="21" width="13.125" style="24" customWidth="1"/>
    <col min="22" max="16384" width="9" style="24"/>
  </cols>
  <sheetData>
    <row r="1" spans="1:21" s="88" customFormat="1" ht="27" customHeight="1">
      <c r="C1" s="1363" t="str">
        <f>+CONCATENATE(LEFT('[1]3条支出'!$D$1,5),"   収益的支出（決算）")</f>
        <v>令和５年度   収益的支出（決算）</v>
      </c>
      <c r="D1" s="1363"/>
      <c r="E1" s="1363"/>
      <c r="G1" s="254"/>
      <c r="H1" s="253"/>
      <c r="I1" s="253" t="s">
        <v>109</v>
      </c>
      <c r="J1" s="252"/>
    </row>
    <row r="2" spans="1:21" ht="15" customHeight="1">
      <c r="A2" s="1366" t="s">
        <v>178</v>
      </c>
      <c r="B2" s="1366"/>
      <c r="C2" s="1366"/>
      <c r="D2" s="251" t="s">
        <v>177</v>
      </c>
      <c r="E2" s="250" t="s">
        <v>176</v>
      </c>
      <c r="F2" s="249" t="s">
        <v>175</v>
      </c>
      <c r="G2" s="248" t="s">
        <v>174</v>
      </c>
      <c r="H2" s="248" t="s">
        <v>173</v>
      </c>
      <c r="I2" s="248" t="s">
        <v>173</v>
      </c>
    </row>
    <row r="3" spans="1:21" ht="15" customHeight="1">
      <c r="A3" s="1359"/>
      <c r="B3" s="1359"/>
      <c r="C3" s="1359"/>
      <c r="D3" s="354" t="s">
        <v>172</v>
      </c>
      <c r="E3" s="247" t="s">
        <v>171</v>
      </c>
      <c r="F3" s="246" t="s">
        <v>170</v>
      </c>
      <c r="G3" s="246" t="s">
        <v>169</v>
      </c>
      <c r="H3" s="245" t="s">
        <v>460</v>
      </c>
      <c r="I3" s="245" t="s">
        <v>461</v>
      </c>
    </row>
    <row r="4" spans="1:21" ht="18.75" customHeight="1">
      <c r="A4" s="240" t="s">
        <v>168</v>
      </c>
      <c r="B4" s="244"/>
      <c r="C4" s="73"/>
      <c r="D4" s="239">
        <f>D5+D20+D24+D29</f>
        <v>43953299000</v>
      </c>
      <c r="E4" s="239">
        <f t="shared" ref="E4:I4" si="0">E5+E20+E24+E29</f>
        <v>0</v>
      </c>
      <c r="F4" s="239">
        <f t="shared" si="0"/>
        <v>43953299000</v>
      </c>
      <c r="G4" s="239">
        <f t="shared" si="0"/>
        <v>42643669657</v>
      </c>
      <c r="H4" s="239">
        <f t="shared" si="0"/>
        <v>41815647458</v>
      </c>
      <c r="I4" s="239">
        <f t="shared" si="0"/>
        <v>42028134935</v>
      </c>
    </row>
    <row r="5" spans="1:21" ht="18.75" customHeight="1">
      <c r="A5" s="71"/>
      <c r="B5" s="240" t="s">
        <v>167</v>
      </c>
      <c r="C5" s="73"/>
      <c r="D5" s="239">
        <f>+SUM(D6:D19)</f>
        <v>39325285000</v>
      </c>
      <c r="E5" s="239">
        <f t="shared" ref="E5:I5" si="1">+SUM(E6:E19)</f>
        <v>0</v>
      </c>
      <c r="F5" s="239">
        <f t="shared" si="1"/>
        <v>39325285000</v>
      </c>
      <c r="G5" s="239">
        <f t="shared" si="1"/>
        <v>38667489041</v>
      </c>
      <c r="H5" s="239">
        <f t="shared" si="1"/>
        <v>37846544540</v>
      </c>
      <c r="I5" s="239">
        <f t="shared" si="1"/>
        <v>37846544540</v>
      </c>
      <c r="U5" s="28"/>
    </row>
    <row r="6" spans="1:21" ht="18.75" customHeight="1">
      <c r="A6" s="71"/>
      <c r="B6" s="64"/>
      <c r="C6" s="355" t="s">
        <v>166</v>
      </c>
      <c r="D6" s="238">
        <v>649416000</v>
      </c>
      <c r="E6" s="238">
        <v>0</v>
      </c>
      <c r="F6" s="239">
        <f t="shared" ref="F6:F19" si="2">D6+E6</f>
        <v>649416000</v>
      </c>
      <c r="G6" s="241">
        <f>+'[1]3条支出'!$E$6</f>
        <v>611819957</v>
      </c>
      <c r="H6" s="241">
        <f>+'[1]3条支出'!$T$6</f>
        <v>564664608</v>
      </c>
      <c r="I6" s="241">
        <f>+'[1]3条支出'!$T$6</f>
        <v>564664608</v>
      </c>
      <c r="U6" s="28"/>
    </row>
    <row r="7" spans="1:21" ht="18.75" customHeight="1">
      <c r="A7" s="71"/>
      <c r="B7" s="64"/>
      <c r="C7" s="355" t="s">
        <v>165</v>
      </c>
      <c r="D7" s="238">
        <v>61778000</v>
      </c>
      <c r="E7" s="238">
        <v>0</v>
      </c>
      <c r="F7" s="239">
        <f t="shared" si="2"/>
        <v>61778000</v>
      </c>
      <c r="G7" s="241">
        <f>+'[1]3条支出'!$E$7</f>
        <v>52443869</v>
      </c>
      <c r="H7" s="241">
        <f>+'[1]3条支出'!$T$7</f>
        <v>51313295</v>
      </c>
      <c r="I7" s="241">
        <f>+'[1]3条支出'!$T$7</f>
        <v>51313295</v>
      </c>
      <c r="U7" s="28"/>
    </row>
    <row r="8" spans="1:21" ht="18.75" customHeight="1">
      <c r="A8" s="71"/>
      <c r="B8" s="64"/>
      <c r="C8" s="355" t="s">
        <v>164</v>
      </c>
      <c r="D8" s="238">
        <v>2446053000</v>
      </c>
      <c r="E8" s="238">
        <v>-14060287</v>
      </c>
      <c r="F8" s="239">
        <f t="shared" si="2"/>
        <v>2431992713</v>
      </c>
      <c r="G8" s="241">
        <f>+'[1]3条支出'!$E$8</f>
        <v>2356040225</v>
      </c>
      <c r="H8" s="241">
        <f>+'[1]3条支出'!$T$8</f>
        <v>2251657967</v>
      </c>
      <c r="I8" s="241">
        <f>+'[1]3条支出'!$T$8</f>
        <v>2251657967</v>
      </c>
      <c r="P8" s="28"/>
      <c r="U8" s="28"/>
    </row>
    <row r="9" spans="1:21" ht="18.75" customHeight="1">
      <c r="A9" s="71"/>
      <c r="B9" s="64"/>
      <c r="C9" s="355" t="s">
        <v>163</v>
      </c>
      <c r="D9" s="238">
        <v>7107004000</v>
      </c>
      <c r="E9" s="238">
        <v>1992633</v>
      </c>
      <c r="F9" s="239">
        <f t="shared" si="2"/>
        <v>7108996633</v>
      </c>
      <c r="G9" s="241">
        <f>+'[1]3条支出'!$E$9</f>
        <v>6557703864</v>
      </c>
      <c r="H9" s="241">
        <f>+'[1]3条支出'!$T$9</f>
        <v>6037810078</v>
      </c>
      <c r="I9" s="241">
        <f>+'[1]3条支出'!$T$9</f>
        <v>6037810078</v>
      </c>
      <c r="U9" s="28"/>
    </row>
    <row r="10" spans="1:21" ht="18.75" customHeight="1">
      <c r="A10" s="71"/>
      <c r="B10" s="64"/>
      <c r="C10" s="355" t="s">
        <v>162</v>
      </c>
      <c r="D10" s="238">
        <v>80070000</v>
      </c>
      <c r="E10" s="238">
        <v>12067654</v>
      </c>
      <c r="F10" s="239">
        <f t="shared" si="2"/>
        <v>92137654</v>
      </c>
      <c r="G10" s="241">
        <f>+'[1]3条支出'!$E$11</f>
        <v>88849549</v>
      </c>
      <c r="H10" s="241">
        <f>+'[1]3条支出'!$T$11</f>
        <v>87134052</v>
      </c>
      <c r="I10" s="241">
        <f>+'[1]3条支出'!$T$11</f>
        <v>87134052</v>
      </c>
      <c r="U10" s="28"/>
    </row>
    <row r="11" spans="1:21" ht="18.75" customHeight="1">
      <c r="A11" s="71"/>
      <c r="B11" s="64"/>
      <c r="C11" s="355" t="s">
        <v>161</v>
      </c>
      <c r="D11" s="238">
        <v>14763000</v>
      </c>
      <c r="E11" s="238">
        <v>0</v>
      </c>
      <c r="F11" s="239">
        <f t="shared" si="2"/>
        <v>14763000</v>
      </c>
      <c r="G11" s="241">
        <f>+'[1]3条支出'!$E$12</f>
        <v>10483859</v>
      </c>
      <c r="H11" s="241">
        <f>+'[1]3条支出'!$T$12</f>
        <v>10396270</v>
      </c>
      <c r="I11" s="241">
        <f>+'[1]3条支出'!$T$12</f>
        <v>10396270</v>
      </c>
      <c r="U11" s="28"/>
    </row>
    <row r="12" spans="1:21" ht="18.75" customHeight="1">
      <c r="A12" s="71"/>
      <c r="B12" s="64"/>
      <c r="C12" s="355" t="s">
        <v>160</v>
      </c>
      <c r="D12" s="238">
        <v>1032244000</v>
      </c>
      <c r="E12" s="238">
        <v>0</v>
      </c>
      <c r="F12" s="239">
        <f t="shared" si="2"/>
        <v>1032244000</v>
      </c>
      <c r="G12" s="241">
        <f>+'[1]3条支出'!$E$13</f>
        <v>1019945143</v>
      </c>
      <c r="H12" s="241">
        <f>+'[1]3条支出'!$T$13</f>
        <v>929691714</v>
      </c>
      <c r="I12" s="241">
        <f>+'[1]3条支出'!$T$13</f>
        <v>929691714</v>
      </c>
      <c r="U12" s="28"/>
    </row>
    <row r="13" spans="1:21" ht="18.75" customHeight="1">
      <c r="A13" s="71"/>
      <c r="B13" s="64"/>
      <c r="C13" s="355" t="s">
        <v>159</v>
      </c>
      <c r="D13" s="238">
        <v>552278000</v>
      </c>
      <c r="E13" s="238">
        <v>0</v>
      </c>
      <c r="F13" s="239">
        <f t="shared" si="2"/>
        <v>552278000</v>
      </c>
      <c r="G13" s="241">
        <f>+'[1]3条支出'!$E$14</f>
        <v>483965214</v>
      </c>
      <c r="H13" s="241">
        <f>+'[1]3条支出'!$T$14</f>
        <v>466286409</v>
      </c>
      <c r="I13" s="241">
        <f>+'[1]3条支出'!$T$14</f>
        <v>466286409</v>
      </c>
      <c r="U13" s="28"/>
    </row>
    <row r="14" spans="1:21" ht="18.75" customHeight="1">
      <c r="A14" s="71"/>
      <c r="B14" s="64"/>
      <c r="C14" s="355" t="s">
        <v>158</v>
      </c>
      <c r="D14" s="238">
        <f>108656000+623000</f>
        <v>109279000</v>
      </c>
      <c r="E14" s="238">
        <v>1800000</v>
      </c>
      <c r="F14" s="239">
        <f t="shared" si="2"/>
        <v>111079000</v>
      </c>
      <c r="G14" s="241">
        <f>+'[1]3条支出'!$E$15</f>
        <v>106990906</v>
      </c>
      <c r="H14" s="241">
        <f>+'[1]3条支出'!$T$15</f>
        <v>97276922</v>
      </c>
      <c r="I14" s="241">
        <f>+'[1]3条支出'!$T$15</f>
        <v>97276922</v>
      </c>
      <c r="U14" s="28"/>
    </row>
    <row r="15" spans="1:21" ht="18.75" customHeight="1">
      <c r="A15" s="71"/>
      <c r="B15" s="64"/>
      <c r="C15" s="355" t="s">
        <v>157</v>
      </c>
      <c r="D15" s="238">
        <f>257093000+4311000</f>
        <v>261404000</v>
      </c>
      <c r="E15" s="238">
        <v>-1800000</v>
      </c>
      <c r="F15" s="239">
        <f t="shared" si="2"/>
        <v>259604000</v>
      </c>
      <c r="G15" s="241">
        <f>+'[1]3条支出'!$E$16</f>
        <v>247654024</v>
      </c>
      <c r="H15" s="241">
        <f>+'[1]3条支出'!$T$16</f>
        <v>225167795</v>
      </c>
      <c r="I15" s="241">
        <f>+'[1]3条支出'!$T$16</f>
        <v>225167795</v>
      </c>
      <c r="U15" s="28"/>
    </row>
    <row r="16" spans="1:21" ht="18.75" customHeight="1">
      <c r="A16" s="71"/>
      <c r="B16" s="64"/>
      <c r="C16" s="355" t="s">
        <v>156</v>
      </c>
      <c r="D16" s="238">
        <v>78829000</v>
      </c>
      <c r="E16" s="238">
        <v>0</v>
      </c>
      <c r="F16" s="239">
        <f t="shared" si="2"/>
        <v>78829000</v>
      </c>
      <c r="G16" s="241">
        <f>+'[1]3条支出'!$E$17</f>
        <v>76388330</v>
      </c>
      <c r="H16" s="241">
        <f>+'[1]3条支出'!$T$17</f>
        <v>69941329</v>
      </c>
      <c r="I16" s="241">
        <f>+'[1]3条支出'!$T$17</f>
        <v>69941329</v>
      </c>
      <c r="U16" s="28"/>
    </row>
    <row r="17" spans="1:21" ht="18.75" hidden="1" customHeight="1" outlineLevel="1">
      <c r="A17" s="71"/>
      <c r="B17" s="64"/>
      <c r="C17" s="355" t="s">
        <v>155</v>
      </c>
      <c r="D17" s="239">
        <v>0</v>
      </c>
      <c r="E17" s="239">
        <v>0</v>
      </c>
      <c r="F17" s="239">
        <f t="shared" si="2"/>
        <v>0</v>
      </c>
      <c r="G17" s="241">
        <f>+'[1]3条支出'!$E$18</f>
        <v>0</v>
      </c>
      <c r="H17" s="241">
        <f>+'[1]3条支出'!$T$18</f>
        <v>0</v>
      </c>
      <c r="I17" s="241">
        <f>+'[1]3条支出'!$T$18</f>
        <v>0</v>
      </c>
      <c r="U17" s="28"/>
    </row>
    <row r="18" spans="1:21" ht="18.75" customHeight="1" collapsed="1">
      <c r="A18" s="71"/>
      <c r="B18" s="64"/>
      <c r="C18" s="355" t="s">
        <v>154</v>
      </c>
      <c r="D18" s="238">
        <v>26580629000</v>
      </c>
      <c r="E18" s="238">
        <v>0</v>
      </c>
      <c r="F18" s="239">
        <f t="shared" si="2"/>
        <v>26580629000</v>
      </c>
      <c r="G18" s="241">
        <f>+'[1]3条支出'!$E$19</f>
        <v>26551442230</v>
      </c>
      <c r="H18" s="241">
        <f>+'[1]3条支出'!$T$19</f>
        <v>26551442230</v>
      </c>
      <c r="I18" s="241">
        <f>+'[1]3条支出'!$T$19</f>
        <v>26551442230</v>
      </c>
      <c r="U18" s="28"/>
    </row>
    <row r="19" spans="1:21" ht="18.75" customHeight="1">
      <c r="A19" s="71"/>
      <c r="B19" s="240"/>
      <c r="C19" s="355" t="s">
        <v>153</v>
      </c>
      <c r="D19" s="238">
        <v>351538000</v>
      </c>
      <c r="E19" s="238">
        <v>0</v>
      </c>
      <c r="F19" s="239">
        <f t="shared" si="2"/>
        <v>351538000</v>
      </c>
      <c r="G19" s="241">
        <f>+'[1]3条支出'!$E$20</f>
        <v>503761871</v>
      </c>
      <c r="H19" s="241">
        <f>+'[1]3条支出'!$T$20</f>
        <v>503761871</v>
      </c>
      <c r="I19" s="241">
        <f>+'[1]3条支出'!$T$20</f>
        <v>503761871</v>
      </c>
      <c r="U19" s="28"/>
    </row>
    <row r="20" spans="1:21" ht="18.75" customHeight="1">
      <c r="A20" s="71"/>
      <c r="B20" s="240" t="s">
        <v>152</v>
      </c>
      <c r="C20" s="73"/>
      <c r="D20" s="239">
        <f t="shared" ref="D20:I20" si="3">+SUM(D21:D23)</f>
        <v>4599725000</v>
      </c>
      <c r="E20" s="239">
        <f t="shared" si="3"/>
        <v>9198273</v>
      </c>
      <c r="F20" s="239">
        <f t="shared" si="3"/>
        <v>4608923273</v>
      </c>
      <c r="G20" s="239">
        <f t="shared" si="3"/>
        <v>3955185318</v>
      </c>
      <c r="H20" s="239">
        <f t="shared" si="3"/>
        <v>3949076064</v>
      </c>
      <c r="I20" s="239">
        <f t="shared" si="3"/>
        <v>4161563541</v>
      </c>
    </row>
    <row r="21" spans="1:21" ht="18.75" customHeight="1">
      <c r="A21" s="71"/>
      <c r="B21" s="64"/>
      <c r="C21" s="356" t="s">
        <v>462</v>
      </c>
      <c r="D21" s="238">
        <v>4207550000</v>
      </c>
      <c r="E21" s="238">
        <v>-25896</v>
      </c>
      <c r="F21" s="239">
        <f>D21+E21</f>
        <v>4207524104</v>
      </c>
      <c r="G21" s="241">
        <f>+'[1]3条支出'!$E$23</f>
        <v>3945961149</v>
      </c>
      <c r="H21" s="241">
        <f>+'[1]3条支出'!$T$23</f>
        <v>3940341717</v>
      </c>
      <c r="I21" s="241">
        <f>+'[1]3条支出'!$T$23</f>
        <v>3940341717</v>
      </c>
      <c r="L21" s="1364"/>
      <c r="M21" s="1365"/>
      <c r="N21" s="1365"/>
      <c r="O21" s="1365"/>
      <c r="U21" s="28"/>
    </row>
    <row r="22" spans="1:21" ht="18.75" customHeight="1">
      <c r="A22" s="71"/>
      <c r="B22" s="64"/>
      <c r="C22" s="355" t="s">
        <v>151</v>
      </c>
      <c r="D22" s="238">
        <v>392158000</v>
      </c>
      <c r="E22" s="238">
        <v>0</v>
      </c>
      <c r="F22" s="239">
        <f>D22+E22</f>
        <v>392158000</v>
      </c>
      <c r="G22" s="243">
        <f>+[3]消費税!Z113+[3]消費税!AF113</f>
        <v>0</v>
      </c>
      <c r="H22" s="239"/>
      <c r="I22" s="239"/>
      <c r="L22" s="1365"/>
      <c r="M22" s="1365"/>
      <c r="N22" s="1365"/>
      <c r="O22" s="1365"/>
      <c r="U22" s="28"/>
    </row>
    <row r="23" spans="1:21" ht="18.75" customHeight="1">
      <c r="A23" s="71"/>
      <c r="B23" s="240"/>
      <c r="C23" s="355" t="s">
        <v>150</v>
      </c>
      <c r="D23" s="238">
        <v>17000</v>
      </c>
      <c r="E23" s="238">
        <v>9224169</v>
      </c>
      <c r="F23" s="239">
        <f>D23+E23</f>
        <v>9241169</v>
      </c>
      <c r="G23" s="241">
        <f>+'[1]3条支出'!$E$24</f>
        <v>9224169</v>
      </c>
      <c r="H23" s="242">
        <f>+'[1]3条支出'!$T$24</f>
        <v>8734347</v>
      </c>
      <c r="I23" s="241">
        <f>+'[1]3条支出'!$T$24++'[1]3条支出'!$T$25</f>
        <v>221221824</v>
      </c>
      <c r="U23" s="28"/>
    </row>
    <row r="24" spans="1:21" ht="18.75" customHeight="1">
      <c r="A24" s="71"/>
      <c r="B24" s="240" t="s">
        <v>149</v>
      </c>
      <c r="C24" s="73"/>
      <c r="D24" s="239">
        <f t="shared" ref="D24:I24" si="4">+SUM(D25:D28)</f>
        <v>8289000</v>
      </c>
      <c r="E24" s="239">
        <f t="shared" si="4"/>
        <v>0</v>
      </c>
      <c r="F24" s="239">
        <f t="shared" si="4"/>
        <v>8289000</v>
      </c>
      <c r="G24" s="239">
        <f t="shared" si="4"/>
        <v>20995298</v>
      </c>
      <c r="H24" s="239">
        <f t="shared" si="4"/>
        <v>20026854</v>
      </c>
      <c r="I24" s="239">
        <f t="shared" si="4"/>
        <v>20026854</v>
      </c>
    </row>
    <row r="25" spans="1:21" ht="18.75" customHeight="1">
      <c r="A25" s="71"/>
      <c r="B25" s="64"/>
      <c r="C25" s="355" t="s">
        <v>148</v>
      </c>
      <c r="D25" s="238">
        <v>0</v>
      </c>
      <c r="E25" s="238">
        <v>0</v>
      </c>
      <c r="F25" s="239">
        <f>D25+E25</f>
        <v>0</v>
      </c>
      <c r="G25" s="241">
        <f>+'[1]3条支出'!$E$30</f>
        <v>10315355</v>
      </c>
      <c r="H25" s="241">
        <f>+'[1]3条支出'!$T$30</f>
        <v>10315355</v>
      </c>
      <c r="I25" s="241">
        <f>+'[1]3条支出'!$T$30</f>
        <v>10315355</v>
      </c>
      <c r="U25" s="28"/>
    </row>
    <row r="26" spans="1:21" ht="18.75" customHeight="1">
      <c r="A26" s="71"/>
      <c r="B26" s="64"/>
      <c r="C26" s="355" t="s">
        <v>147</v>
      </c>
      <c r="D26" s="238">
        <v>8248000</v>
      </c>
      <c r="E26" s="238">
        <v>0</v>
      </c>
      <c r="F26" s="239">
        <f>D26+E26</f>
        <v>8248000</v>
      </c>
      <c r="G26" s="241">
        <f>+'[1]3条支出'!$E$28</f>
        <v>10679943</v>
      </c>
      <c r="H26" s="241">
        <f>+'[1]3条支出'!$T$28</f>
        <v>9711499</v>
      </c>
      <c r="I26" s="241">
        <f>+'[1]3条支出'!$T$28</f>
        <v>9711499</v>
      </c>
      <c r="U26" s="28"/>
    </row>
    <row r="27" spans="1:21" ht="18.75" customHeight="1">
      <c r="A27" s="71"/>
      <c r="B27" s="64"/>
      <c r="C27" s="355" t="s">
        <v>146</v>
      </c>
      <c r="D27" s="238">
        <v>41000</v>
      </c>
      <c r="E27" s="238">
        <v>0</v>
      </c>
      <c r="F27" s="239">
        <f>D27+E27</f>
        <v>41000</v>
      </c>
      <c r="G27" s="241">
        <f>+'[1]3条支出'!$E$29</f>
        <v>0</v>
      </c>
      <c r="H27" s="241">
        <f>+'[1]3条支出'!$T$29</f>
        <v>0</v>
      </c>
      <c r="I27" s="241">
        <f>+'[1]3条支出'!$T$29</f>
        <v>0</v>
      </c>
      <c r="U27" s="28"/>
    </row>
    <row r="28" spans="1:21" ht="18.75" customHeight="1">
      <c r="A28" s="71"/>
      <c r="B28" s="240"/>
      <c r="C28" s="355" t="s">
        <v>145</v>
      </c>
      <c r="D28" s="238">
        <v>0</v>
      </c>
      <c r="E28" s="238">
        <v>0</v>
      </c>
      <c r="F28" s="239">
        <f>D28+E28</f>
        <v>0</v>
      </c>
      <c r="G28" s="241">
        <f>+'[1]3条支出'!$E$31</f>
        <v>0</v>
      </c>
      <c r="H28" s="241">
        <f>+'[1]3条支出'!$T$31</f>
        <v>0</v>
      </c>
      <c r="I28" s="241">
        <f>+'[1]3条支出'!$T$31</f>
        <v>0</v>
      </c>
      <c r="U28" s="28"/>
    </row>
    <row r="29" spans="1:21" ht="18.75" customHeight="1">
      <c r="A29" s="71"/>
      <c r="B29" s="240" t="s">
        <v>144</v>
      </c>
      <c r="C29" s="73"/>
      <c r="D29" s="239">
        <f t="shared" ref="D29:I29" si="5">D30</f>
        <v>20000000</v>
      </c>
      <c r="E29" s="239">
        <f t="shared" si="5"/>
        <v>-9198273</v>
      </c>
      <c r="F29" s="239">
        <f t="shared" si="5"/>
        <v>10801727</v>
      </c>
      <c r="G29" s="239">
        <f t="shared" si="5"/>
        <v>0</v>
      </c>
      <c r="H29" s="239">
        <f t="shared" si="5"/>
        <v>0</v>
      </c>
      <c r="I29" s="239">
        <f t="shared" si="5"/>
        <v>0</v>
      </c>
    </row>
    <row r="30" spans="1:21" ht="18.75" customHeight="1">
      <c r="A30" s="77"/>
      <c r="B30" s="240"/>
      <c r="C30" s="355" t="s">
        <v>144</v>
      </c>
      <c r="D30" s="238">
        <v>20000000</v>
      </c>
      <c r="E30" s="238">
        <v>-9198273</v>
      </c>
      <c r="F30" s="239">
        <f>D30+E30</f>
        <v>10801727</v>
      </c>
      <c r="G30" s="238">
        <v>0</v>
      </c>
      <c r="H30" s="238">
        <v>0</v>
      </c>
      <c r="I30" s="238">
        <v>0</v>
      </c>
      <c r="U30" s="28"/>
    </row>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50" spans="5:5">
      <c r="E50" s="24" t="s">
        <v>143</v>
      </c>
    </row>
  </sheetData>
  <mergeCells count="4">
    <mergeCell ref="L21:O22"/>
    <mergeCell ref="A3:C3"/>
    <mergeCell ref="A2:C2"/>
    <mergeCell ref="C1:E1"/>
  </mergeCells>
  <phoneticPr fontId="3"/>
  <pageMargins left="0.78740157480314965" right="0.39370078740157483" top="0.59055118110236227" bottom="0.39370078740157483" header="0.51181102362204722" footer="0.11811023622047245"/>
  <pageSetup paperSize="9" orientation="landscape" blackAndWhite="1"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sheetPr>
  <dimension ref="A1:Q43"/>
  <sheetViews>
    <sheetView view="pageBreakPreview" zoomScale="85" zoomScaleNormal="85" zoomScaleSheetLayoutView="85" workbookViewId="0">
      <pane xSplit="3" ySplit="4" topLeftCell="D5" activePane="bottomRight" state="frozen"/>
      <selection activeCell="H3" sqref="H3"/>
      <selection pane="topRight" activeCell="H3" sqref="H3"/>
      <selection pane="bottomLeft" activeCell="H3" sqref="H3"/>
      <selection pane="bottomRight" activeCell="D5" sqref="D5"/>
    </sheetView>
  </sheetViews>
  <sheetFormatPr defaultColWidth="9" defaultRowHeight="13.5" outlineLevelRow="1"/>
  <cols>
    <col min="1" max="2" width="1.375" style="266" customWidth="1"/>
    <col min="3" max="3" width="22.375" style="266" customWidth="1"/>
    <col min="4" max="6" width="14.625" style="266" customWidth="1"/>
    <col min="7" max="7" width="14.625" style="268" customWidth="1"/>
    <col min="8" max="8" width="14" style="266" hidden="1" customWidth="1"/>
    <col min="9" max="10" width="14.625" style="266" customWidth="1"/>
    <col min="11" max="11" width="14" style="266" hidden="1" customWidth="1"/>
    <col min="12" max="12" width="14.625" style="266" customWidth="1"/>
    <col min="13" max="13" width="14.625" style="268" customWidth="1"/>
    <col min="14" max="14" width="14.375" style="266" customWidth="1"/>
    <col min="15" max="15" width="14.375" style="267" customWidth="1"/>
    <col min="16" max="16384" width="9" style="266"/>
  </cols>
  <sheetData>
    <row r="1" spans="1:17">
      <c r="C1" s="1367" t="str">
        <f>+CONCATENATE(LEFT('[1]3条支出'!$D$1,5),"   資本的収入（決算）")</f>
        <v>令和５年度   資本的収入（決算）</v>
      </c>
      <c r="D1" s="1367"/>
      <c r="E1" s="1367"/>
      <c r="L1" s="322"/>
    </row>
    <row r="2" spans="1:17" ht="14.25" thickBot="1">
      <c r="A2" s="321" t="str">
        <f>+CONCATENATE("（",MID([4]雨汚水!D1,3,1),"年度現年度分みなしベース）")</f>
        <v>（５年度現年度分みなしベース）</v>
      </c>
      <c r="B2" s="320"/>
      <c r="C2" s="320"/>
      <c r="M2" s="319" t="s">
        <v>109</v>
      </c>
      <c r="O2" s="267" t="s">
        <v>109</v>
      </c>
    </row>
    <row r="3" spans="1:17" s="268" customFormat="1" ht="28.5">
      <c r="A3" s="1368" t="s">
        <v>202</v>
      </c>
      <c r="B3" s="1369"/>
      <c r="C3" s="1370"/>
      <c r="D3" s="318" t="s">
        <v>251</v>
      </c>
      <c r="E3" s="317" t="s">
        <v>250</v>
      </c>
      <c r="F3" s="316" t="s">
        <v>175</v>
      </c>
      <c r="G3" s="315" t="s">
        <v>249</v>
      </c>
      <c r="H3" s="314" t="s">
        <v>248</v>
      </c>
      <c r="I3" s="313" t="s">
        <v>247</v>
      </c>
      <c r="J3" s="311" t="s">
        <v>246</v>
      </c>
      <c r="K3" s="312" t="s">
        <v>245</v>
      </c>
      <c r="L3" s="311" t="s">
        <v>244</v>
      </c>
      <c r="M3" s="309" t="s">
        <v>243</v>
      </c>
      <c r="N3" s="310" t="s">
        <v>242</v>
      </c>
      <c r="O3" s="309" t="s">
        <v>241</v>
      </c>
      <c r="Q3" s="363"/>
    </row>
    <row r="4" spans="1:17" s="268" customFormat="1">
      <c r="A4" s="1371"/>
      <c r="B4" s="1372"/>
      <c r="C4" s="1373"/>
      <c r="D4" s="306" t="s">
        <v>240</v>
      </c>
      <c r="E4" s="305" t="s">
        <v>239</v>
      </c>
      <c r="F4" s="308" t="s">
        <v>238</v>
      </c>
      <c r="G4" s="303" t="s">
        <v>237</v>
      </c>
      <c r="H4" s="307" t="s">
        <v>236</v>
      </c>
      <c r="I4" s="306" t="s">
        <v>235</v>
      </c>
      <c r="J4" s="306" t="s">
        <v>234</v>
      </c>
      <c r="K4" s="306" t="s">
        <v>233</v>
      </c>
      <c r="L4" s="305" t="s">
        <v>232</v>
      </c>
      <c r="M4" s="303" t="s">
        <v>231</v>
      </c>
      <c r="N4" s="304" t="s">
        <v>230</v>
      </c>
      <c r="O4" s="303" t="s">
        <v>229</v>
      </c>
    </row>
    <row r="5" spans="1:17" s="274" customFormat="1" ht="21" customHeight="1">
      <c r="A5" s="289" t="s">
        <v>86</v>
      </c>
      <c r="B5" s="302"/>
      <c r="C5" s="288"/>
      <c r="D5" s="279">
        <f t="shared" ref="D5:N5" si="0">SUM(D6,D13,D16,D20,D22,D26,D30,D32)</f>
        <v>42627050000</v>
      </c>
      <c r="E5" s="284">
        <f t="shared" si="0"/>
        <v>0</v>
      </c>
      <c r="F5" s="283">
        <f t="shared" si="0"/>
        <v>42627050000</v>
      </c>
      <c r="G5" s="287">
        <f>SUM(G6,G13,G16,G20,G22,G26,G30,G32)</f>
        <v>42025205141</v>
      </c>
      <c r="H5" s="281">
        <f t="shared" si="0"/>
        <v>0</v>
      </c>
      <c r="I5" s="76">
        <f t="shared" si="0"/>
        <v>42025205141</v>
      </c>
      <c r="J5" s="76">
        <f t="shared" si="0"/>
        <v>8421400000</v>
      </c>
      <c r="K5" s="76">
        <f t="shared" si="0"/>
        <v>0</v>
      </c>
      <c r="L5" s="297">
        <f t="shared" si="0"/>
        <v>8639285739</v>
      </c>
      <c r="M5" s="287">
        <f>SUM(M6,M13,M16,M20,M22,M26,M30,M32)</f>
        <v>42243090880</v>
      </c>
      <c r="N5" s="276">
        <f t="shared" si="0"/>
        <v>8639285739</v>
      </c>
      <c r="O5" s="286">
        <f>SUM(O6,O13,O16,O20,O22,O26,O30,O32)</f>
        <v>-411506598</v>
      </c>
    </row>
    <row r="6" spans="1:17" s="274" customFormat="1" ht="21" customHeight="1">
      <c r="A6" s="290"/>
      <c r="B6" s="289" t="s">
        <v>228</v>
      </c>
      <c r="C6" s="288"/>
      <c r="D6" s="279">
        <f t="shared" ref="D6:O6" si="1">SUM(D7:D12)</f>
        <v>32505200000</v>
      </c>
      <c r="E6" s="284">
        <f t="shared" si="1"/>
        <v>0</v>
      </c>
      <c r="F6" s="283">
        <f t="shared" si="1"/>
        <v>32505200000</v>
      </c>
      <c r="G6" s="287">
        <f t="shared" si="1"/>
        <v>32373300000</v>
      </c>
      <c r="H6" s="281">
        <f t="shared" si="1"/>
        <v>0</v>
      </c>
      <c r="I6" s="279">
        <f t="shared" si="1"/>
        <v>32373300000</v>
      </c>
      <c r="J6" s="76">
        <f t="shared" si="1"/>
        <v>5247400000</v>
      </c>
      <c r="K6" s="279">
        <f t="shared" si="1"/>
        <v>0</v>
      </c>
      <c r="L6" s="284">
        <f t="shared" si="1"/>
        <v>5226800000</v>
      </c>
      <c r="M6" s="287">
        <f t="shared" si="1"/>
        <v>32352700000</v>
      </c>
      <c r="N6" s="276">
        <f t="shared" si="1"/>
        <v>5226800000</v>
      </c>
      <c r="O6" s="286">
        <f t="shared" si="1"/>
        <v>-152500000</v>
      </c>
    </row>
    <row r="7" spans="1:17" s="274" customFormat="1" ht="21" customHeight="1">
      <c r="A7" s="290"/>
      <c r="B7" s="290"/>
      <c r="C7" s="285" t="s">
        <v>227</v>
      </c>
      <c r="D7" s="280">
        <f>8330600000+654200000</f>
        <v>8984800000</v>
      </c>
      <c r="E7" s="284">
        <v>0</v>
      </c>
      <c r="F7" s="283">
        <f t="shared" ref="F7:F12" si="2">D7+E7</f>
        <v>8984800000</v>
      </c>
      <c r="G7" s="361">
        <f>+'[5]4条収入'!$E$9</f>
        <v>8822500000</v>
      </c>
      <c r="H7" s="296">
        <v>0</v>
      </c>
      <c r="I7" s="76">
        <f t="shared" ref="I7:I12" si="3">G7-H7</f>
        <v>8822500000</v>
      </c>
      <c r="J7" s="280">
        <v>4973100000</v>
      </c>
      <c r="K7" s="76"/>
      <c r="L7" s="278">
        <v>5135400000</v>
      </c>
      <c r="M7" s="287">
        <f t="shared" ref="M7:M12" si="4">I7-J7+K7+L7</f>
        <v>8984800000</v>
      </c>
      <c r="N7" s="276">
        <f t="shared" ref="N7:N12" si="5">L7</f>
        <v>5135400000</v>
      </c>
      <c r="O7" s="286">
        <f>M7-F7</f>
        <v>0</v>
      </c>
    </row>
    <row r="8" spans="1:17" s="274" customFormat="1" ht="21" customHeight="1">
      <c r="A8" s="290"/>
      <c r="B8" s="290"/>
      <c r="C8" s="357" t="s">
        <v>540</v>
      </c>
      <c r="D8" s="280">
        <v>310500000</v>
      </c>
      <c r="E8" s="284">
        <v>0</v>
      </c>
      <c r="F8" s="283">
        <f t="shared" si="2"/>
        <v>310500000</v>
      </c>
      <c r="G8" s="361">
        <f>+'[5]4条収入'!$E$12</f>
        <v>493400000</v>
      </c>
      <c r="H8" s="296">
        <v>0</v>
      </c>
      <c r="I8" s="76">
        <f t="shared" si="3"/>
        <v>493400000</v>
      </c>
      <c r="J8" s="278">
        <v>274300000</v>
      </c>
      <c r="K8" s="76"/>
      <c r="L8" s="278">
        <v>91400000</v>
      </c>
      <c r="M8" s="287">
        <f>I8-J8+K8+L8</f>
        <v>310500000</v>
      </c>
      <c r="N8" s="276">
        <f t="shared" si="5"/>
        <v>91400000</v>
      </c>
      <c r="O8" s="286">
        <f>F8-M8</f>
        <v>0</v>
      </c>
    </row>
    <row r="9" spans="1:17" s="274" customFormat="1" ht="21" customHeight="1">
      <c r="A9" s="290"/>
      <c r="B9" s="290"/>
      <c r="C9" s="285" t="s">
        <v>226</v>
      </c>
      <c r="D9" s="280">
        <v>160100000</v>
      </c>
      <c r="E9" s="284">
        <v>0</v>
      </c>
      <c r="F9" s="283">
        <f t="shared" si="2"/>
        <v>160100000</v>
      </c>
      <c r="G9" s="361">
        <f>+'[5]4条収入'!$E$13</f>
        <v>120200000</v>
      </c>
      <c r="H9" s="296">
        <v>0</v>
      </c>
      <c r="I9" s="76">
        <f t="shared" si="3"/>
        <v>120200000</v>
      </c>
      <c r="J9" s="280"/>
      <c r="K9" s="76"/>
      <c r="L9" s="278"/>
      <c r="M9" s="287">
        <f t="shared" si="4"/>
        <v>120200000</v>
      </c>
      <c r="N9" s="276">
        <f t="shared" si="5"/>
        <v>0</v>
      </c>
      <c r="O9" s="286">
        <f>M9-F9</f>
        <v>-39900000</v>
      </c>
    </row>
    <row r="10" spans="1:17" s="274" customFormat="1" ht="21" customHeight="1">
      <c r="A10" s="290"/>
      <c r="B10" s="290"/>
      <c r="C10" s="285" t="s">
        <v>225</v>
      </c>
      <c r="D10" s="280">
        <v>6039000000</v>
      </c>
      <c r="E10" s="284">
        <v>0</v>
      </c>
      <c r="F10" s="283">
        <f t="shared" si="2"/>
        <v>6039000000</v>
      </c>
      <c r="G10" s="361">
        <f>+'[5]4条収入'!$E$14</f>
        <v>5929500000</v>
      </c>
      <c r="H10" s="296">
        <v>0</v>
      </c>
      <c r="I10" s="76">
        <f t="shared" si="3"/>
        <v>5929500000</v>
      </c>
      <c r="J10" s="280"/>
      <c r="K10" s="76"/>
      <c r="L10" s="278"/>
      <c r="M10" s="287">
        <f t="shared" si="4"/>
        <v>5929500000</v>
      </c>
      <c r="N10" s="276">
        <f t="shared" si="5"/>
        <v>0</v>
      </c>
      <c r="O10" s="286">
        <f>M10-F10</f>
        <v>-109500000</v>
      </c>
    </row>
    <row r="11" spans="1:17" s="274" customFormat="1" ht="21" hidden="1" customHeight="1" outlineLevel="1">
      <c r="A11" s="290"/>
      <c r="B11" s="290"/>
      <c r="C11" s="285" t="s">
        <v>464</v>
      </c>
      <c r="D11" s="280">
        <v>0</v>
      </c>
      <c r="E11" s="284">
        <v>0</v>
      </c>
      <c r="F11" s="283">
        <f t="shared" si="2"/>
        <v>0</v>
      </c>
      <c r="G11" s="361">
        <f>+'[5]4条収入'!$E$15</f>
        <v>0</v>
      </c>
      <c r="H11" s="296">
        <v>0</v>
      </c>
      <c r="I11" s="76">
        <f t="shared" si="3"/>
        <v>0</v>
      </c>
      <c r="J11" s="280"/>
      <c r="K11" s="76"/>
      <c r="L11" s="278"/>
      <c r="M11" s="287">
        <f t="shared" si="4"/>
        <v>0</v>
      </c>
      <c r="N11" s="276">
        <f t="shared" si="5"/>
        <v>0</v>
      </c>
      <c r="O11" s="286">
        <f>M11-F11</f>
        <v>0</v>
      </c>
    </row>
    <row r="12" spans="1:17" s="274" customFormat="1" ht="21" customHeight="1" collapsed="1">
      <c r="A12" s="290"/>
      <c r="B12" s="285"/>
      <c r="C12" s="285" t="s">
        <v>224</v>
      </c>
      <c r="D12" s="280">
        <f>17007700000+3100000</f>
        <v>17010800000</v>
      </c>
      <c r="E12" s="284">
        <v>0</v>
      </c>
      <c r="F12" s="283">
        <f t="shared" si="2"/>
        <v>17010800000</v>
      </c>
      <c r="G12" s="361">
        <f>+'[5]4条収入'!$E$16</f>
        <v>17007700000</v>
      </c>
      <c r="H12" s="296">
        <v>0</v>
      </c>
      <c r="I12" s="76">
        <f t="shared" si="3"/>
        <v>17007700000</v>
      </c>
      <c r="J12" s="280"/>
      <c r="K12" s="76"/>
      <c r="L12" s="278"/>
      <c r="M12" s="287">
        <f t="shared" si="4"/>
        <v>17007700000</v>
      </c>
      <c r="N12" s="276">
        <f t="shared" si="5"/>
        <v>0</v>
      </c>
      <c r="O12" s="286">
        <f>M12-F12</f>
        <v>-3100000</v>
      </c>
    </row>
    <row r="13" spans="1:17" s="274" customFormat="1" ht="21" customHeight="1">
      <c r="A13" s="290"/>
      <c r="B13" s="289" t="s">
        <v>223</v>
      </c>
      <c r="C13" s="288"/>
      <c r="D13" s="76">
        <f t="shared" ref="D13:O13" si="6">SUM(D14:D15)</f>
        <v>3640474000</v>
      </c>
      <c r="E13" s="284">
        <f t="shared" si="6"/>
        <v>0</v>
      </c>
      <c r="F13" s="283">
        <f t="shared" si="6"/>
        <v>3640474000</v>
      </c>
      <c r="G13" s="287">
        <f t="shared" si="6"/>
        <v>3285504551</v>
      </c>
      <c r="H13" s="281">
        <f t="shared" si="6"/>
        <v>0</v>
      </c>
      <c r="I13" s="279">
        <f t="shared" si="6"/>
        <v>3285504551</v>
      </c>
      <c r="J13" s="76">
        <f t="shared" si="6"/>
        <v>0</v>
      </c>
      <c r="K13" s="279">
        <f t="shared" si="6"/>
        <v>0</v>
      </c>
      <c r="L13" s="284">
        <f t="shared" si="6"/>
        <v>0</v>
      </c>
      <c r="M13" s="287">
        <f t="shared" si="6"/>
        <v>3285504551</v>
      </c>
      <c r="N13" s="276">
        <f t="shared" si="6"/>
        <v>0</v>
      </c>
      <c r="O13" s="286">
        <f t="shared" si="6"/>
        <v>-354969449</v>
      </c>
    </row>
    <row r="14" spans="1:17" s="274" customFormat="1" ht="21" customHeight="1">
      <c r="A14" s="290"/>
      <c r="B14" s="290"/>
      <c r="C14" s="298" t="s">
        <v>84</v>
      </c>
      <c r="D14" s="280">
        <v>3640474000</v>
      </c>
      <c r="E14" s="284"/>
      <c r="F14" s="283">
        <f>D14+E14</f>
        <v>3640474000</v>
      </c>
      <c r="G14" s="361">
        <f>+'[5]4条収入'!E22</f>
        <v>3285504551</v>
      </c>
      <c r="H14" s="281">
        <v>0</v>
      </c>
      <c r="I14" s="76">
        <f>G14-H14</f>
        <v>3285504551</v>
      </c>
      <c r="J14" s="280">
        <v>0</v>
      </c>
      <c r="K14" s="279"/>
      <c r="L14" s="278"/>
      <c r="M14" s="287">
        <f>I14-J14+K14+L14</f>
        <v>3285504551</v>
      </c>
      <c r="N14" s="276">
        <f>L14</f>
        <v>0</v>
      </c>
      <c r="O14" s="286">
        <f>M14-F14</f>
        <v>-354969449</v>
      </c>
    </row>
    <row r="15" spans="1:17" s="274" customFormat="1" ht="24" hidden="1" customHeight="1">
      <c r="A15" s="290"/>
      <c r="B15" s="285"/>
      <c r="C15" s="285" t="s">
        <v>222</v>
      </c>
      <c r="D15" s="280">
        <v>0</v>
      </c>
      <c r="E15" s="284">
        <v>0</v>
      </c>
      <c r="F15" s="283">
        <f>D15+E15</f>
        <v>0</v>
      </c>
      <c r="G15" s="301">
        <v>0</v>
      </c>
      <c r="H15" s="281">
        <v>0</v>
      </c>
      <c r="I15" s="279">
        <f>G15-H15</f>
        <v>0</v>
      </c>
      <c r="J15" s="280">
        <v>0</v>
      </c>
      <c r="K15" s="279"/>
      <c r="L15" s="278"/>
      <c r="M15" s="287">
        <f>I15-J15+K15+L15</f>
        <v>0</v>
      </c>
      <c r="N15" s="276">
        <f>L15</f>
        <v>0</v>
      </c>
      <c r="O15" s="286">
        <f>F15-M15</f>
        <v>0</v>
      </c>
    </row>
    <row r="16" spans="1:17" s="274" customFormat="1" ht="21" customHeight="1">
      <c r="A16" s="290"/>
      <c r="B16" s="300" t="s">
        <v>221</v>
      </c>
      <c r="C16" s="288"/>
      <c r="D16" s="76">
        <f t="shared" ref="D16:O16" si="7">SUM(D17:D19)</f>
        <v>5769500000</v>
      </c>
      <c r="E16" s="284">
        <f t="shared" si="7"/>
        <v>0</v>
      </c>
      <c r="F16" s="283">
        <f t="shared" si="7"/>
        <v>5769500000</v>
      </c>
      <c r="G16" s="287">
        <f t="shared" si="7"/>
        <v>5717788000</v>
      </c>
      <c r="H16" s="281">
        <f t="shared" si="7"/>
        <v>0</v>
      </c>
      <c r="I16" s="76">
        <f t="shared" si="7"/>
        <v>5717788000</v>
      </c>
      <c r="J16" s="76">
        <f t="shared" si="7"/>
        <v>3174000000</v>
      </c>
      <c r="K16" s="279">
        <f t="shared" si="7"/>
        <v>0</v>
      </c>
      <c r="L16" s="284">
        <f t="shared" si="7"/>
        <v>3222485739</v>
      </c>
      <c r="M16" s="287">
        <f t="shared" si="7"/>
        <v>5766273739</v>
      </c>
      <c r="N16" s="276">
        <f t="shared" si="7"/>
        <v>3222485739</v>
      </c>
      <c r="O16" s="286">
        <f t="shared" si="7"/>
        <v>-30773739</v>
      </c>
    </row>
    <row r="17" spans="1:15" s="274" customFormat="1" ht="21" customHeight="1">
      <c r="A17" s="290"/>
      <c r="B17" s="295"/>
      <c r="C17" s="299" t="s">
        <v>220</v>
      </c>
      <c r="D17" s="280">
        <f>5097000000+665800000</f>
        <v>5762800000</v>
      </c>
      <c r="E17" s="284">
        <v>0</v>
      </c>
      <c r="F17" s="283">
        <f>D17+E17</f>
        <v>5762800000</v>
      </c>
      <c r="G17" s="361">
        <f>+'[5]4条収入'!$E$25</f>
        <v>5683800000</v>
      </c>
      <c r="H17" s="296">
        <v>0</v>
      </c>
      <c r="I17" s="76">
        <f>G17-H17</f>
        <v>5683800000</v>
      </c>
      <c r="J17" s="280">
        <v>3156100000</v>
      </c>
      <c r="K17" s="76"/>
      <c r="L17" s="278">
        <v>3218100000</v>
      </c>
      <c r="M17" s="287">
        <f>I17-J17+K17+L17</f>
        <v>5745800000</v>
      </c>
      <c r="N17" s="276">
        <f>L17</f>
        <v>3218100000</v>
      </c>
      <c r="O17" s="286">
        <f>M17-F17</f>
        <v>-17000000</v>
      </c>
    </row>
    <row r="18" spans="1:15" s="274" customFormat="1" ht="24" customHeight="1">
      <c r="A18" s="290"/>
      <c r="B18" s="290"/>
      <c r="C18" s="285" t="s">
        <v>465</v>
      </c>
      <c r="D18" s="280">
        <v>2000000</v>
      </c>
      <c r="E18" s="284">
        <v>0</v>
      </c>
      <c r="F18" s="283">
        <f>D18+E18</f>
        <v>2000000</v>
      </c>
      <c r="G18" s="294">
        <f>+'[5]4条収入'!$E$26</f>
        <v>0</v>
      </c>
      <c r="H18" s="296">
        <v>0</v>
      </c>
      <c r="I18" s="76">
        <f>G18-H18</f>
        <v>0</v>
      </c>
      <c r="J18" s="280"/>
      <c r="K18" s="76"/>
      <c r="L18" s="278"/>
      <c r="M18" s="287">
        <f>I18-J18+K18+L18</f>
        <v>0</v>
      </c>
      <c r="N18" s="276">
        <f>L18</f>
        <v>0</v>
      </c>
      <c r="O18" s="286">
        <f>F18-M18</f>
        <v>2000000</v>
      </c>
    </row>
    <row r="19" spans="1:15" s="274" customFormat="1" ht="21" customHeight="1">
      <c r="A19" s="290"/>
      <c r="B19" s="285"/>
      <c r="C19" s="299" t="s">
        <v>219</v>
      </c>
      <c r="D19" s="280">
        <v>4700000</v>
      </c>
      <c r="E19" s="284">
        <v>0</v>
      </c>
      <c r="F19" s="283">
        <f>D19+E19</f>
        <v>4700000</v>
      </c>
      <c r="G19" s="361">
        <f>+'[5]4条収入'!$E$31</f>
        <v>33988000</v>
      </c>
      <c r="H19" s="296">
        <v>0</v>
      </c>
      <c r="I19" s="76">
        <f>G19-H19</f>
        <v>33988000</v>
      </c>
      <c r="J19" s="280">
        <v>17900000</v>
      </c>
      <c r="K19" s="76"/>
      <c r="L19" s="278">
        <f>2400000+1985739</f>
        <v>4385739</v>
      </c>
      <c r="M19" s="287">
        <f>I19-J19+K19+L19</f>
        <v>20473739</v>
      </c>
      <c r="N19" s="276">
        <f>L19</f>
        <v>4385739</v>
      </c>
      <c r="O19" s="286">
        <f>F19-M19</f>
        <v>-15773739</v>
      </c>
    </row>
    <row r="20" spans="1:15" s="274" customFormat="1" ht="21" customHeight="1">
      <c r="A20" s="290"/>
      <c r="B20" s="289" t="s">
        <v>218</v>
      </c>
      <c r="C20" s="288"/>
      <c r="D20" s="76">
        <f t="shared" ref="D20:O20" si="8">D21</f>
        <v>54236000</v>
      </c>
      <c r="E20" s="284">
        <f t="shared" si="8"/>
        <v>0</v>
      </c>
      <c r="F20" s="283">
        <f t="shared" si="8"/>
        <v>54236000</v>
      </c>
      <c r="G20" s="287">
        <f t="shared" si="8"/>
        <v>24373083</v>
      </c>
      <c r="H20" s="296">
        <f t="shared" si="8"/>
        <v>0</v>
      </c>
      <c r="I20" s="76">
        <f t="shared" si="8"/>
        <v>24373083</v>
      </c>
      <c r="J20" s="76">
        <f t="shared" si="8"/>
        <v>0</v>
      </c>
      <c r="K20" s="76">
        <f t="shared" si="8"/>
        <v>0</v>
      </c>
      <c r="L20" s="297">
        <f t="shared" si="8"/>
        <v>0</v>
      </c>
      <c r="M20" s="287">
        <f t="shared" si="8"/>
        <v>24373083</v>
      </c>
      <c r="N20" s="276">
        <f t="shared" si="8"/>
        <v>0</v>
      </c>
      <c r="O20" s="286">
        <f t="shared" si="8"/>
        <v>-29862917</v>
      </c>
    </row>
    <row r="21" spans="1:15" s="274" customFormat="1" ht="21" customHeight="1">
      <c r="A21" s="290"/>
      <c r="B21" s="289"/>
      <c r="C21" s="298" t="s">
        <v>217</v>
      </c>
      <c r="D21" s="280">
        <v>54236000</v>
      </c>
      <c r="E21" s="284">
        <v>0</v>
      </c>
      <c r="F21" s="283">
        <f>D21+E21</f>
        <v>54236000</v>
      </c>
      <c r="G21" s="361">
        <f>+'[5]4条収入'!$E$37</f>
        <v>24373083</v>
      </c>
      <c r="H21" s="296">
        <v>0</v>
      </c>
      <c r="I21" s="76">
        <f>G21-H21</f>
        <v>24373083</v>
      </c>
      <c r="J21" s="280"/>
      <c r="K21" s="76">
        <v>0</v>
      </c>
      <c r="L21" s="278">
        <v>0</v>
      </c>
      <c r="M21" s="287">
        <f>I21-J21+K21+L21</f>
        <v>24373083</v>
      </c>
      <c r="N21" s="276">
        <f>L21</f>
        <v>0</v>
      </c>
      <c r="O21" s="286">
        <f>M21-F21</f>
        <v>-29862917</v>
      </c>
    </row>
    <row r="22" spans="1:15" s="274" customFormat="1" ht="21" customHeight="1">
      <c r="A22" s="290"/>
      <c r="B22" s="289" t="s">
        <v>190</v>
      </c>
      <c r="C22" s="288"/>
      <c r="D22" s="76">
        <f t="shared" ref="D22:O22" si="9">SUM(D23:D25)</f>
        <v>632996000</v>
      </c>
      <c r="E22" s="284">
        <f t="shared" si="9"/>
        <v>0</v>
      </c>
      <c r="F22" s="283">
        <f t="shared" si="9"/>
        <v>632996000</v>
      </c>
      <c r="G22" s="287">
        <f t="shared" si="9"/>
        <v>574304394</v>
      </c>
      <c r="H22" s="296">
        <f t="shared" si="9"/>
        <v>0</v>
      </c>
      <c r="I22" s="76">
        <f t="shared" si="9"/>
        <v>574304394</v>
      </c>
      <c r="J22" s="76">
        <f t="shared" si="9"/>
        <v>0</v>
      </c>
      <c r="K22" s="76">
        <f t="shared" si="9"/>
        <v>0</v>
      </c>
      <c r="L22" s="297">
        <f t="shared" si="9"/>
        <v>190000000</v>
      </c>
      <c r="M22" s="287">
        <f t="shared" si="9"/>
        <v>764304394</v>
      </c>
      <c r="N22" s="276">
        <f t="shared" si="9"/>
        <v>190000000</v>
      </c>
      <c r="O22" s="286">
        <f t="shared" si="9"/>
        <v>131308394</v>
      </c>
    </row>
    <row r="23" spans="1:15" s="274" customFormat="1" ht="21" customHeight="1">
      <c r="A23" s="290"/>
      <c r="B23" s="295"/>
      <c r="C23" s="285" t="s">
        <v>216</v>
      </c>
      <c r="D23" s="280">
        <v>14208000</v>
      </c>
      <c r="E23" s="284">
        <v>0</v>
      </c>
      <c r="F23" s="283">
        <f>D23+E23</f>
        <v>14208000</v>
      </c>
      <c r="G23" s="361">
        <f>+'[5]4条収入'!$E$43</f>
        <v>8799605</v>
      </c>
      <c r="H23" s="296">
        <v>0</v>
      </c>
      <c r="I23" s="76">
        <f>G23-H23</f>
        <v>8799605</v>
      </c>
      <c r="J23" s="280"/>
      <c r="K23" s="76">
        <v>0</v>
      </c>
      <c r="L23" s="278">
        <v>0</v>
      </c>
      <c r="M23" s="287">
        <f>I23-J23+K23+L23</f>
        <v>8799605</v>
      </c>
      <c r="N23" s="276">
        <f>L23</f>
        <v>0</v>
      </c>
      <c r="O23" s="286">
        <f>M23-F23</f>
        <v>-5408395</v>
      </c>
    </row>
    <row r="24" spans="1:15" s="274" customFormat="1" ht="21" customHeight="1">
      <c r="A24" s="290"/>
      <c r="B24" s="295"/>
      <c r="C24" s="285" t="s">
        <v>215</v>
      </c>
      <c r="D24" s="280">
        <v>40980000</v>
      </c>
      <c r="E24" s="284">
        <v>0</v>
      </c>
      <c r="F24" s="283">
        <f>D24+E24</f>
        <v>40980000</v>
      </c>
      <c r="G24" s="361">
        <f>+'[5]4条収入'!$E$45</f>
        <v>35218280</v>
      </c>
      <c r="H24" s="296">
        <v>0</v>
      </c>
      <c r="I24" s="76">
        <f>G24-H24</f>
        <v>35218280</v>
      </c>
      <c r="J24" s="280"/>
      <c r="K24" s="76">
        <v>0</v>
      </c>
      <c r="L24" s="278"/>
      <c r="M24" s="287">
        <f>I24-J24+K24+L24</f>
        <v>35218280</v>
      </c>
      <c r="N24" s="276">
        <f>L24</f>
        <v>0</v>
      </c>
      <c r="O24" s="286">
        <f>M24-F24</f>
        <v>-5761720</v>
      </c>
    </row>
    <row r="25" spans="1:15" s="274" customFormat="1" ht="21" customHeight="1">
      <c r="A25" s="290"/>
      <c r="B25" s="285"/>
      <c r="C25" s="285" t="s">
        <v>214</v>
      </c>
      <c r="D25" s="280">
        <v>577808000</v>
      </c>
      <c r="E25" s="284">
        <v>0</v>
      </c>
      <c r="F25" s="283">
        <f>D25+E25</f>
        <v>577808000</v>
      </c>
      <c r="G25" s="361">
        <f>+'[5]4条収入'!$E$50</f>
        <v>530286509</v>
      </c>
      <c r="H25" s="296">
        <v>0</v>
      </c>
      <c r="I25" s="76">
        <f>G25-H25</f>
        <v>530286509</v>
      </c>
      <c r="J25" s="280"/>
      <c r="K25" s="76"/>
      <c r="L25" s="371">
        <f>60000000+130000000</f>
        <v>190000000</v>
      </c>
      <c r="M25" s="287">
        <f>I25-J25+K25+L25</f>
        <v>720286509</v>
      </c>
      <c r="N25" s="276">
        <f>L25</f>
        <v>190000000</v>
      </c>
      <c r="O25" s="286">
        <f>M25-F25</f>
        <v>142478509</v>
      </c>
    </row>
    <row r="26" spans="1:15" s="274" customFormat="1" ht="21" customHeight="1">
      <c r="A26" s="290"/>
      <c r="B26" s="289" t="s">
        <v>213</v>
      </c>
      <c r="C26" s="288"/>
      <c r="D26" s="76">
        <f t="shared" ref="D26:O26" si="10">SUM(D27:D29)</f>
        <v>9913000</v>
      </c>
      <c r="E26" s="284">
        <f t="shared" si="10"/>
        <v>0</v>
      </c>
      <c r="F26" s="283">
        <f t="shared" si="10"/>
        <v>9913000</v>
      </c>
      <c r="G26" s="287">
        <f t="shared" si="10"/>
        <v>3987000</v>
      </c>
      <c r="H26" s="281">
        <f t="shared" si="10"/>
        <v>0</v>
      </c>
      <c r="I26" s="279">
        <f t="shared" si="10"/>
        <v>3987000</v>
      </c>
      <c r="J26" s="76">
        <f t="shared" si="10"/>
        <v>0</v>
      </c>
      <c r="K26" s="279">
        <f t="shared" si="10"/>
        <v>0</v>
      </c>
      <c r="L26" s="284"/>
      <c r="M26" s="287">
        <f t="shared" si="10"/>
        <v>3987000</v>
      </c>
      <c r="N26" s="276">
        <f t="shared" si="10"/>
        <v>0</v>
      </c>
      <c r="O26" s="286">
        <f t="shared" si="10"/>
        <v>-5926000</v>
      </c>
    </row>
    <row r="27" spans="1:15" s="274" customFormat="1" ht="24" hidden="1" customHeight="1">
      <c r="A27" s="290"/>
      <c r="B27" s="295"/>
      <c r="C27" s="285" t="s">
        <v>212</v>
      </c>
      <c r="D27" s="280">
        <v>0</v>
      </c>
      <c r="E27" s="284">
        <v>0</v>
      </c>
      <c r="F27" s="283">
        <f>D27+E27</f>
        <v>0</v>
      </c>
      <c r="G27" s="294">
        <f>+'[5]4条収入'!$E$56</f>
        <v>0</v>
      </c>
      <c r="H27" s="281">
        <v>0</v>
      </c>
      <c r="I27" s="279">
        <f>G27-H27</f>
        <v>0</v>
      </c>
      <c r="J27" s="280"/>
      <c r="K27" s="279">
        <v>0</v>
      </c>
      <c r="L27" s="278">
        <v>0</v>
      </c>
      <c r="M27" s="287">
        <f>I27-J27+K27+L27</f>
        <v>0</v>
      </c>
      <c r="N27" s="276">
        <f>L27</f>
        <v>0</v>
      </c>
      <c r="O27" s="286">
        <f>M27-F27</f>
        <v>0</v>
      </c>
    </row>
    <row r="28" spans="1:15" s="274" customFormat="1" ht="21" hidden="1" customHeight="1" outlineLevel="1">
      <c r="A28" s="290"/>
      <c r="B28" s="295"/>
      <c r="C28" s="285" t="s">
        <v>211</v>
      </c>
      <c r="D28" s="280">
        <v>0</v>
      </c>
      <c r="E28" s="284">
        <v>0</v>
      </c>
      <c r="F28" s="283">
        <f>D28+E28</f>
        <v>0</v>
      </c>
      <c r="G28" s="361">
        <f>+'[5]4条収入'!$E$58</f>
        <v>0</v>
      </c>
      <c r="H28" s="281">
        <v>0</v>
      </c>
      <c r="I28" s="76">
        <f>G28-H28</f>
        <v>0</v>
      </c>
      <c r="J28" s="280"/>
      <c r="K28" s="279">
        <v>0</v>
      </c>
      <c r="L28" s="278">
        <v>0</v>
      </c>
      <c r="M28" s="287">
        <f>I28-J28-K28-L28</f>
        <v>0</v>
      </c>
      <c r="N28" s="276">
        <f>L28</f>
        <v>0</v>
      </c>
      <c r="O28" s="286">
        <f>F28-M28</f>
        <v>0</v>
      </c>
    </row>
    <row r="29" spans="1:15" s="274" customFormat="1" ht="21" customHeight="1" collapsed="1">
      <c r="A29" s="290"/>
      <c r="B29" s="285"/>
      <c r="C29" s="285" t="s">
        <v>210</v>
      </c>
      <c r="D29" s="280">
        <v>9913000</v>
      </c>
      <c r="E29" s="284">
        <v>0</v>
      </c>
      <c r="F29" s="283">
        <f>D29+E29</f>
        <v>9913000</v>
      </c>
      <c r="G29" s="361">
        <f>+'[5]4条収入'!$E$71</f>
        <v>3987000</v>
      </c>
      <c r="H29" s="281">
        <v>0</v>
      </c>
      <c r="I29" s="279">
        <f>G29-H29</f>
        <v>3987000</v>
      </c>
      <c r="J29" s="280"/>
      <c r="K29" s="279">
        <v>0</v>
      </c>
      <c r="L29" s="278">
        <v>0</v>
      </c>
      <c r="M29" s="287">
        <f>I29-J29+K29+L29</f>
        <v>3987000</v>
      </c>
      <c r="N29" s="276">
        <f>L29</f>
        <v>0</v>
      </c>
      <c r="O29" s="286">
        <f>M29-F29</f>
        <v>-5926000</v>
      </c>
    </row>
    <row r="30" spans="1:15" s="274" customFormat="1" ht="21" customHeight="1">
      <c r="A30" s="290"/>
      <c r="B30" s="289" t="s">
        <v>209</v>
      </c>
      <c r="C30" s="288"/>
      <c r="D30" s="76">
        <f t="shared" ref="D30:O30" si="11">D31</f>
        <v>14731000</v>
      </c>
      <c r="E30" s="284">
        <f t="shared" si="11"/>
        <v>0</v>
      </c>
      <c r="F30" s="283">
        <f t="shared" si="11"/>
        <v>14731000</v>
      </c>
      <c r="G30" s="287">
        <f t="shared" si="11"/>
        <v>45948113</v>
      </c>
      <c r="H30" s="281">
        <f t="shared" si="11"/>
        <v>0</v>
      </c>
      <c r="I30" s="279">
        <f t="shared" si="11"/>
        <v>45948113</v>
      </c>
      <c r="J30" s="76">
        <f t="shared" si="11"/>
        <v>0</v>
      </c>
      <c r="K30" s="279">
        <f t="shared" si="11"/>
        <v>0</v>
      </c>
      <c r="L30" s="284">
        <f t="shared" si="11"/>
        <v>0</v>
      </c>
      <c r="M30" s="287">
        <f t="shared" si="11"/>
        <v>45948113</v>
      </c>
      <c r="N30" s="276">
        <f t="shared" si="11"/>
        <v>0</v>
      </c>
      <c r="O30" s="286">
        <f t="shared" si="11"/>
        <v>31217113</v>
      </c>
    </row>
    <row r="31" spans="1:15" s="274" customFormat="1" ht="21" customHeight="1" thickBot="1">
      <c r="A31" s="285"/>
      <c r="B31" s="293"/>
      <c r="C31" s="293" t="s">
        <v>208</v>
      </c>
      <c r="D31" s="280">
        <v>14731000</v>
      </c>
      <c r="E31" s="284">
        <v>0</v>
      </c>
      <c r="F31" s="283">
        <f>D31+E31</f>
        <v>14731000</v>
      </c>
      <c r="G31" s="362">
        <f>+'[5]4条収入'!$E$87</f>
        <v>45948113</v>
      </c>
      <c r="H31" s="281">
        <v>0</v>
      </c>
      <c r="I31" s="279">
        <f>G31-H31</f>
        <v>45948113</v>
      </c>
      <c r="J31" s="280">
        <v>0</v>
      </c>
      <c r="K31" s="279">
        <v>0</v>
      </c>
      <c r="L31" s="278">
        <v>0</v>
      </c>
      <c r="M31" s="292">
        <f>I31-J31+K31+L31</f>
        <v>45948113</v>
      </c>
      <c r="N31" s="276">
        <f>L31</f>
        <v>0</v>
      </c>
      <c r="O31" s="291">
        <f>M31-F31</f>
        <v>31217113</v>
      </c>
    </row>
    <row r="32" spans="1:15" s="274" customFormat="1" ht="24" hidden="1" customHeight="1">
      <c r="A32" s="290"/>
      <c r="B32" s="289" t="s">
        <v>207</v>
      </c>
      <c r="C32" s="288"/>
      <c r="D32" s="76">
        <f t="shared" ref="D32:O32" si="12">D33</f>
        <v>0</v>
      </c>
      <c r="E32" s="284">
        <f t="shared" si="12"/>
        <v>0</v>
      </c>
      <c r="F32" s="283">
        <f t="shared" si="12"/>
        <v>0</v>
      </c>
      <c r="G32" s="287">
        <f t="shared" si="12"/>
        <v>0</v>
      </c>
      <c r="H32" s="281">
        <f t="shared" si="12"/>
        <v>0</v>
      </c>
      <c r="I32" s="279">
        <f t="shared" si="12"/>
        <v>0</v>
      </c>
      <c r="J32" s="76">
        <f t="shared" si="12"/>
        <v>0</v>
      </c>
      <c r="K32" s="279">
        <f t="shared" si="12"/>
        <v>0</v>
      </c>
      <c r="L32" s="284">
        <f t="shared" si="12"/>
        <v>0</v>
      </c>
      <c r="M32" s="287">
        <f t="shared" si="12"/>
        <v>0</v>
      </c>
      <c r="N32" s="276">
        <f t="shared" si="12"/>
        <v>0</v>
      </c>
      <c r="O32" s="286">
        <f t="shared" si="12"/>
        <v>0</v>
      </c>
    </row>
    <row r="33" spans="1:15" s="274" customFormat="1" ht="24" hidden="1" customHeight="1" thickBot="1">
      <c r="A33" s="285"/>
      <c r="B33" s="285"/>
      <c r="C33" s="285" t="s">
        <v>207</v>
      </c>
      <c r="D33" s="280">
        <v>0</v>
      </c>
      <c r="E33" s="284">
        <v>0</v>
      </c>
      <c r="F33" s="283">
        <f>D33+E33</f>
        <v>0</v>
      </c>
      <c r="G33" s="282">
        <f>+'[5]4条収入'!$E$89</f>
        <v>0</v>
      </c>
      <c r="H33" s="281">
        <v>0</v>
      </c>
      <c r="I33" s="279">
        <f>G33-H33</f>
        <v>0</v>
      </c>
      <c r="J33" s="280">
        <v>0</v>
      </c>
      <c r="K33" s="279">
        <v>0</v>
      </c>
      <c r="L33" s="278">
        <v>0</v>
      </c>
      <c r="M33" s="277">
        <f>I33-J33+K33+L33</f>
        <v>0</v>
      </c>
      <c r="N33" s="276">
        <f>L33</f>
        <v>0</v>
      </c>
      <c r="O33" s="275">
        <f>M33-F33</f>
        <v>0</v>
      </c>
    </row>
    <row r="34" spans="1:15">
      <c r="J34" s="268"/>
    </row>
    <row r="35" spans="1:15">
      <c r="B35" s="266" t="s">
        <v>206</v>
      </c>
      <c r="C35" s="274" t="s">
        <v>205</v>
      </c>
      <c r="D35" s="273"/>
      <c r="E35" s="274"/>
      <c r="F35" s="273" t="s">
        <v>204</v>
      </c>
      <c r="G35" s="272">
        <f>G5-G13</f>
        <v>38739700590</v>
      </c>
      <c r="H35" s="271"/>
      <c r="I35" s="271"/>
      <c r="J35" s="271"/>
      <c r="K35" s="269" t="s">
        <v>203</v>
      </c>
      <c r="L35" s="269"/>
      <c r="M35" s="270"/>
      <c r="N35" s="269"/>
    </row>
    <row r="43" spans="1:15">
      <c r="M43" s="268">
        <f>M5-M13</f>
        <v>38957586329</v>
      </c>
    </row>
  </sheetData>
  <mergeCells count="2">
    <mergeCell ref="C1:E1"/>
    <mergeCell ref="A3:C4"/>
  </mergeCells>
  <phoneticPr fontId="3"/>
  <pageMargins left="0.39370078740157483" right="0.19685039370078741" top="0.78740157480314965" bottom="0.39370078740157483" header="0.19685039370078741" footer="0.19685039370078741"/>
  <pageSetup paperSize="9" fitToWidth="0" fitToHeight="0" orientation="landscape" blackAndWhite="1" r:id="rId1"/>
  <headerFooter alignWithMargins="0"/>
  <rowBreaks count="1" manualBreakCount="1">
    <brk id="31" max="12"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pageSetUpPr fitToPage="1"/>
  </sheetPr>
  <dimension ref="A1:L30"/>
  <sheetViews>
    <sheetView view="pageBreakPreview" zoomScale="85" zoomScaleNormal="85" zoomScaleSheetLayoutView="85" workbookViewId="0"/>
  </sheetViews>
  <sheetFormatPr defaultColWidth="9" defaultRowHeight="13.5"/>
  <cols>
    <col min="1" max="2" width="1.375" style="88" customWidth="1"/>
    <col min="3" max="3" width="21.625" style="88" customWidth="1"/>
    <col min="4" max="11" width="14.625" style="88" customWidth="1"/>
    <col min="12" max="13" width="14" style="88" customWidth="1"/>
    <col min="14" max="16384" width="9" style="88"/>
  </cols>
  <sheetData>
    <row r="1" spans="1:12" s="252" customFormat="1" ht="18" customHeight="1">
      <c r="C1" s="1376" t="str">
        <f>+CONCATENATE(LEFT('[1]3条支出'!$D$1,5),"   資本的支出（決算）")</f>
        <v>令和５年度   資本的支出（決算）</v>
      </c>
      <c r="D1" s="1376"/>
      <c r="E1" s="1376"/>
    </row>
    <row r="2" spans="1:12" s="252" customFormat="1" ht="18" customHeight="1" thickBot="1">
      <c r="A2" s="321" t="str">
        <f>+CONCATENATE("（",MID([4]雨汚水!D1,3,1),"年度現年度分みなしベース）")</f>
        <v>（５年度現年度分みなしベース）</v>
      </c>
      <c r="G2" s="253"/>
      <c r="H2" s="254"/>
      <c r="J2" s="254"/>
      <c r="K2" s="253" t="s">
        <v>281</v>
      </c>
      <c r="L2" s="253"/>
    </row>
    <row r="3" spans="1:12" ht="27" customHeight="1">
      <c r="A3" s="1375" t="s">
        <v>178</v>
      </c>
      <c r="B3" s="1375"/>
      <c r="C3" s="1375"/>
      <c r="D3" s="335" t="s">
        <v>280</v>
      </c>
      <c r="E3" s="317" t="s">
        <v>250</v>
      </c>
      <c r="F3" s="337" t="s">
        <v>175</v>
      </c>
      <c r="G3" s="336" t="s">
        <v>279</v>
      </c>
      <c r="H3" s="334" t="s">
        <v>506</v>
      </c>
      <c r="I3" s="335" t="s">
        <v>505</v>
      </c>
      <c r="J3" s="334" t="s">
        <v>278</v>
      </c>
      <c r="K3" s="333" t="s">
        <v>243</v>
      </c>
      <c r="L3" s="318" t="s">
        <v>277</v>
      </c>
    </row>
    <row r="4" spans="1:12" ht="18" customHeight="1">
      <c r="A4" s="1374"/>
      <c r="B4" s="1374"/>
      <c r="C4" s="1374"/>
      <c r="D4" s="246" t="s">
        <v>276</v>
      </c>
      <c r="E4" s="247" t="s">
        <v>275</v>
      </c>
      <c r="F4" s="332" t="s">
        <v>274</v>
      </c>
      <c r="G4" s="330" t="s">
        <v>273</v>
      </c>
      <c r="H4" s="331" t="s">
        <v>272</v>
      </c>
      <c r="I4" s="246" t="s">
        <v>271</v>
      </c>
      <c r="J4" s="331" t="s">
        <v>270</v>
      </c>
      <c r="K4" s="330" t="s">
        <v>269</v>
      </c>
      <c r="L4" s="246" t="s">
        <v>268</v>
      </c>
    </row>
    <row r="5" spans="1:12" ht="24" customHeight="1">
      <c r="A5" s="240" t="s">
        <v>267</v>
      </c>
      <c r="B5" s="244"/>
      <c r="C5" s="263"/>
      <c r="D5" s="76">
        <f t="shared" ref="D5:L5" si="0">SUM(D6,D15,D17,D21)</f>
        <v>62055911000</v>
      </c>
      <c r="E5" s="297">
        <f t="shared" si="0"/>
        <v>0</v>
      </c>
      <c r="F5" s="325">
        <f t="shared" si="0"/>
        <v>62055911000</v>
      </c>
      <c r="G5" s="287">
        <f t="shared" si="0"/>
        <v>61875977537</v>
      </c>
      <c r="H5" s="326">
        <f t="shared" si="0"/>
        <v>9248923703</v>
      </c>
      <c r="I5" s="76">
        <f t="shared" si="0"/>
        <v>52627053834</v>
      </c>
      <c r="J5" s="326">
        <f t="shared" si="0"/>
        <v>9225844099</v>
      </c>
      <c r="K5" s="287">
        <f t="shared" si="0"/>
        <v>61852897933</v>
      </c>
      <c r="L5" s="76">
        <f t="shared" si="0"/>
        <v>203013067</v>
      </c>
    </row>
    <row r="6" spans="1:12" ht="24" customHeight="1">
      <c r="A6" s="71"/>
      <c r="B6" s="240" t="s">
        <v>266</v>
      </c>
      <c r="C6" s="263"/>
      <c r="D6" s="76">
        <f t="shared" ref="D6:L6" si="1">SUM(D7:D14)</f>
        <v>17424201000</v>
      </c>
      <c r="E6" s="297">
        <f t="shared" si="1"/>
        <v>0</v>
      </c>
      <c r="F6" s="325">
        <f t="shared" si="1"/>
        <v>17424201000</v>
      </c>
      <c r="G6" s="287">
        <f t="shared" si="1"/>
        <v>17250555070</v>
      </c>
      <c r="H6" s="326">
        <f t="shared" si="1"/>
        <v>9248923703</v>
      </c>
      <c r="I6" s="76">
        <f t="shared" si="1"/>
        <v>8001631367</v>
      </c>
      <c r="J6" s="326">
        <f t="shared" si="1"/>
        <v>9225844099</v>
      </c>
      <c r="K6" s="287">
        <f t="shared" si="1"/>
        <v>17227475466</v>
      </c>
      <c r="L6" s="76">
        <f t="shared" si="1"/>
        <v>196725534</v>
      </c>
    </row>
    <row r="7" spans="1:12" ht="24" customHeight="1">
      <c r="A7" s="71"/>
      <c r="B7" s="71"/>
      <c r="C7" s="77" t="s">
        <v>265</v>
      </c>
      <c r="D7" s="280">
        <f>14573171000+1320000000</f>
        <v>15893171000</v>
      </c>
      <c r="E7" s="278">
        <v>0</v>
      </c>
      <c r="F7" s="325">
        <f t="shared" ref="F7:F14" si="2">D7+E7</f>
        <v>15893171000</v>
      </c>
      <c r="G7" s="328">
        <f>+'[6]4条支出'!E6</f>
        <v>15677649564</v>
      </c>
      <c r="H7" s="323">
        <v>8377952802</v>
      </c>
      <c r="I7" s="76">
        <f t="shared" ref="I7:I14" si="3">G7-H7</f>
        <v>7299696762</v>
      </c>
      <c r="J7" s="323">
        <v>8532522419</v>
      </c>
      <c r="K7" s="287">
        <f t="shared" ref="K7:K14" si="4">G7+J7-H7</f>
        <v>15832219181</v>
      </c>
      <c r="L7" s="76">
        <f t="shared" ref="L7:L16" si="5">F7-K7</f>
        <v>60951819</v>
      </c>
    </row>
    <row r="8" spans="1:12" ht="24" customHeight="1">
      <c r="A8" s="71"/>
      <c r="B8" s="71"/>
      <c r="C8" s="77" t="s">
        <v>264</v>
      </c>
      <c r="D8" s="280">
        <v>18558000</v>
      </c>
      <c r="E8" s="278">
        <v>0</v>
      </c>
      <c r="F8" s="325">
        <f t="shared" si="2"/>
        <v>18558000</v>
      </c>
      <c r="G8" s="328">
        <f>+'[6]4条支出'!E7</f>
        <v>15860357</v>
      </c>
      <c r="H8" s="323"/>
      <c r="I8" s="76">
        <f t="shared" si="3"/>
        <v>15860357</v>
      </c>
      <c r="J8" s="323"/>
      <c r="K8" s="287">
        <f t="shared" si="4"/>
        <v>15860357</v>
      </c>
      <c r="L8" s="76">
        <f t="shared" si="5"/>
        <v>2697643</v>
      </c>
    </row>
    <row r="9" spans="1:12" ht="24" customHeight="1">
      <c r="A9" s="71"/>
      <c r="B9" s="71"/>
      <c r="C9" s="77" t="s">
        <v>263</v>
      </c>
      <c r="D9" s="280">
        <v>779527000</v>
      </c>
      <c r="E9" s="278">
        <v>0</v>
      </c>
      <c r="F9" s="325">
        <f t="shared" si="2"/>
        <v>779527000</v>
      </c>
      <c r="G9" s="328">
        <f>+'[6]4条支出'!E8</f>
        <v>665100151</v>
      </c>
      <c r="H9" s="323">
        <v>454024301</v>
      </c>
      <c r="I9" s="76">
        <f t="shared" si="3"/>
        <v>211075850</v>
      </c>
      <c r="J9" s="323">
        <v>520900202</v>
      </c>
      <c r="K9" s="287">
        <f t="shared" si="4"/>
        <v>731976052</v>
      </c>
      <c r="L9" s="76">
        <f t="shared" si="5"/>
        <v>47550948</v>
      </c>
    </row>
    <row r="10" spans="1:12" ht="24" customHeight="1">
      <c r="A10" s="71"/>
      <c r="B10" s="71"/>
      <c r="C10" s="77" t="s">
        <v>262</v>
      </c>
      <c r="D10" s="280">
        <v>0</v>
      </c>
      <c r="E10" s="278">
        <v>0</v>
      </c>
      <c r="F10" s="325">
        <f t="shared" si="2"/>
        <v>0</v>
      </c>
      <c r="G10" s="328">
        <f>+'[6]4条支出'!E9</f>
        <v>0</v>
      </c>
      <c r="H10" s="323"/>
      <c r="I10" s="76">
        <f t="shared" si="3"/>
        <v>0</v>
      </c>
      <c r="J10" s="323"/>
      <c r="K10" s="287">
        <f t="shared" si="4"/>
        <v>0</v>
      </c>
      <c r="L10" s="76">
        <f t="shared" si="5"/>
        <v>0</v>
      </c>
    </row>
    <row r="11" spans="1:12" ht="24" customHeight="1">
      <c r="A11" s="71"/>
      <c r="B11" s="71"/>
      <c r="C11" s="77" t="s">
        <v>261</v>
      </c>
      <c r="D11" s="280">
        <v>172142000</v>
      </c>
      <c r="E11" s="278">
        <v>0</v>
      </c>
      <c r="F11" s="325">
        <f t="shared" si="2"/>
        <v>172142000</v>
      </c>
      <c r="G11" s="328">
        <f>+'[6]4条支出'!E10</f>
        <v>131921564</v>
      </c>
      <c r="H11" s="323"/>
      <c r="I11" s="76">
        <f t="shared" si="3"/>
        <v>131921564</v>
      </c>
      <c r="J11" s="323"/>
      <c r="K11" s="287">
        <f t="shared" si="4"/>
        <v>131921564</v>
      </c>
      <c r="L11" s="76">
        <f t="shared" si="5"/>
        <v>40220436</v>
      </c>
    </row>
    <row r="12" spans="1:12" ht="24" customHeight="1">
      <c r="A12" s="71"/>
      <c r="B12" s="71"/>
      <c r="C12" s="77" t="s">
        <v>260</v>
      </c>
      <c r="D12" s="280">
        <v>90944000</v>
      </c>
      <c r="E12" s="278"/>
      <c r="F12" s="325">
        <f t="shared" si="2"/>
        <v>90944000</v>
      </c>
      <c r="G12" s="328">
        <f>+'[6]4条支出'!E11</f>
        <v>59178010</v>
      </c>
      <c r="H12" s="323">
        <v>21253100</v>
      </c>
      <c r="I12" s="76">
        <f t="shared" si="3"/>
        <v>37924910</v>
      </c>
      <c r="J12" s="323">
        <v>46750000</v>
      </c>
      <c r="K12" s="287">
        <f t="shared" si="4"/>
        <v>84674910</v>
      </c>
      <c r="L12" s="76">
        <f t="shared" si="5"/>
        <v>6269090</v>
      </c>
    </row>
    <row r="13" spans="1:12" ht="24" customHeight="1">
      <c r="A13" s="71"/>
      <c r="B13" s="71"/>
      <c r="C13" s="77" t="s">
        <v>259</v>
      </c>
      <c r="D13" s="280">
        <v>12600000</v>
      </c>
      <c r="E13" s="278">
        <v>0</v>
      </c>
      <c r="F13" s="325">
        <f t="shared" si="2"/>
        <v>12600000</v>
      </c>
      <c r="G13" s="328">
        <f>+'[6]4条支出'!E15</f>
        <v>12600000</v>
      </c>
      <c r="H13" s="323"/>
      <c r="I13" s="76">
        <f t="shared" si="3"/>
        <v>12600000</v>
      </c>
      <c r="J13" s="323"/>
      <c r="K13" s="287">
        <f t="shared" si="4"/>
        <v>12600000</v>
      </c>
      <c r="L13" s="76">
        <f t="shared" si="5"/>
        <v>0</v>
      </c>
    </row>
    <row r="14" spans="1:12" ht="24" customHeight="1">
      <c r="A14" s="71"/>
      <c r="B14" s="77"/>
      <c r="C14" s="77" t="s">
        <v>258</v>
      </c>
      <c r="D14" s="280">
        <v>457259000</v>
      </c>
      <c r="E14" s="278"/>
      <c r="F14" s="325">
        <f t="shared" si="2"/>
        <v>457259000</v>
      </c>
      <c r="G14" s="328">
        <f>+'[6]4条支出'!E16</f>
        <v>688245424</v>
      </c>
      <c r="H14" s="323">
        <v>395693500</v>
      </c>
      <c r="I14" s="76">
        <f t="shared" si="3"/>
        <v>292551924</v>
      </c>
      <c r="J14" s="323">
        <v>125671478</v>
      </c>
      <c r="K14" s="287">
        <f t="shared" si="4"/>
        <v>418223402</v>
      </c>
      <c r="L14" s="76">
        <f t="shared" si="5"/>
        <v>39035598</v>
      </c>
    </row>
    <row r="15" spans="1:12" ht="24" customHeight="1">
      <c r="A15" s="71"/>
      <c r="B15" s="240" t="s">
        <v>257</v>
      </c>
      <c r="C15" s="263"/>
      <c r="D15" s="76">
        <f t="shared" ref="D15:K15" si="6">D16</f>
        <v>44621423000</v>
      </c>
      <c r="E15" s="297">
        <f t="shared" si="6"/>
        <v>0</v>
      </c>
      <c r="F15" s="325">
        <f t="shared" si="6"/>
        <v>44621423000</v>
      </c>
      <c r="G15" s="287">
        <f t="shared" si="6"/>
        <v>44621240467</v>
      </c>
      <c r="H15" s="326">
        <f t="shared" si="6"/>
        <v>0</v>
      </c>
      <c r="I15" s="76">
        <f t="shared" si="6"/>
        <v>44621240467</v>
      </c>
      <c r="J15" s="329">
        <f t="shared" si="6"/>
        <v>0</v>
      </c>
      <c r="K15" s="287">
        <f t="shared" si="6"/>
        <v>44621240467</v>
      </c>
      <c r="L15" s="76">
        <f t="shared" si="5"/>
        <v>182533</v>
      </c>
    </row>
    <row r="16" spans="1:12" ht="24" customHeight="1">
      <c r="A16" s="71"/>
      <c r="B16" s="77"/>
      <c r="C16" s="77" t="s">
        <v>256</v>
      </c>
      <c r="D16" s="280">
        <v>44621423000</v>
      </c>
      <c r="E16" s="278">
        <v>0</v>
      </c>
      <c r="F16" s="325">
        <f>D16+E16</f>
        <v>44621423000</v>
      </c>
      <c r="G16" s="328">
        <f>+'[6]4条支出'!E21</f>
        <v>44621240467</v>
      </c>
      <c r="H16" s="323">
        <v>0</v>
      </c>
      <c r="I16" s="76">
        <f>G16-H16</f>
        <v>44621240467</v>
      </c>
      <c r="J16" s="323">
        <v>0</v>
      </c>
      <c r="K16" s="287">
        <f>G16+J16-H16</f>
        <v>44621240467</v>
      </c>
      <c r="L16" s="76">
        <f t="shared" si="5"/>
        <v>182533</v>
      </c>
    </row>
    <row r="17" spans="1:12" ht="24" customHeight="1">
      <c r="A17" s="71"/>
      <c r="B17" s="240" t="s">
        <v>161</v>
      </c>
      <c r="C17" s="263"/>
      <c r="D17" s="76">
        <f t="shared" ref="D17:L17" si="7">SUM(D18:D20)</f>
        <v>10287000</v>
      </c>
      <c r="E17" s="297">
        <f t="shared" si="7"/>
        <v>0</v>
      </c>
      <c r="F17" s="325">
        <f t="shared" si="7"/>
        <v>10287000</v>
      </c>
      <c r="G17" s="287">
        <f t="shared" si="7"/>
        <v>4182000</v>
      </c>
      <c r="H17" s="326">
        <f t="shared" si="7"/>
        <v>0</v>
      </c>
      <c r="I17" s="76">
        <f t="shared" si="7"/>
        <v>4182000</v>
      </c>
      <c r="J17" s="326">
        <f t="shared" si="7"/>
        <v>0</v>
      </c>
      <c r="K17" s="287">
        <f t="shared" si="7"/>
        <v>4182000</v>
      </c>
      <c r="L17" s="76">
        <f t="shared" si="7"/>
        <v>6105000</v>
      </c>
    </row>
    <row r="18" spans="1:12" ht="24" customHeight="1">
      <c r="A18" s="71"/>
      <c r="B18" s="71"/>
      <c r="C18" s="77" t="s">
        <v>81</v>
      </c>
      <c r="D18" s="280">
        <v>8096000</v>
      </c>
      <c r="E18" s="278">
        <v>0</v>
      </c>
      <c r="F18" s="325">
        <f>D18+E18</f>
        <v>8096000</v>
      </c>
      <c r="G18" s="328">
        <f>+'[6]4条支出'!E24</f>
        <v>3759000</v>
      </c>
      <c r="H18" s="323">
        <v>0</v>
      </c>
      <c r="I18" s="76">
        <f>G18-H18</f>
        <v>3759000</v>
      </c>
      <c r="J18" s="323">
        <v>0</v>
      </c>
      <c r="K18" s="287">
        <f>G18+J18-H18</f>
        <v>3759000</v>
      </c>
      <c r="L18" s="76">
        <f>F18-K18</f>
        <v>4337000</v>
      </c>
    </row>
    <row r="19" spans="1:12" ht="24" customHeight="1">
      <c r="A19" s="71"/>
      <c r="B19" s="71"/>
      <c r="C19" s="77" t="s">
        <v>255</v>
      </c>
      <c r="D19" s="280">
        <v>0</v>
      </c>
      <c r="E19" s="278">
        <v>0</v>
      </c>
      <c r="F19" s="325">
        <f>D19+E19</f>
        <v>0</v>
      </c>
      <c r="G19" s="328">
        <f>+'[6]4条支出'!E25</f>
        <v>0</v>
      </c>
      <c r="H19" s="323"/>
      <c r="I19" s="76">
        <f>G19-H19</f>
        <v>0</v>
      </c>
      <c r="J19" s="323"/>
      <c r="K19" s="287">
        <f>G19+J19-H19</f>
        <v>0</v>
      </c>
      <c r="L19" s="76">
        <f>F19-K19</f>
        <v>0</v>
      </c>
    </row>
    <row r="20" spans="1:12" ht="24" customHeight="1" thickBot="1">
      <c r="A20" s="77"/>
      <c r="B20" s="77"/>
      <c r="C20" s="77" t="s">
        <v>254</v>
      </c>
      <c r="D20" s="280">
        <v>2191000</v>
      </c>
      <c r="E20" s="278">
        <v>0</v>
      </c>
      <c r="F20" s="325">
        <f>D20+E20</f>
        <v>2191000</v>
      </c>
      <c r="G20" s="327">
        <f>+'[6]4条支出'!E26</f>
        <v>423000</v>
      </c>
      <c r="H20" s="323">
        <v>0</v>
      </c>
      <c r="I20" s="76">
        <f>G20-H20</f>
        <v>423000</v>
      </c>
      <c r="J20" s="323">
        <v>0</v>
      </c>
      <c r="K20" s="292">
        <f>G20+J20-H20</f>
        <v>423000</v>
      </c>
      <c r="L20" s="76">
        <f>F20-K20</f>
        <v>1768000</v>
      </c>
    </row>
    <row r="21" spans="1:12" ht="24" hidden="1" customHeight="1">
      <c r="A21" s="71"/>
      <c r="B21" s="240" t="s">
        <v>253</v>
      </c>
      <c r="C21" s="263"/>
      <c r="D21" s="76">
        <f t="shared" ref="D21:K21" si="8">D22</f>
        <v>0</v>
      </c>
      <c r="E21" s="297">
        <f t="shared" si="8"/>
        <v>0</v>
      </c>
      <c r="F21" s="325">
        <f t="shared" si="8"/>
        <v>0</v>
      </c>
      <c r="G21" s="287">
        <f t="shared" si="8"/>
        <v>0</v>
      </c>
      <c r="H21" s="326">
        <f t="shared" si="8"/>
        <v>0</v>
      </c>
      <c r="I21" s="76">
        <f t="shared" si="8"/>
        <v>0</v>
      </c>
      <c r="J21" s="326">
        <f t="shared" si="8"/>
        <v>0</v>
      </c>
      <c r="K21" s="287">
        <f t="shared" si="8"/>
        <v>0</v>
      </c>
      <c r="L21" s="76">
        <f>F21-K21</f>
        <v>0</v>
      </c>
    </row>
    <row r="22" spans="1:12" ht="24" hidden="1" customHeight="1" thickBot="1">
      <c r="A22" s="77"/>
      <c r="B22" s="77"/>
      <c r="C22" s="77" t="s">
        <v>252</v>
      </c>
      <c r="D22" s="280">
        <v>0</v>
      </c>
      <c r="E22" s="278">
        <v>0</v>
      </c>
      <c r="F22" s="325">
        <f>D22+E22</f>
        <v>0</v>
      </c>
      <c r="G22" s="324">
        <f>+'[6]4条支出'!E28</f>
        <v>0</v>
      </c>
      <c r="H22" s="323">
        <v>0</v>
      </c>
      <c r="I22" s="76">
        <f>G22-H22</f>
        <v>0</v>
      </c>
      <c r="J22" s="323">
        <v>0</v>
      </c>
      <c r="K22" s="277">
        <f>G22+J22-H22</f>
        <v>0</v>
      </c>
      <c r="L22" s="76">
        <f>F22-K22</f>
        <v>0</v>
      </c>
    </row>
    <row r="23" spans="1:12" ht="24" customHeight="1"/>
    <row r="24" spans="1:12" ht="24" customHeight="1"/>
    <row r="25" spans="1:12" ht="24" customHeight="1"/>
    <row r="26" spans="1:12" ht="24" customHeight="1">
      <c r="J26" s="1377"/>
    </row>
    <row r="27" spans="1:12" ht="24" customHeight="1">
      <c r="J27" s="1378"/>
    </row>
    <row r="28" spans="1:12" ht="24" customHeight="1"/>
    <row r="29" spans="1:12" ht="24" customHeight="1"/>
    <row r="30" spans="1:12" ht="24" customHeight="1"/>
  </sheetData>
  <mergeCells count="4">
    <mergeCell ref="A4:C4"/>
    <mergeCell ref="A3:C3"/>
    <mergeCell ref="C1:E1"/>
    <mergeCell ref="J26:J27"/>
  </mergeCells>
  <phoneticPr fontId="3"/>
  <pageMargins left="0.39370078740157483" right="0.39370078740157483" top="0.78740157480314965" bottom="0.19685039370078741" header="0.19685039370078741" footer="0.19685039370078741"/>
  <pageSetup paperSize="9" orientation="landscape" blackAndWhite="1"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pageSetUpPr fitToPage="1"/>
  </sheetPr>
  <dimension ref="A1:U52"/>
  <sheetViews>
    <sheetView tabSelected="1" view="pageBreakPreview" zoomScale="75" zoomScaleNormal="90" zoomScaleSheetLayoutView="75" workbookViewId="0">
      <pane ySplit="4" topLeftCell="A5" activePane="bottomLeft" state="frozen"/>
      <selection activeCell="E7" sqref="E7"/>
      <selection pane="bottomLeft" activeCell="A5" sqref="A5"/>
    </sheetView>
  </sheetViews>
  <sheetFormatPr defaultColWidth="9" defaultRowHeight="13.5"/>
  <cols>
    <col min="1" max="1" width="3.875" style="1585" customWidth="1"/>
    <col min="2" max="2" width="7.25" style="1587" customWidth="1"/>
    <col min="3" max="3" width="11.125" style="1587" customWidth="1"/>
    <col min="4" max="4" width="11" style="1585" customWidth="1"/>
    <col min="5" max="5" width="4.375" style="1585" customWidth="1"/>
    <col min="6" max="6" width="4.5" style="1587" customWidth="1"/>
    <col min="7" max="7" width="18.375" style="1587" bestFit="1" customWidth="1"/>
    <col min="8" max="8" width="7.25" style="1585" customWidth="1"/>
    <col min="9" max="9" width="4" style="1585" customWidth="1"/>
    <col min="10" max="10" width="4.375" style="1585" customWidth="1"/>
    <col min="11" max="11" width="2.75" style="1585" customWidth="1"/>
    <col min="12" max="12" width="2.25" style="1587" customWidth="1"/>
    <col min="13" max="13" width="21" style="1588" customWidth="1"/>
    <col min="14" max="14" width="13.25" style="1585" customWidth="1"/>
    <col min="15" max="15" width="4" style="1585" customWidth="1"/>
    <col min="16" max="16" width="2.625" style="1587" customWidth="1"/>
    <col min="17" max="17" width="22.25" style="1587" customWidth="1"/>
    <col min="18" max="18" width="3" style="1585" bestFit="1" customWidth="1"/>
    <col min="19" max="16384" width="9" style="1585"/>
  </cols>
  <sheetData>
    <row r="1" spans="1:18" ht="30.75" customHeight="1">
      <c r="B1" s="1586" t="str">
        <f>+CONCATENATE(LEFT('[1]3条支出'!$D$1,5),"決算における一般会計出資金のしくみ")</f>
        <v>令和５年度決算における一般会計出資金のしくみ</v>
      </c>
      <c r="C1" s="1586"/>
      <c r="D1" s="1586"/>
      <c r="E1" s="1586"/>
      <c r="F1" s="1586"/>
      <c r="G1" s="1586"/>
      <c r="H1" s="1586"/>
      <c r="I1" s="1586"/>
      <c r="J1" s="1586"/>
      <c r="K1" s="1586"/>
      <c r="L1" s="1586"/>
      <c r="M1" s="1586"/>
      <c r="N1" s="1586"/>
      <c r="O1" s="1586"/>
      <c r="P1" s="1586"/>
      <c r="Q1" s="1586"/>
    </row>
    <row r="2" spans="1:18" ht="18.75" customHeight="1">
      <c r="B2" s="1585"/>
      <c r="Q2" s="1589" t="s">
        <v>315</v>
      </c>
      <c r="R2" s="1589"/>
    </row>
    <row r="3" spans="1:18" ht="14.25">
      <c r="B3" s="1590" t="s">
        <v>314</v>
      </c>
      <c r="L3" s="1590" t="s">
        <v>313</v>
      </c>
    </row>
    <row r="4" spans="1:18">
      <c r="B4" s="1587" t="s">
        <v>312</v>
      </c>
      <c r="F4" s="1587" t="s">
        <v>311</v>
      </c>
      <c r="L4" s="1587" t="s">
        <v>312</v>
      </c>
      <c r="P4" s="1587" t="s">
        <v>311</v>
      </c>
    </row>
    <row r="5" spans="1:18">
      <c r="A5" s="1591"/>
      <c r="B5" s="1592"/>
      <c r="C5" s="1592"/>
      <c r="D5" s="1593"/>
      <c r="E5" s="1594"/>
      <c r="F5" s="1592"/>
      <c r="G5" s="1592"/>
      <c r="H5" s="1593"/>
      <c r="K5" s="1591"/>
      <c r="L5" s="1592"/>
      <c r="M5" s="1595"/>
      <c r="N5" s="1593"/>
      <c r="O5" s="1594"/>
      <c r="P5" s="1592"/>
      <c r="Q5" s="1592"/>
      <c r="R5" s="1593"/>
    </row>
    <row r="6" spans="1:18">
      <c r="A6" s="1596"/>
      <c r="D6" s="1597"/>
      <c r="H6" s="1597"/>
      <c r="K6" s="1596"/>
      <c r="L6" s="1587" t="s">
        <v>310</v>
      </c>
      <c r="N6" s="1597"/>
      <c r="R6" s="1597"/>
    </row>
    <row r="7" spans="1:18">
      <c r="A7" s="1596"/>
      <c r="D7" s="1597"/>
      <c r="F7" s="1587" t="s">
        <v>309</v>
      </c>
      <c r="H7" s="1597"/>
      <c r="K7" s="1596"/>
      <c r="L7" s="1598">
        <f>+'(繰)4条収入'!M6</f>
        <v>32352700000</v>
      </c>
      <c r="M7" s="1598"/>
      <c r="N7" s="1597"/>
      <c r="R7" s="1597"/>
    </row>
    <row r="8" spans="1:18">
      <c r="A8" s="1596"/>
      <c r="D8" s="1597"/>
      <c r="F8" s="1599">
        <f>+[4]雨汚水!AD47</f>
        <v>11030037961</v>
      </c>
      <c r="G8" s="1599"/>
      <c r="H8" s="1597"/>
      <c r="K8" s="1596"/>
      <c r="M8" s="1588" t="s">
        <v>306</v>
      </c>
      <c r="N8" s="1597"/>
      <c r="R8" s="1597"/>
    </row>
    <row r="9" spans="1:18">
      <c r="A9" s="1596"/>
      <c r="B9" s="1587" t="s">
        <v>197</v>
      </c>
      <c r="D9" s="1597"/>
      <c r="F9" s="1585"/>
      <c r="G9" s="1585"/>
      <c r="H9" s="1597"/>
      <c r="K9" s="1596"/>
      <c r="M9" s="1600">
        <f>+L7-M11</f>
        <v>27125900000</v>
      </c>
      <c r="N9" s="1597"/>
      <c r="R9" s="1597"/>
    </row>
    <row r="10" spans="1:18">
      <c r="A10" s="1596"/>
      <c r="B10" s="1601">
        <f>+'[2]3条収入'!AI8</f>
        <v>18626337467</v>
      </c>
      <c r="C10" s="1601"/>
      <c r="D10" s="1597"/>
      <c r="E10" s="1602"/>
      <c r="F10" s="1603"/>
      <c r="G10" s="1603"/>
      <c r="H10" s="1604"/>
      <c r="K10" s="1596"/>
      <c r="M10" s="1588" t="s">
        <v>305</v>
      </c>
      <c r="N10" s="1597"/>
      <c r="R10" s="1597"/>
    </row>
    <row r="11" spans="1:18">
      <c r="A11" s="1596"/>
      <c r="D11" s="1597"/>
      <c r="H11" s="1597"/>
      <c r="K11" s="1596"/>
      <c r="M11" s="1605">
        <f>+'(繰)4条収入'!L6</f>
        <v>5226800000</v>
      </c>
      <c r="N11" s="1597"/>
      <c r="R11" s="1597"/>
    </row>
    <row r="12" spans="1:18">
      <c r="A12" s="1596"/>
      <c r="D12" s="1597"/>
      <c r="H12" s="1597"/>
      <c r="K12" s="1596"/>
      <c r="N12" s="1597"/>
      <c r="R12" s="1597"/>
    </row>
    <row r="13" spans="1:18">
      <c r="A13" s="1596"/>
      <c r="D13" s="1597"/>
      <c r="F13" s="1587" t="s">
        <v>308</v>
      </c>
      <c r="H13" s="1597"/>
      <c r="K13" s="1606"/>
      <c r="L13" s="1607" t="s">
        <v>221</v>
      </c>
      <c r="M13" s="1608"/>
      <c r="N13" s="1609"/>
      <c r="P13" s="1587" t="s">
        <v>266</v>
      </c>
      <c r="R13" s="1597"/>
    </row>
    <row r="14" spans="1:18">
      <c r="A14" s="1602"/>
      <c r="B14" s="1610"/>
      <c r="C14" s="1610"/>
      <c r="D14" s="1604"/>
      <c r="F14" s="1599">
        <f>+[4]雨汚水!AD48</f>
        <v>30998096974</v>
      </c>
      <c r="G14" s="1599"/>
      <c r="H14" s="1597"/>
      <c r="K14" s="1596"/>
      <c r="L14" s="1598">
        <f>+'(繰)4条収入'!M16</f>
        <v>5766273739</v>
      </c>
      <c r="M14" s="1598"/>
      <c r="N14" s="1597"/>
      <c r="P14" s="1598">
        <f>+'(繰)4条支出 '!K6</f>
        <v>17227475466</v>
      </c>
      <c r="Q14" s="1598"/>
      <c r="R14" s="1597"/>
    </row>
    <row r="15" spans="1:18">
      <c r="A15" s="1596"/>
      <c r="B15" s="1587" t="s">
        <v>307</v>
      </c>
      <c r="D15" s="1597"/>
      <c r="H15" s="1597"/>
      <c r="K15" s="1596"/>
      <c r="M15" s="1588" t="s">
        <v>306</v>
      </c>
      <c r="N15" s="1597"/>
      <c r="Q15" s="1587" t="s">
        <v>306</v>
      </c>
      <c r="R15" s="1597"/>
    </row>
    <row r="16" spans="1:18">
      <c r="A16" s="1596"/>
      <c r="B16" s="1601">
        <f>+'[2]3条収入'!AI32</f>
        <v>0</v>
      </c>
      <c r="C16" s="1601"/>
      <c r="D16" s="1597"/>
      <c r="E16" s="1602"/>
      <c r="F16" s="1610"/>
      <c r="G16" s="1610"/>
      <c r="H16" s="1604"/>
      <c r="K16" s="1596"/>
      <c r="M16" s="1587">
        <f>+L14-M18</f>
        <v>2543788000</v>
      </c>
      <c r="N16" s="1597"/>
      <c r="Q16" s="1587">
        <f>P14-Q18</f>
        <v>8001631367</v>
      </c>
      <c r="R16" s="1597"/>
    </row>
    <row r="17" spans="1:18">
      <c r="A17" s="1602"/>
      <c r="B17" s="1610"/>
      <c r="C17" s="1610"/>
      <c r="D17" s="1604"/>
      <c r="H17" s="1597"/>
      <c r="K17" s="1596"/>
      <c r="M17" s="1588" t="s">
        <v>305</v>
      </c>
      <c r="N17" s="1597"/>
      <c r="Q17" s="1587" t="s">
        <v>305</v>
      </c>
      <c r="R17" s="1597"/>
    </row>
    <row r="18" spans="1:18">
      <c r="A18" s="1596"/>
      <c r="D18" s="1597"/>
      <c r="H18" s="1597"/>
      <c r="K18" s="1602"/>
      <c r="L18" s="1610"/>
      <c r="M18" s="1611">
        <f>+'(繰)4条収入'!L16</f>
        <v>3222485739</v>
      </c>
      <c r="N18" s="1604"/>
      <c r="Q18" s="1612">
        <f>+'(繰)4条支出 '!J6</f>
        <v>9225844099</v>
      </c>
      <c r="R18" s="1597"/>
    </row>
    <row r="19" spans="1:18">
      <c r="A19" s="1596"/>
      <c r="B19" s="1587" t="s">
        <v>190</v>
      </c>
      <c r="D19" s="1597"/>
      <c r="H19" s="1597"/>
      <c r="K19" s="1596"/>
      <c r="L19" s="1587" t="s">
        <v>287</v>
      </c>
      <c r="N19" s="1597"/>
      <c r="R19" s="1597"/>
    </row>
    <row r="20" spans="1:18">
      <c r="A20" s="1596"/>
      <c r="B20" s="1601">
        <f>+'[2]3条収入'!AI39</f>
        <v>50128048</v>
      </c>
      <c r="C20" s="1601"/>
      <c r="D20" s="1597"/>
      <c r="F20" s="1585"/>
      <c r="G20" s="1585"/>
      <c r="H20" s="1597"/>
      <c r="K20" s="1596"/>
      <c r="L20" s="1589">
        <f>M22+M24</f>
        <v>838612590</v>
      </c>
      <c r="M20" s="1589"/>
      <c r="N20" s="1597"/>
      <c r="R20" s="1597"/>
    </row>
    <row r="21" spans="1:18">
      <c r="A21" s="1602"/>
      <c r="B21" s="1610"/>
      <c r="C21" s="1610"/>
      <c r="D21" s="1604"/>
      <c r="F21" s="1585"/>
      <c r="G21" s="1585"/>
      <c r="H21" s="1597"/>
      <c r="K21" s="1596"/>
      <c r="M21" s="1588" t="s">
        <v>306</v>
      </c>
      <c r="N21" s="1597"/>
      <c r="R21" s="1597"/>
    </row>
    <row r="22" spans="1:18">
      <c r="A22" s="1596"/>
      <c r="D22" s="1597"/>
      <c r="H22" s="1597"/>
      <c r="K22" s="1596"/>
      <c r="M22" s="1612">
        <f>(+SUM('(繰)4条収入'!M20,'(繰)4条収入'!M22,'(繰)4条収入'!M29,'(繰)4条収入'!M30))-M24</f>
        <v>648612590</v>
      </c>
      <c r="N22" s="1597"/>
      <c r="O22" s="1596"/>
      <c r="R22" s="1597"/>
    </row>
    <row r="23" spans="1:18">
      <c r="A23" s="1596"/>
      <c r="D23" s="1597"/>
      <c r="H23" s="1597"/>
      <c r="K23" s="1596"/>
      <c r="M23" s="1588" t="s">
        <v>305</v>
      </c>
      <c r="N23" s="1597"/>
      <c r="O23" s="1596"/>
      <c r="R23" s="1597"/>
    </row>
    <row r="24" spans="1:18">
      <c r="A24" s="1596"/>
      <c r="D24" s="1597"/>
      <c r="H24" s="1597"/>
      <c r="K24" s="1596"/>
      <c r="M24" s="1612">
        <f>+SUM('(繰)4条収入'!L20,'(繰)4条収入'!L22,'(繰)4条収入'!L29,'(繰)4条収入'!L30)</f>
        <v>190000000</v>
      </c>
      <c r="N24" s="1597"/>
      <c r="R24" s="1597"/>
    </row>
    <row r="25" spans="1:18">
      <c r="A25" s="1596"/>
      <c r="D25" s="1597"/>
      <c r="H25" s="1597"/>
      <c r="K25" s="1596"/>
      <c r="N25" s="1597"/>
      <c r="R25" s="1597"/>
    </row>
    <row r="26" spans="1:18">
      <c r="A26" s="1596"/>
      <c r="D26" s="1597"/>
      <c r="H26" s="1597"/>
      <c r="K26" s="1596"/>
      <c r="N26" s="1597"/>
      <c r="R26" s="1597"/>
    </row>
    <row r="27" spans="1:18">
      <c r="A27" s="1596"/>
      <c r="D27" s="1597"/>
      <c r="F27" s="1613" t="s">
        <v>304</v>
      </c>
      <c r="G27" s="1607"/>
      <c r="H27" s="1609"/>
      <c r="K27" s="1606"/>
      <c r="L27" s="1607" t="s">
        <v>304</v>
      </c>
      <c r="M27" s="1608"/>
      <c r="N27" s="1609"/>
      <c r="R27" s="1597"/>
    </row>
    <row r="28" spans="1:18">
      <c r="A28" s="1596"/>
      <c r="D28" s="1597"/>
      <c r="F28" s="1614" t="s">
        <v>303</v>
      </c>
      <c r="H28" s="1597"/>
      <c r="K28" s="1596"/>
      <c r="L28" s="1589">
        <f>M30+M32+M34+M36+M38+M40</f>
        <v>19609807053</v>
      </c>
      <c r="M28" s="1589"/>
      <c r="N28" s="1597"/>
      <c r="O28" s="1606"/>
      <c r="P28" s="1607"/>
      <c r="Q28" s="1607"/>
      <c r="R28" s="1609"/>
    </row>
    <row r="29" spans="1:18">
      <c r="A29" s="1596"/>
      <c r="D29" s="1597"/>
      <c r="E29" s="1615"/>
      <c r="F29" s="1616">
        <f>G34+G36+G38+G40</f>
        <v>17579830234</v>
      </c>
      <c r="G29" s="1589"/>
      <c r="H29" s="1597"/>
      <c r="K29" s="1596"/>
      <c r="M29" s="1588" t="s">
        <v>302</v>
      </c>
      <c r="N29" s="1597"/>
      <c r="R29" s="1597"/>
    </row>
    <row r="30" spans="1:18">
      <c r="A30" s="1596"/>
      <c r="B30" s="1587" t="s">
        <v>301</v>
      </c>
      <c r="D30" s="1597"/>
      <c r="F30" s="1617" t="s">
        <v>300</v>
      </c>
      <c r="H30" s="1597"/>
      <c r="K30" s="1596"/>
      <c r="M30" s="1587">
        <f>+G42</f>
        <v>0</v>
      </c>
      <c r="N30" s="1597"/>
      <c r="O30" s="1596"/>
      <c r="R30" s="1597"/>
    </row>
    <row r="31" spans="1:18">
      <c r="A31" s="1596"/>
      <c r="B31" s="1601">
        <f>+'[2]3条収入'!AI9</f>
        <v>14187102335</v>
      </c>
      <c r="C31" s="1601"/>
      <c r="D31" s="1597"/>
      <c r="F31" s="1614"/>
      <c r="G31" s="1618">
        <f>-F29-G42</f>
        <v>-17579830234</v>
      </c>
      <c r="H31" s="1597"/>
      <c r="K31" s="1596"/>
      <c r="M31" s="1588" t="s">
        <v>299</v>
      </c>
      <c r="N31" s="1597"/>
      <c r="O31" s="1596"/>
      <c r="R31" s="1597"/>
    </row>
    <row r="32" spans="1:18">
      <c r="A32" s="1596"/>
      <c r="D32" s="1597"/>
      <c r="F32" s="1614"/>
      <c r="G32" s="1585"/>
      <c r="H32" s="1597"/>
      <c r="K32" s="1596"/>
      <c r="M32" s="1587">
        <f>+-G31</f>
        <v>17579830234</v>
      </c>
      <c r="N32" s="1597"/>
      <c r="R32" s="1597"/>
    </row>
    <row r="33" spans="1:21">
      <c r="A33" s="1596"/>
      <c r="D33" s="1597"/>
      <c r="F33" s="1614"/>
      <c r="G33" s="1587" t="s">
        <v>154</v>
      </c>
      <c r="H33" s="1597"/>
      <c r="K33" s="1596"/>
      <c r="N33" s="1597"/>
      <c r="P33" s="1587" t="s">
        <v>298</v>
      </c>
      <c r="R33" s="1597"/>
    </row>
    <row r="34" spans="1:21">
      <c r="A34" s="1596"/>
      <c r="D34" s="1597"/>
      <c r="F34" s="1614"/>
      <c r="G34" s="1619">
        <f>+[4]雨汚水!E34</f>
        <v>26551442230</v>
      </c>
      <c r="H34" s="1597"/>
      <c r="K34" s="1596"/>
      <c r="M34" s="1587"/>
      <c r="N34" s="1597"/>
      <c r="P34" s="1598">
        <f>+'(繰)4条支出 '!K15</f>
        <v>44621240467</v>
      </c>
      <c r="Q34" s="1598"/>
      <c r="R34" s="1597"/>
    </row>
    <row r="35" spans="1:21">
      <c r="A35" s="1596"/>
      <c r="D35" s="1597"/>
      <c r="F35" s="1614"/>
      <c r="G35" s="1587" t="s">
        <v>297</v>
      </c>
      <c r="H35" s="1597"/>
      <c r="K35" s="1596"/>
      <c r="M35" s="1588" t="s">
        <v>296</v>
      </c>
      <c r="N35" s="1597"/>
      <c r="R35" s="1597"/>
    </row>
    <row r="36" spans="1:21">
      <c r="A36" s="1596"/>
      <c r="B36" s="1587" t="s">
        <v>95</v>
      </c>
      <c r="D36" s="1597"/>
      <c r="F36" s="1614"/>
      <c r="G36" s="1619">
        <f>+[4]雨汚水!E35+[4]雨汚水!E42+[4]雨汚水!E44+[4]雨汚水!$E$28</f>
        <v>514077226</v>
      </c>
      <c r="H36" s="1597"/>
      <c r="K36" s="1596"/>
      <c r="M36" s="1620">
        <f>+-[3]消費税!AF118</f>
        <v>923595698</v>
      </c>
      <c r="N36" s="1597"/>
      <c r="R36" s="1597"/>
    </row>
    <row r="37" spans="1:21">
      <c r="A37" s="1596"/>
      <c r="B37" s="1601">
        <f>+'[2]3条収入'!AI42</f>
        <v>9203253</v>
      </c>
      <c r="C37" s="1601"/>
      <c r="D37" s="1597"/>
      <c r="F37" s="1614"/>
      <c r="G37" s="1587" t="s">
        <v>295</v>
      </c>
      <c r="H37" s="1597"/>
      <c r="K37" s="1596"/>
      <c r="M37" s="1588" t="s">
        <v>294</v>
      </c>
      <c r="N37" s="1597"/>
      <c r="R37" s="1597"/>
    </row>
    <row r="38" spans="1:21">
      <c r="A38" s="1596"/>
      <c r="D38" s="1597"/>
      <c r="F38" s="1614"/>
      <c r="G38" s="1621">
        <f>-([4]雨汚水!E85+[4]雨汚水!E86+[4]雨汚水!E93+[4]雨汚水!E95)</f>
        <v>-9485689222</v>
      </c>
      <c r="H38" s="1597"/>
      <c r="K38" s="1596"/>
      <c r="M38" s="1587">
        <f>+'(繰)案'!E34</f>
        <v>1049566207</v>
      </c>
      <c r="N38" s="1597"/>
      <c r="R38" s="1597"/>
      <c r="U38" s="1587"/>
    </row>
    <row r="39" spans="1:21">
      <c r="A39" s="1596"/>
      <c r="D39" s="1597"/>
      <c r="F39" s="1614"/>
      <c r="G39" s="1587" t="s">
        <v>293</v>
      </c>
      <c r="H39" s="1597"/>
      <c r="K39" s="1596"/>
      <c r="M39" s="1588" t="s">
        <v>292</v>
      </c>
      <c r="N39" s="1597"/>
      <c r="R39" s="1597"/>
    </row>
    <row r="40" spans="1:21">
      <c r="A40" s="1596"/>
      <c r="D40" s="1597"/>
      <c r="F40" s="1614"/>
      <c r="G40" s="1622">
        <v>0</v>
      </c>
      <c r="H40" s="1597"/>
      <c r="K40" s="1602"/>
      <c r="L40" s="1610"/>
      <c r="M40" s="1610">
        <f>+'(繰)案'!E35</f>
        <v>56814914</v>
      </c>
      <c r="N40" s="1604"/>
      <c r="O40" s="1606"/>
      <c r="P40" s="1623"/>
      <c r="Q40" s="1623"/>
      <c r="R40" s="1609"/>
    </row>
    <row r="41" spans="1:21">
      <c r="A41" s="1596"/>
      <c r="D41" s="1597"/>
      <c r="F41" s="1614"/>
      <c r="G41" s="1624" t="s">
        <v>291</v>
      </c>
      <c r="H41" s="1597"/>
      <c r="K41" s="1606"/>
      <c r="L41" s="1607"/>
      <c r="M41" s="1608"/>
      <c r="N41" s="1609"/>
      <c r="P41" s="1587" t="s">
        <v>290</v>
      </c>
      <c r="R41" s="1597"/>
    </row>
    <row r="42" spans="1:21">
      <c r="A42" s="1596"/>
      <c r="D42" s="1597"/>
      <c r="F42" s="1614"/>
      <c r="G42" s="1625">
        <v>0</v>
      </c>
      <c r="H42" s="1597"/>
      <c r="K42" s="1596"/>
      <c r="L42" s="1587" t="s">
        <v>289</v>
      </c>
      <c r="N42" s="1597"/>
      <c r="P42" s="1598">
        <f>+'(繰)4条支出 '!K17</f>
        <v>4182000</v>
      </c>
      <c r="Q42" s="1598"/>
      <c r="R42" s="1597"/>
    </row>
    <row r="43" spans="1:21">
      <c r="A43" s="1596"/>
      <c r="D43" s="1597"/>
      <c r="F43" s="1626"/>
      <c r="G43" s="1585"/>
      <c r="H43" s="1597"/>
      <c r="K43" s="1596"/>
      <c r="L43" s="1598">
        <f>+'(繰)4条収入'!M14</f>
        <v>3285504551</v>
      </c>
      <c r="M43" s="1598"/>
      <c r="N43" s="1597"/>
      <c r="O43" s="1602"/>
      <c r="P43" s="1627"/>
      <c r="Q43" s="1627"/>
      <c r="R43" s="1604"/>
    </row>
    <row r="44" spans="1:21">
      <c r="A44" s="1596"/>
      <c r="D44" s="1597"/>
      <c r="E44" s="1591"/>
      <c r="F44" s="1592" t="s">
        <v>285</v>
      </c>
      <c r="G44" s="1592"/>
      <c r="H44" s="1593"/>
      <c r="K44" s="1596"/>
      <c r="N44" s="1597"/>
      <c r="O44" s="1606"/>
      <c r="P44" s="1623"/>
      <c r="Q44" s="1623"/>
      <c r="R44" s="1609"/>
    </row>
    <row r="45" spans="1:21" ht="14.25" thickBot="1">
      <c r="A45" s="1596"/>
      <c r="D45" s="1597"/>
      <c r="E45" s="1596"/>
      <c r="F45" s="1589">
        <f>F8+F14</f>
        <v>42028134935</v>
      </c>
      <c r="G45" s="1589"/>
      <c r="H45" s="1597"/>
      <c r="K45" s="1596"/>
      <c r="L45" s="1587" t="s">
        <v>82</v>
      </c>
      <c r="N45" s="1597"/>
      <c r="P45" s="1587" t="s">
        <v>288</v>
      </c>
      <c r="R45" s="1597"/>
    </row>
    <row r="46" spans="1:21" ht="14.25" thickTop="1">
      <c r="A46" s="1606"/>
      <c r="B46" s="1607" t="s">
        <v>287</v>
      </c>
      <c r="C46" s="1607"/>
      <c r="D46" s="1628"/>
      <c r="E46" s="1629"/>
      <c r="F46" s="1630"/>
      <c r="G46" s="1630"/>
      <c r="H46" s="1631"/>
      <c r="K46" s="1596"/>
      <c r="M46" s="1612">
        <f>+'(繰)4条収入'!M28</f>
        <v>0</v>
      </c>
      <c r="N46" s="1597"/>
      <c r="P46" s="1598">
        <f>+'(繰)4条支出 '!K22</f>
        <v>0</v>
      </c>
      <c r="Q46" s="1598"/>
      <c r="R46" s="1597"/>
    </row>
    <row r="47" spans="1:21">
      <c r="A47" s="1596"/>
      <c r="B47" s="1601">
        <f>+'[2]3条収入'!AI69-B10-B16-B20-B31-B37</f>
        <v>9699271031</v>
      </c>
      <c r="C47" s="1601"/>
      <c r="E47" s="1632"/>
      <c r="F47" s="1587" t="s">
        <v>286</v>
      </c>
      <c r="H47" s="1633"/>
      <c r="K47" s="1596"/>
      <c r="N47" s="1597"/>
      <c r="R47" s="1597"/>
    </row>
    <row r="48" spans="1:21">
      <c r="A48" s="1591"/>
      <c r="B48" s="1592" t="s">
        <v>285</v>
      </c>
      <c r="C48" s="1592"/>
      <c r="D48" s="1594"/>
      <c r="E48" s="1632"/>
      <c r="G48" s="1587">
        <f>B49-F45</f>
        <v>543907199</v>
      </c>
      <c r="H48" s="1633"/>
      <c r="K48" s="1591"/>
      <c r="L48" s="1592" t="s">
        <v>285</v>
      </c>
      <c r="M48" s="1595"/>
      <c r="N48" s="1593"/>
      <c r="O48" s="1594"/>
      <c r="P48" s="1592" t="s">
        <v>285</v>
      </c>
      <c r="Q48" s="1595"/>
      <c r="R48" s="1593"/>
    </row>
    <row r="49" spans="1:19" ht="14.25" thickBot="1">
      <c r="A49" s="1634"/>
      <c r="B49" s="1635">
        <f>B10+B16+B20+B31+B37+B47</f>
        <v>42572042134</v>
      </c>
      <c r="C49" s="1635"/>
      <c r="D49" s="1636"/>
      <c r="E49" s="1637"/>
      <c r="F49" s="1638"/>
      <c r="G49" s="1638"/>
      <c r="H49" s="1639"/>
      <c r="K49" s="1634"/>
      <c r="L49" s="1635">
        <f>L43+L28+L20+L14+L7+M46</f>
        <v>61852897933</v>
      </c>
      <c r="M49" s="1635"/>
      <c r="N49" s="1640"/>
      <c r="O49" s="1636"/>
      <c r="P49" s="1635">
        <f>P14+P34+P42+P46</f>
        <v>61852897933</v>
      </c>
      <c r="Q49" s="1635"/>
      <c r="R49" s="1640"/>
    </row>
    <row r="50" spans="1:19" ht="14.25" thickTop="1">
      <c r="K50" s="1585" t="s">
        <v>284</v>
      </c>
    </row>
    <row r="51" spans="1:19" ht="21" customHeight="1">
      <c r="F51" s="1641" t="s">
        <v>283</v>
      </c>
      <c r="G51" s="1642">
        <f>+'[2]3条収入'!AI74</f>
        <v>543907199</v>
      </c>
      <c r="Q51" s="1641" t="s">
        <v>282</v>
      </c>
      <c r="R51" s="1643">
        <f>L49-P49</f>
        <v>0</v>
      </c>
      <c r="S51" s="1644"/>
    </row>
    <row r="52" spans="1:19">
      <c r="G52" s="1645">
        <f>+G48-G51</f>
        <v>0</v>
      </c>
    </row>
  </sheetData>
  <mergeCells count="27">
    <mergeCell ref="B1:Q1"/>
    <mergeCell ref="B10:C10"/>
    <mergeCell ref="F8:G8"/>
    <mergeCell ref="F14:G14"/>
    <mergeCell ref="Q2:R2"/>
    <mergeCell ref="L7:M7"/>
    <mergeCell ref="L14:M14"/>
    <mergeCell ref="P14:Q14"/>
    <mergeCell ref="P42:Q42"/>
    <mergeCell ref="B37:C37"/>
    <mergeCell ref="L49:M49"/>
    <mergeCell ref="B31:C31"/>
    <mergeCell ref="B20:C20"/>
    <mergeCell ref="P46:Q46"/>
    <mergeCell ref="P49:Q49"/>
    <mergeCell ref="P40:Q40"/>
    <mergeCell ref="B49:C49"/>
    <mergeCell ref="F45:G45"/>
    <mergeCell ref="B47:C47"/>
    <mergeCell ref="P44:Q44"/>
    <mergeCell ref="L43:M43"/>
    <mergeCell ref="P43:Q43"/>
    <mergeCell ref="B16:C16"/>
    <mergeCell ref="L20:M20"/>
    <mergeCell ref="L28:M28"/>
    <mergeCell ref="F29:G29"/>
    <mergeCell ref="P34:Q34"/>
  </mergeCells>
  <phoneticPr fontId="3"/>
  <printOptions horizontalCentered="1"/>
  <pageMargins left="0.78740157480314965" right="0.78740157480314965" top="0.70866141732283472" bottom="0.39370078740157483" header="0.59055118110236227" footer="0.31496062992125984"/>
  <pageSetup paperSize="9" scale="80" orientation="landscape" blackAndWhite="1"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52"/>
  <sheetViews>
    <sheetView showGridLines="0" view="pageBreakPreview" zoomScaleNormal="100" zoomScaleSheetLayoutView="100" workbookViewId="0"/>
  </sheetViews>
  <sheetFormatPr defaultColWidth="7.75" defaultRowHeight="12"/>
  <cols>
    <col min="1" max="3" width="1.5" style="818" customWidth="1"/>
    <col min="4" max="4" width="17.25" style="818" customWidth="1"/>
    <col min="5" max="7" width="12.5" style="818" customWidth="1"/>
    <col min="8" max="8" width="12.75" style="818" bestFit="1" customWidth="1" collapsed="1"/>
    <col min="9" max="9" width="7.625" style="819" customWidth="1"/>
    <col min="10" max="10" width="12.75" style="818" bestFit="1" customWidth="1"/>
    <col min="11" max="11" width="7.625" style="819" customWidth="1"/>
    <col min="12" max="12" width="12.75" style="819" bestFit="1" customWidth="1"/>
    <col min="13" max="14" width="7.625" style="818" customWidth="1"/>
    <col min="15" max="15" width="2.375" style="820" customWidth="1"/>
    <col min="16" max="16" width="14" style="821" bestFit="1" customWidth="1"/>
    <col min="17" max="17" width="8.75" style="821" bestFit="1" customWidth="1"/>
    <col min="18" max="18" width="11.375" style="821" bestFit="1" customWidth="1"/>
    <col min="19" max="19" width="33.875" style="822" customWidth="1"/>
    <col min="20" max="20" width="36.5" style="818" bestFit="1" customWidth="1"/>
    <col min="21" max="21" width="2.125" style="823" customWidth="1"/>
    <col min="22" max="22" width="17.625" style="818" bestFit="1" customWidth="1"/>
    <col min="23" max="23" width="6.25" style="818" customWidth="1"/>
    <col min="24" max="24" width="12" style="818" customWidth="1"/>
    <col min="25" max="25" width="7.625" style="818" bestFit="1" customWidth="1"/>
    <col min="26" max="16384" width="7.75" style="818"/>
  </cols>
  <sheetData>
    <row r="1" spans="1:24">
      <c r="K1" s="955" t="s">
        <v>664</v>
      </c>
      <c r="L1" s="955"/>
    </row>
    <row r="2" spans="1:24">
      <c r="K2" s="955" t="s">
        <v>631</v>
      </c>
      <c r="L2" s="955"/>
    </row>
    <row r="3" spans="1:24" ht="24" customHeight="1" thickBot="1">
      <c r="A3" s="948" t="str">
        <f>DBCS(TEXT(DATE($T$4,12,31),"[$-ja-JP]ggge年度下水道事業会計決算【速報】"))</f>
        <v>令和５年度下水道事業会計決算【速報】</v>
      </c>
      <c r="B3" s="824"/>
      <c r="C3" s="824"/>
      <c r="D3" s="824"/>
      <c r="E3" s="824"/>
      <c r="F3" s="824"/>
      <c r="G3" s="824"/>
      <c r="H3" s="824"/>
      <c r="I3" s="824"/>
      <c r="J3" s="825"/>
      <c r="K3" s="825"/>
      <c r="L3" s="825"/>
    </row>
    <row r="4" spans="1:24" s="826" customFormat="1" ht="18" customHeight="1" thickTop="1">
      <c r="A4" s="949" t="s">
        <v>665</v>
      </c>
      <c r="G4" s="827"/>
      <c r="I4" s="828"/>
      <c r="J4" s="829"/>
      <c r="K4" s="829"/>
      <c r="L4" s="829"/>
      <c r="O4" s="830"/>
      <c r="P4" s="831"/>
      <c r="Q4" s="831"/>
      <c r="R4" s="831"/>
      <c r="S4" s="832"/>
      <c r="T4" s="1444">
        <v>2023</v>
      </c>
      <c r="U4" s="833"/>
    </row>
    <row r="5" spans="1:24" s="826" customFormat="1" ht="18" customHeight="1" thickBot="1">
      <c r="A5" s="949" t="s">
        <v>582</v>
      </c>
      <c r="G5" s="827"/>
      <c r="I5" s="834"/>
      <c r="J5" s="835"/>
      <c r="K5" s="1223" t="s">
        <v>583</v>
      </c>
      <c r="L5" s="1223"/>
      <c r="O5" s="830"/>
      <c r="P5" s="831"/>
      <c r="Q5" s="831"/>
      <c r="R5" s="831"/>
      <c r="S5" s="832"/>
      <c r="T5" s="1445"/>
      <c r="U5" s="833"/>
    </row>
    <row r="6" spans="1:24" ht="16.5" customHeight="1" thickTop="1" thickBot="1">
      <c r="A6" s="1446" t="s">
        <v>326</v>
      </c>
      <c r="B6" s="1447"/>
      <c r="C6" s="1447"/>
      <c r="D6" s="1448"/>
      <c r="E6" s="837" t="str">
        <f>TEXT(DATE(T4,12,31),"[$-ja-JP]ggge年度")</f>
        <v>令和5年度</v>
      </c>
      <c r="F6" s="838"/>
      <c r="G6" s="839"/>
      <c r="H6" s="840" t="s">
        <v>584</v>
      </c>
      <c r="I6" s="841"/>
      <c r="J6" s="840"/>
      <c r="K6" s="841"/>
      <c r="L6" s="967"/>
      <c r="M6" s="842"/>
      <c r="N6" s="842"/>
    </row>
    <row r="7" spans="1:24" ht="16.5" customHeight="1" thickTop="1">
      <c r="A7" s="1449"/>
      <c r="B7" s="1450"/>
      <c r="C7" s="1450"/>
      <c r="D7" s="1451"/>
      <c r="E7" s="1455" t="s">
        <v>621</v>
      </c>
      <c r="F7" s="1389" t="s">
        <v>620</v>
      </c>
      <c r="G7" s="1391" t="s">
        <v>634</v>
      </c>
      <c r="H7" s="1393" t="s">
        <v>629</v>
      </c>
      <c r="I7" s="843"/>
      <c r="J7" s="1393" t="s">
        <v>630</v>
      </c>
      <c r="K7" s="843"/>
      <c r="L7" s="964"/>
      <c r="X7" s="1436" t="s">
        <v>585</v>
      </c>
    </row>
    <row r="8" spans="1:24" ht="22.5" customHeight="1">
      <c r="A8" s="1452"/>
      <c r="B8" s="1453"/>
      <c r="C8" s="1453"/>
      <c r="D8" s="1454"/>
      <c r="E8" s="1456"/>
      <c r="F8" s="1390"/>
      <c r="G8" s="1392"/>
      <c r="H8" s="1394"/>
      <c r="I8" s="844" t="s">
        <v>330</v>
      </c>
      <c r="J8" s="1394"/>
      <c r="K8" s="844" t="s">
        <v>330</v>
      </c>
      <c r="L8" s="964"/>
      <c r="P8" s="821" t="s">
        <v>622</v>
      </c>
      <c r="Q8" s="821" t="s">
        <v>623</v>
      </c>
      <c r="R8" s="821" t="s">
        <v>624</v>
      </c>
      <c r="S8" s="822" t="s">
        <v>625</v>
      </c>
      <c r="X8" s="1437"/>
    </row>
    <row r="9" spans="1:24" ht="21" customHeight="1">
      <c r="A9" s="1400" t="s">
        <v>331</v>
      </c>
      <c r="B9" s="1401"/>
      <c r="C9" s="1401"/>
      <c r="D9" s="1402"/>
      <c r="E9" s="845">
        <f>E10+E12+E13</f>
        <v>44975817</v>
      </c>
      <c r="F9" s="845">
        <f>F10+F12+F13</f>
        <v>44165221</v>
      </c>
      <c r="G9" s="846">
        <f>G10+G12+G13</f>
        <v>44454711</v>
      </c>
      <c r="H9" s="847">
        <f t="shared" ref="H9:H18" si="0">G9-E9</f>
        <v>-521106</v>
      </c>
      <c r="I9" s="848">
        <f t="shared" ref="I9:I18" si="1">IF(AND(E9=0,G9=0),"－ ",IF(E9=0,"皆増 ",IF(G9=0,"皆減 ",H9/E9)))</f>
        <v>-1.1586359843113023E-2</v>
      </c>
      <c r="J9" s="847">
        <f t="shared" ref="J9:J18" si="2">G9-F9</f>
        <v>289490</v>
      </c>
      <c r="K9" s="849">
        <f t="shared" ref="K9:K18" si="3">IF(AND(F9=0,G9=0),"－ ",IF(F9=0,"皆増 ",IF(G9=0,"皆減 ",J9/F9)))</f>
        <v>6.5547051151402594E-3</v>
      </c>
      <c r="L9" s="965"/>
      <c r="M9" s="850"/>
      <c r="N9" s="850"/>
      <c r="O9" s="950"/>
      <c r="P9" s="851">
        <f t="shared" ref="P9:R9" si="4">P10+P12+P13</f>
        <v>44454711283</v>
      </c>
      <c r="Q9" s="851">
        <f t="shared" si="4"/>
        <v>-1</v>
      </c>
      <c r="R9" s="851">
        <f t="shared" si="4"/>
        <v>44454711</v>
      </c>
      <c r="X9" s="1222" t="s">
        <v>586</v>
      </c>
    </row>
    <row r="10" spans="1:24" ht="21" customHeight="1">
      <c r="A10" s="853"/>
      <c r="B10" s="1419" t="s">
        <v>332</v>
      </c>
      <c r="C10" s="1420"/>
      <c r="D10" s="1421"/>
      <c r="E10" s="854">
        <v>35444153</v>
      </c>
      <c r="F10" s="854">
        <v>34582538</v>
      </c>
      <c r="G10" s="855">
        <f t="shared" ref="G10:G18" si="5">R10</f>
        <v>34865912</v>
      </c>
      <c r="H10" s="856">
        <f t="shared" si="0"/>
        <v>-578241</v>
      </c>
      <c r="I10" s="857">
        <f t="shared" si="1"/>
        <v>-1.6314143548584726E-2</v>
      </c>
      <c r="J10" s="856">
        <f t="shared" si="2"/>
        <v>283374</v>
      </c>
      <c r="K10" s="857">
        <f t="shared" si="3"/>
        <v>8.1941354333218697E-3</v>
      </c>
      <c r="L10" s="965"/>
      <c r="M10" s="850"/>
      <c r="N10" s="850"/>
      <c r="O10" s="950"/>
      <c r="P10" s="851">
        <f>'[2]3条収入'!$E$27</f>
        <v>34865911732</v>
      </c>
      <c r="Q10" s="858"/>
      <c r="R10" s="851">
        <f t="shared" ref="R10:R13" si="6">ROUND(P10/1000,0)+Q10</f>
        <v>34865912</v>
      </c>
      <c r="X10" s="859" t="s">
        <v>587</v>
      </c>
    </row>
    <row r="11" spans="1:24" ht="21" customHeight="1">
      <c r="A11" s="853"/>
      <c r="B11" s="860"/>
      <c r="C11" s="1423" t="s">
        <v>588</v>
      </c>
      <c r="D11" s="1424"/>
      <c r="E11" s="861">
        <v>21384728</v>
      </c>
      <c r="F11" s="861">
        <v>20441757</v>
      </c>
      <c r="G11" s="862">
        <f t="shared" si="5"/>
        <v>20488963</v>
      </c>
      <c r="H11" s="863">
        <f t="shared" si="0"/>
        <v>-895765</v>
      </c>
      <c r="I11" s="864">
        <f t="shared" si="1"/>
        <v>-4.1888070776490587E-2</v>
      </c>
      <c r="J11" s="863">
        <f t="shared" si="2"/>
        <v>47206</v>
      </c>
      <c r="K11" s="864">
        <f t="shared" si="3"/>
        <v>2.3092926894689139E-3</v>
      </c>
      <c r="L11" s="965"/>
      <c r="M11" s="850"/>
      <c r="N11" s="850"/>
      <c r="O11" s="950"/>
      <c r="P11" s="851">
        <f>'[2]3条収入'!$E$7</f>
        <v>20488962528</v>
      </c>
      <c r="Q11" s="858"/>
      <c r="R11" s="851">
        <f t="shared" si="6"/>
        <v>20488963</v>
      </c>
      <c r="X11" s="859" t="s">
        <v>613</v>
      </c>
    </row>
    <row r="12" spans="1:24" ht="21" customHeight="1">
      <c r="A12" s="853"/>
      <c r="B12" s="1422" t="s">
        <v>341</v>
      </c>
      <c r="C12" s="1423"/>
      <c r="D12" s="1424"/>
      <c r="E12" s="861">
        <v>9528788</v>
      </c>
      <c r="F12" s="861">
        <v>9579686</v>
      </c>
      <c r="G12" s="862">
        <f t="shared" si="5"/>
        <v>9584600</v>
      </c>
      <c r="H12" s="863">
        <f t="shared" si="0"/>
        <v>55812</v>
      </c>
      <c r="I12" s="864">
        <f t="shared" si="1"/>
        <v>5.8571982082086414E-3</v>
      </c>
      <c r="J12" s="863">
        <f t="shared" si="2"/>
        <v>4914</v>
      </c>
      <c r="K12" s="864">
        <f t="shared" si="3"/>
        <v>5.1296044567640314E-4</v>
      </c>
      <c r="L12" s="965"/>
      <c r="M12" s="850"/>
      <c r="N12" s="850"/>
      <c r="O12" s="950"/>
      <c r="P12" s="851">
        <f>'[2]3条収入'!$E$57</f>
        <v>9584600552</v>
      </c>
      <c r="Q12" s="858">
        <v>-1</v>
      </c>
      <c r="R12" s="851">
        <f t="shared" si="6"/>
        <v>9584600</v>
      </c>
      <c r="X12" s="865" t="s">
        <v>589</v>
      </c>
    </row>
    <row r="13" spans="1:24" ht="21" customHeight="1">
      <c r="A13" s="866"/>
      <c r="B13" s="1427" t="s">
        <v>348</v>
      </c>
      <c r="C13" s="1428"/>
      <c r="D13" s="1429"/>
      <c r="E13" s="867">
        <v>2876</v>
      </c>
      <c r="F13" s="867">
        <v>2997</v>
      </c>
      <c r="G13" s="868">
        <f t="shared" si="5"/>
        <v>4199</v>
      </c>
      <c r="H13" s="869">
        <f t="shared" si="0"/>
        <v>1323</v>
      </c>
      <c r="I13" s="870">
        <f t="shared" si="1"/>
        <v>0.46001390820584143</v>
      </c>
      <c r="J13" s="869">
        <f t="shared" si="2"/>
        <v>1202</v>
      </c>
      <c r="K13" s="870">
        <f t="shared" si="3"/>
        <v>0.40106773440106774</v>
      </c>
      <c r="L13" s="965"/>
      <c r="M13" s="850"/>
      <c r="N13" s="850"/>
      <c r="O13" s="950"/>
      <c r="P13" s="851">
        <f>'[2]3条収入'!$E$68</f>
        <v>4198999</v>
      </c>
      <c r="Q13" s="858"/>
      <c r="R13" s="851">
        <f t="shared" si="6"/>
        <v>4199</v>
      </c>
    </row>
    <row r="14" spans="1:24" ht="21" customHeight="1">
      <c r="A14" s="1438" t="s">
        <v>355</v>
      </c>
      <c r="B14" s="1439"/>
      <c r="C14" s="1439"/>
      <c r="D14" s="1440"/>
      <c r="E14" s="845">
        <f>SUM(E15,E16,E17,E18)</f>
        <v>43953299</v>
      </c>
      <c r="F14" s="845">
        <f>SUM(F15,F16,F17,F18)</f>
        <v>43109924</v>
      </c>
      <c r="G14" s="846">
        <f>SUM(G15,G16,G17,G18)</f>
        <v>42987208</v>
      </c>
      <c r="H14" s="871">
        <f t="shared" si="0"/>
        <v>-966091</v>
      </c>
      <c r="I14" s="849">
        <f t="shared" si="1"/>
        <v>-2.1979942847975983E-2</v>
      </c>
      <c r="J14" s="872">
        <f t="shared" si="2"/>
        <v>-122716</v>
      </c>
      <c r="K14" s="849">
        <f t="shared" si="3"/>
        <v>-2.8465835383982585E-3</v>
      </c>
      <c r="L14" s="965"/>
      <c r="M14" s="850"/>
      <c r="N14" s="850"/>
      <c r="O14" s="951"/>
      <c r="P14" s="851">
        <f t="shared" ref="P14:R14" si="7">SUM(P15:P18)</f>
        <v>42987208386</v>
      </c>
      <c r="Q14" s="851">
        <f t="shared" si="7"/>
        <v>0</v>
      </c>
      <c r="R14" s="851">
        <f t="shared" si="7"/>
        <v>42987208</v>
      </c>
      <c r="S14" s="873"/>
      <c r="U14" s="819"/>
    </row>
    <row r="15" spans="1:24" ht="21" customHeight="1">
      <c r="A15" s="853"/>
      <c r="B15" s="1419" t="s">
        <v>356</v>
      </c>
      <c r="C15" s="1420"/>
      <c r="D15" s="1441"/>
      <c r="E15" s="854">
        <v>39325285</v>
      </c>
      <c r="F15" s="854">
        <v>38869045</v>
      </c>
      <c r="G15" s="855">
        <f t="shared" si="5"/>
        <v>38667489</v>
      </c>
      <c r="H15" s="874">
        <f t="shared" si="0"/>
        <v>-657796</v>
      </c>
      <c r="I15" s="857">
        <f t="shared" si="1"/>
        <v>-1.6727049784890306E-2</v>
      </c>
      <c r="J15" s="875">
        <f t="shared" si="2"/>
        <v>-201556</v>
      </c>
      <c r="K15" s="857">
        <f t="shared" si="3"/>
        <v>-5.1855145913669862E-3</v>
      </c>
      <c r="L15" s="965"/>
      <c r="M15" s="850"/>
      <c r="N15" s="850"/>
      <c r="O15" s="950"/>
      <c r="P15" s="851">
        <f>'[1]3条支出'!$E$5</f>
        <v>38667489041</v>
      </c>
      <c r="Q15" s="858"/>
      <c r="R15" s="851">
        <f t="shared" ref="R15:R18" si="8">ROUND(P15/1000,0)+Q15</f>
        <v>38667489</v>
      </c>
    </row>
    <row r="16" spans="1:24" ht="21" customHeight="1">
      <c r="A16" s="853"/>
      <c r="B16" s="1422" t="s">
        <v>370</v>
      </c>
      <c r="C16" s="1423"/>
      <c r="D16" s="1442"/>
      <c r="E16" s="861">
        <v>4599725</v>
      </c>
      <c r="F16" s="861">
        <f>4210270+8000</f>
        <v>4218270</v>
      </c>
      <c r="G16" s="862">
        <f t="shared" si="5"/>
        <v>4298724</v>
      </c>
      <c r="H16" s="876">
        <f t="shared" si="0"/>
        <v>-301001</v>
      </c>
      <c r="I16" s="864">
        <f t="shared" si="1"/>
        <v>-6.5438912108876077E-2</v>
      </c>
      <c r="J16" s="877">
        <f t="shared" si="2"/>
        <v>80454</v>
      </c>
      <c r="K16" s="864">
        <f t="shared" si="3"/>
        <v>1.9072747832642293E-2</v>
      </c>
      <c r="L16" s="965"/>
      <c r="M16" s="850"/>
      <c r="N16" s="850"/>
      <c r="O16" s="950"/>
      <c r="P16" s="851">
        <f>'[1]3条支出'!$E$22+[1]営外!$E$22</f>
        <v>4298724047</v>
      </c>
      <c r="Q16" s="858"/>
      <c r="R16" s="851">
        <f t="shared" si="8"/>
        <v>4298724</v>
      </c>
      <c r="S16" s="878" t="s">
        <v>627</v>
      </c>
    </row>
    <row r="17" spans="1:23" ht="21" customHeight="1">
      <c r="A17" s="853"/>
      <c r="B17" s="1422" t="s">
        <v>374</v>
      </c>
      <c r="C17" s="1423"/>
      <c r="D17" s="1442"/>
      <c r="E17" s="861">
        <v>8289</v>
      </c>
      <c r="F17" s="861">
        <f>22609</f>
        <v>22609</v>
      </c>
      <c r="G17" s="862">
        <f t="shared" si="5"/>
        <v>20995</v>
      </c>
      <c r="H17" s="876">
        <f t="shared" si="0"/>
        <v>12706</v>
      </c>
      <c r="I17" s="864">
        <f t="shared" si="1"/>
        <v>1.5328748944384123</v>
      </c>
      <c r="J17" s="877">
        <f t="shared" si="2"/>
        <v>-1614</v>
      </c>
      <c r="K17" s="864">
        <f t="shared" si="3"/>
        <v>-7.1387500552877167E-2</v>
      </c>
      <c r="L17" s="965"/>
      <c r="M17" s="850"/>
      <c r="N17" s="850"/>
      <c r="O17" s="950"/>
      <c r="P17" s="851">
        <f>'[1]3条支出'!$E$27</f>
        <v>20995298</v>
      </c>
      <c r="Q17" s="858"/>
      <c r="R17" s="851">
        <f t="shared" si="8"/>
        <v>20995</v>
      </c>
    </row>
    <row r="18" spans="1:23" ht="21" customHeight="1">
      <c r="A18" s="866"/>
      <c r="B18" s="1427" t="s">
        <v>379</v>
      </c>
      <c r="C18" s="1428"/>
      <c r="D18" s="1443"/>
      <c r="E18" s="867">
        <v>20000</v>
      </c>
      <c r="F18" s="867">
        <v>0</v>
      </c>
      <c r="G18" s="868">
        <f t="shared" si="5"/>
        <v>0</v>
      </c>
      <c r="H18" s="879">
        <f t="shared" si="0"/>
        <v>-20000</v>
      </c>
      <c r="I18" s="870" t="str">
        <f t="shared" si="1"/>
        <v xml:space="preserve">皆減 </v>
      </c>
      <c r="J18" s="880">
        <f t="shared" si="2"/>
        <v>0</v>
      </c>
      <c r="K18" s="870" t="str">
        <f t="shared" si="3"/>
        <v xml:space="preserve">－ </v>
      </c>
      <c r="L18" s="965"/>
      <c r="M18" s="850"/>
      <c r="N18" s="850"/>
      <c r="O18" s="950"/>
      <c r="P18" s="858">
        <v>0</v>
      </c>
      <c r="Q18" s="858"/>
      <c r="R18" s="851">
        <f t="shared" si="8"/>
        <v>0</v>
      </c>
    </row>
    <row r="19" spans="1:23" ht="10.15" customHeight="1">
      <c r="A19" s="850"/>
      <c r="B19" s="850"/>
      <c r="C19" s="850"/>
      <c r="D19" s="881"/>
      <c r="E19" s="882"/>
      <c r="F19" s="882"/>
      <c r="G19" s="883"/>
      <c r="H19" s="884"/>
      <c r="I19" s="885"/>
      <c r="J19" s="886"/>
      <c r="K19" s="887"/>
      <c r="L19" s="887"/>
      <c r="M19" s="850"/>
      <c r="N19" s="850"/>
      <c r="O19" s="950"/>
    </row>
    <row r="20" spans="1:23" ht="21" customHeight="1">
      <c r="A20" s="1433" t="s">
        <v>590</v>
      </c>
      <c r="B20" s="1434"/>
      <c r="C20" s="1434"/>
      <c r="D20" s="1435"/>
      <c r="E20" s="888">
        <f>E9-E14</f>
        <v>1022518</v>
      </c>
      <c r="F20" s="888">
        <f>F9-F14</f>
        <v>1055297</v>
      </c>
      <c r="G20" s="889">
        <f>G9-G14</f>
        <v>1467503</v>
      </c>
      <c r="H20" s="890">
        <f>G20-E20</f>
        <v>444985</v>
      </c>
      <c r="I20" s="891">
        <f>IF(AND(E20=0,G20=0),"－ ",IF(E20=0,"皆増 ",IF(G20=0,"皆減 ",H20/E20)))</f>
        <v>0.43518549306711474</v>
      </c>
      <c r="J20" s="892">
        <f>G20-F20</f>
        <v>412206</v>
      </c>
      <c r="K20" s="891">
        <f>IF(AND(F20=0,G20=0),"－ ",IF(F20=0,"皆増 ",IF(G20=0,"皆減 ",J20/F20)))</f>
        <v>0.39060662543340879</v>
      </c>
      <c r="L20" s="965"/>
      <c r="M20" s="850"/>
      <c r="N20" s="850"/>
      <c r="O20" s="950"/>
      <c r="P20" s="858">
        <f t="shared" ref="P20:R20" si="9">P9-P14</f>
        <v>1467502897</v>
      </c>
      <c r="Q20" s="858">
        <f t="shared" si="9"/>
        <v>-1</v>
      </c>
      <c r="R20" s="851">
        <f t="shared" si="9"/>
        <v>1467503</v>
      </c>
    </row>
    <row r="21" spans="1:23">
      <c r="D21" s="842"/>
      <c r="E21" s="893"/>
      <c r="F21" s="893"/>
      <c r="G21" s="894"/>
      <c r="H21" s="895"/>
      <c r="I21" s="896"/>
      <c r="J21" s="893"/>
      <c r="K21" s="896"/>
      <c r="L21" s="896"/>
      <c r="O21" s="950"/>
      <c r="P21" s="851">
        <f>[3]消費税!$AF$118</f>
        <v>-923595698</v>
      </c>
      <c r="Q21" s="858"/>
      <c r="R21" s="851">
        <f t="shared" ref="R21:R22" si="10">ROUND(P21/1000,0)+Q21</f>
        <v>-923596</v>
      </c>
      <c r="S21" s="822" t="s">
        <v>626</v>
      </c>
      <c r="V21" s="818" t="s">
        <v>628</v>
      </c>
    </row>
    <row r="22" spans="1:23" ht="21" customHeight="1" thickBot="1">
      <c r="A22" s="1430" t="s">
        <v>591</v>
      </c>
      <c r="B22" s="1431"/>
      <c r="C22" s="1431"/>
      <c r="D22" s="1432"/>
      <c r="E22" s="888">
        <v>120300</v>
      </c>
      <c r="F22" s="888">
        <v>87814</v>
      </c>
      <c r="G22" s="897">
        <f>R22</f>
        <v>543907</v>
      </c>
      <c r="H22" s="890">
        <f>G22-E22</f>
        <v>423607</v>
      </c>
      <c r="I22" s="891">
        <f>IF(AND(E22=0,G22=0),"－ ",IF(E22=0,"皆増 ",IF(G22=0,"皆減 ",H22/E22)))</f>
        <v>3.5212551953449709</v>
      </c>
      <c r="J22" s="892">
        <f>G22-F22</f>
        <v>456093</v>
      </c>
      <c r="K22" s="891">
        <f>IF(AND(F22=0,G22=0),"－ ",IF(F22=0,"皆増 ",IF(G22=0,"皆減 ",J22/F22)))</f>
        <v>5.1938529163914637</v>
      </c>
      <c r="L22" s="965"/>
      <c r="M22" s="850"/>
      <c r="N22" s="850"/>
      <c r="O22" s="950"/>
      <c r="P22" s="858">
        <f>SUM(P20:P21)</f>
        <v>543907199</v>
      </c>
      <c r="Q22" s="858"/>
      <c r="R22" s="851">
        <f t="shared" si="10"/>
        <v>543907</v>
      </c>
      <c r="T22" s="818">
        <f>'(繰)案'!E13</f>
        <v>543907199</v>
      </c>
      <c r="V22" s="818">
        <f>P22-T22</f>
        <v>0</v>
      </c>
    </row>
    <row r="23" spans="1:23" ht="12" customHeight="1" thickTop="1">
      <c r="D23" s="842"/>
      <c r="H23" s="823"/>
      <c r="O23" s="950"/>
    </row>
    <row r="24" spans="1:23" s="826" customFormat="1" ht="18" customHeight="1">
      <c r="A24" s="949" t="s">
        <v>592</v>
      </c>
      <c r="G24" s="827"/>
      <c r="K24" s="834"/>
      <c r="L24" s="835"/>
      <c r="M24" s="1223" t="s">
        <v>583</v>
      </c>
      <c r="N24" s="1223"/>
      <c r="O24" s="952"/>
      <c r="P24" s="898"/>
      <c r="Q24" s="898"/>
      <c r="R24" s="898"/>
      <c r="S24" s="873"/>
      <c r="T24" s="899"/>
      <c r="U24" s="833"/>
    </row>
    <row r="25" spans="1:23" s="900" customFormat="1" ht="16.5" customHeight="1" thickBot="1">
      <c r="A25" s="1410" t="s">
        <v>326</v>
      </c>
      <c r="B25" s="1411"/>
      <c r="C25" s="1411"/>
      <c r="D25" s="1411"/>
      <c r="E25" s="838" t="str">
        <f>E6</f>
        <v>令和5年度</v>
      </c>
      <c r="F25" s="838"/>
      <c r="G25" s="839"/>
      <c r="H25" s="839"/>
      <c r="I25" s="840" t="s">
        <v>584</v>
      </c>
      <c r="J25" s="840"/>
      <c r="K25" s="841"/>
      <c r="L25" s="840"/>
      <c r="M25" s="841"/>
      <c r="N25" s="966"/>
      <c r="O25" s="952"/>
      <c r="P25" s="898"/>
      <c r="Q25" s="898"/>
      <c r="R25" s="898"/>
      <c r="S25" s="873"/>
    </row>
    <row r="26" spans="1:23" s="900" customFormat="1" ht="16.5" customHeight="1" thickTop="1">
      <c r="A26" s="1412"/>
      <c r="B26" s="1413"/>
      <c r="C26" s="1413"/>
      <c r="D26" s="1413"/>
      <c r="E26" s="1398" t="s">
        <v>637</v>
      </c>
      <c r="F26" s="1389" t="s">
        <v>638</v>
      </c>
      <c r="G26" s="1391" t="str">
        <f>G$7</f>
        <v>決算
(c)</v>
      </c>
      <c r="H26" s="1425" t="s">
        <v>650</v>
      </c>
      <c r="I26" s="968" t="s">
        <v>651</v>
      </c>
      <c r="J26" s="968"/>
      <c r="K26" s="969"/>
      <c r="L26" s="984" t="s">
        <v>652</v>
      </c>
      <c r="M26" s="969"/>
      <c r="N26" s="967"/>
      <c r="O26" s="952"/>
      <c r="P26" s="898"/>
      <c r="Q26" s="898"/>
      <c r="R26" s="898"/>
      <c r="S26" s="873"/>
    </row>
    <row r="27" spans="1:23" s="900" customFormat="1" ht="18.75" customHeight="1">
      <c r="A27" s="1414"/>
      <c r="B27" s="1415"/>
      <c r="C27" s="1415"/>
      <c r="D27" s="1415"/>
      <c r="E27" s="1399"/>
      <c r="F27" s="1390"/>
      <c r="G27" s="1392"/>
      <c r="H27" s="1426"/>
      <c r="I27" s="972" t="s">
        <v>636</v>
      </c>
      <c r="J27" s="970"/>
      <c r="K27" s="844" t="s">
        <v>330</v>
      </c>
      <c r="L27" s="971" t="s">
        <v>635</v>
      </c>
      <c r="M27" s="844" t="s">
        <v>330</v>
      </c>
      <c r="N27" s="964"/>
      <c r="O27" s="950"/>
      <c r="P27" s="821"/>
      <c r="Q27" s="821"/>
      <c r="R27" s="821"/>
      <c r="S27" s="901"/>
      <c r="T27" s="829" t="s">
        <v>593</v>
      </c>
      <c r="U27" s="829" t="s">
        <v>594</v>
      </c>
      <c r="V27" s="902"/>
      <c r="W27" s="1416" t="str">
        <f>IF(G9=ROUND((V27+V28)/1000,0),"OK","エラー")</f>
        <v>エラー</v>
      </c>
    </row>
    <row r="28" spans="1:23" s="850" customFormat="1" ht="21" customHeight="1">
      <c r="A28" s="1400" t="s">
        <v>389</v>
      </c>
      <c r="B28" s="1417"/>
      <c r="C28" s="1417"/>
      <c r="D28" s="1418"/>
      <c r="E28" s="903">
        <f>SUM(E29:E31)</f>
        <v>51048450</v>
      </c>
      <c r="F28" s="904">
        <f>SUM(F29:F31)</f>
        <v>50593733</v>
      </c>
      <c r="G28" s="905">
        <f t="shared" ref="G28:H28" si="11">SUM(G29:G31)</f>
        <v>42025205</v>
      </c>
      <c r="H28" s="978">
        <f t="shared" si="11"/>
        <v>8639286</v>
      </c>
      <c r="I28" s="973"/>
      <c r="J28" s="890">
        <f t="shared" ref="J28:J35" si="12">G28+H28-E28</f>
        <v>-383959</v>
      </c>
      <c r="K28" s="891">
        <f t="shared" ref="K28:K35" si="13">IF(AND(E28=0,SUM(G28:H28)=0),"－ ",IF(E28=0,"皆増 ",IF(SUM(G28:H28)=0,"皆減 ",J28/E28)))</f>
        <v>-7.521462453806139E-3</v>
      </c>
      <c r="L28" s="892">
        <f t="shared" ref="L28:L35" si="14">G28+H28-F28</f>
        <v>70758</v>
      </c>
      <c r="M28" s="891">
        <f t="shared" ref="M28:M35" si="15">IF(AND(F28=0,SUM(G28:H28)=0),"－ ",IF(F28=0,"皆増 ",IF(SUM(G28:H28)=0,"皆減 ",L28/F28)))</f>
        <v>1.3985526626390664E-3</v>
      </c>
      <c r="N28" s="965"/>
      <c r="O28" s="953"/>
      <c r="P28" s="851">
        <f t="shared" ref="P28" si="16">P29+P30+P31</f>
        <v>42025205141</v>
      </c>
      <c r="Q28" s="851">
        <f>Q29+Q30+Q31</f>
        <v>0</v>
      </c>
      <c r="R28" s="851">
        <f t="shared" ref="R28" si="17">R29+R30+R31</f>
        <v>42025205</v>
      </c>
      <c r="S28" s="822"/>
      <c r="T28" s="829" t="s">
        <v>595</v>
      </c>
      <c r="U28" s="826" t="s">
        <v>614</v>
      </c>
      <c r="V28" s="902"/>
      <c r="W28" s="1416"/>
    </row>
    <row r="29" spans="1:23" s="850" customFormat="1" ht="21" customHeight="1">
      <c r="A29" s="907"/>
      <c r="B29" s="1419" t="s">
        <v>390</v>
      </c>
      <c r="C29" s="1420"/>
      <c r="D29" s="1421"/>
      <c r="E29" s="908">
        <f>32505200+5247400</f>
        <v>37752600</v>
      </c>
      <c r="F29" s="909">
        <f>32352700+5247400</f>
        <v>37600100</v>
      </c>
      <c r="G29" s="910">
        <f t="shared" ref="G29:G35" si="18">R29</f>
        <v>32373300</v>
      </c>
      <c r="H29" s="979">
        <v>5226800</v>
      </c>
      <c r="I29" s="974"/>
      <c r="J29" s="856">
        <f t="shared" si="12"/>
        <v>-152500</v>
      </c>
      <c r="K29" s="857">
        <f t="shared" si="13"/>
        <v>-4.0394568850887092E-3</v>
      </c>
      <c r="L29" s="911">
        <f t="shared" si="14"/>
        <v>0</v>
      </c>
      <c r="M29" s="857">
        <f t="shared" si="15"/>
        <v>0</v>
      </c>
      <c r="N29" s="965"/>
      <c r="O29" s="953"/>
      <c r="P29" s="851">
        <f>'[5]4条収入'!$E$7</f>
        <v>32373300000</v>
      </c>
      <c r="Q29" s="858"/>
      <c r="R29" s="851">
        <f t="shared" ref="R29:R31" si="19">ROUND(P29/1000,0)+Q29</f>
        <v>32373300</v>
      </c>
      <c r="S29" s="822"/>
      <c r="T29" s="829" t="s">
        <v>596</v>
      </c>
      <c r="U29" s="826" t="s">
        <v>615</v>
      </c>
      <c r="V29" s="912"/>
      <c r="W29" s="1416" t="str">
        <f>IF(G14=ROUND((V29+V30)/1000,0),"OK","エラー")</f>
        <v>エラー</v>
      </c>
    </row>
    <row r="30" spans="1:23" s="850" customFormat="1" ht="21" customHeight="1">
      <c r="A30" s="907"/>
      <c r="B30" s="1422" t="s">
        <v>400</v>
      </c>
      <c r="C30" s="1423"/>
      <c r="D30" s="1424"/>
      <c r="E30" s="913">
        <f>5769500+3174000</f>
        <v>8943500</v>
      </c>
      <c r="F30" s="861">
        <f>5766211+3174000</f>
        <v>8940211</v>
      </c>
      <c r="G30" s="862">
        <f t="shared" si="18"/>
        <v>5717788</v>
      </c>
      <c r="H30" s="980">
        <v>3222486</v>
      </c>
      <c r="I30" s="975"/>
      <c r="J30" s="863">
        <f t="shared" si="12"/>
        <v>-3226</v>
      </c>
      <c r="K30" s="864">
        <f t="shared" si="13"/>
        <v>-3.6070889472801477E-4</v>
      </c>
      <c r="L30" s="914">
        <f t="shared" si="14"/>
        <v>63</v>
      </c>
      <c r="M30" s="864">
        <f t="shared" si="15"/>
        <v>7.046813548360324E-6</v>
      </c>
      <c r="N30" s="965"/>
      <c r="O30" s="953"/>
      <c r="P30" s="851">
        <f>'[5]4条収入'!$E$23</f>
        <v>5717788000</v>
      </c>
      <c r="Q30" s="858"/>
      <c r="R30" s="851">
        <f t="shared" si="19"/>
        <v>5717788</v>
      </c>
      <c r="S30" s="822"/>
      <c r="T30" s="826" t="s">
        <v>597</v>
      </c>
      <c r="U30" s="826" t="s">
        <v>616</v>
      </c>
      <c r="V30" s="912"/>
      <c r="W30" s="1416"/>
    </row>
    <row r="31" spans="1:23" s="850" customFormat="1" ht="21" customHeight="1">
      <c r="A31" s="915"/>
      <c r="B31" s="1427" t="s">
        <v>415</v>
      </c>
      <c r="C31" s="1428"/>
      <c r="D31" s="1429"/>
      <c r="E31" s="913">
        <v>4352350</v>
      </c>
      <c r="F31" s="861">
        <v>4053422</v>
      </c>
      <c r="G31" s="868">
        <f t="shared" si="18"/>
        <v>3934117</v>
      </c>
      <c r="H31" s="981">
        <f>130000+60000</f>
        <v>190000</v>
      </c>
      <c r="I31" s="976"/>
      <c r="J31" s="869">
        <f t="shared" si="12"/>
        <v>-228233</v>
      </c>
      <c r="K31" s="870">
        <f t="shared" si="13"/>
        <v>-5.2439027192206507E-2</v>
      </c>
      <c r="L31" s="914">
        <f t="shared" si="14"/>
        <v>70695</v>
      </c>
      <c r="M31" s="864">
        <f t="shared" si="15"/>
        <v>1.7440819139976051E-2</v>
      </c>
      <c r="N31" s="965"/>
      <c r="O31" s="953"/>
      <c r="P31" s="851">
        <f>'[5]4条収入'!$E$91-SUM(P29:P30)</f>
        <v>3934117141</v>
      </c>
      <c r="Q31" s="858"/>
      <c r="R31" s="851">
        <f t="shared" si="19"/>
        <v>3934117</v>
      </c>
      <c r="S31" s="822"/>
      <c r="T31" s="826" t="s">
        <v>598</v>
      </c>
      <c r="U31" s="826" t="s">
        <v>617</v>
      </c>
      <c r="V31" s="912"/>
      <c r="W31" s="916"/>
    </row>
    <row r="32" spans="1:23" s="850" customFormat="1" ht="21" customHeight="1">
      <c r="A32" s="1400" t="s">
        <v>417</v>
      </c>
      <c r="B32" s="1401"/>
      <c r="C32" s="1401"/>
      <c r="D32" s="1402"/>
      <c r="E32" s="917">
        <f>E33+E34+E35</f>
        <v>71361650</v>
      </c>
      <c r="F32" s="918">
        <f>F33+F34+F35</f>
        <v>71076971</v>
      </c>
      <c r="G32" s="846">
        <f t="shared" ref="G32:H32" si="20">G33+G34+G35</f>
        <v>61875977</v>
      </c>
      <c r="H32" s="982">
        <f t="shared" si="20"/>
        <v>9225844</v>
      </c>
      <c r="I32" s="977"/>
      <c r="J32" s="890">
        <f t="shared" si="12"/>
        <v>-259829</v>
      </c>
      <c r="K32" s="891">
        <f t="shared" si="13"/>
        <v>-3.6410172690794006E-3</v>
      </c>
      <c r="L32" s="892">
        <f t="shared" si="14"/>
        <v>24850</v>
      </c>
      <c r="M32" s="919">
        <f t="shared" si="15"/>
        <v>3.4962097639191744E-4</v>
      </c>
      <c r="N32" s="965"/>
      <c r="O32" s="953"/>
      <c r="P32" s="851">
        <f t="shared" ref="P32" si="21">P33+P34+P35</f>
        <v>61875977537</v>
      </c>
      <c r="Q32" s="851">
        <f>Q33+Q34+Q35</f>
        <v>0</v>
      </c>
      <c r="R32" s="851">
        <f t="shared" ref="R32" si="22">R33+R34+R35</f>
        <v>61875977</v>
      </c>
      <c r="S32" s="822"/>
      <c r="T32" s="920" t="s">
        <v>599</v>
      </c>
      <c r="U32" s="920" t="s">
        <v>618</v>
      </c>
      <c r="V32" s="921"/>
      <c r="W32" s="916"/>
    </row>
    <row r="33" spans="1:23" s="850" customFormat="1" ht="21" customHeight="1">
      <c r="A33" s="853"/>
      <c r="B33" s="1403" t="s">
        <v>418</v>
      </c>
      <c r="C33" s="1404"/>
      <c r="D33" s="1405"/>
      <c r="E33" s="922">
        <f>17424201+9305739</f>
        <v>26729940</v>
      </c>
      <c r="F33" s="854">
        <f>17145810+9305739</f>
        <v>26451549</v>
      </c>
      <c r="G33" s="855">
        <f t="shared" si="18"/>
        <v>17250555</v>
      </c>
      <c r="H33" s="983">
        <v>9225844</v>
      </c>
      <c r="I33" s="974"/>
      <c r="J33" s="856">
        <f t="shared" si="12"/>
        <v>-253541</v>
      </c>
      <c r="K33" s="857">
        <f t="shared" si="13"/>
        <v>-9.485281298798276E-3</v>
      </c>
      <c r="L33" s="911">
        <f t="shared" si="14"/>
        <v>24850</v>
      </c>
      <c r="M33" s="923">
        <f t="shared" si="15"/>
        <v>9.3945348909434373E-4</v>
      </c>
      <c r="N33" s="965"/>
      <c r="O33" s="953"/>
      <c r="P33" s="851">
        <f>'[6]4条支出'!$E$5</f>
        <v>17250555070</v>
      </c>
      <c r="Q33" s="858"/>
      <c r="R33" s="851">
        <f t="shared" ref="R33:R35" si="23">ROUND(P33/1000,0)+Q33</f>
        <v>17250555</v>
      </c>
      <c r="S33" s="822"/>
      <c r="T33" s="829" t="s">
        <v>600</v>
      </c>
      <c r="U33" s="826" t="s">
        <v>619</v>
      </c>
      <c r="V33" s="912"/>
      <c r="W33" s="916"/>
    </row>
    <row r="34" spans="1:23" s="850" customFormat="1" ht="21" customHeight="1">
      <c r="A34" s="853"/>
      <c r="B34" s="1406" t="s">
        <v>435</v>
      </c>
      <c r="C34" s="1406"/>
      <c r="D34" s="1407"/>
      <c r="E34" s="913">
        <v>44621423</v>
      </c>
      <c r="F34" s="861">
        <v>44621240</v>
      </c>
      <c r="G34" s="862">
        <f t="shared" si="18"/>
        <v>44621240</v>
      </c>
      <c r="H34" s="980">
        <v>0</v>
      </c>
      <c r="I34" s="975"/>
      <c r="J34" s="863">
        <f t="shared" si="12"/>
        <v>-183</v>
      </c>
      <c r="K34" s="864">
        <f t="shared" si="13"/>
        <v>-4.1011690729809313E-6</v>
      </c>
      <c r="L34" s="914">
        <f t="shared" si="14"/>
        <v>0</v>
      </c>
      <c r="M34" s="924">
        <f t="shared" si="15"/>
        <v>0</v>
      </c>
      <c r="N34" s="965"/>
      <c r="O34" s="953"/>
      <c r="P34" s="851">
        <f>'[6]4条支出'!$E$21</f>
        <v>44621240467</v>
      </c>
      <c r="Q34" s="858"/>
      <c r="R34" s="851">
        <f t="shared" si="23"/>
        <v>44621240</v>
      </c>
      <c r="S34" s="822"/>
      <c r="T34" s="829" t="s">
        <v>601</v>
      </c>
      <c r="U34" s="826" t="s">
        <v>602</v>
      </c>
      <c r="V34" s="912"/>
      <c r="W34" s="916"/>
    </row>
    <row r="35" spans="1:23" s="850" customFormat="1" ht="21" customHeight="1" thickBot="1">
      <c r="A35" s="866"/>
      <c r="B35" s="1408" t="s">
        <v>436</v>
      </c>
      <c r="C35" s="1408"/>
      <c r="D35" s="1409"/>
      <c r="E35" s="925">
        <v>10287</v>
      </c>
      <c r="F35" s="867">
        <v>4182</v>
      </c>
      <c r="G35" s="926">
        <f t="shared" si="18"/>
        <v>4182</v>
      </c>
      <c r="H35" s="981">
        <v>0</v>
      </c>
      <c r="I35" s="976"/>
      <c r="J35" s="869">
        <f t="shared" si="12"/>
        <v>-6105</v>
      </c>
      <c r="K35" s="870">
        <f t="shared" si="13"/>
        <v>-0.59346748323126275</v>
      </c>
      <c r="L35" s="880">
        <f t="shared" si="14"/>
        <v>0</v>
      </c>
      <c r="M35" s="927">
        <f t="shared" si="15"/>
        <v>0</v>
      </c>
      <c r="N35" s="965"/>
      <c r="O35" s="953"/>
      <c r="P35" s="851">
        <f>'[6]4条支出'!$E$41-SUM(P33:P34)</f>
        <v>4182000</v>
      </c>
      <c r="Q35" s="858"/>
      <c r="R35" s="851">
        <f t="shared" si="23"/>
        <v>4182</v>
      </c>
      <c r="S35" s="822"/>
      <c r="T35" s="826" t="s">
        <v>603</v>
      </c>
      <c r="U35" s="826" t="s">
        <v>604</v>
      </c>
      <c r="V35" s="912"/>
      <c r="W35" s="916"/>
    </row>
    <row r="36" spans="1:23" ht="12" customHeight="1" thickTop="1">
      <c r="A36" s="928"/>
      <c r="B36" s="967" t="s">
        <v>639</v>
      </c>
      <c r="C36" s="929"/>
      <c r="D36" s="929"/>
      <c r="E36" s="930"/>
      <c r="F36" s="930"/>
      <c r="G36" s="930"/>
      <c r="H36" s="931"/>
      <c r="I36" s="932"/>
      <c r="J36" s="931"/>
      <c r="K36" s="933"/>
      <c r="L36" s="933"/>
      <c r="O36" s="950"/>
      <c r="T36" s="920" t="s">
        <v>605</v>
      </c>
      <c r="U36" s="920"/>
      <c r="V36" s="921"/>
      <c r="W36" s="916"/>
    </row>
    <row r="37" spans="1:23" ht="12" customHeight="1">
      <c r="A37" s="928"/>
      <c r="B37" s="967"/>
      <c r="C37" s="929"/>
      <c r="D37" s="929"/>
      <c r="E37" s="930"/>
      <c r="F37" s="930"/>
      <c r="G37" s="930"/>
      <c r="H37" s="931"/>
      <c r="I37" s="932"/>
      <c r="J37" s="931"/>
      <c r="K37" s="933"/>
      <c r="L37" s="933"/>
      <c r="O37" s="950"/>
      <c r="T37" s="920"/>
      <c r="U37" s="920"/>
      <c r="V37" s="921"/>
      <c r="W37" s="916"/>
    </row>
    <row r="38" spans="1:23" s="826" customFormat="1" ht="18" customHeight="1">
      <c r="A38" s="949" t="s">
        <v>606</v>
      </c>
      <c r="G38" s="827"/>
      <c r="I38" s="834"/>
      <c r="J38" s="835"/>
      <c r="K38" s="1223" t="s">
        <v>583</v>
      </c>
      <c r="L38" s="1223"/>
      <c r="O38" s="954"/>
      <c r="P38" s="831"/>
      <c r="Q38" s="831"/>
      <c r="R38" s="831"/>
      <c r="S38" s="832"/>
      <c r="V38" s="934"/>
    </row>
    <row r="39" spans="1:23" s="900" customFormat="1" ht="16.5" customHeight="1" thickBot="1">
      <c r="A39" s="1410" t="s">
        <v>326</v>
      </c>
      <c r="B39" s="1411"/>
      <c r="C39" s="1411"/>
      <c r="D39" s="1411"/>
      <c r="E39" s="935" t="str">
        <f>E6</f>
        <v>令和5年度</v>
      </c>
      <c r="F39" s="838"/>
      <c r="G39" s="839"/>
      <c r="H39" s="840" t="s">
        <v>584</v>
      </c>
      <c r="I39" s="841"/>
      <c r="J39" s="840"/>
      <c r="K39" s="841"/>
      <c r="L39" s="967"/>
      <c r="O39" s="950"/>
      <c r="P39" s="821"/>
      <c r="Q39" s="821"/>
      <c r="R39" s="821"/>
      <c r="S39" s="901"/>
    </row>
    <row r="40" spans="1:23" s="900" customFormat="1" ht="16.5" customHeight="1" thickTop="1">
      <c r="A40" s="1412"/>
      <c r="B40" s="1413"/>
      <c r="C40" s="1413"/>
      <c r="D40" s="1413"/>
      <c r="E40" s="1398" t="str">
        <f t="shared" ref="E40:G40" si="24">E$7</f>
        <v>議決予算
（a）</v>
      </c>
      <c r="F40" s="1389" t="str">
        <f t="shared" si="24"/>
        <v>4月決見
（b）</v>
      </c>
      <c r="G40" s="1391" t="str">
        <f t="shared" si="24"/>
        <v>決算
(c)</v>
      </c>
      <c r="H40" s="1393" t="str">
        <f>H7</f>
        <v>決算(c)
-議決予算(a)</v>
      </c>
      <c r="I40" s="843"/>
      <c r="J40" s="1393" t="str">
        <f>J7</f>
        <v>決算(c)
-4月決見(b)</v>
      </c>
      <c r="K40" s="843"/>
      <c r="L40" s="964"/>
      <c r="O40" s="950"/>
      <c r="P40" s="821"/>
      <c r="Q40" s="821"/>
      <c r="R40" s="821"/>
      <c r="S40" s="901"/>
    </row>
    <row r="41" spans="1:23" s="900" customFormat="1" ht="18.75" customHeight="1">
      <c r="A41" s="1414"/>
      <c r="B41" s="1415"/>
      <c r="C41" s="1415"/>
      <c r="D41" s="1415"/>
      <c r="E41" s="1399"/>
      <c r="F41" s="1390"/>
      <c r="G41" s="1392"/>
      <c r="H41" s="1394"/>
      <c r="I41" s="844" t="s">
        <v>330</v>
      </c>
      <c r="J41" s="1394"/>
      <c r="K41" s="844" t="s">
        <v>330</v>
      </c>
      <c r="L41" s="964"/>
      <c r="O41" s="950"/>
      <c r="P41" s="821"/>
      <c r="Q41" s="821"/>
      <c r="R41" s="821"/>
      <c r="S41" s="901"/>
    </row>
    <row r="42" spans="1:23" s="850" customFormat="1" ht="21" customHeight="1">
      <c r="A42" s="1395" t="s">
        <v>334</v>
      </c>
      <c r="B42" s="1396"/>
      <c r="C42" s="1396"/>
      <c r="D42" s="1397"/>
      <c r="E42" s="854">
        <v>13854862</v>
      </c>
      <c r="F42" s="854">
        <v>13951285</v>
      </c>
      <c r="G42" s="855">
        <f t="shared" ref="G42:G44" si="25">R42</f>
        <v>14187102</v>
      </c>
      <c r="H42" s="847">
        <f>G42-E42</f>
        <v>332240</v>
      </c>
      <c r="I42" s="848">
        <f t="shared" ref="I42:I46" si="26">IF(AND(E42=0,G42=0),"－ ",IF(E42=0,"皆増 ",IF(G42=0,"皆減 ",H42/E42)))</f>
        <v>2.3980029537645341E-2</v>
      </c>
      <c r="J42" s="847">
        <f>G42-F42</f>
        <v>235817</v>
      </c>
      <c r="K42" s="848">
        <f t="shared" ref="K42:K46" si="27">IF(AND(F42=0,G42=0),"－ ",IF(F42=0,"皆増 ",IF(G42=0,"皆減 ",J42/F42)))</f>
        <v>1.6902887440117524E-2</v>
      </c>
      <c r="L42" s="965"/>
      <c r="O42" s="953"/>
      <c r="P42" s="851">
        <f>'[2]3条収入'!$E$9</f>
        <v>14187102335</v>
      </c>
      <c r="Q42" s="858"/>
      <c r="R42" s="851">
        <f t="shared" ref="R42:R45" si="28">ROUND(P42/1000,0)+Q42</f>
        <v>14187102</v>
      </c>
      <c r="S42" s="822"/>
    </row>
    <row r="43" spans="1:23" s="850" customFormat="1" ht="21" customHeight="1">
      <c r="A43" s="1379" t="s">
        <v>344</v>
      </c>
      <c r="B43" s="1380"/>
      <c r="C43" s="1380"/>
      <c r="D43" s="1381"/>
      <c r="E43" s="936">
        <v>0</v>
      </c>
      <c r="F43" s="936">
        <v>8000</v>
      </c>
      <c r="G43" s="937">
        <f t="shared" si="25"/>
        <v>9203</v>
      </c>
      <c r="H43" s="863">
        <f>G43-E43</f>
        <v>9203</v>
      </c>
      <c r="I43" s="864" t="str">
        <f t="shared" si="26"/>
        <v xml:space="preserve">皆増 </v>
      </c>
      <c r="J43" s="863">
        <f>G43-F43</f>
        <v>1203</v>
      </c>
      <c r="K43" s="864">
        <f t="shared" si="27"/>
        <v>0.15037500000000001</v>
      </c>
      <c r="L43" s="965"/>
      <c r="O43" s="953"/>
      <c r="P43" s="851">
        <f>'[2]3条収入'!$E$42</f>
        <v>9203253</v>
      </c>
      <c r="Q43" s="858"/>
      <c r="R43" s="851">
        <f t="shared" si="28"/>
        <v>9203</v>
      </c>
      <c r="S43" s="822"/>
    </row>
    <row r="44" spans="1:23" s="850" customFormat="1" ht="21" customHeight="1">
      <c r="A44" s="1379" t="s">
        <v>399</v>
      </c>
      <c r="B44" s="1380"/>
      <c r="C44" s="1380"/>
      <c r="D44" s="1381"/>
      <c r="E44" s="861">
        <v>3640474</v>
      </c>
      <c r="F44" s="861">
        <v>3379653</v>
      </c>
      <c r="G44" s="862">
        <f t="shared" si="25"/>
        <v>3285505</v>
      </c>
      <c r="H44" s="863">
        <f>G44-E44</f>
        <v>-354969</v>
      </c>
      <c r="I44" s="864">
        <f t="shared" si="26"/>
        <v>-9.7506258800365009E-2</v>
      </c>
      <c r="J44" s="863">
        <f>G44-F44</f>
        <v>-94148</v>
      </c>
      <c r="K44" s="864">
        <f t="shared" si="27"/>
        <v>-2.7857297775836749E-2</v>
      </c>
      <c r="L44" s="965"/>
      <c r="O44" s="953"/>
      <c r="P44" s="851">
        <f>'[5]4条収入'!$E$21</f>
        <v>3285504551</v>
      </c>
      <c r="Q44" s="858"/>
      <c r="R44" s="851">
        <f t="shared" si="28"/>
        <v>3285505</v>
      </c>
      <c r="S44" s="822"/>
    </row>
    <row r="45" spans="1:23" s="850" customFormat="1" ht="21" customHeight="1" thickBot="1">
      <c r="A45" s="1382" t="s">
        <v>607</v>
      </c>
      <c r="B45" s="1383"/>
      <c r="C45" s="1383"/>
      <c r="D45" s="1384"/>
      <c r="E45" s="938">
        <v>0</v>
      </c>
      <c r="F45" s="938">
        <v>0</v>
      </c>
      <c r="G45" s="939">
        <v>0</v>
      </c>
      <c r="H45" s="940">
        <f>G45-E45</f>
        <v>0</v>
      </c>
      <c r="I45" s="941" t="str">
        <f t="shared" si="26"/>
        <v xml:space="preserve">－ </v>
      </c>
      <c r="J45" s="940">
        <f>G45-F45</f>
        <v>0</v>
      </c>
      <c r="K45" s="941" t="str">
        <f t="shared" si="27"/>
        <v xml:space="preserve">－ </v>
      </c>
      <c r="L45" s="965"/>
      <c r="O45" s="953"/>
      <c r="P45" s="851"/>
      <c r="Q45" s="858"/>
      <c r="R45" s="851">
        <f t="shared" si="28"/>
        <v>0</v>
      </c>
      <c r="S45" s="822"/>
    </row>
    <row r="46" spans="1:23" s="850" customFormat="1" ht="21" customHeight="1" thickTop="1" thickBot="1">
      <c r="A46" s="1385" t="s">
        <v>608</v>
      </c>
      <c r="B46" s="1386"/>
      <c r="C46" s="1386"/>
      <c r="D46" s="1387"/>
      <c r="E46" s="942">
        <f>SUM(E42:E45)</f>
        <v>17495336</v>
      </c>
      <c r="F46" s="942">
        <f>SUM(F42:F45)</f>
        <v>17338938</v>
      </c>
      <c r="G46" s="943">
        <f>SUM(G42:G45)</f>
        <v>17481810</v>
      </c>
      <c r="H46" s="879">
        <f>G46-E46</f>
        <v>-13526</v>
      </c>
      <c r="I46" s="944">
        <f t="shared" si="26"/>
        <v>-7.7312033332769376E-4</v>
      </c>
      <c r="J46" s="879">
        <f>G46-F46</f>
        <v>142872</v>
      </c>
      <c r="K46" s="944">
        <f t="shared" si="27"/>
        <v>8.2399510281425548E-3</v>
      </c>
      <c r="L46" s="965"/>
      <c r="O46" s="953"/>
      <c r="P46" s="945"/>
      <c r="Q46" s="945"/>
      <c r="R46" s="945"/>
      <c r="S46" s="822"/>
    </row>
    <row r="47" spans="1:23" ht="12.75" thickTop="1"/>
    <row r="48" spans="1:23" s="826" customFormat="1" ht="21" hidden="1" customHeight="1">
      <c r="B48" s="826" t="s">
        <v>609</v>
      </c>
      <c r="G48" s="827"/>
      <c r="I48" s="834"/>
      <c r="J48" s="1388"/>
      <c r="K48" s="1388"/>
      <c r="L48" s="1223"/>
      <c r="O48" s="830"/>
      <c r="P48" s="831"/>
      <c r="Q48" s="831"/>
      <c r="R48" s="831"/>
      <c r="S48" s="832"/>
      <c r="U48" s="833"/>
    </row>
    <row r="49" spans="2:21" s="826" customFormat="1" ht="21" hidden="1" customHeight="1">
      <c r="B49" s="826" t="s">
        <v>610</v>
      </c>
      <c r="G49" s="827"/>
      <c r="I49" s="834"/>
      <c r="J49" s="1223"/>
      <c r="K49" s="1223"/>
      <c r="L49" s="1223"/>
      <c r="O49" s="830"/>
      <c r="P49" s="831"/>
      <c r="Q49" s="831"/>
      <c r="R49" s="831"/>
      <c r="S49" s="832"/>
      <c r="U49" s="833"/>
    </row>
    <row r="50" spans="2:21" s="826" customFormat="1" ht="21" hidden="1" customHeight="1">
      <c r="B50" s="826" t="s">
        <v>611</v>
      </c>
      <c r="G50" s="827"/>
      <c r="I50" s="834"/>
      <c r="J50" s="1388"/>
      <c r="K50" s="1388"/>
      <c r="L50" s="1223"/>
      <c r="O50" s="830"/>
      <c r="P50" s="831"/>
      <c r="Q50" s="831"/>
      <c r="R50" s="831"/>
      <c r="S50" s="832"/>
      <c r="U50" s="833"/>
    </row>
    <row r="51" spans="2:21" s="850" customFormat="1" ht="21" hidden="1" customHeight="1">
      <c r="B51" s="826" t="s">
        <v>612</v>
      </c>
      <c r="I51" s="946"/>
      <c r="K51" s="946"/>
      <c r="L51" s="946"/>
      <c r="O51" s="906"/>
      <c r="P51" s="945"/>
      <c r="Q51" s="945"/>
      <c r="R51" s="945"/>
      <c r="S51" s="822"/>
      <c r="U51" s="947"/>
    </row>
    <row r="52" spans="2:21" s="850" customFormat="1" ht="13.5">
      <c r="I52" s="946"/>
      <c r="K52" s="946"/>
      <c r="L52" s="946"/>
      <c r="O52" s="906"/>
      <c r="P52" s="945"/>
      <c r="Q52" s="945"/>
      <c r="R52" s="945"/>
      <c r="S52" s="822"/>
      <c r="U52" s="947"/>
    </row>
  </sheetData>
  <mergeCells count="48">
    <mergeCell ref="T4:T5"/>
    <mergeCell ref="A6:D8"/>
    <mergeCell ref="E7:E8"/>
    <mergeCell ref="F7:F8"/>
    <mergeCell ref="G7:G8"/>
    <mergeCell ref="H7:H8"/>
    <mergeCell ref="J7:J8"/>
    <mergeCell ref="A20:D20"/>
    <mergeCell ref="X7:X8"/>
    <mergeCell ref="A9:D9"/>
    <mergeCell ref="B10:D10"/>
    <mergeCell ref="C11:D11"/>
    <mergeCell ref="B12:D12"/>
    <mergeCell ref="B13:D13"/>
    <mergeCell ref="A14:D14"/>
    <mergeCell ref="B15:D15"/>
    <mergeCell ref="B16:D16"/>
    <mergeCell ref="B17:D17"/>
    <mergeCell ref="B18:D18"/>
    <mergeCell ref="B31:D31"/>
    <mergeCell ref="A22:D22"/>
    <mergeCell ref="A25:D27"/>
    <mergeCell ref="E26:E27"/>
    <mergeCell ref="F26:F27"/>
    <mergeCell ref="W27:W28"/>
    <mergeCell ref="A28:D28"/>
    <mergeCell ref="B29:D29"/>
    <mergeCell ref="W29:W30"/>
    <mergeCell ref="B30:D30"/>
    <mergeCell ref="G26:G27"/>
    <mergeCell ref="H26:H27"/>
    <mergeCell ref="A43:D43"/>
    <mergeCell ref="A32:D32"/>
    <mergeCell ref="B33:D33"/>
    <mergeCell ref="B34:D34"/>
    <mergeCell ref="B35:D35"/>
    <mergeCell ref="A39:D41"/>
    <mergeCell ref="F40:F41"/>
    <mergeCell ref="G40:G41"/>
    <mergeCell ref="H40:H41"/>
    <mergeCell ref="J40:J41"/>
    <mergeCell ref="A42:D42"/>
    <mergeCell ref="E40:E41"/>
    <mergeCell ref="A44:D44"/>
    <mergeCell ref="A45:D45"/>
    <mergeCell ref="A46:D46"/>
    <mergeCell ref="J48:K48"/>
    <mergeCell ref="J50:K50"/>
  </mergeCells>
  <phoneticPr fontId="3"/>
  <pageMargins left="0.74803149606299213" right="0.51181102362204722" top="0.74803149606299213" bottom="0.74803149606299213" header="0.31496062992125984" footer="0.31496062992125984"/>
  <pageSetup paperSize="9" scale="75" orientation="portrait" blackAndWhite="1"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52"/>
  <sheetViews>
    <sheetView showGridLines="0" view="pageBreakPreview" zoomScaleNormal="100" zoomScaleSheetLayoutView="100" workbookViewId="0"/>
  </sheetViews>
  <sheetFormatPr defaultColWidth="7.75" defaultRowHeight="12"/>
  <cols>
    <col min="1" max="3" width="1.5" style="818" customWidth="1"/>
    <col min="4" max="4" width="17.25" style="818" customWidth="1"/>
    <col min="5" max="7" width="12.5" style="818" customWidth="1"/>
    <col min="8" max="8" width="12.75" style="818" bestFit="1" customWidth="1" collapsed="1"/>
    <col min="9" max="9" width="7.625" style="819" customWidth="1"/>
    <col min="10" max="10" width="12.75" style="818" bestFit="1" customWidth="1"/>
    <col min="11" max="11" width="7.625" style="819" customWidth="1"/>
    <col min="12" max="12" width="12.75" style="819" bestFit="1" customWidth="1"/>
    <col min="13" max="14" width="7.625" style="818" customWidth="1"/>
    <col min="15" max="15" width="2.375" style="820" customWidth="1"/>
    <col min="16" max="16" width="14" style="821" bestFit="1" customWidth="1"/>
    <col min="17" max="17" width="8.75" style="821" bestFit="1" customWidth="1"/>
    <col min="18" max="18" width="11.375" style="821" bestFit="1" customWidth="1"/>
    <col min="19" max="19" width="33.875" style="822" customWidth="1"/>
    <col min="20" max="20" width="36.5" style="818" bestFit="1" customWidth="1"/>
    <col min="21" max="21" width="2.125" style="823" customWidth="1"/>
    <col min="22" max="22" width="17.625" style="818" bestFit="1" customWidth="1"/>
    <col min="23" max="23" width="6.25" style="818" customWidth="1"/>
    <col min="24" max="24" width="12" style="818" customWidth="1"/>
    <col min="25" max="25" width="7.625" style="818" bestFit="1" customWidth="1"/>
    <col min="26" max="16384" width="7.75" style="818"/>
  </cols>
  <sheetData>
    <row r="1" spans="1:24">
      <c r="K1" s="955" t="s">
        <v>664</v>
      </c>
      <c r="L1" s="955"/>
    </row>
    <row r="2" spans="1:24">
      <c r="K2" s="955" t="s">
        <v>631</v>
      </c>
      <c r="L2" s="955"/>
    </row>
    <row r="3" spans="1:24" ht="24" customHeight="1" thickBot="1">
      <c r="A3" s="948" t="str">
        <f>DBCS(TEXT(DATE($T$4,12,31),"[$-ja-JP]ggge年度下水道事業会計決算【速報】"))</f>
        <v>令和５年度下水道事業会計決算【速報】</v>
      </c>
      <c r="B3" s="824"/>
      <c r="C3" s="824"/>
      <c r="D3" s="824"/>
      <c r="E3" s="824"/>
      <c r="F3" s="824"/>
      <c r="G3" s="824"/>
      <c r="H3" s="824"/>
      <c r="I3" s="824"/>
      <c r="J3" s="825"/>
      <c r="K3" s="825"/>
      <c r="L3" s="825"/>
    </row>
    <row r="4" spans="1:24" s="826" customFormat="1" ht="18" customHeight="1" thickTop="1">
      <c r="A4" s="949" t="s">
        <v>665</v>
      </c>
      <c r="G4" s="827"/>
      <c r="I4" s="828"/>
      <c r="J4" s="829"/>
      <c r="K4" s="829"/>
      <c r="L4" s="829"/>
      <c r="O4" s="830"/>
      <c r="P4" s="831"/>
      <c r="Q4" s="831"/>
      <c r="R4" s="831"/>
      <c r="S4" s="832"/>
      <c r="T4" s="1444">
        <v>2023</v>
      </c>
      <c r="U4" s="833"/>
    </row>
    <row r="5" spans="1:24" s="826" customFormat="1" ht="18" customHeight="1" thickBot="1">
      <c r="A5" s="949" t="s">
        <v>582</v>
      </c>
      <c r="G5" s="827"/>
      <c r="I5" s="834"/>
      <c r="J5" s="835"/>
      <c r="K5" s="836" t="s">
        <v>583</v>
      </c>
      <c r="L5" s="957"/>
      <c r="O5" s="830"/>
      <c r="P5" s="831"/>
      <c r="Q5" s="831"/>
      <c r="R5" s="831"/>
      <c r="S5" s="832"/>
      <c r="T5" s="1445"/>
      <c r="U5" s="833"/>
    </row>
    <row r="6" spans="1:24" ht="16.5" customHeight="1" thickTop="1" thickBot="1">
      <c r="A6" s="1446" t="s">
        <v>326</v>
      </c>
      <c r="B6" s="1447"/>
      <c r="C6" s="1447"/>
      <c r="D6" s="1448"/>
      <c r="E6" s="837" t="str">
        <f>TEXT(DATE(T4,12,31),"[$-ja-JP]ggge年度")</f>
        <v>令和5年度</v>
      </c>
      <c r="F6" s="838"/>
      <c r="G6" s="839"/>
      <c r="H6" s="840" t="s">
        <v>584</v>
      </c>
      <c r="I6" s="841"/>
      <c r="J6" s="840"/>
      <c r="K6" s="841"/>
      <c r="L6" s="967"/>
      <c r="M6" s="842"/>
      <c r="N6" s="842"/>
    </row>
    <row r="7" spans="1:24" ht="16.5" customHeight="1" thickTop="1">
      <c r="A7" s="1449"/>
      <c r="B7" s="1450"/>
      <c r="C7" s="1450"/>
      <c r="D7" s="1451"/>
      <c r="E7" s="1455" t="s">
        <v>621</v>
      </c>
      <c r="F7" s="1389" t="s">
        <v>620</v>
      </c>
      <c r="G7" s="1391" t="s">
        <v>634</v>
      </c>
      <c r="H7" s="1393" t="s">
        <v>629</v>
      </c>
      <c r="I7" s="843"/>
      <c r="J7" s="1393" t="s">
        <v>630</v>
      </c>
      <c r="K7" s="843"/>
      <c r="L7" s="964"/>
      <c r="X7" s="1436" t="s">
        <v>585</v>
      </c>
    </row>
    <row r="8" spans="1:24" ht="22.5" customHeight="1">
      <c r="A8" s="1452"/>
      <c r="B8" s="1453"/>
      <c r="C8" s="1453"/>
      <c r="D8" s="1454"/>
      <c r="E8" s="1456"/>
      <c r="F8" s="1390"/>
      <c r="G8" s="1392"/>
      <c r="H8" s="1394"/>
      <c r="I8" s="844" t="s">
        <v>330</v>
      </c>
      <c r="J8" s="1394"/>
      <c r="K8" s="844" t="s">
        <v>330</v>
      </c>
      <c r="L8" s="964"/>
      <c r="P8" s="821" t="s">
        <v>622</v>
      </c>
      <c r="Q8" s="821" t="s">
        <v>623</v>
      </c>
      <c r="R8" s="821" t="s">
        <v>624</v>
      </c>
      <c r="S8" s="822" t="s">
        <v>625</v>
      </c>
      <c r="X8" s="1437"/>
    </row>
    <row r="9" spans="1:24" ht="21" customHeight="1">
      <c r="A9" s="1400" t="s">
        <v>331</v>
      </c>
      <c r="B9" s="1401"/>
      <c r="C9" s="1401"/>
      <c r="D9" s="1402"/>
      <c r="E9" s="845">
        <f>E10+E12+E13</f>
        <v>44975817</v>
      </c>
      <c r="F9" s="845">
        <f>F10+F12+F13</f>
        <v>44165221</v>
      </c>
      <c r="G9" s="846">
        <f>G10+G12+G13</f>
        <v>44454711</v>
      </c>
      <c r="H9" s="847">
        <f t="shared" ref="H9:H18" si="0">G9-E9</f>
        <v>-521106</v>
      </c>
      <c r="I9" s="848">
        <f t="shared" ref="I9:I18" si="1">IF(AND(E9=0,G9=0),"－ ",IF(E9=0,"皆増 ",IF(G9=0,"皆減 ",H9/E9)))</f>
        <v>-1.1586359843113023E-2</v>
      </c>
      <c r="J9" s="847">
        <f t="shared" ref="J9:J18" si="2">G9-F9</f>
        <v>289490</v>
      </c>
      <c r="K9" s="849">
        <f t="shared" ref="K9:K18" si="3">IF(AND(F9=0,G9=0),"－ ",IF(F9=0,"皆増 ",IF(G9=0,"皆減 ",J9/F9)))</f>
        <v>6.5547051151402594E-3</v>
      </c>
      <c r="L9" s="965"/>
      <c r="M9" s="850"/>
      <c r="N9" s="850"/>
      <c r="O9" s="950"/>
      <c r="P9" s="851">
        <f t="shared" ref="P9:R9" si="4">P10+P12+P13</f>
        <v>44454711283</v>
      </c>
      <c r="Q9" s="851">
        <f t="shared" si="4"/>
        <v>-1</v>
      </c>
      <c r="R9" s="851">
        <f t="shared" si="4"/>
        <v>44454711</v>
      </c>
      <c r="X9" s="852" t="s">
        <v>586</v>
      </c>
    </row>
    <row r="10" spans="1:24" ht="21" customHeight="1">
      <c r="A10" s="853"/>
      <c r="B10" s="1419" t="s">
        <v>332</v>
      </c>
      <c r="C10" s="1420"/>
      <c r="D10" s="1421"/>
      <c r="E10" s="854">
        <v>35444153</v>
      </c>
      <c r="F10" s="854">
        <v>34582538</v>
      </c>
      <c r="G10" s="855">
        <f t="shared" ref="G10:G18" si="5">R10</f>
        <v>34865912</v>
      </c>
      <c r="H10" s="856">
        <f t="shared" si="0"/>
        <v>-578241</v>
      </c>
      <c r="I10" s="857">
        <f t="shared" si="1"/>
        <v>-1.6314143548584726E-2</v>
      </c>
      <c r="J10" s="856">
        <f t="shared" si="2"/>
        <v>283374</v>
      </c>
      <c r="K10" s="857">
        <f t="shared" si="3"/>
        <v>8.1941354333218697E-3</v>
      </c>
      <c r="L10" s="965"/>
      <c r="M10" s="850"/>
      <c r="N10" s="850"/>
      <c r="O10" s="950"/>
      <c r="P10" s="851">
        <f>'[2]3条収入'!$E$27</f>
        <v>34865911732</v>
      </c>
      <c r="Q10" s="858"/>
      <c r="R10" s="851">
        <f t="shared" ref="R10:R11" si="6">ROUND(P10/1000,0)+Q10</f>
        <v>34865912</v>
      </c>
      <c r="X10" s="859" t="s">
        <v>587</v>
      </c>
    </row>
    <row r="11" spans="1:24" ht="21" customHeight="1">
      <c r="A11" s="853"/>
      <c r="B11" s="860"/>
      <c r="C11" s="1423" t="s">
        <v>588</v>
      </c>
      <c r="D11" s="1424"/>
      <c r="E11" s="861">
        <v>21384728</v>
      </c>
      <c r="F11" s="861">
        <v>20441757</v>
      </c>
      <c r="G11" s="862">
        <f t="shared" si="5"/>
        <v>20488963</v>
      </c>
      <c r="H11" s="863">
        <f t="shared" si="0"/>
        <v>-895765</v>
      </c>
      <c r="I11" s="864">
        <f t="shared" si="1"/>
        <v>-4.1888070776490587E-2</v>
      </c>
      <c r="J11" s="863">
        <f t="shared" si="2"/>
        <v>47206</v>
      </c>
      <c r="K11" s="864">
        <f t="shared" si="3"/>
        <v>2.3092926894689139E-3</v>
      </c>
      <c r="L11" s="965"/>
      <c r="M11" s="850"/>
      <c r="N11" s="850"/>
      <c r="O11" s="950"/>
      <c r="P11" s="851">
        <f>'[2]3条収入'!$E$7</f>
        <v>20488962528</v>
      </c>
      <c r="Q11" s="858"/>
      <c r="R11" s="851">
        <f t="shared" si="6"/>
        <v>20488963</v>
      </c>
      <c r="X11" s="859" t="s">
        <v>613</v>
      </c>
    </row>
    <row r="12" spans="1:24" ht="21" customHeight="1">
      <c r="A12" s="853"/>
      <c r="B12" s="1422" t="s">
        <v>341</v>
      </c>
      <c r="C12" s="1423"/>
      <c r="D12" s="1424"/>
      <c r="E12" s="861">
        <v>9528788</v>
      </c>
      <c r="F12" s="861">
        <v>9579686</v>
      </c>
      <c r="G12" s="862">
        <f t="shared" si="5"/>
        <v>9584600</v>
      </c>
      <c r="H12" s="863">
        <f t="shared" si="0"/>
        <v>55812</v>
      </c>
      <c r="I12" s="864">
        <f t="shared" si="1"/>
        <v>5.8571982082086414E-3</v>
      </c>
      <c r="J12" s="863">
        <f t="shared" si="2"/>
        <v>4914</v>
      </c>
      <c r="K12" s="864">
        <f t="shared" si="3"/>
        <v>5.1296044567640314E-4</v>
      </c>
      <c r="L12" s="965"/>
      <c r="M12" s="850"/>
      <c r="N12" s="850"/>
      <c r="O12" s="950"/>
      <c r="P12" s="851">
        <f>'[2]3条収入'!$E$57</f>
        <v>9584600552</v>
      </c>
      <c r="Q12" s="858">
        <v>-1</v>
      </c>
      <c r="R12" s="851">
        <f t="shared" ref="R12:R13" si="7">ROUND(P12/1000,0)+Q12</f>
        <v>9584600</v>
      </c>
      <c r="X12" s="865" t="s">
        <v>589</v>
      </c>
    </row>
    <row r="13" spans="1:24" ht="21" customHeight="1">
      <c r="A13" s="866"/>
      <c r="B13" s="1427" t="s">
        <v>348</v>
      </c>
      <c r="C13" s="1428"/>
      <c r="D13" s="1429"/>
      <c r="E13" s="867">
        <v>2876</v>
      </c>
      <c r="F13" s="867">
        <v>2997</v>
      </c>
      <c r="G13" s="868">
        <f t="shared" si="5"/>
        <v>4199</v>
      </c>
      <c r="H13" s="869">
        <f t="shared" si="0"/>
        <v>1323</v>
      </c>
      <c r="I13" s="870">
        <f t="shared" si="1"/>
        <v>0.46001390820584143</v>
      </c>
      <c r="J13" s="869">
        <f t="shared" si="2"/>
        <v>1202</v>
      </c>
      <c r="K13" s="870">
        <f t="shared" si="3"/>
        <v>0.40106773440106774</v>
      </c>
      <c r="L13" s="965"/>
      <c r="M13" s="850"/>
      <c r="N13" s="850"/>
      <c r="O13" s="950"/>
      <c r="P13" s="851">
        <f>'[2]3条収入'!$E$68</f>
        <v>4198999</v>
      </c>
      <c r="Q13" s="858"/>
      <c r="R13" s="851">
        <f t="shared" si="7"/>
        <v>4199</v>
      </c>
    </row>
    <row r="14" spans="1:24" ht="21" customHeight="1">
      <c r="A14" s="1438" t="s">
        <v>355</v>
      </c>
      <c r="B14" s="1439"/>
      <c r="C14" s="1439"/>
      <c r="D14" s="1440"/>
      <c r="E14" s="845">
        <f>SUM(E15,E16,E17,E18)</f>
        <v>43953299</v>
      </c>
      <c r="F14" s="845">
        <f>SUM(F15,F16,F17,F18)</f>
        <v>43109924</v>
      </c>
      <c r="G14" s="846">
        <f>SUM(G15,G16,G17,G18)</f>
        <v>42987208</v>
      </c>
      <c r="H14" s="871">
        <f t="shared" si="0"/>
        <v>-966091</v>
      </c>
      <c r="I14" s="849">
        <f t="shared" si="1"/>
        <v>-2.1979942847975983E-2</v>
      </c>
      <c r="J14" s="872">
        <f t="shared" si="2"/>
        <v>-122716</v>
      </c>
      <c r="K14" s="849">
        <f t="shared" si="3"/>
        <v>-2.8465835383982585E-3</v>
      </c>
      <c r="L14" s="965"/>
      <c r="M14" s="850"/>
      <c r="N14" s="850"/>
      <c r="O14" s="951"/>
      <c r="P14" s="851">
        <f t="shared" ref="P14:R14" si="8">SUM(P15:P18)</f>
        <v>42987208386</v>
      </c>
      <c r="Q14" s="851">
        <f t="shared" si="8"/>
        <v>0</v>
      </c>
      <c r="R14" s="851">
        <f t="shared" si="8"/>
        <v>42987208</v>
      </c>
      <c r="S14" s="873"/>
      <c r="U14" s="819"/>
    </row>
    <row r="15" spans="1:24" ht="21" customHeight="1">
      <c r="A15" s="853"/>
      <c r="B15" s="1419" t="s">
        <v>356</v>
      </c>
      <c r="C15" s="1420"/>
      <c r="D15" s="1441"/>
      <c r="E15" s="854">
        <v>39325285</v>
      </c>
      <c r="F15" s="854">
        <v>38869045</v>
      </c>
      <c r="G15" s="855">
        <f t="shared" si="5"/>
        <v>38667489</v>
      </c>
      <c r="H15" s="874">
        <f t="shared" si="0"/>
        <v>-657796</v>
      </c>
      <c r="I15" s="857">
        <f t="shared" si="1"/>
        <v>-1.6727049784890306E-2</v>
      </c>
      <c r="J15" s="875">
        <f t="shared" si="2"/>
        <v>-201556</v>
      </c>
      <c r="K15" s="857">
        <f t="shared" si="3"/>
        <v>-5.1855145913669862E-3</v>
      </c>
      <c r="L15" s="965"/>
      <c r="M15" s="850"/>
      <c r="N15" s="850"/>
      <c r="O15" s="950"/>
      <c r="P15" s="851">
        <f>'[1]3条支出'!$E$5</f>
        <v>38667489041</v>
      </c>
      <c r="Q15" s="858"/>
      <c r="R15" s="851">
        <f t="shared" ref="R15:R18" si="9">ROUND(P15/1000,0)+Q15</f>
        <v>38667489</v>
      </c>
    </row>
    <row r="16" spans="1:24" ht="21" customHeight="1">
      <c r="A16" s="853"/>
      <c r="B16" s="1422" t="s">
        <v>370</v>
      </c>
      <c r="C16" s="1423"/>
      <c r="D16" s="1442"/>
      <c r="E16" s="861">
        <v>4599725</v>
      </c>
      <c r="F16" s="861">
        <f>4210270+8000</f>
        <v>4218270</v>
      </c>
      <c r="G16" s="862">
        <f t="shared" si="5"/>
        <v>4298724</v>
      </c>
      <c r="H16" s="876">
        <f t="shared" si="0"/>
        <v>-301001</v>
      </c>
      <c r="I16" s="864">
        <f t="shared" si="1"/>
        <v>-6.5438912108876077E-2</v>
      </c>
      <c r="J16" s="877">
        <f t="shared" si="2"/>
        <v>80454</v>
      </c>
      <c r="K16" s="864">
        <f t="shared" si="3"/>
        <v>1.9072747832642293E-2</v>
      </c>
      <c r="L16" s="965"/>
      <c r="M16" s="850"/>
      <c r="N16" s="850"/>
      <c r="O16" s="950"/>
      <c r="P16" s="851">
        <f>'[1]3条支出'!$E$22+[1]営外!$E$22</f>
        <v>4298724047</v>
      </c>
      <c r="Q16" s="858"/>
      <c r="R16" s="851">
        <f t="shared" si="9"/>
        <v>4298724</v>
      </c>
      <c r="S16" s="878" t="s">
        <v>627</v>
      </c>
    </row>
    <row r="17" spans="1:23" ht="21" customHeight="1">
      <c r="A17" s="853"/>
      <c r="B17" s="1422" t="s">
        <v>374</v>
      </c>
      <c r="C17" s="1423"/>
      <c r="D17" s="1442"/>
      <c r="E17" s="861">
        <v>8289</v>
      </c>
      <c r="F17" s="861">
        <f>22609</f>
        <v>22609</v>
      </c>
      <c r="G17" s="862">
        <f t="shared" si="5"/>
        <v>20995</v>
      </c>
      <c r="H17" s="876">
        <f t="shared" si="0"/>
        <v>12706</v>
      </c>
      <c r="I17" s="864">
        <f t="shared" si="1"/>
        <v>1.5328748944384123</v>
      </c>
      <c r="J17" s="877">
        <f t="shared" si="2"/>
        <v>-1614</v>
      </c>
      <c r="K17" s="864">
        <f t="shared" si="3"/>
        <v>-7.1387500552877167E-2</v>
      </c>
      <c r="L17" s="965"/>
      <c r="M17" s="850"/>
      <c r="N17" s="850"/>
      <c r="O17" s="950"/>
      <c r="P17" s="851">
        <f>'[1]3条支出'!$E$27</f>
        <v>20995298</v>
      </c>
      <c r="Q17" s="858"/>
      <c r="R17" s="851">
        <f t="shared" si="9"/>
        <v>20995</v>
      </c>
    </row>
    <row r="18" spans="1:23" ht="21" customHeight="1">
      <c r="A18" s="866"/>
      <c r="B18" s="1427" t="s">
        <v>379</v>
      </c>
      <c r="C18" s="1428"/>
      <c r="D18" s="1443"/>
      <c r="E18" s="867">
        <v>20000</v>
      </c>
      <c r="F18" s="867">
        <v>0</v>
      </c>
      <c r="G18" s="868">
        <f t="shared" si="5"/>
        <v>0</v>
      </c>
      <c r="H18" s="879">
        <f t="shared" si="0"/>
        <v>-20000</v>
      </c>
      <c r="I18" s="870" t="str">
        <f t="shared" si="1"/>
        <v xml:space="preserve">皆減 </v>
      </c>
      <c r="J18" s="880">
        <f t="shared" si="2"/>
        <v>0</v>
      </c>
      <c r="K18" s="870" t="str">
        <f t="shared" si="3"/>
        <v xml:space="preserve">－ </v>
      </c>
      <c r="L18" s="965"/>
      <c r="M18" s="850"/>
      <c r="N18" s="850"/>
      <c r="O18" s="950"/>
      <c r="P18" s="858">
        <v>0</v>
      </c>
      <c r="Q18" s="858"/>
      <c r="R18" s="851">
        <f t="shared" si="9"/>
        <v>0</v>
      </c>
    </row>
    <row r="19" spans="1:23" ht="10.15" customHeight="1">
      <c r="A19" s="850"/>
      <c r="B19" s="850"/>
      <c r="C19" s="850"/>
      <c r="D19" s="881"/>
      <c r="E19" s="882"/>
      <c r="F19" s="882"/>
      <c r="G19" s="883"/>
      <c r="H19" s="884"/>
      <c r="I19" s="885"/>
      <c r="J19" s="886"/>
      <c r="K19" s="887"/>
      <c r="L19" s="887"/>
      <c r="M19" s="850"/>
      <c r="N19" s="850"/>
      <c r="O19" s="950"/>
    </row>
    <row r="20" spans="1:23" ht="21" customHeight="1">
      <c r="A20" s="1433" t="s">
        <v>590</v>
      </c>
      <c r="B20" s="1434"/>
      <c r="C20" s="1434"/>
      <c r="D20" s="1435"/>
      <c r="E20" s="888">
        <f>E9-E14</f>
        <v>1022518</v>
      </c>
      <c r="F20" s="888">
        <f>F9-F14</f>
        <v>1055297</v>
      </c>
      <c r="G20" s="889">
        <f>G9-G14</f>
        <v>1467503</v>
      </c>
      <c r="H20" s="890">
        <f>G20-E20</f>
        <v>444985</v>
      </c>
      <c r="I20" s="891">
        <f>IF(AND(E20=0,G20=0),"－ ",IF(E20=0,"皆増 ",IF(G20=0,"皆減 ",H20/E20)))</f>
        <v>0.43518549306711474</v>
      </c>
      <c r="J20" s="892">
        <f>G20-F20</f>
        <v>412206</v>
      </c>
      <c r="K20" s="891">
        <f>IF(AND(F20=0,G20=0),"－ ",IF(F20=0,"皆増 ",IF(G20=0,"皆減 ",J20/F20)))</f>
        <v>0.39060662543340879</v>
      </c>
      <c r="L20" s="965"/>
      <c r="M20" s="850"/>
      <c r="N20" s="850"/>
      <c r="O20" s="950"/>
      <c r="P20" s="858">
        <f t="shared" ref="P20:R20" si="10">P9-P14</f>
        <v>1467502897</v>
      </c>
      <c r="Q20" s="858">
        <f t="shared" si="10"/>
        <v>-1</v>
      </c>
      <c r="R20" s="851">
        <f t="shared" si="10"/>
        <v>1467503</v>
      </c>
    </row>
    <row r="21" spans="1:23">
      <c r="D21" s="842"/>
      <c r="E21" s="893"/>
      <c r="F21" s="893"/>
      <c r="G21" s="894"/>
      <c r="H21" s="895"/>
      <c r="I21" s="896"/>
      <c r="J21" s="893"/>
      <c r="K21" s="896"/>
      <c r="L21" s="896"/>
      <c r="O21" s="950"/>
      <c r="P21" s="851">
        <f>[3]消費税!$AF$118</f>
        <v>-923595698</v>
      </c>
      <c r="Q21" s="858"/>
      <c r="R21" s="851">
        <f t="shared" ref="R21" si="11">ROUND(P21/1000,0)+Q21</f>
        <v>-923596</v>
      </c>
      <c r="S21" s="822" t="s">
        <v>626</v>
      </c>
      <c r="V21" s="818" t="s">
        <v>628</v>
      </c>
    </row>
    <row r="22" spans="1:23" ht="21" customHeight="1" thickBot="1">
      <c r="A22" s="1430" t="s">
        <v>591</v>
      </c>
      <c r="B22" s="1431"/>
      <c r="C22" s="1431"/>
      <c r="D22" s="1432"/>
      <c r="E22" s="888">
        <v>120300</v>
      </c>
      <c r="F22" s="888">
        <v>87814</v>
      </c>
      <c r="G22" s="897">
        <f>R22</f>
        <v>543907</v>
      </c>
      <c r="H22" s="890">
        <f>G22-E22</f>
        <v>423607</v>
      </c>
      <c r="I22" s="891">
        <f>IF(AND(E22=0,G22=0),"－ ",IF(E22=0,"皆増 ",IF(G22=0,"皆減 ",H22/E22)))</f>
        <v>3.5212551953449709</v>
      </c>
      <c r="J22" s="892">
        <f>G22-F22</f>
        <v>456093</v>
      </c>
      <c r="K22" s="891">
        <f>IF(AND(F22=0,G22=0),"－ ",IF(F22=0,"皆増 ",IF(G22=0,"皆減 ",J22/F22)))</f>
        <v>5.1938529163914637</v>
      </c>
      <c r="L22" s="965"/>
      <c r="M22" s="850"/>
      <c r="N22" s="850"/>
      <c r="O22" s="950"/>
      <c r="P22" s="858">
        <f>SUM(P20:P21)</f>
        <v>543907199</v>
      </c>
      <c r="Q22" s="858"/>
      <c r="R22" s="851">
        <f t="shared" ref="R22" si="12">ROUND(P22/1000,0)+Q22</f>
        <v>543907</v>
      </c>
      <c r="T22" s="818">
        <f>'(繰)案'!E13</f>
        <v>543907199</v>
      </c>
      <c r="V22" s="818">
        <f>P22-T22</f>
        <v>0</v>
      </c>
    </row>
    <row r="23" spans="1:23" ht="12" customHeight="1" thickTop="1">
      <c r="D23" s="842"/>
      <c r="H23" s="823"/>
      <c r="O23" s="950"/>
    </row>
    <row r="24" spans="1:23" s="826" customFormat="1" ht="18" customHeight="1">
      <c r="A24" s="949" t="s">
        <v>592</v>
      </c>
      <c r="G24" s="827"/>
      <c r="K24" s="834"/>
      <c r="L24" s="835"/>
      <c r="M24" s="957" t="s">
        <v>583</v>
      </c>
      <c r="N24" s="957"/>
      <c r="O24" s="952"/>
      <c r="P24" s="898"/>
      <c r="Q24" s="898"/>
      <c r="R24" s="898"/>
      <c r="S24" s="873"/>
      <c r="T24" s="899"/>
      <c r="U24" s="833"/>
    </row>
    <row r="25" spans="1:23" s="900" customFormat="1" ht="16.5" customHeight="1" thickBot="1">
      <c r="A25" s="1410" t="s">
        <v>326</v>
      </c>
      <c r="B25" s="1411"/>
      <c r="C25" s="1411"/>
      <c r="D25" s="1411"/>
      <c r="E25" s="838" t="str">
        <f>E6</f>
        <v>令和5年度</v>
      </c>
      <c r="F25" s="838"/>
      <c r="G25" s="839"/>
      <c r="H25" s="839"/>
      <c r="I25" s="840" t="s">
        <v>584</v>
      </c>
      <c r="J25" s="840"/>
      <c r="K25" s="841"/>
      <c r="L25" s="840"/>
      <c r="M25" s="841"/>
      <c r="N25" s="966"/>
      <c r="O25" s="952"/>
      <c r="P25" s="898"/>
      <c r="Q25" s="898"/>
      <c r="R25" s="898"/>
      <c r="S25" s="873"/>
    </row>
    <row r="26" spans="1:23" s="900" customFormat="1" ht="16.5" customHeight="1" thickTop="1">
      <c r="A26" s="1412"/>
      <c r="B26" s="1413"/>
      <c r="C26" s="1413"/>
      <c r="D26" s="1413"/>
      <c r="E26" s="1398" t="s">
        <v>637</v>
      </c>
      <c r="F26" s="1389" t="s">
        <v>638</v>
      </c>
      <c r="G26" s="1391" t="str">
        <f>G$7</f>
        <v>決算
(c)</v>
      </c>
      <c r="H26" s="1425" t="s">
        <v>650</v>
      </c>
      <c r="I26" s="968" t="s">
        <v>651</v>
      </c>
      <c r="J26" s="968"/>
      <c r="K26" s="969"/>
      <c r="L26" s="984" t="s">
        <v>652</v>
      </c>
      <c r="M26" s="969"/>
      <c r="N26" s="967"/>
      <c r="O26" s="952"/>
      <c r="P26" s="898"/>
      <c r="Q26" s="898"/>
      <c r="R26" s="898"/>
      <c r="S26" s="873"/>
    </row>
    <row r="27" spans="1:23" s="900" customFormat="1" ht="18.75" customHeight="1">
      <c r="A27" s="1414"/>
      <c r="B27" s="1415"/>
      <c r="C27" s="1415"/>
      <c r="D27" s="1415"/>
      <c r="E27" s="1399"/>
      <c r="F27" s="1390"/>
      <c r="G27" s="1392"/>
      <c r="H27" s="1426"/>
      <c r="I27" s="972" t="s">
        <v>636</v>
      </c>
      <c r="J27" s="970"/>
      <c r="K27" s="844" t="s">
        <v>330</v>
      </c>
      <c r="L27" s="971" t="s">
        <v>635</v>
      </c>
      <c r="M27" s="844" t="s">
        <v>330</v>
      </c>
      <c r="N27" s="964"/>
      <c r="O27" s="950"/>
      <c r="P27" s="821"/>
      <c r="Q27" s="821"/>
      <c r="R27" s="821"/>
      <c r="S27" s="901"/>
      <c r="T27" s="829" t="s">
        <v>593</v>
      </c>
      <c r="U27" s="829" t="s">
        <v>594</v>
      </c>
      <c r="V27" s="902"/>
      <c r="W27" s="1416" t="str">
        <f>IF(G9=ROUND((V27+V28)/1000,0),"OK","エラー")</f>
        <v>エラー</v>
      </c>
    </row>
    <row r="28" spans="1:23" s="850" customFormat="1" ht="21" customHeight="1">
      <c r="A28" s="1400" t="s">
        <v>389</v>
      </c>
      <c r="B28" s="1417"/>
      <c r="C28" s="1417"/>
      <c r="D28" s="1418"/>
      <c r="E28" s="903">
        <f>SUM(E29:E31)</f>
        <v>51048450</v>
      </c>
      <c r="F28" s="904">
        <f>SUM(F29:F31)</f>
        <v>50593733</v>
      </c>
      <c r="G28" s="905">
        <f t="shared" ref="G28" si="13">SUM(G29:G31)</f>
        <v>42025205</v>
      </c>
      <c r="H28" s="978">
        <f t="shared" ref="H28" si="14">SUM(H29:H31)</f>
        <v>8639286</v>
      </c>
      <c r="I28" s="973"/>
      <c r="J28" s="890">
        <f t="shared" ref="J28:J35" si="15">G28+H28-E28</f>
        <v>-383959</v>
      </c>
      <c r="K28" s="891">
        <f t="shared" ref="K28:K35" si="16">IF(AND(E28=0,SUM(G28:H28)=0),"－ ",IF(E28=0,"皆増 ",IF(SUM(G28:H28)=0,"皆減 ",J28/E28)))</f>
        <v>-7.521462453806139E-3</v>
      </c>
      <c r="L28" s="892">
        <f t="shared" ref="L28:L35" si="17">G28+H28-F28</f>
        <v>70758</v>
      </c>
      <c r="M28" s="891">
        <f t="shared" ref="M28:M35" si="18">IF(AND(F28=0,SUM(G28:H28)=0),"－ ",IF(F28=0,"皆増 ",IF(SUM(G28:H28)=0,"皆減 ",L28/F28)))</f>
        <v>1.3985526626390664E-3</v>
      </c>
      <c r="N28" s="965"/>
      <c r="O28" s="953"/>
      <c r="P28" s="851">
        <f t="shared" ref="P28" si="19">P29+P30+P31</f>
        <v>42025205141</v>
      </c>
      <c r="Q28" s="851">
        <f>Q29+Q30+Q31</f>
        <v>0</v>
      </c>
      <c r="R28" s="851">
        <f t="shared" ref="R28" si="20">R29+R30+R31</f>
        <v>42025205</v>
      </c>
      <c r="S28" s="822"/>
      <c r="T28" s="829" t="s">
        <v>595</v>
      </c>
      <c r="U28" s="826" t="s">
        <v>614</v>
      </c>
      <c r="V28" s="902"/>
      <c r="W28" s="1416"/>
    </row>
    <row r="29" spans="1:23" s="850" customFormat="1" ht="21" customHeight="1">
      <c r="A29" s="907"/>
      <c r="B29" s="1419" t="s">
        <v>390</v>
      </c>
      <c r="C29" s="1420"/>
      <c r="D29" s="1421"/>
      <c r="E29" s="908">
        <f>32505200+5247400</f>
        <v>37752600</v>
      </c>
      <c r="F29" s="909">
        <f>32352700+5247400</f>
        <v>37600100</v>
      </c>
      <c r="G29" s="910">
        <f t="shared" ref="G29:G35" si="21">R29</f>
        <v>32373300</v>
      </c>
      <c r="H29" s="979">
        <v>5226800</v>
      </c>
      <c r="I29" s="974"/>
      <c r="J29" s="856">
        <f t="shared" si="15"/>
        <v>-152500</v>
      </c>
      <c r="K29" s="857">
        <f t="shared" si="16"/>
        <v>-4.0394568850887092E-3</v>
      </c>
      <c r="L29" s="911">
        <f t="shared" si="17"/>
        <v>0</v>
      </c>
      <c r="M29" s="857">
        <f t="shared" si="18"/>
        <v>0</v>
      </c>
      <c r="N29" s="965"/>
      <c r="O29" s="953"/>
      <c r="P29" s="851">
        <f>'[5]4条収入'!$E$7</f>
        <v>32373300000</v>
      </c>
      <c r="Q29" s="858"/>
      <c r="R29" s="851">
        <f t="shared" ref="R29:R31" si="22">ROUND(P29/1000,0)+Q29</f>
        <v>32373300</v>
      </c>
      <c r="S29" s="822"/>
      <c r="T29" s="829" t="s">
        <v>596</v>
      </c>
      <c r="U29" s="826" t="s">
        <v>615</v>
      </c>
      <c r="V29" s="912"/>
      <c r="W29" s="1416" t="str">
        <f>IF(G14=ROUND((V29+V30)/1000,0),"OK","エラー")</f>
        <v>エラー</v>
      </c>
    </row>
    <row r="30" spans="1:23" s="850" customFormat="1" ht="21" customHeight="1">
      <c r="A30" s="907"/>
      <c r="B30" s="1422" t="s">
        <v>400</v>
      </c>
      <c r="C30" s="1423"/>
      <c r="D30" s="1424"/>
      <c r="E30" s="913">
        <f>5769500+3174000</f>
        <v>8943500</v>
      </c>
      <c r="F30" s="861">
        <f>5766211+3174000</f>
        <v>8940211</v>
      </c>
      <c r="G30" s="862">
        <f t="shared" si="21"/>
        <v>5717788</v>
      </c>
      <c r="H30" s="980">
        <v>3222486</v>
      </c>
      <c r="I30" s="975"/>
      <c r="J30" s="863">
        <f t="shared" si="15"/>
        <v>-3226</v>
      </c>
      <c r="K30" s="864">
        <f t="shared" si="16"/>
        <v>-3.6070889472801477E-4</v>
      </c>
      <c r="L30" s="914">
        <f t="shared" si="17"/>
        <v>63</v>
      </c>
      <c r="M30" s="864">
        <f t="shared" si="18"/>
        <v>7.046813548360324E-6</v>
      </c>
      <c r="N30" s="965"/>
      <c r="O30" s="953"/>
      <c r="P30" s="851">
        <f>'[5]4条収入'!$E$23</f>
        <v>5717788000</v>
      </c>
      <c r="Q30" s="858"/>
      <c r="R30" s="851">
        <f t="shared" si="22"/>
        <v>5717788</v>
      </c>
      <c r="S30" s="822"/>
      <c r="T30" s="826" t="s">
        <v>597</v>
      </c>
      <c r="U30" s="826" t="s">
        <v>616</v>
      </c>
      <c r="V30" s="912"/>
      <c r="W30" s="1416"/>
    </row>
    <row r="31" spans="1:23" s="850" customFormat="1" ht="21" customHeight="1">
      <c r="A31" s="915"/>
      <c r="B31" s="1427" t="s">
        <v>415</v>
      </c>
      <c r="C31" s="1428"/>
      <c r="D31" s="1429"/>
      <c r="E31" s="913">
        <v>4352350</v>
      </c>
      <c r="F31" s="861">
        <v>4053422</v>
      </c>
      <c r="G31" s="868">
        <f t="shared" si="21"/>
        <v>3934117</v>
      </c>
      <c r="H31" s="981">
        <f>130000+60000</f>
        <v>190000</v>
      </c>
      <c r="I31" s="976"/>
      <c r="J31" s="869">
        <f t="shared" si="15"/>
        <v>-228233</v>
      </c>
      <c r="K31" s="870">
        <f t="shared" si="16"/>
        <v>-5.2439027192206507E-2</v>
      </c>
      <c r="L31" s="914">
        <f t="shared" si="17"/>
        <v>70695</v>
      </c>
      <c r="M31" s="864">
        <f t="shared" si="18"/>
        <v>1.7440819139976051E-2</v>
      </c>
      <c r="N31" s="965"/>
      <c r="O31" s="953"/>
      <c r="P31" s="851">
        <f>'[5]4条収入'!$E$91-SUM(P29:P30)</f>
        <v>3934117141</v>
      </c>
      <c r="Q31" s="858"/>
      <c r="R31" s="851">
        <f t="shared" si="22"/>
        <v>3934117</v>
      </c>
      <c r="S31" s="822"/>
      <c r="T31" s="826" t="s">
        <v>598</v>
      </c>
      <c r="U31" s="826" t="s">
        <v>617</v>
      </c>
      <c r="V31" s="912"/>
      <c r="W31" s="916"/>
    </row>
    <row r="32" spans="1:23" s="850" customFormat="1" ht="21" customHeight="1">
      <c r="A32" s="1400" t="s">
        <v>417</v>
      </c>
      <c r="B32" s="1401"/>
      <c r="C32" s="1401"/>
      <c r="D32" s="1402"/>
      <c r="E32" s="917">
        <f>E33+E34+E35</f>
        <v>71361650</v>
      </c>
      <c r="F32" s="918">
        <f>F33+F34+F35</f>
        <v>71076971</v>
      </c>
      <c r="G32" s="846">
        <f t="shared" ref="G32" si="23">G33+G34+G35</f>
        <v>61875977</v>
      </c>
      <c r="H32" s="982">
        <f t="shared" ref="H32" si="24">H33+H34+H35</f>
        <v>9225844</v>
      </c>
      <c r="I32" s="977"/>
      <c r="J32" s="890">
        <f t="shared" si="15"/>
        <v>-259829</v>
      </c>
      <c r="K32" s="891">
        <f t="shared" si="16"/>
        <v>-3.6410172690794006E-3</v>
      </c>
      <c r="L32" s="892">
        <f t="shared" si="17"/>
        <v>24850</v>
      </c>
      <c r="M32" s="919">
        <f t="shared" si="18"/>
        <v>3.4962097639191744E-4</v>
      </c>
      <c r="N32" s="965"/>
      <c r="O32" s="953"/>
      <c r="P32" s="851">
        <f t="shared" ref="P32" si="25">P33+P34+P35</f>
        <v>61875977537</v>
      </c>
      <c r="Q32" s="851">
        <f>Q33+Q34+Q35</f>
        <v>0</v>
      </c>
      <c r="R32" s="851">
        <f t="shared" ref="R32" si="26">R33+R34+R35</f>
        <v>61875977</v>
      </c>
      <c r="S32" s="822"/>
      <c r="T32" s="920" t="s">
        <v>599</v>
      </c>
      <c r="U32" s="920" t="s">
        <v>618</v>
      </c>
      <c r="V32" s="921"/>
      <c r="W32" s="916"/>
    </row>
    <row r="33" spans="1:23" s="850" customFormat="1" ht="21" customHeight="1">
      <c r="A33" s="853"/>
      <c r="B33" s="1403" t="s">
        <v>418</v>
      </c>
      <c r="C33" s="1404"/>
      <c r="D33" s="1405"/>
      <c r="E33" s="922">
        <f>17424201+9305739</f>
        <v>26729940</v>
      </c>
      <c r="F33" s="854">
        <f>17145810+9305739</f>
        <v>26451549</v>
      </c>
      <c r="G33" s="855">
        <f t="shared" si="21"/>
        <v>17250555</v>
      </c>
      <c r="H33" s="983">
        <v>9225844</v>
      </c>
      <c r="I33" s="974"/>
      <c r="J33" s="856">
        <f t="shared" si="15"/>
        <v>-253541</v>
      </c>
      <c r="K33" s="857">
        <f t="shared" si="16"/>
        <v>-9.485281298798276E-3</v>
      </c>
      <c r="L33" s="911">
        <f t="shared" si="17"/>
        <v>24850</v>
      </c>
      <c r="M33" s="923">
        <f t="shared" si="18"/>
        <v>9.3945348909434373E-4</v>
      </c>
      <c r="N33" s="965"/>
      <c r="O33" s="953"/>
      <c r="P33" s="851">
        <f>'[6]4条支出'!$E$5</f>
        <v>17250555070</v>
      </c>
      <c r="Q33" s="858"/>
      <c r="R33" s="851">
        <f t="shared" ref="R33:R35" si="27">ROUND(P33/1000,0)+Q33</f>
        <v>17250555</v>
      </c>
      <c r="S33" s="822"/>
      <c r="T33" s="829" t="s">
        <v>600</v>
      </c>
      <c r="U33" s="826" t="s">
        <v>619</v>
      </c>
      <c r="V33" s="912"/>
      <c r="W33" s="916"/>
    </row>
    <row r="34" spans="1:23" s="850" customFormat="1" ht="21" customHeight="1">
      <c r="A34" s="853"/>
      <c r="B34" s="1406" t="s">
        <v>435</v>
      </c>
      <c r="C34" s="1406"/>
      <c r="D34" s="1407"/>
      <c r="E34" s="913">
        <v>44621423</v>
      </c>
      <c r="F34" s="861">
        <v>44621240</v>
      </c>
      <c r="G34" s="862">
        <f t="shared" si="21"/>
        <v>44621240</v>
      </c>
      <c r="H34" s="980">
        <v>0</v>
      </c>
      <c r="I34" s="975"/>
      <c r="J34" s="863">
        <f t="shared" si="15"/>
        <v>-183</v>
      </c>
      <c r="K34" s="864">
        <f t="shared" si="16"/>
        <v>-4.1011690729809313E-6</v>
      </c>
      <c r="L34" s="914">
        <f t="shared" si="17"/>
        <v>0</v>
      </c>
      <c r="M34" s="924">
        <f t="shared" si="18"/>
        <v>0</v>
      </c>
      <c r="N34" s="965"/>
      <c r="O34" s="953"/>
      <c r="P34" s="851">
        <f>'[6]4条支出'!$E$21</f>
        <v>44621240467</v>
      </c>
      <c r="Q34" s="858"/>
      <c r="R34" s="851">
        <f t="shared" si="27"/>
        <v>44621240</v>
      </c>
      <c r="S34" s="822"/>
      <c r="T34" s="829" t="s">
        <v>601</v>
      </c>
      <c r="U34" s="826" t="s">
        <v>602</v>
      </c>
      <c r="V34" s="912"/>
      <c r="W34" s="916"/>
    </row>
    <row r="35" spans="1:23" s="850" customFormat="1" ht="21" customHeight="1" thickBot="1">
      <c r="A35" s="866"/>
      <c r="B35" s="1408" t="s">
        <v>436</v>
      </c>
      <c r="C35" s="1408"/>
      <c r="D35" s="1409"/>
      <c r="E35" s="925">
        <v>10287</v>
      </c>
      <c r="F35" s="867">
        <v>4182</v>
      </c>
      <c r="G35" s="926">
        <f t="shared" si="21"/>
        <v>4182</v>
      </c>
      <c r="H35" s="981">
        <v>0</v>
      </c>
      <c r="I35" s="976"/>
      <c r="J35" s="869">
        <f t="shared" si="15"/>
        <v>-6105</v>
      </c>
      <c r="K35" s="870">
        <f t="shared" si="16"/>
        <v>-0.59346748323126275</v>
      </c>
      <c r="L35" s="880">
        <f t="shared" si="17"/>
        <v>0</v>
      </c>
      <c r="M35" s="927">
        <f t="shared" si="18"/>
        <v>0</v>
      </c>
      <c r="N35" s="965"/>
      <c r="O35" s="953"/>
      <c r="P35" s="851">
        <f>'[6]4条支出'!$E$41-SUM(P33:P34)</f>
        <v>4182000</v>
      </c>
      <c r="Q35" s="858"/>
      <c r="R35" s="851">
        <f t="shared" si="27"/>
        <v>4182</v>
      </c>
      <c r="S35" s="822"/>
      <c r="T35" s="826" t="s">
        <v>603</v>
      </c>
      <c r="U35" s="826" t="s">
        <v>604</v>
      </c>
      <c r="V35" s="912"/>
      <c r="W35" s="916"/>
    </row>
    <row r="36" spans="1:23" ht="12" customHeight="1" thickTop="1">
      <c r="A36" s="928"/>
      <c r="B36" s="967" t="s">
        <v>639</v>
      </c>
      <c r="C36" s="929"/>
      <c r="D36" s="929"/>
      <c r="E36" s="930"/>
      <c r="F36" s="930"/>
      <c r="G36" s="930"/>
      <c r="H36" s="931"/>
      <c r="I36" s="932"/>
      <c r="J36" s="931"/>
      <c r="K36" s="933"/>
      <c r="L36" s="933"/>
      <c r="O36" s="950"/>
      <c r="T36" s="920" t="s">
        <v>605</v>
      </c>
      <c r="U36" s="920"/>
      <c r="V36" s="921"/>
      <c r="W36" s="916"/>
    </row>
    <row r="37" spans="1:23" ht="12" customHeight="1">
      <c r="A37" s="928"/>
      <c r="B37" s="967"/>
      <c r="C37" s="929"/>
      <c r="D37" s="929"/>
      <c r="E37" s="930"/>
      <c r="F37" s="930"/>
      <c r="G37" s="930"/>
      <c r="H37" s="931"/>
      <c r="I37" s="932"/>
      <c r="J37" s="931"/>
      <c r="K37" s="933"/>
      <c r="L37" s="933"/>
      <c r="O37" s="950"/>
      <c r="T37" s="920"/>
      <c r="U37" s="920"/>
      <c r="V37" s="921"/>
      <c r="W37" s="916"/>
    </row>
    <row r="38" spans="1:23" s="826" customFormat="1" ht="18" customHeight="1">
      <c r="A38" s="949" t="s">
        <v>606</v>
      </c>
      <c r="G38" s="827"/>
      <c r="I38" s="834"/>
      <c r="J38" s="835"/>
      <c r="K38" s="836" t="s">
        <v>583</v>
      </c>
      <c r="L38" s="957"/>
      <c r="O38" s="954"/>
      <c r="P38" s="831"/>
      <c r="Q38" s="831"/>
      <c r="R38" s="831"/>
      <c r="S38" s="832"/>
      <c r="V38" s="934"/>
    </row>
    <row r="39" spans="1:23" s="900" customFormat="1" ht="16.5" customHeight="1" thickBot="1">
      <c r="A39" s="1410" t="s">
        <v>326</v>
      </c>
      <c r="B39" s="1411"/>
      <c r="C39" s="1411"/>
      <c r="D39" s="1411"/>
      <c r="E39" s="935" t="str">
        <f>E6</f>
        <v>令和5年度</v>
      </c>
      <c r="F39" s="838"/>
      <c r="G39" s="839"/>
      <c r="H39" s="840" t="s">
        <v>584</v>
      </c>
      <c r="I39" s="841"/>
      <c r="J39" s="840"/>
      <c r="K39" s="841"/>
      <c r="L39" s="967"/>
      <c r="O39" s="950"/>
      <c r="P39" s="821"/>
      <c r="Q39" s="821"/>
      <c r="R39" s="821"/>
      <c r="S39" s="901"/>
    </row>
    <row r="40" spans="1:23" s="900" customFormat="1" ht="16.5" customHeight="1" thickTop="1">
      <c r="A40" s="1412"/>
      <c r="B40" s="1413"/>
      <c r="C40" s="1413"/>
      <c r="D40" s="1413"/>
      <c r="E40" s="1398" t="str">
        <f t="shared" ref="E40:G40" si="28">E$7</f>
        <v>議決予算
（a）</v>
      </c>
      <c r="F40" s="1389" t="str">
        <f t="shared" si="28"/>
        <v>4月決見
（b）</v>
      </c>
      <c r="G40" s="1391" t="str">
        <f t="shared" si="28"/>
        <v>決算
(c)</v>
      </c>
      <c r="H40" s="1393" t="str">
        <f>H7</f>
        <v>決算(c)
-議決予算(a)</v>
      </c>
      <c r="I40" s="843"/>
      <c r="J40" s="1393" t="str">
        <f>J7</f>
        <v>決算(c)
-4月決見(b)</v>
      </c>
      <c r="K40" s="843"/>
      <c r="L40" s="964"/>
      <c r="O40" s="950"/>
      <c r="P40" s="821"/>
      <c r="Q40" s="821"/>
      <c r="R40" s="821"/>
      <c r="S40" s="901"/>
    </row>
    <row r="41" spans="1:23" s="900" customFormat="1" ht="18.75" customHeight="1">
      <c r="A41" s="1414"/>
      <c r="B41" s="1415"/>
      <c r="C41" s="1415"/>
      <c r="D41" s="1415"/>
      <c r="E41" s="1399"/>
      <c r="F41" s="1390"/>
      <c r="G41" s="1392"/>
      <c r="H41" s="1394"/>
      <c r="I41" s="844" t="s">
        <v>330</v>
      </c>
      <c r="J41" s="1394"/>
      <c r="K41" s="844" t="s">
        <v>330</v>
      </c>
      <c r="L41" s="964"/>
      <c r="O41" s="950"/>
      <c r="P41" s="821"/>
      <c r="Q41" s="821"/>
      <c r="R41" s="821"/>
      <c r="S41" s="901"/>
    </row>
    <row r="42" spans="1:23" s="850" customFormat="1" ht="21" customHeight="1">
      <c r="A42" s="1395" t="s">
        <v>334</v>
      </c>
      <c r="B42" s="1396"/>
      <c r="C42" s="1396"/>
      <c r="D42" s="1397"/>
      <c r="E42" s="854">
        <v>13854862</v>
      </c>
      <c r="F42" s="854">
        <v>13951285</v>
      </c>
      <c r="G42" s="855">
        <f t="shared" ref="G42:G44" si="29">R42</f>
        <v>14187102</v>
      </c>
      <c r="H42" s="847">
        <f>G42-E42</f>
        <v>332240</v>
      </c>
      <c r="I42" s="848">
        <f t="shared" ref="I42:I46" si="30">IF(AND(E42=0,G42=0),"－ ",IF(E42=0,"皆増 ",IF(G42=0,"皆減 ",H42/E42)))</f>
        <v>2.3980029537645341E-2</v>
      </c>
      <c r="J42" s="847">
        <f>G42-F42</f>
        <v>235817</v>
      </c>
      <c r="K42" s="848">
        <f t="shared" ref="K42:K46" si="31">IF(AND(F42=0,G42=0),"－ ",IF(F42=0,"皆増 ",IF(G42=0,"皆減 ",J42/F42)))</f>
        <v>1.6902887440117524E-2</v>
      </c>
      <c r="L42" s="965"/>
      <c r="O42" s="953"/>
      <c r="P42" s="851">
        <f>'[2]3条収入'!$E$9</f>
        <v>14187102335</v>
      </c>
      <c r="Q42" s="858"/>
      <c r="R42" s="851">
        <f t="shared" ref="R42:R45" si="32">ROUND(P42/1000,0)+Q42</f>
        <v>14187102</v>
      </c>
      <c r="S42" s="822"/>
    </row>
    <row r="43" spans="1:23" s="850" customFormat="1" ht="21" customHeight="1">
      <c r="A43" s="1379" t="s">
        <v>344</v>
      </c>
      <c r="B43" s="1380"/>
      <c r="C43" s="1380"/>
      <c r="D43" s="1381"/>
      <c r="E43" s="936">
        <v>0</v>
      </c>
      <c r="F43" s="936">
        <v>8000</v>
      </c>
      <c r="G43" s="937">
        <f t="shared" si="29"/>
        <v>9203</v>
      </c>
      <c r="H43" s="863">
        <f>G43-E43</f>
        <v>9203</v>
      </c>
      <c r="I43" s="864" t="str">
        <f t="shared" si="30"/>
        <v xml:space="preserve">皆増 </v>
      </c>
      <c r="J43" s="863">
        <f>G43-F43</f>
        <v>1203</v>
      </c>
      <c r="K43" s="864">
        <f t="shared" si="31"/>
        <v>0.15037500000000001</v>
      </c>
      <c r="L43" s="965"/>
      <c r="O43" s="953"/>
      <c r="P43" s="851">
        <f>'[2]3条収入'!$E$42</f>
        <v>9203253</v>
      </c>
      <c r="Q43" s="858"/>
      <c r="R43" s="851">
        <f t="shared" si="32"/>
        <v>9203</v>
      </c>
      <c r="S43" s="822"/>
    </row>
    <row r="44" spans="1:23" s="850" customFormat="1" ht="21" customHeight="1">
      <c r="A44" s="1379" t="s">
        <v>399</v>
      </c>
      <c r="B44" s="1380"/>
      <c r="C44" s="1380"/>
      <c r="D44" s="1381"/>
      <c r="E44" s="861">
        <v>3640474</v>
      </c>
      <c r="F44" s="861">
        <v>3379653</v>
      </c>
      <c r="G44" s="862">
        <f t="shared" si="29"/>
        <v>3285505</v>
      </c>
      <c r="H44" s="863">
        <f>G44-E44</f>
        <v>-354969</v>
      </c>
      <c r="I44" s="864">
        <f t="shared" si="30"/>
        <v>-9.7506258800365009E-2</v>
      </c>
      <c r="J44" s="863">
        <f>G44-F44</f>
        <v>-94148</v>
      </c>
      <c r="K44" s="864">
        <f t="shared" si="31"/>
        <v>-2.7857297775836749E-2</v>
      </c>
      <c r="L44" s="965"/>
      <c r="O44" s="953"/>
      <c r="P44" s="851">
        <f>'[5]4条収入'!$E$21</f>
        <v>3285504551</v>
      </c>
      <c r="Q44" s="858"/>
      <c r="R44" s="851">
        <f t="shared" si="32"/>
        <v>3285505</v>
      </c>
      <c r="S44" s="822"/>
    </row>
    <row r="45" spans="1:23" s="850" customFormat="1" ht="21" customHeight="1" thickBot="1">
      <c r="A45" s="1382" t="s">
        <v>607</v>
      </c>
      <c r="B45" s="1383"/>
      <c r="C45" s="1383"/>
      <c r="D45" s="1384"/>
      <c r="E45" s="938">
        <v>0</v>
      </c>
      <c r="F45" s="938">
        <v>0</v>
      </c>
      <c r="G45" s="939">
        <v>0</v>
      </c>
      <c r="H45" s="940">
        <f>G45-E45</f>
        <v>0</v>
      </c>
      <c r="I45" s="941" t="str">
        <f t="shared" si="30"/>
        <v xml:space="preserve">－ </v>
      </c>
      <c r="J45" s="940">
        <f>G45-F45</f>
        <v>0</v>
      </c>
      <c r="K45" s="941" t="str">
        <f t="shared" si="31"/>
        <v xml:space="preserve">－ </v>
      </c>
      <c r="L45" s="965"/>
      <c r="O45" s="953"/>
      <c r="P45" s="851"/>
      <c r="Q45" s="858"/>
      <c r="R45" s="851">
        <f t="shared" si="32"/>
        <v>0</v>
      </c>
      <c r="S45" s="822"/>
    </row>
    <row r="46" spans="1:23" s="850" customFormat="1" ht="21" customHeight="1" thickTop="1" thickBot="1">
      <c r="A46" s="1385" t="s">
        <v>608</v>
      </c>
      <c r="B46" s="1386"/>
      <c r="C46" s="1386"/>
      <c r="D46" s="1387"/>
      <c r="E46" s="942">
        <f>SUM(E42:E45)</f>
        <v>17495336</v>
      </c>
      <c r="F46" s="942">
        <f>SUM(F42:F45)</f>
        <v>17338938</v>
      </c>
      <c r="G46" s="943">
        <f>SUM(G42:G45)</f>
        <v>17481810</v>
      </c>
      <c r="H46" s="879">
        <f>G46-E46</f>
        <v>-13526</v>
      </c>
      <c r="I46" s="944">
        <f t="shared" si="30"/>
        <v>-7.7312033332769376E-4</v>
      </c>
      <c r="J46" s="879">
        <f>G46-F46</f>
        <v>142872</v>
      </c>
      <c r="K46" s="944">
        <f t="shared" si="31"/>
        <v>8.2399510281425548E-3</v>
      </c>
      <c r="L46" s="965"/>
      <c r="O46" s="953"/>
      <c r="P46" s="945"/>
      <c r="Q46" s="945"/>
      <c r="R46" s="945"/>
      <c r="S46" s="822"/>
    </row>
    <row r="47" spans="1:23" ht="12.75" thickTop="1"/>
    <row r="48" spans="1:23" s="826" customFormat="1" ht="21" hidden="1" customHeight="1">
      <c r="B48" s="826" t="s">
        <v>609</v>
      </c>
      <c r="G48" s="827"/>
      <c r="I48" s="834"/>
      <c r="J48" s="1388"/>
      <c r="K48" s="1388"/>
      <c r="L48" s="957"/>
      <c r="O48" s="830"/>
      <c r="P48" s="831"/>
      <c r="Q48" s="831"/>
      <c r="R48" s="831"/>
      <c r="S48" s="832"/>
      <c r="U48" s="833"/>
    </row>
    <row r="49" spans="2:21" s="826" customFormat="1" ht="21" hidden="1" customHeight="1">
      <c r="B49" s="826" t="s">
        <v>610</v>
      </c>
      <c r="G49" s="827"/>
      <c r="I49" s="834"/>
      <c r="J49" s="836"/>
      <c r="K49" s="836"/>
      <c r="L49" s="957"/>
      <c r="O49" s="830"/>
      <c r="P49" s="831"/>
      <c r="Q49" s="831"/>
      <c r="R49" s="831"/>
      <c r="S49" s="832"/>
      <c r="U49" s="833"/>
    </row>
    <row r="50" spans="2:21" s="826" customFormat="1" ht="21" hidden="1" customHeight="1">
      <c r="B50" s="826" t="s">
        <v>611</v>
      </c>
      <c r="G50" s="827"/>
      <c r="I50" s="834"/>
      <c r="J50" s="1388"/>
      <c r="K50" s="1388"/>
      <c r="L50" s="957"/>
      <c r="O50" s="830"/>
      <c r="P50" s="831"/>
      <c r="Q50" s="831"/>
      <c r="R50" s="831"/>
      <c r="S50" s="832"/>
      <c r="U50" s="833"/>
    </row>
    <row r="51" spans="2:21" s="850" customFormat="1" ht="21" hidden="1" customHeight="1">
      <c r="B51" s="826" t="s">
        <v>612</v>
      </c>
      <c r="I51" s="946"/>
      <c r="K51" s="946"/>
      <c r="L51" s="946"/>
      <c r="O51" s="906"/>
      <c r="P51" s="945"/>
      <c r="Q51" s="945"/>
      <c r="R51" s="945"/>
      <c r="S51" s="822"/>
      <c r="U51" s="947"/>
    </row>
    <row r="52" spans="2:21" s="850" customFormat="1" ht="13.5">
      <c r="I52" s="946"/>
      <c r="K52" s="946"/>
      <c r="L52" s="946"/>
      <c r="O52" s="906"/>
      <c r="P52" s="945"/>
      <c r="Q52" s="945"/>
      <c r="R52" s="945"/>
      <c r="S52" s="822"/>
      <c r="U52" s="947"/>
    </row>
  </sheetData>
  <mergeCells count="48">
    <mergeCell ref="T4:T5"/>
    <mergeCell ref="A6:D8"/>
    <mergeCell ref="E7:E8"/>
    <mergeCell ref="F7:F8"/>
    <mergeCell ref="G7:G8"/>
    <mergeCell ref="H7:H8"/>
    <mergeCell ref="B18:D18"/>
    <mergeCell ref="J7:J8"/>
    <mergeCell ref="X7:X8"/>
    <mergeCell ref="A9:D9"/>
    <mergeCell ref="B10:D10"/>
    <mergeCell ref="C11:D11"/>
    <mergeCell ref="B12:D12"/>
    <mergeCell ref="B13:D13"/>
    <mergeCell ref="A14:D14"/>
    <mergeCell ref="B15:D15"/>
    <mergeCell ref="B16:D16"/>
    <mergeCell ref="B17:D17"/>
    <mergeCell ref="A20:D20"/>
    <mergeCell ref="A22:D22"/>
    <mergeCell ref="A25:D27"/>
    <mergeCell ref="E26:E27"/>
    <mergeCell ref="F26:F27"/>
    <mergeCell ref="W27:W28"/>
    <mergeCell ref="A28:D28"/>
    <mergeCell ref="B29:D29"/>
    <mergeCell ref="W29:W30"/>
    <mergeCell ref="B30:D30"/>
    <mergeCell ref="G26:G27"/>
    <mergeCell ref="H26:H27"/>
    <mergeCell ref="J40:J41"/>
    <mergeCell ref="B31:D31"/>
    <mergeCell ref="A32:D32"/>
    <mergeCell ref="B33:D33"/>
    <mergeCell ref="B34:D34"/>
    <mergeCell ref="B35:D35"/>
    <mergeCell ref="A39:D41"/>
    <mergeCell ref="E40:E41"/>
    <mergeCell ref="F40:F41"/>
    <mergeCell ref="G40:G41"/>
    <mergeCell ref="H40:H41"/>
    <mergeCell ref="J50:K50"/>
    <mergeCell ref="A42:D42"/>
    <mergeCell ref="A43:D43"/>
    <mergeCell ref="A44:D44"/>
    <mergeCell ref="A45:D45"/>
    <mergeCell ref="A46:D46"/>
    <mergeCell ref="J48:K48"/>
  </mergeCells>
  <phoneticPr fontId="28"/>
  <pageMargins left="0.74803149606299213" right="0.51181102362204722" top="0.74803149606299213" bottom="0.74803149606299213" header="0.31496062992125984" footer="0.31496062992125984"/>
  <pageSetup paperSize="9" scale="69" orientation="portrait" blackAndWhite="1" cellComments="asDisplayed"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66FF33"/>
  </sheetPr>
  <dimension ref="A1:W67"/>
  <sheetViews>
    <sheetView showGridLines="0" view="pageBreakPreview" zoomScale="115" zoomScaleNormal="130" zoomScaleSheetLayoutView="115" workbookViewId="0">
      <pane xSplit="4" ySplit="8" topLeftCell="F9" activePane="bottomRight" state="frozen"/>
      <selection activeCell="F9" sqref="F9"/>
      <selection pane="topRight" activeCell="F9" sqref="F9"/>
      <selection pane="bottomLeft" activeCell="F9" sqref="F9"/>
      <selection pane="bottomRight" activeCell="F9" sqref="F9"/>
    </sheetView>
  </sheetViews>
  <sheetFormatPr defaultColWidth="9" defaultRowHeight="20.25" customHeight="1" outlineLevelRow="1" outlineLevelCol="1"/>
  <cols>
    <col min="1" max="3" width="1.375" style="425" customWidth="1"/>
    <col min="4" max="4" width="19.875" style="425" customWidth="1"/>
    <col min="5" max="5" width="12" style="429" hidden="1" customWidth="1" outlineLevel="1"/>
    <col min="6" max="6" width="11.625" style="430" customWidth="1" collapsed="1"/>
    <col min="7" max="9" width="11.625" style="430" customWidth="1"/>
    <col min="10" max="10" width="10.75" style="425" customWidth="1" collapsed="1"/>
    <col min="11" max="11" width="7.5" style="425" bestFit="1" customWidth="1"/>
    <col min="12" max="12" width="10.75" style="425" customWidth="1" collapsed="1"/>
    <col min="13" max="13" width="7.5" style="425" bestFit="1" customWidth="1"/>
    <col min="14" max="14" width="10.75" style="425" customWidth="1" collapsed="1"/>
    <col min="15" max="15" width="7.5" style="425" bestFit="1" customWidth="1"/>
    <col min="16" max="16" width="10.5" style="425" bestFit="1" customWidth="1"/>
    <col min="17" max="17" width="8.75" style="425" customWidth="1"/>
    <col min="18" max="18" width="12.875" style="425" customWidth="1"/>
    <col min="19" max="19" width="11.625" style="425" customWidth="1"/>
    <col min="20" max="20" width="10" style="425" customWidth="1"/>
    <col min="21" max="21" width="16.375" style="428" bestFit="1" customWidth="1"/>
    <col min="22" max="22" width="9" style="428"/>
    <col min="23" max="23" width="13.375" style="428" bestFit="1" customWidth="1"/>
    <col min="24" max="16384" width="9" style="425"/>
  </cols>
  <sheetData>
    <row r="1" spans="1:23" ht="12" hidden="1" outlineLevel="1"/>
    <row r="2" spans="1:23" ht="12" hidden="1" outlineLevel="1"/>
    <row r="3" spans="1:23" s="431" customFormat="1" ht="18.75" collapsed="1">
      <c r="A3" s="431" t="str">
        <f>CONCATENATE("令和",+DBCS(MID(出資金しくみ!B1,3,1)),"年度決算　収益的収支（税抜き）")</f>
        <v>令和５年度決算　収益的収支（税抜き）</v>
      </c>
      <c r="B3" s="432"/>
      <c r="C3" s="432"/>
      <c r="D3" s="432"/>
      <c r="E3" s="433"/>
      <c r="F3" s="434"/>
      <c r="G3" s="434"/>
      <c r="H3" s="434"/>
      <c r="I3" s="435"/>
      <c r="J3" s="432"/>
      <c r="K3" s="432"/>
      <c r="L3" s="432"/>
      <c r="M3" s="436"/>
      <c r="N3" s="432"/>
      <c r="O3" s="1200" t="str">
        <f>総括表!$K$1</f>
        <v>令和6年5月22日</v>
      </c>
      <c r="U3" s="437"/>
      <c r="V3" s="437"/>
      <c r="W3" s="437"/>
    </row>
    <row r="4" spans="1:23" ht="12" hidden="1" outlineLevel="1">
      <c r="A4" s="438"/>
      <c r="B4" s="438"/>
      <c r="C4" s="438"/>
      <c r="D4" s="438"/>
    </row>
    <row r="5" spans="1:23" ht="20.25" customHeight="1" collapsed="1" thickBot="1">
      <c r="A5" s="438" t="s">
        <v>324</v>
      </c>
      <c r="B5" s="438"/>
      <c r="C5" s="438"/>
      <c r="D5" s="438"/>
      <c r="E5" s="439"/>
      <c r="F5" s="440"/>
      <c r="G5" s="440"/>
      <c r="H5" s="441"/>
      <c r="I5" s="441"/>
      <c r="J5" s="442"/>
      <c r="K5" s="442"/>
      <c r="L5" s="442"/>
      <c r="M5" s="443"/>
      <c r="N5" s="442"/>
      <c r="O5" s="443" t="s">
        <v>524</v>
      </c>
      <c r="P5" s="442"/>
    </row>
    <row r="6" spans="1:23" s="442" customFormat="1" ht="13.5" thickTop="1" thickBot="1">
      <c r="A6" s="444"/>
      <c r="B6" s="445"/>
      <c r="C6" s="445"/>
      <c r="D6" s="446"/>
      <c r="E6" s="447"/>
      <c r="F6" s="448"/>
      <c r="G6" s="449"/>
      <c r="H6" s="450"/>
      <c r="I6" s="449"/>
      <c r="J6" s="452" t="s">
        <v>523</v>
      </c>
      <c r="K6" s="451"/>
      <c r="L6" s="452"/>
      <c r="M6" s="451"/>
      <c r="N6" s="452"/>
      <c r="O6" s="453"/>
      <c r="P6" s="454"/>
      <c r="U6" s="455"/>
      <c r="V6" s="455"/>
      <c r="W6" s="455"/>
    </row>
    <row r="7" spans="1:23" ht="24">
      <c r="A7" s="1457" t="s">
        <v>533</v>
      </c>
      <c r="B7" s="1458"/>
      <c r="C7" s="1458"/>
      <c r="D7" s="1459"/>
      <c r="E7" s="456" t="s">
        <v>328</v>
      </c>
      <c r="F7" s="457" t="s">
        <v>531</v>
      </c>
      <c r="G7" s="458" t="s">
        <v>529</v>
      </c>
      <c r="H7" s="459" t="s">
        <v>530</v>
      </c>
      <c r="I7" s="460" t="s">
        <v>532</v>
      </c>
      <c r="J7" s="461" t="s">
        <v>527</v>
      </c>
      <c r="K7" s="462"/>
      <c r="L7" s="463" t="s">
        <v>526</v>
      </c>
      <c r="M7" s="462"/>
      <c r="N7" s="463" t="s">
        <v>525</v>
      </c>
      <c r="O7" s="464"/>
      <c r="R7" s="425" t="s">
        <v>539</v>
      </c>
      <c r="U7" s="428" t="s">
        <v>516</v>
      </c>
    </row>
    <row r="8" spans="1:23" ht="20.25" customHeight="1">
      <c r="A8" s="465"/>
      <c r="B8" s="466"/>
      <c r="C8" s="466"/>
      <c r="D8" s="467"/>
      <c r="E8" s="468"/>
      <c r="F8" s="469" t="s">
        <v>519</v>
      </c>
      <c r="G8" s="470" t="s">
        <v>520</v>
      </c>
      <c r="H8" s="471" t="s">
        <v>521</v>
      </c>
      <c r="I8" s="472" t="s">
        <v>522</v>
      </c>
      <c r="J8" s="473" t="s">
        <v>542</v>
      </c>
      <c r="K8" s="474" t="s">
        <v>330</v>
      </c>
      <c r="L8" s="475" t="s">
        <v>581</v>
      </c>
      <c r="M8" s="474" t="s">
        <v>330</v>
      </c>
      <c r="N8" s="475" t="s">
        <v>577</v>
      </c>
      <c r="O8" s="476" t="s">
        <v>330</v>
      </c>
      <c r="P8" s="454" t="s">
        <v>535</v>
      </c>
      <c r="Q8" s="425" t="s">
        <v>536</v>
      </c>
      <c r="R8" s="425" t="s">
        <v>538</v>
      </c>
      <c r="S8" s="425" t="s">
        <v>537</v>
      </c>
      <c r="T8" s="477" t="s">
        <v>384</v>
      </c>
      <c r="U8" s="428" t="s">
        <v>517</v>
      </c>
      <c r="V8" s="428" t="s">
        <v>518</v>
      </c>
      <c r="W8" s="428" t="s">
        <v>517</v>
      </c>
    </row>
    <row r="9" spans="1:23" ht="20.25" customHeight="1">
      <c r="A9" s="1462" t="s">
        <v>331</v>
      </c>
      <c r="B9" s="1463"/>
      <c r="C9" s="1463"/>
      <c r="D9" s="1464"/>
      <c r="E9" s="478">
        <f>SUM(E10,E19,E27)</f>
        <v>41202558</v>
      </c>
      <c r="F9" s="479">
        <f>SUM(F10,F19,F27)</f>
        <v>43009658</v>
      </c>
      <c r="G9" s="480">
        <f>SUM(G10,G19,G27)</f>
        <v>42285947</v>
      </c>
      <c r="H9" s="481">
        <f>SUM(H10,H19,H27)</f>
        <v>42572042</v>
      </c>
      <c r="I9" s="482">
        <f>SUM(I10,I19,I27)</f>
        <v>42499689</v>
      </c>
      <c r="J9" s="483">
        <f t="shared" ref="J9:J31" si="0">IF(AND(F9=0,$H9=0),"－ ",$H9-F9)</f>
        <v>-437616</v>
      </c>
      <c r="K9" s="484">
        <f t="shared" ref="K9:K31" si="1">IF(AND(F9=0,$H9&gt;0),"皆増 ",IF(AND(F9&gt;0,$H9=0),"皆減 ",IF(AND(F9=0,$H9=0),"－ ",J9/F9)))</f>
        <v>-1.0174830964710299E-2</v>
      </c>
      <c r="L9" s="485">
        <f t="shared" ref="L9:N40" si="2">IF(AND(G9=0,$H9=0),"－ ",$H9-G9)</f>
        <v>286095</v>
      </c>
      <c r="M9" s="484">
        <f t="shared" ref="M9:M31" si="3">IF(AND(G9=0,$H9&gt;0),"皆増 ",IF(AND(G9&gt;0,$H9=0),"皆減 ",IF(AND(G9=0,$H9=0),"－ ",L9/G9)))</f>
        <v>6.7657229008020086E-3</v>
      </c>
      <c r="N9" s="485">
        <f t="shared" si="2"/>
        <v>72353</v>
      </c>
      <c r="O9" s="486">
        <f t="shared" ref="O9:O31" si="4">IF(AND(I9=0,$H9&gt;0),"皆増 ",IF(AND(I9&gt;0,$H9=0),"皆減 ",IF(AND(I9=0,$H9=0),"－ ",N9/I9)))</f>
        <v>1.7024359872374595E-3</v>
      </c>
      <c r="P9" s="487" t="str">
        <f t="shared" ref="P9:P31" si="5">IF(OR(F9&gt;0,G9&gt;0,H9&gt;0,I9&gt;0),"表示（判定）","×表示しない")</f>
        <v>表示（判定）</v>
      </c>
      <c r="R9" s="427"/>
      <c r="S9" s="427"/>
    </row>
    <row r="10" spans="1:23" ht="20.25" customHeight="1">
      <c r="A10" s="488"/>
      <c r="B10" s="1460" t="s">
        <v>332</v>
      </c>
      <c r="C10" s="1460"/>
      <c r="D10" s="1461"/>
      <c r="E10" s="489">
        <f t="shared" ref="E10" si="6">SUM(E11:E12,E18)</f>
        <v>39159297</v>
      </c>
      <c r="F10" s="490">
        <f>SUM(F11:F12,F18)</f>
        <v>33481570</v>
      </c>
      <c r="G10" s="491">
        <f>SUM(G11:G12,G18)</f>
        <v>32707017</v>
      </c>
      <c r="H10" s="492">
        <f>SUM(H11:H12,H18)</f>
        <v>32986084</v>
      </c>
      <c r="I10" s="493">
        <f>SUM(I11:I12,I18)</f>
        <v>32791345</v>
      </c>
      <c r="J10" s="494">
        <f t="shared" si="0"/>
        <v>-495486</v>
      </c>
      <c r="K10" s="495">
        <f t="shared" si="1"/>
        <v>-1.4798768397061427E-2</v>
      </c>
      <c r="L10" s="496">
        <f t="shared" si="2"/>
        <v>279067</v>
      </c>
      <c r="M10" s="495">
        <f t="shared" si="3"/>
        <v>8.5323280933874215E-3</v>
      </c>
      <c r="N10" s="496">
        <f t="shared" si="2"/>
        <v>194739</v>
      </c>
      <c r="O10" s="497">
        <f t="shared" si="4"/>
        <v>5.9387316988674908E-3</v>
      </c>
      <c r="P10" s="487" t="str">
        <f t="shared" si="5"/>
        <v>表示（判定）</v>
      </c>
    </row>
    <row r="11" spans="1:23" ht="20.25" customHeight="1">
      <c r="A11" s="498"/>
      <c r="B11" s="499"/>
      <c r="C11" s="1460" t="s">
        <v>333</v>
      </c>
      <c r="D11" s="1461"/>
      <c r="E11" s="500">
        <v>21145614</v>
      </c>
      <c r="F11" s="501">
        <v>19440663</v>
      </c>
      <c r="G11" s="502">
        <f>W11</f>
        <v>18583417</v>
      </c>
      <c r="H11" s="503">
        <f>S11</f>
        <v>18626337</v>
      </c>
      <c r="I11" s="504">
        <v>18620214</v>
      </c>
      <c r="J11" s="494">
        <f t="shared" si="0"/>
        <v>-814326</v>
      </c>
      <c r="K11" s="495">
        <f t="shared" si="1"/>
        <v>-4.1887768951089782E-2</v>
      </c>
      <c r="L11" s="496">
        <f t="shared" si="2"/>
        <v>42920</v>
      </c>
      <c r="M11" s="495">
        <f t="shared" si="3"/>
        <v>2.3095860142405456E-3</v>
      </c>
      <c r="N11" s="496">
        <f t="shared" si="2"/>
        <v>6123</v>
      </c>
      <c r="O11" s="497">
        <f t="shared" si="4"/>
        <v>3.2883617771525077E-4</v>
      </c>
      <c r="P11" s="487" t="str">
        <f t="shared" si="5"/>
        <v>表示（判定）</v>
      </c>
      <c r="R11" s="505">
        <f>'[2]3条収入'!$AI$8</f>
        <v>18626337467</v>
      </c>
      <c r="S11" s="427">
        <f>ROUND(R11/1000,0)+T11</f>
        <v>18626337</v>
      </c>
      <c r="U11" s="428">
        <v>18583417</v>
      </c>
      <c r="W11" s="428">
        <f>SUM(U11:V11)</f>
        <v>18583417</v>
      </c>
    </row>
    <row r="12" spans="1:23" ht="20.25" customHeight="1">
      <c r="A12" s="498"/>
      <c r="B12" s="506"/>
      <c r="C12" s="1460" t="s">
        <v>334</v>
      </c>
      <c r="D12" s="1461"/>
      <c r="E12" s="500">
        <v>18011826</v>
      </c>
      <c r="F12" s="490">
        <f>SUM(F13:F17)</f>
        <v>13854862</v>
      </c>
      <c r="G12" s="491">
        <f>SUM(G13:G17)</f>
        <v>13951285</v>
      </c>
      <c r="H12" s="492">
        <f t="shared" ref="H12" si="7">SUM(H13:H17)</f>
        <v>14187103</v>
      </c>
      <c r="I12" s="493">
        <f>SUM(I13:I17)</f>
        <v>13993349</v>
      </c>
      <c r="J12" s="494">
        <f t="shared" si="0"/>
        <v>332241</v>
      </c>
      <c r="K12" s="495">
        <f t="shared" si="1"/>
        <v>2.3980101714473952E-2</v>
      </c>
      <c r="L12" s="496">
        <f t="shared" si="2"/>
        <v>235818</v>
      </c>
      <c r="M12" s="495">
        <f t="shared" si="3"/>
        <v>1.6902959118102742E-2</v>
      </c>
      <c r="N12" s="496">
        <f t="shared" si="2"/>
        <v>193754</v>
      </c>
      <c r="O12" s="497">
        <f t="shared" si="4"/>
        <v>1.3846149338517891E-2</v>
      </c>
      <c r="P12" s="487" t="str">
        <f t="shared" si="5"/>
        <v>表示（判定）</v>
      </c>
    </row>
    <row r="13" spans="1:23" ht="20.25" customHeight="1">
      <c r="A13" s="498"/>
      <c r="B13" s="506"/>
      <c r="C13" s="499"/>
      <c r="D13" s="507" t="s">
        <v>335</v>
      </c>
      <c r="E13" s="489">
        <f>E12-E14-E15-E16</f>
        <v>17853307</v>
      </c>
      <c r="F13" s="501">
        <v>13738282</v>
      </c>
      <c r="G13" s="502">
        <f>13852072-8000</f>
        <v>13844072</v>
      </c>
      <c r="H13" s="503">
        <f>S13</f>
        <v>14079750</v>
      </c>
      <c r="I13" s="504">
        <v>13893559</v>
      </c>
      <c r="J13" s="494">
        <f t="shared" si="0"/>
        <v>341468</v>
      </c>
      <c r="K13" s="495">
        <f t="shared" si="1"/>
        <v>2.4855218432697772E-2</v>
      </c>
      <c r="L13" s="496">
        <f t="shared" si="2"/>
        <v>235678</v>
      </c>
      <c r="M13" s="495">
        <f t="shared" si="3"/>
        <v>1.7023748504052853E-2</v>
      </c>
      <c r="N13" s="496">
        <f t="shared" si="2"/>
        <v>186191</v>
      </c>
      <c r="O13" s="497">
        <f t="shared" si="4"/>
        <v>1.3401245857882778E-2</v>
      </c>
      <c r="P13" s="487" t="str">
        <f t="shared" si="5"/>
        <v>表示（判定）</v>
      </c>
      <c r="R13" s="505">
        <f>'[2]3条収入'!$AI$10</f>
        <v>14079749832</v>
      </c>
      <c r="S13" s="427">
        <f t="shared" ref="S13:S16" si="8">ROUND(R13/1000,0)+T13</f>
        <v>14079750</v>
      </c>
      <c r="U13" s="428">
        <v>13852072</v>
      </c>
      <c r="V13" s="428">
        <v>8000</v>
      </c>
      <c r="W13" s="428">
        <f t="shared" ref="W13:W18" si="9">SUM(U13:V13)</f>
        <v>13860072</v>
      </c>
    </row>
    <row r="14" spans="1:23" ht="20.25" customHeight="1">
      <c r="A14" s="498"/>
      <c r="B14" s="506"/>
      <c r="C14" s="506"/>
      <c r="D14" s="507" t="s">
        <v>336</v>
      </c>
      <c r="E14" s="500">
        <v>72773</v>
      </c>
      <c r="F14" s="501">
        <v>61778</v>
      </c>
      <c r="G14" s="502">
        <v>52650</v>
      </c>
      <c r="H14" s="503">
        <f>S14</f>
        <v>52444</v>
      </c>
      <c r="I14" s="504">
        <v>51549</v>
      </c>
      <c r="J14" s="494">
        <f t="shared" si="0"/>
        <v>-9334</v>
      </c>
      <c r="K14" s="495">
        <f t="shared" si="1"/>
        <v>-0.15108938457055909</v>
      </c>
      <c r="L14" s="496">
        <f t="shared" si="2"/>
        <v>-206</v>
      </c>
      <c r="M14" s="495">
        <f t="shared" si="3"/>
        <v>-3.9126305792972459E-3</v>
      </c>
      <c r="N14" s="496">
        <f t="shared" si="2"/>
        <v>895</v>
      </c>
      <c r="O14" s="497">
        <f t="shared" si="4"/>
        <v>1.7362121476653281E-2</v>
      </c>
      <c r="P14" s="487" t="str">
        <f t="shared" si="5"/>
        <v>表示（判定）</v>
      </c>
      <c r="R14" s="505">
        <f>'[2]3条収入'!$AI$14</f>
        <v>52443869</v>
      </c>
      <c r="S14" s="427">
        <f t="shared" si="8"/>
        <v>52444</v>
      </c>
      <c r="U14" s="428">
        <v>52650</v>
      </c>
      <c r="W14" s="428">
        <f t="shared" si="9"/>
        <v>52650</v>
      </c>
    </row>
    <row r="15" spans="1:23" ht="20.25" customHeight="1">
      <c r="A15" s="498"/>
      <c r="B15" s="506"/>
      <c r="C15" s="506"/>
      <c r="D15" s="507" t="s">
        <v>337</v>
      </c>
      <c r="E15" s="500">
        <v>67470</v>
      </c>
      <c r="F15" s="501">
        <v>40039</v>
      </c>
      <c r="G15" s="502">
        <v>43851</v>
      </c>
      <c r="H15" s="503">
        <f>S15</f>
        <v>44425</v>
      </c>
      <c r="I15" s="504">
        <v>37495</v>
      </c>
      <c r="J15" s="494">
        <f t="shared" si="0"/>
        <v>4386</v>
      </c>
      <c r="K15" s="495">
        <f t="shared" si="1"/>
        <v>0.10954319538450011</v>
      </c>
      <c r="L15" s="496">
        <f t="shared" si="2"/>
        <v>574</v>
      </c>
      <c r="M15" s="495">
        <f t="shared" si="3"/>
        <v>1.3089781304873321E-2</v>
      </c>
      <c r="N15" s="496">
        <f t="shared" si="2"/>
        <v>6930</v>
      </c>
      <c r="O15" s="497">
        <f t="shared" si="4"/>
        <v>0.18482464328577144</v>
      </c>
      <c r="P15" s="487" t="str">
        <f t="shared" si="5"/>
        <v>表示（判定）</v>
      </c>
      <c r="R15" s="505">
        <f>'[2]3条収入'!$AI$15</f>
        <v>44424775</v>
      </c>
      <c r="S15" s="427">
        <f t="shared" si="8"/>
        <v>44425</v>
      </c>
      <c r="U15" s="428">
        <v>43851</v>
      </c>
      <c r="W15" s="428">
        <f t="shared" si="9"/>
        <v>43851</v>
      </c>
    </row>
    <row r="16" spans="1:23" ht="20.25" customHeight="1">
      <c r="A16" s="498"/>
      <c r="B16" s="506"/>
      <c r="C16" s="506"/>
      <c r="D16" s="507" t="s">
        <v>338</v>
      </c>
      <c r="E16" s="500">
        <v>18276</v>
      </c>
      <c r="F16" s="501">
        <v>14763</v>
      </c>
      <c r="G16" s="502">
        <v>10712</v>
      </c>
      <c r="H16" s="503">
        <f>S16</f>
        <v>10484</v>
      </c>
      <c r="I16" s="504">
        <v>10746</v>
      </c>
      <c r="J16" s="494">
        <f t="shared" si="0"/>
        <v>-4279</v>
      </c>
      <c r="K16" s="495">
        <f t="shared" si="1"/>
        <v>-0.28984623721465824</v>
      </c>
      <c r="L16" s="496">
        <f t="shared" si="2"/>
        <v>-228</v>
      </c>
      <c r="M16" s="495">
        <f t="shared" si="3"/>
        <v>-2.1284540702016429E-2</v>
      </c>
      <c r="N16" s="496">
        <f t="shared" si="2"/>
        <v>-262</v>
      </c>
      <c r="O16" s="497">
        <f t="shared" si="4"/>
        <v>-2.4381165084682674E-2</v>
      </c>
      <c r="P16" s="487" t="str">
        <f t="shared" si="5"/>
        <v>表示（判定）</v>
      </c>
      <c r="R16" s="505">
        <f>'[2]3条収入'!$AI$16</f>
        <v>10483859</v>
      </c>
      <c r="S16" s="427">
        <f t="shared" si="8"/>
        <v>10484</v>
      </c>
      <c r="T16" s="508"/>
      <c r="U16" s="428">
        <v>10712</v>
      </c>
      <c r="W16" s="428">
        <f t="shared" si="9"/>
        <v>10712</v>
      </c>
    </row>
    <row r="17" spans="1:23" ht="20.25" hidden="1" customHeight="1">
      <c r="A17" s="498"/>
      <c r="B17" s="506"/>
      <c r="C17" s="509"/>
      <c r="D17" s="507" t="s">
        <v>339</v>
      </c>
      <c r="E17" s="500">
        <v>0</v>
      </c>
      <c r="F17" s="501"/>
      <c r="G17" s="502"/>
      <c r="H17" s="510"/>
      <c r="I17" s="504"/>
      <c r="J17" s="494" t="str">
        <f t="shared" si="0"/>
        <v xml:space="preserve">－ </v>
      </c>
      <c r="K17" s="511" t="str">
        <f t="shared" si="1"/>
        <v xml:space="preserve">－ </v>
      </c>
      <c r="L17" s="496" t="str">
        <f t="shared" si="2"/>
        <v xml:space="preserve">－ </v>
      </c>
      <c r="M17" s="511" t="str">
        <f t="shared" si="3"/>
        <v xml:space="preserve">－ </v>
      </c>
      <c r="N17" s="496" t="str">
        <f t="shared" si="2"/>
        <v xml:space="preserve">－ </v>
      </c>
      <c r="O17" s="512" t="str">
        <f t="shared" si="4"/>
        <v xml:space="preserve">－ </v>
      </c>
      <c r="P17" s="487" t="str">
        <f t="shared" si="5"/>
        <v>×表示しない</v>
      </c>
      <c r="U17" s="428">
        <v>172315</v>
      </c>
      <c r="W17" s="428">
        <f t="shared" si="9"/>
        <v>172315</v>
      </c>
    </row>
    <row r="18" spans="1:23" ht="20.25" customHeight="1">
      <c r="A18" s="498"/>
      <c r="B18" s="509"/>
      <c r="C18" s="1460" t="s">
        <v>340</v>
      </c>
      <c r="D18" s="1461"/>
      <c r="E18" s="500">
        <v>1857</v>
      </c>
      <c r="F18" s="501">
        <v>186045</v>
      </c>
      <c r="G18" s="502">
        <f>W18</f>
        <v>172315</v>
      </c>
      <c r="H18" s="503">
        <f>S18</f>
        <v>172644</v>
      </c>
      <c r="I18" s="504">
        <v>177782</v>
      </c>
      <c r="J18" s="494">
        <f t="shared" si="0"/>
        <v>-13401</v>
      </c>
      <c r="K18" s="495">
        <f t="shared" si="1"/>
        <v>-7.2030960251552048E-2</v>
      </c>
      <c r="L18" s="496">
        <f t="shared" si="2"/>
        <v>329</v>
      </c>
      <c r="M18" s="495">
        <f t="shared" si="3"/>
        <v>1.909294025476598E-3</v>
      </c>
      <c r="N18" s="496">
        <f t="shared" si="2"/>
        <v>-5138</v>
      </c>
      <c r="O18" s="497">
        <f t="shared" si="4"/>
        <v>-2.8900563611614225E-2</v>
      </c>
      <c r="P18" s="487" t="str">
        <f t="shared" si="5"/>
        <v>表示（判定）</v>
      </c>
      <c r="R18" s="505">
        <f>'[2]3条収入'!$AI$19</f>
        <v>172643606</v>
      </c>
      <c r="S18" s="427">
        <f>ROUND(R18/1000,0)+T18</f>
        <v>172644</v>
      </c>
      <c r="T18" s="513"/>
      <c r="U18" s="428">
        <v>172315</v>
      </c>
      <c r="W18" s="428">
        <f t="shared" si="9"/>
        <v>172315</v>
      </c>
    </row>
    <row r="19" spans="1:23" ht="20.25" customHeight="1">
      <c r="A19" s="498"/>
      <c r="B19" s="1460" t="s">
        <v>341</v>
      </c>
      <c r="C19" s="1460"/>
      <c r="D19" s="1461"/>
      <c r="E19" s="489">
        <f>SUM(E20:E26)</f>
        <v>2040440</v>
      </c>
      <c r="F19" s="490">
        <f>SUM(F20:F26)</f>
        <v>9525454</v>
      </c>
      <c r="G19" s="491">
        <f>SUM(G20:G26)</f>
        <v>9576214</v>
      </c>
      <c r="H19" s="492">
        <f>SUM(H20:H26)</f>
        <v>9581905</v>
      </c>
      <c r="I19" s="493">
        <f>SUM(I20:I26)</f>
        <v>9701941</v>
      </c>
      <c r="J19" s="494">
        <f t="shared" si="0"/>
        <v>56451</v>
      </c>
      <c r="K19" s="495">
        <f t="shared" si="1"/>
        <v>5.9263317003053085E-3</v>
      </c>
      <c r="L19" s="496">
        <f t="shared" si="2"/>
        <v>5691</v>
      </c>
      <c r="M19" s="495">
        <f t="shared" si="3"/>
        <v>5.9428496480968369E-4</v>
      </c>
      <c r="N19" s="496">
        <f t="shared" si="2"/>
        <v>-120036</v>
      </c>
      <c r="O19" s="497">
        <f t="shared" si="4"/>
        <v>-1.237236961140044E-2</v>
      </c>
      <c r="P19" s="487" t="str">
        <f t="shared" si="5"/>
        <v>表示（判定）</v>
      </c>
    </row>
    <row r="20" spans="1:23" ht="20.25" customHeight="1">
      <c r="A20" s="498"/>
      <c r="B20" s="499"/>
      <c r="C20" s="1460" t="s">
        <v>342</v>
      </c>
      <c r="D20" s="1461"/>
      <c r="E20" s="500">
        <v>7130</v>
      </c>
      <c r="F20" s="501">
        <v>70</v>
      </c>
      <c r="G20" s="502">
        <f t="shared" ref="G20:G26" si="10">W20</f>
        <v>87</v>
      </c>
      <c r="H20" s="503">
        <f t="shared" ref="H20:H26" si="11">S20</f>
        <v>89</v>
      </c>
      <c r="I20" s="504">
        <v>63</v>
      </c>
      <c r="J20" s="494">
        <f t="shared" si="0"/>
        <v>19</v>
      </c>
      <c r="K20" s="495">
        <f t="shared" si="1"/>
        <v>0.27142857142857141</v>
      </c>
      <c r="L20" s="496">
        <f t="shared" si="2"/>
        <v>2</v>
      </c>
      <c r="M20" s="495">
        <f t="shared" si="3"/>
        <v>2.2988505747126436E-2</v>
      </c>
      <c r="N20" s="496">
        <f t="shared" si="2"/>
        <v>26</v>
      </c>
      <c r="O20" s="497">
        <f t="shared" si="4"/>
        <v>0.41269841269841268</v>
      </c>
      <c r="P20" s="487" t="str">
        <f t="shared" si="5"/>
        <v>表示（判定）</v>
      </c>
      <c r="R20" s="505">
        <f>'[2]3条収入'!$AI$28</f>
        <v>88770</v>
      </c>
      <c r="S20" s="427">
        <f>ROUND(R20/1000,0)+T20</f>
        <v>89</v>
      </c>
      <c r="U20" s="428">
        <v>87</v>
      </c>
      <c r="W20" s="428">
        <f>SUM(U20:V20)</f>
        <v>87</v>
      </c>
    </row>
    <row r="21" spans="1:23" ht="20.25" hidden="1" customHeight="1">
      <c r="A21" s="498"/>
      <c r="B21" s="506"/>
      <c r="C21" s="1460" t="s">
        <v>400</v>
      </c>
      <c r="D21" s="1461"/>
      <c r="E21" s="500">
        <v>108</v>
      </c>
      <c r="F21" s="501">
        <v>0</v>
      </c>
      <c r="G21" s="502">
        <f t="shared" si="10"/>
        <v>0</v>
      </c>
      <c r="H21" s="503">
        <f t="shared" si="11"/>
        <v>0</v>
      </c>
      <c r="I21" s="504">
        <v>0</v>
      </c>
      <c r="J21" s="494" t="str">
        <f t="shared" si="0"/>
        <v xml:space="preserve">－ </v>
      </c>
      <c r="K21" s="511" t="str">
        <f t="shared" si="1"/>
        <v xml:space="preserve">－ </v>
      </c>
      <c r="L21" s="496" t="str">
        <f t="shared" si="2"/>
        <v xml:space="preserve">－ </v>
      </c>
      <c r="M21" s="511" t="str">
        <f t="shared" si="3"/>
        <v xml:space="preserve">－ </v>
      </c>
      <c r="N21" s="496" t="str">
        <f t="shared" si="2"/>
        <v xml:space="preserve">－ </v>
      </c>
      <c r="O21" s="512" t="str">
        <f t="shared" si="4"/>
        <v xml:space="preserve">－ </v>
      </c>
      <c r="P21" s="487" t="str">
        <f t="shared" si="5"/>
        <v>×表示しない</v>
      </c>
      <c r="R21" s="505">
        <f>'[2]3条収入'!$AI$32</f>
        <v>0</v>
      </c>
      <c r="S21" s="427">
        <f>ROUND(R21/1000,0)+T21</f>
        <v>0</v>
      </c>
      <c r="T21" s="513"/>
    </row>
    <row r="22" spans="1:23" ht="20.25" customHeight="1">
      <c r="A22" s="498"/>
      <c r="B22" s="506"/>
      <c r="C22" s="1460" t="s">
        <v>343</v>
      </c>
      <c r="D22" s="1461"/>
      <c r="E22" s="500">
        <v>305814</v>
      </c>
      <c r="F22" s="501">
        <v>46672</v>
      </c>
      <c r="G22" s="502">
        <f t="shared" si="10"/>
        <v>46672</v>
      </c>
      <c r="H22" s="503">
        <f t="shared" si="11"/>
        <v>50128</v>
      </c>
      <c r="I22" s="504">
        <v>60819</v>
      </c>
      <c r="J22" s="494">
        <f t="shared" si="0"/>
        <v>3456</v>
      </c>
      <c r="K22" s="495">
        <f t="shared" si="1"/>
        <v>7.4048680150839902E-2</v>
      </c>
      <c r="L22" s="496">
        <f t="shared" si="2"/>
        <v>3456</v>
      </c>
      <c r="M22" s="495">
        <f t="shared" si="3"/>
        <v>7.4048680150839902E-2</v>
      </c>
      <c r="N22" s="496">
        <f t="shared" si="2"/>
        <v>-10691</v>
      </c>
      <c r="O22" s="497">
        <f t="shared" si="4"/>
        <v>-0.17578388332593434</v>
      </c>
      <c r="P22" s="487" t="str">
        <f t="shared" si="5"/>
        <v>表示（判定）</v>
      </c>
      <c r="R22" s="505">
        <f>'[2]3条収入'!$AI$39</f>
        <v>50128048</v>
      </c>
      <c r="S22" s="427">
        <f t="shared" ref="S22:S26" si="12">ROUND(R22/1000,0)+T22</f>
        <v>50128</v>
      </c>
      <c r="U22" s="428">
        <v>46672</v>
      </c>
      <c r="W22" s="428">
        <f>SUM(U22:V22)</f>
        <v>46672</v>
      </c>
    </row>
    <row r="23" spans="1:23" ht="20.25" customHeight="1">
      <c r="A23" s="498"/>
      <c r="B23" s="506"/>
      <c r="C23" s="1460" t="s">
        <v>344</v>
      </c>
      <c r="D23" s="1461"/>
      <c r="E23" s="500">
        <v>1708190</v>
      </c>
      <c r="F23" s="501">
        <v>0</v>
      </c>
      <c r="G23" s="502">
        <f t="shared" si="10"/>
        <v>8000</v>
      </c>
      <c r="H23" s="503">
        <f t="shared" si="11"/>
        <v>9203</v>
      </c>
      <c r="I23" s="504">
        <v>31</v>
      </c>
      <c r="J23" s="494">
        <f t="shared" si="0"/>
        <v>9203</v>
      </c>
      <c r="K23" s="495" t="str">
        <f t="shared" si="1"/>
        <v xml:space="preserve">皆増 </v>
      </c>
      <c r="L23" s="496">
        <f t="shared" si="2"/>
        <v>1203</v>
      </c>
      <c r="M23" s="495">
        <f t="shared" si="3"/>
        <v>0.15037500000000001</v>
      </c>
      <c r="N23" s="496">
        <f t="shared" si="2"/>
        <v>9172</v>
      </c>
      <c r="O23" s="497">
        <f t="shared" si="4"/>
        <v>295.87096774193549</v>
      </c>
      <c r="P23" s="487" t="str">
        <f t="shared" si="5"/>
        <v>表示（判定）</v>
      </c>
      <c r="R23" s="505">
        <f>'[2]3条収入'!$AI$42</f>
        <v>9203253</v>
      </c>
      <c r="S23" s="427">
        <f t="shared" si="12"/>
        <v>9203</v>
      </c>
      <c r="V23" s="428">
        <v>8000</v>
      </c>
      <c r="W23" s="428">
        <f>SUM(U23:V23)</f>
        <v>8000</v>
      </c>
    </row>
    <row r="24" spans="1:23" ht="20.25" hidden="1" customHeight="1" outlineLevel="1">
      <c r="A24" s="514"/>
      <c r="B24" s="515"/>
      <c r="C24" s="1465" t="s">
        <v>345</v>
      </c>
      <c r="D24" s="1466"/>
      <c r="E24" s="500">
        <v>0</v>
      </c>
      <c r="F24" s="501"/>
      <c r="G24" s="502">
        <f t="shared" si="10"/>
        <v>0</v>
      </c>
      <c r="H24" s="503">
        <f t="shared" si="11"/>
        <v>0</v>
      </c>
      <c r="I24" s="504">
        <v>0</v>
      </c>
      <c r="J24" s="494" t="str">
        <f t="shared" si="0"/>
        <v xml:space="preserve">－ </v>
      </c>
      <c r="K24" s="511" t="str">
        <f t="shared" si="1"/>
        <v xml:space="preserve">－ </v>
      </c>
      <c r="L24" s="496" t="str">
        <f t="shared" si="2"/>
        <v xml:space="preserve">－ </v>
      </c>
      <c r="M24" s="511" t="str">
        <f t="shared" si="3"/>
        <v xml:space="preserve">－ </v>
      </c>
      <c r="N24" s="496" t="str">
        <f t="shared" si="2"/>
        <v xml:space="preserve">－ </v>
      </c>
      <c r="O24" s="512" t="str">
        <f t="shared" si="4"/>
        <v xml:space="preserve">－ </v>
      </c>
      <c r="P24" s="487" t="str">
        <f t="shared" si="5"/>
        <v>×表示しない</v>
      </c>
      <c r="R24" s="505">
        <f>'[2]3条収入'!$AI$49</f>
        <v>0</v>
      </c>
      <c r="S24" s="427">
        <f t="shared" si="12"/>
        <v>0</v>
      </c>
    </row>
    <row r="25" spans="1:23" ht="20.25" customHeight="1" collapsed="1">
      <c r="A25" s="498"/>
      <c r="B25" s="506"/>
      <c r="C25" s="1460" t="s">
        <v>347</v>
      </c>
      <c r="D25" s="1461"/>
      <c r="E25" s="500">
        <v>9623</v>
      </c>
      <c r="F25" s="501">
        <v>9455090</v>
      </c>
      <c r="G25" s="502">
        <f t="shared" si="10"/>
        <v>9488526</v>
      </c>
      <c r="H25" s="503">
        <f t="shared" si="11"/>
        <v>9485355</v>
      </c>
      <c r="I25" s="504">
        <v>37024</v>
      </c>
      <c r="J25" s="494">
        <f t="shared" si="0"/>
        <v>30265</v>
      </c>
      <c r="K25" s="495">
        <f t="shared" si="1"/>
        <v>3.2009214084688774E-3</v>
      </c>
      <c r="L25" s="496">
        <f t="shared" si="2"/>
        <v>-3171</v>
      </c>
      <c r="M25" s="495">
        <f t="shared" si="3"/>
        <v>-3.3419310860295897E-4</v>
      </c>
      <c r="N25" s="496">
        <f t="shared" si="2"/>
        <v>9448331</v>
      </c>
      <c r="O25" s="497">
        <f t="shared" si="4"/>
        <v>255.19476555747625</v>
      </c>
      <c r="P25" s="487" t="str">
        <f t="shared" si="5"/>
        <v>表示（判定）</v>
      </c>
      <c r="R25" s="505">
        <f>'[2]3条収入'!$AI$55</f>
        <v>9485355002</v>
      </c>
      <c r="S25" s="427">
        <f>ROUND(R25/1000,0)+T25</f>
        <v>9485355</v>
      </c>
      <c r="T25" s="513"/>
      <c r="U25" s="428">
        <v>9488526</v>
      </c>
      <c r="W25" s="428">
        <f>SUM(U25:V25)</f>
        <v>9488526</v>
      </c>
    </row>
    <row r="26" spans="1:23" ht="20.25" customHeight="1">
      <c r="A26" s="498"/>
      <c r="B26" s="509"/>
      <c r="C26" s="1460" t="s">
        <v>346</v>
      </c>
      <c r="D26" s="1461"/>
      <c r="E26" s="500">
        <v>9575</v>
      </c>
      <c r="F26" s="501">
        <v>23622</v>
      </c>
      <c r="G26" s="502">
        <f t="shared" si="10"/>
        <v>32929</v>
      </c>
      <c r="H26" s="503">
        <f t="shared" si="11"/>
        <v>37130</v>
      </c>
      <c r="I26" s="504">
        <v>9604004</v>
      </c>
      <c r="J26" s="494">
        <f t="shared" si="0"/>
        <v>13508</v>
      </c>
      <c r="K26" s="495">
        <f t="shared" si="1"/>
        <v>0.57183981034628739</v>
      </c>
      <c r="L26" s="496">
        <f t="shared" si="2"/>
        <v>4201</v>
      </c>
      <c r="M26" s="495">
        <f t="shared" si="3"/>
        <v>0.12757751526010508</v>
      </c>
      <c r="N26" s="496">
        <f t="shared" si="2"/>
        <v>-9566874</v>
      </c>
      <c r="O26" s="497">
        <f t="shared" si="4"/>
        <v>-0.99613390415081038</v>
      </c>
      <c r="P26" s="487" t="str">
        <f t="shared" si="5"/>
        <v>表示（判定）</v>
      </c>
      <c r="R26" s="505">
        <f>'[2]3条収入'!$AI$51</f>
        <v>37130542</v>
      </c>
      <c r="S26" s="427">
        <f t="shared" si="12"/>
        <v>37130</v>
      </c>
      <c r="T26" s="425">
        <v>-1</v>
      </c>
      <c r="U26" s="428">
        <v>32929</v>
      </c>
      <c r="W26" s="428">
        <f t="shared" ref="W26" si="13">SUM(U26:V26)</f>
        <v>32929</v>
      </c>
    </row>
    <row r="27" spans="1:23" ht="20.25" customHeight="1">
      <c r="A27" s="498"/>
      <c r="B27" s="1460" t="s">
        <v>348</v>
      </c>
      <c r="C27" s="1460"/>
      <c r="D27" s="1461"/>
      <c r="E27" s="489">
        <f t="shared" ref="E27:H27" si="14">SUM(E28:E31)</f>
        <v>2821</v>
      </c>
      <c r="F27" s="490">
        <f>SUM(F28:F31)</f>
        <v>2634</v>
      </c>
      <c r="G27" s="491">
        <f>SUM(G28:G31)</f>
        <v>2716</v>
      </c>
      <c r="H27" s="492">
        <f t="shared" si="14"/>
        <v>4053</v>
      </c>
      <c r="I27" s="493">
        <f>SUM(I28:I31)</f>
        <v>6403</v>
      </c>
      <c r="J27" s="494">
        <f t="shared" si="0"/>
        <v>1419</v>
      </c>
      <c r="K27" s="495">
        <f t="shared" si="1"/>
        <v>0.53872437357630976</v>
      </c>
      <c r="L27" s="496">
        <f t="shared" si="2"/>
        <v>1337</v>
      </c>
      <c r="M27" s="495">
        <f t="shared" si="3"/>
        <v>0.49226804123711343</v>
      </c>
      <c r="N27" s="496">
        <f t="shared" si="2"/>
        <v>-2350</v>
      </c>
      <c r="O27" s="497">
        <f t="shared" si="4"/>
        <v>-0.36701546150242076</v>
      </c>
      <c r="P27" s="487" t="str">
        <f t="shared" si="5"/>
        <v>表示（判定）</v>
      </c>
    </row>
    <row r="28" spans="1:23" ht="20.25" hidden="1" customHeight="1">
      <c r="A28" s="498"/>
      <c r="B28" s="499"/>
      <c r="C28" s="1460" t="s">
        <v>349</v>
      </c>
      <c r="D28" s="1461"/>
      <c r="E28" s="500">
        <v>0</v>
      </c>
      <c r="F28" s="501">
        <v>0</v>
      </c>
      <c r="G28" s="502">
        <f>W28</f>
        <v>0</v>
      </c>
      <c r="H28" s="503">
        <f>S28</f>
        <v>0</v>
      </c>
      <c r="I28" s="504">
        <v>0</v>
      </c>
      <c r="J28" s="494" t="str">
        <f t="shared" si="0"/>
        <v xml:space="preserve">－ </v>
      </c>
      <c r="K28" s="495" t="str">
        <f t="shared" si="1"/>
        <v xml:space="preserve">－ </v>
      </c>
      <c r="L28" s="496" t="str">
        <f t="shared" si="2"/>
        <v xml:space="preserve">－ </v>
      </c>
      <c r="M28" s="495" t="str">
        <f t="shared" si="3"/>
        <v xml:space="preserve">－ </v>
      </c>
      <c r="N28" s="496" t="str">
        <f t="shared" si="2"/>
        <v xml:space="preserve">－ </v>
      </c>
      <c r="O28" s="497" t="str">
        <f t="shared" si="4"/>
        <v xml:space="preserve">－ </v>
      </c>
      <c r="P28" s="487" t="str">
        <f t="shared" si="5"/>
        <v>×表示しない</v>
      </c>
      <c r="R28" s="505">
        <f>'[2]3条収入'!$AI$58</f>
        <v>0</v>
      </c>
      <c r="S28" s="427">
        <f t="shared" ref="S28:S31" si="15">ROUND(R28/1000,0)+T28</f>
        <v>0</v>
      </c>
    </row>
    <row r="29" spans="1:23" ht="20.25" customHeight="1">
      <c r="A29" s="498"/>
      <c r="B29" s="506"/>
      <c r="C29" s="1467" t="s">
        <v>350</v>
      </c>
      <c r="D29" s="1468"/>
      <c r="E29" s="516">
        <v>2821</v>
      </c>
      <c r="F29" s="517">
        <v>2634</v>
      </c>
      <c r="G29" s="518">
        <f>W29</f>
        <v>1851</v>
      </c>
      <c r="H29" s="503">
        <f>S29</f>
        <v>2624</v>
      </c>
      <c r="I29" s="519">
        <v>3896</v>
      </c>
      <c r="J29" s="494">
        <f t="shared" si="0"/>
        <v>-10</v>
      </c>
      <c r="K29" s="495">
        <f t="shared" si="1"/>
        <v>-3.7965072133637054E-3</v>
      </c>
      <c r="L29" s="496">
        <f t="shared" si="2"/>
        <v>773</v>
      </c>
      <c r="M29" s="495">
        <f t="shared" si="3"/>
        <v>0.41761210156672068</v>
      </c>
      <c r="N29" s="496">
        <f t="shared" si="2"/>
        <v>-1272</v>
      </c>
      <c r="O29" s="497">
        <f t="shared" si="4"/>
        <v>-0.32648870636550309</v>
      </c>
      <c r="P29" s="487" t="str">
        <f t="shared" si="5"/>
        <v>表示（判定）</v>
      </c>
      <c r="R29" s="505">
        <f>'[2]3条収入'!$AI$60</f>
        <v>2623682</v>
      </c>
      <c r="S29" s="427">
        <f t="shared" si="15"/>
        <v>2624</v>
      </c>
      <c r="U29" s="428">
        <v>1851</v>
      </c>
      <c r="W29" s="428">
        <f t="shared" ref="W29:W31" si="16">SUM(U29:V29)</f>
        <v>1851</v>
      </c>
    </row>
    <row r="30" spans="1:23" ht="20.25" hidden="1" customHeight="1">
      <c r="A30" s="498"/>
      <c r="B30" s="506"/>
      <c r="C30" s="1460" t="s">
        <v>351</v>
      </c>
      <c r="D30" s="1461"/>
      <c r="E30" s="516"/>
      <c r="F30" s="517">
        <v>0</v>
      </c>
      <c r="G30" s="518">
        <f t="shared" ref="G30:G31" si="17">W30</f>
        <v>0</v>
      </c>
      <c r="H30" s="503">
        <f>S30</f>
        <v>0</v>
      </c>
      <c r="I30" s="519">
        <v>0</v>
      </c>
      <c r="J30" s="520" t="str">
        <f t="shared" si="0"/>
        <v xml:space="preserve">－ </v>
      </c>
      <c r="K30" s="521" t="str">
        <f t="shared" si="1"/>
        <v xml:space="preserve">－ </v>
      </c>
      <c r="L30" s="522" t="str">
        <f t="shared" si="2"/>
        <v xml:space="preserve">－ </v>
      </c>
      <c r="M30" s="521" t="str">
        <f t="shared" si="3"/>
        <v xml:space="preserve">－ </v>
      </c>
      <c r="N30" s="522" t="str">
        <f t="shared" si="2"/>
        <v xml:space="preserve">－ </v>
      </c>
      <c r="O30" s="523" t="str">
        <f t="shared" si="4"/>
        <v xml:space="preserve">－ </v>
      </c>
      <c r="P30" s="487" t="str">
        <f t="shared" si="5"/>
        <v>×表示しない</v>
      </c>
      <c r="R30" s="505">
        <f>'[2]3条収入'!$AI$66</f>
        <v>0</v>
      </c>
      <c r="S30" s="427">
        <f t="shared" si="15"/>
        <v>0</v>
      </c>
      <c r="U30" s="428">
        <v>0</v>
      </c>
      <c r="W30" s="428">
        <f t="shared" si="16"/>
        <v>0</v>
      </c>
    </row>
    <row r="31" spans="1:23" ht="20.25" customHeight="1" thickBot="1">
      <c r="A31" s="524"/>
      <c r="B31" s="525"/>
      <c r="C31" s="1469" t="s">
        <v>352</v>
      </c>
      <c r="D31" s="1470"/>
      <c r="E31" s="526">
        <v>0</v>
      </c>
      <c r="F31" s="527">
        <v>0</v>
      </c>
      <c r="G31" s="528">
        <f t="shared" si="17"/>
        <v>865</v>
      </c>
      <c r="H31" s="529">
        <f>S31</f>
        <v>1429</v>
      </c>
      <c r="I31" s="530">
        <v>2507</v>
      </c>
      <c r="J31" s="531">
        <f t="shared" si="0"/>
        <v>1429</v>
      </c>
      <c r="K31" s="532" t="str">
        <f t="shared" si="1"/>
        <v xml:space="preserve">皆増 </v>
      </c>
      <c r="L31" s="533">
        <f t="shared" si="2"/>
        <v>564</v>
      </c>
      <c r="M31" s="532">
        <f t="shared" si="3"/>
        <v>0.65202312138728324</v>
      </c>
      <c r="N31" s="533">
        <f t="shared" si="2"/>
        <v>-1078</v>
      </c>
      <c r="O31" s="534">
        <f t="shared" si="4"/>
        <v>-0.42999601116872754</v>
      </c>
      <c r="P31" s="487" t="str">
        <f t="shared" si="5"/>
        <v>表示（判定）</v>
      </c>
      <c r="R31" s="505">
        <f>'[2]3条収入'!$AI$62</f>
        <v>1429429</v>
      </c>
      <c r="S31" s="427">
        <f t="shared" si="15"/>
        <v>1429</v>
      </c>
      <c r="U31" s="428">
        <v>865</v>
      </c>
      <c r="W31" s="428">
        <f t="shared" si="16"/>
        <v>865</v>
      </c>
    </row>
    <row r="32" spans="1:23" ht="12.75" thickBot="1">
      <c r="A32" s="535"/>
      <c r="B32" s="535"/>
      <c r="C32" s="535"/>
      <c r="D32" s="535"/>
      <c r="E32" s="439"/>
      <c r="F32" s="536"/>
      <c r="G32" s="536"/>
      <c r="H32" s="537"/>
      <c r="I32" s="536"/>
      <c r="J32" s="538"/>
      <c r="K32" s="539"/>
      <c r="L32" s="538" t="str">
        <f t="shared" si="2"/>
        <v xml:space="preserve">－ </v>
      </c>
      <c r="M32" s="539"/>
      <c r="N32" s="538" t="str">
        <f t="shared" si="2"/>
        <v xml:space="preserve">－ </v>
      </c>
      <c r="O32" s="540"/>
      <c r="P32" s="424" t="s">
        <v>528</v>
      </c>
    </row>
    <row r="33" spans="1:23" ht="20.25" customHeight="1" thickBot="1">
      <c r="A33" s="1471" t="s">
        <v>353</v>
      </c>
      <c r="B33" s="1472"/>
      <c r="C33" s="1472"/>
      <c r="D33" s="1473"/>
      <c r="E33" s="541">
        <f>SUM(E12,E23)</f>
        <v>19720016</v>
      </c>
      <c r="F33" s="416">
        <f>SUM(F12,F23)</f>
        <v>13854862</v>
      </c>
      <c r="G33" s="417">
        <f>SUM(G12,G23)</f>
        <v>13959285</v>
      </c>
      <c r="H33" s="418">
        <f>SUM(H12,H23)</f>
        <v>14196306</v>
      </c>
      <c r="I33" s="419">
        <f>SUM(I12,I23)</f>
        <v>13993380</v>
      </c>
      <c r="J33" s="420">
        <f>IF(AND(F33=0,$H33=0),"－ ",$H33-F33)</f>
        <v>341444</v>
      </c>
      <c r="K33" s="421">
        <f>IF(AND(F33=0,$H33&gt;0),"皆増 ",IF(AND(F33&gt;0,$H33=0),"皆減 ",IF(AND(F33=0,$H33=0),"－ ",J33/F33)))</f>
        <v>2.4644345068178954E-2</v>
      </c>
      <c r="L33" s="422">
        <f t="shared" si="2"/>
        <v>237021</v>
      </c>
      <c r="M33" s="421">
        <f>IF(AND(G33=0,$H33&gt;0),"皆増 ",IF(AND(G33&gt;0,$H33=0),"皆減 ",IF(AND(G33=0,$H33=0),"－ ",L33/G33)))</f>
        <v>1.6979451311438947E-2</v>
      </c>
      <c r="N33" s="422">
        <f t="shared" si="2"/>
        <v>202926</v>
      </c>
      <c r="O33" s="423">
        <f>IF(AND(I33=0,$H33&gt;0),"皆増 ",IF(AND(I33&gt;0,$H33=0),"皆減 ",IF(AND(I33=0,$H33=0),"－ ",N33/I33)))</f>
        <v>1.4501571457360552E-2</v>
      </c>
      <c r="P33" s="424" t="s">
        <v>528</v>
      </c>
      <c r="R33" s="426" t="s">
        <v>383</v>
      </c>
      <c r="S33" s="427">
        <f>SUM(S11:S31)</f>
        <v>42572042</v>
      </c>
    </row>
    <row r="34" spans="1:23" ht="12">
      <c r="A34" s="542"/>
      <c r="B34" s="542"/>
      <c r="C34" s="542"/>
      <c r="D34" s="542"/>
      <c r="E34" s="543"/>
      <c r="F34" s="544"/>
      <c r="G34" s="544"/>
      <c r="H34" s="545"/>
      <c r="I34" s="544"/>
      <c r="J34" s="538"/>
      <c r="K34" s="546"/>
      <c r="L34" s="547"/>
      <c r="M34" s="546"/>
      <c r="N34" s="547"/>
      <c r="O34" s="546"/>
      <c r="P34" s="424" t="s">
        <v>528</v>
      </c>
    </row>
    <row r="35" spans="1:23" ht="20.25" customHeight="1" thickBot="1">
      <c r="A35" s="438" t="s">
        <v>354</v>
      </c>
      <c r="B35" s="548"/>
      <c r="C35" s="548"/>
      <c r="D35" s="548"/>
      <c r="F35" s="549"/>
      <c r="G35" s="549"/>
      <c r="H35" s="550"/>
      <c r="I35" s="549"/>
      <c r="J35" s="538"/>
      <c r="K35" s="551"/>
      <c r="L35" s="552"/>
      <c r="M35" s="551"/>
      <c r="N35" s="552"/>
      <c r="O35" s="551"/>
      <c r="P35" s="424" t="s">
        <v>528</v>
      </c>
      <c r="T35" s="426" t="s">
        <v>384</v>
      </c>
    </row>
    <row r="36" spans="1:23" ht="20.25" customHeight="1">
      <c r="A36" s="1474" t="s">
        <v>355</v>
      </c>
      <c r="B36" s="1475"/>
      <c r="C36" s="1475"/>
      <c r="D36" s="1476"/>
      <c r="E36" s="553">
        <f t="shared" ref="E36:H36" si="18">SUM(E37,E51,E55,E60)</f>
        <v>41192935</v>
      </c>
      <c r="F36" s="554">
        <f>SUM(F37,F51,F55,F60)</f>
        <v>42889358</v>
      </c>
      <c r="G36" s="555">
        <f>SUM(G37,G51,G55,G60)</f>
        <v>42198133</v>
      </c>
      <c r="H36" s="556">
        <f t="shared" si="18"/>
        <v>42028135</v>
      </c>
      <c r="I36" s="557">
        <f>SUM(I37,I51,I55,I60)</f>
        <v>42051708</v>
      </c>
      <c r="J36" s="558">
        <f t="shared" ref="J36:J60" si="19">IF(AND(F36=0,$H36=0),"－ ",$H36-F36)</f>
        <v>-861223</v>
      </c>
      <c r="K36" s="559">
        <f t="shared" ref="K36:K60" si="20">IF(AND(F36=0,$H36&gt;0),"皆増 ",IF(AND(F36&gt;0,$H36=0),"皆減 ",IF(AND(F36=0,$H36=0),"－ ",J36/F36)))</f>
        <v>-2.0080109382845039E-2</v>
      </c>
      <c r="L36" s="560">
        <f t="shared" si="2"/>
        <v>-169998</v>
      </c>
      <c r="M36" s="559">
        <f>IF(AND(G36=0,$H36&gt;0),"皆増 ",IF(AND(G36&gt;0,$H36=0),"皆減 ",IF(AND(G36=0,$H36=0),"－ ",L36/G36)))</f>
        <v>-4.0285668562635227E-3</v>
      </c>
      <c r="N36" s="560">
        <f t="shared" si="2"/>
        <v>-23573</v>
      </c>
      <c r="O36" s="561">
        <f>IF(AND(I36=0,$H36&gt;0),"皆増 ",IF(AND(I36&gt;0,$H36=0),"皆減 ",IF(AND(I36=0,$H36=0),"－ ",N36/I36)))</f>
        <v>-5.6057176084262734E-4</v>
      </c>
      <c r="P36" s="487" t="str">
        <f t="shared" ref="P36:P60" si="21">IF(OR(F36&gt;0,G36&gt;0,H36&gt;0,I36&gt;0),"表示（判定）","×表示しない")</f>
        <v>表示（判定）</v>
      </c>
      <c r="R36" s="505">
        <f>IF('[1]3条支出'!$T$41=SUM(R38:R60),'[1]3条支出'!$T$41,"エラー")</f>
        <v>42028134935</v>
      </c>
      <c r="S36" s="427">
        <f t="shared" ref="S36:S54" si="22">ROUND(R36/1000,0)+T36</f>
        <v>42028135</v>
      </c>
    </row>
    <row r="37" spans="1:23" ht="20.25" customHeight="1">
      <c r="A37" s="488"/>
      <c r="B37" s="1460" t="s">
        <v>356</v>
      </c>
      <c r="C37" s="1460"/>
      <c r="D37" s="1461"/>
      <c r="E37" s="489">
        <f t="shared" ref="E37:H37" si="23">SUM(E38:E50)</f>
        <v>24965206</v>
      </c>
      <c r="F37" s="490">
        <f>SUM(F38:F50)</f>
        <v>38446311</v>
      </c>
      <c r="G37" s="491">
        <f>SUM(G38:G50)</f>
        <v>38032169</v>
      </c>
      <c r="H37" s="492">
        <f t="shared" si="23"/>
        <v>37846545</v>
      </c>
      <c r="I37" s="493">
        <f>SUM(I38:I50)</f>
        <v>37457359</v>
      </c>
      <c r="J37" s="494">
        <f t="shared" si="19"/>
        <v>-599766</v>
      </c>
      <c r="K37" s="495">
        <f t="shared" si="20"/>
        <v>-1.5600092294940859E-2</v>
      </c>
      <c r="L37" s="496">
        <f t="shared" si="2"/>
        <v>-185624</v>
      </c>
      <c r="M37" s="495">
        <f>IF(AND(G37=0,$H37&gt;0),"皆増 ",IF(AND(G37&gt;0,$H37=0),"皆減 ",IF(AND(G37=0,$H37=0),"－ ",L37/G37)))</f>
        <v>-4.8807103270917841E-3</v>
      </c>
      <c r="N37" s="496">
        <f t="shared" si="2"/>
        <v>389186</v>
      </c>
      <c r="O37" s="497">
        <f>IF(AND(I37=0,$H37&gt;0),"皆増 ",IF(AND(I37&gt;0,$H37=0),"皆減 ",IF(AND(I37=0,$H37=0),"－ ",N37/I37)))</f>
        <v>1.0390107855708673E-2</v>
      </c>
      <c r="P37" s="487" t="str">
        <f t="shared" si="21"/>
        <v>表示（判定）</v>
      </c>
    </row>
    <row r="38" spans="1:23" ht="20.25" customHeight="1">
      <c r="A38" s="498"/>
      <c r="B38" s="499"/>
      <c r="C38" s="1460" t="s">
        <v>357</v>
      </c>
      <c r="D38" s="1461"/>
      <c r="E38" s="500">
        <v>589007</v>
      </c>
      <c r="F38" s="501">
        <v>599899</v>
      </c>
      <c r="G38" s="502">
        <f t="shared" ref="G38:G50" si="24">W38</f>
        <v>586230</v>
      </c>
      <c r="H38" s="503">
        <f t="shared" ref="H38:H50" si="25">S38</f>
        <v>564665</v>
      </c>
      <c r="I38" s="504">
        <v>719507</v>
      </c>
      <c r="J38" s="494">
        <f t="shared" si="19"/>
        <v>-35234</v>
      </c>
      <c r="K38" s="495">
        <f t="shared" si="20"/>
        <v>-5.873322009204883E-2</v>
      </c>
      <c r="L38" s="496">
        <f t="shared" si="2"/>
        <v>-21565</v>
      </c>
      <c r="M38" s="495">
        <f>IF(AND(G38=0,$H38&gt;0),"皆増 ",IF(AND(G38&gt;0,$H38=0),"皆減 ",IF(AND(G38=0,$H38=0),"－ ",L38/G38)))</f>
        <v>-3.6785903143817272E-2</v>
      </c>
      <c r="N38" s="496">
        <f t="shared" si="2"/>
        <v>-154842</v>
      </c>
      <c r="O38" s="497">
        <f>IF(AND(I38=0,$H38&gt;0),"皆増 ",IF(AND(I38&gt;0,$H38=0),"皆減 ",IF(AND(I38=0,$H38=0),"－ ",N38/I38)))</f>
        <v>-0.21520568945124927</v>
      </c>
      <c r="P38" s="487" t="str">
        <f t="shared" si="21"/>
        <v>表示（判定）</v>
      </c>
      <c r="R38" s="505">
        <f>'[1]3条支出'!T6</f>
        <v>564664608</v>
      </c>
      <c r="S38" s="427">
        <f t="shared" si="22"/>
        <v>564665</v>
      </c>
      <c r="U38" s="428">
        <v>586230</v>
      </c>
      <c r="W38" s="428">
        <f t="shared" ref="W38:W50" si="26">SUM(U38:V38)</f>
        <v>586230</v>
      </c>
    </row>
    <row r="39" spans="1:23" ht="20.25" customHeight="1">
      <c r="A39" s="498"/>
      <c r="B39" s="506"/>
      <c r="C39" s="1460" t="s">
        <v>358</v>
      </c>
      <c r="D39" s="1461"/>
      <c r="E39" s="500">
        <v>71637</v>
      </c>
      <c r="F39" s="501">
        <v>60255</v>
      </c>
      <c r="G39" s="502">
        <f t="shared" si="24"/>
        <v>51456</v>
      </c>
      <c r="H39" s="503">
        <f t="shared" si="25"/>
        <v>51313</v>
      </c>
      <c r="I39" s="504">
        <v>50382</v>
      </c>
      <c r="J39" s="494">
        <f t="shared" si="19"/>
        <v>-8942</v>
      </c>
      <c r="K39" s="495">
        <f t="shared" si="20"/>
        <v>-0.14840262218902994</v>
      </c>
      <c r="L39" s="496">
        <f t="shared" si="2"/>
        <v>-143</v>
      </c>
      <c r="M39" s="495">
        <f>IF(AND(G39=0,$H39&gt;0),"皆増 ",IF(AND(G39&gt;0,$H39=0),"皆減 ",IF(AND(G39=0,$H39=0),"－ ",L39/G39)))</f>
        <v>-2.779073383084577E-3</v>
      </c>
      <c r="N39" s="496">
        <f t="shared" si="2"/>
        <v>931</v>
      </c>
      <c r="O39" s="497">
        <f>IF(AND(I39=0,$H39&gt;0),"皆増 ",IF(AND(I39&gt;0,$H39=0),"皆減 ",IF(AND(I39=0,$H39=0),"－ ",N39/I39)))</f>
        <v>1.847882180143702E-2</v>
      </c>
      <c r="P39" s="487" t="str">
        <f t="shared" si="21"/>
        <v>表示（判定）</v>
      </c>
      <c r="R39" s="505">
        <f>'[1]3条支出'!T7</f>
        <v>51313295</v>
      </c>
      <c r="S39" s="427">
        <f t="shared" si="22"/>
        <v>51313</v>
      </c>
      <c r="U39" s="428">
        <v>51456</v>
      </c>
      <c r="W39" s="428">
        <f t="shared" si="26"/>
        <v>51456</v>
      </c>
    </row>
    <row r="40" spans="1:23" ht="20.25" customHeight="1">
      <c r="A40" s="498"/>
      <c r="B40" s="506"/>
      <c r="C40" s="1460" t="s">
        <v>359</v>
      </c>
      <c r="D40" s="1461"/>
      <c r="E40" s="500">
        <v>2362983</v>
      </c>
      <c r="F40" s="501">
        <v>2337248</v>
      </c>
      <c r="G40" s="502">
        <f t="shared" si="24"/>
        <v>2257378</v>
      </c>
      <c r="H40" s="503">
        <f t="shared" si="25"/>
        <v>2251658</v>
      </c>
      <c r="I40" s="504">
        <v>2188384</v>
      </c>
      <c r="J40" s="494">
        <f t="shared" si="19"/>
        <v>-85590</v>
      </c>
      <c r="K40" s="495">
        <f t="shared" si="20"/>
        <v>-3.6619990689905395E-2</v>
      </c>
      <c r="L40" s="496">
        <f t="shared" si="2"/>
        <v>-5720</v>
      </c>
      <c r="M40" s="495">
        <f>IF(AND(G40=0,$H40&gt;0),"皆増 ",IF(AND(G40&gt;0,$H40=0),"皆減 ",IF(AND(G40=0,$H40=0),"－ ",L40/G40)))</f>
        <v>-2.5339132391650845E-3</v>
      </c>
      <c r="N40" s="496">
        <f t="shared" si="2"/>
        <v>63274</v>
      </c>
      <c r="O40" s="497">
        <f>IF(AND(I40=0,$H40&gt;0),"皆増 ",IF(AND(I40&gt;0,$H40=0),"皆減 ",IF(AND(I40=0,$H40=0),"－ ",N40/I40)))</f>
        <v>2.8913572755055784E-2</v>
      </c>
      <c r="P40" s="487" t="str">
        <f t="shared" si="21"/>
        <v>表示（判定）</v>
      </c>
      <c r="R40" s="505">
        <f>'[1]3条支出'!T8</f>
        <v>2251657967</v>
      </c>
      <c r="S40" s="427">
        <f t="shared" si="22"/>
        <v>2251658</v>
      </c>
      <c r="U40" s="428">
        <v>2257378</v>
      </c>
      <c r="W40" s="428">
        <f t="shared" si="26"/>
        <v>2257378</v>
      </c>
    </row>
    <row r="41" spans="1:23" ht="20.25" customHeight="1">
      <c r="A41" s="498"/>
      <c r="B41" s="506"/>
      <c r="C41" s="1460" t="s">
        <v>360</v>
      </c>
      <c r="D41" s="1461"/>
      <c r="E41" s="500">
        <v>5009251</v>
      </c>
      <c r="F41" s="501">
        <f>6489024+52311</f>
        <v>6541335</v>
      </c>
      <c r="G41" s="502">
        <f t="shared" si="24"/>
        <v>6145362</v>
      </c>
      <c r="H41" s="503">
        <f t="shared" si="25"/>
        <v>6037810</v>
      </c>
      <c r="I41" s="504">
        <v>5500570</v>
      </c>
      <c r="J41" s="494">
        <f t="shared" si="19"/>
        <v>-503525</v>
      </c>
      <c r="K41" s="495">
        <f t="shared" si="20"/>
        <v>-7.6975877248298699E-2</v>
      </c>
      <c r="L41" s="496">
        <f t="shared" ref="L41:N62" si="27">IF(AND(G41=0,$H41=0),"－ ",$H41-G41)</f>
        <v>-107552</v>
      </c>
      <c r="M41" s="495">
        <f t="shared" ref="M41:M62" si="28">IF(AND(G41=0,$H41&gt;0),"皆増 ",IF(AND(G41&gt;0,$H41=0),"皆減 ",IF(AND(G41=0,$H41=0),"－ ",L41/G41)))</f>
        <v>-1.7501328644268638E-2</v>
      </c>
      <c r="N41" s="496">
        <f t="shared" si="27"/>
        <v>537240</v>
      </c>
      <c r="O41" s="497">
        <f t="shared" ref="O41:O62" si="29">IF(AND(I41=0,$H41&gt;0),"皆増 ",IF(AND(I41&gt;0,$H41=0),"皆減 ",IF(AND(I41=0,$H41=0),"－ ",N41/I41)))</f>
        <v>9.7669877849022924E-2</v>
      </c>
      <c r="P41" s="487" t="str">
        <f t="shared" si="21"/>
        <v>表示（判定）</v>
      </c>
      <c r="R41" s="505">
        <f>'[1]3条支出'!T9</f>
        <v>6037810078</v>
      </c>
      <c r="S41" s="427">
        <f t="shared" si="22"/>
        <v>6037810</v>
      </c>
      <c r="U41" s="428">
        <v>6145362</v>
      </c>
      <c r="W41" s="428">
        <f t="shared" si="26"/>
        <v>6145362</v>
      </c>
    </row>
    <row r="42" spans="1:23" ht="20.25" customHeight="1">
      <c r="A42" s="498"/>
      <c r="B42" s="506"/>
      <c r="C42" s="1460" t="s">
        <v>361</v>
      </c>
      <c r="D42" s="1461"/>
      <c r="E42" s="500">
        <v>92445</v>
      </c>
      <c r="F42" s="501">
        <v>78046</v>
      </c>
      <c r="G42" s="502">
        <f t="shared" si="24"/>
        <v>85747</v>
      </c>
      <c r="H42" s="503">
        <f t="shared" si="25"/>
        <v>87134</v>
      </c>
      <c r="I42" s="504">
        <v>73348</v>
      </c>
      <c r="J42" s="494">
        <f t="shared" si="19"/>
        <v>9088</v>
      </c>
      <c r="K42" s="495">
        <f t="shared" si="20"/>
        <v>0.11644414832278401</v>
      </c>
      <c r="L42" s="496">
        <f t="shared" si="27"/>
        <v>1387</v>
      </c>
      <c r="M42" s="495">
        <f t="shared" si="28"/>
        <v>1.617549302016397E-2</v>
      </c>
      <c r="N42" s="496">
        <f t="shared" si="27"/>
        <v>13786</v>
      </c>
      <c r="O42" s="497">
        <f t="shared" si="29"/>
        <v>0.18795331842722365</v>
      </c>
      <c r="P42" s="487" t="str">
        <f t="shared" si="21"/>
        <v>表示（判定）</v>
      </c>
      <c r="R42" s="505">
        <f>'[1]3条支出'!T11</f>
        <v>87134052</v>
      </c>
      <c r="S42" s="427">
        <f t="shared" si="22"/>
        <v>87134</v>
      </c>
      <c r="U42" s="428">
        <v>85747</v>
      </c>
      <c r="W42" s="428">
        <f t="shared" si="26"/>
        <v>85747</v>
      </c>
    </row>
    <row r="43" spans="1:23" ht="20.25" customHeight="1">
      <c r="A43" s="498"/>
      <c r="B43" s="506"/>
      <c r="C43" s="1460" t="s">
        <v>362</v>
      </c>
      <c r="D43" s="1461"/>
      <c r="E43" s="500">
        <v>18143</v>
      </c>
      <c r="F43" s="501">
        <v>14660</v>
      </c>
      <c r="G43" s="502">
        <f t="shared" si="24"/>
        <v>10611</v>
      </c>
      <c r="H43" s="503">
        <f t="shared" si="25"/>
        <v>10396</v>
      </c>
      <c r="I43" s="504">
        <v>10663</v>
      </c>
      <c r="J43" s="494">
        <f t="shared" si="19"/>
        <v>-4264</v>
      </c>
      <c r="K43" s="495">
        <f t="shared" si="20"/>
        <v>-0.29085948158253749</v>
      </c>
      <c r="L43" s="496">
        <f t="shared" si="27"/>
        <v>-215</v>
      </c>
      <c r="M43" s="495">
        <f t="shared" si="28"/>
        <v>-2.026199227217039E-2</v>
      </c>
      <c r="N43" s="496">
        <f t="shared" si="27"/>
        <v>-267</v>
      </c>
      <c r="O43" s="497">
        <f t="shared" si="29"/>
        <v>-2.5039857450998782E-2</v>
      </c>
      <c r="P43" s="487" t="str">
        <f t="shared" si="21"/>
        <v>表示（判定）</v>
      </c>
      <c r="R43" s="505">
        <f>'[1]3条支出'!T12</f>
        <v>10396270</v>
      </c>
      <c r="S43" s="427">
        <f t="shared" si="22"/>
        <v>10396</v>
      </c>
      <c r="U43" s="428">
        <v>10611</v>
      </c>
      <c r="W43" s="428">
        <f t="shared" si="26"/>
        <v>10611</v>
      </c>
    </row>
    <row r="44" spans="1:23" ht="20.25" customHeight="1">
      <c r="A44" s="498"/>
      <c r="B44" s="506"/>
      <c r="C44" s="1460" t="s">
        <v>363</v>
      </c>
      <c r="D44" s="1461"/>
      <c r="E44" s="500">
        <v>989662</v>
      </c>
      <c r="F44" s="501">
        <v>941911</v>
      </c>
      <c r="G44" s="502">
        <f t="shared" si="24"/>
        <v>930360</v>
      </c>
      <c r="H44" s="503">
        <f t="shared" si="25"/>
        <v>929692</v>
      </c>
      <c r="I44" s="504">
        <v>958816</v>
      </c>
      <c r="J44" s="494">
        <f t="shared" si="19"/>
        <v>-12219</v>
      </c>
      <c r="K44" s="495">
        <f t="shared" si="20"/>
        <v>-1.2972563225187942E-2</v>
      </c>
      <c r="L44" s="496">
        <f t="shared" si="27"/>
        <v>-668</v>
      </c>
      <c r="M44" s="495">
        <f t="shared" si="28"/>
        <v>-7.1800163377617261E-4</v>
      </c>
      <c r="N44" s="496">
        <f t="shared" si="27"/>
        <v>-29124</v>
      </c>
      <c r="O44" s="497">
        <f t="shared" si="29"/>
        <v>-3.0374962453692887E-2</v>
      </c>
      <c r="P44" s="487" t="str">
        <f t="shared" si="21"/>
        <v>表示（判定）</v>
      </c>
      <c r="R44" s="505">
        <f>'[1]3条支出'!T13</f>
        <v>929691714</v>
      </c>
      <c r="S44" s="427">
        <f t="shared" si="22"/>
        <v>929692</v>
      </c>
      <c r="U44" s="428">
        <v>930360</v>
      </c>
      <c r="W44" s="428">
        <f t="shared" si="26"/>
        <v>930360</v>
      </c>
    </row>
    <row r="45" spans="1:23" ht="20.25" customHeight="1">
      <c r="A45" s="498"/>
      <c r="B45" s="506"/>
      <c r="C45" s="1460" t="s">
        <v>364</v>
      </c>
      <c r="D45" s="1461"/>
      <c r="E45" s="500">
        <v>592338</v>
      </c>
      <c r="F45" s="501">
        <v>531318</v>
      </c>
      <c r="G45" s="502">
        <f t="shared" si="24"/>
        <v>496650</v>
      </c>
      <c r="H45" s="503">
        <f t="shared" si="25"/>
        <v>466287</v>
      </c>
      <c r="I45" s="504">
        <v>523364</v>
      </c>
      <c r="J45" s="494">
        <f t="shared" si="19"/>
        <v>-65031</v>
      </c>
      <c r="K45" s="495">
        <f t="shared" si="20"/>
        <v>-0.12239562747732996</v>
      </c>
      <c r="L45" s="496">
        <f t="shared" si="27"/>
        <v>-30363</v>
      </c>
      <c r="M45" s="495">
        <f t="shared" si="28"/>
        <v>-6.1135608577469046E-2</v>
      </c>
      <c r="N45" s="496">
        <f t="shared" si="27"/>
        <v>-57077</v>
      </c>
      <c r="O45" s="497">
        <f t="shared" si="29"/>
        <v>-0.10905794055380194</v>
      </c>
      <c r="P45" s="487" t="str">
        <f t="shared" si="21"/>
        <v>表示（判定）</v>
      </c>
      <c r="R45" s="505">
        <f>'[1]3条支出'!T14</f>
        <v>466286409</v>
      </c>
      <c r="S45" s="427">
        <f t="shared" si="22"/>
        <v>466287</v>
      </c>
      <c r="T45" s="513">
        <v>1</v>
      </c>
      <c r="U45" s="428">
        <v>496650</v>
      </c>
      <c r="W45" s="428">
        <f t="shared" si="26"/>
        <v>496650</v>
      </c>
    </row>
    <row r="46" spans="1:23" ht="20.25" customHeight="1">
      <c r="A46" s="498"/>
      <c r="B46" s="506"/>
      <c r="C46" s="1461" t="s">
        <v>365</v>
      </c>
      <c r="D46" s="1477"/>
      <c r="E46" s="500">
        <v>34809</v>
      </c>
      <c r="F46" s="501">
        <f>98793+623</f>
        <v>99416</v>
      </c>
      <c r="G46" s="502">
        <f t="shared" si="24"/>
        <v>99545</v>
      </c>
      <c r="H46" s="503">
        <f t="shared" si="25"/>
        <v>97277</v>
      </c>
      <c r="I46" s="504">
        <v>98056</v>
      </c>
      <c r="J46" s="494">
        <f t="shared" si="19"/>
        <v>-2139</v>
      </c>
      <c r="K46" s="495">
        <f t="shared" si="20"/>
        <v>-2.1515651404200531E-2</v>
      </c>
      <c r="L46" s="496">
        <f t="shared" si="27"/>
        <v>-2268</v>
      </c>
      <c r="M46" s="495">
        <f t="shared" si="28"/>
        <v>-2.2783665678838716E-2</v>
      </c>
      <c r="N46" s="496">
        <f t="shared" si="27"/>
        <v>-779</v>
      </c>
      <c r="O46" s="497">
        <f t="shared" si="29"/>
        <v>-7.9444399118870843E-3</v>
      </c>
      <c r="P46" s="487" t="str">
        <f t="shared" si="21"/>
        <v>表示（判定）</v>
      </c>
      <c r="R46" s="505">
        <f>'[1]3条支出'!T15</f>
        <v>97276922</v>
      </c>
      <c r="S46" s="427">
        <f t="shared" si="22"/>
        <v>97277</v>
      </c>
      <c r="U46" s="428">
        <v>99545</v>
      </c>
      <c r="W46" s="428">
        <f t="shared" si="26"/>
        <v>99545</v>
      </c>
    </row>
    <row r="47" spans="1:23" ht="20.25" customHeight="1">
      <c r="A47" s="498"/>
      <c r="B47" s="506"/>
      <c r="C47" s="1461" t="s">
        <v>366</v>
      </c>
      <c r="D47" s="1477"/>
      <c r="E47" s="500">
        <v>172556</v>
      </c>
      <c r="F47" s="501">
        <f>233770+4311</f>
        <v>238081</v>
      </c>
      <c r="G47" s="502">
        <f t="shared" si="24"/>
        <v>227999</v>
      </c>
      <c r="H47" s="503">
        <f t="shared" si="25"/>
        <v>225168</v>
      </c>
      <c r="I47" s="504">
        <v>220773</v>
      </c>
      <c r="J47" s="494">
        <f t="shared" si="19"/>
        <v>-12913</v>
      </c>
      <c r="K47" s="495">
        <f t="shared" si="20"/>
        <v>-5.4237843423036697E-2</v>
      </c>
      <c r="L47" s="496">
        <f t="shared" si="27"/>
        <v>-2831</v>
      </c>
      <c r="M47" s="495">
        <f t="shared" si="28"/>
        <v>-1.2416721125969851E-2</v>
      </c>
      <c r="N47" s="496">
        <f t="shared" si="27"/>
        <v>4395</v>
      </c>
      <c r="O47" s="497">
        <f t="shared" si="29"/>
        <v>1.9907325624057289E-2</v>
      </c>
      <c r="P47" s="487" t="str">
        <f t="shared" si="21"/>
        <v>表示（判定）</v>
      </c>
      <c r="R47" s="505">
        <f>'[1]3条支出'!T16</f>
        <v>225167795</v>
      </c>
      <c r="S47" s="427">
        <f t="shared" si="22"/>
        <v>225168</v>
      </c>
      <c r="U47" s="428">
        <v>227999</v>
      </c>
      <c r="W47" s="428">
        <f t="shared" si="26"/>
        <v>227999</v>
      </c>
    </row>
    <row r="48" spans="1:23" ht="20.25" customHeight="1">
      <c r="A48" s="498"/>
      <c r="B48" s="506"/>
      <c r="C48" s="1461" t="s">
        <v>367</v>
      </c>
      <c r="D48" s="1477"/>
      <c r="E48" s="500">
        <v>5865</v>
      </c>
      <c r="F48" s="501">
        <v>71975</v>
      </c>
      <c r="G48" s="502">
        <f t="shared" si="24"/>
        <v>70452</v>
      </c>
      <c r="H48" s="503">
        <f t="shared" si="25"/>
        <v>69941</v>
      </c>
      <c r="I48" s="504">
        <v>65034</v>
      </c>
      <c r="J48" s="494">
        <f t="shared" si="19"/>
        <v>-2034</v>
      </c>
      <c r="K48" s="495">
        <f t="shared" si="20"/>
        <v>-2.825981243487322E-2</v>
      </c>
      <c r="L48" s="496">
        <f t="shared" si="27"/>
        <v>-511</v>
      </c>
      <c r="M48" s="495">
        <f t="shared" si="28"/>
        <v>-7.2531652756486686E-3</v>
      </c>
      <c r="N48" s="496">
        <f t="shared" si="27"/>
        <v>4907</v>
      </c>
      <c r="O48" s="497">
        <f t="shared" si="29"/>
        <v>7.5452840052895404E-2</v>
      </c>
      <c r="P48" s="487" t="str">
        <f t="shared" si="21"/>
        <v>表示（判定）</v>
      </c>
      <c r="R48" s="505">
        <f>'[1]3条支出'!T17</f>
        <v>69941329</v>
      </c>
      <c r="S48" s="427">
        <f t="shared" si="22"/>
        <v>69941</v>
      </c>
      <c r="U48" s="428">
        <v>70452</v>
      </c>
      <c r="W48" s="428">
        <f t="shared" si="26"/>
        <v>70452</v>
      </c>
    </row>
    <row r="49" spans="1:23" ht="20.25" customHeight="1">
      <c r="A49" s="498"/>
      <c r="B49" s="506"/>
      <c r="C49" s="1460" t="s">
        <v>368</v>
      </c>
      <c r="D49" s="1461"/>
      <c r="E49" s="500">
        <v>14647769</v>
      </c>
      <c r="F49" s="501">
        <v>26580629</v>
      </c>
      <c r="G49" s="502">
        <f t="shared" si="24"/>
        <v>26549687</v>
      </c>
      <c r="H49" s="503">
        <f t="shared" si="25"/>
        <v>26551442</v>
      </c>
      <c r="I49" s="504">
        <v>26646058</v>
      </c>
      <c r="J49" s="494">
        <f t="shared" si="19"/>
        <v>-29187</v>
      </c>
      <c r="K49" s="495">
        <f t="shared" si="20"/>
        <v>-1.0980552792787561E-3</v>
      </c>
      <c r="L49" s="496">
        <f t="shared" si="27"/>
        <v>1755</v>
      </c>
      <c r="M49" s="495">
        <f t="shared" si="28"/>
        <v>6.6102474202426565E-5</v>
      </c>
      <c r="N49" s="496">
        <f t="shared" si="27"/>
        <v>-94616</v>
      </c>
      <c r="O49" s="497">
        <f t="shared" si="29"/>
        <v>-3.5508441811543004E-3</v>
      </c>
      <c r="P49" s="487" t="str">
        <f t="shared" si="21"/>
        <v>表示（判定）</v>
      </c>
      <c r="R49" s="505">
        <f>'[1]3条支出'!T19</f>
        <v>26551442230</v>
      </c>
      <c r="S49" s="427">
        <f t="shared" si="22"/>
        <v>26551442</v>
      </c>
      <c r="U49" s="428">
        <v>26549687</v>
      </c>
      <c r="W49" s="428">
        <f t="shared" si="26"/>
        <v>26549687</v>
      </c>
    </row>
    <row r="50" spans="1:23" ht="20.25" customHeight="1">
      <c r="A50" s="498"/>
      <c r="B50" s="509"/>
      <c r="C50" s="1460" t="s">
        <v>369</v>
      </c>
      <c r="D50" s="1461"/>
      <c r="E50" s="500">
        <v>378741</v>
      </c>
      <c r="F50" s="501">
        <v>351538</v>
      </c>
      <c r="G50" s="502">
        <f t="shared" si="24"/>
        <v>520692</v>
      </c>
      <c r="H50" s="503">
        <f t="shared" si="25"/>
        <v>503762</v>
      </c>
      <c r="I50" s="504">
        <v>402404</v>
      </c>
      <c r="J50" s="494">
        <f t="shared" si="19"/>
        <v>152224</v>
      </c>
      <c r="K50" s="562">
        <f t="shared" si="20"/>
        <v>0.43302288799503896</v>
      </c>
      <c r="L50" s="496">
        <f t="shared" si="27"/>
        <v>-16930</v>
      </c>
      <c r="M50" s="562">
        <f t="shared" si="28"/>
        <v>-3.2514423113856175E-2</v>
      </c>
      <c r="N50" s="496">
        <f t="shared" si="27"/>
        <v>101358</v>
      </c>
      <c r="O50" s="563">
        <f t="shared" si="29"/>
        <v>0.25188119402391629</v>
      </c>
      <c r="P50" s="487" t="str">
        <f t="shared" si="21"/>
        <v>表示（判定）</v>
      </c>
      <c r="R50" s="505">
        <f>'[1]3条支出'!T20</f>
        <v>503761871</v>
      </c>
      <c r="S50" s="427">
        <f t="shared" si="22"/>
        <v>503762</v>
      </c>
      <c r="U50" s="428">
        <v>520692</v>
      </c>
      <c r="W50" s="428">
        <f t="shared" si="26"/>
        <v>520692</v>
      </c>
    </row>
    <row r="51" spans="1:23" ht="20.25" customHeight="1">
      <c r="A51" s="498"/>
      <c r="B51" s="1460" t="s">
        <v>370</v>
      </c>
      <c r="C51" s="1460"/>
      <c r="D51" s="1461"/>
      <c r="E51" s="489">
        <f t="shared" ref="E51:H51" si="30">SUM(E52:E54)</f>
        <v>16171804</v>
      </c>
      <c r="F51" s="490">
        <f>SUM(F52:F54)</f>
        <v>4417315</v>
      </c>
      <c r="G51" s="491">
        <f>SUM(G52:G54)</f>
        <v>4144435</v>
      </c>
      <c r="H51" s="492">
        <f t="shared" si="30"/>
        <v>4161564</v>
      </c>
      <c r="I51" s="493">
        <f>SUM(I52:I54)</f>
        <v>4589507</v>
      </c>
      <c r="J51" s="494">
        <f t="shared" si="19"/>
        <v>-255751</v>
      </c>
      <c r="K51" s="495">
        <f t="shared" si="20"/>
        <v>-5.7897387892871577E-2</v>
      </c>
      <c r="L51" s="496">
        <f t="shared" si="27"/>
        <v>17129</v>
      </c>
      <c r="M51" s="495">
        <f t="shared" si="28"/>
        <v>4.1330120993573307E-3</v>
      </c>
      <c r="N51" s="496">
        <f t="shared" si="27"/>
        <v>-427943</v>
      </c>
      <c r="O51" s="497">
        <f t="shared" si="29"/>
        <v>-9.3243784136291766E-2</v>
      </c>
      <c r="P51" s="487" t="str">
        <f t="shared" si="21"/>
        <v>表示（判定）</v>
      </c>
    </row>
    <row r="52" spans="1:23" ht="20.25" customHeight="1">
      <c r="A52" s="498"/>
      <c r="B52" s="499"/>
      <c r="C52" s="1478" t="s">
        <v>371</v>
      </c>
      <c r="D52" s="1479"/>
      <c r="E52" s="500">
        <v>16052113</v>
      </c>
      <c r="F52" s="501">
        <v>4199707</v>
      </c>
      <c r="G52" s="502">
        <f>W52</f>
        <v>3940345</v>
      </c>
      <c r="H52" s="503">
        <f>S52</f>
        <v>3940342</v>
      </c>
      <c r="I52" s="504">
        <v>4396333</v>
      </c>
      <c r="J52" s="494">
        <f t="shared" si="19"/>
        <v>-259365</v>
      </c>
      <c r="K52" s="495">
        <f t="shared" si="20"/>
        <v>-6.1757879775898653E-2</v>
      </c>
      <c r="L52" s="496">
        <f t="shared" si="27"/>
        <v>-3</v>
      </c>
      <c r="M52" s="495">
        <f t="shared" si="28"/>
        <v>-7.6135465295551527E-7</v>
      </c>
      <c r="N52" s="496">
        <f t="shared" si="27"/>
        <v>-455991</v>
      </c>
      <c r="O52" s="497">
        <f t="shared" si="29"/>
        <v>-0.10372076000612329</v>
      </c>
      <c r="P52" s="487" t="str">
        <f t="shared" si="21"/>
        <v>表示（判定）</v>
      </c>
      <c r="R52" s="505">
        <f>'[1]3条支出'!T23</f>
        <v>3940341717</v>
      </c>
      <c r="S52" s="427">
        <f t="shared" si="22"/>
        <v>3940342</v>
      </c>
      <c r="U52" s="428">
        <v>3940345</v>
      </c>
      <c r="W52" s="428">
        <f>SUM(U52:V52)</f>
        <v>3940345</v>
      </c>
    </row>
    <row r="53" spans="1:23" ht="20.25" hidden="1" customHeight="1">
      <c r="A53" s="498"/>
      <c r="B53" s="506"/>
      <c r="C53" s="1461" t="s">
        <v>372</v>
      </c>
      <c r="D53" s="1477"/>
      <c r="E53" s="500">
        <v>0</v>
      </c>
      <c r="F53" s="501"/>
      <c r="G53" s="502">
        <v>0</v>
      </c>
      <c r="H53" s="510">
        <v>0</v>
      </c>
      <c r="I53" s="504">
        <v>0</v>
      </c>
      <c r="J53" s="494" t="str">
        <f t="shared" si="19"/>
        <v xml:space="preserve">－ </v>
      </c>
      <c r="K53" s="511" t="str">
        <f t="shared" si="20"/>
        <v xml:space="preserve">－ </v>
      </c>
      <c r="L53" s="496" t="str">
        <f t="shared" si="27"/>
        <v xml:space="preserve">－ </v>
      </c>
      <c r="M53" s="511" t="str">
        <f t="shared" si="28"/>
        <v xml:space="preserve">－ </v>
      </c>
      <c r="N53" s="496" t="str">
        <f t="shared" si="27"/>
        <v xml:space="preserve">－ </v>
      </c>
      <c r="O53" s="512" t="str">
        <f t="shared" si="29"/>
        <v xml:space="preserve">－ </v>
      </c>
      <c r="P53" s="487" t="str">
        <f t="shared" si="21"/>
        <v>×表示しない</v>
      </c>
      <c r="R53" s="505"/>
    </row>
    <row r="54" spans="1:23" ht="20.25" customHeight="1">
      <c r="A54" s="498"/>
      <c r="B54" s="509"/>
      <c r="C54" s="1460" t="s">
        <v>373</v>
      </c>
      <c r="D54" s="1461"/>
      <c r="E54" s="500">
        <v>119691</v>
      </c>
      <c r="F54" s="501">
        <v>217608</v>
      </c>
      <c r="G54" s="502">
        <f>W54</f>
        <v>204090</v>
      </c>
      <c r="H54" s="503">
        <f>S54</f>
        <v>221222</v>
      </c>
      <c r="I54" s="504">
        <v>193174</v>
      </c>
      <c r="J54" s="494">
        <f t="shared" si="19"/>
        <v>3614</v>
      </c>
      <c r="K54" s="495">
        <f t="shared" si="20"/>
        <v>1.6607845299805156E-2</v>
      </c>
      <c r="L54" s="496">
        <f t="shared" si="27"/>
        <v>17132</v>
      </c>
      <c r="M54" s="495">
        <f t="shared" si="28"/>
        <v>8.3943358322308786E-2</v>
      </c>
      <c r="N54" s="496">
        <f t="shared" si="27"/>
        <v>28048</v>
      </c>
      <c r="O54" s="497">
        <f t="shared" si="29"/>
        <v>0.14519552320705684</v>
      </c>
      <c r="P54" s="487" t="str">
        <f t="shared" si="21"/>
        <v>表示（判定）</v>
      </c>
      <c r="R54" s="505">
        <f>'[1]3条支出'!T24+'[1]3条支出'!$T$25</f>
        <v>221221824</v>
      </c>
      <c r="S54" s="427">
        <f t="shared" si="22"/>
        <v>221222</v>
      </c>
      <c r="U54" s="428">
        <v>196817</v>
      </c>
      <c r="V54" s="428">
        <v>7273</v>
      </c>
      <c r="W54" s="428">
        <f>SUM(U54:V54)</f>
        <v>204090</v>
      </c>
    </row>
    <row r="55" spans="1:23" ht="20.25" customHeight="1">
      <c r="A55" s="498"/>
      <c r="B55" s="1460" t="s">
        <v>374</v>
      </c>
      <c r="C55" s="1460"/>
      <c r="D55" s="1461"/>
      <c r="E55" s="489">
        <f t="shared" ref="E55:H55" si="31">SUM(E56:E59)</f>
        <v>55925</v>
      </c>
      <c r="F55" s="490">
        <f>SUM(F56:F59)</f>
        <v>7550</v>
      </c>
      <c r="G55" s="491">
        <f>SUM(G56:G59)</f>
        <v>21529</v>
      </c>
      <c r="H55" s="492">
        <f t="shared" si="31"/>
        <v>20026</v>
      </c>
      <c r="I55" s="493">
        <f>SUM(I56:I59)</f>
        <v>4842</v>
      </c>
      <c r="J55" s="494">
        <f t="shared" si="19"/>
        <v>12476</v>
      </c>
      <c r="K55" s="495">
        <f t="shared" si="20"/>
        <v>1.6524503311258278</v>
      </c>
      <c r="L55" s="496">
        <f t="shared" si="27"/>
        <v>-1503</v>
      </c>
      <c r="M55" s="495">
        <f t="shared" si="28"/>
        <v>-6.9812810627525659E-2</v>
      </c>
      <c r="N55" s="496">
        <f t="shared" si="27"/>
        <v>15184</v>
      </c>
      <c r="O55" s="497">
        <f t="shared" si="29"/>
        <v>3.1358942585708385</v>
      </c>
      <c r="P55" s="487" t="str">
        <f t="shared" si="21"/>
        <v>表示（判定）</v>
      </c>
    </row>
    <row r="56" spans="1:23" ht="20.25" customHeight="1">
      <c r="A56" s="498"/>
      <c r="B56" s="499"/>
      <c r="C56" s="1460" t="s">
        <v>375</v>
      </c>
      <c r="D56" s="1461"/>
      <c r="E56" s="500">
        <v>0</v>
      </c>
      <c r="F56" s="501">
        <v>0</v>
      </c>
      <c r="G56" s="502">
        <f>W56</f>
        <v>10315</v>
      </c>
      <c r="H56" s="503">
        <f>S56</f>
        <v>10315</v>
      </c>
      <c r="I56" s="504">
        <v>0</v>
      </c>
      <c r="J56" s="494">
        <f t="shared" si="19"/>
        <v>10315</v>
      </c>
      <c r="K56" s="511" t="str">
        <f t="shared" si="20"/>
        <v xml:space="preserve">皆増 </v>
      </c>
      <c r="L56" s="496">
        <f t="shared" si="27"/>
        <v>0</v>
      </c>
      <c r="M56" s="511">
        <f t="shared" si="28"/>
        <v>0</v>
      </c>
      <c r="N56" s="496">
        <f t="shared" si="27"/>
        <v>10315</v>
      </c>
      <c r="O56" s="512" t="str">
        <f t="shared" si="29"/>
        <v xml:space="preserve">皆増 </v>
      </c>
      <c r="P56" s="487" t="str">
        <f t="shared" si="21"/>
        <v>表示（判定）</v>
      </c>
      <c r="R56" s="505">
        <f>'[1]3条支出'!$T$30</f>
        <v>10315355</v>
      </c>
      <c r="S56" s="427">
        <f t="shared" ref="S56" si="32">ROUND(R56/1000,0)+T56</f>
        <v>10315</v>
      </c>
      <c r="U56" s="428">
        <v>10315</v>
      </c>
      <c r="W56" s="428">
        <f t="shared" ref="W56:W59" si="33">SUM(U56:V56)</f>
        <v>10315</v>
      </c>
    </row>
    <row r="57" spans="1:23" ht="20.25" customHeight="1">
      <c r="A57" s="498"/>
      <c r="B57" s="499"/>
      <c r="C57" s="1460" t="s">
        <v>376</v>
      </c>
      <c r="D57" s="1461"/>
      <c r="E57" s="500">
        <v>41531</v>
      </c>
      <c r="F57" s="501">
        <v>7512</v>
      </c>
      <c r="G57" s="502">
        <f>W57</f>
        <v>11176</v>
      </c>
      <c r="H57" s="503">
        <f>S57</f>
        <v>9711</v>
      </c>
      <c r="I57" s="504">
        <v>4840</v>
      </c>
      <c r="J57" s="494">
        <f t="shared" si="19"/>
        <v>2199</v>
      </c>
      <c r="K57" s="562">
        <f t="shared" si="20"/>
        <v>0.29273162939297126</v>
      </c>
      <c r="L57" s="496">
        <f t="shared" si="27"/>
        <v>-1465</v>
      </c>
      <c r="M57" s="562">
        <f t="shared" si="28"/>
        <v>-0.13108446671438798</v>
      </c>
      <c r="N57" s="496">
        <f t="shared" si="27"/>
        <v>4871</v>
      </c>
      <c r="O57" s="563">
        <f t="shared" si="29"/>
        <v>1.006404958677686</v>
      </c>
      <c r="P57" s="487" t="str">
        <f t="shared" si="21"/>
        <v>表示（判定）</v>
      </c>
      <c r="R57" s="505">
        <f>'[1]3条支出'!$T$28</f>
        <v>9711499</v>
      </c>
      <c r="S57" s="427">
        <f t="shared" ref="S57:S59" si="34">ROUND(R57/1000,0)+T57</f>
        <v>9711</v>
      </c>
      <c r="U57" s="428">
        <v>11176</v>
      </c>
      <c r="W57" s="428">
        <f t="shared" si="33"/>
        <v>11176</v>
      </c>
    </row>
    <row r="58" spans="1:23" ht="20.25" hidden="1" customHeight="1">
      <c r="A58" s="498"/>
      <c r="B58" s="506"/>
      <c r="C58" s="1460" t="s">
        <v>377</v>
      </c>
      <c r="D58" s="1461"/>
      <c r="E58" s="500"/>
      <c r="F58" s="501">
        <v>0</v>
      </c>
      <c r="G58" s="502">
        <f>W58</f>
        <v>0</v>
      </c>
      <c r="H58" s="503">
        <f>S58</f>
        <v>0</v>
      </c>
      <c r="I58" s="504">
        <v>0</v>
      </c>
      <c r="J58" s="494" t="str">
        <f t="shared" si="19"/>
        <v xml:space="preserve">－ </v>
      </c>
      <c r="K58" s="562" t="str">
        <f t="shared" si="20"/>
        <v xml:space="preserve">－ </v>
      </c>
      <c r="L58" s="496" t="str">
        <f t="shared" si="27"/>
        <v xml:space="preserve">－ </v>
      </c>
      <c r="M58" s="562" t="str">
        <f t="shared" si="28"/>
        <v xml:space="preserve">－ </v>
      </c>
      <c r="N58" s="496" t="str">
        <f t="shared" si="27"/>
        <v xml:space="preserve">－ </v>
      </c>
      <c r="O58" s="563" t="str">
        <f t="shared" si="29"/>
        <v xml:space="preserve">－ </v>
      </c>
      <c r="P58" s="487" t="str">
        <f t="shared" si="21"/>
        <v>×表示しない</v>
      </c>
      <c r="R58" s="505">
        <f>'[1]3条支出'!$T$31</f>
        <v>0</v>
      </c>
      <c r="S58" s="427">
        <f t="shared" si="34"/>
        <v>0</v>
      </c>
      <c r="U58" s="428">
        <v>0</v>
      </c>
      <c r="W58" s="428">
        <f t="shared" si="33"/>
        <v>0</v>
      </c>
    </row>
    <row r="59" spans="1:23" ht="20.25" customHeight="1">
      <c r="A59" s="498"/>
      <c r="B59" s="509"/>
      <c r="C59" s="1460" t="s">
        <v>378</v>
      </c>
      <c r="D59" s="1461"/>
      <c r="E59" s="500">
        <v>14394</v>
      </c>
      <c r="F59" s="501">
        <v>38</v>
      </c>
      <c r="G59" s="502">
        <f>W59</f>
        <v>38</v>
      </c>
      <c r="H59" s="503">
        <f>S59</f>
        <v>0</v>
      </c>
      <c r="I59" s="504">
        <v>2</v>
      </c>
      <c r="J59" s="494">
        <f t="shared" si="19"/>
        <v>-38</v>
      </c>
      <c r="K59" s="564" t="str">
        <f t="shared" si="20"/>
        <v xml:space="preserve">皆減 </v>
      </c>
      <c r="L59" s="496">
        <f t="shared" si="27"/>
        <v>-38</v>
      </c>
      <c r="M59" s="564" t="str">
        <f t="shared" si="28"/>
        <v xml:space="preserve">皆減 </v>
      </c>
      <c r="N59" s="496">
        <f t="shared" si="27"/>
        <v>-2</v>
      </c>
      <c r="O59" s="565" t="str">
        <f t="shared" si="29"/>
        <v xml:space="preserve">皆減 </v>
      </c>
      <c r="P59" s="487" t="str">
        <f t="shared" si="21"/>
        <v>表示（判定）</v>
      </c>
      <c r="R59" s="505">
        <f>'[1]3条支出'!$T$29</f>
        <v>0</v>
      </c>
      <c r="S59" s="427">
        <f t="shared" si="34"/>
        <v>0</v>
      </c>
      <c r="U59" s="428">
        <v>38</v>
      </c>
      <c r="W59" s="428">
        <f t="shared" si="33"/>
        <v>38</v>
      </c>
    </row>
    <row r="60" spans="1:23" ht="20.25" customHeight="1" thickBot="1">
      <c r="A60" s="524"/>
      <c r="B60" s="1469" t="s">
        <v>379</v>
      </c>
      <c r="C60" s="1469"/>
      <c r="D60" s="1470"/>
      <c r="E60" s="526">
        <v>0</v>
      </c>
      <c r="F60" s="527">
        <v>18182</v>
      </c>
      <c r="G60" s="528">
        <f>W60</f>
        <v>0</v>
      </c>
      <c r="H60" s="566">
        <v>0</v>
      </c>
      <c r="I60" s="530">
        <v>0</v>
      </c>
      <c r="J60" s="531">
        <f t="shared" si="19"/>
        <v>-18182</v>
      </c>
      <c r="K60" s="567" t="str">
        <f t="shared" si="20"/>
        <v xml:space="preserve">皆減 </v>
      </c>
      <c r="L60" s="533" t="str">
        <f t="shared" si="27"/>
        <v xml:space="preserve">－ </v>
      </c>
      <c r="M60" s="567" t="str">
        <f t="shared" si="28"/>
        <v xml:space="preserve">－ </v>
      </c>
      <c r="N60" s="533" t="str">
        <f t="shared" si="27"/>
        <v xml:space="preserve">－ </v>
      </c>
      <c r="O60" s="568" t="str">
        <f t="shared" si="29"/>
        <v xml:space="preserve">－ </v>
      </c>
      <c r="P60" s="487" t="str">
        <f t="shared" si="21"/>
        <v>表示（判定）</v>
      </c>
      <c r="U60" s="428">
        <v>7273</v>
      </c>
      <c r="V60" s="428">
        <v>-7273</v>
      </c>
      <c r="W60" s="428">
        <f>SUM(U60:V60)</f>
        <v>0</v>
      </c>
    </row>
    <row r="61" spans="1:23" ht="12.75" thickBot="1">
      <c r="A61" s="548"/>
      <c r="B61" s="548"/>
      <c r="C61" s="548"/>
      <c r="D61" s="548"/>
      <c r="F61" s="549"/>
      <c r="G61" s="549"/>
      <c r="H61" s="550"/>
      <c r="I61" s="549"/>
      <c r="J61" s="538"/>
      <c r="K61" s="540"/>
      <c r="L61" s="569"/>
      <c r="M61" s="540"/>
      <c r="N61" s="569"/>
      <c r="O61" s="540"/>
      <c r="P61" s="424" t="s">
        <v>528</v>
      </c>
    </row>
    <row r="62" spans="1:23" ht="20.25" customHeight="1" thickBot="1">
      <c r="A62" s="1483" t="s">
        <v>534</v>
      </c>
      <c r="B62" s="1484"/>
      <c r="C62" s="1484"/>
      <c r="D62" s="1485"/>
      <c r="E62" s="570">
        <f>E9-E36</f>
        <v>9623</v>
      </c>
      <c r="F62" s="571">
        <f>F9-F36</f>
        <v>120300</v>
      </c>
      <c r="G62" s="572">
        <f>G9-G36</f>
        <v>87814</v>
      </c>
      <c r="H62" s="573">
        <f>H9-H36</f>
        <v>543907</v>
      </c>
      <c r="I62" s="574">
        <f>I9-I36</f>
        <v>447981</v>
      </c>
      <c r="J62" s="420">
        <f>IF(AND(F62=0,$H62=0),"－ ",$H62-F62)</f>
        <v>423607</v>
      </c>
      <c r="K62" s="575">
        <f>IF(AND(F62=0,$H62&gt;0),"皆増 ",IF(AND(F62&gt;0,$H62=0),"皆減 ",IF(AND(F62=0,$H62=0),"－ ",J62/F62)))</f>
        <v>3.5212551953449709</v>
      </c>
      <c r="L62" s="422">
        <f t="shared" si="27"/>
        <v>456093</v>
      </c>
      <c r="M62" s="575">
        <f t="shared" si="28"/>
        <v>5.1938529163914637</v>
      </c>
      <c r="N62" s="422">
        <f t="shared" si="27"/>
        <v>95926</v>
      </c>
      <c r="O62" s="576">
        <f t="shared" si="29"/>
        <v>0.21412961710429684</v>
      </c>
      <c r="P62" s="424" t="s">
        <v>528</v>
      </c>
      <c r="R62" s="425" t="s">
        <v>383</v>
      </c>
      <c r="S62" s="425">
        <f>SUM(S38:S60)</f>
        <v>42028135</v>
      </c>
    </row>
    <row r="63" spans="1:23" ht="20.25" hidden="1" customHeight="1">
      <c r="B63" s="1486" t="s">
        <v>381</v>
      </c>
      <c r="C63" s="1487"/>
      <c r="D63" s="1488"/>
      <c r="P63" s="424" t="s">
        <v>544</v>
      </c>
    </row>
    <row r="64" spans="1:23" ht="20.25" hidden="1" customHeight="1">
      <c r="B64" s="1480" t="s">
        <v>382</v>
      </c>
      <c r="C64" s="1481"/>
      <c r="D64" s="1482"/>
      <c r="P64" s="424" t="s">
        <v>544</v>
      </c>
    </row>
    <row r="65" spans="4:19" ht="20.25" customHeight="1">
      <c r="D65" s="508"/>
    </row>
    <row r="66" spans="4:19" ht="20.25" customHeight="1">
      <c r="K66" s="442"/>
      <c r="M66" s="442"/>
      <c r="O66" s="442"/>
      <c r="P66" s="442"/>
    </row>
    <row r="67" spans="4:19" ht="20.25" customHeight="1">
      <c r="Q67" s="425" t="s">
        <v>380</v>
      </c>
      <c r="R67" s="427">
        <f>R9-R36</f>
        <v>-42028134935</v>
      </c>
      <c r="S67" s="427">
        <f>S33-S62</f>
        <v>543907</v>
      </c>
    </row>
  </sheetData>
  <autoFilter ref="A8:W64">
    <filterColumn colId="15">
      <filters>
        <filter val="表示"/>
        <filter val="表示（判定）"/>
      </filters>
    </filterColumn>
  </autoFilter>
  <mergeCells count="48">
    <mergeCell ref="B64:D64"/>
    <mergeCell ref="C57:D57"/>
    <mergeCell ref="C58:D58"/>
    <mergeCell ref="C59:D59"/>
    <mergeCell ref="B60:D60"/>
    <mergeCell ref="A62:D62"/>
    <mergeCell ref="B63:D63"/>
    <mergeCell ref="C56:D56"/>
    <mergeCell ref="C45:D45"/>
    <mergeCell ref="C46:D46"/>
    <mergeCell ref="C47:D47"/>
    <mergeCell ref="C48:D48"/>
    <mergeCell ref="C49:D49"/>
    <mergeCell ref="C50:D50"/>
    <mergeCell ref="B51:D51"/>
    <mergeCell ref="C52:D52"/>
    <mergeCell ref="C53:D53"/>
    <mergeCell ref="C54:D54"/>
    <mergeCell ref="B55:D55"/>
    <mergeCell ref="C44:D44"/>
    <mergeCell ref="C31:D31"/>
    <mergeCell ref="A33:D33"/>
    <mergeCell ref="A36:D36"/>
    <mergeCell ref="B37:D37"/>
    <mergeCell ref="C38:D38"/>
    <mergeCell ref="C39:D39"/>
    <mergeCell ref="C40:D40"/>
    <mergeCell ref="C41:D41"/>
    <mergeCell ref="C42:D42"/>
    <mergeCell ref="C43:D43"/>
    <mergeCell ref="C30:D30"/>
    <mergeCell ref="B19:D19"/>
    <mergeCell ref="C20:D20"/>
    <mergeCell ref="C21:D21"/>
    <mergeCell ref="C22:D22"/>
    <mergeCell ref="C23:D23"/>
    <mergeCell ref="C24:D24"/>
    <mergeCell ref="C26:D26"/>
    <mergeCell ref="C25:D25"/>
    <mergeCell ref="B27:D27"/>
    <mergeCell ref="C28:D28"/>
    <mergeCell ref="C29:D29"/>
    <mergeCell ref="A7:D7"/>
    <mergeCell ref="C18:D18"/>
    <mergeCell ref="A9:D9"/>
    <mergeCell ref="B10:D10"/>
    <mergeCell ref="C11:D11"/>
    <mergeCell ref="C12:D12"/>
  </mergeCells>
  <phoneticPr fontId="28"/>
  <printOptions horizontalCentered="1"/>
  <pageMargins left="0.59055118110236227" right="0.39370078740157483" top="0.39370078740157483" bottom="0.39370078740157483" header="0.27559055118110237" footer="0"/>
  <pageSetup paperSize="9" scale="68" fitToWidth="0" fitToHeight="0" orientation="portrait" blackAndWhite="1" cellComments="asDisplayed" r:id="rId1"/>
  <headerFooter alignWithMargins="0">
    <oddHeader>&amp;R&amp;8&amp;D &amp;T</oddHeader>
    <oddFooter>&amp;L&amp;8&amp;F &amp;A</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66FF33"/>
  </sheetPr>
  <dimension ref="A1:W69"/>
  <sheetViews>
    <sheetView showGridLines="0" view="pageBreakPreview" zoomScale="115" zoomScaleNormal="130" zoomScaleSheetLayoutView="115" workbookViewId="0">
      <pane xSplit="4" ySplit="8" topLeftCell="F15" activePane="bottomRight" state="frozen"/>
      <selection activeCell="F9" sqref="F9"/>
      <selection pane="topRight" activeCell="F9" sqref="F9"/>
      <selection pane="bottomLeft" activeCell="F9" sqref="F9"/>
      <selection pane="bottomRight" activeCell="F9" sqref="F9"/>
    </sheetView>
  </sheetViews>
  <sheetFormatPr defaultColWidth="9" defaultRowHeight="20.25" customHeight="1" outlineLevelRow="1" outlineLevelCol="1"/>
  <cols>
    <col min="1" max="3" width="1.375" style="425" customWidth="1"/>
    <col min="4" max="4" width="19.875" style="425" customWidth="1"/>
    <col min="5" max="5" width="12" style="429" hidden="1" customWidth="1" outlineLevel="1"/>
    <col min="6" max="6" width="11.625" style="430" customWidth="1" collapsed="1"/>
    <col min="7" max="9" width="11.625" style="430" customWidth="1"/>
    <col min="10" max="10" width="10.75" style="425" customWidth="1" collapsed="1"/>
    <col min="11" max="11" width="7.5" style="425" bestFit="1" customWidth="1"/>
    <col min="12" max="12" width="10.75" style="425" customWidth="1" collapsed="1"/>
    <col min="13" max="13" width="7.5" style="425" bestFit="1" customWidth="1"/>
    <col min="14" max="14" width="10.75" style="425" customWidth="1" collapsed="1"/>
    <col min="15" max="15" width="7.5" style="425" bestFit="1" customWidth="1"/>
    <col min="16" max="16" width="10.5" style="425" bestFit="1" customWidth="1"/>
    <col min="17" max="17" width="8.75" style="425" customWidth="1"/>
    <col min="18" max="18" width="12.875" style="428" customWidth="1"/>
    <col min="19" max="19" width="11.625" style="428" customWidth="1"/>
    <col min="20" max="20" width="10" style="428" customWidth="1"/>
    <col min="21" max="21" width="16.375" style="428" bestFit="1" customWidth="1"/>
    <col min="22" max="22" width="9" style="428"/>
    <col min="23" max="23" width="13.375" style="428" bestFit="1" customWidth="1"/>
    <col min="24" max="16384" width="9" style="425"/>
  </cols>
  <sheetData>
    <row r="1" spans="1:23" ht="12" hidden="1" outlineLevel="1"/>
    <row r="2" spans="1:23" ht="12" hidden="1" outlineLevel="1"/>
    <row r="3" spans="1:23" s="431" customFormat="1" ht="18.75" collapsed="1">
      <c r="A3" s="431" t="str">
        <f>CONCATENATE("令和",+DBCS(MID(出資金しくみ!B1,3,1)),"年度決算　収益的収支（税込）")</f>
        <v>令和５年度決算　収益的収支（税込）</v>
      </c>
      <c r="B3" s="432"/>
      <c r="C3" s="432"/>
      <c r="D3" s="432"/>
      <c r="E3" s="433"/>
      <c r="F3" s="434"/>
      <c r="G3" s="434"/>
      <c r="H3" s="434"/>
      <c r="I3" s="435"/>
      <c r="J3" s="432"/>
      <c r="K3" s="432"/>
      <c r="L3" s="432"/>
      <c r="M3" s="436"/>
      <c r="N3" s="432"/>
      <c r="O3" s="1200" t="str">
        <f>総括表!$K$1</f>
        <v>令和6年5月22日</v>
      </c>
      <c r="R3" s="437"/>
      <c r="S3" s="437"/>
      <c r="T3" s="437"/>
      <c r="U3" s="437"/>
      <c r="V3" s="437"/>
      <c r="W3" s="437"/>
    </row>
    <row r="4" spans="1:23" ht="12" hidden="1" outlineLevel="1">
      <c r="A4" s="438"/>
      <c r="B4" s="438"/>
      <c r="C4" s="438"/>
      <c r="D4" s="438"/>
    </row>
    <row r="5" spans="1:23" ht="20.25" customHeight="1" collapsed="1" thickBot="1">
      <c r="A5" s="438" t="s">
        <v>324</v>
      </c>
      <c r="B5" s="438"/>
      <c r="C5" s="438"/>
      <c r="D5" s="438"/>
      <c r="E5" s="439"/>
      <c r="F5" s="440"/>
      <c r="G5" s="440"/>
      <c r="H5" s="441"/>
      <c r="I5" s="441"/>
      <c r="J5" s="442"/>
      <c r="K5" s="442"/>
      <c r="L5" s="442"/>
      <c r="M5" s="443"/>
      <c r="N5" s="442"/>
      <c r="O5" s="443" t="s">
        <v>524</v>
      </c>
      <c r="P5" s="442"/>
    </row>
    <row r="6" spans="1:23" s="442" customFormat="1" ht="13.5" thickTop="1" thickBot="1">
      <c r="A6" s="444"/>
      <c r="B6" s="445"/>
      <c r="C6" s="445"/>
      <c r="D6" s="446"/>
      <c r="E6" s="447"/>
      <c r="F6" s="448"/>
      <c r="G6" s="449"/>
      <c r="H6" s="450"/>
      <c r="I6" s="449"/>
      <c r="J6" s="452" t="s">
        <v>523</v>
      </c>
      <c r="K6" s="451"/>
      <c r="L6" s="452"/>
      <c r="M6" s="451"/>
      <c r="N6" s="452"/>
      <c r="O6" s="453"/>
      <c r="P6" s="454"/>
      <c r="R6" s="455"/>
      <c r="S6" s="455"/>
      <c r="T6" s="455"/>
      <c r="U6" s="455"/>
      <c r="V6" s="455"/>
      <c r="W6" s="455"/>
    </row>
    <row r="7" spans="1:23" ht="24">
      <c r="A7" s="1457" t="s">
        <v>533</v>
      </c>
      <c r="B7" s="1458"/>
      <c r="C7" s="1458"/>
      <c r="D7" s="1459"/>
      <c r="E7" s="456" t="s">
        <v>328</v>
      </c>
      <c r="F7" s="457" t="s">
        <v>531</v>
      </c>
      <c r="G7" s="458" t="s">
        <v>529</v>
      </c>
      <c r="H7" s="459" t="s">
        <v>530</v>
      </c>
      <c r="I7" s="460" t="s">
        <v>532</v>
      </c>
      <c r="J7" s="461" t="s">
        <v>527</v>
      </c>
      <c r="K7" s="462"/>
      <c r="L7" s="463" t="s">
        <v>526</v>
      </c>
      <c r="M7" s="462"/>
      <c r="N7" s="463" t="s">
        <v>525</v>
      </c>
      <c r="O7" s="464"/>
      <c r="R7" s="428" t="s">
        <v>539</v>
      </c>
      <c r="U7" s="428" t="s">
        <v>516</v>
      </c>
    </row>
    <row r="8" spans="1:23" ht="20.25" customHeight="1">
      <c r="A8" s="465"/>
      <c r="B8" s="466"/>
      <c r="C8" s="466"/>
      <c r="D8" s="467"/>
      <c r="E8" s="468"/>
      <c r="F8" s="469" t="s">
        <v>519</v>
      </c>
      <c r="G8" s="470" t="s">
        <v>520</v>
      </c>
      <c r="H8" s="471" t="s">
        <v>521</v>
      </c>
      <c r="I8" s="472" t="s">
        <v>522</v>
      </c>
      <c r="J8" s="473" t="s">
        <v>542</v>
      </c>
      <c r="K8" s="474" t="s">
        <v>330</v>
      </c>
      <c r="L8" s="475" t="s">
        <v>581</v>
      </c>
      <c r="M8" s="474" t="s">
        <v>330</v>
      </c>
      <c r="N8" s="475" t="s">
        <v>577</v>
      </c>
      <c r="O8" s="476" t="s">
        <v>330</v>
      </c>
      <c r="P8" s="454" t="s">
        <v>535</v>
      </c>
      <c r="Q8" s="425" t="s">
        <v>536</v>
      </c>
      <c r="R8" s="428" t="s">
        <v>538</v>
      </c>
      <c r="S8" s="428" t="s">
        <v>537</v>
      </c>
      <c r="T8" s="961" t="s">
        <v>384</v>
      </c>
      <c r="U8" s="428" t="s">
        <v>517</v>
      </c>
      <c r="V8" s="428" t="s">
        <v>518</v>
      </c>
      <c r="W8" s="428" t="s">
        <v>517</v>
      </c>
    </row>
    <row r="9" spans="1:23" ht="20.25" customHeight="1">
      <c r="A9" s="1462" t="s">
        <v>331</v>
      </c>
      <c r="B9" s="1463"/>
      <c r="C9" s="1463"/>
      <c r="D9" s="1464"/>
      <c r="E9" s="478">
        <f>SUM(E10,E19,E27)</f>
        <v>41202558</v>
      </c>
      <c r="F9" s="479">
        <f>SUM(F10,F19,F27)</f>
        <v>44975817</v>
      </c>
      <c r="G9" s="480">
        <f>SUM(G10,G19,G27)</f>
        <v>44165221</v>
      </c>
      <c r="H9" s="481">
        <f>SUM(H10,H19,H27)</f>
        <v>44454712</v>
      </c>
      <c r="I9" s="482">
        <f>SUM(I10,I19,I27)</f>
        <v>44381298</v>
      </c>
      <c r="J9" s="483">
        <f t="shared" ref="J9:J31" si="0">IF(AND(F9=0,$H9=0),"－ ",$H9-F9)</f>
        <v>-521105</v>
      </c>
      <c r="K9" s="484">
        <f t="shared" ref="K9:K31" si="1">IF(AND(F9=0,$H9&gt;0),"皆増 ",IF(AND(F9&gt;0,$H9=0),"皆減 ",IF(AND(F9=0,$H9=0),"－ ",J9/F9)))</f>
        <v>-1.1586337608942157E-2</v>
      </c>
      <c r="L9" s="485">
        <f t="shared" ref="L9:N40" si="2">IF(AND(G9=0,$H9=0),"－ ",$H9-G9)</f>
        <v>289491</v>
      </c>
      <c r="M9" s="484">
        <f t="shared" ref="M9:M31" si="3">IF(AND(G9=0,$H9&gt;0),"皆増 ",IF(AND(G9&gt;0,$H9=0),"皆減 ",IF(AND(G9=0,$H9=0),"－ ",L9/G9)))</f>
        <v>6.5547277573908208E-3</v>
      </c>
      <c r="N9" s="485">
        <f t="shared" si="2"/>
        <v>73414</v>
      </c>
      <c r="O9" s="486">
        <f t="shared" ref="O9:O31" si="4">IF(AND(I9=0,$H9&gt;0),"皆増 ",IF(AND(I9&gt;0,$H9=0),"皆減 ",IF(AND(I9=0,$H9=0),"－ ",N9/I9)))</f>
        <v>1.6541652296875138E-3</v>
      </c>
      <c r="P9" s="487" t="str">
        <f t="shared" ref="P9:P31" si="5">IF(OR(F9&gt;0,G9&gt;0,H9&gt;0,I9&gt;0),"表示（判定）","×表示しない")</f>
        <v>表示（判定）</v>
      </c>
      <c r="R9" s="428">
        <f>SUM(R10,R19,R27)</f>
        <v>44454711283</v>
      </c>
    </row>
    <row r="10" spans="1:23" ht="20.25" customHeight="1">
      <c r="A10" s="488"/>
      <c r="B10" s="1460" t="s">
        <v>332</v>
      </c>
      <c r="C10" s="1460"/>
      <c r="D10" s="1461"/>
      <c r="E10" s="489">
        <f t="shared" ref="E10" si="6">SUM(E11:E12,E18)</f>
        <v>39159297</v>
      </c>
      <c r="F10" s="490">
        <f>SUM(F11:F12,F18)</f>
        <v>35444153</v>
      </c>
      <c r="G10" s="491">
        <f>SUM(G11:G12,G18)</f>
        <v>34582538</v>
      </c>
      <c r="H10" s="492">
        <f>SUM(H11:H12,H18)</f>
        <v>34865913</v>
      </c>
      <c r="I10" s="493">
        <f>SUM(I11:I12,I18)</f>
        <v>34671095</v>
      </c>
      <c r="J10" s="494">
        <f t="shared" si="0"/>
        <v>-578240</v>
      </c>
      <c r="K10" s="495">
        <f t="shared" si="1"/>
        <v>-1.6314115335186598E-2</v>
      </c>
      <c r="L10" s="496">
        <f t="shared" si="2"/>
        <v>283375</v>
      </c>
      <c r="M10" s="495">
        <f t="shared" si="3"/>
        <v>8.1941643496495249E-3</v>
      </c>
      <c r="N10" s="496">
        <f t="shared" si="2"/>
        <v>194818</v>
      </c>
      <c r="O10" s="497">
        <f t="shared" si="4"/>
        <v>5.6190322226627107E-3</v>
      </c>
      <c r="P10" s="487" t="str">
        <f t="shared" si="5"/>
        <v>表示（判定）</v>
      </c>
      <c r="R10" s="428">
        <f>SUM(R11:R12,R18)</f>
        <v>34865911732</v>
      </c>
    </row>
    <row r="11" spans="1:23" ht="20.25" customHeight="1">
      <c r="A11" s="498"/>
      <c r="B11" s="499"/>
      <c r="C11" s="1460" t="s">
        <v>333</v>
      </c>
      <c r="D11" s="1461"/>
      <c r="E11" s="500">
        <v>21145614</v>
      </c>
      <c r="F11" s="501">
        <v>21384728</v>
      </c>
      <c r="G11" s="502">
        <v>20441757</v>
      </c>
      <c r="H11" s="503">
        <f>S11</f>
        <v>20488963</v>
      </c>
      <c r="I11" s="504">
        <v>20482227</v>
      </c>
      <c r="J11" s="494">
        <f t="shared" si="0"/>
        <v>-895765</v>
      </c>
      <c r="K11" s="495">
        <f t="shared" si="1"/>
        <v>-4.1888070776490587E-2</v>
      </c>
      <c r="L11" s="496">
        <f t="shared" si="2"/>
        <v>47206</v>
      </c>
      <c r="M11" s="495">
        <f t="shared" si="3"/>
        <v>2.3092926894689139E-3</v>
      </c>
      <c r="N11" s="496">
        <f t="shared" si="2"/>
        <v>6736</v>
      </c>
      <c r="O11" s="497">
        <f t="shared" si="4"/>
        <v>3.288704885459965E-4</v>
      </c>
      <c r="P11" s="487" t="str">
        <f t="shared" si="5"/>
        <v>表示（判定）</v>
      </c>
      <c r="R11" s="428">
        <f>'[2]3条収入'!$E$8</f>
        <v>20488962528</v>
      </c>
      <c r="S11" s="428">
        <f>ROUND(R11/1000,0)+T11</f>
        <v>20488963</v>
      </c>
      <c r="U11" s="428">
        <v>18583417</v>
      </c>
      <c r="W11" s="428">
        <f>SUM(U11:V11)</f>
        <v>18583417</v>
      </c>
    </row>
    <row r="12" spans="1:23" ht="20.25" customHeight="1">
      <c r="A12" s="498"/>
      <c r="B12" s="506"/>
      <c r="C12" s="1460" t="s">
        <v>334</v>
      </c>
      <c r="D12" s="1461"/>
      <c r="E12" s="500">
        <v>18011826</v>
      </c>
      <c r="F12" s="490">
        <f>SUM(F13:F17)</f>
        <v>13854862</v>
      </c>
      <c r="G12" s="491">
        <f>SUM(G13:G17)</f>
        <v>13951285</v>
      </c>
      <c r="H12" s="492">
        <f t="shared" ref="H12" si="7">SUM(H13:H17)</f>
        <v>14187103</v>
      </c>
      <c r="I12" s="493">
        <f>SUM(I13:I17)</f>
        <v>13993349</v>
      </c>
      <c r="J12" s="494">
        <f t="shared" si="0"/>
        <v>332241</v>
      </c>
      <c r="K12" s="495">
        <f t="shared" si="1"/>
        <v>2.3980101714473952E-2</v>
      </c>
      <c r="L12" s="496">
        <f t="shared" si="2"/>
        <v>235818</v>
      </c>
      <c r="M12" s="495">
        <f t="shared" si="3"/>
        <v>1.6902959118102742E-2</v>
      </c>
      <c r="N12" s="496">
        <f t="shared" si="2"/>
        <v>193754</v>
      </c>
      <c r="O12" s="497">
        <f t="shared" si="4"/>
        <v>1.3846149338517891E-2</v>
      </c>
      <c r="P12" s="487" t="str">
        <f t="shared" si="5"/>
        <v>表示（判定）</v>
      </c>
      <c r="R12" s="428">
        <f t="shared" ref="R12" si="8">SUM(R13:R17)</f>
        <v>14187102335</v>
      </c>
    </row>
    <row r="13" spans="1:23" ht="20.25" customHeight="1">
      <c r="A13" s="498"/>
      <c r="B13" s="506"/>
      <c r="C13" s="499"/>
      <c r="D13" s="956" t="s">
        <v>335</v>
      </c>
      <c r="E13" s="489">
        <f>E12-E14-E15-E16</f>
        <v>17853307</v>
      </c>
      <c r="F13" s="501">
        <v>13738282</v>
      </c>
      <c r="G13" s="502">
        <f>13852072-8000</f>
        <v>13844072</v>
      </c>
      <c r="H13" s="503">
        <f>S13</f>
        <v>14079750</v>
      </c>
      <c r="I13" s="504">
        <v>13893559</v>
      </c>
      <c r="J13" s="494">
        <f t="shared" si="0"/>
        <v>341468</v>
      </c>
      <c r="K13" s="495">
        <f t="shared" si="1"/>
        <v>2.4855218432697772E-2</v>
      </c>
      <c r="L13" s="496">
        <f t="shared" si="2"/>
        <v>235678</v>
      </c>
      <c r="M13" s="495">
        <f t="shared" si="3"/>
        <v>1.7023748504052853E-2</v>
      </c>
      <c r="N13" s="496">
        <f t="shared" si="2"/>
        <v>186191</v>
      </c>
      <c r="O13" s="497">
        <f t="shared" si="4"/>
        <v>1.3401245857882778E-2</v>
      </c>
      <c r="P13" s="487" t="str">
        <f t="shared" si="5"/>
        <v>表示（判定）</v>
      </c>
      <c r="R13" s="428">
        <f>'[2]3条収入'!$E$10</f>
        <v>14079749832</v>
      </c>
      <c r="S13" s="428">
        <f t="shared" ref="S13:S16" si="9">ROUND(R13/1000,0)+T13</f>
        <v>14079750</v>
      </c>
      <c r="U13" s="428">
        <v>13852072</v>
      </c>
      <c r="V13" s="428">
        <v>8000</v>
      </c>
      <c r="W13" s="428">
        <f t="shared" ref="W13:W18" si="10">SUM(U13:V13)</f>
        <v>13860072</v>
      </c>
    </row>
    <row r="14" spans="1:23" ht="20.25" customHeight="1">
      <c r="A14" s="498"/>
      <c r="B14" s="506"/>
      <c r="C14" s="506"/>
      <c r="D14" s="956" t="s">
        <v>336</v>
      </c>
      <c r="E14" s="500">
        <v>72773</v>
      </c>
      <c r="F14" s="501">
        <v>61778</v>
      </c>
      <c r="G14" s="502">
        <v>52650</v>
      </c>
      <c r="H14" s="503">
        <f>S14</f>
        <v>52444</v>
      </c>
      <c r="I14" s="504">
        <v>51549</v>
      </c>
      <c r="J14" s="494">
        <f t="shared" si="0"/>
        <v>-9334</v>
      </c>
      <c r="K14" s="495">
        <f t="shared" si="1"/>
        <v>-0.15108938457055909</v>
      </c>
      <c r="L14" s="496">
        <f t="shared" si="2"/>
        <v>-206</v>
      </c>
      <c r="M14" s="495">
        <f t="shared" si="3"/>
        <v>-3.9126305792972459E-3</v>
      </c>
      <c r="N14" s="496">
        <f t="shared" si="2"/>
        <v>895</v>
      </c>
      <c r="O14" s="497">
        <f t="shared" si="4"/>
        <v>1.7362121476653281E-2</v>
      </c>
      <c r="P14" s="487" t="str">
        <f t="shared" si="5"/>
        <v>表示（判定）</v>
      </c>
      <c r="R14" s="428">
        <f>'[2]3条収入'!$E$14</f>
        <v>52443869</v>
      </c>
      <c r="S14" s="428">
        <f t="shared" si="9"/>
        <v>52444</v>
      </c>
      <c r="U14" s="428">
        <v>52650</v>
      </c>
      <c r="W14" s="428">
        <f t="shared" si="10"/>
        <v>52650</v>
      </c>
    </row>
    <row r="15" spans="1:23" ht="20.25" customHeight="1">
      <c r="A15" s="498"/>
      <c r="B15" s="506"/>
      <c r="C15" s="506"/>
      <c r="D15" s="956" t="s">
        <v>337</v>
      </c>
      <c r="E15" s="500">
        <v>67470</v>
      </c>
      <c r="F15" s="501">
        <v>40039</v>
      </c>
      <c r="G15" s="502">
        <v>43851</v>
      </c>
      <c r="H15" s="503">
        <f>S15</f>
        <v>44425</v>
      </c>
      <c r="I15" s="504">
        <v>37495</v>
      </c>
      <c r="J15" s="494">
        <f t="shared" si="0"/>
        <v>4386</v>
      </c>
      <c r="K15" s="495">
        <f t="shared" si="1"/>
        <v>0.10954319538450011</v>
      </c>
      <c r="L15" s="496">
        <f t="shared" si="2"/>
        <v>574</v>
      </c>
      <c r="M15" s="495">
        <f t="shared" si="3"/>
        <v>1.3089781304873321E-2</v>
      </c>
      <c r="N15" s="496">
        <f t="shared" si="2"/>
        <v>6930</v>
      </c>
      <c r="O15" s="497">
        <f t="shared" si="4"/>
        <v>0.18482464328577144</v>
      </c>
      <c r="P15" s="487" t="str">
        <f t="shared" si="5"/>
        <v>表示（判定）</v>
      </c>
      <c r="R15" s="428">
        <f>'[2]3条収入'!$E$15</f>
        <v>44424775</v>
      </c>
      <c r="S15" s="428">
        <f t="shared" si="9"/>
        <v>44425</v>
      </c>
      <c r="U15" s="428">
        <v>43851</v>
      </c>
      <c r="W15" s="428">
        <f t="shared" si="10"/>
        <v>43851</v>
      </c>
    </row>
    <row r="16" spans="1:23" ht="20.25" customHeight="1">
      <c r="A16" s="498"/>
      <c r="B16" s="506"/>
      <c r="C16" s="506"/>
      <c r="D16" s="956" t="s">
        <v>338</v>
      </c>
      <c r="E16" s="500">
        <v>18276</v>
      </c>
      <c r="F16" s="501">
        <v>14763</v>
      </c>
      <c r="G16" s="502">
        <v>10712</v>
      </c>
      <c r="H16" s="503">
        <f>S16</f>
        <v>10484</v>
      </c>
      <c r="I16" s="504">
        <v>10746</v>
      </c>
      <c r="J16" s="494">
        <f t="shared" si="0"/>
        <v>-4279</v>
      </c>
      <c r="K16" s="495">
        <f t="shared" si="1"/>
        <v>-0.28984623721465824</v>
      </c>
      <c r="L16" s="496">
        <f t="shared" si="2"/>
        <v>-228</v>
      </c>
      <c r="M16" s="495">
        <f t="shared" si="3"/>
        <v>-2.1284540702016429E-2</v>
      </c>
      <c r="N16" s="496">
        <f t="shared" si="2"/>
        <v>-262</v>
      </c>
      <c r="O16" s="497">
        <f t="shared" si="4"/>
        <v>-2.4381165084682674E-2</v>
      </c>
      <c r="P16" s="487" t="str">
        <f t="shared" si="5"/>
        <v>表示（判定）</v>
      </c>
      <c r="R16" s="428">
        <f>'[2]3条収入'!$E$16</f>
        <v>10483859</v>
      </c>
      <c r="S16" s="428">
        <f t="shared" si="9"/>
        <v>10484</v>
      </c>
      <c r="T16" s="962"/>
      <c r="U16" s="428">
        <v>10712</v>
      </c>
      <c r="W16" s="428">
        <f t="shared" si="10"/>
        <v>10712</v>
      </c>
    </row>
    <row r="17" spans="1:23" ht="20.25" hidden="1" customHeight="1">
      <c r="A17" s="498"/>
      <c r="B17" s="506"/>
      <c r="C17" s="509"/>
      <c r="D17" s="956" t="s">
        <v>339</v>
      </c>
      <c r="E17" s="500">
        <v>0</v>
      </c>
      <c r="F17" s="501"/>
      <c r="G17" s="502"/>
      <c r="H17" s="510"/>
      <c r="I17" s="504"/>
      <c r="J17" s="494" t="str">
        <f t="shared" si="0"/>
        <v xml:space="preserve">－ </v>
      </c>
      <c r="K17" s="511" t="str">
        <f t="shared" si="1"/>
        <v xml:space="preserve">－ </v>
      </c>
      <c r="L17" s="496" t="str">
        <f t="shared" si="2"/>
        <v xml:space="preserve">－ </v>
      </c>
      <c r="M17" s="511" t="str">
        <f t="shared" si="3"/>
        <v xml:space="preserve">－ </v>
      </c>
      <c r="N17" s="496" t="str">
        <f t="shared" si="2"/>
        <v xml:space="preserve">－ </v>
      </c>
      <c r="O17" s="512" t="str">
        <f t="shared" si="4"/>
        <v xml:space="preserve">－ </v>
      </c>
      <c r="P17" s="487" t="str">
        <f t="shared" si="5"/>
        <v>×表示しない</v>
      </c>
      <c r="U17" s="428">
        <v>172315</v>
      </c>
      <c r="W17" s="428">
        <f t="shared" si="10"/>
        <v>172315</v>
      </c>
    </row>
    <row r="18" spans="1:23" ht="20.25" customHeight="1">
      <c r="A18" s="498"/>
      <c r="B18" s="509"/>
      <c r="C18" s="1460" t="s">
        <v>340</v>
      </c>
      <c r="D18" s="1461"/>
      <c r="E18" s="500">
        <v>1857</v>
      </c>
      <c r="F18" s="501">
        <v>204563</v>
      </c>
      <c r="G18" s="502">
        <v>189496</v>
      </c>
      <c r="H18" s="503">
        <f>S18</f>
        <v>189847</v>
      </c>
      <c r="I18" s="504">
        <v>195519</v>
      </c>
      <c r="J18" s="494">
        <f t="shared" si="0"/>
        <v>-14716</v>
      </c>
      <c r="K18" s="495">
        <f t="shared" si="1"/>
        <v>-7.1938718145510186E-2</v>
      </c>
      <c r="L18" s="496">
        <f t="shared" si="2"/>
        <v>351</v>
      </c>
      <c r="M18" s="495">
        <f t="shared" si="3"/>
        <v>1.8522818423607887E-3</v>
      </c>
      <c r="N18" s="496">
        <f t="shared" si="2"/>
        <v>-5672</v>
      </c>
      <c r="O18" s="497">
        <f t="shared" si="4"/>
        <v>-2.9009968340672772E-2</v>
      </c>
      <c r="P18" s="487" t="str">
        <f t="shared" si="5"/>
        <v>表示（判定）</v>
      </c>
      <c r="R18" s="428">
        <f>'[2]3条収入'!$E$19</f>
        <v>189846869</v>
      </c>
      <c r="S18" s="428">
        <f>ROUND(R18/1000,0)+T18</f>
        <v>189847</v>
      </c>
      <c r="T18" s="963"/>
      <c r="U18" s="428">
        <v>172315</v>
      </c>
      <c r="W18" s="428">
        <f t="shared" si="10"/>
        <v>172315</v>
      </c>
    </row>
    <row r="19" spans="1:23" ht="20.25" customHeight="1">
      <c r="A19" s="498"/>
      <c r="B19" s="1460" t="s">
        <v>341</v>
      </c>
      <c r="C19" s="1460"/>
      <c r="D19" s="1461"/>
      <c r="E19" s="489">
        <f>SUM(E20:E26)</f>
        <v>2040440</v>
      </c>
      <c r="F19" s="490">
        <f>SUM(F20:F26)</f>
        <v>9528788</v>
      </c>
      <c r="G19" s="491">
        <f>SUM(G20:G26)</f>
        <v>9579686</v>
      </c>
      <c r="H19" s="492">
        <f>SUM(H20:H26)</f>
        <v>9584600</v>
      </c>
      <c r="I19" s="493">
        <f>SUM(I20:I26)</f>
        <v>9703635</v>
      </c>
      <c r="J19" s="494">
        <f t="shared" si="0"/>
        <v>55812</v>
      </c>
      <c r="K19" s="495">
        <f t="shared" si="1"/>
        <v>5.8571982082086414E-3</v>
      </c>
      <c r="L19" s="496">
        <f t="shared" si="2"/>
        <v>4914</v>
      </c>
      <c r="M19" s="495">
        <f t="shared" si="3"/>
        <v>5.1296044567640314E-4</v>
      </c>
      <c r="N19" s="496">
        <f t="shared" si="2"/>
        <v>-119035</v>
      </c>
      <c r="O19" s="497">
        <f t="shared" si="4"/>
        <v>-1.2267052501459505E-2</v>
      </c>
      <c r="P19" s="487" t="str">
        <f t="shared" si="5"/>
        <v>表示（判定）</v>
      </c>
      <c r="R19" s="428">
        <f>SUM(R20:R26)</f>
        <v>9584600552</v>
      </c>
    </row>
    <row r="20" spans="1:23" ht="20.25" customHeight="1">
      <c r="A20" s="498"/>
      <c r="B20" s="499"/>
      <c r="C20" s="1460" t="s">
        <v>342</v>
      </c>
      <c r="D20" s="1461"/>
      <c r="E20" s="500">
        <v>7130</v>
      </c>
      <c r="F20" s="501">
        <v>70</v>
      </c>
      <c r="G20" s="502">
        <f t="shared" ref="G20:G24" si="11">W20</f>
        <v>87</v>
      </c>
      <c r="H20" s="503">
        <f t="shared" ref="H20:H26" si="12">S20</f>
        <v>89</v>
      </c>
      <c r="I20" s="504">
        <v>63</v>
      </c>
      <c r="J20" s="494">
        <f t="shared" si="0"/>
        <v>19</v>
      </c>
      <c r="K20" s="495">
        <f t="shared" si="1"/>
        <v>0.27142857142857141</v>
      </c>
      <c r="L20" s="496">
        <f t="shared" si="2"/>
        <v>2</v>
      </c>
      <c r="M20" s="495">
        <f t="shared" si="3"/>
        <v>2.2988505747126436E-2</v>
      </c>
      <c r="N20" s="496">
        <f t="shared" si="2"/>
        <v>26</v>
      </c>
      <c r="O20" s="497">
        <f t="shared" si="4"/>
        <v>0.41269841269841268</v>
      </c>
      <c r="P20" s="487" t="str">
        <f t="shared" si="5"/>
        <v>表示（判定）</v>
      </c>
      <c r="R20" s="428">
        <f>'[2]3条収入'!$E$28</f>
        <v>88770</v>
      </c>
      <c r="S20" s="428">
        <f>ROUND(R20/1000,0)+T20</f>
        <v>89</v>
      </c>
      <c r="U20" s="428">
        <v>87</v>
      </c>
      <c r="W20" s="428">
        <f>SUM(U20:V20)</f>
        <v>87</v>
      </c>
    </row>
    <row r="21" spans="1:23" ht="20.25" hidden="1" customHeight="1">
      <c r="A21" s="498"/>
      <c r="B21" s="506"/>
      <c r="C21" s="1460" t="s">
        <v>400</v>
      </c>
      <c r="D21" s="1461"/>
      <c r="E21" s="500">
        <v>108</v>
      </c>
      <c r="F21" s="501"/>
      <c r="G21" s="502">
        <f t="shared" si="11"/>
        <v>0</v>
      </c>
      <c r="H21" s="503">
        <f t="shared" si="12"/>
        <v>0</v>
      </c>
      <c r="I21" s="504">
        <v>0</v>
      </c>
      <c r="J21" s="494" t="str">
        <f t="shared" si="0"/>
        <v xml:space="preserve">－ </v>
      </c>
      <c r="K21" s="511" t="str">
        <f t="shared" si="1"/>
        <v xml:space="preserve">－ </v>
      </c>
      <c r="L21" s="496" t="str">
        <f t="shared" si="2"/>
        <v xml:space="preserve">－ </v>
      </c>
      <c r="M21" s="511" t="str">
        <f t="shared" si="3"/>
        <v xml:space="preserve">－ </v>
      </c>
      <c r="N21" s="496" t="str">
        <f t="shared" si="2"/>
        <v xml:space="preserve">－ </v>
      </c>
      <c r="O21" s="512" t="str">
        <f t="shared" si="4"/>
        <v xml:space="preserve">－ </v>
      </c>
      <c r="P21" s="487" t="str">
        <f t="shared" si="5"/>
        <v>×表示しない</v>
      </c>
      <c r="R21" s="428">
        <f>'[2]3条収入'!$AI$32</f>
        <v>0</v>
      </c>
      <c r="S21" s="428">
        <f>ROUND(R21/1000,0)+T21</f>
        <v>0</v>
      </c>
      <c r="T21" s="963"/>
    </row>
    <row r="22" spans="1:23" ht="20.25" customHeight="1">
      <c r="A22" s="498"/>
      <c r="B22" s="506"/>
      <c r="C22" s="1460" t="s">
        <v>343</v>
      </c>
      <c r="D22" s="1461"/>
      <c r="E22" s="500">
        <v>305814</v>
      </c>
      <c r="F22" s="501">
        <v>49683</v>
      </c>
      <c r="G22" s="502">
        <v>49683</v>
      </c>
      <c r="H22" s="503">
        <f t="shared" si="12"/>
        <v>53493</v>
      </c>
      <c r="I22" s="504">
        <f>64215+1</f>
        <v>64216</v>
      </c>
      <c r="J22" s="494">
        <f t="shared" si="0"/>
        <v>3810</v>
      </c>
      <c r="K22" s="495">
        <f t="shared" si="1"/>
        <v>7.6686190447436756E-2</v>
      </c>
      <c r="L22" s="496">
        <f t="shared" si="2"/>
        <v>3810</v>
      </c>
      <c r="M22" s="495">
        <f t="shared" si="3"/>
        <v>7.6686190447436756E-2</v>
      </c>
      <c r="N22" s="496">
        <f t="shared" si="2"/>
        <v>-10723</v>
      </c>
      <c r="O22" s="497">
        <f t="shared" si="4"/>
        <v>-0.16698330634109879</v>
      </c>
      <c r="P22" s="487" t="str">
        <f t="shared" si="5"/>
        <v>表示（判定）</v>
      </c>
      <c r="R22" s="428">
        <f>'[2]3条収入'!$E$39</f>
        <v>53493193</v>
      </c>
      <c r="S22" s="428">
        <f t="shared" ref="S22:S26" si="13">ROUND(R22/1000,0)+T22</f>
        <v>53493</v>
      </c>
      <c r="U22" s="428">
        <v>46672</v>
      </c>
      <c r="W22" s="428">
        <f>SUM(U22:V22)</f>
        <v>46672</v>
      </c>
    </row>
    <row r="23" spans="1:23" ht="20.25" customHeight="1">
      <c r="A23" s="498"/>
      <c r="B23" s="506"/>
      <c r="C23" s="1460" t="s">
        <v>344</v>
      </c>
      <c r="D23" s="1461"/>
      <c r="E23" s="500">
        <v>1708190</v>
      </c>
      <c r="F23" s="501">
        <v>0</v>
      </c>
      <c r="G23" s="502">
        <f t="shared" si="11"/>
        <v>8000</v>
      </c>
      <c r="H23" s="503">
        <f t="shared" si="12"/>
        <v>9203</v>
      </c>
      <c r="I23" s="504">
        <v>31</v>
      </c>
      <c r="J23" s="494">
        <f t="shared" si="0"/>
        <v>9203</v>
      </c>
      <c r="K23" s="495" t="str">
        <f t="shared" si="1"/>
        <v xml:space="preserve">皆増 </v>
      </c>
      <c r="L23" s="496">
        <f t="shared" si="2"/>
        <v>1203</v>
      </c>
      <c r="M23" s="495">
        <f t="shared" si="3"/>
        <v>0.15037500000000001</v>
      </c>
      <c r="N23" s="496">
        <f t="shared" si="2"/>
        <v>9172</v>
      </c>
      <c r="O23" s="497">
        <f t="shared" si="4"/>
        <v>295.87096774193549</v>
      </c>
      <c r="P23" s="487" t="str">
        <f t="shared" si="5"/>
        <v>表示（判定）</v>
      </c>
      <c r="R23" s="428">
        <f>'[2]3条収入'!$E$42</f>
        <v>9203253</v>
      </c>
      <c r="S23" s="428">
        <f t="shared" si="13"/>
        <v>9203</v>
      </c>
      <c r="V23" s="428">
        <v>8000</v>
      </c>
      <c r="W23" s="428">
        <f>SUM(U23:V23)</f>
        <v>8000</v>
      </c>
    </row>
    <row r="24" spans="1:23" ht="20.25" hidden="1" customHeight="1" outlineLevel="1">
      <c r="A24" s="514"/>
      <c r="B24" s="515"/>
      <c r="C24" s="1465" t="s">
        <v>345</v>
      </c>
      <c r="D24" s="1466"/>
      <c r="E24" s="500">
        <v>0</v>
      </c>
      <c r="F24" s="501"/>
      <c r="G24" s="502">
        <f t="shared" si="11"/>
        <v>0</v>
      </c>
      <c r="H24" s="503">
        <f t="shared" si="12"/>
        <v>0</v>
      </c>
      <c r="I24" s="504">
        <v>0</v>
      </c>
      <c r="J24" s="494" t="str">
        <f t="shared" si="0"/>
        <v xml:space="preserve">－ </v>
      </c>
      <c r="K24" s="511" t="str">
        <f t="shared" si="1"/>
        <v xml:space="preserve">－ </v>
      </c>
      <c r="L24" s="496" t="str">
        <f t="shared" si="2"/>
        <v xml:space="preserve">－ </v>
      </c>
      <c r="M24" s="511" t="str">
        <f t="shared" si="3"/>
        <v xml:space="preserve">－ </v>
      </c>
      <c r="N24" s="496" t="str">
        <f t="shared" si="2"/>
        <v xml:space="preserve">－ </v>
      </c>
      <c r="O24" s="512" t="str">
        <f t="shared" si="4"/>
        <v xml:space="preserve">－ </v>
      </c>
      <c r="P24" s="487" t="str">
        <f t="shared" si="5"/>
        <v>×表示しない</v>
      </c>
      <c r="R24" s="428">
        <f>'[2]3条収入'!$AI$49</f>
        <v>0</v>
      </c>
      <c r="S24" s="428">
        <f t="shared" si="13"/>
        <v>0</v>
      </c>
    </row>
    <row r="25" spans="1:23" ht="20.25" customHeight="1" collapsed="1">
      <c r="A25" s="498"/>
      <c r="B25" s="506"/>
      <c r="C25" s="1460" t="s">
        <v>347</v>
      </c>
      <c r="D25" s="1461"/>
      <c r="E25" s="500">
        <v>9623</v>
      </c>
      <c r="F25" s="501">
        <v>9455090</v>
      </c>
      <c r="G25" s="502">
        <v>9488527</v>
      </c>
      <c r="H25" s="503">
        <f t="shared" si="12"/>
        <v>9485355</v>
      </c>
      <c r="I25" s="504">
        <v>9604004</v>
      </c>
      <c r="J25" s="494">
        <f t="shared" si="0"/>
        <v>30265</v>
      </c>
      <c r="K25" s="495">
        <f t="shared" si="1"/>
        <v>3.2009214084688774E-3</v>
      </c>
      <c r="L25" s="496">
        <f t="shared" si="2"/>
        <v>-3172</v>
      </c>
      <c r="M25" s="495">
        <f t="shared" si="3"/>
        <v>-3.3429846381846201E-4</v>
      </c>
      <c r="N25" s="496">
        <f t="shared" si="2"/>
        <v>-118649</v>
      </c>
      <c r="O25" s="497">
        <f t="shared" si="4"/>
        <v>-1.2354118136560543E-2</v>
      </c>
      <c r="P25" s="487" t="str">
        <f t="shared" si="5"/>
        <v>表示（判定）</v>
      </c>
      <c r="R25" s="428">
        <f>'[2]3条収入'!$E$55</f>
        <v>9485355002</v>
      </c>
      <c r="S25" s="428">
        <f>ROUND(R25/1000,0)+T25</f>
        <v>9485355</v>
      </c>
      <c r="T25" s="963"/>
      <c r="U25" s="428">
        <v>9488526</v>
      </c>
      <c r="W25" s="428">
        <f>SUM(U25:V25)</f>
        <v>9488526</v>
      </c>
    </row>
    <row r="26" spans="1:23" ht="20.25" customHeight="1">
      <c r="A26" s="498"/>
      <c r="B26" s="509"/>
      <c r="C26" s="1460" t="s">
        <v>346</v>
      </c>
      <c r="D26" s="1461"/>
      <c r="E26" s="500">
        <v>9575</v>
      </c>
      <c r="F26" s="501">
        <v>23945</v>
      </c>
      <c r="G26" s="502">
        <v>33389</v>
      </c>
      <c r="H26" s="503">
        <f t="shared" si="12"/>
        <v>36460</v>
      </c>
      <c r="I26" s="504">
        <v>35321</v>
      </c>
      <c r="J26" s="494">
        <f t="shared" si="0"/>
        <v>12515</v>
      </c>
      <c r="K26" s="495">
        <f t="shared" si="1"/>
        <v>0.52265608686573395</v>
      </c>
      <c r="L26" s="496">
        <f t="shared" si="2"/>
        <v>3071</v>
      </c>
      <c r="M26" s="495">
        <f t="shared" si="3"/>
        <v>9.1976399412980317E-2</v>
      </c>
      <c r="N26" s="496">
        <f t="shared" si="2"/>
        <v>1139</v>
      </c>
      <c r="O26" s="497">
        <f t="shared" si="4"/>
        <v>3.2247105121599048E-2</v>
      </c>
      <c r="P26" s="487" t="str">
        <f t="shared" si="5"/>
        <v>表示（判定）</v>
      </c>
      <c r="R26" s="428">
        <f>'[2]3条収入'!$E$51</f>
        <v>36460334</v>
      </c>
      <c r="S26" s="428">
        <f t="shared" si="13"/>
        <v>36460</v>
      </c>
      <c r="U26" s="428">
        <v>32929</v>
      </c>
      <c r="W26" s="428">
        <f t="shared" ref="W26" si="14">SUM(U26:V26)</f>
        <v>32929</v>
      </c>
    </row>
    <row r="27" spans="1:23" ht="20.25" customHeight="1">
      <c r="A27" s="498"/>
      <c r="B27" s="1460" t="s">
        <v>348</v>
      </c>
      <c r="C27" s="1460"/>
      <c r="D27" s="1461"/>
      <c r="E27" s="489">
        <f t="shared" ref="E27:H27" si="15">SUM(E28:E31)</f>
        <v>2821</v>
      </c>
      <c r="F27" s="490">
        <f>SUM(F28:F31)</f>
        <v>2876</v>
      </c>
      <c r="G27" s="491">
        <f>SUM(G28:G31)</f>
        <v>2997</v>
      </c>
      <c r="H27" s="492">
        <f t="shared" si="15"/>
        <v>4199</v>
      </c>
      <c r="I27" s="493">
        <f>SUM(I28:I31)</f>
        <v>6568</v>
      </c>
      <c r="J27" s="494">
        <f t="shared" si="0"/>
        <v>1323</v>
      </c>
      <c r="K27" s="495">
        <f t="shared" si="1"/>
        <v>0.46001390820584143</v>
      </c>
      <c r="L27" s="496">
        <f t="shared" si="2"/>
        <v>1202</v>
      </c>
      <c r="M27" s="495">
        <f t="shared" si="3"/>
        <v>0.40106773440106774</v>
      </c>
      <c r="N27" s="496">
        <f t="shared" si="2"/>
        <v>-2369</v>
      </c>
      <c r="O27" s="497">
        <f t="shared" si="4"/>
        <v>-0.36068818514007306</v>
      </c>
      <c r="P27" s="487" t="str">
        <f t="shared" si="5"/>
        <v>表示（判定）</v>
      </c>
      <c r="R27" s="428">
        <f t="shared" ref="R27" si="16">SUM(R28:R31)</f>
        <v>4198999</v>
      </c>
    </row>
    <row r="28" spans="1:23" ht="20.25" hidden="1" customHeight="1">
      <c r="A28" s="498"/>
      <c r="B28" s="499"/>
      <c r="C28" s="1460" t="s">
        <v>349</v>
      </c>
      <c r="D28" s="1461"/>
      <c r="E28" s="500">
        <v>0</v>
      </c>
      <c r="F28" s="501">
        <v>0</v>
      </c>
      <c r="G28" s="502">
        <f>W28</f>
        <v>0</v>
      </c>
      <c r="H28" s="503">
        <f>S28</f>
        <v>0</v>
      </c>
      <c r="I28" s="504">
        <v>0</v>
      </c>
      <c r="J28" s="494" t="str">
        <f t="shared" si="0"/>
        <v xml:space="preserve">－ </v>
      </c>
      <c r="K28" s="495" t="str">
        <f t="shared" si="1"/>
        <v xml:space="preserve">－ </v>
      </c>
      <c r="L28" s="496" t="str">
        <f t="shared" si="2"/>
        <v xml:space="preserve">－ </v>
      </c>
      <c r="M28" s="495" t="str">
        <f t="shared" si="3"/>
        <v xml:space="preserve">－ </v>
      </c>
      <c r="N28" s="496" t="str">
        <f t="shared" si="2"/>
        <v xml:space="preserve">－ </v>
      </c>
      <c r="O28" s="497" t="str">
        <f t="shared" si="4"/>
        <v xml:space="preserve">－ </v>
      </c>
      <c r="P28" s="487" t="str">
        <f t="shared" si="5"/>
        <v>×表示しない</v>
      </c>
      <c r="R28" s="428">
        <f>'[2]3条収入'!$AI$58</f>
        <v>0</v>
      </c>
      <c r="S28" s="428">
        <f t="shared" ref="S28:S31" si="17">ROUND(R28/1000,0)+T28</f>
        <v>0</v>
      </c>
    </row>
    <row r="29" spans="1:23" ht="20.25" customHeight="1">
      <c r="A29" s="498"/>
      <c r="B29" s="506"/>
      <c r="C29" s="1467" t="s">
        <v>350</v>
      </c>
      <c r="D29" s="1468"/>
      <c r="E29" s="516">
        <v>2821</v>
      </c>
      <c r="F29" s="517">
        <v>2876</v>
      </c>
      <c r="G29" s="518">
        <v>2023</v>
      </c>
      <c r="H29" s="503">
        <f>S29</f>
        <v>2770</v>
      </c>
      <c r="I29" s="519">
        <v>4061</v>
      </c>
      <c r="J29" s="494">
        <f t="shared" si="0"/>
        <v>-106</v>
      </c>
      <c r="K29" s="495">
        <f t="shared" si="1"/>
        <v>-3.68567454798331E-2</v>
      </c>
      <c r="L29" s="496">
        <f t="shared" si="2"/>
        <v>747</v>
      </c>
      <c r="M29" s="495">
        <f t="shared" si="3"/>
        <v>0.36925358378645579</v>
      </c>
      <c r="N29" s="496">
        <f t="shared" si="2"/>
        <v>-1291</v>
      </c>
      <c r="O29" s="497">
        <f t="shared" si="4"/>
        <v>-0.31790199458261514</v>
      </c>
      <c r="P29" s="487" t="str">
        <f t="shared" si="5"/>
        <v>表示（判定）</v>
      </c>
      <c r="R29" s="428">
        <f>'[2]3条収入'!$E$60</f>
        <v>2769570</v>
      </c>
      <c r="S29" s="428">
        <f t="shared" si="17"/>
        <v>2770</v>
      </c>
      <c r="U29" s="428">
        <v>1851</v>
      </c>
      <c r="W29" s="428">
        <f t="shared" ref="W29:W31" si="18">SUM(U29:V29)</f>
        <v>1851</v>
      </c>
    </row>
    <row r="30" spans="1:23" ht="20.25" hidden="1" customHeight="1">
      <c r="A30" s="498"/>
      <c r="B30" s="506"/>
      <c r="C30" s="1460" t="s">
        <v>351</v>
      </c>
      <c r="D30" s="1461"/>
      <c r="E30" s="516"/>
      <c r="F30" s="517">
        <v>0</v>
      </c>
      <c r="G30" s="518">
        <f t="shared" ref="G30" si="19">W30</f>
        <v>0</v>
      </c>
      <c r="H30" s="503">
        <f>S30</f>
        <v>0</v>
      </c>
      <c r="I30" s="519">
        <v>0</v>
      </c>
      <c r="J30" s="520" t="str">
        <f t="shared" si="0"/>
        <v xml:space="preserve">－ </v>
      </c>
      <c r="K30" s="521" t="str">
        <f t="shared" si="1"/>
        <v xml:space="preserve">－ </v>
      </c>
      <c r="L30" s="522" t="str">
        <f t="shared" si="2"/>
        <v xml:space="preserve">－ </v>
      </c>
      <c r="M30" s="521" t="str">
        <f t="shared" si="3"/>
        <v xml:space="preserve">－ </v>
      </c>
      <c r="N30" s="522" t="str">
        <f t="shared" si="2"/>
        <v xml:space="preserve">－ </v>
      </c>
      <c r="O30" s="523" t="str">
        <f t="shared" si="4"/>
        <v xml:space="preserve">－ </v>
      </c>
      <c r="P30" s="487" t="str">
        <f t="shared" si="5"/>
        <v>×表示しない</v>
      </c>
      <c r="R30" s="428">
        <f>'[2]3条収入'!$AI$66</f>
        <v>0</v>
      </c>
      <c r="S30" s="428">
        <f t="shared" si="17"/>
        <v>0</v>
      </c>
      <c r="U30" s="428">
        <v>0</v>
      </c>
      <c r="W30" s="428">
        <f t="shared" si="18"/>
        <v>0</v>
      </c>
    </row>
    <row r="31" spans="1:23" ht="20.25" customHeight="1" thickBot="1">
      <c r="A31" s="524"/>
      <c r="B31" s="525"/>
      <c r="C31" s="1469" t="s">
        <v>352</v>
      </c>
      <c r="D31" s="1470"/>
      <c r="E31" s="526">
        <v>0</v>
      </c>
      <c r="F31" s="527">
        <v>0</v>
      </c>
      <c r="G31" s="528">
        <v>974</v>
      </c>
      <c r="H31" s="529">
        <f>S31</f>
        <v>1429</v>
      </c>
      <c r="I31" s="530">
        <v>2507</v>
      </c>
      <c r="J31" s="531">
        <f t="shared" si="0"/>
        <v>1429</v>
      </c>
      <c r="K31" s="532" t="str">
        <f t="shared" si="1"/>
        <v xml:space="preserve">皆増 </v>
      </c>
      <c r="L31" s="533">
        <f t="shared" si="2"/>
        <v>455</v>
      </c>
      <c r="M31" s="532">
        <f t="shared" si="3"/>
        <v>0.4671457905544148</v>
      </c>
      <c r="N31" s="533">
        <f t="shared" si="2"/>
        <v>-1078</v>
      </c>
      <c r="O31" s="534">
        <f t="shared" si="4"/>
        <v>-0.42999601116872754</v>
      </c>
      <c r="P31" s="487" t="str">
        <f t="shared" si="5"/>
        <v>表示（判定）</v>
      </c>
      <c r="R31" s="428">
        <f>'[2]3条収入'!$E$62</f>
        <v>1429429</v>
      </c>
      <c r="S31" s="428">
        <f t="shared" si="17"/>
        <v>1429</v>
      </c>
      <c r="U31" s="428">
        <v>865</v>
      </c>
      <c r="W31" s="428">
        <f t="shared" si="18"/>
        <v>865</v>
      </c>
    </row>
    <row r="32" spans="1:23" ht="12.75" thickBot="1">
      <c r="A32" s="535"/>
      <c r="B32" s="535"/>
      <c r="C32" s="535"/>
      <c r="D32" s="535"/>
      <c r="E32" s="439"/>
      <c r="F32" s="536"/>
      <c r="G32" s="536"/>
      <c r="H32" s="537"/>
      <c r="I32" s="536"/>
      <c r="J32" s="538"/>
      <c r="K32" s="539"/>
      <c r="L32" s="538" t="str">
        <f t="shared" si="2"/>
        <v xml:space="preserve">－ </v>
      </c>
      <c r="M32" s="539"/>
      <c r="N32" s="538" t="str">
        <f t="shared" si="2"/>
        <v xml:space="preserve">－ </v>
      </c>
      <c r="O32" s="540"/>
      <c r="P32" s="424" t="s">
        <v>528</v>
      </c>
    </row>
    <row r="33" spans="1:23" ht="20.25" customHeight="1" thickBot="1">
      <c r="A33" s="1471" t="s">
        <v>353</v>
      </c>
      <c r="B33" s="1472"/>
      <c r="C33" s="1472"/>
      <c r="D33" s="1473"/>
      <c r="E33" s="541">
        <f>SUM(E12,E23)</f>
        <v>19720016</v>
      </c>
      <c r="F33" s="416">
        <f>SUM(F12,F23)</f>
        <v>13854862</v>
      </c>
      <c r="G33" s="417">
        <f>SUM(G12,G23)</f>
        <v>13959285</v>
      </c>
      <c r="H33" s="418">
        <f>SUM(H12,H23)</f>
        <v>14196306</v>
      </c>
      <c r="I33" s="419">
        <f>SUM(I12,I23)</f>
        <v>13993380</v>
      </c>
      <c r="J33" s="420">
        <f>IF(AND(F33=0,$H33=0),"－ ",$H33-F33)</f>
        <v>341444</v>
      </c>
      <c r="K33" s="421">
        <f>IF(AND(F33=0,$H33&gt;0),"皆増 ",IF(AND(F33&gt;0,$H33=0),"皆減 ",IF(AND(F33=0,$H33=0),"－ ",J33/F33)))</f>
        <v>2.4644345068178954E-2</v>
      </c>
      <c r="L33" s="422">
        <f t="shared" si="2"/>
        <v>237021</v>
      </c>
      <c r="M33" s="421">
        <f>IF(AND(G33=0,$H33&gt;0),"皆増 ",IF(AND(G33&gt;0,$H33=0),"皆減 ",IF(AND(G33=0,$H33=0),"－ ",L33/G33)))</f>
        <v>1.6979451311438947E-2</v>
      </c>
      <c r="N33" s="422">
        <f t="shared" si="2"/>
        <v>202926</v>
      </c>
      <c r="O33" s="423">
        <f>IF(AND(I33=0,$H33&gt;0),"皆増 ",IF(AND(I33&gt;0,$H33=0),"皆減 ",IF(AND(I33=0,$H33=0),"－ ",N33/I33)))</f>
        <v>1.4501571457360552E-2</v>
      </c>
      <c r="P33" s="424" t="s">
        <v>528</v>
      </c>
      <c r="R33" s="960" t="s">
        <v>383</v>
      </c>
      <c r="S33" s="428">
        <f>SUM(S11:S31)</f>
        <v>44454712</v>
      </c>
    </row>
    <row r="34" spans="1:23" ht="12">
      <c r="A34" s="542"/>
      <c r="B34" s="542"/>
      <c r="C34" s="542"/>
      <c r="D34" s="542"/>
      <c r="E34" s="543"/>
      <c r="F34" s="544"/>
      <c r="G34" s="544"/>
      <c r="H34" s="545"/>
      <c r="I34" s="544"/>
      <c r="J34" s="538"/>
      <c r="K34" s="546"/>
      <c r="L34" s="547"/>
      <c r="M34" s="546"/>
      <c r="N34" s="547"/>
      <c r="O34" s="546"/>
      <c r="P34" s="424" t="s">
        <v>528</v>
      </c>
    </row>
    <row r="35" spans="1:23" ht="20.25" customHeight="1" thickBot="1">
      <c r="A35" s="438" t="s">
        <v>354</v>
      </c>
      <c r="B35" s="548"/>
      <c r="C35" s="548"/>
      <c r="D35" s="548"/>
      <c r="F35" s="549"/>
      <c r="G35" s="549"/>
      <c r="H35" s="550"/>
      <c r="I35" s="549"/>
      <c r="J35" s="538"/>
      <c r="K35" s="551"/>
      <c r="L35" s="552"/>
      <c r="M35" s="551"/>
      <c r="N35" s="552"/>
      <c r="O35" s="551"/>
      <c r="P35" s="424" t="s">
        <v>528</v>
      </c>
      <c r="T35" s="960" t="s">
        <v>384</v>
      </c>
    </row>
    <row r="36" spans="1:23" ht="20.25" customHeight="1">
      <c r="A36" s="1474" t="s">
        <v>355</v>
      </c>
      <c r="B36" s="1475"/>
      <c r="C36" s="1475"/>
      <c r="D36" s="1476"/>
      <c r="E36" s="553">
        <f t="shared" ref="E36:H36" si="20">SUM(E37,E51,E55,E60)</f>
        <v>41192935</v>
      </c>
      <c r="F36" s="554">
        <f>SUM(F37,F51,F55,F60)</f>
        <v>43953299</v>
      </c>
      <c r="G36" s="555">
        <f>SUM(G37,G51,G55,G60)</f>
        <v>43109924</v>
      </c>
      <c r="H36" s="556">
        <f t="shared" si="20"/>
        <v>42987208</v>
      </c>
      <c r="I36" s="557">
        <f>SUM(I37,I51,I55,I60)</f>
        <v>43163657</v>
      </c>
      <c r="J36" s="558">
        <f t="shared" ref="J36:J60" si="21">IF(AND(F36=0,$H36=0),"－ ",$H36-F36)</f>
        <v>-966091</v>
      </c>
      <c r="K36" s="559">
        <f t="shared" ref="K36:K60" si="22">IF(AND(F36=0,$H36&gt;0),"皆増 ",IF(AND(F36&gt;0,$H36=0),"皆減 ",IF(AND(F36=0,$H36=0),"－ ",J36/F36)))</f>
        <v>-2.1979942847975983E-2</v>
      </c>
      <c r="L36" s="560">
        <f t="shared" si="2"/>
        <v>-122716</v>
      </c>
      <c r="M36" s="559">
        <f>IF(AND(G36=0,$H36&gt;0),"皆増 ",IF(AND(G36&gt;0,$H36=0),"皆減 ",IF(AND(G36=0,$H36=0),"－ ",L36/G36)))</f>
        <v>-2.8465835383982585E-3</v>
      </c>
      <c r="N36" s="560">
        <f t="shared" si="2"/>
        <v>-176449</v>
      </c>
      <c r="O36" s="561">
        <f>IF(AND(I36=0,$H36&gt;0),"皆増 ",IF(AND(I36&gt;0,$H36=0),"皆減 ",IF(AND(I36=0,$H36=0),"－ ",N36/I36)))</f>
        <v>-4.0879066386798509E-3</v>
      </c>
      <c r="P36" s="487" t="str">
        <f t="shared" ref="P36:P60" si="23">IF(OR(F36&gt;0,G36&gt;0,H36&gt;0,I36&gt;0),"表示（判定）","×表示しない")</f>
        <v>表示（判定）</v>
      </c>
      <c r="R36" s="428">
        <f t="shared" ref="R36" si="24">SUM(R37,R51,R55,R60)</f>
        <v>42987208386</v>
      </c>
    </row>
    <row r="37" spans="1:23" ht="20.25" customHeight="1">
      <c r="A37" s="488"/>
      <c r="B37" s="1460" t="s">
        <v>356</v>
      </c>
      <c r="C37" s="1460"/>
      <c r="D37" s="1461"/>
      <c r="E37" s="489">
        <f t="shared" ref="E37:H37" si="25">SUM(E38:E50)</f>
        <v>24965206</v>
      </c>
      <c r="F37" s="490">
        <f>SUM(F38:F50)</f>
        <v>39325285</v>
      </c>
      <c r="G37" s="491">
        <f>SUM(G38:G50)</f>
        <v>38869045</v>
      </c>
      <c r="H37" s="492">
        <f t="shared" si="25"/>
        <v>38667489</v>
      </c>
      <c r="I37" s="493">
        <f>SUM(I38:I50)</f>
        <v>38245361</v>
      </c>
      <c r="J37" s="494">
        <f t="shared" si="21"/>
        <v>-657796</v>
      </c>
      <c r="K37" s="495">
        <f t="shared" si="22"/>
        <v>-1.6727049784890306E-2</v>
      </c>
      <c r="L37" s="496">
        <f t="shared" si="2"/>
        <v>-201556</v>
      </c>
      <c r="M37" s="495">
        <f>IF(AND(G37=0,$H37&gt;0),"皆増 ",IF(AND(G37&gt;0,$H37=0),"皆減 ",IF(AND(G37=0,$H37=0),"－ ",L37/G37)))</f>
        <v>-5.1855145913669862E-3</v>
      </c>
      <c r="N37" s="496">
        <f t="shared" si="2"/>
        <v>422128</v>
      </c>
      <c r="O37" s="497">
        <f>IF(AND(I37=0,$H37&gt;0),"皆増 ",IF(AND(I37&gt;0,$H37=0),"皆減 ",IF(AND(I37=0,$H37=0),"－ ",N37/I37)))</f>
        <v>1.1037364766932125E-2</v>
      </c>
      <c r="P37" s="487" t="str">
        <f t="shared" si="23"/>
        <v>表示（判定）</v>
      </c>
      <c r="R37" s="428">
        <f t="shared" ref="R37" si="26">SUM(R38:R50)</f>
        <v>38667489041</v>
      </c>
    </row>
    <row r="38" spans="1:23" ht="20.25" customHeight="1">
      <c r="A38" s="498"/>
      <c r="B38" s="499"/>
      <c r="C38" s="1460" t="s">
        <v>357</v>
      </c>
      <c r="D38" s="1461"/>
      <c r="E38" s="500">
        <v>589007</v>
      </c>
      <c r="F38" s="501">
        <v>649416</v>
      </c>
      <c r="G38" s="502">
        <v>635566</v>
      </c>
      <c r="H38" s="503">
        <f t="shared" ref="H38:H50" si="27">S38</f>
        <v>611820</v>
      </c>
      <c r="I38" s="504">
        <v>783145</v>
      </c>
      <c r="J38" s="494">
        <f t="shared" si="21"/>
        <v>-37596</v>
      </c>
      <c r="K38" s="495">
        <f t="shared" si="22"/>
        <v>-5.7892013747736427E-2</v>
      </c>
      <c r="L38" s="496">
        <f t="shared" si="2"/>
        <v>-23746</v>
      </c>
      <c r="M38" s="495">
        <f>IF(AND(G38=0,$H38&gt;0),"皆増 ",IF(AND(G38&gt;0,$H38=0),"皆減 ",IF(AND(G38=0,$H38=0),"－ ",L38/G38)))</f>
        <v>-3.7361973422115093E-2</v>
      </c>
      <c r="N38" s="496">
        <f t="shared" si="2"/>
        <v>-171325</v>
      </c>
      <c r="O38" s="497">
        <f>IF(AND(I38=0,$H38&gt;0),"皆増 ",IF(AND(I38&gt;0,$H38=0),"皆減 ",IF(AND(I38=0,$H38=0),"－ ",N38/I38)))</f>
        <v>-0.21876536273614719</v>
      </c>
      <c r="P38" s="487" t="str">
        <f t="shared" si="23"/>
        <v>表示（判定）</v>
      </c>
      <c r="R38" s="428">
        <f>'[1]3条支出'!E6</f>
        <v>611819957</v>
      </c>
      <c r="S38" s="428">
        <f t="shared" ref="S38:S54" si="28">ROUND(R38/1000,0)+T38</f>
        <v>611820</v>
      </c>
      <c r="U38" s="428">
        <v>586230</v>
      </c>
      <c r="W38" s="428">
        <f t="shared" ref="W38:W50" si="29">SUM(U38:V38)</f>
        <v>586230</v>
      </c>
    </row>
    <row r="39" spans="1:23" ht="20.25" customHeight="1">
      <c r="A39" s="498"/>
      <c r="B39" s="506"/>
      <c r="C39" s="1460" t="s">
        <v>358</v>
      </c>
      <c r="D39" s="1461"/>
      <c r="E39" s="500">
        <v>71637</v>
      </c>
      <c r="F39" s="501">
        <v>61778</v>
      </c>
      <c r="G39" s="502">
        <v>52649</v>
      </c>
      <c r="H39" s="503">
        <f t="shared" si="27"/>
        <v>52444</v>
      </c>
      <c r="I39" s="504">
        <v>51549</v>
      </c>
      <c r="J39" s="494">
        <f t="shared" si="21"/>
        <v>-9334</v>
      </c>
      <c r="K39" s="495">
        <f t="shared" si="22"/>
        <v>-0.15108938457055909</v>
      </c>
      <c r="L39" s="496">
        <f t="shared" si="2"/>
        <v>-205</v>
      </c>
      <c r="M39" s="495">
        <f>IF(AND(G39=0,$H39&gt;0),"皆増 ",IF(AND(G39&gt;0,$H39=0),"皆減 ",IF(AND(G39=0,$H39=0),"－ ",L39/G39)))</f>
        <v>-3.8937111815988907E-3</v>
      </c>
      <c r="N39" s="496">
        <f t="shared" si="2"/>
        <v>895</v>
      </c>
      <c r="O39" s="497">
        <f>IF(AND(I39=0,$H39&gt;0),"皆増 ",IF(AND(I39&gt;0,$H39=0),"皆減 ",IF(AND(I39=0,$H39=0),"－ ",N39/I39)))</f>
        <v>1.7362121476653281E-2</v>
      </c>
      <c r="P39" s="487" t="str">
        <f t="shared" si="23"/>
        <v>表示（判定）</v>
      </c>
      <c r="R39" s="428">
        <f>'[1]3条支出'!E7</f>
        <v>52443869</v>
      </c>
      <c r="S39" s="428">
        <f t="shared" si="28"/>
        <v>52444</v>
      </c>
      <c r="U39" s="428">
        <v>51456</v>
      </c>
      <c r="W39" s="428">
        <f t="shared" si="29"/>
        <v>51456</v>
      </c>
    </row>
    <row r="40" spans="1:23" ht="20.25" customHeight="1">
      <c r="A40" s="498"/>
      <c r="B40" s="506"/>
      <c r="C40" s="1460" t="s">
        <v>359</v>
      </c>
      <c r="D40" s="1461"/>
      <c r="E40" s="500">
        <v>2362983</v>
      </c>
      <c r="F40" s="501">
        <v>2446053</v>
      </c>
      <c r="G40" s="502">
        <v>2362251</v>
      </c>
      <c r="H40" s="503">
        <f t="shared" si="27"/>
        <v>2356040</v>
      </c>
      <c r="I40" s="504">
        <v>2289383</v>
      </c>
      <c r="J40" s="494">
        <f t="shared" si="21"/>
        <v>-90013</v>
      </c>
      <c r="K40" s="495">
        <f t="shared" si="22"/>
        <v>-3.6799284398171261E-2</v>
      </c>
      <c r="L40" s="496">
        <f t="shared" si="2"/>
        <v>-6211</v>
      </c>
      <c r="M40" s="495">
        <f>IF(AND(G40=0,$H40&gt;0),"皆増 ",IF(AND(G40&gt;0,$H40=0),"皆減 ",IF(AND(G40=0,$H40=0),"－ ",L40/G40)))</f>
        <v>-2.6292718258982641E-3</v>
      </c>
      <c r="N40" s="496">
        <f t="shared" si="2"/>
        <v>66657</v>
      </c>
      <c r="O40" s="497">
        <f>IF(AND(I40=0,$H40&gt;0),"皆増 ",IF(AND(I40&gt;0,$H40=0),"皆減 ",IF(AND(I40=0,$H40=0),"－ ",N40/I40)))</f>
        <v>2.9115704973785513E-2</v>
      </c>
      <c r="P40" s="487" t="str">
        <f t="shared" si="23"/>
        <v>表示（判定）</v>
      </c>
      <c r="R40" s="428">
        <f>'[1]3条支出'!E8</f>
        <v>2356040225</v>
      </c>
      <c r="S40" s="428">
        <f t="shared" si="28"/>
        <v>2356040</v>
      </c>
      <c r="U40" s="428">
        <v>2257378</v>
      </c>
      <c r="W40" s="428">
        <f t="shared" si="29"/>
        <v>2257378</v>
      </c>
    </row>
    <row r="41" spans="1:23" ht="20.25" customHeight="1">
      <c r="A41" s="498"/>
      <c r="B41" s="506"/>
      <c r="C41" s="1460" t="s">
        <v>360</v>
      </c>
      <c r="D41" s="1461"/>
      <c r="E41" s="500">
        <v>5009251</v>
      </c>
      <c r="F41" s="501">
        <v>7107004</v>
      </c>
      <c r="G41" s="502">
        <v>6676202</v>
      </c>
      <c r="H41" s="503">
        <f t="shared" si="27"/>
        <v>6557704</v>
      </c>
      <c r="I41" s="504">
        <v>5969023</v>
      </c>
      <c r="J41" s="494">
        <f t="shared" si="21"/>
        <v>-549300</v>
      </c>
      <c r="K41" s="495">
        <f t="shared" si="22"/>
        <v>-7.7289952278062596E-2</v>
      </c>
      <c r="L41" s="496">
        <f t="shared" ref="L41:N62" si="30">IF(AND(G41=0,$H41=0),"－ ",$H41-G41)</f>
        <v>-118498</v>
      </c>
      <c r="M41" s="495">
        <f t="shared" ref="M41:M62" si="31">IF(AND(G41=0,$H41&gt;0),"皆増 ",IF(AND(G41&gt;0,$H41=0),"皆減 ",IF(AND(G41=0,$H41=0),"－ ",L41/G41)))</f>
        <v>-1.7749313157390985E-2</v>
      </c>
      <c r="N41" s="496">
        <f t="shared" si="30"/>
        <v>588681</v>
      </c>
      <c r="O41" s="497">
        <f t="shared" ref="O41:O62" si="32">IF(AND(I41=0,$H41&gt;0),"皆増 ",IF(AND(I41&gt;0,$H41=0),"皆減 ",IF(AND(I41=0,$H41=0),"－ ",N41/I41)))</f>
        <v>9.862267242059547E-2</v>
      </c>
      <c r="P41" s="487" t="str">
        <f t="shared" si="23"/>
        <v>表示（判定）</v>
      </c>
      <c r="R41" s="428">
        <f>'[1]3条支出'!E9</f>
        <v>6557703864</v>
      </c>
      <c r="S41" s="428">
        <f t="shared" si="28"/>
        <v>6557704</v>
      </c>
      <c r="U41" s="428">
        <v>6145362</v>
      </c>
      <c r="W41" s="428">
        <f t="shared" si="29"/>
        <v>6145362</v>
      </c>
    </row>
    <row r="42" spans="1:23" ht="20.25" customHeight="1">
      <c r="A42" s="498"/>
      <c r="B42" s="506"/>
      <c r="C42" s="1460" t="s">
        <v>361</v>
      </c>
      <c r="D42" s="1461"/>
      <c r="E42" s="500">
        <v>92445</v>
      </c>
      <c r="F42" s="501">
        <v>80070</v>
      </c>
      <c r="G42" s="502">
        <v>87703</v>
      </c>
      <c r="H42" s="503">
        <f t="shared" si="27"/>
        <v>88850</v>
      </c>
      <c r="I42" s="504">
        <v>74989</v>
      </c>
      <c r="J42" s="494">
        <f t="shared" si="21"/>
        <v>8780</v>
      </c>
      <c r="K42" s="495">
        <f t="shared" si="22"/>
        <v>0.10965405270388411</v>
      </c>
      <c r="L42" s="496">
        <f t="shared" si="30"/>
        <v>1147</v>
      </c>
      <c r="M42" s="495">
        <f t="shared" si="31"/>
        <v>1.3078229935121945E-2</v>
      </c>
      <c r="N42" s="496">
        <f t="shared" si="30"/>
        <v>13861</v>
      </c>
      <c r="O42" s="497">
        <f t="shared" si="32"/>
        <v>0.1848404432650122</v>
      </c>
      <c r="P42" s="487" t="str">
        <f t="shared" si="23"/>
        <v>表示（判定）</v>
      </c>
      <c r="R42" s="428">
        <f>'[1]3条支出'!E11</f>
        <v>88849549</v>
      </c>
      <c r="S42" s="428">
        <f t="shared" si="28"/>
        <v>88850</v>
      </c>
      <c r="U42" s="428">
        <v>85747</v>
      </c>
      <c r="W42" s="428">
        <f t="shared" si="29"/>
        <v>85747</v>
      </c>
    </row>
    <row r="43" spans="1:23" ht="20.25" customHeight="1">
      <c r="A43" s="498"/>
      <c r="B43" s="506"/>
      <c r="C43" s="1460" t="s">
        <v>362</v>
      </c>
      <c r="D43" s="1461"/>
      <c r="E43" s="500">
        <v>18143</v>
      </c>
      <c r="F43" s="501">
        <v>14763</v>
      </c>
      <c r="G43" s="502">
        <v>10712</v>
      </c>
      <c r="H43" s="503">
        <f t="shared" si="27"/>
        <v>10484</v>
      </c>
      <c r="I43" s="504">
        <v>10746</v>
      </c>
      <c r="J43" s="494">
        <f t="shared" si="21"/>
        <v>-4279</v>
      </c>
      <c r="K43" s="495">
        <f t="shared" si="22"/>
        <v>-0.28984623721465824</v>
      </c>
      <c r="L43" s="496">
        <f t="shared" si="30"/>
        <v>-228</v>
      </c>
      <c r="M43" s="495">
        <f t="shared" si="31"/>
        <v>-2.1284540702016429E-2</v>
      </c>
      <c r="N43" s="496">
        <f t="shared" si="30"/>
        <v>-262</v>
      </c>
      <c r="O43" s="497">
        <f t="shared" si="32"/>
        <v>-2.4381165084682674E-2</v>
      </c>
      <c r="P43" s="487" t="str">
        <f t="shared" si="23"/>
        <v>表示（判定）</v>
      </c>
      <c r="R43" s="428">
        <f>'[1]3条支出'!E12</f>
        <v>10483859</v>
      </c>
      <c r="S43" s="428">
        <f t="shared" si="28"/>
        <v>10484</v>
      </c>
      <c r="U43" s="428">
        <v>10611</v>
      </c>
      <c r="W43" s="428">
        <f t="shared" si="29"/>
        <v>10611</v>
      </c>
    </row>
    <row r="44" spans="1:23" ht="20.25" customHeight="1">
      <c r="A44" s="498"/>
      <c r="B44" s="506"/>
      <c r="C44" s="1460" t="s">
        <v>363</v>
      </c>
      <c r="D44" s="1461"/>
      <c r="E44" s="500">
        <v>989662</v>
      </c>
      <c r="F44" s="501">
        <v>1032244</v>
      </c>
      <c r="G44" s="502">
        <v>1020628</v>
      </c>
      <c r="H44" s="503">
        <f t="shared" si="27"/>
        <v>1019945</v>
      </c>
      <c r="I44" s="504">
        <v>1051841</v>
      </c>
      <c r="J44" s="494">
        <f t="shared" si="21"/>
        <v>-12299</v>
      </c>
      <c r="K44" s="495">
        <f t="shared" si="22"/>
        <v>-1.191481858940328E-2</v>
      </c>
      <c r="L44" s="496">
        <f t="shared" si="30"/>
        <v>-683</v>
      </c>
      <c r="M44" s="495">
        <f t="shared" si="31"/>
        <v>-6.6919582845071854E-4</v>
      </c>
      <c r="N44" s="496">
        <f t="shared" si="30"/>
        <v>-31896</v>
      </c>
      <c r="O44" s="497">
        <f t="shared" si="32"/>
        <v>-3.032397482128953E-2</v>
      </c>
      <c r="P44" s="487" t="str">
        <f t="shared" si="23"/>
        <v>表示（判定）</v>
      </c>
      <c r="R44" s="428">
        <f>'[1]3条支出'!E13</f>
        <v>1019945143</v>
      </c>
      <c r="S44" s="428">
        <f t="shared" si="28"/>
        <v>1019945</v>
      </c>
      <c r="U44" s="428">
        <v>930360</v>
      </c>
      <c r="W44" s="428">
        <f t="shared" si="29"/>
        <v>930360</v>
      </c>
    </row>
    <row r="45" spans="1:23" ht="20.25" customHeight="1">
      <c r="A45" s="498"/>
      <c r="B45" s="506"/>
      <c r="C45" s="1460" t="s">
        <v>364</v>
      </c>
      <c r="D45" s="1461"/>
      <c r="E45" s="500">
        <v>592338</v>
      </c>
      <c r="F45" s="501">
        <v>552278</v>
      </c>
      <c r="G45" s="502">
        <v>515763</v>
      </c>
      <c r="H45" s="503">
        <f t="shared" si="27"/>
        <v>483965</v>
      </c>
      <c r="I45" s="504">
        <v>544322</v>
      </c>
      <c r="J45" s="494">
        <f t="shared" si="21"/>
        <v>-68313</v>
      </c>
      <c r="K45" s="495">
        <f t="shared" si="22"/>
        <v>-0.12369314004903327</v>
      </c>
      <c r="L45" s="496">
        <f t="shared" si="30"/>
        <v>-31798</v>
      </c>
      <c r="M45" s="495">
        <f t="shared" si="31"/>
        <v>-6.1652348074600155E-2</v>
      </c>
      <c r="N45" s="496">
        <f t="shared" si="30"/>
        <v>-60357</v>
      </c>
      <c r="O45" s="497">
        <f t="shared" si="32"/>
        <v>-0.11088473366867406</v>
      </c>
      <c r="P45" s="487" t="str">
        <f t="shared" si="23"/>
        <v>表示（判定）</v>
      </c>
      <c r="R45" s="428">
        <f>'[1]3条支出'!E14</f>
        <v>483965214</v>
      </c>
      <c r="S45" s="428">
        <f t="shared" si="28"/>
        <v>483965</v>
      </c>
      <c r="T45" s="963"/>
      <c r="U45" s="428">
        <v>496650</v>
      </c>
      <c r="W45" s="428">
        <f t="shared" si="29"/>
        <v>496650</v>
      </c>
    </row>
    <row r="46" spans="1:23" ht="20.25" customHeight="1">
      <c r="A46" s="498"/>
      <c r="B46" s="506"/>
      <c r="C46" s="1461" t="s">
        <v>365</v>
      </c>
      <c r="D46" s="1477"/>
      <c r="E46" s="500">
        <v>34809</v>
      </c>
      <c r="F46" s="501">
        <v>109279</v>
      </c>
      <c r="G46" s="502">
        <v>109485</v>
      </c>
      <c r="H46" s="503">
        <f t="shared" si="27"/>
        <v>106991</v>
      </c>
      <c r="I46" s="504">
        <v>107848</v>
      </c>
      <c r="J46" s="494">
        <f t="shared" si="21"/>
        <v>-2288</v>
      </c>
      <c r="K46" s="495">
        <f t="shared" si="22"/>
        <v>-2.093723405228818E-2</v>
      </c>
      <c r="L46" s="496">
        <f t="shared" si="30"/>
        <v>-2494</v>
      </c>
      <c r="M46" s="495">
        <f t="shared" si="31"/>
        <v>-2.2779376170251633E-2</v>
      </c>
      <c r="N46" s="496">
        <f t="shared" si="30"/>
        <v>-857</v>
      </c>
      <c r="O46" s="497">
        <f t="shared" si="32"/>
        <v>-7.9463689637267257E-3</v>
      </c>
      <c r="P46" s="487" t="str">
        <f t="shared" si="23"/>
        <v>表示（判定）</v>
      </c>
      <c r="R46" s="428">
        <f>'[1]3条支出'!E15</f>
        <v>106990906</v>
      </c>
      <c r="S46" s="428">
        <f t="shared" si="28"/>
        <v>106991</v>
      </c>
      <c r="U46" s="428">
        <v>99545</v>
      </c>
      <c r="W46" s="428">
        <f t="shared" si="29"/>
        <v>99545</v>
      </c>
    </row>
    <row r="47" spans="1:23" ht="20.25" customHeight="1">
      <c r="A47" s="498"/>
      <c r="B47" s="506"/>
      <c r="C47" s="1461" t="s">
        <v>366</v>
      </c>
      <c r="D47" s="1477"/>
      <c r="E47" s="500">
        <v>172556</v>
      </c>
      <c r="F47" s="501">
        <v>261404</v>
      </c>
      <c r="G47" s="502">
        <v>250756</v>
      </c>
      <c r="H47" s="503">
        <f t="shared" si="27"/>
        <v>247654</v>
      </c>
      <c r="I47" s="504">
        <v>242798</v>
      </c>
      <c r="J47" s="494">
        <f t="shared" si="21"/>
        <v>-13750</v>
      </c>
      <c r="K47" s="495">
        <f t="shared" si="22"/>
        <v>-5.2600572294226558E-2</v>
      </c>
      <c r="L47" s="496">
        <f t="shared" si="30"/>
        <v>-3102</v>
      </c>
      <c r="M47" s="495">
        <f t="shared" si="31"/>
        <v>-1.2370591331812598E-2</v>
      </c>
      <c r="N47" s="496">
        <f t="shared" si="30"/>
        <v>4856</v>
      </c>
      <c r="O47" s="497">
        <f t="shared" si="32"/>
        <v>2.0000164746002851E-2</v>
      </c>
      <c r="P47" s="487" t="str">
        <f t="shared" si="23"/>
        <v>表示（判定）</v>
      </c>
      <c r="R47" s="428">
        <f>'[1]3条支出'!E16</f>
        <v>247654024</v>
      </c>
      <c r="S47" s="428">
        <f t="shared" si="28"/>
        <v>247654</v>
      </c>
      <c r="U47" s="428">
        <v>227999</v>
      </c>
      <c r="W47" s="428">
        <f t="shared" si="29"/>
        <v>227999</v>
      </c>
    </row>
    <row r="48" spans="1:23" ht="20.25" customHeight="1">
      <c r="A48" s="498"/>
      <c r="B48" s="506"/>
      <c r="C48" s="1461" t="s">
        <v>367</v>
      </c>
      <c r="D48" s="1477"/>
      <c r="E48" s="500">
        <v>5865</v>
      </c>
      <c r="F48" s="501">
        <v>78829</v>
      </c>
      <c r="G48" s="502">
        <v>76951</v>
      </c>
      <c r="H48" s="503">
        <f t="shared" si="27"/>
        <v>76388</v>
      </c>
      <c r="I48" s="504">
        <v>71165</v>
      </c>
      <c r="J48" s="494">
        <f t="shared" si="21"/>
        <v>-2441</v>
      </c>
      <c r="K48" s="495">
        <f t="shared" si="22"/>
        <v>-3.0965761331489681E-2</v>
      </c>
      <c r="L48" s="496">
        <f t="shared" si="30"/>
        <v>-563</v>
      </c>
      <c r="M48" s="495">
        <f t="shared" si="31"/>
        <v>-7.3163441670673545E-3</v>
      </c>
      <c r="N48" s="496">
        <f t="shared" si="30"/>
        <v>5223</v>
      </c>
      <c r="O48" s="497">
        <f t="shared" si="32"/>
        <v>7.3392819503969642E-2</v>
      </c>
      <c r="P48" s="487" t="str">
        <f t="shared" si="23"/>
        <v>表示（判定）</v>
      </c>
      <c r="R48" s="428">
        <f>'[1]3条支出'!E17</f>
        <v>76388330</v>
      </c>
      <c r="S48" s="428">
        <f t="shared" si="28"/>
        <v>76388</v>
      </c>
      <c r="U48" s="428">
        <v>70452</v>
      </c>
      <c r="W48" s="428">
        <f t="shared" si="29"/>
        <v>70452</v>
      </c>
    </row>
    <row r="49" spans="1:23" ht="20.25" customHeight="1">
      <c r="A49" s="498"/>
      <c r="B49" s="506"/>
      <c r="C49" s="1460" t="s">
        <v>368</v>
      </c>
      <c r="D49" s="1461"/>
      <c r="E49" s="500">
        <v>14647769</v>
      </c>
      <c r="F49" s="501">
        <v>26580629</v>
      </c>
      <c r="G49" s="502">
        <v>26549687</v>
      </c>
      <c r="H49" s="503">
        <f t="shared" si="27"/>
        <v>26551442</v>
      </c>
      <c r="I49" s="504">
        <v>26646058</v>
      </c>
      <c r="J49" s="494">
        <f t="shared" si="21"/>
        <v>-29187</v>
      </c>
      <c r="K49" s="495">
        <f t="shared" si="22"/>
        <v>-1.0980552792787561E-3</v>
      </c>
      <c r="L49" s="496">
        <f t="shared" si="30"/>
        <v>1755</v>
      </c>
      <c r="M49" s="495">
        <f t="shared" si="31"/>
        <v>6.6102474202426565E-5</v>
      </c>
      <c r="N49" s="496">
        <f t="shared" si="30"/>
        <v>-94616</v>
      </c>
      <c r="O49" s="497">
        <f t="shared" si="32"/>
        <v>-3.5508441811543004E-3</v>
      </c>
      <c r="P49" s="487" t="str">
        <f t="shared" si="23"/>
        <v>表示（判定）</v>
      </c>
      <c r="R49" s="428">
        <f>'[1]3条支出'!E19</f>
        <v>26551442230</v>
      </c>
      <c r="S49" s="428">
        <f t="shared" si="28"/>
        <v>26551442</v>
      </c>
      <c r="U49" s="428">
        <v>26549687</v>
      </c>
      <c r="W49" s="428">
        <f t="shared" si="29"/>
        <v>26549687</v>
      </c>
    </row>
    <row r="50" spans="1:23" ht="20.25" customHeight="1">
      <c r="A50" s="498"/>
      <c r="B50" s="509"/>
      <c r="C50" s="1460" t="s">
        <v>369</v>
      </c>
      <c r="D50" s="1461"/>
      <c r="E50" s="500">
        <v>378741</v>
      </c>
      <c r="F50" s="501">
        <v>351538</v>
      </c>
      <c r="G50" s="502">
        <v>520692</v>
      </c>
      <c r="H50" s="503">
        <f t="shared" si="27"/>
        <v>503762</v>
      </c>
      <c r="I50" s="504">
        <v>402494</v>
      </c>
      <c r="J50" s="494">
        <f t="shared" si="21"/>
        <v>152224</v>
      </c>
      <c r="K50" s="562">
        <f t="shared" si="22"/>
        <v>0.43302288799503896</v>
      </c>
      <c r="L50" s="496">
        <f t="shared" si="30"/>
        <v>-16930</v>
      </c>
      <c r="M50" s="562">
        <f t="shared" si="31"/>
        <v>-3.2514423113856175E-2</v>
      </c>
      <c r="N50" s="496">
        <f t="shared" si="30"/>
        <v>101268</v>
      </c>
      <c r="O50" s="563">
        <f t="shared" si="32"/>
        <v>0.25160126610583017</v>
      </c>
      <c r="P50" s="487" t="str">
        <f t="shared" si="23"/>
        <v>表示（判定）</v>
      </c>
      <c r="R50" s="428">
        <f>'[1]3条支出'!E20</f>
        <v>503761871</v>
      </c>
      <c r="S50" s="428">
        <f t="shared" si="28"/>
        <v>503762</v>
      </c>
      <c r="U50" s="428">
        <v>520692</v>
      </c>
      <c r="W50" s="428">
        <f t="shared" si="29"/>
        <v>520692</v>
      </c>
    </row>
    <row r="51" spans="1:23" ht="20.25" customHeight="1">
      <c r="A51" s="498"/>
      <c r="B51" s="1460" t="s">
        <v>370</v>
      </c>
      <c r="C51" s="1460"/>
      <c r="D51" s="1461"/>
      <c r="E51" s="489">
        <f t="shared" ref="E51:H51" si="33">SUM(E52:E54)</f>
        <v>16171804</v>
      </c>
      <c r="F51" s="490">
        <f>SUM(F52:F54)</f>
        <v>4599725</v>
      </c>
      <c r="G51" s="491">
        <f>SUM(G52:G54)</f>
        <v>4218270</v>
      </c>
      <c r="H51" s="492">
        <f t="shared" si="33"/>
        <v>4298724</v>
      </c>
      <c r="I51" s="493">
        <f>SUM(I52:I54)</f>
        <v>4912974</v>
      </c>
      <c r="J51" s="494">
        <f t="shared" si="21"/>
        <v>-301001</v>
      </c>
      <c r="K51" s="495">
        <f t="shared" si="22"/>
        <v>-6.5438912108876077E-2</v>
      </c>
      <c r="L51" s="496">
        <f t="shared" si="30"/>
        <v>80454</v>
      </c>
      <c r="M51" s="495">
        <f t="shared" si="31"/>
        <v>1.9072747832642293E-2</v>
      </c>
      <c r="N51" s="496">
        <f t="shared" si="30"/>
        <v>-614250</v>
      </c>
      <c r="O51" s="497">
        <f t="shared" si="32"/>
        <v>-0.125026104351458</v>
      </c>
      <c r="P51" s="487" t="str">
        <f t="shared" si="23"/>
        <v>表示（判定）</v>
      </c>
      <c r="R51" s="428">
        <f t="shared" ref="R51" si="34">SUM(R52:R54)</f>
        <v>4298724047</v>
      </c>
    </row>
    <row r="52" spans="1:23" ht="20.25" customHeight="1">
      <c r="A52" s="498"/>
      <c r="B52" s="499"/>
      <c r="C52" s="1478" t="s">
        <v>371</v>
      </c>
      <c r="D52" s="1479"/>
      <c r="E52" s="500">
        <v>16052113</v>
      </c>
      <c r="F52" s="501">
        <v>4207550</v>
      </c>
      <c r="G52" s="502">
        <v>3945966</v>
      </c>
      <c r="H52" s="503">
        <f>S52</f>
        <v>3945961</v>
      </c>
      <c r="I52" s="504">
        <v>4401591</v>
      </c>
      <c r="J52" s="494">
        <f t="shared" si="21"/>
        <v>-261589</v>
      </c>
      <c r="K52" s="495">
        <f t="shared" si="22"/>
        <v>-6.2171334862330813E-2</v>
      </c>
      <c r="L52" s="496">
        <f t="shared" si="30"/>
        <v>-5</v>
      </c>
      <c r="M52" s="495">
        <f t="shared" si="31"/>
        <v>-1.267116847940403E-6</v>
      </c>
      <c r="N52" s="496">
        <f t="shared" si="30"/>
        <v>-455630</v>
      </c>
      <c r="O52" s="497">
        <f t="shared" si="32"/>
        <v>-0.103514842701196</v>
      </c>
      <c r="P52" s="487" t="str">
        <f t="shared" si="23"/>
        <v>表示（判定）</v>
      </c>
      <c r="R52" s="428">
        <f>'[1]3条支出'!E23</f>
        <v>3945961149</v>
      </c>
      <c r="S52" s="428">
        <f t="shared" si="28"/>
        <v>3945961</v>
      </c>
      <c r="U52" s="428">
        <v>3940345</v>
      </c>
      <c r="W52" s="428">
        <f>SUM(U52:V52)</f>
        <v>3940345</v>
      </c>
    </row>
    <row r="53" spans="1:23" ht="20.25" customHeight="1">
      <c r="A53" s="498"/>
      <c r="B53" s="506"/>
      <c r="C53" s="1461" t="s">
        <v>372</v>
      </c>
      <c r="D53" s="1477"/>
      <c r="E53" s="500">
        <v>0</v>
      </c>
      <c r="F53" s="501">
        <v>392158</v>
      </c>
      <c r="G53" s="502">
        <v>264261</v>
      </c>
      <c r="H53" s="503">
        <f>S53</f>
        <v>343539</v>
      </c>
      <c r="I53" s="504">
        <v>511383</v>
      </c>
      <c r="J53" s="494">
        <f t="shared" si="21"/>
        <v>-48619</v>
      </c>
      <c r="K53" s="511">
        <f t="shared" si="22"/>
        <v>-0.12397809046353765</v>
      </c>
      <c r="L53" s="496">
        <f t="shared" si="30"/>
        <v>79278</v>
      </c>
      <c r="M53" s="511">
        <f t="shared" si="31"/>
        <v>0.29999886475870446</v>
      </c>
      <c r="N53" s="496">
        <f t="shared" si="30"/>
        <v>-167844</v>
      </c>
      <c r="O53" s="512">
        <f t="shared" si="32"/>
        <v>-0.32821583822692579</v>
      </c>
      <c r="P53" s="487" t="str">
        <f t="shared" si="23"/>
        <v>表示（判定）</v>
      </c>
      <c r="R53" s="428">
        <f>[1]営外!$E$22</f>
        <v>343538729</v>
      </c>
      <c r="S53" s="428">
        <f t="shared" ref="S53" si="35">ROUND(R53/1000,0)+T53</f>
        <v>343539</v>
      </c>
    </row>
    <row r="54" spans="1:23" ht="20.25" customHeight="1">
      <c r="A54" s="498"/>
      <c r="B54" s="509"/>
      <c r="C54" s="1460" t="s">
        <v>373</v>
      </c>
      <c r="D54" s="1461"/>
      <c r="E54" s="500">
        <v>119691</v>
      </c>
      <c r="F54" s="501">
        <v>17</v>
      </c>
      <c r="G54" s="502">
        <f>43+8000</f>
        <v>8043</v>
      </c>
      <c r="H54" s="503">
        <f>S54</f>
        <v>9224</v>
      </c>
      <c r="I54" s="504">
        <v>0</v>
      </c>
      <c r="J54" s="494">
        <f t="shared" si="21"/>
        <v>9207</v>
      </c>
      <c r="K54" s="495">
        <f t="shared" si="22"/>
        <v>541.58823529411768</v>
      </c>
      <c r="L54" s="496">
        <f t="shared" si="30"/>
        <v>1181</v>
      </c>
      <c r="M54" s="495">
        <f t="shared" si="31"/>
        <v>0.14683575780181524</v>
      </c>
      <c r="N54" s="496">
        <f t="shared" si="30"/>
        <v>9224</v>
      </c>
      <c r="O54" s="497" t="str">
        <f t="shared" si="32"/>
        <v xml:space="preserve">皆増 </v>
      </c>
      <c r="P54" s="487" t="str">
        <f t="shared" si="23"/>
        <v>表示（判定）</v>
      </c>
      <c r="R54" s="428">
        <f>'[1]3条支出'!E24+'[1]3条支出'!$E$25</f>
        <v>9224169</v>
      </c>
      <c r="S54" s="428">
        <f t="shared" si="28"/>
        <v>9224</v>
      </c>
      <c r="U54" s="428">
        <v>196817</v>
      </c>
      <c r="V54" s="428">
        <v>7273</v>
      </c>
      <c r="W54" s="428">
        <f>SUM(U54:V54)</f>
        <v>204090</v>
      </c>
    </row>
    <row r="55" spans="1:23" ht="20.25" customHeight="1">
      <c r="A55" s="498"/>
      <c r="B55" s="1460" t="s">
        <v>374</v>
      </c>
      <c r="C55" s="1460"/>
      <c r="D55" s="1461"/>
      <c r="E55" s="489">
        <f t="shared" ref="E55:H55" si="36">SUM(E56:E59)</f>
        <v>55925</v>
      </c>
      <c r="F55" s="490">
        <f>SUM(F56:F59)</f>
        <v>8289</v>
      </c>
      <c r="G55" s="491">
        <f>SUM(G56:G59)</f>
        <v>22609</v>
      </c>
      <c r="H55" s="492">
        <f t="shared" si="36"/>
        <v>20995</v>
      </c>
      <c r="I55" s="493">
        <f>SUM(I56:I59)</f>
        <v>5322</v>
      </c>
      <c r="J55" s="494">
        <f t="shared" si="21"/>
        <v>12706</v>
      </c>
      <c r="K55" s="495">
        <f t="shared" si="22"/>
        <v>1.5328748944384123</v>
      </c>
      <c r="L55" s="496">
        <f t="shared" si="30"/>
        <v>-1614</v>
      </c>
      <c r="M55" s="495">
        <f t="shared" si="31"/>
        <v>-7.1387500552877167E-2</v>
      </c>
      <c r="N55" s="496">
        <f t="shared" si="30"/>
        <v>15673</v>
      </c>
      <c r="O55" s="497">
        <f t="shared" si="32"/>
        <v>2.9449455092070651</v>
      </c>
      <c r="P55" s="487" t="str">
        <f t="shared" si="23"/>
        <v>表示（判定）</v>
      </c>
      <c r="R55" s="428">
        <f t="shared" ref="R55" si="37">SUM(R56:R59)</f>
        <v>20995298</v>
      </c>
    </row>
    <row r="56" spans="1:23" ht="20.25" customHeight="1">
      <c r="A56" s="498"/>
      <c r="B56" s="499"/>
      <c r="C56" s="1460" t="s">
        <v>375</v>
      </c>
      <c r="D56" s="1461"/>
      <c r="E56" s="500">
        <v>0</v>
      </c>
      <c r="F56" s="501">
        <v>0</v>
      </c>
      <c r="G56" s="502">
        <v>10315</v>
      </c>
      <c r="H56" s="503">
        <f>S56</f>
        <v>10315</v>
      </c>
      <c r="I56" s="504">
        <v>0</v>
      </c>
      <c r="J56" s="494">
        <f t="shared" si="21"/>
        <v>10315</v>
      </c>
      <c r="K56" s="511" t="str">
        <f t="shared" si="22"/>
        <v xml:space="preserve">皆増 </v>
      </c>
      <c r="L56" s="496">
        <f t="shared" si="30"/>
        <v>0</v>
      </c>
      <c r="M56" s="511">
        <f t="shared" si="31"/>
        <v>0</v>
      </c>
      <c r="N56" s="496">
        <f t="shared" si="30"/>
        <v>10315</v>
      </c>
      <c r="O56" s="512" t="str">
        <f t="shared" si="32"/>
        <v xml:space="preserve">皆増 </v>
      </c>
      <c r="P56" s="487" t="str">
        <f t="shared" si="23"/>
        <v>表示（判定）</v>
      </c>
      <c r="R56" s="428">
        <f>'[1]3条支出'!$E$30</f>
        <v>10315355</v>
      </c>
      <c r="S56" s="428">
        <f t="shared" ref="S56:S59" si="38">ROUND(R56/1000,0)+T56</f>
        <v>10315</v>
      </c>
      <c r="U56" s="428">
        <v>10315</v>
      </c>
      <c r="W56" s="428">
        <f t="shared" ref="W56:W59" si="39">SUM(U56:V56)</f>
        <v>10315</v>
      </c>
    </row>
    <row r="57" spans="1:23" ht="20.25" customHeight="1">
      <c r="A57" s="498"/>
      <c r="B57" s="499"/>
      <c r="C57" s="1460" t="s">
        <v>376</v>
      </c>
      <c r="D57" s="1461"/>
      <c r="E57" s="500">
        <v>41531</v>
      </c>
      <c r="F57" s="501">
        <v>8248</v>
      </c>
      <c r="G57" s="502">
        <v>12253</v>
      </c>
      <c r="H57" s="503">
        <f>S57</f>
        <v>10680</v>
      </c>
      <c r="I57" s="504">
        <v>5320</v>
      </c>
      <c r="J57" s="494">
        <f t="shared" si="21"/>
        <v>2432</v>
      </c>
      <c r="K57" s="562">
        <f t="shared" si="22"/>
        <v>0.29485935984481088</v>
      </c>
      <c r="L57" s="496">
        <f t="shared" si="30"/>
        <v>-1573</v>
      </c>
      <c r="M57" s="562">
        <f t="shared" si="31"/>
        <v>-0.12837672406757528</v>
      </c>
      <c r="N57" s="496">
        <f t="shared" si="30"/>
        <v>5360</v>
      </c>
      <c r="O57" s="563">
        <f t="shared" si="32"/>
        <v>1.0075187969924813</v>
      </c>
      <c r="P57" s="487" t="str">
        <f t="shared" si="23"/>
        <v>表示（判定）</v>
      </c>
      <c r="R57" s="428">
        <f>'[1]3条支出'!$E$28</f>
        <v>10679943</v>
      </c>
      <c r="S57" s="428">
        <f t="shared" si="38"/>
        <v>10680</v>
      </c>
      <c r="U57" s="428">
        <v>11176</v>
      </c>
      <c r="W57" s="428">
        <f t="shared" si="39"/>
        <v>11176</v>
      </c>
    </row>
    <row r="58" spans="1:23" ht="20.25" hidden="1" customHeight="1">
      <c r="A58" s="498"/>
      <c r="B58" s="506"/>
      <c r="C58" s="1460" t="s">
        <v>377</v>
      </c>
      <c r="D58" s="1461"/>
      <c r="E58" s="500"/>
      <c r="F58" s="501">
        <v>0</v>
      </c>
      <c r="G58" s="502">
        <f>W58</f>
        <v>0</v>
      </c>
      <c r="H58" s="503">
        <f>S58</f>
        <v>0</v>
      </c>
      <c r="I58" s="504">
        <v>0</v>
      </c>
      <c r="J58" s="494" t="str">
        <f t="shared" si="21"/>
        <v xml:space="preserve">－ </v>
      </c>
      <c r="K58" s="562" t="str">
        <f t="shared" si="22"/>
        <v xml:space="preserve">－ </v>
      </c>
      <c r="L58" s="496" t="str">
        <f t="shared" si="30"/>
        <v xml:space="preserve">－ </v>
      </c>
      <c r="M58" s="562" t="str">
        <f t="shared" si="31"/>
        <v xml:space="preserve">－ </v>
      </c>
      <c r="N58" s="496" t="str">
        <f t="shared" si="30"/>
        <v xml:space="preserve">－ </v>
      </c>
      <c r="O58" s="563" t="str">
        <f t="shared" si="32"/>
        <v xml:space="preserve">－ </v>
      </c>
      <c r="P58" s="487" t="str">
        <f t="shared" si="23"/>
        <v>×表示しない</v>
      </c>
      <c r="R58" s="428">
        <f>'[1]3条支出'!$T$31</f>
        <v>0</v>
      </c>
      <c r="S58" s="428">
        <f t="shared" si="38"/>
        <v>0</v>
      </c>
      <c r="U58" s="428">
        <v>0</v>
      </c>
      <c r="W58" s="428">
        <f t="shared" si="39"/>
        <v>0</v>
      </c>
    </row>
    <row r="59" spans="1:23" ht="20.25" customHeight="1">
      <c r="A59" s="498"/>
      <c r="B59" s="509"/>
      <c r="C59" s="1460" t="s">
        <v>378</v>
      </c>
      <c r="D59" s="1461"/>
      <c r="E59" s="500">
        <v>14394</v>
      </c>
      <c r="F59" s="501">
        <v>41</v>
      </c>
      <c r="G59" s="502">
        <v>41</v>
      </c>
      <c r="H59" s="503">
        <f>S59</f>
        <v>0</v>
      </c>
      <c r="I59" s="504">
        <v>2</v>
      </c>
      <c r="J59" s="494">
        <f t="shared" si="21"/>
        <v>-41</v>
      </c>
      <c r="K59" s="564" t="str">
        <f t="shared" si="22"/>
        <v xml:space="preserve">皆減 </v>
      </c>
      <c r="L59" s="496">
        <f t="shared" si="30"/>
        <v>-41</v>
      </c>
      <c r="M59" s="564" t="str">
        <f t="shared" si="31"/>
        <v xml:space="preserve">皆減 </v>
      </c>
      <c r="N59" s="496">
        <f t="shared" si="30"/>
        <v>-2</v>
      </c>
      <c r="O59" s="565" t="str">
        <f t="shared" si="32"/>
        <v xml:space="preserve">皆減 </v>
      </c>
      <c r="P59" s="487" t="str">
        <f t="shared" si="23"/>
        <v>表示（判定）</v>
      </c>
      <c r="R59" s="428">
        <f>'[1]3条支出'!$E$29</f>
        <v>0</v>
      </c>
      <c r="S59" s="428">
        <f t="shared" si="38"/>
        <v>0</v>
      </c>
      <c r="U59" s="428">
        <v>38</v>
      </c>
      <c r="W59" s="428">
        <f t="shared" si="39"/>
        <v>38</v>
      </c>
    </row>
    <row r="60" spans="1:23" ht="20.25" customHeight="1" thickBot="1">
      <c r="A60" s="524"/>
      <c r="B60" s="1469" t="s">
        <v>379</v>
      </c>
      <c r="C60" s="1469"/>
      <c r="D60" s="1470"/>
      <c r="E60" s="526">
        <v>0</v>
      </c>
      <c r="F60" s="527">
        <v>20000</v>
      </c>
      <c r="G60" s="528">
        <f>W60</f>
        <v>0</v>
      </c>
      <c r="H60" s="566">
        <v>0</v>
      </c>
      <c r="I60" s="530">
        <v>0</v>
      </c>
      <c r="J60" s="531">
        <f t="shared" si="21"/>
        <v>-20000</v>
      </c>
      <c r="K60" s="567" t="str">
        <f t="shared" si="22"/>
        <v xml:space="preserve">皆減 </v>
      </c>
      <c r="L60" s="533" t="str">
        <f t="shared" si="30"/>
        <v xml:space="preserve">－ </v>
      </c>
      <c r="M60" s="567" t="str">
        <f t="shared" si="31"/>
        <v xml:space="preserve">－ </v>
      </c>
      <c r="N60" s="533" t="str">
        <f t="shared" si="30"/>
        <v xml:space="preserve">－ </v>
      </c>
      <c r="O60" s="568" t="str">
        <f t="shared" si="32"/>
        <v xml:space="preserve">－ </v>
      </c>
      <c r="P60" s="487" t="str">
        <f t="shared" si="23"/>
        <v>表示（判定）</v>
      </c>
      <c r="U60" s="428">
        <v>7273</v>
      </c>
      <c r="V60" s="428">
        <v>-7273</v>
      </c>
      <c r="W60" s="428">
        <f>SUM(U60:V60)</f>
        <v>0</v>
      </c>
    </row>
    <row r="61" spans="1:23" ht="12.75" thickBot="1">
      <c r="A61" s="548"/>
      <c r="B61" s="548"/>
      <c r="C61" s="548"/>
      <c r="D61" s="548"/>
      <c r="F61" s="549"/>
      <c r="G61" s="549"/>
      <c r="H61" s="550"/>
      <c r="I61" s="549"/>
      <c r="J61" s="538"/>
      <c r="K61" s="540"/>
      <c r="L61" s="569"/>
      <c r="M61" s="540"/>
      <c r="N61" s="569"/>
      <c r="O61" s="540"/>
      <c r="P61" s="424" t="s">
        <v>528</v>
      </c>
    </row>
    <row r="62" spans="1:23" ht="20.25" customHeight="1" thickBot="1">
      <c r="A62" s="1483" t="s">
        <v>590</v>
      </c>
      <c r="B62" s="1484"/>
      <c r="C62" s="1484"/>
      <c r="D62" s="1485"/>
      <c r="E62" s="570">
        <f>E9-E36</f>
        <v>9623</v>
      </c>
      <c r="F62" s="571">
        <f>F9-F36</f>
        <v>1022518</v>
      </c>
      <c r="G62" s="572">
        <f>G9-G36</f>
        <v>1055297</v>
      </c>
      <c r="H62" s="573">
        <f>H9-H36</f>
        <v>1467504</v>
      </c>
      <c r="I62" s="574">
        <f>I9-I36</f>
        <v>1217641</v>
      </c>
      <c r="J62" s="420">
        <f>IF(AND(F62=0,$H62=0),"－ ",$H62-F62)</f>
        <v>444986</v>
      </c>
      <c r="K62" s="575">
        <f>IF(AND(F62=0,$H62&gt;0),"皆増 ",IF(AND(F62&gt;0,$H62=0),"皆減 ",IF(AND(F62=0,$H62=0),"－ ",J62/F62)))</f>
        <v>0.43518647104500852</v>
      </c>
      <c r="L62" s="422">
        <f t="shared" si="30"/>
        <v>412207</v>
      </c>
      <c r="M62" s="575">
        <f t="shared" si="31"/>
        <v>0.39060757303394211</v>
      </c>
      <c r="N62" s="422">
        <f t="shared" si="30"/>
        <v>249863</v>
      </c>
      <c r="O62" s="576">
        <f t="shared" si="32"/>
        <v>0.2052025186405517</v>
      </c>
      <c r="P62" s="424" t="s">
        <v>528</v>
      </c>
      <c r="R62" s="428">
        <f>R9-R36</f>
        <v>1467502897</v>
      </c>
    </row>
    <row r="63" spans="1:23" ht="12.75" thickBot="1">
      <c r="A63" s="548"/>
      <c r="B63" s="548"/>
      <c r="C63" s="548"/>
      <c r="D63" s="548"/>
      <c r="F63" s="549"/>
      <c r="G63" s="549"/>
      <c r="H63" s="550"/>
      <c r="I63" s="549"/>
      <c r="J63" s="538"/>
      <c r="K63" s="540"/>
      <c r="L63" s="569"/>
      <c r="M63" s="540"/>
      <c r="N63" s="569"/>
      <c r="O63" s="540"/>
      <c r="P63" s="424" t="s">
        <v>528</v>
      </c>
      <c r="Q63" s="428" t="s">
        <v>633</v>
      </c>
      <c r="R63" s="428">
        <f>[3]消費税!$AF$118</f>
        <v>-923595698</v>
      </c>
      <c r="T63" s="428">
        <f t="shared" ref="T63" si="40">ROUND(R63/1000,0)+S63</f>
        <v>-923596</v>
      </c>
    </row>
    <row r="64" spans="1:23" ht="20.25" customHeight="1" thickBot="1">
      <c r="A64" s="1483" t="s">
        <v>632</v>
      </c>
      <c r="B64" s="1484"/>
      <c r="C64" s="1484"/>
      <c r="D64" s="1485"/>
      <c r="E64" s="570">
        <f>E11-E38</f>
        <v>20556607</v>
      </c>
      <c r="F64" s="571">
        <v>120300</v>
      </c>
      <c r="G64" s="572">
        <v>87714</v>
      </c>
      <c r="H64" s="573">
        <f>S64</f>
        <v>543907</v>
      </c>
      <c r="I64" s="574">
        <v>447981</v>
      </c>
      <c r="J64" s="420">
        <f>IF(AND(F64=0,$H64=0),"－ ",$H64-F64)</f>
        <v>423607</v>
      </c>
      <c r="K64" s="575">
        <f>IF(AND(F64=0,$H64&gt;0),"皆増 ",IF(AND(F64&gt;0,$H64=0),"皆減 ",IF(AND(F64=0,$H64=0),"－ ",J64/F64)))</f>
        <v>3.5212551953449709</v>
      </c>
      <c r="L64" s="422">
        <f t="shared" ref="L64" si="41">IF(AND(G64=0,$H64=0),"－ ",$H64-G64)</f>
        <v>456193</v>
      </c>
      <c r="M64" s="575">
        <f t="shared" ref="M64" si="42">IF(AND(G64=0,$H64&gt;0),"皆増 ",IF(AND(G64&gt;0,$H64=0),"皆減 ",IF(AND(G64=0,$H64=0),"－ ",L64/G64)))</f>
        <v>5.200914335225848</v>
      </c>
      <c r="N64" s="422">
        <f t="shared" ref="N64" si="43">IF(AND(I64=0,$H64=0),"－ ",$H64-I64)</f>
        <v>95926</v>
      </c>
      <c r="O64" s="576">
        <f t="shared" ref="O64" si="44">IF(AND(I64=0,$H64&gt;0),"皆増 ",IF(AND(I64&gt;0,$H64=0),"皆減 ",IF(AND(I64=0,$H64=0),"－ ",N64/I64)))</f>
        <v>0.21412961710429684</v>
      </c>
      <c r="P64" s="424" t="s">
        <v>528</v>
      </c>
      <c r="R64" s="428">
        <f>SUM(R62:R63)</f>
        <v>543907199</v>
      </c>
      <c r="S64" s="428">
        <f t="shared" ref="S64" si="45">ROUND(R64/1000,0)+T64</f>
        <v>543907</v>
      </c>
    </row>
    <row r="65" spans="2:19" ht="20.25" hidden="1" customHeight="1">
      <c r="B65" s="1486" t="s">
        <v>381</v>
      </c>
      <c r="C65" s="1487"/>
      <c r="D65" s="1488"/>
      <c r="P65" s="424" t="s">
        <v>544</v>
      </c>
    </row>
    <row r="66" spans="2:19" ht="20.25" hidden="1" customHeight="1">
      <c r="B66" s="1480" t="s">
        <v>382</v>
      </c>
      <c r="C66" s="1481"/>
      <c r="D66" s="1482"/>
      <c r="P66" s="424" t="s">
        <v>544</v>
      </c>
    </row>
    <row r="67" spans="2:19" ht="20.25" customHeight="1">
      <c r="D67" s="508"/>
    </row>
    <row r="68" spans="2:19" ht="20.25" customHeight="1">
      <c r="K68" s="442"/>
      <c r="M68" s="442"/>
      <c r="O68" s="442"/>
      <c r="P68" s="442"/>
    </row>
    <row r="69" spans="2:19" ht="20.25" customHeight="1">
      <c r="Q69" s="425" t="s">
        <v>380</v>
      </c>
      <c r="R69" s="428">
        <f>R9-R36</f>
        <v>1467502897</v>
      </c>
      <c r="S69" s="428">
        <f>S33-S62</f>
        <v>44454712</v>
      </c>
    </row>
  </sheetData>
  <autoFilter ref="A8:W66">
    <filterColumn colId="15">
      <filters>
        <filter val="表示"/>
        <filter val="表示（判定）"/>
      </filters>
    </filterColumn>
  </autoFilter>
  <mergeCells count="49">
    <mergeCell ref="C24:D24"/>
    <mergeCell ref="A7:D7"/>
    <mergeCell ref="A9:D9"/>
    <mergeCell ref="B10:D10"/>
    <mergeCell ref="C11:D11"/>
    <mergeCell ref="C12:D12"/>
    <mergeCell ref="C18:D18"/>
    <mergeCell ref="B19:D19"/>
    <mergeCell ref="C20:D20"/>
    <mergeCell ref="C21:D21"/>
    <mergeCell ref="C22:D22"/>
    <mergeCell ref="C23:D23"/>
    <mergeCell ref="C39:D39"/>
    <mergeCell ref="C25:D25"/>
    <mergeCell ref="C26:D26"/>
    <mergeCell ref="B27:D27"/>
    <mergeCell ref="C28:D28"/>
    <mergeCell ref="C29:D29"/>
    <mergeCell ref="C30:D30"/>
    <mergeCell ref="C31:D31"/>
    <mergeCell ref="A33:D33"/>
    <mergeCell ref="A36:D36"/>
    <mergeCell ref="B37:D37"/>
    <mergeCell ref="C38:D38"/>
    <mergeCell ref="B51:D51"/>
    <mergeCell ref="C40:D40"/>
    <mergeCell ref="C41:D41"/>
    <mergeCell ref="C42:D42"/>
    <mergeCell ref="C43:D43"/>
    <mergeCell ref="C44:D44"/>
    <mergeCell ref="C45:D45"/>
    <mergeCell ref="C46:D46"/>
    <mergeCell ref="C47:D47"/>
    <mergeCell ref="C48:D48"/>
    <mergeCell ref="C49:D49"/>
    <mergeCell ref="C50:D50"/>
    <mergeCell ref="B66:D66"/>
    <mergeCell ref="A64:D64"/>
    <mergeCell ref="C52:D52"/>
    <mergeCell ref="C53:D53"/>
    <mergeCell ref="C54:D54"/>
    <mergeCell ref="B55:D55"/>
    <mergeCell ref="C56:D56"/>
    <mergeCell ref="C57:D57"/>
    <mergeCell ref="C58:D58"/>
    <mergeCell ref="C59:D59"/>
    <mergeCell ref="B60:D60"/>
    <mergeCell ref="A62:D62"/>
    <mergeCell ref="B65:D65"/>
  </mergeCells>
  <phoneticPr fontId="3"/>
  <printOptions horizontalCentered="1"/>
  <pageMargins left="0.59055118110236227" right="0.39370078740157483" top="0.39370078740157483" bottom="0.39370078740157483" header="0.27559055118110237" footer="0"/>
  <pageSetup paperSize="9" scale="68" fitToWidth="0" fitToHeight="0" orientation="portrait" blackAndWhite="1" cellComments="asDisplayed" r:id="rId1"/>
  <headerFooter alignWithMargins="0">
    <oddHeader>&amp;R&amp;8&amp;D &amp;T</oddHeader>
    <oddFooter>&amp;L&amp;8&amp;F &amp;A</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66FF33"/>
  </sheetPr>
  <dimension ref="A1:Z90"/>
  <sheetViews>
    <sheetView view="pageBreakPreview" zoomScale="115" zoomScaleNormal="100" zoomScaleSheetLayoutView="115" workbookViewId="0">
      <selection activeCell="F9" sqref="F9"/>
    </sheetView>
  </sheetViews>
  <sheetFormatPr defaultColWidth="9" defaultRowHeight="20.85" customHeight="1" outlineLevelRow="1" outlineLevelCol="1"/>
  <cols>
    <col min="1" max="3" width="1.375" style="578" customWidth="1"/>
    <col min="4" max="4" width="26" style="578" customWidth="1"/>
    <col min="5" max="5" width="12" style="578" hidden="1" customWidth="1" outlineLevel="1"/>
    <col min="6" max="6" width="12.375" style="579" customWidth="1" collapsed="1"/>
    <col min="7" max="8" width="12.375" style="579" customWidth="1"/>
    <col min="9" max="9" width="12.375" style="1082" hidden="1" customWidth="1" outlineLevel="1"/>
    <col min="10" max="10" width="12.375" style="579" customWidth="1" collapsed="1"/>
    <col min="11" max="11" width="10.375" style="578" customWidth="1"/>
    <col min="12" max="12" width="7.375" style="578" customWidth="1"/>
    <col min="13" max="13" width="10.375" style="578" customWidth="1"/>
    <col min="14" max="14" width="7.375" style="578" customWidth="1"/>
    <col min="15" max="15" width="10.375" style="578" customWidth="1"/>
    <col min="16" max="16" width="7.375" style="578" customWidth="1"/>
    <col min="17" max="17" width="10.5" style="578" bestFit="1" customWidth="1"/>
    <col min="18" max="18" width="2.125" style="578" customWidth="1"/>
    <col min="19" max="19" width="17.125" style="580" bestFit="1" customWidth="1"/>
    <col min="20" max="20" width="13.125" style="580" bestFit="1" customWidth="1"/>
    <col min="21" max="21" width="9" style="580"/>
    <col min="22" max="22" width="10.25" style="580" bestFit="1" customWidth="1"/>
    <col min="23" max="23" width="9.125" style="580" bestFit="1" customWidth="1"/>
    <col min="24" max="26" width="10.25" style="581" bestFit="1" customWidth="1"/>
    <col min="27" max="16384" width="9" style="578"/>
  </cols>
  <sheetData>
    <row r="1" spans="1:26" ht="20.85" customHeight="1">
      <c r="A1" s="577" t="str">
        <f>+CONCATENATE("令和",+DBCS(MID(F5,2,1)),"年度決算　資本的収支（税込）みなし")</f>
        <v>令和５年度決算　資本的収支（税込）みなし</v>
      </c>
      <c r="M1" s="436"/>
      <c r="N1" s="436"/>
      <c r="O1" s="432"/>
      <c r="P1" s="1200" t="str">
        <f>総括表!$K$1</f>
        <v>令和6年5月22日</v>
      </c>
    </row>
    <row r="2" spans="1:26" ht="20.85" hidden="1" customHeight="1" outlineLevel="1">
      <c r="K2" s="579"/>
      <c r="L2" s="579"/>
      <c r="M2" s="579"/>
      <c r="N2" s="579"/>
    </row>
    <row r="3" spans="1:26" ht="20.85" customHeight="1" collapsed="1" thickBot="1">
      <c r="A3" s="582" t="s">
        <v>324</v>
      </c>
      <c r="B3" s="438"/>
      <c r="C3" s="438"/>
      <c r="D3" s="438"/>
      <c r="E3" s="438"/>
      <c r="F3" s="440"/>
      <c r="G3" s="440"/>
      <c r="H3" s="441"/>
      <c r="I3" s="1083"/>
      <c r="J3" s="441"/>
      <c r="K3" s="442"/>
      <c r="L3" s="442"/>
      <c r="M3" s="442"/>
      <c r="N3" s="442"/>
      <c r="O3" s="1489" t="s">
        <v>325</v>
      </c>
      <c r="P3" s="1489"/>
    </row>
    <row r="4" spans="1:26" s="442" customFormat="1" ht="12.75" thickBot="1">
      <c r="A4" s="444"/>
      <c r="B4" s="445"/>
      <c r="C4" s="445"/>
      <c r="D4" s="446"/>
      <c r="E4" s="447"/>
      <c r="F4" s="583"/>
      <c r="G4" s="584"/>
      <c r="H4" s="585"/>
      <c r="I4" s="1084"/>
      <c r="J4" s="586"/>
      <c r="K4" s="452" t="s">
        <v>523</v>
      </c>
      <c r="L4" s="451"/>
      <c r="M4" s="452"/>
      <c r="N4" s="451"/>
      <c r="O4" s="452"/>
      <c r="P4" s="453"/>
      <c r="Q4" s="454"/>
      <c r="S4" s="587"/>
      <c r="T4" s="587"/>
      <c r="U4" s="587"/>
      <c r="V4" s="587"/>
      <c r="W4" s="587"/>
      <c r="X4" s="588"/>
      <c r="Y4" s="588"/>
      <c r="Z4" s="588"/>
    </row>
    <row r="5" spans="1:26" s="425" customFormat="1" ht="24">
      <c r="A5" s="1457" t="s">
        <v>533</v>
      </c>
      <c r="B5" s="1458"/>
      <c r="C5" s="1458"/>
      <c r="D5" s="1459"/>
      <c r="E5" s="456" t="s">
        <v>328</v>
      </c>
      <c r="F5" s="589" t="s">
        <v>531</v>
      </c>
      <c r="G5" s="590" t="s">
        <v>529</v>
      </c>
      <c r="H5" s="459" t="s">
        <v>530</v>
      </c>
      <c r="I5" s="1085"/>
      <c r="J5" s="591" t="s">
        <v>532</v>
      </c>
      <c r="K5" s="463" t="s">
        <v>527</v>
      </c>
      <c r="L5" s="462"/>
      <c r="M5" s="463" t="s">
        <v>526</v>
      </c>
      <c r="N5" s="462"/>
      <c r="O5" s="463" t="s">
        <v>525</v>
      </c>
      <c r="P5" s="464"/>
      <c r="S5" s="580" t="s">
        <v>539</v>
      </c>
      <c r="T5" s="580"/>
      <c r="U5" s="580"/>
      <c r="V5" s="580" t="s">
        <v>516</v>
      </c>
      <c r="W5" s="580"/>
      <c r="X5" s="581" t="s">
        <v>516</v>
      </c>
      <c r="Y5" s="581"/>
      <c r="Z5" s="581" t="s">
        <v>516</v>
      </c>
    </row>
    <row r="6" spans="1:26" s="425" customFormat="1" ht="20.25" customHeight="1">
      <c r="A6" s="465"/>
      <c r="B6" s="466"/>
      <c r="C6" s="466"/>
      <c r="D6" s="467"/>
      <c r="E6" s="468"/>
      <c r="F6" s="592" t="s">
        <v>519</v>
      </c>
      <c r="G6" s="593" t="s">
        <v>520</v>
      </c>
      <c r="H6" s="471" t="s">
        <v>521</v>
      </c>
      <c r="I6" s="1086" t="s">
        <v>644</v>
      </c>
      <c r="J6" s="594" t="s">
        <v>522</v>
      </c>
      <c r="K6" s="475" t="s">
        <v>542</v>
      </c>
      <c r="L6" s="474" t="s">
        <v>330</v>
      </c>
      <c r="M6" s="475" t="s">
        <v>581</v>
      </c>
      <c r="N6" s="474" t="s">
        <v>330</v>
      </c>
      <c r="O6" s="475" t="s">
        <v>577</v>
      </c>
      <c r="P6" s="476" t="s">
        <v>330</v>
      </c>
      <c r="Q6" s="454" t="s">
        <v>535</v>
      </c>
      <c r="R6" s="425" t="s">
        <v>536</v>
      </c>
      <c r="S6" s="580" t="s">
        <v>538</v>
      </c>
      <c r="T6" s="580" t="s">
        <v>537</v>
      </c>
      <c r="U6" s="595" t="s">
        <v>384</v>
      </c>
      <c r="V6" s="580" t="s">
        <v>517</v>
      </c>
      <c r="W6" s="580" t="s">
        <v>545</v>
      </c>
      <c r="X6" s="581" t="s">
        <v>517</v>
      </c>
      <c r="Y6" s="581"/>
      <c r="Z6" s="581" t="s">
        <v>517</v>
      </c>
    </row>
    <row r="7" spans="1:26" ht="20.85" customHeight="1">
      <c r="A7" s="1492" t="s">
        <v>389</v>
      </c>
      <c r="B7" s="1493"/>
      <c r="C7" s="1493"/>
      <c r="D7" s="1494"/>
      <c r="E7" s="596">
        <f>SUM(E8,E19:E23,E28,E35,E36)</f>
        <v>0</v>
      </c>
      <c r="F7" s="597">
        <f>SUM(F8,F19:F23,F28,F35,F36)</f>
        <v>42627050</v>
      </c>
      <c r="G7" s="598">
        <f>SUM(G8,G19:G23,G28,G35,G36)</f>
        <v>42172333</v>
      </c>
      <c r="H7" s="599">
        <f>SUM(H8,H19:H23,H28,H35,H36)</f>
        <v>42243091</v>
      </c>
      <c r="I7" s="1087"/>
      <c r="J7" s="600">
        <f>SUM(J8,J19:J23,J28,J35,J36)</f>
        <v>41780528</v>
      </c>
      <c r="K7" s="601">
        <f t="shared" ref="K7" si="0">IF(AND(F7=0,$H7=0),"－ ",$H7-F7)</f>
        <v>-383959</v>
      </c>
      <c r="L7" s="602">
        <f>IF(AND(F7=0,$H7&gt;0),"皆増 ",IF(AND(F7&gt;0,$H7=0),"皆減 ",IF(AND(F7=0,$H7=0),"－ ",K7/F7)))</f>
        <v>-9.0074025765329753E-3</v>
      </c>
      <c r="M7" s="601">
        <f>IF(AND(G7=0,$H7=0),"－ ",$H7-G7)</f>
        <v>70758</v>
      </c>
      <c r="N7" s="602">
        <f>IF(AND(G7=0,$H7&gt;0),"皆増 ",IF(AND(G7&gt;0,$H7=0),"皆減 ",IF(AND(G7=0,$H7=0),"－ ",M7/G7)))</f>
        <v>1.6778298701188763E-3</v>
      </c>
      <c r="O7" s="601">
        <f t="shared" ref="O7" si="1">IF(AND(J7=0,$H7=0),"－ ",$H7-J7)</f>
        <v>462563</v>
      </c>
      <c r="P7" s="603">
        <f>IF(AND(J7=0,$H7&gt;0),"皆増 ",IF(AND(J7&gt;0,$H7=0),"皆減 ",IF(AND(J7=0,$H7=0),"－ ",O7/J7)))</f>
        <v>1.107125788357677E-2</v>
      </c>
      <c r="Q7" s="487" t="str">
        <f t="shared" ref="Q7:Q70" si="2">IF(OR(F7&gt;0,G7&gt;0,H7&gt;0,J7&gt;0),"表示（判定）","×表示しない")</f>
        <v>表示（判定）</v>
      </c>
      <c r="S7" s="580">
        <f>IF('(繰)4条収入'!M5=SUM(S10:S36),'(繰)4条収入'!M5,"エラー")</f>
        <v>42243090880</v>
      </c>
      <c r="T7" s="580">
        <f>ROUND(S7/1000,0)+U7</f>
        <v>42243091</v>
      </c>
    </row>
    <row r="8" spans="1:26" ht="20.85" customHeight="1">
      <c r="A8" s="604"/>
      <c r="B8" s="1495" t="s">
        <v>390</v>
      </c>
      <c r="C8" s="1495"/>
      <c r="D8" s="1496"/>
      <c r="E8" s="605">
        <f>SUM(E9,E18)</f>
        <v>0</v>
      </c>
      <c r="F8" s="606">
        <f>SUM(F9,F17,F18)</f>
        <v>32505200</v>
      </c>
      <c r="G8" s="607">
        <f>SUM(G9,G17,G18)</f>
        <v>32352700</v>
      </c>
      <c r="H8" s="608">
        <f>SUM(H9,H17,H18)</f>
        <v>32352700</v>
      </c>
      <c r="I8" s="1088"/>
      <c r="J8" s="609">
        <f>SUM(J9,J17,J18)</f>
        <v>31138800</v>
      </c>
      <c r="K8" s="610">
        <f t="shared" ref="K8:K36" si="3">IF(AND(F8=0,$H8=0),"－ ",$H8-F8)</f>
        <v>-152500</v>
      </c>
      <c r="L8" s="611">
        <f t="shared" ref="L8:L36" si="4">IF(AND(F8=0,$H8&gt;0),"皆増 ",IF(AND(F8&gt;0,$H8=0),"皆減 ",IF(AND(F8=0,$H8=0),"－ ",K8/F8)))</f>
        <v>-4.6915570431807834E-3</v>
      </c>
      <c r="M8" s="612">
        <f t="shared" ref="M8:M36" si="5">IF(AND(G8=0,$H8=0),"－ ",$H8-G8)</f>
        <v>0</v>
      </c>
      <c r="N8" s="611">
        <f t="shared" ref="N8:N36" si="6">IF(AND(G8=0,$H8&gt;0),"皆増 ",IF(AND(G8&gt;0,$H8=0),"皆減 ",IF(AND(G8=0,$H8=0),"－ ",M8/G8)))</f>
        <v>0</v>
      </c>
      <c r="O8" s="612">
        <f t="shared" ref="O8:O36" si="7">IF(AND(J8=0,$H8=0),"－ ",$H8-J8)</f>
        <v>1213900</v>
      </c>
      <c r="P8" s="613">
        <f t="shared" ref="P8:P36" si="8">IF(AND(J8=0,$H8&gt;0),"皆増 ",IF(AND(J8&gt;0,$H8=0),"皆減 ",IF(AND(J8=0,$H8=0),"－ ",O8/J8)))</f>
        <v>3.8983518953845366E-2</v>
      </c>
      <c r="Q8" s="487" t="str">
        <f t="shared" si="2"/>
        <v>表示（判定）</v>
      </c>
    </row>
    <row r="9" spans="1:26" ht="20.85" customHeight="1">
      <c r="A9" s="604"/>
      <c r="B9" s="614"/>
      <c r="C9" s="1497" t="s">
        <v>391</v>
      </c>
      <c r="D9" s="1498"/>
      <c r="E9" s="615">
        <f>SUM(E10:E16)</f>
        <v>0</v>
      </c>
      <c r="F9" s="616">
        <f>SUM(F10:F16)</f>
        <v>15494400</v>
      </c>
      <c r="G9" s="617">
        <f>SUM(G10:G16)</f>
        <v>15345000</v>
      </c>
      <c r="H9" s="618">
        <f>SUM(H10:H16)</f>
        <v>15345000</v>
      </c>
      <c r="I9" s="1089"/>
      <c r="J9" s="619">
        <f>SUM(J10:J16)</f>
        <v>14805300</v>
      </c>
      <c r="K9" s="620">
        <f t="shared" si="3"/>
        <v>-149400</v>
      </c>
      <c r="L9" s="621">
        <f t="shared" si="4"/>
        <v>-9.6421933085501857E-3</v>
      </c>
      <c r="M9" s="620">
        <f t="shared" si="5"/>
        <v>0</v>
      </c>
      <c r="N9" s="621">
        <f t="shared" si="6"/>
        <v>0</v>
      </c>
      <c r="O9" s="620">
        <f t="shared" si="7"/>
        <v>539700</v>
      </c>
      <c r="P9" s="622">
        <f t="shared" si="8"/>
        <v>3.6453162043322322E-2</v>
      </c>
      <c r="Q9" s="487" t="str">
        <f t="shared" si="2"/>
        <v>表示（判定）</v>
      </c>
    </row>
    <row r="10" spans="1:26" ht="20.85" customHeight="1">
      <c r="A10" s="604"/>
      <c r="B10" s="623"/>
      <c r="C10" s="614"/>
      <c r="D10" s="624" t="s">
        <v>392</v>
      </c>
      <c r="E10" s="625"/>
      <c r="F10" s="626">
        <f>ROUND('(繰)4条収入'!D7/1000,0)</f>
        <v>8984800</v>
      </c>
      <c r="G10" s="627">
        <f t="shared" ref="G10:G15" si="9">V10</f>
        <v>8984800</v>
      </c>
      <c r="H10" s="628">
        <f t="shared" ref="H10:H15" si="10">T10</f>
        <v>8984800</v>
      </c>
      <c r="I10" s="1090"/>
      <c r="J10" s="629">
        <v>8443100</v>
      </c>
      <c r="K10" s="620">
        <f t="shared" si="3"/>
        <v>0</v>
      </c>
      <c r="L10" s="621">
        <f t="shared" si="4"/>
        <v>0</v>
      </c>
      <c r="M10" s="620">
        <f t="shared" si="5"/>
        <v>0</v>
      </c>
      <c r="N10" s="621">
        <f t="shared" si="6"/>
        <v>0</v>
      </c>
      <c r="O10" s="620">
        <f t="shared" si="7"/>
        <v>541700</v>
      </c>
      <c r="P10" s="622">
        <f t="shared" si="8"/>
        <v>6.4158898982601173E-2</v>
      </c>
      <c r="Q10" s="487" t="str">
        <f t="shared" si="2"/>
        <v>表示（判定）</v>
      </c>
      <c r="S10" s="580">
        <f>'(繰)4条収入'!M7</f>
        <v>8984800000</v>
      </c>
      <c r="T10" s="580">
        <f>ROUND(S10/1000,0)+U10</f>
        <v>8984800</v>
      </c>
      <c r="V10" s="580">
        <f t="shared" ref="V10:V14" si="11">SUM(W10:X10)</f>
        <v>8984800</v>
      </c>
      <c r="X10" s="581">
        <v>8984800</v>
      </c>
      <c r="Z10" s="581" t="s">
        <v>546</v>
      </c>
    </row>
    <row r="11" spans="1:26" ht="20.85" customHeight="1">
      <c r="A11" s="604"/>
      <c r="B11" s="623"/>
      <c r="C11" s="623"/>
      <c r="D11" s="624" t="s">
        <v>393</v>
      </c>
      <c r="E11" s="630"/>
      <c r="F11" s="626">
        <f>ROUND('(繰)4条収入'!D9/1000,0)</f>
        <v>160100</v>
      </c>
      <c r="G11" s="627">
        <f t="shared" si="9"/>
        <v>120200</v>
      </c>
      <c r="H11" s="628">
        <f t="shared" si="10"/>
        <v>120200</v>
      </c>
      <c r="I11" s="1090"/>
      <c r="J11" s="629">
        <v>83200</v>
      </c>
      <c r="K11" s="620">
        <f t="shared" si="3"/>
        <v>-39900</v>
      </c>
      <c r="L11" s="621">
        <f t="shared" si="4"/>
        <v>-0.24921923797626483</v>
      </c>
      <c r="M11" s="620">
        <f t="shared" si="5"/>
        <v>0</v>
      </c>
      <c r="N11" s="621">
        <f t="shared" si="6"/>
        <v>0</v>
      </c>
      <c r="O11" s="620">
        <f t="shared" si="7"/>
        <v>37000</v>
      </c>
      <c r="P11" s="622">
        <f t="shared" si="8"/>
        <v>0.44471153846153844</v>
      </c>
      <c r="Q11" s="487" t="str">
        <f t="shared" si="2"/>
        <v>表示（判定）</v>
      </c>
      <c r="S11" s="580">
        <f>'(繰)4条収入'!M9</f>
        <v>120200000</v>
      </c>
      <c r="T11" s="580">
        <f t="shared" ref="T11:T15" si="12">ROUND(S11/1000,0)+U11</f>
        <v>120200</v>
      </c>
      <c r="V11" s="580">
        <f t="shared" si="11"/>
        <v>120200</v>
      </c>
      <c r="X11" s="581">
        <v>120200</v>
      </c>
      <c r="Z11" s="581" t="s">
        <v>547</v>
      </c>
    </row>
    <row r="12" spans="1:26" ht="20.85" customHeight="1">
      <c r="A12" s="604"/>
      <c r="B12" s="623"/>
      <c r="C12" s="623"/>
      <c r="D12" s="624" t="s">
        <v>394</v>
      </c>
      <c r="E12" s="630"/>
      <c r="F12" s="631">
        <f>F60</f>
        <v>12600</v>
      </c>
      <c r="G12" s="627">
        <f t="shared" si="9"/>
        <v>12600</v>
      </c>
      <c r="H12" s="628">
        <f t="shared" si="10"/>
        <v>12600</v>
      </c>
      <c r="I12" s="1090"/>
      <c r="J12" s="629">
        <v>3500</v>
      </c>
      <c r="K12" s="620">
        <f t="shared" si="3"/>
        <v>0</v>
      </c>
      <c r="L12" s="621">
        <f t="shared" si="4"/>
        <v>0</v>
      </c>
      <c r="M12" s="620">
        <f t="shared" si="5"/>
        <v>0</v>
      </c>
      <c r="N12" s="621">
        <f t="shared" si="6"/>
        <v>0</v>
      </c>
      <c r="O12" s="620">
        <f t="shared" si="7"/>
        <v>9100</v>
      </c>
      <c r="P12" s="622">
        <f t="shared" si="8"/>
        <v>2.6</v>
      </c>
      <c r="Q12" s="487" t="str">
        <f t="shared" si="2"/>
        <v>表示（判定）</v>
      </c>
      <c r="S12" s="580">
        <f>'(繰)4条支出 '!K13</f>
        <v>12600000</v>
      </c>
      <c r="T12" s="580">
        <f t="shared" si="12"/>
        <v>12600</v>
      </c>
      <c r="V12" s="580">
        <f t="shared" si="11"/>
        <v>12600</v>
      </c>
      <c r="X12" s="581">
        <v>12600</v>
      </c>
      <c r="Z12" s="581" t="s">
        <v>548</v>
      </c>
    </row>
    <row r="13" spans="1:26" ht="20.85" customHeight="1">
      <c r="A13" s="604"/>
      <c r="B13" s="623"/>
      <c r="C13" s="632"/>
      <c r="D13" s="624" t="s">
        <v>395</v>
      </c>
      <c r="E13" s="630"/>
      <c r="F13" s="626">
        <f>ROUND('(繰)4条収入'!D10/1000,0)-F12</f>
        <v>6026400</v>
      </c>
      <c r="G13" s="627">
        <f t="shared" si="9"/>
        <v>5916900</v>
      </c>
      <c r="H13" s="628">
        <f t="shared" si="10"/>
        <v>5916900</v>
      </c>
      <c r="I13" s="1090"/>
      <c r="J13" s="629">
        <v>5840800</v>
      </c>
      <c r="K13" s="620">
        <f t="shared" si="3"/>
        <v>-109500</v>
      </c>
      <c r="L13" s="621">
        <f t="shared" si="4"/>
        <v>-1.8170051772202309E-2</v>
      </c>
      <c r="M13" s="620">
        <f t="shared" si="5"/>
        <v>0</v>
      </c>
      <c r="N13" s="621">
        <f t="shared" si="6"/>
        <v>0</v>
      </c>
      <c r="O13" s="620">
        <f t="shared" si="7"/>
        <v>76100</v>
      </c>
      <c r="P13" s="622">
        <f t="shared" si="8"/>
        <v>1.3029037118202986E-2</v>
      </c>
      <c r="Q13" s="487" t="str">
        <f t="shared" si="2"/>
        <v>表示（判定）</v>
      </c>
      <c r="S13" s="580">
        <f>'(繰)4条収入'!M10-S12</f>
        <v>5916900000</v>
      </c>
      <c r="T13" s="580">
        <f t="shared" si="12"/>
        <v>5916900</v>
      </c>
      <c r="V13" s="580">
        <f t="shared" si="11"/>
        <v>5916900</v>
      </c>
      <c r="X13" s="581">
        <v>5916900</v>
      </c>
      <c r="Z13" s="581" t="s">
        <v>549</v>
      </c>
    </row>
    <row r="14" spans="1:26" ht="20.85" customHeight="1">
      <c r="A14" s="604"/>
      <c r="B14" s="623"/>
      <c r="C14" s="632"/>
      <c r="D14" s="624" t="s">
        <v>396</v>
      </c>
      <c r="E14" s="630"/>
      <c r="F14" s="626">
        <f>ROUND('(繰)4条収入'!D8/1000,0)</f>
        <v>310500</v>
      </c>
      <c r="G14" s="627">
        <f t="shared" si="9"/>
        <v>310500</v>
      </c>
      <c r="H14" s="628">
        <f t="shared" si="10"/>
        <v>310500</v>
      </c>
      <c r="I14" s="1090"/>
      <c r="J14" s="629">
        <v>434700</v>
      </c>
      <c r="K14" s="620">
        <f t="shared" si="3"/>
        <v>0</v>
      </c>
      <c r="L14" s="621">
        <f t="shared" si="4"/>
        <v>0</v>
      </c>
      <c r="M14" s="620">
        <f t="shared" si="5"/>
        <v>0</v>
      </c>
      <c r="N14" s="633">
        <f t="shared" si="6"/>
        <v>0</v>
      </c>
      <c r="O14" s="620">
        <f t="shared" si="7"/>
        <v>-124200</v>
      </c>
      <c r="P14" s="634">
        <f t="shared" si="8"/>
        <v>-0.2857142857142857</v>
      </c>
      <c r="Q14" s="487" t="str">
        <f t="shared" si="2"/>
        <v>表示（判定）</v>
      </c>
      <c r="S14" s="580">
        <f>'(繰)4条収入'!M8</f>
        <v>310500000</v>
      </c>
      <c r="T14" s="580">
        <f t="shared" si="12"/>
        <v>310500</v>
      </c>
      <c r="V14" s="580">
        <f t="shared" si="11"/>
        <v>310500</v>
      </c>
      <c r="X14" s="581">
        <v>310500</v>
      </c>
      <c r="Z14" s="581" t="s">
        <v>550</v>
      </c>
    </row>
    <row r="15" spans="1:26" ht="20.85" hidden="1" customHeight="1">
      <c r="A15" s="604"/>
      <c r="B15" s="623"/>
      <c r="C15" s="632"/>
      <c r="D15" s="624" t="s">
        <v>463</v>
      </c>
      <c r="E15" s="630"/>
      <c r="F15" s="626">
        <f>ROUND('(繰)4条収入'!D11/1000,0)</f>
        <v>0</v>
      </c>
      <c r="G15" s="627">
        <f t="shared" si="9"/>
        <v>0</v>
      </c>
      <c r="H15" s="628">
        <f t="shared" si="10"/>
        <v>0</v>
      </c>
      <c r="I15" s="645"/>
      <c r="J15" s="629">
        <v>0</v>
      </c>
      <c r="K15" s="620" t="str">
        <f t="shared" si="3"/>
        <v xml:space="preserve">－ </v>
      </c>
      <c r="L15" s="621" t="str">
        <f t="shared" si="4"/>
        <v xml:space="preserve">－ </v>
      </c>
      <c r="M15" s="620" t="str">
        <f t="shared" si="5"/>
        <v xml:space="preserve">－ </v>
      </c>
      <c r="N15" s="633" t="str">
        <f t="shared" si="6"/>
        <v xml:space="preserve">－ </v>
      </c>
      <c r="O15" s="620" t="str">
        <f t="shared" si="7"/>
        <v xml:space="preserve">－ </v>
      </c>
      <c r="P15" s="634" t="str">
        <f t="shared" si="8"/>
        <v xml:space="preserve">－ </v>
      </c>
      <c r="Q15" s="487" t="str">
        <f t="shared" si="2"/>
        <v>×表示しない</v>
      </c>
      <c r="S15" s="580">
        <f>'(繰)4条収入'!M11</f>
        <v>0</v>
      </c>
      <c r="T15" s="580">
        <f t="shared" si="12"/>
        <v>0</v>
      </c>
    </row>
    <row r="16" spans="1:26" ht="20.85" hidden="1" customHeight="1">
      <c r="A16" s="604"/>
      <c r="B16" s="623"/>
      <c r="C16" s="635"/>
      <c r="D16" s="624"/>
      <c r="E16" s="630"/>
      <c r="F16" s="636"/>
      <c r="G16" s="637"/>
      <c r="H16" s="638"/>
      <c r="I16" s="1079"/>
      <c r="J16" s="629">
        <v>0</v>
      </c>
      <c r="K16" s="620" t="str">
        <f t="shared" si="3"/>
        <v xml:space="preserve">－ </v>
      </c>
      <c r="L16" s="621" t="str">
        <f t="shared" si="4"/>
        <v xml:space="preserve">－ </v>
      </c>
      <c r="M16" s="620" t="str">
        <f t="shared" si="5"/>
        <v xml:space="preserve">－ </v>
      </c>
      <c r="N16" s="633" t="str">
        <f t="shared" si="6"/>
        <v xml:space="preserve">－ </v>
      </c>
      <c r="O16" s="620" t="str">
        <f t="shared" si="7"/>
        <v xml:space="preserve">－ </v>
      </c>
      <c r="P16" s="634" t="str">
        <f t="shared" si="8"/>
        <v xml:space="preserve">－ </v>
      </c>
      <c r="Q16" s="487" t="str">
        <f t="shared" si="2"/>
        <v>×表示しない</v>
      </c>
    </row>
    <row r="17" spans="1:26" ht="20.85" customHeight="1">
      <c r="A17" s="604"/>
      <c r="B17" s="623"/>
      <c r="C17" s="1490" t="s">
        <v>397</v>
      </c>
      <c r="D17" s="1491"/>
      <c r="E17" s="630"/>
      <c r="F17" s="631">
        <f>ROUND('(繰)4条収入'!D12/1000,0)</f>
        <v>17010800</v>
      </c>
      <c r="G17" s="627">
        <f>V17</f>
        <v>17007700</v>
      </c>
      <c r="H17" s="628">
        <f>T17</f>
        <v>17007700</v>
      </c>
      <c r="I17" s="1090"/>
      <c r="J17" s="629">
        <v>16333500</v>
      </c>
      <c r="K17" s="620">
        <f t="shared" si="3"/>
        <v>-3100</v>
      </c>
      <c r="L17" s="621">
        <f t="shared" si="4"/>
        <v>-1.822371669762739E-4</v>
      </c>
      <c r="M17" s="620">
        <f t="shared" si="5"/>
        <v>0</v>
      </c>
      <c r="N17" s="621">
        <f t="shared" si="6"/>
        <v>0</v>
      </c>
      <c r="O17" s="620">
        <f t="shared" si="7"/>
        <v>674200</v>
      </c>
      <c r="P17" s="622">
        <f t="shared" si="8"/>
        <v>4.1277129825205865E-2</v>
      </c>
      <c r="Q17" s="487" t="str">
        <f t="shared" si="2"/>
        <v>表示（判定）</v>
      </c>
      <c r="S17" s="580">
        <f>'(繰)4条収入'!M12</f>
        <v>17007700000</v>
      </c>
      <c r="T17" s="580">
        <f>ROUND(S17/1000,0)+U17</f>
        <v>17007700</v>
      </c>
      <c r="V17" s="580">
        <f>SUM(W17:X17)</f>
        <v>17007700</v>
      </c>
      <c r="X17" s="581">
        <v>17007700</v>
      </c>
      <c r="Z17" s="581" t="s">
        <v>551</v>
      </c>
    </row>
    <row r="18" spans="1:26" ht="20.85" hidden="1" customHeight="1">
      <c r="A18" s="604"/>
      <c r="B18" s="639"/>
      <c r="C18" s="1490" t="s">
        <v>398</v>
      </c>
      <c r="D18" s="1491"/>
      <c r="E18" s="630"/>
      <c r="F18" s="636"/>
      <c r="G18" s="637"/>
      <c r="H18" s="640"/>
      <c r="I18" s="1080"/>
      <c r="J18" s="629"/>
      <c r="K18" s="620" t="str">
        <f t="shared" si="3"/>
        <v xml:space="preserve">－ </v>
      </c>
      <c r="L18" s="621" t="str">
        <f t="shared" si="4"/>
        <v xml:space="preserve">－ </v>
      </c>
      <c r="M18" s="620" t="str">
        <f t="shared" si="5"/>
        <v xml:space="preserve">－ </v>
      </c>
      <c r="N18" s="621" t="str">
        <f t="shared" si="6"/>
        <v xml:space="preserve">－ </v>
      </c>
      <c r="O18" s="620" t="str">
        <f t="shared" si="7"/>
        <v xml:space="preserve">－ </v>
      </c>
      <c r="P18" s="622" t="str">
        <f t="shared" si="8"/>
        <v xml:space="preserve">－ </v>
      </c>
      <c r="Q18" s="487" t="str">
        <f t="shared" si="2"/>
        <v>×表示しない</v>
      </c>
    </row>
    <row r="19" spans="1:26" ht="20.85" customHeight="1">
      <c r="A19" s="604"/>
      <c r="B19" s="1497" t="s">
        <v>399</v>
      </c>
      <c r="C19" s="1497"/>
      <c r="D19" s="1498"/>
      <c r="E19" s="625"/>
      <c r="F19" s="631">
        <f>ROUND('(繰)4条収入'!D14/1000,0)</f>
        <v>3640474</v>
      </c>
      <c r="G19" s="627">
        <f>V19</f>
        <v>3379653</v>
      </c>
      <c r="H19" s="628">
        <f>T19</f>
        <v>3285505</v>
      </c>
      <c r="I19" s="1090"/>
      <c r="J19" s="629">
        <v>4465119</v>
      </c>
      <c r="K19" s="620">
        <f t="shared" si="3"/>
        <v>-354969</v>
      </c>
      <c r="L19" s="621">
        <f t="shared" si="4"/>
        <v>-9.7506258800365009E-2</v>
      </c>
      <c r="M19" s="620">
        <f t="shared" si="5"/>
        <v>-94148</v>
      </c>
      <c r="N19" s="621">
        <f t="shared" si="6"/>
        <v>-2.7857297775836749E-2</v>
      </c>
      <c r="O19" s="620">
        <f t="shared" si="7"/>
        <v>-1179614</v>
      </c>
      <c r="P19" s="622">
        <f t="shared" si="8"/>
        <v>-0.26418422442940492</v>
      </c>
      <c r="Q19" s="487" t="str">
        <f t="shared" si="2"/>
        <v>表示（判定）</v>
      </c>
      <c r="S19" s="580">
        <f>'(繰)4条収入'!M13</f>
        <v>3285504551</v>
      </c>
      <c r="T19" s="580">
        <f t="shared" ref="T19:T20" si="13">ROUND(S19/1000,0)+U19</f>
        <v>3285505</v>
      </c>
      <c r="V19" s="580">
        <f t="shared" ref="V19:V20" si="14">SUM(W19:X19)</f>
        <v>3379653</v>
      </c>
      <c r="W19" s="580">
        <f>60000+9916</f>
        <v>69916</v>
      </c>
      <c r="X19" s="581">
        <v>3309737</v>
      </c>
      <c r="Z19" s="581">
        <v>3309653</v>
      </c>
    </row>
    <row r="20" spans="1:26" ht="20.85" customHeight="1">
      <c r="A20" s="604"/>
      <c r="B20" s="1497" t="s">
        <v>400</v>
      </c>
      <c r="C20" s="1497"/>
      <c r="D20" s="1498"/>
      <c r="E20" s="630"/>
      <c r="F20" s="631">
        <f>ROUND('(繰)4条収入'!D16/1000,0)</f>
        <v>5769500</v>
      </c>
      <c r="G20" s="627">
        <f>V20</f>
        <v>5766211</v>
      </c>
      <c r="H20" s="628">
        <f>T20</f>
        <v>5766274</v>
      </c>
      <c r="I20" s="1090"/>
      <c r="J20" s="629">
        <v>5632700</v>
      </c>
      <c r="K20" s="620">
        <f t="shared" si="3"/>
        <v>-3226</v>
      </c>
      <c r="L20" s="621">
        <f t="shared" si="4"/>
        <v>-5.5914723979547619E-4</v>
      </c>
      <c r="M20" s="620">
        <f t="shared" si="5"/>
        <v>63</v>
      </c>
      <c r="N20" s="621">
        <f t="shared" si="6"/>
        <v>1.0925718812579005E-5</v>
      </c>
      <c r="O20" s="620">
        <f t="shared" si="7"/>
        <v>133574</v>
      </c>
      <c r="P20" s="622">
        <f t="shared" si="8"/>
        <v>2.371402702078932E-2</v>
      </c>
      <c r="Q20" s="487" t="str">
        <f t="shared" si="2"/>
        <v>表示（判定）</v>
      </c>
      <c r="S20" s="580">
        <f>'(繰)4条収入'!M16</f>
        <v>5766273739</v>
      </c>
      <c r="T20" s="580">
        <f t="shared" si="13"/>
        <v>5766274</v>
      </c>
      <c r="V20" s="580">
        <f t="shared" si="14"/>
        <v>5766211</v>
      </c>
      <c r="X20" s="581">
        <v>5766211</v>
      </c>
      <c r="Z20" s="581" t="s">
        <v>552</v>
      </c>
    </row>
    <row r="21" spans="1:26" ht="20.85" hidden="1" customHeight="1">
      <c r="A21" s="604"/>
      <c r="B21" s="1497" t="s">
        <v>401</v>
      </c>
      <c r="C21" s="1497"/>
      <c r="D21" s="1498"/>
      <c r="E21" s="630"/>
      <c r="F21" s="641"/>
      <c r="G21" s="637"/>
      <c r="H21" s="638"/>
      <c r="I21" s="1079"/>
      <c r="J21" s="629"/>
      <c r="K21" s="620" t="str">
        <f t="shared" si="3"/>
        <v xml:space="preserve">－ </v>
      </c>
      <c r="L21" s="621" t="str">
        <f t="shared" si="4"/>
        <v xml:space="preserve">－ </v>
      </c>
      <c r="M21" s="620" t="str">
        <f t="shared" si="5"/>
        <v xml:space="preserve">－ </v>
      </c>
      <c r="N21" s="621" t="str">
        <f t="shared" si="6"/>
        <v xml:space="preserve">－ </v>
      </c>
      <c r="O21" s="620" t="str">
        <f t="shared" si="7"/>
        <v xml:space="preserve">－ </v>
      </c>
      <c r="P21" s="622" t="str">
        <f t="shared" si="8"/>
        <v xml:space="preserve">－ </v>
      </c>
      <c r="Q21" s="487" t="str">
        <f t="shared" si="2"/>
        <v>×表示しない</v>
      </c>
    </row>
    <row r="22" spans="1:26" ht="20.85" customHeight="1">
      <c r="A22" s="604"/>
      <c r="B22" s="1497" t="s">
        <v>402</v>
      </c>
      <c r="C22" s="1497"/>
      <c r="D22" s="1498"/>
      <c r="E22" s="630"/>
      <c r="F22" s="631">
        <f>ROUND('(繰)4条収入'!D20/1000,0)</f>
        <v>54236</v>
      </c>
      <c r="G22" s="627">
        <f>V22</f>
        <v>54236</v>
      </c>
      <c r="H22" s="628">
        <f>T22</f>
        <v>24373</v>
      </c>
      <c r="I22" s="1090"/>
      <c r="J22" s="629">
        <v>31095</v>
      </c>
      <c r="K22" s="620">
        <f t="shared" si="3"/>
        <v>-29863</v>
      </c>
      <c r="L22" s="621">
        <f t="shared" si="4"/>
        <v>-0.550612139538314</v>
      </c>
      <c r="M22" s="620">
        <f t="shared" si="5"/>
        <v>-29863</v>
      </c>
      <c r="N22" s="621">
        <f t="shared" si="6"/>
        <v>-0.550612139538314</v>
      </c>
      <c r="O22" s="620">
        <f t="shared" si="7"/>
        <v>-6722</v>
      </c>
      <c r="P22" s="622">
        <f t="shared" si="8"/>
        <v>-0.21617623412124135</v>
      </c>
      <c r="Q22" s="487" t="str">
        <f t="shared" si="2"/>
        <v>表示（判定）</v>
      </c>
      <c r="S22" s="580">
        <f>'(繰)4条収入'!M20</f>
        <v>24373083</v>
      </c>
      <c r="T22" s="580">
        <f t="shared" ref="T22:T26" si="15">ROUND(S22/1000,0)+U22</f>
        <v>24373</v>
      </c>
      <c r="U22" s="595"/>
      <c r="V22" s="580">
        <f>SUM(W22:X22)</f>
        <v>54236</v>
      </c>
      <c r="X22" s="581">
        <v>54236</v>
      </c>
      <c r="Z22" s="581" t="s">
        <v>553</v>
      </c>
    </row>
    <row r="23" spans="1:26" ht="20.85" customHeight="1">
      <c r="A23" s="604"/>
      <c r="B23" s="1497" t="s">
        <v>343</v>
      </c>
      <c r="C23" s="1497"/>
      <c r="D23" s="1498"/>
      <c r="E23" s="615">
        <f>SUM(E24:E27)</f>
        <v>0</v>
      </c>
      <c r="F23" s="616">
        <f>SUM(F24:F27)</f>
        <v>632996</v>
      </c>
      <c r="G23" s="617">
        <f>SUM(G24:G27)</f>
        <v>571080</v>
      </c>
      <c r="H23" s="618">
        <f>SUM(H24:H27)</f>
        <v>764304</v>
      </c>
      <c r="I23" s="1089"/>
      <c r="J23" s="619">
        <f>SUM(J24:J27)</f>
        <v>505843</v>
      </c>
      <c r="K23" s="620">
        <f t="shared" si="3"/>
        <v>131308</v>
      </c>
      <c r="L23" s="621">
        <f t="shared" si="4"/>
        <v>0.20743890956656913</v>
      </c>
      <c r="M23" s="620">
        <f t="shared" si="5"/>
        <v>193224</v>
      </c>
      <c r="N23" s="621">
        <f t="shared" si="6"/>
        <v>0.33834839251943688</v>
      </c>
      <c r="O23" s="620">
        <f t="shared" si="7"/>
        <v>258461</v>
      </c>
      <c r="P23" s="622">
        <f t="shared" si="8"/>
        <v>0.51095102630658129</v>
      </c>
      <c r="Q23" s="487" t="str">
        <f t="shared" si="2"/>
        <v>表示（判定）</v>
      </c>
      <c r="T23" s="580">
        <f t="shared" si="15"/>
        <v>0</v>
      </c>
    </row>
    <row r="24" spans="1:26" ht="20.85" customHeight="1">
      <c r="A24" s="604"/>
      <c r="B24" s="614"/>
      <c r="C24" s="1497" t="s">
        <v>403</v>
      </c>
      <c r="D24" s="1498"/>
      <c r="E24" s="642"/>
      <c r="F24" s="631">
        <f>ROUND('(繰)4条収入'!D23/1000,0)</f>
        <v>14208</v>
      </c>
      <c r="G24" s="627">
        <f>V24</f>
        <v>14208</v>
      </c>
      <c r="H24" s="628">
        <f>T24</f>
        <v>8800</v>
      </c>
      <c r="I24" s="1090"/>
      <c r="J24" s="629">
        <v>23930</v>
      </c>
      <c r="K24" s="620">
        <f t="shared" si="3"/>
        <v>-5408</v>
      </c>
      <c r="L24" s="621">
        <f t="shared" si="4"/>
        <v>-0.38063063063063063</v>
      </c>
      <c r="M24" s="620">
        <f t="shared" si="5"/>
        <v>-5408</v>
      </c>
      <c r="N24" s="621">
        <f t="shared" si="6"/>
        <v>-0.38063063063063063</v>
      </c>
      <c r="O24" s="620">
        <f t="shared" si="7"/>
        <v>-15130</v>
      </c>
      <c r="P24" s="622">
        <f t="shared" si="8"/>
        <v>-0.63226076055160885</v>
      </c>
      <c r="Q24" s="487" t="str">
        <f t="shared" si="2"/>
        <v>表示（判定）</v>
      </c>
      <c r="S24" s="580">
        <f>'(繰)4条収入'!M23</f>
        <v>8799605</v>
      </c>
      <c r="T24" s="580">
        <f t="shared" si="15"/>
        <v>8800</v>
      </c>
      <c r="V24" s="580">
        <f t="shared" ref="V24:V26" si="16">SUM(W24:X24)</f>
        <v>14208</v>
      </c>
      <c r="X24" s="581">
        <v>14208</v>
      </c>
      <c r="Z24" s="581" t="s">
        <v>554</v>
      </c>
    </row>
    <row r="25" spans="1:26" ht="20.85" customHeight="1">
      <c r="A25" s="604"/>
      <c r="B25" s="623"/>
      <c r="C25" s="1497" t="s">
        <v>404</v>
      </c>
      <c r="D25" s="1498"/>
      <c r="E25" s="642"/>
      <c r="F25" s="631">
        <f>ROUND('(繰)4条収入'!D24/1000,0)</f>
        <v>40980</v>
      </c>
      <c r="G25" s="627">
        <f>V25</f>
        <v>42420</v>
      </c>
      <c r="H25" s="628">
        <f>T25</f>
        <v>35218</v>
      </c>
      <c r="I25" s="1090"/>
      <c r="J25" s="629">
        <v>38497</v>
      </c>
      <c r="K25" s="620">
        <f t="shared" si="3"/>
        <v>-5762</v>
      </c>
      <c r="L25" s="621">
        <f t="shared" si="4"/>
        <v>-0.14060517325524646</v>
      </c>
      <c r="M25" s="620">
        <f t="shared" si="5"/>
        <v>-7202</v>
      </c>
      <c r="N25" s="633">
        <f t="shared" si="6"/>
        <v>-0.16977840641206979</v>
      </c>
      <c r="O25" s="620">
        <f t="shared" si="7"/>
        <v>-3279</v>
      </c>
      <c r="P25" s="634">
        <f t="shared" si="8"/>
        <v>-8.5175468218302727E-2</v>
      </c>
      <c r="Q25" s="487" t="str">
        <f t="shared" si="2"/>
        <v>表示（判定）</v>
      </c>
      <c r="S25" s="580">
        <f>'(繰)4条収入'!M24</f>
        <v>35218280</v>
      </c>
      <c r="T25" s="580">
        <f t="shared" si="15"/>
        <v>35218</v>
      </c>
      <c r="V25" s="580">
        <f t="shared" si="16"/>
        <v>42420</v>
      </c>
      <c r="X25" s="581">
        <v>42420</v>
      </c>
      <c r="Z25" s="581" t="s">
        <v>555</v>
      </c>
    </row>
    <row r="26" spans="1:26" ht="20.85" customHeight="1">
      <c r="A26" s="604"/>
      <c r="B26" s="623"/>
      <c r="C26" s="1497" t="s">
        <v>405</v>
      </c>
      <c r="D26" s="1498"/>
      <c r="E26" s="630"/>
      <c r="F26" s="631">
        <f>ROUND('(繰)4条収入'!D25/1000,0)</f>
        <v>577808</v>
      </c>
      <c r="G26" s="627">
        <f>V26</f>
        <v>514452</v>
      </c>
      <c r="H26" s="628">
        <f>T26</f>
        <v>720286</v>
      </c>
      <c r="I26" s="1090"/>
      <c r="J26" s="629">
        <v>443416</v>
      </c>
      <c r="K26" s="620">
        <f t="shared" si="3"/>
        <v>142478</v>
      </c>
      <c r="L26" s="621">
        <f t="shared" si="4"/>
        <v>0.24658364024035667</v>
      </c>
      <c r="M26" s="620">
        <f t="shared" si="5"/>
        <v>205834</v>
      </c>
      <c r="N26" s="621">
        <f t="shared" si="6"/>
        <v>0.40010341100821845</v>
      </c>
      <c r="O26" s="620">
        <f t="shared" si="7"/>
        <v>276870</v>
      </c>
      <c r="P26" s="622">
        <f t="shared" si="8"/>
        <v>0.62440236707741714</v>
      </c>
      <c r="Q26" s="487" t="str">
        <f t="shared" si="2"/>
        <v>表示（判定）</v>
      </c>
      <c r="S26" s="580">
        <f>'(繰)4条収入'!M25</f>
        <v>720286509</v>
      </c>
      <c r="T26" s="580">
        <f t="shared" si="15"/>
        <v>720286</v>
      </c>
      <c r="U26" s="595">
        <v>-1</v>
      </c>
      <c r="V26" s="580">
        <f t="shared" si="16"/>
        <v>514452</v>
      </c>
      <c r="W26" s="580">
        <v>-60000</v>
      </c>
      <c r="X26" s="581">
        <v>574452</v>
      </c>
      <c r="Z26" s="581" t="s">
        <v>556</v>
      </c>
    </row>
    <row r="27" spans="1:26" ht="20.85" hidden="1" customHeight="1">
      <c r="A27" s="604"/>
      <c r="B27" s="639"/>
      <c r="C27" s="1497" t="s">
        <v>406</v>
      </c>
      <c r="D27" s="1498"/>
      <c r="E27" s="630"/>
      <c r="F27" s="643"/>
      <c r="G27" s="644"/>
      <c r="H27" s="638"/>
      <c r="I27" s="1079"/>
      <c r="J27" s="645"/>
      <c r="K27" s="620" t="str">
        <f t="shared" si="3"/>
        <v xml:space="preserve">－ </v>
      </c>
      <c r="L27" s="621" t="str">
        <f t="shared" si="4"/>
        <v xml:space="preserve">－ </v>
      </c>
      <c r="M27" s="620" t="str">
        <f t="shared" si="5"/>
        <v xml:space="preserve">－ </v>
      </c>
      <c r="N27" s="621" t="str">
        <f t="shared" si="6"/>
        <v xml:space="preserve">－ </v>
      </c>
      <c r="O27" s="620" t="str">
        <f t="shared" si="7"/>
        <v xml:space="preserve">－ </v>
      </c>
      <c r="P27" s="622" t="str">
        <f t="shared" si="8"/>
        <v xml:space="preserve">－ </v>
      </c>
      <c r="Q27" s="487" t="str">
        <f t="shared" si="2"/>
        <v>×表示しない</v>
      </c>
    </row>
    <row r="28" spans="1:26" ht="20.85" customHeight="1">
      <c r="A28" s="604"/>
      <c r="B28" s="1497" t="s">
        <v>407</v>
      </c>
      <c r="C28" s="1497"/>
      <c r="D28" s="1498"/>
      <c r="E28" s="615">
        <f>SUM(E29:E31)</f>
        <v>0</v>
      </c>
      <c r="F28" s="616">
        <f>SUM(F29:F31)</f>
        <v>9913</v>
      </c>
      <c r="G28" s="617">
        <f>SUM(G29:G31)</f>
        <v>3987</v>
      </c>
      <c r="H28" s="618">
        <f>SUM(H29:H31)</f>
        <v>3987</v>
      </c>
      <c r="I28" s="1089"/>
      <c r="J28" s="619">
        <f>SUM(J29:J31)</f>
        <v>5324</v>
      </c>
      <c r="K28" s="620">
        <f t="shared" si="3"/>
        <v>-5926</v>
      </c>
      <c r="L28" s="621">
        <f t="shared" si="4"/>
        <v>-0.5978008675476647</v>
      </c>
      <c r="M28" s="620">
        <f t="shared" si="5"/>
        <v>0</v>
      </c>
      <c r="N28" s="621">
        <f t="shared" si="6"/>
        <v>0</v>
      </c>
      <c r="O28" s="620">
        <f t="shared" si="7"/>
        <v>-1337</v>
      </c>
      <c r="P28" s="622">
        <f t="shared" si="8"/>
        <v>-0.25112697220135238</v>
      </c>
      <c r="Q28" s="487" t="str">
        <f t="shared" si="2"/>
        <v>表示（判定）</v>
      </c>
    </row>
    <row r="29" spans="1:26" ht="20.85" hidden="1" customHeight="1">
      <c r="A29" s="604"/>
      <c r="B29" s="614"/>
      <c r="C29" s="1497" t="s">
        <v>408</v>
      </c>
      <c r="D29" s="1498"/>
      <c r="E29" s="630"/>
      <c r="F29" s="643"/>
      <c r="G29" s="644"/>
      <c r="H29" s="638"/>
      <c r="I29" s="1079"/>
      <c r="J29" s="645"/>
      <c r="K29" s="620" t="str">
        <f t="shared" si="3"/>
        <v xml:space="preserve">－ </v>
      </c>
      <c r="L29" s="621" t="str">
        <f t="shared" si="4"/>
        <v xml:space="preserve">－ </v>
      </c>
      <c r="M29" s="620" t="str">
        <f t="shared" si="5"/>
        <v xml:space="preserve">－ </v>
      </c>
      <c r="N29" s="621" t="str">
        <f t="shared" si="6"/>
        <v xml:space="preserve">－ </v>
      </c>
      <c r="O29" s="620" t="str">
        <f t="shared" si="7"/>
        <v xml:space="preserve">－ </v>
      </c>
      <c r="P29" s="622" t="str">
        <f t="shared" si="8"/>
        <v xml:space="preserve">－ </v>
      </c>
      <c r="Q29" s="487" t="str">
        <f t="shared" si="2"/>
        <v>×表示しない</v>
      </c>
    </row>
    <row r="30" spans="1:26" ht="20.85" hidden="1" customHeight="1">
      <c r="A30" s="604"/>
      <c r="B30" s="623"/>
      <c r="C30" s="1497" t="s">
        <v>409</v>
      </c>
      <c r="D30" s="1498"/>
      <c r="E30" s="630"/>
      <c r="F30" s="631">
        <f>ROUND('(繰)4条収入'!D28/1000,0)</f>
        <v>0</v>
      </c>
      <c r="G30" s="627">
        <f>V30</f>
        <v>0</v>
      </c>
      <c r="H30" s="628">
        <f>T30</f>
        <v>0</v>
      </c>
      <c r="I30" s="645"/>
      <c r="J30" s="629">
        <v>0</v>
      </c>
      <c r="K30" s="620" t="str">
        <f t="shared" si="3"/>
        <v xml:space="preserve">－ </v>
      </c>
      <c r="L30" s="621" t="str">
        <f t="shared" si="4"/>
        <v xml:space="preserve">－ </v>
      </c>
      <c r="M30" s="620" t="str">
        <f t="shared" si="5"/>
        <v xml:space="preserve">－ </v>
      </c>
      <c r="N30" s="633" t="str">
        <f t="shared" si="6"/>
        <v xml:space="preserve">－ </v>
      </c>
      <c r="O30" s="620" t="str">
        <f t="shared" si="7"/>
        <v xml:space="preserve">－ </v>
      </c>
      <c r="P30" s="634" t="str">
        <f t="shared" si="8"/>
        <v xml:space="preserve">－ </v>
      </c>
      <c r="Q30" s="487" t="str">
        <f t="shared" si="2"/>
        <v>×表示しない</v>
      </c>
      <c r="S30" s="580">
        <f>'(繰)4条収入'!M28</f>
        <v>0</v>
      </c>
      <c r="T30" s="580">
        <f>ROUND(S30/1000,0)+U30</f>
        <v>0</v>
      </c>
    </row>
    <row r="31" spans="1:26" ht="20.85" customHeight="1">
      <c r="A31" s="604"/>
      <c r="B31" s="623"/>
      <c r="C31" s="1497" t="s">
        <v>410</v>
      </c>
      <c r="D31" s="1498"/>
      <c r="E31" s="646">
        <f>SUM(E32:E34)</f>
        <v>0</v>
      </c>
      <c r="F31" s="616">
        <f>SUM(F32:F34)</f>
        <v>9913</v>
      </c>
      <c r="G31" s="617">
        <f>SUM(G32:G34)</f>
        <v>3987</v>
      </c>
      <c r="H31" s="618">
        <f>SUM(H32:H34)</f>
        <v>3987</v>
      </c>
      <c r="I31" s="1089"/>
      <c r="J31" s="619">
        <f>SUM(J32:J34)</f>
        <v>5324</v>
      </c>
      <c r="K31" s="620">
        <f t="shared" si="3"/>
        <v>-5926</v>
      </c>
      <c r="L31" s="621">
        <f t="shared" si="4"/>
        <v>-0.5978008675476647</v>
      </c>
      <c r="M31" s="620">
        <f t="shared" si="5"/>
        <v>0</v>
      </c>
      <c r="N31" s="621">
        <f t="shared" si="6"/>
        <v>0</v>
      </c>
      <c r="O31" s="620">
        <f t="shared" si="7"/>
        <v>-1337</v>
      </c>
      <c r="P31" s="622">
        <f t="shared" si="8"/>
        <v>-0.25112697220135238</v>
      </c>
      <c r="Q31" s="487" t="str">
        <f t="shared" si="2"/>
        <v>表示（判定）</v>
      </c>
    </row>
    <row r="32" spans="1:26" ht="20.85" customHeight="1">
      <c r="A32" s="604"/>
      <c r="B32" s="623"/>
      <c r="C32" s="614"/>
      <c r="D32" s="624" t="s">
        <v>411</v>
      </c>
      <c r="E32" s="630"/>
      <c r="F32" s="647">
        <f>1310+2440+1457+540</f>
        <v>5747</v>
      </c>
      <c r="G32" s="648">
        <f>V32</f>
        <v>2118</v>
      </c>
      <c r="H32" s="628">
        <f>T32</f>
        <v>2118</v>
      </c>
      <c r="I32" s="1090"/>
      <c r="J32" s="629">
        <v>3107</v>
      </c>
      <c r="K32" s="620">
        <f t="shared" si="3"/>
        <v>-3629</v>
      </c>
      <c r="L32" s="621">
        <f t="shared" si="4"/>
        <v>-0.63145989211762654</v>
      </c>
      <c r="M32" s="620">
        <f t="shared" si="5"/>
        <v>0</v>
      </c>
      <c r="N32" s="621">
        <f t="shared" si="6"/>
        <v>0</v>
      </c>
      <c r="O32" s="620">
        <f t="shared" si="7"/>
        <v>-989</v>
      </c>
      <c r="P32" s="622">
        <f t="shared" si="8"/>
        <v>-0.31831348567750239</v>
      </c>
      <c r="Q32" s="487" t="str">
        <f t="shared" si="2"/>
        <v>表示（判定）</v>
      </c>
      <c r="S32" s="580">
        <f>'[5]4条収入'!E72</f>
        <v>2118000</v>
      </c>
      <c r="T32" s="580">
        <f t="shared" ref="T32:T35" si="17">ROUND(S32/1000,0)+U32</f>
        <v>2118</v>
      </c>
      <c r="V32" s="580">
        <f t="shared" ref="V32:V33" si="18">SUM(W32:X32)</f>
        <v>2118</v>
      </c>
      <c r="X32" s="581">
        <v>2118</v>
      </c>
      <c r="Z32" s="581" t="s">
        <v>557</v>
      </c>
    </row>
    <row r="33" spans="1:26" ht="20.85" customHeight="1">
      <c r="A33" s="604"/>
      <c r="B33" s="623"/>
      <c r="C33" s="623"/>
      <c r="D33" s="624" t="s">
        <v>412</v>
      </c>
      <c r="E33" s="630"/>
      <c r="F33" s="647">
        <f>2508+1278+270+110</f>
        <v>4166</v>
      </c>
      <c r="G33" s="648">
        <f>V33</f>
        <v>1869</v>
      </c>
      <c r="H33" s="628">
        <f>T33</f>
        <v>1869</v>
      </c>
      <c r="I33" s="1090"/>
      <c r="J33" s="629">
        <v>2217</v>
      </c>
      <c r="K33" s="620">
        <f t="shared" si="3"/>
        <v>-2297</v>
      </c>
      <c r="L33" s="621">
        <f t="shared" si="4"/>
        <v>-0.55136821891502641</v>
      </c>
      <c r="M33" s="620">
        <f t="shared" si="5"/>
        <v>0</v>
      </c>
      <c r="N33" s="621">
        <f t="shared" si="6"/>
        <v>0</v>
      </c>
      <c r="O33" s="620">
        <f t="shared" si="7"/>
        <v>-348</v>
      </c>
      <c r="P33" s="622">
        <f t="shared" si="8"/>
        <v>-0.15696887686062247</v>
      </c>
      <c r="Q33" s="487" t="str">
        <f t="shared" si="2"/>
        <v>表示（判定）</v>
      </c>
      <c r="S33" s="580">
        <f>'[5]4条収入'!E77</f>
        <v>1869000</v>
      </c>
      <c r="T33" s="580">
        <f t="shared" si="17"/>
        <v>1869</v>
      </c>
      <c r="V33" s="580">
        <f t="shared" si="18"/>
        <v>1869</v>
      </c>
      <c r="X33" s="581">
        <v>1869</v>
      </c>
      <c r="Z33" s="581" t="s">
        <v>558</v>
      </c>
    </row>
    <row r="34" spans="1:26" ht="20.85" hidden="1" customHeight="1">
      <c r="A34" s="604"/>
      <c r="B34" s="639"/>
      <c r="C34" s="639"/>
      <c r="D34" s="624" t="s">
        <v>413</v>
      </c>
      <c r="E34" s="630"/>
      <c r="F34" s="647">
        <v>0</v>
      </c>
      <c r="G34" s="648">
        <f>V34</f>
        <v>0</v>
      </c>
      <c r="H34" s="628">
        <f>T34</f>
        <v>0</v>
      </c>
      <c r="I34" s="645"/>
      <c r="J34" s="629">
        <v>0</v>
      </c>
      <c r="K34" s="620" t="str">
        <f t="shared" si="3"/>
        <v xml:space="preserve">－ </v>
      </c>
      <c r="L34" s="621" t="str">
        <f t="shared" si="4"/>
        <v xml:space="preserve">－ </v>
      </c>
      <c r="M34" s="620" t="str">
        <f t="shared" si="5"/>
        <v xml:space="preserve">－ </v>
      </c>
      <c r="N34" s="621" t="str">
        <f t="shared" si="6"/>
        <v xml:space="preserve">－ </v>
      </c>
      <c r="O34" s="620" t="str">
        <f t="shared" si="7"/>
        <v xml:space="preserve">－ </v>
      </c>
      <c r="P34" s="622" t="str">
        <f t="shared" si="8"/>
        <v xml:space="preserve">－ </v>
      </c>
      <c r="Q34" s="487" t="str">
        <f t="shared" si="2"/>
        <v>×表示しない</v>
      </c>
      <c r="S34" s="580">
        <f>'[5]4条収入'!E82</f>
        <v>0</v>
      </c>
      <c r="T34" s="580">
        <f t="shared" si="17"/>
        <v>0</v>
      </c>
    </row>
    <row r="35" spans="1:26" ht="20.85" customHeight="1" thickBot="1">
      <c r="A35" s="604"/>
      <c r="B35" s="1499" t="s">
        <v>414</v>
      </c>
      <c r="C35" s="1499"/>
      <c r="D35" s="1500"/>
      <c r="E35" s="649"/>
      <c r="F35" s="631">
        <f>ROUND('(繰)4条収入'!D31/1000,0)</f>
        <v>14731</v>
      </c>
      <c r="G35" s="627">
        <f>V35</f>
        <v>44466</v>
      </c>
      <c r="H35" s="628">
        <f>T35</f>
        <v>45948</v>
      </c>
      <c r="I35" s="1091"/>
      <c r="J35" s="650">
        <v>1647</v>
      </c>
      <c r="K35" s="620">
        <f t="shared" si="3"/>
        <v>31217</v>
      </c>
      <c r="L35" s="621">
        <f t="shared" si="4"/>
        <v>2.119136514832666</v>
      </c>
      <c r="M35" s="620">
        <f t="shared" si="5"/>
        <v>1482</v>
      </c>
      <c r="N35" s="621">
        <f t="shared" si="6"/>
        <v>3.3328835514775335E-2</v>
      </c>
      <c r="O35" s="620">
        <f t="shared" si="7"/>
        <v>44301</v>
      </c>
      <c r="P35" s="622">
        <f t="shared" si="8"/>
        <v>26.897996357012751</v>
      </c>
      <c r="Q35" s="487" t="str">
        <f t="shared" si="2"/>
        <v>表示（判定）</v>
      </c>
      <c r="S35" s="580">
        <f>'(繰)4条収入'!M30</f>
        <v>45948113</v>
      </c>
      <c r="T35" s="580">
        <f t="shared" si="17"/>
        <v>45948</v>
      </c>
      <c r="V35" s="580">
        <f>SUM(W35:X35)</f>
        <v>44466</v>
      </c>
      <c r="X35" s="581">
        <v>44466</v>
      </c>
      <c r="Z35" s="581" t="s">
        <v>559</v>
      </c>
    </row>
    <row r="36" spans="1:26" ht="20.85" hidden="1" customHeight="1" thickBot="1">
      <c r="A36" s="651"/>
      <c r="B36" s="1501" t="s">
        <v>415</v>
      </c>
      <c r="C36" s="1501"/>
      <c r="D36" s="1502"/>
      <c r="E36" s="652">
        <v>0</v>
      </c>
      <c r="F36" s="653">
        <v>0</v>
      </c>
      <c r="G36" s="654">
        <v>0</v>
      </c>
      <c r="H36" s="655">
        <v>0</v>
      </c>
      <c r="I36" s="1081"/>
      <c r="J36" s="656">
        <v>0</v>
      </c>
      <c r="K36" s="657" t="str">
        <f t="shared" si="3"/>
        <v xml:space="preserve">－ </v>
      </c>
      <c r="L36" s="658" t="str">
        <f t="shared" si="4"/>
        <v xml:space="preserve">－ </v>
      </c>
      <c r="M36" s="657" t="str">
        <f t="shared" si="5"/>
        <v xml:space="preserve">－ </v>
      </c>
      <c r="N36" s="658" t="str">
        <f t="shared" si="6"/>
        <v xml:space="preserve">－ </v>
      </c>
      <c r="O36" s="657" t="str">
        <f t="shared" si="7"/>
        <v xml:space="preserve">－ </v>
      </c>
      <c r="P36" s="659" t="str">
        <f t="shared" si="8"/>
        <v xml:space="preserve">－ </v>
      </c>
      <c r="Q36" s="487" t="str">
        <f t="shared" si="2"/>
        <v>×表示しない</v>
      </c>
    </row>
    <row r="37" spans="1:26" ht="12.75" thickBot="1">
      <c r="A37" s="660"/>
      <c r="B37" s="660"/>
      <c r="C37" s="660"/>
      <c r="D37" s="660"/>
      <c r="E37" s="661"/>
      <c r="F37" s="662"/>
      <c r="G37" s="662"/>
      <c r="H37" s="663"/>
      <c r="I37" s="1092"/>
      <c r="J37" s="662"/>
      <c r="K37" s="664"/>
      <c r="L37" s="665"/>
      <c r="M37" s="664"/>
      <c r="N37" s="665"/>
      <c r="O37" s="664"/>
      <c r="P37" s="665"/>
      <c r="Q37" s="487" t="s">
        <v>543</v>
      </c>
    </row>
    <row r="38" spans="1:26" ht="20.85" customHeight="1" thickBot="1">
      <c r="A38" s="1503" t="s">
        <v>416</v>
      </c>
      <c r="B38" s="1504"/>
      <c r="C38" s="1504"/>
      <c r="D38" s="1505"/>
      <c r="E38" s="666">
        <f>SUM(E19,E30)</f>
        <v>0</v>
      </c>
      <c r="F38" s="667">
        <f>SUM(F19,F30)</f>
        <v>3640474</v>
      </c>
      <c r="G38" s="668">
        <f>SUM(G19,G30)</f>
        <v>3379653</v>
      </c>
      <c r="H38" s="669">
        <f>SUM(H19,H30)</f>
        <v>3285505</v>
      </c>
      <c r="I38" s="1093"/>
      <c r="J38" s="670">
        <f>SUM(J19,J30)</f>
        <v>4465119</v>
      </c>
      <c r="K38" s="671">
        <f t="shared" ref="K38" si="19">IF(AND(F38=0,$H38=0),"－ ",$H38-F38)</f>
        <v>-354969</v>
      </c>
      <c r="L38" s="672">
        <f>IF(AND(F38=0,$H38&gt;0),"皆増 ",IF(AND(F38&gt;0,$H38=0),"皆減 ",IF(AND(F38=0,$H38=0),"－ ",K38/F38)))</f>
        <v>-9.7506258800365009E-2</v>
      </c>
      <c r="M38" s="671">
        <f t="shared" ref="M38" si="20">IF(AND(G38=0,$H38=0),"－ ",$H38-G38)</f>
        <v>-94148</v>
      </c>
      <c r="N38" s="672">
        <f>IF(AND(G38=0,$H38&gt;0),"皆増 ",IF(AND(G38&gt;0,$H38=0),"皆減 ",IF(AND(G38=0,$H38=0),"－ ",M38/G38)))</f>
        <v>-2.7857297775836749E-2</v>
      </c>
      <c r="O38" s="671">
        <f t="shared" ref="O38" si="21">IF(AND(J38=0,$H38=0),"－ ",$H38-J38)</f>
        <v>-1179614</v>
      </c>
      <c r="P38" s="673">
        <f>IF(AND(J38=0,$H38&gt;0),"皆増 ",IF(AND(J38&gt;0,$H38=0),"皆減 ",IF(AND(J38=0,$H38=0),"－ ",O38/J38)))</f>
        <v>-0.26418422442940492</v>
      </c>
      <c r="Q38" s="487" t="str">
        <f t="shared" si="2"/>
        <v>表示（判定）</v>
      </c>
      <c r="S38" s="580" t="s">
        <v>383</v>
      </c>
      <c r="T38" s="580">
        <f>SUM(T10:T36)</f>
        <v>42243091</v>
      </c>
    </row>
    <row r="39" spans="1:26" ht="12">
      <c r="A39" s="674" t="s">
        <v>576</v>
      </c>
      <c r="B39" s="674"/>
      <c r="C39" s="674"/>
      <c r="D39" s="674"/>
      <c r="F39" s="579">
        <f t="shared" ref="F39:J39" si="22">F7-F38</f>
        <v>38986576</v>
      </c>
      <c r="G39" s="579">
        <f t="shared" si="22"/>
        <v>38792680</v>
      </c>
      <c r="H39" s="675">
        <f t="shared" si="22"/>
        <v>38957586</v>
      </c>
      <c r="I39" s="1094"/>
      <c r="J39" s="440">
        <f t="shared" si="22"/>
        <v>37315409</v>
      </c>
      <c r="K39" s="676">
        <f t="shared" ref="K39" si="23">IF(AND(F39=0,$H39=0),"－ ",$H39-F39)</f>
        <v>-28990</v>
      </c>
      <c r="L39" s="677">
        <f>IF(AND(F39=0,$H39&gt;0),"皆増 ",IF(AND(F39&gt;0,$H39=0),"皆減 ",IF(AND(F39=0,$H39=0),"－ ",K39/F39)))</f>
        <v>-7.4358928057698624E-4</v>
      </c>
      <c r="M39" s="676">
        <f t="shared" ref="M39" si="24">IF(AND(G39=0,$H39=0),"－ ",$H39-G39)</f>
        <v>164906</v>
      </c>
      <c r="N39" s="677">
        <f>IF(AND(G39=0,$H39&gt;0),"皆増 ",IF(AND(G39&gt;0,$H39=0),"皆減 ",IF(AND(G39=0,$H39=0),"－ ",M39/G39)))</f>
        <v>4.2509566237754134E-3</v>
      </c>
      <c r="O39" s="676">
        <f t="shared" ref="O39" si="25">IF(AND(J39=0,$H39=0),"－ ",$H39-J39)</f>
        <v>1642177</v>
      </c>
      <c r="P39" s="677">
        <f>IF(AND(J39=0,$H39&gt;0),"皆増 ",IF(AND(J39&gt;0,$H39=0),"皆減 ",IF(AND(J39=0,$H39=0),"－ ",O39/J39)))</f>
        <v>4.4008012882828108E-2</v>
      </c>
      <c r="Q39" s="487" t="s">
        <v>543</v>
      </c>
    </row>
    <row r="40" spans="1:26" ht="20.85" customHeight="1" thickBot="1">
      <c r="A40" s="582" t="s">
        <v>354</v>
      </c>
      <c r="B40" s="678"/>
      <c r="C40" s="678"/>
      <c r="D40" s="678"/>
      <c r="E40" s="438"/>
      <c r="F40" s="440"/>
      <c r="G40" s="440"/>
      <c r="H40" s="675"/>
      <c r="I40" s="1094"/>
      <c r="J40" s="440"/>
      <c r="K40" s="676"/>
      <c r="L40" s="677"/>
      <c r="M40" s="676"/>
      <c r="N40" s="677"/>
      <c r="O40" s="676"/>
      <c r="P40" s="677"/>
      <c r="Q40" s="487" t="s">
        <v>543</v>
      </c>
    </row>
    <row r="41" spans="1:26" ht="20.85" hidden="1" customHeight="1" outlineLevel="1">
      <c r="A41" s="444" t="s">
        <v>326</v>
      </c>
      <c r="B41" s="445"/>
      <c r="C41" s="445"/>
      <c r="D41" s="446"/>
      <c r="E41" s="679" t="s">
        <v>385</v>
      </c>
      <c r="F41" s="680">
        <f>+F4</f>
        <v>0</v>
      </c>
      <c r="G41" s="681"/>
      <c r="H41" s="682"/>
      <c r="I41" s="662"/>
      <c r="J41" s="683">
        <f>+J4</f>
        <v>0</v>
      </c>
      <c r="K41" s="684" t="s">
        <v>327</v>
      </c>
      <c r="L41" s="685"/>
      <c r="M41" s="684" t="s">
        <v>327</v>
      </c>
      <c r="N41" s="685"/>
      <c r="O41" s="684" t="s">
        <v>327</v>
      </c>
      <c r="P41" s="686"/>
      <c r="Q41" s="487" t="s">
        <v>544</v>
      </c>
      <c r="R41" s="687"/>
    </row>
    <row r="42" spans="1:26" ht="20.85" hidden="1" customHeight="1" outlineLevel="1">
      <c r="A42" s="688"/>
      <c r="B42" s="661"/>
      <c r="C42" s="661"/>
      <c r="D42" s="689"/>
      <c r="E42" s="690" t="s">
        <v>386</v>
      </c>
      <c r="F42" s="691" t="s">
        <v>387</v>
      </c>
      <c r="G42" s="692"/>
      <c r="H42" s="693" t="s">
        <v>329</v>
      </c>
      <c r="I42" s="694"/>
      <c r="J42" s="694" t="s">
        <v>388</v>
      </c>
      <c r="K42" s="695" t="str">
        <f>+K5</f>
        <v>対Ｒ５議決予算</v>
      </c>
      <c r="L42" s="696"/>
      <c r="M42" s="697" t="str">
        <f>+M5</f>
        <v>対Ｒ５決見（4月）</v>
      </c>
      <c r="N42" s="696"/>
      <c r="O42" s="697" t="str">
        <f>+O5</f>
        <v>対Ｒ４決算</v>
      </c>
      <c r="P42" s="698"/>
      <c r="Q42" s="487" t="s">
        <v>544</v>
      </c>
    </row>
    <row r="43" spans="1:26" ht="20.85" hidden="1" customHeight="1" outlineLevel="1" thickBot="1">
      <c r="A43" s="465"/>
      <c r="B43" s="466"/>
      <c r="C43" s="466"/>
      <c r="D43" s="467"/>
      <c r="E43" s="699"/>
      <c r="F43" s="700"/>
      <c r="G43" s="593"/>
      <c r="H43" s="701"/>
      <c r="I43" s="702"/>
      <c r="J43" s="702"/>
      <c r="K43" s="703"/>
      <c r="L43" s="704" t="s">
        <v>330</v>
      </c>
      <c r="M43" s="705"/>
      <c r="N43" s="704" t="s">
        <v>330</v>
      </c>
      <c r="O43" s="705"/>
      <c r="P43" s="706" t="s">
        <v>330</v>
      </c>
      <c r="Q43" s="487" t="s">
        <v>544</v>
      </c>
    </row>
    <row r="44" spans="1:26" ht="20.85" customHeight="1" collapsed="1">
      <c r="A44" s="1506" t="s">
        <v>417</v>
      </c>
      <c r="B44" s="1507"/>
      <c r="C44" s="1507"/>
      <c r="D44" s="1508"/>
      <c r="E44" s="707">
        <f>SUM(E45,E62:E63,E70)</f>
        <v>0</v>
      </c>
      <c r="F44" s="708">
        <f>SUM(F45,F62:F63,F69,F70)</f>
        <v>62055911</v>
      </c>
      <c r="G44" s="709">
        <f>SUM(G45,G62:G63,G70)</f>
        <v>61771232</v>
      </c>
      <c r="H44" s="710">
        <f>SUM(H45,H62:H63,H70)</f>
        <v>61852898</v>
      </c>
      <c r="I44" s="1095"/>
      <c r="J44" s="711">
        <f>SUM(J45,J62:J63,J69,J70)</f>
        <v>61194703</v>
      </c>
      <c r="K44" s="712">
        <f t="shared" ref="K44:K68" si="26">IF(AND(F44=0,$H44=0),"－ ",$H44-F44)</f>
        <v>-203013</v>
      </c>
      <c r="L44" s="713">
        <f t="shared" ref="L44:L68" si="27">IF(AND(F44=0,$H44&gt;0),"皆増 ",IF(AND(F44&gt;0,$H44=0),"皆減 ",IF(AND(F44=0,$H44=0),"－ ",K44/F44)))</f>
        <v>-3.271453061095179E-3</v>
      </c>
      <c r="M44" s="712">
        <f t="shared" ref="M44:M68" si="28">IF(AND(G44=0,$H44=0),"－ ",$H44-G44)</f>
        <v>81666</v>
      </c>
      <c r="N44" s="713">
        <f t="shared" ref="N44:N68" si="29">IF(AND(G44=0,$H44&gt;0),"皆増 ",IF(AND(G44&gt;0,$H44=0),"皆減 ",IF(AND(G44=0,$H44=0),"－ ",M44/G44)))</f>
        <v>1.3220717372125588E-3</v>
      </c>
      <c r="O44" s="712">
        <f t="shared" ref="O44:O68" si="30">IF(AND(J44=0,$H44=0),"－ ",$H44-J44)</f>
        <v>658195</v>
      </c>
      <c r="P44" s="714">
        <f t="shared" ref="P44:P68" si="31">IF(AND(J44=0,$H44&gt;0),"皆増 ",IF(AND(J44&gt;0,$H44=0),"皆減 ",IF(AND(J44=0,$H44=0),"－ ",O44/J44)))</f>
        <v>1.0755751196308609E-2</v>
      </c>
      <c r="Q44" s="487" t="str">
        <f t="shared" si="2"/>
        <v>表示（判定）</v>
      </c>
      <c r="S44" s="580">
        <f>IF('(繰)4条支出 '!K5=SUM(S46:S68),'(繰)4条支出 '!K5,"エラー")</f>
        <v>61852897933</v>
      </c>
      <c r="T44" s="580">
        <f t="shared" ref="T44:T46" si="32">ROUND(S44/1000,0)+U44</f>
        <v>61852898</v>
      </c>
    </row>
    <row r="45" spans="1:26" ht="20.85" customHeight="1">
      <c r="A45" s="715"/>
      <c r="B45" s="1509" t="s">
        <v>418</v>
      </c>
      <c r="C45" s="1510"/>
      <c r="D45" s="1511"/>
      <c r="E45" s="716">
        <f>SUM(E46,E55:E61)</f>
        <v>0</v>
      </c>
      <c r="F45" s="717">
        <f>SUM(F46,F55:F61)</f>
        <v>17424201</v>
      </c>
      <c r="G45" s="718">
        <f>SUM(G46,G55:G61)</f>
        <v>17145810</v>
      </c>
      <c r="H45" s="719">
        <f>SUM(H46,H55:H61)</f>
        <v>17227476</v>
      </c>
      <c r="I45" s="1096"/>
      <c r="J45" s="720">
        <f>SUM(J46,J55:J61)</f>
        <v>16645934</v>
      </c>
      <c r="K45" s="610">
        <f t="shared" si="26"/>
        <v>-196725</v>
      </c>
      <c r="L45" s="611">
        <f t="shared" si="27"/>
        <v>-1.1290331189361279E-2</v>
      </c>
      <c r="M45" s="612">
        <f t="shared" si="28"/>
        <v>81666</v>
      </c>
      <c r="N45" s="611">
        <f t="shared" si="29"/>
        <v>4.7630295681568846E-3</v>
      </c>
      <c r="O45" s="612">
        <f t="shared" si="30"/>
        <v>581542</v>
      </c>
      <c r="P45" s="613">
        <f t="shared" si="31"/>
        <v>3.4935978960387561E-2</v>
      </c>
      <c r="Q45" s="487" t="str">
        <f t="shared" si="2"/>
        <v>表示（判定）</v>
      </c>
    </row>
    <row r="46" spans="1:26" ht="20.85" customHeight="1">
      <c r="A46" s="604"/>
      <c r="B46" s="614"/>
      <c r="C46" s="1490" t="s">
        <v>419</v>
      </c>
      <c r="D46" s="1491"/>
      <c r="E46" s="630"/>
      <c r="F46" s="631">
        <f>ROUND('(繰)4条支出 '!D7/1000,0)</f>
        <v>15893171</v>
      </c>
      <c r="G46" s="627">
        <f>V46</f>
        <v>15704609</v>
      </c>
      <c r="H46" s="628">
        <f>T46</f>
        <v>15832219</v>
      </c>
      <c r="I46" s="1090"/>
      <c r="J46" s="629">
        <v>15125501</v>
      </c>
      <c r="K46" s="620">
        <f t="shared" si="26"/>
        <v>-60952</v>
      </c>
      <c r="L46" s="621">
        <f t="shared" si="27"/>
        <v>-3.8351062855864321E-3</v>
      </c>
      <c r="M46" s="620">
        <f t="shared" si="28"/>
        <v>127610</v>
      </c>
      <c r="N46" s="621">
        <f t="shared" si="29"/>
        <v>8.1256400589151886E-3</v>
      </c>
      <c r="O46" s="620">
        <f t="shared" si="30"/>
        <v>706718</v>
      </c>
      <c r="P46" s="622">
        <f t="shared" si="31"/>
        <v>4.6723609353501748E-2</v>
      </c>
      <c r="Q46" s="487" t="str">
        <f t="shared" si="2"/>
        <v>表示（判定）</v>
      </c>
      <c r="S46" s="580">
        <f>'(繰)4条支出 '!K7</f>
        <v>15832219181</v>
      </c>
      <c r="T46" s="580">
        <f t="shared" si="32"/>
        <v>15832219</v>
      </c>
      <c r="U46" s="595"/>
      <c r="V46" s="580">
        <f>SUM(W46:X46)</f>
        <v>15704609</v>
      </c>
      <c r="X46" s="581">
        <v>15704609</v>
      </c>
      <c r="Z46" s="581" t="s">
        <v>560</v>
      </c>
    </row>
    <row r="47" spans="1:26" ht="20.85" hidden="1" customHeight="1">
      <c r="A47" s="604"/>
      <c r="B47" s="623"/>
      <c r="C47" s="614"/>
      <c r="D47" s="721" t="s">
        <v>420</v>
      </c>
      <c r="E47" s="722"/>
      <c r="F47" s="723"/>
      <c r="G47" s="644"/>
      <c r="H47" s="638"/>
      <c r="I47" s="1079"/>
      <c r="J47" s="629"/>
      <c r="K47" s="620" t="str">
        <f t="shared" si="26"/>
        <v xml:space="preserve">－ </v>
      </c>
      <c r="L47" s="621" t="str">
        <f t="shared" si="27"/>
        <v xml:space="preserve">－ </v>
      </c>
      <c r="M47" s="620" t="str">
        <f t="shared" si="28"/>
        <v xml:space="preserve">－ </v>
      </c>
      <c r="N47" s="621" t="str">
        <f t="shared" si="29"/>
        <v xml:space="preserve">－ </v>
      </c>
      <c r="O47" s="620" t="str">
        <f t="shared" si="30"/>
        <v xml:space="preserve">－ </v>
      </c>
      <c r="P47" s="622" t="str">
        <f t="shared" si="31"/>
        <v xml:space="preserve">－ </v>
      </c>
      <c r="Q47" s="487" t="str">
        <f t="shared" si="2"/>
        <v>×表示しない</v>
      </c>
    </row>
    <row r="48" spans="1:26" ht="20.85" hidden="1" customHeight="1">
      <c r="A48" s="604"/>
      <c r="B48" s="623"/>
      <c r="C48" s="623"/>
      <c r="D48" s="721" t="s">
        <v>421</v>
      </c>
      <c r="E48" s="722"/>
      <c r="F48" s="723"/>
      <c r="G48" s="644"/>
      <c r="H48" s="638"/>
      <c r="I48" s="1079"/>
      <c r="J48" s="629"/>
      <c r="K48" s="620" t="str">
        <f t="shared" si="26"/>
        <v xml:space="preserve">－ </v>
      </c>
      <c r="L48" s="621" t="str">
        <f t="shared" si="27"/>
        <v xml:space="preserve">－ </v>
      </c>
      <c r="M48" s="620" t="str">
        <f t="shared" si="28"/>
        <v xml:space="preserve">－ </v>
      </c>
      <c r="N48" s="621" t="str">
        <f t="shared" si="29"/>
        <v xml:space="preserve">－ </v>
      </c>
      <c r="O48" s="620" t="str">
        <f t="shared" si="30"/>
        <v xml:space="preserve">－ </v>
      </c>
      <c r="P48" s="622" t="str">
        <f t="shared" si="31"/>
        <v xml:space="preserve">－ </v>
      </c>
      <c r="Q48" s="487" t="str">
        <f t="shared" si="2"/>
        <v>×表示しない</v>
      </c>
    </row>
    <row r="49" spans="1:26" ht="20.85" hidden="1" customHeight="1">
      <c r="A49" s="604"/>
      <c r="B49" s="623"/>
      <c r="C49" s="623"/>
      <c r="D49" s="721" t="s">
        <v>422</v>
      </c>
      <c r="E49" s="722"/>
      <c r="F49" s="723"/>
      <c r="G49" s="644"/>
      <c r="H49" s="638"/>
      <c r="I49" s="1079"/>
      <c r="J49" s="629"/>
      <c r="K49" s="620" t="str">
        <f t="shared" si="26"/>
        <v xml:space="preserve">－ </v>
      </c>
      <c r="L49" s="621" t="str">
        <f t="shared" si="27"/>
        <v xml:space="preserve">－ </v>
      </c>
      <c r="M49" s="620" t="str">
        <f t="shared" si="28"/>
        <v xml:space="preserve">－ </v>
      </c>
      <c r="N49" s="621" t="str">
        <f t="shared" si="29"/>
        <v xml:space="preserve">－ </v>
      </c>
      <c r="O49" s="620" t="str">
        <f t="shared" si="30"/>
        <v xml:space="preserve">－ </v>
      </c>
      <c r="P49" s="622" t="str">
        <f t="shared" si="31"/>
        <v xml:space="preserve">－ </v>
      </c>
      <c r="Q49" s="487" t="str">
        <f t="shared" si="2"/>
        <v>×表示しない</v>
      </c>
    </row>
    <row r="50" spans="1:26" ht="20.85" hidden="1" customHeight="1">
      <c r="A50" s="604"/>
      <c r="B50" s="623"/>
      <c r="C50" s="623"/>
      <c r="D50" s="624" t="s">
        <v>423</v>
      </c>
      <c r="E50" s="630"/>
      <c r="F50" s="723"/>
      <c r="G50" s="644"/>
      <c r="H50" s="638"/>
      <c r="I50" s="1079"/>
      <c r="J50" s="629"/>
      <c r="K50" s="620" t="str">
        <f t="shared" si="26"/>
        <v xml:space="preserve">－ </v>
      </c>
      <c r="L50" s="621" t="str">
        <f t="shared" si="27"/>
        <v xml:space="preserve">－ </v>
      </c>
      <c r="M50" s="620" t="str">
        <f t="shared" si="28"/>
        <v xml:space="preserve">－ </v>
      </c>
      <c r="N50" s="621" t="str">
        <f t="shared" si="29"/>
        <v xml:space="preserve">－ </v>
      </c>
      <c r="O50" s="620" t="str">
        <f t="shared" si="30"/>
        <v xml:space="preserve">－ </v>
      </c>
      <c r="P50" s="622" t="str">
        <f t="shared" si="31"/>
        <v xml:space="preserve">－ </v>
      </c>
      <c r="Q50" s="487" t="str">
        <f t="shared" si="2"/>
        <v>×表示しない</v>
      </c>
    </row>
    <row r="51" spans="1:26" ht="20.85" hidden="1" customHeight="1">
      <c r="A51" s="604"/>
      <c r="B51" s="623"/>
      <c r="C51" s="623"/>
      <c r="D51" s="624" t="s">
        <v>424</v>
      </c>
      <c r="E51" s="630"/>
      <c r="F51" s="723"/>
      <c r="G51" s="644"/>
      <c r="H51" s="638"/>
      <c r="I51" s="1079"/>
      <c r="J51" s="629"/>
      <c r="K51" s="620" t="str">
        <f t="shared" si="26"/>
        <v xml:space="preserve">－ </v>
      </c>
      <c r="L51" s="621" t="str">
        <f t="shared" si="27"/>
        <v xml:space="preserve">－ </v>
      </c>
      <c r="M51" s="620" t="str">
        <f t="shared" si="28"/>
        <v xml:space="preserve">－ </v>
      </c>
      <c r="N51" s="621" t="str">
        <f t="shared" si="29"/>
        <v xml:space="preserve">－ </v>
      </c>
      <c r="O51" s="620" t="str">
        <f t="shared" si="30"/>
        <v xml:space="preserve">－ </v>
      </c>
      <c r="P51" s="622" t="str">
        <f t="shared" si="31"/>
        <v xml:space="preserve">－ </v>
      </c>
      <c r="Q51" s="487" t="str">
        <f t="shared" si="2"/>
        <v>×表示しない</v>
      </c>
    </row>
    <row r="52" spans="1:26" ht="20.85" hidden="1" customHeight="1">
      <c r="A52" s="604"/>
      <c r="B52" s="623"/>
      <c r="C52" s="623"/>
      <c r="D52" s="624" t="s">
        <v>425</v>
      </c>
      <c r="E52" s="630"/>
      <c r="F52" s="723"/>
      <c r="G52" s="644"/>
      <c r="H52" s="638"/>
      <c r="I52" s="1079"/>
      <c r="J52" s="629"/>
      <c r="K52" s="620" t="str">
        <f t="shared" si="26"/>
        <v xml:space="preserve">－ </v>
      </c>
      <c r="L52" s="621" t="str">
        <f t="shared" si="27"/>
        <v xml:space="preserve">－ </v>
      </c>
      <c r="M52" s="620" t="str">
        <f t="shared" si="28"/>
        <v xml:space="preserve">－ </v>
      </c>
      <c r="N52" s="621" t="str">
        <f t="shared" si="29"/>
        <v xml:space="preserve">－ </v>
      </c>
      <c r="O52" s="620" t="str">
        <f t="shared" si="30"/>
        <v xml:space="preserve">－ </v>
      </c>
      <c r="P52" s="622" t="str">
        <f t="shared" si="31"/>
        <v xml:space="preserve">－ </v>
      </c>
      <c r="Q52" s="487" t="str">
        <f t="shared" si="2"/>
        <v>×表示しない</v>
      </c>
    </row>
    <row r="53" spans="1:26" ht="20.85" hidden="1" customHeight="1">
      <c r="A53" s="604"/>
      <c r="B53" s="623"/>
      <c r="C53" s="623"/>
      <c r="D53" s="624" t="s">
        <v>426</v>
      </c>
      <c r="E53" s="630"/>
      <c r="F53" s="723"/>
      <c r="G53" s="644"/>
      <c r="H53" s="638"/>
      <c r="I53" s="1079"/>
      <c r="J53" s="629"/>
      <c r="K53" s="620" t="str">
        <f t="shared" si="26"/>
        <v xml:space="preserve">－ </v>
      </c>
      <c r="L53" s="621" t="str">
        <f t="shared" si="27"/>
        <v xml:space="preserve">－ </v>
      </c>
      <c r="M53" s="620" t="str">
        <f t="shared" si="28"/>
        <v xml:space="preserve">－ </v>
      </c>
      <c r="N53" s="621" t="str">
        <f t="shared" si="29"/>
        <v xml:space="preserve">－ </v>
      </c>
      <c r="O53" s="620" t="str">
        <f t="shared" si="30"/>
        <v xml:space="preserve">－ </v>
      </c>
      <c r="P53" s="622" t="str">
        <f t="shared" si="31"/>
        <v xml:space="preserve">－ </v>
      </c>
      <c r="Q53" s="487" t="str">
        <f t="shared" si="2"/>
        <v>×表示しない</v>
      </c>
    </row>
    <row r="54" spans="1:26" ht="20.85" hidden="1" customHeight="1">
      <c r="A54" s="604"/>
      <c r="B54" s="623"/>
      <c r="C54" s="639"/>
      <c r="D54" s="624" t="s">
        <v>427</v>
      </c>
      <c r="E54" s="630"/>
      <c r="F54" s="723"/>
      <c r="G54" s="644"/>
      <c r="H54" s="638"/>
      <c r="I54" s="1079"/>
      <c r="J54" s="629"/>
      <c r="K54" s="620" t="str">
        <f t="shared" si="26"/>
        <v xml:space="preserve">－ </v>
      </c>
      <c r="L54" s="621" t="str">
        <f t="shared" si="27"/>
        <v xml:space="preserve">－ </v>
      </c>
      <c r="M54" s="620" t="str">
        <f t="shared" si="28"/>
        <v xml:space="preserve">－ </v>
      </c>
      <c r="N54" s="621" t="str">
        <f t="shared" si="29"/>
        <v xml:space="preserve">－ </v>
      </c>
      <c r="O54" s="620" t="str">
        <f t="shared" si="30"/>
        <v xml:space="preserve">－ </v>
      </c>
      <c r="P54" s="622" t="str">
        <f t="shared" si="31"/>
        <v xml:space="preserve">－ </v>
      </c>
      <c r="Q54" s="487" t="str">
        <f t="shared" si="2"/>
        <v>×表示しない</v>
      </c>
    </row>
    <row r="55" spans="1:26" ht="20.85" customHeight="1">
      <c r="A55" s="604"/>
      <c r="B55" s="623"/>
      <c r="C55" s="1490" t="s">
        <v>428</v>
      </c>
      <c r="D55" s="1491"/>
      <c r="E55" s="630"/>
      <c r="F55" s="631">
        <f>ROUND('(繰)4条支出 '!D8/1000,0)</f>
        <v>18558</v>
      </c>
      <c r="G55" s="627">
        <f t="shared" ref="G55:G62" si="33">V55</f>
        <v>17032</v>
      </c>
      <c r="H55" s="628">
        <f t="shared" ref="H55:H62" si="34">T55</f>
        <v>15860</v>
      </c>
      <c r="I55" s="1090"/>
      <c r="J55" s="629">
        <v>12170</v>
      </c>
      <c r="K55" s="620">
        <f t="shared" si="26"/>
        <v>-2698</v>
      </c>
      <c r="L55" s="621">
        <f t="shared" si="27"/>
        <v>-0.14538204547903869</v>
      </c>
      <c r="M55" s="620">
        <f t="shared" si="28"/>
        <v>-1172</v>
      </c>
      <c r="N55" s="621">
        <f t="shared" si="29"/>
        <v>-6.8811648661343358E-2</v>
      </c>
      <c r="O55" s="620">
        <f t="shared" si="30"/>
        <v>3690</v>
      </c>
      <c r="P55" s="622">
        <f t="shared" si="31"/>
        <v>0.30320460147904682</v>
      </c>
      <c r="Q55" s="487" t="str">
        <f t="shared" si="2"/>
        <v>表示（判定）</v>
      </c>
      <c r="S55" s="580">
        <f>'(繰)4条支出 '!K8</f>
        <v>15860357</v>
      </c>
      <c r="T55" s="580">
        <f t="shared" ref="T55:T62" si="35">ROUND(S55/1000,0)+U55</f>
        <v>15860</v>
      </c>
      <c r="V55" s="580">
        <f t="shared" ref="V55:V62" si="36">SUM(W55:X55)</f>
        <v>17032</v>
      </c>
      <c r="X55" s="581">
        <v>17032</v>
      </c>
      <c r="Z55" s="581" t="s">
        <v>561</v>
      </c>
    </row>
    <row r="56" spans="1:26" ht="20.85" customHeight="1">
      <c r="A56" s="604"/>
      <c r="B56" s="623"/>
      <c r="C56" s="1490" t="s">
        <v>429</v>
      </c>
      <c r="D56" s="1491"/>
      <c r="E56" s="630"/>
      <c r="F56" s="631">
        <f>ROUND('(繰)4条支出 '!D9/1000,0)</f>
        <v>779527</v>
      </c>
      <c r="G56" s="627">
        <f t="shared" si="33"/>
        <v>730380</v>
      </c>
      <c r="H56" s="628">
        <f t="shared" si="34"/>
        <v>731976</v>
      </c>
      <c r="I56" s="1090"/>
      <c r="J56" s="629">
        <v>720031</v>
      </c>
      <c r="K56" s="620">
        <f t="shared" si="26"/>
        <v>-47551</v>
      </c>
      <c r="L56" s="621">
        <f t="shared" si="27"/>
        <v>-6.0999811424107181E-2</v>
      </c>
      <c r="M56" s="620">
        <f t="shared" si="28"/>
        <v>1596</v>
      </c>
      <c r="N56" s="621">
        <f t="shared" si="29"/>
        <v>2.185163887291547E-3</v>
      </c>
      <c r="O56" s="620">
        <f t="shared" si="30"/>
        <v>11945</v>
      </c>
      <c r="P56" s="622">
        <f t="shared" si="31"/>
        <v>1.6589563504904651E-2</v>
      </c>
      <c r="Q56" s="487" t="str">
        <f t="shared" si="2"/>
        <v>表示（判定）</v>
      </c>
      <c r="S56" s="580">
        <f>'(繰)4条支出 '!K9</f>
        <v>731976052</v>
      </c>
      <c r="T56" s="580">
        <f t="shared" si="35"/>
        <v>731976</v>
      </c>
      <c r="U56" s="595"/>
      <c r="V56" s="580">
        <f t="shared" si="36"/>
        <v>730380</v>
      </c>
      <c r="X56" s="581">
        <v>730380</v>
      </c>
      <c r="Z56" s="581" t="s">
        <v>562</v>
      </c>
    </row>
    <row r="57" spans="1:26" ht="20.85" hidden="1" customHeight="1">
      <c r="A57" s="604"/>
      <c r="B57" s="623"/>
      <c r="C57" s="1490" t="s">
        <v>430</v>
      </c>
      <c r="D57" s="1491"/>
      <c r="E57" s="630"/>
      <c r="F57" s="631">
        <f>ROUND('(繰)4条支出 '!D10/1000,0)</f>
        <v>0</v>
      </c>
      <c r="G57" s="627">
        <f t="shared" si="33"/>
        <v>0</v>
      </c>
      <c r="H57" s="628">
        <f t="shared" si="34"/>
        <v>0</v>
      </c>
      <c r="I57" s="645"/>
      <c r="J57" s="629">
        <v>0</v>
      </c>
      <c r="K57" s="620" t="str">
        <f t="shared" si="26"/>
        <v xml:space="preserve">－ </v>
      </c>
      <c r="L57" s="621" t="str">
        <f t="shared" si="27"/>
        <v xml:space="preserve">－ </v>
      </c>
      <c r="M57" s="620" t="str">
        <f t="shared" si="28"/>
        <v xml:space="preserve">－ </v>
      </c>
      <c r="N57" s="621" t="str">
        <f t="shared" si="29"/>
        <v xml:space="preserve">－ </v>
      </c>
      <c r="O57" s="620" t="str">
        <f t="shared" si="30"/>
        <v xml:space="preserve">－ </v>
      </c>
      <c r="P57" s="622" t="str">
        <f t="shared" si="31"/>
        <v xml:space="preserve">－ </v>
      </c>
      <c r="Q57" s="487" t="str">
        <f t="shared" si="2"/>
        <v>×表示しない</v>
      </c>
      <c r="S57" s="580">
        <f>'(繰)4条支出 '!K10</f>
        <v>0</v>
      </c>
      <c r="T57" s="580">
        <f t="shared" si="35"/>
        <v>0</v>
      </c>
      <c r="V57" s="580">
        <f t="shared" si="36"/>
        <v>0</v>
      </c>
      <c r="X57" s="581">
        <v>0</v>
      </c>
      <c r="Z57" s="581" t="s">
        <v>563</v>
      </c>
    </row>
    <row r="58" spans="1:26" ht="20.85" customHeight="1">
      <c r="A58" s="604"/>
      <c r="B58" s="623"/>
      <c r="C58" s="1490" t="s">
        <v>431</v>
      </c>
      <c r="D58" s="1491"/>
      <c r="E58" s="630"/>
      <c r="F58" s="631">
        <f>ROUND('(繰)4条支出 '!D11/1000,0)</f>
        <v>172142</v>
      </c>
      <c r="G58" s="627">
        <f t="shared" si="33"/>
        <v>172142</v>
      </c>
      <c r="H58" s="628">
        <f t="shared" si="34"/>
        <v>131922</v>
      </c>
      <c r="I58" s="1090"/>
      <c r="J58" s="629">
        <v>93130</v>
      </c>
      <c r="K58" s="620">
        <f t="shared" si="26"/>
        <v>-40220</v>
      </c>
      <c r="L58" s="621">
        <f t="shared" si="27"/>
        <v>-0.233644316901163</v>
      </c>
      <c r="M58" s="620">
        <f t="shared" si="28"/>
        <v>-40220</v>
      </c>
      <c r="N58" s="621">
        <f t="shared" si="29"/>
        <v>-0.233644316901163</v>
      </c>
      <c r="O58" s="620">
        <f t="shared" si="30"/>
        <v>38792</v>
      </c>
      <c r="P58" s="622">
        <f t="shared" si="31"/>
        <v>0.41653602491141417</v>
      </c>
      <c r="Q58" s="487" t="str">
        <f t="shared" si="2"/>
        <v>表示（判定）</v>
      </c>
      <c r="S58" s="580">
        <f>'(繰)4条支出 '!K11</f>
        <v>131921564</v>
      </c>
      <c r="T58" s="580">
        <f t="shared" si="35"/>
        <v>131922</v>
      </c>
      <c r="V58" s="580">
        <f t="shared" si="36"/>
        <v>172142</v>
      </c>
      <c r="X58" s="581">
        <v>172142</v>
      </c>
      <c r="Z58" s="581" t="s">
        <v>564</v>
      </c>
    </row>
    <row r="59" spans="1:26" ht="20.85" customHeight="1">
      <c r="A59" s="604"/>
      <c r="B59" s="623"/>
      <c r="C59" s="1490" t="s">
        <v>432</v>
      </c>
      <c r="D59" s="1491"/>
      <c r="E59" s="630"/>
      <c r="F59" s="631">
        <f>ROUND('(繰)4条支出 '!D12/1000,0)</f>
        <v>90944</v>
      </c>
      <c r="G59" s="627">
        <f t="shared" si="33"/>
        <v>85449</v>
      </c>
      <c r="H59" s="628">
        <f t="shared" si="34"/>
        <v>84675</v>
      </c>
      <c r="I59" s="1090"/>
      <c r="J59" s="629">
        <v>51815</v>
      </c>
      <c r="K59" s="620">
        <f t="shared" si="26"/>
        <v>-6269</v>
      </c>
      <c r="L59" s="621">
        <f t="shared" si="27"/>
        <v>-6.8932529908515131E-2</v>
      </c>
      <c r="M59" s="620">
        <f t="shared" si="28"/>
        <v>-774</v>
      </c>
      <c r="N59" s="621">
        <f t="shared" si="29"/>
        <v>-9.0580346171400487E-3</v>
      </c>
      <c r="O59" s="620">
        <f t="shared" si="30"/>
        <v>32860</v>
      </c>
      <c r="P59" s="622">
        <f t="shared" si="31"/>
        <v>0.63417929171089449</v>
      </c>
      <c r="Q59" s="487" t="str">
        <f t="shared" si="2"/>
        <v>表示（判定）</v>
      </c>
      <c r="S59" s="580">
        <f>'(繰)4条支出 '!K12</f>
        <v>84674910</v>
      </c>
      <c r="T59" s="580">
        <f t="shared" si="35"/>
        <v>84675</v>
      </c>
      <c r="V59" s="580">
        <f t="shared" si="36"/>
        <v>85449</v>
      </c>
      <c r="X59" s="581">
        <v>85449</v>
      </c>
      <c r="Z59" s="581" t="s">
        <v>565</v>
      </c>
    </row>
    <row r="60" spans="1:26" ht="20.85" customHeight="1">
      <c r="A60" s="604"/>
      <c r="B60" s="623"/>
      <c r="C60" s="1490" t="s">
        <v>433</v>
      </c>
      <c r="D60" s="1491"/>
      <c r="E60" s="625"/>
      <c r="F60" s="631">
        <f>ROUND('(繰)4条支出 '!D13/1000,0)</f>
        <v>12600</v>
      </c>
      <c r="G60" s="627">
        <f t="shared" si="33"/>
        <v>12600</v>
      </c>
      <c r="H60" s="628">
        <f t="shared" si="34"/>
        <v>12600</v>
      </c>
      <c r="I60" s="1090"/>
      <c r="J60" s="629">
        <v>3500</v>
      </c>
      <c r="K60" s="620">
        <f t="shared" si="26"/>
        <v>0</v>
      </c>
      <c r="L60" s="621">
        <f t="shared" si="27"/>
        <v>0</v>
      </c>
      <c r="M60" s="620">
        <f t="shared" si="28"/>
        <v>0</v>
      </c>
      <c r="N60" s="621">
        <f t="shared" si="29"/>
        <v>0</v>
      </c>
      <c r="O60" s="620">
        <f t="shared" si="30"/>
        <v>9100</v>
      </c>
      <c r="P60" s="622">
        <f t="shared" si="31"/>
        <v>2.6</v>
      </c>
      <c r="Q60" s="487" t="str">
        <f t="shared" si="2"/>
        <v>表示（判定）</v>
      </c>
      <c r="S60" s="580">
        <f>'(繰)4条支出 '!K13</f>
        <v>12600000</v>
      </c>
      <c r="T60" s="580">
        <f t="shared" si="35"/>
        <v>12600</v>
      </c>
      <c r="V60" s="580">
        <f t="shared" si="36"/>
        <v>12600</v>
      </c>
      <c r="X60" s="581">
        <v>12600</v>
      </c>
      <c r="Z60" s="581" t="s">
        <v>566</v>
      </c>
    </row>
    <row r="61" spans="1:26" ht="20.85" customHeight="1">
      <c r="A61" s="604"/>
      <c r="B61" s="639"/>
      <c r="C61" s="1490" t="s">
        <v>434</v>
      </c>
      <c r="D61" s="1491"/>
      <c r="E61" s="625"/>
      <c r="F61" s="631">
        <f>ROUND('(繰)4条支出 '!D14/1000,0)</f>
        <v>457259</v>
      </c>
      <c r="G61" s="627">
        <f t="shared" si="33"/>
        <v>423598</v>
      </c>
      <c r="H61" s="628">
        <f t="shared" si="34"/>
        <v>418224</v>
      </c>
      <c r="I61" s="1090"/>
      <c r="J61" s="629">
        <v>639787</v>
      </c>
      <c r="K61" s="620">
        <f t="shared" si="26"/>
        <v>-39035</v>
      </c>
      <c r="L61" s="621">
        <f t="shared" si="27"/>
        <v>-8.536737385158083E-2</v>
      </c>
      <c r="M61" s="620">
        <f t="shared" si="28"/>
        <v>-5374</v>
      </c>
      <c r="N61" s="633">
        <f t="shared" si="29"/>
        <v>-1.2686556593751622E-2</v>
      </c>
      <c r="O61" s="620">
        <f t="shared" si="30"/>
        <v>-221563</v>
      </c>
      <c r="P61" s="634">
        <f t="shared" si="31"/>
        <v>-0.34630744294585541</v>
      </c>
      <c r="Q61" s="487" t="str">
        <f t="shared" si="2"/>
        <v>表示（判定）</v>
      </c>
      <c r="S61" s="580">
        <f>'(繰)4条支出 '!K14</f>
        <v>418223402</v>
      </c>
      <c r="T61" s="580">
        <f t="shared" si="35"/>
        <v>418224</v>
      </c>
      <c r="U61" s="580">
        <v>1</v>
      </c>
      <c r="V61" s="580">
        <f t="shared" si="36"/>
        <v>423598</v>
      </c>
      <c r="X61" s="581">
        <v>423598</v>
      </c>
      <c r="Z61" s="581" t="s">
        <v>567</v>
      </c>
    </row>
    <row r="62" spans="1:26" ht="20.85" customHeight="1">
      <c r="A62" s="724"/>
      <c r="B62" s="1515" t="s">
        <v>435</v>
      </c>
      <c r="C62" s="1516"/>
      <c r="D62" s="1491"/>
      <c r="E62" s="625"/>
      <c r="F62" s="631">
        <f>ROUND('(繰)4条支出 '!D16/1000,0)</f>
        <v>44621423</v>
      </c>
      <c r="G62" s="627">
        <f t="shared" si="33"/>
        <v>44621240</v>
      </c>
      <c r="H62" s="628">
        <f t="shared" si="34"/>
        <v>44621240</v>
      </c>
      <c r="I62" s="1090"/>
      <c r="J62" s="629">
        <v>44544306</v>
      </c>
      <c r="K62" s="620">
        <f t="shared" si="26"/>
        <v>-183</v>
      </c>
      <c r="L62" s="621">
        <f t="shared" si="27"/>
        <v>-4.1011690729809313E-6</v>
      </c>
      <c r="M62" s="620">
        <f t="shared" si="28"/>
        <v>0</v>
      </c>
      <c r="N62" s="621">
        <f t="shared" si="29"/>
        <v>0</v>
      </c>
      <c r="O62" s="620">
        <f t="shared" si="30"/>
        <v>76934</v>
      </c>
      <c r="P62" s="622">
        <f t="shared" si="31"/>
        <v>1.7271343277859127E-3</v>
      </c>
      <c r="Q62" s="487" t="str">
        <f t="shared" si="2"/>
        <v>表示（判定）</v>
      </c>
      <c r="S62" s="580">
        <f>'(繰)4条支出 '!K15</f>
        <v>44621240467</v>
      </c>
      <c r="T62" s="580">
        <f t="shared" si="35"/>
        <v>44621240</v>
      </c>
      <c r="V62" s="580">
        <f t="shared" si="36"/>
        <v>44621240</v>
      </c>
      <c r="X62" s="581">
        <v>44621240</v>
      </c>
      <c r="Z62" s="581" t="s">
        <v>568</v>
      </c>
    </row>
    <row r="63" spans="1:26" ht="20.85" customHeight="1">
      <c r="A63" s="724"/>
      <c r="B63" s="1515" t="s">
        <v>436</v>
      </c>
      <c r="C63" s="1516"/>
      <c r="D63" s="1491"/>
      <c r="E63" s="615">
        <f>SUM(E64,E68)</f>
        <v>0</v>
      </c>
      <c r="F63" s="725">
        <f>SUM(F64,F68)</f>
        <v>10287</v>
      </c>
      <c r="G63" s="617">
        <f>SUM(G64,G68)</f>
        <v>4182</v>
      </c>
      <c r="H63" s="618">
        <f>SUM(H64,H68)</f>
        <v>4182</v>
      </c>
      <c r="I63" s="1089"/>
      <c r="J63" s="619">
        <f>SUM(J64,J68)</f>
        <v>4463</v>
      </c>
      <c r="K63" s="620">
        <f t="shared" si="26"/>
        <v>-6105</v>
      </c>
      <c r="L63" s="621">
        <f t="shared" si="27"/>
        <v>-0.59346748323126275</v>
      </c>
      <c r="M63" s="620">
        <f t="shared" si="28"/>
        <v>0</v>
      </c>
      <c r="N63" s="621">
        <f t="shared" si="29"/>
        <v>0</v>
      </c>
      <c r="O63" s="620">
        <f t="shared" si="30"/>
        <v>-281</v>
      </c>
      <c r="P63" s="622">
        <f t="shared" si="31"/>
        <v>-6.2962133094331171E-2</v>
      </c>
      <c r="Q63" s="487" t="str">
        <f t="shared" si="2"/>
        <v>表示（判定）</v>
      </c>
    </row>
    <row r="64" spans="1:26" ht="20.85" customHeight="1">
      <c r="A64" s="604"/>
      <c r="B64" s="614"/>
      <c r="C64" s="1490" t="s">
        <v>437</v>
      </c>
      <c r="D64" s="1491"/>
      <c r="E64" s="615">
        <f>SUM(E65:E67)</f>
        <v>0</v>
      </c>
      <c r="F64" s="725">
        <f>SUM(F65:F67)</f>
        <v>8096</v>
      </c>
      <c r="G64" s="617">
        <f>SUM(G65:G67)</f>
        <v>3759</v>
      </c>
      <c r="H64" s="618">
        <f>SUM(H65:H67)</f>
        <v>3759</v>
      </c>
      <c r="I64" s="1089"/>
      <c r="J64" s="619">
        <f>SUM(J65:J67)</f>
        <v>3215</v>
      </c>
      <c r="K64" s="620">
        <f t="shared" si="26"/>
        <v>-4337</v>
      </c>
      <c r="L64" s="621">
        <f t="shared" si="27"/>
        <v>-0.53569664031620556</v>
      </c>
      <c r="M64" s="620">
        <f t="shared" si="28"/>
        <v>0</v>
      </c>
      <c r="N64" s="621">
        <f t="shared" si="29"/>
        <v>0</v>
      </c>
      <c r="O64" s="620">
        <f t="shared" si="30"/>
        <v>544</v>
      </c>
      <c r="P64" s="622">
        <f t="shared" si="31"/>
        <v>0.1692068429237947</v>
      </c>
      <c r="Q64" s="487" t="str">
        <f t="shared" si="2"/>
        <v>表示（判定）</v>
      </c>
    </row>
    <row r="65" spans="1:26" ht="20.85" customHeight="1">
      <c r="A65" s="604"/>
      <c r="B65" s="623"/>
      <c r="C65" s="614"/>
      <c r="D65" s="624" t="s">
        <v>438</v>
      </c>
      <c r="E65" s="630"/>
      <c r="F65" s="726">
        <v>2976</v>
      </c>
      <c r="G65" s="627">
        <f>V65</f>
        <v>2600</v>
      </c>
      <c r="H65" s="628">
        <f>T65</f>
        <v>2600</v>
      </c>
      <c r="I65" s="1090"/>
      <c r="J65" s="629">
        <v>1040</v>
      </c>
      <c r="K65" s="620">
        <f t="shared" si="26"/>
        <v>-376</v>
      </c>
      <c r="L65" s="621">
        <f t="shared" si="27"/>
        <v>-0.12634408602150538</v>
      </c>
      <c r="M65" s="620">
        <f t="shared" si="28"/>
        <v>0</v>
      </c>
      <c r="N65" s="621">
        <f t="shared" si="29"/>
        <v>0</v>
      </c>
      <c r="O65" s="620">
        <f t="shared" si="30"/>
        <v>1560</v>
      </c>
      <c r="P65" s="622">
        <f t="shared" si="31"/>
        <v>1.5</v>
      </c>
      <c r="Q65" s="487" t="str">
        <f t="shared" si="2"/>
        <v>表示（判定）</v>
      </c>
      <c r="S65" s="580">
        <f>[6]水洗!$E$6</f>
        <v>2600000</v>
      </c>
      <c r="T65" s="580">
        <f t="shared" ref="T65:T68" si="37">ROUND(S65/1000,0)+U65</f>
        <v>2600</v>
      </c>
      <c r="V65" s="580">
        <f t="shared" ref="V65:V66" si="38">SUM(W65:X65)</f>
        <v>2600</v>
      </c>
      <c r="X65" s="581">
        <v>2600</v>
      </c>
      <c r="Z65" s="581" t="s">
        <v>569</v>
      </c>
    </row>
    <row r="66" spans="1:26" ht="20.85" customHeight="1">
      <c r="A66" s="604"/>
      <c r="B66" s="623"/>
      <c r="C66" s="623"/>
      <c r="D66" s="624" t="s">
        <v>439</v>
      </c>
      <c r="E66" s="630"/>
      <c r="F66" s="726">
        <v>5120</v>
      </c>
      <c r="G66" s="627">
        <f>V66</f>
        <v>1159</v>
      </c>
      <c r="H66" s="628">
        <f>T66</f>
        <v>1159</v>
      </c>
      <c r="I66" s="1090"/>
      <c r="J66" s="629">
        <v>2175</v>
      </c>
      <c r="K66" s="620">
        <f t="shared" si="26"/>
        <v>-3961</v>
      </c>
      <c r="L66" s="621">
        <f t="shared" si="27"/>
        <v>-0.77363281250000004</v>
      </c>
      <c r="M66" s="620">
        <f t="shared" si="28"/>
        <v>0</v>
      </c>
      <c r="N66" s="621">
        <f t="shared" si="29"/>
        <v>0</v>
      </c>
      <c r="O66" s="620">
        <f t="shared" si="30"/>
        <v>-1016</v>
      </c>
      <c r="P66" s="622">
        <f t="shared" si="31"/>
        <v>-0.4671264367816092</v>
      </c>
      <c r="Q66" s="487" t="str">
        <f t="shared" si="2"/>
        <v>表示（判定）</v>
      </c>
      <c r="S66" s="580">
        <f>[6]水洗!$E$12</f>
        <v>1159000</v>
      </c>
      <c r="T66" s="580">
        <f t="shared" si="37"/>
        <v>1159</v>
      </c>
      <c r="V66" s="580">
        <f t="shared" si="38"/>
        <v>1159</v>
      </c>
      <c r="X66" s="581">
        <v>1159</v>
      </c>
      <c r="Z66" s="581" t="s">
        <v>570</v>
      </c>
    </row>
    <row r="67" spans="1:26" ht="20.85" hidden="1" customHeight="1">
      <c r="A67" s="604"/>
      <c r="B67" s="623"/>
      <c r="C67" s="639"/>
      <c r="D67" s="624" t="s">
        <v>440</v>
      </c>
      <c r="E67" s="630"/>
      <c r="F67" s="726">
        <v>0</v>
      </c>
      <c r="G67" s="627">
        <f>V67</f>
        <v>0</v>
      </c>
      <c r="H67" s="628">
        <f>T67</f>
        <v>0</v>
      </c>
      <c r="I67" s="645"/>
      <c r="J67" s="629">
        <v>0</v>
      </c>
      <c r="K67" s="620" t="str">
        <f t="shared" si="26"/>
        <v xml:space="preserve">－ </v>
      </c>
      <c r="L67" s="621" t="str">
        <f t="shared" si="27"/>
        <v xml:space="preserve">－ </v>
      </c>
      <c r="M67" s="620" t="str">
        <f t="shared" si="28"/>
        <v xml:space="preserve">－ </v>
      </c>
      <c r="N67" s="621" t="str">
        <f t="shared" si="29"/>
        <v xml:space="preserve">－ </v>
      </c>
      <c r="O67" s="620" t="str">
        <f t="shared" si="30"/>
        <v xml:space="preserve">－ </v>
      </c>
      <c r="P67" s="622" t="str">
        <f t="shared" si="31"/>
        <v xml:space="preserve">－ </v>
      </c>
      <c r="Q67" s="487" t="str">
        <f t="shared" si="2"/>
        <v>×表示しない</v>
      </c>
      <c r="S67" s="580">
        <f>[6]水洗!$E$18</f>
        <v>0</v>
      </c>
      <c r="T67" s="580">
        <f t="shared" si="37"/>
        <v>0</v>
      </c>
    </row>
    <row r="68" spans="1:26" ht="20.85" customHeight="1" thickBot="1">
      <c r="A68" s="651"/>
      <c r="B68" s="727"/>
      <c r="C68" s="1517" t="s">
        <v>457</v>
      </c>
      <c r="D68" s="1518"/>
      <c r="E68" s="728"/>
      <c r="F68" s="729">
        <f>ROUND('(繰)4条支出 '!D20/1000,0)</f>
        <v>2191</v>
      </c>
      <c r="G68" s="730">
        <f>V68</f>
        <v>423</v>
      </c>
      <c r="H68" s="731">
        <f>T68</f>
        <v>423</v>
      </c>
      <c r="I68" s="1097"/>
      <c r="J68" s="656">
        <v>1248</v>
      </c>
      <c r="K68" s="657">
        <f t="shared" si="26"/>
        <v>-1768</v>
      </c>
      <c r="L68" s="658">
        <f t="shared" si="27"/>
        <v>-0.80693747147421269</v>
      </c>
      <c r="M68" s="657">
        <f t="shared" si="28"/>
        <v>0</v>
      </c>
      <c r="N68" s="658">
        <f t="shared" si="29"/>
        <v>0</v>
      </c>
      <c r="O68" s="657">
        <f t="shared" si="30"/>
        <v>-825</v>
      </c>
      <c r="P68" s="659">
        <f t="shared" si="31"/>
        <v>-0.66105769230769229</v>
      </c>
      <c r="Q68" s="487" t="str">
        <f t="shared" si="2"/>
        <v>表示（判定）</v>
      </c>
      <c r="S68" s="580">
        <f>'(繰)4条支出 '!K20</f>
        <v>423000</v>
      </c>
      <c r="T68" s="580">
        <f t="shared" si="37"/>
        <v>423</v>
      </c>
      <c r="V68" s="580">
        <f>SUM(W68:X68)</f>
        <v>423</v>
      </c>
      <c r="X68" s="581">
        <v>423</v>
      </c>
      <c r="Z68" s="581" t="s">
        <v>571</v>
      </c>
    </row>
    <row r="69" spans="1:26" ht="20.85" hidden="1" customHeight="1">
      <c r="A69" s="604"/>
      <c r="B69" s="1519" t="s">
        <v>441</v>
      </c>
      <c r="C69" s="1520"/>
      <c r="D69" s="1521"/>
      <c r="E69" s="732"/>
      <c r="F69" s="733"/>
      <c r="G69" s="734"/>
      <c r="H69" s="735"/>
      <c r="I69" s="736"/>
      <c r="J69" s="736"/>
      <c r="K69" s="737">
        <f t="shared" ref="K69" si="39">H69-F69</f>
        <v>0</v>
      </c>
      <c r="L69" s="738" t="str">
        <f t="shared" ref="L69:L70" si="40">IF(AND(F69=0,H69&gt;0),"　皆増",IF(AND(F69&gt;0,H69=0),"　皆減",IF(AND(F69=0,H69=0),"　　－",ROUND(K69/F69,3))))</f>
        <v>　　－</v>
      </c>
      <c r="M69" s="739">
        <f t="shared" ref="M69:M70" si="41">H69-J69</f>
        <v>0</v>
      </c>
      <c r="N69" s="738" t="str">
        <f t="shared" ref="N69:N70" si="42">IF(AND(J69=0,H69&gt;0),"　皆増",IF(AND(J69&gt;0,H69=0),"　皆減",IF(AND(J69=0,H69=0),"　　－",ROUND(M69/J69,3))))</f>
        <v>　　－</v>
      </c>
      <c r="O69" s="739" t="e">
        <f t="shared" ref="O69:O70" si="43">K69-L69</f>
        <v>#VALUE!</v>
      </c>
      <c r="P69" s="740" t="str">
        <f t="shared" ref="P69:P70" si="44">IF(AND(L69=0,K69&gt;0),"　皆増",IF(AND(L69&gt;0,K69=0),"　皆減",IF(AND(L69=0,K69=0),"　　－",ROUND(O69/L69,3))))</f>
        <v>　皆減</v>
      </c>
      <c r="Q69" s="487" t="str">
        <f t="shared" si="2"/>
        <v>×表示しない</v>
      </c>
    </row>
    <row r="70" spans="1:26" ht="20.85" hidden="1" customHeight="1" thickBot="1">
      <c r="A70" s="651"/>
      <c r="B70" s="1522" t="s">
        <v>442</v>
      </c>
      <c r="C70" s="1523"/>
      <c r="D70" s="1524"/>
      <c r="E70" s="741"/>
      <c r="F70" s="742"/>
      <c r="G70" s="743"/>
      <c r="H70" s="744"/>
      <c r="I70" s="745"/>
      <c r="J70" s="745"/>
      <c r="K70" s="746">
        <f>H70-F70</f>
        <v>0</v>
      </c>
      <c r="L70" s="658" t="str">
        <f t="shared" si="40"/>
        <v>　　－</v>
      </c>
      <c r="M70" s="657">
        <f t="shared" si="41"/>
        <v>0</v>
      </c>
      <c r="N70" s="658" t="str">
        <f t="shared" si="42"/>
        <v>　　－</v>
      </c>
      <c r="O70" s="657" t="e">
        <f t="shared" si="43"/>
        <v>#VALUE!</v>
      </c>
      <c r="P70" s="659" t="str">
        <f t="shared" si="44"/>
        <v>　皆減</v>
      </c>
      <c r="Q70" s="487" t="str">
        <f t="shared" si="2"/>
        <v>×表示しない</v>
      </c>
    </row>
    <row r="71" spans="1:26" ht="12">
      <c r="A71" s="674"/>
      <c r="B71" s="674"/>
      <c r="C71" s="674"/>
      <c r="D71" s="674"/>
      <c r="F71" s="747"/>
      <c r="G71" s="748"/>
      <c r="H71" s="675"/>
      <c r="I71" s="1094"/>
      <c r="J71" s="440"/>
      <c r="K71" s="676"/>
      <c r="L71" s="677"/>
      <c r="M71" s="676"/>
      <c r="N71" s="677"/>
      <c r="O71" s="676"/>
      <c r="P71" s="677"/>
      <c r="Q71" s="487" t="s">
        <v>543</v>
      </c>
      <c r="S71" s="580" t="s">
        <v>383</v>
      </c>
      <c r="T71" s="580">
        <f>SUM(T46:T68)</f>
        <v>61852898</v>
      </c>
    </row>
    <row r="72" spans="1:26" s="753" customFormat="1" ht="20.85" hidden="1" customHeight="1" thickBot="1">
      <c r="A72" s="1525" t="s">
        <v>443</v>
      </c>
      <c r="B72" s="1526"/>
      <c r="C72" s="1526"/>
      <c r="D72" s="1527"/>
      <c r="E72" s="749">
        <f>E7-E44</f>
        <v>0</v>
      </c>
      <c r="F72" s="750">
        <f>F7-F44</f>
        <v>-19428861</v>
      </c>
      <c r="G72" s="751">
        <f>G7-G44</f>
        <v>-19598899</v>
      </c>
      <c r="H72" s="418">
        <f>H7-H44</f>
        <v>-19609807</v>
      </c>
      <c r="I72" s="752"/>
      <c r="J72" s="752">
        <f>J7-J44</f>
        <v>-19414175</v>
      </c>
      <c r="K72" s="671">
        <f t="shared" ref="K72:K74" si="45">IF(AND(F72=0,$H72=0),"－ ",$H72-F72)</f>
        <v>-180946</v>
      </c>
      <c r="L72" s="673">
        <f t="shared" ref="L72:L74" si="46">IF(AND(F72=0,$H72&gt;0),"皆増 ",IF(AND(F72&gt;0,$H72=0),"皆減 ",IF(AND(F72=0,$H72=0),"－ ",K72/F72)))</f>
        <v>9.3132582501876983E-3</v>
      </c>
      <c r="M72" s="671">
        <f t="shared" ref="M72:M74" si="47">IF(AND(G72=0,$H72=0),"－ ",$H72-G72)</f>
        <v>-10908</v>
      </c>
      <c r="N72" s="673">
        <f t="shared" ref="N72:N74" si="48">IF(AND(G72=0,$H72&gt;0),"皆増 ",IF(AND(G72&gt;0,$H72=0),"皆減 ",IF(AND(G72=0,$H72=0),"－ ",M72/G72)))</f>
        <v>5.5656187625641629E-4</v>
      </c>
      <c r="O72" s="671">
        <f t="shared" ref="O72:O74" si="49">IF(AND(J72=0,$H72=0),"－ ",$H72-J72)</f>
        <v>-195632</v>
      </c>
      <c r="P72" s="673">
        <f t="shared" ref="P72:P74" si="50">IF(AND(J72=0,$H72&gt;0),"皆増 ",IF(AND(J72&gt;0,$H72=0),"皆減 ",IF(AND(J72=0,$H72=0),"－ ",O72/J72)))</f>
        <v>1.0076760923397467E-2</v>
      </c>
      <c r="Q72" s="487" t="str">
        <f t="shared" ref="Q72:Q90" si="51">IF(OR(F72&gt;0,G72&gt;0,H72&gt;0,J72&gt;0),"表示（判定）","×表示しない")</f>
        <v>×表示しない</v>
      </c>
      <c r="S72" s="580">
        <f>S7-S44</f>
        <v>-19609807053</v>
      </c>
      <c r="T72" s="580">
        <f>T38-T71</f>
        <v>-19609807</v>
      </c>
      <c r="U72" s="580"/>
      <c r="V72" s="580"/>
      <c r="W72" s="580"/>
      <c r="X72" s="581"/>
      <c r="Y72" s="581"/>
      <c r="Z72" s="581"/>
    </row>
    <row r="73" spans="1:26" s="753" customFormat="1" ht="20.85" hidden="1" customHeight="1" thickBot="1">
      <c r="A73" s="1512" t="s">
        <v>444</v>
      </c>
      <c r="B73" s="1513"/>
      <c r="C73" s="1513"/>
      <c r="D73" s="1514"/>
      <c r="E73" s="754">
        <v>0</v>
      </c>
      <c r="F73" s="755">
        <v>0</v>
      </c>
      <c r="G73" s="756">
        <v>0</v>
      </c>
      <c r="H73" s="537">
        <v>0</v>
      </c>
      <c r="I73" s="757"/>
      <c r="J73" s="757">
        <v>0</v>
      </c>
      <c r="K73" s="739" t="str">
        <f t="shared" si="45"/>
        <v xml:space="preserve">－ </v>
      </c>
      <c r="L73" s="622" t="str">
        <f t="shared" si="46"/>
        <v xml:space="preserve">－ </v>
      </c>
      <c r="M73" s="671" t="str">
        <f t="shared" si="47"/>
        <v xml:space="preserve">－ </v>
      </c>
      <c r="N73" s="673" t="str">
        <f t="shared" si="48"/>
        <v xml:space="preserve">－ </v>
      </c>
      <c r="O73" s="671" t="str">
        <f t="shared" si="49"/>
        <v xml:space="preserve">－ </v>
      </c>
      <c r="P73" s="673" t="str">
        <f t="shared" si="50"/>
        <v xml:space="preserve">－ </v>
      </c>
      <c r="Q73" s="487" t="str">
        <f t="shared" si="51"/>
        <v>×表示しない</v>
      </c>
      <c r="S73" s="580"/>
      <c r="T73" s="580"/>
      <c r="U73" s="580"/>
      <c r="V73" s="580"/>
      <c r="W73" s="580"/>
      <c r="X73" s="581"/>
      <c r="Y73" s="581"/>
      <c r="Z73" s="581"/>
    </row>
    <row r="74" spans="1:26" s="753" customFormat="1" ht="20.85" hidden="1" customHeight="1" thickBot="1">
      <c r="A74" s="1525" t="s">
        <v>445</v>
      </c>
      <c r="B74" s="1526"/>
      <c r="C74" s="1526"/>
      <c r="D74" s="1527"/>
      <c r="E74" s="749">
        <f>E72-E73</f>
        <v>0</v>
      </c>
      <c r="F74" s="750">
        <f>F72-F73</f>
        <v>-19428861</v>
      </c>
      <c r="G74" s="751">
        <f>G72-G73</f>
        <v>-19598899</v>
      </c>
      <c r="H74" s="418">
        <f>H72-H73</f>
        <v>-19609807</v>
      </c>
      <c r="I74" s="752"/>
      <c r="J74" s="752">
        <f>J72-J73</f>
        <v>-19414175</v>
      </c>
      <c r="K74" s="671">
        <f t="shared" si="45"/>
        <v>-180946</v>
      </c>
      <c r="L74" s="673">
        <f t="shared" si="46"/>
        <v>9.3132582501876983E-3</v>
      </c>
      <c r="M74" s="671">
        <f t="shared" si="47"/>
        <v>-10908</v>
      </c>
      <c r="N74" s="673">
        <f t="shared" si="48"/>
        <v>5.5656187625641629E-4</v>
      </c>
      <c r="O74" s="671">
        <f t="shared" si="49"/>
        <v>-195632</v>
      </c>
      <c r="P74" s="673">
        <f t="shared" si="50"/>
        <v>1.0076760923397467E-2</v>
      </c>
      <c r="Q74" s="487" t="str">
        <f t="shared" si="51"/>
        <v>×表示しない</v>
      </c>
      <c r="S74" s="580"/>
      <c r="T74" s="580"/>
      <c r="U74" s="580"/>
      <c r="V74" s="580"/>
      <c r="W74" s="580"/>
      <c r="X74" s="581"/>
      <c r="Y74" s="581"/>
      <c r="Z74" s="581"/>
    </row>
    <row r="75" spans="1:26" ht="12.75" thickBot="1">
      <c r="A75" s="674"/>
      <c r="B75" s="674"/>
      <c r="C75" s="674"/>
      <c r="D75" s="674"/>
      <c r="F75" s="747"/>
      <c r="G75" s="748"/>
      <c r="H75" s="675"/>
      <c r="I75" s="1094"/>
      <c r="J75" s="440"/>
      <c r="K75" s="758"/>
      <c r="L75" s="759"/>
      <c r="M75" s="758"/>
      <c r="N75" s="759"/>
      <c r="O75" s="758"/>
      <c r="P75" s="759"/>
      <c r="Q75" s="487" t="s">
        <v>543</v>
      </c>
    </row>
    <row r="76" spans="1:26" ht="20.85" customHeight="1">
      <c r="A76" s="1530" t="s">
        <v>446</v>
      </c>
      <c r="B76" s="1531"/>
      <c r="C76" s="1531"/>
      <c r="D76" s="1532"/>
      <c r="E76" s="760">
        <f>SUM(E77,E84:E87)</f>
        <v>0</v>
      </c>
      <c r="F76" s="761">
        <f>SUM(F77,F84:F87)</f>
        <v>19428861</v>
      </c>
      <c r="G76" s="762">
        <f>SUM(G77,G84:G87)</f>
        <v>19598899</v>
      </c>
      <c r="H76" s="763">
        <f>SUM(H77,H84:H87)</f>
        <v>19609807</v>
      </c>
      <c r="I76" s="1098"/>
      <c r="J76" s="764">
        <f>SUM(J77,J84:J87)</f>
        <v>19414175</v>
      </c>
      <c r="K76" s="765">
        <f t="shared" ref="K76:K87" si="52">IF(AND(F76=0,$H76=0),"－ ",$H76-F76)</f>
        <v>180946</v>
      </c>
      <c r="L76" s="766">
        <f t="shared" ref="L76:L87" si="53">IF(AND(F76=0,$H76&gt;0),"皆増 ",IF(AND(F76&gt;0,$H76=0),"皆減 ",IF(AND(F76=0,$H76=0),"－ ",K76/F76)))</f>
        <v>9.3132582501876983E-3</v>
      </c>
      <c r="M76" s="765">
        <f t="shared" ref="M76:M87" si="54">IF(AND(G76=0,$H76=0),"－ ",$H76-G76)</f>
        <v>10908</v>
      </c>
      <c r="N76" s="766">
        <f t="shared" ref="N76:N87" si="55">IF(AND(G76=0,$H76&gt;0),"皆増 ",IF(AND(G76&gt;0,$H76=0),"皆減 ",IF(AND(G76=0,$H76=0),"－ ",M76/G76)))</f>
        <v>5.5656187625641629E-4</v>
      </c>
      <c r="O76" s="765">
        <f t="shared" ref="O76:O87" si="56">IF(AND(J76=0,$H76=0),"－ ",$H76-J76)</f>
        <v>195632</v>
      </c>
      <c r="P76" s="766">
        <f t="shared" ref="P76:P87" si="57">IF(AND(J76=0,$H76&gt;0),"皆増 ",IF(AND(J76&gt;0,$H76=0),"皆減 ",IF(AND(J76=0,$H76=0),"－ ",O76/J76)))</f>
        <v>1.0076760923397467E-2</v>
      </c>
      <c r="Q76" s="487" t="str">
        <f t="shared" si="51"/>
        <v>表示（判定）</v>
      </c>
      <c r="S76" s="580">
        <f>IF(SUM(S78:S87)=-S72,SUM(S78:S87),"エラー")</f>
        <v>19609807053</v>
      </c>
      <c r="T76" s="580">
        <f t="shared" ref="T76" si="58">ROUND(S76/1000,0)+U76</f>
        <v>19609807</v>
      </c>
      <c r="U76" s="595"/>
    </row>
    <row r="77" spans="1:26" s="753" customFormat="1" ht="20.85" customHeight="1">
      <c r="A77" s="767"/>
      <c r="B77" s="1533" t="s">
        <v>447</v>
      </c>
      <c r="C77" s="1533"/>
      <c r="D77" s="1534"/>
      <c r="E77" s="768">
        <f>SUM(E78:E83)</f>
        <v>0</v>
      </c>
      <c r="F77" s="616">
        <f>SUM(F78:F83)</f>
        <v>17477077</v>
      </c>
      <c r="G77" s="617">
        <f>SUM(G78:G83)</f>
        <v>17581851</v>
      </c>
      <c r="H77" s="618">
        <f>SUM(H78:H83)</f>
        <v>17579830</v>
      </c>
      <c r="I77" s="1089"/>
      <c r="J77" s="619">
        <f>SUM(J78:J83)</f>
        <v>17443558</v>
      </c>
      <c r="K77" s="620">
        <f t="shared" si="52"/>
        <v>102753</v>
      </c>
      <c r="L77" s="622">
        <f t="shared" si="53"/>
        <v>5.8793012126684575E-3</v>
      </c>
      <c r="M77" s="620">
        <f t="shared" si="54"/>
        <v>-2021</v>
      </c>
      <c r="N77" s="622">
        <f t="shared" si="55"/>
        <v>-1.1494807913000742E-4</v>
      </c>
      <c r="O77" s="620">
        <f t="shared" si="56"/>
        <v>136272</v>
      </c>
      <c r="P77" s="622">
        <f t="shared" si="57"/>
        <v>7.8121676781766659E-3</v>
      </c>
      <c r="Q77" s="487" t="str">
        <f t="shared" si="51"/>
        <v>表示（判定）</v>
      </c>
      <c r="S77" s="580"/>
      <c r="T77" s="580"/>
      <c r="U77" s="580"/>
      <c r="V77" s="580"/>
      <c r="W77" s="580"/>
      <c r="X77" s="581"/>
      <c r="Y77" s="581"/>
      <c r="Z77" s="581"/>
    </row>
    <row r="78" spans="1:26" s="753" customFormat="1" ht="20.85" customHeight="1">
      <c r="A78" s="769"/>
      <c r="B78" s="770"/>
      <c r="C78" s="771"/>
      <c r="D78" s="772" t="s">
        <v>368</v>
      </c>
      <c r="E78" s="773"/>
      <c r="F78" s="647">
        <v>17215743</v>
      </c>
      <c r="G78" s="627">
        <f>V78</f>
        <v>17184270</v>
      </c>
      <c r="H78" s="628">
        <f>T78</f>
        <v>17186822</v>
      </c>
      <c r="I78" s="1090"/>
      <c r="J78" s="629">
        <v>17175310</v>
      </c>
      <c r="K78" s="620">
        <f t="shared" si="52"/>
        <v>-28921</v>
      </c>
      <c r="L78" s="622">
        <f t="shared" si="53"/>
        <v>-1.6799158769970021E-3</v>
      </c>
      <c r="M78" s="620">
        <f t="shared" si="54"/>
        <v>2552</v>
      </c>
      <c r="N78" s="622">
        <f t="shared" si="55"/>
        <v>1.4850790868625784E-4</v>
      </c>
      <c r="O78" s="620">
        <f t="shared" si="56"/>
        <v>11512</v>
      </c>
      <c r="P78" s="622">
        <f t="shared" si="57"/>
        <v>6.7026446684222878E-4</v>
      </c>
      <c r="Q78" s="487" t="str">
        <f t="shared" si="51"/>
        <v>表示（判定）</v>
      </c>
      <c r="S78" s="774">
        <f>'[1]3条支出'!$E$19-[4]雨汚水!$E$85</f>
        <v>17186821953</v>
      </c>
      <c r="T78" s="580">
        <f t="shared" ref="T78:T82" si="59">ROUND(S78/1000,0)+U78</f>
        <v>17186822</v>
      </c>
      <c r="U78" s="580"/>
      <c r="V78" s="580">
        <f t="shared" ref="V78:V79" si="60">SUM(W78:X78)</f>
        <v>17184270</v>
      </c>
      <c r="W78" s="580"/>
      <c r="X78" s="581">
        <v>17184270</v>
      </c>
      <c r="Y78" s="581"/>
      <c r="Z78" s="581" t="s">
        <v>572</v>
      </c>
    </row>
    <row r="79" spans="1:26" s="753" customFormat="1" ht="20.85" customHeight="1">
      <c r="A79" s="769"/>
      <c r="B79" s="775"/>
      <c r="C79" s="776"/>
      <c r="D79" s="772" t="s">
        <v>369</v>
      </c>
      <c r="E79" s="773"/>
      <c r="F79" s="647">
        <v>261334</v>
      </c>
      <c r="G79" s="627">
        <f>V79</f>
        <v>397581</v>
      </c>
      <c r="H79" s="628">
        <f>T79</f>
        <v>383027</v>
      </c>
      <c r="I79" s="1090"/>
      <c r="J79" s="629">
        <v>268248</v>
      </c>
      <c r="K79" s="620">
        <f t="shared" si="52"/>
        <v>121693</v>
      </c>
      <c r="L79" s="622">
        <f t="shared" si="53"/>
        <v>0.46566080188570946</v>
      </c>
      <c r="M79" s="620">
        <f t="shared" si="54"/>
        <v>-14554</v>
      </c>
      <c r="N79" s="622">
        <f t="shared" si="55"/>
        <v>-3.6606377065302419E-2</v>
      </c>
      <c r="O79" s="620">
        <f t="shared" si="56"/>
        <v>114779</v>
      </c>
      <c r="P79" s="622">
        <f t="shared" si="57"/>
        <v>0.42788389848200176</v>
      </c>
      <c r="Q79" s="487" t="str">
        <f t="shared" si="51"/>
        <v>表示（判定）</v>
      </c>
      <c r="S79" s="774">
        <f>[1]減耗!$E$5-[4]雨汚水!$E$86</f>
        <v>383027146</v>
      </c>
      <c r="T79" s="580">
        <f t="shared" si="59"/>
        <v>383027</v>
      </c>
      <c r="U79" s="595"/>
      <c r="V79" s="580">
        <f t="shared" si="60"/>
        <v>397581</v>
      </c>
      <c r="W79" s="580">
        <v>-10316</v>
      </c>
      <c r="X79" s="581">
        <v>407897</v>
      </c>
      <c r="Y79" s="581"/>
      <c r="Z79" s="581" t="s">
        <v>573</v>
      </c>
    </row>
    <row r="80" spans="1:26" s="753" customFormat="1" ht="20.85" hidden="1" customHeight="1">
      <c r="A80" s="769"/>
      <c r="B80" s="775"/>
      <c r="C80" s="776"/>
      <c r="D80" s="772" t="s">
        <v>448</v>
      </c>
      <c r="E80" s="773"/>
      <c r="F80" s="647">
        <v>0</v>
      </c>
      <c r="G80" s="627">
        <f>V80</f>
        <v>0</v>
      </c>
      <c r="H80" s="628">
        <f>T80</f>
        <v>0</v>
      </c>
      <c r="I80" s="645"/>
      <c r="J80" s="629">
        <v>0</v>
      </c>
      <c r="K80" s="620" t="str">
        <f t="shared" si="52"/>
        <v xml:space="preserve">－ </v>
      </c>
      <c r="L80" s="622" t="str">
        <f t="shared" si="53"/>
        <v xml:space="preserve">－ </v>
      </c>
      <c r="M80" s="620" t="str">
        <f t="shared" si="54"/>
        <v xml:space="preserve">－ </v>
      </c>
      <c r="N80" s="622" t="str">
        <f t="shared" si="55"/>
        <v xml:space="preserve">－ </v>
      </c>
      <c r="O80" s="620" t="str">
        <f t="shared" si="56"/>
        <v xml:space="preserve">－ </v>
      </c>
      <c r="P80" s="622" t="str">
        <f t="shared" si="57"/>
        <v xml:space="preserve">－ </v>
      </c>
      <c r="Q80" s="487" t="str">
        <f t="shared" si="51"/>
        <v>×表示しない</v>
      </c>
      <c r="S80" s="580">
        <f>'(繰)3条支出 '!G28-'(繰)3条収入'!G20</f>
        <v>0</v>
      </c>
      <c r="T80" s="580">
        <f t="shared" si="59"/>
        <v>0</v>
      </c>
      <c r="U80" s="580"/>
      <c r="V80" s="580"/>
      <c r="W80" s="580"/>
      <c r="X80" s="581"/>
      <c r="Y80" s="581"/>
      <c r="Z80" s="581"/>
    </row>
    <row r="81" spans="1:26" s="753" customFormat="1" ht="20.85" hidden="1" customHeight="1">
      <c r="A81" s="769"/>
      <c r="B81" s="775"/>
      <c r="C81" s="776"/>
      <c r="D81" s="772" t="s">
        <v>449</v>
      </c>
      <c r="E81" s="773"/>
      <c r="F81" s="647">
        <v>0</v>
      </c>
      <c r="G81" s="627">
        <f>V81</f>
        <v>0</v>
      </c>
      <c r="H81" s="628">
        <f>T81</f>
        <v>-334</v>
      </c>
      <c r="I81" s="645"/>
      <c r="J81" s="629">
        <v>0</v>
      </c>
      <c r="K81" s="620">
        <f t="shared" si="52"/>
        <v>-334</v>
      </c>
      <c r="L81" s="622" t="e">
        <f t="shared" si="53"/>
        <v>#DIV/0!</v>
      </c>
      <c r="M81" s="620">
        <f t="shared" si="54"/>
        <v>-334</v>
      </c>
      <c r="N81" s="622" t="e">
        <f t="shared" si="55"/>
        <v>#DIV/0!</v>
      </c>
      <c r="O81" s="620">
        <f t="shared" si="56"/>
        <v>-334</v>
      </c>
      <c r="P81" s="622" t="e">
        <f t="shared" si="57"/>
        <v>#DIV/0!</v>
      </c>
      <c r="Q81" s="487" t="str">
        <f t="shared" si="51"/>
        <v>×表示しない</v>
      </c>
      <c r="S81" s="774">
        <f>-[4]雨汚水!$E$93</f>
        <v>-334220</v>
      </c>
      <c r="T81" s="580">
        <f t="shared" si="59"/>
        <v>-334</v>
      </c>
      <c r="U81" s="580"/>
      <c r="V81" s="580"/>
      <c r="W81" s="580"/>
      <c r="X81" s="581"/>
      <c r="Y81" s="581"/>
      <c r="Z81" s="581"/>
    </row>
    <row r="82" spans="1:26" s="753" customFormat="1" ht="20.85" customHeight="1">
      <c r="A82" s="769"/>
      <c r="B82" s="775"/>
      <c r="C82" s="776"/>
      <c r="D82" s="772" t="s">
        <v>375</v>
      </c>
      <c r="E82" s="773"/>
      <c r="F82" s="647">
        <v>0</v>
      </c>
      <c r="G82" s="627">
        <f>V82</f>
        <v>0</v>
      </c>
      <c r="H82" s="628">
        <f>T82</f>
        <v>10315</v>
      </c>
      <c r="I82" s="1090"/>
      <c r="J82" s="629">
        <v>0</v>
      </c>
      <c r="K82" s="620">
        <f t="shared" si="52"/>
        <v>10315</v>
      </c>
      <c r="L82" s="622" t="str">
        <f t="shared" si="53"/>
        <v xml:space="preserve">皆増 </v>
      </c>
      <c r="M82" s="620">
        <f t="shared" si="54"/>
        <v>10315</v>
      </c>
      <c r="N82" s="622" t="str">
        <f t="shared" si="55"/>
        <v xml:space="preserve">皆増 </v>
      </c>
      <c r="O82" s="620">
        <f t="shared" si="56"/>
        <v>10315</v>
      </c>
      <c r="P82" s="622" t="str">
        <f t="shared" si="57"/>
        <v xml:space="preserve">皆増 </v>
      </c>
      <c r="Q82" s="487" t="str">
        <f t="shared" si="51"/>
        <v>表示（判定）</v>
      </c>
      <c r="S82" s="774">
        <f>[4]雨汚水!$E$28</f>
        <v>10315355</v>
      </c>
      <c r="T82" s="580">
        <f t="shared" si="59"/>
        <v>10315</v>
      </c>
      <c r="U82" s="580"/>
      <c r="V82" s="580"/>
      <c r="W82" s="580"/>
      <c r="X82" s="581"/>
      <c r="Y82" s="581"/>
      <c r="Z82" s="581"/>
    </row>
    <row r="83" spans="1:26" s="753" customFormat="1" ht="20.85" hidden="1" customHeight="1">
      <c r="A83" s="769"/>
      <c r="B83" s="777"/>
      <c r="C83" s="778"/>
      <c r="D83" s="772" t="s">
        <v>450</v>
      </c>
      <c r="E83" s="773"/>
      <c r="F83" s="647">
        <v>0</v>
      </c>
      <c r="G83" s="644">
        <v>0</v>
      </c>
      <c r="H83" s="638">
        <v>0</v>
      </c>
      <c r="I83" s="1079"/>
      <c r="J83" s="629">
        <v>0</v>
      </c>
      <c r="K83" s="620" t="str">
        <f t="shared" si="52"/>
        <v xml:space="preserve">－ </v>
      </c>
      <c r="L83" s="622" t="str">
        <f t="shared" si="53"/>
        <v xml:space="preserve">－ </v>
      </c>
      <c r="M83" s="620" t="str">
        <f t="shared" si="54"/>
        <v xml:space="preserve">－ </v>
      </c>
      <c r="N83" s="622" t="str">
        <f t="shared" si="55"/>
        <v xml:space="preserve">－ </v>
      </c>
      <c r="O83" s="620" t="str">
        <f t="shared" si="56"/>
        <v xml:space="preserve">－ </v>
      </c>
      <c r="P83" s="622" t="str">
        <f t="shared" si="57"/>
        <v xml:space="preserve">－ </v>
      </c>
      <c r="Q83" s="487" t="str">
        <f t="shared" si="51"/>
        <v>×表示しない</v>
      </c>
      <c r="S83" s="580"/>
      <c r="T83" s="580"/>
      <c r="U83" s="580"/>
      <c r="V83" s="580"/>
      <c r="W83" s="580"/>
      <c r="X83" s="581"/>
      <c r="Y83" s="581"/>
      <c r="Z83" s="581"/>
    </row>
    <row r="84" spans="1:26" s="753" customFormat="1" ht="20.85" hidden="1" customHeight="1">
      <c r="A84" s="769"/>
      <c r="B84" s="1535" t="s">
        <v>451</v>
      </c>
      <c r="C84" s="1535"/>
      <c r="D84" s="1536"/>
      <c r="E84" s="773"/>
      <c r="F84" s="779"/>
      <c r="G84" s="644"/>
      <c r="H84" s="638"/>
      <c r="I84" s="1079"/>
      <c r="J84" s="629"/>
      <c r="K84" s="620" t="str">
        <f t="shared" si="52"/>
        <v xml:space="preserve">－ </v>
      </c>
      <c r="L84" s="622" t="str">
        <f t="shared" si="53"/>
        <v xml:space="preserve">－ </v>
      </c>
      <c r="M84" s="620" t="str">
        <f t="shared" si="54"/>
        <v xml:space="preserve">－ </v>
      </c>
      <c r="N84" s="622" t="str">
        <f t="shared" si="55"/>
        <v xml:space="preserve">－ </v>
      </c>
      <c r="O84" s="620" t="str">
        <f t="shared" si="56"/>
        <v xml:space="preserve">－ </v>
      </c>
      <c r="P84" s="622" t="str">
        <f t="shared" si="57"/>
        <v xml:space="preserve">－ </v>
      </c>
      <c r="Q84" s="487" t="str">
        <f t="shared" si="51"/>
        <v>×表示しない</v>
      </c>
      <c r="S84" s="580"/>
      <c r="T84" s="580"/>
      <c r="U84" s="580"/>
      <c r="V84" s="580"/>
      <c r="W84" s="580"/>
      <c r="X84" s="581"/>
      <c r="Y84" s="581"/>
      <c r="Z84" s="581"/>
    </row>
    <row r="85" spans="1:26" s="753" customFormat="1" ht="20.85" customHeight="1">
      <c r="A85" s="769"/>
      <c r="B85" s="1537" t="s">
        <v>452</v>
      </c>
      <c r="C85" s="1537"/>
      <c r="D85" s="1538"/>
      <c r="E85" s="780"/>
      <c r="F85" s="781">
        <v>902218</v>
      </c>
      <c r="G85" s="627">
        <f>V85</f>
        <v>967482</v>
      </c>
      <c r="H85" s="628">
        <f>T85</f>
        <v>923596</v>
      </c>
      <c r="I85" s="1091"/>
      <c r="J85" s="650">
        <v>769660</v>
      </c>
      <c r="K85" s="620">
        <f t="shared" si="52"/>
        <v>21378</v>
      </c>
      <c r="L85" s="622">
        <f t="shared" si="53"/>
        <v>2.369493847385E-2</v>
      </c>
      <c r="M85" s="620">
        <f t="shared" si="54"/>
        <v>-43886</v>
      </c>
      <c r="N85" s="622">
        <f t="shared" si="55"/>
        <v>-4.536105064486988E-2</v>
      </c>
      <c r="O85" s="620">
        <f t="shared" si="56"/>
        <v>153936</v>
      </c>
      <c r="P85" s="622">
        <f t="shared" si="57"/>
        <v>0.20000519710001818</v>
      </c>
      <c r="Q85" s="487" t="str">
        <f t="shared" si="51"/>
        <v>表示（判定）</v>
      </c>
      <c r="S85" s="580">
        <f>'(繰)案'!E33</f>
        <v>923595698</v>
      </c>
      <c r="T85" s="580">
        <f t="shared" ref="T85:T87" si="61">ROUND(S85/1000,0)+U85</f>
        <v>923596</v>
      </c>
      <c r="U85" s="580"/>
      <c r="V85" s="580">
        <f t="shared" ref="V85:V86" si="62">SUM(W85:X85)</f>
        <v>967482</v>
      </c>
      <c r="W85" s="580"/>
      <c r="X85" s="581">
        <v>967482</v>
      </c>
      <c r="Y85" s="581"/>
      <c r="Z85" s="581" t="s">
        <v>574</v>
      </c>
    </row>
    <row r="86" spans="1:26" s="753" customFormat="1" ht="20.85" customHeight="1">
      <c r="A86" s="769"/>
      <c r="B86" s="1539" t="s">
        <v>453</v>
      </c>
      <c r="C86" s="1540"/>
      <c r="D86" s="1541"/>
      <c r="E86" s="780"/>
      <c r="F86" s="781">
        <v>1049566</v>
      </c>
      <c r="G86" s="627">
        <f>V86</f>
        <v>1049566</v>
      </c>
      <c r="H86" s="628">
        <f>T86</f>
        <v>1049566</v>
      </c>
      <c r="I86" s="1091"/>
      <c r="J86" s="650">
        <v>1198605</v>
      </c>
      <c r="K86" s="782">
        <f t="shared" si="52"/>
        <v>0</v>
      </c>
      <c r="L86" s="634">
        <f t="shared" si="53"/>
        <v>0</v>
      </c>
      <c r="M86" s="782">
        <f t="shared" si="54"/>
        <v>0</v>
      </c>
      <c r="N86" s="634">
        <f t="shared" si="55"/>
        <v>0</v>
      </c>
      <c r="O86" s="782">
        <f t="shared" si="56"/>
        <v>-149039</v>
      </c>
      <c r="P86" s="634">
        <f t="shared" si="57"/>
        <v>-0.12434371623679194</v>
      </c>
      <c r="Q86" s="487" t="str">
        <f t="shared" si="51"/>
        <v>表示（判定）</v>
      </c>
      <c r="S86" s="580">
        <f>'(繰)案'!E34</f>
        <v>1049566207</v>
      </c>
      <c r="T86" s="580">
        <f t="shared" si="61"/>
        <v>1049566</v>
      </c>
      <c r="U86" s="580"/>
      <c r="V86" s="580">
        <f t="shared" si="62"/>
        <v>1049566</v>
      </c>
      <c r="W86" s="580"/>
      <c r="X86" s="581">
        <v>1049566</v>
      </c>
      <c r="Y86" s="581"/>
      <c r="Z86" s="581" t="s">
        <v>575</v>
      </c>
    </row>
    <row r="87" spans="1:26" s="753" customFormat="1" ht="20.85" customHeight="1" thickBot="1">
      <c r="A87" s="783"/>
      <c r="B87" s="1528" t="s">
        <v>454</v>
      </c>
      <c r="C87" s="1528"/>
      <c r="D87" s="1529"/>
      <c r="E87" s="784">
        <v>0</v>
      </c>
      <c r="F87" s="653">
        <v>0</v>
      </c>
      <c r="G87" s="730">
        <f>V87</f>
        <v>0</v>
      </c>
      <c r="H87" s="731">
        <f>T87</f>
        <v>56815</v>
      </c>
      <c r="I87" s="1097"/>
      <c r="J87" s="656">
        <v>2352</v>
      </c>
      <c r="K87" s="657">
        <f t="shared" si="52"/>
        <v>56815</v>
      </c>
      <c r="L87" s="659" t="str">
        <f t="shared" si="53"/>
        <v xml:space="preserve">皆増 </v>
      </c>
      <c r="M87" s="657">
        <f t="shared" si="54"/>
        <v>56815</v>
      </c>
      <c r="N87" s="659" t="str">
        <f t="shared" si="55"/>
        <v xml:space="preserve">皆増 </v>
      </c>
      <c r="O87" s="657">
        <f t="shared" si="56"/>
        <v>54463</v>
      </c>
      <c r="P87" s="659">
        <f t="shared" si="57"/>
        <v>23.156037414965986</v>
      </c>
      <c r="Q87" s="487" t="str">
        <f t="shared" si="51"/>
        <v>表示（判定）</v>
      </c>
      <c r="S87" s="580">
        <f>'(繰)案'!E35</f>
        <v>56814914</v>
      </c>
      <c r="T87" s="580">
        <f t="shared" si="61"/>
        <v>56815</v>
      </c>
      <c r="U87" s="580"/>
      <c r="V87" s="580"/>
      <c r="W87" s="580"/>
      <c r="X87" s="581"/>
      <c r="Y87" s="581"/>
      <c r="Z87" s="581"/>
    </row>
    <row r="88" spans="1:26" ht="12.75" thickBot="1">
      <c r="A88" s="674"/>
      <c r="B88" s="674"/>
      <c r="C88" s="674"/>
      <c r="D88" s="674"/>
      <c r="F88" s="440"/>
      <c r="G88" s="440"/>
      <c r="H88" s="675"/>
      <c r="I88" s="1094"/>
      <c r="J88" s="440"/>
      <c r="K88" s="758"/>
      <c r="L88" s="759"/>
      <c r="M88" s="758"/>
      <c r="N88" s="759"/>
      <c r="O88" s="758"/>
      <c r="P88" s="759"/>
      <c r="Q88" s="487" t="s">
        <v>543</v>
      </c>
      <c r="S88" s="580" t="s">
        <v>383</v>
      </c>
      <c r="T88" s="580">
        <f>SUM(T78:T87)</f>
        <v>19609807</v>
      </c>
    </row>
    <row r="89" spans="1:26" s="753" customFormat="1" ht="20.85" customHeight="1">
      <c r="A89" s="785"/>
      <c r="B89" s="785"/>
      <c r="C89" s="785"/>
      <c r="D89" s="786" t="s">
        <v>455</v>
      </c>
      <c r="E89" s="787"/>
      <c r="F89" s="708">
        <f>ROUND('(繰)3条支出 '!D4/1000,0)+'４条（みなし）'!F44</f>
        <v>106009210</v>
      </c>
      <c r="G89" s="709">
        <f>'3条税込'!G36+'４条（みなし）'!G44</f>
        <v>104881156</v>
      </c>
      <c r="H89" s="710">
        <f>ROUND('(繰)3条支出 '!G4/1000,0)+'４条（みなし）'!H44</f>
        <v>104496568</v>
      </c>
      <c r="I89" s="1095"/>
      <c r="J89" s="788">
        <v>104358360</v>
      </c>
      <c r="K89" s="712">
        <f t="shared" ref="K89:K90" si="63">IF(AND(F89=0,$H89=0),"－ ",$H89-F89)</f>
        <v>-1512642</v>
      </c>
      <c r="L89" s="714">
        <f t="shared" ref="L89:L90" si="64">IF(AND(F89=0,$H89&gt;0),"皆増 ",IF(AND(F89&gt;0,$H89=0),"皆減 ",IF(AND(F89=0,$H89=0),"－ ",K89/F89)))</f>
        <v>-1.426896776232933E-2</v>
      </c>
      <c r="M89" s="712">
        <f t="shared" ref="M89:M90" si="65">IF(AND(G89=0,$H89=0),"－ ",$H89-G89)</f>
        <v>-384588</v>
      </c>
      <c r="N89" s="714">
        <f t="shared" ref="N89:N90" si="66">IF(AND(G89=0,$H89&gt;0),"皆増 ",IF(AND(G89&gt;0,$H89=0),"皆減 ",IF(AND(G89=0,$H89=0),"－ ",M89/G89)))</f>
        <v>-3.6668932215049195E-3</v>
      </c>
      <c r="O89" s="712">
        <f t="shared" ref="O89:O90" si="67">IF(AND(J89=0,$H89=0),"－ ",$H89-J89)</f>
        <v>138208</v>
      </c>
      <c r="P89" s="714">
        <f t="shared" ref="P89:P90" si="68">IF(AND(J89=0,$H89&gt;0),"皆増 ",IF(AND(J89&gt;0,$H89=0),"皆減 ",IF(AND(J89=0,$H89=0),"－ ",O89/J89)))</f>
        <v>1.3243596392277532E-3</v>
      </c>
      <c r="Q89" s="487" t="str">
        <f t="shared" si="51"/>
        <v>表示（判定）</v>
      </c>
      <c r="S89" s="580"/>
      <c r="T89" s="580"/>
      <c r="U89" s="580"/>
      <c r="V89" s="580"/>
      <c r="W89" s="580"/>
      <c r="X89" s="581"/>
      <c r="Y89" s="581"/>
      <c r="Z89" s="581"/>
    </row>
    <row r="90" spans="1:26" s="753" customFormat="1" ht="20.85" customHeight="1" thickBot="1">
      <c r="A90" s="785"/>
      <c r="B90" s="785"/>
      <c r="C90" s="785"/>
      <c r="D90" s="789" t="s">
        <v>456</v>
      </c>
      <c r="E90" s="790"/>
      <c r="F90" s="791">
        <f>'３条 税抜'!F33+'４条（みなし）'!F38</f>
        <v>17495336</v>
      </c>
      <c r="G90" s="792">
        <f>'３条 税抜'!G33+'４条（みなし）'!G38</f>
        <v>17338938</v>
      </c>
      <c r="H90" s="793">
        <f>'３条 税抜'!H33+'４条（みなし）'!H38</f>
        <v>17481811</v>
      </c>
      <c r="I90" s="1099"/>
      <c r="J90" s="794">
        <f>'３条 税抜'!I33+'４条（みなし）'!J38</f>
        <v>18458499</v>
      </c>
      <c r="K90" s="795">
        <f t="shared" si="63"/>
        <v>-13525</v>
      </c>
      <c r="L90" s="796">
        <f t="shared" si="64"/>
        <v>-7.730631752371032E-4</v>
      </c>
      <c r="M90" s="795">
        <f t="shared" si="65"/>
        <v>142873</v>
      </c>
      <c r="N90" s="796">
        <f t="shared" si="66"/>
        <v>8.2400087018016897E-3</v>
      </c>
      <c r="O90" s="795">
        <f t="shared" si="67"/>
        <v>-976688</v>
      </c>
      <c r="P90" s="796">
        <f t="shared" si="68"/>
        <v>-5.2912644738881534E-2</v>
      </c>
      <c r="Q90" s="487" t="str">
        <f t="shared" si="51"/>
        <v>表示（判定）</v>
      </c>
      <c r="S90" s="580"/>
      <c r="T90" s="580"/>
      <c r="U90" s="580"/>
      <c r="V90" s="580"/>
      <c r="W90" s="580"/>
      <c r="X90" s="581"/>
      <c r="Y90" s="581"/>
      <c r="Z90" s="581"/>
    </row>
  </sheetData>
  <autoFilter ref="A6:Z90">
    <filterColumn colId="16">
      <filters>
        <filter val="表示"/>
        <filter val="表示（判定）"/>
      </filters>
    </filterColumn>
  </autoFilter>
  <mergeCells count="48">
    <mergeCell ref="B87:D87"/>
    <mergeCell ref="A74:D74"/>
    <mergeCell ref="A76:D76"/>
    <mergeCell ref="B77:D77"/>
    <mergeCell ref="B84:D84"/>
    <mergeCell ref="B85:D85"/>
    <mergeCell ref="B86:D86"/>
    <mergeCell ref="A73:D73"/>
    <mergeCell ref="C58:D58"/>
    <mergeCell ref="C59:D59"/>
    <mergeCell ref="C60:D60"/>
    <mergeCell ref="C61:D61"/>
    <mergeCell ref="B62:D62"/>
    <mergeCell ref="B63:D63"/>
    <mergeCell ref="C64:D64"/>
    <mergeCell ref="C68:D68"/>
    <mergeCell ref="B69:D69"/>
    <mergeCell ref="B70:D70"/>
    <mergeCell ref="A72:D72"/>
    <mergeCell ref="C57:D57"/>
    <mergeCell ref="A44:D44"/>
    <mergeCell ref="B45:D45"/>
    <mergeCell ref="C46:D46"/>
    <mergeCell ref="C55:D55"/>
    <mergeCell ref="C56:D56"/>
    <mergeCell ref="C30:D30"/>
    <mergeCell ref="C31:D31"/>
    <mergeCell ref="B35:D35"/>
    <mergeCell ref="B36:D36"/>
    <mergeCell ref="A38:D38"/>
    <mergeCell ref="C29:D29"/>
    <mergeCell ref="C18:D18"/>
    <mergeCell ref="B19:D19"/>
    <mergeCell ref="B20:D20"/>
    <mergeCell ref="B21:D21"/>
    <mergeCell ref="B22:D22"/>
    <mergeCell ref="B23:D23"/>
    <mergeCell ref="C24:D24"/>
    <mergeCell ref="C25:D25"/>
    <mergeCell ref="C26:D26"/>
    <mergeCell ref="C27:D27"/>
    <mergeCell ref="B28:D28"/>
    <mergeCell ref="A5:D5"/>
    <mergeCell ref="O3:P3"/>
    <mergeCell ref="C17:D17"/>
    <mergeCell ref="A7:D7"/>
    <mergeCell ref="B8:D8"/>
    <mergeCell ref="C9:D9"/>
  </mergeCells>
  <phoneticPr fontId="3"/>
  <printOptions horizontalCentered="1"/>
  <pageMargins left="0.70866141732283472" right="0" top="0.51181102362204722" bottom="0.39370078740157483" header="0.27559055118110237" footer="0"/>
  <pageSetup paperSize="9" scale="68" fitToWidth="0" fitToHeight="0" orientation="portrait" blackAndWhite="1" cellComments="asDisplayed" r:id="rId1"/>
  <headerFooter alignWithMargins="0">
    <oddHeader>&amp;R&amp;8&amp;D &amp;T</oddHeader>
    <oddFooter>&amp;L&amp;8&amp;F &amp;A</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66FF33"/>
  </sheetPr>
  <dimension ref="A1:X91"/>
  <sheetViews>
    <sheetView showGridLines="0" view="pageBreakPreview" zoomScale="115" zoomScaleNormal="85" zoomScaleSheetLayoutView="115" workbookViewId="0">
      <pane xSplit="5" ySplit="6" topLeftCell="F7" activePane="bottomRight" state="frozen"/>
      <selection activeCell="F9" sqref="F9"/>
      <selection pane="topRight" activeCell="F9" sqref="F9"/>
      <selection pane="bottomLeft" activeCell="F9" sqref="F9"/>
      <selection pane="bottomRight" activeCell="F9" sqref="F9"/>
    </sheetView>
  </sheetViews>
  <sheetFormatPr defaultColWidth="9" defaultRowHeight="20.25" customHeight="1" outlineLevelRow="1" outlineLevelCol="1"/>
  <cols>
    <col min="1" max="3" width="1.375" customWidth="1"/>
    <col min="4" max="4" width="26" customWidth="1"/>
    <col min="5" max="5" width="12" hidden="1" customWidth="1" outlineLevel="1"/>
    <col min="6" max="6" width="12.375" customWidth="1" collapsed="1"/>
    <col min="7" max="10" width="12.375" customWidth="1"/>
    <col min="11" max="11" width="9.5" customWidth="1"/>
    <col min="12" max="12" width="6" customWidth="1"/>
    <col min="13" max="13" width="9.5" customWidth="1"/>
    <col min="14" max="14" width="6" customWidth="1"/>
    <col min="15" max="15" width="9.5" customWidth="1"/>
    <col min="16" max="16" width="6" customWidth="1"/>
    <col min="17" max="17" width="7.375" customWidth="1" outlineLevel="1"/>
    <col min="18" max="18" width="15" customWidth="1"/>
    <col min="19" max="19" width="20.5" bestFit="1" customWidth="1"/>
    <col min="20" max="20" width="15.5" bestFit="1" customWidth="1"/>
    <col min="22" max="22" width="9.125" bestFit="1" customWidth="1"/>
    <col min="23" max="23" width="13.25" bestFit="1" customWidth="1"/>
    <col min="24" max="24" width="13.875" bestFit="1" customWidth="1"/>
  </cols>
  <sheetData>
    <row r="1" spans="1:21" s="578" customFormat="1" ht="20.25" customHeight="1">
      <c r="A1" s="577" t="str">
        <f>+CONCATENATE("令和",+DBCS(MID(F5,2,1)),"年度決算　資本的収支（税込）（実決算）")</f>
        <v>令和５年度決算　資本的収支（税込）（実決算）</v>
      </c>
      <c r="F1" s="985"/>
      <c r="G1" s="985"/>
      <c r="H1" s="985"/>
      <c r="I1" s="985"/>
      <c r="J1" s="985"/>
      <c r="P1" s="1200" t="str">
        <f>総括表!$K$1</f>
        <v>令和6年5月22日</v>
      </c>
      <c r="R1" s="986"/>
      <c r="S1" s="986"/>
    </row>
    <row r="2" spans="1:21" s="578" customFormat="1" ht="20.25" hidden="1" customHeight="1" outlineLevel="1">
      <c r="F2" s="985"/>
      <c r="G2" s="985"/>
      <c r="H2" s="985"/>
      <c r="I2" s="985"/>
      <c r="J2" s="985"/>
      <c r="R2" s="986"/>
      <c r="S2" s="986"/>
    </row>
    <row r="3" spans="1:21" s="578" customFormat="1" ht="20.25" customHeight="1" collapsed="1" thickBot="1">
      <c r="A3" s="582" t="s">
        <v>324</v>
      </c>
      <c r="B3" s="438"/>
      <c r="C3" s="438"/>
      <c r="D3" s="438"/>
      <c r="E3" s="438"/>
      <c r="F3" s="987"/>
      <c r="G3" s="987"/>
      <c r="H3" s="988"/>
      <c r="I3" s="988"/>
      <c r="J3" s="988"/>
      <c r="K3" s="1542"/>
      <c r="L3" s="1542"/>
      <c r="M3" s="1542"/>
      <c r="N3" s="1542"/>
      <c r="O3" s="1542" t="s">
        <v>325</v>
      </c>
      <c r="P3" s="1542"/>
      <c r="Q3" s="959"/>
      <c r="R3" s="986"/>
      <c r="S3" s="986"/>
    </row>
    <row r="4" spans="1:21" s="578" customFormat="1" ht="12.75" thickBot="1">
      <c r="A4" s="444"/>
      <c r="B4" s="445"/>
      <c r="C4" s="445"/>
      <c r="D4" s="446"/>
      <c r="E4" s="447"/>
      <c r="F4" s="448"/>
      <c r="G4" s="1006"/>
      <c r="H4" s="1006"/>
      <c r="I4" s="1006"/>
      <c r="J4" s="449"/>
      <c r="K4" s="452" t="s">
        <v>523</v>
      </c>
      <c r="L4" s="451"/>
      <c r="M4" s="1005"/>
      <c r="N4" s="451"/>
      <c r="O4" s="452"/>
      <c r="P4" s="453"/>
      <c r="Q4" s="1008"/>
      <c r="R4" s="1009"/>
      <c r="S4" s="986"/>
    </row>
    <row r="5" spans="1:21" s="578" customFormat="1" ht="24">
      <c r="A5" s="1457" t="s">
        <v>533</v>
      </c>
      <c r="B5" s="1458"/>
      <c r="C5" s="1458"/>
      <c r="D5" s="1459"/>
      <c r="E5" s="456" t="s">
        <v>328</v>
      </c>
      <c r="F5" s="457" t="s">
        <v>531</v>
      </c>
      <c r="G5" s="460" t="s">
        <v>529</v>
      </c>
      <c r="H5" s="460" t="s">
        <v>530</v>
      </c>
      <c r="I5" s="460" t="s">
        <v>649</v>
      </c>
      <c r="J5" s="458" t="s">
        <v>532</v>
      </c>
      <c r="K5" s="1201" t="s">
        <v>527</v>
      </c>
      <c r="L5" s="1202"/>
      <c r="M5" s="1203" t="s">
        <v>645</v>
      </c>
      <c r="N5" s="1202"/>
      <c r="O5" s="1201" t="s">
        <v>525</v>
      </c>
      <c r="P5" s="1204"/>
      <c r="Q5" s="1008"/>
      <c r="R5" s="1010" t="s">
        <v>458</v>
      </c>
      <c r="S5" s="986"/>
    </row>
    <row r="6" spans="1:21" s="578" customFormat="1" ht="12">
      <c r="A6" s="465"/>
      <c r="B6" s="466"/>
      <c r="C6" s="466"/>
      <c r="D6" s="467"/>
      <c r="E6" s="468"/>
      <c r="F6" s="469" t="s">
        <v>519</v>
      </c>
      <c r="G6" s="472" t="s">
        <v>520</v>
      </c>
      <c r="H6" s="472" t="s">
        <v>521</v>
      </c>
      <c r="I6" s="472" t="s">
        <v>641</v>
      </c>
      <c r="J6" s="470" t="s">
        <v>522</v>
      </c>
      <c r="K6" s="475" t="s">
        <v>643</v>
      </c>
      <c r="L6" s="474" t="s">
        <v>330</v>
      </c>
      <c r="M6" s="473" t="s">
        <v>646</v>
      </c>
      <c r="N6" s="474" t="s">
        <v>330</v>
      </c>
      <c r="O6" s="475" t="s">
        <v>647</v>
      </c>
      <c r="P6" s="476" t="s">
        <v>330</v>
      </c>
      <c r="Q6" s="1003"/>
      <c r="R6" s="1011"/>
      <c r="S6" s="986"/>
      <c r="U6" s="477" t="s">
        <v>384</v>
      </c>
    </row>
    <row r="7" spans="1:21" s="578" customFormat="1" ht="20.25" customHeight="1">
      <c r="A7" s="1492" t="s">
        <v>389</v>
      </c>
      <c r="B7" s="1493"/>
      <c r="C7" s="1493"/>
      <c r="D7" s="1494"/>
      <c r="E7" s="596">
        <f t="shared" ref="E7:J7" si="0">SUM(E8,E19:E23,E28,E35,E36)</f>
        <v>0</v>
      </c>
      <c r="F7" s="1140">
        <f t="shared" si="0"/>
        <v>51048450</v>
      </c>
      <c r="G7" s="1141">
        <f t="shared" si="0"/>
        <v>50593733</v>
      </c>
      <c r="H7" s="1141">
        <f t="shared" si="0"/>
        <v>42025205</v>
      </c>
      <c r="I7" s="1141">
        <f t="shared" si="0"/>
        <v>8639285.7390000001</v>
      </c>
      <c r="J7" s="1142">
        <f t="shared" si="0"/>
        <v>40554721</v>
      </c>
      <c r="K7" s="1127">
        <f>IF(AND(F7=0,$H7+$I7=0),"－ ",$H7+$I7-F7)</f>
        <v>-383959.26099999994</v>
      </c>
      <c r="L7" s="602">
        <f>IF(AND(F7=0,$H7+$I7&gt;0),"皆増 ",IF(AND(F7&gt;0,$H7+$I7=0),"皆減 ",IF(AND(F7=0,$H7+$I7=0),"－ ",K7/F7)))</f>
        <v>-7.5214675665960466E-3</v>
      </c>
      <c r="M7" s="1127">
        <f>IF(AND(G7=0,$H7+$I7=0),"－ ",$H7+$I7-G7)</f>
        <v>70757.73900000006</v>
      </c>
      <c r="N7" s="602">
        <f>IF(AND(F7=0,$H7+$I7&gt;0),"皆増 ",IF(AND(F7&gt;0,$H7+$I7=0),"皆減 ",IF(AND(F7=0,$H7+$I7=0),"－ ",M7/F7)))</f>
        <v>1.386089861690219E-3</v>
      </c>
      <c r="O7" s="1127">
        <f t="shared" ref="O7" si="1">IF(AND(J7=0,$H7=0),"－ ",$H7-J7)</f>
        <v>1470484</v>
      </c>
      <c r="P7" s="603">
        <f>IF(AND(J7=0,$H7&gt;0),"皆増 ",IF(AND(J7&gt;0,$H7=0),"皆減 ",IF(AND(J7=0,$H7=0),"－ ",O7/J7)))</f>
        <v>3.6259255734985826E-2</v>
      </c>
      <c r="Q7" s="487" t="str">
        <f t="shared" ref="Q7:Q38" si="2">IF(OR(F7&gt;0,G7&gt;0,H7&gt;0,I7&gt;0,J7&gt;0),"表示（判定）","×表示しない")</f>
        <v>表示（判定）</v>
      </c>
      <c r="R7" s="986"/>
      <c r="S7" s="986">
        <f>IF('(繰)4条収入'!I5=SUM(S10:S36),'(繰)4条収入'!I5,"エラー")</f>
        <v>42025205141</v>
      </c>
      <c r="T7" s="986">
        <f>ROUND(S7/1000,0)+U7</f>
        <v>42025205</v>
      </c>
    </row>
    <row r="8" spans="1:21" s="578" customFormat="1" ht="20.25" customHeight="1">
      <c r="A8" s="604"/>
      <c r="B8" s="1495" t="s">
        <v>390</v>
      </c>
      <c r="C8" s="1495"/>
      <c r="D8" s="1496"/>
      <c r="E8" s="605">
        <f>SUM(E9,E18)</f>
        <v>0</v>
      </c>
      <c r="F8" s="1143">
        <f>SUM(F9,F17,F18)</f>
        <v>37752600</v>
      </c>
      <c r="G8" s="1144">
        <f>SUM(G9,G17,G18)</f>
        <v>37600100</v>
      </c>
      <c r="H8" s="1144">
        <f>SUM(H9,H17,H18)</f>
        <v>32373300</v>
      </c>
      <c r="I8" s="1144">
        <f>SUM(I9,I17,I18)</f>
        <v>5226800</v>
      </c>
      <c r="J8" s="1145">
        <f>SUM(J9,J17,J18)</f>
        <v>30054100</v>
      </c>
      <c r="K8" s="1128">
        <f t="shared" ref="K8:K36" si="3">IF(AND(F8=0,$H8+$I8=0),"－ ",$H8+$I8-F8)</f>
        <v>-152500</v>
      </c>
      <c r="L8" s="611">
        <f t="shared" ref="L8:L36" si="4">IF(AND(F8=0,$H8+$I8&gt;0),"皆増 ",IF(AND(F8&gt;0,$H8+$I8=0),"皆減 ",IF(AND(F8=0,$H8+$I8=0),"－ ",K8/F8)))</f>
        <v>-4.0394568850887092E-3</v>
      </c>
      <c r="M8" s="1128">
        <f t="shared" ref="M8:M36" si="5">IF(AND(G8=0,$H8+$I8=0),"－ ",$H8+$I8-G8)</f>
        <v>0</v>
      </c>
      <c r="N8" s="611">
        <f t="shared" ref="N8:N36" si="6">IF(AND(F8=0,$H8+$I8&gt;0),"皆増 ",IF(AND(F8&gt;0,$H8+$I8=0),"皆減 ",IF(AND(F8=0,$H8+$I8=0),"－ ",M8/F8)))</f>
        <v>0</v>
      </c>
      <c r="O8" s="1128">
        <f t="shared" ref="O8:O36" si="7">IF(AND(J8=0,$H8=0),"－ ",$H8-J8)</f>
        <v>2319200</v>
      </c>
      <c r="P8" s="613">
        <f t="shared" ref="P8:P36" si="8">IF(AND(J8=0,$H8&gt;0),"皆増 ",IF(AND(J8&gt;0,$H8=0),"皆減 ",IF(AND(J8=0,$H8=0),"－ ",O8/J8)))</f>
        <v>7.7167507927370968E-2</v>
      </c>
      <c r="Q8" s="1004" t="str">
        <f t="shared" si="2"/>
        <v>表示（判定）</v>
      </c>
      <c r="R8" s="986"/>
      <c r="S8" s="986"/>
    </row>
    <row r="9" spans="1:21" s="578" customFormat="1" ht="20.25" customHeight="1">
      <c r="A9" s="604"/>
      <c r="B9" s="614"/>
      <c r="C9" s="1497" t="s">
        <v>391</v>
      </c>
      <c r="D9" s="1498"/>
      <c r="E9" s="615">
        <f t="shared" ref="E9:J9" si="9">SUM(E10:E16)</f>
        <v>0</v>
      </c>
      <c r="F9" s="1146">
        <f t="shared" si="9"/>
        <v>20741800</v>
      </c>
      <c r="G9" s="1147">
        <f t="shared" si="9"/>
        <v>20592400</v>
      </c>
      <c r="H9" s="1147">
        <f t="shared" si="9"/>
        <v>15365600</v>
      </c>
      <c r="I9" s="1147">
        <f t="shared" si="9"/>
        <v>5226800</v>
      </c>
      <c r="J9" s="1148">
        <f t="shared" si="9"/>
        <v>13720600</v>
      </c>
      <c r="K9" s="1129">
        <f t="shared" si="3"/>
        <v>-149400</v>
      </c>
      <c r="L9" s="621">
        <f t="shared" si="4"/>
        <v>-7.2028464260575267E-3</v>
      </c>
      <c r="M9" s="1129">
        <f t="shared" si="5"/>
        <v>0</v>
      </c>
      <c r="N9" s="621">
        <f t="shared" si="6"/>
        <v>0</v>
      </c>
      <c r="O9" s="1129">
        <f t="shared" si="7"/>
        <v>1645000</v>
      </c>
      <c r="P9" s="622">
        <f t="shared" si="8"/>
        <v>0.11989271606197979</v>
      </c>
      <c r="Q9" s="1004" t="str">
        <f t="shared" si="2"/>
        <v>表示（判定）</v>
      </c>
      <c r="R9" s="986"/>
      <c r="S9" s="986"/>
    </row>
    <row r="10" spans="1:21" s="578" customFormat="1" ht="20.25" customHeight="1">
      <c r="A10" s="604"/>
      <c r="B10" s="623"/>
      <c r="C10" s="614"/>
      <c r="D10" s="958" t="s">
        <v>392</v>
      </c>
      <c r="E10" s="625"/>
      <c r="F10" s="1149">
        <f>ROUND('(繰)4条収入'!D7/1000,0)+R10</f>
        <v>13957900</v>
      </c>
      <c r="G10" s="1150">
        <f>'４条（みなし）'!G10+R10</f>
        <v>13957900</v>
      </c>
      <c r="H10" s="1151">
        <f>T10</f>
        <v>8822500</v>
      </c>
      <c r="I10" s="1151">
        <f>'(繰)4条収入'!L7/1000</f>
        <v>5135400</v>
      </c>
      <c r="J10" s="1152">
        <v>7346100</v>
      </c>
      <c r="K10" s="1129">
        <f t="shared" si="3"/>
        <v>0</v>
      </c>
      <c r="L10" s="621">
        <f t="shared" si="4"/>
        <v>0</v>
      </c>
      <c r="M10" s="1129">
        <f t="shared" si="5"/>
        <v>0</v>
      </c>
      <c r="N10" s="621">
        <f t="shared" si="6"/>
        <v>0</v>
      </c>
      <c r="O10" s="1129">
        <f t="shared" si="7"/>
        <v>1476400</v>
      </c>
      <c r="P10" s="622">
        <f t="shared" si="8"/>
        <v>0.20097738936306339</v>
      </c>
      <c r="Q10" s="1004" t="str">
        <f t="shared" si="2"/>
        <v>表示（判定）</v>
      </c>
      <c r="R10" s="991">
        <f>'(繰)4条収入'!J7/1000</f>
        <v>4973100</v>
      </c>
      <c r="S10" s="986">
        <f>'(繰)4条収入'!I7</f>
        <v>8822500000</v>
      </c>
      <c r="T10" s="986">
        <f>ROUND(S10/1000,0)+U10</f>
        <v>8822500</v>
      </c>
    </row>
    <row r="11" spans="1:21" s="578" customFormat="1" ht="20.25" customHeight="1">
      <c r="A11" s="604"/>
      <c r="B11" s="623"/>
      <c r="C11" s="623"/>
      <c r="D11" s="958" t="s">
        <v>393</v>
      </c>
      <c r="E11" s="630"/>
      <c r="F11" s="1149">
        <f>ROUND('(繰)4条収入'!D9/1000,0)</f>
        <v>160100</v>
      </c>
      <c r="G11" s="1150">
        <f>'４条（みなし）'!G11+R11</f>
        <v>120200</v>
      </c>
      <c r="H11" s="1151">
        <f t="shared" ref="H11:H15" si="10">T11</f>
        <v>120200</v>
      </c>
      <c r="I11" s="1151"/>
      <c r="J11" s="1152">
        <v>83200</v>
      </c>
      <c r="K11" s="1129">
        <f t="shared" si="3"/>
        <v>-39900</v>
      </c>
      <c r="L11" s="621">
        <f t="shared" si="4"/>
        <v>-0.24921923797626483</v>
      </c>
      <c r="M11" s="1129">
        <f t="shared" si="5"/>
        <v>0</v>
      </c>
      <c r="N11" s="621">
        <f t="shared" si="6"/>
        <v>0</v>
      </c>
      <c r="O11" s="1129">
        <f t="shared" si="7"/>
        <v>37000</v>
      </c>
      <c r="P11" s="622">
        <f t="shared" si="8"/>
        <v>0.44471153846153844</v>
      </c>
      <c r="Q11" s="1004" t="str">
        <f t="shared" si="2"/>
        <v>表示（判定）</v>
      </c>
      <c r="R11" s="986"/>
      <c r="S11" s="986">
        <f>'(繰)4条収入'!I9</f>
        <v>120200000</v>
      </c>
      <c r="T11" s="986">
        <f t="shared" ref="T11:T15" si="11">ROUND(S11/1000,0)+U11</f>
        <v>120200</v>
      </c>
    </row>
    <row r="12" spans="1:21" s="578" customFormat="1" ht="20.25" customHeight="1">
      <c r="A12" s="604"/>
      <c r="B12" s="623"/>
      <c r="C12" s="623"/>
      <c r="D12" s="958" t="s">
        <v>394</v>
      </c>
      <c r="E12" s="630"/>
      <c r="F12" s="1153">
        <f>F60</f>
        <v>12600</v>
      </c>
      <c r="G12" s="1150">
        <f>'４条（みなし）'!G12+R12</f>
        <v>12600</v>
      </c>
      <c r="H12" s="1151">
        <f t="shared" si="10"/>
        <v>12600</v>
      </c>
      <c r="I12" s="1151"/>
      <c r="J12" s="1152">
        <v>3500</v>
      </c>
      <c r="K12" s="1129">
        <f t="shared" si="3"/>
        <v>0</v>
      </c>
      <c r="L12" s="621">
        <f t="shared" si="4"/>
        <v>0</v>
      </c>
      <c r="M12" s="1129">
        <f t="shared" si="5"/>
        <v>0</v>
      </c>
      <c r="N12" s="621">
        <f t="shared" si="6"/>
        <v>0</v>
      </c>
      <c r="O12" s="1129">
        <f t="shared" si="7"/>
        <v>9100</v>
      </c>
      <c r="P12" s="622">
        <f t="shared" si="8"/>
        <v>2.6</v>
      </c>
      <c r="Q12" s="1004" t="str">
        <f t="shared" si="2"/>
        <v>表示（判定）</v>
      </c>
      <c r="R12" s="986"/>
      <c r="S12" s="986">
        <f>'(繰)4条支出 '!G13</f>
        <v>12600000</v>
      </c>
      <c r="T12" s="986">
        <f t="shared" si="11"/>
        <v>12600</v>
      </c>
    </row>
    <row r="13" spans="1:21" s="578" customFormat="1" ht="20.25" customHeight="1">
      <c r="A13" s="604"/>
      <c r="B13" s="623"/>
      <c r="C13" s="632"/>
      <c r="D13" s="958" t="s">
        <v>395</v>
      </c>
      <c r="E13" s="630"/>
      <c r="F13" s="1149">
        <f>ROUND('(繰)4条収入'!D10/1000,0)-F12</f>
        <v>6026400</v>
      </c>
      <c r="G13" s="1150">
        <f>'４条（みなし）'!G13+R13</f>
        <v>5916900</v>
      </c>
      <c r="H13" s="1151">
        <f t="shared" si="10"/>
        <v>5916900</v>
      </c>
      <c r="I13" s="1151"/>
      <c r="J13" s="1152">
        <v>5840800</v>
      </c>
      <c r="K13" s="1129">
        <f t="shared" si="3"/>
        <v>-109500</v>
      </c>
      <c r="L13" s="621">
        <f t="shared" si="4"/>
        <v>-1.8170051772202309E-2</v>
      </c>
      <c r="M13" s="1129">
        <f t="shared" si="5"/>
        <v>0</v>
      </c>
      <c r="N13" s="621">
        <f t="shared" si="6"/>
        <v>0</v>
      </c>
      <c r="O13" s="1129">
        <f t="shared" si="7"/>
        <v>76100</v>
      </c>
      <c r="P13" s="622">
        <f t="shared" si="8"/>
        <v>1.3029037118202986E-2</v>
      </c>
      <c r="Q13" s="1004" t="str">
        <f t="shared" si="2"/>
        <v>表示（判定）</v>
      </c>
      <c r="R13" s="986"/>
      <c r="S13" s="986">
        <f>'(繰)4条収入'!I10-S12</f>
        <v>5916900000</v>
      </c>
      <c r="T13" s="986">
        <f t="shared" si="11"/>
        <v>5916900</v>
      </c>
    </row>
    <row r="14" spans="1:21" s="578" customFormat="1" ht="20.25" customHeight="1">
      <c r="A14" s="604"/>
      <c r="B14" s="623"/>
      <c r="C14" s="632"/>
      <c r="D14" s="958" t="s">
        <v>396</v>
      </c>
      <c r="E14" s="630"/>
      <c r="F14" s="1149">
        <f>ROUND('(繰)4条収入'!D8/1000,0)+R14</f>
        <v>584800</v>
      </c>
      <c r="G14" s="1150">
        <f>'４条（みなし）'!G14+R14</f>
        <v>584800</v>
      </c>
      <c r="H14" s="1151">
        <f t="shared" si="10"/>
        <v>493400</v>
      </c>
      <c r="I14" s="1151">
        <f>'(繰)4条収入'!L8/1000</f>
        <v>91400</v>
      </c>
      <c r="J14" s="1152">
        <v>437700</v>
      </c>
      <c r="K14" s="1129">
        <f t="shared" si="3"/>
        <v>0</v>
      </c>
      <c r="L14" s="621">
        <f t="shared" si="4"/>
        <v>0</v>
      </c>
      <c r="M14" s="1129">
        <f t="shared" si="5"/>
        <v>0</v>
      </c>
      <c r="N14" s="621">
        <f t="shared" si="6"/>
        <v>0</v>
      </c>
      <c r="O14" s="1129">
        <f t="shared" si="7"/>
        <v>55700</v>
      </c>
      <c r="P14" s="622">
        <f t="shared" si="8"/>
        <v>0.12725611149188942</v>
      </c>
      <c r="Q14" s="1004" t="str">
        <f t="shared" si="2"/>
        <v>表示（判定）</v>
      </c>
      <c r="R14" s="991">
        <f>'(繰)4条収入'!J8/1000</f>
        <v>274300</v>
      </c>
      <c r="S14" s="986">
        <f>'(繰)4条収入'!I8</f>
        <v>493400000</v>
      </c>
      <c r="T14" s="986">
        <f t="shared" si="11"/>
        <v>493400</v>
      </c>
    </row>
    <row r="15" spans="1:21" s="578" customFormat="1" ht="20.25" customHeight="1">
      <c r="A15" s="604"/>
      <c r="B15" s="623"/>
      <c r="C15" s="632"/>
      <c r="D15" s="958" t="s">
        <v>464</v>
      </c>
      <c r="E15" s="630"/>
      <c r="F15" s="1149">
        <f>ROUND('(繰)4条収入'!D11/1000,0)+R15</f>
        <v>0</v>
      </c>
      <c r="G15" s="1150">
        <f>'４条（みなし）'!G15+R15</f>
        <v>0</v>
      </c>
      <c r="H15" s="1151">
        <f t="shared" si="10"/>
        <v>0</v>
      </c>
      <c r="I15" s="1151"/>
      <c r="J15" s="1152">
        <v>9300</v>
      </c>
      <c r="K15" s="1129" t="str">
        <f t="shared" si="3"/>
        <v xml:space="preserve">－ </v>
      </c>
      <c r="L15" s="621" t="str">
        <f t="shared" si="4"/>
        <v xml:space="preserve">－ </v>
      </c>
      <c r="M15" s="1129" t="str">
        <f t="shared" si="5"/>
        <v xml:space="preserve">－ </v>
      </c>
      <c r="N15" s="621" t="str">
        <f t="shared" si="6"/>
        <v xml:space="preserve">－ </v>
      </c>
      <c r="O15" s="1129">
        <f t="shared" si="7"/>
        <v>-9300</v>
      </c>
      <c r="P15" s="622" t="str">
        <f t="shared" si="8"/>
        <v xml:space="preserve">皆減 </v>
      </c>
      <c r="Q15" s="1004" t="str">
        <f t="shared" si="2"/>
        <v>表示（判定）</v>
      </c>
      <c r="R15" s="991"/>
      <c r="S15" s="986">
        <f>'(繰)4条収入'!I11</f>
        <v>0</v>
      </c>
      <c r="T15" s="986">
        <f t="shared" si="11"/>
        <v>0</v>
      </c>
    </row>
    <row r="16" spans="1:21" s="578" customFormat="1" ht="20.25" hidden="1" customHeight="1">
      <c r="A16" s="604"/>
      <c r="B16" s="623"/>
      <c r="C16" s="635"/>
      <c r="D16" s="958"/>
      <c r="E16" s="630"/>
      <c r="F16" s="1154"/>
      <c r="G16" s="1150">
        <f>'４条（みなし）'!G16+R16</f>
        <v>0</v>
      </c>
      <c r="H16" s="1155"/>
      <c r="I16" s="1155"/>
      <c r="J16" s="1152"/>
      <c r="K16" s="1129" t="str">
        <f t="shared" si="3"/>
        <v xml:space="preserve">－ </v>
      </c>
      <c r="L16" s="621" t="str">
        <f t="shared" si="4"/>
        <v xml:space="preserve">－ </v>
      </c>
      <c r="M16" s="1129" t="str">
        <f t="shared" si="5"/>
        <v xml:space="preserve">－ </v>
      </c>
      <c r="N16" s="621" t="str">
        <f t="shared" si="6"/>
        <v xml:space="preserve">－ </v>
      </c>
      <c r="O16" s="1129" t="str">
        <f t="shared" si="7"/>
        <v xml:space="preserve">－ </v>
      </c>
      <c r="P16" s="622" t="str">
        <f t="shared" si="8"/>
        <v xml:space="preserve">－ </v>
      </c>
      <c r="Q16" s="1004" t="str">
        <f t="shared" si="2"/>
        <v>×表示しない</v>
      </c>
      <c r="R16" s="986"/>
      <c r="S16" s="986"/>
    </row>
    <row r="17" spans="1:21" s="578" customFormat="1" ht="20.25" customHeight="1">
      <c r="A17" s="604"/>
      <c r="B17" s="623"/>
      <c r="C17" s="1490" t="s">
        <v>397</v>
      </c>
      <c r="D17" s="1491"/>
      <c r="E17" s="630"/>
      <c r="F17" s="1153">
        <f>ROUND('(繰)4条収入'!D12/1000,0)</f>
        <v>17010800</v>
      </c>
      <c r="G17" s="1150">
        <f>'４条（みなし）'!G17+R17</f>
        <v>17007700</v>
      </c>
      <c r="H17" s="1151">
        <f>T17</f>
        <v>17007700</v>
      </c>
      <c r="I17" s="1151"/>
      <c r="J17" s="1152">
        <v>16333500</v>
      </c>
      <c r="K17" s="1129">
        <f t="shared" si="3"/>
        <v>-3100</v>
      </c>
      <c r="L17" s="621">
        <f t="shared" si="4"/>
        <v>-1.822371669762739E-4</v>
      </c>
      <c r="M17" s="1129">
        <f t="shared" si="5"/>
        <v>0</v>
      </c>
      <c r="N17" s="621">
        <f t="shared" si="6"/>
        <v>0</v>
      </c>
      <c r="O17" s="1129">
        <f t="shared" si="7"/>
        <v>674200</v>
      </c>
      <c r="P17" s="622">
        <f t="shared" si="8"/>
        <v>4.1277129825205865E-2</v>
      </c>
      <c r="Q17" s="1004" t="str">
        <f t="shared" si="2"/>
        <v>表示（判定）</v>
      </c>
      <c r="R17" s="986"/>
      <c r="S17" s="986">
        <f>'(繰)4条収入'!I12</f>
        <v>17007700000</v>
      </c>
      <c r="T17" s="986">
        <f>ROUND(S17/1000,0)+U17</f>
        <v>17007700</v>
      </c>
    </row>
    <row r="18" spans="1:21" s="578" customFormat="1" ht="20.25" hidden="1" customHeight="1">
      <c r="A18" s="604"/>
      <c r="B18" s="639"/>
      <c r="C18" s="1490" t="s">
        <v>398</v>
      </c>
      <c r="D18" s="1491"/>
      <c r="E18" s="630"/>
      <c r="F18" s="1154"/>
      <c r="G18" s="1150">
        <f>'４条（みなし）'!G18+R18</f>
        <v>0</v>
      </c>
      <c r="H18" s="1156"/>
      <c r="I18" s="1156"/>
      <c r="J18" s="1152"/>
      <c r="K18" s="1129" t="str">
        <f t="shared" si="3"/>
        <v xml:space="preserve">－ </v>
      </c>
      <c r="L18" s="621" t="str">
        <f t="shared" si="4"/>
        <v xml:space="preserve">－ </v>
      </c>
      <c r="M18" s="1129" t="str">
        <f t="shared" si="5"/>
        <v xml:space="preserve">－ </v>
      </c>
      <c r="N18" s="621" t="str">
        <f t="shared" si="6"/>
        <v xml:space="preserve">－ </v>
      </c>
      <c r="O18" s="1129" t="str">
        <f t="shared" si="7"/>
        <v xml:space="preserve">－ </v>
      </c>
      <c r="P18" s="622" t="str">
        <f t="shared" si="8"/>
        <v xml:space="preserve">－ </v>
      </c>
      <c r="Q18" s="1004" t="str">
        <f t="shared" si="2"/>
        <v>×表示しない</v>
      </c>
      <c r="R18" s="986"/>
      <c r="S18" s="986"/>
    </row>
    <row r="19" spans="1:21" s="578" customFormat="1" ht="20.25" customHeight="1">
      <c r="A19" s="604"/>
      <c r="B19" s="1497" t="s">
        <v>399</v>
      </c>
      <c r="C19" s="1497"/>
      <c r="D19" s="1498"/>
      <c r="E19" s="625"/>
      <c r="F19" s="1153">
        <f>ROUND('(繰)4条収入'!D14/1000,0)</f>
        <v>3640474</v>
      </c>
      <c r="G19" s="1150">
        <f>'４条（みなし）'!G19+R19</f>
        <v>3379653</v>
      </c>
      <c r="H19" s="1151">
        <f t="shared" ref="H19:H20" si="12">T19</f>
        <v>3285505</v>
      </c>
      <c r="I19" s="1151"/>
      <c r="J19" s="1152">
        <v>4465119</v>
      </c>
      <c r="K19" s="1129">
        <f t="shared" si="3"/>
        <v>-354969</v>
      </c>
      <c r="L19" s="621">
        <f t="shared" si="4"/>
        <v>-9.7506258800365009E-2</v>
      </c>
      <c r="M19" s="1129">
        <f t="shared" si="5"/>
        <v>-94148</v>
      </c>
      <c r="N19" s="621">
        <f t="shared" si="6"/>
        <v>-2.5861467490222428E-2</v>
      </c>
      <c r="O19" s="1129">
        <f t="shared" si="7"/>
        <v>-1179614</v>
      </c>
      <c r="P19" s="622">
        <f t="shared" si="8"/>
        <v>-0.26418422442940492</v>
      </c>
      <c r="Q19" s="1004" t="str">
        <f t="shared" si="2"/>
        <v>表示（判定）</v>
      </c>
      <c r="R19" s="986"/>
      <c r="S19" s="986">
        <f>'(繰)4条収入'!I13</f>
        <v>3285504551</v>
      </c>
      <c r="T19" s="986">
        <f t="shared" ref="T19" si="13">ROUND(S19/1000,0)+U19</f>
        <v>3285505</v>
      </c>
    </row>
    <row r="20" spans="1:21" s="578" customFormat="1" ht="20.25" customHeight="1">
      <c r="A20" s="604"/>
      <c r="B20" s="1497" t="s">
        <v>400</v>
      </c>
      <c r="C20" s="1497"/>
      <c r="D20" s="1498"/>
      <c r="E20" s="630"/>
      <c r="F20" s="1153">
        <f>ROUND('(繰)4条収入'!D16/1000,0)+R20</f>
        <v>8943500</v>
      </c>
      <c r="G20" s="1150">
        <f>'４条（みなし）'!G20+R20</f>
        <v>8940211</v>
      </c>
      <c r="H20" s="1151">
        <f t="shared" si="12"/>
        <v>5717788</v>
      </c>
      <c r="I20" s="1151">
        <f>'(繰)4条収入'!L16/1000</f>
        <v>3222485.7390000001</v>
      </c>
      <c r="J20" s="1152">
        <v>5249299</v>
      </c>
      <c r="K20" s="1129">
        <f t="shared" si="3"/>
        <v>-3226.2609999999404</v>
      </c>
      <c r="L20" s="621">
        <f t="shared" si="4"/>
        <v>-3.6073807793368819E-4</v>
      </c>
      <c r="M20" s="1129">
        <f t="shared" si="5"/>
        <v>62.739000000059605</v>
      </c>
      <c r="N20" s="621">
        <f t="shared" si="6"/>
        <v>7.015038855041047E-6</v>
      </c>
      <c r="O20" s="1129">
        <f t="shared" si="7"/>
        <v>468489</v>
      </c>
      <c r="P20" s="622">
        <f t="shared" si="8"/>
        <v>8.9247916721832757E-2</v>
      </c>
      <c r="Q20" s="1004" t="str">
        <f t="shared" si="2"/>
        <v>表示（判定）</v>
      </c>
      <c r="R20" s="991">
        <f>'(繰)4条収入'!J16/1000</f>
        <v>3174000</v>
      </c>
      <c r="S20" s="986">
        <f>'(繰)4条収入'!I16</f>
        <v>5717788000</v>
      </c>
      <c r="T20" s="986">
        <f>ROUND(S20/1000,0)+U20</f>
        <v>5717788</v>
      </c>
    </row>
    <row r="21" spans="1:21" s="578" customFormat="1" ht="20.25" hidden="1" customHeight="1">
      <c r="A21" s="604"/>
      <c r="B21" s="1497" t="s">
        <v>401</v>
      </c>
      <c r="C21" s="1497"/>
      <c r="D21" s="1498"/>
      <c r="E21" s="630"/>
      <c r="F21" s="1157"/>
      <c r="G21" s="1150">
        <f>'４条（みなし）'!G21+R21</f>
        <v>0</v>
      </c>
      <c r="H21" s="1155"/>
      <c r="I21" s="1155"/>
      <c r="J21" s="1152"/>
      <c r="K21" s="1129" t="str">
        <f t="shared" si="3"/>
        <v xml:space="preserve">－ </v>
      </c>
      <c r="L21" s="621" t="str">
        <f t="shared" si="4"/>
        <v xml:space="preserve">－ </v>
      </c>
      <c r="M21" s="1129" t="str">
        <f t="shared" si="5"/>
        <v xml:space="preserve">－ </v>
      </c>
      <c r="N21" s="621" t="str">
        <f t="shared" si="6"/>
        <v xml:space="preserve">－ </v>
      </c>
      <c r="O21" s="1129" t="str">
        <f t="shared" si="7"/>
        <v xml:space="preserve">－ </v>
      </c>
      <c r="P21" s="622" t="str">
        <f t="shared" si="8"/>
        <v xml:space="preserve">－ </v>
      </c>
      <c r="Q21" s="1004" t="str">
        <f t="shared" si="2"/>
        <v>×表示しない</v>
      </c>
      <c r="R21" s="986"/>
      <c r="S21" s="986"/>
    </row>
    <row r="22" spans="1:21" s="578" customFormat="1" ht="20.25" customHeight="1">
      <c r="A22" s="604"/>
      <c r="B22" s="1497" t="s">
        <v>402</v>
      </c>
      <c r="C22" s="1497"/>
      <c r="D22" s="1498"/>
      <c r="E22" s="630"/>
      <c r="F22" s="1153">
        <f>ROUND('(繰)4条収入'!D20/1000,0)</f>
        <v>54236</v>
      </c>
      <c r="G22" s="1150">
        <f>'４条（みなし）'!G22+R22</f>
        <v>54236</v>
      </c>
      <c r="H22" s="1151">
        <f>T22</f>
        <v>24373</v>
      </c>
      <c r="I22" s="1151"/>
      <c r="J22" s="1152">
        <v>31095</v>
      </c>
      <c r="K22" s="1129">
        <f t="shared" si="3"/>
        <v>-29863</v>
      </c>
      <c r="L22" s="621">
        <f t="shared" si="4"/>
        <v>-0.550612139538314</v>
      </c>
      <c r="M22" s="1129">
        <f t="shared" si="5"/>
        <v>-29863</v>
      </c>
      <c r="N22" s="621">
        <f t="shared" si="6"/>
        <v>-0.550612139538314</v>
      </c>
      <c r="O22" s="1129">
        <f t="shared" si="7"/>
        <v>-6722</v>
      </c>
      <c r="P22" s="622">
        <f t="shared" si="8"/>
        <v>-0.21617623412124135</v>
      </c>
      <c r="Q22" s="1004" t="str">
        <f t="shared" si="2"/>
        <v>表示（判定）</v>
      </c>
      <c r="R22" s="986"/>
      <c r="S22" s="986">
        <f>'(繰)4条収入'!I20</f>
        <v>24373083</v>
      </c>
      <c r="T22" s="986">
        <f t="shared" ref="T22:T26" si="14">ROUND(S22/1000,0)+U22</f>
        <v>24373</v>
      </c>
    </row>
    <row r="23" spans="1:21" s="578" customFormat="1" ht="20.25" customHeight="1">
      <c r="A23" s="604"/>
      <c r="B23" s="1497" t="s">
        <v>343</v>
      </c>
      <c r="C23" s="1497"/>
      <c r="D23" s="1498"/>
      <c r="E23" s="615">
        <f t="shared" ref="E23:J23" si="15">SUM(E24:E27)</f>
        <v>0</v>
      </c>
      <c r="F23" s="1146">
        <f t="shared" si="15"/>
        <v>632996</v>
      </c>
      <c r="G23" s="1158">
        <f t="shared" si="15"/>
        <v>571080</v>
      </c>
      <c r="H23" s="1158">
        <f t="shared" si="15"/>
        <v>574304</v>
      </c>
      <c r="I23" s="1158">
        <f t="shared" si="15"/>
        <v>190000</v>
      </c>
      <c r="J23" s="1159">
        <f t="shared" si="15"/>
        <v>748137</v>
      </c>
      <c r="K23" s="1129">
        <f t="shared" si="3"/>
        <v>131308</v>
      </c>
      <c r="L23" s="621">
        <f t="shared" si="4"/>
        <v>0.20743890956656913</v>
      </c>
      <c r="M23" s="1129">
        <f t="shared" si="5"/>
        <v>193224</v>
      </c>
      <c r="N23" s="621">
        <f t="shared" si="6"/>
        <v>0.30525311376375208</v>
      </c>
      <c r="O23" s="1129">
        <f t="shared" si="7"/>
        <v>-173833</v>
      </c>
      <c r="P23" s="622">
        <f t="shared" si="8"/>
        <v>-0.23235450191609291</v>
      </c>
      <c r="Q23" s="1004" t="str">
        <f t="shared" si="2"/>
        <v>表示（判定）</v>
      </c>
      <c r="R23" s="986"/>
      <c r="S23" s="986"/>
      <c r="T23" s="986">
        <f t="shared" si="14"/>
        <v>0</v>
      </c>
    </row>
    <row r="24" spans="1:21" s="578" customFormat="1" ht="20.25" customHeight="1">
      <c r="A24" s="604"/>
      <c r="B24" s="614"/>
      <c r="C24" s="1497" t="s">
        <v>403</v>
      </c>
      <c r="D24" s="1498"/>
      <c r="E24" s="642"/>
      <c r="F24" s="1153">
        <f>ROUND('(繰)4条収入'!D23/1000,0)</f>
        <v>14208</v>
      </c>
      <c r="G24" s="1150">
        <f>'４条（みなし）'!G24+R24</f>
        <v>14208</v>
      </c>
      <c r="H24" s="1151">
        <f t="shared" ref="H24:H26" si="16">T24</f>
        <v>8800</v>
      </c>
      <c r="I24" s="1151"/>
      <c r="J24" s="1152">
        <v>23930</v>
      </c>
      <c r="K24" s="1129">
        <f t="shared" si="3"/>
        <v>-5408</v>
      </c>
      <c r="L24" s="621">
        <f t="shared" si="4"/>
        <v>-0.38063063063063063</v>
      </c>
      <c r="M24" s="1129">
        <f t="shared" si="5"/>
        <v>-5408</v>
      </c>
      <c r="N24" s="621">
        <f t="shared" si="6"/>
        <v>-0.38063063063063063</v>
      </c>
      <c r="O24" s="1129">
        <f t="shared" si="7"/>
        <v>-15130</v>
      </c>
      <c r="P24" s="622">
        <f t="shared" si="8"/>
        <v>-0.63226076055160885</v>
      </c>
      <c r="Q24" s="1004" t="str">
        <f t="shared" si="2"/>
        <v>表示（判定）</v>
      </c>
      <c r="R24" s="986"/>
      <c r="S24" s="986">
        <f>'(繰)4条収入'!I23</f>
        <v>8799605</v>
      </c>
      <c r="T24" s="986">
        <f t="shared" si="14"/>
        <v>8800</v>
      </c>
    </row>
    <row r="25" spans="1:21" s="578" customFormat="1" ht="20.25" customHeight="1">
      <c r="A25" s="604"/>
      <c r="B25" s="623"/>
      <c r="C25" s="1497" t="s">
        <v>404</v>
      </c>
      <c r="D25" s="1498"/>
      <c r="E25" s="642"/>
      <c r="F25" s="1153">
        <f>ROUND('(繰)4条収入'!D24/1000,0)</f>
        <v>40980</v>
      </c>
      <c r="G25" s="1150">
        <f>'４条（みなし）'!G25+R25</f>
        <v>42420</v>
      </c>
      <c r="H25" s="1151">
        <f t="shared" si="16"/>
        <v>35218</v>
      </c>
      <c r="I25" s="1151"/>
      <c r="J25" s="1152">
        <v>38497</v>
      </c>
      <c r="K25" s="1129">
        <f t="shared" si="3"/>
        <v>-5762</v>
      </c>
      <c r="L25" s="621">
        <f t="shared" si="4"/>
        <v>-0.14060517325524646</v>
      </c>
      <c r="M25" s="1129">
        <f t="shared" si="5"/>
        <v>-7202</v>
      </c>
      <c r="N25" s="621">
        <f t="shared" si="6"/>
        <v>-0.17574426549536359</v>
      </c>
      <c r="O25" s="1129">
        <f t="shared" si="7"/>
        <v>-3279</v>
      </c>
      <c r="P25" s="622">
        <f t="shared" si="8"/>
        <v>-8.5175468218302727E-2</v>
      </c>
      <c r="Q25" s="1004" t="str">
        <f t="shared" si="2"/>
        <v>表示（判定）</v>
      </c>
      <c r="R25" s="986"/>
      <c r="S25" s="986">
        <f>'(繰)4条収入'!I24</f>
        <v>35218280</v>
      </c>
      <c r="T25" s="986">
        <f t="shared" si="14"/>
        <v>35218</v>
      </c>
    </row>
    <row r="26" spans="1:21" s="578" customFormat="1" ht="20.25" customHeight="1">
      <c r="A26" s="604"/>
      <c r="B26" s="623"/>
      <c r="C26" s="1497" t="s">
        <v>405</v>
      </c>
      <c r="D26" s="1498"/>
      <c r="E26" s="630"/>
      <c r="F26" s="1153">
        <f>ROUND('(繰)4条収入'!D25/1000,0)+R26</f>
        <v>577808</v>
      </c>
      <c r="G26" s="1150">
        <f>'４条（みなし）'!G26+R26</f>
        <v>514452</v>
      </c>
      <c r="H26" s="1151">
        <f t="shared" si="16"/>
        <v>530286</v>
      </c>
      <c r="I26" s="1151">
        <v>190000</v>
      </c>
      <c r="J26" s="1152">
        <v>685710</v>
      </c>
      <c r="K26" s="1129">
        <f t="shared" si="3"/>
        <v>142478</v>
      </c>
      <c r="L26" s="621">
        <f t="shared" si="4"/>
        <v>0.24658364024035667</v>
      </c>
      <c r="M26" s="1129">
        <f t="shared" si="5"/>
        <v>205834</v>
      </c>
      <c r="N26" s="621">
        <f t="shared" si="6"/>
        <v>0.3562325201451001</v>
      </c>
      <c r="O26" s="1129">
        <f t="shared" si="7"/>
        <v>-155424</v>
      </c>
      <c r="P26" s="622">
        <f t="shared" si="8"/>
        <v>-0.22666141663385397</v>
      </c>
      <c r="Q26" s="1004" t="str">
        <f t="shared" si="2"/>
        <v>表示（判定）</v>
      </c>
      <c r="R26" s="991"/>
      <c r="S26" s="986">
        <f>'(繰)4条収入'!I25</f>
        <v>530286509</v>
      </c>
      <c r="T26" s="986">
        <f t="shared" si="14"/>
        <v>530286</v>
      </c>
      <c r="U26" s="578">
        <v>-1</v>
      </c>
    </row>
    <row r="27" spans="1:21" s="578" customFormat="1" ht="20.25" hidden="1" customHeight="1">
      <c r="A27" s="604"/>
      <c r="B27" s="639"/>
      <c r="C27" s="1497" t="s">
        <v>406</v>
      </c>
      <c r="D27" s="1498"/>
      <c r="E27" s="630"/>
      <c r="F27" s="1160"/>
      <c r="G27" s="1151"/>
      <c r="H27" s="1155"/>
      <c r="I27" s="1155"/>
      <c r="J27" s="1161"/>
      <c r="K27" s="1129" t="str">
        <f t="shared" si="3"/>
        <v xml:space="preserve">－ </v>
      </c>
      <c r="L27" s="621" t="str">
        <f t="shared" si="4"/>
        <v xml:space="preserve">－ </v>
      </c>
      <c r="M27" s="1129" t="str">
        <f t="shared" si="5"/>
        <v xml:space="preserve">－ </v>
      </c>
      <c r="N27" s="621" t="str">
        <f t="shared" si="6"/>
        <v xml:space="preserve">－ </v>
      </c>
      <c r="O27" s="1129" t="str">
        <f t="shared" si="7"/>
        <v xml:space="preserve">－ </v>
      </c>
      <c r="P27" s="622" t="str">
        <f t="shared" si="8"/>
        <v xml:space="preserve">－ </v>
      </c>
      <c r="Q27" s="1004" t="str">
        <f t="shared" si="2"/>
        <v>×表示しない</v>
      </c>
      <c r="R27" s="986"/>
      <c r="S27" s="986"/>
    </row>
    <row r="28" spans="1:21" s="578" customFormat="1" ht="20.25" customHeight="1">
      <c r="A28" s="604"/>
      <c r="B28" s="1497" t="s">
        <v>407</v>
      </c>
      <c r="C28" s="1497"/>
      <c r="D28" s="1498"/>
      <c r="E28" s="615">
        <f t="shared" ref="E28:J28" si="17">SUM(E29:E31)</f>
        <v>0</v>
      </c>
      <c r="F28" s="1146">
        <f t="shared" si="17"/>
        <v>9913</v>
      </c>
      <c r="G28" s="1158">
        <f t="shared" si="17"/>
        <v>3987</v>
      </c>
      <c r="H28" s="1158">
        <f t="shared" si="17"/>
        <v>3987</v>
      </c>
      <c r="I28" s="1158">
        <f t="shared" si="17"/>
        <v>0</v>
      </c>
      <c r="J28" s="1159">
        <f t="shared" si="17"/>
        <v>5324</v>
      </c>
      <c r="K28" s="1129">
        <f t="shared" si="3"/>
        <v>-5926</v>
      </c>
      <c r="L28" s="621">
        <f t="shared" si="4"/>
        <v>-0.5978008675476647</v>
      </c>
      <c r="M28" s="1129">
        <f t="shared" si="5"/>
        <v>0</v>
      </c>
      <c r="N28" s="621">
        <f t="shared" si="6"/>
        <v>0</v>
      </c>
      <c r="O28" s="1129">
        <f t="shared" si="7"/>
        <v>-1337</v>
      </c>
      <c r="P28" s="622">
        <f t="shared" si="8"/>
        <v>-0.25112697220135238</v>
      </c>
      <c r="Q28" s="1004" t="str">
        <f t="shared" si="2"/>
        <v>表示（判定）</v>
      </c>
      <c r="R28" s="986"/>
      <c r="S28" s="986"/>
    </row>
    <row r="29" spans="1:21" s="578" customFormat="1" ht="20.25" hidden="1" customHeight="1">
      <c r="A29" s="604"/>
      <c r="B29" s="614"/>
      <c r="C29" s="1497" t="s">
        <v>408</v>
      </c>
      <c r="D29" s="1498"/>
      <c r="E29" s="630"/>
      <c r="F29" s="1160"/>
      <c r="G29" s="1151"/>
      <c r="H29" s="1155"/>
      <c r="I29" s="1155"/>
      <c r="J29" s="1161"/>
      <c r="K29" s="1129" t="str">
        <f t="shared" si="3"/>
        <v xml:space="preserve">－ </v>
      </c>
      <c r="L29" s="621" t="str">
        <f t="shared" si="4"/>
        <v xml:space="preserve">－ </v>
      </c>
      <c r="M29" s="1129" t="str">
        <f t="shared" si="5"/>
        <v xml:space="preserve">－ </v>
      </c>
      <c r="N29" s="621" t="str">
        <f t="shared" si="6"/>
        <v xml:space="preserve">－ </v>
      </c>
      <c r="O29" s="1129" t="str">
        <f t="shared" si="7"/>
        <v xml:space="preserve">－ </v>
      </c>
      <c r="P29" s="622" t="str">
        <f t="shared" si="8"/>
        <v xml:space="preserve">－ </v>
      </c>
      <c r="Q29" s="1004" t="str">
        <f t="shared" si="2"/>
        <v>×表示しない</v>
      </c>
      <c r="R29" s="986"/>
      <c r="S29" s="986"/>
    </row>
    <row r="30" spans="1:21" s="578" customFormat="1" ht="20.25" hidden="1" customHeight="1">
      <c r="A30" s="604"/>
      <c r="B30" s="623"/>
      <c r="C30" s="1497" t="s">
        <v>409</v>
      </c>
      <c r="D30" s="1498"/>
      <c r="E30" s="630"/>
      <c r="F30" s="1153">
        <f>ROUND('(繰)4条収入'!D28/1000,0)</f>
        <v>0</v>
      </c>
      <c r="G30" s="1150">
        <f>'４条（みなし）'!G30+R30</f>
        <v>0</v>
      </c>
      <c r="H30" s="1151">
        <f>T30</f>
        <v>0</v>
      </c>
      <c r="I30" s="1151"/>
      <c r="J30" s="1152">
        <v>0</v>
      </c>
      <c r="K30" s="1129" t="str">
        <f t="shared" si="3"/>
        <v xml:space="preserve">－ </v>
      </c>
      <c r="L30" s="621" t="str">
        <f t="shared" si="4"/>
        <v xml:space="preserve">－ </v>
      </c>
      <c r="M30" s="1129" t="str">
        <f t="shared" si="5"/>
        <v xml:space="preserve">－ </v>
      </c>
      <c r="N30" s="621" t="str">
        <f t="shared" si="6"/>
        <v xml:space="preserve">－ </v>
      </c>
      <c r="O30" s="1129" t="str">
        <f t="shared" si="7"/>
        <v xml:space="preserve">－ </v>
      </c>
      <c r="P30" s="622" t="str">
        <f t="shared" si="8"/>
        <v xml:space="preserve">－ </v>
      </c>
      <c r="Q30" s="1004" t="str">
        <f t="shared" si="2"/>
        <v>×表示しない</v>
      </c>
      <c r="R30" s="986"/>
      <c r="S30" s="986">
        <f>'(繰)4条収入'!I28</f>
        <v>0</v>
      </c>
      <c r="T30" s="986">
        <f>ROUND(S30/1000,0)+U30</f>
        <v>0</v>
      </c>
    </row>
    <row r="31" spans="1:21" s="578" customFormat="1" ht="20.25" customHeight="1">
      <c r="A31" s="604"/>
      <c r="B31" s="623"/>
      <c r="C31" s="1497" t="s">
        <v>410</v>
      </c>
      <c r="D31" s="1498"/>
      <c r="E31" s="646">
        <f t="shared" ref="E31:J31" si="18">SUM(E32:E34)</f>
        <v>0</v>
      </c>
      <c r="F31" s="1162">
        <f t="shared" si="18"/>
        <v>9913</v>
      </c>
      <c r="G31" s="1158">
        <f t="shared" si="18"/>
        <v>3987</v>
      </c>
      <c r="H31" s="1158">
        <f t="shared" si="18"/>
        <v>3987</v>
      </c>
      <c r="I31" s="1158">
        <f t="shared" si="18"/>
        <v>0</v>
      </c>
      <c r="J31" s="1159">
        <f t="shared" si="18"/>
        <v>5324</v>
      </c>
      <c r="K31" s="1129">
        <f t="shared" si="3"/>
        <v>-5926</v>
      </c>
      <c r="L31" s="621">
        <f t="shared" si="4"/>
        <v>-0.5978008675476647</v>
      </c>
      <c r="M31" s="1129">
        <f t="shared" si="5"/>
        <v>0</v>
      </c>
      <c r="N31" s="621">
        <f t="shared" si="6"/>
        <v>0</v>
      </c>
      <c r="O31" s="1129">
        <f t="shared" si="7"/>
        <v>-1337</v>
      </c>
      <c r="P31" s="622">
        <f t="shared" si="8"/>
        <v>-0.25112697220135238</v>
      </c>
      <c r="Q31" s="1004" t="str">
        <f t="shared" si="2"/>
        <v>表示（判定）</v>
      </c>
      <c r="R31" s="986"/>
      <c r="S31" s="986"/>
    </row>
    <row r="32" spans="1:21" s="578" customFormat="1" ht="20.25" customHeight="1">
      <c r="A32" s="604"/>
      <c r="B32" s="623"/>
      <c r="C32" s="614"/>
      <c r="D32" s="958" t="s">
        <v>411</v>
      </c>
      <c r="E32" s="630"/>
      <c r="F32" s="1163">
        <v>5747</v>
      </c>
      <c r="G32" s="1150">
        <f>'４条（みなし）'!G32+R32</f>
        <v>2118</v>
      </c>
      <c r="H32" s="1151">
        <f t="shared" ref="H32:H35" si="19">T32</f>
        <v>2118</v>
      </c>
      <c r="I32" s="1151"/>
      <c r="J32" s="1152">
        <v>3107</v>
      </c>
      <c r="K32" s="1129">
        <f t="shared" si="3"/>
        <v>-3629</v>
      </c>
      <c r="L32" s="621">
        <f t="shared" si="4"/>
        <v>-0.63145989211762654</v>
      </c>
      <c r="M32" s="1129">
        <f t="shared" si="5"/>
        <v>0</v>
      </c>
      <c r="N32" s="621">
        <f t="shared" si="6"/>
        <v>0</v>
      </c>
      <c r="O32" s="1129">
        <f t="shared" si="7"/>
        <v>-989</v>
      </c>
      <c r="P32" s="622">
        <f t="shared" si="8"/>
        <v>-0.31831348567750239</v>
      </c>
      <c r="Q32" s="1004" t="str">
        <f t="shared" si="2"/>
        <v>表示（判定）</v>
      </c>
      <c r="R32" s="986"/>
      <c r="S32" s="986">
        <f>'[5]4条収入'!E72</f>
        <v>2118000</v>
      </c>
      <c r="T32" s="986">
        <f t="shared" ref="T32:T35" si="20">ROUND(S32/1000,0)+U32</f>
        <v>2118</v>
      </c>
    </row>
    <row r="33" spans="1:24" s="578" customFormat="1" ht="20.25" customHeight="1">
      <c r="A33" s="604"/>
      <c r="B33" s="623"/>
      <c r="C33" s="623"/>
      <c r="D33" s="958" t="s">
        <v>412</v>
      </c>
      <c r="E33" s="630"/>
      <c r="F33" s="1163">
        <v>4166</v>
      </c>
      <c r="G33" s="1150">
        <f>'４条（みなし）'!G33+R33</f>
        <v>1869</v>
      </c>
      <c r="H33" s="1151">
        <f t="shared" si="19"/>
        <v>1869</v>
      </c>
      <c r="I33" s="1151"/>
      <c r="J33" s="1152">
        <v>2217</v>
      </c>
      <c r="K33" s="1129">
        <f t="shared" si="3"/>
        <v>-2297</v>
      </c>
      <c r="L33" s="621">
        <f t="shared" si="4"/>
        <v>-0.55136821891502641</v>
      </c>
      <c r="M33" s="1129">
        <f t="shared" si="5"/>
        <v>0</v>
      </c>
      <c r="N33" s="621">
        <f t="shared" si="6"/>
        <v>0</v>
      </c>
      <c r="O33" s="1129">
        <f t="shared" si="7"/>
        <v>-348</v>
      </c>
      <c r="P33" s="622">
        <f t="shared" si="8"/>
        <v>-0.15696887686062247</v>
      </c>
      <c r="Q33" s="1004" t="str">
        <f t="shared" si="2"/>
        <v>表示（判定）</v>
      </c>
      <c r="R33" s="986"/>
      <c r="S33" s="986">
        <f>'[5]4条収入'!E77</f>
        <v>1869000</v>
      </c>
      <c r="T33" s="986">
        <f t="shared" si="20"/>
        <v>1869</v>
      </c>
    </row>
    <row r="34" spans="1:24" s="578" customFormat="1" ht="20.25" hidden="1" customHeight="1">
      <c r="A34" s="604"/>
      <c r="B34" s="639"/>
      <c r="C34" s="639"/>
      <c r="D34" s="958" t="s">
        <v>413</v>
      </c>
      <c r="E34" s="630"/>
      <c r="F34" s="1163">
        <v>0</v>
      </c>
      <c r="G34" s="1150">
        <f>'４条（みなし）'!G34+R34</f>
        <v>0</v>
      </c>
      <c r="H34" s="1151">
        <f t="shared" si="19"/>
        <v>0</v>
      </c>
      <c r="I34" s="1151"/>
      <c r="J34" s="1152">
        <v>0</v>
      </c>
      <c r="K34" s="1129" t="str">
        <f t="shared" si="3"/>
        <v xml:space="preserve">－ </v>
      </c>
      <c r="L34" s="621" t="str">
        <f t="shared" si="4"/>
        <v xml:space="preserve">－ </v>
      </c>
      <c r="M34" s="1129" t="str">
        <f t="shared" si="5"/>
        <v xml:space="preserve">－ </v>
      </c>
      <c r="N34" s="621" t="str">
        <f t="shared" si="6"/>
        <v xml:space="preserve">－ </v>
      </c>
      <c r="O34" s="1129" t="str">
        <f t="shared" si="7"/>
        <v xml:space="preserve">－ </v>
      </c>
      <c r="P34" s="622" t="str">
        <f t="shared" si="8"/>
        <v xml:space="preserve">－ </v>
      </c>
      <c r="Q34" s="1004" t="str">
        <f t="shared" si="2"/>
        <v>×表示しない</v>
      </c>
      <c r="R34" s="986"/>
      <c r="S34" s="986">
        <f>'[5]4条収入'!E82</f>
        <v>0</v>
      </c>
      <c r="T34" s="986">
        <f t="shared" si="20"/>
        <v>0</v>
      </c>
      <c r="V34" s="578">
        <f>4500+7931</f>
        <v>12431</v>
      </c>
    </row>
    <row r="35" spans="1:24" s="578" customFormat="1" ht="20.25" customHeight="1" thickBot="1">
      <c r="A35" s="604"/>
      <c r="B35" s="1499" t="s">
        <v>414</v>
      </c>
      <c r="C35" s="1499"/>
      <c r="D35" s="1500"/>
      <c r="E35" s="649"/>
      <c r="F35" s="1153">
        <f>ROUND('(繰)4条収入'!D31/1000,0)</f>
        <v>14731</v>
      </c>
      <c r="G35" s="1164">
        <f>'４条（みなし）'!G35+R35</f>
        <v>44466</v>
      </c>
      <c r="H35" s="1151">
        <f t="shared" si="19"/>
        <v>45948</v>
      </c>
      <c r="I35" s="1165"/>
      <c r="J35" s="1166">
        <v>1647</v>
      </c>
      <c r="K35" s="1129">
        <f t="shared" si="3"/>
        <v>31217</v>
      </c>
      <c r="L35" s="621">
        <f t="shared" si="4"/>
        <v>2.119136514832666</v>
      </c>
      <c r="M35" s="1129">
        <f t="shared" si="5"/>
        <v>1482</v>
      </c>
      <c r="N35" s="621">
        <f t="shared" si="6"/>
        <v>0.10060416808091779</v>
      </c>
      <c r="O35" s="1129">
        <f t="shared" si="7"/>
        <v>44301</v>
      </c>
      <c r="P35" s="622">
        <f t="shared" si="8"/>
        <v>26.897996357012751</v>
      </c>
      <c r="Q35" s="1004" t="str">
        <f t="shared" si="2"/>
        <v>表示（判定）</v>
      </c>
      <c r="R35" s="986"/>
      <c r="S35" s="986">
        <f>'(繰)4条収入'!I30</f>
        <v>45948113</v>
      </c>
      <c r="T35" s="986">
        <f t="shared" si="20"/>
        <v>45948</v>
      </c>
    </row>
    <row r="36" spans="1:24" s="578" customFormat="1" ht="20.25" hidden="1" customHeight="1" thickBot="1">
      <c r="A36" s="651"/>
      <c r="B36" s="1501" t="s">
        <v>415</v>
      </c>
      <c r="C36" s="1501"/>
      <c r="D36" s="1502"/>
      <c r="E36" s="652">
        <v>0</v>
      </c>
      <c r="F36" s="1167">
        <v>0</v>
      </c>
      <c r="G36" s="1168">
        <f>'４条（みなし）'!G36+R36</f>
        <v>0</v>
      </c>
      <c r="H36" s="1169">
        <v>0</v>
      </c>
      <c r="I36" s="1169"/>
      <c r="J36" s="1170">
        <v>0</v>
      </c>
      <c r="K36" s="1130" t="str">
        <f t="shared" si="3"/>
        <v xml:space="preserve">－ </v>
      </c>
      <c r="L36" s="658" t="str">
        <f t="shared" si="4"/>
        <v xml:space="preserve">－ </v>
      </c>
      <c r="M36" s="1130" t="str">
        <f t="shared" si="5"/>
        <v xml:space="preserve">－ </v>
      </c>
      <c r="N36" s="658" t="str">
        <f t="shared" si="6"/>
        <v xml:space="preserve">－ </v>
      </c>
      <c r="O36" s="1130" t="str">
        <f t="shared" si="7"/>
        <v xml:space="preserve">－ </v>
      </c>
      <c r="P36" s="659" t="str">
        <f t="shared" si="8"/>
        <v xml:space="preserve">－ </v>
      </c>
      <c r="Q36" s="1004" t="str">
        <f t="shared" si="2"/>
        <v>×表示しない</v>
      </c>
      <c r="R36" s="986"/>
      <c r="S36" s="986"/>
    </row>
    <row r="37" spans="1:24" s="578" customFormat="1" ht="12.75" thickBot="1">
      <c r="A37" s="1118"/>
      <c r="B37" s="1118"/>
      <c r="C37" s="1118"/>
      <c r="D37" s="1118"/>
      <c r="E37" s="1119"/>
      <c r="F37" s="1120"/>
      <c r="G37" s="1120"/>
      <c r="H37" s="1121"/>
      <c r="I37" s="1121"/>
      <c r="J37" s="1121"/>
      <c r="K37" s="1122"/>
      <c r="L37" s="1123"/>
      <c r="M37" s="1122"/>
      <c r="N37" s="1123"/>
      <c r="O37" s="1122"/>
      <c r="P37" s="1123"/>
      <c r="Q37" s="993" t="s">
        <v>642</v>
      </c>
      <c r="R37" s="986"/>
      <c r="S37" s="986"/>
    </row>
    <row r="38" spans="1:24" s="578" customFormat="1" ht="20.25" customHeight="1" thickBot="1">
      <c r="A38" s="1503" t="s">
        <v>416</v>
      </c>
      <c r="B38" s="1504"/>
      <c r="C38" s="1504"/>
      <c r="D38" s="1505"/>
      <c r="E38" s="666">
        <f t="shared" ref="E38:J38" si="21">SUM(E19,E30)</f>
        <v>0</v>
      </c>
      <c r="F38" s="1171">
        <f t="shared" si="21"/>
        <v>3640474</v>
      </c>
      <c r="G38" s="1172">
        <f t="shared" si="21"/>
        <v>3379653</v>
      </c>
      <c r="H38" s="1007">
        <f t="shared" si="21"/>
        <v>3285505</v>
      </c>
      <c r="I38" s="1007">
        <f t="shared" si="21"/>
        <v>0</v>
      </c>
      <c r="J38" s="1173">
        <f t="shared" si="21"/>
        <v>4465119</v>
      </c>
      <c r="K38" s="1131">
        <f>IF(AND(F38=0,$H38+$I38=0),"－ ",$H38+$I38-F38)</f>
        <v>-354969</v>
      </c>
      <c r="L38" s="672">
        <f>IF(AND(F38=0,$H38+$I38&gt;0),"皆増 ",IF(AND(F38&gt;0,$H38+$I38=0),"皆減 ",IF(AND(F38=0,$H38+$I38=0),"－ ",K38/F38)))</f>
        <v>-9.7506258800365009E-2</v>
      </c>
      <c r="M38" s="1131">
        <f>IF(AND(G38=0,$H38+$I38=0),"－ ",$H38+$I38-G38)</f>
        <v>-94148</v>
      </c>
      <c r="N38" s="672">
        <f>IF(AND(F38=0,$H38+$I38&gt;0),"皆増 ",IF(AND(F38&gt;0,$H38+$I38=0),"皆減 ",IF(AND(F38=0,$H38+$I38=0),"－ ",M38/F38)))</f>
        <v>-2.5861467490222428E-2</v>
      </c>
      <c r="O38" s="1131">
        <f t="shared" ref="O38:O39" si="22">IF(AND(J38=0,$H38=0),"－ ",$H38-J38)</f>
        <v>-1179614</v>
      </c>
      <c r="P38" s="673">
        <f t="shared" ref="P38:P39" si="23">IF(AND(J38=0,$H38&gt;0),"皆増 ",IF(AND(J38&gt;0,$H38=0),"皆減 ",IF(AND(J38=0,$H38=0),"－ ",O38/J38)))</f>
        <v>-0.26418422442940492</v>
      </c>
      <c r="Q38" s="1004" t="str">
        <f t="shared" si="2"/>
        <v>表示（判定）</v>
      </c>
      <c r="R38" s="986"/>
      <c r="S38" s="426" t="s">
        <v>383</v>
      </c>
      <c r="T38" s="986">
        <f>SUM(T10:T36)</f>
        <v>42025205</v>
      </c>
    </row>
    <row r="39" spans="1:24" s="578" customFormat="1" ht="12">
      <c r="A39" s="674" t="s">
        <v>576</v>
      </c>
      <c r="B39" s="674"/>
      <c r="C39" s="674"/>
      <c r="D39" s="674"/>
      <c r="F39" s="1174">
        <f t="shared" ref="F39:M39" si="24">F7-F8</f>
        <v>13295850</v>
      </c>
      <c r="G39" s="1174">
        <f t="shared" si="24"/>
        <v>12993633</v>
      </c>
      <c r="H39" s="1174">
        <f t="shared" si="24"/>
        <v>9651905</v>
      </c>
      <c r="I39" s="1174">
        <f t="shared" si="24"/>
        <v>3412485.7390000001</v>
      </c>
      <c r="J39" s="1174">
        <f t="shared" si="24"/>
        <v>10500621</v>
      </c>
      <c r="K39" s="1175">
        <f t="shared" si="24"/>
        <v>-231459.26099999994</v>
      </c>
      <c r="L39" s="759">
        <f>IF(AND(F39=0,$H39+$I39&gt;0),"皆増 ",IF(AND(F39&gt;0,$H39+$I39=0),"皆減 ",IF(AND(F39=0,$H39+$I39=0),"－ ",K39/F39)))</f>
        <v>-1.7408383894222629E-2</v>
      </c>
      <c r="M39" s="1175">
        <f t="shared" si="24"/>
        <v>70757.73900000006</v>
      </c>
      <c r="N39" s="759">
        <f>IF(AND(H39=0,$H39+$I39&gt;0),"皆増 ",IF(AND(H39&gt;0,$H39+$I39=0),"皆減 ",IF(AND(H39=0,$H39+$I39=0),"－ ",M39/H39)))</f>
        <v>7.3309609864581201E-3</v>
      </c>
      <c r="O39" s="1175">
        <f t="shared" si="22"/>
        <v>-848716</v>
      </c>
      <c r="P39" s="759">
        <f t="shared" si="23"/>
        <v>-8.0825314998036787E-2</v>
      </c>
      <c r="Q39" s="993" t="s">
        <v>642</v>
      </c>
      <c r="R39" s="986"/>
      <c r="S39" s="986"/>
    </row>
    <row r="40" spans="1:24" s="578" customFormat="1" ht="20.25" customHeight="1" thickBot="1">
      <c r="A40" s="582" t="s">
        <v>354</v>
      </c>
      <c r="B40" s="678"/>
      <c r="C40" s="678"/>
      <c r="D40" s="678"/>
      <c r="E40" s="438"/>
      <c r="F40" s="987"/>
      <c r="G40" s="987"/>
      <c r="H40" s="992"/>
      <c r="I40" s="992"/>
      <c r="J40" s="992"/>
      <c r="K40" s="676"/>
      <c r="L40" s="677"/>
      <c r="M40" s="676"/>
      <c r="N40" s="677"/>
      <c r="O40" s="676"/>
      <c r="P40" s="677"/>
      <c r="Q40" s="993" t="s">
        <v>642</v>
      </c>
      <c r="R40" s="986"/>
      <c r="S40" s="986"/>
    </row>
    <row r="41" spans="1:24" s="578" customFormat="1" ht="20.25" hidden="1" customHeight="1" outlineLevel="1">
      <c r="A41" s="1543" t="s">
        <v>326</v>
      </c>
      <c r="B41" s="1544"/>
      <c r="C41" s="1544"/>
      <c r="D41" s="1545"/>
      <c r="E41" s="679" t="s">
        <v>385</v>
      </c>
      <c r="F41" s="1565">
        <f>+F4</f>
        <v>0</v>
      </c>
      <c r="G41" s="1566">
        <f>+G4</f>
        <v>0</v>
      </c>
      <c r="H41" s="1567"/>
      <c r="I41" s="1000"/>
      <c r="J41" s="989">
        <f>+J4</f>
        <v>0</v>
      </c>
      <c r="K41" s="1552" t="s">
        <v>327</v>
      </c>
      <c r="L41" s="1568"/>
      <c r="M41" s="1552"/>
      <c r="N41" s="1564"/>
      <c r="O41" s="1552" t="s">
        <v>327</v>
      </c>
      <c r="P41" s="1553"/>
      <c r="Q41" s="1003" t="s">
        <v>544</v>
      </c>
      <c r="R41" s="990"/>
      <c r="S41" s="986"/>
    </row>
    <row r="42" spans="1:24" s="578" customFormat="1" ht="20.25" hidden="1" customHeight="1" outlineLevel="1">
      <c r="A42" s="1546"/>
      <c r="B42" s="1547"/>
      <c r="C42" s="1547"/>
      <c r="D42" s="1548"/>
      <c r="E42" s="1554" t="s">
        <v>386</v>
      </c>
      <c r="F42" s="1556" t="s">
        <v>387</v>
      </c>
      <c r="G42" s="998" t="s">
        <v>640</v>
      </c>
      <c r="H42" s="1558" t="s">
        <v>329</v>
      </c>
      <c r="I42" s="1001"/>
      <c r="J42" s="1560" t="s">
        <v>388</v>
      </c>
      <c r="K42" s="1562" t="str">
        <f>+K5</f>
        <v>対Ｒ５議決予算</v>
      </c>
      <c r="L42" s="1136"/>
      <c r="M42" s="1562"/>
      <c r="N42" s="1132"/>
      <c r="O42" s="1562" t="str">
        <f>+O5</f>
        <v>対Ｒ４決算</v>
      </c>
      <c r="P42" s="1100"/>
      <c r="Q42" s="1008" t="s">
        <v>544</v>
      </c>
      <c r="R42" s="1569" t="s">
        <v>459</v>
      </c>
      <c r="S42" s="986"/>
    </row>
    <row r="43" spans="1:24" s="578" customFormat="1" ht="20.25" hidden="1" customHeight="1" outlineLevel="1" thickBot="1">
      <c r="A43" s="1549"/>
      <c r="B43" s="1550"/>
      <c r="C43" s="1550"/>
      <c r="D43" s="1551"/>
      <c r="E43" s="1555"/>
      <c r="F43" s="1557"/>
      <c r="G43" s="999"/>
      <c r="H43" s="1559"/>
      <c r="I43" s="1002"/>
      <c r="J43" s="1561"/>
      <c r="K43" s="1563"/>
      <c r="L43" s="1137" t="s">
        <v>330</v>
      </c>
      <c r="M43" s="1563"/>
      <c r="N43" s="704"/>
      <c r="O43" s="1563"/>
      <c r="P43" s="706" t="s">
        <v>330</v>
      </c>
      <c r="Q43" s="1003" t="s">
        <v>544</v>
      </c>
      <c r="R43" s="1569"/>
      <c r="S43" s="986"/>
    </row>
    <row r="44" spans="1:24" s="578" customFormat="1" ht="20.25" customHeight="1" collapsed="1">
      <c r="A44" s="1506" t="s">
        <v>417</v>
      </c>
      <c r="B44" s="1507"/>
      <c r="C44" s="1507"/>
      <c r="D44" s="1508"/>
      <c r="E44" s="707">
        <f>SUM(E45,E62:E63,E70)</f>
        <v>0</v>
      </c>
      <c r="F44" s="1176">
        <f>SUM(F45,F62:F63,F69,F70)</f>
        <v>71361650</v>
      </c>
      <c r="G44" s="1177">
        <f>SUM(G45,G62:G63,G69,G70)</f>
        <v>71076971</v>
      </c>
      <c r="H44" s="1178">
        <f>SUM(H45,H62:H63,H70)</f>
        <v>61875977</v>
      </c>
      <c r="I44" s="1178">
        <f>SUM(I45,I62:I63,I70)</f>
        <v>9225844</v>
      </c>
      <c r="J44" s="1179">
        <f>SUM(J45,J62:J63,J69,J70)</f>
        <v>59709459</v>
      </c>
      <c r="K44" s="1133">
        <f t="shared" ref="K44:K70" si="25">IF(AND(F44=0,$H44+$I44=0),"－ ",$H44+$I44-F44)</f>
        <v>-259829</v>
      </c>
      <c r="L44" s="1138">
        <f t="shared" ref="L44:L70" si="26">IF(AND(F44=0,$H44+$I44&gt;0),"皆増 ",IF(AND(F44&gt;0,$H44+$I44=0),"皆減 ",IF(AND(F44=0,$H44+$I44=0),"－ ",K44/F44)))</f>
        <v>-3.6410172690794006E-3</v>
      </c>
      <c r="M44" s="1133">
        <f t="shared" ref="M44:M70" si="27">IF(AND(G44=0,$H44+$I44=0),"－ ",$H44+$I44-G44)</f>
        <v>24850</v>
      </c>
      <c r="N44" s="713">
        <f t="shared" ref="N44:N70" si="28">IF(AND(F44=0,$H44+$I44&gt;0),"皆増 ",IF(AND(F44&gt;0,$H44+$I44=0),"皆減 ",IF(AND(F44=0,$H44+$I44=0),"－ ",M44/F44)))</f>
        <v>3.4822625317660114E-4</v>
      </c>
      <c r="O44" s="1133">
        <f t="shared" ref="O44:O70" si="29">IF(AND(J44=0,$H44=0),"－ ",$H44-J44)</f>
        <v>2166518</v>
      </c>
      <c r="P44" s="714">
        <f t="shared" ref="P44:P70" si="30">IF(AND(J44=0,$H44&gt;0),"皆増 ",IF(AND(J44&gt;0,$H44=0),"皆減 ",IF(AND(J44=0,$H44=0),"－ ",O44/J44)))</f>
        <v>3.6284334781864297E-2</v>
      </c>
      <c r="Q44" s="1004" t="str">
        <f t="shared" ref="Q44:Q70" si="31">IF(OR(F44&gt;0,G44&gt;0,H44&gt;0,I44&gt;0,J44&gt;0),"表示（判定）","×表示しない")</f>
        <v>表示（判定）</v>
      </c>
      <c r="R44" s="986"/>
      <c r="S44" s="986">
        <f>IF('(繰)4条支出 '!G5=SUM(S46:S68),'(繰)4条支出 '!G5,"エラー")</f>
        <v>61875977537</v>
      </c>
      <c r="T44" s="986">
        <f t="shared" ref="T44:T46" si="32">ROUND(S44/1000,0)+U44</f>
        <v>61875978</v>
      </c>
      <c r="X44" s="995">
        <f t="shared" ref="X44" si="33">SUM(J44,W44)</f>
        <v>59709459</v>
      </c>
    </row>
    <row r="45" spans="1:24" s="578" customFormat="1" ht="20.25" customHeight="1">
      <c r="A45" s="715"/>
      <c r="B45" s="1509" t="s">
        <v>418</v>
      </c>
      <c r="C45" s="1510"/>
      <c r="D45" s="1511"/>
      <c r="E45" s="716">
        <f t="shared" ref="E45:J45" si="34">SUM(E46,E55:E61)</f>
        <v>0</v>
      </c>
      <c r="F45" s="1180">
        <f t="shared" si="34"/>
        <v>26729940</v>
      </c>
      <c r="G45" s="1181">
        <f t="shared" si="34"/>
        <v>26451549</v>
      </c>
      <c r="H45" s="1182">
        <f t="shared" si="34"/>
        <v>17250555</v>
      </c>
      <c r="I45" s="1182">
        <f t="shared" si="34"/>
        <v>9225844</v>
      </c>
      <c r="J45" s="1183">
        <f t="shared" si="34"/>
        <v>15160690</v>
      </c>
      <c r="K45" s="1128">
        <f t="shared" si="25"/>
        <v>-253541</v>
      </c>
      <c r="L45" s="1124">
        <f t="shared" si="26"/>
        <v>-9.485281298798276E-3</v>
      </c>
      <c r="M45" s="1128">
        <f t="shared" si="27"/>
        <v>24850</v>
      </c>
      <c r="N45" s="611">
        <f t="shared" si="28"/>
        <v>9.2966912757754038E-4</v>
      </c>
      <c r="O45" s="1128">
        <f t="shared" si="29"/>
        <v>2089865</v>
      </c>
      <c r="P45" s="613">
        <f t="shared" si="30"/>
        <v>0.13784761775354551</v>
      </c>
      <c r="Q45" s="1004" t="str">
        <f t="shared" si="31"/>
        <v>表示（判定）</v>
      </c>
      <c r="R45" s="986"/>
      <c r="S45" s="986"/>
      <c r="W45" s="986">
        <f>SUM(W46:W61)</f>
        <v>9225844.0989999995</v>
      </c>
      <c r="X45" s="995">
        <f>SUM(J45,W45)</f>
        <v>24386534.098999999</v>
      </c>
    </row>
    <row r="46" spans="1:24" s="578" customFormat="1" ht="20.25" customHeight="1">
      <c r="A46" s="604"/>
      <c r="B46" s="614"/>
      <c r="C46" s="1490" t="s">
        <v>419</v>
      </c>
      <c r="D46" s="1491"/>
      <c r="E46" s="630"/>
      <c r="F46" s="1153">
        <f>ROUND('(繰)4条支出 '!D7/1000,0)+R46</f>
        <v>24271124</v>
      </c>
      <c r="G46" s="1151">
        <f>'４条（みなし）'!G46+R46</f>
        <v>24082562</v>
      </c>
      <c r="H46" s="1151">
        <f>T46</f>
        <v>15677650</v>
      </c>
      <c r="I46" s="1151">
        <f>ROUND('(繰)4条支出 '!J7/1000,0)</f>
        <v>8532522</v>
      </c>
      <c r="J46" s="1152">
        <v>13953604</v>
      </c>
      <c r="K46" s="1129">
        <f t="shared" si="25"/>
        <v>-60952</v>
      </c>
      <c r="L46" s="1125">
        <f t="shared" si="26"/>
        <v>-2.5112969634204004E-3</v>
      </c>
      <c r="M46" s="1129">
        <f t="shared" si="27"/>
        <v>127610</v>
      </c>
      <c r="N46" s="621">
        <f t="shared" si="28"/>
        <v>5.2576881070691243E-3</v>
      </c>
      <c r="O46" s="1129">
        <f t="shared" si="29"/>
        <v>1724046</v>
      </c>
      <c r="P46" s="622">
        <f t="shared" si="30"/>
        <v>0.12355560613587716</v>
      </c>
      <c r="Q46" s="1004" t="str">
        <f t="shared" si="31"/>
        <v>表示（判定）</v>
      </c>
      <c r="R46" s="991">
        <v>8377953</v>
      </c>
      <c r="S46" s="986">
        <f>'(繰)4条支出 '!G7</f>
        <v>15677649564</v>
      </c>
      <c r="T46" s="986">
        <f t="shared" si="32"/>
        <v>15677650</v>
      </c>
      <c r="W46" s="986">
        <f>'(繰)4条支出 '!J7/1000</f>
        <v>8532522.4189999998</v>
      </c>
      <c r="X46" s="995">
        <f t="shared" ref="X46:X68" si="35">SUM(J46,W46)</f>
        <v>22486126.419</v>
      </c>
    </row>
    <row r="47" spans="1:24" s="578" customFormat="1" ht="20.25" hidden="1" customHeight="1">
      <c r="A47" s="604"/>
      <c r="B47" s="623"/>
      <c r="C47" s="614"/>
      <c r="D47" s="721" t="s">
        <v>420</v>
      </c>
      <c r="E47" s="722"/>
      <c r="F47" s="1184"/>
      <c r="G47" s="1155"/>
      <c r="H47" s="1155"/>
      <c r="I47" s="1155"/>
      <c r="J47" s="1185"/>
      <c r="K47" s="1129" t="str">
        <f t="shared" si="25"/>
        <v xml:space="preserve">－ </v>
      </c>
      <c r="L47" s="1125" t="str">
        <f t="shared" si="26"/>
        <v xml:space="preserve">－ </v>
      </c>
      <c r="M47" s="1129" t="str">
        <f t="shared" si="27"/>
        <v xml:space="preserve">－ </v>
      </c>
      <c r="N47" s="621" t="str">
        <f t="shared" si="28"/>
        <v xml:space="preserve">－ </v>
      </c>
      <c r="O47" s="1129" t="str">
        <f t="shared" si="29"/>
        <v xml:space="preserve">－ </v>
      </c>
      <c r="P47" s="622" t="str">
        <f t="shared" si="30"/>
        <v xml:space="preserve">－ </v>
      </c>
      <c r="Q47" s="1004" t="str">
        <f t="shared" si="31"/>
        <v>×表示しない</v>
      </c>
      <c r="R47" s="986"/>
      <c r="S47" s="986"/>
      <c r="X47" s="995">
        <f t="shared" si="35"/>
        <v>0</v>
      </c>
    </row>
    <row r="48" spans="1:24" s="578" customFormat="1" ht="20.25" hidden="1" customHeight="1">
      <c r="A48" s="604"/>
      <c r="B48" s="623"/>
      <c r="C48" s="623"/>
      <c r="D48" s="721" t="s">
        <v>421</v>
      </c>
      <c r="E48" s="722"/>
      <c r="F48" s="1184"/>
      <c r="G48" s="1155"/>
      <c r="H48" s="1155"/>
      <c r="I48" s="1155"/>
      <c r="J48" s="1185"/>
      <c r="K48" s="1129" t="str">
        <f t="shared" si="25"/>
        <v xml:space="preserve">－ </v>
      </c>
      <c r="L48" s="1125" t="str">
        <f t="shared" si="26"/>
        <v xml:space="preserve">－ </v>
      </c>
      <c r="M48" s="1129" t="str">
        <f t="shared" si="27"/>
        <v xml:space="preserve">－ </v>
      </c>
      <c r="N48" s="621" t="str">
        <f t="shared" si="28"/>
        <v xml:space="preserve">－ </v>
      </c>
      <c r="O48" s="1129" t="str">
        <f t="shared" si="29"/>
        <v xml:space="preserve">－ </v>
      </c>
      <c r="P48" s="622" t="str">
        <f t="shared" si="30"/>
        <v xml:space="preserve">－ </v>
      </c>
      <c r="Q48" s="1004" t="str">
        <f t="shared" si="31"/>
        <v>×表示しない</v>
      </c>
      <c r="R48" s="986"/>
      <c r="S48" s="986"/>
      <c r="X48" s="995">
        <f t="shared" si="35"/>
        <v>0</v>
      </c>
    </row>
    <row r="49" spans="1:24" s="578" customFormat="1" ht="20.25" hidden="1" customHeight="1">
      <c r="A49" s="604"/>
      <c r="B49" s="623"/>
      <c r="C49" s="623"/>
      <c r="D49" s="721" t="s">
        <v>422</v>
      </c>
      <c r="E49" s="722"/>
      <c r="F49" s="1184"/>
      <c r="G49" s="1155"/>
      <c r="H49" s="1155"/>
      <c r="I49" s="1155"/>
      <c r="J49" s="1185"/>
      <c r="K49" s="1129" t="str">
        <f t="shared" si="25"/>
        <v xml:space="preserve">－ </v>
      </c>
      <c r="L49" s="1125" t="str">
        <f t="shared" si="26"/>
        <v xml:space="preserve">－ </v>
      </c>
      <c r="M49" s="1129" t="str">
        <f t="shared" si="27"/>
        <v xml:space="preserve">－ </v>
      </c>
      <c r="N49" s="621" t="str">
        <f t="shared" si="28"/>
        <v xml:space="preserve">－ </v>
      </c>
      <c r="O49" s="1129" t="str">
        <f t="shared" si="29"/>
        <v xml:space="preserve">－ </v>
      </c>
      <c r="P49" s="622" t="str">
        <f t="shared" si="30"/>
        <v xml:space="preserve">－ </v>
      </c>
      <c r="Q49" s="1004" t="str">
        <f t="shared" si="31"/>
        <v>×表示しない</v>
      </c>
      <c r="R49" s="986"/>
      <c r="S49" s="986"/>
      <c r="X49" s="995">
        <f t="shared" si="35"/>
        <v>0</v>
      </c>
    </row>
    <row r="50" spans="1:24" s="578" customFormat="1" ht="20.25" hidden="1" customHeight="1">
      <c r="A50" s="604"/>
      <c r="B50" s="623"/>
      <c r="C50" s="623"/>
      <c r="D50" s="958" t="s">
        <v>423</v>
      </c>
      <c r="E50" s="630"/>
      <c r="F50" s="1184"/>
      <c r="G50" s="1155"/>
      <c r="H50" s="1155"/>
      <c r="I50" s="1155"/>
      <c r="J50" s="1185"/>
      <c r="K50" s="1129" t="str">
        <f t="shared" si="25"/>
        <v xml:space="preserve">－ </v>
      </c>
      <c r="L50" s="1125" t="str">
        <f t="shared" si="26"/>
        <v xml:space="preserve">－ </v>
      </c>
      <c r="M50" s="1129" t="str">
        <f t="shared" si="27"/>
        <v xml:space="preserve">－ </v>
      </c>
      <c r="N50" s="621" t="str">
        <f t="shared" si="28"/>
        <v xml:space="preserve">－ </v>
      </c>
      <c r="O50" s="1129" t="str">
        <f t="shared" si="29"/>
        <v xml:space="preserve">－ </v>
      </c>
      <c r="P50" s="622" t="str">
        <f t="shared" si="30"/>
        <v xml:space="preserve">－ </v>
      </c>
      <c r="Q50" s="1004" t="str">
        <f t="shared" si="31"/>
        <v>×表示しない</v>
      </c>
      <c r="R50" s="986"/>
      <c r="S50" s="986"/>
      <c r="X50" s="995">
        <f t="shared" si="35"/>
        <v>0</v>
      </c>
    </row>
    <row r="51" spans="1:24" s="578" customFormat="1" ht="20.25" hidden="1" customHeight="1">
      <c r="A51" s="604"/>
      <c r="B51" s="623"/>
      <c r="C51" s="623"/>
      <c r="D51" s="958" t="s">
        <v>424</v>
      </c>
      <c r="E51" s="630"/>
      <c r="F51" s="1184"/>
      <c r="G51" s="1155"/>
      <c r="H51" s="1155"/>
      <c r="I51" s="1155"/>
      <c r="J51" s="1185"/>
      <c r="K51" s="1129" t="str">
        <f t="shared" si="25"/>
        <v xml:space="preserve">－ </v>
      </c>
      <c r="L51" s="1125" t="str">
        <f t="shared" si="26"/>
        <v xml:space="preserve">－ </v>
      </c>
      <c r="M51" s="1129" t="str">
        <f t="shared" si="27"/>
        <v xml:space="preserve">－ </v>
      </c>
      <c r="N51" s="621" t="str">
        <f t="shared" si="28"/>
        <v xml:space="preserve">－ </v>
      </c>
      <c r="O51" s="1129" t="str">
        <f t="shared" si="29"/>
        <v xml:space="preserve">－ </v>
      </c>
      <c r="P51" s="622" t="str">
        <f t="shared" si="30"/>
        <v xml:space="preserve">－ </v>
      </c>
      <c r="Q51" s="1004" t="str">
        <f t="shared" si="31"/>
        <v>×表示しない</v>
      </c>
      <c r="R51" s="986"/>
      <c r="S51" s="986"/>
      <c r="X51" s="995">
        <f t="shared" si="35"/>
        <v>0</v>
      </c>
    </row>
    <row r="52" spans="1:24" s="578" customFormat="1" ht="20.25" hidden="1" customHeight="1">
      <c r="A52" s="604"/>
      <c r="B52" s="623"/>
      <c r="C52" s="623"/>
      <c r="D52" s="958" t="s">
        <v>425</v>
      </c>
      <c r="E52" s="630"/>
      <c r="F52" s="1184"/>
      <c r="G52" s="1155"/>
      <c r="H52" s="1155"/>
      <c r="I52" s="1155"/>
      <c r="J52" s="1185"/>
      <c r="K52" s="1129" t="str">
        <f t="shared" si="25"/>
        <v xml:space="preserve">－ </v>
      </c>
      <c r="L52" s="1125" t="str">
        <f t="shared" si="26"/>
        <v xml:space="preserve">－ </v>
      </c>
      <c r="M52" s="1129" t="str">
        <f t="shared" si="27"/>
        <v xml:space="preserve">－ </v>
      </c>
      <c r="N52" s="621" t="str">
        <f t="shared" si="28"/>
        <v xml:space="preserve">－ </v>
      </c>
      <c r="O52" s="1129" t="str">
        <f t="shared" si="29"/>
        <v xml:space="preserve">－ </v>
      </c>
      <c r="P52" s="622" t="str">
        <f t="shared" si="30"/>
        <v xml:space="preserve">－ </v>
      </c>
      <c r="Q52" s="1004" t="str">
        <f t="shared" si="31"/>
        <v>×表示しない</v>
      </c>
      <c r="R52" s="986"/>
      <c r="S52" s="986"/>
      <c r="X52" s="995">
        <f t="shared" si="35"/>
        <v>0</v>
      </c>
    </row>
    <row r="53" spans="1:24" s="578" customFormat="1" ht="20.25" hidden="1" customHeight="1">
      <c r="A53" s="604"/>
      <c r="B53" s="623"/>
      <c r="C53" s="623"/>
      <c r="D53" s="958" t="s">
        <v>426</v>
      </c>
      <c r="E53" s="630"/>
      <c r="F53" s="1184"/>
      <c r="G53" s="1155"/>
      <c r="H53" s="1155"/>
      <c r="I53" s="1155"/>
      <c r="J53" s="1185"/>
      <c r="K53" s="1129" t="str">
        <f t="shared" si="25"/>
        <v xml:space="preserve">－ </v>
      </c>
      <c r="L53" s="1125" t="str">
        <f t="shared" si="26"/>
        <v xml:space="preserve">－ </v>
      </c>
      <c r="M53" s="1129" t="str">
        <f t="shared" si="27"/>
        <v xml:space="preserve">－ </v>
      </c>
      <c r="N53" s="621" t="str">
        <f t="shared" si="28"/>
        <v xml:space="preserve">－ </v>
      </c>
      <c r="O53" s="1129" t="str">
        <f t="shared" si="29"/>
        <v xml:space="preserve">－ </v>
      </c>
      <c r="P53" s="622" t="str">
        <f t="shared" si="30"/>
        <v xml:space="preserve">－ </v>
      </c>
      <c r="Q53" s="1004" t="str">
        <f t="shared" si="31"/>
        <v>×表示しない</v>
      </c>
      <c r="R53" s="986"/>
      <c r="S53" s="986"/>
      <c r="X53" s="995">
        <f t="shared" si="35"/>
        <v>0</v>
      </c>
    </row>
    <row r="54" spans="1:24" s="578" customFormat="1" ht="20.25" hidden="1" customHeight="1">
      <c r="A54" s="604"/>
      <c r="B54" s="623"/>
      <c r="C54" s="639"/>
      <c r="D54" s="958" t="s">
        <v>427</v>
      </c>
      <c r="E54" s="630"/>
      <c r="F54" s="1184"/>
      <c r="G54" s="1155"/>
      <c r="H54" s="1155"/>
      <c r="I54" s="1155"/>
      <c r="J54" s="1185"/>
      <c r="K54" s="1129" t="str">
        <f t="shared" si="25"/>
        <v xml:space="preserve">－ </v>
      </c>
      <c r="L54" s="1125" t="str">
        <f t="shared" si="26"/>
        <v xml:space="preserve">－ </v>
      </c>
      <c r="M54" s="1129" t="str">
        <f t="shared" si="27"/>
        <v xml:space="preserve">－ </v>
      </c>
      <c r="N54" s="621" t="str">
        <f t="shared" si="28"/>
        <v xml:space="preserve">－ </v>
      </c>
      <c r="O54" s="1129" t="str">
        <f t="shared" si="29"/>
        <v xml:space="preserve">－ </v>
      </c>
      <c r="P54" s="622" t="str">
        <f t="shared" si="30"/>
        <v xml:space="preserve">－ </v>
      </c>
      <c r="Q54" s="1004" t="str">
        <f t="shared" si="31"/>
        <v>×表示しない</v>
      </c>
      <c r="R54" s="986"/>
      <c r="S54" s="986"/>
      <c r="X54" s="995">
        <f t="shared" si="35"/>
        <v>0</v>
      </c>
    </row>
    <row r="55" spans="1:24" s="578" customFormat="1" ht="20.25" customHeight="1">
      <c r="A55" s="604"/>
      <c r="B55" s="623"/>
      <c r="C55" s="1490" t="s">
        <v>428</v>
      </c>
      <c r="D55" s="1491"/>
      <c r="E55" s="630"/>
      <c r="F55" s="1153">
        <f>ROUND('(繰)4条支出 '!D8/1000,0)</f>
        <v>18558</v>
      </c>
      <c r="G55" s="1151">
        <f>'４条（みなし）'!G55+R55</f>
        <v>17032</v>
      </c>
      <c r="H55" s="1151">
        <f>T55</f>
        <v>15860</v>
      </c>
      <c r="I55" s="1151"/>
      <c r="J55" s="1152">
        <v>12170</v>
      </c>
      <c r="K55" s="1129">
        <f t="shared" si="25"/>
        <v>-2698</v>
      </c>
      <c r="L55" s="1125">
        <f t="shared" si="26"/>
        <v>-0.14538204547903869</v>
      </c>
      <c r="M55" s="1129">
        <f t="shared" si="27"/>
        <v>-1172</v>
      </c>
      <c r="N55" s="621">
        <f t="shared" si="28"/>
        <v>-6.3153357042784783E-2</v>
      </c>
      <c r="O55" s="1129">
        <f t="shared" si="29"/>
        <v>3690</v>
      </c>
      <c r="P55" s="622">
        <f t="shared" si="30"/>
        <v>0.30320460147904682</v>
      </c>
      <c r="Q55" s="1004" t="str">
        <f t="shared" si="31"/>
        <v>表示（判定）</v>
      </c>
      <c r="R55" s="986"/>
      <c r="S55" s="986">
        <f>'(繰)4条支出 '!G8</f>
        <v>15860357</v>
      </c>
      <c r="T55" s="986">
        <f t="shared" ref="T55:T62" si="36">ROUND(S55/1000,0)+U55</f>
        <v>15860</v>
      </c>
      <c r="U55" s="996"/>
      <c r="X55" s="995">
        <f t="shared" si="35"/>
        <v>12170</v>
      </c>
    </row>
    <row r="56" spans="1:24" s="578" customFormat="1" ht="20.25" customHeight="1">
      <c r="A56" s="604"/>
      <c r="B56" s="623"/>
      <c r="C56" s="1490" t="s">
        <v>429</v>
      </c>
      <c r="D56" s="1491"/>
      <c r="E56" s="630"/>
      <c r="F56" s="1153">
        <f>ROUND('(繰)4条支出 '!D9/1000,0)+R56</f>
        <v>1284949</v>
      </c>
      <c r="G56" s="1151">
        <f>'４条（みなし）'!G56+R56</f>
        <v>1235802</v>
      </c>
      <c r="H56" s="1151">
        <f t="shared" ref="H56:H61" si="37">T56</f>
        <v>665100</v>
      </c>
      <c r="I56" s="1151">
        <f>ROUND('(繰)4条支出 '!J9/1000,0)</f>
        <v>520900</v>
      </c>
      <c r="J56" s="1152">
        <v>446991</v>
      </c>
      <c r="K56" s="1129">
        <f t="shared" si="25"/>
        <v>-98949</v>
      </c>
      <c r="L56" s="1125">
        <f t="shared" si="26"/>
        <v>-7.7006169116439635E-2</v>
      </c>
      <c r="M56" s="1129">
        <f t="shared" si="27"/>
        <v>-49802</v>
      </c>
      <c r="N56" s="621">
        <f t="shared" si="28"/>
        <v>-3.875795848706836E-2</v>
      </c>
      <c r="O56" s="1129">
        <f t="shared" si="29"/>
        <v>218109</v>
      </c>
      <c r="P56" s="622">
        <f t="shared" si="30"/>
        <v>0.48794942180043893</v>
      </c>
      <c r="Q56" s="1004" t="str">
        <f t="shared" si="31"/>
        <v>表示（判定）</v>
      </c>
      <c r="R56" s="991">
        <v>505422</v>
      </c>
      <c r="S56" s="986">
        <f>'(繰)4条支出 '!G9</f>
        <v>665100151</v>
      </c>
      <c r="T56" s="986">
        <f t="shared" si="36"/>
        <v>665100</v>
      </c>
      <c r="W56" s="986">
        <f>'(繰)4条支出 '!J9/1000</f>
        <v>520900.20199999999</v>
      </c>
      <c r="X56" s="995">
        <f t="shared" si="35"/>
        <v>967891.20200000005</v>
      </c>
    </row>
    <row r="57" spans="1:24" s="578" customFormat="1" ht="20.25" hidden="1" customHeight="1">
      <c r="A57" s="604"/>
      <c r="B57" s="623"/>
      <c r="C57" s="1490" t="s">
        <v>430</v>
      </c>
      <c r="D57" s="1491"/>
      <c r="E57" s="630"/>
      <c r="F57" s="1153">
        <f>ROUND('(繰)4条支出 '!D10/1000,0)</f>
        <v>0</v>
      </c>
      <c r="G57" s="1151">
        <f>'４条（みなし）'!G57+R57</f>
        <v>0</v>
      </c>
      <c r="H57" s="1151">
        <f t="shared" si="37"/>
        <v>0</v>
      </c>
      <c r="I57" s="1151"/>
      <c r="J57" s="1152">
        <v>0</v>
      </c>
      <c r="K57" s="1129" t="str">
        <f t="shared" si="25"/>
        <v xml:space="preserve">－ </v>
      </c>
      <c r="L57" s="1125" t="str">
        <f t="shared" si="26"/>
        <v xml:space="preserve">－ </v>
      </c>
      <c r="M57" s="1129" t="str">
        <f t="shared" si="27"/>
        <v xml:space="preserve">－ </v>
      </c>
      <c r="N57" s="621" t="str">
        <f t="shared" si="28"/>
        <v xml:space="preserve">－ </v>
      </c>
      <c r="O57" s="1129" t="str">
        <f t="shared" si="29"/>
        <v xml:space="preserve">－ </v>
      </c>
      <c r="P57" s="622" t="str">
        <f t="shared" si="30"/>
        <v xml:space="preserve">－ </v>
      </c>
      <c r="Q57" s="1004" t="str">
        <f t="shared" si="31"/>
        <v>×表示しない</v>
      </c>
      <c r="R57" s="986"/>
      <c r="S57" s="986">
        <f>'(繰)4条支出 '!G10</f>
        <v>0</v>
      </c>
      <c r="T57" s="986">
        <f t="shared" si="36"/>
        <v>0</v>
      </c>
      <c r="X57" s="995">
        <f t="shared" si="35"/>
        <v>0</v>
      </c>
    </row>
    <row r="58" spans="1:24" s="578" customFormat="1" ht="20.25" customHeight="1">
      <c r="A58" s="604"/>
      <c r="B58" s="623"/>
      <c r="C58" s="1490" t="s">
        <v>431</v>
      </c>
      <c r="D58" s="1491"/>
      <c r="E58" s="630"/>
      <c r="F58" s="1153">
        <f>ROUND('(繰)4条支出 '!D11/1000,0)</f>
        <v>172142</v>
      </c>
      <c r="G58" s="1151">
        <f>'４条（みなし）'!G58+R58</f>
        <v>172142</v>
      </c>
      <c r="H58" s="1151">
        <f t="shared" si="37"/>
        <v>131922</v>
      </c>
      <c r="I58" s="1151"/>
      <c r="J58" s="1152">
        <v>93130</v>
      </c>
      <c r="K58" s="1129">
        <f t="shared" si="25"/>
        <v>-40220</v>
      </c>
      <c r="L58" s="1125">
        <f t="shared" si="26"/>
        <v>-0.233644316901163</v>
      </c>
      <c r="M58" s="1129">
        <f t="shared" si="27"/>
        <v>-40220</v>
      </c>
      <c r="N58" s="621">
        <f t="shared" si="28"/>
        <v>-0.233644316901163</v>
      </c>
      <c r="O58" s="1129">
        <f t="shared" si="29"/>
        <v>38792</v>
      </c>
      <c r="P58" s="622">
        <f t="shared" si="30"/>
        <v>0.41653602491141417</v>
      </c>
      <c r="Q58" s="1004" t="str">
        <f t="shared" si="31"/>
        <v>表示（判定）</v>
      </c>
      <c r="R58" s="986"/>
      <c r="S58" s="986">
        <f>'(繰)4条支出 '!G11</f>
        <v>131921564</v>
      </c>
      <c r="T58" s="986">
        <f t="shared" si="36"/>
        <v>131922</v>
      </c>
      <c r="X58" s="995">
        <f t="shared" si="35"/>
        <v>93130</v>
      </c>
    </row>
    <row r="59" spans="1:24" s="578" customFormat="1" ht="20.25" customHeight="1">
      <c r="A59" s="604"/>
      <c r="B59" s="623"/>
      <c r="C59" s="1490" t="s">
        <v>432</v>
      </c>
      <c r="D59" s="1491"/>
      <c r="E59" s="630"/>
      <c r="F59" s="1153">
        <f>ROUND('(繰)4条支出 '!D12/1000,0)+R59</f>
        <v>112574</v>
      </c>
      <c r="G59" s="1151">
        <f>'４条（みなし）'!G59+R59</f>
        <v>107079</v>
      </c>
      <c r="H59" s="1151">
        <f t="shared" si="37"/>
        <v>59178</v>
      </c>
      <c r="I59" s="1151">
        <f>ROUND('(繰)4条支出 '!J12/1000,0)</f>
        <v>46750</v>
      </c>
      <c r="J59" s="1152">
        <v>33100</v>
      </c>
      <c r="K59" s="1129">
        <f t="shared" si="25"/>
        <v>-6646</v>
      </c>
      <c r="L59" s="1125">
        <f t="shared" si="26"/>
        <v>-5.9036722511414716E-2</v>
      </c>
      <c r="M59" s="1129">
        <f t="shared" si="27"/>
        <v>-1151</v>
      </c>
      <c r="N59" s="621">
        <f t="shared" si="28"/>
        <v>-1.0224385737381634E-2</v>
      </c>
      <c r="O59" s="1129">
        <f t="shared" si="29"/>
        <v>26078</v>
      </c>
      <c r="P59" s="622">
        <f t="shared" si="30"/>
        <v>0.78785498489425987</v>
      </c>
      <c r="Q59" s="1004" t="str">
        <f t="shared" si="31"/>
        <v>表示（判定）</v>
      </c>
      <c r="R59" s="991">
        <v>21630</v>
      </c>
      <c r="S59" s="986">
        <f>'(繰)4条支出 '!G12</f>
        <v>59178010</v>
      </c>
      <c r="T59" s="986">
        <f t="shared" si="36"/>
        <v>59178</v>
      </c>
      <c r="W59" s="986">
        <f>'(繰)4条支出 '!J12/1000</f>
        <v>46750</v>
      </c>
      <c r="X59" s="995">
        <f t="shared" si="35"/>
        <v>79850</v>
      </c>
    </row>
    <row r="60" spans="1:24" s="578" customFormat="1" ht="20.25" customHeight="1">
      <c r="A60" s="604"/>
      <c r="B60" s="623"/>
      <c r="C60" s="1490" t="s">
        <v>433</v>
      </c>
      <c r="D60" s="1491"/>
      <c r="E60" s="625"/>
      <c r="F60" s="1153">
        <f>ROUND('(繰)4条支出 '!D13/1000,0)</f>
        <v>12600</v>
      </c>
      <c r="G60" s="1151">
        <f>'４条（みなし）'!G60+R60</f>
        <v>12600</v>
      </c>
      <c r="H60" s="1151">
        <f t="shared" si="37"/>
        <v>12600</v>
      </c>
      <c r="I60" s="1151"/>
      <c r="J60" s="1152">
        <v>3500</v>
      </c>
      <c r="K60" s="1129">
        <f t="shared" si="25"/>
        <v>0</v>
      </c>
      <c r="L60" s="1125">
        <f t="shared" si="26"/>
        <v>0</v>
      </c>
      <c r="M60" s="1129">
        <f t="shared" si="27"/>
        <v>0</v>
      </c>
      <c r="N60" s="621">
        <f t="shared" si="28"/>
        <v>0</v>
      </c>
      <c r="O60" s="1129">
        <f t="shared" si="29"/>
        <v>9100</v>
      </c>
      <c r="P60" s="622">
        <f t="shared" si="30"/>
        <v>2.6</v>
      </c>
      <c r="Q60" s="1004" t="str">
        <f t="shared" si="31"/>
        <v>表示（判定）</v>
      </c>
      <c r="R60" s="986"/>
      <c r="S60" s="986">
        <f>'(繰)4条支出 '!G13</f>
        <v>12600000</v>
      </c>
      <c r="T60" s="986">
        <f t="shared" si="36"/>
        <v>12600</v>
      </c>
      <c r="X60" s="995">
        <f t="shared" si="35"/>
        <v>3500</v>
      </c>
    </row>
    <row r="61" spans="1:24" s="578" customFormat="1" ht="20.25" customHeight="1">
      <c r="A61" s="604"/>
      <c r="B61" s="639"/>
      <c r="C61" s="1490" t="s">
        <v>434</v>
      </c>
      <c r="D61" s="1491"/>
      <c r="E61" s="625"/>
      <c r="F61" s="1153">
        <f>ROUND('(繰)4条支出 '!D14/1000,0)+R61</f>
        <v>857993</v>
      </c>
      <c r="G61" s="1151">
        <f>'４条（みなし）'!G61+R61</f>
        <v>824332</v>
      </c>
      <c r="H61" s="1151">
        <f t="shared" si="37"/>
        <v>688245</v>
      </c>
      <c r="I61" s="1151">
        <f>ROUND('(繰)4条支出 '!J14/1000,0)+1</f>
        <v>125672</v>
      </c>
      <c r="J61" s="1152">
        <v>618195</v>
      </c>
      <c r="K61" s="1129">
        <f t="shared" si="25"/>
        <v>-44076</v>
      </c>
      <c r="L61" s="1125">
        <f t="shared" si="26"/>
        <v>-5.1371048481747519E-2</v>
      </c>
      <c r="M61" s="1129">
        <f t="shared" si="27"/>
        <v>-10415</v>
      </c>
      <c r="N61" s="621">
        <f t="shared" si="28"/>
        <v>-1.2138793673141855E-2</v>
      </c>
      <c r="O61" s="1129">
        <f t="shared" si="29"/>
        <v>70050</v>
      </c>
      <c r="P61" s="622">
        <f t="shared" si="30"/>
        <v>0.1133137602212894</v>
      </c>
      <c r="Q61" s="1004" t="str">
        <f t="shared" si="31"/>
        <v>表示（判定）</v>
      </c>
      <c r="R61" s="991">
        <v>400734</v>
      </c>
      <c r="S61" s="986">
        <f>'(繰)4条支出 '!G14</f>
        <v>688245424</v>
      </c>
      <c r="T61" s="986">
        <f t="shared" si="36"/>
        <v>688245</v>
      </c>
      <c r="U61" s="996"/>
      <c r="W61" s="986">
        <f>'(繰)4条支出 '!J14/1000</f>
        <v>125671.478</v>
      </c>
      <c r="X61" s="995">
        <f t="shared" si="35"/>
        <v>743866.478</v>
      </c>
    </row>
    <row r="62" spans="1:24" s="578" customFormat="1" ht="20.25" customHeight="1">
      <c r="A62" s="724"/>
      <c r="B62" s="1515" t="s">
        <v>435</v>
      </c>
      <c r="C62" s="1516"/>
      <c r="D62" s="1491"/>
      <c r="E62" s="625"/>
      <c r="F62" s="1186">
        <f>ROUND('(繰)4条支出 '!D16/1000,0)</f>
        <v>44621423</v>
      </c>
      <c r="G62" s="1187">
        <f>'４条（みなし）'!G62+R62</f>
        <v>44621240</v>
      </c>
      <c r="H62" s="1151">
        <f>T62</f>
        <v>44621240</v>
      </c>
      <c r="I62" s="1151"/>
      <c r="J62" s="1152">
        <v>44544306</v>
      </c>
      <c r="K62" s="1129">
        <f t="shared" si="25"/>
        <v>-183</v>
      </c>
      <c r="L62" s="1125">
        <f t="shared" si="26"/>
        <v>-4.1011690729809313E-6</v>
      </c>
      <c r="M62" s="1129">
        <f t="shared" si="27"/>
        <v>0</v>
      </c>
      <c r="N62" s="621">
        <f t="shared" si="28"/>
        <v>0</v>
      </c>
      <c r="O62" s="1129">
        <f t="shared" si="29"/>
        <v>76934</v>
      </c>
      <c r="P62" s="622">
        <f t="shared" si="30"/>
        <v>1.7271343277859127E-3</v>
      </c>
      <c r="Q62" s="1004" t="str">
        <f t="shared" si="31"/>
        <v>表示（判定）</v>
      </c>
      <c r="R62" s="986"/>
      <c r="S62" s="986">
        <f>'(繰)4条支出 '!G15</f>
        <v>44621240467</v>
      </c>
      <c r="T62" s="986">
        <f t="shared" si="36"/>
        <v>44621240</v>
      </c>
      <c r="X62" s="995">
        <f t="shared" si="35"/>
        <v>44544306</v>
      </c>
    </row>
    <row r="63" spans="1:24" s="578" customFormat="1" ht="20.25" customHeight="1">
      <c r="A63" s="724"/>
      <c r="B63" s="1515" t="s">
        <v>436</v>
      </c>
      <c r="C63" s="1516"/>
      <c r="D63" s="1491"/>
      <c r="E63" s="615">
        <f>SUM(E64,E68)</f>
        <v>0</v>
      </c>
      <c r="F63" s="1188">
        <f>SUM(F64,F68)</f>
        <v>10287</v>
      </c>
      <c r="G63" s="1189">
        <f>SUM(G64,G68)</f>
        <v>4182</v>
      </c>
      <c r="H63" s="1158">
        <f>SUM(H64,H68)</f>
        <v>4182</v>
      </c>
      <c r="I63" s="1158"/>
      <c r="J63" s="1159">
        <f>SUM(J64,J68)</f>
        <v>4463</v>
      </c>
      <c r="K63" s="1129">
        <f t="shared" si="25"/>
        <v>-6105</v>
      </c>
      <c r="L63" s="1125">
        <f t="shared" si="26"/>
        <v>-0.59346748323126275</v>
      </c>
      <c r="M63" s="1129">
        <f t="shared" si="27"/>
        <v>0</v>
      </c>
      <c r="N63" s="621">
        <f t="shared" si="28"/>
        <v>0</v>
      </c>
      <c r="O63" s="1129">
        <f t="shared" si="29"/>
        <v>-281</v>
      </c>
      <c r="P63" s="622">
        <f t="shared" si="30"/>
        <v>-6.2962133094331171E-2</v>
      </c>
      <c r="Q63" s="1004" t="str">
        <f t="shared" si="31"/>
        <v>表示（判定）</v>
      </c>
      <c r="R63" s="986"/>
      <c r="S63" s="986"/>
      <c r="X63" s="995">
        <f t="shared" si="35"/>
        <v>4463</v>
      </c>
    </row>
    <row r="64" spans="1:24" s="578" customFormat="1" ht="20.25" customHeight="1">
      <c r="A64" s="604"/>
      <c r="B64" s="614"/>
      <c r="C64" s="1490" t="s">
        <v>437</v>
      </c>
      <c r="D64" s="1491"/>
      <c r="E64" s="615">
        <f>SUM(E65:E67)</f>
        <v>0</v>
      </c>
      <c r="F64" s="1162">
        <f>SUM(F65:F67)</f>
        <v>8096</v>
      </c>
      <c r="G64" s="1158">
        <f>SUM(G65:G67)</f>
        <v>3759</v>
      </c>
      <c r="H64" s="1158">
        <f>SUM(H65:H67)</f>
        <v>3759</v>
      </c>
      <c r="I64" s="1158"/>
      <c r="J64" s="1159">
        <f>SUM(J65:J67)</f>
        <v>3215</v>
      </c>
      <c r="K64" s="1129">
        <f t="shared" si="25"/>
        <v>-4337</v>
      </c>
      <c r="L64" s="1125">
        <f t="shared" si="26"/>
        <v>-0.53569664031620556</v>
      </c>
      <c r="M64" s="1129">
        <f t="shared" si="27"/>
        <v>0</v>
      </c>
      <c r="N64" s="621">
        <f t="shared" si="28"/>
        <v>0</v>
      </c>
      <c r="O64" s="1129">
        <f t="shared" si="29"/>
        <v>544</v>
      </c>
      <c r="P64" s="622">
        <f t="shared" si="30"/>
        <v>0.1692068429237947</v>
      </c>
      <c r="Q64" s="1004" t="str">
        <f t="shared" si="31"/>
        <v>表示（判定）</v>
      </c>
      <c r="R64" s="986"/>
      <c r="S64" s="986"/>
      <c r="X64" s="995">
        <f t="shared" si="35"/>
        <v>3215</v>
      </c>
    </row>
    <row r="65" spans="1:24" s="578" customFormat="1" ht="20.25" customHeight="1">
      <c r="A65" s="604"/>
      <c r="B65" s="623"/>
      <c r="C65" s="614"/>
      <c r="D65" s="958" t="s">
        <v>438</v>
      </c>
      <c r="E65" s="630"/>
      <c r="F65" s="1190">
        <v>2976</v>
      </c>
      <c r="G65" s="1191">
        <f>'４条（みなし）'!G65+R65</f>
        <v>2600</v>
      </c>
      <c r="H65" s="1151">
        <f t="shared" ref="H65:H67" si="38">T65</f>
        <v>2600</v>
      </c>
      <c r="I65" s="1151"/>
      <c r="J65" s="1152">
        <v>1040</v>
      </c>
      <c r="K65" s="1129">
        <f t="shared" si="25"/>
        <v>-376</v>
      </c>
      <c r="L65" s="1125">
        <f t="shared" si="26"/>
        <v>-0.12634408602150538</v>
      </c>
      <c r="M65" s="1129">
        <f t="shared" si="27"/>
        <v>0</v>
      </c>
      <c r="N65" s="621">
        <f t="shared" si="28"/>
        <v>0</v>
      </c>
      <c r="O65" s="1129">
        <f t="shared" si="29"/>
        <v>1560</v>
      </c>
      <c r="P65" s="622">
        <f t="shared" si="30"/>
        <v>1.5</v>
      </c>
      <c r="Q65" s="1004" t="str">
        <f t="shared" si="31"/>
        <v>表示（判定）</v>
      </c>
      <c r="R65" s="986"/>
      <c r="S65" s="986">
        <f>[6]水洗!$E$6</f>
        <v>2600000</v>
      </c>
      <c r="T65" s="986">
        <f t="shared" ref="T65:T68" si="39">ROUND(S65/1000,0)+U65</f>
        <v>2600</v>
      </c>
      <c r="X65" s="995">
        <f t="shared" si="35"/>
        <v>1040</v>
      </c>
    </row>
    <row r="66" spans="1:24" s="578" customFormat="1" ht="20.25" customHeight="1">
      <c r="A66" s="604"/>
      <c r="B66" s="623"/>
      <c r="C66" s="623"/>
      <c r="D66" s="958" t="s">
        <v>439</v>
      </c>
      <c r="E66" s="630"/>
      <c r="F66" s="1190">
        <v>5120</v>
      </c>
      <c r="G66" s="1191">
        <f>'４条（みなし）'!G66+R66</f>
        <v>1159</v>
      </c>
      <c r="H66" s="1151">
        <f t="shared" si="38"/>
        <v>1159</v>
      </c>
      <c r="I66" s="1151"/>
      <c r="J66" s="1152">
        <v>2175</v>
      </c>
      <c r="K66" s="1129">
        <f t="shared" si="25"/>
        <v>-3961</v>
      </c>
      <c r="L66" s="1125">
        <f t="shared" si="26"/>
        <v>-0.77363281250000004</v>
      </c>
      <c r="M66" s="1129">
        <f t="shared" si="27"/>
        <v>0</v>
      </c>
      <c r="N66" s="621">
        <f t="shared" si="28"/>
        <v>0</v>
      </c>
      <c r="O66" s="1129">
        <f t="shared" si="29"/>
        <v>-1016</v>
      </c>
      <c r="P66" s="622">
        <f t="shared" si="30"/>
        <v>-0.4671264367816092</v>
      </c>
      <c r="Q66" s="1004" t="str">
        <f t="shared" si="31"/>
        <v>表示（判定）</v>
      </c>
      <c r="R66" s="986"/>
      <c r="S66" s="986">
        <f>[6]水洗!$E$12</f>
        <v>1159000</v>
      </c>
      <c r="T66" s="986">
        <f t="shared" si="39"/>
        <v>1159</v>
      </c>
      <c r="X66" s="995">
        <f t="shared" si="35"/>
        <v>2175</v>
      </c>
    </row>
    <row r="67" spans="1:24" s="578" customFormat="1" ht="20.25" hidden="1" customHeight="1">
      <c r="A67" s="604"/>
      <c r="B67" s="623"/>
      <c r="C67" s="639"/>
      <c r="D67" s="958" t="s">
        <v>440</v>
      </c>
      <c r="E67" s="630"/>
      <c r="F67" s="1190">
        <v>0</v>
      </c>
      <c r="G67" s="1191">
        <f>'４条（みなし）'!G67+R67</f>
        <v>0</v>
      </c>
      <c r="H67" s="1151">
        <f t="shared" si="38"/>
        <v>0</v>
      </c>
      <c r="I67" s="1151"/>
      <c r="J67" s="1152">
        <v>0</v>
      </c>
      <c r="K67" s="1129" t="str">
        <f t="shared" si="25"/>
        <v xml:space="preserve">－ </v>
      </c>
      <c r="L67" s="1125" t="str">
        <f t="shared" si="26"/>
        <v xml:space="preserve">－ </v>
      </c>
      <c r="M67" s="1129" t="str">
        <f t="shared" si="27"/>
        <v xml:space="preserve">－ </v>
      </c>
      <c r="N67" s="621" t="str">
        <f t="shared" si="28"/>
        <v xml:space="preserve">－ </v>
      </c>
      <c r="O67" s="1129" t="str">
        <f t="shared" si="29"/>
        <v xml:space="preserve">－ </v>
      </c>
      <c r="P67" s="622" t="str">
        <f t="shared" si="30"/>
        <v xml:space="preserve">－ </v>
      </c>
      <c r="Q67" s="1004" t="str">
        <f t="shared" si="31"/>
        <v>×表示しない</v>
      </c>
      <c r="R67" s="986"/>
      <c r="S67" s="986">
        <f>[6]水洗!$E$18</f>
        <v>0</v>
      </c>
      <c r="T67" s="986">
        <f t="shared" si="39"/>
        <v>0</v>
      </c>
      <c r="X67" s="995">
        <f t="shared" si="35"/>
        <v>0</v>
      </c>
    </row>
    <row r="68" spans="1:24" s="578" customFormat="1" ht="20.25" customHeight="1" thickBot="1">
      <c r="A68" s="651"/>
      <c r="B68" s="727"/>
      <c r="C68" s="1517" t="s">
        <v>457</v>
      </c>
      <c r="D68" s="1518"/>
      <c r="E68" s="728"/>
      <c r="F68" s="1192">
        <f>ROUND('(繰)4条支出 '!D20/1000,0)</f>
        <v>2191</v>
      </c>
      <c r="G68" s="1193">
        <f>'４条（みなし）'!G68+R68</f>
        <v>423</v>
      </c>
      <c r="H68" s="1193">
        <f>T68</f>
        <v>423</v>
      </c>
      <c r="I68" s="1193"/>
      <c r="J68" s="1170">
        <v>1248</v>
      </c>
      <c r="K68" s="1130">
        <f t="shared" si="25"/>
        <v>-1768</v>
      </c>
      <c r="L68" s="1126">
        <f t="shared" si="26"/>
        <v>-0.80693747147421269</v>
      </c>
      <c r="M68" s="1130">
        <f t="shared" si="27"/>
        <v>0</v>
      </c>
      <c r="N68" s="658">
        <f t="shared" si="28"/>
        <v>0</v>
      </c>
      <c r="O68" s="1130">
        <f t="shared" si="29"/>
        <v>-825</v>
      </c>
      <c r="P68" s="659">
        <f t="shared" si="30"/>
        <v>-0.66105769230769229</v>
      </c>
      <c r="Q68" s="1004" t="str">
        <f t="shared" si="31"/>
        <v>表示（判定）</v>
      </c>
      <c r="R68" s="986"/>
      <c r="S68" s="986">
        <f>'(繰)4条支出 '!G20</f>
        <v>423000</v>
      </c>
      <c r="T68" s="986">
        <f t="shared" si="39"/>
        <v>423</v>
      </c>
      <c r="X68" s="995">
        <f t="shared" si="35"/>
        <v>1248</v>
      </c>
    </row>
    <row r="69" spans="1:24" s="578" customFormat="1" ht="20.25" hidden="1" customHeight="1">
      <c r="A69" s="604"/>
      <c r="B69" s="1519" t="s">
        <v>441</v>
      </c>
      <c r="C69" s="1520"/>
      <c r="D69" s="1521"/>
      <c r="E69" s="732"/>
      <c r="F69" s="1194"/>
      <c r="G69" s="1195"/>
      <c r="H69" s="1195"/>
      <c r="I69" s="1195"/>
      <c r="J69" s="1196"/>
      <c r="K69" s="1134" t="str">
        <f t="shared" si="25"/>
        <v xml:space="preserve">－ </v>
      </c>
      <c r="L69" s="1139" t="str">
        <f t="shared" si="26"/>
        <v xml:space="preserve">－ </v>
      </c>
      <c r="M69" s="1134" t="str">
        <f t="shared" si="27"/>
        <v xml:space="preserve">－ </v>
      </c>
      <c r="N69" s="738" t="str">
        <f t="shared" si="28"/>
        <v xml:space="preserve">－ </v>
      </c>
      <c r="O69" s="1134" t="str">
        <f t="shared" si="29"/>
        <v xml:space="preserve">－ </v>
      </c>
      <c r="P69" s="740" t="str">
        <f t="shared" si="30"/>
        <v xml:space="preserve">－ </v>
      </c>
      <c r="Q69" s="1004" t="str">
        <f t="shared" si="31"/>
        <v>×表示しない</v>
      </c>
      <c r="R69" s="986"/>
      <c r="S69" s="986"/>
    </row>
    <row r="70" spans="1:24" s="578" customFormat="1" ht="20.25" hidden="1" customHeight="1" thickBot="1">
      <c r="A70" s="651"/>
      <c r="B70" s="1522" t="s">
        <v>442</v>
      </c>
      <c r="C70" s="1523"/>
      <c r="D70" s="1524"/>
      <c r="E70" s="741"/>
      <c r="F70" s="1197"/>
      <c r="G70" s="1198"/>
      <c r="H70" s="1198"/>
      <c r="I70" s="1198"/>
      <c r="J70" s="1199"/>
      <c r="K70" s="1135" t="str">
        <f t="shared" si="25"/>
        <v xml:space="preserve">－ </v>
      </c>
      <c r="L70" s="1126" t="str">
        <f t="shared" si="26"/>
        <v xml:space="preserve">－ </v>
      </c>
      <c r="M70" s="1135" t="str">
        <f t="shared" si="27"/>
        <v xml:space="preserve">－ </v>
      </c>
      <c r="N70" s="658" t="str">
        <f t="shared" si="28"/>
        <v xml:space="preserve">－ </v>
      </c>
      <c r="O70" s="1135" t="str">
        <f t="shared" si="29"/>
        <v xml:space="preserve">－ </v>
      </c>
      <c r="P70" s="659" t="str">
        <f t="shared" si="30"/>
        <v xml:space="preserve">－ </v>
      </c>
      <c r="Q70" s="1004" t="str">
        <f t="shared" si="31"/>
        <v>×表示しない</v>
      </c>
      <c r="R70" s="986"/>
      <c r="S70" s="986"/>
    </row>
    <row r="71" spans="1:24" s="578" customFormat="1" ht="12">
      <c r="A71" s="674"/>
      <c r="B71" s="674"/>
      <c r="C71" s="985" t="s">
        <v>648</v>
      </c>
      <c r="D71" s="674"/>
      <c r="F71" s="985"/>
      <c r="G71" s="985"/>
      <c r="H71" s="992"/>
      <c r="I71" s="992"/>
      <c r="J71" s="992"/>
      <c r="K71" s="676"/>
      <c r="L71" s="677"/>
      <c r="M71" s="676"/>
      <c r="N71" s="677"/>
      <c r="O71" s="676"/>
      <c r="P71" s="677"/>
      <c r="Q71" s="994" t="s">
        <v>642</v>
      </c>
      <c r="R71" s="986"/>
      <c r="S71" s="426" t="s">
        <v>383</v>
      </c>
      <c r="T71" s="986">
        <f>SUM(T46:T68)</f>
        <v>61875977</v>
      </c>
    </row>
    <row r="72" spans="1:24" s="753" customFormat="1" ht="20.25" hidden="1" customHeight="1" thickBot="1">
      <c r="A72" s="674"/>
      <c r="B72" s="674"/>
      <c r="C72" s="674"/>
      <c r="D72" s="674"/>
      <c r="E72" s="578"/>
      <c r="F72" s="985"/>
      <c r="G72" s="985"/>
      <c r="H72" s="992"/>
      <c r="I72" s="992"/>
      <c r="J72" s="992"/>
      <c r="K72" s="676"/>
      <c r="L72" s="677"/>
      <c r="M72" s="676"/>
      <c r="N72" s="677"/>
      <c r="O72" s="676"/>
      <c r="P72" s="677"/>
      <c r="Q72" s="994" t="str">
        <f t="shared" ref="Q72" si="40">IF(OR(F72&gt;0,G72&gt;0,H72&gt;0,I72&gt;0,J72&gt;0),"表示（判定）","×表示しない")</f>
        <v>×表示しない</v>
      </c>
      <c r="R72" s="997"/>
      <c r="S72" s="997">
        <f>S7-S44</f>
        <v>-19850772396</v>
      </c>
      <c r="T72" s="997">
        <f>T38-T71</f>
        <v>-19850772</v>
      </c>
    </row>
    <row r="73" spans="1:24" s="1018" customFormat="1" ht="20.25" hidden="1" customHeight="1" thickBot="1">
      <c r="A73" s="1570" t="s">
        <v>443</v>
      </c>
      <c r="B73" s="1571"/>
      <c r="C73" s="1571"/>
      <c r="D73" s="1572"/>
      <c r="E73" s="1012">
        <f>E7-E44</f>
        <v>0</v>
      </c>
      <c r="F73" s="1013">
        <f t="shared" ref="F73:I73" si="41">F7-F44</f>
        <v>-20313200</v>
      </c>
      <c r="G73" s="1014">
        <f t="shared" si="41"/>
        <v>-20483238</v>
      </c>
      <c r="H73" s="1014">
        <f t="shared" si="41"/>
        <v>-19850772</v>
      </c>
      <c r="I73" s="1014">
        <f t="shared" si="41"/>
        <v>-586558.26099999994</v>
      </c>
      <c r="J73" s="1015">
        <f>J7-J44</f>
        <v>-19154738</v>
      </c>
      <c r="K73" s="1101">
        <f>H73-F73</f>
        <v>462428</v>
      </c>
      <c r="L73" s="1102">
        <f>IF(AND(F73=0,H73&gt;0),"　皆増",IF(AND(F73&gt;0,H73=0),"　皆減",IF(AND(F73=0,H73=0),"　　－",ROUND(K73/F73,3))))</f>
        <v>-2.3E-2</v>
      </c>
      <c r="M73" s="1101"/>
      <c r="N73" s="1102"/>
      <c r="O73" s="1101">
        <f>H73-J73</f>
        <v>-696034</v>
      </c>
      <c r="P73" s="1102">
        <f>IF(AND(J73=0,H73&gt;0),"　皆増",IF(AND(J73&gt;0,H73=0),"　皆減",IF(AND(J73=0,H73=0),"　　－",ROUND(O73/J73,3))))</f>
        <v>3.5999999999999997E-2</v>
      </c>
      <c r="Q73" s="1016" t="s">
        <v>544</v>
      </c>
      <c r="R73" s="1017"/>
      <c r="S73" s="1017"/>
    </row>
    <row r="74" spans="1:24" s="1018" customFormat="1" ht="20.25" hidden="1" customHeight="1" thickBot="1">
      <c r="A74" s="1570" t="s">
        <v>444</v>
      </c>
      <c r="B74" s="1571"/>
      <c r="C74" s="1571"/>
      <c r="D74" s="1572"/>
      <c r="E74" s="1019">
        <v>0</v>
      </c>
      <c r="F74" s="1020">
        <v>0</v>
      </c>
      <c r="G74" s="1021">
        <v>0</v>
      </c>
      <c r="H74" s="1021">
        <v>0</v>
      </c>
      <c r="I74" s="1021"/>
      <c r="J74" s="1022">
        <v>0</v>
      </c>
      <c r="K74" s="1103">
        <f>H74-F74</f>
        <v>0</v>
      </c>
      <c r="L74" s="1104" t="str">
        <f>IF(AND(F74=0,H74&gt;0),"　皆増",IF(AND(F74&gt;0,H74=0),"　皆減",IF(AND(F74=0,H74=0),"　　－",ROUND(K74/F74,3))))</f>
        <v>　　－</v>
      </c>
      <c r="M74" s="1103"/>
      <c r="N74" s="1104"/>
      <c r="O74" s="1103">
        <f>H74-J74</f>
        <v>0</v>
      </c>
      <c r="P74" s="1104" t="str">
        <f>IF(AND(J74=0,H74&gt;0),"　皆増",IF(AND(J74&gt;0,H74=0),"　皆減",IF(AND(J74=0,H74=0),"　　－",ROUND(O74/J74,3))))</f>
        <v>　　－</v>
      </c>
      <c r="Q74" s="1016" t="s">
        <v>544</v>
      </c>
      <c r="R74" s="1017"/>
      <c r="S74" s="1017"/>
    </row>
    <row r="75" spans="1:24" s="1024" customFormat="1" ht="20.25" hidden="1" customHeight="1" thickBot="1">
      <c r="A75" s="1570" t="s">
        <v>445</v>
      </c>
      <c r="B75" s="1571"/>
      <c r="C75" s="1571"/>
      <c r="D75" s="1572"/>
      <c r="E75" s="1012">
        <f>E73-E74</f>
        <v>0</v>
      </c>
      <c r="F75" s="1013">
        <f t="shared" ref="F75:I75" si="42">F73-F74</f>
        <v>-20313200</v>
      </c>
      <c r="G75" s="1014">
        <f t="shared" si="42"/>
        <v>-20483238</v>
      </c>
      <c r="H75" s="1014">
        <f t="shared" si="42"/>
        <v>-19850772</v>
      </c>
      <c r="I75" s="1014">
        <f t="shared" si="42"/>
        <v>-586558.26099999994</v>
      </c>
      <c r="J75" s="1015">
        <f>J73-J74</f>
        <v>-19154738</v>
      </c>
      <c r="K75" s="1101">
        <f>H75-F75</f>
        <v>462428</v>
      </c>
      <c r="L75" s="1102">
        <f>IF(AND(F75=0,H75&gt;0),"　皆増",IF(AND(F75&gt;0,H75=0),"　皆減",IF(AND(F75=0,H75=0),"　　－",ROUND(K75/F75,3))))</f>
        <v>-2.3E-2</v>
      </c>
      <c r="M75" s="1101"/>
      <c r="N75" s="1102"/>
      <c r="O75" s="1101">
        <f>H75-J75</f>
        <v>-696034</v>
      </c>
      <c r="P75" s="1102">
        <f>IF(AND(J75=0,H75&gt;0),"　皆増",IF(AND(J75&gt;0,H75=0),"　皆減",IF(AND(J75=0,H75=0),"　　－",ROUND(O75/J75,3))))</f>
        <v>3.5999999999999997E-2</v>
      </c>
      <c r="Q75" s="1016" t="s">
        <v>544</v>
      </c>
      <c r="R75" s="1023"/>
      <c r="S75" s="1023"/>
    </row>
    <row r="76" spans="1:24" s="1024" customFormat="1" ht="20.25" hidden="1" customHeight="1" thickBot="1">
      <c r="A76" s="1025"/>
      <c r="B76" s="1025"/>
      <c r="C76" s="1025"/>
      <c r="D76" s="1025"/>
      <c r="H76" s="1026"/>
      <c r="I76" s="1026"/>
      <c r="J76" s="1026"/>
      <c r="K76" s="1105"/>
      <c r="L76" s="1106"/>
      <c r="M76" s="1105"/>
      <c r="N76" s="1106"/>
      <c r="O76" s="1105"/>
      <c r="P76" s="1106"/>
      <c r="Q76" s="1027" t="s">
        <v>544</v>
      </c>
      <c r="R76" s="1023"/>
      <c r="S76" s="1023"/>
      <c r="T76" s="1023"/>
    </row>
    <row r="77" spans="1:24" s="1018" customFormat="1" ht="20.25" hidden="1" customHeight="1">
      <c r="A77" s="1573" t="s">
        <v>446</v>
      </c>
      <c r="B77" s="1574"/>
      <c r="C77" s="1574"/>
      <c r="D77" s="1575"/>
      <c r="E77" s="1028">
        <f>SUM(E78,E85:E88)</f>
        <v>0</v>
      </c>
      <c r="F77" s="1029">
        <f>SUM(F78,F85:F88)</f>
        <v>18083533</v>
      </c>
      <c r="G77" s="1030">
        <f>SUM(G78,G85:G88)</f>
        <v>20483238</v>
      </c>
      <c r="H77" s="1030">
        <f>SUM(H78,H85:H88)</f>
        <v>19609807</v>
      </c>
      <c r="I77" s="1030"/>
      <c r="J77" s="1031">
        <f>SUM(J78,J85:J88)</f>
        <v>17652217</v>
      </c>
      <c r="K77" s="1107">
        <f t="shared" ref="K77:K88" si="43">H77-F77</f>
        <v>1526274</v>
      </c>
      <c r="L77" s="1108">
        <f t="shared" ref="L77:L88" si="44">IF(AND(F77=0,H77&gt;0),"　皆増",IF(AND(F77&gt;0,H77=0),"　皆減",IF(AND(F77=0,H77=0),"　　－",ROUND(K77/F77,3))))</f>
        <v>8.4000000000000005E-2</v>
      </c>
      <c r="M77" s="1107"/>
      <c r="N77" s="1108"/>
      <c r="O77" s="1107">
        <f t="shared" ref="O77:O88" si="45">H77-J77</f>
        <v>1957590</v>
      </c>
      <c r="P77" s="1108">
        <f t="shared" ref="P77:P88" si="46">IF(AND(J77=0,H77&gt;0),"　皆増",IF(AND(J77&gt;0,H77=0),"　皆減",IF(AND(J77=0,H77=0),"　　－",ROUND(O77/J77,3))))</f>
        <v>0.111</v>
      </c>
      <c r="Q77" s="1016" t="s">
        <v>544</v>
      </c>
      <c r="R77" s="1017"/>
      <c r="S77" s="1017"/>
    </row>
    <row r="78" spans="1:24" s="1018" customFormat="1" ht="20.25" hidden="1" customHeight="1">
      <c r="A78" s="1032"/>
      <c r="B78" s="1576" t="s">
        <v>447</v>
      </c>
      <c r="C78" s="1576"/>
      <c r="D78" s="1577"/>
      <c r="E78" s="1033">
        <f>SUM(E79:E84)</f>
        <v>0</v>
      </c>
      <c r="F78" s="1034">
        <f>SUM(F79:F84)</f>
        <v>16710606</v>
      </c>
      <c r="G78" s="1035">
        <f>SUM(G79:G84)</f>
        <v>17581851</v>
      </c>
      <c r="H78" s="1036">
        <f>SUM(H79:H84)</f>
        <v>17579830</v>
      </c>
      <c r="I78" s="1036"/>
      <c r="J78" s="1037">
        <f>SUM(J79:J84)</f>
        <v>16524735</v>
      </c>
      <c r="K78" s="1109">
        <f t="shared" si="43"/>
        <v>869224</v>
      </c>
      <c r="L78" s="1104">
        <f t="shared" si="44"/>
        <v>5.1999999999999998E-2</v>
      </c>
      <c r="M78" s="1109"/>
      <c r="N78" s="1104"/>
      <c r="O78" s="1109">
        <f t="shared" si="45"/>
        <v>1055095</v>
      </c>
      <c r="P78" s="1104">
        <f t="shared" si="46"/>
        <v>6.4000000000000001E-2</v>
      </c>
      <c r="Q78" s="1016" t="s">
        <v>544</v>
      </c>
      <c r="R78" s="1017"/>
      <c r="S78" s="1038"/>
      <c r="T78" s="1023"/>
    </row>
    <row r="79" spans="1:24" s="1018" customFormat="1" ht="20.25" hidden="1" customHeight="1">
      <c r="A79" s="1039"/>
      <c r="B79" s="1040"/>
      <c r="C79" s="1041"/>
      <c r="D79" s="1042" t="s">
        <v>368</v>
      </c>
      <c r="E79" s="1043"/>
      <c r="F79" s="1044">
        <v>16504526</v>
      </c>
      <c r="G79" s="1045">
        <f>'４条（みなし）'!G78</f>
        <v>17184270</v>
      </c>
      <c r="H79" s="1046">
        <f>'４条（みなし）'!H78</f>
        <v>17186822</v>
      </c>
      <c r="I79" s="1046"/>
      <c r="J79" s="1047">
        <v>16253044</v>
      </c>
      <c r="K79" s="1109">
        <f t="shared" si="43"/>
        <v>682296</v>
      </c>
      <c r="L79" s="1104">
        <f t="shared" si="44"/>
        <v>4.1000000000000002E-2</v>
      </c>
      <c r="M79" s="1109"/>
      <c r="N79" s="1104"/>
      <c r="O79" s="1109">
        <f t="shared" si="45"/>
        <v>933778</v>
      </c>
      <c r="P79" s="1104">
        <f t="shared" si="46"/>
        <v>5.7000000000000002E-2</v>
      </c>
      <c r="Q79" s="1016" t="s">
        <v>544</v>
      </c>
      <c r="R79" s="1017"/>
      <c r="S79" s="1038"/>
      <c r="T79" s="1023"/>
    </row>
    <row r="80" spans="1:24" s="1018" customFormat="1" ht="20.25" hidden="1" customHeight="1">
      <c r="A80" s="1039"/>
      <c r="B80" s="1048"/>
      <c r="C80" s="1049"/>
      <c r="D80" s="1042" t="s">
        <v>369</v>
      </c>
      <c r="E80" s="1043"/>
      <c r="F80" s="1044">
        <v>206080</v>
      </c>
      <c r="G80" s="1045">
        <f>'４条（みなし）'!G79</f>
        <v>397581</v>
      </c>
      <c r="H80" s="1046">
        <f>'４条（みなし）'!H79</f>
        <v>383027</v>
      </c>
      <c r="I80" s="1046"/>
      <c r="J80" s="1047">
        <v>252573</v>
      </c>
      <c r="K80" s="1109">
        <f t="shared" si="43"/>
        <v>176947</v>
      </c>
      <c r="L80" s="1104">
        <f t="shared" si="44"/>
        <v>0.85899999999999999</v>
      </c>
      <c r="M80" s="1109"/>
      <c r="N80" s="1104"/>
      <c r="O80" s="1109">
        <f t="shared" si="45"/>
        <v>130454</v>
      </c>
      <c r="P80" s="1104">
        <f t="shared" si="46"/>
        <v>0.51700000000000002</v>
      </c>
      <c r="Q80" s="1016" t="s">
        <v>544</v>
      </c>
      <c r="R80" s="1017"/>
      <c r="S80" s="1017"/>
      <c r="T80" s="1023"/>
    </row>
    <row r="81" spans="1:20" s="1018" customFormat="1" ht="20.25" hidden="1" customHeight="1">
      <c r="A81" s="1039"/>
      <c r="B81" s="1048"/>
      <c r="C81" s="1049"/>
      <c r="D81" s="1042" t="s">
        <v>448</v>
      </c>
      <c r="E81" s="1043"/>
      <c r="F81" s="1044">
        <v>0</v>
      </c>
      <c r="G81" s="1045">
        <f>'４条（みなし）'!G80</f>
        <v>0</v>
      </c>
      <c r="H81" s="1046">
        <f>'４条（みなし）'!H80</f>
        <v>0</v>
      </c>
      <c r="I81" s="1046"/>
      <c r="J81" s="1047">
        <v>19118</v>
      </c>
      <c r="K81" s="1109">
        <f t="shared" si="43"/>
        <v>0</v>
      </c>
      <c r="L81" s="1104" t="str">
        <f t="shared" si="44"/>
        <v>　　－</v>
      </c>
      <c r="M81" s="1109"/>
      <c r="N81" s="1104"/>
      <c r="O81" s="1109">
        <f t="shared" si="45"/>
        <v>-19118</v>
      </c>
      <c r="P81" s="1104" t="str">
        <f t="shared" si="46"/>
        <v>　皆減</v>
      </c>
      <c r="Q81" s="1016" t="s">
        <v>544</v>
      </c>
      <c r="R81" s="1017"/>
      <c r="S81" s="1038"/>
      <c r="T81" s="1023"/>
    </row>
    <row r="82" spans="1:20" s="1018" customFormat="1" ht="20.25" hidden="1" customHeight="1">
      <c r="A82" s="1039"/>
      <c r="B82" s="1048"/>
      <c r="C82" s="1049"/>
      <c r="D82" s="1042" t="s">
        <v>449</v>
      </c>
      <c r="E82" s="1043"/>
      <c r="F82" s="1044">
        <v>0</v>
      </c>
      <c r="G82" s="1045">
        <f>'４条（みなし）'!G81</f>
        <v>0</v>
      </c>
      <c r="H82" s="1046">
        <f>'４条（みなし）'!H81</f>
        <v>-334</v>
      </c>
      <c r="I82" s="1046"/>
      <c r="J82" s="1047">
        <v>0</v>
      </c>
      <c r="K82" s="1109">
        <f t="shared" si="43"/>
        <v>-334</v>
      </c>
      <c r="L82" s="1104" t="e">
        <f t="shared" si="44"/>
        <v>#DIV/0!</v>
      </c>
      <c r="M82" s="1109"/>
      <c r="N82" s="1104"/>
      <c r="O82" s="1109">
        <f t="shared" si="45"/>
        <v>-334</v>
      </c>
      <c r="P82" s="1104" t="e">
        <f t="shared" si="46"/>
        <v>#DIV/0!</v>
      </c>
      <c r="Q82" s="1016" t="s">
        <v>544</v>
      </c>
      <c r="R82" s="1017"/>
      <c r="S82" s="1038"/>
      <c r="T82" s="1023"/>
    </row>
    <row r="83" spans="1:20" s="1018" customFormat="1" ht="20.25" hidden="1" customHeight="1">
      <c r="A83" s="1039"/>
      <c r="B83" s="1048"/>
      <c r="C83" s="1049"/>
      <c r="D83" s="1042" t="s">
        <v>375</v>
      </c>
      <c r="E83" s="1043"/>
      <c r="F83" s="1044">
        <v>0</v>
      </c>
      <c r="G83" s="1045">
        <f>'４条（みなし）'!G82</f>
        <v>0</v>
      </c>
      <c r="H83" s="1046">
        <f>'４条（みなし）'!H82</f>
        <v>10315</v>
      </c>
      <c r="I83" s="1046"/>
      <c r="J83" s="1050">
        <v>0</v>
      </c>
      <c r="K83" s="1109">
        <f t="shared" si="43"/>
        <v>10315</v>
      </c>
      <c r="L83" s="1104" t="str">
        <f t="shared" si="44"/>
        <v>　皆増</v>
      </c>
      <c r="M83" s="1109"/>
      <c r="N83" s="1104"/>
      <c r="O83" s="1109">
        <f t="shared" si="45"/>
        <v>10315</v>
      </c>
      <c r="P83" s="1104" t="str">
        <f t="shared" si="46"/>
        <v>　皆増</v>
      </c>
      <c r="Q83" s="1016" t="s">
        <v>544</v>
      </c>
      <c r="R83" s="1017"/>
      <c r="S83" s="1017"/>
    </row>
    <row r="84" spans="1:20" s="1018" customFormat="1" ht="20.25" hidden="1" customHeight="1">
      <c r="A84" s="1039"/>
      <c r="B84" s="1051"/>
      <c r="C84" s="1052"/>
      <c r="D84" s="1042" t="s">
        <v>450</v>
      </c>
      <c r="E84" s="1043"/>
      <c r="F84" s="1044">
        <v>0</v>
      </c>
      <c r="G84" s="1045">
        <f>'４条（みなし）'!G83</f>
        <v>0</v>
      </c>
      <c r="H84" s="1053">
        <f>'４条（みなし）'!H83</f>
        <v>0</v>
      </c>
      <c r="I84" s="1053"/>
      <c r="J84" s="1050">
        <v>0</v>
      </c>
      <c r="K84" s="1109">
        <f t="shared" si="43"/>
        <v>0</v>
      </c>
      <c r="L84" s="1104" t="str">
        <f t="shared" si="44"/>
        <v>　　－</v>
      </c>
      <c r="M84" s="1109"/>
      <c r="N84" s="1104"/>
      <c r="O84" s="1109">
        <f t="shared" si="45"/>
        <v>0</v>
      </c>
      <c r="P84" s="1104" t="str">
        <f t="shared" si="46"/>
        <v>　　－</v>
      </c>
      <c r="Q84" s="1016" t="s">
        <v>544</v>
      </c>
      <c r="R84" s="1017"/>
      <c r="S84" s="1017"/>
    </row>
    <row r="85" spans="1:20" s="1018" customFormat="1" ht="20.25" hidden="1" customHeight="1">
      <c r="A85" s="1039"/>
      <c r="B85" s="1576" t="s">
        <v>451</v>
      </c>
      <c r="C85" s="1576"/>
      <c r="D85" s="1577"/>
      <c r="E85" s="1043"/>
      <c r="F85" s="1054"/>
      <c r="G85" s="1055"/>
      <c r="H85" s="1053"/>
      <c r="I85" s="1053"/>
      <c r="J85" s="1050">
        <v>0</v>
      </c>
      <c r="K85" s="1109">
        <f t="shared" si="43"/>
        <v>0</v>
      </c>
      <c r="L85" s="1104" t="str">
        <f t="shared" si="44"/>
        <v>　　－</v>
      </c>
      <c r="M85" s="1109"/>
      <c r="N85" s="1104"/>
      <c r="O85" s="1109">
        <f t="shared" si="45"/>
        <v>0</v>
      </c>
      <c r="P85" s="1104" t="str">
        <f t="shared" si="46"/>
        <v>　　－</v>
      </c>
      <c r="Q85" s="1016" t="s">
        <v>544</v>
      </c>
      <c r="R85" s="1017"/>
      <c r="S85" s="1017"/>
      <c r="T85" s="1023"/>
    </row>
    <row r="86" spans="1:20" s="1018" customFormat="1" ht="20.25" hidden="1" customHeight="1">
      <c r="A86" s="1039"/>
      <c r="B86" s="1580" t="s">
        <v>452</v>
      </c>
      <c r="C86" s="1580"/>
      <c r="D86" s="1581"/>
      <c r="E86" s="1056"/>
      <c r="F86" s="1057">
        <v>480218</v>
      </c>
      <c r="G86" s="1058">
        <f>'４条（みなし）'!G85</f>
        <v>967482</v>
      </c>
      <c r="H86" s="1046">
        <f>'４条（みなし）'!H85</f>
        <v>923596</v>
      </c>
      <c r="I86" s="1059"/>
      <c r="J86" s="1060">
        <v>732317</v>
      </c>
      <c r="K86" s="1109">
        <f t="shared" si="43"/>
        <v>443378</v>
      </c>
      <c r="L86" s="1104">
        <f t="shared" si="44"/>
        <v>0.92300000000000004</v>
      </c>
      <c r="M86" s="1109"/>
      <c r="N86" s="1104"/>
      <c r="O86" s="1109">
        <f t="shared" si="45"/>
        <v>191279</v>
      </c>
      <c r="P86" s="1104">
        <f t="shared" si="46"/>
        <v>0.26100000000000001</v>
      </c>
      <c r="Q86" s="1016" t="s">
        <v>544</v>
      </c>
      <c r="R86" s="1017"/>
      <c r="S86" s="1017"/>
      <c r="T86" s="1023"/>
    </row>
    <row r="87" spans="1:20" s="1018" customFormat="1" ht="20.25" hidden="1" customHeight="1">
      <c r="A87" s="1039"/>
      <c r="B87" s="1582" t="s">
        <v>453</v>
      </c>
      <c r="C87" s="1583"/>
      <c r="D87" s="1584"/>
      <c r="E87" s="1056"/>
      <c r="F87" s="1057">
        <v>892709</v>
      </c>
      <c r="G87" s="1058">
        <f>'４条（みなし）'!G86</f>
        <v>1049566</v>
      </c>
      <c r="H87" s="1046">
        <f>'４条（みなし）'!H86</f>
        <v>1049566</v>
      </c>
      <c r="I87" s="1059"/>
      <c r="J87" s="1060">
        <v>395165</v>
      </c>
      <c r="K87" s="1110">
        <f t="shared" si="43"/>
        <v>156857</v>
      </c>
      <c r="L87" s="1111">
        <f t="shared" si="44"/>
        <v>0.17599999999999999</v>
      </c>
      <c r="M87" s="1110"/>
      <c r="N87" s="1111"/>
      <c r="O87" s="1110">
        <f t="shared" si="45"/>
        <v>654401</v>
      </c>
      <c r="P87" s="1111">
        <f t="shared" si="46"/>
        <v>1.6559999999999999</v>
      </c>
      <c r="Q87" s="1016" t="s">
        <v>544</v>
      </c>
      <c r="R87" s="1017"/>
      <c r="S87" s="1017"/>
    </row>
    <row r="88" spans="1:20" s="1024" customFormat="1" ht="20.25" hidden="1" customHeight="1" thickBot="1">
      <c r="A88" s="1061"/>
      <c r="B88" s="1578" t="s">
        <v>454</v>
      </c>
      <c r="C88" s="1578"/>
      <c r="D88" s="1579"/>
      <c r="E88" s="1062">
        <v>0</v>
      </c>
      <c r="F88" s="1063">
        <v>0</v>
      </c>
      <c r="G88" s="1064">
        <v>884339</v>
      </c>
      <c r="H88" s="1065">
        <f>'４条（みなし）'!H87</f>
        <v>56815</v>
      </c>
      <c r="I88" s="1065"/>
      <c r="J88" s="1066">
        <v>0</v>
      </c>
      <c r="K88" s="1112">
        <f t="shared" si="43"/>
        <v>56815</v>
      </c>
      <c r="L88" s="1113" t="str">
        <f t="shared" si="44"/>
        <v>　皆増</v>
      </c>
      <c r="M88" s="1112"/>
      <c r="N88" s="1113"/>
      <c r="O88" s="1112">
        <f t="shared" si="45"/>
        <v>56815</v>
      </c>
      <c r="P88" s="1113" t="str">
        <f t="shared" si="46"/>
        <v>　皆増</v>
      </c>
      <c r="Q88" s="1016" t="s">
        <v>544</v>
      </c>
      <c r="R88" s="1023"/>
      <c r="S88" s="1067"/>
      <c r="T88" s="1023"/>
    </row>
    <row r="89" spans="1:20" s="1018" customFormat="1" ht="20.25" hidden="1" customHeight="1" thickBot="1">
      <c r="A89" s="1025"/>
      <c r="B89" s="1025"/>
      <c r="C89" s="1025"/>
      <c r="D89" s="1025"/>
      <c r="E89" s="1024"/>
      <c r="F89" s="1026"/>
      <c r="G89" s="1026"/>
      <c r="H89" s="1026"/>
      <c r="I89" s="1026"/>
      <c r="J89" s="1026"/>
      <c r="K89" s="1105"/>
      <c r="L89" s="1106"/>
      <c r="M89" s="1105"/>
      <c r="N89" s="1106"/>
      <c r="O89" s="1105"/>
      <c r="P89" s="1106"/>
      <c r="Q89" s="1027" t="s">
        <v>544</v>
      </c>
      <c r="R89" s="1017"/>
      <c r="S89" s="1017"/>
    </row>
    <row r="90" spans="1:20" s="1018" customFormat="1" ht="20.25" hidden="1" customHeight="1">
      <c r="A90" s="1068"/>
      <c r="B90" s="1068"/>
      <c r="C90" s="1068"/>
      <c r="D90" s="1069" t="s">
        <v>455</v>
      </c>
      <c r="E90" s="1070"/>
      <c r="F90" s="1071">
        <f>SUM('3条税込'!F36,'４条（みなし）'!F44)</f>
        <v>106009210</v>
      </c>
      <c r="G90" s="1072">
        <f>SUM('3条税込'!G36,'４条（みなし）'!G44)</f>
        <v>104881156</v>
      </c>
      <c r="H90" s="1072">
        <f>SUM('3条税込'!H36,'４条（みなし）'!H44)</f>
        <v>104840106</v>
      </c>
      <c r="I90" s="1072"/>
      <c r="J90" s="1073"/>
      <c r="K90" s="1114">
        <f t="shared" ref="K90:K91" si="47">H90-F90</f>
        <v>-1169104</v>
      </c>
      <c r="L90" s="1115">
        <f>IF(AND(F90=0,H90&gt;0),"　皆増",IF(AND(F90&gt;0,H90=0),"　皆減",IF(AND(F90=0,H90=0),"　　－",ROUND(K90/F90,3))))</f>
        <v>-1.0999999999999999E-2</v>
      </c>
      <c r="M90" s="1114"/>
      <c r="N90" s="1115"/>
      <c r="O90" s="1114">
        <f>H90-J90</f>
        <v>104840106</v>
      </c>
      <c r="P90" s="1115" t="str">
        <f>IF(AND(J90=0,H90&gt;0),"　皆増",IF(AND(J90&gt;0,H90=0),"　皆減",IF(AND(J90=0,H90=0),"　　－",ROUND(O90/J90,3))))</f>
        <v>　皆増</v>
      </c>
      <c r="Q90" s="1016" t="s">
        <v>544</v>
      </c>
      <c r="R90" s="1017"/>
      <c r="S90" s="1017"/>
    </row>
    <row r="91" spans="1:20" s="1024" customFormat="1" ht="20.25" hidden="1" customHeight="1" thickBot="1">
      <c r="A91" s="1068"/>
      <c r="B91" s="1068"/>
      <c r="C91" s="1068"/>
      <c r="D91" s="1074" t="s">
        <v>456</v>
      </c>
      <c r="E91" s="1075"/>
      <c r="F91" s="1076">
        <f>SUM('3条税込'!F33,'４条（決算）'!F38)</f>
        <v>17495336</v>
      </c>
      <c r="G91" s="1077">
        <f>SUM('3条税込'!G33,'４条（決算）'!G38)</f>
        <v>17338938</v>
      </c>
      <c r="H91" s="1077">
        <f>SUM('3条税込'!H33,'４条（決算）'!H38)</f>
        <v>17481811</v>
      </c>
      <c r="I91" s="1077"/>
      <c r="J91" s="1078"/>
      <c r="K91" s="1116">
        <f t="shared" si="47"/>
        <v>-13525</v>
      </c>
      <c r="L91" s="1117">
        <f>IF(AND(F91=0,H91&gt;0),"　皆増",IF(AND(F91&gt;0,H91=0),"　皆減",IF(AND(F91=0,H91=0),"　　－",ROUND(K91/F91,3))))</f>
        <v>-1E-3</v>
      </c>
      <c r="M91" s="1116"/>
      <c r="N91" s="1117"/>
      <c r="O91" s="1116">
        <f>H91-J91</f>
        <v>17481811</v>
      </c>
      <c r="P91" s="1117" t="str">
        <f>IF(AND(J91=0,H91&gt;0),"　皆増",IF(AND(J91&gt;0,H91=0),"　皆減",IF(AND(J91=0,H91=0),"　　－",ROUND(O91/J91,3))))</f>
        <v>　皆増</v>
      </c>
      <c r="Q91" s="1016" t="s">
        <v>544</v>
      </c>
      <c r="R91" s="1023"/>
      <c r="S91" s="1023"/>
    </row>
  </sheetData>
  <autoFilter ref="A6:U91">
    <filterColumn colId="16">
      <filters>
        <filter val="表示（強制）"/>
        <filter val="表示（判定）"/>
      </filters>
    </filterColumn>
  </autoFilter>
  <mergeCells count="63">
    <mergeCell ref="B88:D88"/>
    <mergeCell ref="B86:D86"/>
    <mergeCell ref="B87:D87"/>
    <mergeCell ref="B63:D63"/>
    <mergeCell ref="C57:D57"/>
    <mergeCell ref="R42:R43"/>
    <mergeCell ref="A75:D75"/>
    <mergeCell ref="A77:D77"/>
    <mergeCell ref="B78:D78"/>
    <mergeCell ref="B85:D85"/>
    <mergeCell ref="C64:D64"/>
    <mergeCell ref="C68:D68"/>
    <mergeCell ref="B69:D69"/>
    <mergeCell ref="B70:D70"/>
    <mergeCell ref="A73:D73"/>
    <mergeCell ref="A74:D74"/>
    <mergeCell ref="C58:D58"/>
    <mergeCell ref="C59:D59"/>
    <mergeCell ref="C60:D60"/>
    <mergeCell ref="C61:D61"/>
    <mergeCell ref="B62:D62"/>
    <mergeCell ref="O41:P41"/>
    <mergeCell ref="E42:E43"/>
    <mergeCell ref="F42:F43"/>
    <mergeCell ref="H42:H43"/>
    <mergeCell ref="J42:J43"/>
    <mergeCell ref="K42:K43"/>
    <mergeCell ref="O42:O43"/>
    <mergeCell ref="M41:N41"/>
    <mergeCell ref="M42:M43"/>
    <mergeCell ref="F41:H41"/>
    <mergeCell ref="K41:L41"/>
    <mergeCell ref="C56:D56"/>
    <mergeCell ref="C30:D30"/>
    <mergeCell ref="C31:D31"/>
    <mergeCell ref="B35:D35"/>
    <mergeCell ref="B36:D36"/>
    <mergeCell ref="A38:D38"/>
    <mergeCell ref="A41:D43"/>
    <mergeCell ref="A44:D44"/>
    <mergeCell ref="B45:D45"/>
    <mergeCell ref="C46:D46"/>
    <mergeCell ref="C55:D55"/>
    <mergeCell ref="C29:D29"/>
    <mergeCell ref="C18:D18"/>
    <mergeCell ref="B19:D19"/>
    <mergeCell ref="B20:D20"/>
    <mergeCell ref="B21:D21"/>
    <mergeCell ref="B22:D22"/>
    <mergeCell ref="B23:D23"/>
    <mergeCell ref="C24:D24"/>
    <mergeCell ref="C25:D25"/>
    <mergeCell ref="C26:D26"/>
    <mergeCell ref="C27:D27"/>
    <mergeCell ref="B28:D28"/>
    <mergeCell ref="C17:D17"/>
    <mergeCell ref="K3:L3"/>
    <mergeCell ref="O3:P3"/>
    <mergeCell ref="A7:D7"/>
    <mergeCell ref="B8:D8"/>
    <mergeCell ref="C9:D9"/>
    <mergeCell ref="A5:D5"/>
    <mergeCell ref="M3:N3"/>
  </mergeCells>
  <phoneticPr fontId="28"/>
  <printOptions horizontalCentered="1"/>
  <pageMargins left="0.70866141732283472" right="0" top="0.59055118110236227" bottom="0.27559055118110237" header="0.27559055118110237" footer="0.15748031496062992"/>
  <pageSetup paperSize="9" scale="68" fitToWidth="0" fitToHeight="0" orientation="portrait" blackAndWhite="1" r:id="rId1"/>
  <headerFooter alignWithMargins="0">
    <oddHeader>&amp;R&amp;8&amp;D &amp;T</oddHeader>
    <oddFooter>&amp;L&amp;8&amp;F &amp;A</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20</vt:i4>
      </vt:variant>
    </vt:vector>
  </HeadingPairs>
  <TitlesOfParts>
    <vt:vector size="36" baseType="lpstr">
      <vt:lpstr>最終チェック（資本的支出の財源内訳と照合）</vt:lpstr>
      <vt:lpstr>(繰)案</vt:lpstr>
      <vt:lpstr>(繰)精算書</vt:lpstr>
      <vt:lpstr>(繰)繰入金</vt:lpstr>
      <vt:lpstr>(繰)対前年</vt:lpstr>
      <vt:lpstr>(繰)3条収入</vt:lpstr>
      <vt:lpstr>(繰)3条支出 </vt:lpstr>
      <vt:lpstr>(繰)4条収入</vt:lpstr>
      <vt:lpstr>(繰)4条支出 </vt:lpstr>
      <vt:lpstr>出資金しくみ</vt:lpstr>
      <vt:lpstr>総括表 (メモなし)</vt:lpstr>
      <vt:lpstr>総括表</vt:lpstr>
      <vt:lpstr>３条 税抜</vt:lpstr>
      <vt:lpstr>3条税込</vt:lpstr>
      <vt:lpstr>４条（みなし）</vt:lpstr>
      <vt:lpstr>４条（決算）</vt:lpstr>
      <vt:lpstr>'(繰)3条支出 '!Print_Area</vt:lpstr>
      <vt:lpstr>'(繰)3条収入'!Print_Area</vt:lpstr>
      <vt:lpstr>'(繰)4条支出 '!Print_Area</vt:lpstr>
      <vt:lpstr>'(繰)4条収入'!Print_Area</vt:lpstr>
      <vt:lpstr>'(繰)案'!Print_Area</vt:lpstr>
      <vt:lpstr>'(繰)繰入金'!Print_Area</vt:lpstr>
      <vt:lpstr>'(繰)精算書'!Print_Area</vt:lpstr>
      <vt:lpstr>'(繰)対前年'!Print_Area</vt:lpstr>
      <vt:lpstr>'３条 税抜'!Print_Area</vt:lpstr>
      <vt:lpstr>'3条税込'!Print_Area</vt:lpstr>
      <vt:lpstr>'４条（みなし）'!Print_Area</vt:lpstr>
      <vt:lpstr>'４条（決算）'!Print_Area</vt:lpstr>
      <vt:lpstr>'最終チェック（資本的支出の財源内訳と照合）'!Print_Area</vt:lpstr>
      <vt:lpstr>出資金しくみ!Print_Area</vt:lpstr>
      <vt:lpstr>総括表!Print_Area</vt:lpstr>
      <vt:lpstr>'総括表 (メモなし)'!Print_Area</vt:lpstr>
      <vt:lpstr>'３条 税抜'!Print_Titles</vt:lpstr>
      <vt:lpstr>'3条税込'!Print_Titles</vt:lpstr>
      <vt:lpstr>'４条（みなし）'!Print_Titles</vt:lpstr>
      <vt:lpstr>'４条（決算）'!Print_Titles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広島市</dc:creator>
  <cp:lastModifiedBy>安達 謙介</cp:lastModifiedBy>
  <cp:lastPrinted>2024-06-14T01:26:36Z</cp:lastPrinted>
  <dcterms:created xsi:type="dcterms:W3CDTF">2018-01-18T00:02:03Z</dcterms:created>
  <dcterms:modified xsi:type="dcterms:W3CDTF">2024-06-14T01:27:18Z</dcterms:modified>
</cp:coreProperties>
</file>