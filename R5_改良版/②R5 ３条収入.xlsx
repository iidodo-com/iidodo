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I:\経理係フォルダ\☆決算事務\０５年度決算\06 R5決算 消費税計算\02 繰入金計算\令和５年度決算用\"/>
    </mc:Choice>
  </mc:AlternateContent>
  <bookViews>
    <workbookView xWindow="24825" yWindow="0" windowWidth="10740" windowHeight="10110" tabRatio="878"/>
  </bookViews>
  <sheets>
    <sheet name="3条収入" sheetId="60" r:id="rId1"/>
  </sheets>
  <externalReferences>
    <externalReference r:id="rId2"/>
    <externalReference r:id="rId3"/>
    <externalReference r:id="rId4"/>
    <externalReference r:id="rId5"/>
  </externalReferences>
  <definedNames>
    <definedName name="_xlnm.Print_Area" localSheetId="0">'3条収入'!$A$1:$AI$72</definedName>
  </definedNames>
  <calcPr calcId="162913" fullCalcOnLoad="1"/>
</workbook>
</file>

<file path=xl/calcChain.xml><?xml version="1.0" encoding="utf-8"?>
<calcChain xmlns="http://schemas.openxmlformats.org/spreadsheetml/2006/main">
  <c r="E56" i="60" l="1"/>
  <c r="E8" i="60" l="1"/>
  <c r="V67" i="60"/>
  <c r="V65" i="60"/>
  <c r="V64" i="60"/>
  <c r="V63" i="60"/>
  <c r="V61" i="60"/>
  <c r="V59" i="60"/>
  <c r="V56" i="60"/>
  <c r="V53" i="60"/>
  <c r="V52" i="60"/>
  <c r="V50" i="60"/>
  <c r="L67" i="60"/>
  <c r="J67" i="60"/>
  <c r="I67" i="60"/>
  <c r="H67" i="60"/>
  <c r="G67" i="60"/>
  <c r="F67" i="60"/>
  <c r="E67" i="60"/>
  <c r="L65" i="60"/>
  <c r="J65" i="60"/>
  <c r="I65" i="60"/>
  <c r="H65" i="60"/>
  <c r="G65" i="60"/>
  <c r="F65" i="60"/>
  <c r="E65" i="60"/>
  <c r="L64" i="60"/>
  <c r="J64" i="60"/>
  <c r="I64" i="60"/>
  <c r="H64" i="60"/>
  <c r="G64" i="60"/>
  <c r="F64" i="60"/>
  <c r="E64" i="60"/>
  <c r="L63" i="60"/>
  <c r="J63" i="60"/>
  <c r="I63" i="60"/>
  <c r="H63" i="60"/>
  <c r="G63" i="60"/>
  <c r="F63" i="60"/>
  <c r="E63" i="60"/>
  <c r="L61" i="60"/>
  <c r="J61" i="60"/>
  <c r="I61" i="60"/>
  <c r="H61" i="60"/>
  <c r="Y61" i="60" s="1"/>
  <c r="G61" i="60"/>
  <c r="F61" i="60"/>
  <c r="E61" i="60"/>
  <c r="L59" i="60"/>
  <c r="J59" i="60"/>
  <c r="I59" i="60"/>
  <c r="H59" i="60"/>
  <c r="G59" i="60"/>
  <c r="F59" i="60"/>
  <c r="E59" i="60"/>
  <c r="L56" i="60"/>
  <c r="J56" i="60"/>
  <c r="I56" i="60"/>
  <c r="H56" i="60"/>
  <c r="G56" i="60"/>
  <c r="F56" i="60"/>
  <c r="L54" i="60"/>
  <c r="J54" i="60"/>
  <c r="I54" i="60"/>
  <c r="H54" i="60"/>
  <c r="G54" i="60"/>
  <c r="F54" i="60"/>
  <c r="L53" i="60"/>
  <c r="J53" i="60"/>
  <c r="I53" i="60"/>
  <c r="H53" i="60"/>
  <c r="G53" i="60"/>
  <c r="F53" i="60"/>
  <c r="E53" i="60"/>
  <c r="L52" i="60"/>
  <c r="J52" i="60"/>
  <c r="I52" i="60"/>
  <c r="H52" i="60"/>
  <c r="G52" i="60"/>
  <c r="F52" i="60"/>
  <c r="E52" i="60"/>
  <c r="E50" i="60"/>
  <c r="V40" i="60"/>
  <c r="V38" i="60"/>
  <c r="V37" i="60"/>
  <c r="V36" i="60"/>
  <c r="V35" i="60"/>
  <c r="V33" i="60"/>
  <c r="V31" i="60"/>
  <c r="V30" i="60"/>
  <c r="V29" i="60"/>
  <c r="V26" i="60"/>
  <c r="V25" i="60"/>
  <c r="V24" i="60"/>
  <c r="V23" i="60"/>
  <c r="V21" i="60"/>
  <c r="V20" i="60"/>
  <c r="V18" i="60"/>
  <c r="L41" i="60"/>
  <c r="J41" i="60"/>
  <c r="I41" i="60"/>
  <c r="H41" i="60"/>
  <c r="G41" i="60"/>
  <c r="F41" i="60"/>
  <c r="E41" i="60"/>
  <c r="L40" i="60"/>
  <c r="J40" i="60"/>
  <c r="I40" i="60"/>
  <c r="H40" i="60"/>
  <c r="G40" i="60"/>
  <c r="F40" i="60"/>
  <c r="E40" i="60"/>
  <c r="L38" i="60"/>
  <c r="J38" i="60"/>
  <c r="I38" i="60"/>
  <c r="H38" i="60"/>
  <c r="G38" i="60"/>
  <c r="F38" i="60"/>
  <c r="E38" i="60"/>
  <c r="L37" i="60"/>
  <c r="J37" i="60"/>
  <c r="I37" i="60"/>
  <c r="H37" i="60"/>
  <c r="G37" i="60"/>
  <c r="F37" i="60"/>
  <c r="E37" i="60"/>
  <c r="L36" i="60"/>
  <c r="J36" i="60"/>
  <c r="I36" i="60"/>
  <c r="H36" i="60"/>
  <c r="G36" i="60"/>
  <c r="F36" i="60"/>
  <c r="E36" i="60"/>
  <c r="L35" i="60"/>
  <c r="J35" i="60"/>
  <c r="I35" i="60"/>
  <c r="H35" i="60"/>
  <c r="G35" i="60"/>
  <c r="F35" i="60"/>
  <c r="E35" i="60"/>
  <c r="L33" i="60"/>
  <c r="J33" i="60"/>
  <c r="I33" i="60"/>
  <c r="H33" i="60"/>
  <c r="G33" i="60"/>
  <c r="F33" i="60"/>
  <c r="E33" i="60"/>
  <c r="L31" i="60"/>
  <c r="J31" i="60"/>
  <c r="I31" i="60"/>
  <c r="H31" i="60"/>
  <c r="G31" i="60"/>
  <c r="F31" i="60"/>
  <c r="E31" i="60"/>
  <c r="L30" i="60"/>
  <c r="J30" i="60"/>
  <c r="I30" i="60"/>
  <c r="H30" i="60"/>
  <c r="G30" i="60"/>
  <c r="F30" i="60"/>
  <c r="E30" i="60"/>
  <c r="L29" i="60"/>
  <c r="J29" i="60"/>
  <c r="I29" i="60"/>
  <c r="H29" i="60"/>
  <c r="G29" i="60"/>
  <c r="F29" i="60"/>
  <c r="E29" i="60"/>
  <c r="L26" i="60"/>
  <c r="J26" i="60"/>
  <c r="I26" i="60"/>
  <c r="H26" i="60"/>
  <c r="G26" i="60"/>
  <c r="F26" i="60"/>
  <c r="E26" i="60"/>
  <c r="L25" i="60"/>
  <c r="J25" i="60"/>
  <c r="I25" i="60"/>
  <c r="H25" i="60"/>
  <c r="G25" i="60"/>
  <c r="F25" i="60"/>
  <c r="E25" i="60"/>
  <c r="L24" i="60"/>
  <c r="J24" i="60"/>
  <c r="I24" i="60"/>
  <c r="H24" i="60"/>
  <c r="G24" i="60"/>
  <c r="F24" i="60"/>
  <c r="E24" i="60"/>
  <c r="L23" i="60"/>
  <c r="J23" i="60"/>
  <c r="I23" i="60"/>
  <c r="H23" i="60"/>
  <c r="G23" i="60"/>
  <c r="F23" i="60"/>
  <c r="E23" i="60"/>
  <c r="L21" i="60"/>
  <c r="J21" i="60"/>
  <c r="I21" i="60"/>
  <c r="H21" i="60"/>
  <c r="G21" i="60"/>
  <c r="F21" i="60"/>
  <c r="E21" i="60"/>
  <c r="L20" i="60"/>
  <c r="J20" i="60"/>
  <c r="I20" i="60"/>
  <c r="H20" i="60"/>
  <c r="G20" i="60"/>
  <c r="F20" i="60"/>
  <c r="E20" i="60"/>
  <c r="L18" i="60"/>
  <c r="J18" i="60"/>
  <c r="I18" i="60"/>
  <c r="H18" i="60"/>
  <c r="G18" i="60"/>
  <c r="F18" i="60"/>
  <c r="E18" i="60"/>
  <c r="V8" i="60"/>
  <c r="L8" i="60"/>
  <c r="J8" i="60"/>
  <c r="I8" i="60"/>
  <c r="H8" i="60"/>
  <c r="G8" i="60"/>
  <c r="F8" i="60"/>
  <c r="AF8" i="60" l="1"/>
  <c r="AF7" i="60" s="1"/>
  <c r="AF12" i="60"/>
  <c r="BB12" i="60" s="1"/>
  <c r="AF18" i="60"/>
  <c r="BB18" i="60" s="1"/>
  <c r="AF20" i="60"/>
  <c r="AF19" i="60" s="1"/>
  <c r="AF21" i="60"/>
  <c r="AF22" i="60"/>
  <c r="AF23" i="60"/>
  <c r="AF24" i="60"/>
  <c r="AF25" i="60"/>
  <c r="AF26" i="60"/>
  <c r="AF29" i="60"/>
  <c r="AF28" i="60" s="1"/>
  <c r="AF30" i="60"/>
  <c r="AF31" i="60"/>
  <c r="AF33" i="60"/>
  <c r="AF40" i="60"/>
  <c r="AF41" i="60"/>
  <c r="AF39" i="60" s="1"/>
  <c r="AF44" i="60"/>
  <c r="AF43" i="60" s="1"/>
  <c r="AF45" i="60"/>
  <c r="AF46" i="60"/>
  <c r="AF47" i="60"/>
  <c r="AF50" i="60"/>
  <c r="BB50" i="60" s="1"/>
  <c r="AF52" i="60"/>
  <c r="AF55" i="60"/>
  <c r="AF56" i="60"/>
  <c r="AF59" i="60"/>
  <c r="AF58" i="60" s="1"/>
  <c r="AF67" i="60"/>
  <c r="AF66" i="60" s="1"/>
  <c r="Q7" i="60"/>
  <c r="Q17" i="60"/>
  <c r="Q19" i="60"/>
  <c r="Q22" i="60"/>
  <c r="Q28" i="60"/>
  <c r="Q39" i="60"/>
  <c r="Q43" i="60"/>
  <c r="Q49" i="60"/>
  <c r="Q55" i="60"/>
  <c r="Q58" i="60"/>
  <c r="Q66" i="60"/>
  <c r="Z10" i="60"/>
  <c r="Z9" i="60" s="1"/>
  <c r="Z11" i="60"/>
  <c r="Z12" i="60"/>
  <c r="Z13" i="60"/>
  <c r="Z14" i="60"/>
  <c r="Z15" i="60"/>
  <c r="Z16" i="60"/>
  <c r="Z44" i="60"/>
  <c r="Z43" i="60" s="1"/>
  <c r="Z45" i="60"/>
  <c r="Z46" i="60"/>
  <c r="Z47" i="60"/>
  <c r="Z48" i="60"/>
  <c r="Z50" i="60"/>
  <c r="Z49" i="60" s="1"/>
  <c r="I66" i="60"/>
  <c r="Z65" i="60"/>
  <c r="Z64" i="60"/>
  <c r="I60" i="60"/>
  <c r="I58" i="60"/>
  <c r="I55" i="60"/>
  <c r="Z53" i="60"/>
  <c r="AM53" i="60" s="1"/>
  <c r="I49" i="60"/>
  <c r="I43" i="60"/>
  <c r="I42" i="60"/>
  <c r="Z40" i="60"/>
  <c r="Z37" i="60"/>
  <c r="Z36" i="60"/>
  <c r="Z35" i="60"/>
  <c r="Z31" i="60"/>
  <c r="Z30" i="60"/>
  <c r="Z26" i="60"/>
  <c r="Z25" i="60"/>
  <c r="Z24" i="60"/>
  <c r="AM24" i="60" s="1"/>
  <c r="Z23" i="60"/>
  <c r="Z21" i="60"/>
  <c r="Z20" i="60"/>
  <c r="Z18" i="60"/>
  <c r="Z17" i="60" s="1"/>
  <c r="I10" i="60"/>
  <c r="I9" i="60"/>
  <c r="I7" i="60"/>
  <c r="BB20" i="60"/>
  <c r="BB21" i="60"/>
  <c r="BB23" i="60"/>
  <c r="BB24" i="60"/>
  <c r="BB25" i="60"/>
  <c r="BB26" i="60"/>
  <c r="BB40" i="60"/>
  <c r="BB44" i="60"/>
  <c r="BB52" i="60"/>
  <c r="BB54" i="60"/>
  <c r="Z42" i="60" l="1"/>
  <c r="I62" i="60"/>
  <c r="I68" i="60" s="1"/>
  <c r="I34" i="60"/>
  <c r="I32" i="60" s="1"/>
  <c r="I39" i="60"/>
  <c r="AM20" i="60"/>
  <c r="Z22" i="60"/>
  <c r="Z19" i="60" s="1"/>
  <c r="AM23" i="60"/>
  <c r="AM40" i="60"/>
  <c r="I17" i="60"/>
  <c r="I28" i="60"/>
  <c r="Z63" i="60"/>
  <c r="AM63" i="60" s="1"/>
  <c r="I51" i="60"/>
  <c r="Z67" i="60"/>
  <c r="Z66" i="60" s="1"/>
  <c r="Z61" i="60"/>
  <c r="Z41" i="60"/>
  <c r="Z39" i="60" s="1"/>
  <c r="AM25" i="60"/>
  <c r="Z59" i="60"/>
  <c r="Z58" i="60" s="1"/>
  <c r="Z52" i="60"/>
  <c r="Z29" i="60"/>
  <c r="Z28" i="60" s="1"/>
  <c r="Z8" i="60"/>
  <c r="Z7" i="60" s="1"/>
  <c r="Z56" i="60"/>
  <c r="Z55" i="60" s="1"/>
  <c r="Z38" i="60"/>
  <c r="Z34" i="60" s="1"/>
  <c r="Z33" i="60"/>
  <c r="BB59" i="60"/>
  <c r="AF49" i="60"/>
  <c r="AF17" i="60"/>
  <c r="BB41" i="60"/>
  <c r="AM18" i="60"/>
  <c r="AM26" i="60"/>
  <c r="I22" i="60"/>
  <c r="I19" i="60" s="1"/>
  <c r="AM21" i="60"/>
  <c r="I27" i="60" l="1"/>
  <c r="I57" i="60"/>
  <c r="Z32" i="60"/>
  <c r="AM59" i="60"/>
  <c r="Z27" i="60"/>
  <c r="Z62" i="60"/>
  <c r="AM8" i="60"/>
  <c r="Z51" i="60"/>
  <c r="AM52" i="60"/>
  <c r="Z60" i="60"/>
  <c r="AM61" i="60"/>
  <c r="I69" i="60" l="1"/>
  <c r="Z57" i="60"/>
  <c r="Z68" i="60"/>
  <c r="I70" i="60" l="1"/>
  <c r="Z70" i="60" s="1"/>
  <c r="Z69" i="60"/>
  <c r="I71" i="60" l="1"/>
  <c r="Z71" i="60"/>
  <c r="AR18" i="60" s="1"/>
  <c r="AY34" i="60"/>
  <c r="AR24" i="60" l="1"/>
  <c r="AR21" i="60"/>
  <c r="AR53" i="60"/>
  <c r="AR20" i="60"/>
  <c r="AR61" i="60"/>
  <c r="AR26" i="60"/>
  <c r="AR23" i="60"/>
  <c r="AR8" i="60"/>
  <c r="AR52" i="60"/>
  <c r="AR25" i="60"/>
  <c r="AR59" i="60"/>
  <c r="AR40" i="60"/>
  <c r="AR63" i="60"/>
  <c r="AC38" i="60" l="1"/>
  <c r="AC37" i="60"/>
  <c r="AC36" i="60"/>
  <c r="AC35" i="60"/>
  <c r="V34" i="60" l="1"/>
  <c r="AC34" i="60"/>
  <c r="AY38" i="60"/>
  <c r="AY37" i="60"/>
  <c r="AY36" i="60"/>
  <c r="AY35" i="60"/>
  <c r="M34" i="60"/>
  <c r="AA38" i="60"/>
  <c r="AA37" i="60"/>
  <c r="AA36" i="60"/>
  <c r="AA35" i="60"/>
  <c r="Y38" i="60"/>
  <c r="X38" i="60"/>
  <c r="W38" i="60"/>
  <c r="Y37" i="60"/>
  <c r="X37" i="60"/>
  <c r="W37" i="60"/>
  <c r="Y36" i="60"/>
  <c r="X36" i="60"/>
  <c r="W36" i="60"/>
  <c r="Y35" i="60"/>
  <c r="X35" i="60"/>
  <c r="AB36" i="60" l="1"/>
  <c r="AI36" i="60" s="1"/>
  <c r="K38" i="60"/>
  <c r="L34" i="60"/>
  <c r="F34" i="60"/>
  <c r="E34" i="60"/>
  <c r="H34" i="60"/>
  <c r="AA34" i="60"/>
  <c r="J34" i="60"/>
  <c r="K36" i="60"/>
  <c r="X34" i="60"/>
  <c r="AB38" i="60"/>
  <c r="AI38" i="60" s="1"/>
  <c r="K35" i="60"/>
  <c r="W35" i="60"/>
  <c r="K37" i="60"/>
  <c r="Y34" i="60"/>
  <c r="AB37" i="60"/>
  <c r="AI37" i="60" s="1"/>
  <c r="G34" i="60"/>
  <c r="K34" i="60" l="1"/>
  <c r="AB35" i="60"/>
  <c r="W34" i="60"/>
  <c r="AB34" i="60" l="1"/>
  <c r="AI35" i="60"/>
  <c r="AI34" i="60" l="1"/>
  <c r="AG67" i="60" l="1"/>
  <c r="AE67" i="60"/>
  <c r="AD67" i="60"/>
  <c r="AC67" i="60"/>
  <c r="AG59" i="60"/>
  <c r="AE59" i="60"/>
  <c r="AD59" i="60"/>
  <c r="AC59" i="60"/>
  <c r="AY59" i="60" s="1"/>
  <c r="AG56" i="60"/>
  <c r="AE56" i="60"/>
  <c r="AD56" i="60"/>
  <c r="AC56" i="60"/>
  <c r="AG52" i="60"/>
  <c r="AE52" i="60"/>
  <c r="AD52" i="60"/>
  <c r="AZ52" i="60" s="1"/>
  <c r="AC52" i="60"/>
  <c r="AY52" i="60" s="1"/>
  <c r="AG50" i="60"/>
  <c r="AE50" i="60"/>
  <c r="AD50" i="60"/>
  <c r="AC50" i="60"/>
  <c r="AG47" i="60"/>
  <c r="AD47" i="60"/>
  <c r="AC47" i="60"/>
  <c r="AG46" i="60"/>
  <c r="AE46" i="60"/>
  <c r="AD46" i="60"/>
  <c r="AC46" i="60"/>
  <c r="AG45" i="60"/>
  <c r="AE45" i="60"/>
  <c r="AD45" i="60"/>
  <c r="AC45" i="60"/>
  <c r="AG44" i="60"/>
  <c r="BC44" i="60" s="1"/>
  <c r="AE44" i="60"/>
  <c r="AD44" i="60"/>
  <c r="AZ44" i="60" s="1"/>
  <c r="AC44" i="60"/>
  <c r="AY44" i="60" s="1"/>
  <c r="AG41" i="60"/>
  <c r="BC41" i="60" s="1"/>
  <c r="AE41" i="60"/>
  <c r="AD41" i="60"/>
  <c r="AZ41" i="60" s="1"/>
  <c r="AC41" i="60"/>
  <c r="AG40" i="60"/>
  <c r="BC40" i="60" s="1"/>
  <c r="AE40" i="60"/>
  <c r="AD40" i="60"/>
  <c r="AZ40" i="60" s="1"/>
  <c r="AC40" i="60"/>
  <c r="AY40" i="60" s="1"/>
  <c r="AG33" i="60"/>
  <c r="AE33" i="60"/>
  <c r="AD33" i="60"/>
  <c r="AC33" i="60"/>
  <c r="AG31" i="60"/>
  <c r="AE31" i="60"/>
  <c r="AD31" i="60"/>
  <c r="AC31" i="60"/>
  <c r="AG30" i="60"/>
  <c r="AE30" i="60"/>
  <c r="AD30" i="60"/>
  <c r="AC30" i="60"/>
  <c r="AG29" i="60"/>
  <c r="AE29" i="60"/>
  <c r="AD29" i="60"/>
  <c r="AC29" i="60"/>
  <c r="AG26" i="60"/>
  <c r="BC26" i="60" s="1"/>
  <c r="AE26" i="60"/>
  <c r="BA26" i="60" s="1"/>
  <c r="AD26" i="60"/>
  <c r="AZ26" i="60" s="1"/>
  <c r="AC26" i="60"/>
  <c r="AY26" i="60" s="1"/>
  <c r="AG25" i="60"/>
  <c r="BC25" i="60" s="1"/>
  <c r="AE25" i="60"/>
  <c r="AD25" i="60"/>
  <c r="AZ25" i="60" s="1"/>
  <c r="AC25" i="60"/>
  <c r="AG24" i="60"/>
  <c r="BC24" i="60" s="1"/>
  <c r="AE24" i="60"/>
  <c r="BA24" i="60" s="1"/>
  <c r="AD24" i="60"/>
  <c r="AZ24" i="60" s="1"/>
  <c r="AC24" i="60"/>
  <c r="AY24" i="60" s="1"/>
  <c r="AG23" i="60"/>
  <c r="BC23" i="60" s="1"/>
  <c r="AE23" i="60"/>
  <c r="BA23" i="60" s="1"/>
  <c r="AD23" i="60"/>
  <c r="AZ23" i="60" s="1"/>
  <c r="AC23" i="60"/>
  <c r="AG20" i="60"/>
  <c r="BC20" i="60" s="1"/>
  <c r="AE20" i="60"/>
  <c r="AD20" i="60"/>
  <c r="AZ20" i="60" s="1"/>
  <c r="AC20" i="60"/>
  <c r="AY20" i="60" s="1"/>
  <c r="AG21" i="60"/>
  <c r="BC21" i="60" s="1"/>
  <c r="AE21" i="60"/>
  <c r="BA21" i="60" s="1"/>
  <c r="AD21" i="60"/>
  <c r="AZ21" i="60" s="1"/>
  <c r="AC21" i="60"/>
  <c r="AG18" i="60"/>
  <c r="BC18" i="60" s="1"/>
  <c r="AE18" i="60"/>
  <c r="AD18" i="60"/>
  <c r="AZ18" i="60" s="1"/>
  <c r="AC18" i="60"/>
  <c r="AG12" i="60"/>
  <c r="BC12" i="60" s="1"/>
  <c r="AE12" i="60"/>
  <c r="BA12" i="60" s="1"/>
  <c r="AD12" i="60"/>
  <c r="AZ12" i="60" s="1"/>
  <c r="AC12" i="60"/>
  <c r="AY12" i="60" s="1"/>
  <c r="AG8" i="60"/>
  <c r="AE8" i="60"/>
  <c r="AD8" i="60"/>
  <c r="AC8" i="60"/>
  <c r="BC59" i="60"/>
  <c r="BA59" i="60"/>
  <c r="AZ59" i="60"/>
  <c r="BC54" i="60"/>
  <c r="BA54" i="60"/>
  <c r="AZ54" i="60"/>
  <c r="AY54" i="60"/>
  <c r="BC52" i="60"/>
  <c r="BA52" i="60"/>
  <c r="BC50" i="60"/>
  <c r="BA50" i="60"/>
  <c r="AZ50" i="60"/>
  <c r="BA44" i="60"/>
  <c r="BA41" i="60"/>
  <c r="AY41" i="60"/>
  <c r="BA40" i="60"/>
  <c r="BA25" i="60"/>
  <c r="AY25" i="60"/>
  <c r="AY23" i="60"/>
  <c r="BA20" i="60"/>
  <c r="AY21" i="60"/>
  <c r="BA18" i="60"/>
  <c r="AY18" i="60"/>
  <c r="AA50" i="60"/>
  <c r="Y50" i="60"/>
  <c r="X50" i="60"/>
  <c r="W50" i="60"/>
  <c r="AA48" i="60"/>
  <c r="Y48" i="60"/>
  <c r="X48" i="60"/>
  <c r="W48" i="60"/>
  <c r="AA47" i="60"/>
  <c r="Y47" i="60"/>
  <c r="X47" i="60"/>
  <c r="W47" i="60"/>
  <c r="AA46" i="60"/>
  <c r="Y46" i="60"/>
  <c r="X46" i="60"/>
  <c r="W46" i="60"/>
  <c r="AA45" i="60"/>
  <c r="Y45" i="60"/>
  <c r="X45" i="60"/>
  <c r="W45" i="60"/>
  <c r="AA44" i="60"/>
  <c r="Y44" i="60"/>
  <c r="X44" i="60"/>
  <c r="W44" i="60"/>
  <c r="AA16" i="60"/>
  <c r="Y16" i="60"/>
  <c r="X16" i="60"/>
  <c r="W16" i="60"/>
  <c r="AA15" i="60"/>
  <c r="Y15" i="60"/>
  <c r="X15" i="60"/>
  <c r="W15" i="60"/>
  <c r="AA14" i="60"/>
  <c r="Y14" i="60"/>
  <c r="X14" i="60"/>
  <c r="W14" i="60"/>
  <c r="AA13" i="60"/>
  <c r="Y13" i="60"/>
  <c r="X13" i="60"/>
  <c r="W13" i="60"/>
  <c r="AA12" i="60"/>
  <c r="Y12" i="60"/>
  <c r="X12" i="60"/>
  <c r="W12" i="60"/>
  <c r="AA11" i="60"/>
  <c r="Y11" i="60"/>
  <c r="X11" i="60"/>
  <c r="W11" i="60"/>
  <c r="AJ72" i="60"/>
  <c r="AK72" i="60"/>
  <c r="AL72" i="60"/>
  <c r="AN72" i="60"/>
  <c r="AH50" i="60" l="1"/>
  <c r="AH52" i="60"/>
  <c r="AH56" i="60"/>
  <c r="AH59" i="60"/>
  <c r="AH67" i="60"/>
  <c r="AY50" i="60"/>
  <c r="AB11" i="60"/>
  <c r="AB12" i="60"/>
  <c r="AB14" i="60"/>
  <c r="AB15" i="60"/>
  <c r="AB13" i="60"/>
  <c r="AB16" i="60"/>
  <c r="AH8" i="60"/>
  <c r="AH18" i="60"/>
  <c r="AH21" i="60"/>
  <c r="AH20" i="60"/>
  <c r="AH23" i="60"/>
  <c r="AH24" i="60"/>
  <c r="AH25" i="60"/>
  <c r="AH26" i="60"/>
  <c r="AH29" i="60"/>
  <c r="AH30" i="60"/>
  <c r="AH31" i="60"/>
  <c r="AH33" i="60"/>
  <c r="AH40" i="60"/>
  <c r="AH41" i="60"/>
  <c r="AH44" i="60"/>
  <c r="AH45" i="60"/>
  <c r="AH46" i="60"/>
  <c r="AO72" i="60"/>
  <c r="AH12" i="60"/>
  <c r="AB44" i="60"/>
  <c r="AB45" i="60"/>
  <c r="AB46" i="60"/>
  <c r="AB47" i="60"/>
  <c r="AB48" i="60"/>
  <c r="AB50" i="60"/>
  <c r="S76" i="60" l="1"/>
  <c r="S77" i="60" l="1"/>
  <c r="T77" i="60" s="1"/>
  <c r="X76" i="60"/>
  <c r="S78" i="60" l="1"/>
  <c r="W78" i="60"/>
  <c r="U78" i="60"/>
  <c r="V78" i="60"/>
  <c r="T78" i="60" l="1"/>
  <c r="M66" i="60" l="1"/>
  <c r="M62" i="60"/>
  <c r="M60" i="60"/>
  <c r="M58" i="60"/>
  <c r="M55" i="60"/>
  <c r="M51" i="60"/>
  <c r="M49" i="60"/>
  <c r="M43" i="60"/>
  <c r="M42" i="60" s="1"/>
  <c r="M39" i="60"/>
  <c r="M32" i="60"/>
  <c r="M28" i="60"/>
  <c r="M22" i="60"/>
  <c r="M19" i="60" s="1"/>
  <c r="M17" i="60"/>
  <c r="M10" i="60"/>
  <c r="M9" i="60" s="1"/>
  <c r="M57" i="60" l="1"/>
  <c r="M68" i="60"/>
  <c r="AA53" i="60" l="1"/>
  <c r="AN53" i="60" s="1"/>
  <c r="Y53" i="60"/>
  <c r="AL53" i="60" s="1"/>
  <c r="X53" i="60"/>
  <c r="W53" i="60"/>
  <c r="AJ53" i="60" l="1"/>
  <c r="AK53" i="60"/>
  <c r="K53" i="60"/>
  <c r="AE7" i="60" l="1"/>
  <c r="AH7" i="60"/>
  <c r="AG66" i="60"/>
  <c r="AE66" i="60"/>
  <c r="AD66" i="60"/>
  <c r="AG58" i="60"/>
  <c r="AE58" i="60"/>
  <c r="AD58" i="60"/>
  <c r="AG55" i="60"/>
  <c r="AE55" i="60"/>
  <c r="AD55" i="60"/>
  <c r="AG43" i="60"/>
  <c r="AD43" i="60"/>
  <c r="AE39" i="60"/>
  <c r="AG39" i="60"/>
  <c r="AD39" i="60"/>
  <c r="AG28" i="60"/>
  <c r="AD28" i="60"/>
  <c r="AE28" i="60"/>
  <c r="AG22" i="60"/>
  <c r="AD22" i="60"/>
  <c r="AE22" i="60"/>
  <c r="AE17" i="60"/>
  <c r="AG17" i="60"/>
  <c r="AD17" i="60"/>
  <c r="AG7" i="60"/>
  <c r="AD7" i="60"/>
  <c r="AH66" i="60"/>
  <c r="AH55" i="60"/>
  <c r="S67" i="60"/>
  <c r="S66" i="60" s="1"/>
  <c r="S59" i="60"/>
  <c r="S58" i="60" s="1"/>
  <c r="S56" i="60"/>
  <c r="S55" i="60" s="1"/>
  <c r="S52" i="60"/>
  <c r="S46" i="60"/>
  <c r="S45" i="60"/>
  <c r="S44" i="60"/>
  <c r="S41" i="60"/>
  <c r="S40" i="60"/>
  <c r="S33" i="60"/>
  <c r="S31" i="60"/>
  <c r="S30" i="60"/>
  <c r="S29" i="60"/>
  <c r="S26" i="60"/>
  <c r="S25" i="60"/>
  <c r="S24" i="60"/>
  <c r="S23" i="60"/>
  <c r="S20" i="60"/>
  <c r="S21" i="60"/>
  <c r="S18" i="60"/>
  <c r="S17" i="60" s="1"/>
  <c r="S8" i="60"/>
  <c r="S7" i="60" s="1"/>
  <c r="R66" i="60"/>
  <c r="P66" i="60"/>
  <c r="O66" i="60"/>
  <c r="R58" i="60"/>
  <c r="P58" i="60"/>
  <c r="O58" i="60"/>
  <c r="R55" i="60"/>
  <c r="P55" i="60"/>
  <c r="O55" i="60"/>
  <c r="R43" i="60"/>
  <c r="O43" i="60"/>
  <c r="R39" i="60"/>
  <c r="P39" i="60"/>
  <c r="O39" i="60"/>
  <c r="R28" i="60"/>
  <c r="P28" i="60"/>
  <c r="O28" i="60"/>
  <c r="R22" i="60"/>
  <c r="R19" i="60" s="1"/>
  <c r="P22" i="60"/>
  <c r="P19" i="60" s="1"/>
  <c r="O22" i="60"/>
  <c r="O19" i="60" s="1"/>
  <c r="R17" i="60"/>
  <c r="P17" i="60"/>
  <c r="O17" i="60"/>
  <c r="R7" i="60"/>
  <c r="P7" i="60"/>
  <c r="O7" i="60"/>
  <c r="S12" i="60"/>
  <c r="AC43" i="60"/>
  <c r="AC22" i="60"/>
  <c r="N58" i="60"/>
  <c r="T58" i="60"/>
  <c r="N66" i="60"/>
  <c r="T66" i="60"/>
  <c r="T55" i="60"/>
  <c r="N55" i="60"/>
  <c r="N43" i="60"/>
  <c r="N39" i="60"/>
  <c r="N32" i="60"/>
  <c r="T28" i="60"/>
  <c r="N28" i="60"/>
  <c r="T22" i="60"/>
  <c r="T19" i="60" s="1"/>
  <c r="N22" i="60"/>
  <c r="N19" i="60" s="1"/>
  <c r="N17" i="60"/>
  <c r="T17" i="60"/>
  <c r="N7" i="60"/>
  <c r="T7" i="60"/>
  <c r="AA65" i="60"/>
  <c r="Y65" i="60"/>
  <c r="X65" i="60"/>
  <c r="W65" i="60"/>
  <c r="AA64" i="60"/>
  <c r="Y64" i="60"/>
  <c r="X64" i="60"/>
  <c r="W64" i="60"/>
  <c r="AA63" i="60"/>
  <c r="AN63" i="60" s="1"/>
  <c r="Y63" i="60"/>
  <c r="AL63" i="60" s="1"/>
  <c r="X63" i="60"/>
  <c r="W63" i="60"/>
  <c r="V60" i="60"/>
  <c r="L60" i="60"/>
  <c r="AA61" i="60"/>
  <c r="AN61" i="60" s="1"/>
  <c r="AL61" i="60"/>
  <c r="X61" i="60"/>
  <c r="W61" i="60"/>
  <c r="U59" i="60"/>
  <c r="U58" i="60" s="1"/>
  <c r="L58" i="60"/>
  <c r="AA59" i="60"/>
  <c r="AN59" i="60" s="1"/>
  <c r="Y59" i="60"/>
  <c r="AL59" i="60" s="1"/>
  <c r="X59" i="60"/>
  <c r="W59" i="60"/>
  <c r="L66" i="60"/>
  <c r="AA67" i="60"/>
  <c r="AA66" i="60" s="1"/>
  <c r="Y67" i="60"/>
  <c r="X67" i="60"/>
  <c r="W67" i="60"/>
  <c r="U56" i="60"/>
  <c r="U55" i="60" s="1"/>
  <c r="L55" i="60"/>
  <c r="AA56" i="60"/>
  <c r="Y56" i="60"/>
  <c r="X56" i="60"/>
  <c r="W56" i="60"/>
  <c r="V51" i="60"/>
  <c r="AA52" i="60"/>
  <c r="AN52" i="60" s="1"/>
  <c r="Y52" i="60"/>
  <c r="AL52" i="60" s="1"/>
  <c r="X52" i="60"/>
  <c r="W52" i="60"/>
  <c r="L49" i="60"/>
  <c r="J49" i="60"/>
  <c r="AA41" i="60"/>
  <c r="Y41" i="60"/>
  <c r="X41" i="60"/>
  <c r="W41" i="60"/>
  <c r="U40" i="60"/>
  <c r="AA40" i="60"/>
  <c r="AN40" i="60" s="1"/>
  <c r="Y40" i="60"/>
  <c r="AL40" i="60" s="1"/>
  <c r="X40" i="60"/>
  <c r="W40" i="60"/>
  <c r="U33" i="60"/>
  <c r="L32" i="60"/>
  <c r="AA33" i="60"/>
  <c r="X33" i="60"/>
  <c r="W33" i="60"/>
  <c r="U31" i="60"/>
  <c r="AA31" i="60"/>
  <c r="Y31" i="60"/>
  <c r="X31" i="60"/>
  <c r="W31" i="60"/>
  <c r="AA30" i="60"/>
  <c r="Y30" i="60"/>
  <c r="X30" i="60"/>
  <c r="W30" i="60"/>
  <c r="AA29" i="60"/>
  <c r="Y29" i="60"/>
  <c r="X29" i="60"/>
  <c r="W29" i="60"/>
  <c r="U26" i="60"/>
  <c r="AA26" i="60"/>
  <c r="AN26" i="60" s="1"/>
  <c r="Y26" i="60"/>
  <c r="AL26" i="60" s="1"/>
  <c r="X26" i="60"/>
  <c r="W26" i="60"/>
  <c r="U25" i="60"/>
  <c r="AA25" i="60"/>
  <c r="AN25" i="60" s="1"/>
  <c r="Y25" i="60"/>
  <c r="AL25" i="60" s="1"/>
  <c r="X25" i="60"/>
  <c r="W25" i="60"/>
  <c r="AA24" i="60"/>
  <c r="AN24" i="60" s="1"/>
  <c r="Y24" i="60"/>
  <c r="AL24" i="60" s="1"/>
  <c r="X24" i="60"/>
  <c r="W24" i="60"/>
  <c r="U23" i="60"/>
  <c r="AA23" i="60"/>
  <c r="AN23" i="60" s="1"/>
  <c r="Y23" i="60"/>
  <c r="AL23" i="60" s="1"/>
  <c r="X23" i="60"/>
  <c r="W23" i="60"/>
  <c r="U20" i="60"/>
  <c r="AA20" i="60"/>
  <c r="AN20" i="60" s="1"/>
  <c r="Y20" i="60"/>
  <c r="AL20" i="60" s="1"/>
  <c r="X20" i="60"/>
  <c r="W20" i="60"/>
  <c r="U21" i="60"/>
  <c r="AA21" i="60"/>
  <c r="AN21" i="60" s="1"/>
  <c r="Y21" i="60"/>
  <c r="AL21" i="60" s="1"/>
  <c r="X21" i="60"/>
  <c r="W21" i="60"/>
  <c r="L17" i="60"/>
  <c r="Y18" i="60"/>
  <c r="X18" i="60"/>
  <c r="W18" i="60"/>
  <c r="V7" i="60"/>
  <c r="L7" i="60"/>
  <c r="AA8" i="60"/>
  <c r="AN8" i="60" s="1"/>
  <c r="X8" i="60"/>
  <c r="E66" i="60"/>
  <c r="G43" i="60"/>
  <c r="G42" i="60" s="1"/>
  <c r="F43" i="60"/>
  <c r="F42" i="60" s="1"/>
  <c r="H43" i="60"/>
  <c r="H42" i="60" s="1"/>
  <c r="AC39" i="60"/>
  <c r="AC19" i="60"/>
  <c r="AC28" i="60"/>
  <c r="AC66" i="60"/>
  <c r="AC55" i="60"/>
  <c r="AC58" i="60"/>
  <c r="AC7" i="60"/>
  <c r="AC32" i="60"/>
  <c r="L43" i="60"/>
  <c r="L42" i="60" s="1"/>
  <c r="H49" i="60"/>
  <c r="V66" i="60"/>
  <c r="J43" i="60"/>
  <c r="F49" i="60"/>
  <c r="V55" i="60"/>
  <c r="AH39" i="60"/>
  <c r="AH28" i="60"/>
  <c r="AH22" i="60"/>
  <c r="AH19" i="60" s="1"/>
  <c r="K13" i="60"/>
  <c r="K15" i="60"/>
  <c r="K45" i="60"/>
  <c r="K47" i="60"/>
  <c r="K12" i="60"/>
  <c r="K14" i="60"/>
  <c r="K16" i="60"/>
  <c r="K44" i="60"/>
  <c r="K46" i="60"/>
  <c r="K48" i="60"/>
  <c r="K50" i="60"/>
  <c r="K49" i="60" s="1"/>
  <c r="G49" i="60"/>
  <c r="AC17" i="60"/>
  <c r="V58" i="60" l="1"/>
  <c r="J58" i="60"/>
  <c r="H39" i="60"/>
  <c r="S39" i="60"/>
  <c r="U67" i="60"/>
  <c r="U66" i="60" s="1"/>
  <c r="J51" i="60"/>
  <c r="G60" i="60"/>
  <c r="G66" i="60"/>
  <c r="H51" i="60"/>
  <c r="J55" i="60"/>
  <c r="H17" i="60"/>
  <c r="F66" i="60"/>
  <c r="H55" i="60"/>
  <c r="H66" i="60"/>
  <c r="K63" i="60"/>
  <c r="H60" i="60"/>
  <c r="F62" i="60"/>
  <c r="F58" i="60"/>
  <c r="F55" i="60"/>
  <c r="K64" i="60"/>
  <c r="H58" i="60"/>
  <c r="F60" i="60"/>
  <c r="G51" i="60"/>
  <c r="G32" i="60"/>
  <c r="G28" i="60"/>
  <c r="G39" i="60"/>
  <c r="J22" i="60"/>
  <c r="J19" i="60" s="1"/>
  <c r="G22" i="60"/>
  <c r="G19" i="60" s="1"/>
  <c r="G17" i="60"/>
  <c r="J7" i="60"/>
  <c r="AA7" i="60"/>
  <c r="L62" i="60"/>
  <c r="L68" i="60" s="1"/>
  <c r="V62" i="60"/>
  <c r="U18" i="60"/>
  <c r="U17" i="60" s="1"/>
  <c r="U24" i="60"/>
  <c r="U22" i="60" s="1"/>
  <c r="U19" i="60" s="1"/>
  <c r="U30" i="60"/>
  <c r="U52" i="60"/>
  <c r="J60" i="60"/>
  <c r="K61" i="60"/>
  <c r="K60" i="60" s="1"/>
  <c r="F28" i="60"/>
  <c r="G58" i="60"/>
  <c r="J62" i="60"/>
  <c r="K67" i="60"/>
  <c r="K66" i="60" s="1"/>
  <c r="K59" i="60"/>
  <c r="K58" i="60" s="1"/>
  <c r="F51" i="60"/>
  <c r="L22" i="60"/>
  <c r="L28" i="60"/>
  <c r="L39" i="60"/>
  <c r="K65" i="60"/>
  <c r="K41" i="60"/>
  <c r="V41" i="60" s="1"/>
  <c r="G62" i="60"/>
  <c r="J66" i="60"/>
  <c r="G7" i="60"/>
  <c r="K56" i="60"/>
  <c r="K55" i="60" s="1"/>
  <c r="K24" i="60"/>
  <c r="G55" i="60"/>
  <c r="H28" i="60"/>
  <c r="F22" i="60"/>
  <c r="F19" i="60" s="1"/>
  <c r="F32" i="60"/>
  <c r="F39" i="60"/>
  <c r="E39" i="60"/>
  <c r="L19" i="60"/>
  <c r="F17" i="60"/>
  <c r="K23" i="60"/>
  <c r="H22" i="60"/>
  <c r="H19" i="60" s="1"/>
  <c r="V22" i="60"/>
  <c r="V19" i="60" s="1"/>
  <c r="U8" i="60"/>
  <c r="U7" i="60" s="1"/>
  <c r="AK8" i="60"/>
  <c r="AK59" i="60"/>
  <c r="AK61" i="60"/>
  <c r="AK63" i="60"/>
  <c r="AK21" i="60"/>
  <c r="AK20" i="60"/>
  <c r="AK23" i="60"/>
  <c r="AK24" i="60"/>
  <c r="AK25" i="60"/>
  <c r="AK26" i="60"/>
  <c r="AK40" i="60"/>
  <c r="AK52" i="60"/>
  <c r="S22" i="60"/>
  <c r="S19" i="60" s="1"/>
  <c r="S28" i="60"/>
  <c r="AB21" i="60"/>
  <c r="AJ21" i="60"/>
  <c r="AB20" i="60"/>
  <c r="AJ20" i="60"/>
  <c r="AB23" i="60"/>
  <c r="AJ23" i="60"/>
  <c r="AB24" i="60"/>
  <c r="AJ24" i="60"/>
  <c r="AB25" i="60"/>
  <c r="AJ25" i="60"/>
  <c r="AJ26" i="60"/>
  <c r="AB26" i="60"/>
  <c r="AB29" i="60"/>
  <c r="AB30" i="60"/>
  <c r="AB31" i="60"/>
  <c r="H32" i="60"/>
  <c r="Y33" i="60"/>
  <c r="AJ40" i="60"/>
  <c r="AB40" i="60"/>
  <c r="AB41" i="60"/>
  <c r="AJ52" i="60"/>
  <c r="AB52" i="60"/>
  <c r="F7" i="60"/>
  <c r="W8" i="60"/>
  <c r="AA18" i="60"/>
  <c r="AN18" i="60" s="1"/>
  <c r="AB56" i="60"/>
  <c r="AB67" i="60"/>
  <c r="AJ59" i="60"/>
  <c r="AB59" i="60"/>
  <c r="AJ61" i="60"/>
  <c r="AB61" i="60"/>
  <c r="AJ63" i="60"/>
  <c r="AB63" i="60"/>
  <c r="AB64" i="60"/>
  <c r="AB65" i="60"/>
  <c r="AE19" i="60"/>
  <c r="AG19" i="60"/>
  <c r="AD19" i="60"/>
  <c r="E49" i="60"/>
  <c r="K30" i="60"/>
  <c r="M7" i="60"/>
  <c r="M27" i="60" s="1"/>
  <c r="M69" i="60" s="1"/>
  <c r="Y8" i="60"/>
  <c r="AL8" i="60" s="1"/>
  <c r="K21" i="60"/>
  <c r="K25" i="60"/>
  <c r="K31" i="60"/>
  <c r="J32" i="60"/>
  <c r="K18" i="60"/>
  <c r="K17" i="60" s="1"/>
  <c r="K29" i="60"/>
  <c r="J28" i="60"/>
  <c r="J17" i="60"/>
  <c r="K20" i="60"/>
  <c r="K26" i="60"/>
  <c r="K33" i="60"/>
  <c r="K32" i="60" s="1"/>
  <c r="J39" i="60"/>
  <c r="K40" i="60"/>
  <c r="K52" i="60"/>
  <c r="K51" i="60" s="1"/>
  <c r="AA55" i="60"/>
  <c r="AH58" i="60"/>
  <c r="AA39" i="60"/>
  <c r="AH17" i="60"/>
  <c r="L51" i="60"/>
  <c r="AA28" i="60"/>
  <c r="AA32" i="60"/>
  <c r="V68" i="60"/>
  <c r="AA22" i="60"/>
  <c r="AA62" i="60"/>
  <c r="K11" i="60"/>
  <c r="K10" i="60" s="1"/>
  <c r="K9" i="60" s="1"/>
  <c r="J10" i="60"/>
  <c r="E17" i="60"/>
  <c r="K43" i="60"/>
  <c r="K42" i="60" s="1"/>
  <c r="AA58" i="60"/>
  <c r="E28" i="60"/>
  <c r="E32" i="60"/>
  <c r="E51" i="60"/>
  <c r="E55" i="60"/>
  <c r="E62" i="60"/>
  <c r="AA60" i="60"/>
  <c r="AA43" i="60"/>
  <c r="AA51" i="60"/>
  <c r="E7" i="60"/>
  <c r="E22" i="60"/>
  <c r="E19" i="60" s="1"/>
  <c r="AA49" i="60"/>
  <c r="AA10" i="60"/>
  <c r="AA9" i="60" s="1"/>
  <c r="E60" i="60"/>
  <c r="F10" i="60"/>
  <c r="J42" i="60"/>
  <c r="E58" i="60"/>
  <c r="L10" i="60"/>
  <c r="L9" i="60" s="1"/>
  <c r="V32" i="60"/>
  <c r="U29" i="60"/>
  <c r="V28" i="60"/>
  <c r="G10" i="60"/>
  <c r="H10" i="60"/>
  <c r="V17" i="60"/>
  <c r="V49" i="60"/>
  <c r="H62" i="60"/>
  <c r="H57" i="60" l="1"/>
  <c r="F68" i="60"/>
  <c r="K62" i="60"/>
  <c r="K68" i="60" s="1"/>
  <c r="G57" i="60"/>
  <c r="K39" i="60"/>
  <c r="J68" i="60"/>
  <c r="G68" i="60"/>
  <c r="K22" i="60"/>
  <c r="K19" i="60" s="1"/>
  <c r="U28" i="60"/>
  <c r="L57" i="60"/>
  <c r="F57" i="60"/>
  <c r="L27" i="60"/>
  <c r="M70" i="60"/>
  <c r="M71" i="60" s="1"/>
  <c r="K28" i="60"/>
  <c r="V39" i="60"/>
  <c r="AA17" i="60"/>
  <c r="AB8" i="60"/>
  <c r="AJ8" i="60"/>
  <c r="AB33" i="60"/>
  <c r="AB18" i="60"/>
  <c r="AA42" i="60"/>
  <c r="AA57" i="60" s="1"/>
  <c r="AA19" i="60"/>
  <c r="J9" i="60"/>
  <c r="J57" i="60"/>
  <c r="E68" i="60"/>
  <c r="AA68" i="60"/>
  <c r="F9" i="60"/>
  <c r="H68" i="60"/>
  <c r="G9" i="60"/>
  <c r="H7" i="60"/>
  <c r="K8" i="60"/>
  <c r="K7" i="60" s="1"/>
  <c r="H9" i="60"/>
  <c r="K57" i="60" l="1"/>
  <c r="L69" i="60"/>
  <c r="AA27" i="60"/>
  <c r="AA69" i="60" s="1"/>
  <c r="K27" i="60"/>
  <c r="J27" i="60"/>
  <c r="F27" i="60"/>
  <c r="H27" i="60"/>
  <c r="G27" i="60"/>
  <c r="K69" i="60" l="1"/>
  <c r="L70" i="60"/>
  <c r="L71" i="60" s="1"/>
  <c r="J69" i="60"/>
  <c r="F69" i="60"/>
  <c r="H69" i="60"/>
  <c r="G69" i="60"/>
  <c r="AJ69" i="60" l="1"/>
  <c r="J70" i="60"/>
  <c r="AA70" i="60" s="1"/>
  <c r="F70" i="60"/>
  <c r="W70" i="60" s="1"/>
  <c r="G70" i="60"/>
  <c r="X70" i="60" s="1"/>
  <c r="H70" i="60"/>
  <c r="Y70" i="60" s="1"/>
  <c r="J71" i="60" l="1"/>
  <c r="AN71" i="60" s="1"/>
  <c r="AA71" i="60"/>
  <c r="AJ70" i="60"/>
  <c r="F71" i="60"/>
  <c r="AJ71" i="60" s="1"/>
  <c r="H71" i="60"/>
  <c r="AL71" i="60" s="1"/>
  <c r="K70" i="60"/>
  <c r="K71" i="60" s="1"/>
  <c r="G71" i="60"/>
  <c r="AK71" i="60" s="1"/>
  <c r="AS61" i="60" l="1"/>
  <c r="AS53" i="60"/>
  <c r="AS20" i="60"/>
  <c r="AS23" i="60"/>
  <c r="AS63" i="60"/>
  <c r="AS26" i="60"/>
  <c r="AS52" i="60"/>
  <c r="AS8" i="60"/>
  <c r="AS21" i="60"/>
  <c r="AS25" i="60"/>
  <c r="AS40" i="60"/>
  <c r="AS59" i="60"/>
  <c r="AS18" i="60"/>
  <c r="AS24" i="60"/>
  <c r="AO71" i="60"/>
  <c r="Y7" i="60"/>
  <c r="Y39" i="60"/>
  <c r="Y49" i="60"/>
  <c r="Y58" i="60"/>
  <c r="AL18" i="60"/>
  <c r="Y17" i="60"/>
  <c r="Y28" i="60"/>
  <c r="Y43" i="60"/>
  <c r="Y55" i="60"/>
  <c r="Y22" i="60"/>
  <c r="Y19" i="60" s="1"/>
  <c r="Y32" i="60"/>
  <c r="Y62" i="60"/>
  <c r="Y10" i="60"/>
  <c r="Y9" i="60" s="1"/>
  <c r="Y51" i="60"/>
  <c r="Y60" i="60"/>
  <c r="Y66" i="60"/>
  <c r="Y68" i="60" l="1"/>
  <c r="Y42" i="60"/>
  <c r="Y57" i="60" s="1"/>
  <c r="Y27" i="60"/>
  <c r="Y69" i="60" l="1"/>
  <c r="Y71" i="60" l="1"/>
  <c r="AQ61" i="60" l="1"/>
  <c r="AQ52" i="60"/>
  <c r="AQ26" i="60"/>
  <c r="AQ24" i="60"/>
  <c r="AQ20" i="60"/>
  <c r="AQ18" i="60"/>
  <c r="AQ63" i="60"/>
  <c r="AQ59" i="60"/>
  <c r="AQ53" i="60"/>
  <c r="AQ40" i="60"/>
  <c r="AQ25" i="60"/>
  <c r="AQ23" i="60"/>
  <c r="AQ21" i="60"/>
  <c r="AQ8" i="60"/>
  <c r="X7" i="60" l="1"/>
  <c r="X39" i="60"/>
  <c r="X49" i="60"/>
  <c r="X58" i="60"/>
  <c r="X17" i="60"/>
  <c r="AK18" i="60"/>
  <c r="X28" i="60"/>
  <c r="X43" i="60"/>
  <c r="X55" i="60"/>
  <c r="X22" i="60"/>
  <c r="X19" i="60" s="1"/>
  <c r="X32" i="60"/>
  <c r="X62" i="60"/>
  <c r="X10" i="60"/>
  <c r="X9" i="60" s="1"/>
  <c r="X51" i="60"/>
  <c r="X60" i="60"/>
  <c r="X66" i="60"/>
  <c r="X27" i="60" l="1"/>
  <c r="X68" i="60"/>
  <c r="X42" i="60"/>
  <c r="X57" i="60" s="1"/>
  <c r="X69" i="60" l="1"/>
  <c r="AB53" i="60"/>
  <c r="X71" i="60" l="1"/>
  <c r="AI53" i="60"/>
  <c r="AP61" i="60" l="1"/>
  <c r="AP52" i="60"/>
  <c r="AP26" i="60"/>
  <c r="AP24" i="60"/>
  <c r="AP20" i="60"/>
  <c r="AP18" i="60"/>
  <c r="AP63" i="60"/>
  <c r="AP59" i="60"/>
  <c r="AP53" i="60"/>
  <c r="AP40" i="60"/>
  <c r="AP25" i="60"/>
  <c r="AP23" i="60"/>
  <c r="AP21" i="60"/>
  <c r="AP8" i="60"/>
  <c r="W7" i="60" l="1"/>
  <c r="W39" i="60"/>
  <c r="W49" i="60"/>
  <c r="W58" i="60"/>
  <c r="W17" i="60"/>
  <c r="AJ18" i="60"/>
  <c r="W28" i="60"/>
  <c r="W43" i="60"/>
  <c r="W55" i="60"/>
  <c r="W22" i="60"/>
  <c r="W19" i="60" s="1"/>
  <c r="W32" i="60"/>
  <c r="W62" i="60"/>
  <c r="W10" i="60"/>
  <c r="W9" i="60" s="1"/>
  <c r="W51" i="60"/>
  <c r="W60" i="60"/>
  <c r="W66" i="60"/>
  <c r="W68" i="60" l="1"/>
  <c r="AI52" i="60"/>
  <c r="AB51" i="60"/>
  <c r="AI41" i="60"/>
  <c r="AI26" i="60"/>
  <c r="AI33" i="60"/>
  <c r="AB32" i="60"/>
  <c r="AB22" i="60"/>
  <c r="AB19" i="60" s="1"/>
  <c r="AI23" i="60"/>
  <c r="AI64" i="60"/>
  <c r="W42" i="60"/>
  <c r="W57" i="60" s="1"/>
  <c r="AI24" i="60"/>
  <c r="AI18" i="60"/>
  <c r="AB17" i="60"/>
  <c r="AI65" i="60"/>
  <c r="AI59" i="60"/>
  <c r="AB58" i="60"/>
  <c r="AB49" i="60"/>
  <c r="AI50" i="60"/>
  <c r="AI21" i="60"/>
  <c r="AB7" i="60"/>
  <c r="AI8" i="60"/>
  <c r="AB66" i="60"/>
  <c r="AI67" i="60"/>
  <c r="AI66" i="60" s="1"/>
  <c r="AI61" i="60"/>
  <c r="AB60" i="60"/>
  <c r="AI31" i="60"/>
  <c r="AI20" i="60"/>
  <c r="AB10" i="60"/>
  <c r="AB9" i="60" s="1"/>
  <c r="AB62" i="60"/>
  <c r="AI63" i="60"/>
  <c r="AI56" i="60"/>
  <c r="AB55" i="60"/>
  <c r="AB43" i="60"/>
  <c r="AB42" i="60" s="1"/>
  <c r="AI29" i="60"/>
  <c r="AB28" i="60"/>
  <c r="AB39" i="60"/>
  <c r="AI40" i="60"/>
  <c r="AI30" i="60"/>
  <c r="AI25" i="60"/>
  <c r="W27" i="60"/>
  <c r="W69" i="60" l="1"/>
  <c r="AB70" i="60"/>
  <c r="AI28" i="60"/>
  <c r="AI55" i="60"/>
  <c r="AI60" i="60"/>
  <c r="AB68" i="60"/>
  <c r="AB27" i="60"/>
  <c r="AI32" i="60"/>
  <c r="AI39" i="60"/>
  <c r="AB57" i="60"/>
  <c r="AI62" i="60"/>
  <c r="AI7" i="60"/>
  <c r="AI49" i="60"/>
  <c r="AI58" i="60"/>
  <c r="AI17" i="60"/>
  <c r="AI22" i="60"/>
  <c r="AI19" i="60" s="1"/>
  <c r="W71" i="60" l="1"/>
  <c r="AI68" i="60"/>
  <c r="AB69" i="60"/>
  <c r="AO63" i="60" l="1"/>
  <c r="AO59" i="60"/>
  <c r="AO53" i="60"/>
  <c r="AO40" i="60"/>
  <c r="AO25" i="60"/>
  <c r="AO23" i="60"/>
  <c r="AO21" i="60"/>
  <c r="AO8" i="60"/>
  <c r="AO61" i="60"/>
  <c r="AO52" i="60"/>
  <c r="AO26" i="60"/>
  <c r="AO24" i="60"/>
  <c r="AO20" i="60"/>
  <c r="AO18" i="60"/>
  <c r="AB71" i="60"/>
  <c r="T49" i="60" l="1"/>
  <c r="AD49" i="60" l="1"/>
  <c r="O49" i="60"/>
  <c r="N49" i="60"/>
  <c r="AG49" i="60"/>
  <c r="R49" i="60"/>
  <c r="S50" i="60"/>
  <c r="S49" i="60" l="1"/>
  <c r="U50" i="60"/>
  <c r="U49" i="60" s="1"/>
  <c r="AE49" i="60"/>
  <c r="P49" i="60"/>
  <c r="AC49" i="60"/>
  <c r="AH49" i="60" l="1"/>
  <c r="AC13" i="60" l="1"/>
  <c r="AY13" i="60" s="1"/>
  <c r="AC15" i="60" l="1"/>
  <c r="AY15" i="60" s="1"/>
  <c r="AC16" i="60"/>
  <c r="AY16" i="60" s="1"/>
  <c r="AC14" i="60" l="1"/>
  <c r="AY14" i="60" s="1"/>
  <c r="AC64" i="60" l="1"/>
  <c r="AC65" i="60"/>
  <c r="AC61" i="60" l="1"/>
  <c r="AY61" i="60" s="1"/>
  <c r="AC53" i="60"/>
  <c r="AY53" i="60" s="1"/>
  <c r="AC63" i="60"/>
  <c r="AY63" i="60" s="1"/>
  <c r="N62" i="60" l="1"/>
  <c r="N51" i="60"/>
  <c r="N60" i="60"/>
  <c r="N68" i="60" s="1"/>
  <c r="AC60" i="60" l="1"/>
  <c r="AC62" i="60"/>
  <c r="AC51" i="60"/>
  <c r="AC68" i="60" l="1"/>
  <c r="AC48" i="60" l="1"/>
  <c r="N42" i="60" l="1"/>
  <c r="N57" i="60" s="1"/>
  <c r="AC42" i="60" l="1"/>
  <c r="AC57" i="60" l="1"/>
  <c r="AC11" i="60"/>
  <c r="AY11" i="60" s="1"/>
  <c r="N10" i="60" l="1"/>
  <c r="N9" i="60" s="1"/>
  <c r="N27" i="60" s="1"/>
  <c r="N69" i="60" s="1"/>
  <c r="N70" i="60" l="1"/>
  <c r="AC10" i="60"/>
  <c r="N71" i="60" l="1"/>
  <c r="AC9" i="60"/>
  <c r="AC27" i="60" l="1"/>
  <c r="AC69" i="60" l="1"/>
  <c r="P43" i="60" l="1"/>
  <c r="AE47" i="60"/>
  <c r="S47" i="60"/>
  <c r="AE43" i="60" l="1"/>
  <c r="AH47" i="60"/>
  <c r="S43" i="60"/>
  <c r="AH43" i="60" l="1"/>
  <c r="AD48" i="60" l="1"/>
  <c r="O42" i="60"/>
  <c r="AD42" i="60" l="1"/>
  <c r="AD13" i="60" l="1"/>
  <c r="AZ13" i="60" l="1"/>
  <c r="AD61" i="60" l="1"/>
  <c r="O60" i="60"/>
  <c r="AD60" i="60" l="1"/>
  <c r="AZ61" i="60"/>
  <c r="AD63" i="60" l="1"/>
  <c r="AZ63" i="60" l="1"/>
  <c r="AD36" i="60" l="1"/>
  <c r="AD38" i="60" l="1"/>
  <c r="AD35" i="60"/>
  <c r="AZ36" i="60"/>
  <c r="AD37" i="60" l="1"/>
  <c r="O34" i="60"/>
  <c r="O32" i="60" s="1"/>
  <c r="AZ35" i="60"/>
  <c r="AZ38" i="60"/>
  <c r="AD34" i="60" l="1"/>
  <c r="AZ37" i="60"/>
  <c r="AZ34" i="60" l="1"/>
  <c r="AD32" i="60"/>
  <c r="AD53" i="60" l="1"/>
  <c r="O51" i="60"/>
  <c r="O57" i="60" s="1"/>
  <c r="AZ53" i="60" l="1"/>
  <c r="AD51" i="60"/>
  <c r="AD57" i="60" s="1"/>
  <c r="AD65" i="60" l="1"/>
  <c r="AD64" i="60"/>
  <c r="O62" i="60"/>
  <c r="O68" i="60" s="1"/>
  <c r="AD62" i="60" l="1"/>
  <c r="AD68" i="60" s="1"/>
  <c r="AD16" i="60" l="1"/>
  <c r="AD15" i="60" l="1"/>
  <c r="AZ16" i="60"/>
  <c r="AD14" i="60" l="1"/>
  <c r="AZ15" i="60"/>
  <c r="AZ14" i="60" l="1"/>
  <c r="AD11" i="60" l="1"/>
  <c r="O10" i="60"/>
  <c r="O9" i="60" s="1"/>
  <c r="O27" i="60" s="1"/>
  <c r="O69" i="60" s="1"/>
  <c r="O70" i="60" s="1"/>
  <c r="AD10" i="60" l="1"/>
  <c r="AD9" i="60" s="1"/>
  <c r="AD27" i="60" s="1"/>
  <c r="AD69" i="60" s="1"/>
  <c r="AZ11" i="60"/>
  <c r="O71" i="60"/>
  <c r="Q37" i="60" l="1"/>
  <c r="AF37" i="60" s="1"/>
  <c r="BB37" i="60" s="1"/>
  <c r="Q35" i="60"/>
  <c r="Q38" i="60" l="1"/>
  <c r="AF38" i="60" s="1"/>
  <c r="BB38" i="60" s="1"/>
  <c r="AF35" i="60"/>
  <c r="P36" i="60"/>
  <c r="R37" i="60"/>
  <c r="AG37" i="60" s="1"/>
  <c r="BC37" i="60" s="1"/>
  <c r="R36" i="60" l="1"/>
  <c r="AG36" i="60" s="1"/>
  <c r="BC36" i="60" s="1"/>
  <c r="AE36" i="60"/>
  <c r="T36" i="60"/>
  <c r="T37" i="60"/>
  <c r="Q36" i="60"/>
  <c r="BB35" i="60"/>
  <c r="T38" i="60"/>
  <c r="P38" i="60"/>
  <c r="R38" i="60"/>
  <c r="AG38" i="60" s="1"/>
  <c r="BC38" i="60" s="1"/>
  <c r="P37" i="60"/>
  <c r="AF36" i="60" l="1"/>
  <c r="AH36" i="60" s="1"/>
  <c r="Q34" i="60"/>
  <c r="Q32" i="60" s="1"/>
  <c r="P35" i="60"/>
  <c r="S36" i="60"/>
  <c r="U36" i="60" s="1"/>
  <c r="S37" i="60"/>
  <c r="U37" i="60" s="1"/>
  <c r="AE37" i="60"/>
  <c r="AE38" i="60"/>
  <c r="S38" i="60"/>
  <c r="U38" i="60" s="1"/>
  <c r="R35" i="60"/>
  <c r="T35" i="60"/>
  <c r="T34" i="60" s="1"/>
  <c r="T32" i="60" s="1"/>
  <c r="BA36" i="60"/>
  <c r="AG35" i="60" l="1"/>
  <c r="R34" i="60"/>
  <c r="R32" i="60" s="1"/>
  <c r="AH37" i="60"/>
  <c r="BA37" i="60"/>
  <c r="BB36" i="60"/>
  <c r="AF34" i="60"/>
  <c r="BA38" i="60"/>
  <c r="AH38" i="60"/>
  <c r="P34" i="60"/>
  <c r="P32" i="60" s="1"/>
  <c r="S35" i="60"/>
  <c r="AE35" i="60"/>
  <c r="BA35" i="60" l="1"/>
  <c r="AH35" i="60"/>
  <c r="AE34" i="60"/>
  <c r="U35" i="60"/>
  <c r="U34" i="60" s="1"/>
  <c r="U32" i="60" s="1"/>
  <c r="S34" i="60"/>
  <c r="S32" i="60" s="1"/>
  <c r="BB34" i="60"/>
  <c r="AF32" i="60"/>
  <c r="BC35" i="60"/>
  <c r="AG34" i="60"/>
  <c r="BA34" i="60" l="1"/>
  <c r="AE32" i="60"/>
  <c r="AH34" i="60"/>
  <c r="AH32" i="60" s="1"/>
  <c r="AG32" i="60"/>
  <c r="BC34" i="60"/>
  <c r="D1" i="60" l="1"/>
  <c r="Q61" i="60" l="1"/>
  <c r="T61" i="60"/>
  <c r="T60" i="60" s="1"/>
  <c r="Q60" i="60" l="1"/>
  <c r="AF61" i="60"/>
  <c r="R61" i="60"/>
  <c r="BB61" i="60" l="1"/>
  <c r="AF60" i="60"/>
  <c r="R60" i="60"/>
  <c r="AG61" i="60"/>
  <c r="P61" i="60"/>
  <c r="BC61" i="60" l="1"/>
  <c r="AG60" i="60"/>
  <c r="S61" i="60"/>
  <c r="P60" i="60"/>
  <c r="AE61" i="60"/>
  <c r="BA61" i="60" l="1"/>
  <c r="AE60" i="60"/>
  <c r="AH61" i="60"/>
  <c r="U61" i="60"/>
  <c r="U60" i="60" s="1"/>
  <c r="S60" i="60"/>
  <c r="AH60" i="60" l="1"/>
  <c r="Q63" i="60" l="1"/>
  <c r="AF63" i="60" s="1"/>
  <c r="BB63" i="60" s="1"/>
  <c r="R63" i="60"/>
  <c r="AG63" i="60" s="1"/>
  <c r="BC63" i="60" s="1"/>
  <c r="T63" i="60"/>
  <c r="P63" i="60" l="1"/>
  <c r="AE63" i="60" l="1"/>
  <c r="S63" i="60"/>
  <c r="U63" i="60" s="1"/>
  <c r="BA63" i="60" l="1"/>
  <c r="AH63" i="60"/>
  <c r="R48" i="60" l="1"/>
  <c r="Q48" i="60"/>
  <c r="T48" i="60"/>
  <c r="AF48" i="60" l="1"/>
  <c r="AF42" i="60" s="1"/>
  <c r="Q42" i="60"/>
  <c r="R42" i="60"/>
  <c r="AG48" i="60"/>
  <c r="AG42" i="60" s="1"/>
  <c r="P48" i="60"/>
  <c r="S48" i="60" l="1"/>
  <c r="P42" i="60"/>
  <c r="AE48" i="60"/>
  <c r="AE42" i="60" l="1"/>
  <c r="AH48" i="60"/>
  <c r="S42" i="60"/>
  <c r="AH42" i="60" l="1"/>
  <c r="T47" i="60" l="1"/>
  <c r="T43" i="60" l="1"/>
  <c r="T42" i="60" s="1"/>
  <c r="U47" i="60"/>
  <c r="T41" i="60" l="1"/>
  <c r="U41" i="60" l="1"/>
  <c r="U39" i="60" s="1"/>
  <c r="T39" i="60"/>
  <c r="T64" i="60" l="1"/>
  <c r="T65" i="60"/>
  <c r="Q65" i="60"/>
  <c r="AF65" i="60" s="1"/>
  <c r="R65" i="60"/>
  <c r="AG65" i="60" s="1"/>
  <c r="T62" i="60" l="1"/>
  <c r="T68" i="60" s="1"/>
  <c r="P65" i="60"/>
  <c r="R64" i="60"/>
  <c r="Q64" i="60"/>
  <c r="AE65" i="60" l="1"/>
  <c r="AH65" i="60" s="1"/>
  <c r="S65" i="60"/>
  <c r="U65" i="60" s="1"/>
  <c r="Q62" i="60"/>
  <c r="Q68" i="60" s="1"/>
  <c r="AF64" i="60"/>
  <c r="AF62" i="60" s="1"/>
  <c r="AF68" i="60" s="1"/>
  <c r="AG64" i="60"/>
  <c r="AG62" i="60" s="1"/>
  <c r="AG68" i="60" s="1"/>
  <c r="R62" i="60"/>
  <c r="R68" i="60" s="1"/>
  <c r="P64" i="60"/>
  <c r="S64" i="60" l="1"/>
  <c r="AE64" i="60"/>
  <c r="P62" i="60"/>
  <c r="P68" i="60" s="1"/>
  <c r="AE62" i="60" l="1"/>
  <c r="AE68" i="60" s="1"/>
  <c r="AH64" i="60"/>
  <c r="S62" i="60"/>
  <c r="S68" i="60" s="1"/>
  <c r="U64" i="60"/>
  <c r="U62" i="60" s="1"/>
  <c r="U68" i="60" s="1"/>
  <c r="AH62" i="60" l="1"/>
  <c r="AH68" i="60" s="1"/>
  <c r="AC70" i="60" l="1"/>
  <c r="AC71" i="60" s="1"/>
  <c r="BD24" i="60" l="1"/>
  <c r="BD38" i="60"/>
  <c r="BD61" i="60"/>
  <c r="BD20" i="60"/>
  <c r="BD14" i="60"/>
  <c r="BD23" i="60"/>
  <c r="BD15" i="60"/>
  <c r="BD11" i="60"/>
  <c r="BD12" i="60"/>
  <c r="BD26" i="60"/>
  <c r="BD18" i="60"/>
  <c r="BD53" i="60"/>
  <c r="BD36" i="60"/>
  <c r="BD34" i="60"/>
  <c r="BD35" i="60"/>
  <c r="BD37" i="60"/>
  <c r="BD63" i="60"/>
  <c r="BD40" i="60"/>
  <c r="BD25" i="60"/>
  <c r="BD13" i="60"/>
  <c r="BD16" i="60"/>
  <c r="BD50" i="60"/>
  <c r="BD59" i="60"/>
  <c r="BD44" i="60"/>
  <c r="BD52" i="60"/>
  <c r="BD21" i="60"/>
  <c r="BD41" i="60"/>
  <c r="BD54" i="60"/>
  <c r="AD70" i="60" l="1"/>
  <c r="AD71" i="60" s="1"/>
  <c r="BE61" i="60" l="1"/>
  <c r="BE18" i="60"/>
  <c r="BE63" i="60"/>
  <c r="BE12" i="60"/>
  <c r="BE54" i="60"/>
  <c r="BE14" i="60"/>
  <c r="BE15" i="60"/>
  <c r="BE23" i="60"/>
  <c r="BE24" i="60"/>
  <c r="BE40" i="60"/>
  <c r="BE36" i="60"/>
  <c r="BE11" i="60"/>
  <c r="BE21" i="60"/>
  <c r="BE38" i="60"/>
  <c r="BE52" i="60"/>
  <c r="BE53" i="60"/>
  <c r="BE16" i="60"/>
  <c r="BE25" i="60"/>
  <c r="BE26" i="60"/>
  <c r="BE13" i="60"/>
  <c r="BE35" i="60"/>
  <c r="BE34" i="60"/>
  <c r="BE41" i="60"/>
  <c r="BE37" i="60"/>
  <c r="BE44" i="60"/>
  <c r="BE20" i="60"/>
  <c r="BE59" i="60"/>
  <c r="BE50" i="60"/>
  <c r="Q53" i="60" l="1"/>
  <c r="P53" i="60" l="1"/>
  <c r="Q51" i="60"/>
  <c r="Q57" i="60" s="1"/>
  <c r="AF53" i="60"/>
  <c r="T53" i="60"/>
  <c r="T51" i="60" s="1"/>
  <c r="T57" i="60" s="1"/>
  <c r="R53" i="60"/>
  <c r="R13" i="60" l="1"/>
  <c r="AG13" i="60" s="1"/>
  <c r="BC13" i="60" s="1"/>
  <c r="Q13" i="60"/>
  <c r="AF13" i="60" s="1"/>
  <c r="BB13" i="60" s="1"/>
  <c r="T16" i="60"/>
  <c r="AE53" i="60"/>
  <c r="P51" i="60"/>
  <c r="P57" i="60" s="1"/>
  <c r="S53" i="60"/>
  <c r="R51" i="60"/>
  <c r="R57" i="60" s="1"/>
  <c r="AG53" i="60"/>
  <c r="AF51" i="60"/>
  <c r="AF57" i="60" s="1"/>
  <c r="BB53" i="60"/>
  <c r="P13" i="60" l="1"/>
  <c r="AE51" i="60"/>
  <c r="AE57" i="60" s="1"/>
  <c r="BA53" i="60"/>
  <c r="AH53" i="60"/>
  <c r="Q16" i="60"/>
  <c r="AF16" i="60" s="1"/>
  <c r="BB16" i="60" s="1"/>
  <c r="R16" i="60"/>
  <c r="AG16" i="60" s="1"/>
  <c r="BC16" i="60" s="1"/>
  <c r="T14" i="60"/>
  <c r="Q15" i="60"/>
  <c r="AF15" i="60" s="1"/>
  <c r="BB15" i="60" s="1"/>
  <c r="R15" i="60"/>
  <c r="AG15" i="60" s="1"/>
  <c r="BC15" i="60" s="1"/>
  <c r="AG51" i="60"/>
  <c r="AG57" i="60" s="1"/>
  <c r="BC53" i="60"/>
  <c r="T15" i="60"/>
  <c r="S51" i="60"/>
  <c r="S57" i="60" s="1"/>
  <c r="U53" i="60"/>
  <c r="U51" i="60" s="1"/>
  <c r="R14" i="60" l="1"/>
  <c r="AG14" i="60" s="1"/>
  <c r="BC14" i="60" s="1"/>
  <c r="Q14" i="60"/>
  <c r="AF14" i="60" s="1"/>
  <c r="BB14" i="60" s="1"/>
  <c r="P15" i="60"/>
  <c r="P16" i="60"/>
  <c r="S13" i="60"/>
  <c r="AE13" i="60"/>
  <c r="AH51" i="60"/>
  <c r="AH57" i="60" s="1"/>
  <c r="S16" i="60" l="1"/>
  <c r="AE16" i="60"/>
  <c r="AE15" i="60"/>
  <c r="S15" i="60"/>
  <c r="BA13" i="60"/>
  <c r="AH13" i="60"/>
  <c r="P14" i="60"/>
  <c r="BA15" i="60" l="1"/>
  <c r="AH15" i="60"/>
  <c r="AH16" i="60"/>
  <c r="BA16" i="60"/>
  <c r="AE14" i="60"/>
  <c r="S14" i="60"/>
  <c r="BA14" i="60" l="1"/>
  <c r="AH14" i="60"/>
  <c r="T13" i="60" l="1"/>
  <c r="T12" i="60"/>
  <c r="P11" i="60" l="1"/>
  <c r="R11" i="60"/>
  <c r="Q11" i="60"/>
  <c r="T11" i="60"/>
  <c r="T10" i="60" s="1"/>
  <c r="T9" i="60" s="1"/>
  <c r="T27" i="60" s="1"/>
  <c r="T69" i="60" s="1"/>
  <c r="T70" i="60" s="1"/>
  <c r="T71" i="60" s="1"/>
  <c r="AF11" i="60" l="1"/>
  <c r="Q10" i="60"/>
  <c r="Q9" i="60" s="1"/>
  <c r="Q27" i="60" s="1"/>
  <c r="Q69" i="60" s="1"/>
  <c r="Q70" i="60" s="1"/>
  <c r="Q71" i="60" s="1"/>
  <c r="AG11" i="60"/>
  <c r="R10" i="60"/>
  <c r="R9" i="60" s="1"/>
  <c r="R27" i="60" s="1"/>
  <c r="R69" i="60" s="1"/>
  <c r="R70" i="60" s="1"/>
  <c r="R71" i="60" s="1"/>
  <c r="S11" i="60"/>
  <c r="S10" i="60" s="1"/>
  <c r="S9" i="60" s="1"/>
  <c r="S27" i="60" s="1"/>
  <c r="S69" i="60" s="1"/>
  <c r="P10" i="60"/>
  <c r="P9" i="60" s="1"/>
  <c r="P27" i="60" s="1"/>
  <c r="P69" i="60" s="1"/>
  <c r="P70" i="60" s="1"/>
  <c r="AE11" i="60"/>
  <c r="P71" i="60" l="1"/>
  <c r="S70" i="60"/>
  <c r="S71" i="60" s="1"/>
  <c r="AH11" i="60"/>
  <c r="AH10" i="60" s="1"/>
  <c r="AH9" i="60" s="1"/>
  <c r="AH27" i="60" s="1"/>
  <c r="AH69" i="60" s="1"/>
  <c r="AE10" i="60"/>
  <c r="AE9" i="60" s="1"/>
  <c r="AE27" i="60" s="1"/>
  <c r="AE69" i="60" s="1"/>
  <c r="BA11" i="60"/>
  <c r="BC11" i="60"/>
  <c r="AG10" i="60"/>
  <c r="AG9" i="60" s="1"/>
  <c r="AG27" i="60" s="1"/>
  <c r="AG69" i="60" s="1"/>
  <c r="BB11" i="60"/>
  <c r="AF10" i="60"/>
  <c r="AF9" i="60" s="1"/>
  <c r="AF27" i="60" s="1"/>
  <c r="AF69" i="60" s="1"/>
  <c r="AG70" i="60" l="1"/>
  <c r="AG71" i="60" s="1"/>
  <c r="AF70" i="60"/>
  <c r="AF71" i="60" s="1"/>
  <c r="AE70" i="60"/>
  <c r="AE71" i="60" s="1"/>
  <c r="AH70" i="60" l="1"/>
  <c r="AH71" i="60" s="1"/>
  <c r="BG11" i="60"/>
  <c r="BG53" i="60"/>
  <c r="BG15" i="60"/>
  <c r="BG38" i="60"/>
  <c r="BG23" i="60"/>
  <c r="BG21" i="60"/>
  <c r="BG25" i="60"/>
  <c r="BG59" i="60"/>
  <c r="BG26" i="60"/>
  <c r="BG41" i="60"/>
  <c r="BG24" i="60"/>
  <c r="BG40" i="60"/>
  <c r="BG44" i="60"/>
  <c r="BG50" i="60"/>
  <c r="BG37" i="60"/>
  <c r="BG12" i="60"/>
  <c r="BG14" i="60"/>
  <c r="BG20" i="60"/>
  <c r="BG52" i="60"/>
  <c r="BG34" i="60"/>
  <c r="BG54" i="60"/>
  <c r="BG35" i="60"/>
  <c r="BG61" i="60"/>
  <c r="BG36" i="60"/>
  <c r="BG13" i="60"/>
  <c r="BG16" i="60"/>
  <c r="BG18" i="60"/>
  <c r="BG63" i="60"/>
  <c r="BH61" i="60"/>
  <c r="BH41" i="60"/>
  <c r="BH13" i="60"/>
  <c r="BH59" i="60"/>
  <c r="BH40" i="60"/>
  <c r="BH23" i="60"/>
  <c r="BH25" i="60"/>
  <c r="BH35" i="60"/>
  <c r="BH37" i="60"/>
  <c r="BH20" i="60"/>
  <c r="BH54" i="60"/>
  <c r="BH38" i="60"/>
  <c r="BH50" i="60"/>
  <c r="BH53" i="60"/>
  <c r="BH21" i="60"/>
  <c r="BH52" i="60"/>
  <c r="BH63" i="60"/>
  <c r="BH24" i="60"/>
  <c r="BH26" i="60"/>
  <c r="BH14" i="60"/>
  <c r="BH34" i="60"/>
  <c r="BH11" i="60"/>
  <c r="BH15" i="60"/>
  <c r="BH16" i="60"/>
  <c r="BH12" i="60"/>
  <c r="BH36" i="60"/>
  <c r="BH18" i="60"/>
  <c r="BH44" i="60"/>
  <c r="BF11" i="60"/>
  <c r="BF40" i="60"/>
  <c r="BF34" i="60"/>
  <c r="BF41" i="60"/>
  <c r="BF16" i="60"/>
  <c r="BF14" i="60"/>
  <c r="BF23" i="60"/>
  <c r="BF50" i="60"/>
  <c r="BF36" i="60"/>
  <c r="BF35" i="60"/>
  <c r="BF21" i="60"/>
  <c r="BF15" i="60"/>
  <c r="BF18" i="60"/>
  <c r="BF26" i="60"/>
  <c r="BF24" i="60"/>
  <c r="BF63" i="60"/>
  <c r="BF12" i="60"/>
  <c r="BF52" i="60"/>
  <c r="BF38" i="60"/>
  <c r="BF13" i="60"/>
  <c r="BF61" i="60"/>
  <c r="BF37" i="60"/>
  <c r="BF54" i="60"/>
  <c r="BF53" i="60"/>
  <c r="BF59" i="60"/>
  <c r="BF20" i="60"/>
  <c r="BF25" i="60"/>
  <c r="BF44" i="60"/>
  <c r="E73" i="60" l="1"/>
  <c r="AI73" i="60" l="1"/>
  <c r="AI54" i="60" l="1"/>
  <c r="AI51" i="60" s="1"/>
  <c r="E46" i="60" l="1"/>
  <c r="E47" i="60"/>
  <c r="AI47" i="60" s="1"/>
  <c r="E16" i="60"/>
  <c r="V46" i="60" l="1"/>
  <c r="U46" i="60" s="1"/>
  <c r="AI46" i="60"/>
  <c r="V16" i="60"/>
  <c r="U16" i="60" s="1"/>
  <c r="AI16" i="60"/>
  <c r="E14" i="60"/>
  <c r="E45" i="60"/>
  <c r="E48" i="60"/>
  <c r="E15" i="60"/>
  <c r="AI45" i="60" l="1"/>
  <c r="V45" i="60"/>
  <c r="U45" i="60" s="1"/>
  <c r="AI48" i="60"/>
  <c r="V48" i="60"/>
  <c r="U48" i="60" s="1"/>
  <c r="AI15" i="60"/>
  <c r="V15" i="60"/>
  <c r="U15" i="60" s="1"/>
  <c r="V14" i="60"/>
  <c r="U14" i="60" s="1"/>
  <c r="AI14" i="60"/>
  <c r="E11" i="60" l="1"/>
  <c r="E13" i="60"/>
  <c r="E44" i="60"/>
  <c r="AI44" i="60" l="1"/>
  <c r="V44" i="60"/>
  <c r="E43" i="60"/>
  <c r="E42" i="60" s="1"/>
  <c r="AI13" i="60"/>
  <c r="V13" i="60"/>
  <c r="U13" i="60" s="1"/>
  <c r="AI11" i="60"/>
  <c r="V11" i="60"/>
  <c r="E12" i="60"/>
  <c r="E10" i="60" s="1"/>
  <c r="E57" i="60" l="1"/>
  <c r="E9" i="60"/>
  <c r="AI43" i="60"/>
  <c r="AI42" i="60" s="1"/>
  <c r="U11" i="60"/>
  <c r="AI12" i="60"/>
  <c r="V12" i="60"/>
  <c r="U12" i="60" s="1"/>
  <c r="V43" i="60"/>
  <c r="V42" i="60" s="1"/>
  <c r="V57" i="60" s="1"/>
  <c r="U44" i="60"/>
  <c r="U43" i="60" s="1"/>
  <c r="U42" i="60" s="1"/>
  <c r="U57" i="60" s="1"/>
  <c r="E27" i="60" l="1"/>
  <c r="AI10" i="60"/>
  <c r="AI57" i="60"/>
  <c r="U10" i="60"/>
  <c r="U9" i="60" s="1"/>
  <c r="U27" i="60" s="1"/>
  <c r="U69" i="60" s="1"/>
  <c r="V10" i="60"/>
  <c r="V9" i="60" s="1"/>
  <c r="V27" i="60" s="1"/>
  <c r="V69" i="60" s="1"/>
  <c r="V70" i="60" s="1"/>
  <c r="V71" i="60" s="1"/>
  <c r="AI9" i="60" l="1"/>
  <c r="U70" i="60"/>
  <c r="U71" i="60" s="1"/>
  <c r="E69" i="60"/>
  <c r="AI27" i="60" l="1"/>
  <c r="AI69" i="60" s="1"/>
  <c r="E70" i="60"/>
  <c r="F73" i="60" l="1"/>
  <c r="AI70" i="60"/>
  <c r="E71" i="60"/>
  <c r="AI74" i="60"/>
  <c r="AI71" i="60" l="1"/>
  <c r="F74" i="60"/>
</calcChain>
</file>

<file path=xl/comments1.xml><?xml version="1.0" encoding="utf-8"?>
<comments xmlns="http://schemas.openxmlformats.org/spreadsheetml/2006/main">
  <authors>
    <author>広島市</author>
    <author>河野 昌治</author>
    <author>経理</author>
  </authors>
  <commentList>
    <comment ref="AC3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消費税率の改正があった場合には、改正法附則の経過措置により、適用すべき税率を修正すること。</t>
        </r>
      </text>
    </comment>
    <comment ref="N4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不課税収入区分表から数字を拾っている。</t>
        </r>
      </text>
    </comment>
    <comment ref="J8" authorId="0" shapeId="0">
      <text>
        <r>
          <rPr>
            <sz val="9"/>
            <color indexed="81"/>
            <rFont val="ＭＳ Ｐゴシック"/>
            <family val="3"/>
            <charset val="128"/>
          </rPr>
          <t xml:space="preserve">右の免税売上げを控除しているので、税率改正があった場合は控除するセルを変更する。
</t>
        </r>
        <r>
          <rPr>
            <b/>
            <sz val="9"/>
            <color indexed="10"/>
            <rFont val="ＭＳ Ｐゴシック"/>
            <family val="3"/>
            <charset val="128"/>
          </rPr>
          <t>消費税集計表において免税分を集計する仕様になっていないため、一旦10％で整理している。M8セルに免税額を入力すると当該セルは差引額が表示される。</t>
        </r>
      </text>
    </comment>
    <comment ref="M8" authorId="0" shapeId="0">
      <text>
        <r>
          <rPr>
            <sz val="9"/>
            <color indexed="81"/>
            <rFont val="ＭＳ Ｐゴシック"/>
            <family val="3"/>
            <charset val="128"/>
          </rPr>
          <t>韓国領事館分免税使用料（管理課資料より）</t>
        </r>
      </text>
    </comment>
    <comment ref="BK35" authorId="1" shapeId="0">
      <text>
        <r>
          <rPr>
            <b/>
            <sz val="11"/>
            <color indexed="81"/>
            <rFont val="MS P ゴシック"/>
            <family val="3"/>
            <charset val="128"/>
          </rPr>
          <t>4事業分け前は農集で調整していたが、農集で必要な調整が+1となり、一致させることができないので、全事業は公共で調整することにした。</t>
        </r>
      </text>
    </comment>
    <comment ref="V47" authorId="0" shapeId="0">
      <text>
        <r>
          <rPr>
            <sz val="9"/>
            <color indexed="81"/>
            <rFont val="ＭＳ Ｐゴシック"/>
            <family val="3"/>
            <charset val="128"/>
          </rPr>
          <t>管理課資料から減免分を入力。区域外分は、各事業の減免分の額に応じて、全事業分の減免額を配賦するが、黒字になる事業については、黒字額を減額して入力しなおす。黒字分は残りの赤字事業に配賦する。</t>
        </r>
      </text>
    </comment>
    <comment ref="T76" authorId="2" shapeId="0">
      <text>
        <r>
          <rPr>
            <b/>
            <sz val="9"/>
            <color indexed="81"/>
            <rFont val="MS P ゴシック"/>
            <family val="3"/>
            <charset val="128"/>
          </rPr>
          <t>災害減免について公共（R6.4.26 使用料係　宮本係長に確認）</t>
        </r>
      </text>
    </comment>
  </commentList>
</comments>
</file>

<file path=xl/sharedStrings.xml><?xml version="1.0" encoding="utf-8"?>
<sst xmlns="http://schemas.openxmlformats.org/spreadsheetml/2006/main" count="108" uniqueCount="98">
  <si>
    <t>節</t>
    <rPh sb="0" eb="1">
      <t>セツ</t>
    </rPh>
    <phoneticPr fontId="3"/>
  </si>
  <si>
    <t>細節</t>
    <rPh sb="0" eb="2">
      <t>サイセツ</t>
    </rPh>
    <phoneticPr fontId="3"/>
  </si>
  <si>
    <t>事業</t>
    <rPh sb="0" eb="2">
      <t>ジギョウ</t>
    </rPh>
    <phoneticPr fontId="3"/>
  </si>
  <si>
    <t>税込決算額</t>
    <rPh sb="0" eb="2">
      <t>ゼイコミ</t>
    </rPh>
    <rPh sb="2" eb="4">
      <t>ケッサン</t>
    </rPh>
    <rPh sb="4" eb="5">
      <t>ガク</t>
    </rPh>
    <phoneticPr fontId="3"/>
  </si>
  <si>
    <t>税抜決算額</t>
    <rPh sb="0" eb="2">
      <t>ゼイヌキ</t>
    </rPh>
    <rPh sb="2" eb="4">
      <t>ケッサン</t>
    </rPh>
    <rPh sb="4" eb="5">
      <t>ガク</t>
    </rPh>
    <phoneticPr fontId="3"/>
  </si>
  <si>
    <t>計</t>
    <rPh sb="0" eb="1">
      <t>ケイ</t>
    </rPh>
    <phoneticPr fontId="3"/>
  </si>
  <si>
    <t>総額検算</t>
    <rPh sb="0" eb="2">
      <t>ソウガク</t>
    </rPh>
    <rPh sb="2" eb="4">
      <t>ケンザン</t>
    </rPh>
    <phoneticPr fontId="3"/>
  </si>
  <si>
    <t>費目</t>
    <rPh sb="0" eb="2">
      <t>ヒモク</t>
    </rPh>
    <phoneticPr fontId="3"/>
  </si>
  <si>
    <t>消費税及び地方消費税還付金</t>
    <rPh sb="0" eb="3">
      <t>ショウヒゼイ</t>
    </rPh>
    <rPh sb="3" eb="4">
      <t>オヨ</t>
    </rPh>
    <rPh sb="5" eb="7">
      <t>チホウ</t>
    </rPh>
    <rPh sb="7" eb="10">
      <t>ショウヒゼイ</t>
    </rPh>
    <rPh sb="10" eb="13">
      <t>カンプキン</t>
    </rPh>
    <phoneticPr fontId="3"/>
  </si>
  <si>
    <t>消費税　端数確認</t>
    <rPh sb="0" eb="3">
      <t>ショウヒゼイ</t>
    </rPh>
    <rPh sb="4" eb="6">
      <t>ハスウ</t>
    </rPh>
    <rPh sb="6" eb="8">
      <t>カクニン</t>
    </rPh>
    <phoneticPr fontId="3"/>
  </si>
  <si>
    <t>消費税　調整額</t>
    <rPh sb="0" eb="3">
      <t>ショウヒゼイ</t>
    </rPh>
    <rPh sb="4" eb="6">
      <t>チョウセイ</t>
    </rPh>
    <rPh sb="6" eb="7">
      <t>ガク</t>
    </rPh>
    <phoneticPr fontId="3"/>
  </si>
  <si>
    <t>下水道使用料</t>
    <rPh sb="0" eb="3">
      <t>ゲスイドウ</t>
    </rPh>
    <rPh sb="3" eb="6">
      <t>シヨウリョウ</t>
    </rPh>
    <phoneticPr fontId="3"/>
  </si>
  <si>
    <t>受託工事収益</t>
    <rPh sb="0" eb="2">
      <t>ジュタク</t>
    </rPh>
    <rPh sb="2" eb="4">
      <t>コウジ</t>
    </rPh>
    <rPh sb="4" eb="6">
      <t>シュウエキ</t>
    </rPh>
    <phoneticPr fontId="3"/>
  </si>
  <si>
    <t>その他営業収益</t>
    <rPh sb="2" eb="3">
      <t>タ</t>
    </rPh>
    <rPh sb="3" eb="5">
      <t>エイギョウ</t>
    </rPh>
    <rPh sb="5" eb="7">
      <t>シュウエキ</t>
    </rPh>
    <phoneticPr fontId="3"/>
  </si>
  <si>
    <t>受取利息</t>
    <rPh sb="0" eb="2">
      <t>ウケトリ</t>
    </rPh>
    <rPh sb="2" eb="4">
      <t>リソク</t>
    </rPh>
    <phoneticPr fontId="3"/>
  </si>
  <si>
    <t>国庫補助金</t>
    <rPh sb="0" eb="2">
      <t>コッコ</t>
    </rPh>
    <rPh sb="2" eb="5">
      <t>ホジョキン</t>
    </rPh>
    <phoneticPr fontId="3"/>
  </si>
  <si>
    <t>負担金</t>
    <rPh sb="0" eb="3">
      <t>フタンキン</t>
    </rPh>
    <phoneticPr fontId="3"/>
  </si>
  <si>
    <t>一般会計補助金</t>
    <rPh sb="0" eb="2">
      <t>イッパン</t>
    </rPh>
    <rPh sb="2" eb="4">
      <t>カイケイ</t>
    </rPh>
    <rPh sb="4" eb="7">
      <t>ホジョキン</t>
    </rPh>
    <phoneticPr fontId="3"/>
  </si>
  <si>
    <t>　その他補助金</t>
    <rPh sb="3" eb="4">
      <t>タ</t>
    </rPh>
    <rPh sb="4" eb="7">
      <t>ホジョキン</t>
    </rPh>
    <phoneticPr fontId="3"/>
  </si>
  <si>
    <t>　消費税及び地方消費税還付金</t>
    <rPh sb="1" eb="4">
      <t>ショウヒゼイ</t>
    </rPh>
    <rPh sb="4" eb="5">
      <t>オヨ</t>
    </rPh>
    <rPh sb="6" eb="8">
      <t>チホウ</t>
    </rPh>
    <rPh sb="8" eb="11">
      <t>ショウヒゼイ</t>
    </rPh>
    <rPh sb="11" eb="14">
      <t>カンプキン</t>
    </rPh>
    <phoneticPr fontId="3"/>
  </si>
  <si>
    <t>雑収益</t>
    <rPh sb="0" eb="1">
      <t>ザツ</t>
    </rPh>
    <rPh sb="1" eb="3">
      <t>シュウエキ</t>
    </rPh>
    <phoneticPr fontId="3"/>
  </si>
  <si>
    <t>長期前受金戻入益</t>
    <rPh sb="0" eb="2">
      <t>チョウキ</t>
    </rPh>
    <rPh sb="2" eb="5">
      <t>マエウケキン</t>
    </rPh>
    <rPh sb="5" eb="7">
      <t>レイニュウ</t>
    </rPh>
    <rPh sb="7" eb="8">
      <t>エキ</t>
    </rPh>
    <phoneticPr fontId="3"/>
  </si>
  <si>
    <t>長期前受金戻入</t>
    <rPh sb="0" eb="2">
      <t>チョウキ</t>
    </rPh>
    <rPh sb="2" eb="5">
      <t>マエウケキン</t>
    </rPh>
    <rPh sb="5" eb="7">
      <t>レイニュウ</t>
    </rPh>
    <phoneticPr fontId="3"/>
  </si>
  <si>
    <t>　長期前受金戻入(減償･除却)</t>
    <rPh sb="9" eb="10">
      <t>ゲン</t>
    </rPh>
    <rPh sb="10" eb="11">
      <t>ショウ</t>
    </rPh>
    <rPh sb="12" eb="14">
      <t>ジョキャク</t>
    </rPh>
    <phoneticPr fontId="3"/>
  </si>
  <si>
    <t>　長期前受金戻入益(減損)</t>
    <rPh sb="1" eb="3">
      <t>チョウキ</t>
    </rPh>
    <rPh sb="3" eb="6">
      <t>マエウケキン</t>
    </rPh>
    <rPh sb="6" eb="8">
      <t>レイニュウ</t>
    </rPh>
    <rPh sb="8" eb="9">
      <t>エキ</t>
    </rPh>
    <rPh sb="10" eb="12">
      <t>ゲンソン</t>
    </rPh>
    <phoneticPr fontId="3"/>
  </si>
  <si>
    <t>仮受消費税</t>
    <rPh sb="0" eb="2">
      <t>カリウ</t>
    </rPh>
    <rPh sb="2" eb="5">
      <t>ショウヒゼイ</t>
    </rPh>
    <phoneticPr fontId="3"/>
  </si>
  <si>
    <t>計</t>
  </si>
  <si>
    <t>特定収入以外
の不課税収入</t>
    <rPh sb="0" eb="2">
      <t>トクテイ</t>
    </rPh>
    <rPh sb="2" eb="4">
      <t>シュウニュウ</t>
    </rPh>
    <rPh sb="4" eb="6">
      <t>イガイ</t>
    </rPh>
    <rPh sb="8" eb="9">
      <t>フ</t>
    </rPh>
    <rPh sb="9" eb="11">
      <t>カゼイ</t>
    </rPh>
    <rPh sb="11" eb="13">
      <t>シュウニュウ</t>
    </rPh>
    <phoneticPr fontId="3"/>
  </si>
  <si>
    <t>【３条収入内訳】</t>
    <rPh sb="2" eb="3">
      <t>ジョウ</t>
    </rPh>
    <rPh sb="3" eb="5">
      <t>シュウニュウ</t>
    </rPh>
    <rPh sb="5" eb="7">
      <t>ウチワケ</t>
    </rPh>
    <phoneticPr fontId="3"/>
  </si>
  <si>
    <t>　その他雑収益（仕入控除差額）</t>
    <rPh sb="8" eb="10">
      <t>シイレ</t>
    </rPh>
    <rPh sb="10" eb="12">
      <t>コウジョ</t>
    </rPh>
    <rPh sb="12" eb="14">
      <t>サガク</t>
    </rPh>
    <phoneticPr fontId="3"/>
  </si>
  <si>
    <t>営業収益</t>
    <rPh sb="0" eb="2">
      <t>エイギョウ</t>
    </rPh>
    <rPh sb="2" eb="4">
      <t>シュウエキ</t>
    </rPh>
    <phoneticPr fontId="3"/>
  </si>
  <si>
    <t>特別利益</t>
    <rPh sb="0" eb="2">
      <t>トクベツ</t>
    </rPh>
    <rPh sb="2" eb="4">
      <t>リエキ</t>
    </rPh>
    <phoneticPr fontId="3"/>
  </si>
  <si>
    <t>課税売上げ</t>
    <rPh sb="0" eb="2">
      <t>カゼイ</t>
    </rPh>
    <rPh sb="2" eb="4">
      <t>ウリアゲ</t>
    </rPh>
    <phoneticPr fontId="3"/>
  </si>
  <si>
    <t>特定収入</t>
    <rPh sb="0" eb="2">
      <t>トクテイ</t>
    </rPh>
    <rPh sb="2" eb="4">
      <t>シュウニュウ</t>
    </rPh>
    <phoneticPr fontId="3"/>
  </si>
  <si>
    <t>課税仕入れ等に係る特定収入</t>
    <rPh sb="0" eb="2">
      <t>カゼイ</t>
    </rPh>
    <rPh sb="2" eb="4">
      <t>シイ</t>
    </rPh>
    <rPh sb="5" eb="6">
      <t>トウ</t>
    </rPh>
    <rPh sb="7" eb="8">
      <t>カカ</t>
    </rPh>
    <rPh sb="9" eb="11">
      <t>トクテイ</t>
    </rPh>
    <rPh sb="11" eb="13">
      <t>シュウニュウ</t>
    </rPh>
    <phoneticPr fontId="3"/>
  </si>
  <si>
    <t>課税仕入れ等に係る特定収入以外</t>
    <rPh sb="0" eb="2">
      <t>カゼイ</t>
    </rPh>
    <rPh sb="2" eb="4">
      <t>シイ</t>
    </rPh>
    <rPh sb="5" eb="6">
      <t>トウ</t>
    </rPh>
    <rPh sb="7" eb="8">
      <t>カカ</t>
    </rPh>
    <rPh sb="9" eb="11">
      <t>トクテイ</t>
    </rPh>
    <rPh sb="11" eb="13">
      <t>シュウニュウ</t>
    </rPh>
    <rPh sb="13" eb="15">
      <t>イガイ</t>
    </rPh>
    <phoneticPr fontId="3"/>
  </si>
  <si>
    <t>不課税収入（資産の譲渡等の対価以外の収入（対価性のない収入））</t>
    <rPh sb="0" eb="1">
      <t>フ</t>
    </rPh>
    <rPh sb="1" eb="3">
      <t>カゼイ</t>
    </rPh>
    <rPh sb="3" eb="5">
      <t>シュウニュウ</t>
    </rPh>
    <rPh sb="6" eb="8">
      <t>シサン</t>
    </rPh>
    <rPh sb="9" eb="11">
      <t>ジョウト</t>
    </rPh>
    <rPh sb="11" eb="12">
      <t>トウ</t>
    </rPh>
    <rPh sb="13" eb="15">
      <t>タイカ</t>
    </rPh>
    <rPh sb="15" eb="17">
      <t>イガイ</t>
    </rPh>
    <rPh sb="18" eb="20">
      <t>シュウニュウ</t>
    </rPh>
    <rPh sb="21" eb="23">
      <t>タイカ</t>
    </rPh>
    <rPh sb="23" eb="24">
      <t>セイ</t>
    </rPh>
    <rPh sb="27" eb="29">
      <t>シュウニュウ</t>
    </rPh>
    <phoneticPr fontId="3"/>
  </si>
  <si>
    <t>特定収入に係る課税仕入れ等に係る消費税額</t>
    <rPh sb="12" eb="13">
      <t>トウ</t>
    </rPh>
    <phoneticPr fontId="3"/>
  </si>
  <si>
    <t>全事業</t>
    <rPh sb="0" eb="3">
      <t>ゼンジギョウ</t>
    </rPh>
    <phoneticPr fontId="3"/>
  </si>
  <si>
    <t>公共</t>
    <rPh sb="0" eb="2">
      <t>コウキョウ</t>
    </rPh>
    <phoneticPr fontId="3"/>
  </si>
  <si>
    <t>特環</t>
    <rPh sb="0" eb="2">
      <t>トッカン</t>
    </rPh>
    <phoneticPr fontId="3"/>
  </si>
  <si>
    <t>農集</t>
    <rPh sb="0" eb="2">
      <t>ノウシュウ</t>
    </rPh>
    <phoneticPr fontId="3"/>
  </si>
  <si>
    <t>浄化槽</t>
    <rPh sb="0" eb="3">
      <t>ジョウカソウ</t>
    </rPh>
    <phoneticPr fontId="3"/>
  </si>
  <si>
    <t>使用料減免充当額　配賦表</t>
    <rPh sb="0" eb="3">
      <t>シヨウリョウ</t>
    </rPh>
    <rPh sb="3" eb="5">
      <t>ゲンメン</t>
    </rPh>
    <rPh sb="5" eb="7">
      <t>ジュウトウ</t>
    </rPh>
    <rPh sb="7" eb="8">
      <t>ガク</t>
    </rPh>
    <rPh sb="9" eb="11">
      <t>ハイフ</t>
    </rPh>
    <rPh sb="11" eb="12">
      <t>ヒョウ</t>
    </rPh>
    <phoneticPr fontId="3"/>
  </si>
  <si>
    <t>管理課資料</t>
    <rPh sb="0" eb="3">
      <t>カンリカ</t>
    </rPh>
    <rPh sb="3" eb="5">
      <t>シリョウ</t>
    </rPh>
    <phoneticPr fontId="3"/>
  </si>
  <si>
    <t>災害減免も加算すること！</t>
    <rPh sb="0" eb="2">
      <t>サイガイ</t>
    </rPh>
    <rPh sb="2" eb="4">
      <t>ゲンメン</t>
    </rPh>
    <rPh sb="5" eb="7">
      <t>カサン</t>
    </rPh>
    <phoneticPr fontId="3"/>
  </si>
  <si>
    <t>実配賦額</t>
    <rPh sb="0" eb="1">
      <t>ジツ</t>
    </rPh>
    <rPh sb="1" eb="3">
      <t>ハイフ</t>
    </rPh>
    <rPh sb="3" eb="4">
      <t>ガク</t>
    </rPh>
    <phoneticPr fontId="3"/>
  </si>
  <si>
    <t>　下水道使用料</t>
  </si>
  <si>
    <t>　一般会計負担金</t>
    <rPh sb="1" eb="3">
      <t>イッパン</t>
    </rPh>
    <rPh sb="3" eb="5">
      <t>カイケイ</t>
    </rPh>
    <rPh sb="5" eb="8">
      <t>フタンキン</t>
    </rPh>
    <phoneticPr fontId="3"/>
  </si>
  <si>
    <t>　雨水処理負担金</t>
  </si>
  <si>
    <t>　　維持管理費分</t>
  </si>
  <si>
    <t>　　減価償却費分</t>
  </si>
  <si>
    <t>　　支払利息分</t>
  </si>
  <si>
    <t>　水質指導費負担金</t>
  </si>
  <si>
    <t>　普及促進費負担金</t>
  </si>
  <si>
    <t>　貸付事業費負担金</t>
  </si>
  <si>
    <t>　受託工事収益</t>
  </si>
  <si>
    <t>　業務受託収益</t>
  </si>
  <si>
    <t>　産物売却代金</t>
  </si>
  <si>
    <t>　手数料</t>
  </si>
  <si>
    <t>　　証明手数料</t>
  </si>
  <si>
    <t>　　指定業者登録等手数料</t>
  </si>
  <si>
    <t>　　その他手数料</t>
  </si>
  <si>
    <t>　預金利息</t>
  </si>
  <si>
    <t>　貸付金利息</t>
  </si>
  <si>
    <t>　有価証券利息</t>
  </si>
  <si>
    <t>　下水緊急整備国庫補助金</t>
  </si>
  <si>
    <t>　施設管理負担金</t>
  </si>
  <si>
    <t>　他会計負担金</t>
  </si>
  <si>
    <t>　不用品売却収益</t>
  </si>
  <si>
    <t>　その他雑収益</t>
  </si>
  <si>
    <t>　固定資産売却益</t>
  </si>
  <si>
    <t>　過年度損益修正益</t>
  </si>
  <si>
    <t>　その他特別利益</t>
  </si>
  <si>
    <t>　貸倒引当金戻入益</t>
  </si>
  <si>
    <t>　賞与引当金戻入益</t>
  </si>
  <si>
    <t>雑収益</t>
    <phoneticPr fontId="3"/>
  </si>
  <si>
    <t>　その他国庫補助金(災害)</t>
    <rPh sb="10" eb="12">
      <t>サイガイ</t>
    </rPh>
    <phoneticPr fontId="3"/>
  </si>
  <si>
    <t>　汚水処理補助金</t>
    <phoneticPr fontId="3"/>
  </si>
  <si>
    <t>　　下水道使用料減免分</t>
    <phoneticPr fontId="3"/>
  </si>
  <si>
    <t>営業外収益</t>
    <rPh sb="0" eb="2">
      <t>エイギョウ</t>
    </rPh>
    <rPh sb="2" eb="3">
      <t>ガイ</t>
    </rPh>
    <rPh sb="3" eb="5">
      <t>シュウエキ</t>
    </rPh>
    <phoneticPr fontId="3"/>
  </si>
  <si>
    <t>固定資産売却益</t>
    <phoneticPr fontId="3"/>
  </si>
  <si>
    <t>過年度損益修正益</t>
    <phoneticPr fontId="3"/>
  </si>
  <si>
    <t>その他特別利益</t>
    <phoneticPr fontId="3"/>
  </si>
  <si>
    <t>区域外赤字補塡額</t>
    <rPh sb="0" eb="2">
      <t>クイキ</t>
    </rPh>
    <rPh sb="2" eb="3">
      <t>ガイ</t>
    </rPh>
    <rPh sb="3" eb="5">
      <t>アカジ</t>
    </rPh>
    <rPh sb="5" eb="6">
      <t>ホ</t>
    </rPh>
    <rPh sb="6" eb="7">
      <t>テン</t>
    </rPh>
    <rPh sb="7" eb="8">
      <t>ガク</t>
    </rPh>
    <phoneticPr fontId="3"/>
  </si>
  <si>
    <t>消費税端数調整ランク</t>
    <rPh sb="0" eb="3">
      <t>ショウヒゼイ</t>
    </rPh>
    <rPh sb="3" eb="5">
      <t>ハスウ</t>
    </rPh>
    <rPh sb="5" eb="7">
      <t>チョウセイ</t>
    </rPh>
    <phoneticPr fontId="3"/>
  </si>
  <si>
    <t>課税支出に係る特定収入に係る消費税の調整</t>
    <rPh sb="0" eb="2">
      <t>カゼイ</t>
    </rPh>
    <rPh sb="2" eb="4">
      <t>シシュツ</t>
    </rPh>
    <rPh sb="5" eb="6">
      <t>カカ</t>
    </rPh>
    <rPh sb="7" eb="9">
      <t>トクテイ</t>
    </rPh>
    <rPh sb="9" eb="11">
      <t>シュウニュウ</t>
    </rPh>
    <rPh sb="12" eb="13">
      <t>カカ</t>
    </rPh>
    <rPh sb="14" eb="17">
      <t>ショウヒゼイ</t>
    </rPh>
    <rPh sb="18" eb="20">
      <t>チョウセイ</t>
    </rPh>
    <phoneticPr fontId="3"/>
  </si>
  <si>
    <t>3条税込み支出(消費税加算後）</t>
    <rPh sb="1" eb="2">
      <t>ジョウ</t>
    </rPh>
    <rPh sb="2" eb="3">
      <t>ゼイ</t>
    </rPh>
    <rPh sb="3" eb="4">
      <t>コ</t>
    </rPh>
    <rPh sb="5" eb="7">
      <t>シシュツ</t>
    </rPh>
    <rPh sb="8" eb="11">
      <t>ショウヒゼイ</t>
    </rPh>
    <rPh sb="11" eb="13">
      <t>カサン</t>
    </rPh>
    <rPh sb="13" eb="14">
      <t>ゴ</t>
    </rPh>
    <phoneticPr fontId="3"/>
  </si>
  <si>
    <t>チェック</t>
    <phoneticPr fontId="3"/>
  </si>
  <si>
    <t>←税込決算から算出した純利益</t>
    <rPh sb="1" eb="3">
      <t>ゼイコ</t>
    </rPh>
    <rPh sb="3" eb="5">
      <t>ケッサン</t>
    </rPh>
    <rPh sb="7" eb="9">
      <t>サンシュツ</t>
    </rPh>
    <rPh sb="11" eb="14">
      <t>ジュンリエキ</t>
    </rPh>
    <phoneticPr fontId="3"/>
  </si>
  <si>
    <t>非課税
売上げ</t>
    <rPh sb="0" eb="3">
      <t>ヒカゼイ</t>
    </rPh>
    <rPh sb="4" eb="6">
      <t>ウリアゲ</t>
    </rPh>
    <phoneticPr fontId="3"/>
  </si>
  <si>
    <t>免税
売上げ</t>
    <rPh sb="0" eb="2">
      <t>メンゼイ</t>
    </rPh>
    <rPh sb="3" eb="5">
      <t>ウリア</t>
    </rPh>
    <phoneticPr fontId="3"/>
  </si>
  <si>
    <t>　　公共</t>
    <rPh sb="2" eb="4">
      <t>コウキョウ</t>
    </rPh>
    <phoneticPr fontId="3"/>
  </si>
  <si>
    <t>　　特環</t>
    <rPh sb="2" eb="4">
      <t>トッカン</t>
    </rPh>
    <phoneticPr fontId="3"/>
  </si>
  <si>
    <t>　　農集</t>
    <rPh sb="2" eb="4">
      <t>ノウシュウ</t>
    </rPh>
    <phoneticPr fontId="3"/>
  </si>
  <si>
    <t>　　浄化槽</t>
    <rPh sb="2" eb="5">
      <t>ジョウカソウ</t>
    </rPh>
    <phoneticPr fontId="3"/>
  </si>
  <si>
    <t>3条税抜き支出（消費税雑支出加算後）</t>
    <rPh sb="1" eb="2">
      <t>ジョウ</t>
    </rPh>
    <rPh sb="2" eb="3">
      <t>ゼイ</t>
    </rPh>
    <rPh sb="3" eb="4">
      <t>ヌ</t>
    </rPh>
    <rPh sb="5" eb="7">
      <t>シシュツ</t>
    </rPh>
    <rPh sb="8" eb="11">
      <t>ショウヒゼイ</t>
    </rPh>
    <rPh sb="11" eb="12">
      <t>ザツ</t>
    </rPh>
    <rPh sb="12" eb="14">
      <t>シシュツ</t>
    </rPh>
    <rPh sb="14" eb="16">
      <t>カサン</t>
    </rPh>
    <rPh sb="16" eb="17">
      <t>ゴ</t>
    </rPh>
    <phoneticPr fontId="3"/>
  </si>
  <si>
    <t>純利益</t>
    <rPh sb="0" eb="3">
      <t>ジュンリエキ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</si>
</sst>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#,##0.0000000;[Red]\-#,##0.0000000"/>
    <numFmt numFmtId="177" formatCode="0_);[Red]\(0\)"/>
    <numFmt numFmtId="178" formatCode="General&quot; （軽）&quot;"/>
  </numFmts>
  <fonts count="18"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sz val="10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color rgb="FFFF0000"/>
      <name val="ＭＳ Ｐゴシック"/>
      <family val="3"/>
      <charset val="128"/>
    </font>
    <font>
      <sz val="11"/>
      <name val="ＭＳ Ｐ明朝"/>
      <family val="1"/>
      <charset val="128"/>
    </font>
    <font>
      <b/>
      <sz val="11"/>
      <name val="ＭＳ ゴシック"/>
      <family val="3"/>
      <charset val="128"/>
    </font>
    <font>
      <b/>
      <sz val="11"/>
      <color indexed="81"/>
      <name val="MS P ゴシック"/>
      <family val="3"/>
      <charset val="128"/>
    </font>
    <font>
      <b/>
      <sz val="9"/>
      <color indexed="10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</fills>
  <borders count="8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8" fillId="0" borderId="0" applyFont="0" applyFill="0" applyBorder="0" applyAlignment="0" applyProtection="0"/>
    <xf numFmtId="0" fontId="9" fillId="0" borderId="0"/>
    <xf numFmtId="0" fontId="2" fillId="0" borderId="0"/>
    <xf numFmtId="0" fontId="8" fillId="0" borderId="0"/>
    <xf numFmtId="0" fontId="9" fillId="0" borderId="0">
      <alignment vertical="center"/>
    </xf>
    <xf numFmtId="0" fontId="11" fillId="0" borderId="0"/>
    <xf numFmtId="38" fontId="11" fillId="0" borderId="0" applyFont="0" applyFill="0" applyBorder="0" applyAlignment="0" applyProtection="0">
      <alignment vertical="center"/>
    </xf>
    <xf numFmtId="0" fontId="13" fillId="0" borderId="0"/>
  </cellStyleXfs>
  <cellXfs count="280">
    <xf numFmtId="0" fontId="0" fillId="0" borderId="0" xfId="0"/>
    <xf numFmtId="0" fontId="0" fillId="0" borderId="0" xfId="0" applyFont="1" applyFill="1" applyAlignment="1">
      <alignment vertical="center"/>
    </xf>
    <xf numFmtId="0" fontId="0" fillId="0" borderId="41" xfId="0" applyFont="1" applyFill="1" applyBorder="1" applyAlignment="1">
      <alignment vertical="center"/>
    </xf>
    <xf numFmtId="38" fontId="0" fillId="0" borderId="38" xfId="3" applyFont="1" applyFill="1" applyBorder="1" applyAlignment="1">
      <alignment vertical="center"/>
    </xf>
    <xf numFmtId="0" fontId="0" fillId="0" borderId="38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right" vertical="center"/>
    </xf>
    <xf numFmtId="38" fontId="0" fillId="0" borderId="0" xfId="3" applyFont="1" applyFill="1" applyAlignment="1">
      <alignment vertical="center"/>
    </xf>
    <xf numFmtId="0" fontId="0" fillId="0" borderId="34" xfId="0" applyFont="1" applyFill="1" applyBorder="1" applyAlignment="1">
      <alignment horizontal="center" vertical="center"/>
    </xf>
    <xf numFmtId="177" fontId="0" fillId="0" borderId="15" xfId="1" applyNumberFormat="1" applyFont="1" applyFill="1" applyBorder="1" applyAlignment="1">
      <alignment horizontal="center" vertical="center"/>
    </xf>
    <xf numFmtId="177" fontId="0" fillId="0" borderId="17" xfId="1" applyNumberFormat="1" applyFont="1" applyFill="1" applyBorder="1" applyAlignment="1">
      <alignment horizontal="center" vertical="center"/>
    </xf>
    <xf numFmtId="177" fontId="0" fillId="0" borderId="29" xfId="1" applyNumberFormat="1" applyFont="1" applyFill="1" applyBorder="1" applyAlignment="1">
      <alignment horizontal="center" vertical="center"/>
    </xf>
    <xf numFmtId="177" fontId="0" fillId="0" borderId="12" xfId="1" applyNumberFormat="1" applyFont="1" applyFill="1" applyBorder="1" applyAlignment="1">
      <alignment horizontal="center" vertical="center"/>
    </xf>
    <xf numFmtId="177" fontId="0" fillId="0" borderId="2" xfId="1" applyNumberFormat="1" applyFont="1" applyFill="1" applyBorder="1" applyAlignment="1">
      <alignment horizontal="center" vertical="center"/>
    </xf>
    <xf numFmtId="38" fontId="0" fillId="0" borderId="2" xfId="3" applyFont="1" applyFill="1" applyBorder="1" applyAlignment="1">
      <alignment horizontal="center" vertical="center"/>
    </xf>
    <xf numFmtId="38" fontId="0" fillId="0" borderId="15" xfId="3" applyFont="1" applyFill="1" applyBorder="1" applyAlignment="1">
      <alignment horizontal="center" vertical="center"/>
    </xf>
    <xf numFmtId="38" fontId="0" fillId="0" borderId="17" xfId="3" applyFont="1" applyFill="1" applyBorder="1" applyAlignment="1">
      <alignment horizontal="center" vertical="center"/>
    </xf>
    <xf numFmtId="38" fontId="0" fillId="0" borderId="29" xfId="3" applyFont="1" applyFill="1" applyBorder="1" applyAlignment="1">
      <alignment horizontal="center" vertical="center"/>
    </xf>
    <xf numFmtId="38" fontId="0" fillId="0" borderId="18" xfId="3" applyFont="1" applyFill="1" applyBorder="1" applyAlignment="1">
      <alignment horizontal="center" vertical="center"/>
    </xf>
    <xf numFmtId="176" fontId="0" fillId="0" borderId="0" xfId="3" applyNumberFormat="1" applyFont="1" applyFill="1" applyAlignment="1">
      <alignment vertical="center"/>
    </xf>
    <xf numFmtId="0" fontId="0" fillId="0" borderId="22" xfId="0" applyFont="1" applyFill="1" applyBorder="1" applyAlignment="1">
      <alignment horizontal="center" vertical="center" shrinkToFit="1"/>
    </xf>
    <xf numFmtId="176" fontId="0" fillId="0" borderId="0" xfId="0" applyNumberFormat="1" applyFont="1" applyFill="1" applyAlignment="1">
      <alignment vertical="center"/>
    </xf>
    <xf numFmtId="38" fontId="0" fillId="0" borderId="0" xfId="0" applyNumberFormat="1" applyFont="1" applyFill="1" applyAlignment="1">
      <alignment vertical="center"/>
    </xf>
    <xf numFmtId="0" fontId="12" fillId="0" borderId="0" xfId="0" applyFont="1" applyFill="1" applyAlignment="1">
      <alignment vertical="center"/>
    </xf>
    <xf numFmtId="0" fontId="1" fillId="0" borderId="41" xfId="0" applyFont="1" applyFill="1" applyBorder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3" xfId="0" applyFont="1" applyFill="1" applyBorder="1" applyAlignment="1">
      <alignment vertical="center" shrinkToFit="1"/>
    </xf>
    <xf numFmtId="0" fontId="0" fillId="0" borderId="4" xfId="0" applyFont="1" applyFill="1" applyBorder="1" applyAlignment="1">
      <alignment horizontal="center" vertical="center" shrinkToFit="1"/>
    </xf>
    <xf numFmtId="0" fontId="0" fillId="0" borderId="7" xfId="0" applyFont="1" applyFill="1" applyBorder="1" applyAlignment="1">
      <alignment horizontal="right" vertical="center" shrinkToFit="1"/>
    </xf>
    <xf numFmtId="0" fontId="0" fillId="0" borderId="12" xfId="0" applyFont="1" applyFill="1" applyBorder="1" applyAlignment="1">
      <alignment vertical="center" shrinkToFit="1"/>
    </xf>
    <xf numFmtId="0" fontId="0" fillId="0" borderId="2" xfId="0" applyFont="1" applyFill="1" applyBorder="1" applyAlignment="1">
      <alignment horizontal="center" vertical="center" shrinkToFit="1"/>
    </xf>
    <xf numFmtId="0" fontId="0" fillId="0" borderId="9" xfId="0" applyFont="1" applyFill="1" applyBorder="1" applyAlignment="1">
      <alignment horizontal="right" vertical="center" shrinkToFit="1"/>
    </xf>
    <xf numFmtId="0" fontId="0" fillId="0" borderId="5" xfId="0" applyFont="1" applyFill="1" applyBorder="1" applyAlignment="1">
      <alignment vertical="center" shrinkToFit="1"/>
    </xf>
    <xf numFmtId="0" fontId="0" fillId="0" borderId="1" xfId="0" applyFont="1" applyFill="1" applyBorder="1" applyAlignment="1">
      <alignment horizontal="center" vertical="center" shrinkToFit="1"/>
    </xf>
    <xf numFmtId="0" fontId="0" fillId="0" borderId="51" xfId="0" applyFont="1" applyFill="1" applyBorder="1" applyAlignment="1">
      <alignment horizontal="right" vertical="center" shrinkToFit="1"/>
    </xf>
    <xf numFmtId="0" fontId="0" fillId="0" borderId="54" xfId="0" applyFont="1" applyFill="1" applyBorder="1" applyAlignment="1">
      <alignment horizontal="right" vertical="center" shrinkToFit="1"/>
    </xf>
    <xf numFmtId="0" fontId="0" fillId="0" borderId="8" xfId="0" applyFont="1" applyFill="1" applyBorder="1" applyAlignment="1">
      <alignment horizontal="right" vertical="center" shrinkToFit="1"/>
    </xf>
    <xf numFmtId="0" fontId="0" fillId="0" borderId="42" xfId="0" applyFont="1" applyFill="1" applyBorder="1" applyAlignment="1">
      <alignment vertical="center" shrinkToFit="1"/>
    </xf>
    <xf numFmtId="0" fontId="0" fillId="0" borderId="43" xfId="0" applyFont="1" applyFill="1" applyBorder="1" applyAlignment="1">
      <alignment horizontal="center" vertical="center" shrinkToFit="1"/>
    </xf>
    <xf numFmtId="0" fontId="0" fillId="0" borderId="44" xfId="0" applyFont="1" applyFill="1" applyBorder="1" applyAlignment="1">
      <alignment horizontal="right" vertical="center" shrinkToFit="1"/>
    </xf>
    <xf numFmtId="0" fontId="0" fillId="0" borderId="15" xfId="0" applyFont="1" applyFill="1" applyBorder="1" applyAlignment="1">
      <alignment vertical="center" shrinkToFit="1"/>
    </xf>
    <xf numFmtId="0" fontId="0" fillId="0" borderId="17" xfId="0" applyFont="1" applyFill="1" applyBorder="1" applyAlignment="1">
      <alignment horizontal="center" vertical="center" shrinkToFit="1"/>
    </xf>
    <xf numFmtId="0" fontId="0" fillId="0" borderId="29" xfId="0" applyFont="1" applyFill="1" applyBorder="1" applyAlignment="1">
      <alignment horizontal="right" vertical="center" shrinkToFit="1"/>
    </xf>
    <xf numFmtId="0" fontId="0" fillId="0" borderId="35" xfId="0" applyFont="1" applyFill="1" applyBorder="1" applyAlignment="1">
      <alignment vertical="center" shrinkToFit="1"/>
    </xf>
    <xf numFmtId="0" fontId="0" fillId="0" borderId="36" xfId="0" applyFont="1" applyFill="1" applyBorder="1" applyAlignment="1">
      <alignment horizontal="center" vertical="center" shrinkToFit="1"/>
    </xf>
    <xf numFmtId="0" fontId="0" fillId="0" borderId="37" xfId="0" applyFont="1" applyFill="1" applyBorder="1" applyAlignment="1">
      <alignment horizontal="right" vertical="center" shrinkToFit="1"/>
    </xf>
    <xf numFmtId="0" fontId="0" fillId="0" borderId="55" xfId="0" applyFont="1" applyFill="1" applyBorder="1" applyAlignment="1">
      <alignment vertical="center" shrinkToFit="1"/>
    </xf>
    <xf numFmtId="0" fontId="0" fillId="0" borderId="62" xfId="0" applyFont="1" applyFill="1" applyBorder="1" applyAlignment="1">
      <alignment vertical="center" shrinkToFit="1"/>
    </xf>
    <xf numFmtId="0" fontId="0" fillId="0" borderId="63" xfId="0" applyFont="1" applyFill="1" applyBorder="1" applyAlignment="1">
      <alignment horizontal="center" vertical="center" shrinkToFit="1"/>
    </xf>
    <xf numFmtId="0" fontId="0" fillId="0" borderId="64" xfId="0" applyFont="1" applyFill="1" applyBorder="1" applyAlignment="1">
      <alignment horizontal="right" vertical="center" shrinkToFit="1"/>
    </xf>
    <xf numFmtId="0" fontId="0" fillId="0" borderId="27" xfId="0" applyFont="1" applyFill="1" applyBorder="1" applyAlignment="1">
      <alignment horizontal="center" vertical="center" shrinkToFit="1"/>
    </xf>
    <xf numFmtId="38" fontId="0" fillId="0" borderId="0" xfId="0" applyNumberFormat="1" applyFont="1" applyFill="1" applyAlignment="1">
      <alignment horizontal="right" vertical="center"/>
    </xf>
    <xf numFmtId="0" fontId="0" fillId="0" borderId="47" xfId="0" applyFont="1" applyFill="1" applyBorder="1" applyAlignment="1">
      <alignment horizontal="centerContinuous" vertical="center"/>
    </xf>
    <xf numFmtId="0" fontId="0" fillId="0" borderId="81" xfId="0" applyFont="1" applyFill="1" applyBorder="1" applyAlignment="1">
      <alignment horizontal="centerContinuous" vertical="center"/>
    </xf>
    <xf numFmtId="38" fontId="1" fillId="0" borderId="0" xfId="3" applyFont="1" applyFill="1" applyBorder="1" applyAlignment="1">
      <alignment horizontal="left" vertical="center"/>
    </xf>
    <xf numFmtId="0" fontId="1" fillId="0" borderId="47" xfId="0" applyFont="1" applyFill="1" applyBorder="1" applyAlignment="1">
      <alignment horizontal="centerContinuous" vertical="center"/>
    </xf>
    <xf numFmtId="0" fontId="10" fillId="0" borderId="0" xfId="0" applyFont="1" applyFill="1" applyAlignment="1">
      <alignment vertical="center"/>
    </xf>
    <xf numFmtId="38" fontId="0" fillId="2" borderId="38" xfId="3" applyFont="1" applyFill="1" applyBorder="1" applyAlignment="1">
      <alignment vertical="center"/>
    </xf>
    <xf numFmtId="38" fontId="0" fillId="0" borderId="13" xfId="3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5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38" fontId="0" fillId="0" borderId="0" xfId="3" applyFont="1" applyFill="1" applyAlignment="1">
      <alignment horizontal="right" vertical="center"/>
    </xf>
    <xf numFmtId="0" fontId="0" fillId="0" borderId="32" xfId="0" applyFont="1" applyFill="1" applyBorder="1" applyAlignment="1">
      <alignment vertical="center" shrinkToFit="1"/>
    </xf>
    <xf numFmtId="0" fontId="0" fillId="0" borderId="33" xfId="0" applyFont="1" applyFill="1" applyBorder="1" applyAlignment="1">
      <alignment horizontal="center" vertical="center" shrinkToFit="1"/>
    </xf>
    <xf numFmtId="0" fontId="0" fillId="0" borderId="82" xfId="0" applyFont="1" applyFill="1" applyBorder="1" applyAlignment="1">
      <alignment horizontal="right" vertical="center" shrinkToFit="1"/>
    </xf>
    <xf numFmtId="0" fontId="0" fillId="0" borderId="0" xfId="0" applyFont="1" applyFill="1" applyBorder="1" applyAlignment="1">
      <alignment horizontal="center" vertical="center"/>
    </xf>
    <xf numFmtId="0" fontId="0" fillId="0" borderId="84" xfId="0" applyFont="1" applyFill="1" applyBorder="1" applyAlignment="1">
      <alignment horizontal="centerContinuous" vertical="center"/>
    </xf>
    <xf numFmtId="0" fontId="1" fillId="0" borderId="84" xfId="0" applyFont="1" applyFill="1" applyBorder="1" applyAlignment="1">
      <alignment horizontal="centerContinuous" vertical="center"/>
    </xf>
    <xf numFmtId="178" fontId="0" fillId="7" borderId="9" xfId="1" applyNumberFormat="1" applyFont="1" applyFill="1" applyBorder="1" applyAlignment="1">
      <alignment horizontal="center" vertical="center" shrinkToFit="1"/>
    </xf>
    <xf numFmtId="178" fontId="0" fillId="7" borderId="0" xfId="1" applyNumberFormat="1" applyFont="1" applyFill="1" applyBorder="1" applyAlignment="1">
      <alignment horizontal="center" vertical="center" shrinkToFit="1"/>
    </xf>
    <xf numFmtId="38" fontId="6" fillId="0" borderId="10" xfId="3" applyFont="1" applyFill="1" applyBorder="1" applyAlignment="1">
      <alignment shrinkToFit="1"/>
    </xf>
    <xf numFmtId="38" fontId="0" fillId="0" borderId="10" xfId="3" applyFont="1" applyFill="1" applyBorder="1" applyAlignment="1">
      <alignment vertical="center" shrinkToFit="1"/>
    </xf>
    <xf numFmtId="38" fontId="0" fillId="0" borderId="3" xfId="3" applyFont="1" applyFill="1" applyBorder="1" applyAlignment="1">
      <alignment vertical="center" shrinkToFit="1"/>
    </xf>
    <xf numFmtId="38" fontId="0" fillId="0" borderId="4" xfId="3" applyFont="1" applyFill="1" applyBorder="1" applyAlignment="1">
      <alignment vertical="center" shrinkToFit="1"/>
    </xf>
    <xf numFmtId="38" fontId="0" fillId="0" borderId="7" xfId="3" applyFont="1" applyFill="1" applyBorder="1" applyAlignment="1">
      <alignment vertical="center" shrinkToFit="1"/>
    </xf>
    <xf numFmtId="38" fontId="0" fillId="0" borderId="14" xfId="3" applyFont="1" applyFill="1" applyBorder="1" applyAlignment="1">
      <alignment vertical="center" shrinkToFit="1"/>
    </xf>
    <xf numFmtId="38" fontId="0" fillId="0" borderId="32" xfId="3" applyFont="1" applyFill="1" applyBorder="1" applyAlignment="1">
      <alignment vertical="center" shrinkToFit="1"/>
    </xf>
    <xf numFmtId="38" fontId="0" fillId="0" borderId="33" xfId="3" applyFont="1" applyFill="1" applyBorder="1" applyAlignment="1">
      <alignment vertical="center" shrinkToFit="1"/>
    </xf>
    <xf numFmtId="38" fontId="0" fillId="0" borderId="34" xfId="3" applyFont="1" applyFill="1" applyBorder="1" applyAlignment="1">
      <alignment vertical="center" shrinkToFit="1"/>
    </xf>
    <xf numFmtId="38" fontId="0" fillId="0" borderId="57" xfId="0" applyNumberFormat="1" applyFont="1" applyFill="1" applyBorder="1" applyAlignment="1">
      <alignment vertical="center" shrinkToFit="1"/>
    </xf>
    <xf numFmtId="38" fontId="0" fillId="0" borderId="4" xfId="0" applyNumberFormat="1" applyFont="1" applyFill="1" applyBorder="1" applyAlignment="1">
      <alignment vertical="center" shrinkToFit="1"/>
    </xf>
    <xf numFmtId="38" fontId="0" fillId="0" borderId="69" xfId="3" applyFont="1" applyFill="1" applyBorder="1" applyAlignment="1">
      <alignment vertical="center" shrinkToFit="1"/>
    </xf>
    <xf numFmtId="38" fontId="0" fillId="0" borderId="10" xfId="0" applyNumberFormat="1" applyFont="1" applyFill="1" applyBorder="1" applyAlignment="1">
      <alignment vertical="center" shrinkToFit="1"/>
    </xf>
    <xf numFmtId="40" fontId="0" fillId="0" borderId="0" xfId="3" applyNumberFormat="1" applyFont="1" applyAlignment="1">
      <alignment vertical="center" shrinkToFit="1"/>
    </xf>
    <xf numFmtId="38" fontId="0" fillId="0" borderId="0" xfId="3" applyNumberFormat="1" applyFont="1" applyAlignment="1">
      <alignment vertical="center" shrinkToFit="1"/>
    </xf>
    <xf numFmtId="0" fontId="0" fillId="0" borderId="0" xfId="0" applyAlignment="1">
      <alignment vertical="center" shrinkToFit="1"/>
    </xf>
    <xf numFmtId="0" fontId="0" fillId="0" borderId="0" xfId="0" applyFont="1" applyFill="1" applyAlignment="1">
      <alignment vertical="center" shrinkToFit="1"/>
    </xf>
    <xf numFmtId="38" fontId="6" fillId="0" borderId="52" xfId="3" applyFont="1" applyFill="1" applyBorder="1" applyAlignment="1">
      <alignment shrinkToFit="1"/>
    </xf>
    <xf numFmtId="38" fontId="0" fillId="5" borderId="52" xfId="3" applyFont="1" applyFill="1" applyBorder="1" applyAlignment="1">
      <alignment vertical="center" shrinkToFit="1"/>
    </xf>
    <xf numFmtId="38" fontId="0" fillId="5" borderId="12" xfId="3" applyFont="1" applyFill="1" applyBorder="1" applyAlignment="1">
      <alignment vertical="center" shrinkToFit="1"/>
    </xf>
    <xf numFmtId="38" fontId="0" fillId="5" borderId="2" xfId="3" applyFont="1" applyFill="1" applyBorder="1" applyAlignment="1">
      <alignment vertical="center" shrinkToFit="1"/>
    </xf>
    <xf numFmtId="38" fontId="0" fillId="5" borderId="9" xfId="3" applyFont="1" applyFill="1" applyBorder="1" applyAlignment="1">
      <alignment vertical="center" shrinkToFit="1"/>
    </xf>
    <xf numFmtId="38" fontId="0" fillId="0" borderId="13" xfId="3" applyFont="1" applyFill="1" applyBorder="1" applyAlignment="1">
      <alignment vertical="center" shrinkToFit="1"/>
    </xf>
    <xf numFmtId="38" fontId="0" fillId="8" borderId="52" xfId="3" applyFont="1" applyFill="1" applyBorder="1" applyAlignment="1">
      <alignment vertical="center" shrinkToFit="1"/>
    </xf>
    <xf numFmtId="38" fontId="0" fillId="0" borderId="12" xfId="3" applyFont="1" applyFill="1" applyBorder="1" applyAlignment="1">
      <alignment vertical="center" shrinkToFit="1"/>
    </xf>
    <xf numFmtId="38" fontId="0" fillId="0" borderId="2" xfId="3" applyFont="1" applyFill="1" applyBorder="1" applyAlignment="1">
      <alignment vertical="center" shrinkToFit="1"/>
    </xf>
    <xf numFmtId="38" fontId="0" fillId="5" borderId="13" xfId="3" applyFont="1" applyFill="1" applyBorder="1" applyAlignment="1">
      <alignment vertical="center" shrinkToFit="1"/>
    </xf>
    <xf numFmtId="38" fontId="0" fillId="0" borderId="9" xfId="3" applyFont="1" applyFill="1" applyBorder="1" applyAlignment="1">
      <alignment vertical="center" shrinkToFit="1"/>
    </xf>
    <xf numFmtId="38" fontId="0" fillId="0" borderId="56" xfId="0" applyNumberFormat="1" applyFont="1" applyFill="1" applyBorder="1" applyAlignment="1">
      <alignment vertical="center" shrinkToFit="1"/>
    </xf>
    <xf numFmtId="38" fontId="0" fillId="0" borderId="2" xfId="0" applyNumberFormat="1" applyFont="1" applyFill="1" applyBorder="1" applyAlignment="1">
      <alignment vertical="center" shrinkToFit="1"/>
    </xf>
    <xf numFmtId="38" fontId="0" fillId="0" borderId="70" xfId="3" applyFont="1" applyFill="1" applyBorder="1" applyAlignment="1">
      <alignment vertical="center" shrinkToFit="1"/>
    </xf>
    <xf numFmtId="38" fontId="0" fillId="0" borderId="52" xfId="0" applyNumberFormat="1" applyFont="1" applyFill="1" applyBorder="1" applyAlignment="1">
      <alignment vertical="center" shrinkToFit="1"/>
    </xf>
    <xf numFmtId="40" fontId="0" fillId="0" borderId="0" xfId="3" applyNumberFormat="1" applyFont="1" applyFill="1" applyAlignment="1">
      <alignment vertical="center" shrinkToFit="1"/>
    </xf>
    <xf numFmtId="38" fontId="6" fillId="0" borderId="11" xfId="3" applyFont="1" applyFill="1" applyBorder="1" applyAlignment="1">
      <alignment shrinkToFit="1"/>
    </xf>
    <xf numFmtId="38" fontId="0" fillId="0" borderId="11" xfId="3" applyFont="1" applyFill="1" applyBorder="1" applyAlignment="1">
      <alignment vertical="center" shrinkToFit="1"/>
    </xf>
    <xf numFmtId="38" fontId="0" fillId="0" borderId="5" xfId="3" applyFont="1" applyFill="1" applyBorder="1" applyAlignment="1">
      <alignment vertical="center" shrinkToFit="1"/>
    </xf>
    <xf numFmtId="38" fontId="0" fillId="0" borderId="1" xfId="3" applyFont="1" applyFill="1" applyBorder="1" applyAlignment="1">
      <alignment vertical="center" shrinkToFit="1"/>
    </xf>
    <xf numFmtId="38" fontId="0" fillId="0" borderId="8" xfId="3" applyFont="1" applyFill="1" applyBorder="1" applyAlignment="1">
      <alignment vertical="center" shrinkToFit="1"/>
    </xf>
    <xf numFmtId="38" fontId="0" fillId="0" borderId="6" xfId="3" applyFont="1" applyFill="1" applyBorder="1" applyAlignment="1">
      <alignment vertical="center" shrinkToFit="1"/>
    </xf>
    <xf numFmtId="38" fontId="0" fillId="0" borderId="46" xfId="0" applyNumberFormat="1" applyFont="1" applyFill="1" applyBorder="1" applyAlignment="1">
      <alignment vertical="center" shrinkToFit="1"/>
    </xf>
    <xf numFmtId="38" fontId="0" fillId="0" borderId="1" xfId="0" applyNumberFormat="1" applyFont="1" applyFill="1" applyBorder="1" applyAlignment="1">
      <alignment vertical="center" shrinkToFit="1"/>
    </xf>
    <xf numFmtId="38" fontId="0" fillId="0" borderId="71" xfId="3" applyFont="1" applyFill="1" applyBorder="1" applyAlignment="1">
      <alignment vertical="center" shrinkToFit="1"/>
    </xf>
    <xf numFmtId="38" fontId="0" fillId="0" borderId="11" xfId="0" applyNumberFormat="1" applyFont="1" applyFill="1" applyBorder="1" applyAlignment="1">
      <alignment vertical="center" shrinkToFit="1"/>
    </xf>
    <xf numFmtId="38" fontId="0" fillId="3" borderId="11" xfId="3" applyFont="1" applyFill="1" applyBorder="1" applyAlignment="1">
      <alignment vertical="center" shrinkToFit="1"/>
    </xf>
    <xf numFmtId="38" fontId="0" fillId="4" borderId="1" xfId="3" applyFont="1" applyFill="1" applyBorder="1" applyAlignment="1">
      <alignment vertical="center" shrinkToFit="1"/>
    </xf>
    <xf numFmtId="38" fontId="0" fillId="0" borderId="5" xfId="0" applyNumberFormat="1" applyFont="1" applyFill="1" applyBorder="1" applyAlignment="1">
      <alignment vertical="center" shrinkToFit="1"/>
    </xf>
    <xf numFmtId="38" fontId="0" fillId="3" borderId="52" xfId="3" applyFont="1" applyFill="1" applyBorder="1" applyAlignment="1">
      <alignment vertical="center" shrinkToFit="1"/>
    </xf>
    <xf numFmtId="38" fontId="0" fillId="0" borderId="52" xfId="3" applyFont="1" applyFill="1" applyBorder="1" applyAlignment="1">
      <alignment vertical="center" shrinkToFit="1"/>
    </xf>
    <xf numFmtId="38" fontId="0" fillId="4" borderId="2" xfId="3" applyFont="1" applyFill="1" applyBorder="1" applyAlignment="1">
      <alignment vertical="center" shrinkToFit="1"/>
    </xf>
    <xf numFmtId="38" fontId="0" fillId="5" borderId="11" xfId="3" applyFont="1" applyFill="1" applyBorder="1" applyAlignment="1">
      <alignment vertical="center" shrinkToFit="1"/>
    </xf>
    <xf numFmtId="38" fontId="0" fillId="5" borderId="5" xfId="3" applyFont="1" applyFill="1" applyBorder="1" applyAlignment="1">
      <alignment vertical="center" shrinkToFit="1"/>
    </xf>
    <xf numFmtId="38" fontId="0" fillId="5" borderId="1" xfId="3" applyFont="1" applyFill="1" applyBorder="1" applyAlignment="1">
      <alignment vertical="center" shrinkToFit="1"/>
    </xf>
    <xf numFmtId="38" fontId="0" fillId="5" borderId="8" xfId="3" applyFont="1" applyFill="1" applyBorder="1" applyAlignment="1">
      <alignment vertical="center" shrinkToFit="1"/>
    </xf>
    <xf numFmtId="38" fontId="0" fillId="5" borderId="6" xfId="3" applyFont="1" applyFill="1" applyBorder="1" applyAlignment="1">
      <alignment vertical="center" shrinkToFit="1"/>
    </xf>
    <xf numFmtId="38" fontId="14" fillId="0" borderId="40" xfId="3" applyFont="1" applyFill="1" applyBorder="1" applyAlignment="1">
      <alignment shrinkToFit="1"/>
    </xf>
    <xf numFmtId="38" fontId="2" fillId="0" borderId="40" xfId="3" applyFont="1" applyFill="1" applyBorder="1" applyAlignment="1">
      <alignment vertical="center" shrinkToFit="1"/>
    </xf>
    <xf numFmtId="38" fontId="2" fillId="0" borderId="42" xfId="3" applyFont="1" applyFill="1" applyBorder="1" applyAlignment="1">
      <alignment vertical="center" shrinkToFit="1"/>
    </xf>
    <xf numFmtId="38" fontId="2" fillId="0" borderId="43" xfId="3" applyFont="1" applyFill="1" applyBorder="1" applyAlignment="1">
      <alignment vertical="center" shrinkToFit="1"/>
    </xf>
    <xf numFmtId="38" fontId="2" fillId="0" borderId="44" xfId="3" applyFont="1" applyFill="1" applyBorder="1" applyAlignment="1">
      <alignment vertical="center" shrinkToFit="1"/>
    </xf>
    <xf numFmtId="38" fontId="2" fillId="0" borderId="53" xfId="3" applyFont="1" applyFill="1" applyBorder="1" applyAlignment="1">
      <alignment vertical="center" shrinkToFit="1"/>
    </xf>
    <xf numFmtId="38" fontId="0" fillId="0" borderId="45" xfId="0" applyNumberFormat="1" applyFont="1" applyFill="1" applyBorder="1" applyAlignment="1">
      <alignment vertical="center" shrinkToFit="1"/>
    </xf>
    <xf numFmtId="38" fontId="0" fillId="0" borderId="43" xfId="0" applyNumberFormat="1" applyFont="1" applyFill="1" applyBorder="1" applyAlignment="1">
      <alignment vertical="center" shrinkToFit="1"/>
    </xf>
    <xf numFmtId="38" fontId="2" fillId="0" borderId="72" xfId="3" applyFont="1" applyFill="1" applyBorder="1" applyAlignment="1">
      <alignment vertical="center" shrinkToFit="1"/>
    </xf>
    <xf numFmtId="38" fontId="0" fillId="0" borderId="40" xfId="0" applyNumberFormat="1" applyFont="1" applyFill="1" applyBorder="1" applyAlignment="1">
      <alignment vertical="center" shrinkToFit="1"/>
    </xf>
    <xf numFmtId="40" fontId="2" fillId="0" borderId="0" xfId="3" applyNumberFormat="1" applyFont="1" applyFill="1" applyAlignment="1">
      <alignment vertical="center" shrinkToFit="1"/>
    </xf>
    <xf numFmtId="38" fontId="0" fillId="0" borderId="73" xfId="3" applyFont="1" applyFill="1" applyBorder="1" applyAlignment="1">
      <alignment vertical="center" shrinkToFit="1"/>
    </xf>
    <xf numFmtId="38" fontId="6" fillId="0" borderId="11" xfId="3" quotePrefix="1" applyFont="1" applyFill="1" applyBorder="1" applyAlignment="1">
      <alignment horizontal="left" shrinkToFit="1"/>
    </xf>
    <xf numFmtId="38" fontId="6" fillId="0" borderId="16" xfId="3" applyFont="1" applyFill="1" applyBorder="1" applyAlignment="1">
      <alignment shrinkToFit="1"/>
    </xf>
    <xf numFmtId="38" fontId="0" fillId="0" borderId="16" xfId="3" applyFont="1" applyFill="1" applyBorder="1" applyAlignment="1">
      <alignment vertical="center" shrinkToFit="1"/>
    </xf>
    <xf numFmtId="38" fontId="0" fillId="0" borderId="15" xfId="3" applyFont="1" applyFill="1" applyBorder="1" applyAlignment="1">
      <alignment vertical="center" shrinkToFit="1"/>
    </xf>
    <xf numFmtId="38" fontId="0" fillId="0" borderId="17" xfId="3" applyFont="1" applyFill="1" applyBorder="1" applyAlignment="1">
      <alignment vertical="center" shrinkToFit="1"/>
    </xf>
    <xf numFmtId="38" fontId="0" fillId="0" borderId="29" xfId="3" applyFont="1" applyFill="1" applyBorder="1" applyAlignment="1">
      <alignment vertical="center" shrinkToFit="1"/>
    </xf>
    <xf numFmtId="38" fontId="0" fillId="0" borderId="18" xfId="3" applyFont="1" applyFill="1" applyBorder="1" applyAlignment="1">
      <alignment vertical="center" shrinkToFit="1"/>
    </xf>
    <xf numFmtId="38" fontId="0" fillId="0" borderId="58" xfId="0" applyNumberFormat="1" applyFont="1" applyFill="1" applyBorder="1" applyAlignment="1">
      <alignment vertical="center" shrinkToFit="1"/>
    </xf>
    <xf numFmtId="38" fontId="0" fillId="0" borderId="17" xfId="0" applyNumberFormat="1" applyFont="1" applyFill="1" applyBorder="1" applyAlignment="1">
      <alignment vertical="center" shrinkToFit="1"/>
    </xf>
    <xf numFmtId="38" fontId="0" fillId="0" borderId="74" xfId="3" applyFont="1" applyFill="1" applyBorder="1" applyAlignment="1">
      <alignment vertical="center" shrinkToFit="1"/>
    </xf>
    <xf numFmtId="38" fontId="0" fillId="0" borderId="16" xfId="0" applyNumberFormat="1" applyFont="1" applyFill="1" applyBorder="1" applyAlignment="1">
      <alignment vertical="center" shrinkToFit="1"/>
    </xf>
    <xf numFmtId="38" fontId="0" fillId="0" borderId="0" xfId="3" applyNumberFormat="1" applyFont="1" applyFill="1" applyAlignment="1">
      <alignment vertical="center" shrinkToFit="1"/>
    </xf>
    <xf numFmtId="0" fontId="0" fillId="0" borderId="0" xfId="0" applyFill="1" applyAlignment="1">
      <alignment vertical="center" shrinkToFit="1"/>
    </xf>
    <xf numFmtId="38" fontId="6" fillId="0" borderId="83" xfId="3" applyFont="1" applyFill="1" applyBorder="1" applyAlignment="1">
      <alignment shrinkToFit="1"/>
    </xf>
    <xf numFmtId="38" fontId="0" fillId="0" borderId="83" xfId="3" applyFont="1" applyFill="1" applyBorder="1" applyAlignment="1">
      <alignment vertical="center" shrinkToFit="1"/>
    </xf>
    <xf numFmtId="38" fontId="0" fillId="0" borderId="82" xfId="3" applyFont="1" applyFill="1" applyBorder="1" applyAlignment="1">
      <alignment vertical="center" shrinkToFit="1"/>
    </xf>
    <xf numFmtId="38" fontId="0" fillId="0" borderId="48" xfId="0" applyNumberFormat="1" applyFont="1" applyFill="1" applyBorder="1" applyAlignment="1">
      <alignment vertical="center" shrinkToFit="1"/>
    </xf>
    <xf numFmtId="38" fontId="0" fillId="0" borderId="33" xfId="0" applyNumberFormat="1" applyFont="1" applyFill="1" applyBorder="1" applyAlignment="1">
      <alignment vertical="center" shrinkToFit="1"/>
    </xf>
    <xf numFmtId="38" fontId="0" fillId="0" borderId="83" xfId="0" applyNumberFormat="1" applyFont="1" applyFill="1" applyBorder="1" applyAlignment="1">
      <alignment vertical="center" shrinkToFit="1"/>
    </xf>
    <xf numFmtId="38" fontId="0" fillId="0" borderId="20" xfId="3" applyFont="1" applyFill="1" applyBorder="1" applyAlignment="1">
      <alignment vertical="center" shrinkToFit="1"/>
    </xf>
    <xf numFmtId="38" fontId="0" fillId="4" borderId="20" xfId="3" applyFont="1" applyFill="1" applyBorder="1" applyAlignment="1">
      <alignment shrinkToFit="1"/>
    </xf>
    <xf numFmtId="38" fontId="0" fillId="0" borderId="78" xfId="3" applyFont="1" applyFill="1" applyBorder="1" applyAlignment="1">
      <alignment vertical="center" shrinkToFit="1"/>
    </xf>
    <xf numFmtId="38" fontId="0" fillId="2" borderId="6" xfId="3" applyFont="1" applyFill="1" applyBorder="1" applyAlignment="1">
      <alignment vertical="center" shrinkToFit="1"/>
    </xf>
    <xf numFmtId="38" fontId="0" fillId="5" borderId="10" xfId="3" applyFont="1" applyFill="1" applyBorder="1" applyAlignment="1">
      <alignment vertical="center" shrinkToFit="1"/>
    </xf>
    <xf numFmtId="38" fontId="0" fillId="5" borderId="3" xfId="3" applyFont="1" applyFill="1" applyBorder="1" applyAlignment="1">
      <alignment vertical="center" shrinkToFit="1"/>
    </xf>
    <xf numFmtId="38" fontId="0" fillId="5" borderId="4" xfId="3" applyFont="1" applyFill="1" applyBorder="1" applyAlignment="1">
      <alignment vertical="center" shrinkToFit="1"/>
    </xf>
    <xf numFmtId="38" fontId="0" fillId="5" borderId="7" xfId="3" applyFont="1" applyFill="1" applyBorder="1" applyAlignment="1">
      <alignment vertical="center" shrinkToFit="1"/>
    </xf>
    <xf numFmtId="38" fontId="0" fillId="5" borderId="14" xfId="3" applyFont="1" applyFill="1" applyBorder="1" applyAlignment="1">
      <alignment vertical="center" shrinkToFit="1"/>
    </xf>
    <xf numFmtId="38" fontId="0" fillId="5" borderId="16" xfId="3" applyFont="1" applyFill="1" applyBorder="1" applyAlignment="1">
      <alignment vertical="center" shrinkToFit="1"/>
    </xf>
    <xf numFmtId="38" fontId="0" fillId="5" borderId="15" xfId="3" applyFont="1" applyFill="1" applyBorder="1" applyAlignment="1">
      <alignment vertical="center" shrinkToFit="1"/>
    </xf>
    <xf numFmtId="38" fontId="0" fillId="5" borderId="17" xfId="3" applyFont="1" applyFill="1" applyBorder="1" applyAlignment="1">
      <alignment vertical="center" shrinkToFit="1"/>
    </xf>
    <xf numFmtId="38" fontId="0" fillId="5" borderId="29" xfId="3" applyFont="1" applyFill="1" applyBorder="1" applyAlignment="1">
      <alignment vertical="center" shrinkToFit="1"/>
    </xf>
    <xf numFmtId="38" fontId="0" fillId="4" borderId="17" xfId="3" applyFont="1" applyFill="1" applyBorder="1" applyAlignment="1">
      <alignment vertical="center" shrinkToFit="1"/>
    </xf>
    <xf numFmtId="38" fontId="0" fillId="5" borderId="18" xfId="3" applyFont="1" applyFill="1" applyBorder="1" applyAlignment="1">
      <alignment vertical="center" shrinkToFit="1"/>
    </xf>
    <xf numFmtId="38" fontId="0" fillId="6" borderId="17" xfId="0" applyNumberFormat="1" applyFont="1" applyFill="1" applyBorder="1" applyAlignment="1">
      <alignment vertical="center" shrinkToFit="1"/>
    </xf>
    <xf numFmtId="38" fontId="0" fillId="3" borderId="52" xfId="0" applyNumberFormat="1" applyFont="1" applyFill="1" applyBorder="1" applyAlignment="1">
      <alignment vertical="center" shrinkToFit="1"/>
    </xf>
    <xf numFmtId="38" fontId="14" fillId="0" borderId="38" xfId="3" applyFont="1" applyFill="1" applyBorder="1" applyAlignment="1">
      <alignment shrinkToFit="1"/>
    </xf>
    <xf numFmtId="38" fontId="0" fillId="0" borderId="38" xfId="3" applyFont="1" applyFill="1" applyBorder="1" applyAlignment="1">
      <alignment vertical="center" shrinkToFit="1"/>
    </xf>
    <xf numFmtId="38" fontId="0" fillId="0" borderId="35" xfId="3" applyFont="1" applyFill="1" applyBorder="1" applyAlignment="1">
      <alignment vertical="center" shrinkToFit="1"/>
    </xf>
    <xf numFmtId="38" fontId="0" fillId="0" borderId="36" xfId="3" applyFont="1" applyFill="1" applyBorder="1" applyAlignment="1">
      <alignment vertical="center" shrinkToFit="1"/>
    </xf>
    <xf numFmtId="38" fontId="0" fillId="0" borderId="37" xfId="3" applyFont="1" applyFill="1" applyBorder="1" applyAlignment="1">
      <alignment vertical="center" shrinkToFit="1"/>
    </xf>
    <xf numFmtId="38" fontId="0" fillId="0" borderId="39" xfId="3" applyFont="1" applyFill="1" applyBorder="1" applyAlignment="1">
      <alignment vertical="center" shrinkToFit="1"/>
    </xf>
    <xf numFmtId="38" fontId="0" fillId="0" borderId="47" xfId="0" applyNumberFormat="1" applyFont="1" applyFill="1" applyBorder="1" applyAlignment="1">
      <alignment vertical="center" shrinkToFit="1"/>
    </xf>
    <xf numFmtId="38" fontId="0" fillId="0" borderId="36" xfId="0" applyNumberFormat="1" applyFont="1" applyFill="1" applyBorder="1" applyAlignment="1">
      <alignment vertical="center" shrinkToFit="1"/>
    </xf>
    <xf numFmtId="38" fontId="0" fillId="0" borderId="75" xfId="3" applyFont="1" applyFill="1" applyBorder="1" applyAlignment="1">
      <alignment vertical="center" shrinkToFit="1"/>
    </xf>
    <xf numFmtId="38" fontId="0" fillId="0" borderId="38" xfId="0" applyNumberFormat="1" applyFont="1" applyFill="1" applyBorder="1" applyAlignment="1">
      <alignment vertical="center" shrinkToFit="1"/>
    </xf>
    <xf numFmtId="38" fontId="0" fillId="6" borderId="1" xfId="0" applyNumberFormat="1" applyFont="1" applyFill="1" applyBorder="1" applyAlignment="1">
      <alignment vertical="center" shrinkToFit="1"/>
    </xf>
    <xf numFmtId="38" fontId="14" fillId="0" borderId="65" xfId="3" applyFont="1" applyFill="1" applyBorder="1" applyAlignment="1">
      <alignment shrinkToFit="1"/>
    </xf>
    <xf numFmtId="38" fontId="0" fillId="0" borderId="65" xfId="3" applyFont="1" applyFill="1" applyBorder="1" applyAlignment="1">
      <alignment vertical="center" shrinkToFit="1"/>
    </xf>
    <xf numFmtId="38" fontId="0" fillId="0" borderId="62" xfId="3" applyFont="1" applyFill="1" applyBorder="1" applyAlignment="1">
      <alignment vertical="center" shrinkToFit="1"/>
    </xf>
    <xf numFmtId="38" fontId="0" fillId="0" borderId="63" xfId="3" applyFont="1" applyFill="1" applyBorder="1" applyAlignment="1">
      <alignment vertical="center" shrinkToFit="1"/>
    </xf>
    <xf numFmtId="38" fontId="0" fillId="0" borderId="64" xfId="3" applyFont="1" applyFill="1" applyBorder="1" applyAlignment="1">
      <alignment vertical="center" shrinkToFit="1"/>
    </xf>
    <xf numFmtId="38" fontId="0" fillId="0" borderId="66" xfId="3" applyFont="1" applyFill="1" applyBorder="1" applyAlignment="1">
      <alignment vertical="center" shrinkToFit="1"/>
    </xf>
    <xf numFmtId="38" fontId="0" fillId="0" borderId="67" xfId="0" applyNumberFormat="1" applyFont="1" applyFill="1" applyBorder="1" applyAlignment="1">
      <alignment vertical="center" shrinkToFit="1"/>
    </xf>
    <xf numFmtId="38" fontId="0" fillId="0" borderId="63" xfId="0" applyNumberFormat="1" applyFont="1" applyFill="1" applyBorder="1" applyAlignment="1">
      <alignment vertical="center" shrinkToFit="1"/>
    </xf>
    <xf numFmtId="38" fontId="0" fillId="0" borderId="76" xfId="3" applyFont="1" applyFill="1" applyBorder="1" applyAlignment="1">
      <alignment vertical="center" shrinkToFit="1"/>
    </xf>
    <xf numFmtId="38" fontId="0" fillId="0" borderId="65" xfId="0" applyNumberFormat="1" applyFont="1" applyFill="1" applyBorder="1" applyAlignment="1">
      <alignment vertical="center" shrinkToFit="1"/>
    </xf>
    <xf numFmtId="0" fontId="0" fillId="0" borderId="24" xfId="0" applyFont="1" applyFill="1" applyBorder="1" applyAlignment="1">
      <alignment vertical="center" shrinkToFit="1"/>
    </xf>
    <xf numFmtId="0" fontId="0" fillId="0" borderId="25" xfId="0" applyFont="1" applyFill="1" applyBorder="1" applyAlignment="1">
      <alignment vertical="center" shrinkToFit="1"/>
    </xf>
    <xf numFmtId="0" fontId="0" fillId="0" borderId="26" xfId="0" applyFont="1" applyFill="1" applyBorder="1" applyAlignment="1">
      <alignment horizontal="right" vertical="center" shrinkToFit="1"/>
    </xf>
    <xf numFmtId="38" fontId="0" fillId="0" borderId="27" xfId="0" applyNumberFormat="1" applyFont="1" applyFill="1" applyBorder="1" applyAlignment="1">
      <alignment vertical="center" shrinkToFit="1"/>
    </xf>
    <xf numFmtId="38" fontId="0" fillId="0" borderId="24" xfId="0" applyNumberFormat="1" applyFont="1" applyFill="1" applyBorder="1" applyAlignment="1">
      <alignment vertical="center" shrinkToFit="1"/>
    </xf>
    <xf numFmtId="38" fontId="0" fillId="0" borderId="25" xfId="0" applyNumberFormat="1" applyFont="1" applyFill="1" applyBorder="1" applyAlignment="1">
      <alignment vertical="center" shrinkToFit="1"/>
    </xf>
    <xf numFmtId="38" fontId="0" fillId="0" borderId="26" xfId="0" applyNumberFormat="1" applyFont="1" applyFill="1" applyBorder="1" applyAlignment="1">
      <alignment vertical="center" shrinkToFit="1"/>
    </xf>
    <xf numFmtId="38" fontId="0" fillId="0" borderId="28" xfId="3" applyFont="1" applyFill="1" applyBorder="1" applyAlignment="1">
      <alignment vertical="center" shrinkToFit="1"/>
    </xf>
    <xf numFmtId="38" fontId="0" fillId="0" borderId="28" xfId="0" applyNumberFormat="1" applyFont="1" applyFill="1" applyBorder="1" applyAlignment="1">
      <alignment vertical="center" shrinkToFit="1"/>
    </xf>
    <xf numFmtId="38" fontId="0" fillId="0" borderId="24" xfId="3" applyFont="1" applyFill="1" applyBorder="1" applyAlignment="1">
      <alignment vertical="center" shrinkToFit="1"/>
    </xf>
    <xf numFmtId="38" fontId="0" fillId="0" borderId="25" xfId="3" applyFont="1" applyFill="1" applyBorder="1" applyAlignment="1">
      <alignment vertical="center" shrinkToFit="1"/>
    </xf>
    <xf numFmtId="38" fontId="0" fillId="0" borderId="26" xfId="3" applyFont="1" applyFill="1" applyBorder="1" applyAlignment="1">
      <alignment vertical="center" shrinkToFit="1"/>
    </xf>
    <xf numFmtId="38" fontId="0" fillId="0" borderId="49" xfId="3" applyFont="1" applyFill="1" applyBorder="1" applyAlignment="1">
      <alignment vertical="center" shrinkToFit="1"/>
    </xf>
    <xf numFmtId="38" fontId="0" fillId="0" borderId="77" xfId="0" applyNumberFormat="1" applyFont="1" applyFill="1" applyBorder="1" applyAlignment="1">
      <alignment vertical="center" shrinkToFit="1"/>
    </xf>
    <xf numFmtId="38" fontId="0" fillId="0" borderId="27" xfId="3" applyFont="1" applyFill="1" applyBorder="1" applyAlignment="1">
      <alignment vertical="center" shrinkToFit="1"/>
    </xf>
    <xf numFmtId="176" fontId="0" fillId="0" borderId="0" xfId="0" applyNumberFormat="1" applyFont="1" applyFill="1" applyAlignment="1">
      <alignment vertical="center" shrinkToFit="1"/>
    </xf>
    <xf numFmtId="0" fontId="0" fillId="0" borderId="19" xfId="0" applyFont="1" applyFill="1" applyBorder="1" applyAlignment="1">
      <alignment vertical="center" shrinkToFit="1"/>
    </xf>
    <xf numFmtId="0" fontId="0" fillId="0" borderId="20" xfId="0" applyFont="1" applyFill="1" applyBorder="1" applyAlignment="1">
      <alignment vertical="center" shrinkToFit="1"/>
    </xf>
    <xf numFmtId="0" fontId="0" fillId="0" borderId="21" xfId="0" applyFont="1" applyFill="1" applyBorder="1" applyAlignment="1">
      <alignment horizontal="right" vertical="center" shrinkToFit="1"/>
    </xf>
    <xf numFmtId="38" fontId="0" fillId="0" borderId="22" xfId="0" applyNumberFormat="1" applyFont="1" applyFill="1" applyBorder="1" applyAlignment="1">
      <alignment vertical="center" shrinkToFit="1"/>
    </xf>
    <xf numFmtId="38" fontId="0" fillId="0" borderId="19" xfId="0" applyNumberFormat="1" applyFont="1" applyFill="1" applyBorder="1" applyAlignment="1">
      <alignment vertical="center" shrinkToFit="1"/>
    </xf>
    <xf numFmtId="38" fontId="0" fillId="0" borderId="20" xfId="0" applyNumberFormat="1" applyFont="1" applyFill="1" applyBorder="1" applyAlignment="1">
      <alignment vertical="center" shrinkToFit="1"/>
    </xf>
    <xf numFmtId="38" fontId="0" fillId="0" borderId="21" xfId="0" applyNumberFormat="1" applyFont="1" applyFill="1" applyBorder="1" applyAlignment="1">
      <alignment vertical="center" shrinkToFit="1"/>
    </xf>
    <xf numFmtId="38" fontId="0" fillId="0" borderId="23" xfId="3" applyFont="1" applyFill="1" applyBorder="1" applyAlignment="1">
      <alignment vertical="center" shrinkToFit="1"/>
    </xf>
    <xf numFmtId="38" fontId="0" fillId="0" borderId="23" xfId="0" applyNumberFormat="1" applyFont="1" applyFill="1" applyBorder="1" applyAlignment="1">
      <alignment vertical="center" shrinkToFit="1"/>
    </xf>
    <xf numFmtId="38" fontId="0" fillId="0" borderId="21" xfId="3" applyFont="1" applyFill="1" applyBorder="1" applyAlignment="1">
      <alignment vertical="center" shrinkToFit="1"/>
    </xf>
    <xf numFmtId="38" fontId="0" fillId="6" borderId="50" xfId="0" applyNumberFormat="1" applyFont="1" applyFill="1" applyBorder="1" applyAlignment="1">
      <alignment vertical="center" shrinkToFit="1"/>
    </xf>
    <xf numFmtId="38" fontId="0" fillId="6" borderId="20" xfId="0" applyNumberFormat="1" applyFont="1" applyFill="1" applyBorder="1" applyAlignment="1">
      <alignment vertical="center" shrinkToFit="1"/>
    </xf>
    <xf numFmtId="38" fontId="0" fillId="6" borderId="78" xfId="0" applyNumberFormat="1" applyFont="1" applyFill="1" applyBorder="1" applyAlignment="1">
      <alignment vertical="center" shrinkToFit="1"/>
    </xf>
    <xf numFmtId="38" fontId="0" fillId="0" borderId="0" xfId="0" applyNumberFormat="1" applyFont="1" applyFill="1" applyAlignment="1">
      <alignment vertical="center" shrinkToFit="1"/>
    </xf>
    <xf numFmtId="176" fontId="0" fillId="0" borderId="0" xfId="3" applyNumberFormat="1" applyFont="1" applyFill="1" applyAlignment="1">
      <alignment vertical="center" shrinkToFit="1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5" xfId="0" applyFont="1" applyFill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60" xfId="0" applyFont="1" applyFill="1" applyBorder="1" applyAlignment="1">
      <alignment horizontal="center" vertical="center" wrapText="1"/>
    </xf>
    <xf numFmtId="0" fontId="0" fillId="0" borderId="79" xfId="0" applyFont="1" applyFill="1" applyBorder="1" applyAlignment="1">
      <alignment horizontal="center" vertical="center" wrapText="1"/>
    </xf>
    <xf numFmtId="0" fontId="0" fillId="0" borderId="80" xfId="0" applyFont="1" applyFill="1" applyBorder="1" applyAlignment="1">
      <alignment horizontal="center" vertical="center" wrapText="1"/>
    </xf>
    <xf numFmtId="0" fontId="0" fillId="0" borderId="45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6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/>
    </xf>
    <xf numFmtId="0" fontId="0" fillId="0" borderId="40" xfId="0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/>
    </xf>
    <xf numFmtId="38" fontId="0" fillId="0" borderId="60" xfId="3" applyFont="1" applyFill="1" applyBorder="1" applyAlignment="1">
      <alignment horizontal="center" vertical="center"/>
    </xf>
    <xf numFmtId="38" fontId="0" fillId="0" borderId="79" xfId="3" applyFont="1" applyFill="1" applyBorder="1" applyAlignment="1">
      <alignment horizontal="center" vertical="center"/>
    </xf>
    <xf numFmtId="38" fontId="0" fillId="0" borderId="80" xfId="3" applyFont="1" applyFill="1" applyBorder="1" applyAlignment="1">
      <alignment horizontal="center" vertical="center"/>
    </xf>
    <xf numFmtId="38" fontId="0" fillId="0" borderId="45" xfId="3" applyFont="1" applyFill="1" applyBorder="1" applyAlignment="1">
      <alignment horizontal="center" vertical="center"/>
    </xf>
    <xf numFmtId="38" fontId="0" fillId="0" borderId="0" xfId="3" applyFont="1" applyFill="1" applyBorder="1" applyAlignment="1">
      <alignment horizontal="center" vertical="center"/>
    </xf>
    <xf numFmtId="38" fontId="0" fillId="0" borderId="61" xfId="3" applyFont="1" applyFill="1" applyBorder="1" applyAlignment="1">
      <alignment horizontal="center" vertical="center"/>
    </xf>
    <xf numFmtId="38" fontId="0" fillId="0" borderId="48" xfId="3" applyFont="1" applyFill="1" applyBorder="1" applyAlignment="1">
      <alignment horizontal="center" vertical="center"/>
    </xf>
    <xf numFmtId="38" fontId="0" fillId="0" borderId="68" xfId="3" applyFont="1" applyFill="1" applyBorder="1" applyAlignment="1">
      <alignment horizontal="center" vertical="center"/>
    </xf>
    <xf numFmtId="38" fontId="0" fillId="0" borderId="59" xfId="3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horizontal="center" vertical="center"/>
    </xf>
    <xf numFmtId="0" fontId="0" fillId="0" borderId="60" xfId="0" applyFont="1" applyFill="1" applyBorder="1" applyAlignment="1">
      <alignment horizontal="center" vertical="center"/>
    </xf>
    <xf numFmtId="0" fontId="0" fillId="0" borderId="79" xfId="0" applyFont="1" applyFill="1" applyBorder="1" applyAlignment="1">
      <alignment horizontal="center" vertical="center"/>
    </xf>
    <xf numFmtId="0" fontId="0" fillId="0" borderId="80" xfId="0" applyFont="1" applyFill="1" applyBorder="1" applyAlignment="1">
      <alignment horizontal="center" vertical="center"/>
    </xf>
    <xf numFmtId="0" fontId="0" fillId="0" borderId="61" xfId="0" applyFont="1" applyFill="1" applyBorder="1" applyAlignment="1">
      <alignment horizontal="center" vertical="center"/>
    </xf>
    <xf numFmtId="0" fontId="0" fillId="0" borderId="48" xfId="0" applyFont="1" applyFill="1" applyBorder="1" applyAlignment="1">
      <alignment horizontal="center" vertical="center"/>
    </xf>
    <xf numFmtId="0" fontId="0" fillId="0" borderId="68" xfId="0" applyFont="1" applyFill="1" applyBorder="1" applyAlignment="1">
      <alignment horizontal="center" vertical="center"/>
    </xf>
    <xf numFmtId="0" fontId="0" fillId="0" borderId="59" xfId="0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 wrapText="1"/>
    </xf>
    <xf numFmtId="0" fontId="0" fillId="0" borderId="52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0" fillId="0" borderId="42" xfId="0" applyFont="1" applyFill="1" applyBorder="1" applyAlignment="1">
      <alignment horizontal="center" vertical="center"/>
    </xf>
    <xf numFmtId="0" fontId="0" fillId="0" borderId="15" xfId="0" applyFont="1" applyFill="1" applyBorder="1" applyAlignment="1">
      <alignment horizontal="center" vertical="center"/>
    </xf>
    <xf numFmtId="0" fontId="0" fillId="0" borderId="43" xfId="0" applyFont="1" applyFill="1" applyBorder="1" applyAlignment="1">
      <alignment horizontal="center" vertical="center"/>
    </xf>
    <xf numFmtId="0" fontId="0" fillId="0" borderId="17" xfId="0" applyFont="1" applyFill="1" applyBorder="1" applyAlignment="1">
      <alignment horizontal="center" vertical="center"/>
    </xf>
    <xf numFmtId="0" fontId="0" fillId="0" borderId="30" xfId="0" applyFont="1" applyFill="1" applyBorder="1" applyAlignment="1">
      <alignment horizontal="center" vertical="center"/>
    </xf>
    <xf numFmtId="0" fontId="0" fillId="0" borderId="44" xfId="0" applyFont="1" applyFill="1" applyBorder="1" applyAlignment="1">
      <alignment horizontal="center" vertical="center"/>
    </xf>
    <xf numFmtId="0" fontId="0" fillId="0" borderId="31" xfId="0" applyFont="1" applyFill="1" applyBorder="1" applyAlignment="1">
      <alignment horizontal="center" vertical="center" wrapText="1"/>
    </xf>
    <xf numFmtId="0" fontId="0" fillId="0" borderId="22" xfId="0" applyFont="1" applyFill="1" applyBorder="1" applyAlignment="1">
      <alignment horizontal="center" vertical="center"/>
    </xf>
    <xf numFmtId="0" fontId="0" fillId="0" borderId="46" xfId="0" applyFont="1" applyFill="1" applyBorder="1" applyAlignment="1">
      <alignment horizontal="center" vertical="center"/>
    </xf>
    <xf numFmtId="0" fontId="0" fillId="0" borderId="51" xfId="0" applyFont="1" applyFill="1" applyBorder="1" applyAlignment="1">
      <alignment horizontal="center" vertical="center"/>
    </xf>
    <xf numFmtId="0" fontId="0" fillId="0" borderId="71" xfId="0" applyFont="1" applyFill="1" applyBorder="1" applyAlignment="1">
      <alignment horizontal="center" vertical="center"/>
    </xf>
    <xf numFmtId="0" fontId="0" fillId="0" borderId="17" xfId="0" applyFont="1" applyFill="1" applyBorder="1" applyAlignment="1">
      <alignment horizontal="center" vertical="center" wrapText="1"/>
    </xf>
    <xf numFmtId="0" fontId="0" fillId="0" borderId="43" xfId="0" applyFont="1" applyFill="1" applyBorder="1" applyAlignment="1">
      <alignment horizontal="center" vertical="center" wrapText="1"/>
    </xf>
    <xf numFmtId="0" fontId="0" fillId="0" borderId="20" xfId="0" applyFont="1" applyFill="1" applyBorder="1" applyAlignment="1">
      <alignment horizontal="center" vertical="center" wrapText="1"/>
    </xf>
  </cellXfs>
  <cellStyles count="14">
    <cellStyle name="パーセント" xfId="1" builtinId="5"/>
    <cellStyle name="パーセント 2" xfId="2"/>
    <cellStyle name="桁区切り" xfId="3" builtinId="6"/>
    <cellStyle name="桁区切り 2" xfId="4"/>
    <cellStyle name="桁区切り 2 2" xfId="5"/>
    <cellStyle name="桁区切り 3" xfId="6"/>
    <cellStyle name="桁区切り 4" xfId="12"/>
    <cellStyle name="標準" xfId="0" builtinId="0"/>
    <cellStyle name="標準 2" xfId="7"/>
    <cellStyle name="標準 2 2" xfId="8"/>
    <cellStyle name="標準 3" xfId="9"/>
    <cellStyle name="標準 4" xfId="10"/>
    <cellStyle name="標準 5" xfId="11"/>
    <cellStyle name="標準 6" xfId="13"/>
  </cellStyles>
  <dxfs count="36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CC"/>
      <color rgb="FFFF99FF"/>
      <color rgb="FF00CC00"/>
      <color rgb="FFFFFF00"/>
      <color rgb="FFFF7C80"/>
      <color rgb="FF6699FF"/>
      <color rgb="FFFFFF99"/>
      <color rgb="FF9900FF"/>
      <color rgb="FF00FF00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9312;R5%20&#65299;&#26465;&#25903;&#2098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9316;R5%20&#38632;&#27738;&#2770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9317;R5%20&#19981;&#35506;&#31246;&#21454;&#20837;&#12398;&#21306;&#20998;&#65288;&#29305;&#23450;&#21454;&#20837;&#38989;&#65289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9318;R5%20&#28040;&#36027;&#3124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年度"/>
      <sheetName val="全伝票"/>
      <sheetName val="災害伝票"/>
      <sheetName val="3条支出"/>
      <sheetName val="管"/>
      <sheetName val="水質"/>
      <sheetName val="ポ"/>
      <sheetName val="処"/>
      <sheetName val="受工"/>
      <sheetName val="普及"/>
      <sheetName val="貸付"/>
      <sheetName val="業務"/>
      <sheetName val="総係"/>
      <sheetName val="特環"/>
      <sheetName val="農集"/>
      <sheetName val="浄化"/>
      <sheetName val="災"/>
      <sheetName val="減価"/>
      <sheetName val="減耗"/>
      <sheetName val="営外"/>
      <sheetName val="特損"/>
      <sheetName val="3条支出(共通按分後)"/>
      <sheetName val="総係(共通按分後)"/>
      <sheetName val="特環(共通按分後)"/>
      <sheetName val="農集(共通按分後)"/>
      <sheetName val="浄化(共通按分後)"/>
    </sheetNames>
    <sheetDataSet>
      <sheetData sheetId="0"/>
      <sheetData sheetId="1">
        <row r="1">
          <cell r="I1">
            <v>179962946555</v>
          </cell>
          <cell r="J1">
            <v>0</v>
          </cell>
          <cell r="K1">
            <v>0</v>
          </cell>
          <cell r="L1">
            <v>1408906</v>
          </cell>
          <cell r="M1">
            <v>537718</v>
          </cell>
          <cell r="N1">
            <v>44539401683</v>
          </cell>
          <cell r="O1">
            <v>4535078073</v>
          </cell>
          <cell r="P1">
            <v>130886520175</v>
          </cell>
        </row>
        <row r="2">
          <cell r="A2" t="str">
            <v>事業</v>
          </cell>
          <cell r="B2" t="str">
            <v>予算コード</v>
          </cell>
          <cell r="C2" t="str">
            <v>予算コード</v>
          </cell>
          <cell r="I2" t="str">
            <v>執行額</v>
          </cell>
          <cell r="J2" t="str">
            <v>課税</v>
          </cell>
          <cell r="O2" t="str">
            <v>非課税</v>
          </cell>
          <cell r="P2" t="str">
            <v>不課税</v>
          </cell>
        </row>
        <row r="3">
          <cell r="J3">
            <v>3</v>
          </cell>
          <cell r="K3">
            <v>5</v>
          </cell>
          <cell r="L3">
            <v>8</v>
          </cell>
          <cell r="M3">
            <v>8</v>
          </cell>
          <cell r="N3">
            <v>10</v>
          </cell>
          <cell r="O3">
            <v>21</v>
          </cell>
          <cell r="P3">
            <v>31</v>
          </cell>
        </row>
        <row r="4">
          <cell r="A4">
            <v>1</v>
          </cell>
          <cell r="B4">
            <v>1120110</v>
          </cell>
          <cell r="C4">
            <v>112011010</v>
          </cell>
          <cell r="I4">
            <v>8822500000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8822500000</v>
          </cell>
        </row>
        <row r="5">
          <cell r="A5">
            <v>1</v>
          </cell>
          <cell r="B5">
            <v>1120110</v>
          </cell>
          <cell r="C5">
            <v>112011011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</row>
        <row r="6">
          <cell r="A6">
            <v>1</v>
          </cell>
          <cell r="B6">
            <v>1120110</v>
          </cell>
          <cell r="C6">
            <v>112011012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>
            <v>1</v>
          </cell>
          <cell r="B7">
            <v>1120111</v>
          </cell>
          <cell r="C7">
            <v>112011100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>
            <v>1</v>
          </cell>
          <cell r="B8">
            <v>1120112</v>
          </cell>
          <cell r="C8">
            <v>112011200</v>
          </cell>
          <cell r="I8">
            <v>120200000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120200000</v>
          </cell>
        </row>
        <row r="9">
          <cell r="A9">
            <v>1</v>
          </cell>
          <cell r="B9">
            <v>1120113</v>
          </cell>
          <cell r="C9">
            <v>112011300</v>
          </cell>
          <cell r="I9">
            <v>5632100000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5632100000</v>
          </cell>
        </row>
        <row r="10">
          <cell r="A10">
            <v>1</v>
          </cell>
          <cell r="B10">
            <v>1120114</v>
          </cell>
          <cell r="C10">
            <v>112011400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>
            <v>1</v>
          </cell>
          <cell r="B11">
            <v>1120116</v>
          </cell>
          <cell r="C11">
            <v>112011600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>
            <v>1</v>
          </cell>
          <cell r="B12">
            <v>1120210</v>
          </cell>
          <cell r="C12">
            <v>112021000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>
            <v>1</v>
          </cell>
          <cell r="B13">
            <v>1120220</v>
          </cell>
          <cell r="C13">
            <v>112022000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>
            <v>1</v>
          </cell>
          <cell r="B14">
            <v>1120230</v>
          </cell>
          <cell r="C14">
            <v>112023000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>
            <v>1</v>
          </cell>
          <cell r="B15">
            <v>1120240</v>
          </cell>
          <cell r="C15">
            <v>112024000</v>
          </cell>
          <cell r="I15">
            <v>17007700000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17007700000</v>
          </cell>
        </row>
        <row r="16">
          <cell r="A16">
            <v>1</v>
          </cell>
          <cell r="B16">
            <v>1120310</v>
          </cell>
          <cell r="C16">
            <v>112031000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>
            <v>1</v>
          </cell>
          <cell r="B17">
            <v>1140303</v>
          </cell>
          <cell r="C17">
            <v>114030300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>
            <v>1</v>
          </cell>
          <cell r="B18">
            <v>1160101</v>
          </cell>
          <cell r="C18">
            <v>116010100</v>
          </cell>
          <cell r="I18">
            <v>3566242000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3566242000</v>
          </cell>
        </row>
        <row r="19">
          <cell r="A19">
            <v>1</v>
          </cell>
          <cell r="B19">
            <v>1160202</v>
          </cell>
          <cell r="C19">
            <v>116020200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>
            <v>1</v>
          </cell>
          <cell r="B20">
            <v>1180401</v>
          </cell>
          <cell r="C20">
            <v>118040101</v>
          </cell>
          <cell r="I20">
            <v>5683800000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5683800000</v>
          </cell>
        </row>
        <row r="21">
          <cell r="A21">
            <v>1</v>
          </cell>
          <cell r="B21">
            <v>1180401</v>
          </cell>
          <cell r="C21">
            <v>118040102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A22">
            <v>1</v>
          </cell>
          <cell r="B22">
            <v>1180402</v>
          </cell>
          <cell r="C22">
            <v>118040200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A23">
            <v>1</v>
          </cell>
          <cell r="B23">
            <v>1200630</v>
          </cell>
          <cell r="C23">
            <v>120063000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  <row r="24">
          <cell r="A24">
            <v>1</v>
          </cell>
          <cell r="B24">
            <v>1300831</v>
          </cell>
          <cell r="C24">
            <v>130083100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25">
          <cell r="A25">
            <v>1</v>
          </cell>
          <cell r="B25">
            <v>1401010</v>
          </cell>
          <cell r="C25">
            <v>140101000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A26">
            <v>1</v>
          </cell>
          <cell r="B26">
            <v>1600101</v>
          </cell>
          <cell r="C26">
            <v>160010100</v>
          </cell>
          <cell r="I26">
            <v>24373083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24373083</v>
          </cell>
          <cell r="O26">
            <v>0</v>
          </cell>
          <cell r="P26">
            <v>0</v>
          </cell>
        </row>
        <row r="27">
          <cell r="A27">
            <v>1</v>
          </cell>
          <cell r="B27">
            <v>1800606</v>
          </cell>
          <cell r="C27">
            <v>180060600</v>
          </cell>
          <cell r="I27">
            <v>8799605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8799605</v>
          </cell>
        </row>
        <row r="28">
          <cell r="A28">
            <v>1</v>
          </cell>
          <cell r="B28">
            <v>1800808</v>
          </cell>
          <cell r="C28">
            <v>180080800</v>
          </cell>
          <cell r="I28">
            <v>530286509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15318327</v>
          </cell>
          <cell r="O28">
            <v>0</v>
          </cell>
          <cell r="P28">
            <v>514968182</v>
          </cell>
        </row>
        <row r="29">
          <cell r="A29">
            <v>1</v>
          </cell>
          <cell r="B29">
            <v>1820101</v>
          </cell>
          <cell r="C29">
            <v>182010100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</row>
        <row r="30">
          <cell r="A30">
            <v>1</v>
          </cell>
          <cell r="B30">
            <v>1840102</v>
          </cell>
          <cell r="C30">
            <v>184010200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</row>
        <row r="31">
          <cell r="A31">
            <v>1</v>
          </cell>
          <cell r="B31">
            <v>1840304</v>
          </cell>
          <cell r="C31">
            <v>184030400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</row>
        <row r="32">
          <cell r="A32">
            <v>1</v>
          </cell>
          <cell r="B32">
            <v>1840305</v>
          </cell>
          <cell r="C32">
            <v>184030500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</row>
        <row r="33">
          <cell r="A33">
            <v>1</v>
          </cell>
          <cell r="B33">
            <v>1840306</v>
          </cell>
          <cell r="C33">
            <v>184030600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</row>
        <row r="34">
          <cell r="A34">
            <v>1</v>
          </cell>
          <cell r="B34">
            <v>1840506</v>
          </cell>
          <cell r="C34">
            <v>184050600</v>
          </cell>
          <cell r="I34">
            <v>640000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640000</v>
          </cell>
        </row>
        <row r="35">
          <cell r="A35">
            <v>1</v>
          </cell>
          <cell r="B35">
            <v>1840507</v>
          </cell>
          <cell r="C35">
            <v>184050700</v>
          </cell>
          <cell r="I35">
            <v>1079000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1079000</v>
          </cell>
        </row>
        <row r="36">
          <cell r="A36">
            <v>1</v>
          </cell>
          <cell r="B36">
            <v>1840508</v>
          </cell>
          <cell r="C36">
            <v>184050800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A37">
            <v>1</v>
          </cell>
          <cell r="B37">
            <v>1860303</v>
          </cell>
          <cell r="C37">
            <v>186030300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</row>
        <row r="38">
          <cell r="A38">
            <v>1</v>
          </cell>
          <cell r="B38">
            <v>1880101</v>
          </cell>
          <cell r="C38">
            <v>188010100</v>
          </cell>
          <cell r="I38">
            <v>45948113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45948113</v>
          </cell>
          <cell r="P38">
            <v>0</v>
          </cell>
        </row>
        <row r="39">
          <cell r="A39">
            <v>1</v>
          </cell>
          <cell r="B39">
            <v>1880202</v>
          </cell>
          <cell r="C39">
            <v>188020200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</row>
        <row r="40">
          <cell r="A40">
            <v>1</v>
          </cell>
          <cell r="B40">
            <v>1900101</v>
          </cell>
          <cell r="C40">
            <v>190010100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</row>
        <row r="41">
          <cell r="A41">
            <v>1</v>
          </cell>
          <cell r="B41">
            <v>1900202</v>
          </cell>
          <cell r="C41">
            <v>190020200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</row>
        <row r="42">
          <cell r="A42">
            <v>1</v>
          </cell>
          <cell r="B42">
            <v>1900303</v>
          </cell>
          <cell r="C42">
            <v>190030300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</row>
        <row r="43">
          <cell r="A43">
            <v>1</v>
          </cell>
          <cell r="B43">
            <v>4810202</v>
          </cell>
          <cell r="C43">
            <v>481020200</v>
          </cell>
          <cell r="I43">
            <v>20339840861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20339840861</v>
          </cell>
          <cell r="O43">
            <v>0</v>
          </cell>
          <cell r="P43">
            <v>0</v>
          </cell>
        </row>
        <row r="44">
          <cell r="A44">
            <v>1</v>
          </cell>
          <cell r="B44">
            <v>4810404</v>
          </cell>
          <cell r="C44">
            <v>481040411</v>
          </cell>
          <cell r="I44">
            <v>2754671000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2754671000</v>
          </cell>
        </row>
        <row r="45">
          <cell r="A45">
            <v>1</v>
          </cell>
          <cell r="B45">
            <v>4810404</v>
          </cell>
          <cell r="C45">
            <v>481040412</v>
          </cell>
          <cell r="I45">
            <v>7912710000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7912710000</v>
          </cell>
        </row>
        <row r="46">
          <cell r="A46">
            <v>1</v>
          </cell>
          <cell r="B46">
            <v>4810404</v>
          </cell>
          <cell r="C46">
            <v>481040413</v>
          </cell>
          <cell r="I46">
            <v>2138644000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2138644000</v>
          </cell>
        </row>
        <row r="47">
          <cell r="A47">
            <v>1</v>
          </cell>
          <cell r="B47">
            <v>4810404</v>
          </cell>
          <cell r="C47">
            <v>481040415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</row>
        <row r="48">
          <cell r="A48">
            <v>1</v>
          </cell>
          <cell r="B48">
            <v>4810406</v>
          </cell>
          <cell r="C48">
            <v>481040600</v>
          </cell>
          <cell r="I48">
            <v>61778000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61778000</v>
          </cell>
        </row>
        <row r="49">
          <cell r="A49">
            <v>1</v>
          </cell>
          <cell r="B49">
            <v>4810408</v>
          </cell>
          <cell r="C49">
            <v>481040800</v>
          </cell>
          <cell r="I49">
            <v>40039000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40039000</v>
          </cell>
        </row>
        <row r="50">
          <cell r="A50">
            <v>1</v>
          </cell>
          <cell r="B50">
            <v>4810409</v>
          </cell>
          <cell r="C50">
            <v>481040900</v>
          </cell>
          <cell r="I50">
            <v>14763000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14763000</v>
          </cell>
        </row>
        <row r="51">
          <cell r="A51">
            <v>1</v>
          </cell>
          <cell r="B51">
            <v>4810415</v>
          </cell>
          <cell r="C51">
            <v>481041500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</row>
        <row r="52">
          <cell r="A52">
            <v>1</v>
          </cell>
          <cell r="B52">
            <v>4811214</v>
          </cell>
          <cell r="C52">
            <v>481121400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A53">
            <v>1</v>
          </cell>
          <cell r="B53">
            <v>4811415</v>
          </cell>
          <cell r="C53">
            <v>481141500</v>
          </cell>
          <cell r="I53">
            <v>187826166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187826166</v>
          </cell>
          <cell r="O53">
            <v>0</v>
          </cell>
          <cell r="P53">
            <v>0</v>
          </cell>
        </row>
        <row r="54">
          <cell r="A54">
            <v>1</v>
          </cell>
          <cell r="B54">
            <v>4811416</v>
          </cell>
          <cell r="C54">
            <v>481141600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</row>
        <row r="55">
          <cell r="A55">
            <v>1</v>
          </cell>
          <cell r="B55">
            <v>4811417</v>
          </cell>
          <cell r="C55">
            <v>481141700</v>
          </cell>
          <cell r="I55">
            <v>1409733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1409733</v>
          </cell>
          <cell r="O55">
            <v>0</v>
          </cell>
          <cell r="P55">
            <v>0</v>
          </cell>
        </row>
        <row r="56">
          <cell r="A56">
            <v>1</v>
          </cell>
          <cell r="B56">
            <v>4811418</v>
          </cell>
          <cell r="C56">
            <v>481141800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</row>
        <row r="57">
          <cell r="A57">
            <v>1</v>
          </cell>
          <cell r="B57">
            <v>4811419</v>
          </cell>
          <cell r="C57">
            <v>481141915</v>
          </cell>
          <cell r="I57">
            <v>71970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71970</v>
          </cell>
          <cell r="P57">
            <v>0</v>
          </cell>
        </row>
        <row r="58">
          <cell r="A58">
            <v>1</v>
          </cell>
          <cell r="B58">
            <v>4811419</v>
          </cell>
          <cell r="C58">
            <v>481141916</v>
          </cell>
          <cell r="I58">
            <v>539000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539000</v>
          </cell>
          <cell r="P58">
            <v>0</v>
          </cell>
        </row>
        <row r="59">
          <cell r="A59">
            <v>1</v>
          </cell>
          <cell r="B59">
            <v>4811419</v>
          </cell>
          <cell r="C59">
            <v>481141917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</row>
        <row r="60">
          <cell r="A60">
            <v>1</v>
          </cell>
          <cell r="B60">
            <v>4811420</v>
          </cell>
          <cell r="C60">
            <v>481142000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</row>
        <row r="61">
          <cell r="A61">
            <v>1</v>
          </cell>
          <cell r="B61">
            <v>4820221</v>
          </cell>
          <cell r="C61">
            <v>482022100</v>
          </cell>
          <cell r="I61">
            <v>88770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88770</v>
          </cell>
          <cell r="P61">
            <v>0</v>
          </cell>
        </row>
        <row r="62">
          <cell r="A62">
            <v>1</v>
          </cell>
          <cell r="B62">
            <v>4820222</v>
          </cell>
          <cell r="C62">
            <v>482022200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</row>
        <row r="63">
          <cell r="A63">
            <v>1</v>
          </cell>
          <cell r="B63">
            <v>4820224</v>
          </cell>
          <cell r="C63">
            <v>482022400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</row>
        <row r="64">
          <cell r="A64">
            <v>1</v>
          </cell>
          <cell r="B64">
            <v>4820427</v>
          </cell>
          <cell r="C64">
            <v>482042700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</row>
        <row r="65">
          <cell r="A65">
            <v>1</v>
          </cell>
          <cell r="B65">
            <v>4820428</v>
          </cell>
          <cell r="C65">
            <v>482042800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A66">
            <v>1</v>
          </cell>
          <cell r="B66">
            <v>4820429</v>
          </cell>
          <cell r="C66">
            <v>482042900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</row>
        <row r="67">
          <cell r="A67">
            <v>1</v>
          </cell>
          <cell r="B67">
            <v>4820501</v>
          </cell>
          <cell r="C67">
            <v>482050100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</row>
        <row r="68">
          <cell r="A68">
            <v>1</v>
          </cell>
          <cell r="B68">
            <v>4820630</v>
          </cell>
          <cell r="C68">
            <v>482063000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</row>
        <row r="69">
          <cell r="A69">
            <v>1</v>
          </cell>
          <cell r="B69">
            <v>4820831</v>
          </cell>
          <cell r="C69">
            <v>482083100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</row>
        <row r="70">
          <cell r="A70">
            <v>1</v>
          </cell>
          <cell r="B70">
            <v>4820932</v>
          </cell>
          <cell r="C70">
            <v>482093200</v>
          </cell>
          <cell r="I70">
            <v>37016600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37016600</v>
          </cell>
          <cell r="O70">
            <v>0</v>
          </cell>
          <cell r="P70">
            <v>0</v>
          </cell>
        </row>
        <row r="71">
          <cell r="A71">
            <v>1</v>
          </cell>
          <cell r="B71">
            <v>4820933</v>
          </cell>
          <cell r="C71">
            <v>482093300</v>
          </cell>
          <cell r="I71">
            <v>16476593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16476593</v>
          </cell>
        </row>
        <row r="72">
          <cell r="A72">
            <v>1</v>
          </cell>
          <cell r="B72">
            <v>4821034</v>
          </cell>
          <cell r="C72">
            <v>482103411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</row>
        <row r="73">
          <cell r="A73">
            <v>1</v>
          </cell>
          <cell r="B73">
            <v>4821034</v>
          </cell>
          <cell r="C73">
            <v>482103412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4">
          <cell r="A74">
            <v>1</v>
          </cell>
          <cell r="B74">
            <v>4821034</v>
          </cell>
          <cell r="C74">
            <v>482103413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</row>
        <row r="75">
          <cell r="A75">
            <v>1</v>
          </cell>
          <cell r="B75">
            <v>4821034</v>
          </cell>
          <cell r="C75">
            <v>482103414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6">
          <cell r="A76">
            <v>1</v>
          </cell>
          <cell r="B76">
            <v>4821035</v>
          </cell>
          <cell r="C76">
            <v>482103500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</row>
        <row r="77">
          <cell r="A77">
            <v>1</v>
          </cell>
          <cell r="B77">
            <v>4821040</v>
          </cell>
          <cell r="C77">
            <v>482104000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</row>
        <row r="78">
          <cell r="A78">
            <v>1</v>
          </cell>
          <cell r="B78">
            <v>4821137</v>
          </cell>
          <cell r="C78">
            <v>482113700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</row>
        <row r="79">
          <cell r="A79">
            <v>1</v>
          </cell>
          <cell r="B79">
            <v>4821236</v>
          </cell>
          <cell r="C79">
            <v>482123600</v>
          </cell>
          <cell r="I79">
            <v>408100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408100</v>
          </cell>
          <cell r="O79">
            <v>0</v>
          </cell>
          <cell r="P79">
            <v>0</v>
          </cell>
        </row>
        <row r="80">
          <cell r="A80">
            <v>1</v>
          </cell>
          <cell r="B80">
            <v>4821240</v>
          </cell>
          <cell r="C80">
            <v>482124000</v>
          </cell>
          <cell r="I80">
            <v>35949984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12905830</v>
          </cell>
          <cell r="O80">
            <v>21841940</v>
          </cell>
          <cell r="P80">
            <v>1202214</v>
          </cell>
        </row>
        <row r="81">
          <cell r="A81">
            <v>1</v>
          </cell>
          <cell r="B81">
            <v>4821301</v>
          </cell>
          <cell r="C81">
            <v>482130103</v>
          </cell>
          <cell r="I81">
            <v>1393301969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1393301969</v>
          </cell>
        </row>
        <row r="82">
          <cell r="A82">
            <v>1</v>
          </cell>
          <cell r="B82">
            <v>4821301</v>
          </cell>
          <cell r="C82">
            <v>482130104</v>
          </cell>
          <cell r="I82">
            <v>6705381537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6705381537</v>
          </cell>
        </row>
        <row r="83">
          <cell r="A83">
            <v>1</v>
          </cell>
          <cell r="B83">
            <v>4821301</v>
          </cell>
          <cell r="C83">
            <v>482130106</v>
          </cell>
          <cell r="I83">
            <v>193254317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193254317</v>
          </cell>
        </row>
        <row r="84">
          <cell r="A84">
            <v>1</v>
          </cell>
          <cell r="B84">
            <v>4821301</v>
          </cell>
          <cell r="C84">
            <v>482130108</v>
          </cell>
          <cell r="I84">
            <v>841304822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841304822</v>
          </cell>
        </row>
        <row r="85">
          <cell r="A85">
            <v>1</v>
          </cell>
          <cell r="B85">
            <v>4821301</v>
          </cell>
          <cell r="C85">
            <v>482130110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</row>
        <row r="86">
          <cell r="A86">
            <v>1</v>
          </cell>
          <cell r="B86">
            <v>4821301</v>
          </cell>
          <cell r="C86">
            <v>482130120</v>
          </cell>
          <cell r="I86">
            <v>4429743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4429743</v>
          </cell>
        </row>
        <row r="87">
          <cell r="A87">
            <v>1</v>
          </cell>
          <cell r="B87">
            <v>4830202</v>
          </cell>
          <cell r="C87">
            <v>483020200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A88">
            <v>1</v>
          </cell>
          <cell r="B88">
            <v>4830404</v>
          </cell>
          <cell r="C88">
            <v>483040400</v>
          </cell>
          <cell r="I88">
            <v>2710875</v>
          </cell>
          <cell r="J88">
            <v>0</v>
          </cell>
          <cell r="K88">
            <v>0</v>
          </cell>
          <cell r="L88">
            <v>36536</v>
          </cell>
          <cell r="M88">
            <v>0</v>
          </cell>
          <cell r="N88">
            <v>1518254</v>
          </cell>
          <cell r="O88">
            <v>910</v>
          </cell>
          <cell r="P88">
            <v>1155175</v>
          </cell>
        </row>
        <row r="89">
          <cell r="A89">
            <v>1</v>
          </cell>
          <cell r="B89">
            <v>4830606</v>
          </cell>
          <cell r="C89">
            <v>483060600</v>
          </cell>
          <cell r="I89">
            <v>864807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864807</v>
          </cell>
        </row>
        <row r="90">
          <cell r="A90">
            <v>1</v>
          </cell>
          <cell r="B90">
            <v>4830607</v>
          </cell>
          <cell r="C90">
            <v>483060700</v>
          </cell>
          <cell r="I90">
            <v>428075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428075</v>
          </cell>
        </row>
        <row r="91">
          <cell r="A91">
            <v>1</v>
          </cell>
          <cell r="B91">
            <v>4830608</v>
          </cell>
          <cell r="C91">
            <v>483060800</v>
          </cell>
          <cell r="I91">
            <v>109000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109000</v>
          </cell>
        </row>
        <row r="92">
          <cell r="A92">
            <v>1</v>
          </cell>
          <cell r="B92">
            <v>4830808</v>
          </cell>
          <cell r="C92">
            <v>483080800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</row>
        <row r="93">
          <cell r="A93">
            <v>1</v>
          </cell>
          <cell r="B93">
            <v>6153201</v>
          </cell>
          <cell r="C93">
            <v>615320102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</row>
        <row r="94">
          <cell r="A94">
            <v>1</v>
          </cell>
          <cell r="B94">
            <v>6153201</v>
          </cell>
          <cell r="C94">
            <v>615320103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</row>
        <row r="95">
          <cell r="A95">
            <v>1</v>
          </cell>
          <cell r="B95">
            <v>6153201</v>
          </cell>
          <cell r="C95">
            <v>615320104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</row>
        <row r="96">
          <cell r="A96">
            <v>1</v>
          </cell>
          <cell r="B96">
            <v>6153201</v>
          </cell>
          <cell r="C96">
            <v>615320105</v>
          </cell>
          <cell r="I96">
            <v>13722776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13722776</v>
          </cell>
        </row>
        <row r="97">
          <cell r="A97">
            <v>1</v>
          </cell>
          <cell r="B97">
            <v>6153202</v>
          </cell>
          <cell r="C97">
            <v>615320202</v>
          </cell>
          <cell r="I97">
            <v>285882615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285882615</v>
          </cell>
        </row>
        <row r="98">
          <cell r="A98">
            <v>1</v>
          </cell>
          <cell r="B98">
            <v>6153203</v>
          </cell>
          <cell r="C98">
            <v>615320301</v>
          </cell>
          <cell r="I98">
            <v>30683384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30683384</v>
          </cell>
        </row>
        <row r="99">
          <cell r="A99">
            <v>1</v>
          </cell>
          <cell r="B99">
            <v>6153203</v>
          </cell>
          <cell r="C99">
            <v>615320302</v>
          </cell>
          <cell r="I99">
            <v>10330091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10330091</v>
          </cell>
        </row>
        <row r="100">
          <cell r="A100">
            <v>1</v>
          </cell>
          <cell r="B100">
            <v>6153203</v>
          </cell>
          <cell r="C100">
            <v>615320303</v>
          </cell>
          <cell r="I100">
            <v>135518157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135518157</v>
          </cell>
        </row>
        <row r="101">
          <cell r="A101">
            <v>1</v>
          </cell>
          <cell r="B101">
            <v>6153203</v>
          </cell>
          <cell r="C101">
            <v>615320304</v>
          </cell>
          <cell r="I101">
            <v>8735510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8735510</v>
          </cell>
          <cell r="O101">
            <v>0</v>
          </cell>
          <cell r="P101">
            <v>0</v>
          </cell>
        </row>
        <row r="102">
          <cell r="A102">
            <v>1</v>
          </cell>
          <cell r="B102">
            <v>6153203</v>
          </cell>
          <cell r="C102">
            <v>615320305</v>
          </cell>
          <cell r="I102">
            <v>10621200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10621200</v>
          </cell>
        </row>
        <row r="103">
          <cell r="A103">
            <v>1</v>
          </cell>
          <cell r="B103">
            <v>6153203</v>
          </cell>
          <cell r="C103">
            <v>615320306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</row>
        <row r="104">
          <cell r="A104">
            <v>1</v>
          </cell>
          <cell r="B104">
            <v>6153203</v>
          </cell>
          <cell r="C104">
            <v>615320307</v>
          </cell>
          <cell r="I104">
            <v>46428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46428</v>
          </cell>
        </row>
        <row r="105">
          <cell r="A105">
            <v>1</v>
          </cell>
          <cell r="B105">
            <v>6153203</v>
          </cell>
          <cell r="C105">
            <v>615320310</v>
          </cell>
          <cell r="I105">
            <v>45682943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45682943</v>
          </cell>
        </row>
        <row r="106">
          <cell r="A106">
            <v>1</v>
          </cell>
          <cell r="B106">
            <v>6153203</v>
          </cell>
          <cell r="C106">
            <v>615320311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</row>
        <row r="107">
          <cell r="A107">
            <v>1</v>
          </cell>
          <cell r="B107">
            <v>6153203</v>
          </cell>
          <cell r="C107">
            <v>615320314</v>
          </cell>
          <cell r="I107">
            <v>7701600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7701600</v>
          </cell>
        </row>
        <row r="108">
          <cell r="A108">
            <v>1</v>
          </cell>
          <cell r="B108">
            <v>6153203</v>
          </cell>
          <cell r="C108">
            <v>615320315</v>
          </cell>
          <cell r="I108">
            <v>4935000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4935000</v>
          </cell>
        </row>
        <row r="109">
          <cell r="A109">
            <v>1</v>
          </cell>
          <cell r="B109">
            <v>6153203</v>
          </cell>
          <cell r="C109">
            <v>615320316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</row>
        <row r="110">
          <cell r="A110">
            <v>1</v>
          </cell>
          <cell r="B110">
            <v>6153203</v>
          </cell>
          <cell r="C110">
            <v>615320319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</row>
        <row r="111">
          <cell r="A111">
            <v>1</v>
          </cell>
          <cell r="B111">
            <v>6153204</v>
          </cell>
          <cell r="C111">
            <v>615320401</v>
          </cell>
          <cell r="I111">
            <v>77205747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77205747</v>
          </cell>
          <cell r="P111">
            <v>0</v>
          </cell>
        </row>
        <row r="112">
          <cell r="A112">
            <v>1</v>
          </cell>
          <cell r="B112">
            <v>6153204</v>
          </cell>
          <cell r="C112">
            <v>615320402</v>
          </cell>
          <cell r="I112">
            <v>444888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444888</v>
          </cell>
        </row>
        <row r="113">
          <cell r="A113">
            <v>1</v>
          </cell>
          <cell r="B113">
            <v>6153204</v>
          </cell>
          <cell r="C113">
            <v>615320403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</row>
        <row r="114">
          <cell r="A114">
            <v>1</v>
          </cell>
          <cell r="B114">
            <v>6153204</v>
          </cell>
          <cell r="C114">
            <v>615320405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</row>
        <row r="115">
          <cell r="A115">
            <v>1</v>
          </cell>
          <cell r="B115">
            <v>6153204</v>
          </cell>
          <cell r="C115">
            <v>615320406</v>
          </cell>
          <cell r="I115">
            <v>162145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162145</v>
          </cell>
          <cell r="P115">
            <v>0</v>
          </cell>
        </row>
        <row r="116">
          <cell r="A116">
            <v>1</v>
          </cell>
          <cell r="B116">
            <v>6153204</v>
          </cell>
          <cell r="C116">
            <v>615320407</v>
          </cell>
          <cell r="I116">
            <v>1528328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1528328</v>
          </cell>
          <cell r="P116">
            <v>0</v>
          </cell>
        </row>
        <row r="117">
          <cell r="A117">
            <v>1</v>
          </cell>
          <cell r="B117">
            <v>6153204</v>
          </cell>
          <cell r="C117">
            <v>615320408</v>
          </cell>
          <cell r="I117">
            <v>60124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60124</v>
          </cell>
          <cell r="P117">
            <v>0</v>
          </cell>
        </row>
        <row r="118">
          <cell r="A118">
            <v>1</v>
          </cell>
          <cell r="B118">
            <v>6153204</v>
          </cell>
          <cell r="C118">
            <v>615320410</v>
          </cell>
          <cell r="I118">
            <v>28219882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28219882</v>
          </cell>
          <cell r="P118">
            <v>0</v>
          </cell>
        </row>
        <row r="119">
          <cell r="A119">
            <v>1</v>
          </cell>
          <cell r="B119">
            <v>6153204</v>
          </cell>
          <cell r="C119">
            <v>615320411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A120">
            <v>1</v>
          </cell>
          <cell r="B120">
            <v>6153205</v>
          </cell>
          <cell r="C120">
            <v>615320500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</row>
        <row r="121">
          <cell r="A121">
            <v>1</v>
          </cell>
          <cell r="B121">
            <v>6153207</v>
          </cell>
          <cell r="C121">
            <v>615320700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</row>
        <row r="122">
          <cell r="A122">
            <v>1</v>
          </cell>
          <cell r="B122">
            <v>6153208</v>
          </cell>
          <cell r="C122">
            <v>615320800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</row>
        <row r="123">
          <cell r="A123">
            <v>1</v>
          </cell>
          <cell r="B123">
            <v>6153210</v>
          </cell>
          <cell r="C123">
            <v>615321001</v>
          </cell>
          <cell r="I123">
            <v>2021074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2021074</v>
          </cell>
          <cell r="O123">
            <v>0</v>
          </cell>
          <cell r="P123">
            <v>0</v>
          </cell>
        </row>
        <row r="124">
          <cell r="A124">
            <v>1</v>
          </cell>
          <cell r="B124">
            <v>6153210</v>
          </cell>
          <cell r="C124">
            <v>615321002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</row>
        <row r="125">
          <cell r="A125">
            <v>1</v>
          </cell>
          <cell r="B125">
            <v>6153210</v>
          </cell>
          <cell r="C125">
            <v>615321003</v>
          </cell>
          <cell r="I125">
            <v>739160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739160</v>
          </cell>
          <cell r="O125">
            <v>0</v>
          </cell>
          <cell r="P125">
            <v>0</v>
          </cell>
        </row>
        <row r="126">
          <cell r="A126">
            <v>1</v>
          </cell>
          <cell r="B126">
            <v>6153213</v>
          </cell>
          <cell r="C126">
            <v>615321300</v>
          </cell>
          <cell r="I126">
            <v>10417060</v>
          </cell>
          <cell r="J126">
            <v>0</v>
          </cell>
          <cell r="K126">
            <v>0</v>
          </cell>
          <cell r="L126">
            <v>0</v>
          </cell>
          <cell r="M126">
            <v>36840</v>
          </cell>
          <cell r="N126">
            <v>10380220</v>
          </cell>
          <cell r="O126">
            <v>0</v>
          </cell>
          <cell r="P126">
            <v>0</v>
          </cell>
        </row>
        <row r="127">
          <cell r="A127">
            <v>1</v>
          </cell>
          <cell r="B127">
            <v>6153214</v>
          </cell>
          <cell r="C127">
            <v>615321400</v>
          </cell>
          <cell r="I127">
            <v>1053838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1053838</v>
          </cell>
          <cell r="O127">
            <v>0</v>
          </cell>
          <cell r="P127">
            <v>0</v>
          </cell>
        </row>
        <row r="128">
          <cell r="A128">
            <v>1</v>
          </cell>
          <cell r="B128">
            <v>6153215</v>
          </cell>
          <cell r="C128">
            <v>615321500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</row>
        <row r="129">
          <cell r="A129">
            <v>1</v>
          </cell>
          <cell r="B129">
            <v>6153217</v>
          </cell>
          <cell r="C129">
            <v>615321700</v>
          </cell>
          <cell r="I129">
            <v>2423102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2423102</v>
          </cell>
          <cell r="O129">
            <v>0</v>
          </cell>
          <cell r="P129">
            <v>0</v>
          </cell>
        </row>
        <row r="130">
          <cell r="A130">
            <v>1</v>
          </cell>
          <cell r="B130">
            <v>6153219</v>
          </cell>
          <cell r="C130">
            <v>615321900</v>
          </cell>
          <cell r="I130">
            <v>357250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290850</v>
          </cell>
          <cell r="O130">
            <v>66400</v>
          </cell>
          <cell r="P130">
            <v>0</v>
          </cell>
        </row>
        <row r="131">
          <cell r="A131">
            <v>1</v>
          </cell>
          <cell r="B131">
            <v>6153220</v>
          </cell>
          <cell r="C131">
            <v>615322000</v>
          </cell>
          <cell r="I131">
            <v>13483332</v>
          </cell>
          <cell r="J131">
            <v>0</v>
          </cell>
          <cell r="K131">
            <v>0</v>
          </cell>
          <cell r="L131">
            <v>125712</v>
          </cell>
          <cell r="M131">
            <v>0</v>
          </cell>
          <cell r="N131">
            <v>7866081</v>
          </cell>
          <cell r="O131">
            <v>5491539</v>
          </cell>
          <cell r="P131">
            <v>0</v>
          </cell>
        </row>
        <row r="132">
          <cell r="A132">
            <v>1</v>
          </cell>
          <cell r="B132">
            <v>6153221</v>
          </cell>
          <cell r="C132">
            <v>615322100</v>
          </cell>
          <cell r="I132">
            <v>85827500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85827500</v>
          </cell>
          <cell r="O132">
            <v>0</v>
          </cell>
          <cell r="P132">
            <v>0</v>
          </cell>
        </row>
        <row r="133">
          <cell r="A133">
            <v>1</v>
          </cell>
          <cell r="B133">
            <v>6153223</v>
          </cell>
          <cell r="C133">
            <v>615322300</v>
          </cell>
          <cell r="I133">
            <v>1482466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1482466</v>
          </cell>
          <cell r="O133">
            <v>0</v>
          </cell>
          <cell r="P133">
            <v>0</v>
          </cell>
        </row>
        <row r="134">
          <cell r="A134">
            <v>1</v>
          </cell>
          <cell r="B134">
            <v>6153224</v>
          </cell>
          <cell r="C134">
            <v>615322400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</row>
        <row r="135">
          <cell r="A135">
            <v>1</v>
          </cell>
          <cell r="B135">
            <v>6153231</v>
          </cell>
          <cell r="C135">
            <v>615323100</v>
          </cell>
          <cell r="I135">
            <v>51295633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51295633</v>
          </cell>
          <cell r="O135">
            <v>0</v>
          </cell>
          <cell r="P135">
            <v>0</v>
          </cell>
        </row>
        <row r="136">
          <cell r="A136">
            <v>1</v>
          </cell>
          <cell r="B136">
            <v>6153237</v>
          </cell>
          <cell r="C136">
            <v>615323700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</row>
        <row r="137">
          <cell r="A137">
            <v>1</v>
          </cell>
          <cell r="B137">
            <v>6153239</v>
          </cell>
          <cell r="C137">
            <v>615323900</v>
          </cell>
          <cell r="I137">
            <v>557452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557452</v>
          </cell>
          <cell r="P137">
            <v>0</v>
          </cell>
        </row>
        <row r="138">
          <cell r="A138">
            <v>1</v>
          </cell>
          <cell r="B138">
            <v>6153240</v>
          </cell>
          <cell r="C138">
            <v>615324000</v>
          </cell>
          <cell r="I138">
            <v>240506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240506</v>
          </cell>
        </row>
        <row r="139">
          <cell r="A139">
            <v>1</v>
          </cell>
          <cell r="B139">
            <v>6153241</v>
          </cell>
          <cell r="C139">
            <v>615324100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A140">
            <v>1</v>
          </cell>
          <cell r="B140">
            <v>6153265</v>
          </cell>
          <cell r="C140">
            <v>615326500</v>
          </cell>
          <cell r="I140">
            <v>14830375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4022760</v>
          </cell>
          <cell r="P140">
            <v>10807615</v>
          </cell>
        </row>
        <row r="141">
          <cell r="A141">
            <v>1</v>
          </cell>
          <cell r="B141">
            <v>6153269</v>
          </cell>
          <cell r="C141">
            <v>615326900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</row>
        <row r="142">
          <cell r="A142">
            <v>1</v>
          </cell>
          <cell r="B142">
            <v>6153270</v>
          </cell>
          <cell r="C142">
            <v>615327000</v>
          </cell>
          <cell r="I142">
            <v>275990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275990</v>
          </cell>
          <cell r="O142">
            <v>0</v>
          </cell>
          <cell r="P142">
            <v>0</v>
          </cell>
        </row>
        <row r="143">
          <cell r="A143">
            <v>1</v>
          </cell>
          <cell r="B143">
            <v>6153271</v>
          </cell>
          <cell r="C143">
            <v>615327100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4">
          <cell r="A144">
            <v>1</v>
          </cell>
          <cell r="B144">
            <v>6153272</v>
          </cell>
          <cell r="C144">
            <v>615327200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</row>
        <row r="145">
          <cell r="A145">
            <v>1</v>
          </cell>
          <cell r="B145">
            <v>6153273</v>
          </cell>
          <cell r="C145">
            <v>615327300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</row>
        <row r="146">
          <cell r="A146">
            <v>1</v>
          </cell>
          <cell r="B146">
            <v>6153274</v>
          </cell>
          <cell r="C146">
            <v>615327400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</row>
        <row r="147">
          <cell r="A147">
            <v>1</v>
          </cell>
          <cell r="B147">
            <v>6153275</v>
          </cell>
          <cell r="C147">
            <v>615327583</v>
          </cell>
          <cell r="I147">
            <v>13601868302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13601868302</v>
          </cell>
          <cell r="O147">
            <v>0</v>
          </cell>
          <cell r="P147">
            <v>0</v>
          </cell>
        </row>
        <row r="148">
          <cell r="A148">
            <v>1</v>
          </cell>
          <cell r="B148">
            <v>6153275</v>
          </cell>
          <cell r="C148">
            <v>615327584</v>
          </cell>
          <cell r="I148">
            <v>59375146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59375146</v>
          </cell>
        </row>
        <row r="149">
          <cell r="A149">
            <v>1</v>
          </cell>
          <cell r="B149">
            <v>6153275</v>
          </cell>
          <cell r="C149">
            <v>615327585</v>
          </cell>
          <cell r="I149">
            <v>867470663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867470663</v>
          </cell>
          <cell r="O149">
            <v>0</v>
          </cell>
          <cell r="P149">
            <v>0</v>
          </cell>
        </row>
        <row r="150">
          <cell r="A150">
            <v>1</v>
          </cell>
          <cell r="B150">
            <v>6153275</v>
          </cell>
          <cell r="C150">
            <v>615327586</v>
          </cell>
          <cell r="I150">
            <v>273840500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273840500</v>
          </cell>
          <cell r="O150">
            <v>0</v>
          </cell>
          <cell r="P150">
            <v>0</v>
          </cell>
        </row>
        <row r="151">
          <cell r="A151">
            <v>1</v>
          </cell>
          <cell r="B151">
            <v>6153275</v>
          </cell>
          <cell r="C151">
            <v>615327587</v>
          </cell>
          <cell r="I151">
            <v>25650977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1500075</v>
          </cell>
          <cell r="O151">
            <v>0</v>
          </cell>
          <cell r="P151">
            <v>24150902</v>
          </cell>
        </row>
        <row r="152">
          <cell r="A152">
            <v>1</v>
          </cell>
          <cell r="B152">
            <v>6153275</v>
          </cell>
          <cell r="C152">
            <v>615327588</v>
          </cell>
          <cell r="I152">
            <v>2958420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2958420</v>
          </cell>
          <cell r="P152">
            <v>0</v>
          </cell>
        </row>
        <row r="153">
          <cell r="A153">
            <v>1</v>
          </cell>
          <cell r="B153">
            <v>6153801</v>
          </cell>
          <cell r="C153">
            <v>615380102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A154">
            <v>1</v>
          </cell>
          <cell r="B154">
            <v>6153801</v>
          </cell>
          <cell r="C154">
            <v>615380103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A155">
            <v>1</v>
          </cell>
          <cell r="B155">
            <v>6153801</v>
          </cell>
          <cell r="C155">
            <v>615380104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A156">
            <v>1</v>
          </cell>
          <cell r="B156">
            <v>6153801</v>
          </cell>
          <cell r="C156">
            <v>615380105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A157">
            <v>1</v>
          </cell>
          <cell r="B157">
            <v>6153802</v>
          </cell>
          <cell r="C157">
            <v>615380202</v>
          </cell>
          <cell r="I157">
            <v>4694400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4694400</v>
          </cell>
        </row>
        <row r="158">
          <cell r="A158">
            <v>1</v>
          </cell>
          <cell r="B158">
            <v>6153803</v>
          </cell>
          <cell r="C158">
            <v>615380301</v>
          </cell>
          <cell r="I158">
            <v>495480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495480</v>
          </cell>
        </row>
        <row r="159">
          <cell r="A159">
            <v>1</v>
          </cell>
          <cell r="B159">
            <v>6153803</v>
          </cell>
          <cell r="C159">
            <v>615380302</v>
          </cell>
          <cell r="I159">
            <v>260400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260400</v>
          </cell>
        </row>
        <row r="160">
          <cell r="A160">
            <v>1</v>
          </cell>
          <cell r="B160">
            <v>6153803</v>
          </cell>
          <cell r="C160">
            <v>615380303</v>
          </cell>
          <cell r="I160">
            <v>2237499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2237499</v>
          </cell>
        </row>
        <row r="161">
          <cell r="A161">
            <v>1</v>
          </cell>
          <cell r="B161">
            <v>6153803</v>
          </cell>
          <cell r="C161">
            <v>615380304</v>
          </cell>
          <cell r="I161">
            <v>168200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168200</v>
          </cell>
          <cell r="O161">
            <v>0</v>
          </cell>
          <cell r="P161">
            <v>0</v>
          </cell>
        </row>
        <row r="162">
          <cell r="A162">
            <v>1</v>
          </cell>
          <cell r="B162">
            <v>6153803</v>
          </cell>
          <cell r="C162">
            <v>615380305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</row>
        <row r="163">
          <cell r="A163">
            <v>1</v>
          </cell>
          <cell r="B163">
            <v>6153803</v>
          </cell>
          <cell r="C163">
            <v>615380306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</row>
        <row r="164">
          <cell r="A164">
            <v>1</v>
          </cell>
          <cell r="B164">
            <v>6153803</v>
          </cell>
          <cell r="C164">
            <v>615380307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</row>
        <row r="165">
          <cell r="A165">
            <v>1</v>
          </cell>
          <cell r="B165">
            <v>6153803</v>
          </cell>
          <cell r="C165">
            <v>615380310</v>
          </cell>
          <cell r="I165">
            <v>10281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10281</v>
          </cell>
        </row>
        <row r="166">
          <cell r="A166">
            <v>1</v>
          </cell>
          <cell r="B166">
            <v>6153803</v>
          </cell>
          <cell r="C166">
            <v>615380311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</row>
        <row r="167">
          <cell r="A167">
            <v>1</v>
          </cell>
          <cell r="B167">
            <v>6153803</v>
          </cell>
          <cell r="C167">
            <v>615380314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</row>
        <row r="168">
          <cell r="A168">
            <v>1</v>
          </cell>
          <cell r="B168">
            <v>6153803</v>
          </cell>
          <cell r="C168">
            <v>615380315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</row>
        <row r="169">
          <cell r="A169">
            <v>1</v>
          </cell>
          <cell r="B169">
            <v>6153804</v>
          </cell>
          <cell r="C169">
            <v>615380401</v>
          </cell>
          <cell r="I169">
            <v>1191868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1191868</v>
          </cell>
          <cell r="P169">
            <v>0</v>
          </cell>
        </row>
        <row r="170">
          <cell r="A170">
            <v>1</v>
          </cell>
          <cell r="B170">
            <v>6153804</v>
          </cell>
          <cell r="C170">
            <v>615380402</v>
          </cell>
          <cell r="I170">
            <v>7032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7032</v>
          </cell>
        </row>
        <row r="171">
          <cell r="A171">
            <v>1</v>
          </cell>
          <cell r="B171">
            <v>6153804</v>
          </cell>
          <cell r="C171">
            <v>615380403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</row>
        <row r="172">
          <cell r="A172">
            <v>1</v>
          </cell>
          <cell r="B172">
            <v>6153804</v>
          </cell>
          <cell r="C172">
            <v>615380405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</row>
        <row r="173">
          <cell r="A173">
            <v>1</v>
          </cell>
          <cell r="B173">
            <v>6153804</v>
          </cell>
          <cell r="C173">
            <v>615380406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</row>
        <row r="174">
          <cell r="A174">
            <v>1</v>
          </cell>
          <cell r="B174">
            <v>6153804</v>
          </cell>
          <cell r="C174">
            <v>615380407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</row>
        <row r="175">
          <cell r="A175">
            <v>1</v>
          </cell>
          <cell r="B175">
            <v>6153804</v>
          </cell>
          <cell r="C175">
            <v>615380408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</row>
        <row r="176">
          <cell r="A176">
            <v>1</v>
          </cell>
          <cell r="B176">
            <v>6153804</v>
          </cell>
          <cell r="C176">
            <v>615380410</v>
          </cell>
          <cell r="I176">
            <v>455365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455365</v>
          </cell>
          <cell r="P176">
            <v>0</v>
          </cell>
        </row>
        <row r="177">
          <cell r="A177">
            <v>1</v>
          </cell>
          <cell r="B177">
            <v>6153805</v>
          </cell>
          <cell r="C177">
            <v>615380500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</row>
        <row r="178">
          <cell r="A178">
            <v>1</v>
          </cell>
          <cell r="B178">
            <v>6153807</v>
          </cell>
          <cell r="C178">
            <v>615380700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</row>
        <row r="179">
          <cell r="A179">
            <v>1</v>
          </cell>
          <cell r="B179">
            <v>6153808</v>
          </cell>
          <cell r="C179">
            <v>615380800</v>
          </cell>
          <cell r="I179">
            <v>534257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534257</v>
          </cell>
        </row>
        <row r="180">
          <cell r="A180">
            <v>1</v>
          </cell>
          <cell r="B180">
            <v>6153810</v>
          </cell>
          <cell r="C180">
            <v>615381001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</row>
        <row r="181">
          <cell r="A181">
            <v>1</v>
          </cell>
          <cell r="B181">
            <v>6153810</v>
          </cell>
          <cell r="C181">
            <v>615381002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</row>
        <row r="182">
          <cell r="A182">
            <v>1</v>
          </cell>
          <cell r="B182">
            <v>6153810</v>
          </cell>
          <cell r="C182">
            <v>615381003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</row>
        <row r="183">
          <cell r="A183">
            <v>1</v>
          </cell>
          <cell r="B183">
            <v>6153813</v>
          </cell>
          <cell r="C183">
            <v>615381300</v>
          </cell>
          <cell r="I183">
            <v>274112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274112</v>
          </cell>
          <cell r="O183">
            <v>0</v>
          </cell>
          <cell r="P183">
            <v>0</v>
          </cell>
        </row>
        <row r="184">
          <cell r="A184">
            <v>1</v>
          </cell>
          <cell r="B184">
            <v>6153814</v>
          </cell>
          <cell r="C184">
            <v>615381400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</row>
        <row r="185">
          <cell r="A185">
            <v>1</v>
          </cell>
          <cell r="B185">
            <v>6153815</v>
          </cell>
          <cell r="C185">
            <v>615381500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</row>
        <row r="186">
          <cell r="A186">
            <v>1</v>
          </cell>
          <cell r="B186">
            <v>6153817</v>
          </cell>
          <cell r="C186">
            <v>615381700</v>
          </cell>
          <cell r="I186">
            <v>75214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75214</v>
          </cell>
          <cell r="O186">
            <v>0</v>
          </cell>
          <cell r="P186">
            <v>0</v>
          </cell>
        </row>
        <row r="187">
          <cell r="A187">
            <v>1</v>
          </cell>
          <cell r="B187">
            <v>6153819</v>
          </cell>
          <cell r="C187">
            <v>615381900</v>
          </cell>
          <cell r="I187">
            <v>1016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1016</v>
          </cell>
          <cell r="O187">
            <v>0</v>
          </cell>
          <cell r="P187">
            <v>0</v>
          </cell>
        </row>
        <row r="188">
          <cell r="A188">
            <v>1</v>
          </cell>
          <cell r="B188">
            <v>6153820</v>
          </cell>
          <cell r="C188">
            <v>615382000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</row>
        <row r="189">
          <cell r="A189">
            <v>1</v>
          </cell>
          <cell r="B189">
            <v>6153821</v>
          </cell>
          <cell r="C189">
            <v>615382100</v>
          </cell>
          <cell r="I189">
            <v>5356549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5356549</v>
          </cell>
          <cell r="O189">
            <v>0</v>
          </cell>
          <cell r="P189">
            <v>0</v>
          </cell>
        </row>
        <row r="190">
          <cell r="A190">
            <v>1</v>
          </cell>
          <cell r="B190">
            <v>6153823</v>
          </cell>
          <cell r="C190">
            <v>615382300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</row>
        <row r="191">
          <cell r="A191">
            <v>1</v>
          </cell>
          <cell r="B191">
            <v>6153824</v>
          </cell>
          <cell r="C191">
            <v>615382400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</row>
        <row r="192">
          <cell r="A192">
            <v>1</v>
          </cell>
          <cell r="B192">
            <v>6153831</v>
          </cell>
          <cell r="C192">
            <v>615383100</v>
          </cell>
          <cell r="I192">
            <v>98684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98684</v>
          </cell>
          <cell r="O192">
            <v>0</v>
          </cell>
          <cell r="P192">
            <v>0</v>
          </cell>
        </row>
        <row r="193">
          <cell r="A193">
            <v>1</v>
          </cell>
          <cell r="B193">
            <v>6153837</v>
          </cell>
          <cell r="C193">
            <v>615383700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</row>
        <row r="194">
          <cell r="A194">
            <v>1</v>
          </cell>
          <cell r="B194">
            <v>6153839</v>
          </cell>
          <cell r="C194">
            <v>615383900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</row>
        <row r="195">
          <cell r="A195">
            <v>1</v>
          </cell>
          <cell r="B195">
            <v>6153840</v>
          </cell>
          <cell r="C195">
            <v>615384000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</row>
        <row r="196">
          <cell r="A196">
            <v>1</v>
          </cell>
          <cell r="B196">
            <v>6153841</v>
          </cell>
          <cell r="C196">
            <v>615384100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A197">
            <v>1</v>
          </cell>
          <cell r="B197">
            <v>6153865</v>
          </cell>
          <cell r="C197">
            <v>615386500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</row>
        <row r="198">
          <cell r="A198">
            <v>1</v>
          </cell>
          <cell r="B198">
            <v>6153869</v>
          </cell>
          <cell r="C198">
            <v>615386900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A199">
            <v>1</v>
          </cell>
          <cell r="B199">
            <v>6153870</v>
          </cell>
          <cell r="C199">
            <v>615387000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</row>
        <row r="200">
          <cell r="A200">
            <v>1</v>
          </cell>
          <cell r="B200">
            <v>6153871</v>
          </cell>
          <cell r="C200">
            <v>615387100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</row>
        <row r="201">
          <cell r="A201">
            <v>1</v>
          </cell>
          <cell r="B201">
            <v>6153872</v>
          </cell>
          <cell r="C201">
            <v>615387200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</row>
        <row r="202">
          <cell r="A202">
            <v>1</v>
          </cell>
          <cell r="B202">
            <v>6153873</v>
          </cell>
          <cell r="C202">
            <v>615387300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</row>
        <row r="203">
          <cell r="A203">
            <v>1</v>
          </cell>
          <cell r="B203">
            <v>6153874</v>
          </cell>
          <cell r="C203">
            <v>615387400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A204">
            <v>1</v>
          </cell>
          <cell r="B204">
            <v>6153875</v>
          </cell>
          <cell r="C204">
            <v>615387583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</row>
        <row r="205">
          <cell r="A205">
            <v>1</v>
          </cell>
          <cell r="B205">
            <v>6153875</v>
          </cell>
          <cell r="C205">
            <v>615387584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</row>
        <row r="206">
          <cell r="A206">
            <v>1</v>
          </cell>
          <cell r="B206">
            <v>6153875</v>
          </cell>
          <cell r="C206">
            <v>615387585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</row>
        <row r="207">
          <cell r="A207">
            <v>1</v>
          </cell>
          <cell r="B207">
            <v>6153875</v>
          </cell>
          <cell r="C207">
            <v>615387586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</row>
        <row r="208">
          <cell r="A208">
            <v>1</v>
          </cell>
          <cell r="B208">
            <v>6153875</v>
          </cell>
          <cell r="C208">
            <v>615387587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</row>
        <row r="209">
          <cell r="A209">
            <v>1</v>
          </cell>
          <cell r="B209">
            <v>6154075</v>
          </cell>
          <cell r="C209">
            <v>615407583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</row>
        <row r="210">
          <cell r="A210">
            <v>1</v>
          </cell>
          <cell r="B210">
            <v>6154075</v>
          </cell>
          <cell r="C210">
            <v>615407584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</row>
        <row r="211">
          <cell r="A211">
            <v>1</v>
          </cell>
          <cell r="B211">
            <v>6154075</v>
          </cell>
          <cell r="C211">
            <v>615407585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</row>
        <row r="212">
          <cell r="A212">
            <v>1</v>
          </cell>
          <cell r="B212">
            <v>6154075</v>
          </cell>
          <cell r="C212">
            <v>615407586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</row>
        <row r="213">
          <cell r="A213">
            <v>1</v>
          </cell>
          <cell r="B213">
            <v>6154075</v>
          </cell>
          <cell r="C213">
            <v>615407587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</row>
        <row r="214">
          <cell r="A214">
            <v>1</v>
          </cell>
          <cell r="B214">
            <v>6154201</v>
          </cell>
          <cell r="C214">
            <v>615420102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</row>
        <row r="215">
          <cell r="A215">
            <v>1</v>
          </cell>
          <cell r="B215">
            <v>6154201</v>
          </cell>
          <cell r="C215">
            <v>615420103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</row>
        <row r="216">
          <cell r="A216">
            <v>1</v>
          </cell>
          <cell r="B216">
            <v>6154201</v>
          </cell>
          <cell r="C216">
            <v>615420104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</row>
        <row r="217">
          <cell r="A217">
            <v>1</v>
          </cell>
          <cell r="B217">
            <v>6154201</v>
          </cell>
          <cell r="C217">
            <v>615420105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</row>
        <row r="218">
          <cell r="A218">
            <v>1</v>
          </cell>
          <cell r="B218">
            <v>6154202</v>
          </cell>
          <cell r="C218">
            <v>615420202</v>
          </cell>
          <cell r="I218">
            <v>67726400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67726400</v>
          </cell>
        </row>
        <row r="219">
          <cell r="A219">
            <v>1</v>
          </cell>
          <cell r="B219">
            <v>6154203</v>
          </cell>
          <cell r="C219">
            <v>615420301</v>
          </cell>
          <cell r="I219">
            <v>7045640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7045640</v>
          </cell>
        </row>
        <row r="220">
          <cell r="A220">
            <v>1</v>
          </cell>
          <cell r="B220">
            <v>6154203</v>
          </cell>
          <cell r="C220">
            <v>615420302</v>
          </cell>
          <cell r="I220">
            <v>1964400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1964400</v>
          </cell>
        </row>
        <row r="221">
          <cell r="A221">
            <v>1</v>
          </cell>
          <cell r="B221">
            <v>6154203</v>
          </cell>
          <cell r="C221">
            <v>615420303</v>
          </cell>
          <cell r="I221">
            <v>29010974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29010974</v>
          </cell>
        </row>
        <row r="222">
          <cell r="A222">
            <v>1</v>
          </cell>
          <cell r="B222">
            <v>6154203</v>
          </cell>
          <cell r="C222">
            <v>615420304</v>
          </cell>
          <cell r="I222">
            <v>2482140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2482140</v>
          </cell>
          <cell r="O222">
            <v>0</v>
          </cell>
          <cell r="P222">
            <v>0</v>
          </cell>
        </row>
        <row r="223">
          <cell r="A223">
            <v>1</v>
          </cell>
          <cell r="B223">
            <v>6154203</v>
          </cell>
          <cell r="C223">
            <v>615420305</v>
          </cell>
          <cell r="I223">
            <v>765600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765600</v>
          </cell>
        </row>
        <row r="224">
          <cell r="A224">
            <v>1</v>
          </cell>
          <cell r="B224">
            <v>6154203</v>
          </cell>
          <cell r="C224">
            <v>615420306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</row>
        <row r="225">
          <cell r="A225">
            <v>1</v>
          </cell>
          <cell r="B225">
            <v>6154203</v>
          </cell>
          <cell r="C225">
            <v>615420307</v>
          </cell>
          <cell r="I225">
            <v>62880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62880</v>
          </cell>
        </row>
        <row r="226">
          <cell r="A226">
            <v>1</v>
          </cell>
          <cell r="B226">
            <v>6154203</v>
          </cell>
          <cell r="C226">
            <v>615420310</v>
          </cell>
          <cell r="I226">
            <v>11610729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11610729</v>
          </cell>
        </row>
        <row r="227">
          <cell r="A227">
            <v>1</v>
          </cell>
          <cell r="B227">
            <v>6154203</v>
          </cell>
          <cell r="C227">
            <v>615420311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</row>
        <row r="228">
          <cell r="A228">
            <v>1</v>
          </cell>
          <cell r="B228">
            <v>6154203</v>
          </cell>
          <cell r="C228">
            <v>615420314</v>
          </cell>
          <cell r="I228">
            <v>2861400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2861400</v>
          </cell>
        </row>
        <row r="229">
          <cell r="A229">
            <v>1</v>
          </cell>
          <cell r="B229">
            <v>6154203</v>
          </cell>
          <cell r="C229">
            <v>615420315</v>
          </cell>
          <cell r="I229">
            <v>480000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480000</v>
          </cell>
        </row>
        <row r="230">
          <cell r="A230">
            <v>1</v>
          </cell>
          <cell r="B230">
            <v>6154204</v>
          </cell>
          <cell r="C230">
            <v>615420401</v>
          </cell>
          <cell r="I230">
            <v>17996187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17996187</v>
          </cell>
          <cell r="P230">
            <v>0</v>
          </cell>
        </row>
        <row r="231">
          <cell r="A231">
            <v>1</v>
          </cell>
          <cell r="B231">
            <v>6154204</v>
          </cell>
          <cell r="C231">
            <v>615420402</v>
          </cell>
          <cell r="I231">
            <v>101588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101588</v>
          </cell>
        </row>
        <row r="232">
          <cell r="A232">
            <v>1</v>
          </cell>
          <cell r="B232">
            <v>6154204</v>
          </cell>
          <cell r="C232">
            <v>615420403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</row>
        <row r="233">
          <cell r="A233">
            <v>1</v>
          </cell>
          <cell r="B233">
            <v>6154204</v>
          </cell>
          <cell r="C233">
            <v>615420405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</row>
        <row r="234">
          <cell r="A234">
            <v>1</v>
          </cell>
          <cell r="B234">
            <v>6154204</v>
          </cell>
          <cell r="C234">
            <v>615420406</v>
          </cell>
          <cell r="I234">
            <v>77742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77742</v>
          </cell>
          <cell r="P234">
            <v>0</v>
          </cell>
        </row>
        <row r="235">
          <cell r="A235">
            <v>1</v>
          </cell>
          <cell r="B235">
            <v>6154204</v>
          </cell>
          <cell r="C235">
            <v>615420407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</row>
        <row r="236">
          <cell r="A236">
            <v>1</v>
          </cell>
          <cell r="B236">
            <v>6154204</v>
          </cell>
          <cell r="C236">
            <v>615420408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</row>
        <row r="237">
          <cell r="A237">
            <v>1</v>
          </cell>
          <cell r="B237">
            <v>6154204</v>
          </cell>
          <cell r="C237">
            <v>615420410</v>
          </cell>
          <cell r="I237">
            <v>6437933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6437933</v>
          </cell>
          <cell r="P237">
            <v>0</v>
          </cell>
        </row>
        <row r="238">
          <cell r="A238">
            <v>1</v>
          </cell>
          <cell r="B238">
            <v>6154204</v>
          </cell>
          <cell r="C238">
            <v>615420411</v>
          </cell>
          <cell r="I238">
            <v>59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59</v>
          </cell>
          <cell r="P238">
            <v>0</v>
          </cell>
        </row>
        <row r="239">
          <cell r="A239">
            <v>1</v>
          </cell>
          <cell r="B239">
            <v>6154205</v>
          </cell>
          <cell r="C239">
            <v>615420500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</row>
        <row r="240">
          <cell r="A240">
            <v>1</v>
          </cell>
          <cell r="B240">
            <v>6154207</v>
          </cell>
          <cell r="C240">
            <v>615420700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</row>
        <row r="241">
          <cell r="A241">
            <v>1</v>
          </cell>
          <cell r="B241">
            <v>6154208</v>
          </cell>
          <cell r="C241">
            <v>615420800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</row>
        <row r="242">
          <cell r="A242">
            <v>1</v>
          </cell>
          <cell r="B242">
            <v>6154210</v>
          </cell>
          <cell r="C242">
            <v>615421001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</row>
        <row r="243">
          <cell r="A243">
            <v>1</v>
          </cell>
          <cell r="B243">
            <v>6154210</v>
          </cell>
          <cell r="C243">
            <v>615421002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</row>
        <row r="244">
          <cell r="A244">
            <v>1</v>
          </cell>
          <cell r="B244">
            <v>6154210</v>
          </cell>
          <cell r="C244">
            <v>615421003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</row>
        <row r="245">
          <cell r="A245">
            <v>1</v>
          </cell>
          <cell r="B245">
            <v>6154213</v>
          </cell>
          <cell r="C245">
            <v>615421300</v>
          </cell>
          <cell r="I245">
            <v>144037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144037</v>
          </cell>
          <cell r="O245">
            <v>0</v>
          </cell>
          <cell r="P245">
            <v>0</v>
          </cell>
        </row>
        <row r="246">
          <cell r="A246">
            <v>1</v>
          </cell>
          <cell r="B246">
            <v>6154214</v>
          </cell>
          <cell r="C246">
            <v>615421400</v>
          </cell>
          <cell r="I246">
            <v>181386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181386</v>
          </cell>
          <cell r="O246">
            <v>0</v>
          </cell>
          <cell r="P246">
            <v>0</v>
          </cell>
        </row>
        <row r="247">
          <cell r="A247">
            <v>1</v>
          </cell>
          <cell r="B247">
            <v>6154215</v>
          </cell>
          <cell r="C247">
            <v>615421500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</row>
        <row r="248">
          <cell r="A248">
            <v>1</v>
          </cell>
          <cell r="B248">
            <v>6154217</v>
          </cell>
          <cell r="C248">
            <v>615421700</v>
          </cell>
          <cell r="I248">
            <v>120705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120705</v>
          </cell>
          <cell r="O248">
            <v>0</v>
          </cell>
          <cell r="P248">
            <v>0</v>
          </cell>
        </row>
        <row r="249">
          <cell r="A249">
            <v>1</v>
          </cell>
          <cell r="B249">
            <v>6154219</v>
          </cell>
          <cell r="C249">
            <v>615421900</v>
          </cell>
          <cell r="I249">
            <v>3850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3850</v>
          </cell>
          <cell r="O249">
            <v>0</v>
          </cell>
          <cell r="P249">
            <v>0</v>
          </cell>
        </row>
        <row r="250">
          <cell r="A250">
            <v>1</v>
          </cell>
          <cell r="B250">
            <v>6154220</v>
          </cell>
          <cell r="C250">
            <v>615422000</v>
          </cell>
          <cell r="I250">
            <v>10980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10980</v>
          </cell>
          <cell r="O250">
            <v>0</v>
          </cell>
          <cell r="P250">
            <v>0</v>
          </cell>
        </row>
        <row r="251">
          <cell r="A251">
            <v>1</v>
          </cell>
          <cell r="B251">
            <v>6154221</v>
          </cell>
          <cell r="C251">
            <v>615422100</v>
          </cell>
          <cell r="I251">
            <v>1071341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1071341</v>
          </cell>
          <cell r="O251">
            <v>0</v>
          </cell>
          <cell r="P251">
            <v>0</v>
          </cell>
        </row>
        <row r="252">
          <cell r="A252">
            <v>1</v>
          </cell>
          <cell r="B252">
            <v>6154223</v>
          </cell>
          <cell r="C252">
            <v>615422300</v>
          </cell>
          <cell r="I252">
            <v>206580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206580</v>
          </cell>
          <cell r="O252">
            <v>0</v>
          </cell>
          <cell r="P252">
            <v>0</v>
          </cell>
        </row>
        <row r="253">
          <cell r="A253">
            <v>1</v>
          </cell>
          <cell r="B253">
            <v>6154224</v>
          </cell>
          <cell r="C253">
            <v>615422400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</row>
        <row r="254">
          <cell r="A254">
            <v>1</v>
          </cell>
          <cell r="B254">
            <v>6154231</v>
          </cell>
          <cell r="C254">
            <v>615423100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</row>
        <row r="255">
          <cell r="A255">
            <v>1</v>
          </cell>
          <cell r="B255">
            <v>6154237</v>
          </cell>
          <cell r="C255">
            <v>615423700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</row>
        <row r="256">
          <cell r="A256">
            <v>1</v>
          </cell>
          <cell r="B256">
            <v>6154239</v>
          </cell>
          <cell r="C256">
            <v>615423900</v>
          </cell>
          <cell r="I256">
            <v>10540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10540</v>
          </cell>
          <cell r="P256">
            <v>0</v>
          </cell>
        </row>
        <row r="257">
          <cell r="A257">
            <v>1</v>
          </cell>
          <cell r="B257">
            <v>6154240</v>
          </cell>
          <cell r="C257">
            <v>615424000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</row>
        <row r="258">
          <cell r="A258">
            <v>1</v>
          </cell>
          <cell r="B258">
            <v>6154241</v>
          </cell>
          <cell r="C258">
            <v>615424100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</row>
        <row r="259">
          <cell r="A259">
            <v>1</v>
          </cell>
          <cell r="B259">
            <v>6154265</v>
          </cell>
          <cell r="C259">
            <v>615426500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</row>
        <row r="260">
          <cell r="A260">
            <v>1</v>
          </cell>
          <cell r="B260">
            <v>6154269</v>
          </cell>
          <cell r="C260">
            <v>615426900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</row>
        <row r="261">
          <cell r="A261">
            <v>1</v>
          </cell>
          <cell r="B261">
            <v>6154270</v>
          </cell>
          <cell r="C261">
            <v>615427000</v>
          </cell>
          <cell r="I261">
            <v>1448370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1448370</v>
          </cell>
          <cell r="O261">
            <v>0</v>
          </cell>
          <cell r="P261">
            <v>0</v>
          </cell>
        </row>
        <row r="262">
          <cell r="A262">
            <v>1</v>
          </cell>
          <cell r="B262">
            <v>6154271</v>
          </cell>
          <cell r="C262">
            <v>615427100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</row>
        <row r="263">
          <cell r="A263">
            <v>1</v>
          </cell>
          <cell r="B263">
            <v>6154272</v>
          </cell>
          <cell r="C263">
            <v>615427200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</row>
        <row r="264">
          <cell r="A264">
            <v>1</v>
          </cell>
          <cell r="B264">
            <v>6154273</v>
          </cell>
          <cell r="C264">
            <v>615427300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</row>
        <row r="265">
          <cell r="A265">
            <v>1</v>
          </cell>
          <cell r="B265">
            <v>6154274</v>
          </cell>
          <cell r="C265">
            <v>615427400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</row>
        <row r="266">
          <cell r="A266">
            <v>1</v>
          </cell>
          <cell r="B266">
            <v>6154275</v>
          </cell>
          <cell r="C266">
            <v>615427583</v>
          </cell>
          <cell r="I266">
            <v>473572660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473572660</v>
          </cell>
          <cell r="O266">
            <v>0</v>
          </cell>
          <cell r="P266">
            <v>0</v>
          </cell>
        </row>
        <row r="267">
          <cell r="A267">
            <v>1</v>
          </cell>
          <cell r="B267">
            <v>6154275</v>
          </cell>
          <cell r="C267">
            <v>615427584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</row>
        <row r="268">
          <cell r="A268">
            <v>1</v>
          </cell>
          <cell r="B268">
            <v>6154275</v>
          </cell>
          <cell r="C268">
            <v>615427585</v>
          </cell>
          <cell r="I268">
            <v>28758400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28758400</v>
          </cell>
          <cell r="O268">
            <v>0</v>
          </cell>
          <cell r="P268">
            <v>0</v>
          </cell>
        </row>
        <row r="269">
          <cell r="A269">
            <v>1</v>
          </cell>
          <cell r="B269">
            <v>6154275</v>
          </cell>
          <cell r="C269">
            <v>615427586</v>
          </cell>
          <cell r="I269">
            <v>10619400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10619400</v>
          </cell>
          <cell r="O269">
            <v>0</v>
          </cell>
          <cell r="P269">
            <v>0</v>
          </cell>
        </row>
        <row r="270">
          <cell r="A270">
            <v>1</v>
          </cell>
          <cell r="B270">
            <v>6154275</v>
          </cell>
          <cell r="C270">
            <v>615427587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</row>
        <row r="271">
          <cell r="A271">
            <v>1</v>
          </cell>
          <cell r="B271">
            <v>6154275</v>
          </cell>
          <cell r="C271">
            <v>615427588</v>
          </cell>
          <cell r="I271">
            <v>328230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328230</v>
          </cell>
          <cell r="P271">
            <v>0</v>
          </cell>
        </row>
        <row r="272">
          <cell r="A272">
            <v>1</v>
          </cell>
          <cell r="B272">
            <v>6154601</v>
          </cell>
          <cell r="C272">
            <v>615460102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</row>
        <row r="273">
          <cell r="A273">
            <v>1</v>
          </cell>
          <cell r="B273">
            <v>6154601</v>
          </cell>
          <cell r="C273">
            <v>615460103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</row>
        <row r="274">
          <cell r="A274">
            <v>1</v>
          </cell>
          <cell r="B274">
            <v>6154601</v>
          </cell>
          <cell r="C274">
            <v>615460104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</row>
        <row r="275">
          <cell r="A275">
            <v>1</v>
          </cell>
          <cell r="B275">
            <v>6154601</v>
          </cell>
          <cell r="C275">
            <v>615460105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</row>
        <row r="276">
          <cell r="A276">
            <v>1</v>
          </cell>
          <cell r="B276">
            <v>6154602</v>
          </cell>
          <cell r="C276">
            <v>615460202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</row>
        <row r="277">
          <cell r="A277">
            <v>1</v>
          </cell>
          <cell r="B277">
            <v>6154603</v>
          </cell>
          <cell r="C277">
            <v>615460301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</row>
        <row r="278">
          <cell r="A278">
            <v>1</v>
          </cell>
          <cell r="B278">
            <v>6154603</v>
          </cell>
          <cell r="C278">
            <v>615460302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</row>
        <row r="279">
          <cell r="A279">
            <v>1</v>
          </cell>
          <cell r="B279">
            <v>6154603</v>
          </cell>
          <cell r="C279">
            <v>615460303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</row>
        <row r="280">
          <cell r="A280">
            <v>1</v>
          </cell>
          <cell r="B280">
            <v>6154603</v>
          </cell>
          <cell r="C280">
            <v>615460304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</row>
        <row r="281">
          <cell r="A281">
            <v>1</v>
          </cell>
          <cell r="B281">
            <v>6154603</v>
          </cell>
          <cell r="C281">
            <v>615460305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</row>
        <row r="282">
          <cell r="A282">
            <v>1</v>
          </cell>
          <cell r="B282">
            <v>6154603</v>
          </cell>
          <cell r="C282">
            <v>615460306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</row>
        <row r="283">
          <cell r="A283">
            <v>1</v>
          </cell>
          <cell r="B283">
            <v>6154603</v>
          </cell>
          <cell r="C283">
            <v>615460307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</row>
        <row r="284">
          <cell r="A284">
            <v>1</v>
          </cell>
          <cell r="B284">
            <v>6154603</v>
          </cell>
          <cell r="C284">
            <v>615460310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</row>
        <row r="285">
          <cell r="A285">
            <v>1</v>
          </cell>
          <cell r="B285">
            <v>6154603</v>
          </cell>
          <cell r="C285">
            <v>615460311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</row>
        <row r="286">
          <cell r="A286">
            <v>1</v>
          </cell>
          <cell r="B286">
            <v>6154603</v>
          </cell>
          <cell r="C286">
            <v>615460314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</row>
        <row r="287">
          <cell r="A287">
            <v>1</v>
          </cell>
          <cell r="B287">
            <v>6154603</v>
          </cell>
          <cell r="C287">
            <v>615460315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</row>
        <row r="288">
          <cell r="A288">
            <v>1</v>
          </cell>
          <cell r="B288">
            <v>6154604</v>
          </cell>
          <cell r="C288">
            <v>615460401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</row>
        <row r="289">
          <cell r="A289">
            <v>1</v>
          </cell>
          <cell r="B289">
            <v>6154604</v>
          </cell>
          <cell r="C289">
            <v>615460402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</row>
        <row r="290">
          <cell r="A290">
            <v>1</v>
          </cell>
          <cell r="B290">
            <v>6154604</v>
          </cell>
          <cell r="C290">
            <v>615460403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</row>
        <row r="291">
          <cell r="A291">
            <v>1</v>
          </cell>
          <cell r="B291">
            <v>6154604</v>
          </cell>
          <cell r="C291">
            <v>615460405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</row>
        <row r="292">
          <cell r="A292">
            <v>1</v>
          </cell>
          <cell r="B292">
            <v>6154604</v>
          </cell>
          <cell r="C292">
            <v>615460406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</row>
        <row r="293">
          <cell r="A293">
            <v>1</v>
          </cell>
          <cell r="B293">
            <v>6154604</v>
          </cell>
          <cell r="C293">
            <v>615460407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</row>
        <row r="294">
          <cell r="A294">
            <v>1</v>
          </cell>
          <cell r="B294">
            <v>6154604</v>
          </cell>
          <cell r="C294">
            <v>615460408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</row>
        <row r="295">
          <cell r="A295">
            <v>1</v>
          </cell>
          <cell r="B295">
            <v>6154604</v>
          </cell>
          <cell r="C295">
            <v>615460410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</row>
        <row r="296">
          <cell r="A296">
            <v>1</v>
          </cell>
          <cell r="B296">
            <v>6154605</v>
          </cell>
          <cell r="C296">
            <v>615460500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</row>
        <row r="297">
          <cell r="A297">
            <v>1</v>
          </cell>
          <cell r="B297">
            <v>6154607</v>
          </cell>
          <cell r="C297">
            <v>615460700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</row>
        <row r="298">
          <cell r="A298">
            <v>1</v>
          </cell>
          <cell r="B298">
            <v>6154608</v>
          </cell>
          <cell r="C298">
            <v>615460800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</row>
        <row r="299">
          <cell r="A299">
            <v>1</v>
          </cell>
          <cell r="B299">
            <v>6154610</v>
          </cell>
          <cell r="C299">
            <v>615461001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</row>
        <row r="300">
          <cell r="A300">
            <v>1</v>
          </cell>
          <cell r="B300">
            <v>6154610</v>
          </cell>
          <cell r="C300">
            <v>615461002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</row>
        <row r="301">
          <cell r="A301">
            <v>1</v>
          </cell>
          <cell r="B301">
            <v>6154610</v>
          </cell>
          <cell r="C301">
            <v>615461003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</row>
        <row r="302">
          <cell r="A302">
            <v>1</v>
          </cell>
          <cell r="B302">
            <v>6154613</v>
          </cell>
          <cell r="C302">
            <v>615461300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</row>
        <row r="303">
          <cell r="A303">
            <v>1</v>
          </cell>
          <cell r="B303">
            <v>6154614</v>
          </cell>
          <cell r="C303">
            <v>615461400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</row>
        <row r="304">
          <cell r="A304">
            <v>1</v>
          </cell>
          <cell r="B304">
            <v>6154615</v>
          </cell>
          <cell r="C304">
            <v>615461500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</row>
        <row r="305">
          <cell r="A305">
            <v>1</v>
          </cell>
          <cell r="B305">
            <v>6154617</v>
          </cell>
          <cell r="C305">
            <v>615461700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</row>
        <row r="306">
          <cell r="A306">
            <v>1</v>
          </cell>
          <cell r="B306">
            <v>6154619</v>
          </cell>
          <cell r="C306">
            <v>615461900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</row>
        <row r="307">
          <cell r="A307">
            <v>1</v>
          </cell>
          <cell r="B307">
            <v>6154620</v>
          </cell>
          <cell r="C307">
            <v>615462000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</row>
        <row r="308">
          <cell r="A308">
            <v>1</v>
          </cell>
          <cell r="B308">
            <v>6154621</v>
          </cell>
          <cell r="C308">
            <v>615462100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</row>
        <row r="309">
          <cell r="A309">
            <v>1</v>
          </cell>
          <cell r="B309">
            <v>6154623</v>
          </cell>
          <cell r="C309">
            <v>615462300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</row>
        <row r="310">
          <cell r="A310">
            <v>1</v>
          </cell>
          <cell r="B310">
            <v>6154624</v>
          </cell>
          <cell r="C310">
            <v>615462400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</row>
        <row r="311">
          <cell r="A311">
            <v>1</v>
          </cell>
          <cell r="B311">
            <v>6154631</v>
          </cell>
          <cell r="C311">
            <v>615463100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</row>
        <row r="312">
          <cell r="A312">
            <v>1</v>
          </cell>
          <cell r="B312">
            <v>6154637</v>
          </cell>
          <cell r="C312">
            <v>615463700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</row>
        <row r="313">
          <cell r="A313">
            <v>1</v>
          </cell>
          <cell r="B313">
            <v>6154639</v>
          </cell>
          <cell r="C313">
            <v>615463900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</row>
        <row r="314">
          <cell r="A314">
            <v>1</v>
          </cell>
          <cell r="B314">
            <v>6154640</v>
          </cell>
          <cell r="C314">
            <v>615464000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</row>
        <row r="315">
          <cell r="A315">
            <v>1</v>
          </cell>
          <cell r="B315">
            <v>6154641</v>
          </cell>
          <cell r="C315">
            <v>615464100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</row>
        <row r="316">
          <cell r="A316">
            <v>1</v>
          </cell>
          <cell r="B316">
            <v>6154665</v>
          </cell>
          <cell r="C316">
            <v>615466500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</row>
        <row r="317">
          <cell r="A317">
            <v>1</v>
          </cell>
          <cell r="B317">
            <v>6154669</v>
          </cell>
          <cell r="C317">
            <v>615466900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</row>
        <row r="318">
          <cell r="A318">
            <v>1</v>
          </cell>
          <cell r="B318">
            <v>6154670</v>
          </cell>
          <cell r="C318">
            <v>615467000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</row>
        <row r="319">
          <cell r="A319">
            <v>1</v>
          </cell>
          <cell r="B319">
            <v>6154671</v>
          </cell>
          <cell r="C319">
            <v>615467100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</row>
        <row r="320">
          <cell r="A320">
            <v>1</v>
          </cell>
          <cell r="B320">
            <v>6154672</v>
          </cell>
          <cell r="C320">
            <v>615467200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</row>
        <row r="321">
          <cell r="A321">
            <v>1</v>
          </cell>
          <cell r="B321">
            <v>6154673</v>
          </cell>
          <cell r="C321">
            <v>615467300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</row>
        <row r="322">
          <cell r="A322">
            <v>1</v>
          </cell>
          <cell r="B322">
            <v>6154674</v>
          </cell>
          <cell r="C322">
            <v>615467400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</row>
        <row r="323">
          <cell r="A323">
            <v>1</v>
          </cell>
          <cell r="B323">
            <v>6154675</v>
          </cell>
          <cell r="C323">
            <v>615467583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</row>
        <row r="324">
          <cell r="A324">
            <v>1</v>
          </cell>
          <cell r="B324">
            <v>6154675</v>
          </cell>
          <cell r="C324">
            <v>615467584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</row>
        <row r="325">
          <cell r="A325">
            <v>1</v>
          </cell>
          <cell r="B325">
            <v>6154675</v>
          </cell>
          <cell r="C325">
            <v>615467585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</row>
        <row r="326">
          <cell r="A326">
            <v>1</v>
          </cell>
          <cell r="B326">
            <v>6154675</v>
          </cell>
          <cell r="C326">
            <v>615467586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</row>
        <row r="327">
          <cell r="A327">
            <v>1</v>
          </cell>
          <cell r="B327">
            <v>6154675</v>
          </cell>
          <cell r="C327">
            <v>615467587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</row>
        <row r="328">
          <cell r="A328">
            <v>1</v>
          </cell>
          <cell r="B328">
            <v>6154675</v>
          </cell>
          <cell r="C328">
            <v>615467588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</row>
        <row r="329">
          <cell r="A329">
            <v>1</v>
          </cell>
          <cell r="B329">
            <v>6154775</v>
          </cell>
          <cell r="C329">
            <v>615477583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</row>
        <row r="330">
          <cell r="A330">
            <v>1</v>
          </cell>
          <cell r="B330">
            <v>6154775</v>
          </cell>
          <cell r="C330">
            <v>615477584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</row>
        <row r="331">
          <cell r="A331">
            <v>1</v>
          </cell>
          <cell r="B331">
            <v>6154775</v>
          </cell>
          <cell r="C331">
            <v>615477585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</row>
        <row r="332">
          <cell r="A332">
            <v>1</v>
          </cell>
          <cell r="B332">
            <v>6154775</v>
          </cell>
          <cell r="C332">
            <v>615477586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</row>
        <row r="333">
          <cell r="A333">
            <v>1</v>
          </cell>
          <cell r="B333">
            <v>6154775</v>
          </cell>
          <cell r="C333">
            <v>615477587</v>
          </cell>
          <cell r="I333">
            <v>131921564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121228564</v>
          </cell>
          <cell r="O333">
            <v>0</v>
          </cell>
          <cell r="P333">
            <v>10693000</v>
          </cell>
        </row>
        <row r="334">
          <cell r="A334">
            <v>1</v>
          </cell>
          <cell r="B334">
            <v>6154875</v>
          </cell>
          <cell r="C334">
            <v>615487583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</row>
        <row r="335">
          <cell r="A335">
            <v>1</v>
          </cell>
          <cell r="B335">
            <v>6154875</v>
          </cell>
          <cell r="C335">
            <v>615487584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</row>
        <row r="336">
          <cell r="A336">
            <v>1</v>
          </cell>
          <cell r="B336">
            <v>6154875</v>
          </cell>
          <cell r="C336">
            <v>615487585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</row>
        <row r="337">
          <cell r="A337">
            <v>1</v>
          </cell>
          <cell r="B337">
            <v>6154875</v>
          </cell>
          <cell r="C337">
            <v>615487586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</row>
        <row r="338">
          <cell r="A338">
            <v>1</v>
          </cell>
          <cell r="B338">
            <v>6154875</v>
          </cell>
          <cell r="C338">
            <v>615487587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</row>
        <row r="339">
          <cell r="A339">
            <v>1</v>
          </cell>
          <cell r="B339">
            <v>6155017</v>
          </cell>
          <cell r="C339">
            <v>615501700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</row>
        <row r="340">
          <cell r="A340">
            <v>1</v>
          </cell>
          <cell r="B340">
            <v>6155020</v>
          </cell>
          <cell r="C340">
            <v>615502000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</row>
        <row r="341">
          <cell r="A341">
            <v>1</v>
          </cell>
          <cell r="B341">
            <v>6155065</v>
          </cell>
          <cell r="C341">
            <v>615506500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</row>
        <row r="342">
          <cell r="A342">
            <v>1</v>
          </cell>
          <cell r="B342">
            <v>6155069</v>
          </cell>
          <cell r="C342">
            <v>615506900</v>
          </cell>
          <cell r="I342">
            <v>3003980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3003980</v>
          </cell>
          <cell r="O342">
            <v>0</v>
          </cell>
          <cell r="P342">
            <v>0</v>
          </cell>
        </row>
        <row r="343">
          <cell r="A343">
            <v>1</v>
          </cell>
          <cell r="B343">
            <v>6155070</v>
          </cell>
          <cell r="C343">
            <v>615507000</v>
          </cell>
          <cell r="I343">
            <v>6518930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6518930</v>
          </cell>
          <cell r="O343">
            <v>0</v>
          </cell>
          <cell r="P343">
            <v>0</v>
          </cell>
        </row>
        <row r="344">
          <cell r="A344">
            <v>1</v>
          </cell>
          <cell r="B344">
            <v>6155071</v>
          </cell>
          <cell r="C344">
            <v>615507100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</row>
        <row r="345">
          <cell r="A345">
            <v>1</v>
          </cell>
          <cell r="B345">
            <v>6155072</v>
          </cell>
          <cell r="C345">
            <v>615507200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</row>
        <row r="346">
          <cell r="A346">
            <v>1</v>
          </cell>
          <cell r="B346">
            <v>6155073</v>
          </cell>
          <cell r="C346">
            <v>615507300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</row>
        <row r="347">
          <cell r="A347">
            <v>1</v>
          </cell>
          <cell r="B347">
            <v>6155074</v>
          </cell>
          <cell r="C347">
            <v>615507400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</row>
        <row r="348">
          <cell r="A348">
            <v>1</v>
          </cell>
          <cell r="B348">
            <v>6155075</v>
          </cell>
          <cell r="C348">
            <v>615507583</v>
          </cell>
          <cell r="I348">
            <v>48126100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48126100</v>
          </cell>
          <cell r="O348">
            <v>0</v>
          </cell>
          <cell r="P348">
            <v>0</v>
          </cell>
        </row>
        <row r="349">
          <cell r="A349">
            <v>1</v>
          </cell>
          <cell r="B349">
            <v>6155075</v>
          </cell>
          <cell r="C349">
            <v>615507584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</row>
        <row r="350">
          <cell r="A350">
            <v>1</v>
          </cell>
          <cell r="B350">
            <v>6155075</v>
          </cell>
          <cell r="C350">
            <v>615507585</v>
          </cell>
          <cell r="I350">
            <v>1529000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1529000</v>
          </cell>
          <cell r="O350">
            <v>0</v>
          </cell>
          <cell r="P350">
            <v>0</v>
          </cell>
        </row>
        <row r="351">
          <cell r="A351">
            <v>1</v>
          </cell>
          <cell r="B351">
            <v>6155075</v>
          </cell>
          <cell r="C351">
            <v>615507586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</row>
        <row r="352">
          <cell r="A352">
            <v>1</v>
          </cell>
          <cell r="B352">
            <v>6155075</v>
          </cell>
          <cell r="C352">
            <v>615507587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</row>
        <row r="353">
          <cell r="A353">
            <v>1</v>
          </cell>
          <cell r="B353">
            <v>6155075</v>
          </cell>
          <cell r="C353">
            <v>615507588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</row>
        <row r="354">
          <cell r="A354">
            <v>1</v>
          </cell>
          <cell r="B354">
            <v>6155113</v>
          </cell>
          <cell r="C354">
            <v>615511300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</row>
        <row r="355">
          <cell r="A355">
            <v>1</v>
          </cell>
          <cell r="B355">
            <v>6155175</v>
          </cell>
          <cell r="C355">
            <v>615517583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</row>
        <row r="356">
          <cell r="A356">
            <v>1</v>
          </cell>
          <cell r="B356">
            <v>6155277</v>
          </cell>
          <cell r="C356">
            <v>615527700</v>
          </cell>
          <cell r="I356">
            <v>12600000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12600000</v>
          </cell>
          <cell r="P356">
            <v>0</v>
          </cell>
        </row>
        <row r="357">
          <cell r="A357">
            <v>1</v>
          </cell>
          <cell r="B357">
            <v>6155278</v>
          </cell>
          <cell r="C357">
            <v>615527800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</row>
        <row r="358">
          <cell r="A358">
            <v>1</v>
          </cell>
          <cell r="B358">
            <v>6160101</v>
          </cell>
          <cell r="C358">
            <v>616010100</v>
          </cell>
          <cell r="I358">
            <v>43813632761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43813632761</v>
          </cell>
        </row>
        <row r="359">
          <cell r="A359">
            <v>1</v>
          </cell>
          <cell r="B359">
            <v>6160102</v>
          </cell>
          <cell r="C359">
            <v>616010200</v>
          </cell>
          <cell r="I359">
            <v>25158531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25158531</v>
          </cell>
        </row>
        <row r="360">
          <cell r="A360">
            <v>1</v>
          </cell>
          <cell r="B360">
            <v>6160202</v>
          </cell>
          <cell r="C360">
            <v>616020200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</row>
        <row r="361">
          <cell r="A361">
            <v>1</v>
          </cell>
          <cell r="B361">
            <v>6160303</v>
          </cell>
          <cell r="C361">
            <v>616030300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</row>
        <row r="362">
          <cell r="A362">
            <v>1</v>
          </cell>
          <cell r="B362">
            <v>6170202</v>
          </cell>
          <cell r="C362">
            <v>617020200</v>
          </cell>
          <cell r="I362">
            <v>1040000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1040000</v>
          </cell>
        </row>
        <row r="363">
          <cell r="A363">
            <v>1</v>
          </cell>
          <cell r="B363">
            <v>6170204</v>
          </cell>
          <cell r="C363">
            <v>617020400</v>
          </cell>
          <cell r="I363">
            <v>874000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874000</v>
          </cell>
        </row>
        <row r="364">
          <cell r="A364">
            <v>1</v>
          </cell>
          <cell r="B364">
            <v>6170206</v>
          </cell>
          <cell r="C364">
            <v>617020600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</row>
        <row r="365">
          <cell r="A365">
            <v>1</v>
          </cell>
          <cell r="B365">
            <v>6170303</v>
          </cell>
          <cell r="C365">
            <v>617030300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</row>
        <row r="366">
          <cell r="A366">
            <v>1</v>
          </cell>
          <cell r="B366">
            <v>6170401</v>
          </cell>
          <cell r="C366">
            <v>617040100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</row>
        <row r="367">
          <cell r="A367">
            <v>1</v>
          </cell>
          <cell r="B367">
            <v>6170402</v>
          </cell>
          <cell r="C367">
            <v>617040200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</row>
        <row r="368">
          <cell r="A368">
            <v>1</v>
          </cell>
          <cell r="B368">
            <v>6170403</v>
          </cell>
          <cell r="C368">
            <v>617040300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</row>
        <row r="369">
          <cell r="A369">
            <v>1</v>
          </cell>
          <cell r="B369">
            <v>6181212</v>
          </cell>
          <cell r="C369">
            <v>618121200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</row>
        <row r="370">
          <cell r="A370">
            <v>1</v>
          </cell>
          <cell r="B370">
            <v>6181414</v>
          </cell>
          <cell r="C370">
            <v>618141400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</row>
        <row r="371">
          <cell r="A371">
            <v>1</v>
          </cell>
          <cell r="B371">
            <v>6182020</v>
          </cell>
          <cell r="C371">
            <v>618202000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</row>
        <row r="372">
          <cell r="A372">
            <v>1</v>
          </cell>
          <cell r="B372">
            <v>6190101</v>
          </cell>
          <cell r="C372">
            <v>619010100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</row>
        <row r="373">
          <cell r="A373">
            <v>1</v>
          </cell>
          <cell r="B373">
            <v>6200101</v>
          </cell>
          <cell r="C373">
            <v>620010100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</row>
        <row r="374">
          <cell r="A374">
            <v>1</v>
          </cell>
          <cell r="B374">
            <v>6210101</v>
          </cell>
          <cell r="C374">
            <v>621010100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</row>
        <row r="375">
          <cell r="A375">
            <v>1</v>
          </cell>
          <cell r="B375">
            <v>6220101</v>
          </cell>
          <cell r="C375">
            <v>622010100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</row>
        <row r="376">
          <cell r="A376">
            <v>1</v>
          </cell>
          <cell r="B376">
            <v>6900101</v>
          </cell>
          <cell r="C376">
            <v>690010100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</row>
        <row r="377">
          <cell r="A377">
            <v>1</v>
          </cell>
          <cell r="B377">
            <v>8830201</v>
          </cell>
          <cell r="C377">
            <v>883020102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</row>
        <row r="378">
          <cell r="A378">
            <v>1</v>
          </cell>
          <cell r="B378">
            <v>8830201</v>
          </cell>
          <cell r="C378">
            <v>883020103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</row>
        <row r="379">
          <cell r="A379">
            <v>1</v>
          </cell>
          <cell r="B379">
            <v>8830201</v>
          </cell>
          <cell r="C379">
            <v>883020104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</row>
        <row r="380">
          <cell r="A380">
            <v>1</v>
          </cell>
          <cell r="B380">
            <v>8830201</v>
          </cell>
          <cell r="C380">
            <v>883020105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</row>
        <row r="381">
          <cell r="A381">
            <v>1</v>
          </cell>
          <cell r="B381">
            <v>8830202</v>
          </cell>
          <cell r="C381">
            <v>883020202</v>
          </cell>
          <cell r="I381">
            <v>39580800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39580800</v>
          </cell>
        </row>
        <row r="382">
          <cell r="A382">
            <v>1</v>
          </cell>
          <cell r="B382">
            <v>8830203</v>
          </cell>
          <cell r="C382">
            <v>883020301</v>
          </cell>
          <cell r="I382">
            <v>4072950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4072950</v>
          </cell>
        </row>
        <row r="383">
          <cell r="A383">
            <v>1</v>
          </cell>
          <cell r="B383">
            <v>8830203</v>
          </cell>
          <cell r="C383">
            <v>883020302</v>
          </cell>
          <cell r="I383">
            <v>1148700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1148700</v>
          </cell>
        </row>
        <row r="384">
          <cell r="A384">
            <v>1</v>
          </cell>
          <cell r="B384">
            <v>8830203</v>
          </cell>
          <cell r="C384">
            <v>883020303</v>
          </cell>
          <cell r="I384">
            <v>13135154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13135154</v>
          </cell>
        </row>
        <row r="385">
          <cell r="A385">
            <v>1</v>
          </cell>
          <cell r="B385">
            <v>8830203</v>
          </cell>
          <cell r="C385">
            <v>883020304</v>
          </cell>
          <cell r="I385">
            <v>1117260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1117260</v>
          </cell>
          <cell r="O385">
            <v>0</v>
          </cell>
          <cell r="P385">
            <v>0</v>
          </cell>
        </row>
        <row r="386">
          <cell r="A386">
            <v>1</v>
          </cell>
          <cell r="B386">
            <v>8830203</v>
          </cell>
          <cell r="C386">
            <v>883020305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</row>
        <row r="387">
          <cell r="A387">
            <v>1</v>
          </cell>
          <cell r="B387">
            <v>8830203</v>
          </cell>
          <cell r="C387">
            <v>883020306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</row>
        <row r="388">
          <cell r="A388">
            <v>1</v>
          </cell>
          <cell r="B388">
            <v>8830203</v>
          </cell>
          <cell r="C388">
            <v>883020307</v>
          </cell>
          <cell r="I388">
            <v>88476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88476</v>
          </cell>
        </row>
        <row r="389">
          <cell r="A389">
            <v>1</v>
          </cell>
          <cell r="B389">
            <v>8830203</v>
          </cell>
          <cell r="C389">
            <v>883020310</v>
          </cell>
          <cell r="I389">
            <v>7380655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7380655</v>
          </cell>
        </row>
        <row r="390">
          <cell r="A390">
            <v>1</v>
          </cell>
          <cell r="B390">
            <v>8830203</v>
          </cell>
          <cell r="C390">
            <v>883020311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</row>
        <row r="391">
          <cell r="A391">
            <v>1</v>
          </cell>
          <cell r="B391">
            <v>8830203</v>
          </cell>
          <cell r="C391">
            <v>883020314</v>
          </cell>
          <cell r="I391">
            <v>1239800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1239800</v>
          </cell>
        </row>
        <row r="392">
          <cell r="A392">
            <v>1</v>
          </cell>
          <cell r="B392">
            <v>8830203</v>
          </cell>
          <cell r="C392">
            <v>883020315</v>
          </cell>
          <cell r="I392">
            <v>400000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400000</v>
          </cell>
        </row>
        <row r="393">
          <cell r="A393">
            <v>1</v>
          </cell>
          <cell r="B393">
            <v>8830204</v>
          </cell>
          <cell r="C393">
            <v>883020401</v>
          </cell>
          <cell r="I393">
            <v>10164027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10164027</v>
          </cell>
          <cell r="P393">
            <v>0</v>
          </cell>
        </row>
        <row r="394">
          <cell r="A394">
            <v>1</v>
          </cell>
          <cell r="B394">
            <v>8830204</v>
          </cell>
          <cell r="C394">
            <v>883020402</v>
          </cell>
          <cell r="I394">
            <v>64656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64656</v>
          </cell>
        </row>
        <row r="395">
          <cell r="A395">
            <v>1</v>
          </cell>
          <cell r="B395">
            <v>8830204</v>
          </cell>
          <cell r="C395">
            <v>883020403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</row>
        <row r="396">
          <cell r="A396">
            <v>1</v>
          </cell>
          <cell r="B396">
            <v>8830204</v>
          </cell>
          <cell r="C396">
            <v>883020405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</row>
        <row r="397">
          <cell r="A397">
            <v>1</v>
          </cell>
          <cell r="B397">
            <v>8830204</v>
          </cell>
          <cell r="C397">
            <v>883020406</v>
          </cell>
          <cell r="I397">
            <v>38358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38358</v>
          </cell>
          <cell r="P397">
            <v>0</v>
          </cell>
        </row>
        <row r="398">
          <cell r="A398">
            <v>1</v>
          </cell>
          <cell r="B398">
            <v>8830204</v>
          </cell>
          <cell r="C398">
            <v>883020407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</row>
        <row r="399">
          <cell r="A399">
            <v>1</v>
          </cell>
          <cell r="B399">
            <v>8830204</v>
          </cell>
          <cell r="C399">
            <v>883020408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</row>
        <row r="400">
          <cell r="A400">
            <v>1</v>
          </cell>
          <cell r="B400">
            <v>8830204</v>
          </cell>
          <cell r="C400">
            <v>883020410</v>
          </cell>
          <cell r="I400">
            <v>3570122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3570122</v>
          </cell>
          <cell r="P400">
            <v>0</v>
          </cell>
        </row>
        <row r="401">
          <cell r="A401">
            <v>1</v>
          </cell>
          <cell r="B401">
            <v>8830204</v>
          </cell>
          <cell r="C401">
            <v>883020411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</row>
        <row r="402">
          <cell r="A402">
            <v>1</v>
          </cell>
          <cell r="B402">
            <v>8830205</v>
          </cell>
          <cell r="C402">
            <v>883020500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</row>
        <row r="403">
          <cell r="A403">
            <v>1</v>
          </cell>
          <cell r="B403">
            <v>8830207</v>
          </cell>
          <cell r="C403">
            <v>883020700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</row>
        <row r="404">
          <cell r="A404">
            <v>1</v>
          </cell>
          <cell r="B404">
            <v>8830208</v>
          </cell>
          <cell r="C404">
            <v>883020800</v>
          </cell>
          <cell r="I404">
            <v>45200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45200</v>
          </cell>
          <cell r="O404">
            <v>0</v>
          </cell>
          <cell r="P404">
            <v>0</v>
          </cell>
        </row>
        <row r="405">
          <cell r="A405">
            <v>1</v>
          </cell>
          <cell r="B405">
            <v>8830210</v>
          </cell>
          <cell r="C405">
            <v>883021001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</row>
        <row r="406">
          <cell r="A406">
            <v>1</v>
          </cell>
          <cell r="B406">
            <v>8830210</v>
          </cell>
          <cell r="C406">
            <v>883021002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</row>
        <row r="407">
          <cell r="A407">
            <v>1</v>
          </cell>
          <cell r="B407">
            <v>8830210</v>
          </cell>
          <cell r="C407">
            <v>883021003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</row>
        <row r="408">
          <cell r="A408">
            <v>1</v>
          </cell>
          <cell r="B408">
            <v>8830213</v>
          </cell>
          <cell r="C408">
            <v>883021300</v>
          </cell>
          <cell r="I408">
            <v>2612281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2612281</v>
          </cell>
          <cell r="O408">
            <v>0</v>
          </cell>
          <cell r="P408">
            <v>0</v>
          </cell>
        </row>
        <row r="409">
          <cell r="A409">
            <v>1</v>
          </cell>
          <cell r="B409">
            <v>8830214</v>
          </cell>
          <cell r="C409">
            <v>883021400</v>
          </cell>
          <cell r="I409">
            <v>474482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474482</v>
          </cell>
          <cell r="O409">
            <v>0</v>
          </cell>
          <cell r="P409">
            <v>0</v>
          </cell>
        </row>
        <row r="410">
          <cell r="A410">
            <v>1</v>
          </cell>
          <cell r="B410">
            <v>8830215</v>
          </cell>
          <cell r="C410">
            <v>883021500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</row>
        <row r="411">
          <cell r="A411">
            <v>1</v>
          </cell>
          <cell r="B411">
            <v>8830217</v>
          </cell>
          <cell r="C411">
            <v>883021700</v>
          </cell>
          <cell r="I411">
            <v>650162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650162</v>
          </cell>
          <cell r="O411">
            <v>0</v>
          </cell>
          <cell r="P411">
            <v>0</v>
          </cell>
        </row>
        <row r="412">
          <cell r="A412">
            <v>1</v>
          </cell>
          <cell r="B412">
            <v>8830219</v>
          </cell>
          <cell r="C412">
            <v>883021900</v>
          </cell>
          <cell r="I412">
            <v>19480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11880</v>
          </cell>
          <cell r="O412">
            <v>7600</v>
          </cell>
          <cell r="P412">
            <v>0</v>
          </cell>
        </row>
        <row r="413">
          <cell r="A413">
            <v>1</v>
          </cell>
          <cell r="B413">
            <v>8830220</v>
          </cell>
          <cell r="C413">
            <v>883022000</v>
          </cell>
          <cell r="I413">
            <v>6446706</v>
          </cell>
          <cell r="J413">
            <v>0</v>
          </cell>
          <cell r="K413">
            <v>0</v>
          </cell>
          <cell r="L413">
            <v>678402</v>
          </cell>
          <cell r="M413">
            <v>0</v>
          </cell>
          <cell r="N413">
            <v>114697</v>
          </cell>
          <cell r="O413">
            <v>5653607</v>
          </cell>
          <cell r="P413">
            <v>0</v>
          </cell>
        </row>
        <row r="414">
          <cell r="A414">
            <v>1</v>
          </cell>
          <cell r="B414">
            <v>8830221</v>
          </cell>
          <cell r="C414">
            <v>883022100</v>
          </cell>
          <cell r="I414">
            <v>163512706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163512706</v>
          </cell>
          <cell r="O414">
            <v>0</v>
          </cell>
          <cell r="P414">
            <v>0</v>
          </cell>
        </row>
        <row r="415">
          <cell r="A415">
            <v>1</v>
          </cell>
          <cell r="B415">
            <v>8830223</v>
          </cell>
          <cell r="C415">
            <v>883022300</v>
          </cell>
          <cell r="I415">
            <v>12499689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12499689</v>
          </cell>
          <cell r="O415">
            <v>0</v>
          </cell>
          <cell r="P415">
            <v>0</v>
          </cell>
        </row>
        <row r="416">
          <cell r="A416">
            <v>1</v>
          </cell>
          <cell r="B416">
            <v>8830224</v>
          </cell>
          <cell r="C416">
            <v>883022400</v>
          </cell>
          <cell r="I416">
            <v>2121075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2121075</v>
          </cell>
          <cell r="O416">
            <v>0</v>
          </cell>
          <cell r="P416">
            <v>0</v>
          </cell>
        </row>
        <row r="417">
          <cell r="A417">
            <v>1</v>
          </cell>
          <cell r="B417">
            <v>8830225</v>
          </cell>
          <cell r="C417">
            <v>883022500</v>
          </cell>
          <cell r="I417">
            <v>299926084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299926084</v>
          </cell>
          <cell r="O417">
            <v>0</v>
          </cell>
          <cell r="P417">
            <v>0</v>
          </cell>
        </row>
        <row r="418">
          <cell r="A418">
            <v>1</v>
          </cell>
          <cell r="B418">
            <v>8830226</v>
          </cell>
          <cell r="C418">
            <v>883022600</v>
          </cell>
          <cell r="I418">
            <v>3840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3840</v>
          </cell>
          <cell r="P418">
            <v>0</v>
          </cell>
        </row>
        <row r="419">
          <cell r="A419">
            <v>1</v>
          </cell>
          <cell r="B419">
            <v>8830228</v>
          </cell>
          <cell r="C419">
            <v>883022866</v>
          </cell>
          <cell r="I419">
            <v>1471468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1471468</v>
          </cell>
          <cell r="O419">
            <v>0</v>
          </cell>
          <cell r="P419">
            <v>0</v>
          </cell>
        </row>
        <row r="420">
          <cell r="A420">
            <v>1</v>
          </cell>
          <cell r="B420">
            <v>8830228</v>
          </cell>
          <cell r="C420">
            <v>883022867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</row>
        <row r="421">
          <cell r="A421">
            <v>1</v>
          </cell>
          <cell r="B421">
            <v>8830229</v>
          </cell>
          <cell r="C421">
            <v>883022900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</row>
        <row r="422">
          <cell r="A422">
            <v>1</v>
          </cell>
          <cell r="B422">
            <v>8830230</v>
          </cell>
          <cell r="C422">
            <v>883023000</v>
          </cell>
          <cell r="I422">
            <v>693759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693759</v>
          </cell>
        </row>
        <row r="423">
          <cell r="A423">
            <v>1</v>
          </cell>
          <cell r="B423">
            <v>8830231</v>
          </cell>
          <cell r="C423">
            <v>883023100</v>
          </cell>
          <cell r="I423">
            <v>34481445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33599086</v>
          </cell>
          <cell r="O423">
            <v>882359</v>
          </cell>
          <cell r="P423">
            <v>0</v>
          </cell>
        </row>
        <row r="424">
          <cell r="A424">
            <v>1</v>
          </cell>
          <cell r="B424">
            <v>8830237</v>
          </cell>
          <cell r="C424">
            <v>883023700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</row>
        <row r="425">
          <cell r="A425">
            <v>1</v>
          </cell>
          <cell r="B425">
            <v>8830239</v>
          </cell>
          <cell r="C425">
            <v>883023900</v>
          </cell>
          <cell r="I425">
            <v>134822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134822</v>
          </cell>
          <cell r="P425">
            <v>0</v>
          </cell>
        </row>
        <row r="426">
          <cell r="A426">
            <v>1</v>
          </cell>
          <cell r="B426">
            <v>8830240</v>
          </cell>
          <cell r="C426">
            <v>883024000</v>
          </cell>
          <cell r="I426">
            <v>24800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24800</v>
          </cell>
        </row>
        <row r="427">
          <cell r="A427">
            <v>1</v>
          </cell>
          <cell r="B427">
            <v>8830241</v>
          </cell>
          <cell r="C427">
            <v>883024100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</row>
        <row r="428">
          <cell r="A428">
            <v>1</v>
          </cell>
          <cell r="B428">
            <v>8830242</v>
          </cell>
          <cell r="C428">
            <v>883024201</v>
          </cell>
          <cell r="I428">
            <v>3913000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3913000</v>
          </cell>
        </row>
        <row r="429">
          <cell r="A429">
            <v>1</v>
          </cell>
          <cell r="B429">
            <v>8830242</v>
          </cell>
          <cell r="C429">
            <v>883024202</v>
          </cell>
          <cell r="I429">
            <v>788000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788000</v>
          </cell>
        </row>
        <row r="430">
          <cell r="A430">
            <v>1</v>
          </cell>
          <cell r="B430">
            <v>8830401</v>
          </cell>
          <cell r="C430">
            <v>883040102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</row>
        <row r="431">
          <cell r="A431">
            <v>1</v>
          </cell>
          <cell r="B431">
            <v>8830401</v>
          </cell>
          <cell r="C431">
            <v>883040103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</row>
        <row r="432">
          <cell r="A432">
            <v>1</v>
          </cell>
          <cell r="B432">
            <v>8830401</v>
          </cell>
          <cell r="C432">
            <v>883040104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</row>
        <row r="433">
          <cell r="A433">
            <v>1</v>
          </cell>
          <cell r="B433">
            <v>8830401</v>
          </cell>
          <cell r="C433">
            <v>883040105</v>
          </cell>
          <cell r="I433">
            <v>115000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115000</v>
          </cell>
        </row>
        <row r="434">
          <cell r="A434">
            <v>1</v>
          </cell>
          <cell r="B434">
            <v>8830402</v>
          </cell>
          <cell r="C434">
            <v>883040202</v>
          </cell>
          <cell r="I434">
            <v>19311700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19311700</v>
          </cell>
        </row>
        <row r="435">
          <cell r="A435">
            <v>1</v>
          </cell>
          <cell r="B435">
            <v>8830403</v>
          </cell>
          <cell r="C435">
            <v>883040301</v>
          </cell>
          <cell r="I435">
            <v>2059170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2059170</v>
          </cell>
        </row>
        <row r="436">
          <cell r="A436">
            <v>1</v>
          </cell>
          <cell r="B436">
            <v>8830403</v>
          </cell>
          <cell r="C436">
            <v>883040302</v>
          </cell>
          <cell r="I436">
            <v>444800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444800</v>
          </cell>
        </row>
        <row r="437">
          <cell r="A437">
            <v>1</v>
          </cell>
          <cell r="B437">
            <v>8830403</v>
          </cell>
          <cell r="C437">
            <v>883040303</v>
          </cell>
          <cell r="I437">
            <v>7338328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7338328</v>
          </cell>
        </row>
        <row r="438">
          <cell r="A438">
            <v>1</v>
          </cell>
          <cell r="B438">
            <v>8830403</v>
          </cell>
          <cell r="C438">
            <v>883040304</v>
          </cell>
          <cell r="I438">
            <v>371190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371190</v>
          </cell>
          <cell r="O438">
            <v>0</v>
          </cell>
          <cell r="P438">
            <v>0</v>
          </cell>
        </row>
        <row r="439">
          <cell r="A439">
            <v>1</v>
          </cell>
          <cell r="B439">
            <v>8830403</v>
          </cell>
          <cell r="C439">
            <v>883040305</v>
          </cell>
          <cell r="I439">
            <v>835200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835200</v>
          </cell>
        </row>
        <row r="440">
          <cell r="A440">
            <v>1</v>
          </cell>
          <cell r="B440">
            <v>8830403</v>
          </cell>
          <cell r="C440">
            <v>883040306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</row>
        <row r="441">
          <cell r="A441">
            <v>1</v>
          </cell>
          <cell r="B441">
            <v>8830403</v>
          </cell>
          <cell r="C441">
            <v>883040307</v>
          </cell>
          <cell r="I441">
            <v>216624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216624</v>
          </cell>
        </row>
        <row r="442">
          <cell r="A442">
            <v>1</v>
          </cell>
          <cell r="B442">
            <v>8830403</v>
          </cell>
          <cell r="C442">
            <v>883040310</v>
          </cell>
          <cell r="I442">
            <v>525743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525743</v>
          </cell>
        </row>
        <row r="443">
          <cell r="A443">
            <v>1</v>
          </cell>
          <cell r="B443">
            <v>8830403</v>
          </cell>
          <cell r="C443">
            <v>883040311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</row>
        <row r="444">
          <cell r="A444">
            <v>1</v>
          </cell>
          <cell r="B444">
            <v>8830403</v>
          </cell>
          <cell r="C444">
            <v>883040314</v>
          </cell>
          <cell r="I444">
            <v>324000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324000</v>
          </cell>
        </row>
        <row r="445">
          <cell r="A445">
            <v>1</v>
          </cell>
          <cell r="B445">
            <v>8830403</v>
          </cell>
          <cell r="C445">
            <v>883040315</v>
          </cell>
          <cell r="I445">
            <v>105000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105000</v>
          </cell>
        </row>
        <row r="446">
          <cell r="A446">
            <v>1</v>
          </cell>
          <cell r="B446">
            <v>8830404</v>
          </cell>
          <cell r="C446">
            <v>883040401</v>
          </cell>
          <cell r="I446">
            <v>4551856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4551856</v>
          </cell>
          <cell r="P446">
            <v>0</v>
          </cell>
        </row>
        <row r="447">
          <cell r="A447">
            <v>1</v>
          </cell>
          <cell r="B447">
            <v>8830404</v>
          </cell>
          <cell r="C447">
            <v>883040402</v>
          </cell>
          <cell r="I447">
            <v>29424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29424</v>
          </cell>
        </row>
        <row r="448">
          <cell r="A448">
            <v>1</v>
          </cell>
          <cell r="B448">
            <v>8830404</v>
          </cell>
          <cell r="C448">
            <v>883040403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</row>
        <row r="449">
          <cell r="A449">
            <v>1</v>
          </cell>
          <cell r="B449">
            <v>8830404</v>
          </cell>
          <cell r="C449">
            <v>883040405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</row>
        <row r="450">
          <cell r="A450">
            <v>1</v>
          </cell>
          <cell r="B450">
            <v>8830404</v>
          </cell>
          <cell r="C450">
            <v>883040406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</row>
        <row r="451">
          <cell r="A451">
            <v>1</v>
          </cell>
          <cell r="B451">
            <v>8830404</v>
          </cell>
          <cell r="C451">
            <v>883040407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</row>
        <row r="452">
          <cell r="A452">
            <v>1</v>
          </cell>
          <cell r="B452">
            <v>8830404</v>
          </cell>
          <cell r="C452">
            <v>883040408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</row>
        <row r="453">
          <cell r="A453">
            <v>1</v>
          </cell>
          <cell r="B453">
            <v>8830404</v>
          </cell>
          <cell r="C453">
            <v>883040410</v>
          </cell>
          <cell r="I453">
            <v>1624261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1624261</v>
          </cell>
          <cell r="P453">
            <v>0</v>
          </cell>
        </row>
        <row r="454">
          <cell r="A454">
            <v>1</v>
          </cell>
          <cell r="B454">
            <v>8830404</v>
          </cell>
          <cell r="C454">
            <v>883040411</v>
          </cell>
          <cell r="I454">
            <v>366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366</v>
          </cell>
          <cell r="P454">
            <v>0</v>
          </cell>
        </row>
        <row r="455">
          <cell r="A455">
            <v>1</v>
          </cell>
          <cell r="B455">
            <v>8830405</v>
          </cell>
          <cell r="C455">
            <v>883040500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</row>
        <row r="456">
          <cell r="A456">
            <v>1</v>
          </cell>
          <cell r="B456">
            <v>8830407</v>
          </cell>
          <cell r="C456">
            <v>883040700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</row>
        <row r="457">
          <cell r="A457">
            <v>1</v>
          </cell>
          <cell r="B457">
            <v>8830408</v>
          </cell>
          <cell r="C457">
            <v>883040800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</row>
        <row r="458">
          <cell r="A458">
            <v>1</v>
          </cell>
          <cell r="B458">
            <v>8830410</v>
          </cell>
          <cell r="C458">
            <v>883041001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</row>
        <row r="459">
          <cell r="A459">
            <v>1</v>
          </cell>
          <cell r="B459">
            <v>8830410</v>
          </cell>
          <cell r="C459">
            <v>883041002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</row>
        <row r="460">
          <cell r="A460">
            <v>1</v>
          </cell>
          <cell r="B460">
            <v>8830410</v>
          </cell>
          <cell r="C460">
            <v>883041003</v>
          </cell>
          <cell r="I460">
            <v>7400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7400</v>
          </cell>
          <cell r="O460">
            <v>0</v>
          </cell>
          <cell r="P460">
            <v>0</v>
          </cell>
        </row>
        <row r="461">
          <cell r="A461">
            <v>1</v>
          </cell>
          <cell r="B461">
            <v>8830413</v>
          </cell>
          <cell r="C461">
            <v>883041300</v>
          </cell>
          <cell r="I461">
            <v>123964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123964</v>
          </cell>
          <cell r="O461">
            <v>0</v>
          </cell>
          <cell r="P461">
            <v>0</v>
          </cell>
        </row>
        <row r="462">
          <cell r="A462">
            <v>1</v>
          </cell>
          <cell r="B462">
            <v>8830414</v>
          </cell>
          <cell r="C462">
            <v>883041400</v>
          </cell>
          <cell r="I462">
            <v>67172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67172</v>
          </cell>
          <cell r="O462">
            <v>0</v>
          </cell>
          <cell r="P462">
            <v>0</v>
          </cell>
        </row>
        <row r="463">
          <cell r="A463">
            <v>1</v>
          </cell>
          <cell r="B463">
            <v>8830415</v>
          </cell>
          <cell r="C463">
            <v>883041500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</row>
        <row r="464">
          <cell r="A464">
            <v>1</v>
          </cell>
          <cell r="B464">
            <v>8830417</v>
          </cell>
          <cell r="C464">
            <v>883041700</v>
          </cell>
          <cell r="I464">
            <v>87858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87858</v>
          </cell>
          <cell r="O464">
            <v>0</v>
          </cell>
          <cell r="P464">
            <v>0</v>
          </cell>
        </row>
        <row r="465">
          <cell r="A465">
            <v>1</v>
          </cell>
          <cell r="B465">
            <v>8830419</v>
          </cell>
          <cell r="C465">
            <v>883041900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</row>
        <row r="466">
          <cell r="A466">
            <v>1</v>
          </cell>
          <cell r="B466">
            <v>8830420</v>
          </cell>
          <cell r="C466">
            <v>883042000</v>
          </cell>
          <cell r="I466">
            <v>1820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1820</v>
          </cell>
          <cell r="O466">
            <v>0</v>
          </cell>
          <cell r="P466">
            <v>0</v>
          </cell>
        </row>
        <row r="467">
          <cell r="A467">
            <v>1</v>
          </cell>
          <cell r="B467">
            <v>8830421</v>
          </cell>
          <cell r="C467">
            <v>883042100</v>
          </cell>
          <cell r="I467">
            <v>11727105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11727105</v>
          </cell>
          <cell r="O467">
            <v>0</v>
          </cell>
          <cell r="P467">
            <v>0</v>
          </cell>
        </row>
        <row r="468">
          <cell r="A468">
            <v>1</v>
          </cell>
          <cell r="B468">
            <v>8830423</v>
          </cell>
          <cell r="C468">
            <v>883042300</v>
          </cell>
          <cell r="I468">
            <v>49808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49808</v>
          </cell>
          <cell r="O468">
            <v>0</v>
          </cell>
          <cell r="P468">
            <v>0</v>
          </cell>
        </row>
        <row r="469">
          <cell r="A469">
            <v>1</v>
          </cell>
          <cell r="B469">
            <v>8830424</v>
          </cell>
          <cell r="C469">
            <v>883042400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</row>
        <row r="470">
          <cell r="A470">
            <v>1</v>
          </cell>
          <cell r="B470">
            <v>8830425</v>
          </cell>
          <cell r="C470">
            <v>883042500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</row>
        <row r="471">
          <cell r="A471">
            <v>1</v>
          </cell>
          <cell r="B471">
            <v>8830428</v>
          </cell>
          <cell r="C471">
            <v>883042866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</row>
        <row r="472">
          <cell r="A472">
            <v>1</v>
          </cell>
          <cell r="B472">
            <v>8830428</v>
          </cell>
          <cell r="C472">
            <v>883042867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</row>
        <row r="473">
          <cell r="A473">
            <v>1</v>
          </cell>
          <cell r="B473">
            <v>8830429</v>
          </cell>
          <cell r="C473">
            <v>883042900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</row>
        <row r="474">
          <cell r="A474">
            <v>1</v>
          </cell>
          <cell r="B474">
            <v>8830430</v>
          </cell>
          <cell r="C474">
            <v>883043000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</row>
        <row r="475">
          <cell r="A475">
            <v>1</v>
          </cell>
          <cell r="B475">
            <v>8830431</v>
          </cell>
          <cell r="C475">
            <v>883043100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</row>
        <row r="476">
          <cell r="A476">
            <v>1</v>
          </cell>
          <cell r="B476">
            <v>8830437</v>
          </cell>
          <cell r="C476">
            <v>883043700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</row>
        <row r="477">
          <cell r="A477">
            <v>1</v>
          </cell>
          <cell r="B477">
            <v>8830439</v>
          </cell>
          <cell r="C477">
            <v>883043900</v>
          </cell>
          <cell r="I477">
            <v>21080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21080</v>
          </cell>
          <cell r="P477">
            <v>0</v>
          </cell>
        </row>
        <row r="478">
          <cell r="A478">
            <v>1</v>
          </cell>
          <cell r="B478">
            <v>8830440</v>
          </cell>
          <cell r="C478">
            <v>883044000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</row>
        <row r="479">
          <cell r="A479">
            <v>1</v>
          </cell>
          <cell r="B479">
            <v>8830441</v>
          </cell>
          <cell r="C479">
            <v>883044100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</row>
        <row r="480">
          <cell r="A480">
            <v>1</v>
          </cell>
          <cell r="B480">
            <v>8830442</v>
          </cell>
          <cell r="C480">
            <v>883044201</v>
          </cell>
          <cell r="I480">
            <v>2082000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2082000</v>
          </cell>
        </row>
        <row r="481">
          <cell r="A481">
            <v>1</v>
          </cell>
          <cell r="B481">
            <v>8830442</v>
          </cell>
          <cell r="C481">
            <v>883044202</v>
          </cell>
          <cell r="I481">
            <v>423000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423000</v>
          </cell>
        </row>
        <row r="482">
          <cell r="A482">
            <v>1</v>
          </cell>
          <cell r="B482">
            <v>8830601</v>
          </cell>
          <cell r="C482">
            <v>883060102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</row>
        <row r="483">
          <cell r="A483">
            <v>1</v>
          </cell>
          <cell r="B483">
            <v>8830601</v>
          </cell>
          <cell r="C483">
            <v>883060103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</row>
        <row r="484">
          <cell r="A484">
            <v>1</v>
          </cell>
          <cell r="B484">
            <v>8830601</v>
          </cell>
          <cell r="C484">
            <v>883060104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</row>
        <row r="485">
          <cell r="A485">
            <v>1</v>
          </cell>
          <cell r="B485">
            <v>8830601</v>
          </cell>
          <cell r="C485">
            <v>883060105</v>
          </cell>
          <cell r="I485">
            <v>2110500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2110500</v>
          </cell>
        </row>
        <row r="486">
          <cell r="A486">
            <v>1</v>
          </cell>
          <cell r="B486">
            <v>8830602</v>
          </cell>
          <cell r="C486">
            <v>883060202</v>
          </cell>
          <cell r="I486">
            <v>517574247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517574247</v>
          </cell>
        </row>
        <row r="487">
          <cell r="A487">
            <v>1</v>
          </cell>
          <cell r="B487">
            <v>8830603</v>
          </cell>
          <cell r="C487">
            <v>883060301</v>
          </cell>
          <cell r="I487">
            <v>54000739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54000739</v>
          </cell>
        </row>
        <row r="488">
          <cell r="A488">
            <v>1</v>
          </cell>
          <cell r="B488">
            <v>8830603</v>
          </cell>
          <cell r="C488">
            <v>883060302</v>
          </cell>
          <cell r="I488">
            <v>22464300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22464300</v>
          </cell>
        </row>
        <row r="489">
          <cell r="A489">
            <v>1</v>
          </cell>
          <cell r="B489">
            <v>8830603</v>
          </cell>
          <cell r="C489">
            <v>883060303</v>
          </cell>
          <cell r="I489">
            <v>180977648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180977648</v>
          </cell>
        </row>
        <row r="490">
          <cell r="A490">
            <v>1</v>
          </cell>
          <cell r="B490">
            <v>8830603</v>
          </cell>
          <cell r="C490">
            <v>883060304</v>
          </cell>
          <cell r="I490">
            <v>11930100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11930100</v>
          </cell>
          <cell r="O490">
            <v>0</v>
          </cell>
          <cell r="P490">
            <v>0</v>
          </cell>
        </row>
        <row r="491">
          <cell r="A491">
            <v>1</v>
          </cell>
          <cell r="B491">
            <v>8830603</v>
          </cell>
          <cell r="C491">
            <v>883060305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</row>
        <row r="492">
          <cell r="A492">
            <v>1</v>
          </cell>
          <cell r="B492">
            <v>8830603</v>
          </cell>
          <cell r="C492">
            <v>883060306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</row>
        <row r="493">
          <cell r="A493">
            <v>1</v>
          </cell>
          <cell r="B493">
            <v>8830603</v>
          </cell>
          <cell r="C493">
            <v>883060307</v>
          </cell>
          <cell r="I493">
            <v>39833893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39833893</v>
          </cell>
        </row>
        <row r="494">
          <cell r="A494">
            <v>1</v>
          </cell>
          <cell r="B494">
            <v>8830603</v>
          </cell>
          <cell r="C494">
            <v>883060310</v>
          </cell>
          <cell r="I494">
            <v>108226437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108226437</v>
          </cell>
        </row>
        <row r="495">
          <cell r="A495">
            <v>1</v>
          </cell>
          <cell r="B495">
            <v>8830603</v>
          </cell>
          <cell r="C495">
            <v>883060311</v>
          </cell>
          <cell r="I495">
            <v>9099292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9099292</v>
          </cell>
        </row>
        <row r="496">
          <cell r="A496">
            <v>1</v>
          </cell>
          <cell r="B496">
            <v>8830603</v>
          </cell>
          <cell r="C496">
            <v>883060312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</row>
        <row r="497">
          <cell r="A497">
            <v>1</v>
          </cell>
          <cell r="B497">
            <v>8830603</v>
          </cell>
          <cell r="C497">
            <v>883060314</v>
          </cell>
          <cell r="I497">
            <v>6768371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6768371</v>
          </cell>
        </row>
        <row r="498">
          <cell r="A498">
            <v>1</v>
          </cell>
          <cell r="B498">
            <v>8830603</v>
          </cell>
          <cell r="C498">
            <v>883060315</v>
          </cell>
          <cell r="I498">
            <v>11890000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11890000</v>
          </cell>
        </row>
        <row r="499">
          <cell r="A499">
            <v>1</v>
          </cell>
          <cell r="B499">
            <v>8830604</v>
          </cell>
          <cell r="C499">
            <v>883060401</v>
          </cell>
          <cell r="I499">
            <v>134361225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134361225</v>
          </cell>
          <cell r="P499">
            <v>0</v>
          </cell>
        </row>
        <row r="500">
          <cell r="A500">
            <v>1</v>
          </cell>
          <cell r="B500">
            <v>8830604</v>
          </cell>
          <cell r="C500">
            <v>883060402</v>
          </cell>
          <cell r="I500">
            <v>780657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780657</v>
          </cell>
        </row>
        <row r="501">
          <cell r="A501">
            <v>1</v>
          </cell>
          <cell r="B501">
            <v>8830604</v>
          </cell>
          <cell r="C501">
            <v>883060403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</row>
        <row r="502">
          <cell r="A502">
            <v>1</v>
          </cell>
          <cell r="B502">
            <v>8830604</v>
          </cell>
          <cell r="C502">
            <v>883060405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</row>
        <row r="503">
          <cell r="A503">
            <v>1</v>
          </cell>
          <cell r="B503">
            <v>8830604</v>
          </cell>
          <cell r="C503">
            <v>883060406</v>
          </cell>
          <cell r="I503">
            <v>466434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466434</v>
          </cell>
          <cell r="P503">
            <v>0</v>
          </cell>
        </row>
        <row r="504">
          <cell r="A504">
            <v>1</v>
          </cell>
          <cell r="B504">
            <v>8830604</v>
          </cell>
          <cell r="C504">
            <v>883060407</v>
          </cell>
          <cell r="I504">
            <v>1626549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1626549</v>
          </cell>
          <cell r="P504">
            <v>0</v>
          </cell>
        </row>
        <row r="505">
          <cell r="A505">
            <v>1</v>
          </cell>
          <cell r="B505">
            <v>8830604</v>
          </cell>
          <cell r="C505">
            <v>883060408</v>
          </cell>
          <cell r="I505">
            <v>63882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63882</v>
          </cell>
          <cell r="P505">
            <v>0</v>
          </cell>
        </row>
        <row r="506">
          <cell r="A506">
            <v>1</v>
          </cell>
          <cell r="B506">
            <v>8830604</v>
          </cell>
          <cell r="C506">
            <v>883060410</v>
          </cell>
          <cell r="I506">
            <v>50675356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50675356</v>
          </cell>
          <cell r="P506">
            <v>0</v>
          </cell>
        </row>
        <row r="507">
          <cell r="A507">
            <v>1</v>
          </cell>
          <cell r="B507">
            <v>8830604</v>
          </cell>
          <cell r="C507">
            <v>883060411</v>
          </cell>
          <cell r="I507">
            <v>14667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14667</v>
          </cell>
          <cell r="P507">
            <v>0</v>
          </cell>
        </row>
        <row r="508">
          <cell r="A508">
            <v>1</v>
          </cell>
          <cell r="B508">
            <v>8830605</v>
          </cell>
          <cell r="C508">
            <v>883060500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</row>
        <row r="509">
          <cell r="A509">
            <v>1</v>
          </cell>
          <cell r="B509">
            <v>8830607</v>
          </cell>
          <cell r="C509">
            <v>883060700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</row>
        <row r="510">
          <cell r="A510">
            <v>1</v>
          </cell>
          <cell r="B510">
            <v>8830608</v>
          </cell>
          <cell r="C510">
            <v>883060800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</row>
        <row r="511">
          <cell r="A511">
            <v>1</v>
          </cell>
          <cell r="B511">
            <v>8830610</v>
          </cell>
          <cell r="C511">
            <v>883061001</v>
          </cell>
          <cell r="I511">
            <v>225020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225020</v>
          </cell>
          <cell r="O511">
            <v>0</v>
          </cell>
          <cell r="P511">
            <v>0</v>
          </cell>
        </row>
        <row r="512">
          <cell r="A512">
            <v>1</v>
          </cell>
          <cell r="B512">
            <v>8830610</v>
          </cell>
          <cell r="C512">
            <v>883061002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</row>
        <row r="513">
          <cell r="A513">
            <v>1</v>
          </cell>
          <cell r="B513">
            <v>8830610</v>
          </cell>
          <cell r="C513">
            <v>883061003</v>
          </cell>
          <cell r="I513">
            <v>153600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153600</v>
          </cell>
          <cell r="O513">
            <v>0</v>
          </cell>
          <cell r="P513">
            <v>0</v>
          </cell>
        </row>
        <row r="514">
          <cell r="A514">
            <v>1</v>
          </cell>
          <cell r="B514">
            <v>8830613</v>
          </cell>
          <cell r="C514">
            <v>883061300</v>
          </cell>
          <cell r="I514">
            <v>11013390</v>
          </cell>
          <cell r="J514">
            <v>0</v>
          </cell>
          <cell r="K514">
            <v>0</v>
          </cell>
          <cell r="L514">
            <v>0</v>
          </cell>
          <cell r="M514">
            <v>30357</v>
          </cell>
          <cell r="N514">
            <v>10983033</v>
          </cell>
          <cell r="O514">
            <v>0</v>
          </cell>
          <cell r="P514">
            <v>0</v>
          </cell>
        </row>
        <row r="515">
          <cell r="A515">
            <v>1</v>
          </cell>
          <cell r="B515">
            <v>8830614</v>
          </cell>
          <cell r="C515">
            <v>883061400</v>
          </cell>
          <cell r="I515">
            <v>2213663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2213663</v>
          </cell>
          <cell r="O515">
            <v>0</v>
          </cell>
          <cell r="P515">
            <v>0</v>
          </cell>
        </row>
        <row r="516">
          <cell r="A516">
            <v>1</v>
          </cell>
          <cell r="B516">
            <v>8830615</v>
          </cell>
          <cell r="C516">
            <v>883061500</v>
          </cell>
          <cell r="I516">
            <v>16902233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16902233</v>
          </cell>
          <cell r="O516">
            <v>0</v>
          </cell>
          <cell r="P516">
            <v>0</v>
          </cell>
        </row>
        <row r="517">
          <cell r="A517">
            <v>1</v>
          </cell>
          <cell r="B517">
            <v>8830617</v>
          </cell>
          <cell r="C517">
            <v>883061700</v>
          </cell>
          <cell r="I517">
            <v>12573953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12573953</v>
          </cell>
          <cell r="O517">
            <v>0</v>
          </cell>
          <cell r="P517">
            <v>0</v>
          </cell>
        </row>
        <row r="518">
          <cell r="A518">
            <v>1</v>
          </cell>
          <cell r="B518">
            <v>8830619</v>
          </cell>
          <cell r="C518">
            <v>883061900</v>
          </cell>
          <cell r="I518">
            <v>155875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97165</v>
          </cell>
          <cell r="O518">
            <v>49050</v>
          </cell>
          <cell r="P518">
            <v>9660</v>
          </cell>
        </row>
        <row r="519">
          <cell r="A519">
            <v>1</v>
          </cell>
          <cell r="B519">
            <v>8830620</v>
          </cell>
          <cell r="C519">
            <v>883062000</v>
          </cell>
          <cell r="I519">
            <v>1295496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786510</v>
          </cell>
          <cell r="O519">
            <v>508986</v>
          </cell>
          <cell r="P519">
            <v>0</v>
          </cell>
        </row>
        <row r="520">
          <cell r="A520">
            <v>1</v>
          </cell>
          <cell r="B520">
            <v>8830621</v>
          </cell>
          <cell r="C520">
            <v>883062100</v>
          </cell>
          <cell r="I520">
            <v>428095489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428095489</v>
          </cell>
          <cell r="O520">
            <v>0</v>
          </cell>
          <cell r="P520">
            <v>0</v>
          </cell>
        </row>
        <row r="521">
          <cell r="A521">
            <v>1</v>
          </cell>
          <cell r="B521">
            <v>8830623</v>
          </cell>
          <cell r="C521">
            <v>883062300</v>
          </cell>
          <cell r="I521">
            <v>166478038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166478038</v>
          </cell>
          <cell r="O521">
            <v>0</v>
          </cell>
          <cell r="P521">
            <v>0</v>
          </cell>
        </row>
        <row r="522">
          <cell r="A522">
            <v>1</v>
          </cell>
          <cell r="B522">
            <v>8830624</v>
          </cell>
          <cell r="C522">
            <v>883062400</v>
          </cell>
          <cell r="I522">
            <v>50100458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50100458</v>
          </cell>
          <cell r="O522">
            <v>0</v>
          </cell>
          <cell r="P522">
            <v>0</v>
          </cell>
        </row>
        <row r="523">
          <cell r="A523">
            <v>1</v>
          </cell>
          <cell r="B523">
            <v>8830625</v>
          </cell>
          <cell r="C523">
            <v>883062500</v>
          </cell>
          <cell r="I523">
            <v>25190000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25190000</v>
          </cell>
          <cell r="O523">
            <v>0</v>
          </cell>
          <cell r="P523">
            <v>0</v>
          </cell>
        </row>
        <row r="524">
          <cell r="A524">
            <v>1</v>
          </cell>
          <cell r="B524">
            <v>8830626</v>
          </cell>
          <cell r="C524">
            <v>883062600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</row>
        <row r="525">
          <cell r="A525">
            <v>1</v>
          </cell>
          <cell r="B525">
            <v>8830628</v>
          </cell>
          <cell r="C525">
            <v>883062866</v>
          </cell>
          <cell r="I525">
            <v>383761300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383761300</v>
          </cell>
          <cell r="O525">
            <v>0</v>
          </cell>
          <cell r="P525">
            <v>0</v>
          </cell>
        </row>
        <row r="526">
          <cell r="A526">
            <v>1</v>
          </cell>
          <cell r="B526">
            <v>8830628</v>
          </cell>
          <cell r="C526">
            <v>883062867</v>
          </cell>
          <cell r="I526">
            <v>28445230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28445230</v>
          </cell>
          <cell r="O526">
            <v>0</v>
          </cell>
          <cell r="P526">
            <v>0</v>
          </cell>
        </row>
        <row r="527">
          <cell r="A527">
            <v>1</v>
          </cell>
          <cell r="B527">
            <v>8830629</v>
          </cell>
          <cell r="C527">
            <v>883062900</v>
          </cell>
          <cell r="I527">
            <v>42735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42735</v>
          </cell>
          <cell r="O527">
            <v>0</v>
          </cell>
          <cell r="P527">
            <v>0</v>
          </cell>
        </row>
        <row r="528">
          <cell r="A528">
            <v>1</v>
          </cell>
          <cell r="B528">
            <v>8830630</v>
          </cell>
          <cell r="C528">
            <v>883063000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</row>
        <row r="529">
          <cell r="A529">
            <v>1</v>
          </cell>
          <cell r="B529">
            <v>8830631</v>
          </cell>
          <cell r="C529">
            <v>883063100</v>
          </cell>
          <cell r="I529">
            <v>12205239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10201576</v>
          </cell>
          <cell r="O529">
            <v>0</v>
          </cell>
          <cell r="P529">
            <v>2003663</v>
          </cell>
        </row>
        <row r="530">
          <cell r="A530">
            <v>1</v>
          </cell>
          <cell r="B530">
            <v>8830637</v>
          </cell>
          <cell r="C530">
            <v>883063700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</row>
        <row r="531">
          <cell r="A531">
            <v>1</v>
          </cell>
          <cell r="B531">
            <v>8830639</v>
          </cell>
          <cell r="C531">
            <v>883063900</v>
          </cell>
          <cell r="I531">
            <v>819427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819427</v>
          </cell>
          <cell r="P531">
            <v>0</v>
          </cell>
        </row>
        <row r="532">
          <cell r="A532">
            <v>1</v>
          </cell>
          <cell r="B532">
            <v>8830640</v>
          </cell>
          <cell r="C532">
            <v>883064000</v>
          </cell>
          <cell r="I532">
            <v>311782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311782</v>
          </cell>
        </row>
        <row r="533">
          <cell r="A533">
            <v>1</v>
          </cell>
          <cell r="B533">
            <v>8830641</v>
          </cell>
          <cell r="C533">
            <v>883064100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</row>
        <row r="534">
          <cell r="A534">
            <v>1</v>
          </cell>
          <cell r="B534">
            <v>8830642</v>
          </cell>
          <cell r="C534">
            <v>883064201</v>
          </cell>
          <cell r="I534">
            <v>52591000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52591000</v>
          </cell>
        </row>
        <row r="535">
          <cell r="A535">
            <v>1</v>
          </cell>
          <cell r="B535">
            <v>8830642</v>
          </cell>
          <cell r="C535">
            <v>883064202</v>
          </cell>
          <cell r="I535">
            <v>10602000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10602000</v>
          </cell>
        </row>
        <row r="536">
          <cell r="A536">
            <v>1</v>
          </cell>
          <cell r="B536">
            <v>8830801</v>
          </cell>
          <cell r="C536">
            <v>883080102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</row>
        <row r="537">
          <cell r="A537">
            <v>1</v>
          </cell>
          <cell r="B537">
            <v>8830801</v>
          </cell>
          <cell r="C537">
            <v>883080103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</row>
        <row r="538">
          <cell r="A538">
            <v>1</v>
          </cell>
          <cell r="B538">
            <v>8830801</v>
          </cell>
          <cell r="C538">
            <v>883080104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</row>
        <row r="539">
          <cell r="A539">
            <v>1</v>
          </cell>
          <cell r="B539">
            <v>8830801</v>
          </cell>
          <cell r="C539">
            <v>883080105</v>
          </cell>
          <cell r="I539">
            <v>1115544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1115544</v>
          </cell>
        </row>
        <row r="540">
          <cell r="A540">
            <v>1</v>
          </cell>
          <cell r="B540">
            <v>8830802</v>
          </cell>
          <cell r="C540">
            <v>883080202</v>
          </cell>
          <cell r="I540">
            <v>370587446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370587446</v>
          </cell>
        </row>
        <row r="541">
          <cell r="A541">
            <v>1</v>
          </cell>
          <cell r="B541">
            <v>8830803</v>
          </cell>
          <cell r="C541">
            <v>883080301</v>
          </cell>
          <cell r="I541">
            <v>38801422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38801422</v>
          </cell>
        </row>
        <row r="542">
          <cell r="A542">
            <v>1</v>
          </cell>
          <cell r="B542">
            <v>8830803</v>
          </cell>
          <cell r="C542">
            <v>883080302</v>
          </cell>
          <cell r="I542">
            <v>14085987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14085987</v>
          </cell>
        </row>
        <row r="543">
          <cell r="A543">
            <v>1</v>
          </cell>
          <cell r="B543">
            <v>8830803</v>
          </cell>
          <cell r="C543">
            <v>883080303</v>
          </cell>
          <cell r="I543">
            <v>130536625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130536625</v>
          </cell>
        </row>
        <row r="544">
          <cell r="A544">
            <v>1</v>
          </cell>
          <cell r="B544">
            <v>8830803</v>
          </cell>
          <cell r="C544">
            <v>883080304</v>
          </cell>
          <cell r="I544">
            <v>7777220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7777220</v>
          </cell>
          <cell r="O544">
            <v>0</v>
          </cell>
          <cell r="P544">
            <v>0</v>
          </cell>
        </row>
        <row r="545">
          <cell r="A545">
            <v>1</v>
          </cell>
          <cell r="B545">
            <v>8830803</v>
          </cell>
          <cell r="C545">
            <v>883080305</v>
          </cell>
          <cell r="I545">
            <v>3340800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3340800</v>
          </cell>
        </row>
        <row r="546">
          <cell r="A546">
            <v>1</v>
          </cell>
          <cell r="B546">
            <v>8830803</v>
          </cell>
          <cell r="C546">
            <v>883080306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</row>
        <row r="547">
          <cell r="A547">
            <v>1</v>
          </cell>
          <cell r="B547">
            <v>8830803</v>
          </cell>
          <cell r="C547">
            <v>883080307</v>
          </cell>
          <cell r="I547">
            <v>23053067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23053067</v>
          </cell>
        </row>
        <row r="548">
          <cell r="A548">
            <v>1</v>
          </cell>
          <cell r="B548">
            <v>8830803</v>
          </cell>
          <cell r="C548">
            <v>883080310</v>
          </cell>
          <cell r="I548">
            <v>56494805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56494805</v>
          </cell>
        </row>
        <row r="549">
          <cell r="A549">
            <v>1</v>
          </cell>
          <cell r="B549">
            <v>8830803</v>
          </cell>
          <cell r="C549">
            <v>883080311</v>
          </cell>
          <cell r="I549">
            <v>9377739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9377739</v>
          </cell>
        </row>
        <row r="550">
          <cell r="A550">
            <v>1</v>
          </cell>
          <cell r="B550">
            <v>8830803</v>
          </cell>
          <cell r="C550">
            <v>883080312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</row>
        <row r="551">
          <cell r="A551">
            <v>1</v>
          </cell>
          <cell r="B551">
            <v>8830803</v>
          </cell>
          <cell r="C551">
            <v>883080314</v>
          </cell>
          <cell r="I551">
            <v>5765537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5765537</v>
          </cell>
        </row>
        <row r="552">
          <cell r="A552">
            <v>1</v>
          </cell>
          <cell r="B552">
            <v>8830803</v>
          </cell>
          <cell r="C552">
            <v>883080315</v>
          </cell>
          <cell r="I552">
            <v>5450000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5450000</v>
          </cell>
        </row>
        <row r="553">
          <cell r="A553">
            <v>1</v>
          </cell>
          <cell r="B553">
            <v>8830803</v>
          </cell>
          <cell r="C553">
            <v>883080316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</row>
        <row r="554">
          <cell r="A554">
            <v>1</v>
          </cell>
          <cell r="B554">
            <v>8830804</v>
          </cell>
          <cell r="C554">
            <v>883080401</v>
          </cell>
          <cell r="I554">
            <v>94575574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94575574</v>
          </cell>
          <cell r="P554">
            <v>0</v>
          </cell>
        </row>
        <row r="555">
          <cell r="A555">
            <v>1</v>
          </cell>
          <cell r="B555">
            <v>8830804</v>
          </cell>
          <cell r="C555">
            <v>883080402</v>
          </cell>
          <cell r="I555">
            <v>561704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561704</v>
          </cell>
        </row>
        <row r="556">
          <cell r="A556">
            <v>1</v>
          </cell>
          <cell r="B556">
            <v>8830804</v>
          </cell>
          <cell r="C556">
            <v>883080403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</row>
        <row r="557">
          <cell r="A557">
            <v>1</v>
          </cell>
          <cell r="B557">
            <v>8830804</v>
          </cell>
          <cell r="C557">
            <v>883080405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</row>
        <row r="558">
          <cell r="A558">
            <v>1</v>
          </cell>
          <cell r="B558">
            <v>8830804</v>
          </cell>
          <cell r="C558">
            <v>883080406</v>
          </cell>
          <cell r="I558">
            <v>231109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231109</v>
          </cell>
          <cell r="P558">
            <v>0</v>
          </cell>
        </row>
        <row r="559">
          <cell r="A559">
            <v>1</v>
          </cell>
          <cell r="B559">
            <v>8830804</v>
          </cell>
          <cell r="C559">
            <v>883080407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</row>
        <row r="560">
          <cell r="A560">
            <v>1</v>
          </cell>
          <cell r="B560">
            <v>8830804</v>
          </cell>
          <cell r="C560">
            <v>883080408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</row>
        <row r="561">
          <cell r="A561">
            <v>1</v>
          </cell>
          <cell r="B561">
            <v>8830804</v>
          </cell>
          <cell r="C561">
            <v>883080410</v>
          </cell>
          <cell r="I561">
            <v>35707068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35707068</v>
          </cell>
          <cell r="P561">
            <v>0</v>
          </cell>
        </row>
        <row r="562">
          <cell r="A562">
            <v>1</v>
          </cell>
          <cell r="B562">
            <v>8830804</v>
          </cell>
          <cell r="C562">
            <v>883080411</v>
          </cell>
          <cell r="I562">
            <v>4026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4026</v>
          </cell>
          <cell r="P562">
            <v>0</v>
          </cell>
        </row>
        <row r="563">
          <cell r="A563">
            <v>1</v>
          </cell>
          <cell r="B563">
            <v>8830805</v>
          </cell>
          <cell r="C563">
            <v>883080500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</row>
        <row r="564">
          <cell r="A564">
            <v>1</v>
          </cell>
          <cell r="B564">
            <v>8830807</v>
          </cell>
          <cell r="C564">
            <v>883080700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</row>
        <row r="565">
          <cell r="A565">
            <v>1</v>
          </cell>
          <cell r="B565">
            <v>8830808</v>
          </cell>
          <cell r="C565">
            <v>883080800</v>
          </cell>
          <cell r="I565">
            <v>45200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45200</v>
          </cell>
          <cell r="O565">
            <v>0</v>
          </cell>
          <cell r="P565">
            <v>0</v>
          </cell>
        </row>
        <row r="566">
          <cell r="A566">
            <v>1</v>
          </cell>
          <cell r="B566">
            <v>8830810</v>
          </cell>
          <cell r="C566">
            <v>883081001</v>
          </cell>
          <cell r="I566">
            <v>6600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6600</v>
          </cell>
          <cell r="O566">
            <v>0</v>
          </cell>
          <cell r="P566">
            <v>0</v>
          </cell>
        </row>
        <row r="567">
          <cell r="A567">
            <v>1</v>
          </cell>
          <cell r="B567">
            <v>8830810</v>
          </cell>
          <cell r="C567">
            <v>883081002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</row>
        <row r="568">
          <cell r="A568">
            <v>1</v>
          </cell>
          <cell r="B568">
            <v>8830810</v>
          </cell>
          <cell r="C568">
            <v>883081003</v>
          </cell>
          <cell r="I568">
            <v>24960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24960</v>
          </cell>
          <cell r="O568">
            <v>0</v>
          </cell>
          <cell r="P568">
            <v>0</v>
          </cell>
        </row>
        <row r="569">
          <cell r="A569">
            <v>1</v>
          </cell>
          <cell r="B569">
            <v>8830813</v>
          </cell>
          <cell r="C569">
            <v>883081300</v>
          </cell>
          <cell r="I569">
            <v>14320191</v>
          </cell>
          <cell r="J569">
            <v>0</v>
          </cell>
          <cell r="K569">
            <v>0</v>
          </cell>
          <cell r="L569">
            <v>0</v>
          </cell>
          <cell r="M569">
            <v>144600</v>
          </cell>
          <cell r="N569">
            <v>14175591</v>
          </cell>
          <cell r="O569">
            <v>0</v>
          </cell>
          <cell r="P569">
            <v>0</v>
          </cell>
        </row>
        <row r="570">
          <cell r="A570">
            <v>1</v>
          </cell>
          <cell r="B570">
            <v>8830814</v>
          </cell>
          <cell r="C570">
            <v>883081400</v>
          </cell>
          <cell r="I570">
            <v>333066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333066</v>
          </cell>
          <cell r="O570">
            <v>0</v>
          </cell>
          <cell r="P570">
            <v>0</v>
          </cell>
        </row>
        <row r="571">
          <cell r="A571">
            <v>1</v>
          </cell>
          <cell r="B571">
            <v>8830815</v>
          </cell>
          <cell r="C571">
            <v>883081500</v>
          </cell>
          <cell r="I571">
            <v>12953428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12953428</v>
          </cell>
          <cell r="O571">
            <v>0</v>
          </cell>
          <cell r="P571">
            <v>0</v>
          </cell>
        </row>
        <row r="572">
          <cell r="A572">
            <v>1</v>
          </cell>
          <cell r="B572">
            <v>8830817</v>
          </cell>
          <cell r="C572">
            <v>883081700</v>
          </cell>
          <cell r="I572">
            <v>2514300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2514300</v>
          </cell>
          <cell r="O572">
            <v>0</v>
          </cell>
          <cell r="P572">
            <v>0</v>
          </cell>
        </row>
        <row r="573">
          <cell r="A573">
            <v>1</v>
          </cell>
          <cell r="B573">
            <v>8830819</v>
          </cell>
          <cell r="C573">
            <v>883081900</v>
          </cell>
          <cell r="I573">
            <v>268755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256855</v>
          </cell>
          <cell r="O573">
            <v>11900</v>
          </cell>
          <cell r="P573">
            <v>0</v>
          </cell>
        </row>
        <row r="574">
          <cell r="A574">
            <v>1</v>
          </cell>
          <cell r="B574">
            <v>8830820</v>
          </cell>
          <cell r="C574">
            <v>883082000</v>
          </cell>
          <cell r="I574">
            <v>1481824</v>
          </cell>
          <cell r="J574">
            <v>0</v>
          </cell>
          <cell r="K574">
            <v>0</v>
          </cell>
          <cell r="L574">
            <v>518400</v>
          </cell>
          <cell r="M574">
            <v>0</v>
          </cell>
          <cell r="N574">
            <v>963424</v>
          </cell>
          <cell r="O574">
            <v>0</v>
          </cell>
          <cell r="P574">
            <v>0</v>
          </cell>
        </row>
        <row r="575">
          <cell r="A575">
            <v>1</v>
          </cell>
          <cell r="B575">
            <v>8830821</v>
          </cell>
          <cell r="C575">
            <v>883082100</v>
          </cell>
          <cell r="I575">
            <v>3225357455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3225357455</v>
          </cell>
          <cell r="O575">
            <v>0</v>
          </cell>
          <cell r="P575">
            <v>0</v>
          </cell>
        </row>
        <row r="576">
          <cell r="A576">
            <v>1</v>
          </cell>
          <cell r="B576">
            <v>8830823</v>
          </cell>
          <cell r="C576">
            <v>883082300</v>
          </cell>
          <cell r="I576">
            <v>216228011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216228011</v>
          </cell>
          <cell r="O576">
            <v>0</v>
          </cell>
          <cell r="P576">
            <v>0</v>
          </cell>
        </row>
        <row r="577">
          <cell r="A577">
            <v>1</v>
          </cell>
          <cell r="B577">
            <v>8830824</v>
          </cell>
          <cell r="C577">
            <v>883082400</v>
          </cell>
          <cell r="I577">
            <v>44165778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44165778</v>
          </cell>
          <cell r="O577">
            <v>0</v>
          </cell>
          <cell r="P577">
            <v>0</v>
          </cell>
        </row>
        <row r="578">
          <cell r="A578">
            <v>1</v>
          </cell>
          <cell r="B578">
            <v>8830825</v>
          </cell>
          <cell r="C578">
            <v>883082500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</row>
        <row r="579">
          <cell r="A579">
            <v>1</v>
          </cell>
          <cell r="B579">
            <v>8830826</v>
          </cell>
          <cell r="C579">
            <v>883082600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</row>
        <row r="580">
          <cell r="A580">
            <v>1</v>
          </cell>
          <cell r="B580">
            <v>8830828</v>
          </cell>
          <cell r="C580">
            <v>883082866</v>
          </cell>
          <cell r="I580">
            <v>514598231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514598231</v>
          </cell>
          <cell r="O580">
            <v>0</v>
          </cell>
          <cell r="P580">
            <v>0</v>
          </cell>
        </row>
        <row r="581">
          <cell r="A581">
            <v>1</v>
          </cell>
          <cell r="B581">
            <v>8830828</v>
          </cell>
          <cell r="C581">
            <v>883082867</v>
          </cell>
          <cell r="I581">
            <v>270270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270270</v>
          </cell>
          <cell r="O581">
            <v>0</v>
          </cell>
          <cell r="P581">
            <v>0</v>
          </cell>
        </row>
        <row r="582">
          <cell r="A582">
            <v>1</v>
          </cell>
          <cell r="B582">
            <v>8830829</v>
          </cell>
          <cell r="C582">
            <v>883082900</v>
          </cell>
          <cell r="I582">
            <v>82462216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82462216</v>
          </cell>
          <cell r="O582">
            <v>0</v>
          </cell>
          <cell r="P582">
            <v>0</v>
          </cell>
        </row>
        <row r="583">
          <cell r="A583">
            <v>1</v>
          </cell>
          <cell r="B583">
            <v>8830830</v>
          </cell>
          <cell r="C583">
            <v>883083000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</row>
        <row r="584">
          <cell r="A584">
            <v>1</v>
          </cell>
          <cell r="B584">
            <v>8830831</v>
          </cell>
          <cell r="C584">
            <v>883083100</v>
          </cell>
          <cell r="I584">
            <v>1598889696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1596158815</v>
          </cell>
          <cell r="O584">
            <v>15600</v>
          </cell>
          <cell r="P584">
            <v>2715281</v>
          </cell>
        </row>
        <row r="585">
          <cell r="A585">
            <v>1</v>
          </cell>
          <cell r="B585">
            <v>8830837</v>
          </cell>
          <cell r="C585">
            <v>883083700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</row>
        <row r="586">
          <cell r="A586">
            <v>1</v>
          </cell>
          <cell r="B586">
            <v>8830839</v>
          </cell>
          <cell r="C586">
            <v>883083900</v>
          </cell>
          <cell r="I586">
            <v>123910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123910</v>
          </cell>
          <cell r="P586">
            <v>0</v>
          </cell>
        </row>
        <row r="587">
          <cell r="A587">
            <v>1</v>
          </cell>
          <cell r="B587">
            <v>8830840</v>
          </cell>
          <cell r="C587">
            <v>883084000</v>
          </cell>
          <cell r="I587">
            <v>31300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31300</v>
          </cell>
        </row>
        <row r="588">
          <cell r="A588">
            <v>1</v>
          </cell>
          <cell r="B588">
            <v>8830841</v>
          </cell>
          <cell r="C588">
            <v>883084100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</row>
        <row r="589">
          <cell r="A589">
            <v>1</v>
          </cell>
          <cell r="B589">
            <v>8830842</v>
          </cell>
          <cell r="C589">
            <v>883084201</v>
          </cell>
          <cell r="I589">
            <v>38404000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38404000</v>
          </cell>
        </row>
        <row r="590">
          <cell r="A590">
            <v>1</v>
          </cell>
          <cell r="B590">
            <v>8830842</v>
          </cell>
          <cell r="C590">
            <v>883084202</v>
          </cell>
          <cell r="I590">
            <v>7759000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7759000</v>
          </cell>
        </row>
        <row r="591">
          <cell r="A591">
            <v>1</v>
          </cell>
          <cell r="B591">
            <v>8831001</v>
          </cell>
          <cell r="C591">
            <v>883100102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</row>
        <row r="592">
          <cell r="A592">
            <v>1</v>
          </cell>
          <cell r="B592">
            <v>8831001</v>
          </cell>
          <cell r="C592">
            <v>883100103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</row>
        <row r="593">
          <cell r="A593">
            <v>1</v>
          </cell>
          <cell r="B593">
            <v>8831001</v>
          </cell>
          <cell r="C593">
            <v>883100104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</row>
        <row r="594">
          <cell r="A594">
            <v>1</v>
          </cell>
          <cell r="B594">
            <v>8831001</v>
          </cell>
          <cell r="C594">
            <v>883100105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</row>
        <row r="595">
          <cell r="A595">
            <v>1</v>
          </cell>
          <cell r="B595">
            <v>8831002</v>
          </cell>
          <cell r="C595">
            <v>883100202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</row>
        <row r="596">
          <cell r="A596">
            <v>1</v>
          </cell>
          <cell r="B596">
            <v>8831003</v>
          </cell>
          <cell r="C596">
            <v>883100301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</row>
        <row r="597">
          <cell r="A597">
            <v>1</v>
          </cell>
          <cell r="B597">
            <v>8831003</v>
          </cell>
          <cell r="C597">
            <v>883100302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</row>
        <row r="598">
          <cell r="A598">
            <v>1</v>
          </cell>
          <cell r="B598">
            <v>8831003</v>
          </cell>
          <cell r="C598">
            <v>883100303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</row>
        <row r="599">
          <cell r="A599">
            <v>1</v>
          </cell>
          <cell r="B599">
            <v>8831003</v>
          </cell>
          <cell r="C599">
            <v>883100304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</row>
        <row r="600">
          <cell r="A600">
            <v>1</v>
          </cell>
          <cell r="B600">
            <v>8831003</v>
          </cell>
          <cell r="C600">
            <v>883100305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</row>
        <row r="601">
          <cell r="A601">
            <v>1</v>
          </cell>
          <cell r="B601">
            <v>8831003</v>
          </cell>
          <cell r="C601">
            <v>883100306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</row>
        <row r="602">
          <cell r="A602">
            <v>1</v>
          </cell>
          <cell r="B602">
            <v>8831003</v>
          </cell>
          <cell r="C602">
            <v>883100307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</row>
        <row r="603">
          <cell r="A603">
            <v>1</v>
          </cell>
          <cell r="B603">
            <v>8831003</v>
          </cell>
          <cell r="C603">
            <v>883100310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</row>
        <row r="604">
          <cell r="A604">
            <v>1</v>
          </cell>
          <cell r="B604">
            <v>8831003</v>
          </cell>
          <cell r="C604">
            <v>883100311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</row>
        <row r="605">
          <cell r="A605">
            <v>1</v>
          </cell>
          <cell r="B605">
            <v>8831003</v>
          </cell>
          <cell r="C605">
            <v>883100314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</row>
        <row r="606">
          <cell r="A606">
            <v>1</v>
          </cell>
          <cell r="B606">
            <v>8831003</v>
          </cell>
          <cell r="C606">
            <v>883100315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</row>
        <row r="607">
          <cell r="A607">
            <v>1</v>
          </cell>
          <cell r="B607">
            <v>8831004</v>
          </cell>
          <cell r="C607">
            <v>883100401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</row>
        <row r="608">
          <cell r="A608">
            <v>1</v>
          </cell>
          <cell r="B608">
            <v>8831004</v>
          </cell>
          <cell r="C608">
            <v>883100402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</row>
        <row r="609">
          <cell r="A609">
            <v>1</v>
          </cell>
          <cell r="B609">
            <v>8831004</v>
          </cell>
          <cell r="C609">
            <v>883100403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</row>
        <row r="610">
          <cell r="A610">
            <v>1</v>
          </cell>
          <cell r="B610">
            <v>8831004</v>
          </cell>
          <cell r="C610">
            <v>883100405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</row>
        <row r="611">
          <cell r="A611">
            <v>1</v>
          </cell>
          <cell r="B611">
            <v>8831004</v>
          </cell>
          <cell r="C611">
            <v>883100406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</row>
        <row r="612">
          <cell r="A612">
            <v>1</v>
          </cell>
          <cell r="B612">
            <v>8831004</v>
          </cell>
          <cell r="C612">
            <v>883100407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</row>
        <row r="613">
          <cell r="A613">
            <v>1</v>
          </cell>
          <cell r="B613">
            <v>8831004</v>
          </cell>
          <cell r="C613">
            <v>883100408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</row>
        <row r="614">
          <cell r="A614">
            <v>1</v>
          </cell>
          <cell r="B614">
            <v>8831004</v>
          </cell>
          <cell r="C614">
            <v>883100410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</row>
        <row r="615">
          <cell r="A615">
            <v>1</v>
          </cell>
          <cell r="B615">
            <v>8831005</v>
          </cell>
          <cell r="C615">
            <v>883100500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</row>
        <row r="616">
          <cell r="A616">
            <v>1</v>
          </cell>
          <cell r="B616">
            <v>8831007</v>
          </cell>
          <cell r="C616">
            <v>883100700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</row>
        <row r="617">
          <cell r="A617">
            <v>1</v>
          </cell>
          <cell r="B617">
            <v>8831008</v>
          </cell>
          <cell r="C617">
            <v>883100800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</row>
        <row r="618">
          <cell r="A618">
            <v>1</v>
          </cell>
          <cell r="B618">
            <v>8831010</v>
          </cell>
          <cell r="C618">
            <v>883101001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</row>
        <row r="619">
          <cell r="A619">
            <v>1</v>
          </cell>
          <cell r="B619">
            <v>8831010</v>
          </cell>
          <cell r="C619">
            <v>883101002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</row>
        <row r="620">
          <cell r="A620">
            <v>1</v>
          </cell>
          <cell r="B620">
            <v>8831010</v>
          </cell>
          <cell r="C620">
            <v>883101003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</row>
        <row r="621">
          <cell r="A621">
            <v>1</v>
          </cell>
          <cell r="B621">
            <v>8831013</v>
          </cell>
          <cell r="C621">
            <v>883101300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</row>
        <row r="622">
          <cell r="A622">
            <v>1</v>
          </cell>
          <cell r="B622">
            <v>8831014</v>
          </cell>
          <cell r="C622">
            <v>883101400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</row>
        <row r="623">
          <cell r="A623">
            <v>1</v>
          </cell>
          <cell r="B623">
            <v>8831015</v>
          </cell>
          <cell r="C623">
            <v>883101500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</row>
        <row r="624">
          <cell r="A624">
            <v>1</v>
          </cell>
          <cell r="B624">
            <v>8831017</v>
          </cell>
          <cell r="C624">
            <v>883101700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</row>
        <row r="625">
          <cell r="A625">
            <v>1</v>
          </cell>
          <cell r="B625">
            <v>8831019</v>
          </cell>
          <cell r="C625">
            <v>883101900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</row>
        <row r="626">
          <cell r="A626">
            <v>1</v>
          </cell>
          <cell r="B626">
            <v>8831020</v>
          </cell>
          <cell r="C626">
            <v>883102000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</row>
        <row r="627">
          <cell r="A627">
            <v>1</v>
          </cell>
          <cell r="B627">
            <v>8831021</v>
          </cell>
          <cell r="C627">
            <v>883102100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</row>
        <row r="628">
          <cell r="A628">
            <v>1</v>
          </cell>
          <cell r="B628">
            <v>8831023</v>
          </cell>
          <cell r="C628">
            <v>883102300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</row>
        <row r="629">
          <cell r="A629">
            <v>1</v>
          </cell>
          <cell r="B629">
            <v>8831024</v>
          </cell>
          <cell r="C629">
            <v>883102400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</row>
        <row r="630">
          <cell r="A630">
            <v>1</v>
          </cell>
          <cell r="B630">
            <v>8831025</v>
          </cell>
          <cell r="C630">
            <v>883102500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</row>
        <row r="631">
          <cell r="A631">
            <v>1</v>
          </cell>
          <cell r="B631">
            <v>8831026</v>
          </cell>
          <cell r="C631">
            <v>883102600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</row>
        <row r="632">
          <cell r="A632">
            <v>1</v>
          </cell>
          <cell r="B632">
            <v>8831028</v>
          </cell>
          <cell r="C632">
            <v>883102866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</row>
        <row r="633">
          <cell r="A633">
            <v>1</v>
          </cell>
          <cell r="B633">
            <v>8831028</v>
          </cell>
          <cell r="C633">
            <v>883102867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</row>
        <row r="634">
          <cell r="A634">
            <v>1</v>
          </cell>
          <cell r="B634">
            <v>8831029</v>
          </cell>
          <cell r="C634">
            <v>883102900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</row>
        <row r="635">
          <cell r="A635">
            <v>1</v>
          </cell>
          <cell r="B635">
            <v>8831030</v>
          </cell>
          <cell r="C635">
            <v>883103000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</row>
        <row r="636">
          <cell r="A636">
            <v>1</v>
          </cell>
          <cell r="B636">
            <v>8831031</v>
          </cell>
          <cell r="C636">
            <v>883103100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</row>
        <row r="637">
          <cell r="A637">
            <v>1</v>
          </cell>
          <cell r="B637">
            <v>8831037</v>
          </cell>
          <cell r="C637">
            <v>883103700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</row>
        <row r="638">
          <cell r="A638">
            <v>1</v>
          </cell>
          <cell r="B638">
            <v>8831039</v>
          </cell>
          <cell r="C638">
            <v>883103900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</row>
        <row r="639">
          <cell r="A639">
            <v>1</v>
          </cell>
          <cell r="B639">
            <v>8831040</v>
          </cell>
          <cell r="C639">
            <v>883104000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</row>
        <row r="640">
          <cell r="A640">
            <v>1</v>
          </cell>
          <cell r="B640">
            <v>8831041</v>
          </cell>
          <cell r="C640">
            <v>883104100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</row>
        <row r="641">
          <cell r="A641">
            <v>1</v>
          </cell>
          <cell r="B641">
            <v>8831201</v>
          </cell>
          <cell r="C641">
            <v>883120102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</row>
        <row r="642">
          <cell r="A642">
            <v>1</v>
          </cell>
          <cell r="B642">
            <v>8831201</v>
          </cell>
          <cell r="C642">
            <v>883120103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</row>
        <row r="643">
          <cell r="A643">
            <v>1</v>
          </cell>
          <cell r="B643">
            <v>8831201</v>
          </cell>
          <cell r="C643">
            <v>883120104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</row>
        <row r="644">
          <cell r="A644">
            <v>1</v>
          </cell>
          <cell r="B644">
            <v>8831201</v>
          </cell>
          <cell r="C644">
            <v>883120105</v>
          </cell>
          <cell r="I644">
            <v>19274556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19274556</v>
          </cell>
        </row>
        <row r="645">
          <cell r="A645">
            <v>1</v>
          </cell>
          <cell r="B645">
            <v>8831202</v>
          </cell>
          <cell r="C645">
            <v>883120202</v>
          </cell>
          <cell r="I645">
            <v>22985320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22985320</v>
          </cell>
        </row>
        <row r="646">
          <cell r="A646">
            <v>1</v>
          </cell>
          <cell r="B646">
            <v>8831203</v>
          </cell>
          <cell r="C646">
            <v>883120301</v>
          </cell>
          <cell r="I646">
            <v>2305456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2305456</v>
          </cell>
        </row>
        <row r="647">
          <cell r="A647">
            <v>1</v>
          </cell>
          <cell r="B647">
            <v>8831203</v>
          </cell>
          <cell r="C647">
            <v>883120302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</row>
        <row r="648">
          <cell r="A648">
            <v>1</v>
          </cell>
          <cell r="B648">
            <v>8831203</v>
          </cell>
          <cell r="C648">
            <v>883120303</v>
          </cell>
          <cell r="I648">
            <v>9621019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9621019</v>
          </cell>
        </row>
        <row r="649">
          <cell r="A649">
            <v>1</v>
          </cell>
          <cell r="B649">
            <v>8831203</v>
          </cell>
          <cell r="C649">
            <v>883120304</v>
          </cell>
          <cell r="I649">
            <v>517080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517080</v>
          </cell>
          <cell r="O649">
            <v>0</v>
          </cell>
          <cell r="P649">
            <v>0</v>
          </cell>
        </row>
        <row r="650">
          <cell r="A650">
            <v>1</v>
          </cell>
          <cell r="B650">
            <v>8831203</v>
          </cell>
          <cell r="C650">
            <v>883120305</v>
          </cell>
          <cell r="I650">
            <v>69600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69600</v>
          </cell>
        </row>
        <row r="651">
          <cell r="A651">
            <v>1</v>
          </cell>
          <cell r="B651">
            <v>8831203</v>
          </cell>
          <cell r="C651">
            <v>883120306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</row>
        <row r="652">
          <cell r="A652">
            <v>1</v>
          </cell>
          <cell r="B652">
            <v>8831203</v>
          </cell>
          <cell r="C652">
            <v>883120307</v>
          </cell>
          <cell r="I652">
            <v>383622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383622</v>
          </cell>
        </row>
        <row r="653">
          <cell r="A653">
            <v>1</v>
          </cell>
          <cell r="B653">
            <v>8831203</v>
          </cell>
          <cell r="C653">
            <v>883120310</v>
          </cell>
          <cell r="I653">
            <v>1478667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1478667</v>
          </cell>
        </row>
        <row r="654">
          <cell r="A654">
            <v>1</v>
          </cell>
          <cell r="B654">
            <v>8831203</v>
          </cell>
          <cell r="C654">
            <v>883120311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</row>
        <row r="655">
          <cell r="A655">
            <v>1</v>
          </cell>
          <cell r="B655">
            <v>8831203</v>
          </cell>
          <cell r="C655">
            <v>883120314</v>
          </cell>
          <cell r="I655">
            <v>324000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324000</v>
          </cell>
        </row>
        <row r="656">
          <cell r="A656">
            <v>1</v>
          </cell>
          <cell r="B656">
            <v>8831203</v>
          </cell>
          <cell r="C656">
            <v>883120315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</row>
        <row r="657">
          <cell r="A657">
            <v>1</v>
          </cell>
          <cell r="B657">
            <v>8831204</v>
          </cell>
          <cell r="C657">
            <v>883120401</v>
          </cell>
          <cell r="I657">
            <v>2319119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2319119</v>
          </cell>
          <cell r="P657">
            <v>0</v>
          </cell>
        </row>
        <row r="658">
          <cell r="A658">
            <v>1</v>
          </cell>
          <cell r="B658">
            <v>8831204</v>
          </cell>
          <cell r="C658">
            <v>883120402</v>
          </cell>
          <cell r="I658">
            <v>60748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60748</v>
          </cell>
        </row>
        <row r="659">
          <cell r="A659">
            <v>1</v>
          </cell>
          <cell r="B659">
            <v>8831204</v>
          </cell>
          <cell r="C659">
            <v>883120403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</row>
        <row r="660">
          <cell r="A660">
            <v>1</v>
          </cell>
          <cell r="B660">
            <v>8831204</v>
          </cell>
          <cell r="C660">
            <v>883120405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</row>
        <row r="661">
          <cell r="A661">
            <v>1</v>
          </cell>
          <cell r="B661">
            <v>8831204</v>
          </cell>
          <cell r="C661">
            <v>883120406</v>
          </cell>
          <cell r="I661">
            <v>405632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405632</v>
          </cell>
          <cell r="P661">
            <v>0</v>
          </cell>
        </row>
        <row r="662">
          <cell r="A662">
            <v>1</v>
          </cell>
          <cell r="B662">
            <v>8831204</v>
          </cell>
          <cell r="C662">
            <v>883120407</v>
          </cell>
          <cell r="I662">
            <v>3606933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3606933</v>
          </cell>
          <cell r="P662">
            <v>0</v>
          </cell>
        </row>
        <row r="663">
          <cell r="A663">
            <v>1</v>
          </cell>
          <cell r="B663">
            <v>8831204</v>
          </cell>
          <cell r="C663">
            <v>883120408</v>
          </cell>
          <cell r="I663">
            <v>142269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142269</v>
          </cell>
          <cell r="P663">
            <v>0</v>
          </cell>
        </row>
        <row r="664">
          <cell r="A664">
            <v>1</v>
          </cell>
          <cell r="B664">
            <v>8831204</v>
          </cell>
          <cell r="C664">
            <v>883120410</v>
          </cell>
          <cell r="I664">
            <v>2984624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2984624</v>
          </cell>
          <cell r="P664">
            <v>0</v>
          </cell>
        </row>
        <row r="665">
          <cell r="A665">
            <v>1</v>
          </cell>
          <cell r="B665">
            <v>8831204</v>
          </cell>
          <cell r="C665">
            <v>883120411</v>
          </cell>
          <cell r="I665">
            <v>73529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73529</v>
          </cell>
          <cell r="P665">
            <v>0</v>
          </cell>
        </row>
        <row r="666">
          <cell r="A666">
            <v>1</v>
          </cell>
          <cell r="B666">
            <v>8831205</v>
          </cell>
          <cell r="C666">
            <v>883120500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</row>
        <row r="667">
          <cell r="A667">
            <v>1</v>
          </cell>
          <cell r="B667">
            <v>8831207</v>
          </cell>
          <cell r="C667">
            <v>883120700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</row>
        <row r="668">
          <cell r="A668">
            <v>1</v>
          </cell>
          <cell r="B668">
            <v>8831208</v>
          </cell>
          <cell r="C668">
            <v>883120800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</row>
        <row r="669">
          <cell r="A669">
            <v>1</v>
          </cell>
          <cell r="B669">
            <v>8831210</v>
          </cell>
          <cell r="C669">
            <v>883121001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</row>
        <row r="670">
          <cell r="A670">
            <v>1</v>
          </cell>
          <cell r="B670">
            <v>8831210</v>
          </cell>
          <cell r="C670">
            <v>883121002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</row>
        <row r="671">
          <cell r="A671">
            <v>1</v>
          </cell>
          <cell r="B671">
            <v>8831210</v>
          </cell>
          <cell r="C671">
            <v>883121003</v>
          </cell>
          <cell r="I671">
            <v>957480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957480</v>
          </cell>
          <cell r="O671">
            <v>0</v>
          </cell>
          <cell r="P671">
            <v>0</v>
          </cell>
        </row>
        <row r="672">
          <cell r="A672">
            <v>1</v>
          </cell>
          <cell r="B672">
            <v>8831213</v>
          </cell>
          <cell r="C672">
            <v>883121300</v>
          </cell>
          <cell r="I672">
            <v>524214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524214</v>
          </cell>
          <cell r="O672">
            <v>0</v>
          </cell>
          <cell r="P672">
            <v>0</v>
          </cell>
        </row>
        <row r="673">
          <cell r="A673">
            <v>1</v>
          </cell>
          <cell r="B673">
            <v>8831214</v>
          </cell>
          <cell r="C673">
            <v>883121400</v>
          </cell>
          <cell r="I673">
            <v>14678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14678</v>
          </cell>
          <cell r="O673">
            <v>0</v>
          </cell>
          <cell r="P673">
            <v>0</v>
          </cell>
        </row>
        <row r="674">
          <cell r="A674">
            <v>1</v>
          </cell>
          <cell r="B674">
            <v>8831215</v>
          </cell>
          <cell r="C674">
            <v>883121500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</row>
        <row r="675">
          <cell r="A675">
            <v>1</v>
          </cell>
          <cell r="B675">
            <v>8831217</v>
          </cell>
          <cell r="C675">
            <v>883121700</v>
          </cell>
          <cell r="I675">
            <v>265731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265731</v>
          </cell>
          <cell r="O675">
            <v>0</v>
          </cell>
          <cell r="P675">
            <v>0</v>
          </cell>
        </row>
        <row r="676">
          <cell r="A676">
            <v>1</v>
          </cell>
          <cell r="B676">
            <v>8831219</v>
          </cell>
          <cell r="C676">
            <v>883121900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</row>
        <row r="677">
          <cell r="A677">
            <v>1</v>
          </cell>
          <cell r="B677">
            <v>8831220</v>
          </cell>
          <cell r="C677">
            <v>883122000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</row>
        <row r="678">
          <cell r="A678">
            <v>1</v>
          </cell>
          <cell r="B678">
            <v>8831221</v>
          </cell>
          <cell r="C678">
            <v>883122100</v>
          </cell>
          <cell r="I678">
            <v>16474337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16474337</v>
          </cell>
          <cell r="O678">
            <v>0</v>
          </cell>
          <cell r="P678">
            <v>0</v>
          </cell>
        </row>
        <row r="679">
          <cell r="A679">
            <v>1</v>
          </cell>
          <cell r="B679">
            <v>8831223</v>
          </cell>
          <cell r="C679">
            <v>883122300</v>
          </cell>
          <cell r="I679">
            <v>116949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116949</v>
          </cell>
          <cell r="O679">
            <v>0</v>
          </cell>
          <cell r="P679">
            <v>0</v>
          </cell>
        </row>
        <row r="680">
          <cell r="A680">
            <v>1</v>
          </cell>
          <cell r="B680">
            <v>8831224</v>
          </cell>
          <cell r="C680">
            <v>883122400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</row>
        <row r="681">
          <cell r="A681">
            <v>1</v>
          </cell>
          <cell r="B681">
            <v>8831225</v>
          </cell>
          <cell r="C681">
            <v>883122500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</row>
        <row r="682">
          <cell r="A682">
            <v>1</v>
          </cell>
          <cell r="B682">
            <v>8831228</v>
          </cell>
          <cell r="C682">
            <v>883122866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</row>
        <row r="683">
          <cell r="A683">
            <v>1</v>
          </cell>
          <cell r="B683">
            <v>8831228</v>
          </cell>
          <cell r="C683">
            <v>883122867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</row>
        <row r="684">
          <cell r="A684">
            <v>1</v>
          </cell>
          <cell r="B684">
            <v>8831229</v>
          </cell>
          <cell r="C684">
            <v>883122900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</row>
        <row r="685">
          <cell r="A685">
            <v>1</v>
          </cell>
          <cell r="B685">
            <v>8831230</v>
          </cell>
          <cell r="C685">
            <v>883123000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</row>
        <row r="686">
          <cell r="A686">
            <v>1</v>
          </cell>
          <cell r="B686">
            <v>8831231</v>
          </cell>
          <cell r="C686">
            <v>883123100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</row>
        <row r="687">
          <cell r="A687">
            <v>1</v>
          </cell>
          <cell r="B687">
            <v>8831237</v>
          </cell>
          <cell r="C687">
            <v>883123700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</row>
        <row r="688">
          <cell r="A688">
            <v>1</v>
          </cell>
          <cell r="B688">
            <v>8831239</v>
          </cell>
          <cell r="C688">
            <v>883123900</v>
          </cell>
          <cell r="I688">
            <v>81986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81986</v>
          </cell>
          <cell r="P688">
            <v>0</v>
          </cell>
        </row>
        <row r="689">
          <cell r="A689">
            <v>1</v>
          </cell>
          <cell r="B689">
            <v>8831240</v>
          </cell>
          <cell r="C689">
            <v>883124000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</row>
        <row r="690">
          <cell r="A690">
            <v>1</v>
          </cell>
          <cell r="B690">
            <v>8831241</v>
          </cell>
          <cell r="C690">
            <v>883124100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</row>
        <row r="691">
          <cell r="A691">
            <v>1</v>
          </cell>
          <cell r="B691">
            <v>8831242</v>
          </cell>
          <cell r="C691">
            <v>883124201</v>
          </cell>
          <cell r="I691">
            <v>3295000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3295000</v>
          </cell>
        </row>
        <row r="692">
          <cell r="A692">
            <v>1</v>
          </cell>
          <cell r="B692">
            <v>8831242</v>
          </cell>
          <cell r="C692">
            <v>883124202</v>
          </cell>
          <cell r="I692">
            <v>567000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567000</v>
          </cell>
        </row>
        <row r="693">
          <cell r="A693">
            <v>1</v>
          </cell>
          <cell r="B693">
            <v>8831301</v>
          </cell>
          <cell r="C693">
            <v>883130102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</row>
        <row r="694">
          <cell r="A694">
            <v>1</v>
          </cell>
          <cell r="B694">
            <v>8831301</v>
          </cell>
          <cell r="C694">
            <v>883130103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</row>
        <row r="695">
          <cell r="A695">
            <v>1</v>
          </cell>
          <cell r="B695">
            <v>8831301</v>
          </cell>
          <cell r="C695">
            <v>883130104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</row>
        <row r="696">
          <cell r="A696">
            <v>1</v>
          </cell>
          <cell r="B696">
            <v>8831301</v>
          </cell>
          <cell r="C696">
            <v>883130105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</row>
        <row r="697">
          <cell r="A697">
            <v>1</v>
          </cell>
          <cell r="B697">
            <v>8831302</v>
          </cell>
          <cell r="C697">
            <v>883130202</v>
          </cell>
          <cell r="I697">
            <v>4418400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4418400</v>
          </cell>
        </row>
        <row r="698">
          <cell r="A698">
            <v>1</v>
          </cell>
          <cell r="B698">
            <v>8831303</v>
          </cell>
          <cell r="C698">
            <v>883130301</v>
          </cell>
          <cell r="I698">
            <v>460080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460080</v>
          </cell>
        </row>
        <row r="699">
          <cell r="A699">
            <v>1</v>
          </cell>
          <cell r="B699">
            <v>8831303</v>
          </cell>
          <cell r="C699">
            <v>883130302</v>
          </cell>
          <cell r="I699">
            <v>182400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182400</v>
          </cell>
        </row>
        <row r="700">
          <cell r="A700">
            <v>1</v>
          </cell>
          <cell r="B700">
            <v>8831303</v>
          </cell>
          <cell r="C700">
            <v>883130303</v>
          </cell>
          <cell r="I700">
            <v>1581823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1581823</v>
          </cell>
        </row>
        <row r="701">
          <cell r="A701">
            <v>1</v>
          </cell>
          <cell r="B701">
            <v>8831303</v>
          </cell>
          <cell r="C701">
            <v>883130304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</row>
        <row r="702">
          <cell r="A702">
            <v>1</v>
          </cell>
          <cell r="B702">
            <v>8831303</v>
          </cell>
          <cell r="C702">
            <v>883130305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</row>
        <row r="703">
          <cell r="A703">
            <v>1</v>
          </cell>
          <cell r="B703">
            <v>8831303</v>
          </cell>
          <cell r="C703">
            <v>883130306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</row>
        <row r="704">
          <cell r="A704">
            <v>1</v>
          </cell>
          <cell r="B704">
            <v>8831303</v>
          </cell>
          <cell r="C704">
            <v>883130307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</row>
        <row r="705">
          <cell r="A705">
            <v>1</v>
          </cell>
          <cell r="B705">
            <v>8831303</v>
          </cell>
          <cell r="C705">
            <v>883130310</v>
          </cell>
          <cell r="I705">
            <v>611004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611004</v>
          </cell>
        </row>
        <row r="706">
          <cell r="A706">
            <v>1</v>
          </cell>
          <cell r="B706">
            <v>8831303</v>
          </cell>
          <cell r="C706">
            <v>883130311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</row>
        <row r="707">
          <cell r="A707">
            <v>1</v>
          </cell>
          <cell r="B707">
            <v>8831303</v>
          </cell>
          <cell r="C707">
            <v>883130314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</row>
        <row r="708">
          <cell r="A708">
            <v>1</v>
          </cell>
          <cell r="B708">
            <v>8831303</v>
          </cell>
          <cell r="C708">
            <v>883130315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</row>
        <row r="709">
          <cell r="A709">
            <v>1</v>
          </cell>
          <cell r="B709">
            <v>8831304</v>
          </cell>
          <cell r="C709">
            <v>883130401</v>
          </cell>
          <cell r="I709">
            <v>1126810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1126810</v>
          </cell>
          <cell r="P709">
            <v>0</v>
          </cell>
        </row>
        <row r="710">
          <cell r="A710">
            <v>1</v>
          </cell>
          <cell r="B710">
            <v>8831304</v>
          </cell>
          <cell r="C710">
            <v>883130402</v>
          </cell>
          <cell r="I710">
            <v>6624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6624</v>
          </cell>
        </row>
        <row r="711">
          <cell r="A711">
            <v>1</v>
          </cell>
          <cell r="B711">
            <v>8831304</v>
          </cell>
          <cell r="C711">
            <v>883130403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</row>
        <row r="712">
          <cell r="A712">
            <v>1</v>
          </cell>
          <cell r="B712">
            <v>8831304</v>
          </cell>
          <cell r="C712">
            <v>883130405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</row>
        <row r="713">
          <cell r="A713">
            <v>1</v>
          </cell>
          <cell r="B713">
            <v>8831304</v>
          </cell>
          <cell r="C713">
            <v>883130406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</row>
        <row r="714">
          <cell r="A714">
            <v>1</v>
          </cell>
          <cell r="B714">
            <v>8831304</v>
          </cell>
          <cell r="C714">
            <v>883130407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</row>
        <row r="715">
          <cell r="A715">
            <v>1</v>
          </cell>
          <cell r="B715">
            <v>8831304</v>
          </cell>
          <cell r="C715">
            <v>883130408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</row>
        <row r="716">
          <cell r="A716">
            <v>1</v>
          </cell>
          <cell r="B716">
            <v>8831304</v>
          </cell>
          <cell r="C716">
            <v>883130410</v>
          </cell>
          <cell r="I716">
            <v>435839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435839</v>
          </cell>
          <cell r="P716">
            <v>0</v>
          </cell>
        </row>
        <row r="717">
          <cell r="A717">
            <v>1</v>
          </cell>
          <cell r="B717">
            <v>8831304</v>
          </cell>
          <cell r="C717">
            <v>883130411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</row>
        <row r="718">
          <cell r="A718">
            <v>1</v>
          </cell>
          <cell r="B718">
            <v>8831305</v>
          </cell>
          <cell r="C718">
            <v>883130500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</row>
        <row r="719">
          <cell r="A719">
            <v>1</v>
          </cell>
          <cell r="B719">
            <v>8831307</v>
          </cell>
          <cell r="C719">
            <v>883130700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</row>
        <row r="720">
          <cell r="A720">
            <v>1</v>
          </cell>
          <cell r="B720">
            <v>8831308</v>
          </cell>
          <cell r="C720">
            <v>883130800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</row>
        <row r="721">
          <cell r="A721">
            <v>1</v>
          </cell>
          <cell r="B721">
            <v>8831310</v>
          </cell>
          <cell r="C721">
            <v>883131001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</row>
        <row r="722">
          <cell r="A722">
            <v>1</v>
          </cell>
          <cell r="B722">
            <v>8831310</v>
          </cell>
          <cell r="C722">
            <v>883131002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</row>
        <row r="723">
          <cell r="A723">
            <v>1</v>
          </cell>
          <cell r="B723">
            <v>8831310</v>
          </cell>
          <cell r="C723">
            <v>883131003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</row>
        <row r="724">
          <cell r="A724">
            <v>1</v>
          </cell>
          <cell r="B724">
            <v>8831313</v>
          </cell>
          <cell r="C724">
            <v>883131300</v>
          </cell>
          <cell r="I724">
            <v>314753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314753</v>
          </cell>
          <cell r="O724">
            <v>0</v>
          </cell>
          <cell r="P724">
            <v>0</v>
          </cell>
        </row>
        <row r="725">
          <cell r="A725">
            <v>1</v>
          </cell>
          <cell r="B725">
            <v>8831314</v>
          </cell>
          <cell r="C725">
            <v>883131400</v>
          </cell>
          <cell r="I725">
            <v>205816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205816</v>
          </cell>
          <cell r="O725">
            <v>0</v>
          </cell>
          <cell r="P725">
            <v>0</v>
          </cell>
        </row>
        <row r="726">
          <cell r="A726">
            <v>1</v>
          </cell>
          <cell r="B726">
            <v>8831315</v>
          </cell>
          <cell r="C726">
            <v>883131500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</row>
        <row r="727">
          <cell r="A727">
            <v>1</v>
          </cell>
          <cell r="B727">
            <v>8831317</v>
          </cell>
          <cell r="C727">
            <v>883131700</v>
          </cell>
          <cell r="I727">
            <v>25200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25200</v>
          </cell>
          <cell r="O727">
            <v>0</v>
          </cell>
          <cell r="P727">
            <v>0</v>
          </cell>
        </row>
        <row r="728">
          <cell r="A728">
            <v>1</v>
          </cell>
          <cell r="B728">
            <v>8831319</v>
          </cell>
          <cell r="C728">
            <v>883131900</v>
          </cell>
          <cell r="I728">
            <v>31159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3839</v>
          </cell>
          <cell r="O728">
            <v>12900</v>
          </cell>
          <cell r="P728">
            <v>14420</v>
          </cell>
        </row>
        <row r="729">
          <cell r="A729">
            <v>1</v>
          </cell>
          <cell r="B729">
            <v>8831320</v>
          </cell>
          <cell r="C729">
            <v>883132000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</row>
        <row r="730">
          <cell r="A730">
            <v>1</v>
          </cell>
          <cell r="B730">
            <v>8831321</v>
          </cell>
          <cell r="C730">
            <v>883132100</v>
          </cell>
          <cell r="I730">
            <v>223630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223630</v>
          </cell>
          <cell r="O730">
            <v>0</v>
          </cell>
          <cell r="P730">
            <v>0</v>
          </cell>
        </row>
        <row r="731">
          <cell r="A731">
            <v>1</v>
          </cell>
          <cell r="B731">
            <v>8831323</v>
          </cell>
          <cell r="C731">
            <v>883132300</v>
          </cell>
          <cell r="I731">
            <v>190247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190247</v>
          </cell>
          <cell r="O731">
            <v>0</v>
          </cell>
          <cell r="P731">
            <v>0</v>
          </cell>
        </row>
        <row r="732">
          <cell r="A732">
            <v>1</v>
          </cell>
          <cell r="B732">
            <v>8831324</v>
          </cell>
          <cell r="C732">
            <v>883132400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</row>
        <row r="733">
          <cell r="A733">
            <v>1</v>
          </cell>
          <cell r="B733">
            <v>8831325</v>
          </cell>
          <cell r="C733">
            <v>883132500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</row>
        <row r="734">
          <cell r="A734">
            <v>1</v>
          </cell>
          <cell r="B734">
            <v>8831328</v>
          </cell>
          <cell r="C734">
            <v>883132866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</row>
        <row r="735">
          <cell r="A735">
            <v>1</v>
          </cell>
          <cell r="B735">
            <v>8831328</v>
          </cell>
          <cell r="C735">
            <v>883132867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</row>
        <row r="736">
          <cell r="A736">
            <v>1</v>
          </cell>
          <cell r="B736">
            <v>8831329</v>
          </cell>
          <cell r="C736">
            <v>883132900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</row>
        <row r="737">
          <cell r="A737">
            <v>1</v>
          </cell>
          <cell r="B737">
            <v>8831330</v>
          </cell>
          <cell r="C737">
            <v>883133000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</row>
        <row r="738">
          <cell r="A738">
            <v>1</v>
          </cell>
          <cell r="B738">
            <v>8831331</v>
          </cell>
          <cell r="C738">
            <v>883133100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</row>
        <row r="739">
          <cell r="A739">
            <v>1</v>
          </cell>
          <cell r="B739">
            <v>8831337</v>
          </cell>
          <cell r="C739">
            <v>883133700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</row>
        <row r="740">
          <cell r="A740">
            <v>1</v>
          </cell>
          <cell r="B740">
            <v>8831339</v>
          </cell>
          <cell r="C740">
            <v>883133900</v>
          </cell>
          <cell r="I740">
            <v>97074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97074</v>
          </cell>
          <cell r="P740">
            <v>0</v>
          </cell>
        </row>
        <row r="741">
          <cell r="A741">
            <v>1</v>
          </cell>
          <cell r="B741">
            <v>8831340</v>
          </cell>
          <cell r="C741">
            <v>883134000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</row>
        <row r="742">
          <cell r="A742">
            <v>1</v>
          </cell>
          <cell r="B742">
            <v>8831341</v>
          </cell>
          <cell r="C742">
            <v>883134100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</row>
        <row r="743">
          <cell r="A743">
            <v>1</v>
          </cell>
          <cell r="B743">
            <v>8831342</v>
          </cell>
          <cell r="C743">
            <v>883134201</v>
          </cell>
          <cell r="I743">
            <v>476000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476000</v>
          </cell>
        </row>
        <row r="744">
          <cell r="A744">
            <v>1</v>
          </cell>
          <cell r="B744">
            <v>8831342</v>
          </cell>
          <cell r="C744">
            <v>883134202</v>
          </cell>
          <cell r="I744">
            <v>97000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97000</v>
          </cell>
        </row>
        <row r="745">
          <cell r="A745">
            <v>1</v>
          </cell>
          <cell r="B745">
            <v>8831401</v>
          </cell>
          <cell r="C745">
            <v>883140102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</row>
        <row r="746">
          <cell r="A746">
            <v>1</v>
          </cell>
          <cell r="B746">
            <v>8831401</v>
          </cell>
          <cell r="C746">
            <v>883140103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</row>
        <row r="747">
          <cell r="A747">
            <v>1</v>
          </cell>
          <cell r="B747">
            <v>8831401</v>
          </cell>
          <cell r="C747">
            <v>883140104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</row>
        <row r="748">
          <cell r="A748">
            <v>1</v>
          </cell>
          <cell r="B748">
            <v>8831401</v>
          </cell>
          <cell r="C748">
            <v>883140105</v>
          </cell>
          <cell r="I748">
            <v>2132308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2132308</v>
          </cell>
        </row>
        <row r="749">
          <cell r="A749">
            <v>1</v>
          </cell>
          <cell r="B749">
            <v>8831402</v>
          </cell>
          <cell r="C749">
            <v>883140202</v>
          </cell>
          <cell r="I749">
            <v>12502020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12502020</v>
          </cell>
        </row>
        <row r="750">
          <cell r="A750">
            <v>1</v>
          </cell>
          <cell r="B750">
            <v>8831403</v>
          </cell>
          <cell r="C750">
            <v>883140301</v>
          </cell>
          <cell r="I750">
            <v>1257996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1257996</v>
          </cell>
        </row>
        <row r="751">
          <cell r="A751">
            <v>1</v>
          </cell>
          <cell r="B751">
            <v>8831403</v>
          </cell>
          <cell r="C751">
            <v>883140302</v>
          </cell>
          <cell r="I751">
            <v>78000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78000</v>
          </cell>
        </row>
        <row r="752">
          <cell r="A752">
            <v>1</v>
          </cell>
          <cell r="B752">
            <v>8831403</v>
          </cell>
          <cell r="C752">
            <v>883140303</v>
          </cell>
          <cell r="I752">
            <v>3550567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3550567</v>
          </cell>
        </row>
        <row r="753">
          <cell r="A753">
            <v>1</v>
          </cell>
          <cell r="B753">
            <v>8831403</v>
          </cell>
          <cell r="C753">
            <v>883140304</v>
          </cell>
          <cell r="I753">
            <v>587260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587260</v>
          </cell>
          <cell r="O753">
            <v>0</v>
          </cell>
          <cell r="P753">
            <v>0</v>
          </cell>
        </row>
        <row r="754">
          <cell r="A754">
            <v>1</v>
          </cell>
          <cell r="B754">
            <v>8831403</v>
          </cell>
          <cell r="C754">
            <v>883140305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</row>
        <row r="755">
          <cell r="A755">
            <v>1</v>
          </cell>
          <cell r="B755">
            <v>8831403</v>
          </cell>
          <cell r="C755">
            <v>883140306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</row>
        <row r="756">
          <cell r="A756">
            <v>1</v>
          </cell>
          <cell r="B756">
            <v>8831403</v>
          </cell>
          <cell r="C756">
            <v>883140307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</row>
        <row r="757">
          <cell r="A757">
            <v>1</v>
          </cell>
          <cell r="B757">
            <v>8831403</v>
          </cell>
          <cell r="C757">
            <v>883140310</v>
          </cell>
          <cell r="I757">
            <v>1597508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1597508</v>
          </cell>
        </row>
        <row r="758">
          <cell r="A758">
            <v>1</v>
          </cell>
          <cell r="B758">
            <v>8831403</v>
          </cell>
          <cell r="C758">
            <v>883140311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</row>
        <row r="759">
          <cell r="A759">
            <v>1</v>
          </cell>
          <cell r="B759">
            <v>8831403</v>
          </cell>
          <cell r="C759">
            <v>883140314</v>
          </cell>
          <cell r="I759">
            <v>324000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324000</v>
          </cell>
        </row>
        <row r="760">
          <cell r="A760">
            <v>1</v>
          </cell>
          <cell r="B760">
            <v>8831403</v>
          </cell>
          <cell r="C760">
            <v>883140315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</row>
        <row r="761">
          <cell r="A761">
            <v>1</v>
          </cell>
          <cell r="B761">
            <v>8831404</v>
          </cell>
          <cell r="C761">
            <v>883140401</v>
          </cell>
          <cell r="I761">
            <v>2441526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2441526</v>
          </cell>
          <cell r="P761">
            <v>0</v>
          </cell>
        </row>
        <row r="762">
          <cell r="A762">
            <v>1</v>
          </cell>
          <cell r="B762">
            <v>8831404</v>
          </cell>
          <cell r="C762">
            <v>883140402</v>
          </cell>
          <cell r="I762">
            <v>20796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20796</v>
          </cell>
        </row>
        <row r="763">
          <cell r="A763">
            <v>1</v>
          </cell>
          <cell r="B763">
            <v>8831404</v>
          </cell>
          <cell r="C763">
            <v>883140403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</row>
        <row r="764">
          <cell r="A764">
            <v>1</v>
          </cell>
          <cell r="B764">
            <v>8831404</v>
          </cell>
          <cell r="C764">
            <v>883140405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</row>
        <row r="765">
          <cell r="A765">
            <v>1</v>
          </cell>
          <cell r="B765">
            <v>8831404</v>
          </cell>
          <cell r="C765">
            <v>883140406</v>
          </cell>
          <cell r="I765">
            <v>56524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56524</v>
          </cell>
          <cell r="P765">
            <v>0</v>
          </cell>
        </row>
        <row r="766">
          <cell r="A766">
            <v>1</v>
          </cell>
          <cell r="B766">
            <v>8831404</v>
          </cell>
          <cell r="C766">
            <v>883140407</v>
          </cell>
          <cell r="I766">
            <v>506636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506636</v>
          </cell>
          <cell r="P766">
            <v>0</v>
          </cell>
        </row>
        <row r="767">
          <cell r="A767">
            <v>1</v>
          </cell>
          <cell r="B767">
            <v>8831404</v>
          </cell>
          <cell r="C767">
            <v>883140408</v>
          </cell>
          <cell r="I767">
            <v>20477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20477</v>
          </cell>
          <cell r="P767">
            <v>0</v>
          </cell>
        </row>
        <row r="768">
          <cell r="A768">
            <v>1</v>
          </cell>
          <cell r="B768">
            <v>8831404</v>
          </cell>
          <cell r="C768">
            <v>883140410</v>
          </cell>
          <cell r="I768">
            <v>1151322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1151322</v>
          </cell>
          <cell r="P768">
            <v>0</v>
          </cell>
        </row>
        <row r="769">
          <cell r="A769">
            <v>1</v>
          </cell>
          <cell r="B769">
            <v>8831404</v>
          </cell>
          <cell r="C769">
            <v>883140411</v>
          </cell>
          <cell r="I769">
            <v>8208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8208</v>
          </cell>
          <cell r="P769">
            <v>0</v>
          </cell>
        </row>
        <row r="770">
          <cell r="A770">
            <v>1</v>
          </cell>
          <cell r="B770">
            <v>8831405</v>
          </cell>
          <cell r="C770">
            <v>883140500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</row>
        <row r="771">
          <cell r="A771">
            <v>1</v>
          </cell>
          <cell r="B771">
            <v>8831407</v>
          </cell>
          <cell r="C771">
            <v>883140700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</row>
        <row r="772">
          <cell r="A772">
            <v>1</v>
          </cell>
          <cell r="B772">
            <v>8831408</v>
          </cell>
          <cell r="C772">
            <v>883140800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</row>
        <row r="773">
          <cell r="A773">
            <v>1</v>
          </cell>
          <cell r="B773">
            <v>8831410</v>
          </cell>
          <cell r="C773">
            <v>883141001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</row>
        <row r="774">
          <cell r="A774">
            <v>1</v>
          </cell>
          <cell r="B774">
            <v>8831410</v>
          </cell>
          <cell r="C774">
            <v>883141002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</row>
        <row r="775">
          <cell r="A775">
            <v>1</v>
          </cell>
          <cell r="B775">
            <v>8831410</v>
          </cell>
          <cell r="C775">
            <v>883141003</v>
          </cell>
          <cell r="I775">
            <v>258110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258110</v>
          </cell>
          <cell r="O775">
            <v>0</v>
          </cell>
          <cell r="P775">
            <v>0</v>
          </cell>
        </row>
        <row r="776">
          <cell r="A776">
            <v>1</v>
          </cell>
          <cell r="B776">
            <v>8831413</v>
          </cell>
          <cell r="C776">
            <v>883141300</v>
          </cell>
          <cell r="I776">
            <v>127781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127781</v>
          </cell>
          <cell r="O776">
            <v>0</v>
          </cell>
          <cell r="P776">
            <v>0</v>
          </cell>
        </row>
        <row r="777">
          <cell r="A777">
            <v>1</v>
          </cell>
          <cell r="B777">
            <v>8831414</v>
          </cell>
          <cell r="C777">
            <v>883141400</v>
          </cell>
          <cell r="I777">
            <v>31107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31107</v>
          </cell>
          <cell r="O777">
            <v>0</v>
          </cell>
          <cell r="P777">
            <v>0</v>
          </cell>
        </row>
        <row r="778">
          <cell r="A778">
            <v>1</v>
          </cell>
          <cell r="B778">
            <v>8831415</v>
          </cell>
          <cell r="C778">
            <v>883141500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</row>
        <row r="779">
          <cell r="A779">
            <v>1</v>
          </cell>
          <cell r="B779">
            <v>8831417</v>
          </cell>
          <cell r="C779">
            <v>883141700</v>
          </cell>
          <cell r="I779">
            <v>615774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615774</v>
          </cell>
          <cell r="O779">
            <v>0</v>
          </cell>
          <cell r="P779">
            <v>0</v>
          </cell>
        </row>
        <row r="780">
          <cell r="A780">
            <v>1</v>
          </cell>
          <cell r="B780">
            <v>8831419</v>
          </cell>
          <cell r="C780">
            <v>883141900</v>
          </cell>
          <cell r="I780">
            <v>1406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1406</v>
          </cell>
          <cell r="O780">
            <v>0</v>
          </cell>
          <cell r="P780">
            <v>0</v>
          </cell>
        </row>
        <row r="781">
          <cell r="A781">
            <v>1</v>
          </cell>
          <cell r="B781">
            <v>8831420</v>
          </cell>
          <cell r="C781">
            <v>883142000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</row>
        <row r="782">
          <cell r="A782">
            <v>1</v>
          </cell>
          <cell r="B782">
            <v>8831421</v>
          </cell>
          <cell r="C782">
            <v>883142100</v>
          </cell>
          <cell r="I782">
            <v>991166277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991166277</v>
          </cell>
          <cell r="O782">
            <v>0</v>
          </cell>
          <cell r="P782">
            <v>0</v>
          </cell>
        </row>
        <row r="783">
          <cell r="A783">
            <v>1</v>
          </cell>
          <cell r="B783">
            <v>8831423</v>
          </cell>
          <cell r="C783">
            <v>883142300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</row>
        <row r="784">
          <cell r="A784">
            <v>1</v>
          </cell>
          <cell r="B784">
            <v>8831424</v>
          </cell>
          <cell r="C784">
            <v>883142400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</row>
        <row r="785">
          <cell r="A785">
            <v>1</v>
          </cell>
          <cell r="B785">
            <v>8831425</v>
          </cell>
          <cell r="C785">
            <v>883142500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</row>
        <row r="786">
          <cell r="A786">
            <v>1</v>
          </cell>
          <cell r="B786">
            <v>8831428</v>
          </cell>
          <cell r="C786">
            <v>883142866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</row>
        <row r="787">
          <cell r="A787">
            <v>1</v>
          </cell>
          <cell r="B787">
            <v>8831428</v>
          </cell>
          <cell r="C787">
            <v>883142867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</row>
        <row r="788">
          <cell r="A788">
            <v>1</v>
          </cell>
          <cell r="B788">
            <v>8831429</v>
          </cell>
          <cell r="C788">
            <v>883142900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</row>
        <row r="789">
          <cell r="A789">
            <v>1</v>
          </cell>
          <cell r="B789">
            <v>8831430</v>
          </cell>
          <cell r="C789">
            <v>883143000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</row>
        <row r="790">
          <cell r="A790">
            <v>1</v>
          </cell>
          <cell r="B790">
            <v>8831431</v>
          </cell>
          <cell r="C790">
            <v>883143100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</row>
        <row r="791">
          <cell r="A791">
            <v>1</v>
          </cell>
          <cell r="B791">
            <v>8831437</v>
          </cell>
          <cell r="C791">
            <v>883143700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</row>
        <row r="792">
          <cell r="A792">
            <v>1</v>
          </cell>
          <cell r="B792">
            <v>8831439</v>
          </cell>
          <cell r="C792">
            <v>883143900</v>
          </cell>
          <cell r="I792">
            <v>10540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10540</v>
          </cell>
          <cell r="P792">
            <v>0</v>
          </cell>
        </row>
        <row r="793">
          <cell r="A793">
            <v>1</v>
          </cell>
          <cell r="B793">
            <v>8831440</v>
          </cell>
          <cell r="C793">
            <v>883144000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</row>
        <row r="794">
          <cell r="A794">
            <v>1</v>
          </cell>
          <cell r="B794">
            <v>8831441</v>
          </cell>
          <cell r="C794">
            <v>883144100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</row>
        <row r="795">
          <cell r="A795">
            <v>1</v>
          </cell>
          <cell r="B795">
            <v>8831442</v>
          </cell>
          <cell r="C795">
            <v>883144201</v>
          </cell>
          <cell r="I795">
            <v>1256000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1256000</v>
          </cell>
        </row>
        <row r="796">
          <cell r="A796">
            <v>1</v>
          </cell>
          <cell r="B796">
            <v>8831442</v>
          </cell>
          <cell r="C796">
            <v>883144202</v>
          </cell>
          <cell r="I796">
            <v>243000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243000</v>
          </cell>
        </row>
        <row r="797">
          <cell r="A797">
            <v>1</v>
          </cell>
          <cell r="B797">
            <v>8831601</v>
          </cell>
          <cell r="C797">
            <v>883160102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</row>
        <row r="798">
          <cell r="A798">
            <v>1</v>
          </cell>
          <cell r="B798">
            <v>8831601</v>
          </cell>
          <cell r="C798">
            <v>883160103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</row>
        <row r="799">
          <cell r="A799">
            <v>1</v>
          </cell>
          <cell r="B799">
            <v>8831601</v>
          </cell>
          <cell r="C799">
            <v>883160104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</row>
        <row r="800">
          <cell r="A800">
            <v>1</v>
          </cell>
          <cell r="B800">
            <v>8831601</v>
          </cell>
          <cell r="C800">
            <v>883160105</v>
          </cell>
          <cell r="I800">
            <v>8388763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8388763</v>
          </cell>
        </row>
        <row r="801">
          <cell r="A801">
            <v>1</v>
          </cell>
          <cell r="B801">
            <v>8831602</v>
          </cell>
          <cell r="C801">
            <v>883160202</v>
          </cell>
          <cell r="I801">
            <v>118729200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118729200</v>
          </cell>
        </row>
        <row r="802">
          <cell r="A802">
            <v>1</v>
          </cell>
          <cell r="B802">
            <v>8831603</v>
          </cell>
          <cell r="C802">
            <v>883160301</v>
          </cell>
          <cell r="I802">
            <v>12811200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12811200</v>
          </cell>
        </row>
        <row r="803">
          <cell r="A803">
            <v>1</v>
          </cell>
          <cell r="B803">
            <v>8831603</v>
          </cell>
          <cell r="C803">
            <v>883160302</v>
          </cell>
          <cell r="I803">
            <v>3372000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3372000</v>
          </cell>
        </row>
        <row r="804">
          <cell r="A804">
            <v>1</v>
          </cell>
          <cell r="B804">
            <v>8831603</v>
          </cell>
          <cell r="C804">
            <v>883160303</v>
          </cell>
          <cell r="I804">
            <v>45165067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45165067</v>
          </cell>
        </row>
        <row r="805">
          <cell r="A805">
            <v>1</v>
          </cell>
          <cell r="B805">
            <v>8831603</v>
          </cell>
          <cell r="C805">
            <v>883160304</v>
          </cell>
          <cell r="I805">
            <v>2558640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2558640</v>
          </cell>
          <cell r="O805">
            <v>0</v>
          </cell>
          <cell r="P805">
            <v>0</v>
          </cell>
        </row>
        <row r="806">
          <cell r="A806">
            <v>1</v>
          </cell>
          <cell r="B806">
            <v>8831603</v>
          </cell>
          <cell r="C806">
            <v>883160305</v>
          </cell>
          <cell r="I806">
            <v>6010800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6010800</v>
          </cell>
        </row>
        <row r="807">
          <cell r="A807">
            <v>1</v>
          </cell>
          <cell r="B807">
            <v>8831603</v>
          </cell>
          <cell r="C807">
            <v>883160306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</row>
        <row r="808">
          <cell r="A808">
            <v>1</v>
          </cell>
          <cell r="B808">
            <v>8831603</v>
          </cell>
          <cell r="C808">
            <v>883160307</v>
          </cell>
          <cell r="I808">
            <v>123888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123888</v>
          </cell>
        </row>
        <row r="809">
          <cell r="A809">
            <v>1</v>
          </cell>
          <cell r="B809">
            <v>8831603</v>
          </cell>
          <cell r="C809">
            <v>883160310</v>
          </cell>
          <cell r="I809">
            <v>15845828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15845828</v>
          </cell>
        </row>
        <row r="810">
          <cell r="A810">
            <v>1</v>
          </cell>
          <cell r="B810">
            <v>8831603</v>
          </cell>
          <cell r="C810">
            <v>883160311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</row>
        <row r="811">
          <cell r="A811">
            <v>1</v>
          </cell>
          <cell r="B811">
            <v>8831603</v>
          </cell>
          <cell r="C811">
            <v>883160314</v>
          </cell>
          <cell r="I811">
            <v>2847600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2847600</v>
          </cell>
        </row>
        <row r="812">
          <cell r="A812">
            <v>1</v>
          </cell>
          <cell r="B812">
            <v>8831603</v>
          </cell>
          <cell r="C812">
            <v>883160315</v>
          </cell>
          <cell r="I812">
            <v>1660000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1660000</v>
          </cell>
        </row>
        <row r="813">
          <cell r="A813">
            <v>1</v>
          </cell>
          <cell r="B813">
            <v>8831603</v>
          </cell>
          <cell r="C813">
            <v>883160316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</row>
        <row r="814">
          <cell r="A814">
            <v>1</v>
          </cell>
          <cell r="B814">
            <v>8831604</v>
          </cell>
          <cell r="C814">
            <v>883160401</v>
          </cell>
          <cell r="I814">
            <v>29133707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29133707</v>
          </cell>
          <cell r="P814">
            <v>0</v>
          </cell>
        </row>
        <row r="815">
          <cell r="A815">
            <v>1</v>
          </cell>
          <cell r="B815">
            <v>8831604</v>
          </cell>
          <cell r="C815">
            <v>883160402</v>
          </cell>
          <cell r="I815">
            <v>189534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189534</v>
          </cell>
        </row>
        <row r="816">
          <cell r="A816">
            <v>1</v>
          </cell>
          <cell r="B816">
            <v>8831604</v>
          </cell>
          <cell r="C816">
            <v>883160403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</row>
        <row r="817">
          <cell r="A817">
            <v>1</v>
          </cell>
          <cell r="B817">
            <v>8831604</v>
          </cell>
          <cell r="C817">
            <v>883160405</v>
          </cell>
          <cell r="I817">
            <v>5731086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5731086</v>
          </cell>
          <cell r="P817">
            <v>0</v>
          </cell>
        </row>
        <row r="818">
          <cell r="A818">
            <v>1</v>
          </cell>
          <cell r="B818">
            <v>8831604</v>
          </cell>
          <cell r="C818">
            <v>883160406</v>
          </cell>
          <cell r="I818">
            <v>99826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99826</v>
          </cell>
          <cell r="P818">
            <v>0</v>
          </cell>
        </row>
        <row r="819">
          <cell r="A819">
            <v>1</v>
          </cell>
          <cell r="B819">
            <v>8831604</v>
          </cell>
          <cell r="C819">
            <v>883160407</v>
          </cell>
          <cell r="I819">
            <v>884598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884598</v>
          </cell>
          <cell r="P819">
            <v>0</v>
          </cell>
        </row>
        <row r="820">
          <cell r="A820">
            <v>1</v>
          </cell>
          <cell r="B820">
            <v>8831604</v>
          </cell>
          <cell r="C820">
            <v>883160408</v>
          </cell>
          <cell r="I820">
            <v>35189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35189</v>
          </cell>
          <cell r="P820">
            <v>0</v>
          </cell>
        </row>
        <row r="821">
          <cell r="A821">
            <v>1</v>
          </cell>
          <cell r="B821">
            <v>8831604</v>
          </cell>
          <cell r="C821">
            <v>883160410</v>
          </cell>
          <cell r="I821">
            <v>11048228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11048228</v>
          </cell>
          <cell r="P821">
            <v>0</v>
          </cell>
        </row>
        <row r="822">
          <cell r="A822">
            <v>1</v>
          </cell>
          <cell r="B822">
            <v>8831604</v>
          </cell>
          <cell r="C822">
            <v>883160411</v>
          </cell>
          <cell r="I822">
            <v>5907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5907</v>
          </cell>
          <cell r="P822">
            <v>0</v>
          </cell>
        </row>
        <row r="823">
          <cell r="A823">
            <v>1</v>
          </cell>
          <cell r="B823">
            <v>8831605</v>
          </cell>
          <cell r="C823">
            <v>883160500</v>
          </cell>
          <cell r="I823">
            <v>183360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183360</v>
          </cell>
        </row>
        <row r="824">
          <cell r="A824">
            <v>1</v>
          </cell>
          <cell r="B824">
            <v>8831607</v>
          </cell>
          <cell r="C824">
            <v>883160700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</row>
        <row r="825">
          <cell r="A825">
            <v>1</v>
          </cell>
          <cell r="B825">
            <v>8831608</v>
          </cell>
          <cell r="C825">
            <v>883160800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</row>
        <row r="826">
          <cell r="A826">
            <v>1</v>
          </cell>
          <cell r="B826">
            <v>8831610</v>
          </cell>
          <cell r="C826">
            <v>883161001</v>
          </cell>
          <cell r="I826">
            <v>3310372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3284472</v>
          </cell>
          <cell r="O826">
            <v>0</v>
          </cell>
          <cell r="P826">
            <v>25900</v>
          </cell>
        </row>
        <row r="827">
          <cell r="A827">
            <v>1</v>
          </cell>
          <cell r="B827">
            <v>8831610</v>
          </cell>
          <cell r="C827">
            <v>883161002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</row>
        <row r="828">
          <cell r="A828">
            <v>1</v>
          </cell>
          <cell r="B828">
            <v>8831610</v>
          </cell>
          <cell r="C828">
            <v>883161003</v>
          </cell>
          <cell r="I828">
            <v>422700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422700</v>
          </cell>
          <cell r="O828">
            <v>0</v>
          </cell>
          <cell r="P828">
            <v>0</v>
          </cell>
        </row>
        <row r="829">
          <cell r="A829">
            <v>1</v>
          </cell>
          <cell r="B829">
            <v>8831613</v>
          </cell>
          <cell r="C829">
            <v>883161300</v>
          </cell>
          <cell r="I829">
            <v>6713734</v>
          </cell>
          <cell r="J829">
            <v>0</v>
          </cell>
          <cell r="K829">
            <v>0</v>
          </cell>
          <cell r="L829">
            <v>0</v>
          </cell>
          <cell r="M829">
            <v>317198</v>
          </cell>
          <cell r="N829">
            <v>6396536</v>
          </cell>
          <cell r="O829">
            <v>0</v>
          </cell>
          <cell r="P829">
            <v>0</v>
          </cell>
        </row>
        <row r="830">
          <cell r="A830">
            <v>1</v>
          </cell>
          <cell r="B830">
            <v>8831614</v>
          </cell>
          <cell r="C830">
            <v>883161400</v>
          </cell>
          <cell r="I830">
            <v>256877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256877</v>
          </cell>
          <cell r="O830">
            <v>0</v>
          </cell>
          <cell r="P830">
            <v>0</v>
          </cell>
        </row>
        <row r="831">
          <cell r="A831">
            <v>1</v>
          </cell>
          <cell r="B831">
            <v>8831615</v>
          </cell>
          <cell r="C831">
            <v>883161500</v>
          </cell>
          <cell r="I831">
            <v>42836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42836</v>
          </cell>
          <cell r="O831">
            <v>0</v>
          </cell>
          <cell r="P831">
            <v>0</v>
          </cell>
        </row>
        <row r="832">
          <cell r="A832">
            <v>1</v>
          </cell>
          <cell r="B832">
            <v>8831617</v>
          </cell>
          <cell r="C832">
            <v>883161700</v>
          </cell>
          <cell r="I832">
            <v>1404435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1404435</v>
          </cell>
          <cell r="O832">
            <v>0</v>
          </cell>
          <cell r="P832">
            <v>0</v>
          </cell>
        </row>
        <row r="833">
          <cell r="A833">
            <v>1</v>
          </cell>
          <cell r="B833">
            <v>8831619</v>
          </cell>
          <cell r="C833">
            <v>883161900</v>
          </cell>
          <cell r="I833">
            <v>190945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136081</v>
          </cell>
          <cell r="O833">
            <v>54864</v>
          </cell>
          <cell r="P833">
            <v>0</v>
          </cell>
        </row>
        <row r="834">
          <cell r="A834">
            <v>1</v>
          </cell>
          <cell r="B834">
            <v>8831620</v>
          </cell>
          <cell r="C834">
            <v>883162000</v>
          </cell>
          <cell r="I834">
            <v>32908077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32908077</v>
          </cell>
          <cell r="O834">
            <v>0</v>
          </cell>
          <cell r="P834">
            <v>0</v>
          </cell>
        </row>
        <row r="835">
          <cell r="A835">
            <v>1</v>
          </cell>
          <cell r="B835">
            <v>8831621</v>
          </cell>
          <cell r="C835">
            <v>883162100</v>
          </cell>
          <cell r="I835">
            <v>38947557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38947557</v>
          </cell>
          <cell r="O835">
            <v>0</v>
          </cell>
          <cell r="P835">
            <v>0</v>
          </cell>
        </row>
        <row r="836">
          <cell r="A836">
            <v>1</v>
          </cell>
          <cell r="B836">
            <v>8831623</v>
          </cell>
          <cell r="C836">
            <v>883162300</v>
          </cell>
          <cell r="I836">
            <v>1396111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1396111</v>
          </cell>
          <cell r="O836">
            <v>0</v>
          </cell>
          <cell r="P836">
            <v>0</v>
          </cell>
        </row>
        <row r="837">
          <cell r="A837">
            <v>1</v>
          </cell>
          <cell r="B837">
            <v>8831624</v>
          </cell>
          <cell r="C837">
            <v>883162400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</row>
        <row r="838">
          <cell r="A838">
            <v>1</v>
          </cell>
          <cell r="B838">
            <v>8831625</v>
          </cell>
          <cell r="C838">
            <v>883162500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</row>
        <row r="839">
          <cell r="A839">
            <v>1</v>
          </cell>
          <cell r="B839">
            <v>8831628</v>
          </cell>
          <cell r="C839">
            <v>883162866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</row>
        <row r="840">
          <cell r="A840">
            <v>1</v>
          </cell>
          <cell r="B840">
            <v>8831628</v>
          </cell>
          <cell r="C840">
            <v>883162867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</row>
        <row r="841">
          <cell r="A841">
            <v>1</v>
          </cell>
          <cell r="B841">
            <v>8831629</v>
          </cell>
          <cell r="C841">
            <v>883162900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</row>
        <row r="842">
          <cell r="A842">
            <v>1</v>
          </cell>
          <cell r="B842">
            <v>8831630</v>
          </cell>
          <cell r="C842">
            <v>883163000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</row>
        <row r="843">
          <cell r="A843">
            <v>1</v>
          </cell>
          <cell r="B843">
            <v>8831631</v>
          </cell>
          <cell r="C843">
            <v>883163100</v>
          </cell>
          <cell r="I843">
            <v>111850504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106451181</v>
          </cell>
          <cell r="O843">
            <v>0</v>
          </cell>
          <cell r="P843">
            <v>5399323</v>
          </cell>
        </row>
        <row r="844">
          <cell r="A844">
            <v>1</v>
          </cell>
          <cell r="B844">
            <v>8831633</v>
          </cell>
          <cell r="C844">
            <v>883163300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</row>
        <row r="845">
          <cell r="A845">
            <v>1</v>
          </cell>
          <cell r="B845">
            <v>8831636</v>
          </cell>
          <cell r="C845">
            <v>883163600</v>
          </cell>
          <cell r="I845">
            <v>2892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2892</v>
          </cell>
          <cell r="O845">
            <v>0</v>
          </cell>
          <cell r="P845">
            <v>0</v>
          </cell>
        </row>
        <row r="846">
          <cell r="A846">
            <v>1</v>
          </cell>
          <cell r="B846">
            <v>8831637</v>
          </cell>
          <cell r="C846">
            <v>883163700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</row>
        <row r="847">
          <cell r="A847">
            <v>1</v>
          </cell>
          <cell r="B847">
            <v>8831639</v>
          </cell>
          <cell r="C847">
            <v>883163900</v>
          </cell>
          <cell r="I847">
            <v>3828947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3828947</v>
          </cell>
          <cell r="P847">
            <v>0</v>
          </cell>
        </row>
        <row r="848">
          <cell r="A848">
            <v>1</v>
          </cell>
          <cell r="B848">
            <v>8831640</v>
          </cell>
          <cell r="C848">
            <v>883164000</v>
          </cell>
          <cell r="I848">
            <v>16361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5000</v>
          </cell>
          <cell r="P848">
            <v>11361</v>
          </cell>
        </row>
        <row r="849">
          <cell r="A849">
            <v>1</v>
          </cell>
          <cell r="B849">
            <v>8831641</v>
          </cell>
          <cell r="C849">
            <v>883164100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</row>
        <row r="850">
          <cell r="A850">
            <v>1</v>
          </cell>
          <cell r="B850">
            <v>8831642</v>
          </cell>
          <cell r="C850">
            <v>883164201</v>
          </cell>
          <cell r="I850">
            <v>13469000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13469000</v>
          </cell>
        </row>
        <row r="851">
          <cell r="A851">
            <v>1</v>
          </cell>
          <cell r="B851">
            <v>8831642</v>
          </cell>
          <cell r="C851">
            <v>883164202</v>
          </cell>
          <cell r="I851">
            <v>2703000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2703000</v>
          </cell>
        </row>
        <row r="852">
          <cell r="A852">
            <v>1</v>
          </cell>
          <cell r="B852">
            <v>8831643</v>
          </cell>
          <cell r="C852">
            <v>883164301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</row>
        <row r="853">
          <cell r="A853">
            <v>1</v>
          </cell>
          <cell r="B853">
            <v>8831643</v>
          </cell>
          <cell r="C853">
            <v>883164302</v>
          </cell>
          <cell r="I853">
            <v>257863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257863</v>
          </cell>
        </row>
        <row r="854">
          <cell r="A854">
            <v>1</v>
          </cell>
          <cell r="B854">
            <v>8831643</v>
          </cell>
          <cell r="C854">
            <v>883164304</v>
          </cell>
          <cell r="I854">
            <v>145321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145321</v>
          </cell>
        </row>
        <row r="855">
          <cell r="A855">
            <v>1</v>
          </cell>
          <cell r="B855">
            <v>8831643</v>
          </cell>
          <cell r="C855">
            <v>883164305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</row>
        <row r="856">
          <cell r="A856">
            <v>1</v>
          </cell>
          <cell r="B856">
            <v>8831643</v>
          </cell>
          <cell r="C856" t="str">
            <v>883164306</v>
          </cell>
          <cell r="I856">
            <v>94500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94500</v>
          </cell>
        </row>
        <row r="857">
          <cell r="A857">
            <v>1</v>
          </cell>
          <cell r="B857">
            <v>8832043</v>
          </cell>
          <cell r="C857">
            <v>883204370</v>
          </cell>
          <cell r="I857">
            <v>736845633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736845633</v>
          </cell>
        </row>
        <row r="858">
          <cell r="A858">
            <v>1</v>
          </cell>
          <cell r="B858">
            <v>8832043</v>
          </cell>
          <cell r="C858">
            <v>883204371</v>
          </cell>
          <cell r="I858">
            <v>20069115278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20069115278</v>
          </cell>
        </row>
        <row r="859">
          <cell r="A859">
            <v>1</v>
          </cell>
          <cell r="B859">
            <v>8832043</v>
          </cell>
          <cell r="C859">
            <v>883204372</v>
          </cell>
          <cell r="I859">
            <v>4457068757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4457068757</v>
          </cell>
        </row>
        <row r="860">
          <cell r="A860">
            <v>1</v>
          </cell>
          <cell r="B860">
            <v>8832043</v>
          </cell>
          <cell r="C860">
            <v>883204373</v>
          </cell>
          <cell r="I860">
            <v>4222403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4222403</v>
          </cell>
        </row>
        <row r="861">
          <cell r="A861">
            <v>1</v>
          </cell>
          <cell r="B861">
            <v>8832043</v>
          </cell>
          <cell r="C861">
            <v>883204374</v>
          </cell>
          <cell r="I861">
            <v>5635044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5635044</v>
          </cell>
        </row>
        <row r="862">
          <cell r="A862">
            <v>1</v>
          </cell>
          <cell r="B862">
            <v>8832044</v>
          </cell>
          <cell r="C862">
            <v>883204475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</row>
        <row r="863">
          <cell r="A863">
            <v>1</v>
          </cell>
          <cell r="B863">
            <v>8832044</v>
          </cell>
          <cell r="C863">
            <v>883204476</v>
          </cell>
          <cell r="I863">
            <v>238105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238105</v>
          </cell>
        </row>
        <row r="864">
          <cell r="A864">
            <v>1</v>
          </cell>
          <cell r="B864">
            <v>8832044</v>
          </cell>
          <cell r="C864">
            <v>883204477</v>
          </cell>
          <cell r="I864">
            <v>446882476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446882476</v>
          </cell>
        </row>
        <row r="865">
          <cell r="A865">
            <v>1</v>
          </cell>
          <cell r="B865">
            <v>8832044</v>
          </cell>
          <cell r="C865">
            <v>883204478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</row>
        <row r="866">
          <cell r="A866">
            <v>1</v>
          </cell>
          <cell r="B866">
            <v>8832044</v>
          </cell>
          <cell r="C866">
            <v>883204479</v>
          </cell>
          <cell r="I866">
            <v>210372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210372</v>
          </cell>
        </row>
        <row r="867">
          <cell r="A867">
            <v>1</v>
          </cell>
          <cell r="B867">
            <v>8832246</v>
          </cell>
          <cell r="C867">
            <v>883224600</v>
          </cell>
          <cell r="I867">
            <v>495467840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495467840</v>
          </cell>
        </row>
        <row r="868">
          <cell r="A868">
            <v>1</v>
          </cell>
          <cell r="B868">
            <v>8832247</v>
          </cell>
          <cell r="C868">
            <v>883224700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</row>
        <row r="869">
          <cell r="A869">
            <v>1</v>
          </cell>
          <cell r="B869">
            <v>8840251</v>
          </cell>
          <cell r="C869">
            <v>884025180</v>
          </cell>
          <cell r="I869">
            <v>3723784121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O869">
            <v>3723784121</v>
          </cell>
          <cell r="P869">
            <v>0</v>
          </cell>
        </row>
        <row r="870">
          <cell r="A870">
            <v>1</v>
          </cell>
          <cell r="B870">
            <v>8840251</v>
          </cell>
          <cell r="C870">
            <v>884025181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</row>
        <row r="871">
          <cell r="A871">
            <v>1</v>
          </cell>
          <cell r="B871">
            <v>8840251</v>
          </cell>
          <cell r="C871">
            <v>884025182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</row>
        <row r="872">
          <cell r="A872">
            <v>1</v>
          </cell>
          <cell r="B872">
            <v>8840252</v>
          </cell>
          <cell r="C872">
            <v>884025200</v>
          </cell>
          <cell r="I872">
            <v>60965516</v>
          </cell>
          <cell r="J872">
            <v>0</v>
          </cell>
          <cell r="K872">
            <v>0</v>
          </cell>
          <cell r="L872">
            <v>0</v>
          </cell>
          <cell r="M872">
            <v>0</v>
          </cell>
          <cell r="N872">
            <v>60965516</v>
          </cell>
          <cell r="O872">
            <v>0</v>
          </cell>
          <cell r="P872">
            <v>0</v>
          </cell>
        </row>
        <row r="873">
          <cell r="A873">
            <v>1</v>
          </cell>
          <cell r="B873">
            <v>8840253</v>
          </cell>
          <cell r="C873">
            <v>884025300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</row>
        <row r="874">
          <cell r="A874">
            <v>1</v>
          </cell>
          <cell r="B874">
            <v>8840254</v>
          </cell>
          <cell r="C874">
            <v>884025400</v>
          </cell>
          <cell r="I874">
            <v>2477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2477</v>
          </cell>
          <cell r="P874">
            <v>0</v>
          </cell>
        </row>
        <row r="875">
          <cell r="A875">
            <v>1</v>
          </cell>
          <cell r="B875">
            <v>8840255</v>
          </cell>
          <cell r="C875">
            <v>884025500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</row>
        <row r="876">
          <cell r="A876">
            <v>1</v>
          </cell>
          <cell r="B876">
            <v>8840456</v>
          </cell>
          <cell r="C876">
            <v>884045600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</row>
        <row r="877">
          <cell r="A877">
            <v>1</v>
          </cell>
          <cell r="B877">
            <v>8840457</v>
          </cell>
          <cell r="C877">
            <v>884045700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</row>
        <row r="878">
          <cell r="A878">
            <v>1</v>
          </cell>
          <cell r="B878">
            <v>8840458</v>
          </cell>
          <cell r="C878">
            <v>884045800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</row>
        <row r="879">
          <cell r="A879">
            <v>1</v>
          </cell>
          <cell r="B879">
            <v>8840559</v>
          </cell>
          <cell r="C879">
            <v>884055900</v>
          </cell>
          <cell r="I879">
            <v>42630200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42630200</v>
          </cell>
        </row>
        <row r="880">
          <cell r="A880">
            <v>1</v>
          </cell>
          <cell r="B880">
            <v>8840662</v>
          </cell>
          <cell r="C880">
            <v>884066200</v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</row>
        <row r="881">
          <cell r="A881">
            <v>1</v>
          </cell>
          <cell r="B881">
            <v>8840663</v>
          </cell>
          <cell r="C881">
            <v>884066300</v>
          </cell>
          <cell r="I881">
            <v>9224169</v>
          </cell>
          <cell r="J881">
            <v>0</v>
          </cell>
          <cell r="K881">
            <v>0</v>
          </cell>
          <cell r="L881">
            <v>23932</v>
          </cell>
          <cell r="M881">
            <v>0</v>
          </cell>
          <cell r="N881">
            <v>5368538</v>
          </cell>
          <cell r="O881">
            <v>0</v>
          </cell>
          <cell r="P881">
            <v>3831699</v>
          </cell>
        </row>
        <row r="882">
          <cell r="A882">
            <v>1</v>
          </cell>
          <cell r="B882">
            <v>8850202</v>
          </cell>
          <cell r="C882">
            <v>885020200</v>
          </cell>
          <cell r="I882">
            <v>10315355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10315355</v>
          </cell>
        </row>
        <row r="883">
          <cell r="A883">
            <v>1</v>
          </cell>
          <cell r="B883">
            <v>8850404</v>
          </cell>
          <cell r="C883">
            <v>885040400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</row>
        <row r="884">
          <cell r="A884">
            <v>1</v>
          </cell>
          <cell r="B884">
            <v>8850606</v>
          </cell>
          <cell r="C884">
            <v>885060600</v>
          </cell>
          <cell r="I884">
            <v>10484320</v>
          </cell>
          <cell r="J884">
            <v>0</v>
          </cell>
          <cell r="K884">
            <v>0</v>
          </cell>
          <cell r="L884">
            <v>15407</v>
          </cell>
          <cell r="M884">
            <v>0</v>
          </cell>
          <cell r="N884">
            <v>10444710</v>
          </cell>
          <cell r="O884">
            <v>6023</v>
          </cell>
          <cell r="P884">
            <v>18180</v>
          </cell>
        </row>
        <row r="885">
          <cell r="A885">
            <v>1</v>
          </cell>
          <cell r="B885">
            <v>8850808</v>
          </cell>
          <cell r="C885">
            <v>885080800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</row>
        <row r="886">
          <cell r="A886">
            <v>1</v>
          </cell>
          <cell r="B886">
            <v>8851010</v>
          </cell>
          <cell r="C886">
            <v>885101000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</row>
        <row r="887">
          <cell r="A887">
            <v>1</v>
          </cell>
          <cell r="B887">
            <v>8900101</v>
          </cell>
          <cell r="C887">
            <v>890010100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</row>
        <row r="888">
          <cell r="A888">
            <v>2</v>
          </cell>
          <cell r="B888">
            <v>1120110</v>
          </cell>
          <cell r="C888">
            <v>112011010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</row>
        <row r="889">
          <cell r="A889">
            <v>2</v>
          </cell>
          <cell r="B889">
            <v>1120110</v>
          </cell>
          <cell r="C889">
            <v>112011011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</row>
        <row r="890">
          <cell r="A890">
            <v>2</v>
          </cell>
          <cell r="B890">
            <v>1120111</v>
          </cell>
          <cell r="C890">
            <v>112011100</v>
          </cell>
          <cell r="I890">
            <v>0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</row>
        <row r="891">
          <cell r="A891">
            <v>2</v>
          </cell>
          <cell r="B891">
            <v>1120112</v>
          </cell>
          <cell r="C891">
            <v>112011200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</row>
        <row r="892">
          <cell r="A892">
            <v>2</v>
          </cell>
          <cell r="B892">
            <v>1120113</v>
          </cell>
          <cell r="C892">
            <v>112011300</v>
          </cell>
          <cell r="I892">
            <v>84000000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84000000</v>
          </cell>
        </row>
        <row r="893">
          <cell r="A893">
            <v>2</v>
          </cell>
          <cell r="B893">
            <v>1120114</v>
          </cell>
          <cell r="C893">
            <v>112011400</v>
          </cell>
          <cell r="I893">
            <v>0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</row>
        <row r="894">
          <cell r="A894">
            <v>2</v>
          </cell>
          <cell r="B894">
            <v>1120115</v>
          </cell>
          <cell r="C894">
            <v>112011500</v>
          </cell>
          <cell r="I894">
            <v>318900000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318900000</v>
          </cell>
        </row>
        <row r="895">
          <cell r="A895">
            <v>2</v>
          </cell>
          <cell r="B895">
            <v>1120116</v>
          </cell>
          <cell r="C895">
            <v>112011600</v>
          </cell>
          <cell r="I895">
            <v>0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</row>
        <row r="896">
          <cell r="A896">
            <v>2</v>
          </cell>
          <cell r="B896">
            <v>1120210</v>
          </cell>
          <cell r="C896">
            <v>112021000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</row>
        <row r="897">
          <cell r="A897">
            <v>2</v>
          </cell>
          <cell r="B897">
            <v>1120220</v>
          </cell>
          <cell r="C897">
            <v>112022000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</row>
        <row r="898">
          <cell r="A898">
            <v>2</v>
          </cell>
          <cell r="B898">
            <v>1140303</v>
          </cell>
          <cell r="C898">
            <v>114030300</v>
          </cell>
          <cell r="I898">
            <v>0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</row>
        <row r="899">
          <cell r="A899">
            <v>2</v>
          </cell>
          <cell r="B899">
            <v>1160101</v>
          </cell>
          <cell r="C899">
            <v>116010100</v>
          </cell>
          <cell r="I899">
            <v>50066000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50066000</v>
          </cell>
        </row>
        <row r="900">
          <cell r="A900">
            <v>2</v>
          </cell>
          <cell r="B900">
            <v>1160202</v>
          </cell>
          <cell r="C900">
            <v>116020200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</row>
        <row r="901">
          <cell r="A901">
            <v>2</v>
          </cell>
          <cell r="B901">
            <v>1180401</v>
          </cell>
          <cell r="C901">
            <v>118040103</v>
          </cell>
          <cell r="I901">
            <v>30500000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30500000</v>
          </cell>
        </row>
        <row r="902">
          <cell r="A902">
            <v>2</v>
          </cell>
          <cell r="B902">
            <v>1180402</v>
          </cell>
          <cell r="C902">
            <v>118040200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</row>
        <row r="903">
          <cell r="A903">
            <v>2</v>
          </cell>
          <cell r="B903">
            <v>1180403</v>
          </cell>
          <cell r="C903">
            <v>118040300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</row>
        <row r="904">
          <cell r="A904">
            <v>2</v>
          </cell>
          <cell r="B904">
            <v>1180404</v>
          </cell>
          <cell r="C904">
            <v>118040400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</row>
        <row r="905">
          <cell r="A905">
            <v>2</v>
          </cell>
          <cell r="B905">
            <v>1200630</v>
          </cell>
          <cell r="C905">
            <v>120063000</v>
          </cell>
          <cell r="I905">
            <v>0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</row>
        <row r="906">
          <cell r="A906">
            <v>2</v>
          </cell>
          <cell r="B906">
            <v>1300831</v>
          </cell>
          <cell r="C906">
            <v>130083100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</row>
        <row r="907">
          <cell r="A907">
            <v>2</v>
          </cell>
          <cell r="B907">
            <v>1401010</v>
          </cell>
          <cell r="C907">
            <v>140101000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</row>
        <row r="908">
          <cell r="A908">
            <v>2</v>
          </cell>
          <cell r="B908">
            <v>1600101</v>
          </cell>
          <cell r="C908">
            <v>160010100</v>
          </cell>
          <cell r="I908">
            <v>0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</row>
        <row r="909">
          <cell r="A909">
            <v>2</v>
          </cell>
          <cell r="B909">
            <v>1800707</v>
          </cell>
          <cell r="C909">
            <v>180070700</v>
          </cell>
          <cell r="I909">
            <v>17022400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17022400</v>
          </cell>
        </row>
        <row r="910">
          <cell r="A910">
            <v>2</v>
          </cell>
          <cell r="B910">
            <v>1800808</v>
          </cell>
          <cell r="C910">
            <v>180080800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</row>
        <row r="911">
          <cell r="A911">
            <v>2</v>
          </cell>
          <cell r="B911">
            <v>1820101</v>
          </cell>
          <cell r="C911">
            <v>182010100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</row>
        <row r="912">
          <cell r="A912">
            <v>2</v>
          </cell>
          <cell r="B912">
            <v>1840102</v>
          </cell>
          <cell r="C912">
            <v>184010200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</row>
        <row r="913">
          <cell r="A913">
            <v>2</v>
          </cell>
          <cell r="B913">
            <v>1840304</v>
          </cell>
          <cell r="C913">
            <v>184030400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</row>
        <row r="914">
          <cell r="A914">
            <v>2</v>
          </cell>
          <cell r="B914">
            <v>1840305</v>
          </cell>
          <cell r="C914">
            <v>184030500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</row>
        <row r="915">
          <cell r="A915">
            <v>2</v>
          </cell>
          <cell r="B915">
            <v>1840306</v>
          </cell>
          <cell r="C915">
            <v>184030600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</row>
        <row r="916">
          <cell r="A916">
            <v>2</v>
          </cell>
          <cell r="B916">
            <v>1840509</v>
          </cell>
          <cell r="C916">
            <v>184050900</v>
          </cell>
          <cell r="I916">
            <v>580000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580000</v>
          </cell>
        </row>
        <row r="917">
          <cell r="A917">
            <v>2</v>
          </cell>
          <cell r="B917">
            <v>1840510</v>
          </cell>
          <cell r="C917">
            <v>184051000</v>
          </cell>
          <cell r="I917">
            <v>440000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440000</v>
          </cell>
        </row>
        <row r="918">
          <cell r="A918">
            <v>2</v>
          </cell>
          <cell r="B918">
            <v>1840511</v>
          </cell>
          <cell r="C918">
            <v>184051100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</row>
        <row r="919">
          <cell r="A919">
            <v>2</v>
          </cell>
          <cell r="B919">
            <v>1860303</v>
          </cell>
          <cell r="C919">
            <v>186030300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</row>
        <row r="920">
          <cell r="A920">
            <v>2</v>
          </cell>
          <cell r="B920">
            <v>1880101</v>
          </cell>
          <cell r="C920">
            <v>188010100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</row>
        <row r="921">
          <cell r="A921">
            <v>2</v>
          </cell>
          <cell r="B921">
            <v>1880202</v>
          </cell>
          <cell r="C921">
            <v>188020200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</row>
        <row r="922">
          <cell r="A922">
            <v>2</v>
          </cell>
          <cell r="B922">
            <v>1900101</v>
          </cell>
          <cell r="C922">
            <v>190010100</v>
          </cell>
          <cell r="I922">
            <v>0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</row>
        <row r="923">
          <cell r="A923">
            <v>2</v>
          </cell>
          <cell r="B923">
            <v>1900202</v>
          </cell>
          <cell r="C923">
            <v>190020200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</row>
        <row r="924">
          <cell r="A924">
            <v>2</v>
          </cell>
          <cell r="B924">
            <v>1900303</v>
          </cell>
          <cell r="C924">
            <v>190030300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</row>
        <row r="925">
          <cell r="A925">
            <v>2</v>
          </cell>
          <cell r="B925">
            <v>4810202</v>
          </cell>
          <cell r="C925">
            <v>481020200</v>
          </cell>
          <cell r="I925">
            <v>24480257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24480257</v>
          </cell>
          <cell r="O925">
            <v>0</v>
          </cell>
          <cell r="P925">
            <v>0</v>
          </cell>
        </row>
        <row r="926">
          <cell r="A926">
            <v>2</v>
          </cell>
          <cell r="B926">
            <v>4810404</v>
          </cell>
          <cell r="C926">
            <v>481040411</v>
          </cell>
          <cell r="I926">
            <v>357675000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357675000</v>
          </cell>
        </row>
        <row r="927">
          <cell r="A927">
            <v>2</v>
          </cell>
          <cell r="B927">
            <v>4810404</v>
          </cell>
          <cell r="C927">
            <v>481040412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</row>
        <row r="928">
          <cell r="A928">
            <v>2</v>
          </cell>
          <cell r="B928">
            <v>4810404</v>
          </cell>
          <cell r="C928">
            <v>481040413</v>
          </cell>
          <cell r="I928">
            <v>16000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16000</v>
          </cell>
        </row>
        <row r="929">
          <cell r="A929">
            <v>2</v>
          </cell>
          <cell r="B929">
            <v>4810404</v>
          </cell>
          <cell r="C929">
            <v>481040415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</row>
        <row r="930">
          <cell r="A930">
            <v>2</v>
          </cell>
          <cell r="B930">
            <v>4810406</v>
          </cell>
          <cell r="C930">
            <v>481040600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</row>
        <row r="931">
          <cell r="A931">
            <v>2</v>
          </cell>
          <cell r="B931">
            <v>4810408</v>
          </cell>
          <cell r="C931">
            <v>481040800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</row>
        <row r="932">
          <cell r="A932">
            <v>2</v>
          </cell>
          <cell r="B932">
            <v>4810409</v>
          </cell>
          <cell r="C932">
            <v>481040900</v>
          </cell>
          <cell r="I932">
            <v>0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</row>
        <row r="933">
          <cell r="A933">
            <v>2</v>
          </cell>
          <cell r="B933">
            <v>4811214</v>
          </cell>
          <cell r="C933">
            <v>481121400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</row>
        <row r="934">
          <cell r="A934">
            <v>2</v>
          </cell>
          <cell r="B934">
            <v>4811417</v>
          </cell>
          <cell r="C934">
            <v>481141700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</row>
        <row r="935">
          <cell r="A935">
            <v>2</v>
          </cell>
          <cell r="B935">
            <v>4811418</v>
          </cell>
          <cell r="C935">
            <v>481141800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</row>
        <row r="936">
          <cell r="A936">
            <v>2</v>
          </cell>
          <cell r="B936">
            <v>4811419</v>
          </cell>
          <cell r="C936">
            <v>481141915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</row>
        <row r="937">
          <cell r="A937">
            <v>2</v>
          </cell>
          <cell r="B937">
            <v>4811419</v>
          </cell>
          <cell r="C937">
            <v>481141916</v>
          </cell>
          <cell r="I937">
            <v>0</v>
          </cell>
          <cell r="J937">
            <v>0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</row>
        <row r="938">
          <cell r="A938">
            <v>2</v>
          </cell>
          <cell r="B938">
            <v>4811419</v>
          </cell>
          <cell r="C938">
            <v>481141917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</row>
        <row r="939">
          <cell r="A939">
            <v>2</v>
          </cell>
          <cell r="B939">
            <v>4811420</v>
          </cell>
          <cell r="C939">
            <v>481142000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</row>
        <row r="940">
          <cell r="A940">
            <v>2</v>
          </cell>
          <cell r="B940">
            <v>4820221</v>
          </cell>
          <cell r="C940">
            <v>482022100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</row>
        <row r="941">
          <cell r="A941">
            <v>2</v>
          </cell>
          <cell r="B941">
            <v>4820222</v>
          </cell>
          <cell r="C941">
            <v>482022200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</row>
        <row r="942">
          <cell r="A942">
            <v>2</v>
          </cell>
          <cell r="B942">
            <v>4820224</v>
          </cell>
          <cell r="C942">
            <v>482022400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</row>
        <row r="943">
          <cell r="A943">
            <v>2</v>
          </cell>
          <cell r="B943">
            <v>4820427</v>
          </cell>
          <cell r="C943">
            <v>482042700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</row>
        <row r="944">
          <cell r="A944">
            <v>2</v>
          </cell>
          <cell r="B944">
            <v>4820428</v>
          </cell>
          <cell r="C944">
            <v>482042800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</row>
        <row r="945">
          <cell r="A945">
            <v>2</v>
          </cell>
          <cell r="B945">
            <v>4820429</v>
          </cell>
          <cell r="C945">
            <v>482042900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</row>
        <row r="946">
          <cell r="A946">
            <v>2</v>
          </cell>
          <cell r="B946">
            <v>4820501</v>
          </cell>
          <cell r="C946">
            <v>482050100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</row>
        <row r="947">
          <cell r="A947">
            <v>2</v>
          </cell>
          <cell r="B947">
            <v>4820630</v>
          </cell>
          <cell r="C947">
            <v>482063000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</row>
        <row r="948">
          <cell r="A948">
            <v>2</v>
          </cell>
          <cell r="B948">
            <v>4820831</v>
          </cell>
          <cell r="C948">
            <v>482083100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</row>
        <row r="949">
          <cell r="A949">
            <v>2</v>
          </cell>
          <cell r="B949">
            <v>4820932</v>
          </cell>
          <cell r="C949">
            <v>482093200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</row>
        <row r="950">
          <cell r="A950">
            <v>2</v>
          </cell>
          <cell r="B950">
            <v>4820933</v>
          </cell>
          <cell r="C950">
            <v>482093300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</row>
        <row r="951">
          <cell r="A951">
            <v>2</v>
          </cell>
          <cell r="B951">
            <v>4821034</v>
          </cell>
          <cell r="C951">
            <v>482103411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</row>
        <row r="952">
          <cell r="A952">
            <v>2</v>
          </cell>
          <cell r="B952">
            <v>4821034</v>
          </cell>
          <cell r="C952">
            <v>482103412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</row>
        <row r="953">
          <cell r="A953">
            <v>2</v>
          </cell>
          <cell r="B953">
            <v>4821034</v>
          </cell>
          <cell r="C953">
            <v>482103413</v>
          </cell>
          <cell r="I953">
            <v>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</row>
        <row r="954">
          <cell r="A954">
            <v>2</v>
          </cell>
          <cell r="B954">
            <v>4821034</v>
          </cell>
          <cell r="C954">
            <v>482103414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</row>
        <row r="955">
          <cell r="A955">
            <v>2</v>
          </cell>
          <cell r="B955">
            <v>4821035</v>
          </cell>
          <cell r="C955">
            <v>482103500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</row>
        <row r="956">
          <cell r="A956">
            <v>2</v>
          </cell>
          <cell r="B956">
            <v>4821137</v>
          </cell>
          <cell r="C956">
            <v>482113700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</row>
        <row r="957">
          <cell r="A957">
            <v>2</v>
          </cell>
          <cell r="B957">
            <v>4821236</v>
          </cell>
          <cell r="C957">
            <v>482123600</v>
          </cell>
          <cell r="I957">
            <v>0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</row>
        <row r="958">
          <cell r="A958">
            <v>2</v>
          </cell>
          <cell r="B958">
            <v>4821240</v>
          </cell>
          <cell r="C958">
            <v>482124000</v>
          </cell>
          <cell r="I958">
            <v>42600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42600</v>
          </cell>
          <cell r="P958">
            <v>0</v>
          </cell>
        </row>
        <row r="959">
          <cell r="A959">
            <v>2</v>
          </cell>
          <cell r="B959">
            <v>4821301</v>
          </cell>
          <cell r="C959">
            <v>482130103</v>
          </cell>
          <cell r="I959">
            <v>852423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852423</v>
          </cell>
        </row>
        <row r="960">
          <cell r="A960">
            <v>2</v>
          </cell>
          <cell r="B960">
            <v>4821301</v>
          </cell>
          <cell r="C960">
            <v>482130104</v>
          </cell>
          <cell r="I960">
            <v>49993041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49993041</v>
          </cell>
        </row>
        <row r="961">
          <cell r="A961">
            <v>2</v>
          </cell>
          <cell r="B961">
            <v>4821301</v>
          </cell>
          <cell r="C961">
            <v>482130105</v>
          </cell>
          <cell r="I961">
            <v>46908935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46908935</v>
          </cell>
        </row>
        <row r="962">
          <cell r="A962">
            <v>2</v>
          </cell>
          <cell r="B962">
            <v>4821301</v>
          </cell>
          <cell r="C962">
            <v>482130107</v>
          </cell>
          <cell r="I962">
            <v>11072772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11072772</v>
          </cell>
        </row>
        <row r="963">
          <cell r="A963">
            <v>2</v>
          </cell>
          <cell r="B963">
            <v>4821301</v>
          </cell>
          <cell r="C963">
            <v>482130108</v>
          </cell>
          <cell r="I963">
            <v>633019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633019</v>
          </cell>
        </row>
        <row r="964">
          <cell r="A964">
            <v>2</v>
          </cell>
          <cell r="B964">
            <v>4821301</v>
          </cell>
          <cell r="C964">
            <v>482130110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</row>
        <row r="965">
          <cell r="A965">
            <v>2</v>
          </cell>
          <cell r="B965">
            <v>4821301</v>
          </cell>
          <cell r="C965">
            <v>482130120</v>
          </cell>
          <cell r="I965">
            <v>2787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2787</v>
          </cell>
        </row>
        <row r="966">
          <cell r="A966">
            <v>2</v>
          </cell>
          <cell r="B966">
            <v>4830202</v>
          </cell>
          <cell r="C966">
            <v>483020200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</row>
        <row r="967">
          <cell r="A967">
            <v>2</v>
          </cell>
          <cell r="B967">
            <v>4830404</v>
          </cell>
          <cell r="C967">
            <v>483040400</v>
          </cell>
          <cell r="I967">
            <v>17509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17509</v>
          </cell>
          <cell r="O967">
            <v>0</v>
          </cell>
          <cell r="P967">
            <v>0</v>
          </cell>
        </row>
        <row r="968">
          <cell r="A968">
            <v>2</v>
          </cell>
          <cell r="B968">
            <v>4830606</v>
          </cell>
          <cell r="C968">
            <v>483060600</v>
          </cell>
          <cell r="I968">
            <v>0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</row>
        <row r="969">
          <cell r="A969">
            <v>2</v>
          </cell>
          <cell r="B969">
            <v>4830607</v>
          </cell>
          <cell r="C969">
            <v>483060700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</row>
        <row r="970">
          <cell r="A970">
            <v>2</v>
          </cell>
          <cell r="B970">
            <v>4830608</v>
          </cell>
          <cell r="C970">
            <v>483060800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</row>
        <row r="971">
          <cell r="A971">
            <v>2</v>
          </cell>
          <cell r="B971">
            <v>4830808</v>
          </cell>
          <cell r="C971">
            <v>483080800</v>
          </cell>
          <cell r="I971">
            <v>0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</v>
          </cell>
        </row>
        <row r="972">
          <cell r="A972">
            <v>2</v>
          </cell>
          <cell r="B972">
            <v>6155075</v>
          </cell>
          <cell r="C972">
            <v>615507583</v>
          </cell>
          <cell r="I972">
            <v>0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</row>
        <row r="973">
          <cell r="A973">
            <v>2</v>
          </cell>
          <cell r="B973">
            <v>6155075</v>
          </cell>
          <cell r="C973">
            <v>615507585</v>
          </cell>
          <cell r="I973">
            <v>0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</row>
        <row r="974">
          <cell r="A974">
            <v>2</v>
          </cell>
          <cell r="B974">
            <v>6155075</v>
          </cell>
          <cell r="C974">
            <v>615507586</v>
          </cell>
          <cell r="I974">
            <v>0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</row>
        <row r="975">
          <cell r="A975">
            <v>2</v>
          </cell>
          <cell r="B975">
            <v>6155113</v>
          </cell>
          <cell r="C975">
            <v>615511300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</row>
        <row r="976">
          <cell r="A976">
            <v>2</v>
          </cell>
          <cell r="B976">
            <v>6155175</v>
          </cell>
          <cell r="C976">
            <v>615517583</v>
          </cell>
          <cell r="I976">
            <v>0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</row>
        <row r="977">
          <cell r="A977">
            <v>2</v>
          </cell>
          <cell r="B977">
            <v>6155277</v>
          </cell>
          <cell r="C977">
            <v>615527700</v>
          </cell>
          <cell r="I977">
            <v>0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</row>
        <row r="978">
          <cell r="A978">
            <v>2</v>
          </cell>
          <cell r="B978">
            <v>6155278</v>
          </cell>
          <cell r="C978">
            <v>615527800</v>
          </cell>
          <cell r="I978">
            <v>0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</row>
        <row r="979">
          <cell r="A979">
            <v>2</v>
          </cell>
          <cell r="B979">
            <v>6155301</v>
          </cell>
          <cell r="C979">
            <v>615530102</v>
          </cell>
          <cell r="I979">
            <v>0</v>
          </cell>
          <cell r="J979">
            <v>0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</row>
        <row r="980">
          <cell r="A980">
            <v>2</v>
          </cell>
          <cell r="B980">
            <v>6155301</v>
          </cell>
          <cell r="C980">
            <v>615530103</v>
          </cell>
          <cell r="I980">
            <v>0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</row>
        <row r="981">
          <cell r="A981">
            <v>2</v>
          </cell>
          <cell r="B981">
            <v>6155301</v>
          </cell>
          <cell r="C981">
            <v>615530104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</row>
        <row r="982">
          <cell r="A982">
            <v>2</v>
          </cell>
          <cell r="B982">
            <v>6155301</v>
          </cell>
          <cell r="C982">
            <v>615530105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</row>
        <row r="983">
          <cell r="A983">
            <v>2</v>
          </cell>
          <cell r="B983">
            <v>6155302</v>
          </cell>
          <cell r="C983">
            <v>615530202</v>
          </cell>
          <cell r="I983">
            <v>3280800</v>
          </cell>
          <cell r="J983">
            <v>0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3280800</v>
          </cell>
        </row>
        <row r="984">
          <cell r="A984">
            <v>2</v>
          </cell>
          <cell r="B984">
            <v>6155303</v>
          </cell>
          <cell r="C984">
            <v>615530301</v>
          </cell>
          <cell r="I984">
            <v>352080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352080</v>
          </cell>
        </row>
        <row r="985">
          <cell r="A985">
            <v>2</v>
          </cell>
          <cell r="B985">
            <v>6155303</v>
          </cell>
          <cell r="C985">
            <v>615530302</v>
          </cell>
          <cell r="I985">
            <v>240000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240000</v>
          </cell>
        </row>
        <row r="986">
          <cell r="A986">
            <v>2</v>
          </cell>
          <cell r="B986">
            <v>6155303</v>
          </cell>
          <cell r="C986">
            <v>615530303</v>
          </cell>
          <cell r="I986">
            <v>1452330</v>
          </cell>
          <cell r="J986">
            <v>0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1452330</v>
          </cell>
        </row>
        <row r="987">
          <cell r="A987">
            <v>2</v>
          </cell>
          <cell r="B987">
            <v>6155303</v>
          </cell>
          <cell r="C987">
            <v>615530304</v>
          </cell>
          <cell r="I987">
            <v>0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</row>
        <row r="988">
          <cell r="A988">
            <v>2</v>
          </cell>
          <cell r="B988">
            <v>6155303</v>
          </cell>
          <cell r="C988">
            <v>615530305</v>
          </cell>
          <cell r="I988">
            <v>0</v>
          </cell>
          <cell r="J988">
            <v>0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</row>
        <row r="989">
          <cell r="A989">
            <v>2</v>
          </cell>
          <cell r="B989">
            <v>6155303</v>
          </cell>
          <cell r="C989">
            <v>615530306</v>
          </cell>
          <cell r="I989">
            <v>0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</row>
        <row r="990">
          <cell r="A990">
            <v>2</v>
          </cell>
          <cell r="B990">
            <v>6155303</v>
          </cell>
          <cell r="C990">
            <v>615530307</v>
          </cell>
          <cell r="I990">
            <v>0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  <cell r="O990">
            <v>0</v>
          </cell>
          <cell r="P990">
            <v>0</v>
          </cell>
        </row>
        <row r="991">
          <cell r="A991">
            <v>2</v>
          </cell>
          <cell r="B991">
            <v>6155303</v>
          </cell>
          <cell r="C991">
            <v>615530310</v>
          </cell>
          <cell r="I991">
            <v>759099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759099</v>
          </cell>
        </row>
        <row r="992">
          <cell r="A992">
            <v>2</v>
          </cell>
          <cell r="B992">
            <v>6155303</v>
          </cell>
          <cell r="C992">
            <v>615530311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</row>
        <row r="993">
          <cell r="A993">
            <v>2</v>
          </cell>
          <cell r="B993">
            <v>6155303</v>
          </cell>
          <cell r="C993">
            <v>615530314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</row>
        <row r="994">
          <cell r="A994">
            <v>2</v>
          </cell>
          <cell r="B994">
            <v>6155303</v>
          </cell>
          <cell r="C994">
            <v>615530315</v>
          </cell>
          <cell r="I994">
            <v>300000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300000</v>
          </cell>
        </row>
        <row r="995">
          <cell r="A995">
            <v>2</v>
          </cell>
          <cell r="B995">
            <v>6155303</v>
          </cell>
          <cell r="C995">
            <v>615530316</v>
          </cell>
          <cell r="I995">
            <v>0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</row>
        <row r="996">
          <cell r="A996">
            <v>2</v>
          </cell>
          <cell r="B996">
            <v>6155303</v>
          </cell>
          <cell r="C996">
            <v>615530319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</row>
        <row r="997">
          <cell r="A997">
            <v>2</v>
          </cell>
          <cell r="B997">
            <v>6155304</v>
          </cell>
          <cell r="C997">
            <v>615530401</v>
          </cell>
          <cell r="I997">
            <v>878362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O997">
            <v>878362</v>
          </cell>
          <cell r="P997">
            <v>0</v>
          </cell>
        </row>
        <row r="998">
          <cell r="A998">
            <v>2</v>
          </cell>
          <cell r="B998">
            <v>6155304</v>
          </cell>
          <cell r="C998">
            <v>615530402</v>
          </cell>
          <cell r="I998">
            <v>4920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4920</v>
          </cell>
        </row>
        <row r="999">
          <cell r="A999">
            <v>2</v>
          </cell>
          <cell r="B999">
            <v>6155304</v>
          </cell>
          <cell r="C999">
            <v>615530403</v>
          </cell>
          <cell r="I999">
            <v>0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</row>
        <row r="1000">
          <cell r="A1000">
            <v>2</v>
          </cell>
          <cell r="B1000">
            <v>6155304</v>
          </cell>
          <cell r="C1000">
            <v>615530405</v>
          </cell>
          <cell r="I1000">
            <v>0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</row>
        <row r="1001">
          <cell r="A1001">
            <v>2</v>
          </cell>
          <cell r="B1001">
            <v>6155304</v>
          </cell>
          <cell r="C1001">
            <v>615530406</v>
          </cell>
          <cell r="I1001">
            <v>0</v>
          </cell>
          <cell r="J1001">
            <v>0</v>
          </cell>
          <cell r="K1001">
            <v>0</v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</row>
        <row r="1002">
          <cell r="A1002">
            <v>2</v>
          </cell>
          <cell r="B1002">
            <v>6155304</v>
          </cell>
          <cell r="C1002">
            <v>615530407</v>
          </cell>
          <cell r="I1002">
            <v>0</v>
          </cell>
          <cell r="J1002">
            <v>0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</row>
        <row r="1003">
          <cell r="A1003">
            <v>2</v>
          </cell>
          <cell r="B1003">
            <v>6155304</v>
          </cell>
          <cell r="C1003">
            <v>615530408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</row>
        <row r="1004">
          <cell r="A1004">
            <v>2</v>
          </cell>
          <cell r="B1004">
            <v>6155304</v>
          </cell>
          <cell r="C1004">
            <v>615530410</v>
          </cell>
          <cell r="I1004">
            <v>279305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279305</v>
          </cell>
          <cell r="P1004">
            <v>0</v>
          </cell>
        </row>
        <row r="1005">
          <cell r="A1005">
            <v>2</v>
          </cell>
          <cell r="B1005">
            <v>6155304</v>
          </cell>
          <cell r="C1005">
            <v>615530411</v>
          </cell>
          <cell r="I1005">
            <v>0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</row>
        <row r="1006">
          <cell r="A1006">
            <v>2</v>
          </cell>
          <cell r="B1006">
            <v>6155305</v>
          </cell>
          <cell r="C1006">
            <v>615530500</v>
          </cell>
          <cell r="I1006">
            <v>0</v>
          </cell>
          <cell r="J1006">
            <v>0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</row>
        <row r="1007">
          <cell r="A1007">
            <v>2</v>
          </cell>
          <cell r="B1007">
            <v>6155307</v>
          </cell>
          <cell r="C1007">
            <v>615530700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</row>
        <row r="1008">
          <cell r="A1008">
            <v>2</v>
          </cell>
          <cell r="B1008">
            <v>6155308</v>
          </cell>
          <cell r="C1008">
            <v>615530800</v>
          </cell>
          <cell r="I1008">
            <v>918000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918000</v>
          </cell>
        </row>
        <row r="1009">
          <cell r="A1009">
            <v>2</v>
          </cell>
          <cell r="B1009">
            <v>6155310</v>
          </cell>
          <cell r="C1009">
            <v>615531001</v>
          </cell>
          <cell r="I1009">
            <v>0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</row>
        <row r="1010">
          <cell r="A1010">
            <v>2</v>
          </cell>
          <cell r="B1010">
            <v>6155310</v>
          </cell>
          <cell r="C1010">
            <v>615531002</v>
          </cell>
          <cell r="I1010">
            <v>0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</row>
        <row r="1011">
          <cell r="A1011">
            <v>2</v>
          </cell>
          <cell r="B1011">
            <v>6155310</v>
          </cell>
          <cell r="C1011">
            <v>615531003</v>
          </cell>
          <cell r="I1011">
            <v>0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</row>
        <row r="1012">
          <cell r="A1012">
            <v>2</v>
          </cell>
          <cell r="B1012">
            <v>6155313</v>
          </cell>
          <cell r="C1012">
            <v>615531300</v>
          </cell>
          <cell r="I1012">
            <v>766743</v>
          </cell>
          <cell r="J1012">
            <v>0</v>
          </cell>
          <cell r="K1012">
            <v>0</v>
          </cell>
          <cell r="L1012">
            <v>0</v>
          </cell>
          <cell r="M1012">
            <v>0</v>
          </cell>
          <cell r="N1012">
            <v>766743</v>
          </cell>
          <cell r="O1012">
            <v>0</v>
          </cell>
          <cell r="P1012">
            <v>0</v>
          </cell>
        </row>
        <row r="1013">
          <cell r="A1013">
            <v>2</v>
          </cell>
          <cell r="B1013">
            <v>6155314</v>
          </cell>
          <cell r="C1013">
            <v>615531400</v>
          </cell>
          <cell r="I1013">
            <v>71900</v>
          </cell>
          <cell r="J1013">
            <v>0</v>
          </cell>
          <cell r="K1013">
            <v>0</v>
          </cell>
          <cell r="L1013">
            <v>0</v>
          </cell>
          <cell r="M1013">
            <v>0</v>
          </cell>
          <cell r="N1013">
            <v>71900</v>
          </cell>
          <cell r="O1013">
            <v>0</v>
          </cell>
          <cell r="P1013">
            <v>0</v>
          </cell>
        </row>
        <row r="1014">
          <cell r="A1014">
            <v>2</v>
          </cell>
          <cell r="B1014">
            <v>6155315</v>
          </cell>
          <cell r="C1014">
            <v>615531500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</row>
        <row r="1015">
          <cell r="A1015">
            <v>2</v>
          </cell>
          <cell r="B1015">
            <v>6155317</v>
          </cell>
          <cell r="C1015">
            <v>615531700</v>
          </cell>
          <cell r="I1015">
            <v>35232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  <cell r="N1015">
            <v>35232</v>
          </cell>
          <cell r="O1015">
            <v>0</v>
          </cell>
          <cell r="P1015">
            <v>0</v>
          </cell>
        </row>
        <row r="1016">
          <cell r="A1016">
            <v>2</v>
          </cell>
          <cell r="B1016">
            <v>6155319</v>
          </cell>
          <cell r="C1016">
            <v>615531900</v>
          </cell>
          <cell r="I1016">
            <v>2241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441</v>
          </cell>
          <cell r="O1016">
            <v>1800</v>
          </cell>
          <cell r="P1016">
            <v>0</v>
          </cell>
        </row>
        <row r="1017">
          <cell r="A1017">
            <v>2</v>
          </cell>
          <cell r="B1017">
            <v>6155320</v>
          </cell>
          <cell r="C1017">
            <v>615532000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</row>
        <row r="1018">
          <cell r="A1018">
            <v>2</v>
          </cell>
          <cell r="B1018">
            <v>6155321</v>
          </cell>
          <cell r="C1018">
            <v>615532100</v>
          </cell>
          <cell r="I1018">
            <v>9051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9051</v>
          </cell>
          <cell r="O1018">
            <v>0</v>
          </cell>
          <cell r="P1018">
            <v>0</v>
          </cell>
        </row>
        <row r="1019">
          <cell r="A1019">
            <v>2</v>
          </cell>
          <cell r="B1019">
            <v>6155323</v>
          </cell>
          <cell r="C1019">
            <v>615532300</v>
          </cell>
          <cell r="I1019">
            <v>166925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166925</v>
          </cell>
          <cell r="O1019">
            <v>0</v>
          </cell>
          <cell r="P1019">
            <v>0</v>
          </cell>
        </row>
        <row r="1020">
          <cell r="A1020">
            <v>2</v>
          </cell>
          <cell r="B1020">
            <v>6155324</v>
          </cell>
          <cell r="C1020">
            <v>615532400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</row>
        <row r="1021">
          <cell r="A1021">
            <v>2</v>
          </cell>
          <cell r="B1021">
            <v>6155331</v>
          </cell>
          <cell r="C1021">
            <v>615533100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</row>
        <row r="1022">
          <cell r="A1022">
            <v>2</v>
          </cell>
          <cell r="B1022">
            <v>6155337</v>
          </cell>
          <cell r="C1022">
            <v>615533700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</row>
        <row r="1023">
          <cell r="A1023">
            <v>2</v>
          </cell>
          <cell r="B1023">
            <v>6155339</v>
          </cell>
          <cell r="C1023">
            <v>615533900</v>
          </cell>
          <cell r="I1023">
            <v>28080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28080</v>
          </cell>
          <cell r="P1023">
            <v>0</v>
          </cell>
        </row>
        <row r="1024">
          <cell r="A1024">
            <v>2</v>
          </cell>
          <cell r="B1024">
            <v>6155340</v>
          </cell>
          <cell r="C1024">
            <v>615534000</v>
          </cell>
          <cell r="I1024">
            <v>8200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8200</v>
          </cell>
        </row>
        <row r="1025">
          <cell r="A1025">
            <v>2</v>
          </cell>
          <cell r="B1025">
            <v>6155341</v>
          </cell>
          <cell r="C1025">
            <v>615534100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</row>
        <row r="1026">
          <cell r="A1026">
            <v>2</v>
          </cell>
          <cell r="B1026">
            <v>6155365</v>
          </cell>
          <cell r="C1026">
            <v>615536500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</row>
        <row r="1027">
          <cell r="A1027">
            <v>2</v>
          </cell>
          <cell r="B1027">
            <v>6155369</v>
          </cell>
          <cell r="C1027">
            <v>615536900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</row>
        <row r="1028">
          <cell r="A1028">
            <v>2</v>
          </cell>
          <cell r="B1028">
            <v>6155370</v>
          </cell>
          <cell r="C1028">
            <v>615537000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</row>
        <row r="1029">
          <cell r="A1029">
            <v>2</v>
          </cell>
          <cell r="B1029">
            <v>6155371</v>
          </cell>
          <cell r="C1029">
            <v>615537100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</row>
        <row r="1030">
          <cell r="A1030">
            <v>2</v>
          </cell>
          <cell r="B1030">
            <v>6155372</v>
          </cell>
          <cell r="C1030">
            <v>615537200</v>
          </cell>
          <cell r="I1030">
            <v>0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</row>
        <row r="1031">
          <cell r="A1031">
            <v>2</v>
          </cell>
          <cell r="B1031">
            <v>6155373</v>
          </cell>
          <cell r="C1031">
            <v>615537300</v>
          </cell>
          <cell r="I1031">
            <v>0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</row>
        <row r="1032">
          <cell r="A1032">
            <v>2</v>
          </cell>
          <cell r="B1032">
            <v>6155374</v>
          </cell>
          <cell r="C1032">
            <v>615537400</v>
          </cell>
          <cell r="I1032">
            <v>0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0</v>
          </cell>
          <cell r="P1032">
            <v>0</v>
          </cell>
        </row>
        <row r="1033">
          <cell r="A1033">
            <v>2</v>
          </cell>
          <cell r="B1033">
            <v>6155375</v>
          </cell>
          <cell r="C1033">
            <v>615537583</v>
          </cell>
          <cell r="I1033">
            <v>419535338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419535338</v>
          </cell>
          <cell r="O1033">
            <v>0</v>
          </cell>
          <cell r="P1033">
            <v>0</v>
          </cell>
        </row>
        <row r="1034">
          <cell r="A1034">
            <v>2</v>
          </cell>
          <cell r="B1034">
            <v>6155375</v>
          </cell>
          <cell r="C1034">
            <v>615537584</v>
          </cell>
          <cell r="I1034">
            <v>4022728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O1034">
            <v>0</v>
          </cell>
          <cell r="P1034">
            <v>4022728</v>
          </cell>
        </row>
        <row r="1035">
          <cell r="A1035">
            <v>2</v>
          </cell>
          <cell r="B1035">
            <v>6155375</v>
          </cell>
          <cell r="C1035">
            <v>615537585</v>
          </cell>
          <cell r="I1035">
            <v>12423600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12423600</v>
          </cell>
          <cell r="O1035">
            <v>0</v>
          </cell>
          <cell r="P1035">
            <v>0</v>
          </cell>
        </row>
        <row r="1036">
          <cell r="A1036">
            <v>2</v>
          </cell>
          <cell r="B1036">
            <v>6155375</v>
          </cell>
          <cell r="C1036">
            <v>615537586</v>
          </cell>
          <cell r="I1036">
            <v>7632900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7632900</v>
          </cell>
          <cell r="O1036">
            <v>0</v>
          </cell>
          <cell r="P1036">
            <v>0</v>
          </cell>
        </row>
        <row r="1037">
          <cell r="A1037">
            <v>2</v>
          </cell>
          <cell r="B1037">
            <v>6155375</v>
          </cell>
          <cell r="C1037">
            <v>615537587</v>
          </cell>
          <cell r="I1037">
            <v>45870</v>
          </cell>
          <cell r="J1037">
            <v>0</v>
          </cell>
          <cell r="K1037">
            <v>0</v>
          </cell>
          <cell r="L1037">
            <v>0</v>
          </cell>
          <cell r="M1037">
            <v>0</v>
          </cell>
          <cell r="N1037">
            <v>45870</v>
          </cell>
          <cell r="O1037">
            <v>0</v>
          </cell>
          <cell r="P1037">
            <v>0</v>
          </cell>
        </row>
        <row r="1038">
          <cell r="A1038">
            <v>2</v>
          </cell>
          <cell r="B1038">
            <v>6155375</v>
          </cell>
          <cell r="C1038">
            <v>615537588</v>
          </cell>
          <cell r="I1038">
            <v>525070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O1038">
            <v>525070</v>
          </cell>
          <cell r="P1038">
            <v>0</v>
          </cell>
        </row>
        <row r="1039">
          <cell r="A1039">
            <v>2</v>
          </cell>
          <cell r="B1039">
            <v>6160101</v>
          </cell>
          <cell r="C1039">
            <v>616010100</v>
          </cell>
          <cell r="I1039">
            <v>274954288</v>
          </cell>
          <cell r="J1039">
            <v>0</v>
          </cell>
          <cell r="K1039">
            <v>0</v>
          </cell>
          <cell r="L1039">
            <v>0</v>
          </cell>
          <cell r="M1039">
            <v>0</v>
          </cell>
          <cell r="N1039">
            <v>0</v>
          </cell>
          <cell r="O1039">
            <v>0</v>
          </cell>
          <cell r="P1039">
            <v>274954288</v>
          </cell>
        </row>
        <row r="1040">
          <cell r="A1040">
            <v>2</v>
          </cell>
          <cell r="B1040">
            <v>6160102</v>
          </cell>
          <cell r="C1040">
            <v>616010200</v>
          </cell>
          <cell r="I1040">
            <v>100000</v>
          </cell>
          <cell r="J1040">
            <v>0</v>
          </cell>
          <cell r="K1040">
            <v>0</v>
          </cell>
          <cell r="L1040">
            <v>0</v>
          </cell>
          <cell r="M1040">
            <v>0</v>
          </cell>
          <cell r="N1040">
            <v>0</v>
          </cell>
          <cell r="O1040">
            <v>0</v>
          </cell>
          <cell r="P1040">
            <v>100000</v>
          </cell>
        </row>
        <row r="1041">
          <cell r="A1041">
            <v>2</v>
          </cell>
          <cell r="B1041">
            <v>6160303</v>
          </cell>
          <cell r="C1041">
            <v>616030300</v>
          </cell>
          <cell r="I1041">
            <v>0</v>
          </cell>
          <cell r="J1041">
            <v>0</v>
          </cell>
          <cell r="K1041">
            <v>0</v>
          </cell>
          <cell r="L1041">
            <v>0</v>
          </cell>
          <cell r="M1041">
            <v>0</v>
          </cell>
          <cell r="N1041">
            <v>0</v>
          </cell>
          <cell r="O1041">
            <v>0</v>
          </cell>
          <cell r="P1041">
            <v>0</v>
          </cell>
        </row>
        <row r="1042">
          <cell r="A1042">
            <v>2</v>
          </cell>
          <cell r="B1042">
            <v>6170208</v>
          </cell>
          <cell r="C1042">
            <v>617020800</v>
          </cell>
          <cell r="I1042">
            <v>1040000</v>
          </cell>
          <cell r="J1042">
            <v>0</v>
          </cell>
          <cell r="K1042">
            <v>0</v>
          </cell>
          <cell r="L1042">
            <v>0</v>
          </cell>
          <cell r="M1042">
            <v>0</v>
          </cell>
          <cell r="N1042">
            <v>0</v>
          </cell>
          <cell r="O1042">
            <v>0</v>
          </cell>
          <cell r="P1042">
            <v>1040000</v>
          </cell>
        </row>
        <row r="1043">
          <cell r="A1043">
            <v>2</v>
          </cell>
          <cell r="B1043">
            <v>6170210</v>
          </cell>
          <cell r="C1043">
            <v>617021000</v>
          </cell>
          <cell r="I1043">
            <v>0</v>
          </cell>
          <cell r="J1043">
            <v>0</v>
          </cell>
          <cell r="K1043">
            <v>0</v>
          </cell>
          <cell r="L1043">
            <v>0</v>
          </cell>
          <cell r="M1043">
            <v>0</v>
          </cell>
          <cell r="N1043">
            <v>0</v>
          </cell>
          <cell r="O1043">
            <v>0</v>
          </cell>
          <cell r="P1043">
            <v>0</v>
          </cell>
        </row>
        <row r="1044">
          <cell r="A1044">
            <v>2</v>
          </cell>
          <cell r="B1044">
            <v>6170212</v>
          </cell>
          <cell r="C1044">
            <v>617021200</v>
          </cell>
          <cell r="I1044">
            <v>0</v>
          </cell>
          <cell r="J1044">
            <v>0</v>
          </cell>
          <cell r="K1044">
            <v>0</v>
          </cell>
          <cell r="L1044">
            <v>0</v>
          </cell>
          <cell r="M1044">
            <v>0</v>
          </cell>
          <cell r="N1044">
            <v>0</v>
          </cell>
          <cell r="O1044">
            <v>0</v>
          </cell>
          <cell r="P1044">
            <v>0</v>
          </cell>
        </row>
        <row r="1045">
          <cell r="A1045">
            <v>2</v>
          </cell>
          <cell r="B1045">
            <v>6170303</v>
          </cell>
          <cell r="C1045">
            <v>617030300</v>
          </cell>
          <cell r="I1045">
            <v>0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O1045">
            <v>0</v>
          </cell>
          <cell r="P1045">
            <v>0</v>
          </cell>
        </row>
        <row r="1046">
          <cell r="A1046">
            <v>2</v>
          </cell>
          <cell r="B1046">
            <v>6170401</v>
          </cell>
          <cell r="C1046">
            <v>617040100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</row>
        <row r="1047">
          <cell r="A1047">
            <v>2</v>
          </cell>
          <cell r="B1047">
            <v>6170402</v>
          </cell>
          <cell r="C1047">
            <v>617040200</v>
          </cell>
          <cell r="I1047">
            <v>0</v>
          </cell>
          <cell r="J1047">
            <v>0</v>
          </cell>
          <cell r="K1047">
            <v>0</v>
          </cell>
          <cell r="L1047">
            <v>0</v>
          </cell>
          <cell r="M1047">
            <v>0</v>
          </cell>
          <cell r="N1047">
            <v>0</v>
          </cell>
          <cell r="O1047">
            <v>0</v>
          </cell>
          <cell r="P1047">
            <v>0</v>
          </cell>
        </row>
        <row r="1048">
          <cell r="A1048">
            <v>2</v>
          </cell>
          <cell r="B1048">
            <v>6170403</v>
          </cell>
          <cell r="C1048">
            <v>617040300</v>
          </cell>
          <cell r="I1048">
            <v>0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  <cell r="O1048">
            <v>0</v>
          </cell>
          <cell r="P1048">
            <v>0</v>
          </cell>
        </row>
        <row r="1049">
          <cell r="A1049">
            <v>2</v>
          </cell>
          <cell r="B1049">
            <v>6181212</v>
          </cell>
          <cell r="C1049">
            <v>618121200</v>
          </cell>
          <cell r="I1049">
            <v>0</v>
          </cell>
          <cell r="J1049">
            <v>0</v>
          </cell>
          <cell r="K1049">
            <v>0</v>
          </cell>
          <cell r="L1049">
            <v>0</v>
          </cell>
          <cell r="M1049">
            <v>0</v>
          </cell>
          <cell r="N1049">
            <v>0</v>
          </cell>
          <cell r="O1049">
            <v>0</v>
          </cell>
          <cell r="P1049">
            <v>0</v>
          </cell>
        </row>
        <row r="1050">
          <cell r="A1050">
            <v>2</v>
          </cell>
          <cell r="B1050">
            <v>6181414</v>
          </cell>
          <cell r="C1050">
            <v>618141400</v>
          </cell>
          <cell r="I1050">
            <v>0</v>
          </cell>
          <cell r="J1050">
            <v>0</v>
          </cell>
          <cell r="K1050">
            <v>0</v>
          </cell>
          <cell r="L1050">
            <v>0</v>
          </cell>
          <cell r="M1050">
            <v>0</v>
          </cell>
          <cell r="N1050">
            <v>0</v>
          </cell>
          <cell r="O1050">
            <v>0</v>
          </cell>
          <cell r="P1050">
            <v>0</v>
          </cell>
        </row>
        <row r="1051">
          <cell r="A1051">
            <v>2</v>
          </cell>
          <cell r="B1051">
            <v>6182020</v>
          </cell>
          <cell r="C1051">
            <v>618202000</v>
          </cell>
          <cell r="I1051">
            <v>0</v>
          </cell>
          <cell r="J1051">
            <v>0</v>
          </cell>
          <cell r="K1051">
            <v>0</v>
          </cell>
          <cell r="L1051">
            <v>0</v>
          </cell>
          <cell r="M1051">
            <v>0</v>
          </cell>
          <cell r="N1051">
            <v>0</v>
          </cell>
          <cell r="O1051">
            <v>0</v>
          </cell>
          <cell r="P1051">
            <v>0</v>
          </cell>
        </row>
        <row r="1052">
          <cell r="A1052">
            <v>2</v>
          </cell>
          <cell r="B1052">
            <v>6190101</v>
          </cell>
          <cell r="C1052">
            <v>619010100</v>
          </cell>
          <cell r="I1052">
            <v>0</v>
          </cell>
          <cell r="J1052">
            <v>0</v>
          </cell>
          <cell r="K1052">
            <v>0</v>
          </cell>
          <cell r="L1052">
            <v>0</v>
          </cell>
          <cell r="M1052">
            <v>0</v>
          </cell>
          <cell r="N1052">
            <v>0</v>
          </cell>
          <cell r="O1052">
            <v>0</v>
          </cell>
          <cell r="P1052">
            <v>0</v>
          </cell>
        </row>
        <row r="1053">
          <cell r="A1053">
            <v>2</v>
          </cell>
          <cell r="B1053">
            <v>6200101</v>
          </cell>
          <cell r="C1053">
            <v>620010100</v>
          </cell>
          <cell r="I1053">
            <v>0</v>
          </cell>
          <cell r="J1053">
            <v>0</v>
          </cell>
          <cell r="K1053">
            <v>0</v>
          </cell>
          <cell r="L1053">
            <v>0</v>
          </cell>
          <cell r="M1053">
            <v>0</v>
          </cell>
          <cell r="N1053">
            <v>0</v>
          </cell>
          <cell r="O1053">
            <v>0</v>
          </cell>
          <cell r="P1053">
            <v>0</v>
          </cell>
        </row>
        <row r="1054">
          <cell r="A1054">
            <v>2</v>
          </cell>
          <cell r="B1054">
            <v>6210101</v>
          </cell>
          <cell r="C1054">
            <v>621010100</v>
          </cell>
          <cell r="I1054">
            <v>0</v>
          </cell>
          <cell r="J1054">
            <v>0</v>
          </cell>
          <cell r="K1054">
            <v>0</v>
          </cell>
          <cell r="L1054">
            <v>0</v>
          </cell>
          <cell r="M1054">
            <v>0</v>
          </cell>
          <cell r="N1054">
            <v>0</v>
          </cell>
          <cell r="O1054">
            <v>0</v>
          </cell>
          <cell r="P1054">
            <v>0</v>
          </cell>
        </row>
        <row r="1055">
          <cell r="A1055">
            <v>2</v>
          </cell>
          <cell r="B1055">
            <v>6900101</v>
          </cell>
          <cell r="C1055">
            <v>690010100</v>
          </cell>
          <cell r="I1055">
            <v>0</v>
          </cell>
          <cell r="J1055">
            <v>0</v>
          </cell>
          <cell r="K1055">
            <v>0</v>
          </cell>
          <cell r="L1055">
            <v>0</v>
          </cell>
          <cell r="M1055">
            <v>0</v>
          </cell>
          <cell r="N1055">
            <v>0</v>
          </cell>
          <cell r="O1055">
            <v>0</v>
          </cell>
          <cell r="P1055">
            <v>0</v>
          </cell>
        </row>
        <row r="1056">
          <cell r="A1056">
            <v>2</v>
          </cell>
          <cell r="B1056">
            <v>8830823</v>
          </cell>
          <cell r="C1056">
            <v>883082300</v>
          </cell>
          <cell r="I1056">
            <v>0</v>
          </cell>
          <cell r="J1056">
            <v>0</v>
          </cell>
          <cell r="K1056">
            <v>0</v>
          </cell>
          <cell r="L1056">
            <v>0</v>
          </cell>
          <cell r="M1056">
            <v>0</v>
          </cell>
          <cell r="N1056">
            <v>0</v>
          </cell>
          <cell r="O1056">
            <v>0</v>
          </cell>
          <cell r="P1056">
            <v>0</v>
          </cell>
        </row>
        <row r="1057">
          <cell r="A1057">
            <v>2</v>
          </cell>
          <cell r="B1057">
            <v>8831643</v>
          </cell>
          <cell r="C1057">
            <v>883164301</v>
          </cell>
          <cell r="I1057">
            <v>6341</v>
          </cell>
          <cell r="J1057">
            <v>0</v>
          </cell>
          <cell r="K1057">
            <v>0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  <cell r="P1057">
            <v>6341</v>
          </cell>
        </row>
        <row r="1058">
          <cell r="A1058">
            <v>2</v>
          </cell>
          <cell r="B1058">
            <v>8831643</v>
          </cell>
          <cell r="C1058">
            <v>883164303</v>
          </cell>
          <cell r="I1058">
            <v>533590</v>
          </cell>
          <cell r="J1058">
            <v>0</v>
          </cell>
          <cell r="K1058">
            <v>0</v>
          </cell>
          <cell r="L1058">
            <v>0</v>
          </cell>
          <cell r="M1058">
            <v>0</v>
          </cell>
          <cell r="N1058">
            <v>0</v>
          </cell>
          <cell r="O1058">
            <v>0</v>
          </cell>
          <cell r="P1058">
            <v>533590</v>
          </cell>
        </row>
        <row r="1059">
          <cell r="A1059">
            <v>2</v>
          </cell>
          <cell r="B1059">
            <v>8831643</v>
          </cell>
          <cell r="C1059">
            <v>883164304</v>
          </cell>
          <cell r="I1059">
            <v>0</v>
          </cell>
          <cell r="J1059">
            <v>0</v>
          </cell>
          <cell r="K1059">
            <v>0</v>
          </cell>
          <cell r="L1059">
            <v>0</v>
          </cell>
          <cell r="M1059">
            <v>0</v>
          </cell>
          <cell r="N1059">
            <v>0</v>
          </cell>
          <cell r="O1059">
            <v>0</v>
          </cell>
          <cell r="P1059">
            <v>0</v>
          </cell>
        </row>
        <row r="1060">
          <cell r="A1060">
            <v>2</v>
          </cell>
          <cell r="B1060">
            <v>8831643</v>
          </cell>
          <cell r="C1060">
            <v>883164305</v>
          </cell>
          <cell r="I1060">
            <v>0</v>
          </cell>
          <cell r="J1060">
            <v>0</v>
          </cell>
          <cell r="K1060">
            <v>0</v>
          </cell>
          <cell r="L1060">
            <v>0</v>
          </cell>
          <cell r="M1060">
            <v>0</v>
          </cell>
          <cell r="N1060">
            <v>0</v>
          </cell>
          <cell r="O1060">
            <v>0</v>
          </cell>
          <cell r="P1060">
            <v>0</v>
          </cell>
        </row>
        <row r="1061">
          <cell r="A1061">
            <v>2</v>
          </cell>
          <cell r="B1061">
            <v>8831701</v>
          </cell>
          <cell r="C1061">
            <v>883170102</v>
          </cell>
          <cell r="I1061">
            <v>0</v>
          </cell>
          <cell r="J1061">
            <v>0</v>
          </cell>
          <cell r="K1061">
            <v>0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</v>
          </cell>
        </row>
        <row r="1062">
          <cell r="A1062">
            <v>2</v>
          </cell>
          <cell r="B1062">
            <v>8831701</v>
          </cell>
          <cell r="C1062">
            <v>883170103</v>
          </cell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</row>
        <row r="1063">
          <cell r="A1063">
            <v>2</v>
          </cell>
          <cell r="B1063">
            <v>8831701</v>
          </cell>
          <cell r="C1063">
            <v>883170104</v>
          </cell>
          <cell r="I1063">
            <v>0</v>
          </cell>
          <cell r="J1063">
            <v>0</v>
          </cell>
          <cell r="K1063">
            <v>0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  <cell r="P1063">
            <v>0</v>
          </cell>
        </row>
        <row r="1064">
          <cell r="A1064">
            <v>2</v>
          </cell>
          <cell r="B1064">
            <v>8831701</v>
          </cell>
          <cell r="C1064">
            <v>883170105</v>
          </cell>
          <cell r="I1064">
            <v>0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</v>
          </cell>
        </row>
        <row r="1065">
          <cell r="A1065">
            <v>2</v>
          </cell>
          <cell r="B1065">
            <v>8831702</v>
          </cell>
          <cell r="C1065">
            <v>883170202</v>
          </cell>
          <cell r="I1065">
            <v>0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</row>
        <row r="1066">
          <cell r="A1066">
            <v>2</v>
          </cell>
          <cell r="B1066">
            <v>8831703</v>
          </cell>
          <cell r="C1066">
            <v>883170301</v>
          </cell>
          <cell r="I1066">
            <v>0</v>
          </cell>
          <cell r="J1066">
            <v>0</v>
          </cell>
          <cell r="K1066">
            <v>0</v>
          </cell>
          <cell r="L1066">
            <v>0</v>
          </cell>
          <cell r="M1066">
            <v>0</v>
          </cell>
          <cell r="N1066">
            <v>0</v>
          </cell>
          <cell r="O1066">
            <v>0</v>
          </cell>
          <cell r="P1066">
            <v>0</v>
          </cell>
        </row>
        <row r="1067">
          <cell r="A1067">
            <v>2</v>
          </cell>
          <cell r="B1067">
            <v>8831703</v>
          </cell>
          <cell r="C1067">
            <v>883170302</v>
          </cell>
          <cell r="I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</row>
        <row r="1068">
          <cell r="A1068">
            <v>2</v>
          </cell>
          <cell r="B1068">
            <v>8831703</v>
          </cell>
          <cell r="C1068">
            <v>883170303</v>
          </cell>
          <cell r="I1068">
            <v>0</v>
          </cell>
          <cell r="J1068">
            <v>0</v>
          </cell>
          <cell r="K1068">
            <v>0</v>
          </cell>
          <cell r="L1068">
            <v>0</v>
          </cell>
          <cell r="M1068">
            <v>0</v>
          </cell>
          <cell r="N1068">
            <v>0</v>
          </cell>
          <cell r="O1068">
            <v>0</v>
          </cell>
          <cell r="P1068">
            <v>0</v>
          </cell>
        </row>
        <row r="1069">
          <cell r="A1069">
            <v>2</v>
          </cell>
          <cell r="B1069">
            <v>8831703</v>
          </cell>
          <cell r="C1069">
            <v>883170304</v>
          </cell>
          <cell r="I1069">
            <v>0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  <cell r="O1069">
            <v>0</v>
          </cell>
          <cell r="P1069">
            <v>0</v>
          </cell>
        </row>
        <row r="1070">
          <cell r="A1070">
            <v>2</v>
          </cell>
          <cell r="B1070">
            <v>8831703</v>
          </cell>
          <cell r="C1070">
            <v>883170305</v>
          </cell>
          <cell r="I1070">
            <v>0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0</v>
          </cell>
          <cell r="P1070">
            <v>0</v>
          </cell>
        </row>
        <row r="1071">
          <cell r="A1071">
            <v>2</v>
          </cell>
          <cell r="B1071">
            <v>8831703</v>
          </cell>
          <cell r="C1071">
            <v>883170306</v>
          </cell>
          <cell r="I1071">
            <v>0</v>
          </cell>
          <cell r="J1071">
            <v>0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0</v>
          </cell>
        </row>
        <row r="1072">
          <cell r="A1072">
            <v>2</v>
          </cell>
          <cell r="B1072">
            <v>8831703</v>
          </cell>
          <cell r="C1072">
            <v>883170307</v>
          </cell>
          <cell r="I1072">
            <v>0</v>
          </cell>
          <cell r="J1072">
            <v>0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O1072">
            <v>0</v>
          </cell>
          <cell r="P1072">
            <v>0</v>
          </cell>
        </row>
        <row r="1073">
          <cell r="A1073">
            <v>2</v>
          </cell>
          <cell r="B1073">
            <v>8831703</v>
          </cell>
          <cell r="C1073">
            <v>883170310</v>
          </cell>
          <cell r="I1073">
            <v>0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</v>
          </cell>
        </row>
        <row r="1074">
          <cell r="A1074">
            <v>2</v>
          </cell>
          <cell r="B1074">
            <v>8831703</v>
          </cell>
          <cell r="C1074">
            <v>883170311</v>
          </cell>
          <cell r="I1074">
            <v>0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</v>
          </cell>
        </row>
        <row r="1075">
          <cell r="A1075">
            <v>2</v>
          </cell>
          <cell r="B1075">
            <v>8831703</v>
          </cell>
          <cell r="C1075">
            <v>883170314</v>
          </cell>
          <cell r="I1075">
            <v>0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</row>
        <row r="1076">
          <cell r="A1076">
            <v>2</v>
          </cell>
          <cell r="B1076">
            <v>8831703</v>
          </cell>
          <cell r="C1076">
            <v>883170315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</row>
        <row r="1077">
          <cell r="A1077">
            <v>2</v>
          </cell>
          <cell r="B1077">
            <v>8831703</v>
          </cell>
          <cell r="C1077">
            <v>883170316</v>
          </cell>
          <cell r="I1077">
            <v>0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</row>
        <row r="1078">
          <cell r="A1078">
            <v>2</v>
          </cell>
          <cell r="B1078">
            <v>8831704</v>
          </cell>
          <cell r="C1078">
            <v>883170401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</row>
        <row r="1079">
          <cell r="A1079">
            <v>2</v>
          </cell>
          <cell r="B1079">
            <v>8831704</v>
          </cell>
          <cell r="C1079">
            <v>883170402</v>
          </cell>
          <cell r="I1079">
            <v>0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</row>
        <row r="1080">
          <cell r="A1080">
            <v>2</v>
          </cell>
          <cell r="B1080">
            <v>8831704</v>
          </cell>
          <cell r="C1080">
            <v>883170403</v>
          </cell>
          <cell r="I1080">
            <v>0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</v>
          </cell>
        </row>
        <row r="1081">
          <cell r="A1081">
            <v>2</v>
          </cell>
          <cell r="B1081">
            <v>8831704</v>
          </cell>
          <cell r="C1081">
            <v>883170405</v>
          </cell>
          <cell r="I1081">
            <v>0</v>
          </cell>
          <cell r="J1081">
            <v>0</v>
          </cell>
          <cell r="K1081">
            <v>0</v>
          </cell>
          <cell r="L1081">
            <v>0</v>
          </cell>
          <cell r="M1081">
            <v>0</v>
          </cell>
          <cell r="N1081">
            <v>0</v>
          </cell>
          <cell r="O1081">
            <v>0</v>
          </cell>
          <cell r="P1081">
            <v>0</v>
          </cell>
        </row>
        <row r="1082">
          <cell r="A1082">
            <v>2</v>
          </cell>
          <cell r="B1082">
            <v>8831704</v>
          </cell>
          <cell r="C1082">
            <v>883170406</v>
          </cell>
          <cell r="I1082">
            <v>0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</v>
          </cell>
        </row>
        <row r="1083">
          <cell r="A1083">
            <v>2</v>
          </cell>
          <cell r="B1083">
            <v>8831704</v>
          </cell>
          <cell r="C1083">
            <v>883170407</v>
          </cell>
          <cell r="I1083">
            <v>0</v>
          </cell>
          <cell r="J1083">
            <v>0</v>
          </cell>
          <cell r="K1083">
            <v>0</v>
          </cell>
          <cell r="L1083">
            <v>0</v>
          </cell>
          <cell r="M1083">
            <v>0</v>
          </cell>
          <cell r="N1083">
            <v>0</v>
          </cell>
          <cell r="O1083">
            <v>0</v>
          </cell>
          <cell r="P1083">
            <v>0</v>
          </cell>
        </row>
        <row r="1084">
          <cell r="A1084">
            <v>2</v>
          </cell>
          <cell r="B1084">
            <v>8831704</v>
          </cell>
          <cell r="C1084">
            <v>883170408</v>
          </cell>
          <cell r="I1084">
            <v>0</v>
          </cell>
          <cell r="J1084">
            <v>0</v>
          </cell>
          <cell r="K1084">
            <v>0</v>
          </cell>
          <cell r="L1084">
            <v>0</v>
          </cell>
          <cell r="M1084">
            <v>0</v>
          </cell>
          <cell r="N1084">
            <v>0</v>
          </cell>
          <cell r="O1084">
            <v>0</v>
          </cell>
          <cell r="P1084">
            <v>0</v>
          </cell>
        </row>
        <row r="1085">
          <cell r="A1085">
            <v>2</v>
          </cell>
          <cell r="B1085">
            <v>8831704</v>
          </cell>
          <cell r="C1085">
            <v>883170410</v>
          </cell>
          <cell r="I1085">
            <v>0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0</v>
          </cell>
        </row>
        <row r="1086">
          <cell r="A1086">
            <v>2</v>
          </cell>
          <cell r="B1086">
            <v>8831704</v>
          </cell>
          <cell r="C1086">
            <v>883170411</v>
          </cell>
          <cell r="I1086">
            <v>0</v>
          </cell>
          <cell r="J1086">
            <v>0</v>
          </cell>
          <cell r="K1086">
            <v>0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0</v>
          </cell>
        </row>
        <row r="1087">
          <cell r="A1087">
            <v>2</v>
          </cell>
          <cell r="B1087">
            <v>8831705</v>
          </cell>
          <cell r="C1087">
            <v>883170500</v>
          </cell>
          <cell r="I1087">
            <v>0</v>
          </cell>
          <cell r="J1087">
            <v>0</v>
          </cell>
          <cell r="K1087">
            <v>0</v>
          </cell>
          <cell r="L1087">
            <v>0</v>
          </cell>
          <cell r="M1087">
            <v>0</v>
          </cell>
          <cell r="N1087">
            <v>0</v>
          </cell>
          <cell r="O1087">
            <v>0</v>
          </cell>
          <cell r="P1087">
            <v>0</v>
          </cell>
        </row>
        <row r="1088">
          <cell r="A1088">
            <v>2</v>
          </cell>
          <cell r="B1088">
            <v>8831707</v>
          </cell>
          <cell r="C1088">
            <v>883170700</v>
          </cell>
          <cell r="I1088">
            <v>0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</v>
          </cell>
        </row>
        <row r="1089">
          <cell r="A1089">
            <v>2</v>
          </cell>
          <cell r="B1089">
            <v>8831708</v>
          </cell>
          <cell r="C1089">
            <v>883170800</v>
          </cell>
          <cell r="I1089">
            <v>0</v>
          </cell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</row>
        <row r="1090">
          <cell r="A1090">
            <v>2</v>
          </cell>
          <cell r="B1090">
            <v>8831710</v>
          </cell>
          <cell r="C1090">
            <v>883171001</v>
          </cell>
          <cell r="I1090">
            <v>3331</v>
          </cell>
          <cell r="J1090">
            <v>0</v>
          </cell>
          <cell r="K1090">
            <v>0</v>
          </cell>
          <cell r="L1090">
            <v>0</v>
          </cell>
          <cell r="M1090">
            <v>0</v>
          </cell>
          <cell r="N1090">
            <v>3331</v>
          </cell>
          <cell r="O1090">
            <v>0</v>
          </cell>
          <cell r="P1090">
            <v>0</v>
          </cell>
        </row>
        <row r="1091">
          <cell r="A1091">
            <v>2</v>
          </cell>
          <cell r="B1091">
            <v>8831710</v>
          </cell>
          <cell r="C1091">
            <v>883171002</v>
          </cell>
          <cell r="I1091">
            <v>0</v>
          </cell>
          <cell r="J1091">
            <v>0</v>
          </cell>
          <cell r="K1091">
            <v>0</v>
          </cell>
          <cell r="L1091">
            <v>0</v>
          </cell>
          <cell r="M1091">
            <v>0</v>
          </cell>
          <cell r="N1091">
            <v>0</v>
          </cell>
          <cell r="O1091">
            <v>0</v>
          </cell>
          <cell r="P1091">
            <v>0</v>
          </cell>
        </row>
        <row r="1092">
          <cell r="A1092">
            <v>2</v>
          </cell>
          <cell r="B1092">
            <v>8831710</v>
          </cell>
          <cell r="C1092">
            <v>883171003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O1092">
            <v>0</v>
          </cell>
          <cell r="P1092">
            <v>0</v>
          </cell>
        </row>
        <row r="1093">
          <cell r="A1093">
            <v>2</v>
          </cell>
          <cell r="B1093">
            <v>8831713</v>
          </cell>
          <cell r="C1093">
            <v>883171300</v>
          </cell>
          <cell r="I1093">
            <v>48450</v>
          </cell>
          <cell r="J1093">
            <v>0</v>
          </cell>
          <cell r="K1093">
            <v>0</v>
          </cell>
          <cell r="L1093">
            <v>0</v>
          </cell>
          <cell r="M1093">
            <v>2121</v>
          </cell>
          <cell r="N1093">
            <v>46329</v>
          </cell>
          <cell r="O1093">
            <v>0</v>
          </cell>
          <cell r="P1093">
            <v>0</v>
          </cell>
        </row>
        <row r="1094">
          <cell r="A1094">
            <v>2</v>
          </cell>
          <cell r="B1094">
            <v>8831714</v>
          </cell>
          <cell r="C1094">
            <v>883171400</v>
          </cell>
          <cell r="I1094">
            <v>704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704</v>
          </cell>
          <cell r="O1094">
            <v>0</v>
          </cell>
          <cell r="P1094">
            <v>0</v>
          </cell>
        </row>
        <row r="1095">
          <cell r="A1095">
            <v>2</v>
          </cell>
          <cell r="B1095">
            <v>8831715</v>
          </cell>
          <cell r="C1095">
            <v>883171500</v>
          </cell>
          <cell r="I1095">
            <v>0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  <cell r="N1095">
            <v>0</v>
          </cell>
          <cell r="O1095">
            <v>0</v>
          </cell>
          <cell r="P1095">
            <v>0</v>
          </cell>
        </row>
        <row r="1096">
          <cell r="A1096">
            <v>2</v>
          </cell>
          <cell r="B1096">
            <v>8831717</v>
          </cell>
          <cell r="C1096">
            <v>883171700</v>
          </cell>
          <cell r="I1096">
            <v>26746</v>
          </cell>
          <cell r="J1096">
            <v>0</v>
          </cell>
          <cell r="K1096">
            <v>0</v>
          </cell>
          <cell r="L1096">
            <v>0</v>
          </cell>
          <cell r="M1096">
            <v>0</v>
          </cell>
          <cell r="N1096">
            <v>26746</v>
          </cell>
          <cell r="O1096">
            <v>0</v>
          </cell>
          <cell r="P1096">
            <v>0</v>
          </cell>
        </row>
        <row r="1097">
          <cell r="A1097">
            <v>2</v>
          </cell>
          <cell r="B1097">
            <v>8831719</v>
          </cell>
          <cell r="C1097">
            <v>883171900</v>
          </cell>
          <cell r="I1097">
            <v>1304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1246</v>
          </cell>
          <cell r="O1097">
            <v>58</v>
          </cell>
          <cell r="P1097">
            <v>0</v>
          </cell>
        </row>
        <row r="1098">
          <cell r="A1098">
            <v>2</v>
          </cell>
          <cell r="B1098">
            <v>8831720</v>
          </cell>
          <cell r="C1098">
            <v>883172000</v>
          </cell>
          <cell r="I1098">
            <v>29450</v>
          </cell>
          <cell r="J1098">
            <v>0</v>
          </cell>
          <cell r="K1098">
            <v>0</v>
          </cell>
          <cell r="L1098">
            <v>0</v>
          </cell>
          <cell r="M1098">
            <v>0</v>
          </cell>
          <cell r="N1098">
            <v>2449</v>
          </cell>
          <cell r="O1098">
            <v>27001</v>
          </cell>
          <cell r="P1098">
            <v>0</v>
          </cell>
        </row>
        <row r="1099">
          <cell r="A1099">
            <v>2</v>
          </cell>
          <cell r="B1099">
            <v>8831721</v>
          </cell>
          <cell r="C1099">
            <v>883172100</v>
          </cell>
          <cell r="I1099">
            <v>84624500</v>
          </cell>
          <cell r="J1099">
            <v>0</v>
          </cell>
          <cell r="K1099">
            <v>0</v>
          </cell>
          <cell r="L1099">
            <v>0</v>
          </cell>
          <cell r="M1099">
            <v>0</v>
          </cell>
          <cell r="N1099">
            <v>84624500</v>
          </cell>
          <cell r="O1099">
            <v>0</v>
          </cell>
          <cell r="P1099">
            <v>0</v>
          </cell>
        </row>
        <row r="1100">
          <cell r="A1100">
            <v>2</v>
          </cell>
          <cell r="B1100">
            <v>8831723</v>
          </cell>
          <cell r="C1100">
            <v>883172300</v>
          </cell>
          <cell r="I1100">
            <v>6873329</v>
          </cell>
          <cell r="J1100">
            <v>0</v>
          </cell>
          <cell r="K1100">
            <v>0</v>
          </cell>
          <cell r="L1100">
            <v>0</v>
          </cell>
          <cell r="M1100">
            <v>0</v>
          </cell>
          <cell r="N1100">
            <v>6873329</v>
          </cell>
          <cell r="O1100">
            <v>0</v>
          </cell>
          <cell r="P1100">
            <v>0</v>
          </cell>
        </row>
        <row r="1101">
          <cell r="A1101">
            <v>2</v>
          </cell>
          <cell r="B1101">
            <v>8831724</v>
          </cell>
          <cell r="C1101">
            <v>883172400</v>
          </cell>
          <cell r="I1101">
            <v>4513894</v>
          </cell>
          <cell r="J1101">
            <v>0</v>
          </cell>
          <cell r="K1101">
            <v>0</v>
          </cell>
          <cell r="L1101">
            <v>0</v>
          </cell>
          <cell r="M1101">
            <v>0</v>
          </cell>
          <cell r="N1101">
            <v>4513894</v>
          </cell>
          <cell r="O1101">
            <v>0</v>
          </cell>
          <cell r="P1101">
            <v>0</v>
          </cell>
        </row>
        <row r="1102">
          <cell r="A1102">
            <v>2</v>
          </cell>
          <cell r="B1102">
            <v>8831725</v>
          </cell>
          <cell r="C1102">
            <v>883172500</v>
          </cell>
          <cell r="I1102">
            <v>9753471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9753471</v>
          </cell>
          <cell r="O1102">
            <v>0</v>
          </cell>
          <cell r="P1102">
            <v>0</v>
          </cell>
        </row>
        <row r="1103">
          <cell r="A1103">
            <v>2</v>
          </cell>
          <cell r="B1103">
            <v>8831728</v>
          </cell>
          <cell r="C1103">
            <v>883172866</v>
          </cell>
          <cell r="I1103">
            <v>39778</v>
          </cell>
          <cell r="J1103">
            <v>0</v>
          </cell>
          <cell r="K1103">
            <v>0</v>
          </cell>
          <cell r="L1103">
            <v>0</v>
          </cell>
          <cell r="M1103">
            <v>0</v>
          </cell>
          <cell r="N1103">
            <v>39778</v>
          </cell>
          <cell r="O1103">
            <v>0</v>
          </cell>
          <cell r="P1103">
            <v>0</v>
          </cell>
        </row>
        <row r="1104">
          <cell r="A1104">
            <v>2</v>
          </cell>
          <cell r="B1104">
            <v>8831728</v>
          </cell>
          <cell r="C1104">
            <v>883172867</v>
          </cell>
          <cell r="I1104">
            <v>0</v>
          </cell>
          <cell r="J1104">
            <v>0</v>
          </cell>
          <cell r="K1104">
            <v>0</v>
          </cell>
          <cell r="L1104">
            <v>0</v>
          </cell>
          <cell r="M1104">
            <v>0</v>
          </cell>
          <cell r="N1104">
            <v>0</v>
          </cell>
          <cell r="O1104">
            <v>0</v>
          </cell>
          <cell r="P1104">
            <v>0</v>
          </cell>
        </row>
        <row r="1105">
          <cell r="A1105">
            <v>2</v>
          </cell>
          <cell r="B1105">
            <v>8831729</v>
          </cell>
          <cell r="C1105">
            <v>883172900</v>
          </cell>
          <cell r="I1105">
            <v>0</v>
          </cell>
          <cell r="J1105">
            <v>0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  <cell r="O1105">
            <v>0</v>
          </cell>
          <cell r="P1105">
            <v>0</v>
          </cell>
        </row>
        <row r="1106">
          <cell r="A1106">
            <v>2</v>
          </cell>
          <cell r="B1106">
            <v>8831730</v>
          </cell>
          <cell r="C1106">
            <v>883173000</v>
          </cell>
          <cell r="I1106">
            <v>0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O1106">
            <v>0</v>
          </cell>
          <cell r="P1106">
            <v>0</v>
          </cell>
        </row>
        <row r="1107">
          <cell r="A1107">
            <v>2</v>
          </cell>
          <cell r="B1107">
            <v>8831731</v>
          </cell>
          <cell r="C1107">
            <v>883173100</v>
          </cell>
          <cell r="I1107">
            <v>998517</v>
          </cell>
          <cell r="J1107">
            <v>0</v>
          </cell>
          <cell r="K1107">
            <v>0</v>
          </cell>
          <cell r="L1107">
            <v>0</v>
          </cell>
          <cell r="M1107">
            <v>0</v>
          </cell>
          <cell r="N1107">
            <v>966295</v>
          </cell>
          <cell r="O1107">
            <v>0</v>
          </cell>
          <cell r="P1107">
            <v>32222</v>
          </cell>
        </row>
        <row r="1108">
          <cell r="A1108">
            <v>2</v>
          </cell>
          <cell r="B1108">
            <v>8831733</v>
          </cell>
          <cell r="C1108">
            <v>883173300</v>
          </cell>
          <cell r="I1108">
            <v>0</v>
          </cell>
          <cell r="J1108">
            <v>0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  <cell r="O1108">
            <v>0</v>
          </cell>
          <cell r="P1108">
            <v>0</v>
          </cell>
        </row>
        <row r="1109">
          <cell r="A1109">
            <v>2</v>
          </cell>
          <cell r="B1109">
            <v>8831736</v>
          </cell>
          <cell r="C1109">
            <v>883173600</v>
          </cell>
          <cell r="I1109">
            <v>26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26</v>
          </cell>
          <cell r="O1109">
            <v>0</v>
          </cell>
          <cell r="P1109">
            <v>0</v>
          </cell>
        </row>
        <row r="1110">
          <cell r="A1110">
            <v>2</v>
          </cell>
          <cell r="B1110">
            <v>8831737</v>
          </cell>
          <cell r="C1110">
            <v>883173700</v>
          </cell>
          <cell r="I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</row>
        <row r="1111">
          <cell r="A1111">
            <v>2</v>
          </cell>
          <cell r="B1111">
            <v>8831739</v>
          </cell>
          <cell r="C1111">
            <v>883173900</v>
          </cell>
          <cell r="I1111">
            <v>77348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77348</v>
          </cell>
          <cell r="P1111">
            <v>0</v>
          </cell>
        </row>
        <row r="1112">
          <cell r="A1112">
            <v>2</v>
          </cell>
          <cell r="B1112">
            <v>8831740</v>
          </cell>
          <cell r="C1112">
            <v>883174000</v>
          </cell>
          <cell r="I1112">
            <v>58</v>
          </cell>
          <cell r="J1112">
            <v>0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0</v>
          </cell>
          <cell r="P1112">
            <v>58</v>
          </cell>
        </row>
        <row r="1113">
          <cell r="A1113">
            <v>2</v>
          </cell>
          <cell r="B1113">
            <v>8831741</v>
          </cell>
          <cell r="C1113">
            <v>883174100</v>
          </cell>
          <cell r="I1113">
            <v>0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  <cell r="P1113">
            <v>0</v>
          </cell>
        </row>
        <row r="1114">
          <cell r="A1114">
            <v>2</v>
          </cell>
          <cell r="B1114">
            <v>8831742</v>
          </cell>
          <cell r="C1114">
            <v>883174201</v>
          </cell>
          <cell r="I1114">
            <v>0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</v>
          </cell>
        </row>
        <row r="1115">
          <cell r="A1115">
            <v>2</v>
          </cell>
          <cell r="B1115">
            <v>8831742</v>
          </cell>
          <cell r="C1115">
            <v>883174202</v>
          </cell>
          <cell r="I1115">
            <v>0</v>
          </cell>
          <cell r="J1115">
            <v>0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</v>
          </cell>
        </row>
        <row r="1116">
          <cell r="A1116">
            <v>2</v>
          </cell>
          <cell r="B1116">
            <v>8832043</v>
          </cell>
          <cell r="C1116">
            <v>883204370</v>
          </cell>
          <cell r="I1116">
            <v>10270824</v>
          </cell>
          <cell r="J1116">
            <v>0</v>
          </cell>
          <cell r="K1116">
            <v>0</v>
          </cell>
          <cell r="L1116">
            <v>0</v>
          </cell>
          <cell r="M1116">
            <v>0</v>
          </cell>
          <cell r="N1116">
            <v>0</v>
          </cell>
          <cell r="O1116">
            <v>0</v>
          </cell>
          <cell r="P1116">
            <v>10270824</v>
          </cell>
        </row>
        <row r="1117">
          <cell r="A1117">
            <v>2</v>
          </cell>
          <cell r="B1117">
            <v>8832043</v>
          </cell>
          <cell r="C1117">
            <v>883204371</v>
          </cell>
          <cell r="I1117">
            <v>212330673</v>
          </cell>
          <cell r="J1117">
            <v>0</v>
          </cell>
          <cell r="K1117">
            <v>0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212330673</v>
          </cell>
        </row>
        <row r="1118">
          <cell r="A1118">
            <v>2</v>
          </cell>
          <cell r="B1118">
            <v>8832043</v>
          </cell>
          <cell r="C1118">
            <v>883204372</v>
          </cell>
          <cell r="I1118">
            <v>74683472</v>
          </cell>
          <cell r="J1118">
            <v>0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74683472</v>
          </cell>
        </row>
        <row r="1119">
          <cell r="A1119">
            <v>2</v>
          </cell>
          <cell r="B1119">
            <v>8832043</v>
          </cell>
          <cell r="C1119">
            <v>883204373</v>
          </cell>
          <cell r="I1119">
            <v>0</v>
          </cell>
          <cell r="J1119">
            <v>0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0</v>
          </cell>
        </row>
        <row r="1120">
          <cell r="A1120">
            <v>2</v>
          </cell>
          <cell r="B1120">
            <v>8832043</v>
          </cell>
          <cell r="C1120">
            <v>883204374</v>
          </cell>
          <cell r="I1120">
            <v>0</v>
          </cell>
          <cell r="J1120">
            <v>0</v>
          </cell>
          <cell r="K1120">
            <v>0</v>
          </cell>
          <cell r="L1120">
            <v>0</v>
          </cell>
          <cell r="M1120">
            <v>0</v>
          </cell>
          <cell r="N1120">
            <v>0</v>
          </cell>
          <cell r="O1120">
            <v>0</v>
          </cell>
          <cell r="P1120">
            <v>0</v>
          </cell>
        </row>
        <row r="1121">
          <cell r="A1121">
            <v>2</v>
          </cell>
          <cell r="B1121">
            <v>8832044</v>
          </cell>
          <cell r="C1121">
            <v>883204475</v>
          </cell>
          <cell r="I1121">
            <v>0</v>
          </cell>
          <cell r="J1121">
            <v>0</v>
          </cell>
          <cell r="K1121">
            <v>0</v>
          </cell>
          <cell r="L1121">
            <v>0</v>
          </cell>
          <cell r="M1121">
            <v>0</v>
          </cell>
          <cell r="N1121">
            <v>0</v>
          </cell>
          <cell r="O1121">
            <v>0</v>
          </cell>
          <cell r="P1121">
            <v>0</v>
          </cell>
        </row>
        <row r="1122">
          <cell r="A1122">
            <v>2</v>
          </cell>
          <cell r="B1122">
            <v>8832044</v>
          </cell>
          <cell r="C1122">
            <v>883204476</v>
          </cell>
          <cell r="I1122">
            <v>0</v>
          </cell>
          <cell r="J1122">
            <v>0</v>
          </cell>
          <cell r="K1122">
            <v>0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  <cell r="P1122">
            <v>0</v>
          </cell>
        </row>
        <row r="1123">
          <cell r="A1123">
            <v>2</v>
          </cell>
          <cell r="B1123">
            <v>8832044</v>
          </cell>
          <cell r="C1123">
            <v>883204477</v>
          </cell>
          <cell r="I1123">
            <v>7049</v>
          </cell>
          <cell r="J1123">
            <v>0</v>
          </cell>
          <cell r="K1123">
            <v>0</v>
          </cell>
          <cell r="L1123">
            <v>0</v>
          </cell>
          <cell r="M1123">
            <v>0</v>
          </cell>
          <cell r="N1123">
            <v>0</v>
          </cell>
          <cell r="O1123">
            <v>0</v>
          </cell>
          <cell r="P1123">
            <v>7049</v>
          </cell>
        </row>
        <row r="1124">
          <cell r="A1124">
            <v>2</v>
          </cell>
          <cell r="B1124">
            <v>8832246</v>
          </cell>
          <cell r="C1124">
            <v>883224600</v>
          </cell>
          <cell r="I1124">
            <v>1767155</v>
          </cell>
          <cell r="J1124">
            <v>0</v>
          </cell>
          <cell r="K1124">
            <v>0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1767155</v>
          </cell>
        </row>
        <row r="1125">
          <cell r="A1125">
            <v>2</v>
          </cell>
          <cell r="B1125">
            <v>8832247</v>
          </cell>
          <cell r="C1125">
            <v>883224700</v>
          </cell>
          <cell r="I1125">
            <v>0</v>
          </cell>
          <cell r="J1125">
            <v>0</v>
          </cell>
          <cell r="K1125">
            <v>0</v>
          </cell>
          <cell r="L1125">
            <v>0</v>
          </cell>
          <cell r="M1125">
            <v>0</v>
          </cell>
          <cell r="N1125">
            <v>0</v>
          </cell>
          <cell r="O1125">
            <v>0</v>
          </cell>
          <cell r="P1125">
            <v>0</v>
          </cell>
        </row>
        <row r="1126">
          <cell r="A1126">
            <v>2</v>
          </cell>
          <cell r="B1126">
            <v>8840251</v>
          </cell>
          <cell r="C1126">
            <v>884025180</v>
          </cell>
          <cell r="I1126">
            <v>84315300</v>
          </cell>
          <cell r="J1126">
            <v>0</v>
          </cell>
          <cell r="K1126">
            <v>0</v>
          </cell>
          <cell r="L1126">
            <v>0</v>
          </cell>
          <cell r="M1126">
            <v>0</v>
          </cell>
          <cell r="N1126">
            <v>0</v>
          </cell>
          <cell r="O1126">
            <v>84315300</v>
          </cell>
          <cell r="P1126">
            <v>0</v>
          </cell>
        </row>
        <row r="1127">
          <cell r="A1127">
            <v>2</v>
          </cell>
          <cell r="B1127">
            <v>8840251</v>
          </cell>
          <cell r="C1127">
            <v>884025181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</row>
        <row r="1128">
          <cell r="A1128">
            <v>2</v>
          </cell>
          <cell r="B1128">
            <v>8840252</v>
          </cell>
          <cell r="C1128">
            <v>884025200</v>
          </cell>
          <cell r="I1128">
            <v>244627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244627</v>
          </cell>
          <cell r="O1128">
            <v>0</v>
          </cell>
          <cell r="P1128">
            <v>0</v>
          </cell>
        </row>
        <row r="1129">
          <cell r="A1129">
            <v>2</v>
          </cell>
          <cell r="B1129">
            <v>8840253</v>
          </cell>
          <cell r="C1129">
            <v>884025300</v>
          </cell>
          <cell r="I1129">
            <v>0</v>
          </cell>
          <cell r="J1129">
            <v>0</v>
          </cell>
          <cell r="K1129">
            <v>0</v>
          </cell>
          <cell r="L1129">
            <v>0</v>
          </cell>
          <cell r="M1129">
            <v>0</v>
          </cell>
          <cell r="N1129">
            <v>0</v>
          </cell>
          <cell r="O1129">
            <v>0</v>
          </cell>
          <cell r="P1129">
            <v>0</v>
          </cell>
        </row>
        <row r="1130">
          <cell r="A1130">
            <v>2</v>
          </cell>
          <cell r="B1130">
            <v>8840254</v>
          </cell>
          <cell r="C1130">
            <v>884025400</v>
          </cell>
          <cell r="I1130">
            <v>0</v>
          </cell>
          <cell r="J1130">
            <v>0</v>
          </cell>
          <cell r="K1130">
            <v>0</v>
          </cell>
          <cell r="L1130">
            <v>0</v>
          </cell>
          <cell r="M1130">
            <v>0</v>
          </cell>
          <cell r="N1130">
            <v>0</v>
          </cell>
          <cell r="O1130">
            <v>0</v>
          </cell>
          <cell r="P1130">
            <v>0</v>
          </cell>
        </row>
        <row r="1131">
          <cell r="A1131">
            <v>2</v>
          </cell>
          <cell r="B1131">
            <v>8840255</v>
          </cell>
          <cell r="C1131">
            <v>884025500</v>
          </cell>
          <cell r="I1131">
            <v>0</v>
          </cell>
          <cell r="J1131">
            <v>0</v>
          </cell>
          <cell r="K1131">
            <v>0</v>
          </cell>
          <cell r="L1131">
            <v>0</v>
          </cell>
          <cell r="M1131">
            <v>0</v>
          </cell>
          <cell r="N1131">
            <v>0</v>
          </cell>
          <cell r="O1131">
            <v>0</v>
          </cell>
          <cell r="P1131">
            <v>0</v>
          </cell>
        </row>
        <row r="1132">
          <cell r="A1132">
            <v>2</v>
          </cell>
          <cell r="B1132">
            <v>8840456</v>
          </cell>
          <cell r="C1132">
            <v>884045600</v>
          </cell>
          <cell r="I1132">
            <v>0</v>
          </cell>
          <cell r="J1132">
            <v>0</v>
          </cell>
          <cell r="K1132">
            <v>0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0</v>
          </cell>
        </row>
        <row r="1133">
          <cell r="A1133">
            <v>2</v>
          </cell>
          <cell r="B1133">
            <v>8840457</v>
          </cell>
          <cell r="C1133">
            <v>884045700</v>
          </cell>
          <cell r="I1133">
            <v>0</v>
          </cell>
          <cell r="J1133">
            <v>0</v>
          </cell>
          <cell r="K1133">
            <v>0</v>
          </cell>
          <cell r="L1133">
            <v>0</v>
          </cell>
          <cell r="M1133">
            <v>0</v>
          </cell>
          <cell r="N1133">
            <v>0</v>
          </cell>
          <cell r="O1133">
            <v>0</v>
          </cell>
          <cell r="P1133">
            <v>0</v>
          </cell>
        </row>
        <row r="1134">
          <cell r="A1134">
            <v>2</v>
          </cell>
          <cell r="B1134">
            <v>8840458</v>
          </cell>
          <cell r="C1134">
            <v>884045800</v>
          </cell>
          <cell r="I1134">
            <v>0</v>
          </cell>
          <cell r="J1134">
            <v>0</v>
          </cell>
          <cell r="K1134">
            <v>0</v>
          </cell>
          <cell r="L1134">
            <v>0</v>
          </cell>
          <cell r="M1134">
            <v>0</v>
          </cell>
          <cell r="N1134">
            <v>0</v>
          </cell>
          <cell r="O1134">
            <v>0</v>
          </cell>
          <cell r="P1134">
            <v>0</v>
          </cell>
        </row>
        <row r="1135">
          <cell r="A1135">
            <v>2</v>
          </cell>
          <cell r="B1135">
            <v>8840559</v>
          </cell>
          <cell r="C1135">
            <v>884055900</v>
          </cell>
          <cell r="I1135">
            <v>0</v>
          </cell>
          <cell r="J1135">
            <v>0</v>
          </cell>
          <cell r="K1135">
            <v>0</v>
          </cell>
          <cell r="L1135">
            <v>0</v>
          </cell>
          <cell r="M1135">
            <v>0</v>
          </cell>
          <cell r="N1135">
            <v>0</v>
          </cell>
          <cell r="O1135">
            <v>0</v>
          </cell>
          <cell r="P1135">
            <v>0</v>
          </cell>
        </row>
        <row r="1136">
          <cell r="A1136">
            <v>2</v>
          </cell>
          <cell r="B1136">
            <v>8840662</v>
          </cell>
          <cell r="C1136">
            <v>884066200</v>
          </cell>
          <cell r="I1136">
            <v>0</v>
          </cell>
          <cell r="J1136">
            <v>0</v>
          </cell>
          <cell r="K1136">
            <v>0</v>
          </cell>
          <cell r="L1136">
            <v>0</v>
          </cell>
          <cell r="M1136">
            <v>0</v>
          </cell>
          <cell r="N1136">
            <v>0</v>
          </cell>
          <cell r="O1136">
            <v>0</v>
          </cell>
          <cell r="P1136">
            <v>0</v>
          </cell>
        </row>
        <row r="1137">
          <cell r="A1137">
            <v>2</v>
          </cell>
          <cell r="B1137">
            <v>8840663</v>
          </cell>
          <cell r="C1137">
            <v>884066300</v>
          </cell>
          <cell r="I1137">
            <v>0</v>
          </cell>
          <cell r="J1137">
            <v>0</v>
          </cell>
          <cell r="K1137">
            <v>0</v>
          </cell>
          <cell r="L1137">
            <v>0</v>
          </cell>
          <cell r="M1137">
            <v>0</v>
          </cell>
          <cell r="N1137">
            <v>0</v>
          </cell>
          <cell r="O1137">
            <v>0</v>
          </cell>
          <cell r="P1137">
            <v>0</v>
          </cell>
        </row>
        <row r="1138">
          <cell r="A1138">
            <v>2</v>
          </cell>
          <cell r="B1138">
            <v>8850202</v>
          </cell>
          <cell r="C1138">
            <v>885020200</v>
          </cell>
          <cell r="I1138">
            <v>0</v>
          </cell>
          <cell r="J1138">
            <v>0</v>
          </cell>
          <cell r="K1138">
            <v>0</v>
          </cell>
          <cell r="L1138">
            <v>0</v>
          </cell>
          <cell r="M1138">
            <v>0</v>
          </cell>
          <cell r="N1138">
            <v>0</v>
          </cell>
          <cell r="O1138">
            <v>0</v>
          </cell>
          <cell r="P1138">
            <v>0</v>
          </cell>
        </row>
        <row r="1139">
          <cell r="A1139">
            <v>2</v>
          </cell>
          <cell r="B1139">
            <v>8850404</v>
          </cell>
          <cell r="C1139">
            <v>885040400</v>
          </cell>
          <cell r="I1139">
            <v>0</v>
          </cell>
          <cell r="J1139">
            <v>0</v>
          </cell>
          <cell r="K1139">
            <v>0</v>
          </cell>
          <cell r="L1139">
            <v>0</v>
          </cell>
          <cell r="M1139">
            <v>0</v>
          </cell>
          <cell r="N1139">
            <v>0</v>
          </cell>
          <cell r="O1139">
            <v>0</v>
          </cell>
          <cell r="P1139">
            <v>0</v>
          </cell>
        </row>
        <row r="1140">
          <cell r="A1140">
            <v>2</v>
          </cell>
          <cell r="B1140">
            <v>8850606</v>
          </cell>
          <cell r="C1140">
            <v>885060600</v>
          </cell>
          <cell r="I1140">
            <v>160124</v>
          </cell>
          <cell r="J1140">
            <v>0</v>
          </cell>
          <cell r="K1140">
            <v>0</v>
          </cell>
          <cell r="L1140">
            <v>0</v>
          </cell>
          <cell r="M1140">
            <v>0</v>
          </cell>
          <cell r="N1140">
            <v>160124</v>
          </cell>
          <cell r="O1140">
            <v>0</v>
          </cell>
          <cell r="P1140">
            <v>0</v>
          </cell>
        </row>
        <row r="1141">
          <cell r="A1141">
            <v>2</v>
          </cell>
          <cell r="B1141">
            <v>8850808</v>
          </cell>
          <cell r="C1141">
            <v>885080800</v>
          </cell>
          <cell r="I1141">
            <v>0</v>
          </cell>
          <cell r="J1141">
            <v>0</v>
          </cell>
          <cell r="K1141">
            <v>0</v>
          </cell>
          <cell r="L1141">
            <v>0</v>
          </cell>
          <cell r="M1141">
            <v>0</v>
          </cell>
          <cell r="N1141">
            <v>0</v>
          </cell>
          <cell r="O1141">
            <v>0</v>
          </cell>
          <cell r="P1141">
            <v>0</v>
          </cell>
        </row>
        <row r="1142">
          <cell r="A1142">
            <v>2</v>
          </cell>
          <cell r="B1142">
            <v>8851010</v>
          </cell>
          <cell r="C1142">
            <v>885101000</v>
          </cell>
          <cell r="I1142">
            <v>0</v>
          </cell>
          <cell r="J1142">
            <v>0</v>
          </cell>
          <cell r="K1142">
            <v>0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0</v>
          </cell>
        </row>
        <row r="1143">
          <cell r="A1143">
            <v>2</v>
          </cell>
          <cell r="B1143">
            <v>8900101</v>
          </cell>
          <cell r="C1143">
            <v>890010100</v>
          </cell>
          <cell r="I1143">
            <v>0</v>
          </cell>
          <cell r="J1143">
            <v>0</v>
          </cell>
          <cell r="K1143">
            <v>0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</v>
          </cell>
        </row>
        <row r="1144">
          <cell r="A1144">
            <v>3</v>
          </cell>
          <cell r="B1144">
            <v>1120110</v>
          </cell>
          <cell r="C1144">
            <v>112011010</v>
          </cell>
          <cell r="I1144">
            <v>0</v>
          </cell>
          <cell r="J1144">
            <v>0</v>
          </cell>
          <cell r="K1144">
            <v>0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</v>
          </cell>
        </row>
        <row r="1145">
          <cell r="A1145">
            <v>3</v>
          </cell>
          <cell r="B1145">
            <v>1120110</v>
          </cell>
          <cell r="C1145">
            <v>112011011</v>
          </cell>
          <cell r="I1145">
            <v>0</v>
          </cell>
          <cell r="J1145">
            <v>0</v>
          </cell>
          <cell r="K1145">
            <v>0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0</v>
          </cell>
        </row>
        <row r="1146">
          <cell r="A1146">
            <v>3</v>
          </cell>
          <cell r="B1146">
            <v>1120111</v>
          </cell>
          <cell r="C1146">
            <v>112011100</v>
          </cell>
          <cell r="I1146">
            <v>0</v>
          </cell>
          <cell r="J1146">
            <v>0</v>
          </cell>
          <cell r="K1146">
            <v>0</v>
          </cell>
          <cell r="L1146">
            <v>0</v>
          </cell>
          <cell r="M1146">
            <v>0</v>
          </cell>
          <cell r="N1146">
            <v>0</v>
          </cell>
          <cell r="O1146">
            <v>0</v>
          </cell>
          <cell r="P1146">
            <v>0</v>
          </cell>
        </row>
        <row r="1147">
          <cell r="A1147">
            <v>3</v>
          </cell>
          <cell r="B1147">
            <v>1120112</v>
          </cell>
          <cell r="C1147">
            <v>112011200</v>
          </cell>
          <cell r="I1147">
            <v>0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</v>
          </cell>
        </row>
        <row r="1148">
          <cell r="A1148">
            <v>3</v>
          </cell>
          <cell r="B1148">
            <v>1120113</v>
          </cell>
          <cell r="C1148">
            <v>112011300</v>
          </cell>
          <cell r="I1148">
            <v>213400000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  <cell r="O1148">
            <v>0</v>
          </cell>
          <cell r="P1148">
            <v>213400000</v>
          </cell>
        </row>
        <row r="1149">
          <cell r="A1149">
            <v>3</v>
          </cell>
          <cell r="B1149">
            <v>1120114</v>
          </cell>
          <cell r="C1149">
            <v>112011400</v>
          </cell>
          <cell r="I1149">
            <v>0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0</v>
          </cell>
        </row>
        <row r="1150">
          <cell r="A1150">
            <v>3</v>
          </cell>
          <cell r="B1150">
            <v>1120115</v>
          </cell>
          <cell r="C1150">
            <v>112011500</v>
          </cell>
          <cell r="I1150">
            <v>109400000</v>
          </cell>
          <cell r="J1150">
            <v>0</v>
          </cell>
          <cell r="K1150">
            <v>0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109400000</v>
          </cell>
        </row>
        <row r="1151">
          <cell r="A1151">
            <v>3</v>
          </cell>
          <cell r="B1151">
            <v>1120116</v>
          </cell>
          <cell r="C1151">
            <v>112011600</v>
          </cell>
          <cell r="I1151">
            <v>0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  <cell r="N1151">
            <v>0</v>
          </cell>
          <cell r="O1151">
            <v>0</v>
          </cell>
          <cell r="P1151">
            <v>0</v>
          </cell>
        </row>
        <row r="1152">
          <cell r="A1152">
            <v>3</v>
          </cell>
          <cell r="B1152">
            <v>1120210</v>
          </cell>
          <cell r="C1152">
            <v>112021000</v>
          </cell>
          <cell r="I1152">
            <v>0</v>
          </cell>
          <cell r="J1152">
            <v>0</v>
          </cell>
          <cell r="K1152">
            <v>0</v>
          </cell>
          <cell r="L1152">
            <v>0</v>
          </cell>
          <cell r="M1152">
            <v>0</v>
          </cell>
          <cell r="N1152">
            <v>0</v>
          </cell>
          <cell r="O1152">
            <v>0</v>
          </cell>
          <cell r="P1152">
            <v>0</v>
          </cell>
        </row>
        <row r="1153">
          <cell r="A1153">
            <v>3</v>
          </cell>
          <cell r="B1153">
            <v>1120220</v>
          </cell>
          <cell r="C1153">
            <v>112022000</v>
          </cell>
          <cell r="I1153">
            <v>0</v>
          </cell>
          <cell r="J1153">
            <v>0</v>
          </cell>
          <cell r="K1153">
            <v>0</v>
          </cell>
          <cell r="L1153">
            <v>0</v>
          </cell>
          <cell r="M1153">
            <v>0</v>
          </cell>
          <cell r="N1153">
            <v>0</v>
          </cell>
          <cell r="O1153">
            <v>0</v>
          </cell>
          <cell r="P1153">
            <v>0</v>
          </cell>
        </row>
        <row r="1154">
          <cell r="A1154">
            <v>3</v>
          </cell>
          <cell r="B1154">
            <v>1120230</v>
          </cell>
          <cell r="C1154">
            <v>112023000</v>
          </cell>
          <cell r="I1154">
            <v>0</v>
          </cell>
          <cell r="J1154">
            <v>0</v>
          </cell>
          <cell r="K1154">
            <v>0</v>
          </cell>
          <cell r="L1154">
            <v>0</v>
          </cell>
          <cell r="M1154">
            <v>0</v>
          </cell>
          <cell r="N1154">
            <v>0</v>
          </cell>
          <cell r="O1154">
            <v>0</v>
          </cell>
          <cell r="P1154">
            <v>0</v>
          </cell>
        </row>
        <row r="1155">
          <cell r="A1155">
            <v>3</v>
          </cell>
          <cell r="B1155">
            <v>1140303</v>
          </cell>
          <cell r="C1155">
            <v>114030300</v>
          </cell>
          <cell r="I1155">
            <v>0</v>
          </cell>
          <cell r="J1155">
            <v>0</v>
          </cell>
          <cell r="K1155">
            <v>0</v>
          </cell>
          <cell r="L1155">
            <v>0</v>
          </cell>
          <cell r="M1155">
            <v>0</v>
          </cell>
          <cell r="N1155">
            <v>0</v>
          </cell>
          <cell r="O1155">
            <v>0</v>
          </cell>
          <cell r="P1155">
            <v>0</v>
          </cell>
        </row>
        <row r="1156">
          <cell r="A1156">
            <v>3</v>
          </cell>
          <cell r="B1156">
            <v>1160101</v>
          </cell>
          <cell r="C1156">
            <v>116010100</v>
          </cell>
          <cell r="I1156">
            <v>17796000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17796000</v>
          </cell>
        </row>
        <row r="1157">
          <cell r="A1157">
            <v>3</v>
          </cell>
          <cell r="B1157">
            <v>1160202</v>
          </cell>
          <cell r="C1157">
            <v>116020200</v>
          </cell>
          <cell r="I1157">
            <v>0</v>
          </cell>
          <cell r="J1157">
            <v>0</v>
          </cell>
          <cell r="K1157">
            <v>0</v>
          </cell>
          <cell r="L1157">
            <v>0</v>
          </cell>
          <cell r="M1157">
            <v>0</v>
          </cell>
          <cell r="N1157">
            <v>0</v>
          </cell>
          <cell r="O1157">
            <v>0</v>
          </cell>
          <cell r="P1157">
            <v>0</v>
          </cell>
        </row>
        <row r="1158">
          <cell r="A1158">
            <v>3</v>
          </cell>
          <cell r="B1158">
            <v>1180401</v>
          </cell>
          <cell r="C1158">
            <v>118040100</v>
          </cell>
          <cell r="I1158">
            <v>0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  <cell r="N1158">
            <v>0</v>
          </cell>
          <cell r="O1158">
            <v>0</v>
          </cell>
          <cell r="P1158">
            <v>0</v>
          </cell>
        </row>
        <row r="1159">
          <cell r="A1159">
            <v>3</v>
          </cell>
          <cell r="B1159">
            <v>1180402</v>
          </cell>
          <cell r="C1159">
            <v>118040200</v>
          </cell>
          <cell r="I1159">
            <v>0</v>
          </cell>
          <cell r="J1159">
            <v>0</v>
          </cell>
          <cell r="K1159">
            <v>0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0</v>
          </cell>
        </row>
        <row r="1160">
          <cell r="A1160">
            <v>3</v>
          </cell>
          <cell r="B1160">
            <v>1180403</v>
          </cell>
          <cell r="C1160">
            <v>118040300</v>
          </cell>
          <cell r="I1160">
            <v>0</v>
          </cell>
          <cell r="J1160">
            <v>0</v>
          </cell>
          <cell r="K1160">
            <v>0</v>
          </cell>
          <cell r="L1160">
            <v>0</v>
          </cell>
          <cell r="M1160">
            <v>0</v>
          </cell>
          <cell r="N1160">
            <v>0</v>
          </cell>
          <cell r="O1160">
            <v>0</v>
          </cell>
          <cell r="P1160">
            <v>0</v>
          </cell>
        </row>
        <row r="1161">
          <cell r="A1161">
            <v>3</v>
          </cell>
          <cell r="B1161">
            <v>1180404</v>
          </cell>
          <cell r="C1161">
            <v>118040400</v>
          </cell>
          <cell r="I1161">
            <v>0</v>
          </cell>
          <cell r="J1161">
            <v>0</v>
          </cell>
          <cell r="K1161">
            <v>0</v>
          </cell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0</v>
          </cell>
        </row>
        <row r="1162">
          <cell r="A1162">
            <v>3</v>
          </cell>
          <cell r="B1162">
            <v>1190401</v>
          </cell>
          <cell r="C1162">
            <v>119040100</v>
          </cell>
          <cell r="I1162">
            <v>0</v>
          </cell>
          <cell r="J1162">
            <v>0</v>
          </cell>
          <cell r="K1162">
            <v>0</v>
          </cell>
          <cell r="L1162">
            <v>0</v>
          </cell>
          <cell r="M1162">
            <v>0</v>
          </cell>
          <cell r="N1162">
            <v>0</v>
          </cell>
          <cell r="O1162">
            <v>0</v>
          </cell>
          <cell r="P1162">
            <v>0</v>
          </cell>
        </row>
        <row r="1163">
          <cell r="A1163">
            <v>3</v>
          </cell>
          <cell r="B1163">
            <v>1200630</v>
          </cell>
          <cell r="C1163">
            <v>120063000</v>
          </cell>
          <cell r="I1163">
            <v>0</v>
          </cell>
          <cell r="J1163">
            <v>0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</v>
          </cell>
        </row>
        <row r="1164">
          <cell r="A1164">
            <v>3</v>
          </cell>
          <cell r="B1164">
            <v>1300831</v>
          </cell>
          <cell r="C1164">
            <v>130083100</v>
          </cell>
          <cell r="I1164">
            <v>0</v>
          </cell>
          <cell r="J1164">
            <v>0</v>
          </cell>
          <cell r="K1164">
            <v>0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</v>
          </cell>
        </row>
        <row r="1165">
          <cell r="A1165">
            <v>3</v>
          </cell>
          <cell r="B1165">
            <v>1401010</v>
          </cell>
          <cell r="C1165">
            <v>140101000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</row>
        <row r="1166">
          <cell r="A1166">
            <v>3</v>
          </cell>
          <cell r="B1166">
            <v>1600101</v>
          </cell>
          <cell r="C1166">
            <v>160010100</v>
          </cell>
          <cell r="I1166">
            <v>0</v>
          </cell>
          <cell r="J1166">
            <v>0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</row>
        <row r="1167">
          <cell r="A1167">
            <v>3</v>
          </cell>
          <cell r="B1167">
            <v>1800707</v>
          </cell>
          <cell r="C1167">
            <v>180070700</v>
          </cell>
          <cell r="I1167">
            <v>14115880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14115880</v>
          </cell>
        </row>
        <row r="1168">
          <cell r="A1168">
            <v>3</v>
          </cell>
          <cell r="B1168">
            <v>1800808</v>
          </cell>
          <cell r="C1168">
            <v>180080800</v>
          </cell>
          <cell r="I1168">
            <v>0</v>
          </cell>
          <cell r="J1168">
            <v>0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</row>
        <row r="1169">
          <cell r="A1169">
            <v>3</v>
          </cell>
          <cell r="B1169">
            <v>1820101</v>
          </cell>
          <cell r="C1169">
            <v>182010100</v>
          </cell>
          <cell r="I1169">
            <v>0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</row>
        <row r="1170">
          <cell r="A1170">
            <v>3</v>
          </cell>
          <cell r="B1170">
            <v>1840102</v>
          </cell>
          <cell r="C1170">
            <v>184010200</v>
          </cell>
          <cell r="I1170">
            <v>0</v>
          </cell>
          <cell r="J1170">
            <v>0</v>
          </cell>
          <cell r="K1170">
            <v>0</v>
          </cell>
          <cell r="L1170">
            <v>0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</row>
        <row r="1171">
          <cell r="A1171">
            <v>3</v>
          </cell>
          <cell r="B1171">
            <v>1840304</v>
          </cell>
          <cell r="C1171">
            <v>184030400</v>
          </cell>
          <cell r="I1171">
            <v>0</v>
          </cell>
          <cell r="J1171">
            <v>0</v>
          </cell>
          <cell r="K1171">
            <v>0</v>
          </cell>
          <cell r="L1171">
            <v>0</v>
          </cell>
          <cell r="M1171">
            <v>0</v>
          </cell>
          <cell r="N1171">
            <v>0</v>
          </cell>
          <cell r="O1171">
            <v>0</v>
          </cell>
          <cell r="P1171">
            <v>0</v>
          </cell>
        </row>
        <row r="1172">
          <cell r="A1172">
            <v>3</v>
          </cell>
          <cell r="B1172">
            <v>1840305</v>
          </cell>
          <cell r="C1172">
            <v>184030500</v>
          </cell>
          <cell r="I1172">
            <v>0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  <cell r="O1172">
            <v>0</v>
          </cell>
          <cell r="P1172">
            <v>0</v>
          </cell>
        </row>
        <row r="1173">
          <cell r="A1173">
            <v>3</v>
          </cell>
          <cell r="B1173">
            <v>1840306</v>
          </cell>
          <cell r="C1173">
            <v>184030600</v>
          </cell>
          <cell r="I1173">
            <v>0</v>
          </cell>
          <cell r="J1173">
            <v>0</v>
          </cell>
          <cell r="K1173">
            <v>0</v>
          </cell>
          <cell r="L1173">
            <v>0</v>
          </cell>
          <cell r="M1173">
            <v>0</v>
          </cell>
          <cell r="N1173">
            <v>0</v>
          </cell>
          <cell r="O1173">
            <v>0</v>
          </cell>
          <cell r="P1173">
            <v>0</v>
          </cell>
        </row>
        <row r="1174">
          <cell r="A1174">
            <v>3</v>
          </cell>
          <cell r="B1174">
            <v>1840512</v>
          </cell>
          <cell r="C1174">
            <v>184051200</v>
          </cell>
          <cell r="I1174">
            <v>738000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  <cell r="N1174">
            <v>0</v>
          </cell>
          <cell r="O1174">
            <v>0</v>
          </cell>
          <cell r="P1174">
            <v>738000</v>
          </cell>
        </row>
        <row r="1175">
          <cell r="A1175">
            <v>3</v>
          </cell>
          <cell r="B1175">
            <v>1840513</v>
          </cell>
          <cell r="C1175">
            <v>184051300</v>
          </cell>
          <cell r="I1175">
            <v>350000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>
            <v>0</v>
          </cell>
          <cell r="P1175">
            <v>350000</v>
          </cell>
        </row>
        <row r="1176">
          <cell r="A1176">
            <v>3</v>
          </cell>
          <cell r="B1176">
            <v>1840514</v>
          </cell>
          <cell r="C1176">
            <v>184051400</v>
          </cell>
          <cell r="I1176">
            <v>0</v>
          </cell>
          <cell r="J1176">
            <v>0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O1176">
            <v>0</v>
          </cell>
          <cell r="P1176">
            <v>0</v>
          </cell>
        </row>
        <row r="1177">
          <cell r="A1177">
            <v>3</v>
          </cell>
          <cell r="B1177">
            <v>1860303</v>
          </cell>
          <cell r="C1177">
            <v>186030300</v>
          </cell>
          <cell r="I1177">
            <v>0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</row>
        <row r="1178">
          <cell r="A1178">
            <v>3</v>
          </cell>
          <cell r="B1178">
            <v>1880101</v>
          </cell>
          <cell r="C1178">
            <v>188010100</v>
          </cell>
          <cell r="I1178">
            <v>0</v>
          </cell>
          <cell r="J1178">
            <v>0</v>
          </cell>
          <cell r="K1178">
            <v>0</v>
          </cell>
          <cell r="L1178">
            <v>0</v>
          </cell>
          <cell r="M1178">
            <v>0</v>
          </cell>
          <cell r="N1178">
            <v>0</v>
          </cell>
          <cell r="O1178">
            <v>0</v>
          </cell>
          <cell r="P1178">
            <v>0</v>
          </cell>
        </row>
        <row r="1179">
          <cell r="A1179">
            <v>3</v>
          </cell>
          <cell r="B1179">
            <v>1880202</v>
          </cell>
          <cell r="C1179">
            <v>188020200</v>
          </cell>
          <cell r="I1179">
            <v>0</v>
          </cell>
          <cell r="J1179">
            <v>0</v>
          </cell>
          <cell r="K1179">
            <v>0</v>
          </cell>
          <cell r="L1179">
            <v>0</v>
          </cell>
          <cell r="M1179">
            <v>0</v>
          </cell>
          <cell r="N1179">
            <v>0</v>
          </cell>
          <cell r="O1179">
            <v>0</v>
          </cell>
          <cell r="P1179">
            <v>0</v>
          </cell>
        </row>
        <row r="1180">
          <cell r="A1180">
            <v>3</v>
          </cell>
          <cell r="B1180">
            <v>1900101</v>
          </cell>
          <cell r="C1180">
            <v>190010100</v>
          </cell>
          <cell r="I1180">
            <v>0</v>
          </cell>
          <cell r="J1180">
            <v>0</v>
          </cell>
          <cell r="K1180">
            <v>0</v>
          </cell>
          <cell r="L1180">
            <v>0</v>
          </cell>
          <cell r="M1180">
            <v>0</v>
          </cell>
          <cell r="N1180">
            <v>0</v>
          </cell>
          <cell r="O1180">
            <v>0</v>
          </cell>
          <cell r="P1180">
            <v>0</v>
          </cell>
        </row>
        <row r="1181">
          <cell r="A1181">
            <v>3</v>
          </cell>
          <cell r="B1181">
            <v>1900202</v>
          </cell>
          <cell r="C1181">
            <v>190020200</v>
          </cell>
          <cell r="I1181">
            <v>0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  <cell r="O1181">
            <v>0</v>
          </cell>
          <cell r="P1181">
            <v>0</v>
          </cell>
        </row>
        <row r="1182">
          <cell r="A1182">
            <v>3</v>
          </cell>
          <cell r="B1182">
            <v>1900303</v>
          </cell>
          <cell r="C1182">
            <v>190030300</v>
          </cell>
          <cell r="I1182">
            <v>0</v>
          </cell>
          <cell r="J1182">
            <v>0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</row>
        <row r="1183">
          <cell r="A1183">
            <v>3</v>
          </cell>
          <cell r="B1183">
            <v>4810202</v>
          </cell>
          <cell r="C1183">
            <v>481020200</v>
          </cell>
          <cell r="I1183">
            <v>110725924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110725924</v>
          </cell>
          <cell r="O1183">
            <v>0</v>
          </cell>
          <cell r="P1183">
            <v>0</v>
          </cell>
        </row>
        <row r="1184">
          <cell r="A1184">
            <v>3</v>
          </cell>
          <cell r="B1184">
            <v>4810404</v>
          </cell>
          <cell r="C1184">
            <v>481040411</v>
          </cell>
          <cell r="I1184">
            <v>499344000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O1184">
            <v>0</v>
          </cell>
          <cell r="P1184">
            <v>499344000</v>
          </cell>
        </row>
        <row r="1185">
          <cell r="A1185">
            <v>3</v>
          </cell>
          <cell r="B1185">
            <v>4810404</v>
          </cell>
          <cell r="C1185">
            <v>481040412</v>
          </cell>
          <cell r="I1185">
            <v>0</v>
          </cell>
          <cell r="J1185">
            <v>0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O1185">
            <v>0</v>
          </cell>
          <cell r="P1185">
            <v>0</v>
          </cell>
        </row>
        <row r="1186">
          <cell r="A1186">
            <v>3</v>
          </cell>
          <cell r="B1186">
            <v>4810404</v>
          </cell>
          <cell r="C1186">
            <v>481040413</v>
          </cell>
          <cell r="I1186">
            <v>114000</v>
          </cell>
          <cell r="J1186">
            <v>0</v>
          </cell>
          <cell r="K1186">
            <v>0</v>
          </cell>
          <cell r="L1186">
            <v>0</v>
          </cell>
          <cell r="M1186">
            <v>0</v>
          </cell>
          <cell r="N1186">
            <v>0</v>
          </cell>
          <cell r="O1186">
            <v>0</v>
          </cell>
          <cell r="P1186">
            <v>114000</v>
          </cell>
        </row>
        <row r="1187">
          <cell r="A1187">
            <v>3</v>
          </cell>
          <cell r="B1187">
            <v>4810404</v>
          </cell>
          <cell r="C1187">
            <v>481040415</v>
          </cell>
          <cell r="I1187">
            <v>0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  <cell r="O1187">
            <v>0</v>
          </cell>
          <cell r="P1187">
            <v>0</v>
          </cell>
        </row>
        <row r="1188">
          <cell r="A1188">
            <v>3</v>
          </cell>
          <cell r="B1188">
            <v>4810406</v>
          </cell>
          <cell r="C1188">
            <v>481040600</v>
          </cell>
          <cell r="I1188">
            <v>0</v>
          </cell>
          <cell r="J1188">
            <v>0</v>
          </cell>
          <cell r="K1188">
            <v>0</v>
          </cell>
          <cell r="L1188">
            <v>0</v>
          </cell>
          <cell r="M1188">
            <v>0</v>
          </cell>
          <cell r="N1188">
            <v>0</v>
          </cell>
          <cell r="O1188">
            <v>0</v>
          </cell>
          <cell r="P1188">
            <v>0</v>
          </cell>
        </row>
        <row r="1189">
          <cell r="A1189">
            <v>3</v>
          </cell>
          <cell r="B1189">
            <v>4810408</v>
          </cell>
          <cell r="C1189">
            <v>481040800</v>
          </cell>
          <cell r="I1189">
            <v>0</v>
          </cell>
          <cell r="J1189">
            <v>0</v>
          </cell>
          <cell r="K1189">
            <v>0</v>
          </cell>
          <cell r="L1189">
            <v>0</v>
          </cell>
          <cell r="M1189">
            <v>0</v>
          </cell>
          <cell r="N1189">
            <v>0</v>
          </cell>
          <cell r="O1189">
            <v>0</v>
          </cell>
          <cell r="P1189">
            <v>0</v>
          </cell>
        </row>
        <row r="1190">
          <cell r="A1190">
            <v>3</v>
          </cell>
          <cell r="B1190">
            <v>4810409</v>
          </cell>
          <cell r="C1190">
            <v>481040900</v>
          </cell>
          <cell r="I1190">
            <v>0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N1190">
            <v>0</v>
          </cell>
          <cell r="O1190">
            <v>0</v>
          </cell>
          <cell r="P1190">
            <v>0</v>
          </cell>
        </row>
        <row r="1191">
          <cell r="A1191">
            <v>3</v>
          </cell>
          <cell r="B1191">
            <v>4811214</v>
          </cell>
          <cell r="C1191">
            <v>481121400</v>
          </cell>
          <cell r="I1191">
            <v>0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  <cell r="O1191">
            <v>0</v>
          </cell>
          <cell r="P1191">
            <v>0</v>
          </cell>
        </row>
        <row r="1192">
          <cell r="A1192">
            <v>3</v>
          </cell>
          <cell r="B1192">
            <v>4811417</v>
          </cell>
          <cell r="C1192">
            <v>481141700</v>
          </cell>
          <cell r="I1192">
            <v>0</v>
          </cell>
          <cell r="J1192">
            <v>0</v>
          </cell>
          <cell r="K1192">
            <v>0</v>
          </cell>
          <cell r="L1192">
            <v>0</v>
          </cell>
          <cell r="M1192">
            <v>0</v>
          </cell>
          <cell r="N1192">
            <v>0</v>
          </cell>
          <cell r="O1192">
            <v>0</v>
          </cell>
          <cell r="P1192">
            <v>0</v>
          </cell>
        </row>
        <row r="1193">
          <cell r="A1193">
            <v>3</v>
          </cell>
          <cell r="B1193">
            <v>4811418</v>
          </cell>
          <cell r="C1193">
            <v>481141800</v>
          </cell>
          <cell r="I1193">
            <v>0</v>
          </cell>
          <cell r="J1193">
            <v>0</v>
          </cell>
          <cell r="K1193">
            <v>0</v>
          </cell>
          <cell r="L1193">
            <v>0</v>
          </cell>
          <cell r="M1193">
            <v>0</v>
          </cell>
          <cell r="N1193">
            <v>0</v>
          </cell>
          <cell r="O1193">
            <v>0</v>
          </cell>
          <cell r="P1193">
            <v>0</v>
          </cell>
        </row>
        <row r="1194">
          <cell r="A1194">
            <v>3</v>
          </cell>
          <cell r="B1194">
            <v>4811419</v>
          </cell>
          <cell r="C1194">
            <v>481141915</v>
          </cell>
          <cell r="I1194">
            <v>0</v>
          </cell>
          <cell r="J1194">
            <v>0</v>
          </cell>
          <cell r="K1194">
            <v>0</v>
          </cell>
          <cell r="L1194">
            <v>0</v>
          </cell>
          <cell r="M1194">
            <v>0</v>
          </cell>
          <cell r="N1194">
            <v>0</v>
          </cell>
          <cell r="O1194">
            <v>0</v>
          </cell>
          <cell r="P1194">
            <v>0</v>
          </cell>
        </row>
        <row r="1195">
          <cell r="A1195">
            <v>3</v>
          </cell>
          <cell r="B1195">
            <v>4811419</v>
          </cell>
          <cell r="C1195">
            <v>481141916</v>
          </cell>
          <cell r="I1195">
            <v>0</v>
          </cell>
          <cell r="J1195">
            <v>0</v>
          </cell>
          <cell r="K1195">
            <v>0</v>
          </cell>
          <cell r="L1195">
            <v>0</v>
          </cell>
          <cell r="M1195">
            <v>0</v>
          </cell>
          <cell r="N1195">
            <v>0</v>
          </cell>
          <cell r="O1195">
            <v>0</v>
          </cell>
          <cell r="P1195">
            <v>0</v>
          </cell>
        </row>
        <row r="1196">
          <cell r="A1196">
            <v>3</v>
          </cell>
          <cell r="B1196">
            <v>4811419</v>
          </cell>
          <cell r="C1196">
            <v>481141917</v>
          </cell>
          <cell r="I1196">
            <v>0</v>
          </cell>
          <cell r="J1196">
            <v>0</v>
          </cell>
          <cell r="K1196">
            <v>0</v>
          </cell>
          <cell r="L1196">
            <v>0</v>
          </cell>
          <cell r="M1196">
            <v>0</v>
          </cell>
          <cell r="N1196">
            <v>0</v>
          </cell>
          <cell r="O1196">
            <v>0</v>
          </cell>
          <cell r="P1196">
            <v>0</v>
          </cell>
        </row>
        <row r="1197">
          <cell r="A1197">
            <v>3</v>
          </cell>
          <cell r="B1197">
            <v>4811420</v>
          </cell>
          <cell r="C1197">
            <v>481142000</v>
          </cell>
          <cell r="I1197">
            <v>0</v>
          </cell>
          <cell r="J1197">
            <v>0</v>
          </cell>
          <cell r="K1197">
            <v>0</v>
          </cell>
          <cell r="L1197">
            <v>0</v>
          </cell>
          <cell r="M1197">
            <v>0</v>
          </cell>
          <cell r="N1197">
            <v>0</v>
          </cell>
          <cell r="O1197">
            <v>0</v>
          </cell>
          <cell r="P1197">
            <v>0</v>
          </cell>
        </row>
        <row r="1198">
          <cell r="A1198">
            <v>3</v>
          </cell>
          <cell r="B1198">
            <v>4820221</v>
          </cell>
          <cell r="C1198">
            <v>482022100</v>
          </cell>
          <cell r="I1198">
            <v>0</v>
          </cell>
          <cell r="J1198">
            <v>0</v>
          </cell>
          <cell r="K1198">
            <v>0</v>
          </cell>
          <cell r="L1198">
            <v>0</v>
          </cell>
          <cell r="M1198">
            <v>0</v>
          </cell>
          <cell r="N1198">
            <v>0</v>
          </cell>
          <cell r="O1198">
            <v>0</v>
          </cell>
          <cell r="P1198">
            <v>0</v>
          </cell>
        </row>
        <row r="1199">
          <cell r="A1199">
            <v>3</v>
          </cell>
          <cell r="B1199">
            <v>4820222</v>
          </cell>
          <cell r="C1199">
            <v>482022200</v>
          </cell>
          <cell r="I1199">
            <v>0</v>
          </cell>
          <cell r="J1199">
            <v>0</v>
          </cell>
          <cell r="K1199">
            <v>0</v>
          </cell>
          <cell r="L1199">
            <v>0</v>
          </cell>
          <cell r="M1199">
            <v>0</v>
          </cell>
          <cell r="N1199">
            <v>0</v>
          </cell>
          <cell r="O1199">
            <v>0</v>
          </cell>
          <cell r="P1199">
            <v>0</v>
          </cell>
        </row>
        <row r="1200">
          <cell r="A1200">
            <v>3</v>
          </cell>
          <cell r="B1200">
            <v>4820224</v>
          </cell>
          <cell r="C1200">
            <v>482022400</v>
          </cell>
          <cell r="I1200">
            <v>0</v>
          </cell>
          <cell r="J1200">
            <v>0</v>
          </cell>
          <cell r="K1200">
            <v>0</v>
          </cell>
          <cell r="L1200">
            <v>0</v>
          </cell>
          <cell r="M1200">
            <v>0</v>
          </cell>
          <cell r="N1200">
            <v>0</v>
          </cell>
          <cell r="O1200">
            <v>0</v>
          </cell>
          <cell r="P1200">
            <v>0</v>
          </cell>
        </row>
        <row r="1201">
          <cell r="A1201">
            <v>3</v>
          </cell>
          <cell r="B1201">
            <v>4820427</v>
          </cell>
          <cell r="C1201">
            <v>482042700</v>
          </cell>
          <cell r="I1201">
            <v>0</v>
          </cell>
          <cell r="J1201">
            <v>0</v>
          </cell>
          <cell r="K1201">
            <v>0</v>
          </cell>
          <cell r="L1201">
            <v>0</v>
          </cell>
          <cell r="M1201">
            <v>0</v>
          </cell>
          <cell r="N1201">
            <v>0</v>
          </cell>
          <cell r="O1201">
            <v>0</v>
          </cell>
          <cell r="P1201">
            <v>0</v>
          </cell>
        </row>
        <row r="1202">
          <cell r="A1202">
            <v>3</v>
          </cell>
          <cell r="B1202">
            <v>4820428</v>
          </cell>
          <cell r="C1202">
            <v>482042800</v>
          </cell>
          <cell r="I1202">
            <v>0</v>
          </cell>
          <cell r="J1202">
            <v>0</v>
          </cell>
          <cell r="K1202">
            <v>0</v>
          </cell>
          <cell r="L1202">
            <v>0</v>
          </cell>
          <cell r="M1202">
            <v>0</v>
          </cell>
          <cell r="N1202">
            <v>0</v>
          </cell>
          <cell r="O1202">
            <v>0</v>
          </cell>
          <cell r="P1202">
            <v>0</v>
          </cell>
        </row>
        <row r="1203">
          <cell r="A1203">
            <v>3</v>
          </cell>
          <cell r="B1203">
            <v>4820429</v>
          </cell>
          <cell r="C1203">
            <v>482042900</v>
          </cell>
          <cell r="I1203">
            <v>0</v>
          </cell>
          <cell r="J1203">
            <v>0</v>
          </cell>
          <cell r="K1203">
            <v>0</v>
          </cell>
          <cell r="L1203">
            <v>0</v>
          </cell>
          <cell r="M1203">
            <v>0</v>
          </cell>
          <cell r="N1203">
            <v>0</v>
          </cell>
          <cell r="O1203">
            <v>0</v>
          </cell>
          <cell r="P1203">
            <v>0</v>
          </cell>
        </row>
        <row r="1204">
          <cell r="A1204">
            <v>3</v>
          </cell>
          <cell r="B1204">
            <v>4820501</v>
          </cell>
          <cell r="C1204">
            <v>482050100</v>
          </cell>
          <cell r="I1204">
            <v>0</v>
          </cell>
          <cell r="J1204">
            <v>0</v>
          </cell>
          <cell r="K1204">
            <v>0</v>
          </cell>
          <cell r="L1204">
            <v>0</v>
          </cell>
          <cell r="M1204">
            <v>0</v>
          </cell>
          <cell r="N1204">
            <v>0</v>
          </cell>
          <cell r="O1204">
            <v>0</v>
          </cell>
          <cell r="P1204">
            <v>0</v>
          </cell>
        </row>
        <row r="1205">
          <cell r="A1205">
            <v>3</v>
          </cell>
          <cell r="B1205">
            <v>4820630</v>
          </cell>
          <cell r="C1205">
            <v>482063000</v>
          </cell>
          <cell r="I1205">
            <v>0</v>
          </cell>
          <cell r="J1205">
            <v>0</v>
          </cell>
          <cell r="K1205">
            <v>0</v>
          </cell>
          <cell r="L1205">
            <v>0</v>
          </cell>
          <cell r="M1205">
            <v>0</v>
          </cell>
          <cell r="N1205">
            <v>0</v>
          </cell>
          <cell r="O1205">
            <v>0</v>
          </cell>
          <cell r="P1205">
            <v>0</v>
          </cell>
        </row>
        <row r="1206">
          <cell r="A1206">
            <v>3</v>
          </cell>
          <cell r="B1206">
            <v>4820831</v>
          </cell>
          <cell r="C1206">
            <v>482083100</v>
          </cell>
          <cell r="I1206">
            <v>0</v>
          </cell>
          <cell r="J1206">
            <v>0</v>
          </cell>
          <cell r="K1206">
            <v>0</v>
          </cell>
          <cell r="L1206">
            <v>0</v>
          </cell>
          <cell r="M1206">
            <v>0</v>
          </cell>
          <cell r="N1206">
            <v>0</v>
          </cell>
          <cell r="O1206">
            <v>0</v>
          </cell>
          <cell r="P1206">
            <v>0</v>
          </cell>
        </row>
        <row r="1207">
          <cell r="A1207">
            <v>3</v>
          </cell>
          <cell r="B1207">
            <v>4820932</v>
          </cell>
          <cell r="C1207">
            <v>482093200</v>
          </cell>
          <cell r="I1207">
            <v>0</v>
          </cell>
          <cell r="J1207">
            <v>0</v>
          </cell>
          <cell r="K1207">
            <v>0</v>
          </cell>
          <cell r="L1207">
            <v>0</v>
          </cell>
          <cell r="M1207">
            <v>0</v>
          </cell>
          <cell r="N1207">
            <v>0</v>
          </cell>
          <cell r="O1207">
            <v>0</v>
          </cell>
          <cell r="P1207">
            <v>0</v>
          </cell>
        </row>
        <row r="1208">
          <cell r="A1208">
            <v>3</v>
          </cell>
          <cell r="B1208">
            <v>4820933</v>
          </cell>
          <cell r="C1208">
            <v>482093300</v>
          </cell>
          <cell r="I1208">
            <v>0</v>
          </cell>
          <cell r="J1208">
            <v>0</v>
          </cell>
          <cell r="K1208">
            <v>0</v>
          </cell>
          <cell r="L1208">
            <v>0</v>
          </cell>
          <cell r="M1208">
            <v>0</v>
          </cell>
          <cell r="N1208">
            <v>0</v>
          </cell>
          <cell r="O1208">
            <v>0</v>
          </cell>
          <cell r="P1208">
            <v>0</v>
          </cell>
        </row>
        <row r="1209">
          <cell r="A1209">
            <v>3</v>
          </cell>
          <cell r="B1209">
            <v>4821034</v>
          </cell>
          <cell r="C1209">
            <v>482103411</v>
          </cell>
          <cell r="I1209">
            <v>0</v>
          </cell>
          <cell r="J1209">
            <v>0</v>
          </cell>
          <cell r="K1209">
            <v>0</v>
          </cell>
          <cell r="L1209">
            <v>0</v>
          </cell>
          <cell r="M1209">
            <v>0</v>
          </cell>
          <cell r="N1209">
            <v>0</v>
          </cell>
          <cell r="O1209">
            <v>0</v>
          </cell>
          <cell r="P1209">
            <v>0</v>
          </cell>
        </row>
        <row r="1210">
          <cell r="A1210">
            <v>3</v>
          </cell>
          <cell r="B1210">
            <v>4821034</v>
          </cell>
          <cell r="C1210">
            <v>482103412</v>
          </cell>
          <cell r="I1210">
            <v>0</v>
          </cell>
          <cell r="J1210">
            <v>0</v>
          </cell>
          <cell r="K1210">
            <v>0</v>
          </cell>
          <cell r="L1210">
            <v>0</v>
          </cell>
          <cell r="M1210">
            <v>0</v>
          </cell>
          <cell r="N1210">
            <v>0</v>
          </cell>
          <cell r="O1210">
            <v>0</v>
          </cell>
          <cell r="P1210">
            <v>0</v>
          </cell>
        </row>
        <row r="1211">
          <cell r="A1211">
            <v>3</v>
          </cell>
          <cell r="B1211">
            <v>4821034</v>
          </cell>
          <cell r="C1211">
            <v>482103413</v>
          </cell>
          <cell r="I1211">
            <v>0</v>
          </cell>
          <cell r="J1211">
            <v>0</v>
          </cell>
          <cell r="K1211">
            <v>0</v>
          </cell>
          <cell r="L1211">
            <v>0</v>
          </cell>
          <cell r="M1211">
            <v>0</v>
          </cell>
          <cell r="N1211">
            <v>0</v>
          </cell>
          <cell r="O1211">
            <v>0</v>
          </cell>
          <cell r="P1211">
            <v>0</v>
          </cell>
        </row>
        <row r="1212">
          <cell r="A1212">
            <v>3</v>
          </cell>
          <cell r="B1212">
            <v>4821034</v>
          </cell>
          <cell r="C1212">
            <v>482103414</v>
          </cell>
          <cell r="I1212">
            <v>0</v>
          </cell>
          <cell r="J1212">
            <v>0</v>
          </cell>
          <cell r="K1212">
            <v>0</v>
          </cell>
          <cell r="L1212">
            <v>0</v>
          </cell>
          <cell r="M1212">
            <v>0</v>
          </cell>
          <cell r="N1212">
            <v>0</v>
          </cell>
          <cell r="O1212">
            <v>0</v>
          </cell>
          <cell r="P1212">
            <v>0</v>
          </cell>
        </row>
        <row r="1213">
          <cell r="A1213">
            <v>3</v>
          </cell>
          <cell r="B1213">
            <v>4821035</v>
          </cell>
          <cell r="C1213">
            <v>482103500</v>
          </cell>
          <cell r="I1213">
            <v>0</v>
          </cell>
          <cell r="J1213">
            <v>0</v>
          </cell>
          <cell r="K1213">
            <v>0</v>
          </cell>
          <cell r="L1213">
            <v>0</v>
          </cell>
          <cell r="M1213">
            <v>0</v>
          </cell>
          <cell r="N1213">
            <v>0</v>
          </cell>
          <cell r="O1213">
            <v>0</v>
          </cell>
          <cell r="P1213">
            <v>0</v>
          </cell>
        </row>
        <row r="1214">
          <cell r="A1214">
            <v>3</v>
          </cell>
          <cell r="B1214">
            <v>4821137</v>
          </cell>
          <cell r="C1214">
            <v>482113700</v>
          </cell>
          <cell r="I1214">
            <v>0</v>
          </cell>
          <cell r="J1214">
            <v>0</v>
          </cell>
          <cell r="K1214">
            <v>0</v>
          </cell>
          <cell r="L1214">
            <v>0</v>
          </cell>
          <cell r="M1214">
            <v>0</v>
          </cell>
          <cell r="N1214">
            <v>0</v>
          </cell>
          <cell r="O1214">
            <v>0</v>
          </cell>
          <cell r="P1214">
            <v>0</v>
          </cell>
        </row>
        <row r="1215">
          <cell r="A1215">
            <v>3</v>
          </cell>
          <cell r="B1215">
            <v>4821236</v>
          </cell>
          <cell r="C1215">
            <v>482123600</v>
          </cell>
          <cell r="I1215">
            <v>0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N1215">
            <v>0</v>
          </cell>
          <cell r="O1215">
            <v>0</v>
          </cell>
          <cell r="P1215">
            <v>0</v>
          </cell>
        </row>
        <row r="1216">
          <cell r="A1216">
            <v>3</v>
          </cell>
          <cell r="B1216">
            <v>4821240</v>
          </cell>
          <cell r="C1216">
            <v>482124000</v>
          </cell>
          <cell r="I1216">
            <v>59650</v>
          </cell>
          <cell r="J1216">
            <v>0</v>
          </cell>
          <cell r="K1216">
            <v>0</v>
          </cell>
          <cell r="L1216">
            <v>0</v>
          </cell>
          <cell r="M1216">
            <v>0</v>
          </cell>
          <cell r="N1216">
            <v>0</v>
          </cell>
          <cell r="O1216">
            <v>59650</v>
          </cell>
          <cell r="P1216">
            <v>0</v>
          </cell>
        </row>
        <row r="1217">
          <cell r="A1217">
            <v>3</v>
          </cell>
          <cell r="B1217">
            <v>4821301</v>
          </cell>
          <cell r="C1217">
            <v>482130103</v>
          </cell>
          <cell r="I1217">
            <v>555546</v>
          </cell>
          <cell r="J1217">
            <v>0</v>
          </cell>
          <cell r="K1217">
            <v>0</v>
          </cell>
          <cell r="L1217">
            <v>0</v>
          </cell>
          <cell r="M1217">
            <v>0</v>
          </cell>
          <cell r="N1217">
            <v>0</v>
          </cell>
          <cell r="O1217">
            <v>0</v>
          </cell>
          <cell r="P1217">
            <v>555546</v>
          </cell>
        </row>
        <row r="1218">
          <cell r="A1218">
            <v>3</v>
          </cell>
          <cell r="B1218">
            <v>4821301</v>
          </cell>
          <cell r="C1218">
            <v>482130104</v>
          </cell>
          <cell r="I1218">
            <v>60541484</v>
          </cell>
          <cell r="J1218">
            <v>0</v>
          </cell>
          <cell r="K1218">
            <v>0</v>
          </cell>
          <cell r="L1218">
            <v>0</v>
          </cell>
          <cell r="M1218">
            <v>0</v>
          </cell>
          <cell r="N1218">
            <v>0</v>
          </cell>
          <cell r="O1218">
            <v>0</v>
          </cell>
          <cell r="P1218">
            <v>60541484</v>
          </cell>
        </row>
        <row r="1219">
          <cell r="A1219">
            <v>3</v>
          </cell>
          <cell r="B1219">
            <v>4821301</v>
          </cell>
          <cell r="C1219">
            <v>482130105</v>
          </cell>
          <cell r="I1219">
            <v>135768482</v>
          </cell>
          <cell r="J1219">
            <v>0</v>
          </cell>
          <cell r="K1219">
            <v>0</v>
          </cell>
          <cell r="L1219">
            <v>0</v>
          </cell>
          <cell r="M1219">
            <v>0</v>
          </cell>
          <cell r="N1219">
            <v>0</v>
          </cell>
          <cell r="O1219">
            <v>0</v>
          </cell>
          <cell r="P1219">
            <v>135768482</v>
          </cell>
        </row>
        <row r="1220">
          <cell r="A1220">
            <v>3</v>
          </cell>
          <cell r="B1220">
            <v>4821301</v>
          </cell>
          <cell r="C1220">
            <v>482130107</v>
          </cell>
          <cell r="I1220">
            <v>17689764</v>
          </cell>
          <cell r="J1220">
            <v>0</v>
          </cell>
          <cell r="K1220">
            <v>0</v>
          </cell>
          <cell r="L1220">
            <v>0</v>
          </cell>
          <cell r="M1220">
            <v>0</v>
          </cell>
          <cell r="N1220">
            <v>0</v>
          </cell>
          <cell r="O1220">
            <v>0</v>
          </cell>
          <cell r="P1220">
            <v>17689764</v>
          </cell>
        </row>
        <row r="1221">
          <cell r="A1221">
            <v>3</v>
          </cell>
          <cell r="B1221">
            <v>4821301</v>
          </cell>
          <cell r="C1221">
            <v>482130108</v>
          </cell>
          <cell r="I1221">
            <v>9543665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  <cell r="N1221">
            <v>0</v>
          </cell>
          <cell r="O1221">
            <v>0</v>
          </cell>
          <cell r="P1221">
            <v>9543665</v>
          </cell>
        </row>
        <row r="1222">
          <cell r="A1222">
            <v>3</v>
          </cell>
          <cell r="B1222">
            <v>4821301</v>
          </cell>
          <cell r="C1222">
            <v>482130110</v>
          </cell>
          <cell r="I1222">
            <v>0</v>
          </cell>
          <cell r="J1222">
            <v>0</v>
          </cell>
          <cell r="K1222">
            <v>0</v>
          </cell>
          <cell r="L1222">
            <v>0</v>
          </cell>
          <cell r="M1222">
            <v>0</v>
          </cell>
          <cell r="N1222">
            <v>0</v>
          </cell>
          <cell r="O1222">
            <v>0</v>
          </cell>
          <cell r="P1222">
            <v>0</v>
          </cell>
        </row>
        <row r="1223">
          <cell r="A1223">
            <v>3</v>
          </cell>
          <cell r="B1223">
            <v>4821301</v>
          </cell>
          <cell r="C1223">
            <v>482130120</v>
          </cell>
          <cell r="I1223">
            <v>51782</v>
          </cell>
          <cell r="J1223">
            <v>0</v>
          </cell>
          <cell r="K1223">
            <v>0</v>
          </cell>
          <cell r="L1223">
            <v>0</v>
          </cell>
          <cell r="M1223">
            <v>0</v>
          </cell>
          <cell r="N1223">
            <v>0</v>
          </cell>
          <cell r="O1223">
            <v>0</v>
          </cell>
          <cell r="P1223">
            <v>51782</v>
          </cell>
        </row>
        <row r="1224">
          <cell r="A1224">
            <v>3</v>
          </cell>
          <cell r="B1224">
            <v>4830202</v>
          </cell>
          <cell r="C1224">
            <v>483020200</v>
          </cell>
          <cell r="I1224">
            <v>0</v>
          </cell>
          <cell r="J1224">
            <v>0</v>
          </cell>
          <cell r="K1224">
            <v>0</v>
          </cell>
          <cell r="L1224">
            <v>0</v>
          </cell>
          <cell r="M1224">
            <v>0</v>
          </cell>
          <cell r="N1224">
            <v>0</v>
          </cell>
          <cell r="O1224">
            <v>0</v>
          </cell>
          <cell r="P1224">
            <v>0</v>
          </cell>
        </row>
        <row r="1225">
          <cell r="A1225">
            <v>3</v>
          </cell>
          <cell r="B1225">
            <v>4830404</v>
          </cell>
          <cell r="C1225">
            <v>483040400</v>
          </cell>
          <cell r="I1225">
            <v>41186</v>
          </cell>
          <cell r="J1225">
            <v>0</v>
          </cell>
          <cell r="K1225">
            <v>0</v>
          </cell>
          <cell r="L1225">
            <v>10517</v>
          </cell>
          <cell r="M1225">
            <v>0</v>
          </cell>
          <cell r="N1225">
            <v>30669</v>
          </cell>
          <cell r="O1225">
            <v>0</v>
          </cell>
          <cell r="P1225">
            <v>0</v>
          </cell>
        </row>
        <row r="1226">
          <cell r="A1226">
            <v>3</v>
          </cell>
          <cell r="B1226">
            <v>4830606</v>
          </cell>
          <cell r="C1226">
            <v>483060600</v>
          </cell>
          <cell r="I1226">
            <v>0</v>
          </cell>
          <cell r="J1226">
            <v>0</v>
          </cell>
          <cell r="K1226">
            <v>0</v>
          </cell>
          <cell r="L1226">
            <v>0</v>
          </cell>
          <cell r="M1226">
            <v>0</v>
          </cell>
          <cell r="N1226">
            <v>0</v>
          </cell>
          <cell r="O1226">
            <v>0</v>
          </cell>
          <cell r="P1226">
            <v>0</v>
          </cell>
        </row>
        <row r="1227">
          <cell r="A1227">
            <v>3</v>
          </cell>
          <cell r="B1227">
            <v>4830607</v>
          </cell>
          <cell r="C1227">
            <v>483060700</v>
          </cell>
          <cell r="I1227">
            <v>27547</v>
          </cell>
          <cell r="J1227">
            <v>0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>
            <v>0</v>
          </cell>
          <cell r="P1227">
            <v>27547</v>
          </cell>
        </row>
        <row r="1228">
          <cell r="A1228">
            <v>3</v>
          </cell>
          <cell r="B1228">
            <v>4830608</v>
          </cell>
          <cell r="C1228">
            <v>483060800</v>
          </cell>
          <cell r="I1228">
            <v>0</v>
          </cell>
          <cell r="J1228">
            <v>0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  <cell r="O1228">
            <v>0</v>
          </cell>
          <cell r="P1228">
            <v>0</v>
          </cell>
        </row>
        <row r="1229">
          <cell r="A1229">
            <v>3</v>
          </cell>
          <cell r="B1229">
            <v>4830808</v>
          </cell>
          <cell r="C1229">
            <v>483080800</v>
          </cell>
          <cell r="I1229">
            <v>0</v>
          </cell>
          <cell r="J1229">
            <v>0</v>
          </cell>
          <cell r="K1229">
            <v>0</v>
          </cell>
          <cell r="L1229">
            <v>0</v>
          </cell>
          <cell r="M1229">
            <v>0</v>
          </cell>
          <cell r="N1229">
            <v>0</v>
          </cell>
          <cell r="O1229">
            <v>0</v>
          </cell>
          <cell r="P1229">
            <v>0</v>
          </cell>
        </row>
        <row r="1230">
          <cell r="A1230">
            <v>3</v>
          </cell>
          <cell r="B1230">
            <v>6155069</v>
          </cell>
          <cell r="C1230">
            <v>615506900</v>
          </cell>
          <cell r="I1230">
            <v>0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O1230">
            <v>0</v>
          </cell>
          <cell r="P1230">
            <v>0</v>
          </cell>
        </row>
        <row r="1231">
          <cell r="A1231">
            <v>3</v>
          </cell>
          <cell r="B1231">
            <v>6155075</v>
          </cell>
          <cell r="C1231">
            <v>615507583</v>
          </cell>
          <cell r="I1231">
            <v>0</v>
          </cell>
          <cell r="J1231">
            <v>0</v>
          </cell>
          <cell r="K1231">
            <v>0</v>
          </cell>
          <cell r="L1231">
            <v>0</v>
          </cell>
          <cell r="M1231">
            <v>0</v>
          </cell>
          <cell r="N1231">
            <v>0</v>
          </cell>
          <cell r="O1231">
            <v>0</v>
          </cell>
          <cell r="P1231">
            <v>0</v>
          </cell>
        </row>
        <row r="1232">
          <cell r="A1232">
            <v>3</v>
          </cell>
          <cell r="B1232">
            <v>6155075</v>
          </cell>
          <cell r="C1232">
            <v>615507585</v>
          </cell>
          <cell r="I1232">
            <v>0</v>
          </cell>
          <cell r="J1232">
            <v>0</v>
          </cell>
          <cell r="K1232">
            <v>0</v>
          </cell>
          <cell r="L1232">
            <v>0</v>
          </cell>
          <cell r="M1232">
            <v>0</v>
          </cell>
          <cell r="N1232">
            <v>0</v>
          </cell>
          <cell r="O1232">
            <v>0</v>
          </cell>
          <cell r="P1232">
            <v>0</v>
          </cell>
        </row>
        <row r="1233">
          <cell r="A1233">
            <v>3</v>
          </cell>
          <cell r="B1233">
            <v>6155075</v>
          </cell>
          <cell r="C1233">
            <v>615507586</v>
          </cell>
          <cell r="I1233">
            <v>0</v>
          </cell>
          <cell r="J1233">
            <v>0</v>
          </cell>
          <cell r="K1233">
            <v>0</v>
          </cell>
          <cell r="L1233">
            <v>0</v>
          </cell>
          <cell r="M1233">
            <v>0</v>
          </cell>
          <cell r="N1233">
            <v>0</v>
          </cell>
          <cell r="O1233">
            <v>0</v>
          </cell>
          <cell r="P1233">
            <v>0</v>
          </cell>
        </row>
        <row r="1234">
          <cell r="A1234">
            <v>3</v>
          </cell>
          <cell r="B1234">
            <v>6155301</v>
          </cell>
          <cell r="C1234">
            <v>615530102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</row>
        <row r="1235">
          <cell r="A1235">
            <v>3</v>
          </cell>
          <cell r="B1235">
            <v>6155301</v>
          </cell>
          <cell r="C1235">
            <v>615530103</v>
          </cell>
          <cell r="I1235">
            <v>0</v>
          </cell>
          <cell r="J1235">
            <v>0</v>
          </cell>
          <cell r="K1235">
            <v>0</v>
          </cell>
          <cell r="L1235">
            <v>0</v>
          </cell>
          <cell r="M1235">
            <v>0</v>
          </cell>
          <cell r="N1235">
            <v>0</v>
          </cell>
          <cell r="O1235">
            <v>0</v>
          </cell>
          <cell r="P1235">
            <v>0</v>
          </cell>
        </row>
        <row r="1236">
          <cell r="A1236">
            <v>3</v>
          </cell>
          <cell r="B1236">
            <v>6155301</v>
          </cell>
          <cell r="C1236">
            <v>615530104</v>
          </cell>
          <cell r="I1236">
            <v>0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>
            <v>0</v>
          </cell>
          <cell r="P1236">
            <v>0</v>
          </cell>
        </row>
        <row r="1237">
          <cell r="A1237">
            <v>3</v>
          </cell>
          <cell r="B1237">
            <v>6155301</v>
          </cell>
          <cell r="C1237">
            <v>615530105</v>
          </cell>
          <cell r="I1237">
            <v>0</v>
          </cell>
          <cell r="J1237">
            <v>0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O1237">
            <v>0</v>
          </cell>
          <cell r="P1237">
            <v>0</v>
          </cell>
        </row>
        <row r="1238">
          <cell r="A1238">
            <v>3</v>
          </cell>
          <cell r="B1238">
            <v>6155302</v>
          </cell>
          <cell r="C1238">
            <v>615530202</v>
          </cell>
          <cell r="I1238">
            <v>3978000</v>
          </cell>
          <cell r="J1238">
            <v>0</v>
          </cell>
          <cell r="K1238">
            <v>0</v>
          </cell>
          <cell r="L1238">
            <v>0</v>
          </cell>
          <cell r="M1238">
            <v>0</v>
          </cell>
          <cell r="N1238">
            <v>0</v>
          </cell>
          <cell r="O1238">
            <v>0</v>
          </cell>
          <cell r="P1238">
            <v>3978000</v>
          </cell>
        </row>
        <row r="1239">
          <cell r="A1239">
            <v>3</v>
          </cell>
          <cell r="B1239">
            <v>6155303</v>
          </cell>
          <cell r="C1239">
            <v>615530301</v>
          </cell>
          <cell r="I1239">
            <v>397800</v>
          </cell>
          <cell r="J1239">
            <v>0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O1239">
            <v>0</v>
          </cell>
          <cell r="P1239">
            <v>397800</v>
          </cell>
        </row>
        <row r="1240">
          <cell r="A1240">
            <v>3</v>
          </cell>
          <cell r="B1240">
            <v>6155303</v>
          </cell>
          <cell r="C1240">
            <v>615530302</v>
          </cell>
          <cell r="I1240">
            <v>0</v>
          </cell>
          <cell r="J1240">
            <v>0</v>
          </cell>
          <cell r="K1240">
            <v>0</v>
          </cell>
          <cell r="L1240">
            <v>0</v>
          </cell>
          <cell r="M1240">
            <v>0</v>
          </cell>
          <cell r="N1240">
            <v>0</v>
          </cell>
          <cell r="O1240">
            <v>0</v>
          </cell>
          <cell r="P1240">
            <v>0</v>
          </cell>
        </row>
        <row r="1241">
          <cell r="A1241">
            <v>3</v>
          </cell>
          <cell r="B1241">
            <v>6155303</v>
          </cell>
          <cell r="C1241">
            <v>615530303</v>
          </cell>
          <cell r="I1241">
            <v>1722969</v>
          </cell>
          <cell r="J1241">
            <v>0</v>
          </cell>
          <cell r="K1241">
            <v>0</v>
          </cell>
          <cell r="L1241">
            <v>0</v>
          </cell>
          <cell r="M1241">
            <v>0</v>
          </cell>
          <cell r="N1241">
            <v>0</v>
          </cell>
          <cell r="O1241">
            <v>0</v>
          </cell>
          <cell r="P1241">
            <v>1722969</v>
          </cell>
        </row>
        <row r="1242">
          <cell r="A1242">
            <v>3</v>
          </cell>
          <cell r="B1242">
            <v>6155303</v>
          </cell>
          <cell r="C1242">
            <v>615530304</v>
          </cell>
          <cell r="I1242">
            <v>242040</v>
          </cell>
          <cell r="J1242">
            <v>0</v>
          </cell>
          <cell r="K1242">
            <v>0</v>
          </cell>
          <cell r="L1242">
            <v>0</v>
          </cell>
          <cell r="M1242">
            <v>0</v>
          </cell>
          <cell r="N1242">
            <v>242040</v>
          </cell>
          <cell r="O1242">
            <v>0</v>
          </cell>
          <cell r="P1242">
            <v>0</v>
          </cell>
        </row>
        <row r="1243">
          <cell r="A1243">
            <v>3</v>
          </cell>
          <cell r="B1243">
            <v>6155303</v>
          </cell>
          <cell r="C1243">
            <v>615530305</v>
          </cell>
          <cell r="I1243">
            <v>0</v>
          </cell>
          <cell r="J1243">
            <v>0</v>
          </cell>
          <cell r="K1243">
            <v>0</v>
          </cell>
          <cell r="L1243">
            <v>0</v>
          </cell>
          <cell r="M1243">
            <v>0</v>
          </cell>
          <cell r="N1243">
            <v>0</v>
          </cell>
          <cell r="O1243">
            <v>0</v>
          </cell>
          <cell r="P1243">
            <v>0</v>
          </cell>
        </row>
        <row r="1244">
          <cell r="A1244">
            <v>3</v>
          </cell>
          <cell r="B1244">
            <v>6155303</v>
          </cell>
          <cell r="C1244">
            <v>615530306</v>
          </cell>
          <cell r="I1244">
            <v>0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  <cell r="O1244">
            <v>0</v>
          </cell>
          <cell r="P1244">
            <v>0</v>
          </cell>
        </row>
        <row r="1245">
          <cell r="A1245">
            <v>3</v>
          </cell>
          <cell r="B1245">
            <v>6155303</v>
          </cell>
          <cell r="C1245">
            <v>615530307</v>
          </cell>
          <cell r="I1245">
            <v>0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O1245">
            <v>0</v>
          </cell>
          <cell r="P1245">
            <v>0</v>
          </cell>
        </row>
        <row r="1246">
          <cell r="A1246">
            <v>3</v>
          </cell>
          <cell r="B1246">
            <v>6155303</v>
          </cell>
          <cell r="C1246">
            <v>615530310</v>
          </cell>
          <cell r="I1246">
            <v>631575</v>
          </cell>
          <cell r="J1246">
            <v>0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O1246">
            <v>0</v>
          </cell>
          <cell r="P1246">
            <v>631575</v>
          </cell>
        </row>
        <row r="1247">
          <cell r="A1247">
            <v>3</v>
          </cell>
          <cell r="B1247">
            <v>6155303</v>
          </cell>
          <cell r="C1247">
            <v>615530311</v>
          </cell>
          <cell r="I1247">
            <v>0</v>
          </cell>
          <cell r="J1247">
            <v>0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</row>
        <row r="1248">
          <cell r="A1248">
            <v>3</v>
          </cell>
          <cell r="B1248">
            <v>6155303</v>
          </cell>
          <cell r="C1248">
            <v>615530314</v>
          </cell>
          <cell r="I1248">
            <v>0</v>
          </cell>
          <cell r="J1248">
            <v>0</v>
          </cell>
          <cell r="K1248">
            <v>0</v>
          </cell>
          <cell r="L1248">
            <v>0</v>
          </cell>
          <cell r="M1248">
            <v>0</v>
          </cell>
          <cell r="N1248">
            <v>0</v>
          </cell>
          <cell r="O1248">
            <v>0</v>
          </cell>
          <cell r="P1248">
            <v>0</v>
          </cell>
        </row>
        <row r="1249">
          <cell r="A1249">
            <v>3</v>
          </cell>
          <cell r="B1249">
            <v>6155303</v>
          </cell>
          <cell r="C1249">
            <v>615530315</v>
          </cell>
          <cell r="I1249">
            <v>0</v>
          </cell>
          <cell r="J1249">
            <v>0</v>
          </cell>
          <cell r="K1249">
            <v>0</v>
          </cell>
          <cell r="L1249">
            <v>0</v>
          </cell>
          <cell r="M1249">
            <v>0</v>
          </cell>
          <cell r="N1249">
            <v>0</v>
          </cell>
          <cell r="O1249">
            <v>0</v>
          </cell>
          <cell r="P1249">
            <v>0</v>
          </cell>
        </row>
        <row r="1250">
          <cell r="A1250">
            <v>3</v>
          </cell>
          <cell r="B1250">
            <v>6155303</v>
          </cell>
          <cell r="C1250">
            <v>615530316</v>
          </cell>
          <cell r="I1250">
            <v>0</v>
          </cell>
          <cell r="J1250">
            <v>0</v>
          </cell>
          <cell r="K1250">
            <v>0</v>
          </cell>
          <cell r="L1250">
            <v>0</v>
          </cell>
          <cell r="M1250">
            <v>0</v>
          </cell>
          <cell r="N1250">
            <v>0</v>
          </cell>
          <cell r="O1250">
            <v>0</v>
          </cell>
          <cell r="P1250">
            <v>0</v>
          </cell>
        </row>
        <row r="1251">
          <cell r="A1251">
            <v>3</v>
          </cell>
          <cell r="B1251">
            <v>6155303</v>
          </cell>
          <cell r="C1251">
            <v>615530319</v>
          </cell>
          <cell r="I1251">
            <v>0</v>
          </cell>
          <cell r="J1251">
            <v>0</v>
          </cell>
          <cell r="K1251">
            <v>0</v>
          </cell>
          <cell r="L1251">
            <v>0</v>
          </cell>
          <cell r="M1251">
            <v>0</v>
          </cell>
          <cell r="N1251">
            <v>0</v>
          </cell>
          <cell r="O1251">
            <v>0</v>
          </cell>
          <cell r="P1251">
            <v>0</v>
          </cell>
        </row>
        <row r="1252">
          <cell r="A1252">
            <v>3</v>
          </cell>
          <cell r="B1252">
            <v>6155304</v>
          </cell>
          <cell r="C1252">
            <v>615530401</v>
          </cell>
          <cell r="I1252">
            <v>1040529</v>
          </cell>
          <cell r="J1252">
            <v>0</v>
          </cell>
          <cell r="K1252">
            <v>0</v>
          </cell>
          <cell r="L1252">
            <v>0</v>
          </cell>
          <cell r="M1252">
            <v>0</v>
          </cell>
          <cell r="N1252">
            <v>0</v>
          </cell>
          <cell r="O1252">
            <v>1040529</v>
          </cell>
          <cell r="P1252">
            <v>0</v>
          </cell>
        </row>
        <row r="1253">
          <cell r="A1253">
            <v>3</v>
          </cell>
          <cell r="B1253">
            <v>6155304</v>
          </cell>
          <cell r="C1253">
            <v>615530402</v>
          </cell>
          <cell r="I1253">
            <v>5964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>
            <v>0</v>
          </cell>
          <cell r="P1253">
            <v>5964</v>
          </cell>
        </row>
        <row r="1254">
          <cell r="A1254">
            <v>3</v>
          </cell>
          <cell r="B1254">
            <v>6155304</v>
          </cell>
          <cell r="C1254">
            <v>615530403</v>
          </cell>
          <cell r="I1254">
            <v>0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O1254">
            <v>0</v>
          </cell>
          <cell r="P1254">
            <v>0</v>
          </cell>
        </row>
        <row r="1255">
          <cell r="A1255">
            <v>3</v>
          </cell>
          <cell r="B1255">
            <v>6155304</v>
          </cell>
          <cell r="C1255">
            <v>615530405</v>
          </cell>
          <cell r="I1255">
            <v>0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O1255">
            <v>0</v>
          </cell>
          <cell r="P1255">
            <v>0</v>
          </cell>
        </row>
        <row r="1256">
          <cell r="A1256">
            <v>3</v>
          </cell>
          <cell r="B1256">
            <v>6155304</v>
          </cell>
          <cell r="C1256">
            <v>615530406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</row>
        <row r="1257">
          <cell r="A1257">
            <v>3</v>
          </cell>
          <cell r="B1257">
            <v>6155304</v>
          </cell>
          <cell r="C1257">
            <v>615530407</v>
          </cell>
          <cell r="I1257">
            <v>0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  <cell r="N1257">
            <v>0</v>
          </cell>
          <cell r="O1257">
            <v>0</v>
          </cell>
          <cell r="P1257">
            <v>0</v>
          </cell>
        </row>
        <row r="1258">
          <cell r="A1258">
            <v>3</v>
          </cell>
          <cell r="B1258">
            <v>6155304</v>
          </cell>
          <cell r="C1258">
            <v>615530408</v>
          </cell>
          <cell r="I1258">
            <v>0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</row>
        <row r="1259">
          <cell r="A1259">
            <v>3</v>
          </cell>
          <cell r="B1259">
            <v>6155304</v>
          </cell>
          <cell r="C1259">
            <v>615530410</v>
          </cell>
          <cell r="I1259">
            <v>395370</v>
          </cell>
          <cell r="J1259">
            <v>0</v>
          </cell>
          <cell r="K1259">
            <v>0</v>
          </cell>
          <cell r="L1259">
            <v>0</v>
          </cell>
          <cell r="M1259">
            <v>0</v>
          </cell>
          <cell r="N1259">
            <v>0</v>
          </cell>
          <cell r="O1259">
            <v>395370</v>
          </cell>
          <cell r="P1259">
            <v>0</v>
          </cell>
        </row>
        <row r="1260">
          <cell r="A1260">
            <v>3</v>
          </cell>
          <cell r="B1260">
            <v>6155304</v>
          </cell>
          <cell r="C1260">
            <v>615530411</v>
          </cell>
          <cell r="I1260">
            <v>0</v>
          </cell>
          <cell r="J1260">
            <v>0</v>
          </cell>
          <cell r="K1260">
            <v>0</v>
          </cell>
          <cell r="L1260">
            <v>0</v>
          </cell>
          <cell r="M1260">
            <v>0</v>
          </cell>
          <cell r="N1260">
            <v>0</v>
          </cell>
          <cell r="O1260">
            <v>0</v>
          </cell>
          <cell r="P1260">
            <v>0</v>
          </cell>
        </row>
        <row r="1261">
          <cell r="A1261">
            <v>3</v>
          </cell>
          <cell r="B1261">
            <v>6155305</v>
          </cell>
          <cell r="C1261">
            <v>615530500</v>
          </cell>
          <cell r="I1261">
            <v>0</v>
          </cell>
          <cell r="J1261">
            <v>0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  <cell r="O1261">
            <v>0</v>
          </cell>
          <cell r="P1261">
            <v>0</v>
          </cell>
        </row>
        <row r="1262">
          <cell r="A1262">
            <v>3</v>
          </cell>
          <cell r="B1262">
            <v>6155307</v>
          </cell>
          <cell r="C1262">
            <v>615530700</v>
          </cell>
          <cell r="I1262">
            <v>0</v>
          </cell>
          <cell r="J1262">
            <v>0</v>
          </cell>
          <cell r="K1262">
            <v>0</v>
          </cell>
          <cell r="L1262">
            <v>0</v>
          </cell>
          <cell r="M1262">
            <v>0</v>
          </cell>
          <cell r="N1262">
            <v>0</v>
          </cell>
          <cell r="O1262">
            <v>0</v>
          </cell>
          <cell r="P1262">
            <v>0</v>
          </cell>
        </row>
        <row r="1263">
          <cell r="A1263">
            <v>3</v>
          </cell>
          <cell r="B1263">
            <v>6155308</v>
          </cell>
          <cell r="C1263">
            <v>615530800</v>
          </cell>
          <cell r="I1263">
            <v>798400</v>
          </cell>
          <cell r="J1263">
            <v>0</v>
          </cell>
          <cell r="K1263">
            <v>0</v>
          </cell>
          <cell r="L1263">
            <v>0</v>
          </cell>
          <cell r="M1263">
            <v>0</v>
          </cell>
          <cell r="N1263">
            <v>0</v>
          </cell>
          <cell r="O1263">
            <v>0</v>
          </cell>
          <cell r="P1263">
            <v>798400</v>
          </cell>
        </row>
        <row r="1264">
          <cell r="A1264">
            <v>3</v>
          </cell>
          <cell r="B1264">
            <v>6155310</v>
          </cell>
          <cell r="C1264">
            <v>615531001</v>
          </cell>
          <cell r="I1264">
            <v>0</v>
          </cell>
          <cell r="J1264">
            <v>0</v>
          </cell>
          <cell r="K1264">
            <v>0</v>
          </cell>
          <cell r="L1264">
            <v>0</v>
          </cell>
          <cell r="M1264">
            <v>0</v>
          </cell>
          <cell r="N1264">
            <v>0</v>
          </cell>
          <cell r="O1264">
            <v>0</v>
          </cell>
          <cell r="P1264">
            <v>0</v>
          </cell>
        </row>
        <row r="1265">
          <cell r="A1265">
            <v>3</v>
          </cell>
          <cell r="B1265">
            <v>6155310</v>
          </cell>
          <cell r="C1265">
            <v>615531002</v>
          </cell>
          <cell r="I1265">
            <v>0</v>
          </cell>
          <cell r="J1265">
            <v>0</v>
          </cell>
          <cell r="K1265">
            <v>0</v>
          </cell>
          <cell r="L1265">
            <v>0</v>
          </cell>
          <cell r="M1265">
            <v>0</v>
          </cell>
          <cell r="N1265">
            <v>0</v>
          </cell>
          <cell r="O1265">
            <v>0</v>
          </cell>
          <cell r="P1265">
            <v>0</v>
          </cell>
        </row>
        <row r="1266">
          <cell r="A1266">
            <v>3</v>
          </cell>
          <cell r="B1266">
            <v>6155310</v>
          </cell>
          <cell r="C1266">
            <v>615531003</v>
          </cell>
          <cell r="I1266">
            <v>0</v>
          </cell>
          <cell r="J1266">
            <v>0</v>
          </cell>
          <cell r="K1266">
            <v>0</v>
          </cell>
          <cell r="L1266">
            <v>0</v>
          </cell>
          <cell r="M1266">
            <v>0</v>
          </cell>
          <cell r="N1266">
            <v>0</v>
          </cell>
          <cell r="O1266">
            <v>0</v>
          </cell>
          <cell r="P1266">
            <v>0</v>
          </cell>
        </row>
        <row r="1267">
          <cell r="A1267">
            <v>3</v>
          </cell>
          <cell r="B1267">
            <v>6155313</v>
          </cell>
          <cell r="C1267">
            <v>615531300</v>
          </cell>
          <cell r="I1267">
            <v>276770</v>
          </cell>
          <cell r="J1267">
            <v>0</v>
          </cell>
          <cell r="K1267">
            <v>0</v>
          </cell>
          <cell r="L1267">
            <v>0</v>
          </cell>
          <cell r="M1267">
            <v>0</v>
          </cell>
          <cell r="N1267">
            <v>276770</v>
          </cell>
          <cell r="O1267">
            <v>0</v>
          </cell>
          <cell r="P1267">
            <v>0</v>
          </cell>
        </row>
        <row r="1268">
          <cell r="A1268">
            <v>3</v>
          </cell>
          <cell r="B1268">
            <v>6155314</v>
          </cell>
          <cell r="C1268">
            <v>615531400</v>
          </cell>
          <cell r="I1268">
            <v>134790</v>
          </cell>
          <cell r="J1268">
            <v>0</v>
          </cell>
          <cell r="K1268">
            <v>0</v>
          </cell>
          <cell r="L1268">
            <v>0</v>
          </cell>
          <cell r="M1268">
            <v>0</v>
          </cell>
          <cell r="N1268">
            <v>134790</v>
          </cell>
          <cell r="O1268">
            <v>0</v>
          </cell>
          <cell r="P1268">
            <v>0</v>
          </cell>
        </row>
        <row r="1269">
          <cell r="A1269">
            <v>3</v>
          </cell>
          <cell r="B1269">
            <v>6155315</v>
          </cell>
          <cell r="C1269">
            <v>615531500</v>
          </cell>
          <cell r="I1269">
            <v>0</v>
          </cell>
          <cell r="J1269">
            <v>0</v>
          </cell>
          <cell r="K1269">
            <v>0</v>
          </cell>
          <cell r="L1269">
            <v>0</v>
          </cell>
          <cell r="M1269">
            <v>0</v>
          </cell>
          <cell r="N1269">
            <v>0</v>
          </cell>
          <cell r="O1269">
            <v>0</v>
          </cell>
          <cell r="P1269">
            <v>0</v>
          </cell>
        </row>
        <row r="1270">
          <cell r="A1270">
            <v>3</v>
          </cell>
          <cell r="B1270">
            <v>6155317</v>
          </cell>
          <cell r="C1270">
            <v>615531700</v>
          </cell>
          <cell r="I1270">
            <v>33182</v>
          </cell>
          <cell r="J1270">
            <v>0</v>
          </cell>
          <cell r="K1270">
            <v>0</v>
          </cell>
          <cell r="L1270">
            <v>0</v>
          </cell>
          <cell r="M1270">
            <v>0</v>
          </cell>
          <cell r="N1270">
            <v>33182</v>
          </cell>
          <cell r="O1270">
            <v>0</v>
          </cell>
          <cell r="P1270">
            <v>0</v>
          </cell>
        </row>
        <row r="1271">
          <cell r="A1271">
            <v>3</v>
          </cell>
          <cell r="B1271">
            <v>6155319</v>
          </cell>
          <cell r="C1271">
            <v>615531900</v>
          </cell>
          <cell r="I1271">
            <v>4061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  <cell r="N1271">
            <v>461</v>
          </cell>
          <cell r="O1271">
            <v>3600</v>
          </cell>
          <cell r="P1271">
            <v>0</v>
          </cell>
        </row>
        <row r="1272">
          <cell r="A1272">
            <v>3</v>
          </cell>
          <cell r="B1272">
            <v>6155320</v>
          </cell>
          <cell r="C1272">
            <v>615532000</v>
          </cell>
          <cell r="I1272">
            <v>0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  <cell r="N1272">
            <v>0</v>
          </cell>
          <cell r="O1272">
            <v>0</v>
          </cell>
          <cell r="P1272">
            <v>0</v>
          </cell>
        </row>
        <row r="1273">
          <cell r="A1273">
            <v>3</v>
          </cell>
          <cell r="B1273">
            <v>6155321</v>
          </cell>
          <cell r="C1273">
            <v>615532100</v>
          </cell>
          <cell r="I1273">
            <v>7072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  <cell r="N1273">
            <v>7072</v>
          </cell>
          <cell r="O1273">
            <v>0</v>
          </cell>
          <cell r="P1273">
            <v>0</v>
          </cell>
        </row>
        <row r="1274">
          <cell r="A1274">
            <v>3</v>
          </cell>
          <cell r="B1274">
            <v>6155323</v>
          </cell>
          <cell r="C1274">
            <v>615532300</v>
          </cell>
          <cell r="I1274">
            <v>131873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  <cell r="N1274">
            <v>131873</v>
          </cell>
          <cell r="O1274">
            <v>0</v>
          </cell>
          <cell r="P1274">
            <v>0</v>
          </cell>
        </row>
        <row r="1275">
          <cell r="A1275">
            <v>3</v>
          </cell>
          <cell r="B1275">
            <v>6155324</v>
          </cell>
          <cell r="C1275">
            <v>615532400</v>
          </cell>
          <cell r="I1275">
            <v>0</v>
          </cell>
          <cell r="J1275">
            <v>0</v>
          </cell>
          <cell r="K1275">
            <v>0</v>
          </cell>
          <cell r="L1275">
            <v>0</v>
          </cell>
          <cell r="M1275">
            <v>0</v>
          </cell>
          <cell r="N1275">
            <v>0</v>
          </cell>
          <cell r="O1275">
            <v>0</v>
          </cell>
          <cell r="P1275">
            <v>0</v>
          </cell>
        </row>
        <row r="1276">
          <cell r="A1276">
            <v>3</v>
          </cell>
          <cell r="B1276">
            <v>6155331</v>
          </cell>
          <cell r="C1276">
            <v>615533100</v>
          </cell>
          <cell r="I1276">
            <v>0</v>
          </cell>
          <cell r="J1276">
            <v>0</v>
          </cell>
          <cell r="K1276">
            <v>0</v>
          </cell>
          <cell r="L1276">
            <v>0</v>
          </cell>
          <cell r="M1276">
            <v>0</v>
          </cell>
          <cell r="N1276">
            <v>0</v>
          </cell>
          <cell r="O1276">
            <v>0</v>
          </cell>
          <cell r="P1276">
            <v>0</v>
          </cell>
        </row>
        <row r="1277">
          <cell r="A1277">
            <v>3</v>
          </cell>
          <cell r="B1277">
            <v>6155337</v>
          </cell>
          <cell r="C1277">
            <v>615533700</v>
          </cell>
          <cell r="I1277">
            <v>0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  <cell r="N1277">
            <v>0</v>
          </cell>
          <cell r="O1277">
            <v>0</v>
          </cell>
          <cell r="P1277">
            <v>0</v>
          </cell>
        </row>
        <row r="1278">
          <cell r="A1278">
            <v>3</v>
          </cell>
          <cell r="B1278">
            <v>6155339</v>
          </cell>
          <cell r="C1278">
            <v>615533900</v>
          </cell>
          <cell r="I1278">
            <v>76260</v>
          </cell>
          <cell r="J1278">
            <v>0</v>
          </cell>
          <cell r="K1278">
            <v>0</v>
          </cell>
          <cell r="L1278">
            <v>0</v>
          </cell>
          <cell r="M1278">
            <v>0</v>
          </cell>
          <cell r="N1278">
            <v>0</v>
          </cell>
          <cell r="O1278">
            <v>76260</v>
          </cell>
          <cell r="P1278">
            <v>0</v>
          </cell>
        </row>
        <row r="1279">
          <cell r="A1279">
            <v>3</v>
          </cell>
          <cell r="B1279">
            <v>6155340</v>
          </cell>
          <cell r="C1279">
            <v>615534000</v>
          </cell>
          <cell r="I1279">
            <v>49407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49407</v>
          </cell>
        </row>
        <row r="1280">
          <cell r="A1280">
            <v>3</v>
          </cell>
          <cell r="B1280">
            <v>6155341</v>
          </cell>
          <cell r="C1280">
            <v>615534100</v>
          </cell>
          <cell r="I1280">
            <v>0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N1280">
            <v>0</v>
          </cell>
          <cell r="O1280">
            <v>0</v>
          </cell>
          <cell r="P1280">
            <v>0</v>
          </cell>
        </row>
        <row r="1281">
          <cell r="A1281">
            <v>3</v>
          </cell>
          <cell r="B1281">
            <v>6155365</v>
          </cell>
          <cell r="C1281">
            <v>615536500</v>
          </cell>
          <cell r="I1281">
            <v>0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  <cell r="N1281">
            <v>0</v>
          </cell>
          <cell r="O1281">
            <v>0</v>
          </cell>
          <cell r="P1281">
            <v>0</v>
          </cell>
        </row>
        <row r="1282">
          <cell r="A1282">
            <v>3</v>
          </cell>
          <cell r="B1282">
            <v>6155369</v>
          </cell>
          <cell r="C1282">
            <v>615536900</v>
          </cell>
          <cell r="I1282">
            <v>0</v>
          </cell>
          <cell r="J1282">
            <v>0</v>
          </cell>
          <cell r="K1282">
            <v>0</v>
          </cell>
          <cell r="L1282">
            <v>0</v>
          </cell>
          <cell r="M1282">
            <v>0</v>
          </cell>
          <cell r="N1282">
            <v>0</v>
          </cell>
          <cell r="O1282">
            <v>0</v>
          </cell>
          <cell r="P1282">
            <v>0</v>
          </cell>
        </row>
        <row r="1283">
          <cell r="A1283">
            <v>3</v>
          </cell>
          <cell r="B1283">
            <v>6155370</v>
          </cell>
          <cell r="C1283">
            <v>615537000</v>
          </cell>
          <cell r="I1283">
            <v>0</v>
          </cell>
          <cell r="J1283">
            <v>0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O1283">
            <v>0</v>
          </cell>
          <cell r="P1283">
            <v>0</v>
          </cell>
        </row>
        <row r="1284">
          <cell r="A1284">
            <v>3</v>
          </cell>
          <cell r="B1284">
            <v>6155371</v>
          </cell>
          <cell r="C1284">
            <v>615537100</v>
          </cell>
          <cell r="I1284">
            <v>0</v>
          </cell>
          <cell r="J1284">
            <v>0</v>
          </cell>
          <cell r="K1284">
            <v>0</v>
          </cell>
          <cell r="L1284">
            <v>0</v>
          </cell>
          <cell r="M1284">
            <v>0</v>
          </cell>
          <cell r="N1284">
            <v>0</v>
          </cell>
          <cell r="O1284">
            <v>0</v>
          </cell>
          <cell r="P1284">
            <v>0</v>
          </cell>
        </row>
        <row r="1285">
          <cell r="A1285">
            <v>3</v>
          </cell>
          <cell r="B1285">
            <v>6155372</v>
          </cell>
          <cell r="C1285">
            <v>615537200</v>
          </cell>
          <cell r="I1285">
            <v>0</v>
          </cell>
          <cell r="J1285">
            <v>0</v>
          </cell>
          <cell r="K1285">
            <v>0</v>
          </cell>
          <cell r="L1285">
            <v>0</v>
          </cell>
          <cell r="M1285">
            <v>0</v>
          </cell>
          <cell r="N1285">
            <v>0</v>
          </cell>
          <cell r="O1285">
            <v>0</v>
          </cell>
          <cell r="P1285">
            <v>0</v>
          </cell>
        </row>
        <row r="1286">
          <cell r="A1286">
            <v>3</v>
          </cell>
          <cell r="B1286">
            <v>6155373</v>
          </cell>
          <cell r="C1286">
            <v>615537300</v>
          </cell>
          <cell r="I1286">
            <v>0</v>
          </cell>
          <cell r="J1286">
            <v>0</v>
          </cell>
          <cell r="K1286">
            <v>0</v>
          </cell>
          <cell r="L1286">
            <v>0</v>
          </cell>
          <cell r="M1286">
            <v>0</v>
          </cell>
          <cell r="N1286">
            <v>0</v>
          </cell>
          <cell r="O1286">
            <v>0</v>
          </cell>
          <cell r="P1286">
            <v>0</v>
          </cell>
        </row>
        <row r="1287">
          <cell r="A1287">
            <v>3</v>
          </cell>
          <cell r="B1287">
            <v>6155374</v>
          </cell>
          <cell r="C1287">
            <v>615537400</v>
          </cell>
          <cell r="I1287">
            <v>0</v>
          </cell>
          <cell r="J1287">
            <v>0</v>
          </cell>
          <cell r="K1287">
            <v>0</v>
          </cell>
          <cell r="L1287">
            <v>0</v>
          </cell>
          <cell r="M1287">
            <v>0</v>
          </cell>
          <cell r="N1287">
            <v>0</v>
          </cell>
          <cell r="O1287">
            <v>0</v>
          </cell>
          <cell r="P1287">
            <v>0</v>
          </cell>
        </row>
        <row r="1288">
          <cell r="A1288">
            <v>3</v>
          </cell>
          <cell r="B1288">
            <v>6155375</v>
          </cell>
          <cell r="C1288">
            <v>615537583</v>
          </cell>
          <cell r="I1288">
            <v>122037821</v>
          </cell>
          <cell r="J1288">
            <v>0</v>
          </cell>
          <cell r="K1288">
            <v>0</v>
          </cell>
          <cell r="L1288">
            <v>0</v>
          </cell>
          <cell r="M1288">
            <v>0</v>
          </cell>
          <cell r="N1288">
            <v>122037821</v>
          </cell>
          <cell r="O1288">
            <v>0</v>
          </cell>
          <cell r="P1288">
            <v>0</v>
          </cell>
        </row>
        <row r="1289">
          <cell r="A1289">
            <v>3</v>
          </cell>
          <cell r="B1289">
            <v>6155375</v>
          </cell>
          <cell r="C1289">
            <v>615537584</v>
          </cell>
          <cell r="I1289">
            <v>0</v>
          </cell>
          <cell r="J1289">
            <v>0</v>
          </cell>
          <cell r="K1289">
            <v>0</v>
          </cell>
          <cell r="L1289">
            <v>0</v>
          </cell>
          <cell r="M1289">
            <v>0</v>
          </cell>
          <cell r="N1289">
            <v>0</v>
          </cell>
          <cell r="O1289">
            <v>0</v>
          </cell>
          <cell r="P1289">
            <v>0</v>
          </cell>
        </row>
        <row r="1290">
          <cell r="A1290">
            <v>3</v>
          </cell>
          <cell r="B1290">
            <v>6155375</v>
          </cell>
          <cell r="C1290">
            <v>615537585</v>
          </cell>
          <cell r="I1290">
            <v>10447900</v>
          </cell>
          <cell r="J1290">
            <v>0</v>
          </cell>
          <cell r="K1290">
            <v>0</v>
          </cell>
          <cell r="L1290">
            <v>0</v>
          </cell>
          <cell r="M1290">
            <v>0</v>
          </cell>
          <cell r="N1290">
            <v>10447900</v>
          </cell>
          <cell r="O1290">
            <v>0</v>
          </cell>
          <cell r="P1290">
            <v>0</v>
          </cell>
        </row>
        <row r="1291">
          <cell r="A1291">
            <v>3</v>
          </cell>
          <cell r="B1291">
            <v>6155375</v>
          </cell>
          <cell r="C1291">
            <v>615537586</v>
          </cell>
          <cell r="I1291">
            <v>3268100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3268100</v>
          </cell>
          <cell r="O1291">
            <v>0</v>
          </cell>
          <cell r="P1291">
            <v>0</v>
          </cell>
        </row>
        <row r="1292">
          <cell r="A1292">
            <v>3</v>
          </cell>
          <cell r="B1292">
            <v>6155375</v>
          </cell>
          <cell r="C1292">
            <v>615537587</v>
          </cell>
          <cell r="I1292">
            <v>0</v>
          </cell>
          <cell r="J1292">
            <v>0</v>
          </cell>
          <cell r="K1292">
            <v>0</v>
          </cell>
          <cell r="L1292">
            <v>0</v>
          </cell>
          <cell r="M1292">
            <v>0</v>
          </cell>
          <cell r="N1292">
            <v>0</v>
          </cell>
          <cell r="O1292">
            <v>0</v>
          </cell>
          <cell r="P1292">
            <v>0</v>
          </cell>
        </row>
        <row r="1293">
          <cell r="A1293">
            <v>3</v>
          </cell>
          <cell r="B1293">
            <v>6155375</v>
          </cell>
          <cell r="C1293">
            <v>615537588</v>
          </cell>
          <cell r="I1293">
            <v>426920</v>
          </cell>
          <cell r="J1293">
            <v>0</v>
          </cell>
          <cell r="K1293">
            <v>0</v>
          </cell>
          <cell r="L1293">
            <v>0</v>
          </cell>
          <cell r="M1293">
            <v>0</v>
          </cell>
          <cell r="N1293">
            <v>0</v>
          </cell>
          <cell r="O1293">
            <v>426920</v>
          </cell>
          <cell r="P1293">
            <v>0</v>
          </cell>
        </row>
        <row r="1294">
          <cell r="A1294">
            <v>3</v>
          </cell>
          <cell r="B1294">
            <v>6160101</v>
          </cell>
          <cell r="C1294">
            <v>616010100</v>
          </cell>
          <cell r="I1294">
            <v>494560197</v>
          </cell>
          <cell r="J1294">
            <v>0</v>
          </cell>
          <cell r="K1294">
            <v>0</v>
          </cell>
          <cell r="L1294">
            <v>0</v>
          </cell>
          <cell r="M1294">
            <v>0</v>
          </cell>
          <cell r="N1294">
            <v>0</v>
          </cell>
          <cell r="O1294">
            <v>0</v>
          </cell>
          <cell r="P1294">
            <v>494560197</v>
          </cell>
        </row>
        <row r="1295">
          <cell r="A1295">
            <v>3</v>
          </cell>
          <cell r="B1295">
            <v>6160102</v>
          </cell>
          <cell r="C1295">
            <v>616010200</v>
          </cell>
          <cell r="I1295">
            <v>5479894</v>
          </cell>
          <cell r="J1295">
            <v>0</v>
          </cell>
          <cell r="K1295">
            <v>0</v>
          </cell>
          <cell r="L1295">
            <v>0</v>
          </cell>
          <cell r="M1295">
            <v>0</v>
          </cell>
          <cell r="N1295">
            <v>0</v>
          </cell>
          <cell r="O1295">
            <v>0</v>
          </cell>
          <cell r="P1295">
            <v>5479894</v>
          </cell>
        </row>
        <row r="1296">
          <cell r="A1296">
            <v>3</v>
          </cell>
          <cell r="B1296">
            <v>6160202</v>
          </cell>
          <cell r="C1296">
            <v>616020200</v>
          </cell>
          <cell r="I1296">
            <v>0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</row>
        <row r="1297">
          <cell r="A1297">
            <v>3</v>
          </cell>
          <cell r="B1297">
            <v>6160303</v>
          </cell>
          <cell r="C1297">
            <v>616030300</v>
          </cell>
          <cell r="I1297">
            <v>0</v>
          </cell>
          <cell r="J1297">
            <v>0</v>
          </cell>
          <cell r="K1297">
            <v>0</v>
          </cell>
          <cell r="L1297">
            <v>0</v>
          </cell>
          <cell r="M1297">
            <v>0</v>
          </cell>
          <cell r="N1297">
            <v>0</v>
          </cell>
          <cell r="O1297">
            <v>0</v>
          </cell>
          <cell r="P1297">
            <v>0</v>
          </cell>
        </row>
        <row r="1298">
          <cell r="A1298">
            <v>3</v>
          </cell>
          <cell r="B1298">
            <v>6170214</v>
          </cell>
          <cell r="C1298">
            <v>617021400</v>
          </cell>
          <cell r="I1298">
            <v>0</v>
          </cell>
          <cell r="J1298">
            <v>0</v>
          </cell>
          <cell r="K1298">
            <v>0</v>
          </cell>
          <cell r="L1298">
            <v>0</v>
          </cell>
          <cell r="M1298">
            <v>0</v>
          </cell>
          <cell r="N1298">
            <v>0</v>
          </cell>
          <cell r="O1298">
            <v>0</v>
          </cell>
          <cell r="P1298">
            <v>0</v>
          </cell>
        </row>
        <row r="1299">
          <cell r="A1299">
            <v>3</v>
          </cell>
          <cell r="B1299">
            <v>6170216</v>
          </cell>
          <cell r="C1299">
            <v>617021600</v>
          </cell>
          <cell r="I1299">
            <v>285000</v>
          </cell>
          <cell r="J1299">
            <v>0</v>
          </cell>
          <cell r="K1299">
            <v>0</v>
          </cell>
          <cell r="L1299">
            <v>0</v>
          </cell>
          <cell r="M1299">
            <v>0</v>
          </cell>
          <cell r="N1299">
            <v>0</v>
          </cell>
          <cell r="O1299">
            <v>0</v>
          </cell>
          <cell r="P1299">
            <v>285000</v>
          </cell>
        </row>
        <row r="1300">
          <cell r="A1300">
            <v>3</v>
          </cell>
          <cell r="B1300">
            <v>6170218</v>
          </cell>
          <cell r="C1300">
            <v>617021800</v>
          </cell>
          <cell r="I1300">
            <v>0</v>
          </cell>
          <cell r="J1300">
            <v>0</v>
          </cell>
          <cell r="K1300">
            <v>0</v>
          </cell>
          <cell r="L1300">
            <v>0</v>
          </cell>
          <cell r="M1300">
            <v>0</v>
          </cell>
          <cell r="N1300">
            <v>0</v>
          </cell>
          <cell r="O1300">
            <v>0</v>
          </cell>
          <cell r="P1300">
            <v>0</v>
          </cell>
        </row>
        <row r="1301">
          <cell r="A1301">
            <v>3</v>
          </cell>
          <cell r="B1301">
            <v>6170303</v>
          </cell>
          <cell r="C1301">
            <v>617030300</v>
          </cell>
          <cell r="I1301">
            <v>0</v>
          </cell>
          <cell r="J1301">
            <v>0</v>
          </cell>
          <cell r="K1301">
            <v>0</v>
          </cell>
          <cell r="L1301">
            <v>0</v>
          </cell>
          <cell r="M1301">
            <v>0</v>
          </cell>
          <cell r="N1301">
            <v>0</v>
          </cell>
          <cell r="O1301">
            <v>0</v>
          </cell>
          <cell r="P1301">
            <v>0</v>
          </cell>
        </row>
        <row r="1302">
          <cell r="A1302">
            <v>3</v>
          </cell>
          <cell r="B1302">
            <v>6170401</v>
          </cell>
          <cell r="C1302">
            <v>617040100</v>
          </cell>
          <cell r="I1302">
            <v>358000</v>
          </cell>
          <cell r="J1302">
            <v>0</v>
          </cell>
          <cell r="K1302">
            <v>0</v>
          </cell>
          <cell r="L1302">
            <v>0</v>
          </cell>
          <cell r="M1302">
            <v>0</v>
          </cell>
          <cell r="N1302">
            <v>0</v>
          </cell>
          <cell r="O1302">
            <v>0</v>
          </cell>
          <cell r="P1302">
            <v>358000</v>
          </cell>
        </row>
        <row r="1303">
          <cell r="A1303">
            <v>3</v>
          </cell>
          <cell r="B1303">
            <v>6170402</v>
          </cell>
          <cell r="C1303">
            <v>617040200</v>
          </cell>
          <cell r="I1303">
            <v>65000</v>
          </cell>
          <cell r="J1303">
            <v>0</v>
          </cell>
          <cell r="K1303">
            <v>0</v>
          </cell>
          <cell r="L1303">
            <v>0</v>
          </cell>
          <cell r="M1303">
            <v>0</v>
          </cell>
          <cell r="N1303">
            <v>0</v>
          </cell>
          <cell r="O1303">
            <v>0</v>
          </cell>
          <cell r="P1303">
            <v>65000</v>
          </cell>
        </row>
        <row r="1304">
          <cell r="A1304">
            <v>3</v>
          </cell>
          <cell r="B1304">
            <v>6170403</v>
          </cell>
          <cell r="C1304">
            <v>617040300</v>
          </cell>
          <cell r="I1304">
            <v>0</v>
          </cell>
          <cell r="J1304">
            <v>0</v>
          </cell>
          <cell r="K1304">
            <v>0</v>
          </cell>
          <cell r="L1304">
            <v>0</v>
          </cell>
          <cell r="M1304">
            <v>0</v>
          </cell>
          <cell r="N1304">
            <v>0</v>
          </cell>
          <cell r="O1304">
            <v>0</v>
          </cell>
          <cell r="P1304">
            <v>0</v>
          </cell>
        </row>
        <row r="1305">
          <cell r="A1305">
            <v>3</v>
          </cell>
          <cell r="B1305">
            <v>6181212</v>
          </cell>
          <cell r="C1305">
            <v>618121200</v>
          </cell>
          <cell r="I1305">
            <v>0</v>
          </cell>
          <cell r="J1305">
            <v>0</v>
          </cell>
          <cell r="K1305">
            <v>0</v>
          </cell>
          <cell r="L1305">
            <v>0</v>
          </cell>
          <cell r="M1305">
            <v>0</v>
          </cell>
          <cell r="N1305">
            <v>0</v>
          </cell>
          <cell r="O1305">
            <v>0</v>
          </cell>
          <cell r="P1305">
            <v>0</v>
          </cell>
        </row>
        <row r="1306">
          <cell r="A1306">
            <v>3</v>
          </cell>
          <cell r="B1306">
            <v>6181414</v>
          </cell>
          <cell r="C1306">
            <v>618141400</v>
          </cell>
          <cell r="I1306">
            <v>0</v>
          </cell>
          <cell r="J1306">
            <v>0</v>
          </cell>
          <cell r="K1306">
            <v>0</v>
          </cell>
          <cell r="L1306">
            <v>0</v>
          </cell>
          <cell r="M1306">
            <v>0</v>
          </cell>
          <cell r="N1306">
            <v>0</v>
          </cell>
          <cell r="O1306">
            <v>0</v>
          </cell>
          <cell r="P1306">
            <v>0</v>
          </cell>
        </row>
        <row r="1307">
          <cell r="A1307">
            <v>3</v>
          </cell>
          <cell r="B1307">
            <v>6182020</v>
          </cell>
          <cell r="C1307">
            <v>618202000</v>
          </cell>
          <cell r="I1307">
            <v>0</v>
          </cell>
          <cell r="J1307">
            <v>0</v>
          </cell>
          <cell r="K1307">
            <v>0</v>
          </cell>
          <cell r="L1307">
            <v>0</v>
          </cell>
          <cell r="M1307">
            <v>0</v>
          </cell>
          <cell r="N1307">
            <v>0</v>
          </cell>
          <cell r="O1307">
            <v>0</v>
          </cell>
          <cell r="P1307">
            <v>0</v>
          </cell>
        </row>
        <row r="1308">
          <cell r="A1308">
            <v>3</v>
          </cell>
          <cell r="B1308">
            <v>6190101</v>
          </cell>
          <cell r="C1308">
            <v>619010100</v>
          </cell>
          <cell r="I1308">
            <v>0</v>
          </cell>
          <cell r="J1308">
            <v>0</v>
          </cell>
          <cell r="K1308">
            <v>0</v>
          </cell>
          <cell r="L1308">
            <v>0</v>
          </cell>
          <cell r="M1308">
            <v>0</v>
          </cell>
          <cell r="N1308">
            <v>0</v>
          </cell>
          <cell r="O1308">
            <v>0</v>
          </cell>
          <cell r="P1308">
            <v>0</v>
          </cell>
        </row>
        <row r="1309">
          <cell r="A1309">
            <v>3</v>
          </cell>
          <cell r="B1309">
            <v>6200101</v>
          </cell>
          <cell r="C1309">
            <v>620010100</v>
          </cell>
          <cell r="I1309">
            <v>0</v>
          </cell>
          <cell r="J1309">
            <v>0</v>
          </cell>
          <cell r="K1309">
            <v>0</v>
          </cell>
          <cell r="L1309">
            <v>0</v>
          </cell>
          <cell r="M1309">
            <v>0</v>
          </cell>
          <cell r="N1309">
            <v>0</v>
          </cell>
          <cell r="O1309">
            <v>0</v>
          </cell>
          <cell r="P1309">
            <v>0</v>
          </cell>
        </row>
        <row r="1310">
          <cell r="A1310">
            <v>3</v>
          </cell>
          <cell r="B1310">
            <v>6210101</v>
          </cell>
          <cell r="C1310">
            <v>621010100</v>
          </cell>
          <cell r="I1310">
            <v>0</v>
          </cell>
          <cell r="J1310">
            <v>0</v>
          </cell>
          <cell r="K1310">
            <v>0</v>
          </cell>
          <cell r="L1310">
            <v>0</v>
          </cell>
          <cell r="M1310">
            <v>0</v>
          </cell>
          <cell r="N1310">
            <v>0</v>
          </cell>
          <cell r="O1310">
            <v>0</v>
          </cell>
          <cell r="P1310">
            <v>0</v>
          </cell>
        </row>
        <row r="1311">
          <cell r="A1311">
            <v>3</v>
          </cell>
          <cell r="B1311">
            <v>6900101</v>
          </cell>
          <cell r="C1311">
            <v>690010100</v>
          </cell>
          <cell r="I1311">
            <v>0</v>
          </cell>
          <cell r="J1311">
            <v>0</v>
          </cell>
          <cell r="K1311">
            <v>0</v>
          </cell>
          <cell r="L1311">
            <v>0</v>
          </cell>
          <cell r="M1311">
            <v>0</v>
          </cell>
          <cell r="N1311">
            <v>0</v>
          </cell>
          <cell r="O1311">
            <v>0</v>
          </cell>
          <cell r="P1311">
            <v>0</v>
          </cell>
        </row>
        <row r="1312">
          <cell r="A1312">
            <v>3</v>
          </cell>
          <cell r="B1312">
            <v>8830823</v>
          </cell>
          <cell r="C1312">
            <v>883082300</v>
          </cell>
          <cell r="I1312">
            <v>0</v>
          </cell>
          <cell r="J1312">
            <v>0</v>
          </cell>
          <cell r="K1312">
            <v>0</v>
          </cell>
          <cell r="L1312">
            <v>0</v>
          </cell>
          <cell r="M1312">
            <v>0</v>
          </cell>
          <cell r="N1312">
            <v>0</v>
          </cell>
          <cell r="O1312">
            <v>0</v>
          </cell>
          <cell r="P1312">
            <v>0</v>
          </cell>
        </row>
        <row r="1313">
          <cell r="A1313">
            <v>3</v>
          </cell>
          <cell r="B1313">
            <v>8831643</v>
          </cell>
          <cell r="C1313">
            <v>883164301</v>
          </cell>
          <cell r="I1313">
            <v>0</v>
          </cell>
          <cell r="J1313">
            <v>0</v>
          </cell>
          <cell r="K1313">
            <v>0</v>
          </cell>
          <cell r="L1313">
            <v>0</v>
          </cell>
          <cell r="M1313">
            <v>0</v>
          </cell>
          <cell r="N1313">
            <v>0</v>
          </cell>
          <cell r="O1313">
            <v>0</v>
          </cell>
          <cell r="P1313">
            <v>0</v>
          </cell>
        </row>
        <row r="1314">
          <cell r="A1314">
            <v>3</v>
          </cell>
          <cell r="B1314">
            <v>8831643</v>
          </cell>
          <cell r="C1314">
            <v>883164303</v>
          </cell>
          <cell r="I1314">
            <v>464424</v>
          </cell>
          <cell r="J1314">
            <v>0</v>
          </cell>
          <cell r="K1314">
            <v>0</v>
          </cell>
          <cell r="L1314">
            <v>0</v>
          </cell>
          <cell r="M1314">
            <v>0</v>
          </cell>
          <cell r="N1314">
            <v>0</v>
          </cell>
          <cell r="O1314">
            <v>0</v>
          </cell>
          <cell r="P1314">
            <v>464424</v>
          </cell>
        </row>
        <row r="1315">
          <cell r="A1315">
            <v>3</v>
          </cell>
          <cell r="B1315">
            <v>8831643</v>
          </cell>
          <cell r="C1315">
            <v>883164304</v>
          </cell>
          <cell r="I1315">
            <v>0</v>
          </cell>
          <cell r="J1315">
            <v>0</v>
          </cell>
          <cell r="K1315">
            <v>0</v>
          </cell>
          <cell r="L1315">
            <v>0</v>
          </cell>
          <cell r="M1315">
            <v>0</v>
          </cell>
          <cell r="N1315">
            <v>0</v>
          </cell>
          <cell r="O1315">
            <v>0</v>
          </cell>
          <cell r="P1315">
            <v>0</v>
          </cell>
        </row>
        <row r="1316">
          <cell r="A1316">
            <v>3</v>
          </cell>
          <cell r="B1316">
            <v>8831643</v>
          </cell>
          <cell r="C1316">
            <v>883164305</v>
          </cell>
          <cell r="I1316">
            <v>0</v>
          </cell>
          <cell r="J1316">
            <v>0</v>
          </cell>
          <cell r="K1316">
            <v>0</v>
          </cell>
          <cell r="L1316">
            <v>0</v>
          </cell>
          <cell r="M1316">
            <v>0</v>
          </cell>
          <cell r="N1316">
            <v>0</v>
          </cell>
          <cell r="O1316">
            <v>0</v>
          </cell>
          <cell r="P1316">
            <v>0</v>
          </cell>
        </row>
        <row r="1317">
          <cell r="A1317">
            <v>3</v>
          </cell>
          <cell r="B1317">
            <v>8831801</v>
          </cell>
          <cell r="C1317">
            <v>883180102</v>
          </cell>
          <cell r="I1317">
            <v>0</v>
          </cell>
          <cell r="J1317">
            <v>0</v>
          </cell>
          <cell r="K1317">
            <v>0</v>
          </cell>
          <cell r="L1317">
            <v>0</v>
          </cell>
          <cell r="M1317">
            <v>0</v>
          </cell>
          <cell r="N1317">
            <v>0</v>
          </cell>
          <cell r="O1317">
            <v>0</v>
          </cell>
          <cell r="P1317">
            <v>0</v>
          </cell>
        </row>
        <row r="1318">
          <cell r="A1318">
            <v>3</v>
          </cell>
          <cell r="B1318">
            <v>8831801</v>
          </cell>
          <cell r="C1318">
            <v>883180103</v>
          </cell>
          <cell r="I1318">
            <v>0</v>
          </cell>
          <cell r="J1318">
            <v>0</v>
          </cell>
          <cell r="K1318">
            <v>0</v>
          </cell>
          <cell r="L1318">
            <v>0</v>
          </cell>
          <cell r="M1318">
            <v>0</v>
          </cell>
          <cell r="N1318">
            <v>0</v>
          </cell>
          <cell r="O1318">
            <v>0</v>
          </cell>
          <cell r="P1318">
            <v>0</v>
          </cell>
        </row>
        <row r="1319">
          <cell r="A1319">
            <v>3</v>
          </cell>
          <cell r="B1319">
            <v>8831801</v>
          </cell>
          <cell r="C1319">
            <v>883180104</v>
          </cell>
          <cell r="I1319">
            <v>0</v>
          </cell>
          <cell r="J1319">
            <v>0</v>
          </cell>
          <cell r="K1319">
            <v>0</v>
          </cell>
          <cell r="L1319">
            <v>0</v>
          </cell>
          <cell r="M1319">
            <v>0</v>
          </cell>
          <cell r="N1319">
            <v>0</v>
          </cell>
          <cell r="O1319">
            <v>0</v>
          </cell>
          <cell r="P1319">
            <v>0</v>
          </cell>
        </row>
        <row r="1320">
          <cell r="A1320">
            <v>3</v>
          </cell>
          <cell r="B1320">
            <v>8831801</v>
          </cell>
          <cell r="C1320">
            <v>883180105</v>
          </cell>
          <cell r="I1320">
            <v>0</v>
          </cell>
          <cell r="J1320">
            <v>0</v>
          </cell>
          <cell r="K1320">
            <v>0</v>
          </cell>
          <cell r="L1320">
            <v>0</v>
          </cell>
          <cell r="M1320">
            <v>0</v>
          </cell>
          <cell r="N1320">
            <v>0</v>
          </cell>
          <cell r="O1320">
            <v>0</v>
          </cell>
          <cell r="P1320">
            <v>0</v>
          </cell>
        </row>
        <row r="1321">
          <cell r="A1321">
            <v>3</v>
          </cell>
          <cell r="B1321">
            <v>8831802</v>
          </cell>
          <cell r="C1321">
            <v>883180202</v>
          </cell>
          <cell r="I1321">
            <v>0</v>
          </cell>
          <cell r="J1321">
            <v>0</v>
          </cell>
          <cell r="K1321">
            <v>0</v>
          </cell>
          <cell r="L1321">
            <v>0</v>
          </cell>
          <cell r="M1321">
            <v>0</v>
          </cell>
          <cell r="N1321">
            <v>0</v>
          </cell>
          <cell r="O1321">
            <v>0</v>
          </cell>
          <cell r="P1321">
            <v>0</v>
          </cell>
        </row>
        <row r="1322">
          <cell r="A1322">
            <v>3</v>
          </cell>
          <cell r="B1322">
            <v>8831803</v>
          </cell>
          <cell r="C1322">
            <v>883180301</v>
          </cell>
          <cell r="I1322">
            <v>0</v>
          </cell>
          <cell r="J1322">
            <v>0</v>
          </cell>
          <cell r="K1322">
            <v>0</v>
          </cell>
          <cell r="L1322">
            <v>0</v>
          </cell>
          <cell r="M1322">
            <v>0</v>
          </cell>
          <cell r="N1322">
            <v>0</v>
          </cell>
          <cell r="O1322">
            <v>0</v>
          </cell>
          <cell r="P1322">
            <v>0</v>
          </cell>
        </row>
        <row r="1323">
          <cell r="A1323">
            <v>3</v>
          </cell>
          <cell r="B1323">
            <v>8831803</v>
          </cell>
          <cell r="C1323">
            <v>883180302</v>
          </cell>
          <cell r="I1323">
            <v>0</v>
          </cell>
          <cell r="J1323">
            <v>0</v>
          </cell>
          <cell r="K1323">
            <v>0</v>
          </cell>
          <cell r="L1323">
            <v>0</v>
          </cell>
          <cell r="M1323">
            <v>0</v>
          </cell>
          <cell r="N1323">
            <v>0</v>
          </cell>
          <cell r="O1323">
            <v>0</v>
          </cell>
          <cell r="P1323">
            <v>0</v>
          </cell>
        </row>
        <row r="1324">
          <cell r="A1324">
            <v>3</v>
          </cell>
          <cell r="B1324">
            <v>8831803</v>
          </cell>
          <cell r="C1324">
            <v>883180303</v>
          </cell>
          <cell r="I1324">
            <v>0</v>
          </cell>
          <cell r="J1324">
            <v>0</v>
          </cell>
          <cell r="K1324">
            <v>0</v>
          </cell>
          <cell r="L1324">
            <v>0</v>
          </cell>
          <cell r="M1324">
            <v>0</v>
          </cell>
          <cell r="N1324">
            <v>0</v>
          </cell>
          <cell r="O1324">
            <v>0</v>
          </cell>
          <cell r="P1324">
            <v>0</v>
          </cell>
        </row>
        <row r="1325">
          <cell r="A1325">
            <v>3</v>
          </cell>
          <cell r="B1325">
            <v>8831803</v>
          </cell>
          <cell r="C1325">
            <v>883180304</v>
          </cell>
          <cell r="I1325">
            <v>0</v>
          </cell>
          <cell r="J1325">
            <v>0</v>
          </cell>
          <cell r="K1325">
            <v>0</v>
          </cell>
          <cell r="L1325">
            <v>0</v>
          </cell>
          <cell r="M1325">
            <v>0</v>
          </cell>
          <cell r="N1325">
            <v>0</v>
          </cell>
          <cell r="O1325">
            <v>0</v>
          </cell>
          <cell r="P1325">
            <v>0</v>
          </cell>
        </row>
        <row r="1326">
          <cell r="A1326">
            <v>3</v>
          </cell>
          <cell r="B1326">
            <v>8831803</v>
          </cell>
          <cell r="C1326">
            <v>883180305</v>
          </cell>
          <cell r="I1326">
            <v>0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  <cell r="O1326">
            <v>0</v>
          </cell>
          <cell r="P1326">
            <v>0</v>
          </cell>
        </row>
        <row r="1327">
          <cell r="A1327">
            <v>3</v>
          </cell>
          <cell r="B1327">
            <v>8831803</v>
          </cell>
          <cell r="C1327">
            <v>883180306</v>
          </cell>
          <cell r="I1327">
            <v>0</v>
          </cell>
          <cell r="J1327">
            <v>0</v>
          </cell>
          <cell r="K1327">
            <v>0</v>
          </cell>
          <cell r="L1327">
            <v>0</v>
          </cell>
          <cell r="M1327">
            <v>0</v>
          </cell>
          <cell r="N1327">
            <v>0</v>
          </cell>
          <cell r="O1327">
            <v>0</v>
          </cell>
          <cell r="P1327">
            <v>0</v>
          </cell>
        </row>
        <row r="1328">
          <cell r="A1328">
            <v>3</v>
          </cell>
          <cell r="B1328">
            <v>8831803</v>
          </cell>
          <cell r="C1328">
            <v>883180307</v>
          </cell>
          <cell r="I1328">
            <v>0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O1328">
            <v>0</v>
          </cell>
          <cell r="P1328">
            <v>0</v>
          </cell>
        </row>
        <row r="1329">
          <cell r="A1329">
            <v>3</v>
          </cell>
          <cell r="B1329">
            <v>8831803</v>
          </cell>
          <cell r="C1329">
            <v>883180310</v>
          </cell>
          <cell r="I1329">
            <v>0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O1329">
            <v>0</v>
          </cell>
          <cell r="P1329">
            <v>0</v>
          </cell>
        </row>
        <row r="1330">
          <cell r="A1330">
            <v>3</v>
          </cell>
          <cell r="B1330">
            <v>8831803</v>
          </cell>
          <cell r="C1330">
            <v>883180311</v>
          </cell>
          <cell r="I1330">
            <v>0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  <cell r="O1330">
            <v>0</v>
          </cell>
          <cell r="P1330">
            <v>0</v>
          </cell>
        </row>
        <row r="1331">
          <cell r="A1331">
            <v>3</v>
          </cell>
          <cell r="B1331">
            <v>8831803</v>
          </cell>
          <cell r="C1331">
            <v>883180314</v>
          </cell>
          <cell r="I1331">
            <v>0</v>
          </cell>
          <cell r="J1331">
            <v>0</v>
          </cell>
          <cell r="K1331">
            <v>0</v>
          </cell>
          <cell r="L1331">
            <v>0</v>
          </cell>
          <cell r="M1331">
            <v>0</v>
          </cell>
          <cell r="N1331">
            <v>0</v>
          </cell>
          <cell r="O1331">
            <v>0</v>
          </cell>
          <cell r="P1331">
            <v>0</v>
          </cell>
        </row>
        <row r="1332">
          <cell r="A1332">
            <v>3</v>
          </cell>
          <cell r="B1332">
            <v>8831803</v>
          </cell>
          <cell r="C1332">
            <v>883180315</v>
          </cell>
          <cell r="I1332">
            <v>0</v>
          </cell>
          <cell r="J1332">
            <v>0</v>
          </cell>
          <cell r="K1332">
            <v>0</v>
          </cell>
          <cell r="L1332">
            <v>0</v>
          </cell>
          <cell r="M1332">
            <v>0</v>
          </cell>
          <cell r="N1332">
            <v>0</v>
          </cell>
          <cell r="O1332">
            <v>0</v>
          </cell>
          <cell r="P1332">
            <v>0</v>
          </cell>
        </row>
        <row r="1333">
          <cell r="A1333">
            <v>3</v>
          </cell>
          <cell r="B1333">
            <v>8831803</v>
          </cell>
          <cell r="C1333">
            <v>883180316</v>
          </cell>
          <cell r="I1333">
            <v>0</v>
          </cell>
          <cell r="J1333">
            <v>0</v>
          </cell>
          <cell r="K1333">
            <v>0</v>
          </cell>
          <cell r="L1333">
            <v>0</v>
          </cell>
          <cell r="M1333">
            <v>0</v>
          </cell>
          <cell r="N1333">
            <v>0</v>
          </cell>
          <cell r="O1333">
            <v>0</v>
          </cell>
          <cell r="P1333">
            <v>0</v>
          </cell>
        </row>
        <row r="1334">
          <cell r="A1334">
            <v>3</v>
          </cell>
          <cell r="B1334">
            <v>8831804</v>
          </cell>
          <cell r="C1334">
            <v>883180401</v>
          </cell>
          <cell r="I1334">
            <v>0</v>
          </cell>
          <cell r="J1334">
            <v>0</v>
          </cell>
          <cell r="K1334">
            <v>0</v>
          </cell>
          <cell r="L1334">
            <v>0</v>
          </cell>
          <cell r="M1334">
            <v>0</v>
          </cell>
          <cell r="N1334">
            <v>0</v>
          </cell>
          <cell r="O1334">
            <v>0</v>
          </cell>
          <cell r="P1334">
            <v>0</v>
          </cell>
        </row>
        <row r="1335">
          <cell r="A1335">
            <v>3</v>
          </cell>
          <cell r="B1335">
            <v>8831804</v>
          </cell>
          <cell r="C1335">
            <v>883180402</v>
          </cell>
          <cell r="I1335">
            <v>0</v>
          </cell>
          <cell r="J1335">
            <v>0</v>
          </cell>
          <cell r="K1335">
            <v>0</v>
          </cell>
          <cell r="L1335">
            <v>0</v>
          </cell>
          <cell r="M1335">
            <v>0</v>
          </cell>
          <cell r="N1335">
            <v>0</v>
          </cell>
          <cell r="O1335">
            <v>0</v>
          </cell>
          <cell r="P1335">
            <v>0</v>
          </cell>
        </row>
        <row r="1336">
          <cell r="A1336">
            <v>3</v>
          </cell>
          <cell r="B1336">
            <v>8831804</v>
          </cell>
          <cell r="C1336">
            <v>883180403</v>
          </cell>
          <cell r="I1336">
            <v>0</v>
          </cell>
          <cell r="J1336">
            <v>0</v>
          </cell>
          <cell r="K1336">
            <v>0</v>
          </cell>
          <cell r="L1336">
            <v>0</v>
          </cell>
          <cell r="M1336">
            <v>0</v>
          </cell>
          <cell r="N1336">
            <v>0</v>
          </cell>
          <cell r="O1336">
            <v>0</v>
          </cell>
          <cell r="P1336">
            <v>0</v>
          </cell>
        </row>
        <row r="1337">
          <cell r="A1337">
            <v>3</v>
          </cell>
          <cell r="B1337">
            <v>8831804</v>
          </cell>
          <cell r="C1337">
            <v>883180405</v>
          </cell>
          <cell r="I1337">
            <v>0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N1337">
            <v>0</v>
          </cell>
          <cell r="O1337">
            <v>0</v>
          </cell>
          <cell r="P1337">
            <v>0</v>
          </cell>
        </row>
        <row r="1338">
          <cell r="A1338">
            <v>3</v>
          </cell>
          <cell r="B1338">
            <v>8831804</v>
          </cell>
          <cell r="C1338">
            <v>883180406</v>
          </cell>
          <cell r="I1338">
            <v>0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</row>
        <row r="1339">
          <cell r="A1339">
            <v>3</v>
          </cell>
          <cell r="B1339">
            <v>8831804</v>
          </cell>
          <cell r="C1339">
            <v>883180407</v>
          </cell>
          <cell r="I1339">
            <v>0</v>
          </cell>
          <cell r="J1339">
            <v>0</v>
          </cell>
          <cell r="K1339">
            <v>0</v>
          </cell>
          <cell r="L1339">
            <v>0</v>
          </cell>
          <cell r="M1339">
            <v>0</v>
          </cell>
          <cell r="N1339">
            <v>0</v>
          </cell>
          <cell r="O1339">
            <v>0</v>
          </cell>
          <cell r="P1339">
            <v>0</v>
          </cell>
        </row>
        <row r="1340">
          <cell r="A1340">
            <v>3</v>
          </cell>
          <cell r="B1340">
            <v>8831804</v>
          </cell>
          <cell r="C1340">
            <v>883180408</v>
          </cell>
          <cell r="I1340">
            <v>0</v>
          </cell>
          <cell r="J1340">
            <v>0</v>
          </cell>
          <cell r="K1340">
            <v>0</v>
          </cell>
          <cell r="L1340">
            <v>0</v>
          </cell>
          <cell r="M1340">
            <v>0</v>
          </cell>
          <cell r="N1340">
            <v>0</v>
          </cell>
          <cell r="O1340">
            <v>0</v>
          </cell>
          <cell r="P1340">
            <v>0</v>
          </cell>
        </row>
        <row r="1341">
          <cell r="A1341">
            <v>3</v>
          </cell>
          <cell r="B1341">
            <v>8831804</v>
          </cell>
          <cell r="C1341">
            <v>883180410</v>
          </cell>
          <cell r="I1341">
            <v>0</v>
          </cell>
          <cell r="J1341">
            <v>0</v>
          </cell>
          <cell r="K1341">
            <v>0</v>
          </cell>
          <cell r="L1341">
            <v>0</v>
          </cell>
          <cell r="M1341">
            <v>0</v>
          </cell>
          <cell r="N1341">
            <v>0</v>
          </cell>
          <cell r="O1341">
            <v>0</v>
          </cell>
          <cell r="P1341">
            <v>0</v>
          </cell>
        </row>
        <row r="1342">
          <cell r="A1342">
            <v>3</v>
          </cell>
          <cell r="B1342">
            <v>8831804</v>
          </cell>
          <cell r="C1342">
            <v>883180411</v>
          </cell>
          <cell r="I1342">
            <v>0</v>
          </cell>
          <cell r="J1342">
            <v>0</v>
          </cell>
          <cell r="K1342">
            <v>0</v>
          </cell>
          <cell r="L1342">
            <v>0</v>
          </cell>
          <cell r="M1342">
            <v>0</v>
          </cell>
          <cell r="N1342">
            <v>0</v>
          </cell>
          <cell r="O1342">
            <v>0</v>
          </cell>
          <cell r="P1342">
            <v>0</v>
          </cell>
        </row>
        <row r="1343">
          <cell r="A1343">
            <v>3</v>
          </cell>
          <cell r="B1343">
            <v>8831805</v>
          </cell>
          <cell r="C1343">
            <v>883180500</v>
          </cell>
          <cell r="I1343">
            <v>0</v>
          </cell>
          <cell r="J1343">
            <v>0</v>
          </cell>
          <cell r="K1343">
            <v>0</v>
          </cell>
          <cell r="L1343">
            <v>0</v>
          </cell>
          <cell r="M1343">
            <v>0</v>
          </cell>
          <cell r="N1343">
            <v>0</v>
          </cell>
          <cell r="O1343">
            <v>0</v>
          </cell>
          <cell r="P1343">
            <v>0</v>
          </cell>
        </row>
        <row r="1344">
          <cell r="A1344">
            <v>3</v>
          </cell>
          <cell r="B1344">
            <v>8831807</v>
          </cell>
          <cell r="C1344">
            <v>883180700</v>
          </cell>
          <cell r="I1344">
            <v>0</v>
          </cell>
          <cell r="J1344">
            <v>0</v>
          </cell>
          <cell r="K1344">
            <v>0</v>
          </cell>
          <cell r="L1344">
            <v>0</v>
          </cell>
          <cell r="M1344">
            <v>0</v>
          </cell>
          <cell r="N1344">
            <v>0</v>
          </cell>
          <cell r="O1344">
            <v>0</v>
          </cell>
          <cell r="P1344">
            <v>0</v>
          </cell>
        </row>
        <row r="1345">
          <cell r="A1345">
            <v>3</v>
          </cell>
          <cell r="B1345">
            <v>8831808</v>
          </cell>
          <cell r="C1345">
            <v>883180800</v>
          </cell>
          <cell r="I1345">
            <v>0</v>
          </cell>
          <cell r="J1345">
            <v>0</v>
          </cell>
          <cell r="K1345">
            <v>0</v>
          </cell>
          <cell r="L1345">
            <v>0</v>
          </cell>
          <cell r="M1345">
            <v>0</v>
          </cell>
          <cell r="N1345">
            <v>0</v>
          </cell>
          <cell r="O1345">
            <v>0</v>
          </cell>
          <cell r="P1345">
            <v>0</v>
          </cell>
        </row>
        <row r="1346">
          <cell r="A1346">
            <v>3</v>
          </cell>
          <cell r="B1346">
            <v>8831810</v>
          </cell>
          <cell r="C1346">
            <v>883181001</v>
          </cell>
          <cell r="I1346">
            <v>7966</v>
          </cell>
          <cell r="J1346">
            <v>0</v>
          </cell>
          <cell r="K1346">
            <v>0</v>
          </cell>
          <cell r="L1346">
            <v>0</v>
          </cell>
          <cell r="M1346">
            <v>0</v>
          </cell>
          <cell r="N1346">
            <v>7966</v>
          </cell>
          <cell r="O1346">
            <v>0</v>
          </cell>
          <cell r="P1346">
            <v>0</v>
          </cell>
        </row>
        <row r="1347">
          <cell r="A1347">
            <v>3</v>
          </cell>
          <cell r="B1347">
            <v>8831810</v>
          </cell>
          <cell r="C1347">
            <v>883181002</v>
          </cell>
          <cell r="I1347">
            <v>0</v>
          </cell>
          <cell r="J1347">
            <v>0</v>
          </cell>
          <cell r="K1347">
            <v>0</v>
          </cell>
          <cell r="L1347">
            <v>0</v>
          </cell>
          <cell r="M1347">
            <v>0</v>
          </cell>
          <cell r="N1347">
            <v>0</v>
          </cell>
          <cell r="O1347">
            <v>0</v>
          </cell>
          <cell r="P1347">
            <v>0</v>
          </cell>
        </row>
        <row r="1348">
          <cell r="A1348">
            <v>3</v>
          </cell>
          <cell r="B1348">
            <v>8831810</v>
          </cell>
          <cell r="C1348">
            <v>883181003</v>
          </cell>
          <cell r="I1348">
            <v>0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</row>
        <row r="1349">
          <cell r="A1349">
            <v>3</v>
          </cell>
          <cell r="B1349">
            <v>8831813</v>
          </cell>
          <cell r="C1349">
            <v>883181300</v>
          </cell>
          <cell r="I1349">
            <v>109131</v>
          </cell>
          <cell r="J1349">
            <v>0</v>
          </cell>
          <cell r="K1349">
            <v>0</v>
          </cell>
          <cell r="L1349">
            <v>0</v>
          </cell>
          <cell r="M1349">
            <v>5073</v>
          </cell>
          <cell r="N1349">
            <v>104058</v>
          </cell>
          <cell r="O1349">
            <v>0</v>
          </cell>
          <cell r="P1349">
            <v>0</v>
          </cell>
        </row>
        <row r="1350">
          <cell r="A1350">
            <v>3</v>
          </cell>
          <cell r="B1350">
            <v>8831814</v>
          </cell>
          <cell r="C1350">
            <v>883181400</v>
          </cell>
          <cell r="I1350">
            <v>1683</v>
          </cell>
          <cell r="J1350">
            <v>0</v>
          </cell>
          <cell r="K1350">
            <v>0</v>
          </cell>
          <cell r="L1350">
            <v>0</v>
          </cell>
          <cell r="M1350">
            <v>0</v>
          </cell>
          <cell r="N1350">
            <v>1683</v>
          </cell>
          <cell r="O1350">
            <v>0</v>
          </cell>
          <cell r="P1350">
            <v>0</v>
          </cell>
        </row>
        <row r="1351">
          <cell r="A1351">
            <v>3</v>
          </cell>
          <cell r="B1351">
            <v>8831815</v>
          </cell>
          <cell r="C1351">
            <v>883181500</v>
          </cell>
          <cell r="I1351">
            <v>25581</v>
          </cell>
          <cell r="J1351">
            <v>0</v>
          </cell>
          <cell r="K1351">
            <v>0</v>
          </cell>
          <cell r="L1351">
            <v>0</v>
          </cell>
          <cell r="M1351">
            <v>0</v>
          </cell>
          <cell r="N1351">
            <v>25581</v>
          </cell>
          <cell r="O1351">
            <v>0</v>
          </cell>
          <cell r="P1351">
            <v>0</v>
          </cell>
        </row>
        <row r="1352">
          <cell r="A1352">
            <v>3</v>
          </cell>
          <cell r="B1352">
            <v>8831817</v>
          </cell>
          <cell r="C1352">
            <v>883181700</v>
          </cell>
          <cell r="I1352">
            <v>827</v>
          </cell>
          <cell r="J1352">
            <v>0</v>
          </cell>
          <cell r="K1352">
            <v>0</v>
          </cell>
          <cell r="L1352">
            <v>0</v>
          </cell>
          <cell r="M1352">
            <v>0</v>
          </cell>
          <cell r="N1352">
            <v>827</v>
          </cell>
          <cell r="O1352">
            <v>0</v>
          </cell>
          <cell r="P1352">
            <v>0</v>
          </cell>
        </row>
        <row r="1353">
          <cell r="A1353">
            <v>3</v>
          </cell>
          <cell r="B1353">
            <v>8831819</v>
          </cell>
          <cell r="C1353">
            <v>883181900</v>
          </cell>
          <cell r="I1353">
            <v>14717</v>
          </cell>
          <cell r="J1353">
            <v>0</v>
          </cell>
          <cell r="K1353">
            <v>0</v>
          </cell>
          <cell r="L1353">
            <v>0</v>
          </cell>
          <cell r="M1353">
            <v>0</v>
          </cell>
          <cell r="N1353">
            <v>2980</v>
          </cell>
          <cell r="O1353">
            <v>11737</v>
          </cell>
          <cell r="P1353">
            <v>0</v>
          </cell>
        </row>
        <row r="1354">
          <cell r="A1354">
            <v>3</v>
          </cell>
          <cell r="B1354">
            <v>8831820</v>
          </cell>
          <cell r="C1354">
            <v>883182000</v>
          </cell>
          <cell r="I1354">
            <v>1186506</v>
          </cell>
          <cell r="J1354">
            <v>0</v>
          </cell>
          <cell r="K1354">
            <v>0</v>
          </cell>
          <cell r="L1354">
            <v>0</v>
          </cell>
          <cell r="M1354">
            <v>0</v>
          </cell>
          <cell r="N1354">
            <v>1184616</v>
          </cell>
          <cell r="O1354">
            <v>1890</v>
          </cell>
          <cell r="P1354">
            <v>0</v>
          </cell>
        </row>
        <row r="1355">
          <cell r="A1355">
            <v>3</v>
          </cell>
          <cell r="B1355">
            <v>8831821</v>
          </cell>
          <cell r="C1355">
            <v>883182100</v>
          </cell>
          <cell r="I1355">
            <v>212395907</v>
          </cell>
          <cell r="J1355">
            <v>0</v>
          </cell>
          <cell r="K1355">
            <v>0</v>
          </cell>
          <cell r="L1355">
            <v>0</v>
          </cell>
          <cell r="M1355">
            <v>0</v>
          </cell>
          <cell r="N1355">
            <v>212395907</v>
          </cell>
          <cell r="O1355">
            <v>0</v>
          </cell>
          <cell r="P1355">
            <v>0</v>
          </cell>
        </row>
        <row r="1356">
          <cell r="A1356">
            <v>3</v>
          </cell>
          <cell r="B1356">
            <v>8831823</v>
          </cell>
          <cell r="C1356">
            <v>883182300</v>
          </cell>
          <cell r="I1356">
            <v>16506765</v>
          </cell>
          <cell r="J1356">
            <v>0</v>
          </cell>
          <cell r="K1356">
            <v>0</v>
          </cell>
          <cell r="L1356">
            <v>0</v>
          </cell>
          <cell r="M1356">
            <v>0</v>
          </cell>
          <cell r="N1356">
            <v>16506765</v>
          </cell>
          <cell r="O1356">
            <v>0</v>
          </cell>
          <cell r="P1356">
            <v>0</v>
          </cell>
        </row>
        <row r="1357">
          <cell r="A1357">
            <v>3</v>
          </cell>
          <cell r="B1357">
            <v>8831824</v>
          </cell>
          <cell r="C1357">
            <v>883182400</v>
          </cell>
          <cell r="I1357">
            <v>995500</v>
          </cell>
          <cell r="J1357">
            <v>0</v>
          </cell>
          <cell r="K1357">
            <v>0</v>
          </cell>
          <cell r="L1357">
            <v>0</v>
          </cell>
          <cell r="M1357">
            <v>0</v>
          </cell>
          <cell r="N1357">
            <v>995500</v>
          </cell>
          <cell r="O1357">
            <v>0</v>
          </cell>
          <cell r="P1357">
            <v>0</v>
          </cell>
        </row>
        <row r="1358">
          <cell r="A1358">
            <v>3</v>
          </cell>
          <cell r="B1358">
            <v>8831825</v>
          </cell>
          <cell r="C1358">
            <v>883182500</v>
          </cell>
          <cell r="I1358">
            <v>13807574</v>
          </cell>
          <cell r="J1358">
            <v>0</v>
          </cell>
          <cell r="K1358">
            <v>0</v>
          </cell>
          <cell r="L1358">
            <v>0</v>
          </cell>
          <cell r="M1358">
            <v>0</v>
          </cell>
          <cell r="N1358">
            <v>13807574</v>
          </cell>
          <cell r="O1358">
            <v>0</v>
          </cell>
          <cell r="P1358">
            <v>0</v>
          </cell>
        </row>
        <row r="1359">
          <cell r="A1359">
            <v>3</v>
          </cell>
          <cell r="B1359">
            <v>8831826</v>
          </cell>
          <cell r="C1359">
            <v>883182600</v>
          </cell>
          <cell r="I1359">
            <v>0</v>
          </cell>
          <cell r="J1359">
            <v>0</v>
          </cell>
          <cell r="K1359">
            <v>0</v>
          </cell>
          <cell r="L1359">
            <v>0</v>
          </cell>
          <cell r="M1359">
            <v>0</v>
          </cell>
          <cell r="N1359">
            <v>0</v>
          </cell>
          <cell r="O1359">
            <v>0</v>
          </cell>
          <cell r="P1359">
            <v>0</v>
          </cell>
        </row>
        <row r="1360">
          <cell r="A1360">
            <v>3</v>
          </cell>
          <cell r="B1360">
            <v>8831828</v>
          </cell>
          <cell r="C1360">
            <v>883182866</v>
          </cell>
          <cell r="I1360">
            <v>0</v>
          </cell>
          <cell r="J1360">
            <v>0</v>
          </cell>
          <cell r="K1360">
            <v>0</v>
          </cell>
          <cell r="L1360">
            <v>0</v>
          </cell>
          <cell r="M1360">
            <v>0</v>
          </cell>
          <cell r="N1360">
            <v>0</v>
          </cell>
          <cell r="O1360">
            <v>0</v>
          </cell>
          <cell r="P1360">
            <v>0</v>
          </cell>
        </row>
        <row r="1361">
          <cell r="A1361">
            <v>3</v>
          </cell>
          <cell r="B1361">
            <v>8831828</v>
          </cell>
          <cell r="C1361">
            <v>883182867</v>
          </cell>
          <cell r="I1361">
            <v>0</v>
          </cell>
          <cell r="J1361">
            <v>0</v>
          </cell>
          <cell r="K1361">
            <v>0</v>
          </cell>
          <cell r="L1361">
            <v>0</v>
          </cell>
          <cell r="M1361">
            <v>0</v>
          </cell>
          <cell r="N1361">
            <v>0</v>
          </cell>
          <cell r="O1361">
            <v>0</v>
          </cell>
          <cell r="P1361">
            <v>0</v>
          </cell>
        </row>
        <row r="1362">
          <cell r="A1362">
            <v>3</v>
          </cell>
          <cell r="B1362">
            <v>8831829</v>
          </cell>
          <cell r="C1362">
            <v>883182900</v>
          </cell>
          <cell r="I1362">
            <v>0</v>
          </cell>
          <cell r="J1362">
            <v>0</v>
          </cell>
          <cell r="K1362">
            <v>0</v>
          </cell>
          <cell r="L1362">
            <v>0</v>
          </cell>
          <cell r="M1362">
            <v>0</v>
          </cell>
          <cell r="N1362">
            <v>0</v>
          </cell>
          <cell r="O1362">
            <v>0</v>
          </cell>
          <cell r="P1362">
            <v>0</v>
          </cell>
        </row>
        <row r="1363">
          <cell r="A1363">
            <v>3</v>
          </cell>
          <cell r="B1363">
            <v>8831830</v>
          </cell>
          <cell r="C1363">
            <v>883183000</v>
          </cell>
          <cell r="I1363">
            <v>0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O1363">
            <v>0</v>
          </cell>
          <cell r="P1363">
            <v>0</v>
          </cell>
        </row>
        <row r="1364">
          <cell r="A1364">
            <v>3</v>
          </cell>
          <cell r="B1364">
            <v>8831831</v>
          </cell>
          <cell r="C1364">
            <v>883183100</v>
          </cell>
          <cell r="I1364">
            <v>2416327</v>
          </cell>
          <cell r="J1364">
            <v>0</v>
          </cell>
          <cell r="K1364">
            <v>0</v>
          </cell>
          <cell r="L1364">
            <v>0</v>
          </cell>
          <cell r="M1364">
            <v>0</v>
          </cell>
          <cell r="N1364">
            <v>2310867</v>
          </cell>
          <cell r="O1364">
            <v>0</v>
          </cell>
          <cell r="P1364">
            <v>105460</v>
          </cell>
        </row>
        <row r="1365">
          <cell r="A1365">
            <v>3</v>
          </cell>
          <cell r="B1365">
            <v>8831833</v>
          </cell>
          <cell r="C1365">
            <v>883183300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</row>
        <row r="1366">
          <cell r="A1366">
            <v>3</v>
          </cell>
          <cell r="B1366">
            <v>8831836</v>
          </cell>
          <cell r="C1366">
            <v>883183600</v>
          </cell>
          <cell r="I1366">
            <v>63</v>
          </cell>
          <cell r="J1366">
            <v>0</v>
          </cell>
          <cell r="K1366">
            <v>0</v>
          </cell>
          <cell r="L1366">
            <v>0</v>
          </cell>
          <cell r="M1366">
            <v>0</v>
          </cell>
          <cell r="N1366">
            <v>63</v>
          </cell>
          <cell r="O1366">
            <v>0</v>
          </cell>
          <cell r="P1366">
            <v>0</v>
          </cell>
        </row>
        <row r="1367">
          <cell r="A1367">
            <v>3</v>
          </cell>
          <cell r="B1367">
            <v>8831837</v>
          </cell>
          <cell r="C1367">
            <v>883183700</v>
          </cell>
          <cell r="I1367">
            <v>0</v>
          </cell>
          <cell r="J1367">
            <v>0</v>
          </cell>
          <cell r="K1367">
            <v>0</v>
          </cell>
          <cell r="L1367">
            <v>0</v>
          </cell>
          <cell r="M1367">
            <v>0</v>
          </cell>
          <cell r="N1367">
            <v>0</v>
          </cell>
          <cell r="O1367">
            <v>0</v>
          </cell>
          <cell r="P1367">
            <v>0</v>
          </cell>
        </row>
        <row r="1368">
          <cell r="A1368">
            <v>3</v>
          </cell>
          <cell r="B1368">
            <v>8831839</v>
          </cell>
          <cell r="C1368">
            <v>883183900</v>
          </cell>
          <cell r="I1368">
            <v>169338</v>
          </cell>
          <cell r="J1368">
            <v>0</v>
          </cell>
          <cell r="K1368">
            <v>0</v>
          </cell>
          <cell r="L1368">
            <v>0</v>
          </cell>
          <cell r="M1368">
            <v>0</v>
          </cell>
          <cell r="N1368">
            <v>0</v>
          </cell>
          <cell r="O1368">
            <v>169338</v>
          </cell>
          <cell r="P1368">
            <v>0</v>
          </cell>
        </row>
        <row r="1369">
          <cell r="A1369">
            <v>3</v>
          </cell>
          <cell r="B1369">
            <v>8831840</v>
          </cell>
          <cell r="C1369">
            <v>883184000</v>
          </cell>
          <cell r="I1369">
            <v>139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139</v>
          </cell>
        </row>
        <row r="1370">
          <cell r="A1370">
            <v>3</v>
          </cell>
          <cell r="B1370">
            <v>8831841</v>
          </cell>
          <cell r="C1370">
            <v>883184100</v>
          </cell>
          <cell r="I1370">
            <v>0</v>
          </cell>
          <cell r="J1370">
            <v>0</v>
          </cell>
          <cell r="K1370">
            <v>0</v>
          </cell>
          <cell r="L1370">
            <v>0</v>
          </cell>
          <cell r="M1370">
            <v>0</v>
          </cell>
          <cell r="N1370">
            <v>0</v>
          </cell>
          <cell r="O1370">
            <v>0</v>
          </cell>
          <cell r="P1370">
            <v>0</v>
          </cell>
        </row>
        <row r="1371">
          <cell r="A1371">
            <v>3</v>
          </cell>
          <cell r="B1371">
            <v>8831843</v>
          </cell>
          <cell r="C1371">
            <v>883184304</v>
          </cell>
          <cell r="I1371">
            <v>16000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16000</v>
          </cell>
        </row>
        <row r="1372">
          <cell r="A1372">
            <v>3</v>
          </cell>
          <cell r="B1372">
            <v>8832043</v>
          </cell>
          <cell r="C1372">
            <v>883204370</v>
          </cell>
          <cell r="I1372">
            <v>18007053</v>
          </cell>
          <cell r="J1372">
            <v>0</v>
          </cell>
          <cell r="K1372">
            <v>0</v>
          </cell>
          <cell r="L1372">
            <v>0</v>
          </cell>
          <cell r="M1372">
            <v>0</v>
          </cell>
          <cell r="N1372">
            <v>0</v>
          </cell>
          <cell r="O1372">
            <v>0</v>
          </cell>
          <cell r="P1372">
            <v>18007053</v>
          </cell>
        </row>
        <row r="1373">
          <cell r="A1373">
            <v>3</v>
          </cell>
          <cell r="B1373">
            <v>8832043</v>
          </cell>
          <cell r="C1373">
            <v>883204371</v>
          </cell>
          <cell r="I1373">
            <v>388438705</v>
          </cell>
          <cell r="J1373">
            <v>0</v>
          </cell>
          <cell r="K1373">
            <v>0</v>
          </cell>
          <cell r="L1373">
            <v>0</v>
          </cell>
          <cell r="M1373">
            <v>0</v>
          </cell>
          <cell r="N1373">
            <v>0</v>
          </cell>
          <cell r="O1373">
            <v>0</v>
          </cell>
          <cell r="P1373">
            <v>388438705</v>
          </cell>
        </row>
        <row r="1374">
          <cell r="A1374">
            <v>3</v>
          </cell>
          <cell r="B1374">
            <v>8832043</v>
          </cell>
          <cell r="C1374">
            <v>883204372</v>
          </cell>
          <cell r="I1374">
            <v>99952168</v>
          </cell>
          <cell r="J1374">
            <v>0</v>
          </cell>
          <cell r="K1374">
            <v>0</v>
          </cell>
          <cell r="L1374">
            <v>0</v>
          </cell>
          <cell r="M1374">
            <v>0</v>
          </cell>
          <cell r="N1374">
            <v>0</v>
          </cell>
          <cell r="O1374">
            <v>0</v>
          </cell>
          <cell r="P1374">
            <v>99952168</v>
          </cell>
        </row>
        <row r="1375">
          <cell r="A1375">
            <v>3</v>
          </cell>
          <cell r="B1375">
            <v>8832043</v>
          </cell>
          <cell r="C1375">
            <v>883204373</v>
          </cell>
          <cell r="I1375">
            <v>374650</v>
          </cell>
          <cell r="J1375">
            <v>0</v>
          </cell>
          <cell r="K1375">
            <v>0</v>
          </cell>
          <cell r="L1375">
            <v>0</v>
          </cell>
          <cell r="M1375">
            <v>0</v>
          </cell>
          <cell r="N1375">
            <v>0</v>
          </cell>
          <cell r="O1375">
            <v>0</v>
          </cell>
          <cell r="P1375">
            <v>374650</v>
          </cell>
        </row>
        <row r="1376">
          <cell r="A1376">
            <v>3</v>
          </cell>
          <cell r="B1376">
            <v>8832043</v>
          </cell>
          <cell r="C1376">
            <v>883204374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O1376">
            <v>0</v>
          </cell>
          <cell r="P1376">
            <v>0</v>
          </cell>
        </row>
        <row r="1377">
          <cell r="A1377">
            <v>3</v>
          </cell>
          <cell r="B1377">
            <v>8832044</v>
          </cell>
          <cell r="C1377">
            <v>883204475</v>
          </cell>
          <cell r="I1377">
            <v>0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N1377">
            <v>0</v>
          </cell>
          <cell r="O1377">
            <v>0</v>
          </cell>
          <cell r="P1377">
            <v>0</v>
          </cell>
        </row>
        <row r="1378">
          <cell r="A1378">
            <v>3</v>
          </cell>
          <cell r="B1378">
            <v>8832044</v>
          </cell>
          <cell r="C1378">
            <v>883204476</v>
          </cell>
          <cell r="I1378">
            <v>0</v>
          </cell>
          <cell r="J1378">
            <v>0</v>
          </cell>
          <cell r="K1378">
            <v>0</v>
          </cell>
          <cell r="L1378">
            <v>0</v>
          </cell>
          <cell r="M1378">
            <v>0</v>
          </cell>
          <cell r="N1378">
            <v>0</v>
          </cell>
          <cell r="O1378">
            <v>0</v>
          </cell>
          <cell r="P1378">
            <v>0</v>
          </cell>
        </row>
        <row r="1379">
          <cell r="A1379">
            <v>3</v>
          </cell>
          <cell r="B1379">
            <v>8832044</v>
          </cell>
          <cell r="C1379">
            <v>883204477</v>
          </cell>
          <cell r="I1379">
            <v>3300</v>
          </cell>
          <cell r="J1379">
            <v>0</v>
          </cell>
          <cell r="K1379">
            <v>0</v>
          </cell>
          <cell r="L1379">
            <v>0</v>
          </cell>
          <cell r="M1379">
            <v>0</v>
          </cell>
          <cell r="N1379">
            <v>0</v>
          </cell>
          <cell r="O1379">
            <v>0</v>
          </cell>
          <cell r="P1379">
            <v>3300</v>
          </cell>
        </row>
        <row r="1380">
          <cell r="A1380">
            <v>3</v>
          </cell>
          <cell r="B1380">
            <v>8832246</v>
          </cell>
          <cell r="C1380">
            <v>883224600</v>
          </cell>
          <cell r="I1380">
            <v>6526876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6526876</v>
          </cell>
        </row>
        <row r="1381">
          <cell r="A1381">
            <v>3</v>
          </cell>
          <cell r="B1381">
            <v>8832247</v>
          </cell>
          <cell r="C1381">
            <v>883224700</v>
          </cell>
          <cell r="I1381">
            <v>0</v>
          </cell>
          <cell r="J1381">
            <v>0</v>
          </cell>
          <cell r="K1381">
            <v>0</v>
          </cell>
          <cell r="L1381">
            <v>0</v>
          </cell>
          <cell r="M1381">
            <v>0</v>
          </cell>
          <cell r="N1381">
            <v>0</v>
          </cell>
          <cell r="O1381">
            <v>0</v>
          </cell>
          <cell r="P1381">
            <v>0</v>
          </cell>
        </row>
        <row r="1382">
          <cell r="A1382">
            <v>3</v>
          </cell>
          <cell r="B1382">
            <v>8840251</v>
          </cell>
          <cell r="C1382">
            <v>884025180</v>
          </cell>
          <cell r="I1382">
            <v>73142201</v>
          </cell>
          <cell r="J1382">
            <v>0</v>
          </cell>
          <cell r="K1382">
            <v>0</v>
          </cell>
          <cell r="L1382">
            <v>0</v>
          </cell>
          <cell r="M1382">
            <v>0</v>
          </cell>
          <cell r="N1382">
            <v>0</v>
          </cell>
          <cell r="O1382">
            <v>73142201</v>
          </cell>
          <cell r="P1382">
            <v>0</v>
          </cell>
        </row>
        <row r="1383">
          <cell r="A1383">
            <v>3</v>
          </cell>
          <cell r="B1383">
            <v>8840251</v>
          </cell>
          <cell r="C1383">
            <v>884025181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</row>
        <row r="1384">
          <cell r="A1384">
            <v>3</v>
          </cell>
          <cell r="B1384">
            <v>8840252</v>
          </cell>
          <cell r="C1384">
            <v>884025200</v>
          </cell>
          <cell r="I1384">
            <v>603610</v>
          </cell>
          <cell r="J1384">
            <v>0</v>
          </cell>
          <cell r="K1384">
            <v>0</v>
          </cell>
          <cell r="L1384">
            <v>0</v>
          </cell>
          <cell r="M1384">
            <v>0</v>
          </cell>
          <cell r="N1384">
            <v>603610</v>
          </cell>
          <cell r="O1384">
            <v>0</v>
          </cell>
          <cell r="P1384">
            <v>0</v>
          </cell>
        </row>
        <row r="1385">
          <cell r="A1385">
            <v>3</v>
          </cell>
          <cell r="B1385">
            <v>8840253</v>
          </cell>
          <cell r="C1385">
            <v>884025300</v>
          </cell>
          <cell r="I1385">
            <v>0</v>
          </cell>
          <cell r="J1385">
            <v>0</v>
          </cell>
          <cell r="K1385">
            <v>0</v>
          </cell>
          <cell r="L1385">
            <v>0</v>
          </cell>
          <cell r="M1385">
            <v>0</v>
          </cell>
          <cell r="N1385">
            <v>0</v>
          </cell>
          <cell r="O1385">
            <v>0</v>
          </cell>
          <cell r="P1385">
            <v>0</v>
          </cell>
        </row>
        <row r="1386">
          <cell r="A1386">
            <v>3</v>
          </cell>
          <cell r="B1386">
            <v>8840254</v>
          </cell>
          <cell r="C1386">
            <v>884025400</v>
          </cell>
          <cell r="I1386">
            <v>0</v>
          </cell>
          <cell r="J1386">
            <v>0</v>
          </cell>
          <cell r="K1386">
            <v>0</v>
          </cell>
          <cell r="L1386">
            <v>0</v>
          </cell>
          <cell r="M1386">
            <v>0</v>
          </cell>
          <cell r="N1386">
            <v>0</v>
          </cell>
          <cell r="O1386">
            <v>0</v>
          </cell>
          <cell r="P1386">
            <v>0</v>
          </cell>
        </row>
        <row r="1387">
          <cell r="A1387">
            <v>3</v>
          </cell>
          <cell r="B1387">
            <v>8840255</v>
          </cell>
          <cell r="C1387">
            <v>884025500</v>
          </cell>
          <cell r="I1387">
            <v>0</v>
          </cell>
          <cell r="J1387">
            <v>0</v>
          </cell>
          <cell r="K1387">
            <v>0</v>
          </cell>
          <cell r="L1387">
            <v>0</v>
          </cell>
          <cell r="M1387">
            <v>0</v>
          </cell>
          <cell r="N1387">
            <v>0</v>
          </cell>
          <cell r="O1387">
            <v>0</v>
          </cell>
          <cell r="P1387">
            <v>0</v>
          </cell>
        </row>
        <row r="1388">
          <cell r="A1388">
            <v>3</v>
          </cell>
          <cell r="B1388">
            <v>8840456</v>
          </cell>
          <cell r="C1388">
            <v>884045600</v>
          </cell>
          <cell r="I1388">
            <v>0</v>
          </cell>
          <cell r="J1388">
            <v>0</v>
          </cell>
          <cell r="K1388">
            <v>0</v>
          </cell>
          <cell r="L1388">
            <v>0</v>
          </cell>
          <cell r="M1388">
            <v>0</v>
          </cell>
          <cell r="N1388">
            <v>0</v>
          </cell>
          <cell r="O1388">
            <v>0</v>
          </cell>
          <cell r="P1388">
            <v>0</v>
          </cell>
        </row>
        <row r="1389">
          <cell r="A1389">
            <v>3</v>
          </cell>
          <cell r="B1389">
            <v>8840457</v>
          </cell>
          <cell r="C1389">
            <v>884045700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</row>
        <row r="1390">
          <cell r="A1390">
            <v>3</v>
          </cell>
          <cell r="B1390">
            <v>8840458</v>
          </cell>
          <cell r="C1390">
            <v>884045800</v>
          </cell>
          <cell r="I1390">
            <v>0</v>
          </cell>
          <cell r="J1390">
            <v>0</v>
          </cell>
          <cell r="K1390">
            <v>0</v>
          </cell>
          <cell r="L1390">
            <v>0</v>
          </cell>
          <cell r="M1390">
            <v>0</v>
          </cell>
          <cell r="N1390">
            <v>0</v>
          </cell>
          <cell r="O1390">
            <v>0</v>
          </cell>
          <cell r="P1390">
            <v>0</v>
          </cell>
        </row>
        <row r="1391">
          <cell r="A1391">
            <v>3</v>
          </cell>
          <cell r="B1391">
            <v>8840559</v>
          </cell>
          <cell r="C1391">
            <v>884055900</v>
          </cell>
          <cell r="I1391">
            <v>0</v>
          </cell>
          <cell r="J1391">
            <v>0</v>
          </cell>
          <cell r="K1391">
            <v>0</v>
          </cell>
          <cell r="L1391">
            <v>0</v>
          </cell>
          <cell r="M1391">
            <v>0</v>
          </cell>
          <cell r="N1391">
            <v>0</v>
          </cell>
          <cell r="O1391">
            <v>0</v>
          </cell>
          <cell r="P1391">
            <v>0</v>
          </cell>
        </row>
        <row r="1392">
          <cell r="A1392">
            <v>3</v>
          </cell>
          <cell r="B1392">
            <v>8840662</v>
          </cell>
          <cell r="C1392">
            <v>884066200</v>
          </cell>
          <cell r="I1392">
            <v>0</v>
          </cell>
          <cell r="J1392">
            <v>0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</row>
        <row r="1393">
          <cell r="A1393">
            <v>3</v>
          </cell>
          <cell r="B1393">
            <v>8840663</v>
          </cell>
          <cell r="C1393">
            <v>884066300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</row>
        <row r="1394">
          <cell r="A1394">
            <v>3</v>
          </cell>
          <cell r="B1394">
            <v>8850202</v>
          </cell>
          <cell r="C1394">
            <v>885020200</v>
          </cell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  <cell r="N1394">
            <v>0</v>
          </cell>
          <cell r="O1394">
            <v>0</v>
          </cell>
          <cell r="P1394">
            <v>0</v>
          </cell>
        </row>
        <row r="1395">
          <cell r="A1395">
            <v>3</v>
          </cell>
          <cell r="B1395">
            <v>8850404</v>
          </cell>
          <cell r="C1395">
            <v>885040400</v>
          </cell>
          <cell r="I1395">
            <v>0</v>
          </cell>
          <cell r="J1395">
            <v>0</v>
          </cell>
          <cell r="K1395">
            <v>0</v>
          </cell>
          <cell r="L1395">
            <v>0</v>
          </cell>
          <cell r="M1395">
            <v>0</v>
          </cell>
          <cell r="N1395">
            <v>0</v>
          </cell>
          <cell r="O1395">
            <v>0</v>
          </cell>
          <cell r="P1395">
            <v>0</v>
          </cell>
        </row>
        <row r="1396">
          <cell r="A1396">
            <v>3</v>
          </cell>
          <cell r="B1396">
            <v>8850606</v>
          </cell>
          <cell r="C1396">
            <v>885060600</v>
          </cell>
          <cell r="I1396">
            <v>35499</v>
          </cell>
          <cell r="J1396">
            <v>0</v>
          </cell>
          <cell r="K1396">
            <v>0</v>
          </cell>
          <cell r="L1396">
            <v>0</v>
          </cell>
          <cell r="M1396">
            <v>0</v>
          </cell>
          <cell r="N1396">
            <v>35499</v>
          </cell>
          <cell r="O1396">
            <v>0</v>
          </cell>
          <cell r="P1396">
            <v>0</v>
          </cell>
        </row>
        <row r="1397">
          <cell r="A1397">
            <v>3</v>
          </cell>
          <cell r="B1397">
            <v>8850808</v>
          </cell>
          <cell r="C1397">
            <v>885080800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</row>
        <row r="1398">
          <cell r="A1398">
            <v>3</v>
          </cell>
          <cell r="B1398">
            <v>8851010</v>
          </cell>
          <cell r="C1398">
            <v>885101000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N1398">
            <v>0</v>
          </cell>
          <cell r="O1398">
            <v>0</v>
          </cell>
          <cell r="P1398">
            <v>0</v>
          </cell>
        </row>
        <row r="1399">
          <cell r="A1399">
            <v>3</v>
          </cell>
          <cell r="B1399">
            <v>8900101</v>
          </cell>
          <cell r="C1399">
            <v>890010100</v>
          </cell>
          <cell r="I1399">
            <v>0</v>
          </cell>
          <cell r="J1399">
            <v>0</v>
          </cell>
          <cell r="K1399">
            <v>0</v>
          </cell>
          <cell r="L1399">
            <v>0</v>
          </cell>
          <cell r="M1399">
            <v>0</v>
          </cell>
          <cell r="N1399">
            <v>0</v>
          </cell>
          <cell r="O1399">
            <v>0</v>
          </cell>
          <cell r="P1399">
            <v>0</v>
          </cell>
        </row>
        <row r="1400">
          <cell r="A1400">
            <v>4</v>
          </cell>
          <cell r="B1400">
            <v>1120110</v>
          </cell>
          <cell r="C1400">
            <v>112011010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</row>
        <row r="1401">
          <cell r="A1401">
            <v>4</v>
          </cell>
          <cell r="B1401">
            <v>1120110</v>
          </cell>
          <cell r="C1401">
            <v>112011011</v>
          </cell>
          <cell r="I1401">
            <v>0</v>
          </cell>
          <cell r="J1401">
            <v>0</v>
          </cell>
          <cell r="K1401">
            <v>0</v>
          </cell>
          <cell r="L1401">
            <v>0</v>
          </cell>
          <cell r="M1401">
            <v>0</v>
          </cell>
          <cell r="N1401">
            <v>0</v>
          </cell>
          <cell r="O1401">
            <v>0</v>
          </cell>
          <cell r="P1401">
            <v>0</v>
          </cell>
        </row>
        <row r="1402">
          <cell r="A1402">
            <v>4</v>
          </cell>
          <cell r="B1402">
            <v>1120111</v>
          </cell>
          <cell r="C1402">
            <v>112011100</v>
          </cell>
          <cell r="I1402">
            <v>0</v>
          </cell>
          <cell r="J1402">
            <v>0</v>
          </cell>
          <cell r="K1402">
            <v>0</v>
          </cell>
          <cell r="L1402">
            <v>0</v>
          </cell>
          <cell r="M1402">
            <v>0</v>
          </cell>
          <cell r="N1402">
            <v>0</v>
          </cell>
          <cell r="O1402">
            <v>0</v>
          </cell>
          <cell r="P1402">
            <v>0</v>
          </cell>
        </row>
        <row r="1403">
          <cell r="A1403">
            <v>4</v>
          </cell>
          <cell r="B1403">
            <v>1120112</v>
          </cell>
          <cell r="C1403">
            <v>112011200</v>
          </cell>
          <cell r="I1403">
            <v>0</v>
          </cell>
          <cell r="J1403">
            <v>0</v>
          </cell>
          <cell r="K1403">
            <v>0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0</v>
          </cell>
        </row>
        <row r="1404">
          <cell r="A1404">
            <v>4</v>
          </cell>
          <cell r="B1404">
            <v>1120113</v>
          </cell>
          <cell r="C1404">
            <v>112011300</v>
          </cell>
          <cell r="I1404">
            <v>0</v>
          </cell>
          <cell r="J1404">
            <v>0</v>
          </cell>
          <cell r="K1404">
            <v>0</v>
          </cell>
          <cell r="L1404">
            <v>0</v>
          </cell>
          <cell r="M1404">
            <v>0</v>
          </cell>
          <cell r="N1404">
            <v>0</v>
          </cell>
          <cell r="O1404">
            <v>0</v>
          </cell>
          <cell r="P1404">
            <v>0</v>
          </cell>
        </row>
        <row r="1405">
          <cell r="A1405">
            <v>4</v>
          </cell>
          <cell r="B1405">
            <v>1120114</v>
          </cell>
          <cell r="C1405">
            <v>112011400</v>
          </cell>
          <cell r="I1405">
            <v>0</v>
          </cell>
          <cell r="J1405">
            <v>0</v>
          </cell>
          <cell r="K1405">
            <v>0</v>
          </cell>
          <cell r="L1405">
            <v>0</v>
          </cell>
          <cell r="M1405">
            <v>0</v>
          </cell>
          <cell r="N1405">
            <v>0</v>
          </cell>
          <cell r="O1405">
            <v>0</v>
          </cell>
          <cell r="P1405">
            <v>0</v>
          </cell>
        </row>
        <row r="1406">
          <cell r="A1406">
            <v>4</v>
          </cell>
          <cell r="B1406">
            <v>1120115</v>
          </cell>
          <cell r="C1406">
            <v>112011500</v>
          </cell>
          <cell r="I1406">
            <v>65100000</v>
          </cell>
          <cell r="J1406">
            <v>0</v>
          </cell>
          <cell r="K1406">
            <v>0</v>
          </cell>
          <cell r="L1406">
            <v>0</v>
          </cell>
          <cell r="M1406">
            <v>0</v>
          </cell>
          <cell r="N1406">
            <v>0</v>
          </cell>
          <cell r="O1406">
            <v>0</v>
          </cell>
          <cell r="P1406">
            <v>65100000</v>
          </cell>
        </row>
        <row r="1407">
          <cell r="A1407">
            <v>4</v>
          </cell>
          <cell r="B1407">
            <v>1120210</v>
          </cell>
          <cell r="C1407">
            <v>112021000</v>
          </cell>
          <cell r="I1407">
            <v>0</v>
          </cell>
          <cell r="J1407">
            <v>0</v>
          </cell>
          <cell r="K1407">
            <v>0</v>
          </cell>
          <cell r="L1407">
            <v>0</v>
          </cell>
          <cell r="M1407">
            <v>0</v>
          </cell>
          <cell r="N1407">
            <v>0</v>
          </cell>
          <cell r="O1407">
            <v>0</v>
          </cell>
          <cell r="P1407">
            <v>0</v>
          </cell>
        </row>
        <row r="1408">
          <cell r="A1408">
            <v>4</v>
          </cell>
          <cell r="B1408">
            <v>1120220</v>
          </cell>
          <cell r="C1408">
            <v>112022000</v>
          </cell>
          <cell r="I1408">
            <v>0</v>
          </cell>
          <cell r="J1408">
            <v>0</v>
          </cell>
          <cell r="K1408">
            <v>0</v>
          </cell>
          <cell r="L1408">
            <v>0</v>
          </cell>
          <cell r="M1408">
            <v>0</v>
          </cell>
          <cell r="N1408">
            <v>0</v>
          </cell>
          <cell r="O1408">
            <v>0</v>
          </cell>
          <cell r="P1408">
            <v>0</v>
          </cell>
        </row>
        <row r="1409">
          <cell r="A1409">
            <v>4</v>
          </cell>
          <cell r="B1409">
            <v>1140303</v>
          </cell>
          <cell r="C1409">
            <v>114030300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O1409">
            <v>0</v>
          </cell>
          <cell r="P1409">
            <v>0</v>
          </cell>
        </row>
        <row r="1410">
          <cell r="A1410">
            <v>4</v>
          </cell>
          <cell r="B1410">
            <v>1160101</v>
          </cell>
          <cell r="C1410">
            <v>116010100</v>
          </cell>
          <cell r="I1410">
            <v>6370000</v>
          </cell>
          <cell r="J1410">
            <v>0</v>
          </cell>
          <cell r="K1410">
            <v>0</v>
          </cell>
          <cell r="L1410">
            <v>0</v>
          </cell>
          <cell r="M1410">
            <v>0</v>
          </cell>
          <cell r="N1410">
            <v>0</v>
          </cell>
          <cell r="O1410">
            <v>0</v>
          </cell>
          <cell r="P1410">
            <v>6370000</v>
          </cell>
        </row>
        <row r="1411">
          <cell r="A1411">
            <v>4</v>
          </cell>
          <cell r="B1411">
            <v>1160202</v>
          </cell>
          <cell r="C1411">
            <v>116020200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</row>
        <row r="1412">
          <cell r="A1412">
            <v>4</v>
          </cell>
          <cell r="B1412">
            <v>1180401</v>
          </cell>
          <cell r="C1412">
            <v>118040100</v>
          </cell>
          <cell r="I1412">
            <v>0</v>
          </cell>
          <cell r="J1412">
            <v>0</v>
          </cell>
          <cell r="K1412">
            <v>0</v>
          </cell>
          <cell r="L1412">
            <v>0</v>
          </cell>
          <cell r="M1412">
            <v>0</v>
          </cell>
          <cell r="N1412">
            <v>0</v>
          </cell>
          <cell r="O1412">
            <v>0</v>
          </cell>
          <cell r="P1412">
            <v>0</v>
          </cell>
        </row>
        <row r="1413">
          <cell r="A1413">
            <v>4</v>
          </cell>
          <cell r="B1413">
            <v>1180402</v>
          </cell>
          <cell r="C1413">
            <v>118040200</v>
          </cell>
          <cell r="I1413">
            <v>0</v>
          </cell>
          <cell r="J1413">
            <v>0</v>
          </cell>
          <cell r="K1413">
            <v>0</v>
          </cell>
          <cell r="L1413">
            <v>0</v>
          </cell>
          <cell r="M1413">
            <v>0</v>
          </cell>
          <cell r="N1413">
            <v>0</v>
          </cell>
          <cell r="O1413">
            <v>0</v>
          </cell>
          <cell r="P1413">
            <v>0</v>
          </cell>
        </row>
        <row r="1414">
          <cell r="A1414">
            <v>4</v>
          </cell>
          <cell r="B1414">
            <v>1180403</v>
          </cell>
          <cell r="C1414">
            <v>118040300</v>
          </cell>
          <cell r="I1414">
            <v>0</v>
          </cell>
          <cell r="J1414">
            <v>0</v>
          </cell>
          <cell r="K1414">
            <v>0</v>
          </cell>
          <cell r="L1414">
            <v>0</v>
          </cell>
          <cell r="M1414">
            <v>0</v>
          </cell>
          <cell r="N1414">
            <v>0</v>
          </cell>
          <cell r="O1414">
            <v>0</v>
          </cell>
          <cell r="P1414">
            <v>0</v>
          </cell>
        </row>
        <row r="1415">
          <cell r="A1415">
            <v>4</v>
          </cell>
          <cell r="B1415">
            <v>1180404</v>
          </cell>
          <cell r="C1415">
            <v>118040400</v>
          </cell>
          <cell r="I1415">
            <v>3488000</v>
          </cell>
          <cell r="J1415">
            <v>0</v>
          </cell>
          <cell r="K1415">
            <v>0</v>
          </cell>
          <cell r="L1415">
            <v>0</v>
          </cell>
          <cell r="M1415">
            <v>0</v>
          </cell>
          <cell r="N1415">
            <v>0</v>
          </cell>
          <cell r="O1415">
            <v>0</v>
          </cell>
          <cell r="P1415">
            <v>3488000</v>
          </cell>
        </row>
        <row r="1416">
          <cell r="A1416">
            <v>4</v>
          </cell>
          <cell r="B1416">
            <v>1200630</v>
          </cell>
          <cell r="C1416">
            <v>120063000</v>
          </cell>
          <cell r="I1416">
            <v>0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</row>
        <row r="1417">
          <cell r="A1417">
            <v>4</v>
          </cell>
          <cell r="B1417">
            <v>1300831</v>
          </cell>
          <cell r="C1417">
            <v>130083100</v>
          </cell>
          <cell r="I1417">
            <v>0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</row>
        <row r="1418">
          <cell r="A1418">
            <v>4</v>
          </cell>
          <cell r="B1418">
            <v>1401010</v>
          </cell>
          <cell r="C1418">
            <v>140101000</v>
          </cell>
          <cell r="I1418">
            <v>0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</row>
        <row r="1419">
          <cell r="A1419">
            <v>4</v>
          </cell>
          <cell r="B1419">
            <v>1600101</v>
          </cell>
          <cell r="C1419">
            <v>160010100</v>
          </cell>
          <cell r="I1419">
            <v>0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</row>
        <row r="1420">
          <cell r="A1420">
            <v>4</v>
          </cell>
          <cell r="B1420">
            <v>1800707</v>
          </cell>
          <cell r="C1420">
            <v>180070700</v>
          </cell>
          <cell r="I1420">
            <v>4080000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4080000</v>
          </cell>
        </row>
        <row r="1421">
          <cell r="A1421">
            <v>4</v>
          </cell>
          <cell r="B1421">
            <v>1800808</v>
          </cell>
          <cell r="C1421">
            <v>180080800</v>
          </cell>
          <cell r="I1421">
            <v>0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</row>
        <row r="1422">
          <cell r="A1422">
            <v>4</v>
          </cell>
          <cell r="B1422">
            <v>1820101</v>
          </cell>
          <cell r="C1422">
            <v>182010100</v>
          </cell>
          <cell r="I1422">
            <v>0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</row>
        <row r="1423">
          <cell r="A1423">
            <v>4</v>
          </cell>
          <cell r="B1423">
            <v>1840102</v>
          </cell>
          <cell r="C1423">
            <v>184010200</v>
          </cell>
          <cell r="I1423">
            <v>0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</row>
        <row r="1424">
          <cell r="A1424">
            <v>4</v>
          </cell>
          <cell r="B1424">
            <v>1840304</v>
          </cell>
          <cell r="C1424">
            <v>184030400</v>
          </cell>
          <cell r="I1424">
            <v>0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</row>
        <row r="1425">
          <cell r="A1425">
            <v>4</v>
          </cell>
          <cell r="B1425">
            <v>1840305</v>
          </cell>
          <cell r="C1425">
            <v>184030500</v>
          </cell>
          <cell r="I1425">
            <v>0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</row>
        <row r="1426">
          <cell r="A1426">
            <v>4</v>
          </cell>
          <cell r="B1426">
            <v>1840306</v>
          </cell>
          <cell r="C1426">
            <v>184030600</v>
          </cell>
          <cell r="I1426">
            <v>0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</row>
        <row r="1427">
          <cell r="A1427">
            <v>4</v>
          </cell>
          <cell r="B1427">
            <v>1840515</v>
          </cell>
          <cell r="C1427">
            <v>184051500</v>
          </cell>
          <cell r="I1427">
            <v>160000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160000</v>
          </cell>
        </row>
        <row r="1428">
          <cell r="A1428">
            <v>4</v>
          </cell>
          <cell r="B1428">
            <v>1840516</v>
          </cell>
          <cell r="C1428">
            <v>184051600</v>
          </cell>
          <cell r="I1428">
            <v>0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</row>
        <row r="1429">
          <cell r="A1429">
            <v>4</v>
          </cell>
          <cell r="B1429">
            <v>1840517</v>
          </cell>
          <cell r="C1429">
            <v>184051700</v>
          </cell>
          <cell r="I1429">
            <v>0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</row>
        <row r="1430">
          <cell r="A1430">
            <v>4</v>
          </cell>
          <cell r="B1430">
            <v>1860303</v>
          </cell>
          <cell r="C1430">
            <v>186030300</v>
          </cell>
          <cell r="I1430">
            <v>0</v>
          </cell>
          <cell r="J1430">
            <v>0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</row>
        <row r="1431">
          <cell r="A1431">
            <v>4</v>
          </cell>
          <cell r="B1431">
            <v>1880101</v>
          </cell>
          <cell r="C1431">
            <v>188010100</v>
          </cell>
          <cell r="I1431">
            <v>0</v>
          </cell>
          <cell r="J1431">
            <v>0</v>
          </cell>
          <cell r="K1431">
            <v>0</v>
          </cell>
          <cell r="L1431">
            <v>0</v>
          </cell>
          <cell r="M1431">
            <v>0</v>
          </cell>
          <cell r="N1431">
            <v>0</v>
          </cell>
          <cell r="O1431">
            <v>0</v>
          </cell>
          <cell r="P1431">
            <v>0</v>
          </cell>
        </row>
        <row r="1432">
          <cell r="A1432">
            <v>4</v>
          </cell>
          <cell r="B1432">
            <v>1880202</v>
          </cell>
          <cell r="C1432">
            <v>188020200</v>
          </cell>
          <cell r="I1432">
            <v>0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  <cell r="O1432">
            <v>0</v>
          </cell>
          <cell r="P1432">
            <v>0</v>
          </cell>
        </row>
        <row r="1433">
          <cell r="A1433">
            <v>4</v>
          </cell>
          <cell r="B1433">
            <v>1900101</v>
          </cell>
          <cell r="C1433">
            <v>190010100</v>
          </cell>
          <cell r="I1433">
            <v>0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</row>
        <row r="1434">
          <cell r="A1434">
            <v>4</v>
          </cell>
          <cell r="B1434">
            <v>1900202</v>
          </cell>
          <cell r="C1434">
            <v>190020200</v>
          </cell>
          <cell r="I1434">
            <v>0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0</v>
          </cell>
        </row>
        <row r="1435">
          <cell r="A1435">
            <v>4</v>
          </cell>
          <cell r="B1435">
            <v>1900303</v>
          </cell>
          <cell r="C1435">
            <v>190030300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</row>
        <row r="1436">
          <cell r="A1436">
            <v>4</v>
          </cell>
          <cell r="B1436">
            <v>4810202</v>
          </cell>
          <cell r="C1436">
            <v>481020200</v>
          </cell>
          <cell r="I1436">
            <v>13915486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13915486</v>
          </cell>
          <cell r="O1436">
            <v>0</v>
          </cell>
          <cell r="P1436">
            <v>0</v>
          </cell>
        </row>
        <row r="1437">
          <cell r="A1437">
            <v>4</v>
          </cell>
          <cell r="B1437">
            <v>4810404</v>
          </cell>
          <cell r="C1437">
            <v>481040411</v>
          </cell>
          <cell r="I1437">
            <v>75108000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  <cell r="O1437">
            <v>0</v>
          </cell>
          <cell r="P1437">
            <v>75108000</v>
          </cell>
        </row>
        <row r="1438">
          <cell r="A1438">
            <v>4</v>
          </cell>
          <cell r="B1438">
            <v>4810404</v>
          </cell>
          <cell r="C1438">
            <v>481040412</v>
          </cell>
          <cell r="I1438">
            <v>0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</row>
        <row r="1439">
          <cell r="A1439">
            <v>4</v>
          </cell>
          <cell r="B1439">
            <v>4810404</v>
          </cell>
          <cell r="C1439">
            <v>481040413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0</v>
          </cell>
        </row>
        <row r="1440">
          <cell r="A1440">
            <v>4</v>
          </cell>
          <cell r="B1440">
            <v>4810404</v>
          </cell>
          <cell r="C1440">
            <v>481040415</v>
          </cell>
          <cell r="I1440">
            <v>0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0</v>
          </cell>
          <cell r="P1440">
            <v>0</v>
          </cell>
        </row>
        <row r="1441">
          <cell r="A1441">
            <v>4</v>
          </cell>
          <cell r="B1441">
            <v>4810406</v>
          </cell>
          <cell r="C1441">
            <v>481040600</v>
          </cell>
          <cell r="I1441">
            <v>0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O1441">
            <v>0</v>
          </cell>
          <cell r="P1441">
            <v>0</v>
          </cell>
        </row>
        <row r="1442">
          <cell r="A1442">
            <v>4</v>
          </cell>
          <cell r="B1442">
            <v>4810408</v>
          </cell>
          <cell r="C1442">
            <v>481040800</v>
          </cell>
          <cell r="I1442">
            <v>0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</row>
        <row r="1443">
          <cell r="A1443">
            <v>4</v>
          </cell>
          <cell r="B1443">
            <v>4810409</v>
          </cell>
          <cell r="C1443">
            <v>481040900</v>
          </cell>
          <cell r="I1443">
            <v>0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</row>
        <row r="1444">
          <cell r="A1444">
            <v>4</v>
          </cell>
          <cell r="B1444">
            <v>4811214</v>
          </cell>
          <cell r="C1444">
            <v>481121400</v>
          </cell>
          <cell r="I1444">
            <v>0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</row>
        <row r="1445">
          <cell r="A1445">
            <v>4</v>
          </cell>
          <cell r="B1445">
            <v>4811417</v>
          </cell>
          <cell r="C1445">
            <v>481141700</v>
          </cell>
          <cell r="I1445">
            <v>0</v>
          </cell>
          <cell r="J1445">
            <v>0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</row>
        <row r="1446">
          <cell r="A1446">
            <v>4</v>
          </cell>
          <cell r="B1446">
            <v>4811418</v>
          </cell>
          <cell r="C1446">
            <v>481141800</v>
          </cell>
          <cell r="I1446">
            <v>0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</row>
        <row r="1447">
          <cell r="A1447">
            <v>4</v>
          </cell>
          <cell r="B1447">
            <v>4811419</v>
          </cell>
          <cell r="C1447">
            <v>481141915</v>
          </cell>
          <cell r="I1447">
            <v>0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0</v>
          </cell>
        </row>
        <row r="1448">
          <cell r="A1448">
            <v>4</v>
          </cell>
          <cell r="B1448">
            <v>4811419</v>
          </cell>
          <cell r="C1448">
            <v>481141916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</row>
        <row r="1449">
          <cell r="A1449">
            <v>4</v>
          </cell>
          <cell r="B1449">
            <v>4811419</v>
          </cell>
          <cell r="C1449">
            <v>481141917</v>
          </cell>
          <cell r="I1449">
            <v>0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</row>
        <row r="1450">
          <cell r="A1450">
            <v>4</v>
          </cell>
          <cell r="B1450">
            <v>4811420</v>
          </cell>
          <cell r="C1450">
            <v>481142000</v>
          </cell>
          <cell r="I1450">
            <v>0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</row>
        <row r="1451">
          <cell r="A1451">
            <v>4</v>
          </cell>
          <cell r="B1451">
            <v>4820221</v>
          </cell>
          <cell r="C1451">
            <v>482022100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</row>
        <row r="1452">
          <cell r="A1452">
            <v>4</v>
          </cell>
          <cell r="B1452">
            <v>4820222</v>
          </cell>
          <cell r="C1452">
            <v>482022200</v>
          </cell>
          <cell r="I1452">
            <v>0</v>
          </cell>
          <cell r="J1452">
            <v>0</v>
          </cell>
          <cell r="K1452">
            <v>0</v>
          </cell>
          <cell r="L1452">
            <v>0</v>
          </cell>
          <cell r="M1452">
            <v>0</v>
          </cell>
          <cell r="N1452">
            <v>0</v>
          </cell>
          <cell r="O1452">
            <v>0</v>
          </cell>
          <cell r="P1452">
            <v>0</v>
          </cell>
        </row>
        <row r="1453">
          <cell r="A1453">
            <v>4</v>
          </cell>
          <cell r="B1453">
            <v>4820224</v>
          </cell>
          <cell r="C1453">
            <v>482022400</v>
          </cell>
          <cell r="I1453">
            <v>0</v>
          </cell>
          <cell r="J1453">
            <v>0</v>
          </cell>
          <cell r="K1453">
            <v>0</v>
          </cell>
          <cell r="L1453">
            <v>0</v>
          </cell>
          <cell r="M1453">
            <v>0</v>
          </cell>
          <cell r="N1453">
            <v>0</v>
          </cell>
          <cell r="O1453">
            <v>0</v>
          </cell>
          <cell r="P1453">
            <v>0</v>
          </cell>
        </row>
        <row r="1454">
          <cell r="A1454">
            <v>4</v>
          </cell>
          <cell r="B1454">
            <v>4820427</v>
          </cell>
          <cell r="C1454">
            <v>482042700</v>
          </cell>
          <cell r="I1454">
            <v>0</v>
          </cell>
          <cell r="J1454">
            <v>0</v>
          </cell>
          <cell r="K1454">
            <v>0</v>
          </cell>
          <cell r="L1454">
            <v>0</v>
          </cell>
          <cell r="M1454">
            <v>0</v>
          </cell>
          <cell r="N1454">
            <v>0</v>
          </cell>
          <cell r="O1454">
            <v>0</v>
          </cell>
          <cell r="P1454">
            <v>0</v>
          </cell>
        </row>
        <row r="1455">
          <cell r="A1455">
            <v>4</v>
          </cell>
          <cell r="B1455">
            <v>4820428</v>
          </cell>
          <cell r="C1455">
            <v>482042800</v>
          </cell>
          <cell r="I1455">
            <v>0</v>
          </cell>
          <cell r="J1455">
            <v>0</v>
          </cell>
          <cell r="K1455">
            <v>0</v>
          </cell>
          <cell r="L1455">
            <v>0</v>
          </cell>
          <cell r="M1455">
            <v>0</v>
          </cell>
          <cell r="N1455">
            <v>0</v>
          </cell>
          <cell r="O1455">
            <v>0</v>
          </cell>
          <cell r="P1455">
            <v>0</v>
          </cell>
        </row>
        <row r="1456">
          <cell r="A1456">
            <v>4</v>
          </cell>
          <cell r="B1456">
            <v>4820429</v>
          </cell>
          <cell r="C1456">
            <v>482042900</v>
          </cell>
          <cell r="I1456">
            <v>0</v>
          </cell>
          <cell r="J1456">
            <v>0</v>
          </cell>
          <cell r="K1456">
            <v>0</v>
          </cell>
          <cell r="L1456">
            <v>0</v>
          </cell>
          <cell r="M1456">
            <v>0</v>
          </cell>
          <cell r="N1456">
            <v>0</v>
          </cell>
          <cell r="O1456">
            <v>0</v>
          </cell>
          <cell r="P1456">
            <v>0</v>
          </cell>
        </row>
        <row r="1457">
          <cell r="A1457">
            <v>4</v>
          </cell>
          <cell r="B1457">
            <v>4820501</v>
          </cell>
          <cell r="C1457">
            <v>482050100</v>
          </cell>
          <cell r="I1457">
            <v>0</v>
          </cell>
          <cell r="J1457">
            <v>0</v>
          </cell>
          <cell r="K1457">
            <v>0</v>
          </cell>
          <cell r="L1457">
            <v>0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</row>
        <row r="1458">
          <cell r="A1458">
            <v>4</v>
          </cell>
          <cell r="B1458">
            <v>4820630</v>
          </cell>
          <cell r="C1458">
            <v>482063000</v>
          </cell>
          <cell r="I1458">
            <v>0</v>
          </cell>
          <cell r="J1458">
            <v>0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</row>
        <row r="1459">
          <cell r="A1459">
            <v>4</v>
          </cell>
          <cell r="B1459">
            <v>4820831</v>
          </cell>
          <cell r="C1459">
            <v>482083100</v>
          </cell>
          <cell r="I1459">
            <v>0</v>
          </cell>
          <cell r="J1459">
            <v>0</v>
          </cell>
          <cell r="K1459">
            <v>0</v>
          </cell>
          <cell r="L1459">
            <v>0</v>
          </cell>
          <cell r="M1459">
            <v>0</v>
          </cell>
          <cell r="N1459">
            <v>0</v>
          </cell>
          <cell r="O1459">
            <v>0</v>
          </cell>
          <cell r="P1459">
            <v>0</v>
          </cell>
        </row>
        <row r="1460">
          <cell r="A1460">
            <v>4</v>
          </cell>
          <cell r="B1460">
            <v>4820932</v>
          </cell>
          <cell r="C1460">
            <v>482093200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</row>
        <row r="1461">
          <cell r="A1461">
            <v>4</v>
          </cell>
          <cell r="B1461">
            <v>4820933</v>
          </cell>
          <cell r="C1461">
            <v>482093300</v>
          </cell>
          <cell r="I1461">
            <v>0</v>
          </cell>
          <cell r="J1461">
            <v>0</v>
          </cell>
          <cell r="K1461">
            <v>0</v>
          </cell>
          <cell r="L1461">
            <v>0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</row>
        <row r="1462">
          <cell r="A1462">
            <v>4</v>
          </cell>
          <cell r="B1462">
            <v>4821034</v>
          </cell>
          <cell r="C1462">
            <v>482103411</v>
          </cell>
          <cell r="I1462">
            <v>0</v>
          </cell>
          <cell r="J1462">
            <v>0</v>
          </cell>
          <cell r="K1462">
            <v>0</v>
          </cell>
          <cell r="L1462">
            <v>0</v>
          </cell>
          <cell r="M1462">
            <v>0</v>
          </cell>
          <cell r="N1462">
            <v>0</v>
          </cell>
          <cell r="O1462">
            <v>0</v>
          </cell>
          <cell r="P1462">
            <v>0</v>
          </cell>
        </row>
        <row r="1463">
          <cell r="A1463">
            <v>4</v>
          </cell>
          <cell r="B1463">
            <v>4821034</v>
          </cell>
          <cell r="C1463">
            <v>482103412</v>
          </cell>
          <cell r="I1463">
            <v>0</v>
          </cell>
          <cell r="J1463">
            <v>0</v>
          </cell>
          <cell r="K1463">
            <v>0</v>
          </cell>
          <cell r="L1463">
            <v>0</v>
          </cell>
          <cell r="M1463">
            <v>0</v>
          </cell>
          <cell r="N1463">
            <v>0</v>
          </cell>
          <cell r="O1463">
            <v>0</v>
          </cell>
          <cell r="P1463">
            <v>0</v>
          </cell>
        </row>
        <row r="1464">
          <cell r="A1464">
            <v>4</v>
          </cell>
          <cell r="B1464">
            <v>4821034</v>
          </cell>
          <cell r="C1464">
            <v>482103413</v>
          </cell>
          <cell r="I1464">
            <v>0</v>
          </cell>
          <cell r="J1464">
            <v>0</v>
          </cell>
          <cell r="K1464">
            <v>0</v>
          </cell>
          <cell r="L1464">
            <v>0</v>
          </cell>
          <cell r="M1464">
            <v>0</v>
          </cell>
          <cell r="N1464">
            <v>0</v>
          </cell>
          <cell r="O1464">
            <v>0</v>
          </cell>
          <cell r="P1464">
            <v>0</v>
          </cell>
        </row>
        <row r="1465">
          <cell r="A1465">
            <v>4</v>
          </cell>
          <cell r="B1465">
            <v>4821034</v>
          </cell>
          <cell r="C1465">
            <v>482103414</v>
          </cell>
          <cell r="I1465">
            <v>0</v>
          </cell>
          <cell r="J1465">
            <v>0</v>
          </cell>
          <cell r="K1465">
            <v>0</v>
          </cell>
          <cell r="L1465">
            <v>0</v>
          </cell>
          <cell r="M1465">
            <v>0</v>
          </cell>
          <cell r="N1465">
            <v>0</v>
          </cell>
          <cell r="O1465">
            <v>0</v>
          </cell>
          <cell r="P1465">
            <v>0</v>
          </cell>
        </row>
        <row r="1466">
          <cell r="A1466">
            <v>4</v>
          </cell>
          <cell r="B1466">
            <v>4821035</v>
          </cell>
          <cell r="C1466">
            <v>482103500</v>
          </cell>
          <cell r="I1466">
            <v>0</v>
          </cell>
          <cell r="J1466">
            <v>0</v>
          </cell>
          <cell r="K1466">
            <v>0</v>
          </cell>
          <cell r="L1466">
            <v>0</v>
          </cell>
          <cell r="M1466">
            <v>0</v>
          </cell>
          <cell r="N1466">
            <v>0</v>
          </cell>
          <cell r="O1466">
            <v>0</v>
          </cell>
          <cell r="P1466">
            <v>0</v>
          </cell>
        </row>
        <row r="1467">
          <cell r="A1467">
            <v>4</v>
          </cell>
          <cell r="B1467">
            <v>4821137</v>
          </cell>
          <cell r="C1467">
            <v>482113700</v>
          </cell>
          <cell r="I1467">
            <v>0</v>
          </cell>
          <cell r="J1467">
            <v>0</v>
          </cell>
          <cell r="K1467">
            <v>0</v>
          </cell>
          <cell r="L1467">
            <v>0</v>
          </cell>
          <cell r="M1467">
            <v>0</v>
          </cell>
          <cell r="N1467">
            <v>0</v>
          </cell>
          <cell r="O1467">
            <v>0</v>
          </cell>
          <cell r="P1467">
            <v>0</v>
          </cell>
        </row>
        <row r="1468">
          <cell r="A1468">
            <v>4</v>
          </cell>
          <cell r="B1468">
            <v>4821236</v>
          </cell>
          <cell r="C1468">
            <v>482123600</v>
          </cell>
          <cell r="I1468">
            <v>0</v>
          </cell>
          <cell r="J1468">
            <v>0</v>
          </cell>
          <cell r="K1468">
            <v>0</v>
          </cell>
          <cell r="L1468">
            <v>0</v>
          </cell>
          <cell r="M1468">
            <v>0</v>
          </cell>
          <cell r="N1468">
            <v>0</v>
          </cell>
          <cell r="O1468">
            <v>0</v>
          </cell>
          <cell r="P1468">
            <v>0</v>
          </cell>
        </row>
        <row r="1469">
          <cell r="A1469">
            <v>4</v>
          </cell>
          <cell r="B1469">
            <v>4821240</v>
          </cell>
          <cell r="C1469">
            <v>482124000</v>
          </cell>
          <cell r="I1469">
            <v>0</v>
          </cell>
          <cell r="J1469">
            <v>0</v>
          </cell>
          <cell r="K1469">
            <v>0</v>
          </cell>
          <cell r="L1469">
            <v>0</v>
          </cell>
          <cell r="M1469">
            <v>0</v>
          </cell>
          <cell r="N1469">
            <v>0</v>
          </cell>
          <cell r="O1469">
            <v>0</v>
          </cell>
          <cell r="P1469">
            <v>0</v>
          </cell>
        </row>
        <row r="1470">
          <cell r="A1470">
            <v>4</v>
          </cell>
          <cell r="B1470">
            <v>4821301</v>
          </cell>
          <cell r="C1470">
            <v>482130103</v>
          </cell>
          <cell r="I1470">
            <v>9781154</v>
          </cell>
          <cell r="J1470">
            <v>0</v>
          </cell>
          <cell r="K1470">
            <v>0</v>
          </cell>
          <cell r="L1470">
            <v>0</v>
          </cell>
          <cell r="M1470">
            <v>0</v>
          </cell>
          <cell r="N1470">
            <v>0</v>
          </cell>
          <cell r="O1470">
            <v>0</v>
          </cell>
          <cell r="P1470">
            <v>9781154</v>
          </cell>
        </row>
        <row r="1471">
          <cell r="A1471">
            <v>4</v>
          </cell>
          <cell r="B1471">
            <v>4821301</v>
          </cell>
          <cell r="C1471">
            <v>482130104</v>
          </cell>
          <cell r="I1471">
            <v>2448564</v>
          </cell>
          <cell r="J1471">
            <v>0</v>
          </cell>
          <cell r="K1471">
            <v>0</v>
          </cell>
          <cell r="L1471">
            <v>0</v>
          </cell>
          <cell r="M1471">
            <v>0</v>
          </cell>
          <cell r="N1471">
            <v>0</v>
          </cell>
          <cell r="O1471">
            <v>0</v>
          </cell>
          <cell r="P1471">
            <v>2448564</v>
          </cell>
        </row>
        <row r="1472">
          <cell r="A1472">
            <v>4</v>
          </cell>
          <cell r="B1472">
            <v>4821301</v>
          </cell>
          <cell r="C1472">
            <v>482130107</v>
          </cell>
          <cell r="I1472">
            <v>1839196</v>
          </cell>
          <cell r="J1472">
            <v>0</v>
          </cell>
          <cell r="K1472">
            <v>0</v>
          </cell>
          <cell r="L1472">
            <v>0</v>
          </cell>
          <cell r="M1472">
            <v>0</v>
          </cell>
          <cell r="N1472">
            <v>0</v>
          </cell>
          <cell r="O1472">
            <v>0</v>
          </cell>
          <cell r="P1472">
            <v>1839196</v>
          </cell>
        </row>
        <row r="1473">
          <cell r="A1473">
            <v>4</v>
          </cell>
          <cell r="B1473">
            <v>4821301</v>
          </cell>
          <cell r="C1473">
            <v>482130108</v>
          </cell>
          <cell r="I1473">
            <v>0</v>
          </cell>
          <cell r="J1473">
            <v>0</v>
          </cell>
          <cell r="K1473">
            <v>0</v>
          </cell>
          <cell r="L1473">
            <v>0</v>
          </cell>
          <cell r="M1473">
            <v>0</v>
          </cell>
          <cell r="N1473">
            <v>0</v>
          </cell>
          <cell r="O1473">
            <v>0</v>
          </cell>
          <cell r="P1473">
            <v>0</v>
          </cell>
        </row>
        <row r="1474">
          <cell r="A1474">
            <v>4</v>
          </cell>
          <cell r="B1474">
            <v>4821301</v>
          </cell>
          <cell r="C1474">
            <v>482130110</v>
          </cell>
          <cell r="I1474">
            <v>0</v>
          </cell>
          <cell r="J1474">
            <v>0</v>
          </cell>
          <cell r="K1474">
            <v>0</v>
          </cell>
          <cell r="L1474">
            <v>0</v>
          </cell>
          <cell r="M1474">
            <v>0</v>
          </cell>
          <cell r="N1474">
            <v>0</v>
          </cell>
          <cell r="O1474">
            <v>0</v>
          </cell>
          <cell r="P1474">
            <v>0</v>
          </cell>
        </row>
        <row r="1475">
          <cell r="A1475">
            <v>4</v>
          </cell>
          <cell r="B1475">
            <v>4821301</v>
          </cell>
          <cell r="C1475">
            <v>482130120</v>
          </cell>
          <cell r="I1475">
            <v>0</v>
          </cell>
          <cell r="J1475">
            <v>0</v>
          </cell>
          <cell r="K1475">
            <v>0</v>
          </cell>
          <cell r="L1475">
            <v>0</v>
          </cell>
          <cell r="M1475">
            <v>0</v>
          </cell>
          <cell r="N1475">
            <v>0</v>
          </cell>
          <cell r="O1475">
            <v>0</v>
          </cell>
          <cell r="P1475">
            <v>0</v>
          </cell>
        </row>
        <row r="1476">
          <cell r="A1476">
            <v>4</v>
          </cell>
          <cell r="B1476">
            <v>4830202</v>
          </cell>
          <cell r="C1476">
            <v>483020200</v>
          </cell>
          <cell r="I1476">
            <v>0</v>
          </cell>
          <cell r="J1476">
            <v>0</v>
          </cell>
          <cell r="K1476">
            <v>0</v>
          </cell>
          <cell r="L1476">
            <v>0</v>
          </cell>
          <cell r="M1476">
            <v>0</v>
          </cell>
          <cell r="N1476">
            <v>0</v>
          </cell>
          <cell r="O1476">
            <v>0</v>
          </cell>
          <cell r="P1476">
            <v>0</v>
          </cell>
        </row>
        <row r="1477">
          <cell r="A1477">
            <v>4</v>
          </cell>
          <cell r="B1477">
            <v>4830404</v>
          </cell>
          <cell r="C1477">
            <v>483040400</v>
          </cell>
          <cell r="I1477">
            <v>0</v>
          </cell>
          <cell r="J1477">
            <v>0</v>
          </cell>
          <cell r="K1477">
            <v>0</v>
          </cell>
          <cell r="L1477">
            <v>0</v>
          </cell>
          <cell r="M1477">
            <v>0</v>
          </cell>
          <cell r="N1477">
            <v>0</v>
          </cell>
          <cell r="O1477">
            <v>0</v>
          </cell>
          <cell r="P1477">
            <v>0</v>
          </cell>
        </row>
        <row r="1478">
          <cell r="A1478">
            <v>4</v>
          </cell>
          <cell r="B1478">
            <v>4830606</v>
          </cell>
          <cell r="C1478">
            <v>483060600</v>
          </cell>
          <cell r="I1478">
            <v>0</v>
          </cell>
          <cell r="J1478">
            <v>0</v>
          </cell>
          <cell r="K1478">
            <v>0</v>
          </cell>
          <cell r="L1478">
            <v>0</v>
          </cell>
          <cell r="M1478">
            <v>0</v>
          </cell>
          <cell r="N1478">
            <v>0</v>
          </cell>
          <cell r="O1478">
            <v>0</v>
          </cell>
          <cell r="P1478">
            <v>0</v>
          </cell>
        </row>
        <row r="1479">
          <cell r="A1479">
            <v>4</v>
          </cell>
          <cell r="B1479">
            <v>4830607</v>
          </cell>
          <cell r="C1479">
            <v>483060700</v>
          </cell>
          <cell r="I1479">
            <v>0</v>
          </cell>
          <cell r="J1479">
            <v>0</v>
          </cell>
          <cell r="K1479">
            <v>0</v>
          </cell>
          <cell r="L1479">
            <v>0</v>
          </cell>
          <cell r="M1479">
            <v>0</v>
          </cell>
          <cell r="N1479">
            <v>0</v>
          </cell>
          <cell r="O1479">
            <v>0</v>
          </cell>
          <cell r="P1479">
            <v>0</v>
          </cell>
        </row>
        <row r="1480">
          <cell r="A1480">
            <v>4</v>
          </cell>
          <cell r="B1480">
            <v>4830608</v>
          </cell>
          <cell r="C1480">
            <v>483060800</v>
          </cell>
          <cell r="I1480">
            <v>0</v>
          </cell>
          <cell r="J1480">
            <v>0</v>
          </cell>
          <cell r="K1480">
            <v>0</v>
          </cell>
          <cell r="L1480">
            <v>0</v>
          </cell>
          <cell r="M1480">
            <v>0</v>
          </cell>
          <cell r="N1480">
            <v>0</v>
          </cell>
          <cell r="O1480">
            <v>0</v>
          </cell>
          <cell r="P1480">
            <v>0</v>
          </cell>
        </row>
        <row r="1481">
          <cell r="A1481">
            <v>4</v>
          </cell>
          <cell r="B1481">
            <v>4830808</v>
          </cell>
          <cell r="C1481">
            <v>483080800</v>
          </cell>
          <cell r="I1481">
            <v>0</v>
          </cell>
          <cell r="J1481">
            <v>0</v>
          </cell>
          <cell r="K1481">
            <v>0</v>
          </cell>
          <cell r="L1481">
            <v>0</v>
          </cell>
          <cell r="M1481">
            <v>0</v>
          </cell>
          <cell r="N1481">
            <v>0</v>
          </cell>
          <cell r="O1481">
            <v>0</v>
          </cell>
          <cell r="P1481">
            <v>0</v>
          </cell>
        </row>
        <row r="1482">
          <cell r="A1482">
            <v>4</v>
          </cell>
          <cell r="B1482">
            <v>6155277</v>
          </cell>
          <cell r="C1482">
            <v>615527700</v>
          </cell>
          <cell r="I1482">
            <v>0</v>
          </cell>
          <cell r="J1482">
            <v>0</v>
          </cell>
          <cell r="K1482">
            <v>0</v>
          </cell>
          <cell r="L1482">
            <v>0</v>
          </cell>
          <cell r="M1482">
            <v>0</v>
          </cell>
          <cell r="N1482">
            <v>0</v>
          </cell>
          <cell r="O1482">
            <v>0</v>
          </cell>
          <cell r="P1482">
            <v>0</v>
          </cell>
        </row>
        <row r="1483">
          <cell r="A1483">
            <v>4</v>
          </cell>
          <cell r="B1483">
            <v>6155278</v>
          </cell>
          <cell r="C1483">
            <v>615527800</v>
          </cell>
          <cell r="I1483">
            <v>0</v>
          </cell>
          <cell r="J1483">
            <v>0</v>
          </cell>
          <cell r="K1483">
            <v>0</v>
          </cell>
          <cell r="L1483">
            <v>0</v>
          </cell>
          <cell r="M1483">
            <v>0</v>
          </cell>
          <cell r="N1483">
            <v>0</v>
          </cell>
          <cell r="O1483">
            <v>0</v>
          </cell>
          <cell r="P1483">
            <v>0</v>
          </cell>
        </row>
        <row r="1484">
          <cell r="A1484">
            <v>4</v>
          </cell>
          <cell r="B1484">
            <v>6155301</v>
          </cell>
          <cell r="C1484">
            <v>615530102</v>
          </cell>
          <cell r="I1484">
            <v>0</v>
          </cell>
          <cell r="J1484">
            <v>0</v>
          </cell>
          <cell r="K1484">
            <v>0</v>
          </cell>
          <cell r="L1484">
            <v>0</v>
          </cell>
          <cell r="M1484">
            <v>0</v>
          </cell>
          <cell r="N1484">
            <v>0</v>
          </cell>
          <cell r="O1484">
            <v>0</v>
          </cell>
          <cell r="P1484">
            <v>0</v>
          </cell>
        </row>
        <row r="1485">
          <cell r="A1485">
            <v>4</v>
          </cell>
          <cell r="B1485">
            <v>6155301</v>
          </cell>
          <cell r="C1485">
            <v>615530103</v>
          </cell>
          <cell r="I1485">
            <v>0</v>
          </cell>
          <cell r="J1485">
            <v>0</v>
          </cell>
          <cell r="K1485">
            <v>0</v>
          </cell>
          <cell r="L1485">
            <v>0</v>
          </cell>
          <cell r="M1485">
            <v>0</v>
          </cell>
          <cell r="N1485">
            <v>0</v>
          </cell>
          <cell r="O1485">
            <v>0</v>
          </cell>
          <cell r="P1485">
            <v>0</v>
          </cell>
        </row>
        <row r="1486">
          <cell r="A1486">
            <v>4</v>
          </cell>
          <cell r="B1486">
            <v>6155301</v>
          </cell>
          <cell r="C1486">
            <v>615530104</v>
          </cell>
          <cell r="I1486">
            <v>0</v>
          </cell>
          <cell r="J1486">
            <v>0</v>
          </cell>
          <cell r="K1486">
            <v>0</v>
          </cell>
          <cell r="L1486">
            <v>0</v>
          </cell>
          <cell r="M1486">
            <v>0</v>
          </cell>
          <cell r="N1486">
            <v>0</v>
          </cell>
          <cell r="O1486">
            <v>0</v>
          </cell>
          <cell r="P1486">
            <v>0</v>
          </cell>
        </row>
        <row r="1487">
          <cell r="A1487">
            <v>4</v>
          </cell>
          <cell r="B1487">
            <v>6155301</v>
          </cell>
          <cell r="C1487">
            <v>615530105</v>
          </cell>
          <cell r="I1487">
            <v>2110500</v>
          </cell>
          <cell r="J1487">
            <v>0</v>
          </cell>
          <cell r="K1487">
            <v>0</v>
          </cell>
          <cell r="L1487">
            <v>0</v>
          </cell>
          <cell r="M1487">
            <v>0</v>
          </cell>
          <cell r="N1487">
            <v>0</v>
          </cell>
          <cell r="O1487">
            <v>0</v>
          </cell>
          <cell r="P1487">
            <v>2110500</v>
          </cell>
        </row>
        <row r="1488">
          <cell r="A1488">
            <v>4</v>
          </cell>
          <cell r="B1488">
            <v>6155302</v>
          </cell>
          <cell r="C1488">
            <v>615530202</v>
          </cell>
          <cell r="I1488">
            <v>2474400</v>
          </cell>
          <cell r="J1488">
            <v>0</v>
          </cell>
          <cell r="K1488">
            <v>0</v>
          </cell>
          <cell r="L1488">
            <v>0</v>
          </cell>
          <cell r="M1488">
            <v>0</v>
          </cell>
          <cell r="N1488">
            <v>0</v>
          </cell>
          <cell r="O1488">
            <v>0</v>
          </cell>
          <cell r="P1488">
            <v>2474400</v>
          </cell>
        </row>
        <row r="1489">
          <cell r="A1489">
            <v>4</v>
          </cell>
          <cell r="B1489">
            <v>6155303</v>
          </cell>
          <cell r="C1489">
            <v>615530301</v>
          </cell>
          <cell r="I1489">
            <v>247440</v>
          </cell>
          <cell r="J1489">
            <v>0</v>
          </cell>
          <cell r="K1489">
            <v>0</v>
          </cell>
          <cell r="L1489">
            <v>0</v>
          </cell>
          <cell r="M1489">
            <v>0</v>
          </cell>
          <cell r="N1489">
            <v>0</v>
          </cell>
          <cell r="O1489">
            <v>0</v>
          </cell>
          <cell r="P1489">
            <v>247440</v>
          </cell>
        </row>
        <row r="1490">
          <cell r="A1490">
            <v>4</v>
          </cell>
          <cell r="B1490">
            <v>6155303</v>
          </cell>
          <cell r="C1490">
            <v>615530302</v>
          </cell>
          <cell r="I1490">
            <v>0</v>
          </cell>
          <cell r="J1490">
            <v>0</v>
          </cell>
          <cell r="K1490">
            <v>0</v>
          </cell>
          <cell r="L1490">
            <v>0</v>
          </cell>
          <cell r="M1490">
            <v>0</v>
          </cell>
          <cell r="N1490">
            <v>0</v>
          </cell>
          <cell r="O1490">
            <v>0</v>
          </cell>
          <cell r="P1490">
            <v>0</v>
          </cell>
        </row>
        <row r="1491">
          <cell r="A1491">
            <v>4</v>
          </cell>
          <cell r="B1491">
            <v>6155303</v>
          </cell>
          <cell r="C1491">
            <v>615530303</v>
          </cell>
          <cell r="I1491">
            <v>1491572</v>
          </cell>
          <cell r="J1491">
            <v>0</v>
          </cell>
          <cell r="K1491">
            <v>0</v>
          </cell>
          <cell r="L1491">
            <v>0</v>
          </cell>
          <cell r="M1491">
            <v>0</v>
          </cell>
          <cell r="N1491">
            <v>0</v>
          </cell>
          <cell r="O1491">
            <v>0</v>
          </cell>
          <cell r="P1491">
            <v>1491572</v>
          </cell>
        </row>
        <row r="1492">
          <cell r="A1492">
            <v>4</v>
          </cell>
          <cell r="B1492">
            <v>6155303</v>
          </cell>
          <cell r="C1492">
            <v>615530304</v>
          </cell>
          <cell r="I1492">
            <v>194020</v>
          </cell>
          <cell r="J1492">
            <v>0</v>
          </cell>
          <cell r="K1492">
            <v>0</v>
          </cell>
          <cell r="L1492">
            <v>0</v>
          </cell>
          <cell r="M1492">
            <v>0</v>
          </cell>
          <cell r="N1492">
            <v>194020</v>
          </cell>
          <cell r="O1492">
            <v>0</v>
          </cell>
          <cell r="P1492">
            <v>0</v>
          </cell>
        </row>
        <row r="1493">
          <cell r="A1493">
            <v>4</v>
          </cell>
          <cell r="B1493">
            <v>6155303</v>
          </cell>
          <cell r="C1493">
            <v>615530305</v>
          </cell>
          <cell r="I1493">
            <v>0</v>
          </cell>
          <cell r="J1493">
            <v>0</v>
          </cell>
          <cell r="K1493">
            <v>0</v>
          </cell>
          <cell r="L1493">
            <v>0</v>
          </cell>
          <cell r="M1493">
            <v>0</v>
          </cell>
          <cell r="N1493">
            <v>0</v>
          </cell>
          <cell r="O1493">
            <v>0</v>
          </cell>
          <cell r="P1493">
            <v>0</v>
          </cell>
        </row>
        <row r="1494">
          <cell r="A1494">
            <v>4</v>
          </cell>
          <cell r="B1494">
            <v>6155303</v>
          </cell>
          <cell r="C1494">
            <v>615530306</v>
          </cell>
          <cell r="I1494">
            <v>0</v>
          </cell>
          <cell r="J1494">
            <v>0</v>
          </cell>
          <cell r="K1494">
            <v>0</v>
          </cell>
          <cell r="L1494">
            <v>0</v>
          </cell>
          <cell r="M1494">
            <v>0</v>
          </cell>
          <cell r="N1494">
            <v>0</v>
          </cell>
          <cell r="O1494">
            <v>0</v>
          </cell>
          <cell r="P1494">
            <v>0</v>
          </cell>
        </row>
        <row r="1495">
          <cell r="A1495">
            <v>4</v>
          </cell>
          <cell r="B1495">
            <v>6155303</v>
          </cell>
          <cell r="C1495">
            <v>615530307</v>
          </cell>
          <cell r="I1495">
            <v>0</v>
          </cell>
          <cell r="J1495">
            <v>0</v>
          </cell>
          <cell r="K1495">
            <v>0</v>
          </cell>
          <cell r="L1495">
            <v>0</v>
          </cell>
          <cell r="M1495">
            <v>0</v>
          </cell>
          <cell r="N1495">
            <v>0</v>
          </cell>
          <cell r="O1495">
            <v>0</v>
          </cell>
          <cell r="P1495">
            <v>0</v>
          </cell>
        </row>
        <row r="1496">
          <cell r="A1496">
            <v>4</v>
          </cell>
          <cell r="B1496">
            <v>6155303</v>
          </cell>
          <cell r="C1496">
            <v>615530310</v>
          </cell>
          <cell r="I1496">
            <v>753722</v>
          </cell>
          <cell r="J1496">
            <v>0</v>
          </cell>
          <cell r="K1496">
            <v>0</v>
          </cell>
          <cell r="L1496">
            <v>0</v>
          </cell>
          <cell r="M1496">
            <v>0</v>
          </cell>
          <cell r="N1496">
            <v>0</v>
          </cell>
          <cell r="O1496">
            <v>0</v>
          </cell>
          <cell r="P1496">
            <v>753722</v>
          </cell>
        </row>
        <row r="1497">
          <cell r="A1497">
            <v>4</v>
          </cell>
          <cell r="B1497">
            <v>6155303</v>
          </cell>
          <cell r="C1497">
            <v>615530311</v>
          </cell>
          <cell r="I1497">
            <v>0</v>
          </cell>
          <cell r="J1497">
            <v>0</v>
          </cell>
          <cell r="K1497">
            <v>0</v>
          </cell>
          <cell r="L1497">
            <v>0</v>
          </cell>
          <cell r="M1497">
            <v>0</v>
          </cell>
          <cell r="N1497">
            <v>0</v>
          </cell>
          <cell r="O1497">
            <v>0</v>
          </cell>
          <cell r="P1497">
            <v>0</v>
          </cell>
        </row>
        <row r="1498">
          <cell r="A1498">
            <v>4</v>
          </cell>
          <cell r="B1498">
            <v>6155303</v>
          </cell>
          <cell r="C1498">
            <v>615530314</v>
          </cell>
          <cell r="I1498">
            <v>324000</v>
          </cell>
          <cell r="J1498">
            <v>0</v>
          </cell>
          <cell r="K1498">
            <v>0</v>
          </cell>
          <cell r="L1498">
            <v>0</v>
          </cell>
          <cell r="M1498">
            <v>0</v>
          </cell>
          <cell r="N1498">
            <v>0</v>
          </cell>
          <cell r="O1498">
            <v>0</v>
          </cell>
          <cell r="P1498">
            <v>324000</v>
          </cell>
        </row>
        <row r="1499">
          <cell r="A1499">
            <v>4</v>
          </cell>
          <cell r="B1499">
            <v>6155303</v>
          </cell>
          <cell r="C1499">
            <v>615530315</v>
          </cell>
          <cell r="I1499">
            <v>0</v>
          </cell>
          <cell r="J1499">
            <v>0</v>
          </cell>
          <cell r="K1499">
            <v>0</v>
          </cell>
          <cell r="L1499">
            <v>0</v>
          </cell>
          <cell r="M1499">
            <v>0</v>
          </cell>
          <cell r="N1499">
            <v>0</v>
          </cell>
          <cell r="O1499">
            <v>0</v>
          </cell>
          <cell r="P1499">
            <v>0</v>
          </cell>
        </row>
        <row r="1500">
          <cell r="A1500">
            <v>4</v>
          </cell>
          <cell r="B1500">
            <v>6155303</v>
          </cell>
          <cell r="C1500">
            <v>615530316</v>
          </cell>
          <cell r="I1500">
            <v>0</v>
          </cell>
          <cell r="J1500">
            <v>0</v>
          </cell>
          <cell r="K1500">
            <v>0</v>
          </cell>
          <cell r="L1500">
            <v>0</v>
          </cell>
          <cell r="M1500">
            <v>0</v>
          </cell>
          <cell r="N1500">
            <v>0</v>
          </cell>
          <cell r="O1500">
            <v>0</v>
          </cell>
          <cell r="P1500">
            <v>0</v>
          </cell>
        </row>
        <row r="1501">
          <cell r="A1501">
            <v>4</v>
          </cell>
          <cell r="B1501">
            <v>6155303</v>
          </cell>
          <cell r="C1501">
            <v>615530319</v>
          </cell>
          <cell r="I1501">
            <v>0</v>
          </cell>
          <cell r="J1501">
            <v>0</v>
          </cell>
          <cell r="K1501">
            <v>0</v>
          </cell>
          <cell r="L1501">
            <v>0</v>
          </cell>
          <cell r="M1501">
            <v>0</v>
          </cell>
          <cell r="N1501">
            <v>0</v>
          </cell>
          <cell r="O1501">
            <v>0</v>
          </cell>
          <cell r="P1501">
            <v>0</v>
          </cell>
        </row>
        <row r="1502">
          <cell r="A1502">
            <v>4</v>
          </cell>
          <cell r="B1502">
            <v>6155304</v>
          </cell>
          <cell r="C1502">
            <v>615530401</v>
          </cell>
          <cell r="I1502">
            <v>709013</v>
          </cell>
          <cell r="J1502">
            <v>0</v>
          </cell>
          <cell r="K1502">
            <v>0</v>
          </cell>
          <cell r="L1502">
            <v>0</v>
          </cell>
          <cell r="M1502">
            <v>0</v>
          </cell>
          <cell r="N1502">
            <v>0</v>
          </cell>
          <cell r="O1502">
            <v>709013</v>
          </cell>
          <cell r="P1502">
            <v>0</v>
          </cell>
        </row>
        <row r="1503">
          <cell r="A1503">
            <v>4</v>
          </cell>
          <cell r="B1503">
            <v>6155304</v>
          </cell>
          <cell r="C1503">
            <v>615530402</v>
          </cell>
          <cell r="I1503">
            <v>6576</v>
          </cell>
          <cell r="J1503">
            <v>0</v>
          </cell>
          <cell r="K1503">
            <v>0</v>
          </cell>
          <cell r="L1503">
            <v>0</v>
          </cell>
          <cell r="M1503">
            <v>0</v>
          </cell>
          <cell r="N1503">
            <v>0</v>
          </cell>
          <cell r="O1503">
            <v>0</v>
          </cell>
          <cell r="P1503">
            <v>6576</v>
          </cell>
        </row>
        <row r="1504">
          <cell r="A1504">
            <v>4</v>
          </cell>
          <cell r="B1504">
            <v>6155304</v>
          </cell>
          <cell r="C1504">
            <v>615530403</v>
          </cell>
          <cell r="I1504">
            <v>0</v>
          </cell>
          <cell r="J1504">
            <v>0</v>
          </cell>
          <cell r="K1504">
            <v>0</v>
          </cell>
          <cell r="L1504">
            <v>0</v>
          </cell>
          <cell r="M1504">
            <v>0</v>
          </cell>
          <cell r="N1504">
            <v>0</v>
          </cell>
          <cell r="O1504">
            <v>0</v>
          </cell>
          <cell r="P1504">
            <v>0</v>
          </cell>
        </row>
        <row r="1505">
          <cell r="A1505">
            <v>4</v>
          </cell>
          <cell r="B1505">
            <v>6155304</v>
          </cell>
          <cell r="C1505">
            <v>615530405</v>
          </cell>
          <cell r="I1505">
            <v>0</v>
          </cell>
          <cell r="J1505">
            <v>0</v>
          </cell>
          <cell r="K1505">
            <v>0</v>
          </cell>
          <cell r="L1505">
            <v>0</v>
          </cell>
          <cell r="M1505">
            <v>0</v>
          </cell>
          <cell r="N1505">
            <v>0</v>
          </cell>
          <cell r="O1505">
            <v>0</v>
          </cell>
          <cell r="P1505">
            <v>0</v>
          </cell>
        </row>
        <row r="1506">
          <cell r="A1506">
            <v>4</v>
          </cell>
          <cell r="B1506">
            <v>6155304</v>
          </cell>
          <cell r="C1506">
            <v>615530406</v>
          </cell>
          <cell r="I1506">
            <v>26372</v>
          </cell>
          <cell r="J1506">
            <v>0</v>
          </cell>
          <cell r="K1506">
            <v>0</v>
          </cell>
          <cell r="L1506">
            <v>0</v>
          </cell>
          <cell r="M1506">
            <v>0</v>
          </cell>
          <cell r="N1506">
            <v>0</v>
          </cell>
          <cell r="O1506">
            <v>26372</v>
          </cell>
          <cell r="P1506">
            <v>0</v>
          </cell>
        </row>
        <row r="1507">
          <cell r="A1507">
            <v>4</v>
          </cell>
          <cell r="B1507">
            <v>6155304</v>
          </cell>
          <cell r="C1507">
            <v>615530407</v>
          </cell>
          <cell r="I1507">
            <v>250253</v>
          </cell>
          <cell r="J1507">
            <v>0</v>
          </cell>
          <cell r="K1507">
            <v>0</v>
          </cell>
          <cell r="L1507">
            <v>0</v>
          </cell>
          <cell r="M1507">
            <v>0</v>
          </cell>
          <cell r="N1507">
            <v>0</v>
          </cell>
          <cell r="O1507">
            <v>250253</v>
          </cell>
          <cell r="P1507">
            <v>0</v>
          </cell>
        </row>
        <row r="1508">
          <cell r="A1508">
            <v>4</v>
          </cell>
          <cell r="B1508">
            <v>6155304</v>
          </cell>
          <cell r="C1508">
            <v>615530408</v>
          </cell>
          <cell r="I1508">
            <v>9845</v>
          </cell>
          <cell r="J1508">
            <v>0</v>
          </cell>
          <cell r="K1508">
            <v>0</v>
          </cell>
          <cell r="L1508">
            <v>0</v>
          </cell>
          <cell r="M1508">
            <v>0</v>
          </cell>
          <cell r="N1508">
            <v>0</v>
          </cell>
          <cell r="O1508">
            <v>9845</v>
          </cell>
          <cell r="P1508">
            <v>0</v>
          </cell>
        </row>
        <row r="1509">
          <cell r="A1509">
            <v>4</v>
          </cell>
          <cell r="B1509">
            <v>6155304</v>
          </cell>
          <cell r="C1509">
            <v>615530410</v>
          </cell>
          <cell r="I1509">
            <v>352921</v>
          </cell>
          <cell r="J1509">
            <v>0</v>
          </cell>
          <cell r="K1509">
            <v>0</v>
          </cell>
          <cell r="L1509">
            <v>0</v>
          </cell>
          <cell r="M1509">
            <v>0</v>
          </cell>
          <cell r="N1509">
            <v>0</v>
          </cell>
          <cell r="O1509">
            <v>352921</v>
          </cell>
          <cell r="P1509">
            <v>0</v>
          </cell>
        </row>
        <row r="1510">
          <cell r="A1510">
            <v>4</v>
          </cell>
          <cell r="B1510">
            <v>6155304</v>
          </cell>
          <cell r="C1510">
            <v>615530411</v>
          </cell>
          <cell r="I1510">
            <v>0</v>
          </cell>
          <cell r="J1510">
            <v>0</v>
          </cell>
          <cell r="K1510">
            <v>0</v>
          </cell>
          <cell r="L1510">
            <v>0</v>
          </cell>
          <cell r="M1510">
            <v>0</v>
          </cell>
          <cell r="N1510">
            <v>0</v>
          </cell>
          <cell r="O1510">
            <v>0</v>
          </cell>
          <cell r="P1510">
            <v>0</v>
          </cell>
        </row>
        <row r="1511">
          <cell r="A1511">
            <v>4</v>
          </cell>
          <cell r="B1511">
            <v>6155305</v>
          </cell>
          <cell r="C1511">
            <v>615530500</v>
          </cell>
          <cell r="I1511">
            <v>0</v>
          </cell>
          <cell r="J1511">
            <v>0</v>
          </cell>
          <cell r="K1511">
            <v>0</v>
          </cell>
          <cell r="L1511">
            <v>0</v>
          </cell>
          <cell r="M1511">
            <v>0</v>
          </cell>
          <cell r="N1511">
            <v>0</v>
          </cell>
          <cell r="O1511">
            <v>0</v>
          </cell>
          <cell r="P1511">
            <v>0</v>
          </cell>
        </row>
        <row r="1512">
          <cell r="A1512">
            <v>4</v>
          </cell>
          <cell r="B1512">
            <v>6155307</v>
          </cell>
          <cell r="C1512">
            <v>615530700</v>
          </cell>
          <cell r="I1512">
            <v>0</v>
          </cell>
          <cell r="J1512">
            <v>0</v>
          </cell>
          <cell r="K1512">
            <v>0</v>
          </cell>
          <cell r="L1512">
            <v>0</v>
          </cell>
          <cell r="M1512">
            <v>0</v>
          </cell>
          <cell r="N1512">
            <v>0</v>
          </cell>
          <cell r="O1512">
            <v>0</v>
          </cell>
          <cell r="P1512">
            <v>0</v>
          </cell>
        </row>
        <row r="1513">
          <cell r="A1513">
            <v>4</v>
          </cell>
          <cell r="B1513">
            <v>6155308</v>
          </cell>
          <cell r="C1513">
            <v>615530800</v>
          </cell>
          <cell r="I1513">
            <v>240000</v>
          </cell>
          <cell r="J1513">
            <v>0</v>
          </cell>
          <cell r="K1513">
            <v>0</v>
          </cell>
          <cell r="L1513">
            <v>0</v>
          </cell>
          <cell r="M1513">
            <v>0</v>
          </cell>
          <cell r="N1513">
            <v>0</v>
          </cell>
          <cell r="O1513">
            <v>0</v>
          </cell>
          <cell r="P1513">
            <v>240000</v>
          </cell>
        </row>
        <row r="1514">
          <cell r="A1514">
            <v>4</v>
          </cell>
          <cell r="B1514">
            <v>6155310</v>
          </cell>
          <cell r="C1514">
            <v>615531001</v>
          </cell>
          <cell r="I1514">
            <v>0</v>
          </cell>
          <cell r="J1514">
            <v>0</v>
          </cell>
          <cell r="K1514">
            <v>0</v>
          </cell>
          <cell r="L1514">
            <v>0</v>
          </cell>
          <cell r="M1514">
            <v>0</v>
          </cell>
          <cell r="N1514">
            <v>0</v>
          </cell>
          <cell r="O1514">
            <v>0</v>
          </cell>
          <cell r="P1514">
            <v>0</v>
          </cell>
        </row>
        <row r="1515">
          <cell r="A1515">
            <v>4</v>
          </cell>
          <cell r="B1515">
            <v>6155310</v>
          </cell>
          <cell r="C1515">
            <v>615531002</v>
          </cell>
          <cell r="I1515">
            <v>0</v>
          </cell>
          <cell r="J1515">
            <v>0</v>
          </cell>
          <cell r="K1515">
            <v>0</v>
          </cell>
          <cell r="L1515">
            <v>0</v>
          </cell>
          <cell r="M1515">
            <v>0</v>
          </cell>
          <cell r="N1515">
            <v>0</v>
          </cell>
          <cell r="O1515">
            <v>0</v>
          </cell>
          <cell r="P1515">
            <v>0</v>
          </cell>
        </row>
        <row r="1516">
          <cell r="A1516">
            <v>4</v>
          </cell>
          <cell r="B1516">
            <v>6155310</v>
          </cell>
          <cell r="C1516">
            <v>615531003</v>
          </cell>
          <cell r="I1516">
            <v>208660</v>
          </cell>
          <cell r="J1516">
            <v>0</v>
          </cell>
          <cell r="K1516">
            <v>0</v>
          </cell>
          <cell r="L1516">
            <v>0</v>
          </cell>
          <cell r="M1516">
            <v>0</v>
          </cell>
          <cell r="N1516">
            <v>208660</v>
          </cell>
          <cell r="O1516">
            <v>0</v>
          </cell>
          <cell r="P1516">
            <v>0</v>
          </cell>
        </row>
        <row r="1517">
          <cell r="A1517">
            <v>4</v>
          </cell>
          <cell r="B1517">
            <v>6155313</v>
          </cell>
          <cell r="C1517">
            <v>615531300</v>
          </cell>
          <cell r="I1517">
            <v>232236</v>
          </cell>
          <cell r="J1517">
            <v>0</v>
          </cell>
          <cell r="K1517">
            <v>0</v>
          </cell>
          <cell r="L1517">
            <v>0</v>
          </cell>
          <cell r="M1517">
            <v>0</v>
          </cell>
          <cell r="N1517">
            <v>232236</v>
          </cell>
          <cell r="O1517">
            <v>0</v>
          </cell>
          <cell r="P1517">
            <v>0</v>
          </cell>
        </row>
        <row r="1518">
          <cell r="A1518">
            <v>4</v>
          </cell>
          <cell r="B1518">
            <v>6155314</v>
          </cell>
          <cell r="C1518">
            <v>615531400</v>
          </cell>
          <cell r="I1518">
            <v>0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</row>
        <row r="1519">
          <cell r="A1519">
            <v>4</v>
          </cell>
          <cell r="B1519">
            <v>6155315</v>
          </cell>
          <cell r="C1519">
            <v>615531500</v>
          </cell>
          <cell r="I1519">
            <v>0</v>
          </cell>
          <cell r="J1519">
            <v>0</v>
          </cell>
          <cell r="K1519">
            <v>0</v>
          </cell>
          <cell r="L1519">
            <v>0</v>
          </cell>
          <cell r="M1519">
            <v>0</v>
          </cell>
          <cell r="N1519">
            <v>0</v>
          </cell>
          <cell r="O1519">
            <v>0</v>
          </cell>
          <cell r="P1519">
            <v>0</v>
          </cell>
        </row>
        <row r="1520">
          <cell r="A1520">
            <v>4</v>
          </cell>
          <cell r="B1520">
            <v>6155317</v>
          </cell>
          <cell r="C1520">
            <v>615531700</v>
          </cell>
          <cell r="I1520">
            <v>7600</v>
          </cell>
          <cell r="J1520">
            <v>0</v>
          </cell>
          <cell r="K1520">
            <v>0</v>
          </cell>
          <cell r="L1520">
            <v>0</v>
          </cell>
          <cell r="M1520">
            <v>0</v>
          </cell>
          <cell r="N1520">
            <v>7600</v>
          </cell>
          <cell r="O1520">
            <v>0</v>
          </cell>
          <cell r="P1520">
            <v>0</v>
          </cell>
        </row>
        <row r="1521">
          <cell r="A1521">
            <v>4</v>
          </cell>
          <cell r="B1521">
            <v>6155319</v>
          </cell>
          <cell r="C1521">
            <v>615531900</v>
          </cell>
          <cell r="I1521">
            <v>283</v>
          </cell>
          <cell r="J1521">
            <v>0</v>
          </cell>
          <cell r="K1521">
            <v>0</v>
          </cell>
          <cell r="L1521">
            <v>0</v>
          </cell>
          <cell r="M1521">
            <v>0</v>
          </cell>
          <cell r="N1521">
            <v>283</v>
          </cell>
          <cell r="O1521">
            <v>0</v>
          </cell>
          <cell r="P1521">
            <v>0</v>
          </cell>
        </row>
        <row r="1522">
          <cell r="A1522">
            <v>4</v>
          </cell>
          <cell r="B1522">
            <v>6155320</v>
          </cell>
          <cell r="C1522">
            <v>615532000</v>
          </cell>
          <cell r="I1522">
            <v>0</v>
          </cell>
          <cell r="J1522">
            <v>0</v>
          </cell>
          <cell r="K1522">
            <v>0</v>
          </cell>
          <cell r="L1522">
            <v>0</v>
          </cell>
          <cell r="M1522">
            <v>0</v>
          </cell>
          <cell r="N1522">
            <v>0</v>
          </cell>
          <cell r="O1522">
            <v>0</v>
          </cell>
          <cell r="P1522">
            <v>0</v>
          </cell>
        </row>
        <row r="1523">
          <cell r="A1523">
            <v>4</v>
          </cell>
          <cell r="B1523">
            <v>6155321</v>
          </cell>
          <cell r="C1523">
            <v>615532100</v>
          </cell>
          <cell r="I1523">
            <v>2041</v>
          </cell>
          <cell r="J1523">
            <v>0</v>
          </cell>
          <cell r="K1523">
            <v>0</v>
          </cell>
          <cell r="L1523">
            <v>0</v>
          </cell>
          <cell r="M1523">
            <v>0</v>
          </cell>
          <cell r="N1523">
            <v>2041</v>
          </cell>
          <cell r="O1523">
            <v>0</v>
          </cell>
          <cell r="P1523">
            <v>0</v>
          </cell>
        </row>
        <row r="1524">
          <cell r="A1524">
            <v>4</v>
          </cell>
          <cell r="B1524">
            <v>6155323</v>
          </cell>
          <cell r="C1524">
            <v>615532300</v>
          </cell>
          <cell r="I1524">
            <v>0</v>
          </cell>
          <cell r="J1524">
            <v>0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</row>
        <row r="1525">
          <cell r="A1525">
            <v>4</v>
          </cell>
          <cell r="B1525">
            <v>6155324</v>
          </cell>
          <cell r="C1525">
            <v>615532400</v>
          </cell>
          <cell r="I1525">
            <v>0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</row>
        <row r="1526">
          <cell r="A1526">
            <v>4</v>
          </cell>
          <cell r="B1526">
            <v>6155331</v>
          </cell>
          <cell r="C1526">
            <v>615533100</v>
          </cell>
          <cell r="I1526">
            <v>0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</row>
        <row r="1527">
          <cell r="A1527">
            <v>4</v>
          </cell>
          <cell r="B1527">
            <v>6155337</v>
          </cell>
          <cell r="C1527">
            <v>615533700</v>
          </cell>
          <cell r="I1527">
            <v>0</v>
          </cell>
          <cell r="J1527">
            <v>0</v>
          </cell>
          <cell r="K1527">
            <v>0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  <cell r="P1527">
            <v>0</v>
          </cell>
        </row>
        <row r="1528">
          <cell r="A1528">
            <v>4</v>
          </cell>
          <cell r="B1528">
            <v>6155339</v>
          </cell>
          <cell r="C1528">
            <v>615533900</v>
          </cell>
          <cell r="I1528">
            <v>0</v>
          </cell>
          <cell r="J1528">
            <v>0</v>
          </cell>
          <cell r="K1528">
            <v>0</v>
          </cell>
          <cell r="L1528">
            <v>0</v>
          </cell>
          <cell r="M1528">
            <v>0</v>
          </cell>
          <cell r="N1528">
            <v>0</v>
          </cell>
          <cell r="O1528">
            <v>0</v>
          </cell>
          <cell r="P1528">
            <v>0</v>
          </cell>
        </row>
        <row r="1529">
          <cell r="A1529">
            <v>4</v>
          </cell>
          <cell r="B1529">
            <v>6155340</v>
          </cell>
          <cell r="C1529">
            <v>615534000</v>
          </cell>
          <cell r="I1529">
            <v>0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</row>
        <row r="1530">
          <cell r="A1530">
            <v>4</v>
          </cell>
          <cell r="B1530">
            <v>6155341</v>
          </cell>
          <cell r="C1530">
            <v>615534100</v>
          </cell>
          <cell r="I1530">
            <v>0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</row>
        <row r="1531">
          <cell r="A1531">
            <v>4</v>
          </cell>
          <cell r="B1531">
            <v>6155365</v>
          </cell>
          <cell r="C1531">
            <v>615536500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</row>
        <row r="1532">
          <cell r="A1532">
            <v>4</v>
          </cell>
          <cell r="B1532">
            <v>6155369</v>
          </cell>
          <cell r="C1532">
            <v>615536900</v>
          </cell>
          <cell r="I1532">
            <v>0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</row>
        <row r="1533">
          <cell r="A1533">
            <v>4</v>
          </cell>
          <cell r="B1533">
            <v>6155370</v>
          </cell>
          <cell r="C1533">
            <v>615537000</v>
          </cell>
          <cell r="I1533">
            <v>0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  <cell r="P1533">
            <v>0</v>
          </cell>
        </row>
        <row r="1534">
          <cell r="A1534">
            <v>4</v>
          </cell>
          <cell r="B1534">
            <v>6155371</v>
          </cell>
          <cell r="C1534">
            <v>615537100</v>
          </cell>
          <cell r="I1534">
            <v>0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</row>
        <row r="1535">
          <cell r="A1535">
            <v>4</v>
          </cell>
          <cell r="B1535">
            <v>6155372</v>
          </cell>
          <cell r="C1535">
            <v>615537200</v>
          </cell>
          <cell r="I1535">
            <v>0</v>
          </cell>
          <cell r="J1535">
            <v>0</v>
          </cell>
          <cell r="K1535">
            <v>0</v>
          </cell>
          <cell r="L1535">
            <v>0</v>
          </cell>
          <cell r="M1535">
            <v>0</v>
          </cell>
          <cell r="N1535">
            <v>0</v>
          </cell>
          <cell r="O1535">
            <v>0</v>
          </cell>
          <cell r="P1535">
            <v>0</v>
          </cell>
        </row>
        <row r="1536">
          <cell r="A1536">
            <v>4</v>
          </cell>
          <cell r="B1536">
            <v>6155373</v>
          </cell>
          <cell r="C1536">
            <v>615537300</v>
          </cell>
          <cell r="I1536">
            <v>0</v>
          </cell>
          <cell r="J1536">
            <v>0</v>
          </cell>
          <cell r="K1536">
            <v>0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</row>
        <row r="1537">
          <cell r="A1537">
            <v>4</v>
          </cell>
          <cell r="B1537">
            <v>6155374</v>
          </cell>
          <cell r="C1537">
            <v>615537400</v>
          </cell>
          <cell r="I1537">
            <v>0</v>
          </cell>
          <cell r="J1537">
            <v>0</v>
          </cell>
          <cell r="K1537">
            <v>0</v>
          </cell>
          <cell r="L1537">
            <v>0</v>
          </cell>
          <cell r="M1537">
            <v>0</v>
          </cell>
          <cell r="N1537">
            <v>0</v>
          </cell>
          <cell r="O1537">
            <v>0</v>
          </cell>
          <cell r="P1537">
            <v>0</v>
          </cell>
        </row>
        <row r="1538">
          <cell r="A1538">
            <v>4</v>
          </cell>
          <cell r="B1538">
            <v>6155375</v>
          </cell>
          <cell r="C1538">
            <v>615537583</v>
          </cell>
          <cell r="I1538">
            <v>59382913</v>
          </cell>
          <cell r="J1538">
            <v>0</v>
          </cell>
          <cell r="K1538">
            <v>0</v>
          </cell>
          <cell r="L1538">
            <v>0</v>
          </cell>
          <cell r="M1538">
            <v>0</v>
          </cell>
          <cell r="N1538">
            <v>59382913</v>
          </cell>
          <cell r="O1538">
            <v>0</v>
          </cell>
          <cell r="P1538">
            <v>0</v>
          </cell>
        </row>
        <row r="1539">
          <cell r="A1539">
            <v>4</v>
          </cell>
          <cell r="B1539">
            <v>6155375</v>
          </cell>
          <cell r="C1539">
            <v>615537584</v>
          </cell>
          <cell r="I1539">
            <v>0</v>
          </cell>
          <cell r="J1539">
            <v>0</v>
          </cell>
          <cell r="K1539">
            <v>0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</row>
        <row r="1540">
          <cell r="A1540">
            <v>4</v>
          </cell>
          <cell r="B1540">
            <v>6155375</v>
          </cell>
          <cell r="C1540">
            <v>615537585</v>
          </cell>
          <cell r="I1540">
            <v>16918900</v>
          </cell>
          <cell r="J1540">
            <v>0</v>
          </cell>
          <cell r="K1540">
            <v>0</v>
          </cell>
          <cell r="L1540">
            <v>0</v>
          </cell>
          <cell r="M1540">
            <v>0</v>
          </cell>
          <cell r="N1540">
            <v>16918900</v>
          </cell>
          <cell r="O1540">
            <v>0</v>
          </cell>
          <cell r="P1540">
            <v>0</v>
          </cell>
        </row>
        <row r="1541">
          <cell r="A1541">
            <v>4</v>
          </cell>
          <cell r="B1541">
            <v>6155375</v>
          </cell>
          <cell r="C1541">
            <v>615537586</v>
          </cell>
          <cell r="I1541">
            <v>2450800</v>
          </cell>
          <cell r="J1541">
            <v>0</v>
          </cell>
          <cell r="K1541">
            <v>0</v>
          </cell>
          <cell r="L1541">
            <v>0</v>
          </cell>
          <cell r="M1541">
            <v>0</v>
          </cell>
          <cell r="N1541">
            <v>2450800</v>
          </cell>
          <cell r="O1541">
            <v>0</v>
          </cell>
          <cell r="P1541">
            <v>0</v>
          </cell>
        </row>
        <row r="1542">
          <cell r="A1542">
            <v>4</v>
          </cell>
          <cell r="B1542">
            <v>6155375</v>
          </cell>
          <cell r="C1542">
            <v>615537587</v>
          </cell>
          <cell r="I1542">
            <v>0</v>
          </cell>
          <cell r="J1542">
            <v>0</v>
          </cell>
          <cell r="K1542">
            <v>0</v>
          </cell>
          <cell r="L1542">
            <v>0</v>
          </cell>
          <cell r="M1542">
            <v>0</v>
          </cell>
          <cell r="N1542">
            <v>0</v>
          </cell>
          <cell r="O1542">
            <v>0</v>
          </cell>
          <cell r="P1542">
            <v>0</v>
          </cell>
        </row>
        <row r="1543">
          <cell r="A1543">
            <v>4</v>
          </cell>
          <cell r="B1543">
            <v>6155375</v>
          </cell>
          <cell r="C1543">
            <v>615537588</v>
          </cell>
          <cell r="I1543">
            <v>5780</v>
          </cell>
          <cell r="J1543">
            <v>0</v>
          </cell>
          <cell r="K1543">
            <v>0</v>
          </cell>
          <cell r="L1543">
            <v>0</v>
          </cell>
          <cell r="M1543">
            <v>0</v>
          </cell>
          <cell r="N1543">
            <v>0</v>
          </cell>
          <cell r="O1543">
            <v>5780</v>
          </cell>
          <cell r="P1543">
            <v>0</v>
          </cell>
        </row>
        <row r="1544">
          <cell r="A1544">
            <v>4</v>
          </cell>
          <cell r="B1544">
            <v>6160101</v>
          </cell>
          <cell r="C1544">
            <v>616010100</v>
          </cell>
          <cell r="I1544">
            <v>7354796</v>
          </cell>
          <cell r="J1544">
            <v>0</v>
          </cell>
          <cell r="K1544">
            <v>0</v>
          </cell>
          <cell r="L1544">
            <v>0</v>
          </cell>
          <cell r="M1544">
            <v>0</v>
          </cell>
          <cell r="N1544">
            <v>0</v>
          </cell>
          <cell r="O1544">
            <v>0</v>
          </cell>
          <cell r="P1544">
            <v>7354796</v>
          </cell>
        </row>
        <row r="1545">
          <cell r="A1545">
            <v>4</v>
          </cell>
          <cell r="B1545">
            <v>6160303</v>
          </cell>
          <cell r="C1545">
            <v>616030300</v>
          </cell>
          <cell r="I1545">
            <v>0</v>
          </cell>
          <cell r="J1545">
            <v>0</v>
          </cell>
          <cell r="K1545">
            <v>0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</row>
        <row r="1546">
          <cell r="A1546">
            <v>4</v>
          </cell>
          <cell r="B1546">
            <v>6170220</v>
          </cell>
          <cell r="C1546">
            <v>617022000</v>
          </cell>
          <cell r="I1546">
            <v>520000</v>
          </cell>
          <cell r="J1546">
            <v>0</v>
          </cell>
          <cell r="K1546">
            <v>0</v>
          </cell>
          <cell r="L1546">
            <v>0</v>
          </cell>
          <cell r="M1546">
            <v>0</v>
          </cell>
          <cell r="N1546">
            <v>0</v>
          </cell>
          <cell r="O1546">
            <v>0</v>
          </cell>
          <cell r="P1546">
            <v>520000</v>
          </cell>
        </row>
        <row r="1547">
          <cell r="A1547">
            <v>4</v>
          </cell>
          <cell r="B1547">
            <v>6170222</v>
          </cell>
          <cell r="C1547">
            <v>617022200</v>
          </cell>
          <cell r="I1547">
            <v>0</v>
          </cell>
          <cell r="J1547">
            <v>0</v>
          </cell>
          <cell r="K1547">
            <v>0</v>
          </cell>
          <cell r="L1547">
            <v>0</v>
          </cell>
          <cell r="M1547">
            <v>0</v>
          </cell>
          <cell r="N1547">
            <v>0</v>
          </cell>
          <cell r="O1547">
            <v>0</v>
          </cell>
          <cell r="P1547">
            <v>0</v>
          </cell>
        </row>
        <row r="1548">
          <cell r="A1548">
            <v>4</v>
          </cell>
          <cell r="B1548">
            <v>6170224</v>
          </cell>
          <cell r="C1548">
            <v>617022400</v>
          </cell>
          <cell r="I1548">
            <v>0</v>
          </cell>
          <cell r="J1548">
            <v>0</v>
          </cell>
          <cell r="K1548">
            <v>0</v>
          </cell>
          <cell r="L1548">
            <v>0</v>
          </cell>
          <cell r="M1548">
            <v>0</v>
          </cell>
          <cell r="N1548">
            <v>0</v>
          </cell>
          <cell r="O1548">
            <v>0</v>
          </cell>
          <cell r="P1548">
            <v>0</v>
          </cell>
        </row>
        <row r="1549">
          <cell r="A1549">
            <v>4</v>
          </cell>
          <cell r="B1549">
            <v>6170303</v>
          </cell>
          <cell r="C1549">
            <v>617030300</v>
          </cell>
          <cell r="I1549">
            <v>0</v>
          </cell>
          <cell r="J1549">
            <v>0</v>
          </cell>
          <cell r="K1549">
            <v>0</v>
          </cell>
          <cell r="L1549">
            <v>0</v>
          </cell>
          <cell r="M1549">
            <v>0</v>
          </cell>
          <cell r="N1549">
            <v>0</v>
          </cell>
          <cell r="O1549">
            <v>0</v>
          </cell>
          <cell r="P1549">
            <v>0</v>
          </cell>
        </row>
        <row r="1550">
          <cell r="A1550">
            <v>4</v>
          </cell>
          <cell r="B1550">
            <v>6170401</v>
          </cell>
          <cell r="C1550">
            <v>617040100</v>
          </cell>
          <cell r="I1550">
            <v>0</v>
          </cell>
          <cell r="J1550">
            <v>0</v>
          </cell>
          <cell r="K1550">
            <v>0</v>
          </cell>
          <cell r="L1550">
            <v>0</v>
          </cell>
          <cell r="M1550">
            <v>0</v>
          </cell>
          <cell r="N1550">
            <v>0</v>
          </cell>
          <cell r="O1550">
            <v>0</v>
          </cell>
          <cell r="P1550">
            <v>0</v>
          </cell>
        </row>
        <row r="1551">
          <cell r="A1551">
            <v>4</v>
          </cell>
          <cell r="B1551">
            <v>6170402</v>
          </cell>
          <cell r="C1551">
            <v>617040200</v>
          </cell>
          <cell r="I1551">
            <v>0</v>
          </cell>
          <cell r="J1551">
            <v>0</v>
          </cell>
          <cell r="K1551">
            <v>0</v>
          </cell>
          <cell r="L1551">
            <v>0</v>
          </cell>
          <cell r="M1551">
            <v>0</v>
          </cell>
          <cell r="N1551">
            <v>0</v>
          </cell>
          <cell r="O1551">
            <v>0</v>
          </cell>
          <cell r="P1551">
            <v>0</v>
          </cell>
        </row>
        <row r="1552">
          <cell r="A1552">
            <v>4</v>
          </cell>
          <cell r="B1552">
            <v>6170403</v>
          </cell>
          <cell r="C1552">
            <v>617040300</v>
          </cell>
          <cell r="I1552">
            <v>0</v>
          </cell>
          <cell r="J1552">
            <v>0</v>
          </cell>
          <cell r="K1552">
            <v>0</v>
          </cell>
          <cell r="L1552">
            <v>0</v>
          </cell>
          <cell r="M1552">
            <v>0</v>
          </cell>
          <cell r="N1552">
            <v>0</v>
          </cell>
          <cell r="O1552">
            <v>0</v>
          </cell>
          <cell r="P1552">
            <v>0</v>
          </cell>
        </row>
        <row r="1553">
          <cell r="A1553">
            <v>4</v>
          </cell>
          <cell r="B1553">
            <v>6181212</v>
          </cell>
          <cell r="C1553">
            <v>618121200</v>
          </cell>
          <cell r="I1553">
            <v>0</v>
          </cell>
          <cell r="J1553">
            <v>0</v>
          </cell>
          <cell r="K1553">
            <v>0</v>
          </cell>
          <cell r="L1553">
            <v>0</v>
          </cell>
          <cell r="M1553">
            <v>0</v>
          </cell>
          <cell r="N1553">
            <v>0</v>
          </cell>
          <cell r="O1553">
            <v>0</v>
          </cell>
          <cell r="P1553">
            <v>0</v>
          </cell>
        </row>
        <row r="1554">
          <cell r="A1554">
            <v>4</v>
          </cell>
          <cell r="B1554">
            <v>6181414</v>
          </cell>
          <cell r="C1554">
            <v>618141400</v>
          </cell>
          <cell r="I1554">
            <v>0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</row>
        <row r="1555">
          <cell r="A1555">
            <v>4</v>
          </cell>
          <cell r="B1555">
            <v>6182020</v>
          </cell>
          <cell r="C1555">
            <v>618202000</v>
          </cell>
          <cell r="I1555">
            <v>0</v>
          </cell>
          <cell r="J1555">
            <v>0</v>
          </cell>
          <cell r="K1555">
            <v>0</v>
          </cell>
          <cell r="L1555">
            <v>0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</row>
        <row r="1556">
          <cell r="A1556">
            <v>4</v>
          </cell>
          <cell r="B1556">
            <v>6190101</v>
          </cell>
          <cell r="C1556">
            <v>619010100</v>
          </cell>
          <cell r="I1556">
            <v>0</v>
          </cell>
          <cell r="J1556">
            <v>0</v>
          </cell>
          <cell r="K1556">
            <v>0</v>
          </cell>
          <cell r="L1556">
            <v>0</v>
          </cell>
          <cell r="M1556">
            <v>0</v>
          </cell>
          <cell r="N1556">
            <v>0</v>
          </cell>
          <cell r="O1556">
            <v>0</v>
          </cell>
          <cell r="P1556">
            <v>0</v>
          </cell>
        </row>
        <row r="1557">
          <cell r="A1557">
            <v>4</v>
          </cell>
          <cell r="B1557">
            <v>6200101</v>
          </cell>
          <cell r="C1557">
            <v>620010100</v>
          </cell>
          <cell r="I1557">
            <v>0</v>
          </cell>
          <cell r="J1557">
            <v>0</v>
          </cell>
          <cell r="K1557">
            <v>0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</row>
        <row r="1558">
          <cell r="A1558">
            <v>4</v>
          </cell>
          <cell r="B1558">
            <v>6210101</v>
          </cell>
          <cell r="C1558">
            <v>621010100</v>
          </cell>
          <cell r="I1558">
            <v>0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  <cell r="N1558">
            <v>0</v>
          </cell>
          <cell r="O1558">
            <v>0</v>
          </cell>
          <cell r="P1558">
            <v>0</v>
          </cell>
        </row>
        <row r="1559">
          <cell r="A1559">
            <v>4</v>
          </cell>
          <cell r="B1559">
            <v>6900101</v>
          </cell>
          <cell r="C1559">
            <v>690010100</v>
          </cell>
          <cell r="I1559">
            <v>0</v>
          </cell>
          <cell r="J1559">
            <v>0</v>
          </cell>
          <cell r="K1559">
            <v>0</v>
          </cell>
          <cell r="L1559">
            <v>0</v>
          </cell>
          <cell r="M1559">
            <v>0</v>
          </cell>
          <cell r="N1559">
            <v>0</v>
          </cell>
          <cell r="O1559">
            <v>0</v>
          </cell>
          <cell r="P1559">
            <v>0</v>
          </cell>
        </row>
        <row r="1560">
          <cell r="A1560">
            <v>4</v>
          </cell>
          <cell r="B1560">
            <v>8831643</v>
          </cell>
          <cell r="C1560">
            <v>883164301</v>
          </cell>
          <cell r="I1560">
            <v>0</v>
          </cell>
          <cell r="J1560">
            <v>0</v>
          </cell>
          <cell r="K1560">
            <v>0</v>
          </cell>
          <cell r="L1560">
            <v>0</v>
          </cell>
          <cell r="M1560">
            <v>0</v>
          </cell>
          <cell r="N1560">
            <v>0</v>
          </cell>
          <cell r="O1560">
            <v>0</v>
          </cell>
          <cell r="P1560">
            <v>0</v>
          </cell>
        </row>
        <row r="1561">
          <cell r="A1561">
            <v>4</v>
          </cell>
          <cell r="B1561">
            <v>8831643</v>
          </cell>
          <cell r="C1561">
            <v>883164303</v>
          </cell>
          <cell r="I1561">
            <v>174406</v>
          </cell>
          <cell r="J1561">
            <v>0</v>
          </cell>
          <cell r="K1561">
            <v>0</v>
          </cell>
          <cell r="L1561">
            <v>0</v>
          </cell>
          <cell r="M1561">
            <v>0</v>
          </cell>
          <cell r="N1561">
            <v>0</v>
          </cell>
          <cell r="O1561">
            <v>0</v>
          </cell>
          <cell r="P1561">
            <v>174406</v>
          </cell>
        </row>
        <row r="1562">
          <cell r="A1562">
            <v>4</v>
          </cell>
          <cell r="B1562">
            <v>8831901</v>
          </cell>
          <cell r="C1562">
            <v>883190102</v>
          </cell>
          <cell r="I1562">
            <v>0</v>
          </cell>
          <cell r="J1562">
            <v>0</v>
          </cell>
          <cell r="K1562">
            <v>0</v>
          </cell>
          <cell r="L1562">
            <v>0</v>
          </cell>
          <cell r="M1562">
            <v>0</v>
          </cell>
          <cell r="N1562">
            <v>0</v>
          </cell>
          <cell r="O1562">
            <v>0</v>
          </cell>
          <cell r="P1562">
            <v>0</v>
          </cell>
        </row>
        <row r="1563">
          <cell r="A1563">
            <v>4</v>
          </cell>
          <cell r="B1563">
            <v>8831901</v>
          </cell>
          <cell r="C1563">
            <v>883190103</v>
          </cell>
          <cell r="I1563">
            <v>0</v>
          </cell>
          <cell r="J1563">
            <v>0</v>
          </cell>
          <cell r="K1563">
            <v>0</v>
          </cell>
          <cell r="L1563">
            <v>0</v>
          </cell>
          <cell r="M1563">
            <v>0</v>
          </cell>
          <cell r="N1563">
            <v>0</v>
          </cell>
          <cell r="O1563">
            <v>0</v>
          </cell>
          <cell r="P1563">
            <v>0</v>
          </cell>
        </row>
        <row r="1564">
          <cell r="A1564">
            <v>4</v>
          </cell>
          <cell r="B1564">
            <v>8831901</v>
          </cell>
          <cell r="C1564">
            <v>883190104</v>
          </cell>
          <cell r="I1564">
            <v>0</v>
          </cell>
          <cell r="J1564">
            <v>0</v>
          </cell>
          <cell r="K1564">
            <v>0</v>
          </cell>
          <cell r="L1564">
            <v>0</v>
          </cell>
          <cell r="M1564">
            <v>0</v>
          </cell>
          <cell r="N1564">
            <v>0</v>
          </cell>
          <cell r="O1564">
            <v>0</v>
          </cell>
          <cell r="P1564">
            <v>0</v>
          </cell>
        </row>
        <row r="1565">
          <cell r="A1565">
            <v>4</v>
          </cell>
          <cell r="B1565">
            <v>8831901</v>
          </cell>
          <cell r="C1565">
            <v>883190105</v>
          </cell>
          <cell r="I1565">
            <v>0</v>
          </cell>
          <cell r="J1565">
            <v>0</v>
          </cell>
          <cell r="K1565">
            <v>0</v>
          </cell>
          <cell r="L1565">
            <v>0</v>
          </cell>
          <cell r="M1565">
            <v>0</v>
          </cell>
          <cell r="N1565">
            <v>0</v>
          </cell>
          <cell r="O1565">
            <v>0</v>
          </cell>
          <cell r="P1565">
            <v>0</v>
          </cell>
        </row>
        <row r="1566">
          <cell r="A1566">
            <v>4</v>
          </cell>
          <cell r="B1566">
            <v>8831902</v>
          </cell>
          <cell r="C1566">
            <v>883190202</v>
          </cell>
          <cell r="I1566">
            <v>0</v>
          </cell>
          <cell r="J1566">
            <v>0</v>
          </cell>
          <cell r="K1566">
            <v>0</v>
          </cell>
          <cell r="L1566">
            <v>0</v>
          </cell>
          <cell r="M1566">
            <v>0</v>
          </cell>
          <cell r="N1566">
            <v>0</v>
          </cell>
          <cell r="O1566">
            <v>0</v>
          </cell>
          <cell r="P1566">
            <v>0</v>
          </cell>
        </row>
        <row r="1567">
          <cell r="A1567">
            <v>4</v>
          </cell>
          <cell r="B1567">
            <v>8831903</v>
          </cell>
          <cell r="C1567">
            <v>883190301</v>
          </cell>
          <cell r="I1567">
            <v>0</v>
          </cell>
          <cell r="J1567">
            <v>0</v>
          </cell>
          <cell r="K1567">
            <v>0</v>
          </cell>
          <cell r="L1567">
            <v>0</v>
          </cell>
          <cell r="M1567">
            <v>0</v>
          </cell>
          <cell r="N1567">
            <v>0</v>
          </cell>
          <cell r="O1567">
            <v>0</v>
          </cell>
          <cell r="P1567">
            <v>0</v>
          </cell>
        </row>
        <row r="1568">
          <cell r="A1568">
            <v>4</v>
          </cell>
          <cell r="B1568">
            <v>8831903</v>
          </cell>
          <cell r="C1568">
            <v>883190302</v>
          </cell>
          <cell r="I1568">
            <v>0</v>
          </cell>
          <cell r="J1568">
            <v>0</v>
          </cell>
          <cell r="K1568">
            <v>0</v>
          </cell>
          <cell r="L1568">
            <v>0</v>
          </cell>
          <cell r="M1568">
            <v>0</v>
          </cell>
          <cell r="N1568">
            <v>0</v>
          </cell>
          <cell r="O1568">
            <v>0</v>
          </cell>
          <cell r="P1568">
            <v>0</v>
          </cell>
        </row>
        <row r="1569">
          <cell r="A1569">
            <v>4</v>
          </cell>
          <cell r="B1569">
            <v>8831903</v>
          </cell>
          <cell r="C1569">
            <v>883190303</v>
          </cell>
          <cell r="I1569">
            <v>0</v>
          </cell>
          <cell r="J1569">
            <v>0</v>
          </cell>
          <cell r="K1569">
            <v>0</v>
          </cell>
          <cell r="L1569">
            <v>0</v>
          </cell>
          <cell r="M1569">
            <v>0</v>
          </cell>
          <cell r="N1569">
            <v>0</v>
          </cell>
          <cell r="O1569">
            <v>0</v>
          </cell>
          <cell r="P1569">
            <v>0</v>
          </cell>
        </row>
        <row r="1570">
          <cell r="A1570">
            <v>4</v>
          </cell>
          <cell r="B1570">
            <v>8831903</v>
          </cell>
          <cell r="C1570">
            <v>883190304</v>
          </cell>
          <cell r="I1570">
            <v>0</v>
          </cell>
          <cell r="J1570">
            <v>0</v>
          </cell>
          <cell r="K1570">
            <v>0</v>
          </cell>
          <cell r="L1570">
            <v>0</v>
          </cell>
          <cell r="M1570">
            <v>0</v>
          </cell>
          <cell r="N1570">
            <v>0</v>
          </cell>
          <cell r="O1570">
            <v>0</v>
          </cell>
          <cell r="P1570">
            <v>0</v>
          </cell>
        </row>
        <row r="1571">
          <cell r="A1571">
            <v>4</v>
          </cell>
          <cell r="B1571">
            <v>8831903</v>
          </cell>
          <cell r="C1571">
            <v>883190305</v>
          </cell>
          <cell r="I1571">
            <v>0</v>
          </cell>
          <cell r="J1571">
            <v>0</v>
          </cell>
          <cell r="K1571">
            <v>0</v>
          </cell>
          <cell r="L1571">
            <v>0</v>
          </cell>
          <cell r="M1571">
            <v>0</v>
          </cell>
          <cell r="N1571">
            <v>0</v>
          </cell>
          <cell r="O1571">
            <v>0</v>
          </cell>
          <cell r="P1571">
            <v>0</v>
          </cell>
        </row>
        <row r="1572">
          <cell r="A1572">
            <v>4</v>
          </cell>
          <cell r="B1572">
            <v>8831903</v>
          </cell>
          <cell r="C1572">
            <v>883190306</v>
          </cell>
          <cell r="I1572">
            <v>0</v>
          </cell>
          <cell r="J1572">
            <v>0</v>
          </cell>
          <cell r="K1572">
            <v>0</v>
          </cell>
          <cell r="L1572">
            <v>0</v>
          </cell>
          <cell r="M1572">
            <v>0</v>
          </cell>
          <cell r="N1572">
            <v>0</v>
          </cell>
          <cell r="O1572">
            <v>0</v>
          </cell>
          <cell r="P1572">
            <v>0</v>
          </cell>
        </row>
        <row r="1573">
          <cell r="A1573">
            <v>4</v>
          </cell>
          <cell r="B1573">
            <v>8831903</v>
          </cell>
          <cell r="C1573">
            <v>883190307</v>
          </cell>
          <cell r="I1573">
            <v>0</v>
          </cell>
          <cell r="J1573">
            <v>0</v>
          </cell>
          <cell r="K1573">
            <v>0</v>
          </cell>
          <cell r="L1573">
            <v>0</v>
          </cell>
          <cell r="M1573">
            <v>0</v>
          </cell>
          <cell r="N1573">
            <v>0</v>
          </cell>
          <cell r="O1573">
            <v>0</v>
          </cell>
          <cell r="P1573">
            <v>0</v>
          </cell>
        </row>
        <row r="1574">
          <cell r="A1574">
            <v>4</v>
          </cell>
          <cell r="B1574">
            <v>8831903</v>
          </cell>
          <cell r="C1574">
            <v>883190310</v>
          </cell>
          <cell r="I1574">
            <v>0</v>
          </cell>
          <cell r="J1574">
            <v>0</v>
          </cell>
          <cell r="K1574">
            <v>0</v>
          </cell>
          <cell r="L1574">
            <v>0</v>
          </cell>
          <cell r="M1574">
            <v>0</v>
          </cell>
          <cell r="N1574">
            <v>0</v>
          </cell>
          <cell r="O1574">
            <v>0</v>
          </cell>
          <cell r="P1574">
            <v>0</v>
          </cell>
        </row>
        <row r="1575">
          <cell r="A1575">
            <v>4</v>
          </cell>
          <cell r="B1575">
            <v>8831903</v>
          </cell>
          <cell r="C1575">
            <v>883190311</v>
          </cell>
          <cell r="I1575">
            <v>0</v>
          </cell>
          <cell r="J1575">
            <v>0</v>
          </cell>
          <cell r="K1575">
            <v>0</v>
          </cell>
          <cell r="L1575">
            <v>0</v>
          </cell>
          <cell r="M1575">
            <v>0</v>
          </cell>
          <cell r="N1575">
            <v>0</v>
          </cell>
          <cell r="O1575">
            <v>0</v>
          </cell>
          <cell r="P1575">
            <v>0</v>
          </cell>
        </row>
        <row r="1576">
          <cell r="A1576">
            <v>4</v>
          </cell>
          <cell r="B1576">
            <v>8831903</v>
          </cell>
          <cell r="C1576">
            <v>883190314</v>
          </cell>
          <cell r="I1576">
            <v>0</v>
          </cell>
          <cell r="J1576">
            <v>0</v>
          </cell>
          <cell r="K1576">
            <v>0</v>
          </cell>
          <cell r="L1576">
            <v>0</v>
          </cell>
          <cell r="M1576">
            <v>0</v>
          </cell>
          <cell r="N1576">
            <v>0</v>
          </cell>
          <cell r="O1576">
            <v>0</v>
          </cell>
          <cell r="P1576">
            <v>0</v>
          </cell>
        </row>
        <row r="1577">
          <cell r="A1577">
            <v>4</v>
          </cell>
          <cell r="B1577">
            <v>8831903</v>
          </cell>
          <cell r="C1577">
            <v>883190315</v>
          </cell>
          <cell r="I1577">
            <v>0</v>
          </cell>
          <cell r="J1577">
            <v>0</v>
          </cell>
          <cell r="K1577">
            <v>0</v>
          </cell>
          <cell r="L1577">
            <v>0</v>
          </cell>
          <cell r="M1577">
            <v>0</v>
          </cell>
          <cell r="N1577">
            <v>0</v>
          </cell>
          <cell r="O1577">
            <v>0</v>
          </cell>
          <cell r="P1577">
            <v>0</v>
          </cell>
        </row>
        <row r="1578">
          <cell r="A1578">
            <v>4</v>
          </cell>
          <cell r="B1578">
            <v>8831903</v>
          </cell>
          <cell r="C1578">
            <v>883190316</v>
          </cell>
          <cell r="I1578">
            <v>0</v>
          </cell>
          <cell r="J1578">
            <v>0</v>
          </cell>
          <cell r="K1578">
            <v>0</v>
          </cell>
          <cell r="L1578">
            <v>0</v>
          </cell>
          <cell r="M1578">
            <v>0</v>
          </cell>
          <cell r="N1578">
            <v>0</v>
          </cell>
          <cell r="O1578">
            <v>0</v>
          </cell>
          <cell r="P1578">
            <v>0</v>
          </cell>
        </row>
        <row r="1579">
          <cell r="A1579">
            <v>4</v>
          </cell>
          <cell r="B1579">
            <v>8831904</v>
          </cell>
          <cell r="C1579">
            <v>883190401</v>
          </cell>
          <cell r="I1579">
            <v>0</v>
          </cell>
          <cell r="J1579">
            <v>0</v>
          </cell>
          <cell r="K1579">
            <v>0</v>
          </cell>
          <cell r="L1579">
            <v>0</v>
          </cell>
          <cell r="M1579">
            <v>0</v>
          </cell>
          <cell r="N1579">
            <v>0</v>
          </cell>
          <cell r="O1579">
            <v>0</v>
          </cell>
          <cell r="P1579">
            <v>0</v>
          </cell>
        </row>
        <row r="1580">
          <cell r="A1580">
            <v>4</v>
          </cell>
          <cell r="B1580">
            <v>8831904</v>
          </cell>
          <cell r="C1580">
            <v>883190402</v>
          </cell>
          <cell r="I1580">
            <v>0</v>
          </cell>
          <cell r="J1580">
            <v>0</v>
          </cell>
          <cell r="K1580">
            <v>0</v>
          </cell>
          <cell r="L1580">
            <v>0</v>
          </cell>
          <cell r="M1580">
            <v>0</v>
          </cell>
          <cell r="N1580">
            <v>0</v>
          </cell>
          <cell r="O1580">
            <v>0</v>
          </cell>
          <cell r="P1580">
            <v>0</v>
          </cell>
        </row>
        <row r="1581">
          <cell r="A1581">
            <v>4</v>
          </cell>
          <cell r="B1581">
            <v>8831904</v>
          </cell>
          <cell r="C1581">
            <v>883190403</v>
          </cell>
          <cell r="I1581">
            <v>0</v>
          </cell>
          <cell r="J1581">
            <v>0</v>
          </cell>
          <cell r="K1581">
            <v>0</v>
          </cell>
          <cell r="L1581">
            <v>0</v>
          </cell>
          <cell r="M1581">
            <v>0</v>
          </cell>
          <cell r="N1581">
            <v>0</v>
          </cell>
          <cell r="O1581">
            <v>0</v>
          </cell>
          <cell r="P1581">
            <v>0</v>
          </cell>
        </row>
        <row r="1582">
          <cell r="A1582">
            <v>4</v>
          </cell>
          <cell r="B1582">
            <v>8831904</v>
          </cell>
          <cell r="C1582">
            <v>883190405</v>
          </cell>
          <cell r="I1582">
            <v>0</v>
          </cell>
          <cell r="J1582">
            <v>0</v>
          </cell>
          <cell r="K1582">
            <v>0</v>
          </cell>
          <cell r="L1582">
            <v>0</v>
          </cell>
          <cell r="M1582">
            <v>0</v>
          </cell>
          <cell r="N1582">
            <v>0</v>
          </cell>
          <cell r="O1582">
            <v>0</v>
          </cell>
          <cell r="P1582">
            <v>0</v>
          </cell>
        </row>
        <row r="1583">
          <cell r="A1583">
            <v>4</v>
          </cell>
          <cell r="B1583">
            <v>8831904</v>
          </cell>
          <cell r="C1583">
            <v>883190406</v>
          </cell>
          <cell r="I1583">
            <v>0</v>
          </cell>
          <cell r="J1583">
            <v>0</v>
          </cell>
          <cell r="K1583">
            <v>0</v>
          </cell>
          <cell r="L1583">
            <v>0</v>
          </cell>
          <cell r="M1583">
            <v>0</v>
          </cell>
          <cell r="N1583">
            <v>0</v>
          </cell>
          <cell r="O1583">
            <v>0</v>
          </cell>
          <cell r="P1583">
            <v>0</v>
          </cell>
        </row>
        <row r="1584">
          <cell r="A1584">
            <v>4</v>
          </cell>
          <cell r="B1584">
            <v>8831904</v>
          </cell>
          <cell r="C1584">
            <v>883190407</v>
          </cell>
          <cell r="I1584">
            <v>0</v>
          </cell>
          <cell r="J1584">
            <v>0</v>
          </cell>
          <cell r="K1584">
            <v>0</v>
          </cell>
          <cell r="L1584">
            <v>0</v>
          </cell>
          <cell r="M1584">
            <v>0</v>
          </cell>
          <cell r="N1584">
            <v>0</v>
          </cell>
          <cell r="O1584">
            <v>0</v>
          </cell>
          <cell r="P1584">
            <v>0</v>
          </cell>
        </row>
        <row r="1585">
          <cell r="A1585">
            <v>4</v>
          </cell>
          <cell r="B1585">
            <v>8831904</v>
          </cell>
          <cell r="C1585">
            <v>883190408</v>
          </cell>
          <cell r="I1585">
            <v>0</v>
          </cell>
          <cell r="J1585">
            <v>0</v>
          </cell>
          <cell r="K1585">
            <v>0</v>
          </cell>
          <cell r="L1585">
            <v>0</v>
          </cell>
          <cell r="M1585">
            <v>0</v>
          </cell>
          <cell r="N1585">
            <v>0</v>
          </cell>
          <cell r="O1585">
            <v>0</v>
          </cell>
          <cell r="P1585">
            <v>0</v>
          </cell>
        </row>
        <row r="1586">
          <cell r="A1586">
            <v>4</v>
          </cell>
          <cell r="B1586">
            <v>8831904</v>
          </cell>
          <cell r="C1586">
            <v>883190410</v>
          </cell>
          <cell r="I1586">
            <v>0</v>
          </cell>
          <cell r="J1586">
            <v>0</v>
          </cell>
          <cell r="K1586">
            <v>0</v>
          </cell>
          <cell r="L1586">
            <v>0</v>
          </cell>
          <cell r="M1586">
            <v>0</v>
          </cell>
          <cell r="N1586">
            <v>0</v>
          </cell>
          <cell r="O1586">
            <v>0</v>
          </cell>
          <cell r="P1586">
            <v>0</v>
          </cell>
        </row>
        <row r="1587">
          <cell r="A1587">
            <v>4</v>
          </cell>
          <cell r="B1587">
            <v>8831904</v>
          </cell>
          <cell r="C1587">
            <v>883190411</v>
          </cell>
          <cell r="I1587">
            <v>0</v>
          </cell>
          <cell r="J1587">
            <v>0</v>
          </cell>
          <cell r="K1587">
            <v>0</v>
          </cell>
          <cell r="L1587">
            <v>0</v>
          </cell>
          <cell r="M1587">
            <v>0</v>
          </cell>
          <cell r="N1587">
            <v>0</v>
          </cell>
          <cell r="O1587">
            <v>0</v>
          </cell>
          <cell r="P1587">
            <v>0</v>
          </cell>
        </row>
        <row r="1588">
          <cell r="A1588">
            <v>4</v>
          </cell>
          <cell r="B1588">
            <v>8831905</v>
          </cell>
          <cell r="C1588">
            <v>883190500</v>
          </cell>
          <cell r="I1588">
            <v>0</v>
          </cell>
          <cell r="J1588">
            <v>0</v>
          </cell>
          <cell r="K1588">
            <v>0</v>
          </cell>
          <cell r="L1588">
            <v>0</v>
          </cell>
          <cell r="M1588">
            <v>0</v>
          </cell>
          <cell r="N1588">
            <v>0</v>
          </cell>
          <cell r="O1588">
            <v>0</v>
          </cell>
          <cell r="P1588">
            <v>0</v>
          </cell>
        </row>
        <row r="1589">
          <cell r="A1589">
            <v>4</v>
          </cell>
          <cell r="B1589">
            <v>8831907</v>
          </cell>
          <cell r="C1589">
            <v>883190700</v>
          </cell>
          <cell r="I1589">
            <v>0</v>
          </cell>
          <cell r="J1589">
            <v>0</v>
          </cell>
          <cell r="K1589">
            <v>0</v>
          </cell>
          <cell r="L1589">
            <v>0</v>
          </cell>
          <cell r="M1589">
            <v>0</v>
          </cell>
          <cell r="N1589">
            <v>0</v>
          </cell>
          <cell r="O1589">
            <v>0</v>
          </cell>
          <cell r="P1589">
            <v>0</v>
          </cell>
        </row>
        <row r="1590">
          <cell r="A1590">
            <v>4</v>
          </cell>
          <cell r="B1590">
            <v>8831908</v>
          </cell>
          <cell r="C1590">
            <v>883190800</v>
          </cell>
          <cell r="I1590">
            <v>0</v>
          </cell>
          <cell r="J1590">
            <v>0</v>
          </cell>
          <cell r="K1590">
            <v>0</v>
          </cell>
          <cell r="L1590">
            <v>0</v>
          </cell>
          <cell r="M1590">
            <v>0</v>
          </cell>
          <cell r="N1590">
            <v>0</v>
          </cell>
          <cell r="O1590">
            <v>0</v>
          </cell>
          <cell r="P1590">
            <v>0</v>
          </cell>
        </row>
        <row r="1591">
          <cell r="A1591">
            <v>4</v>
          </cell>
          <cell r="B1591">
            <v>8831910</v>
          </cell>
          <cell r="C1591">
            <v>883191001</v>
          </cell>
          <cell r="I1591">
            <v>2401</v>
          </cell>
          <cell r="J1591">
            <v>0</v>
          </cell>
          <cell r="K1591">
            <v>0</v>
          </cell>
          <cell r="L1591">
            <v>0</v>
          </cell>
          <cell r="M1591">
            <v>0</v>
          </cell>
          <cell r="N1591">
            <v>2401</v>
          </cell>
          <cell r="O1591">
            <v>0</v>
          </cell>
          <cell r="P1591">
            <v>0</v>
          </cell>
        </row>
        <row r="1592">
          <cell r="A1592">
            <v>4</v>
          </cell>
          <cell r="B1592">
            <v>8831910</v>
          </cell>
          <cell r="C1592">
            <v>883191002</v>
          </cell>
          <cell r="I1592">
            <v>0</v>
          </cell>
          <cell r="J1592">
            <v>0</v>
          </cell>
          <cell r="K1592">
            <v>0</v>
          </cell>
          <cell r="L1592">
            <v>0</v>
          </cell>
          <cell r="M1592">
            <v>0</v>
          </cell>
          <cell r="N1592">
            <v>0</v>
          </cell>
          <cell r="O1592">
            <v>0</v>
          </cell>
          <cell r="P1592">
            <v>0</v>
          </cell>
        </row>
        <row r="1593">
          <cell r="A1593">
            <v>4</v>
          </cell>
          <cell r="B1593">
            <v>8831910</v>
          </cell>
          <cell r="C1593">
            <v>883191003</v>
          </cell>
          <cell r="I1593">
            <v>0</v>
          </cell>
          <cell r="J1593">
            <v>0</v>
          </cell>
          <cell r="K1593">
            <v>0</v>
          </cell>
          <cell r="L1593">
            <v>0</v>
          </cell>
          <cell r="M1593">
            <v>0</v>
          </cell>
          <cell r="N1593">
            <v>0</v>
          </cell>
          <cell r="O1593">
            <v>0</v>
          </cell>
          <cell r="P1593">
            <v>0</v>
          </cell>
        </row>
        <row r="1594">
          <cell r="A1594">
            <v>4</v>
          </cell>
          <cell r="B1594">
            <v>8831913</v>
          </cell>
          <cell r="C1594">
            <v>883191300</v>
          </cell>
          <cell r="I1594">
            <v>36401</v>
          </cell>
          <cell r="J1594">
            <v>0</v>
          </cell>
          <cell r="K1594">
            <v>0</v>
          </cell>
          <cell r="L1594">
            <v>0</v>
          </cell>
          <cell r="M1594">
            <v>1529</v>
          </cell>
          <cell r="N1594">
            <v>34872</v>
          </cell>
          <cell r="O1594">
            <v>0</v>
          </cell>
          <cell r="P1594">
            <v>0</v>
          </cell>
        </row>
        <row r="1595">
          <cell r="A1595">
            <v>4</v>
          </cell>
          <cell r="B1595">
            <v>8831914</v>
          </cell>
          <cell r="C1595">
            <v>883191400</v>
          </cell>
          <cell r="I1595">
            <v>507</v>
          </cell>
          <cell r="J1595">
            <v>0</v>
          </cell>
          <cell r="K1595">
            <v>0</v>
          </cell>
          <cell r="L1595">
            <v>0</v>
          </cell>
          <cell r="M1595">
            <v>0</v>
          </cell>
          <cell r="N1595">
            <v>507</v>
          </cell>
          <cell r="O1595">
            <v>0</v>
          </cell>
          <cell r="P1595">
            <v>0</v>
          </cell>
        </row>
        <row r="1596">
          <cell r="A1596">
            <v>4</v>
          </cell>
          <cell r="B1596">
            <v>8831915</v>
          </cell>
          <cell r="C1596">
            <v>883191500</v>
          </cell>
          <cell r="I1596">
            <v>0</v>
          </cell>
          <cell r="J1596">
            <v>0</v>
          </cell>
          <cell r="K1596">
            <v>0</v>
          </cell>
          <cell r="L1596">
            <v>0</v>
          </cell>
          <cell r="M1596">
            <v>0</v>
          </cell>
          <cell r="N1596">
            <v>0</v>
          </cell>
          <cell r="O1596">
            <v>0</v>
          </cell>
          <cell r="P1596">
            <v>0</v>
          </cell>
        </row>
        <row r="1597">
          <cell r="A1597">
            <v>4</v>
          </cell>
          <cell r="B1597">
            <v>8831917</v>
          </cell>
          <cell r="C1597">
            <v>883191700</v>
          </cell>
          <cell r="I1597">
            <v>249</v>
          </cell>
          <cell r="J1597">
            <v>0</v>
          </cell>
          <cell r="K1597">
            <v>0</v>
          </cell>
          <cell r="L1597">
            <v>0</v>
          </cell>
          <cell r="M1597">
            <v>0</v>
          </cell>
          <cell r="N1597">
            <v>249</v>
          </cell>
          <cell r="O1597">
            <v>0</v>
          </cell>
          <cell r="P1597">
            <v>0</v>
          </cell>
        </row>
        <row r="1598">
          <cell r="A1598">
            <v>4</v>
          </cell>
          <cell r="B1598">
            <v>8831919</v>
          </cell>
          <cell r="C1598">
            <v>883191900</v>
          </cell>
          <cell r="I1598">
            <v>5444939</v>
          </cell>
          <cell r="J1598">
            <v>0</v>
          </cell>
          <cell r="K1598">
            <v>0</v>
          </cell>
          <cell r="L1598">
            <v>0</v>
          </cell>
          <cell r="M1598">
            <v>0</v>
          </cell>
          <cell r="N1598">
            <v>898</v>
          </cell>
          <cell r="O1598">
            <v>5444041</v>
          </cell>
          <cell r="P1598">
            <v>0</v>
          </cell>
        </row>
        <row r="1599">
          <cell r="A1599">
            <v>4</v>
          </cell>
          <cell r="B1599">
            <v>8831920</v>
          </cell>
          <cell r="C1599">
            <v>883192000</v>
          </cell>
          <cell r="I1599">
            <v>1905</v>
          </cell>
          <cell r="J1599">
            <v>0</v>
          </cell>
          <cell r="K1599">
            <v>0</v>
          </cell>
          <cell r="L1599">
            <v>0</v>
          </cell>
          <cell r="M1599">
            <v>0</v>
          </cell>
          <cell r="N1599">
            <v>1765</v>
          </cell>
          <cell r="O1599">
            <v>140</v>
          </cell>
          <cell r="P1599">
            <v>0</v>
          </cell>
        </row>
        <row r="1600">
          <cell r="A1600">
            <v>4</v>
          </cell>
          <cell r="B1600">
            <v>8831921</v>
          </cell>
          <cell r="C1600">
            <v>883192100</v>
          </cell>
          <cell r="I1600">
            <v>65215024</v>
          </cell>
          <cell r="J1600">
            <v>0</v>
          </cell>
          <cell r="K1600">
            <v>0</v>
          </cell>
          <cell r="L1600">
            <v>0</v>
          </cell>
          <cell r="M1600">
            <v>0</v>
          </cell>
          <cell r="N1600">
            <v>65215024</v>
          </cell>
          <cell r="O1600">
            <v>0</v>
          </cell>
          <cell r="P1600">
            <v>0</v>
          </cell>
        </row>
        <row r="1601">
          <cell r="A1601">
            <v>4</v>
          </cell>
          <cell r="B1601">
            <v>8831923</v>
          </cell>
          <cell r="C1601">
            <v>883192300</v>
          </cell>
          <cell r="I1601">
            <v>4963548</v>
          </cell>
          <cell r="J1601">
            <v>0</v>
          </cell>
          <cell r="K1601">
            <v>0</v>
          </cell>
          <cell r="L1601">
            <v>0</v>
          </cell>
          <cell r="M1601">
            <v>0</v>
          </cell>
          <cell r="N1601">
            <v>4963548</v>
          </cell>
          <cell r="O1601">
            <v>0</v>
          </cell>
          <cell r="P1601">
            <v>0</v>
          </cell>
        </row>
        <row r="1602">
          <cell r="A1602">
            <v>4</v>
          </cell>
          <cell r="B1602">
            <v>8831924</v>
          </cell>
          <cell r="C1602">
            <v>883192400</v>
          </cell>
          <cell r="I1602">
            <v>0</v>
          </cell>
          <cell r="J1602">
            <v>0</v>
          </cell>
          <cell r="K1602">
            <v>0</v>
          </cell>
          <cell r="L1602">
            <v>0</v>
          </cell>
          <cell r="M1602">
            <v>0</v>
          </cell>
          <cell r="N1602">
            <v>0</v>
          </cell>
          <cell r="O1602">
            <v>0</v>
          </cell>
          <cell r="P1602">
            <v>0</v>
          </cell>
        </row>
        <row r="1603">
          <cell r="A1603">
            <v>4</v>
          </cell>
          <cell r="B1603">
            <v>8831925</v>
          </cell>
          <cell r="C1603">
            <v>883192500</v>
          </cell>
          <cell r="I1603">
            <v>0</v>
          </cell>
          <cell r="J1603">
            <v>0</v>
          </cell>
          <cell r="K1603">
            <v>0</v>
          </cell>
          <cell r="L1603">
            <v>0</v>
          </cell>
          <cell r="M1603">
            <v>0</v>
          </cell>
          <cell r="N1603">
            <v>0</v>
          </cell>
          <cell r="O1603">
            <v>0</v>
          </cell>
          <cell r="P1603">
            <v>0</v>
          </cell>
        </row>
        <row r="1604">
          <cell r="A1604">
            <v>4</v>
          </cell>
          <cell r="B1604">
            <v>8831928</v>
          </cell>
          <cell r="C1604">
            <v>883192866</v>
          </cell>
          <cell r="I1604">
            <v>0</v>
          </cell>
          <cell r="J1604">
            <v>0</v>
          </cell>
          <cell r="K1604">
            <v>0</v>
          </cell>
          <cell r="L1604">
            <v>0</v>
          </cell>
          <cell r="M1604">
            <v>0</v>
          </cell>
          <cell r="N1604">
            <v>0</v>
          </cell>
          <cell r="O1604">
            <v>0</v>
          </cell>
          <cell r="P1604">
            <v>0</v>
          </cell>
        </row>
        <row r="1605">
          <cell r="A1605">
            <v>4</v>
          </cell>
          <cell r="B1605">
            <v>8831928</v>
          </cell>
          <cell r="C1605">
            <v>883192867</v>
          </cell>
          <cell r="I1605">
            <v>0</v>
          </cell>
          <cell r="J1605">
            <v>0</v>
          </cell>
          <cell r="K1605">
            <v>0</v>
          </cell>
          <cell r="L1605">
            <v>0</v>
          </cell>
          <cell r="M1605">
            <v>0</v>
          </cell>
          <cell r="N1605">
            <v>0</v>
          </cell>
          <cell r="O1605">
            <v>0</v>
          </cell>
          <cell r="P1605">
            <v>0</v>
          </cell>
        </row>
        <row r="1606">
          <cell r="A1606">
            <v>4</v>
          </cell>
          <cell r="B1606">
            <v>8831929</v>
          </cell>
          <cell r="C1606">
            <v>883192900</v>
          </cell>
          <cell r="I1606">
            <v>0</v>
          </cell>
          <cell r="J1606">
            <v>0</v>
          </cell>
          <cell r="K1606">
            <v>0</v>
          </cell>
          <cell r="L1606">
            <v>0</v>
          </cell>
          <cell r="M1606">
            <v>0</v>
          </cell>
          <cell r="N1606">
            <v>0</v>
          </cell>
          <cell r="O1606">
            <v>0</v>
          </cell>
          <cell r="P1606">
            <v>0</v>
          </cell>
        </row>
        <row r="1607">
          <cell r="A1607">
            <v>4</v>
          </cell>
          <cell r="B1607">
            <v>8831930</v>
          </cell>
          <cell r="C1607">
            <v>883193000</v>
          </cell>
          <cell r="I1607">
            <v>0</v>
          </cell>
          <cell r="J1607">
            <v>0</v>
          </cell>
          <cell r="K1607">
            <v>0</v>
          </cell>
          <cell r="L1607">
            <v>0</v>
          </cell>
          <cell r="M1607">
            <v>0</v>
          </cell>
          <cell r="N1607">
            <v>0</v>
          </cell>
          <cell r="O1607">
            <v>0</v>
          </cell>
          <cell r="P1607">
            <v>0</v>
          </cell>
        </row>
        <row r="1608">
          <cell r="A1608">
            <v>4</v>
          </cell>
          <cell r="B1608">
            <v>8831931</v>
          </cell>
          <cell r="C1608">
            <v>883193100</v>
          </cell>
          <cell r="I1608">
            <v>719709</v>
          </cell>
          <cell r="J1608">
            <v>0</v>
          </cell>
          <cell r="K1608">
            <v>0</v>
          </cell>
          <cell r="L1608">
            <v>0</v>
          </cell>
          <cell r="M1608">
            <v>0</v>
          </cell>
          <cell r="N1608">
            <v>696484</v>
          </cell>
          <cell r="O1608">
            <v>0</v>
          </cell>
          <cell r="P1608">
            <v>23225</v>
          </cell>
        </row>
        <row r="1609">
          <cell r="A1609">
            <v>4</v>
          </cell>
          <cell r="B1609">
            <v>8831933</v>
          </cell>
          <cell r="C1609">
            <v>883193300</v>
          </cell>
          <cell r="I1609">
            <v>0</v>
          </cell>
          <cell r="J1609">
            <v>0</v>
          </cell>
          <cell r="K1609">
            <v>0</v>
          </cell>
          <cell r="L1609">
            <v>0</v>
          </cell>
          <cell r="M1609">
            <v>0</v>
          </cell>
          <cell r="N1609">
            <v>0</v>
          </cell>
          <cell r="O1609">
            <v>0</v>
          </cell>
          <cell r="P1609">
            <v>0</v>
          </cell>
        </row>
        <row r="1610">
          <cell r="A1610">
            <v>4</v>
          </cell>
          <cell r="B1610">
            <v>8831936</v>
          </cell>
          <cell r="C1610">
            <v>883193600</v>
          </cell>
          <cell r="I1610">
            <v>19</v>
          </cell>
          <cell r="J1610">
            <v>0</v>
          </cell>
          <cell r="K1610">
            <v>0</v>
          </cell>
          <cell r="L1610">
            <v>0</v>
          </cell>
          <cell r="M1610">
            <v>0</v>
          </cell>
          <cell r="N1610">
            <v>19</v>
          </cell>
          <cell r="O1610">
            <v>0</v>
          </cell>
          <cell r="P1610">
            <v>0</v>
          </cell>
        </row>
        <row r="1611">
          <cell r="A1611">
            <v>4</v>
          </cell>
          <cell r="B1611">
            <v>8831937</v>
          </cell>
          <cell r="C1611">
            <v>883193700</v>
          </cell>
          <cell r="I1611">
            <v>0</v>
          </cell>
          <cell r="J1611">
            <v>0</v>
          </cell>
          <cell r="K1611">
            <v>0</v>
          </cell>
          <cell r="L1611">
            <v>0</v>
          </cell>
          <cell r="M1611">
            <v>0</v>
          </cell>
          <cell r="N1611">
            <v>0</v>
          </cell>
          <cell r="O1611">
            <v>0</v>
          </cell>
          <cell r="P1611">
            <v>0</v>
          </cell>
        </row>
        <row r="1612">
          <cell r="A1612">
            <v>4</v>
          </cell>
          <cell r="B1612">
            <v>8831939</v>
          </cell>
          <cell r="C1612">
            <v>883193900</v>
          </cell>
          <cell r="I1612">
            <v>3586</v>
          </cell>
          <cell r="J1612">
            <v>0</v>
          </cell>
          <cell r="K1612">
            <v>0</v>
          </cell>
          <cell r="L1612">
            <v>0</v>
          </cell>
          <cell r="M1612">
            <v>0</v>
          </cell>
          <cell r="N1612">
            <v>0</v>
          </cell>
          <cell r="O1612">
            <v>3586</v>
          </cell>
          <cell r="P1612">
            <v>0</v>
          </cell>
        </row>
        <row r="1613">
          <cell r="A1613">
            <v>4</v>
          </cell>
          <cell r="B1613">
            <v>8831940</v>
          </cell>
          <cell r="C1613">
            <v>883194000</v>
          </cell>
          <cell r="I1613">
            <v>42</v>
          </cell>
          <cell r="J1613">
            <v>0</v>
          </cell>
          <cell r="K1613">
            <v>0</v>
          </cell>
          <cell r="L1613">
            <v>0</v>
          </cell>
          <cell r="M1613">
            <v>0</v>
          </cell>
          <cell r="N1613">
            <v>0</v>
          </cell>
          <cell r="O1613">
            <v>0</v>
          </cell>
          <cell r="P1613">
            <v>42</v>
          </cell>
        </row>
        <row r="1614">
          <cell r="A1614">
            <v>4</v>
          </cell>
          <cell r="B1614">
            <v>8831941</v>
          </cell>
          <cell r="C1614">
            <v>883194100</v>
          </cell>
          <cell r="I1614">
            <v>0</v>
          </cell>
          <cell r="J1614">
            <v>0</v>
          </cell>
          <cell r="K1614">
            <v>0</v>
          </cell>
          <cell r="L1614">
            <v>0</v>
          </cell>
          <cell r="M1614">
            <v>0</v>
          </cell>
          <cell r="N1614">
            <v>0</v>
          </cell>
          <cell r="O1614">
            <v>0</v>
          </cell>
          <cell r="P1614">
            <v>0</v>
          </cell>
        </row>
        <row r="1615">
          <cell r="A1615">
            <v>4</v>
          </cell>
          <cell r="B1615">
            <v>8832043</v>
          </cell>
          <cell r="C1615">
            <v>883204370</v>
          </cell>
          <cell r="I1615">
            <v>0</v>
          </cell>
          <cell r="J1615">
            <v>0</v>
          </cell>
          <cell r="K1615">
            <v>0</v>
          </cell>
          <cell r="L1615">
            <v>0</v>
          </cell>
          <cell r="M1615">
            <v>0</v>
          </cell>
          <cell r="N1615">
            <v>0</v>
          </cell>
          <cell r="O1615">
            <v>0</v>
          </cell>
          <cell r="P1615">
            <v>0</v>
          </cell>
        </row>
        <row r="1616">
          <cell r="A1616">
            <v>4</v>
          </cell>
          <cell r="B1616">
            <v>8832043</v>
          </cell>
          <cell r="C1616">
            <v>883204371</v>
          </cell>
          <cell r="I1616">
            <v>27156268</v>
          </cell>
          <cell r="J1616">
            <v>0</v>
          </cell>
          <cell r="K1616">
            <v>0</v>
          </cell>
          <cell r="L1616">
            <v>0</v>
          </cell>
          <cell r="M1616">
            <v>0</v>
          </cell>
          <cell r="N1616">
            <v>0</v>
          </cell>
          <cell r="O1616">
            <v>0</v>
          </cell>
          <cell r="P1616">
            <v>27156268</v>
          </cell>
        </row>
        <row r="1617">
          <cell r="A1617">
            <v>4</v>
          </cell>
          <cell r="B1617">
            <v>8832043</v>
          </cell>
          <cell r="C1617">
            <v>883204372</v>
          </cell>
          <cell r="I1617">
            <v>0</v>
          </cell>
          <cell r="J1617">
            <v>0</v>
          </cell>
          <cell r="K1617">
            <v>0</v>
          </cell>
          <cell r="L1617">
            <v>0</v>
          </cell>
          <cell r="M1617">
            <v>0</v>
          </cell>
          <cell r="N1617">
            <v>0</v>
          </cell>
          <cell r="O1617">
            <v>0</v>
          </cell>
          <cell r="P1617">
            <v>0</v>
          </cell>
        </row>
        <row r="1618">
          <cell r="A1618">
            <v>4</v>
          </cell>
          <cell r="B1618">
            <v>8832043</v>
          </cell>
          <cell r="C1618">
            <v>883204373</v>
          </cell>
          <cell r="I1618">
            <v>0</v>
          </cell>
          <cell r="J1618">
            <v>0</v>
          </cell>
          <cell r="K1618">
            <v>0</v>
          </cell>
          <cell r="L1618">
            <v>0</v>
          </cell>
          <cell r="M1618">
            <v>0</v>
          </cell>
          <cell r="N1618">
            <v>0</v>
          </cell>
          <cell r="O1618">
            <v>0</v>
          </cell>
          <cell r="P1618">
            <v>0</v>
          </cell>
        </row>
        <row r="1619">
          <cell r="A1619">
            <v>4</v>
          </cell>
          <cell r="B1619">
            <v>8832043</v>
          </cell>
          <cell r="C1619">
            <v>883204374</v>
          </cell>
          <cell r="I1619">
            <v>0</v>
          </cell>
          <cell r="J1619">
            <v>0</v>
          </cell>
          <cell r="K1619">
            <v>0</v>
          </cell>
          <cell r="L1619">
            <v>0</v>
          </cell>
          <cell r="M1619">
            <v>0</v>
          </cell>
          <cell r="N1619">
            <v>0</v>
          </cell>
          <cell r="O1619">
            <v>0</v>
          </cell>
          <cell r="P1619">
            <v>0</v>
          </cell>
        </row>
        <row r="1620">
          <cell r="A1620">
            <v>4</v>
          </cell>
          <cell r="B1620">
            <v>8832044</v>
          </cell>
          <cell r="C1620">
            <v>883204475</v>
          </cell>
          <cell r="I1620">
            <v>0</v>
          </cell>
          <cell r="J1620">
            <v>0</v>
          </cell>
          <cell r="K1620">
            <v>0</v>
          </cell>
          <cell r="L1620">
            <v>0</v>
          </cell>
          <cell r="M1620">
            <v>0</v>
          </cell>
          <cell r="N1620">
            <v>0</v>
          </cell>
          <cell r="O1620">
            <v>0</v>
          </cell>
          <cell r="P1620">
            <v>0</v>
          </cell>
        </row>
        <row r="1621">
          <cell r="A1621">
            <v>4</v>
          </cell>
          <cell r="B1621">
            <v>8832044</v>
          </cell>
          <cell r="C1621">
            <v>883204476</v>
          </cell>
          <cell r="I1621">
            <v>0</v>
          </cell>
          <cell r="J1621">
            <v>0</v>
          </cell>
          <cell r="K1621">
            <v>0</v>
          </cell>
          <cell r="L1621">
            <v>0</v>
          </cell>
          <cell r="M1621">
            <v>0</v>
          </cell>
          <cell r="N1621">
            <v>0</v>
          </cell>
          <cell r="O1621">
            <v>0</v>
          </cell>
          <cell r="P1621">
            <v>0</v>
          </cell>
        </row>
        <row r="1622">
          <cell r="A1622">
            <v>4</v>
          </cell>
          <cell r="B1622">
            <v>8832044</v>
          </cell>
          <cell r="C1622">
            <v>883204477</v>
          </cell>
          <cell r="I1622">
            <v>0</v>
          </cell>
          <cell r="J1622">
            <v>0</v>
          </cell>
          <cell r="K1622">
            <v>0</v>
          </cell>
          <cell r="L1622">
            <v>0</v>
          </cell>
          <cell r="M1622">
            <v>0</v>
          </cell>
          <cell r="N1622">
            <v>0</v>
          </cell>
          <cell r="O1622">
            <v>0</v>
          </cell>
          <cell r="P1622">
            <v>0</v>
          </cell>
        </row>
        <row r="1623">
          <cell r="A1623">
            <v>4</v>
          </cell>
          <cell r="B1623">
            <v>8832246</v>
          </cell>
          <cell r="C1623">
            <v>883224600</v>
          </cell>
          <cell r="I1623">
            <v>0</v>
          </cell>
          <cell r="J1623">
            <v>0</v>
          </cell>
          <cell r="K1623">
            <v>0</v>
          </cell>
          <cell r="L1623">
            <v>0</v>
          </cell>
          <cell r="M1623">
            <v>0</v>
          </cell>
          <cell r="N1623">
            <v>0</v>
          </cell>
          <cell r="O1623">
            <v>0</v>
          </cell>
          <cell r="P1623">
            <v>0</v>
          </cell>
        </row>
        <row r="1624">
          <cell r="A1624">
            <v>4</v>
          </cell>
          <cell r="B1624">
            <v>8832247</v>
          </cell>
          <cell r="C1624">
            <v>883224700</v>
          </cell>
          <cell r="I1624">
            <v>0</v>
          </cell>
          <cell r="J1624">
            <v>0</v>
          </cell>
          <cell r="K1624">
            <v>0</v>
          </cell>
          <cell r="L1624">
            <v>0</v>
          </cell>
          <cell r="M1624">
            <v>0</v>
          </cell>
          <cell r="N1624">
            <v>0</v>
          </cell>
          <cell r="O1624">
            <v>0</v>
          </cell>
          <cell r="P1624">
            <v>0</v>
          </cell>
        </row>
        <row r="1625">
          <cell r="A1625">
            <v>4</v>
          </cell>
          <cell r="B1625">
            <v>8840251</v>
          </cell>
          <cell r="C1625">
            <v>884025180</v>
          </cell>
          <cell r="I1625">
            <v>2903291</v>
          </cell>
          <cell r="J1625">
            <v>0</v>
          </cell>
          <cell r="K1625">
            <v>0</v>
          </cell>
          <cell r="L1625">
            <v>0</v>
          </cell>
          <cell r="M1625">
            <v>0</v>
          </cell>
          <cell r="N1625">
            <v>0</v>
          </cell>
          <cell r="O1625">
            <v>2903291</v>
          </cell>
          <cell r="P1625">
            <v>0</v>
          </cell>
        </row>
        <row r="1626">
          <cell r="A1626">
            <v>4</v>
          </cell>
          <cell r="B1626">
            <v>8840251</v>
          </cell>
          <cell r="C1626">
            <v>884025181</v>
          </cell>
          <cell r="I1626">
            <v>0</v>
          </cell>
          <cell r="J1626">
            <v>0</v>
          </cell>
          <cell r="K1626">
            <v>0</v>
          </cell>
          <cell r="L1626">
            <v>0</v>
          </cell>
          <cell r="M1626">
            <v>0</v>
          </cell>
          <cell r="N1626">
            <v>0</v>
          </cell>
          <cell r="O1626">
            <v>0</v>
          </cell>
          <cell r="P1626">
            <v>0</v>
          </cell>
        </row>
        <row r="1627">
          <cell r="A1627">
            <v>4</v>
          </cell>
          <cell r="B1627">
            <v>8840252</v>
          </cell>
          <cell r="C1627">
            <v>884025200</v>
          </cell>
          <cell r="I1627">
            <v>0</v>
          </cell>
          <cell r="J1627">
            <v>0</v>
          </cell>
          <cell r="K1627">
            <v>0</v>
          </cell>
          <cell r="L1627">
            <v>0</v>
          </cell>
          <cell r="M1627">
            <v>0</v>
          </cell>
          <cell r="N1627">
            <v>0</v>
          </cell>
          <cell r="O1627">
            <v>0</v>
          </cell>
          <cell r="P1627">
            <v>0</v>
          </cell>
        </row>
        <row r="1628">
          <cell r="A1628">
            <v>4</v>
          </cell>
          <cell r="B1628">
            <v>8840253</v>
          </cell>
          <cell r="C1628">
            <v>884025300</v>
          </cell>
          <cell r="I1628">
            <v>0</v>
          </cell>
          <cell r="J1628">
            <v>0</v>
          </cell>
          <cell r="K1628">
            <v>0</v>
          </cell>
          <cell r="L1628">
            <v>0</v>
          </cell>
          <cell r="M1628">
            <v>0</v>
          </cell>
          <cell r="N1628">
            <v>0</v>
          </cell>
          <cell r="O1628">
            <v>0</v>
          </cell>
          <cell r="P1628">
            <v>0</v>
          </cell>
        </row>
        <row r="1629">
          <cell r="A1629">
            <v>4</v>
          </cell>
          <cell r="B1629">
            <v>8840254</v>
          </cell>
          <cell r="C1629">
            <v>884025400</v>
          </cell>
          <cell r="I1629">
            <v>6</v>
          </cell>
          <cell r="J1629">
            <v>0</v>
          </cell>
          <cell r="K1629">
            <v>0</v>
          </cell>
          <cell r="L1629">
            <v>0</v>
          </cell>
          <cell r="M1629">
            <v>0</v>
          </cell>
          <cell r="N1629">
            <v>0</v>
          </cell>
          <cell r="O1629">
            <v>6</v>
          </cell>
          <cell r="P1629">
            <v>0</v>
          </cell>
        </row>
        <row r="1630">
          <cell r="A1630">
            <v>4</v>
          </cell>
          <cell r="B1630">
            <v>8840255</v>
          </cell>
          <cell r="C1630">
            <v>884025500</v>
          </cell>
          <cell r="I1630">
            <v>0</v>
          </cell>
          <cell r="J1630">
            <v>0</v>
          </cell>
          <cell r="K1630">
            <v>0</v>
          </cell>
          <cell r="L1630">
            <v>0</v>
          </cell>
          <cell r="M1630">
            <v>0</v>
          </cell>
          <cell r="N1630">
            <v>0</v>
          </cell>
          <cell r="O1630">
            <v>0</v>
          </cell>
          <cell r="P1630">
            <v>0</v>
          </cell>
        </row>
        <row r="1631">
          <cell r="A1631">
            <v>4</v>
          </cell>
          <cell r="B1631">
            <v>8840456</v>
          </cell>
          <cell r="C1631">
            <v>884045600</v>
          </cell>
          <cell r="I1631">
            <v>0</v>
          </cell>
          <cell r="J1631">
            <v>0</v>
          </cell>
          <cell r="K1631">
            <v>0</v>
          </cell>
          <cell r="L1631">
            <v>0</v>
          </cell>
          <cell r="M1631">
            <v>0</v>
          </cell>
          <cell r="N1631">
            <v>0</v>
          </cell>
          <cell r="O1631">
            <v>0</v>
          </cell>
          <cell r="P1631">
            <v>0</v>
          </cell>
        </row>
        <row r="1632">
          <cell r="A1632">
            <v>4</v>
          </cell>
          <cell r="B1632">
            <v>8840457</v>
          </cell>
          <cell r="C1632">
            <v>884045700</v>
          </cell>
          <cell r="I1632">
            <v>0</v>
          </cell>
          <cell r="J1632">
            <v>0</v>
          </cell>
          <cell r="K1632">
            <v>0</v>
          </cell>
          <cell r="L1632">
            <v>0</v>
          </cell>
          <cell r="M1632">
            <v>0</v>
          </cell>
          <cell r="N1632">
            <v>0</v>
          </cell>
          <cell r="O1632">
            <v>0</v>
          </cell>
          <cell r="P1632">
            <v>0</v>
          </cell>
        </row>
        <row r="1633">
          <cell r="A1633">
            <v>4</v>
          </cell>
          <cell r="B1633">
            <v>8840458</v>
          </cell>
          <cell r="C1633">
            <v>884045800</v>
          </cell>
          <cell r="I1633">
            <v>0</v>
          </cell>
          <cell r="J1633">
            <v>0</v>
          </cell>
          <cell r="K1633">
            <v>0</v>
          </cell>
          <cell r="L1633">
            <v>0</v>
          </cell>
          <cell r="M1633">
            <v>0</v>
          </cell>
          <cell r="N1633">
            <v>0</v>
          </cell>
          <cell r="O1633">
            <v>0</v>
          </cell>
          <cell r="P1633">
            <v>0</v>
          </cell>
        </row>
        <row r="1634">
          <cell r="A1634">
            <v>4</v>
          </cell>
          <cell r="B1634">
            <v>8840559</v>
          </cell>
          <cell r="C1634">
            <v>884055900</v>
          </cell>
          <cell r="I1634">
            <v>0</v>
          </cell>
          <cell r="J1634">
            <v>0</v>
          </cell>
          <cell r="K1634">
            <v>0</v>
          </cell>
          <cell r="L1634">
            <v>0</v>
          </cell>
          <cell r="M1634">
            <v>0</v>
          </cell>
          <cell r="N1634">
            <v>0</v>
          </cell>
          <cell r="O1634">
            <v>0</v>
          </cell>
          <cell r="P1634">
            <v>0</v>
          </cell>
        </row>
        <row r="1635">
          <cell r="A1635">
            <v>4</v>
          </cell>
          <cell r="B1635">
            <v>8840662</v>
          </cell>
          <cell r="C1635">
            <v>884066200</v>
          </cell>
          <cell r="I1635">
            <v>0</v>
          </cell>
          <cell r="J1635">
            <v>0</v>
          </cell>
          <cell r="K1635">
            <v>0</v>
          </cell>
          <cell r="L1635">
            <v>0</v>
          </cell>
          <cell r="M1635">
            <v>0</v>
          </cell>
          <cell r="N1635">
            <v>0</v>
          </cell>
          <cell r="O1635">
            <v>0</v>
          </cell>
          <cell r="P1635">
            <v>0</v>
          </cell>
        </row>
        <row r="1636">
          <cell r="A1636">
            <v>4</v>
          </cell>
          <cell r="B1636">
            <v>8840663</v>
          </cell>
          <cell r="C1636">
            <v>884066300</v>
          </cell>
          <cell r="I1636">
            <v>0</v>
          </cell>
          <cell r="J1636">
            <v>0</v>
          </cell>
          <cell r="K1636">
            <v>0</v>
          </cell>
          <cell r="L1636">
            <v>0</v>
          </cell>
          <cell r="M1636">
            <v>0</v>
          </cell>
          <cell r="N1636">
            <v>0</v>
          </cell>
          <cell r="O1636">
            <v>0</v>
          </cell>
          <cell r="P1636">
            <v>0</v>
          </cell>
        </row>
        <row r="1637">
          <cell r="A1637">
            <v>4</v>
          </cell>
          <cell r="B1637">
            <v>8850202</v>
          </cell>
          <cell r="C1637">
            <v>885020200</v>
          </cell>
          <cell r="I1637">
            <v>0</v>
          </cell>
          <cell r="J1637">
            <v>0</v>
          </cell>
          <cell r="K1637">
            <v>0</v>
          </cell>
          <cell r="L1637">
            <v>0</v>
          </cell>
          <cell r="M1637">
            <v>0</v>
          </cell>
          <cell r="N1637">
            <v>0</v>
          </cell>
          <cell r="O1637">
            <v>0</v>
          </cell>
          <cell r="P1637">
            <v>0</v>
          </cell>
        </row>
        <row r="1638">
          <cell r="A1638">
            <v>4</v>
          </cell>
          <cell r="B1638">
            <v>8850404</v>
          </cell>
          <cell r="C1638">
            <v>885040400</v>
          </cell>
          <cell r="I1638">
            <v>0</v>
          </cell>
          <cell r="J1638">
            <v>0</v>
          </cell>
          <cell r="K1638">
            <v>0</v>
          </cell>
          <cell r="L1638">
            <v>0</v>
          </cell>
          <cell r="M1638">
            <v>0</v>
          </cell>
          <cell r="N1638">
            <v>0</v>
          </cell>
          <cell r="O1638">
            <v>0</v>
          </cell>
          <cell r="P1638">
            <v>0</v>
          </cell>
        </row>
        <row r="1639">
          <cell r="A1639">
            <v>4</v>
          </cell>
          <cell r="B1639">
            <v>8850606</v>
          </cell>
          <cell r="C1639">
            <v>885060600</v>
          </cell>
          <cell r="I1639">
            <v>0</v>
          </cell>
          <cell r="J1639">
            <v>0</v>
          </cell>
          <cell r="K1639">
            <v>0</v>
          </cell>
          <cell r="L1639">
            <v>0</v>
          </cell>
          <cell r="M1639">
            <v>0</v>
          </cell>
          <cell r="N1639">
            <v>0</v>
          </cell>
          <cell r="O1639">
            <v>0</v>
          </cell>
          <cell r="P1639">
            <v>0</v>
          </cell>
        </row>
        <row r="1640">
          <cell r="A1640">
            <v>4</v>
          </cell>
          <cell r="B1640">
            <v>8850808</v>
          </cell>
          <cell r="C1640">
            <v>885080800</v>
          </cell>
          <cell r="I1640">
            <v>0</v>
          </cell>
          <cell r="J1640">
            <v>0</v>
          </cell>
          <cell r="K1640">
            <v>0</v>
          </cell>
          <cell r="L1640">
            <v>0</v>
          </cell>
          <cell r="M1640">
            <v>0</v>
          </cell>
          <cell r="N1640">
            <v>0</v>
          </cell>
          <cell r="O1640">
            <v>0</v>
          </cell>
          <cell r="P1640">
            <v>0</v>
          </cell>
        </row>
        <row r="1641">
          <cell r="A1641">
            <v>4</v>
          </cell>
          <cell r="B1641">
            <v>8851010</v>
          </cell>
          <cell r="C1641">
            <v>885101000</v>
          </cell>
          <cell r="I1641">
            <v>0</v>
          </cell>
          <cell r="J1641">
            <v>0</v>
          </cell>
          <cell r="K1641">
            <v>0</v>
          </cell>
          <cell r="L1641">
            <v>0</v>
          </cell>
          <cell r="M1641">
            <v>0</v>
          </cell>
          <cell r="N1641">
            <v>0</v>
          </cell>
          <cell r="O1641">
            <v>0</v>
          </cell>
          <cell r="P1641">
            <v>0</v>
          </cell>
        </row>
        <row r="1642">
          <cell r="A1642">
            <v>4</v>
          </cell>
          <cell r="B1642">
            <v>8900101</v>
          </cell>
          <cell r="C1642">
            <v>890010100</v>
          </cell>
          <cell r="I1642">
            <v>0</v>
          </cell>
          <cell r="J1642">
            <v>0</v>
          </cell>
          <cell r="K1642">
            <v>0</v>
          </cell>
          <cell r="L1642">
            <v>0</v>
          </cell>
          <cell r="M1642">
            <v>0</v>
          </cell>
          <cell r="N1642">
            <v>0</v>
          </cell>
          <cell r="O1642">
            <v>0</v>
          </cell>
          <cell r="P1642">
            <v>0</v>
          </cell>
        </row>
      </sheetData>
      <sheetData sheetId="2"/>
      <sheetData sheetId="3">
        <row r="1">
          <cell r="D1" t="str">
            <v>令和５年度決算　消費税算出資料</v>
          </cell>
        </row>
        <row r="41">
          <cell r="T41">
            <v>42028134935</v>
          </cell>
        </row>
        <row r="46">
          <cell r="E46">
            <v>42987208386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雨汚水"/>
      <sheetName val="雨汚収入"/>
      <sheetName val="雨汚支出"/>
      <sheetName val="補助補給"/>
      <sheetName val="3条税込み"/>
      <sheetName val="3条税抜き"/>
      <sheetName val="3条税抜き (消費税雑支出加算)"/>
      <sheetName val="収入税込"/>
      <sheetName val="収入税抜き"/>
      <sheetName val="収入税抜き (消費税雑収入加算）)"/>
      <sheetName val="雨汚水(共通按分後)"/>
      <sheetName val="3条税込み(共通按分後)"/>
      <sheetName val="3条税抜き(共通按分後)"/>
      <sheetName val="3条税抜き (消費税雑支出加算)(共通按分後)"/>
      <sheetName val="雨汚水(共通按分後) (確認用)"/>
    </sheetNames>
    <sheetDataSet>
      <sheetData sheetId="0">
        <row r="77">
          <cell r="AD77">
            <v>1880565</v>
          </cell>
        </row>
        <row r="111">
          <cell r="E111">
            <v>3591522898</v>
          </cell>
        </row>
        <row r="112">
          <cell r="E112">
            <v>8476549651</v>
          </cell>
        </row>
        <row r="113">
          <cell r="E113">
            <v>2011677283</v>
          </cell>
        </row>
        <row r="116">
          <cell r="E116">
            <v>52443869</v>
          </cell>
        </row>
        <row r="117">
          <cell r="E117">
            <v>44424775</v>
          </cell>
        </row>
        <row r="118">
          <cell r="E118">
            <v>10483859</v>
          </cell>
        </row>
        <row r="122">
          <cell r="E122">
            <v>0</v>
          </cell>
        </row>
        <row r="123">
          <cell r="E123">
            <v>0</v>
          </cell>
        </row>
        <row r="124">
          <cell r="E124">
            <v>0</v>
          </cell>
        </row>
        <row r="125">
          <cell r="E125">
            <v>4980</v>
          </cell>
        </row>
        <row r="126">
          <cell r="E126">
            <v>9198273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税務署提出用"/>
      <sheetName val="総括表"/>
      <sheetName val="3条一般会計"/>
      <sheetName val="3条補助金"/>
      <sheetName val="3条他会計"/>
      <sheetName val="3条その他"/>
      <sheetName val="3条災害補助"/>
      <sheetName val="4条補助（公）"/>
      <sheetName val="4条補助（特）"/>
      <sheetName val="4条補助（農）"/>
      <sheetName val="4条補助（浄）"/>
      <sheetName val="受益（公）"/>
      <sheetName val="受益（区域外）"/>
      <sheetName val="4条その他"/>
      <sheetName val="4条工事負担金"/>
      <sheetName val="工事負担金（所属別内訳）"/>
      <sheetName val="工事負担金（元金償還分)"/>
      <sheetName val="西風"/>
      <sheetName val="海田"/>
      <sheetName val="府中青崎"/>
      <sheetName val="府中大須"/>
      <sheetName val="大須（共通）"/>
      <sheetName val="廿日市"/>
      <sheetName val="年度別調書"/>
    </sheetNames>
    <sheetDataSet>
      <sheetData sheetId="0"/>
      <sheetData sheetId="1"/>
      <sheetData sheetId="2">
        <row r="10">
          <cell r="I10">
            <v>1126582233</v>
          </cell>
        </row>
        <row r="11">
          <cell r="L11">
            <v>455357</v>
          </cell>
          <cell r="M11">
            <v>130554</v>
          </cell>
          <cell r="N11">
            <v>2256510197</v>
          </cell>
        </row>
        <row r="12">
          <cell r="I12">
            <v>8476549651</v>
          </cell>
        </row>
        <row r="15">
          <cell r="L15">
            <v>0</v>
          </cell>
          <cell r="M15">
            <v>0</v>
          </cell>
          <cell r="N15">
            <v>27794733</v>
          </cell>
        </row>
        <row r="18">
          <cell r="I18">
            <v>1981328911</v>
          </cell>
        </row>
        <row r="20">
          <cell r="I20">
            <v>39145078</v>
          </cell>
        </row>
        <row r="21">
          <cell r="L21">
            <v>0</v>
          </cell>
          <cell r="M21">
            <v>0</v>
          </cell>
          <cell r="N21">
            <v>12168217</v>
          </cell>
        </row>
        <row r="22">
          <cell r="I22">
            <v>34313966</v>
          </cell>
        </row>
        <row r="23">
          <cell r="L23">
            <v>0</v>
          </cell>
          <cell r="M23">
            <v>0</v>
          </cell>
          <cell r="N23">
            <v>9253060</v>
          </cell>
        </row>
        <row r="24">
          <cell r="I24">
            <v>9440835</v>
          </cell>
        </row>
        <row r="25">
          <cell r="L25">
            <v>0</v>
          </cell>
          <cell r="M25">
            <v>0</v>
          </cell>
          <cell r="N25">
            <v>955435</v>
          </cell>
        </row>
      </sheetData>
      <sheetData sheetId="3">
        <row r="18">
          <cell r="I18">
            <v>4980</v>
          </cell>
        </row>
        <row r="20">
          <cell r="I20">
            <v>3829735</v>
          </cell>
        </row>
        <row r="21">
          <cell r="L21">
            <v>0</v>
          </cell>
          <cell r="M21">
            <v>0</v>
          </cell>
          <cell r="N21">
            <v>5368538</v>
          </cell>
        </row>
      </sheetData>
      <sheetData sheetId="4">
        <row r="6">
          <cell r="I6">
            <v>16476593</v>
          </cell>
        </row>
      </sheetData>
      <sheetData sheetId="5">
        <row r="18">
          <cell r="I18">
            <v>945425</v>
          </cell>
        </row>
        <row r="19">
          <cell r="L19">
            <v>35</v>
          </cell>
          <cell r="M19">
            <v>14</v>
          </cell>
          <cell r="N19">
            <v>256740</v>
          </cell>
        </row>
        <row r="32">
          <cell r="I32">
            <v>1155175</v>
          </cell>
        </row>
        <row r="33">
          <cell r="L33">
            <v>0</v>
          </cell>
          <cell r="M33">
            <v>0</v>
          </cell>
          <cell r="N33">
            <v>0</v>
          </cell>
        </row>
        <row r="42">
          <cell r="I42">
            <v>864807</v>
          </cell>
        </row>
        <row r="43">
          <cell r="L43">
            <v>0</v>
          </cell>
          <cell r="M43">
            <v>0</v>
          </cell>
          <cell r="N43">
            <v>0</v>
          </cell>
        </row>
        <row r="44">
          <cell r="I44">
            <v>455622</v>
          </cell>
        </row>
        <row r="45">
          <cell r="L45">
            <v>0</v>
          </cell>
          <cell r="M45">
            <v>0</v>
          </cell>
          <cell r="N45">
            <v>0</v>
          </cell>
        </row>
        <row r="46">
          <cell r="I46">
            <v>109000</v>
          </cell>
        </row>
        <row r="47">
          <cell r="L47">
            <v>0</v>
          </cell>
          <cell r="M47">
            <v>0</v>
          </cell>
          <cell r="N47">
            <v>0</v>
          </cell>
        </row>
      </sheetData>
      <sheetData sheetId="6">
        <row r="8">
          <cell r="I8">
            <v>0</v>
          </cell>
        </row>
        <row r="9">
          <cell r="L9">
            <v>0</v>
          </cell>
          <cell r="M9">
            <v>0</v>
          </cell>
          <cell r="N9">
            <v>0</v>
          </cell>
        </row>
        <row r="22">
          <cell r="I22">
            <v>0</v>
          </cell>
        </row>
        <row r="23">
          <cell r="L23">
            <v>0</v>
          </cell>
          <cell r="M23">
            <v>0</v>
          </cell>
          <cell r="N23">
            <v>0</v>
          </cell>
        </row>
        <row r="36">
          <cell r="I36">
            <v>0</v>
          </cell>
        </row>
        <row r="37">
          <cell r="L37">
            <v>0</v>
          </cell>
          <cell r="M37">
            <v>0</v>
          </cell>
          <cell r="N37">
            <v>0</v>
          </cell>
        </row>
        <row r="50">
          <cell r="I50">
            <v>0</v>
          </cell>
        </row>
        <row r="51">
          <cell r="L51">
            <v>0</v>
          </cell>
          <cell r="M51">
            <v>0</v>
          </cell>
          <cell r="N51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(申)3%"/>
      <sheetName val="(申)5%"/>
      <sheetName val="(申)8%"/>
      <sheetName val="(申)軽8%"/>
      <sheetName val="(申)10%"/>
      <sheetName val="(申)計"/>
      <sheetName val="消費税旧"/>
      <sheetName val="対価返還"/>
      <sheetName val="基礎数値"/>
      <sheetName val="消費税"/>
      <sheetName val="4条圧縮"/>
      <sheetName val="仮受仮払"/>
      <sheetName val="精算表"/>
      <sheetName val="振替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91">
          <cell r="U91">
            <v>0</v>
          </cell>
          <cell r="V91">
            <v>0</v>
          </cell>
          <cell r="W91">
            <v>33732</v>
          </cell>
          <cell r="X91">
            <v>9671</v>
          </cell>
          <cell r="Y91">
            <v>210209720</v>
          </cell>
          <cell r="Z91">
            <v>210253123</v>
          </cell>
        </row>
        <row r="113">
          <cell r="AF113">
            <v>0</v>
          </cell>
        </row>
      </sheetData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>
    <tabColor rgb="FF00CC00"/>
    <pageSetUpPr fitToPage="1"/>
  </sheetPr>
  <dimension ref="A1:BM84"/>
  <sheetViews>
    <sheetView tabSelected="1" view="pageBreakPreview" zoomScale="70" zoomScaleNormal="85" zoomScaleSheetLayoutView="70" workbookViewId="0">
      <pane xSplit="5" ySplit="6" topLeftCell="G7" activePane="bottomRight" state="frozen"/>
      <selection activeCell="D1" sqref="D1"/>
      <selection pane="topRight" activeCell="F1" sqref="F1"/>
      <selection pane="bottomLeft" activeCell="D7" sqref="D7"/>
      <selection pane="bottomRight" activeCell="Z41" sqref="Z41"/>
    </sheetView>
  </sheetViews>
  <sheetFormatPr defaultColWidth="9" defaultRowHeight="15.95" customHeight="1" outlineLevelCol="1"/>
  <cols>
    <col min="1" max="2" width="2.625" style="1" customWidth="1"/>
    <col min="3" max="3" width="2.625" style="5" customWidth="1"/>
    <col min="4" max="4" width="33.875" style="1" bestFit="1" customWidth="1"/>
    <col min="5" max="5" width="14" style="1" bestFit="1" customWidth="1"/>
    <col min="6" max="6" width="13" style="1" hidden="1" customWidth="1" outlineLevel="1"/>
    <col min="7" max="7" width="4.375" style="1" customWidth="1" collapsed="1"/>
    <col min="8" max="8" width="7.625" style="1" customWidth="1"/>
    <col min="9" max="9" width="4.375" style="1" customWidth="1"/>
    <col min="10" max="10" width="14" style="1" bestFit="1" customWidth="1"/>
    <col min="11" max="11" width="13.375" style="6" customWidth="1"/>
    <col min="12" max="12" width="10.25" style="1" bestFit="1" customWidth="1"/>
    <col min="13" max="13" width="9.25" style="1" bestFit="1" customWidth="1"/>
    <col min="14" max="14" width="11.5" style="1" hidden="1" customWidth="1" outlineLevel="1"/>
    <col min="15" max="15" width="12" style="1" customWidth="1" collapsed="1"/>
    <col min="16" max="17" width="12" style="1" customWidth="1"/>
    <col min="18" max="20" width="13.125" style="1" customWidth="1"/>
    <col min="21" max="21" width="12.875" style="1" bestFit="1" customWidth="1"/>
    <col min="22" max="22" width="14" style="1" bestFit="1" customWidth="1"/>
    <col min="23" max="23" width="7.125" style="6" hidden="1" customWidth="1" outlineLevel="1"/>
    <col min="24" max="24" width="2.125" style="6" customWidth="1" collapsed="1"/>
    <col min="25" max="25" width="7.875" style="6" bestFit="1" customWidth="1"/>
    <col min="26" max="26" width="2.125" style="6" customWidth="1"/>
    <col min="27" max="28" width="12.875" style="6" bestFit="1" customWidth="1"/>
    <col min="29" max="29" width="2.625" style="1" customWidth="1" outlineLevel="1"/>
    <col min="30" max="30" width="2.625" style="1" bestFit="1" customWidth="1"/>
    <col min="31" max="31" width="6.875" style="1" bestFit="1" customWidth="1"/>
    <col min="32" max="32" width="7" style="1" bestFit="1" customWidth="1"/>
    <col min="33" max="33" width="11.375" style="1" bestFit="1" customWidth="1"/>
    <col min="34" max="34" width="14.125" style="1" customWidth="1"/>
    <col min="35" max="35" width="14" style="1" bestFit="1" customWidth="1"/>
    <col min="36" max="37" width="4.875" style="1" bestFit="1" customWidth="1"/>
    <col min="38" max="38" width="5.875" style="1" bestFit="1" customWidth="1"/>
    <col min="39" max="39" width="7" style="1" bestFit="1" customWidth="1"/>
    <col min="40" max="40" width="5.875" style="1" bestFit="1" customWidth="1"/>
    <col min="41" max="43" width="2.625" style="1" bestFit="1" customWidth="1"/>
    <col min="44" max="44" width="7" style="1" bestFit="1" customWidth="1"/>
    <col min="45" max="45" width="3.5" style="1" bestFit="1" customWidth="1"/>
    <col min="46" max="47" width="2.625" style="1" bestFit="1" customWidth="1"/>
    <col min="48" max="48" width="3.5" style="1" bestFit="1" customWidth="1"/>
    <col min="49" max="49" width="7" style="1" bestFit="1" customWidth="1"/>
    <col min="50" max="50" width="3.5" style="1" bestFit="1" customWidth="1"/>
    <col min="51" max="52" width="4.875" style="1" bestFit="1" customWidth="1"/>
    <col min="53" max="53" width="5.875" style="1" bestFit="1" customWidth="1"/>
    <col min="54" max="54" width="7" style="1" bestFit="1" customWidth="1"/>
    <col min="55" max="55" width="5.875" style="1" bestFit="1" customWidth="1"/>
    <col min="56" max="58" width="2.625" style="1" bestFit="1" customWidth="1"/>
    <col min="59" max="59" width="7" style="1" bestFit="1" customWidth="1"/>
    <col min="60" max="60" width="3.5" style="1" bestFit="1" customWidth="1"/>
    <col min="61" max="62" width="2.625" style="1" bestFit="1" customWidth="1"/>
    <col min="63" max="63" width="3.5" style="1" bestFit="1" customWidth="1"/>
    <col min="64" max="64" width="7" style="1" bestFit="1" customWidth="1"/>
    <col min="65" max="65" width="3.5" style="1" bestFit="1" customWidth="1"/>
    <col min="66" max="16384" width="9" style="1"/>
  </cols>
  <sheetData>
    <row r="1" spans="1:65" ht="15.95" customHeight="1">
      <c r="D1" s="1" t="str">
        <f>+'[1]3条支出'!$D$1</f>
        <v>令和５年度決算　消費税算出資料</v>
      </c>
    </row>
    <row r="2" spans="1:65" ht="15.95" customHeight="1">
      <c r="D2" s="1" t="s">
        <v>28</v>
      </c>
      <c r="N2" s="23"/>
      <c r="O2" s="23"/>
      <c r="P2" s="23"/>
      <c r="Q2" s="23"/>
      <c r="R2" s="23"/>
      <c r="S2" s="2"/>
      <c r="T2" s="2"/>
      <c r="U2" s="2"/>
      <c r="V2" s="2"/>
      <c r="AK2" s="24"/>
      <c r="AL2" s="24"/>
      <c r="AM2" s="24"/>
      <c r="AN2" s="24"/>
      <c r="AO2" s="24"/>
      <c r="AP2" s="24"/>
      <c r="AQ2" s="24"/>
      <c r="AR2" s="24"/>
      <c r="AS2" s="24"/>
      <c r="AT2" s="24"/>
    </row>
    <row r="3" spans="1:65" ht="15.95" customHeight="1">
      <c r="A3" s="250" t="s">
        <v>2</v>
      </c>
      <c r="B3" s="251" t="s">
        <v>0</v>
      </c>
      <c r="C3" s="270" t="s">
        <v>1</v>
      </c>
      <c r="D3" s="238" t="s">
        <v>7</v>
      </c>
      <c r="E3" s="238" t="s">
        <v>3</v>
      </c>
      <c r="F3" s="253" t="s">
        <v>32</v>
      </c>
      <c r="G3" s="254"/>
      <c r="H3" s="254"/>
      <c r="I3" s="254"/>
      <c r="J3" s="254"/>
      <c r="K3" s="255"/>
      <c r="L3" s="260" t="s">
        <v>90</v>
      </c>
      <c r="M3" s="272" t="s">
        <v>91</v>
      </c>
      <c r="N3" s="250" t="s">
        <v>36</v>
      </c>
      <c r="O3" s="251"/>
      <c r="P3" s="251"/>
      <c r="Q3" s="251"/>
      <c r="R3" s="251"/>
      <c r="S3" s="251"/>
      <c r="T3" s="251"/>
      <c r="U3" s="251"/>
      <c r="V3" s="252"/>
      <c r="W3" s="241" t="s">
        <v>25</v>
      </c>
      <c r="X3" s="242"/>
      <c r="Y3" s="242"/>
      <c r="Z3" s="242"/>
      <c r="AA3" s="242"/>
      <c r="AB3" s="243"/>
      <c r="AC3" s="230" t="s">
        <v>37</v>
      </c>
      <c r="AD3" s="231"/>
      <c r="AE3" s="231"/>
      <c r="AF3" s="231"/>
      <c r="AG3" s="231"/>
      <c r="AH3" s="232"/>
      <c r="AI3" s="238" t="s">
        <v>4</v>
      </c>
      <c r="AJ3" s="228"/>
      <c r="AK3" s="225"/>
      <c r="AL3" s="225"/>
      <c r="AM3" s="225"/>
      <c r="AN3" s="225"/>
      <c r="AO3" s="225"/>
      <c r="AP3" s="225"/>
      <c r="AQ3" s="225"/>
      <c r="AR3" s="225"/>
      <c r="AS3" s="225"/>
      <c r="AT3" s="225"/>
      <c r="AU3" s="61"/>
      <c r="AV3" s="61"/>
      <c r="AW3" s="61"/>
      <c r="AX3" s="61"/>
      <c r="AY3" s="225" t="s">
        <v>86</v>
      </c>
      <c r="AZ3" s="225"/>
      <c r="BA3" s="225"/>
      <c r="BB3" s="225"/>
      <c r="BC3" s="225"/>
      <c r="BD3" s="225"/>
      <c r="BE3" s="225"/>
      <c r="BF3" s="225"/>
      <c r="BG3" s="225"/>
      <c r="BH3" s="225"/>
      <c r="BI3" s="225"/>
      <c r="BJ3" s="225"/>
      <c r="BK3" s="225"/>
      <c r="BL3" s="225"/>
      <c r="BM3" s="225"/>
    </row>
    <row r="4" spans="1:65" ht="15.95" customHeight="1">
      <c r="A4" s="266"/>
      <c r="B4" s="268"/>
      <c r="C4" s="271"/>
      <c r="D4" s="239"/>
      <c r="E4" s="239"/>
      <c r="F4" s="228"/>
      <c r="G4" s="225"/>
      <c r="H4" s="225"/>
      <c r="I4" s="225"/>
      <c r="J4" s="225"/>
      <c r="K4" s="256"/>
      <c r="L4" s="239"/>
      <c r="M4" s="239"/>
      <c r="N4" s="274" t="s">
        <v>33</v>
      </c>
      <c r="O4" s="275"/>
      <c r="P4" s="275"/>
      <c r="Q4" s="275"/>
      <c r="R4" s="275"/>
      <c r="S4" s="275"/>
      <c r="T4" s="276"/>
      <c r="U4" s="277" t="s">
        <v>27</v>
      </c>
      <c r="V4" s="7"/>
      <c r="W4" s="244"/>
      <c r="X4" s="245"/>
      <c r="Y4" s="245"/>
      <c r="Z4" s="245"/>
      <c r="AA4" s="245"/>
      <c r="AB4" s="246"/>
      <c r="AC4" s="233"/>
      <c r="AD4" s="234"/>
      <c r="AE4" s="234"/>
      <c r="AF4" s="234"/>
      <c r="AG4" s="234"/>
      <c r="AH4" s="235"/>
      <c r="AI4" s="239"/>
      <c r="AJ4" s="59"/>
      <c r="AK4" s="60"/>
      <c r="AL4" s="60"/>
      <c r="AM4" s="66"/>
      <c r="AN4" s="60"/>
      <c r="AO4" s="60"/>
      <c r="AP4" s="60"/>
      <c r="AQ4" s="60"/>
      <c r="AR4" s="66"/>
      <c r="AS4" s="60"/>
      <c r="AT4" s="60"/>
      <c r="AU4" s="61"/>
      <c r="AV4" s="61"/>
      <c r="AW4" s="61"/>
      <c r="AX4" s="61"/>
      <c r="AY4" s="225"/>
      <c r="AZ4" s="225"/>
      <c r="BA4" s="225"/>
      <c r="BB4" s="225"/>
      <c r="BC4" s="225"/>
      <c r="BD4" s="225"/>
      <c r="BE4" s="225"/>
      <c r="BF4" s="225"/>
      <c r="BG4" s="225"/>
      <c r="BH4" s="225"/>
      <c r="BI4" s="225"/>
      <c r="BJ4" s="225"/>
      <c r="BK4" s="225"/>
      <c r="BL4" s="225"/>
      <c r="BM4" s="225"/>
    </row>
    <row r="5" spans="1:65" ht="15.95" customHeight="1">
      <c r="A5" s="266"/>
      <c r="B5" s="268"/>
      <c r="C5" s="271"/>
      <c r="D5" s="239"/>
      <c r="E5" s="239"/>
      <c r="F5" s="257"/>
      <c r="G5" s="258"/>
      <c r="H5" s="258"/>
      <c r="I5" s="258"/>
      <c r="J5" s="258"/>
      <c r="K5" s="259"/>
      <c r="L5" s="239"/>
      <c r="M5" s="239"/>
      <c r="N5" s="262" t="s">
        <v>34</v>
      </c>
      <c r="O5" s="263"/>
      <c r="P5" s="263"/>
      <c r="Q5" s="263"/>
      <c r="R5" s="263"/>
      <c r="S5" s="263"/>
      <c r="T5" s="236" t="s">
        <v>35</v>
      </c>
      <c r="U5" s="278"/>
      <c r="V5" s="264" t="s">
        <v>5</v>
      </c>
      <c r="W5" s="247"/>
      <c r="X5" s="248"/>
      <c r="Y5" s="248"/>
      <c r="Z5" s="248"/>
      <c r="AA5" s="248"/>
      <c r="AB5" s="249"/>
      <c r="AC5" s="233"/>
      <c r="AD5" s="234"/>
      <c r="AE5" s="234"/>
      <c r="AF5" s="234"/>
      <c r="AG5" s="234"/>
      <c r="AH5" s="235"/>
      <c r="AI5" s="239"/>
      <c r="AJ5" s="229" t="s">
        <v>9</v>
      </c>
      <c r="AK5" s="226"/>
      <c r="AL5" s="226"/>
      <c r="AM5" s="226"/>
      <c r="AN5" s="226"/>
      <c r="AO5" s="226" t="s">
        <v>85</v>
      </c>
      <c r="AP5" s="226"/>
      <c r="AQ5" s="226"/>
      <c r="AR5" s="226"/>
      <c r="AS5" s="226"/>
      <c r="AT5" s="226" t="s">
        <v>10</v>
      </c>
      <c r="AU5" s="226"/>
      <c r="AV5" s="226"/>
      <c r="AW5" s="226"/>
      <c r="AX5" s="226"/>
      <c r="AY5" s="226" t="s">
        <v>9</v>
      </c>
      <c r="AZ5" s="226"/>
      <c r="BA5" s="226"/>
      <c r="BB5" s="226"/>
      <c r="BC5" s="226"/>
      <c r="BD5" s="226" t="s">
        <v>85</v>
      </c>
      <c r="BE5" s="226"/>
      <c r="BF5" s="226"/>
      <c r="BG5" s="226"/>
      <c r="BH5" s="226"/>
      <c r="BI5" s="227" t="s">
        <v>10</v>
      </c>
      <c r="BJ5" s="227"/>
      <c r="BK5" s="227"/>
      <c r="BL5" s="227"/>
      <c r="BM5" s="227"/>
    </row>
    <row r="6" spans="1:65" s="24" customFormat="1" ht="15.95" customHeight="1">
      <c r="A6" s="267"/>
      <c r="B6" s="269"/>
      <c r="C6" s="271"/>
      <c r="D6" s="240"/>
      <c r="E6" s="240"/>
      <c r="F6" s="8">
        <v>3</v>
      </c>
      <c r="G6" s="9">
        <v>5</v>
      </c>
      <c r="H6" s="9">
        <v>8</v>
      </c>
      <c r="I6" s="69">
        <v>8</v>
      </c>
      <c r="J6" s="10">
        <v>10</v>
      </c>
      <c r="K6" s="17" t="s">
        <v>5</v>
      </c>
      <c r="L6" s="261"/>
      <c r="M6" s="273"/>
      <c r="N6" s="11">
        <v>3</v>
      </c>
      <c r="O6" s="12">
        <v>5</v>
      </c>
      <c r="P6" s="12">
        <v>8</v>
      </c>
      <c r="Q6" s="69">
        <v>8</v>
      </c>
      <c r="R6" s="12">
        <v>10</v>
      </c>
      <c r="S6" s="13" t="s">
        <v>26</v>
      </c>
      <c r="T6" s="237"/>
      <c r="U6" s="279"/>
      <c r="V6" s="265"/>
      <c r="W6" s="14">
        <v>3</v>
      </c>
      <c r="X6" s="15">
        <v>5</v>
      </c>
      <c r="Y6" s="15">
        <v>8</v>
      </c>
      <c r="Z6" s="69">
        <v>8</v>
      </c>
      <c r="AA6" s="16">
        <v>10</v>
      </c>
      <c r="AB6" s="17" t="s">
        <v>5</v>
      </c>
      <c r="AC6" s="14">
        <v>3</v>
      </c>
      <c r="AD6" s="15">
        <v>5</v>
      </c>
      <c r="AE6" s="15">
        <v>8</v>
      </c>
      <c r="AF6" s="69">
        <v>8</v>
      </c>
      <c r="AG6" s="15">
        <v>10</v>
      </c>
      <c r="AH6" s="57" t="s">
        <v>26</v>
      </c>
      <c r="AI6" s="240"/>
      <c r="AJ6" s="58">
        <v>3</v>
      </c>
      <c r="AK6" s="58">
        <v>5</v>
      </c>
      <c r="AL6" s="58">
        <v>8</v>
      </c>
      <c r="AM6" s="70">
        <v>8</v>
      </c>
      <c r="AN6" s="58">
        <v>10</v>
      </c>
      <c r="AO6" s="58">
        <v>3</v>
      </c>
      <c r="AP6" s="58">
        <v>5</v>
      </c>
      <c r="AQ6" s="58">
        <v>8</v>
      </c>
      <c r="AR6" s="70">
        <v>8</v>
      </c>
      <c r="AS6" s="58">
        <v>10</v>
      </c>
      <c r="AT6" s="58">
        <v>3</v>
      </c>
      <c r="AU6" s="58">
        <v>5</v>
      </c>
      <c r="AV6" s="58">
        <v>8</v>
      </c>
      <c r="AW6" s="70">
        <v>8</v>
      </c>
      <c r="AX6" s="58">
        <v>10</v>
      </c>
      <c r="AY6" s="58">
        <v>3</v>
      </c>
      <c r="AZ6" s="58">
        <v>5</v>
      </c>
      <c r="BA6" s="58">
        <v>8</v>
      </c>
      <c r="BB6" s="70">
        <v>8</v>
      </c>
      <c r="BC6" s="58">
        <v>10</v>
      </c>
      <c r="BD6" s="58">
        <v>3</v>
      </c>
      <c r="BE6" s="58">
        <v>5</v>
      </c>
      <c r="BF6" s="58">
        <v>8</v>
      </c>
      <c r="BG6" s="70">
        <v>8</v>
      </c>
      <c r="BH6" s="58">
        <v>10</v>
      </c>
      <c r="BI6" s="58">
        <v>3</v>
      </c>
      <c r="BJ6" s="58">
        <v>5</v>
      </c>
      <c r="BK6" s="58">
        <v>8</v>
      </c>
      <c r="BL6" s="70">
        <v>8</v>
      </c>
      <c r="BM6" s="58">
        <v>10</v>
      </c>
    </row>
    <row r="7" spans="1:65" s="87" customFormat="1" ht="15.95" customHeight="1">
      <c r="A7" s="25"/>
      <c r="B7" s="26"/>
      <c r="C7" s="27"/>
      <c r="D7" s="71" t="s">
        <v>11</v>
      </c>
      <c r="E7" s="72">
        <f>+E8</f>
        <v>20488962528</v>
      </c>
      <c r="F7" s="73">
        <f t="shared" ref="F7:V7" si="0">+F8</f>
        <v>0</v>
      </c>
      <c r="G7" s="74">
        <f t="shared" si="0"/>
        <v>0</v>
      </c>
      <c r="H7" s="74">
        <f t="shared" si="0"/>
        <v>0</v>
      </c>
      <c r="I7" s="75">
        <f t="shared" si="0"/>
        <v>0</v>
      </c>
      <c r="J7" s="75">
        <f t="shared" si="0"/>
        <v>20488875668</v>
      </c>
      <c r="K7" s="76">
        <f t="shared" si="0"/>
        <v>20488875668</v>
      </c>
      <c r="L7" s="72">
        <f t="shared" si="0"/>
        <v>0</v>
      </c>
      <c r="M7" s="72">
        <f t="shared" si="0"/>
        <v>86860</v>
      </c>
      <c r="N7" s="77">
        <f t="shared" ref="N7:U7" si="1">+N8</f>
        <v>0</v>
      </c>
      <c r="O7" s="78">
        <f t="shared" si="1"/>
        <v>0</v>
      </c>
      <c r="P7" s="78">
        <f t="shared" si="1"/>
        <v>0</v>
      </c>
      <c r="Q7" s="78">
        <f t="shared" si="1"/>
        <v>0</v>
      </c>
      <c r="R7" s="78">
        <f t="shared" si="1"/>
        <v>0</v>
      </c>
      <c r="S7" s="78">
        <f t="shared" si="1"/>
        <v>0</v>
      </c>
      <c r="T7" s="78">
        <f t="shared" si="1"/>
        <v>0</v>
      </c>
      <c r="U7" s="78">
        <f t="shared" si="1"/>
        <v>0</v>
      </c>
      <c r="V7" s="79">
        <f t="shared" si="0"/>
        <v>0</v>
      </c>
      <c r="W7" s="73">
        <f t="shared" ref="W7:AI7" si="2">+W8</f>
        <v>0</v>
      </c>
      <c r="X7" s="74">
        <f t="shared" si="2"/>
        <v>0</v>
      </c>
      <c r="Y7" s="74">
        <f t="shared" si="2"/>
        <v>0</v>
      </c>
      <c r="Z7" s="74">
        <f t="shared" si="2"/>
        <v>0</v>
      </c>
      <c r="AA7" s="75">
        <f t="shared" si="2"/>
        <v>1862625061</v>
      </c>
      <c r="AB7" s="76">
        <f t="shared" si="2"/>
        <v>1862625061</v>
      </c>
      <c r="AC7" s="80">
        <f t="shared" ref="AC7:AH7" si="3">+AC8</f>
        <v>0</v>
      </c>
      <c r="AD7" s="81">
        <f t="shared" si="3"/>
        <v>0</v>
      </c>
      <c r="AE7" s="81">
        <f t="shared" si="3"/>
        <v>0</v>
      </c>
      <c r="AF7" s="81">
        <f t="shared" si="3"/>
        <v>0</v>
      </c>
      <c r="AG7" s="81">
        <f t="shared" si="3"/>
        <v>0</v>
      </c>
      <c r="AH7" s="82">
        <f t="shared" si="3"/>
        <v>0</v>
      </c>
      <c r="AI7" s="83">
        <f t="shared" si="2"/>
        <v>18626337467</v>
      </c>
      <c r="AJ7" s="84"/>
      <c r="AK7" s="84"/>
      <c r="AL7" s="84"/>
      <c r="AM7" s="84"/>
      <c r="AN7" s="84"/>
      <c r="AO7" s="85"/>
      <c r="AP7" s="85"/>
      <c r="AQ7" s="85"/>
      <c r="AR7" s="85"/>
      <c r="AS7" s="85"/>
      <c r="AT7" s="86"/>
      <c r="AU7" s="86"/>
      <c r="AV7" s="86"/>
      <c r="AW7" s="86"/>
      <c r="AX7" s="86"/>
      <c r="AY7" s="84"/>
      <c r="AZ7" s="84"/>
      <c r="BA7" s="84"/>
      <c r="BB7" s="84"/>
      <c r="BC7" s="84"/>
      <c r="BD7" s="85"/>
      <c r="BE7" s="85"/>
      <c r="BF7" s="85"/>
      <c r="BG7" s="85"/>
      <c r="BH7" s="85"/>
      <c r="BI7" s="86"/>
      <c r="BJ7" s="86"/>
      <c r="BK7" s="86"/>
      <c r="BL7" s="86"/>
      <c r="BM7" s="86"/>
    </row>
    <row r="8" spans="1:65" s="87" customFormat="1" ht="15.95" customHeight="1">
      <c r="A8" s="28"/>
      <c r="B8" s="29"/>
      <c r="C8" s="30">
        <v>481020200</v>
      </c>
      <c r="D8" s="88" t="s">
        <v>47</v>
      </c>
      <c r="E8" s="89">
        <f>+SUMIFS([1]全伝票!I:I,[1]全伝票!$C:$C,$C8)</f>
        <v>20488962528</v>
      </c>
      <c r="F8" s="90">
        <f>+SUMIFS([1]全伝票!J:J,[1]全伝票!$C:$C,$C8)</f>
        <v>0</v>
      </c>
      <c r="G8" s="91">
        <f>+SUMIFS([1]全伝票!K:K,[1]全伝票!$C:$C,$C8)</f>
        <v>0</v>
      </c>
      <c r="H8" s="91">
        <f>+SUMIFS([1]全伝票!L:L,[1]全伝票!$C:$C,$C8)</f>
        <v>0</v>
      </c>
      <c r="I8" s="92">
        <f>+SUMIFS([1]全伝票!M:M,[1]全伝票!$C:$C,$C8)</f>
        <v>0</v>
      </c>
      <c r="J8" s="92">
        <f>+SUMIFS([1]全伝票!N:N,[1]全伝票!$C:$C,$C8)-M8</f>
        <v>20488875668</v>
      </c>
      <c r="K8" s="93">
        <f>SUM(F8:J8)</f>
        <v>20488875668</v>
      </c>
      <c r="L8" s="89">
        <f>+SUMIFS([1]全伝票!O:O,[1]全伝票!$C:$C,$C8)</f>
        <v>0</v>
      </c>
      <c r="M8" s="94">
        <v>86860</v>
      </c>
      <c r="N8" s="95"/>
      <c r="O8" s="96"/>
      <c r="P8" s="96"/>
      <c r="Q8" s="96"/>
      <c r="R8" s="96"/>
      <c r="S8" s="96">
        <f>SUM(N8:R8)</f>
        <v>0</v>
      </c>
      <c r="T8" s="96"/>
      <c r="U8" s="96">
        <f>+V8-SUM(N8:T8)</f>
        <v>0</v>
      </c>
      <c r="V8" s="97">
        <f>+SUMIFS([1]全伝票!P:P,[1]全伝票!$C:$C,$C8)</f>
        <v>0</v>
      </c>
      <c r="W8" s="95">
        <f>+ROUND(F8*F$6/(100+F$6),0)+AT8</f>
        <v>0</v>
      </c>
      <c r="X8" s="96">
        <f>+ROUND(G8*G$6/(100+G$6),0)+AU8</f>
        <v>0</v>
      </c>
      <c r="Y8" s="96">
        <f>+ROUND(H8*H$6/(100+H$6),0)+AV8</f>
        <v>0</v>
      </c>
      <c r="Z8" s="96">
        <f>+ROUND(I8*I$6/(100+I$6),0)+AW8</f>
        <v>0</v>
      </c>
      <c r="AA8" s="98">
        <f>+ROUND(J8*J$6/(100+J$6),0)+AX8</f>
        <v>1862625061</v>
      </c>
      <c r="AB8" s="93">
        <f>SUM(W8:AA8)</f>
        <v>1862625061</v>
      </c>
      <c r="AC8" s="99">
        <f>+ROUND(N8*AC$6/(100+AC$6),0)+BI8</f>
        <v>0</v>
      </c>
      <c r="AD8" s="100">
        <f>+ROUND(O8*AD$6/(100+AD$6),0)+BJ8</f>
        <v>0</v>
      </c>
      <c r="AE8" s="100">
        <f>+ROUND(P8*AE$6/(100+AE$6),0)+BK8</f>
        <v>0</v>
      </c>
      <c r="AF8" s="100">
        <f>+ROUND(Q8*AF$6/(100+AF$6),0)+BL8</f>
        <v>0</v>
      </c>
      <c r="AG8" s="100">
        <f>+ROUND(R8*AG$6/(100+AG$6),0)+BM8</f>
        <v>0</v>
      </c>
      <c r="AH8" s="101">
        <f>SUM(AC8:AG8)</f>
        <v>0</v>
      </c>
      <c r="AI8" s="102">
        <f>+E8-AB8</f>
        <v>18626337467</v>
      </c>
      <c r="AJ8" s="84">
        <f>W8-F8*W$6/(100+W$6)</f>
        <v>0</v>
      </c>
      <c r="AK8" s="84">
        <f>X8-G8*X$6/(100+X$6)</f>
        <v>0</v>
      </c>
      <c r="AL8" s="84">
        <f>Y8-H8*Y$6/(100+Y$6)</f>
        <v>0</v>
      </c>
      <c r="AM8" s="84">
        <f>Z8-I8*Z$6/(100+Z$6)</f>
        <v>0</v>
      </c>
      <c r="AN8" s="84">
        <f>AA8-J8*AA$6/(100+AA$6)</f>
        <v>0.27272725105285645</v>
      </c>
      <c r="AO8" s="85">
        <f>+IF(W$71=0,0,IF(W$71&lt;0,-RANK(AJ8,AJ$7:AJ$68,0),RANK(AJ8,AJ$7:AJ$68,1)))</f>
        <v>0</v>
      </c>
      <c r="AP8" s="85">
        <f>+IF(X$71=0,0,IF(X$71&lt;0,-RANK(AK8,AK$7:AK$68,0),RANK(AK8,AK$7:AK$68,1)))</f>
        <v>0</v>
      </c>
      <c r="AQ8" s="85">
        <f>+IF(Y$71=0,0,IF(Y$71&lt;0,-RANK(AL8,AL$7:AL$68,0),RANK(AL8,AL$7:AL$68,1)))</f>
        <v>0</v>
      </c>
      <c r="AR8" s="85">
        <f>+IF(Z$71=0,0,IF(Z$71&lt;0,-RANK(AM8,AM$7:AM$68,0),RANK(AM8,AM$7:AM$68,1)))</f>
        <v>0</v>
      </c>
      <c r="AS8" s="85">
        <f>+IF(AA$71=0,0,IF(AA$71&lt;0,-RANK(AN8,AN$7:AN$68,0),RANK(AN8,AN$7:AN$68,1)))</f>
        <v>0</v>
      </c>
      <c r="AT8" s="86"/>
      <c r="AU8" s="86"/>
      <c r="AV8" s="86"/>
      <c r="AW8" s="86"/>
      <c r="AX8" s="86"/>
      <c r="AY8" s="84"/>
      <c r="AZ8" s="84"/>
      <c r="BA8" s="84"/>
      <c r="BB8" s="84"/>
      <c r="BC8" s="84"/>
      <c r="BD8" s="85"/>
      <c r="BE8" s="85"/>
      <c r="BF8" s="85"/>
      <c r="BG8" s="85"/>
      <c r="BH8" s="85"/>
      <c r="BI8" s="86"/>
      <c r="BJ8" s="86"/>
      <c r="BK8" s="86"/>
      <c r="BL8" s="86"/>
      <c r="BM8" s="86"/>
    </row>
    <row r="9" spans="1:65" s="87" customFormat="1" ht="15.95" customHeight="1">
      <c r="A9" s="25"/>
      <c r="B9" s="26"/>
      <c r="C9" s="27"/>
      <c r="D9" s="71" t="s">
        <v>48</v>
      </c>
      <c r="E9" s="72">
        <f>+SUM(E10,E14:E16)</f>
        <v>14187102335</v>
      </c>
      <c r="F9" s="73">
        <f t="shared" ref="F9:V9" si="4">+SUM(F10,F14:F16)</f>
        <v>0</v>
      </c>
      <c r="G9" s="74">
        <f t="shared" si="4"/>
        <v>0</v>
      </c>
      <c r="H9" s="74">
        <f t="shared" si="4"/>
        <v>0</v>
      </c>
      <c r="I9" s="75">
        <f t="shared" ref="I9" si="5">+SUM(I10,I14:I16)</f>
        <v>0</v>
      </c>
      <c r="J9" s="75">
        <f t="shared" si="4"/>
        <v>0</v>
      </c>
      <c r="K9" s="76">
        <f t="shared" si="4"/>
        <v>0</v>
      </c>
      <c r="L9" s="72">
        <f t="shared" si="4"/>
        <v>0</v>
      </c>
      <c r="M9" s="72">
        <f t="shared" ref="M9" si="6">+SUM(M10,M14:M16)</f>
        <v>0</v>
      </c>
      <c r="N9" s="77">
        <f t="shared" ref="N9:U9" si="7">+SUM(N10,N14:N16)</f>
        <v>0</v>
      </c>
      <c r="O9" s="78">
        <f t="shared" si="7"/>
        <v>0</v>
      </c>
      <c r="P9" s="78">
        <f t="shared" si="7"/>
        <v>455357</v>
      </c>
      <c r="Q9" s="78">
        <f t="shared" ref="Q9" si="8">+SUM(Q10,Q14:Q16)</f>
        <v>130554</v>
      </c>
      <c r="R9" s="78">
        <f t="shared" si="7"/>
        <v>2306681642</v>
      </c>
      <c r="S9" s="78">
        <f t="shared" si="7"/>
        <v>2307267553</v>
      </c>
      <c r="T9" s="78">
        <f t="shared" si="7"/>
        <v>11667360674</v>
      </c>
      <c r="U9" s="78">
        <f t="shared" si="7"/>
        <v>212474108</v>
      </c>
      <c r="V9" s="79">
        <f t="shared" si="4"/>
        <v>14187102335</v>
      </c>
      <c r="W9" s="73">
        <f t="shared" ref="W9:AI9" si="9">+SUM(W10,W14:W16)</f>
        <v>0</v>
      </c>
      <c r="X9" s="74">
        <f t="shared" si="9"/>
        <v>0</v>
      </c>
      <c r="Y9" s="74">
        <f t="shared" si="9"/>
        <v>0</v>
      </c>
      <c r="Z9" s="74">
        <f t="shared" ref="Z9" si="10">+SUM(Z10,Z14:Z16)</f>
        <v>0</v>
      </c>
      <c r="AA9" s="75">
        <f t="shared" si="9"/>
        <v>0</v>
      </c>
      <c r="AB9" s="76">
        <f t="shared" si="9"/>
        <v>0</v>
      </c>
      <c r="AC9" s="80">
        <f t="shared" ref="AC9:AH9" si="11">+SUM(AC10,AC14:AC16)</f>
        <v>0</v>
      </c>
      <c r="AD9" s="81">
        <f t="shared" si="11"/>
        <v>0</v>
      </c>
      <c r="AE9" s="81">
        <f t="shared" si="11"/>
        <v>33729</v>
      </c>
      <c r="AF9" s="81">
        <f t="shared" si="11"/>
        <v>9670</v>
      </c>
      <c r="AG9" s="81">
        <f t="shared" si="11"/>
        <v>209698331</v>
      </c>
      <c r="AH9" s="82">
        <f t="shared" si="11"/>
        <v>209741730</v>
      </c>
      <c r="AI9" s="83">
        <f t="shared" si="9"/>
        <v>14187102335</v>
      </c>
      <c r="AJ9" s="103"/>
      <c r="AK9" s="103"/>
      <c r="AL9" s="103"/>
      <c r="AM9" s="103"/>
      <c r="AN9" s="103"/>
      <c r="AO9" s="85"/>
      <c r="AP9" s="85"/>
      <c r="AQ9" s="85"/>
      <c r="AR9" s="85"/>
      <c r="AS9" s="85"/>
      <c r="AT9" s="86"/>
      <c r="AU9" s="86"/>
      <c r="AV9" s="86"/>
      <c r="AW9" s="86"/>
      <c r="AX9" s="86"/>
      <c r="AY9" s="84"/>
      <c r="AZ9" s="84"/>
      <c r="BA9" s="84"/>
      <c r="BB9" s="84"/>
      <c r="BC9" s="84"/>
      <c r="BD9" s="85"/>
      <c r="BE9" s="85"/>
      <c r="BF9" s="85"/>
      <c r="BG9" s="85"/>
      <c r="BH9" s="85"/>
      <c r="BI9" s="86"/>
      <c r="BJ9" s="86"/>
      <c r="BK9" s="86"/>
      <c r="BL9" s="86"/>
      <c r="BM9" s="86"/>
    </row>
    <row r="10" spans="1:65" s="87" customFormat="1" ht="15.95" customHeight="1">
      <c r="A10" s="31"/>
      <c r="B10" s="32"/>
      <c r="C10" s="33"/>
      <c r="D10" s="104" t="s">
        <v>49</v>
      </c>
      <c r="E10" s="105">
        <f t="shared" ref="E10:V10" si="12">+SUM(E11:E13)</f>
        <v>14079749832</v>
      </c>
      <c r="F10" s="106">
        <f t="shared" si="12"/>
        <v>0</v>
      </c>
      <c r="G10" s="107">
        <f t="shared" si="12"/>
        <v>0</v>
      </c>
      <c r="H10" s="107">
        <f t="shared" si="12"/>
        <v>0</v>
      </c>
      <c r="I10" s="108">
        <f t="shared" ref="I10" si="13">+SUM(I11:I13)</f>
        <v>0</v>
      </c>
      <c r="J10" s="108">
        <f t="shared" si="12"/>
        <v>0</v>
      </c>
      <c r="K10" s="109">
        <f t="shared" si="12"/>
        <v>0</v>
      </c>
      <c r="L10" s="105">
        <f t="shared" si="12"/>
        <v>0</v>
      </c>
      <c r="M10" s="105">
        <f t="shared" ref="M10" si="14">+SUM(M11:M13)</f>
        <v>0</v>
      </c>
      <c r="N10" s="106">
        <f t="shared" ref="N10:U10" si="15">+SUM(N11:N13)</f>
        <v>0</v>
      </c>
      <c r="O10" s="107">
        <f t="shared" si="15"/>
        <v>0</v>
      </c>
      <c r="P10" s="107">
        <f t="shared" si="15"/>
        <v>455357</v>
      </c>
      <c r="Q10" s="107">
        <f t="shared" ref="Q10" si="16">+SUM(Q11:Q13)</f>
        <v>130554</v>
      </c>
      <c r="R10" s="107">
        <f t="shared" si="15"/>
        <v>2284304930</v>
      </c>
      <c r="S10" s="107">
        <f t="shared" si="15"/>
        <v>2284890841</v>
      </c>
      <c r="T10" s="107">
        <f t="shared" si="15"/>
        <v>11584460795</v>
      </c>
      <c r="U10" s="107">
        <f t="shared" si="15"/>
        <v>210398196</v>
      </c>
      <c r="V10" s="109">
        <f t="shared" si="12"/>
        <v>14079749832</v>
      </c>
      <c r="W10" s="106">
        <f t="shared" ref="W10:AI10" si="17">+SUM(W11:W13)</f>
        <v>0</v>
      </c>
      <c r="X10" s="107">
        <f t="shared" si="17"/>
        <v>0</v>
      </c>
      <c r="Y10" s="107">
        <f t="shared" si="17"/>
        <v>0</v>
      </c>
      <c r="Z10" s="107">
        <f t="shared" ref="Z10" si="18">+SUM(Z11:Z13)</f>
        <v>0</v>
      </c>
      <c r="AA10" s="108">
        <f t="shared" si="17"/>
        <v>0</v>
      </c>
      <c r="AB10" s="109">
        <f t="shared" si="17"/>
        <v>0</v>
      </c>
      <c r="AC10" s="110">
        <f t="shared" ref="AC10:AH10" si="19">+SUM(AC11:AC13)</f>
        <v>0</v>
      </c>
      <c r="AD10" s="111">
        <f t="shared" si="19"/>
        <v>0</v>
      </c>
      <c r="AE10" s="111">
        <f t="shared" si="19"/>
        <v>33729</v>
      </c>
      <c r="AF10" s="111">
        <f t="shared" si="19"/>
        <v>9670</v>
      </c>
      <c r="AG10" s="111">
        <f t="shared" si="19"/>
        <v>207664085</v>
      </c>
      <c r="AH10" s="112">
        <f t="shared" si="19"/>
        <v>207707484</v>
      </c>
      <c r="AI10" s="113">
        <f t="shared" si="17"/>
        <v>14079749832</v>
      </c>
      <c r="AJ10" s="103"/>
      <c r="AK10" s="103"/>
      <c r="AL10" s="103"/>
      <c r="AM10" s="103"/>
      <c r="AN10" s="103"/>
      <c r="AO10" s="85"/>
      <c r="AP10" s="85"/>
      <c r="AQ10" s="85"/>
      <c r="AR10" s="85"/>
      <c r="AS10" s="85"/>
      <c r="AT10" s="86"/>
      <c r="AU10" s="86"/>
      <c r="AV10" s="86"/>
      <c r="AW10" s="86"/>
      <c r="AX10" s="86"/>
      <c r="AY10" s="84"/>
      <c r="AZ10" s="84"/>
      <c r="BA10" s="84"/>
      <c r="BB10" s="84"/>
      <c r="BC10" s="84"/>
      <c r="BD10" s="85"/>
      <c r="BE10" s="85"/>
      <c r="BF10" s="85"/>
      <c r="BG10" s="85"/>
      <c r="BH10" s="85"/>
      <c r="BI10" s="86"/>
      <c r="BJ10" s="86"/>
      <c r="BK10" s="86"/>
      <c r="BL10" s="86"/>
      <c r="BM10" s="86"/>
    </row>
    <row r="11" spans="1:65" s="87" customFormat="1" ht="15.95" customHeight="1">
      <c r="A11" s="31"/>
      <c r="B11" s="32"/>
      <c r="C11" s="33">
        <v>481040411</v>
      </c>
      <c r="D11" s="104" t="s">
        <v>50</v>
      </c>
      <c r="E11" s="114">
        <f>+[2]雨汚水!E111</f>
        <v>3591522898</v>
      </c>
      <c r="F11" s="106"/>
      <c r="G11" s="107"/>
      <c r="H11" s="107"/>
      <c r="I11" s="108"/>
      <c r="J11" s="108"/>
      <c r="K11" s="109">
        <f t="shared" ref="K11:K16" si="20">SUM(F11:J11)</f>
        <v>0</v>
      </c>
      <c r="L11" s="105"/>
      <c r="M11" s="105"/>
      <c r="N11" s="106"/>
      <c r="O11" s="107"/>
      <c r="P11" s="115">
        <f>+'[3]3条一般会計'!L$11</f>
        <v>455357</v>
      </c>
      <c r="Q11" s="115">
        <f>+'[3]3条一般会計'!M$11</f>
        <v>130554</v>
      </c>
      <c r="R11" s="115">
        <f>+'[3]3条一般会計'!N$11</f>
        <v>2256510197</v>
      </c>
      <c r="S11" s="107">
        <f t="shared" ref="S11:S16" si="21">SUM(N11:R11)</f>
        <v>2257096108</v>
      </c>
      <c r="T11" s="115">
        <f>+'[3]3条一般会計'!$I$10</f>
        <v>1126582233</v>
      </c>
      <c r="U11" s="107">
        <f t="shared" ref="U11:U16" si="22">+V11-SUM(S11:T11)</f>
        <v>207844557</v>
      </c>
      <c r="V11" s="109">
        <f t="shared" ref="V11:V16" si="23">+E11</f>
        <v>3591522898</v>
      </c>
      <c r="W11" s="106">
        <f t="shared" ref="W11:Z16" si="24">+ROUND(F11*F$6/(100+F$6),0)+AT11</f>
        <v>0</v>
      </c>
      <c r="X11" s="107">
        <f t="shared" si="24"/>
        <v>0</v>
      </c>
      <c r="Y11" s="107">
        <f t="shared" si="24"/>
        <v>0</v>
      </c>
      <c r="Z11" s="107">
        <f t="shared" si="24"/>
        <v>0</v>
      </c>
      <c r="AA11" s="108">
        <f t="shared" ref="AA11:AA16" si="25">+ROUND(J11*J$6/(100+J$6),0)+AX11</f>
        <v>0</v>
      </c>
      <c r="AB11" s="109">
        <f t="shared" ref="AB11:AB16" si="26">SUM(W11:AA11)</f>
        <v>0</v>
      </c>
      <c r="AC11" s="116">
        <f t="shared" ref="AC11:AF16" si="27">+ROUND(N11*AC$6/(100+AC$6),0)+BI11</f>
        <v>0</v>
      </c>
      <c r="AD11" s="111">
        <f t="shared" si="27"/>
        <v>0</v>
      </c>
      <c r="AE11" s="111">
        <f t="shared" si="27"/>
        <v>33729</v>
      </c>
      <c r="AF11" s="111">
        <f t="shared" si="27"/>
        <v>9670</v>
      </c>
      <c r="AG11" s="111">
        <f t="shared" ref="AG11:AG16" si="28">+ROUND(R11*AG$6/(100+AG$6),0)+BM11</f>
        <v>205137291</v>
      </c>
      <c r="AH11" s="112">
        <f t="shared" ref="AH11:AH16" si="29">SUM(AC11:AG11)</f>
        <v>205180690</v>
      </c>
      <c r="AI11" s="113">
        <f t="shared" ref="AI11:AI16" si="30">+E11-AB11</f>
        <v>3591522898</v>
      </c>
      <c r="AJ11" s="84"/>
      <c r="AK11" s="84"/>
      <c r="AL11" s="84"/>
      <c r="AM11" s="84"/>
      <c r="AN11" s="84"/>
      <c r="AO11" s="85"/>
      <c r="AP11" s="85"/>
      <c r="AQ11" s="85"/>
      <c r="AR11" s="85"/>
      <c r="AS11" s="85"/>
      <c r="AT11" s="86"/>
      <c r="AU11" s="86"/>
      <c r="AV11" s="86"/>
      <c r="AW11" s="86"/>
      <c r="AX11" s="86"/>
      <c r="AY11" s="84">
        <f t="shared" ref="AY11:AY41" si="31">AC11-N11*AC$6/(100+AC$6)</f>
        <v>0</v>
      </c>
      <c r="AZ11" s="84">
        <f t="shared" ref="AZ11:AZ41" si="32">AD11-O11*AD$6/(100+AD$6)</f>
        <v>0</v>
      </c>
      <c r="BA11" s="84">
        <f t="shared" ref="BA11:BB41" si="33">AE11-P11*AE$6/(100+AE$6)</f>
        <v>-1.1481481481459923</v>
      </c>
      <c r="BB11" s="84">
        <f t="shared" si="33"/>
        <v>-0.66666666666606034</v>
      </c>
      <c r="BC11" s="84">
        <f t="shared" ref="BC11:BC41" si="34">AG11-R11*AG$6/(100+AG$6)</f>
        <v>0.36363637447357178</v>
      </c>
      <c r="BD11" s="85">
        <f t="shared" ref="BD11:BG16" si="35">+IF(AC$71=0,0,IF(AC$71&lt;0,-RANK(AY11,AY$7:AY$68,0),RANK(AY11,AY$7:AY$68,1)))</f>
        <v>0</v>
      </c>
      <c r="BE11" s="85">
        <f t="shared" si="35"/>
        <v>0</v>
      </c>
      <c r="BF11" s="85">
        <f t="shared" si="35"/>
        <v>0</v>
      </c>
      <c r="BG11" s="85">
        <f>+IF(AF$71=0,0,IF(AF$71&lt;0,-RANK(BB11,BB$7:BB$68,0),RANK(BB11,BB$7:BB$68,1)))</f>
        <v>0</v>
      </c>
      <c r="BH11" s="85">
        <f t="shared" ref="BH11:BH16" si="36">+IF(AG$71=0,0,IF(AG$71&lt;0,-RANK(BC11,BC$7:BC$68,0),RANK(BC11,BC$7:BC$68,1)))</f>
        <v>0</v>
      </c>
      <c r="BI11" s="86"/>
      <c r="BJ11" s="86"/>
      <c r="BK11" s="86">
        <v>-1</v>
      </c>
      <c r="BL11" s="86">
        <v>-1</v>
      </c>
      <c r="BM11" s="86"/>
    </row>
    <row r="12" spans="1:65" s="87" customFormat="1" ht="15.95" customHeight="1">
      <c r="A12" s="31"/>
      <c r="B12" s="32"/>
      <c r="C12" s="33">
        <v>481040412</v>
      </c>
      <c r="D12" s="104" t="s">
        <v>51</v>
      </c>
      <c r="E12" s="114">
        <f>+[2]雨汚水!E112</f>
        <v>8476549651</v>
      </c>
      <c r="F12" s="106"/>
      <c r="G12" s="107"/>
      <c r="H12" s="107"/>
      <c r="I12" s="108"/>
      <c r="J12" s="108"/>
      <c r="K12" s="109">
        <f t="shared" si="20"/>
        <v>0</v>
      </c>
      <c r="L12" s="105"/>
      <c r="M12" s="105"/>
      <c r="N12" s="106"/>
      <c r="O12" s="107"/>
      <c r="P12" s="107"/>
      <c r="Q12" s="107"/>
      <c r="R12" s="107"/>
      <c r="S12" s="107">
        <f t="shared" si="21"/>
        <v>0</v>
      </c>
      <c r="T12" s="107">
        <f>+'[3]3条一般会計'!I12</f>
        <v>8476549651</v>
      </c>
      <c r="U12" s="107">
        <f t="shared" si="22"/>
        <v>0</v>
      </c>
      <c r="V12" s="109">
        <f t="shared" si="23"/>
        <v>8476549651</v>
      </c>
      <c r="W12" s="106">
        <f t="shared" si="24"/>
        <v>0</v>
      </c>
      <c r="X12" s="107">
        <f t="shared" si="24"/>
        <v>0</v>
      </c>
      <c r="Y12" s="107">
        <f t="shared" si="24"/>
        <v>0</v>
      </c>
      <c r="Z12" s="107">
        <f t="shared" si="24"/>
        <v>0</v>
      </c>
      <c r="AA12" s="108">
        <f t="shared" si="25"/>
        <v>0</v>
      </c>
      <c r="AB12" s="109">
        <f t="shared" si="26"/>
        <v>0</v>
      </c>
      <c r="AC12" s="110">
        <f t="shared" si="27"/>
        <v>0</v>
      </c>
      <c r="AD12" s="111">
        <f t="shared" si="27"/>
        <v>0</v>
      </c>
      <c r="AE12" s="111">
        <f t="shared" si="27"/>
        <v>0</v>
      </c>
      <c r="AF12" s="111">
        <f t="shared" si="27"/>
        <v>0</v>
      </c>
      <c r="AG12" s="111">
        <f t="shared" si="28"/>
        <v>0</v>
      </c>
      <c r="AH12" s="112">
        <f t="shared" si="29"/>
        <v>0</v>
      </c>
      <c r="AI12" s="113">
        <f t="shared" si="30"/>
        <v>8476549651</v>
      </c>
      <c r="AJ12" s="84"/>
      <c r="AK12" s="84"/>
      <c r="AL12" s="84"/>
      <c r="AM12" s="84"/>
      <c r="AN12" s="84"/>
      <c r="AO12" s="85"/>
      <c r="AP12" s="85"/>
      <c r="AQ12" s="85"/>
      <c r="AR12" s="85"/>
      <c r="AS12" s="85"/>
      <c r="AT12" s="86"/>
      <c r="AU12" s="86"/>
      <c r="AV12" s="86"/>
      <c r="AW12" s="86"/>
      <c r="AX12" s="86"/>
      <c r="AY12" s="84">
        <f t="shared" ref="AY12:AY16" si="37">AC12-N12*AC$6/(100+AC$6)</f>
        <v>0</v>
      </c>
      <c r="AZ12" s="84">
        <f t="shared" ref="AZ12:AZ16" si="38">AD12-O12*AD$6/(100+AD$6)</f>
        <v>0</v>
      </c>
      <c r="BA12" s="84">
        <f t="shared" ref="BA12:BB16" si="39">AE12-P12*AE$6/(100+AE$6)</f>
        <v>0</v>
      </c>
      <c r="BB12" s="84">
        <f t="shared" si="39"/>
        <v>0</v>
      </c>
      <c r="BC12" s="84">
        <f t="shared" ref="BC12:BC16" si="40">AG12-R12*AG$6/(100+AG$6)</f>
        <v>0</v>
      </c>
      <c r="BD12" s="85">
        <f t="shared" si="35"/>
        <v>0</v>
      </c>
      <c r="BE12" s="85">
        <f t="shared" si="35"/>
        <v>0</v>
      </c>
      <c r="BF12" s="85">
        <f t="shared" si="35"/>
        <v>0</v>
      </c>
      <c r="BG12" s="85">
        <f t="shared" si="35"/>
        <v>0</v>
      </c>
      <c r="BH12" s="85">
        <f t="shared" si="36"/>
        <v>0</v>
      </c>
      <c r="BI12" s="86"/>
      <c r="BJ12" s="86"/>
      <c r="BK12" s="86"/>
      <c r="BL12" s="86"/>
      <c r="BM12" s="86"/>
    </row>
    <row r="13" spans="1:65" s="87" customFormat="1" ht="15.95" customHeight="1">
      <c r="A13" s="31"/>
      <c r="B13" s="32"/>
      <c r="C13" s="33">
        <v>481040413</v>
      </c>
      <c r="D13" s="104" t="s">
        <v>52</v>
      </c>
      <c r="E13" s="114">
        <f>+[2]雨汚水!E113</f>
        <v>2011677283</v>
      </c>
      <c r="F13" s="106"/>
      <c r="G13" s="107"/>
      <c r="H13" s="107"/>
      <c r="I13" s="108"/>
      <c r="J13" s="108"/>
      <c r="K13" s="109">
        <f t="shared" si="20"/>
        <v>0</v>
      </c>
      <c r="L13" s="105"/>
      <c r="M13" s="105"/>
      <c r="N13" s="106"/>
      <c r="O13" s="107"/>
      <c r="P13" s="115">
        <f>+'[3]3条一般会計'!L$15</f>
        <v>0</v>
      </c>
      <c r="Q13" s="115">
        <f>+'[3]3条一般会計'!M$15</f>
        <v>0</v>
      </c>
      <c r="R13" s="115">
        <f>+'[3]3条一般会計'!N$15</f>
        <v>27794733</v>
      </c>
      <c r="S13" s="107">
        <f t="shared" si="21"/>
        <v>27794733</v>
      </c>
      <c r="T13" s="115">
        <f>+'[3]3条一般会計'!$I$18</f>
        <v>1981328911</v>
      </c>
      <c r="U13" s="107">
        <f t="shared" si="22"/>
        <v>2553639</v>
      </c>
      <c r="V13" s="109">
        <f t="shared" si="23"/>
        <v>2011677283</v>
      </c>
      <c r="W13" s="106">
        <f t="shared" si="24"/>
        <v>0</v>
      </c>
      <c r="X13" s="107">
        <f t="shared" si="24"/>
        <v>0</v>
      </c>
      <c r="Y13" s="107">
        <f t="shared" si="24"/>
        <v>0</v>
      </c>
      <c r="Z13" s="107">
        <f t="shared" si="24"/>
        <v>0</v>
      </c>
      <c r="AA13" s="108">
        <f t="shared" si="25"/>
        <v>0</v>
      </c>
      <c r="AB13" s="109">
        <f t="shared" si="26"/>
        <v>0</v>
      </c>
      <c r="AC13" s="110">
        <f t="shared" si="27"/>
        <v>0</v>
      </c>
      <c r="AD13" s="111">
        <f t="shared" si="27"/>
        <v>0</v>
      </c>
      <c r="AE13" s="111">
        <f t="shared" si="27"/>
        <v>0</v>
      </c>
      <c r="AF13" s="111">
        <f t="shared" si="27"/>
        <v>0</v>
      </c>
      <c r="AG13" s="111">
        <f t="shared" si="28"/>
        <v>2526794</v>
      </c>
      <c r="AH13" s="112">
        <f t="shared" si="29"/>
        <v>2526794</v>
      </c>
      <c r="AI13" s="113">
        <f t="shared" si="30"/>
        <v>2011677283</v>
      </c>
      <c r="AJ13" s="84"/>
      <c r="AK13" s="84"/>
      <c r="AL13" s="84"/>
      <c r="AM13" s="84"/>
      <c r="AN13" s="84"/>
      <c r="AO13" s="85"/>
      <c r="AP13" s="85"/>
      <c r="AQ13" s="85"/>
      <c r="AR13" s="85"/>
      <c r="AS13" s="85"/>
      <c r="AT13" s="86"/>
      <c r="AU13" s="86"/>
      <c r="AV13" s="86"/>
      <c r="AW13" s="86"/>
      <c r="AX13" s="86"/>
      <c r="AY13" s="84">
        <f t="shared" si="37"/>
        <v>0</v>
      </c>
      <c r="AZ13" s="84">
        <f t="shared" si="38"/>
        <v>0</v>
      </c>
      <c r="BA13" s="84">
        <f t="shared" si="39"/>
        <v>0</v>
      </c>
      <c r="BB13" s="84">
        <f t="shared" si="39"/>
        <v>0</v>
      </c>
      <c r="BC13" s="84">
        <f t="shared" si="40"/>
        <v>9.090909082442522E-2</v>
      </c>
      <c r="BD13" s="85">
        <f t="shared" si="35"/>
        <v>0</v>
      </c>
      <c r="BE13" s="85">
        <f t="shared" si="35"/>
        <v>0</v>
      </c>
      <c r="BF13" s="85">
        <f t="shared" si="35"/>
        <v>0</v>
      </c>
      <c r="BG13" s="85">
        <f t="shared" si="35"/>
        <v>0</v>
      </c>
      <c r="BH13" s="85">
        <f t="shared" si="36"/>
        <v>0</v>
      </c>
      <c r="BI13" s="86"/>
      <c r="BJ13" s="86"/>
      <c r="BK13" s="86"/>
      <c r="BL13" s="86"/>
      <c r="BM13" s="86"/>
    </row>
    <row r="14" spans="1:65" s="87" customFormat="1" ht="15.95" customHeight="1">
      <c r="A14" s="31"/>
      <c r="B14" s="32"/>
      <c r="C14" s="33">
        <v>481040600</v>
      </c>
      <c r="D14" s="104" t="s">
        <v>53</v>
      </c>
      <c r="E14" s="114">
        <f>+[2]雨汚水!E116</f>
        <v>52443869</v>
      </c>
      <c r="F14" s="106"/>
      <c r="G14" s="107"/>
      <c r="H14" s="107"/>
      <c r="I14" s="108"/>
      <c r="J14" s="108"/>
      <c r="K14" s="109">
        <f t="shared" si="20"/>
        <v>0</v>
      </c>
      <c r="L14" s="105"/>
      <c r="M14" s="105"/>
      <c r="N14" s="106"/>
      <c r="O14" s="107"/>
      <c r="P14" s="115">
        <f>+'[3]3条一般会計'!L$21</f>
        <v>0</v>
      </c>
      <c r="Q14" s="115">
        <f>+'[3]3条一般会計'!M$21</f>
        <v>0</v>
      </c>
      <c r="R14" s="115">
        <f>+'[3]3条一般会計'!N$21</f>
        <v>12168217</v>
      </c>
      <c r="S14" s="107">
        <f t="shared" si="21"/>
        <v>12168217</v>
      </c>
      <c r="T14" s="115">
        <f>+'[3]3条一般会計'!$I$20</f>
        <v>39145078</v>
      </c>
      <c r="U14" s="107">
        <f t="shared" si="22"/>
        <v>1130574</v>
      </c>
      <c r="V14" s="109">
        <f t="shared" si="23"/>
        <v>52443869</v>
      </c>
      <c r="W14" s="106">
        <f t="shared" si="24"/>
        <v>0</v>
      </c>
      <c r="X14" s="107">
        <f t="shared" si="24"/>
        <v>0</v>
      </c>
      <c r="Y14" s="107">
        <f t="shared" si="24"/>
        <v>0</v>
      </c>
      <c r="Z14" s="107">
        <f t="shared" si="24"/>
        <v>0</v>
      </c>
      <c r="AA14" s="108">
        <f t="shared" si="25"/>
        <v>0</v>
      </c>
      <c r="AB14" s="109">
        <f t="shared" si="26"/>
        <v>0</v>
      </c>
      <c r="AC14" s="110">
        <f t="shared" si="27"/>
        <v>0</v>
      </c>
      <c r="AD14" s="111">
        <f t="shared" si="27"/>
        <v>0</v>
      </c>
      <c r="AE14" s="111">
        <f t="shared" si="27"/>
        <v>0</v>
      </c>
      <c r="AF14" s="111">
        <f t="shared" si="27"/>
        <v>0</v>
      </c>
      <c r="AG14" s="111">
        <f t="shared" si="28"/>
        <v>1106201</v>
      </c>
      <c r="AH14" s="112">
        <f t="shared" si="29"/>
        <v>1106201</v>
      </c>
      <c r="AI14" s="113">
        <f t="shared" si="30"/>
        <v>52443869</v>
      </c>
      <c r="AJ14" s="84"/>
      <c r="AK14" s="84"/>
      <c r="AL14" s="84"/>
      <c r="AM14" s="84"/>
      <c r="AN14" s="84"/>
      <c r="AO14" s="85"/>
      <c r="AP14" s="85"/>
      <c r="AQ14" s="85"/>
      <c r="AR14" s="85"/>
      <c r="AS14" s="85"/>
      <c r="AT14" s="86"/>
      <c r="AU14" s="86"/>
      <c r="AV14" s="86"/>
      <c r="AW14" s="86"/>
      <c r="AX14" s="86"/>
      <c r="AY14" s="84">
        <f t="shared" si="37"/>
        <v>0</v>
      </c>
      <c r="AZ14" s="84">
        <f t="shared" si="38"/>
        <v>0</v>
      </c>
      <c r="BA14" s="84">
        <f t="shared" si="39"/>
        <v>0</v>
      </c>
      <c r="BB14" s="84">
        <f t="shared" si="39"/>
        <v>0</v>
      </c>
      <c r="BC14" s="84">
        <f t="shared" si="40"/>
        <v>-0.54545454541221261</v>
      </c>
      <c r="BD14" s="85">
        <f t="shared" si="35"/>
        <v>0</v>
      </c>
      <c r="BE14" s="85">
        <f t="shared" si="35"/>
        <v>0</v>
      </c>
      <c r="BF14" s="85">
        <f t="shared" si="35"/>
        <v>0</v>
      </c>
      <c r="BG14" s="85">
        <f t="shared" si="35"/>
        <v>0</v>
      </c>
      <c r="BH14" s="85">
        <f t="shared" si="36"/>
        <v>0</v>
      </c>
      <c r="BI14" s="86"/>
      <c r="BJ14" s="86"/>
      <c r="BK14" s="86"/>
      <c r="BL14" s="86"/>
      <c r="BM14" s="86">
        <v>-1</v>
      </c>
    </row>
    <row r="15" spans="1:65" s="87" customFormat="1" ht="15.95" customHeight="1">
      <c r="A15" s="31"/>
      <c r="B15" s="32"/>
      <c r="C15" s="33">
        <v>481040800</v>
      </c>
      <c r="D15" s="104" t="s">
        <v>54</v>
      </c>
      <c r="E15" s="114">
        <f>+[2]雨汚水!E117</f>
        <v>44424775</v>
      </c>
      <c r="F15" s="106"/>
      <c r="G15" s="107"/>
      <c r="H15" s="107"/>
      <c r="I15" s="108"/>
      <c r="J15" s="108"/>
      <c r="K15" s="109">
        <f t="shared" si="20"/>
        <v>0</v>
      </c>
      <c r="L15" s="105"/>
      <c r="M15" s="105"/>
      <c r="N15" s="106"/>
      <c r="O15" s="107"/>
      <c r="P15" s="115">
        <f>+'[3]3条一般会計'!L$23</f>
        <v>0</v>
      </c>
      <c r="Q15" s="115">
        <f>+'[3]3条一般会計'!M$23</f>
        <v>0</v>
      </c>
      <c r="R15" s="115">
        <f>+'[3]3条一般会計'!N$23</f>
        <v>9253060</v>
      </c>
      <c r="S15" s="107">
        <f t="shared" si="21"/>
        <v>9253060</v>
      </c>
      <c r="T15" s="115">
        <f>+'[3]3条一般会計'!$I$22</f>
        <v>34313966</v>
      </c>
      <c r="U15" s="107">
        <f t="shared" si="22"/>
        <v>857749</v>
      </c>
      <c r="V15" s="109">
        <f t="shared" si="23"/>
        <v>44424775</v>
      </c>
      <c r="W15" s="106">
        <f t="shared" si="24"/>
        <v>0</v>
      </c>
      <c r="X15" s="107">
        <f t="shared" si="24"/>
        <v>0</v>
      </c>
      <c r="Y15" s="107">
        <f t="shared" si="24"/>
        <v>0</v>
      </c>
      <c r="Z15" s="107">
        <f t="shared" si="24"/>
        <v>0</v>
      </c>
      <c r="AA15" s="108">
        <f t="shared" si="25"/>
        <v>0</v>
      </c>
      <c r="AB15" s="109">
        <f t="shared" si="26"/>
        <v>0</v>
      </c>
      <c r="AC15" s="110">
        <f t="shared" si="27"/>
        <v>0</v>
      </c>
      <c r="AD15" s="111">
        <f t="shared" si="27"/>
        <v>0</v>
      </c>
      <c r="AE15" s="111">
        <f t="shared" si="27"/>
        <v>0</v>
      </c>
      <c r="AF15" s="111">
        <f t="shared" si="27"/>
        <v>0</v>
      </c>
      <c r="AG15" s="111">
        <f t="shared" si="28"/>
        <v>841187</v>
      </c>
      <c r="AH15" s="112">
        <f t="shared" si="29"/>
        <v>841187</v>
      </c>
      <c r="AI15" s="113">
        <f t="shared" si="30"/>
        <v>44424775</v>
      </c>
      <c r="AJ15" s="84"/>
      <c r="AK15" s="84"/>
      <c r="AL15" s="84"/>
      <c r="AM15" s="84"/>
      <c r="AN15" s="84"/>
      <c r="AO15" s="85"/>
      <c r="AP15" s="85"/>
      <c r="AQ15" s="85"/>
      <c r="AR15" s="85"/>
      <c r="AS15" s="85"/>
      <c r="AT15" s="86"/>
      <c r="AU15" s="86"/>
      <c r="AV15" s="86"/>
      <c r="AW15" s="86"/>
      <c r="AX15" s="86"/>
      <c r="AY15" s="84">
        <f t="shared" si="37"/>
        <v>0</v>
      </c>
      <c r="AZ15" s="84">
        <f t="shared" si="38"/>
        <v>0</v>
      </c>
      <c r="BA15" s="84">
        <f t="shared" si="39"/>
        <v>0</v>
      </c>
      <c r="BB15" s="84">
        <f t="shared" si="39"/>
        <v>0</v>
      </c>
      <c r="BC15" s="84">
        <f t="shared" si="40"/>
        <v>-0.27272727270610631</v>
      </c>
      <c r="BD15" s="85">
        <f t="shared" si="35"/>
        <v>0</v>
      </c>
      <c r="BE15" s="85">
        <f t="shared" si="35"/>
        <v>0</v>
      </c>
      <c r="BF15" s="85">
        <f t="shared" si="35"/>
        <v>0</v>
      </c>
      <c r="BG15" s="85">
        <f t="shared" si="35"/>
        <v>0</v>
      </c>
      <c r="BH15" s="85">
        <f t="shared" si="36"/>
        <v>0</v>
      </c>
      <c r="BI15" s="86"/>
      <c r="BJ15" s="86"/>
      <c r="BK15" s="86"/>
      <c r="BL15" s="86"/>
      <c r="BM15" s="86"/>
    </row>
    <row r="16" spans="1:65" s="87" customFormat="1" ht="15.95" customHeight="1">
      <c r="A16" s="28"/>
      <c r="B16" s="29"/>
      <c r="C16" s="34">
        <v>481040900</v>
      </c>
      <c r="D16" s="88" t="s">
        <v>55</v>
      </c>
      <c r="E16" s="117">
        <f>+[2]雨汚水!E118</f>
        <v>10483859</v>
      </c>
      <c r="F16" s="95"/>
      <c r="G16" s="96"/>
      <c r="H16" s="96"/>
      <c r="I16" s="98"/>
      <c r="J16" s="98"/>
      <c r="K16" s="93">
        <f t="shared" si="20"/>
        <v>0</v>
      </c>
      <c r="L16" s="118"/>
      <c r="M16" s="118"/>
      <c r="N16" s="95"/>
      <c r="O16" s="96"/>
      <c r="P16" s="119">
        <f>+'[3]3条一般会計'!L$25</f>
        <v>0</v>
      </c>
      <c r="Q16" s="119">
        <f>+'[3]3条一般会計'!M$25</f>
        <v>0</v>
      </c>
      <c r="R16" s="119">
        <f>+'[3]3条一般会計'!N$25</f>
        <v>955435</v>
      </c>
      <c r="S16" s="96">
        <f t="shared" si="21"/>
        <v>955435</v>
      </c>
      <c r="T16" s="119">
        <f>+'[3]3条一般会計'!$I$24</f>
        <v>9440835</v>
      </c>
      <c r="U16" s="96">
        <f t="shared" si="22"/>
        <v>87589</v>
      </c>
      <c r="V16" s="93">
        <f t="shared" si="23"/>
        <v>10483859</v>
      </c>
      <c r="W16" s="95">
        <f t="shared" si="24"/>
        <v>0</v>
      </c>
      <c r="X16" s="96">
        <f t="shared" si="24"/>
        <v>0</v>
      </c>
      <c r="Y16" s="96">
        <f t="shared" si="24"/>
        <v>0</v>
      </c>
      <c r="Z16" s="96">
        <f t="shared" si="24"/>
        <v>0</v>
      </c>
      <c r="AA16" s="98">
        <f t="shared" si="25"/>
        <v>0</v>
      </c>
      <c r="AB16" s="93">
        <f t="shared" si="26"/>
        <v>0</v>
      </c>
      <c r="AC16" s="99">
        <f t="shared" si="27"/>
        <v>0</v>
      </c>
      <c r="AD16" s="100">
        <f t="shared" si="27"/>
        <v>0</v>
      </c>
      <c r="AE16" s="100">
        <f t="shared" si="27"/>
        <v>0</v>
      </c>
      <c r="AF16" s="100">
        <f t="shared" si="27"/>
        <v>0</v>
      </c>
      <c r="AG16" s="100">
        <f t="shared" si="28"/>
        <v>86858</v>
      </c>
      <c r="AH16" s="101">
        <f t="shared" si="29"/>
        <v>86858</v>
      </c>
      <c r="AI16" s="102">
        <f t="shared" si="30"/>
        <v>10483859</v>
      </c>
      <c r="AJ16" s="84"/>
      <c r="AK16" s="84"/>
      <c r="AL16" s="84"/>
      <c r="AM16" s="84"/>
      <c r="AN16" s="84"/>
      <c r="AO16" s="85"/>
      <c r="AP16" s="85"/>
      <c r="AQ16" s="85"/>
      <c r="AR16" s="85"/>
      <c r="AS16" s="85"/>
      <c r="AT16" s="86"/>
      <c r="AU16" s="86"/>
      <c r="AV16" s="86"/>
      <c r="AW16" s="86"/>
      <c r="AX16" s="86"/>
      <c r="AY16" s="84">
        <f t="shared" si="37"/>
        <v>0</v>
      </c>
      <c r="AZ16" s="84">
        <f t="shared" si="38"/>
        <v>0</v>
      </c>
      <c r="BA16" s="84">
        <f t="shared" si="39"/>
        <v>0</v>
      </c>
      <c r="BB16" s="84">
        <f t="shared" si="39"/>
        <v>0</v>
      </c>
      <c r="BC16" s="84">
        <f t="shared" si="40"/>
        <v>0.27272727272065822</v>
      </c>
      <c r="BD16" s="85">
        <f t="shared" si="35"/>
        <v>0</v>
      </c>
      <c r="BE16" s="85">
        <f t="shared" si="35"/>
        <v>0</v>
      </c>
      <c r="BF16" s="85">
        <f t="shared" si="35"/>
        <v>0</v>
      </c>
      <c r="BG16" s="85">
        <f t="shared" si="35"/>
        <v>0</v>
      </c>
      <c r="BH16" s="85">
        <f t="shared" si="36"/>
        <v>0</v>
      </c>
      <c r="BI16" s="86"/>
      <c r="BJ16" s="86"/>
      <c r="BK16" s="86"/>
      <c r="BL16" s="86"/>
      <c r="BM16" s="86"/>
    </row>
    <row r="17" spans="1:65" s="87" customFormat="1" ht="15.95" customHeight="1">
      <c r="A17" s="25"/>
      <c r="B17" s="26"/>
      <c r="C17" s="27"/>
      <c r="D17" s="71" t="s">
        <v>12</v>
      </c>
      <c r="E17" s="72">
        <f>+E18</f>
        <v>0</v>
      </c>
      <c r="F17" s="73">
        <f t="shared" ref="F17:V17" si="41">+F18</f>
        <v>0</v>
      </c>
      <c r="G17" s="74">
        <f t="shared" si="41"/>
        <v>0</v>
      </c>
      <c r="H17" s="74">
        <f t="shared" si="41"/>
        <v>0</v>
      </c>
      <c r="I17" s="75">
        <f t="shared" si="41"/>
        <v>0</v>
      </c>
      <c r="J17" s="75">
        <f t="shared" si="41"/>
        <v>0</v>
      </c>
      <c r="K17" s="76">
        <f t="shared" si="41"/>
        <v>0</v>
      </c>
      <c r="L17" s="72">
        <f t="shared" si="41"/>
        <v>0</v>
      </c>
      <c r="M17" s="72">
        <f t="shared" si="41"/>
        <v>0</v>
      </c>
      <c r="N17" s="77">
        <f t="shared" ref="N17:U17" si="42">+N18</f>
        <v>0</v>
      </c>
      <c r="O17" s="78">
        <f t="shared" si="42"/>
        <v>0</v>
      </c>
      <c r="P17" s="78">
        <f t="shared" si="42"/>
        <v>0</v>
      </c>
      <c r="Q17" s="78">
        <f t="shared" si="42"/>
        <v>0</v>
      </c>
      <c r="R17" s="78">
        <f t="shared" si="42"/>
        <v>0</v>
      </c>
      <c r="S17" s="78">
        <f t="shared" si="42"/>
        <v>0</v>
      </c>
      <c r="T17" s="78">
        <f t="shared" si="42"/>
        <v>0</v>
      </c>
      <c r="U17" s="78">
        <f t="shared" si="42"/>
        <v>0</v>
      </c>
      <c r="V17" s="79">
        <f t="shared" si="41"/>
        <v>0</v>
      </c>
      <c r="W17" s="73">
        <f t="shared" ref="W17:AI17" si="43">+W18</f>
        <v>0</v>
      </c>
      <c r="X17" s="74">
        <f t="shared" si="43"/>
        <v>0</v>
      </c>
      <c r="Y17" s="74">
        <f t="shared" si="43"/>
        <v>0</v>
      </c>
      <c r="Z17" s="74">
        <f t="shared" si="43"/>
        <v>0</v>
      </c>
      <c r="AA17" s="75">
        <f t="shared" si="43"/>
        <v>0</v>
      </c>
      <c r="AB17" s="76">
        <f t="shared" si="43"/>
        <v>0</v>
      </c>
      <c r="AC17" s="80">
        <f t="shared" ref="AC17:AH17" si="44">+AC18</f>
        <v>0</v>
      </c>
      <c r="AD17" s="81">
        <f t="shared" si="44"/>
        <v>0</v>
      </c>
      <c r="AE17" s="81">
        <f t="shared" si="44"/>
        <v>0</v>
      </c>
      <c r="AF17" s="81">
        <f t="shared" si="44"/>
        <v>0</v>
      </c>
      <c r="AG17" s="81">
        <f t="shared" si="44"/>
        <v>0</v>
      </c>
      <c r="AH17" s="82">
        <f t="shared" si="44"/>
        <v>0</v>
      </c>
      <c r="AI17" s="83">
        <f t="shared" si="43"/>
        <v>0</v>
      </c>
      <c r="AJ17" s="103"/>
      <c r="AK17" s="103"/>
      <c r="AL17" s="103"/>
      <c r="AM17" s="103"/>
      <c r="AN17" s="103"/>
      <c r="AO17" s="85"/>
      <c r="AP17" s="85"/>
      <c r="AQ17" s="85"/>
      <c r="AR17" s="85"/>
      <c r="AS17" s="85"/>
      <c r="AT17" s="86"/>
      <c r="AU17" s="86"/>
      <c r="AV17" s="86"/>
      <c r="AW17" s="86"/>
      <c r="AX17" s="86"/>
      <c r="AY17" s="84"/>
      <c r="AZ17" s="84"/>
      <c r="BA17" s="84"/>
      <c r="BB17" s="84"/>
      <c r="BC17" s="84"/>
      <c r="BD17" s="85"/>
      <c r="BE17" s="85"/>
      <c r="BF17" s="85"/>
      <c r="BG17" s="85"/>
      <c r="BH17" s="85"/>
      <c r="BI17" s="86"/>
      <c r="BJ17" s="86"/>
      <c r="BK17" s="86"/>
      <c r="BL17" s="86"/>
      <c r="BM17" s="86"/>
    </row>
    <row r="18" spans="1:65" s="87" customFormat="1" ht="15.95" customHeight="1">
      <c r="A18" s="28"/>
      <c r="B18" s="29"/>
      <c r="C18" s="30">
        <v>481121400</v>
      </c>
      <c r="D18" s="88" t="s">
        <v>56</v>
      </c>
      <c r="E18" s="89">
        <f>+SUMIFS([1]全伝票!I:I,[1]全伝票!$C:$C,$C18)</f>
        <v>0</v>
      </c>
      <c r="F18" s="90">
        <f>+SUMIFS([1]全伝票!J:J,[1]全伝票!$C:$C,$C18)</f>
        <v>0</v>
      </c>
      <c r="G18" s="91">
        <f>+SUMIFS([1]全伝票!K:K,[1]全伝票!$C:$C,$C18)</f>
        <v>0</v>
      </c>
      <c r="H18" s="91">
        <f>+SUMIFS([1]全伝票!L:L,[1]全伝票!$C:$C,$C18)</f>
        <v>0</v>
      </c>
      <c r="I18" s="92">
        <f>+SUMIFS([1]全伝票!M:M,[1]全伝票!$C:$C,$C18)</f>
        <v>0</v>
      </c>
      <c r="J18" s="92">
        <f>+SUMIFS([1]全伝票!N:N,[1]全伝票!$C:$C,$C18)</f>
        <v>0</v>
      </c>
      <c r="K18" s="93">
        <f>SUM(F18:J18)</f>
        <v>0</v>
      </c>
      <c r="L18" s="89">
        <f>+SUMIFS([1]全伝票!O:O,[1]全伝票!$C:$C,$C18)</f>
        <v>0</v>
      </c>
      <c r="M18" s="118"/>
      <c r="N18" s="95"/>
      <c r="O18" s="96"/>
      <c r="P18" s="96"/>
      <c r="Q18" s="96"/>
      <c r="R18" s="96"/>
      <c r="S18" s="96">
        <f>SUM(N18:R18)</f>
        <v>0</v>
      </c>
      <c r="T18" s="96"/>
      <c r="U18" s="96">
        <f>+V18-SUM(S18:T18)</f>
        <v>0</v>
      </c>
      <c r="V18" s="97">
        <f>+SUMIFS([1]全伝票!P:P,[1]全伝票!$C:$C,$C18)</f>
        <v>0</v>
      </c>
      <c r="W18" s="95">
        <f>+ROUND(F18*F$6/(100+F$6),0)+AT18</f>
        <v>0</v>
      </c>
      <c r="X18" s="96">
        <f>+ROUND(G18*G$6/(100+G$6),0)+AU18</f>
        <v>0</v>
      </c>
      <c r="Y18" s="96">
        <f>+ROUND(H18*H$6/(100+H$6),0)+AV18</f>
        <v>0</v>
      </c>
      <c r="Z18" s="96">
        <f>+ROUND(I18*I$6/(100+I$6),0)+AW18</f>
        <v>0</v>
      </c>
      <c r="AA18" s="98">
        <f>+ROUND(J18*J$6/(100+J$6),0)+AX18</f>
        <v>0</v>
      </c>
      <c r="AB18" s="93">
        <f>SUM(W18:AA18)</f>
        <v>0</v>
      </c>
      <c r="AC18" s="99">
        <f>+ROUND(N18*AC$6/(100+AC$6),0)+BI18</f>
        <v>0</v>
      </c>
      <c r="AD18" s="100">
        <f>+ROUND(O18*AD$6/(100+AD$6),0)+BJ18</f>
        <v>0</v>
      </c>
      <c r="AE18" s="100">
        <f>+ROUND(P18*AE$6/(100+AE$6),0)+BK18</f>
        <v>0</v>
      </c>
      <c r="AF18" s="100">
        <f>+ROUND(Q18*AF$6/(100+AF$6),0)+BL18</f>
        <v>0</v>
      </c>
      <c r="AG18" s="100">
        <f>+ROUND(R18*AG$6/(100+AG$6),0)+BM18</f>
        <v>0</v>
      </c>
      <c r="AH18" s="101">
        <f>SUM(AC18:AG18)</f>
        <v>0</v>
      </c>
      <c r="AI18" s="102">
        <f>+E18-AB18</f>
        <v>0</v>
      </c>
      <c r="AJ18" s="103">
        <f>W18-F18*N$6/(100+N$6)</f>
        <v>0</v>
      </c>
      <c r="AK18" s="103">
        <f>X18-G18*O$6/(100+O$6)</f>
        <v>0</v>
      </c>
      <c r="AL18" s="103">
        <f>Y18-H18*P$6/(100+P$6)</f>
        <v>0</v>
      </c>
      <c r="AM18" s="103">
        <f>Z18-I18*Q$6/(100+Q$6)</f>
        <v>0</v>
      </c>
      <c r="AN18" s="103">
        <f>AA18-J18*R$6/(100+R$6)</f>
        <v>0</v>
      </c>
      <c r="AO18" s="85">
        <f>+IF(W$71=0,0,IF(W$71&lt;0,-RANK(AJ18,AJ$7:AJ$68,0),RANK(AJ18,AJ$7:AJ$68,1)))</f>
        <v>0</v>
      </c>
      <c r="AP18" s="85">
        <f>+IF(X$71=0,0,IF(X$71&lt;0,-RANK(AK18,AK$7:AK$68,0),RANK(AK18,AK$7:AK$68,1)))</f>
        <v>0</v>
      </c>
      <c r="AQ18" s="85">
        <f>+IF(Y$71=0,0,IF(Y$71&lt;0,-RANK(AL18,AL$7:AL$68,0),RANK(AL18,AL$7:AL$68,1)))</f>
        <v>0</v>
      </c>
      <c r="AR18" s="85">
        <f>+IF(Z$71=0,0,IF(Z$71&lt;0,-RANK(AM18,AM$7:AM$68,0),RANK(AM18,AM$7:AM$68,1)))</f>
        <v>0</v>
      </c>
      <c r="AS18" s="85">
        <f>+IF(AA$71=0,0,IF(AA$71&lt;0,-RANK(AN18,AN$7:AN$68,0),RANK(AN18,AN$7:AN$68,1)))</f>
        <v>0</v>
      </c>
      <c r="AT18" s="86"/>
      <c r="AU18" s="86"/>
      <c r="AV18" s="86"/>
      <c r="AW18" s="86"/>
      <c r="AX18" s="86"/>
      <c r="AY18" s="84">
        <f t="shared" si="31"/>
        <v>0</v>
      </c>
      <c r="AZ18" s="84">
        <f t="shared" si="32"/>
        <v>0</v>
      </c>
      <c r="BA18" s="84">
        <f t="shared" si="33"/>
        <v>0</v>
      </c>
      <c r="BB18" s="84">
        <f t="shared" si="33"/>
        <v>0</v>
      </c>
      <c r="BC18" s="84">
        <f t="shared" si="34"/>
        <v>0</v>
      </c>
      <c r="BD18" s="85">
        <f>+IF(AC$71=0,0,IF(AC$71&lt;0,-RANK(AY18,AY$7:AY$68,0),RANK(AY18,AY$7:AY$68,1)))</f>
        <v>0</v>
      </c>
      <c r="BE18" s="85">
        <f>+IF(AD$71=0,0,IF(AD$71&lt;0,-RANK(AZ18,AZ$7:AZ$68,0),RANK(AZ18,AZ$7:AZ$68,1)))</f>
        <v>0</v>
      </c>
      <c r="BF18" s="85">
        <f>+IF(AE$71=0,0,IF(AE$71&lt;0,-RANK(BA18,BA$7:BA$68,0),RANK(BA18,BA$7:BA$68,1)))</f>
        <v>0</v>
      </c>
      <c r="BG18" s="85">
        <f>+IF(AF$71=0,0,IF(AF$71&lt;0,-RANK(BB18,BB$7:BB$68,0),RANK(BB18,BB$7:BB$68,1)))</f>
        <v>0</v>
      </c>
      <c r="BH18" s="85">
        <f>+IF(AG$71=0,0,IF(AG$71&lt;0,-RANK(BC18,BC$7:BC$68,0),RANK(BC18,BC$7:BC$68,1)))</f>
        <v>0</v>
      </c>
      <c r="BI18" s="86"/>
      <c r="BJ18" s="86"/>
      <c r="BK18" s="86"/>
      <c r="BL18" s="86"/>
      <c r="BM18" s="86"/>
    </row>
    <row r="19" spans="1:65" s="87" customFormat="1" ht="15.95" customHeight="1">
      <c r="A19" s="25"/>
      <c r="B19" s="26"/>
      <c r="C19" s="27"/>
      <c r="D19" s="71" t="s">
        <v>13</v>
      </c>
      <c r="E19" s="72">
        <f t="shared" ref="E19:AI19" si="45">+SUM(E20:E22,E26)</f>
        <v>189846869</v>
      </c>
      <c r="F19" s="73">
        <f t="shared" si="45"/>
        <v>0</v>
      </c>
      <c r="G19" s="74">
        <f t="shared" si="45"/>
        <v>0</v>
      </c>
      <c r="H19" s="74">
        <f t="shared" si="45"/>
        <v>0</v>
      </c>
      <c r="I19" s="75">
        <f t="shared" ref="I19" si="46">+SUM(I20:I22,I26)</f>
        <v>0</v>
      </c>
      <c r="J19" s="75">
        <f t="shared" si="45"/>
        <v>189235899</v>
      </c>
      <c r="K19" s="76">
        <f t="shared" si="45"/>
        <v>189235899</v>
      </c>
      <c r="L19" s="72">
        <f t="shared" si="45"/>
        <v>610970</v>
      </c>
      <c r="M19" s="72">
        <f t="shared" si="45"/>
        <v>0</v>
      </c>
      <c r="N19" s="77">
        <f t="shared" si="45"/>
        <v>0</v>
      </c>
      <c r="O19" s="78">
        <f t="shared" si="45"/>
        <v>0</v>
      </c>
      <c r="P19" s="78">
        <f t="shared" si="45"/>
        <v>0</v>
      </c>
      <c r="Q19" s="78">
        <f t="shared" ref="Q19" si="47">+SUM(Q20:Q22,Q26)</f>
        <v>0</v>
      </c>
      <c r="R19" s="78">
        <f t="shared" si="45"/>
        <v>0</v>
      </c>
      <c r="S19" s="78">
        <f t="shared" si="45"/>
        <v>0</v>
      </c>
      <c r="T19" s="78">
        <f t="shared" si="45"/>
        <v>0</v>
      </c>
      <c r="U19" s="78">
        <f t="shared" si="45"/>
        <v>0</v>
      </c>
      <c r="V19" s="79">
        <f t="shared" si="45"/>
        <v>0</v>
      </c>
      <c r="W19" s="73">
        <f t="shared" si="45"/>
        <v>0</v>
      </c>
      <c r="X19" s="74">
        <f t="shared" si="45"/>
        <v>0</v>
      </c>
      <c r="Y19" s="74">
        <f t="shared" si="45"/>
        <v>0</v>
      </c>
      <c r="Z19" s="74">
        <f t="shared" ref="Z19" si="48">+SUM(Z20:Z22,Z26)</f>
        <v>0</v>
      </c>
      <c r="AA19" s="75">
        <f t="shared" si="45"/>
        <v>17203263</v>
      </c>
      <c r="AB19" s="76">
        <f t="shared" si="45"/>
        <v>17203263</v>
      </c>
      <c r="AC19" s="80">
        <f t="shared" si="45"/>
        <v>0</v>
      </c>
      <c r="AD19" s="81">
        <f t="shared" si="45"/>
        <v>0</v>
      </c>
      <c r="AE19" s="81">
        <f t="shared" si="45"/>
        <v>0</v>
      </c>
      <c r="AF19" s="81">
        <f t="shared" ref="AF19" si="49">+SUM(AF20:AF22,AF26)</f>
        <v>0</v>
      </c>
      <c r="AG19" s="81">
        <f t="shared" si="45"/>
        <v>0</v>
      </c>
      <c r="AH19" s="82">
        <f t="shared" si="45"/>
        <v>0</v>
      </c>
      <c r="AI19" s="83">
        <f t="shared" si="45"/>
        <v>172643606</v>
      </c>
      <c r="AJ19" s="103"/>
      <c r="AK19" s="103"/>
      <c r="AL19" s="103"/>
      <c r="AM19" s="103"/>
      <c r="AN19" s="103"/>
      <c r="AO19" s="85"/>
      <c r="AP19" s="85"/>
      <c r="AQ19" s="85"/>
      <c r="AR19" s="85"/>
      <c r="AS19" s="85"/>
      <c r="AT19" s="86"/>
      <c r="AU19" s="86"/>
      <c r="AV19" s="86"/>
      <c r="AW19" s="86"/>
      <c r="AX19" s="86"/>
      <c r="AY19" s="84"/>
      <c r="AZ19" s="84"/>
      <c r="BA19" s="84"/>
      <c r="BB19" s="84"/>
      <c r="BC19" s="84"/>
      <c r="BD19" s="85"/>
      <c r="BE19" s="85"/>
      <c r="BF19" s="85"/>
      <c r="BG19" s="85"/>
      <c r="BH19" s="85"/>
      <c r="BI19" s="86"/>
      <c r="BJ19" s="86"/>
      <c r="BK19" s="86"/>
      <c r="BL19" s="86"/>
      <c r="BM19" s="86"/>
    </row>
    <row r="20" spans="1:65" s="87" customFormat="1" ht="15.95" customHeight="1">
      <c r="A20" s="31"/>
      <c r="B20" s="32"/>
      <c r="C20" s="35">
        <v>481141500</v>
      </c>
      <c r="D20" s="104" t="s">
        <v>58</v>
      </c>
      <c r="E20" s="120">
        <f>+SUMIFS([1]全伝票!I:I,[1]全伝票!$C:$C,$C20)</f>
        <v>187826166</v>
      </c>
      <c r="F20" s="121">
        <f>+SUMIFS([1]全伝票!J:J,[1]全伝票!$C:$C,$C20)</f>
        <v>0</v>
      </c>
      <c r="G20" s="122">
        <f>+SUMIFS([1]全伝票!K:K,[1]全伝票!$C:$C,$C20)</f>
        <v>0</v>
      </c>
      <c r="H20" s="122">
        <f>+SUMIFS([1]全伝票!L:L,[1]全伝票!$C:$C,$C20)</f>
        <v>0</v>
      </c>
      <c r="I20" s="123">
        <f>+SUMIFS([1]全伝票!M:M,[1]全伝票!$C:$C,$C20)</f>
        <v>0</v>
      </c>
      <c r="J20" s="123">
        <f>+SUMIFS([1]全伝票!N:N,[1]全伝票!$C:$C,$C20)</f>
        <v>187826166</v>
      </c>
      <c r="K20" s="109">
        <f>SUM(F20:J20)</f>
        <v>187826166</v>
      </c>
      <c r="L20" s="120">
        <f>+SUMIFS([1]全伝票!O:O,[1]全伝票!$C:$C,$C20)</f>
        <v>0</v>
      </c>
      <c r="M20" s="105"/>
      <c r="N20" s="106"/>
      <c r="O20" s="107"/>
      <c r="P20" s="107"/>
      <c r="Q20" s="107"/>
      <c r="R20" s="107"/>
      <c r="S20" s="107">
        <f>SUM(N20:R20)</f>
        <v>0</v>
      </c>
      <c r="T20" s="107"/>
      <c r="U20" s="107">
        <f>+V20-SUM(S20:T20)</f>
        <v>0</v>
      </c>
      <c r="V20" s="124">
        <f>+SUMIFS([1]全伝票!P:P,[1]全伝票!$C:$C,$C20)</f>
        <v>0</v>
      </c>
      <c r="W20" s="106">
        <f t="shared" ref="W20:Z21" si="50">+ROUND(F20*F$6/(100+F$6),0)+AT20</f>
        <v>0</v>
      </c>
      <c r="X20" s="107">
        <f t="shared" si="50"/>
        <v>0</v>
      </c>
      <c r="Y20" s="107">
        <f t="shared" si="50"/>
        <v>0</v>
      </c>
      <c r="Z20" s="107">
        <f t="shared" si="50"/>
        <v>0</v>
      </c>
      <c r="AA20" s="108">
        <f>+ROUND(J20*J$6/(100+J$6),0)+AX20</f>
        <v>17075106</v>
      </c>
      <c r="AB20" s="109">
        <f t="shared" ref="AB20" si="51">SUM(W20:AA20)</f>
        <v>17075106</v>
      </c>
      <c r="AC20" s="110">
        <f t="shared" ref="AC20:AF21" si="52">+ROUND(N20*AC$6/(100+AC$6),0)+BI20</f>
        <v>0</v>
      </c>
      <c r="AD20" s="111">
        <f t="shared" si="52"/>
        <v>0</v>
      </c>
      <c r="AE20" s="111">
        <f t="shared" si="52"/>
        <v>0</v>
      </c>
      <c r="AF20" s="111">
        <f t="shared" si="52"/>
        <v>0</v>
      </c>
      <c r="AG20" s="111">
        <f>+ROUND(R20*AG$6/(100+AG$6),0)+BM20</f>
        <v>0</v>
      </c>
      <c r="AH20" s="112">
        <f t="shared" ref="AH20" si="53">SUM(AC20:AG20)</f>
        <v>0</v>
      </c>
      <c r="AI20" s="113">
        <f>+E20-AB20</f>
        <v>170751060</v>
      </c>
      <c r="AJ20" s="84">
        <f t="shared" ref="AJ20:AM21" si="54">W20-F20*W$6/(100+W$6)</f>
        <v>0</v>
      </c>
      <c r="AK20" s="84">
        <f t="shared" si="54"/>
        <v>0</v>
      </c>
      <c r="AL20" s="84">
        <f t="shared" si="54"/>
        <v>0</v>
      </c>
      <c r="AM20" s="84">
        <f t="shared" si="54"/>
        <v>0</v>
      </c>
      <c r="AN20" s="84">
        <f>AA20-J20*AA$6/(100+AA$6)</f>
        <v>0</v>
      </c>
      <c r="AO20" s="85">
        <f t="shared" ref="AO20:AR21" si="55">+IF(W$71=0,0,IF(W$71&lt;0,-RANK(AJ20,AJ$7:AJ$68,0),RANK(AJ20,AJ$7:AJ$68,1)))</f>
        <v>0</v>
      </c>
      <c r="AP20" s="85">
        <f t="shared" si="55"/>
        <v>0</v>
      </c>
      <c r="AQ20" s="85">
        <f t="shared" si="55"/>
        <v>0</v>
      </c>
      <c r="AR20" s="85">
        <f t="shared" si="55"/>
        <v>0</v>
      </c>
      <c r="AS20" s="85">
        <f>+IF(AA$71=0,0,IF(AA$71&lt;0,-RANK(AN20,AN$7:AN$68,0),RANK(AN20,AN$7:AN$68,1)))</f>
        <v>0</v>
      </c>
      <c r="AT20" s="86"/>
      <c r="AU20" s="86"/>
      <c r="AV20" s="86"/>
      <c r="AW20" s="86"/>
      <c r="AX20" s="86"/>
      <c r="AY20" s="84">
        <f t="shared" si="31"/>
        <v>0</v>
      </c>
      <c r="AZ20" s="84">
        <f t="shared" si="32"/>
        <v>0</v>
      </c>
      <c r="BA20" s="84">
        <f t="shared" si="33"/>
        <v>0</v>
      </c>
      <c r="BB20" s="84">
        <f t="shared" si="33"/>
        <v>0</v>
      </c>
      <c r="BC20" s="84">
        <f t="shared" si="34"/>
        <v>0</v>
      </c>
      <c r="BD20" s="85">
        <f t="shared" ref="BD20:BG21" si="56">+IF(AC$71=0,0,IF(AC$71&lt;0,-RANK(AY20,AY$7:AY$68,0),RANK(AY20,AY$7:AY$68,1)))</f>
        <v>0</v>
      </c>
      <c r="BE20" s="85">
        <f t="shared" si="56"/>
        <v>0</v>
      </c>
      <c r="BF20" s="85">
        <f t="shared" si="56"/>
        <v>0</v>
      </c>
      <c r="BG20" s="85">
        <f t="shared" si="56"/>
        <v>0</v>
      </c>
      <c r="BH20" s="85">
        <f>+IF(AG$71=0,0,IF(AG$71&lt;0,-RANK(BC20,BC$7:BC$68,0),RANK(BC20,BC$7:BC$68,1)))</f>
        <v>0</v>
      </c>
      <c r="BI20" s="86"/>
      <c r="BJ20" s="86"/>
      <c r="BK20" s="86"/>
      <c r="BL20" s="86"/>
      <c r="BM20" s="86"/>
    </row>
    <row r="21" spans="1:65" s="87" customFormat="1" ht="15.95" customHeight="1">
      <c r="A21" s="31"/>
      <c r="B21" s="32"/>
      <c r="C21" s="35">
        <v>481141700</v>
      </c>
      <c r="D21" s="104" t="s">
        <v>57</v>
      </c>
      <c r="E21" s="120">
        <f>+SUMIFS([1]全伝票!I:I,[1]全伝票!$C:$C,$C21)</f>
        <v>1409733</v>
      </c>
      <c r="F21" s="121">
        <f>+SUMIFS([1]全伝票!J:J,[1]全伝票!$C:$C,$C21)</f>
        <v>0</v>
      </c>
      <c r="G21" s="122">
        <f>+SUMIFS([1]全伝票!K:K,[1]全伝票!$C:$C,$C21)</f>
        <v>0</v>
      </c>
      <c r="H21" s="122">
        <f>+SUMIFS([1]全伝票!L:L,[1]全伝票!$C:$C,$C21)</f>
        <v>0</v>
      </c>
      <c r="I21" s="123">
        <f>+SUMIFS([1]全伝票!M:M,[1]全伝票!$C:$C,$C21)</f>
        <v>0</v>
      </c>
      <c r="J21" s="123">
        <f>+SUMIFS([1]全伝票!N:N,[1]全伝票!$C:$C,$C21)</f>
        <v>1409733</v>
      </c>
      <c r="K21" s="109">
        <f>SUM(F21:J21)</f>
        <v>1409733</v>
      </c>
      <c r="L21" s="120">
        <f>+SUMIFS([1]全伝票!O:O,[1]全伝票!$C:$C,$C21)</f>
        <v>0</v>
      </c>
      <c r="M21" s="105"/>
      <c r="N21" s="106"/>
      <c r="O21" s="107"/>
      <c r="P21" s="107"/>
      <c r="Q21" s="107"/>
      <c r="R21" s="107"/>
      <c r="S21" s="107">
        <f>SUM(N21:R21)</f>
        <v>0</v>
      </c>
      <c r="T21" s="107"/>
      <c r="U21" s="107">
        <f>+V21-SUM(S21:T21)</f>
        <v>0</v>
      </c>
      <c r="V21" s="124">
        <f>+SUMIFS([1]全伝票!P:P,[1]全伝票!$C:$C,$C21)</f>
        <v>0</v>
      </c>
      <c r="W21" s="106">
        <f t="shared" si="50"/>
        <v>0</v>
      </c>
      <c r="X21" s="107">
        <f t="shared" si="50"/>
        <v>0</v>
      </c>
      <c r="Y21" s="107">
        <f t="shared" si="50"/>
        <v>0</v>
      </c>
      <c r="Z21" s="107">
        <f t="shared" si="50"/>
        <v>0</v>
      </c>
      <c r="AA21" s="108">
        <f>+ROUND(J21*J$6/(100+J$6),0)+AX21</f>
        <v>128157</v>
      </c>
      <c r="AB21" s="109">
        <f>SUM(W21:AA21)</f>
        <v>128157</v>
      </c>
      <c r="AC21" s="110">
        <f t="shared" si="52"/>
        <v>0</v>
      </c>
      <c r="AD21" s="111">
        <f t="shared" si="52"/>
        <v>0</v>
      </c>
      <c r="AE21" s="111">
        <f t="shared" si="52"/>
        <v>0</v>
      </c>
      <c r="AF21" s="111">
        <f t="shared" si="52"/>
        <v>0</v>
      </c>
      <c r="AG21" s="111">
        <f>+ROUND(R21*AG$6/(100+AG$6),0)+BM21</f>
        <v>0</v>
      </c>
      <c r="AH21" s="112">
        <f>SUM(AC21:AG21)</f>
        <v>0</v>
      </c>
      <c r="AI21" s="113">
        <f>+E21-AB21</f>
        <v>1281576</v>
      </c>
      <c r="AJ21" s="84">
        <f t="shared" si="54"/>
        <v>0</v>
      </c>
      <c r="AK21" s="84">
        <f t="shared" si="54"/>
        <v>0</v>
      </c>
      <c r="AL21" s="84">
        <f t="shared" si="54"/>
        <v>0</v>
      </c>
      <c r="AM21" s="84">
        <f t="shared" si="54"/>
        <v>0</v>
      </c>
      <c r="AN21" s="84">
        <f>AA21-J21*AA$6/(100+AA$6)</f>
        <v>-0.54545454545586836</v>
      </c>
      <c r="AO21" s="85">
        <f t="shared" si="55"/>
        <v>0</v>
      </c>
      <c r="AP21" s="85">
        <f t="shared" si="55"/>
        <v>0</v>
      </c>
      <c r="AQ21" s="85">
        <f t="shared" si="55"/>
        <v>0</v>
      </c>
      <c r="AR21" s="85">
        <f t="shared" si="55"/>
        <v>0</v>
      </c>
      <c r="AS21" s="85">
        <f>+IF(AA$71=0,0,IF(AA$71&lt;0,-RANK(AN21,AN$7:AN$68,0),RANK(AN21,AN$7:AN$68,1)))</f>
        <v>0</v>
      </c>
      <c r="AT21" s="86"/>
      <c r="AU21" s="86"/>
      <c r="AV21" s="86"/>
      <c r="AW21" s="86"/>
      <c r="AX21" s="86">
        <v>-1</v>
      </c>
      <c r="AY21" s="84">
        <f>AC21-N21*AC$6/(100+AC$6)</f>
        <v>0</v>
      </c>
      <c r="AZ21" s="84">
        <f>AD21-O21*AD$6/(100+AD$6)</f>
        <v>0</v>
      </c>
      <c r="BA21" s="84">
        <f>AE21-P21*AE$6/(100+AE$6)</f>
        <v>0</v>
      </c>
      <c r="BB21" s="84">
        <f>AF21-Q21*AF$6/(100+AF$6)</f>
        <v>0</v>
      </c>
      <c r="BC21" s="84">
        <f>AG21-R21*AG$6/(100+AG$6)</f>
        <v>0</v>
      </c>
      <c r="BD21" s="85">
        <f t="shared" si="56"/>
        <v>0</v>
      </c>
      <c r="BE21" s="85">
        <f t="shared" si="56"/>
        <v>0</v>
      </c>
      <c r="BF21" s="85">
        <f t="shared" si="56"/>
        <v>0</v>
      </c>
      <c r="BG21" s="85">
        <f t="shared" si="56"/>
        <v>0</v>
      </c>
      <c r="BH21" s="85">
        <f>+IF(AG$71=0,0,IF(AG$71&lt;0,-RANK(BC21,BC$7:BC$68,0),RANK(BC21,BC$7:BC$68,1)))</f>
        <v>0</v>
      </c>
      <c r="BI21" s="86"/>
      <c r="BJ21" s="86"/>
      <c r="BK21" s="86"/>
      <c r="BL21" s="86"/>
      <c r="BM21" s="86"/>
    </row>
    <row r="22" spans="1:65" s="87" customFormat="1" ht="15.95" customHeight="1">
      <c r="A22" s="31"/>
      <c r="B22" s="32"/>
      <c r="C22" s="33"/>
      <c r="D22" s="104" t="s">
        <v>59</v>
      </c>
      <c r="E22" s="105">
        <f>+SUM(E23:E25)</f>
        <v>610970</v>
      </c>
      <c r="F22" s="106">
        <f t="shared" ref="F22:V22" si="57">+SUM(F23:F25)</f>
        <v>0</v>
      </c>
      <c r="G22" s="107">
        <f t="shared" si="57"/>
        <v>0</v>
      </c>
      <c r="H22" s="107">
        <f t="shared" si="57"/>
        <v>0</v>
      </c>
      <c r="I22" s="108">
        <f t="shared" ref="I22" si="58">+SUM(I23:I25)</f>
        <v>0</v>
      </c>
      <c r="J22" s="108">
        <f t="shared" si="57"/>
        <v>0</v>
      </c>
      <c r="K22" s="109">
        <f t="shared" si="57"/>
        <v>0</v>
      </c>
      <c r="L22" s="105">
        <f t="shared" si="57"/>
        <v>610970</v>
      </c>
      <c r="M22" s="105">
        <f t="shared" ref="M22" si="59">+SUM(M23:M25)</f>
        <v>0</v>
      </c>
      <c r="N22" s="106">
        <f t="shared" ref="N22:U22" si="60">+SUM(N23:N25)</f>
        <v>0</v>
      </c>
      <c r="O22" s="107">
        <f t="shared" si="60"/>
        <v>0</v>
      </c>
      <c r="P22" s="107">
        <f t="shared" si="60"/>
        <v>0</v>
      </c>
      <c r="Q22" s="107">
        <f t="shared" ref="Q22" si="61">+SUM(Q23:Q25)</f>
        <v>0</v>
      </c>
      <c r="R22" s="107">
        <f t="shared" si="60"/>
        <v>0</v>
      </c>
      <c r="S22" s="107">
        <f t="shared" si="60"/>
        <v>0</v>
      </c>
      <c r="T22" s="107">
        <f t="shared" si="60"/>
        <v>0</v>
      </c>
      <c r="U22" s="107">
        <f t="shared" si="60"/>
        <v>0</v>
      </c>
      <c r="V22" s="109">
        <f t="shared" si="57"/>
        <v>0</v>
      </c>
      <c r="W22" s="106">
        <f t="shared" ref="W22:AI22" si="62">+SUM(W23:W25)</f>
        <v>0</v>
      </c>
      <c r="X22" s="107">
        <f t="shared" si="62"/>
        <v>0</v>
      </c>
      <c r="Y22" s="107">
        <f t="shared" si="62"/>
        <v>0</v>
      </c>
      <c r="Z22" s="107">
        <f t="shared" ref="Z22" si="63">+SUM(Z23:Z25)</f>
        <v>0</v>
      </c>
      <c r="AA22" s="108">
        <f t="shared" si="62"/>
        <v>0</v>
      </c>
      <c r="AB22" s="109">
        <f t="shared" si="62"/>
        <v>0</v>
      </c>
      <c r="AC22" s="110">
        <f t="shared" ref="AC22:AH22" si="64">+SUM(AC23:AC25)</f>
        <v>0</v>
      </c>
      <c r="AD22" s="111">
        <f t="shared" si="64"/>
        <v>0</v>
      </c>
      <c r="AE22" s="111">
        <f t="shared" si="64"/>
        <v>0</v>
      </c>
      <c r="AF22" s="111">
        <f t="shared" si="64"/>
        <v>0</v>
      </c>
      <c r="AG22" s="111">
        <f t="shared" si="64"/>
        <v>0</v>
      </c>
      <c r="AH22" s="112">
        <f t="shared" si="64"/>
        <v>0</v>
      </c>
      <c r="AI22" s="113">
        <f t="shared" si="62"/>
        <v>610970</v>
      </c>
      <c r="AJ22" s="103"/>
      <c r="AK22" s="103"/>
      <c r="AL22" s="103"/>
      <c r="AM22" s="103"/>
      <c r="AN22" s="103"/>
      <c r="AO22" s="85"/>
      <c r="AP22" s="85"/>
      <c r="AQ22" s="85"/>
      <c r="AR22" s="85"/>
      <c r="AS22" s="85"/>
      <c r="AT22" s="86"/>
      <c r="AU22" s="86"/>
      <c r="AV22" s="86"/>
      <c r="AW22" s="86"/>
      <c r="AX22" s="86"/>
      <c r="AY22" s="84"/>
      <c r="AZ22" s="84"/>
      <c r="BA22" s="84"/>
      <c r="BB22" s="84"/>
      <c r="BC22" s="84"/>
      <c r="BD22" s="85"/>
      <c r="BE22" s="85"/>
      <c r="BF22" s="85"/>
      <c r="BG22" s="85"/>
      <c r="BH22" s="85"/>
      <c r="BI22" s="86"/>
      <c r="BJ22" s="86"/>
      <c r="BK22" s="86"/>
      <c r="BL22" s="86"/>
      <c r="BM22" s="86"/>
    </row>
    <row r="23" spans="1:65" s="87" customFormat="1" ht="15.95" customHeight="1">
      <c r="A23" s="31"/>
      <c r="B23" s="32"/>
      <c r="C23" s="35">
        <v>481141915</v>
      </c>
      <c r="D23" s="104" t="s">
        <v>60</v>
      </c>
      <c r="E23" s="120">
        <f>+SUMIFS([1]全伝票!I:I,[1]全伝票!$C:$C,$C23)</f>
        <v>71970</v>
      </c>
      <c r="F23" s="121">
        <f>+SUMIFS([1]全伝票!J:J,[1]全伝票!$C:$C,$C23)</f>
        <v>0</v>
      </c>
      <c r="G23" s="122">
        <f>+SUMIFS([1]全伝票!K:K,[1]全伝票!$C:$C,$C23)</f>
        <v>0</v>
      </c>
      <c r="H23" s="122">
        <f>+SUMIFS([1]全伝票!L:L,[1]全伝票!$C:$C,$C23)</f>
        <v>0</v>
      </c>
      <c r="I23" s="123">
        <f>+SUMIFS([1]全伝票!M:M,[1]全伝票!$C:$C,$C23)</f>
        <v>0</v>
      </c>
      <c r="J23" s="123">
        <f>+SUMIFS([1]全伝票!N:N,[1]全伝票!$C:$C,$C23)</f>
        <v>0</v>
      </c>
      <c r="K23" s="109">
        <f>SUM(F23:J23)</f>
        <v>0</v>
      </c>
      <c r="L23" s="120">
        <f>+SUMIFS([1]全伝票!O:O,[1]全伝票!$C:$C,$C23)</f>
        <v>71970</v>
      </c>
      <c r="M23" s="105"/>
      <c r="N23" s="106"/>
      <c r="O23" s="107"/>
      <c r="P23" s="107"/>
      <c r="Q23" s="107"/>
      <c r="R23" s="107"/>
      <c r="S23" s="107">
        <f>SUM(N23:R23)</f>
        <v>0</v>
      </c>
      <c r="T23" s="107"/>
      <c r="U23" s="107">
        <f>+V23-SUM(S23:T23)</f>
        <v>0</v>
      </c>
      <c r="V23" s="124">
        <f>+SUMIFS([1]全伝票!P:P,[1]全伝票!$C:$C,$C23)</f>
        <v>0</v>
      </c>
      <c r="W23" s="106">
        <f t="shared" ref="W23:Z26" si="65">+ROUND(F23*F$6/(100+F$6),0)+AT23</f>
        <v>0</v>
      </c>
      <c r="X23" s="107">
        <f t="shared" si="65"/>
        <v>0</v>
      </c>
      <c r="Y23" s="107">
        <f t="shared" si="65"/>
        <v>0</v>
      </c>
      <c r="Z23" s="107">
        <f t="shared" si="65"/>
        <v>0</v>
      </c>
      <c r="AA23" s="108">
        <f>+ROUND(J23*J$6/(100+J$6),0)+AX23</f>
        <v>0</v>
      </c>
      <c r="AB23" s="109">
        <f t="shared" ref="AB23:AB26" si="66">SUM(W23:AA23)</f>
        <v>0</v>
      </c>
      <c r="AC23" s="110">
        <f t="shared" ref="AC23:AF26" si="67">+ROUND(N23*AC$6/(100+AC$6),0)+BI23</f>
        <v>0</v>
      </c>
      <c r="AD23" s="111">
        <f t="shared" si="67"/>
        <v>0</v>
      </c>
      <c r="AE23" s="111">
        <f t="shared" si="67"/>
        <v>0</v>
      </c>
      <c r="AF23" s="111">
        <f t="shared" si="67"/>
        <v>0</v>
      </c>
      <c r="AG23" s="111">
        <f>+ROUND(R23*AG$6/(100+AG$6),0)+BM23</f>
        <v>0</v>
      </c>
      <c r="AH23" s="112">
        <f t="shared" ref="AH23:AH26" si="68">SUM(AC23:AG23)</f>
        <v>0</v>
      </c>
      <c r="AI23" s="113">
        <f>+E23-AB23</f>
        <v>71970</v>
      </c>
      <c r="AJ23" s="84">
        <f t="shared" ref="AJ23:AM26" si="69">W23-F23*W$6/(100+W$6)</f>
        <v>0</v>
      </c>
      <c r="AK23" s="84">
        <f t="shared" si="69"/>
        <v>0</v>
      </c>
      <c r="AL23" s="84">
        <f t="shared" si="69"/>
        <v>0</v>
      </c>
      <c r="AM23" s="84">
        <f t="shared" si="69"/>
        <v>0</v>
      </c>
      <c r="AN23" s="84">
        <f>AA23-J23*AA$6/(100+AA$6)</f>
        <v>0</v>
      </c>
      <c r="AO23" s="85">
        <f t="shared" ref="AO23:AR26" si="70">+IF(W$71=0,0,IF(W$71&lt;0,-RANK(AJ23,AJ$7:AJ$68,0),RANK(AJ23,AJ$7:AJ$68,1)))</f>
        <v>0</v>
      </c>
      <c r="AP23" s="85">
        <f t="shared" si="70"/>
        <v>0</v>
      </c>
      <c r="AQ23" s="85">
        <f t="shared" si="70"/>
        <v>0</v>
      </c>
      <c r="AR23" s="85">
        <f t="shared" si="70"/>
        <v>0</v>
      </c>
      <c r="AS23" s="85">
        <f>+IF(AA$71=0,0,IF(AA$71&lt;0,-RANK(AN23,AN$7:AN$68,0),RANK(AN23,AN$7:AN$68,1)))</f>
        <v>0</v>
      </c>
      <c r="AT23" s="86"/>
      <c r="AU23" s="86"/>
      <c r="AV23" s="86"/>
      <c r="AW23" s="86"/>
      <c r="AX23" s="86"/>
      <c r="AY23" s="84">
        <f t="shared" si="31"/>
        <v>0</v>
      </c>
      <c r="AZ23" s="84">
        <f t="shared" si="32"/>
        <v>0</v>
      </c>
      <c r="BA23" s="84">
        <f t="shared" si="33"/>
        <v>0</v>
      </c>
      <c r="BB23" s="84">
        <f t="shared" si="33"/>
        <v>0</v>
      </c>
      <c r="BC23" s="84">
        <f t="shared" si="34"/>
        <v>0</v>
      </c>
      <c r="BD23" s="85">
        <f t="shared" ref="BD23:BG26" si="71">+IF(AC$71=0,0,IF(AC$71&lt;0,-RANK(AY23,AY$7:AY$68,0),RANK(AY23,AY$7:AY$68,1)))</f>
        <v>0</v>
      </c>
      <c r="BE23" s="85">
        <f t="shared" si="71"/>
        <v>0</v>
      </c>
      <c r="BF23" s="85">
        <f t="shared" si="71"/>
        <v>0</v>
      </c>
      <c r="BG23" s="85">
        <f t="shared" si="71"/>
        <v>0</v>
      </c>
      <c r="BH23" s="85">
        <f>+IF(AG$71=0,0,IF(AG$71&lt;0,-RANK(BC23,BC$7:BC$68,0),RANK(BC23,BC$7:BC$68,1)))</f>
        <v>0</v>
      </c>
      <c r="BI23" s="86"/>
      <c r="BJ23" s="86"/>
      <c r="BK23" s="86"/>
      <c r="BL23" s="86"/>
      <c r="BM23" s="86"/>
    </row>
    <row r="24" spans="1:65" s="87" customFormat="1" ht="15.95" customHeight="1">
      <c r="A24" s="31"/>
      <c r="B24" s="32"/>
      <c r="C24" s="35">
        <v>481141916</v>
      </c>
      <c r="D24" s="104" t="s">
        <v>61</v>
      </c>
      <c r="E24" s="120">
        <f>+SUMIFS([1]全伝票!I:I,[1]全伝票!$C:$C,$C24)</f>
        <v>539000</v>
      </c>
      <c r="F24" s="121">
        <f>+SUMIFS([1]全伝票!J:J,[1]全伝票!$C:$C,$C24)</f>
        <v>0</v>
      </c>
      <c r="G24" s="122">
        <f>+SUMIFS([1]全伝票!K:K,[1]全伝票!$C:$C,$C24)</f>
        <v>0</v>
      </c>
      <c r="H24" s="122">
        <f>+SUMIFS([1]全伝票!L:L,[1]全伝票!$C:$C,$C24)</f>
        <v>0</v>
      </c>
      <c r="I24" s="123">
        <f>+SUMIFS([1]全伝票!M:M,[1]全伝票!$C:$C,$C24)</f>
        <v>0</v>
      </c>
      <c r="J24" s="123">
        <f>+SUMIFS([1]全伝票!N:N,[1]全伝票!$C:$C,$C24)</f>
        <v>0</v>
      </c>
      <c r="K24" s="109">
        <f>SUM(F24:J24)</f>
        <v>0</v>
      </c>
      <c r="L24" s="120">
        <f>+SUMIFS([1]全伝票!O:O,[1]全伝票!$C:$C,$C24)</f>
        <v>539000</v>
      </c>
      <c r="M24" s="105"/>
      <c r="N24" s="106"/>
      <c r="O24" s="107"/>
      <c r="P24" s="107"/>
      <c r="Q24" s="107"/>
      <c r="R24" s="107"/>
      <c r="S24" s="107">
        <f>SUM(N24:R24)</f>
        <v>0</v>
      </c>
      <c r="T24" s="107"/>
      <c r="U24" s="107">
        <f>+V24-SUM(S24:T24)</f>
        <v>0</v>
      </c>
      <c r="V24" s="124">
        <f>+SUMIFS([1]全伝票!P:P,[1]全伝票!$C:$C,$C24)</f>
        <v>0</v>
      </c>
      <c r="W24" s="106">
        <f t="shared" si="65"/>
        <v>0</v>
      </c>
      <c r="X24" s="107">
        <f t="shared" si="65"/>
        <v>0</v>
      </c>
      <c r="Y24" s="107">
        <f t="shared" si="65"/>
        <v>0</v>
      </c>
      <c r="Z24" s="107">
        <f t="shared" si="65"/>
        <v>0</v>
      </c>
      <c r="AA24" s="108">
        <f>+ROUND(J24*J$6/(100+J$6),0)+AX24</f>
        <v>0</v>
      </c>
      <c r="AB24" s="109">
        <f t="shared" si="66"/>
        <v>0</v>
      </c>
      <c r="AC24" s="110">
        <f t="shared" si="67"/>
        <v>0</v>
      </c>
      <c r="AD24" s="111">
        <f t="shared" si="67"/>
        <v>0</v>
      </c>
      <c r="AE24" s="111">
        <f t="shared" si="67"/>
        <v>0</v>
      </c>
      <c r="AF24" s="111">
        <f t="shared" si="67"/>
        <v>0</v>
      </c>
      <c r="AG24" s="111">
        <f>+ROUND(R24*AG$6/(100+AG$6),0)+BM24</f>
        <v>0</v>
      </c>
      <c r="AH24" s="112">
        <f t="shared" si="68"/>
        <v>0</v>
      </c>
      <c r="AI24" s="113">
        <f>+E24-AB24</f>
        <v>539000</v>
      </c>
      <c r="AJ24" s="84">
        <f t="shared" si="69"/>
        <v>0</v>
      </c>
      <c r="AK24" s="84">
        <f t="shared" si="69"/>
        <v>0</v>
      </c>
      <c r="AL24" s="84">
        <f t="shared" si="69"/>
        <v>0</v>
      </c>
      <c r="AM24" s="84">
        <f t="shared" si="69"/>
        <v>0</v>
      </c>
      <c r="AN24" s="84">
        <f>AA24-J24*AA$6/(100+AA$6)</f>
        <v>0</v>
      </c>
      <c r="AO24" s="85">
        <f t="shared" si="70"/>
        <v>0</v>
      </c>
      <c r="AP24" s="85">
        <f t="shared" si="70"/>
        <v>0</v>
      </c>
      <c r="AQ24" s="85">
        <f t="shared" si="70"/>
        <v>0</v>
      </c>
      <c r="AR24" s="85">
        <f t="shared" si="70"/>
        <v>0</v>
      </c>
      <c r="AS24" s="85">
        <f>+IF(AA$71=0,0,IF(AA$71&lt;0,-RANK(AN24,AN$7:AN$68,0),RANK(AN24,AN$7:AN$68,1)))</f>
        <v>0</v>
      </c>
      <c r="AT24" s="86"/>
      <c r="AU24" s="86"/>
      <c r="AV24" s="86"/>
      <c r="AW24" s="86"/>
      <c r="AX24" s="86"/>
      <c r="AY24" s="84">
        <f t="shared" si="31"/>
        <v>0</v>
      </c>
      <c r="AZ24" s="84">
        <f t="shared" si="32"/>
        <v>0</v>
      </c>
      <c r="BA24" s="84">
        <f t="shared" si="33"/>
        <v>0</v>
      </c>
      <c r="BB24" s="84">
        <f t="shared" si="33"/>
        <v>0</v>
      </c>
      <c r="BC24" s="84">
        <f t="shared" si="34"/>
        <v>0</v>
      </c>
      <c r="BD24" s="85">
        <f t="shared" si="71"/>
        <v>0</v>
      </c>
      <c r="BE24" s="85">
        <f t="shared" si="71"/>
        <v>0</v>
      </c>
      <c r="BF24" s="85">
        <f t="shared" si="71"/>
        <v>0</v>
      </c>
      <c r="BG24" s="85">
        <f t="shared" si="71"/>
        <v>0</v>
      </c>
      <c r="BH24" s="85">
        <f>+IF(AG$71=0,0,IF(AG$71&lt;0,-RANK(BC24,BC$7:BC$68,0),RANK(BC24,BC$7:BC$68,1)))</f>
        <v>0</v>
      </c>
      <c r="BI24" s="86"/>
      <c r="BJ24" s="86"/>
      <c r="BK24" s="86"/>
      <c r="BL24" s="86"/>
      <c r="BM24" s="86"/>
    </row>
    <row r="25" spans="1:65" s="87" customFormat="1" ht="15.95" customHeight="1">
      <c r="A25" s="31"/>
      <c r="B25" s="32"/>
      <c r="C25" s="35">
        <v>481141917</v>
      </c>
      <c r="D25" s="104" t="s">
        <v>62</v>
      </c>
      <c r="E25" s="120">
        <f>+SUMIFS([1]全伝票!I:I,[1]全伝票!$C:$C,$C25)</f>
        <v>0</v>
      </c>
      <c r="F25" s="121">
        <f>+SUMIFS([1]全伝票!J:J,[1]全伝票!$C:$C,$C25)</f>
        <v>0</v>
      </c>
      <c r="G25" s="122">
        <f>+SUMIFS([1]全伝票!K:K,[1]全伝票!$C:$C,$C25)</f>
        <v>0</v>
      </c>
      <c r="H25" s="122">
        <f>+SUMIFS([1]全伝票!L:L,[1]全伝票!$C:$C,$C25)</f>
        <v>0</v>
      </c>
      <c r="I25" s="123">
        <f>+SUMIFS([1]全伝票!M:M,[1]全伝票!$C:$C,$C25)</f>
        <v>0</v>
      </c>
      <c r="J25" s="123">
        <f>+SUMIFS([1]全伝票!N:N,[1]全伝票!$C:$C,$C25)</f>
        <v>0</v>
      </c>
      <c r="K25" s="109">
        <f>SUM(F25:J25)</f>
        <v>0</v>
      </c>
      <c r="L25" s="120">
        <f>+SUMIFS([1]全伝票!O:O,[1]全伝票!$C:$C,$C25)</f>
        <v>0</v>
      </c>
      <c r="M25" s="105"/>
      <c r="N25" s="106"/>
      <c r="O25" s="107"/>
      <c r="P25" s="107"/>
      <c r="Q25" s="107"/>
      <c r="R25" s="107"/>
      <c r="S25" s="107">
        <f>SUM(N25:R25)</f>
        <v>0</v>
      </c>
      <c r="T25" s="107"/>
      <c r="U25" s="107">
        <f>+V25-SUM(S25:T25)</f>
        <v>0</v>
      </c>
      <c r="V25" s="124">
        <f>+SUMIFS([1]全伝票!P:P,[1]全伝票!$C:$C,$C25)</f>
        <v>0</v>
      </c>
      <c r="W25" s="106">
        <f t="shared" si="65"/>
        <v>0</v>
      </c>
      <c r="X25" s="107">
        <f t="shared" si="65"/>
        <v>0</v>
      </c>
      <c r="Y25" s="107">
        <f t="shared" si="65"/>
        <v>0</v>
      </c>
      <c r="Z25" s="107">
        <f t="shared" si="65"/>
        <v>0</v>
      </c>
      <c r="AA25" s="108">
        <f>+ROUND(J25*J$6/(100+J$6),0)+AX25</f>
        <v>0</v>
      </c>
      <c r="AB25" s="109">
        <f t="shared" si="66"/>
        <v>0</v>
      </c>
      <c r="AC25" s="110">
        <f t="shared" si="67"/>
        <v>0</v>
      </c>
      <c r="AD25" s="111">
        <f t="shared" si="67"/>
        <v>0</v>
      </c>
      <c r="AE25" s="111">
        <f t="shared" si="67"/>
        <v>0</v>
      </c>
      <c r="AF25" s="111">
        <f t="shared" si="67"/>
        <v>0</v>
      </c>
      <c r="AG25" s="111">
        <f>+ROUND(R25*AG$6/(100+AG$6),0)+BM25</f>
        <v>0</v>
      </c>
      <c r="AH25" s="112">
        <f t="shared" si="68"/>
        <v>0</v>
      </c>
      <c r="AI25" s="113">
        <f>+E25-AB25</f>
        <v>0</v>
      </c>
      <c r="AJ25" s="84">
        <f t="shared" si="69"/>
        <v>0</v>
      </c>
      <c r="AK25" s="84">
        <f t="shared" si="69"/>
        <v>0</v>
      </c>
      <c r="AL25" s="84">
        <f t="shared" si="69"/>
        <v>0</v>
      </c>
      <c r="AM25" s="84">
        <f t="shared" si="69"/>
        <v>0</v>
      </c>
      <c r="AN25" s="84">
        <f>AA25-J25*AA$6/(100+AA$6)</f>
        <v>0</v>
      </c>
      <c r="AO25" s="85">
        <f t="shared" si="70"/>
        <v>0</v>
      </c>
      <c r="AP25" s="85">
        <f t="shared" si="70"/>
        <v>0</v>
      </c>
      <c r="AQ25" s="85">
        <f t="shared" si="70"/>
        <v>0</v>
      </c>
      <c r="AR25" s="85">
        <f t="shared" si="70"/>
        <v>0</v>
      </c>
      <c r="AS25" s="85">
        <f>+IF(AA$71=0,0,IF(AA$71&lt;0,-RANK(AN25,AN$7:AN$68,0),RANK(AN25,AN$7:AN$68,1)))</f>
        <v>0</v>
      </c>
      <c r="AT25" s="86"/>
      <c r="AU25" s="86"/>
      <c r="AV25" s="86"/>
      <c r="AW25" s="86"/>
      <c r="AX25" s="86"/>
      <c r="AY25" s="84">
        <f t="shared" si="31"/>
        <v>0</v>
      </c>
      <c r="AZ25" s="84">
        <f t="shared" si="32"/>
        <v>0</v>
      </c>
      <c r="BA25" s="84">
        <f t="shared" si="33"/>
        <v>0</v>
      </c>
      <c r="BB25" s="84">
        <f t="shared" si="33"/>
        <v>0</v>
      </c>
      <c r="BC25" s="84">
        <f t="shared" si="34"/>
        <v>0</v>
      </c>
      <c r="BD25" s="85">
        <f t="shared" si="71"/>
        <v>0</v>
      </c>
      <c r="BE25" s="85">
        <f t="shared" si="71"/>
        <v>0</v>
      </c>
      <c r="BF25" s="85">
        <f t="shared" si="71"/>
        <v>0</v>
      </c>
      <c r="BG25" s="85">
        <f t="shared" si="71"/>
        <v>0</v>
      </c>
      <c r="BH25" s="85">
        <f>+IF(AG$71=0,0,IF(AG$71&lt;0,-RANK(BC25,BC$7:BC$68,0),RANK(BC25,BC$7:BC$68,1)))</f>
        <v>0</v>
      </c>
      <c r="BI25" s="86"/>
      <c r="BJ25" s="86"/>
      <c r="BK25" s="86"/>
      <c r="BL25" s="86"/>
      <c r="BM25" s="86"/>
    </row>
    <row r="26" spans="1:65" s="87" customFormat="1" ht="15.95" customHeight="1">
      <c r="A26" s="28"/>
      <c r="B26" s="29"/>
      <c r="C26" s="30">
        <v>481142000</v>
      </c>
      <c r="D26" s="88" t="s">
        <v>76</v>
      </c>
      <c r="E26" s="89">
        <f>+SUMIFS([1]全伝票!I:I,[1]全伝票!$C:$C,$C26)</f>
        <v>0</v>
      </c>
      <c r="F26" s="90">
        <f>+SUMIFS([1]全伝票!J:J,[1]全伝票!$C:$C,$C26)</f>
        <v>0</v>
      </c>
      <c r="G26" s="91">
        <f>+SUMIFS([1]全伝票!K:K,[1]全伝票!$C:$C,$C26)</f>
        <v>0</v>
      </c>
      <c r="H26" s="91">
        <f>+SUMIFS([1]全伝票!L:L,[1]全伝票!$C:$C,$C26)</f>
        <v>0</v>
      </c>
      <c r="I26" s="92">
        <f>+SUMIFS([1]全伝票!M:M,[1]全伝票!$C:$C,$C26)</f>
        <v>0</v>
      </c>
      <c r="J26" s="92">
        <f>+SUMIFS([1]全伝票!N:N,[1]全伝票!$C:$C,$C26)</f>
        <v>0</v>
      </c>
      <c r="K26" s="93">
        <f>SUM(F26:J26)</f>
        <v>0</v>
      </c>
      <c r="L26" s="89">
        <f>+SUMIFS([1]全伝票!O:O,[1]全伝票!$C:$C,$C26)</f>
        <v>0</v>
      </c>
      <c r="M26" s="118"/>
      <c r="N26" s="95"/>
      <c r="O26" s="96"/>
      <c r="P26" s="96"/>
      <c r="Q26" s="96"/>
      <c r="R26" s="96"/>
      <c r="S26" s="96">
        <f>SUM(N26:R26)</f>
        <v>0</v>
      </c>
      <c r="T26" s="96"/>
      <c r="U26" s="96">
        <f>+V26-SUM(S26:T26)</f>
        <v>0</v>
      </c>
      <c r="V26" s="97">
        <f>+SUMIFS([1]全伝票!P:P,[1]全伝票!$C:$C,$C26)</f>
        <v>0</v>
      </c>
      <c r="W26" s="95">
        <f t="shared" si="65"/>
        <v>0</v>
      </c>
      <c r="X26" s="96">
        <f t="shared" si="65"/>
        <v>0</v>
      </c>
      <c r="Y26" s="96">
        <f t="shared" si="65"/>
        <v>0</v>
      </c>
      <c r="Z26" s="96">
        <f t="shared" si="65"/>
        <v>0</v>
      </c>
      <c r="AA26" s="98">
        <f>+ROUND(J26*J$6/(100+J$6),0)+AX26</f>
        <v>0</v>
      </c>
      <c r="AB26" s="93">
        <f t="shared" si="66"/>
        <v>0</v>
      </c>
      <c r="AC26" s="99">
        <f t="shared" si="67"/>
        <v>0</v>
      </c>
      <c r="AD26" s="100">
        <f t="shared" si="67"/>
        <v>0</v>
      </c>
      <c r="AE26" s="100">
        <f t="shared" si="67"/>
        <v>0</v>
      </c>
      <c r="AF26" s="100">
        <f t="shared" si="67"/>
        <v>0</v>
      </c>
      <c r="AG26" s="100">
        <f>+ROUND(R26*AG$6/(100+AG$6),0)+BM26</f>
        <v>0</v>
      </c>
      <c r="AH26" s="101">
        <f t="shared" si="68"/>
        <v>0</v>
      </c>
      <c r="AI26" s="102">
        <f>+E26-AB26</f>
        <v>0</v>
      </c>
      <c r="AJ26" s="84">
        <f t="shared" si="69"/>
        <v>0</v>
      </c>
      <c r="AK26" s="84">
        <f t="shared" si="69"/>
        <v>0</v>
      </c>
      <c r="AL26" s="84">
        <f t="shared" si="69"/>
        <v>0</v>
      </c>
      <c r="AM26" s="84">
        <f t="shared" si="69"/>
        <v>0</v>
      </c>
      <c r="AN26" s="84">
        <f>AA26-J26*AA$6/(100+AA$6)</f>
        <v>0</v>
      </c>
      <c r="AO26" s="85">
        <f t="shared" si="70"/>
        <v>0</v>
      </c>
      <c r="AP26" s="85">
        <f t="shared" si="70"/>
        <v>0</v>
      </c>
      <c r="AQ26" s="85">
        <f t="shared" si="70"/>
        <v>0</v>
      </c>
      <c r="AR26" s="85">
        <f t="shared" si="70"/>
        <v>0</v>
      </c>
      <c r="AS26" s="85">
        <f>+IF(AA$71=0,0,IF(AA$71&lt;0,-RANK(AN26,AN$7:AN$68,0),RANK(AN26,AN$7:AN$68,1)))</f>
        <v>0</v>
      </c>
      <c r="AT26" s="86"/>
      <c r="AU26" s="86"/>
      <c r="AV26" s="86"/>
      <c r="AW26" s="86"/>
      <c r="AX26" s="86"/>
      <c r="AY26" s="84">
        <f t="shared" si="31"/>
        <v>0</v>
      </c>
      <c r="AZ26" s="84">
        <f t="shared" si="32"/>
        <v>0</v>
      </c>
      <c r="BA26" s="84">
        <f t="shared" si="33"/>
        <v>0</v>
      </c>
      <c r="BB26" s="84">
        <f t="shared" si="33"/>
        <v>0</v>
      </c>
      <c r="BC26" s="84">
        <f t="shared" si="34"/>
        <v>0</v>
      </c>
      <c r="BD26" s="85">
        <f t="shared" si="71"/>
        <v>0</v>
      </c>
      <c r="BE26" s="85">
        <f t="shared" si="71"/>
        <v>0</v>
      </c>
      <c r="BF26" s="85">
        <f t="shared" si="71"/>
        <v>0</v>
      </c>
      <c r="BG26" s="85">
        <f t="shared" si="71"/>
        <v>0</v>
      </c>
      <c r="BH26" s="85">
        <f>+IF(AG$71=0,0,IF(AG$71&lt;0,-RANK(BC26,BC$7:BC$68,0),RANK(BC26,BC$7:BC$68,1)))</f>
        <v>0</v>
      </c>
      <c r="BI26" s="86"/>
      <c r="BJ26" s="86"/>
      <c r="BK26" s="86"/>
      <c r="BL26" s="86"/>
      <c r="BM26" s="86"/>
    </row>
    <row r="27" spans="1:65" s="87" customFormat="1" ht="15.95" customHeight="1">
      <c r="A27" s="36"/>
      <c r="B27" s="37"/>
      <c r="C27" s="38"/>
      <c r="D27" s="125" t="s">
        <v>30</v>
      </c>
      <c r="E27" s="126">
        <f t="shared" ref="E27:AI27" si="72">+SUM(E7,E9,E17,E19)</f>
        <v>34865911732</v>
      </c>
      <c r="F27" s="127">
        <f t="shared" si="72"/>
        <v>0</v>
      </c>
      <c r="G27" s="128">
        <f t="shared" si="72"/>
        <v>0</v>
      </c>
      <c r="H27" s="128">
        <f t="shared" si="72"/>
        <v>0</v>
      </c>
      <c r="I27" s="129">
        <f t="shared" ref="I27" si="73">+SUM(I7,I9,I17,I19)</f>
        <v>0</v>
      </c>
      <c r="J27" s="129">
        <f t="shared" si="72"/>
        <v>20678111567</v>
      </c>
      <c r="K27" s="130">
        <f t="shared" si="72"/>
        <v>20678111567</v>
      </c>
      <c r="L27" s="126">
        <f t="shared" si="72"/>
        <v>610970</v>
      </c>
      <c r="M27" s="126">
        <f t="shared" si="72"/>
        <v>86860</v>
      </c>
      <c r="N27" s="127">
        <f t="shared" si="72"/>
        <v>0</v>
      </c>
      <c r="O27" s="128">
        <f t="shared" si="72"/>
        <v>0</v>
      </c>
      <c r="P27" s="128">
        <f t="shared" si="72"/>
        <v>455357</v>
      </c>
      <c r="Q27" s="128">
        <f t="shared" ref="Q27" si="74">+SUM(Q7,Q9,Q17,Q19)</f>
        <v>130554</v>
      </c>
      <c r="R27" s="128">
        <f t="shared" si="72"/>
        <v>2306681642</v>
      </c>
      <c r="S27" s="128">
        <f t="shared" si="72"/>
        <v>2307267553</v>
      </c>
      <c r="T27" s="128">
        <f t="shared" si="72"/>
        <v>11667360674</v>
      </c>
      <c r="U27" s="128">
        <f t="shared" si="72"/>
        <v>212474108</v>
      </c>
      <c r="V27" s="130">
        <f t="shared" si="72"/>
        <v>14187102335</v>
      </c>
      <c r="W27" s="127">
        <f t="shared" si="72"/>
        <v>0</v>
      </c>
      <c r="X27" s="128">
        <f t="shared" si="72"/>
        <v>0</v>
      </c>
      <c r="Y27" s="128">
        <f t="shared" si="72"/>
        <v>0</v>
      </c>
      <c r="Z27" s="128">
        <f t="shared" ref="Z27" si="75">+SUM(Z7,Z9,Z17,Z19)</f>
        <v>0</v>
      </c>
      <c r="AA27" s="129">
        <f t="shared" si="72"/>
        <v>1879828324</v>
      </c>
      <c r="AB27" s="130">
        <f t="shared" si="72"/>
        <v>1879828324</v>
      </c>
      <c r="AC27" s="131">
        <f t="shared" si="72"/>
        <v>0</v>
      </c>
      <c r="AD27" s="132">
        <f t="shared" si="72"/>
        <v>0</v>
      </c>
      <c r="AE27" s="132">
        <f t="shared" si="72"/>
        <v>33729</v>
      </c>
      <c r="AF27" s="132">
        <f t="shared" ref="AF27" si="76">+SUM(AF7,AF9,AF17,AF19)</f>
        <v>9670</v>
      </c>
      <c r="AG27" s="132">
        <f t="shared" si="72"/>
        <v>209698331</v>
      </c>
      <c r="AH27" s="133">
        <f t="shared" si="72"/>
        <v>209741730</v>
      </c>
      <c r="AI27" s="134">
        <f t="shared" si="72"/>
        <v>32986083408</v>
      </c>
      <c r="AJ27" s="135"/>
      <c r="AK27" s="135"/>
      <c r="AL27" s="135"/>
      <c r="AM27" s="135"/>
      <c r="AN27" s="135"/>
      <c r="AO27" s="85"/>
      <c r="AP27" s="85"/>
      <c r="AQ27" s="85"/>
      <c r="AR27" s="85"/>
      <c r="AS27" s="85"/>
      <c r="AT27" s="86"/>
      <c r="AU27" s="86"/>
      <c r="AV27" s="86"/>
      <c r="AW27" s="86"/>
      <c r="AX27" s="86"/>
      <c r="AY27" s="84"/>
      <c r="AZ27" s="84"/>
      <c r="BA27" s="84"/>
      <c r="BB27" s="84"/>
      <c r="BC27" s="84"/>
      <c r="BD27" s="85"/>
      <c r="BE27" s="85"/>
      <c r="BF27" s="85"/>
      <c r="BG27" s="85"/>
      <c r="BH27" s="85"/>
      <c r="BI27" s="86"/>
      <c r="BJ27" s="86"/>
      <c r="BK27" s="86"/>
      <c r="BL27" s="86"/>
      <c r="BM27" s="86"/>
    </row>
    <row r="28" spans="1:65" s="87" customFormat="1" ht="15.95" customHeight="1">
      <c r="A28" s="25"/>
      <c r="B28" s="26"/>
      <c r="C28" s="27"/>
      <c r="D28" s="71" t="s">
        <v>14</v>
      </c>
      <c r="E28" s="72">
        <f>+SUM(E29:E31)</f>
        <v>88770</v>
      </c>
      <c r="F28" s="73">
        <f t="shared" ref="F28:V28" si="77">+SUM(F29:F31)</f>
        <v>0</v>
      </c>
      <c r="G28" s="74">
        <f t="shared" si="77"/>
        <v>0</v>
      </c>
      <c r="H28" s="74">
        <f t="shared" si="77"/>
        <v>0</v>
      </c>
      <c r="I28" s="75">
        <f t="shared" ref="I28" si="78">+SUM(I29:I31)</f>
        <v>0</v>
      </c>
      <c r="J28" s="75">
        <f t="shared" si="77"/>
        <v>0</v>
      </c>
      <c r="K28" s="76">
        <f t="shared" si="77"/>
        <v>0</v>
      </c>
      <c r="L28" s="72">
        <f t="shared" si="77"/>
        <v>88770</v>
      </c>
      <c r="M28" s="72">
        <f t="shared" ref="M28" si="79">+SUM(M29:M31)</f>
        <v>0</v>
      </c>
      <c r="N28" s="73">
        <f t="shared" ref="N28:U28" si="80">+SUM(N29:N31)</f>
        <v>0</v>
      </c>
      <c r="O28" s="74">
        <f t="shared" si="80"/>
        <v>0</v>
      </c>
      <c r="P28" s="74">
        <f t="shared" si="80"/>
        <v>0</v>
      </c>
      <c r="Q28" s="74">
        <f t="shared" ref="Q28" si="81">+SUM(Q29:Q31)</f>
        <v>0</v>
      </c>
      <c r="R28" s="74">
        <f t="shared" si="80"/>
        <v>0</v>
      </c>
      <c r="S28" s="74">
        <f t="shared" si="80"/>
        <v>0</v>
      </c>
      <c r="T28" s="74">
        <f t="shared" si="80"/>
        <v>0</v>
      </c>
      <c r="U28" s="74">
        <f t="shared" si="80"/>
        <v>0</v>
      </c>
      <c r="V28" s="76">
        <f t="shared" si="77"/>
        <v>0</v>
      </c>
      <c r="W28" s="73">
        <f t="shared" ref="W28:AI28" si="82">+SUM(W29:W31)</f>
        <v>0</v>
      </c>
      <c r="X28" s="74">
        <f t="shared" si="82"/>
        <v>0</v>
      </c>
      <c r="Y28" s="74">
        <f t="shared" si="82"/>
        <v>0</v>
      </c>
      <c r="Z28" s="74">
        <f t="shared" ref="Z28" si="83">+SUM(Z29:Z31)</f>
        <v>0</v>
      </c>
      <c r="AA28" s="75">
        <f t="shared" si="82"/>
        <v>0</v>
      </c>
      <c r="AB28" s="76">
        <f t="shared" si="82"/>
        <v>0</v>
      </c>
      <c r="AC28" s="80">
        <f t="shared" ref="AC28:AH28" si="84">+SUM(AC29:AC31)</f>
        <v>0</v>
      </c>
      <c r="AD28" s="81">
        <f t="shared" si="84"/>
        <v>0</v>
      </c>
      <c r="AE28" s="81">
        <f t="shared" si="84"/>
        <v>0</v>
      </c>
      <c r="AF28" s="81">
        <f t="shared" si="84"/>
        <v>0</v>
      </c>
      <c r="AG28" s="81">
        <f t="shared" si="84"/>
        <v>0</v>
      </c>
      <c r="AH28" s="136">
        <f t="shared" si="84"/>
        <v>0</v>
      </c>
      <c r="AI28" s="83">
        <f t="shared" si="82"/>
        <v>88770</v>
      </c>
      <c r="AJ28" s="84"/>
      <c r="AK28" s="84"/>
      <c r="AL28" s="84"/>
      <c r="AM28" s="84"/>
      <c r="AN28" s="84"/>
      <c r="AO28" s="85"/>
      <c r="AP28" s="85"/>
      <c r="AQ28" s="85"/>
      <c r="AR28" s="85"/>
      <c r="AS28" s="85"/>
      <c r="AT28" s="86"/>
      <c r="AU28" s="86"/>
      <c r="AV28" s="86"/>
      <c r="AW28" s="86"/>
      <c r="AX28" s="86"/>
      <c r="AY28" s="84"/>
      <c r="AZ28" s="84"/>
      <c r="BA28" s="84"/>
      <c r="BB28" s="84"/>
      <c r="BC28" s="84"/>
      <c r="BD28" s="85"/>
      <c r="BE28" s="85"/>
      <c r="BF28" s="85"/>
      <c r="BG28" s="85"/>
      <c r="BH28" s="85"/>
      <c r="BI28" s="86"/>
      <c r="BJ28" s="86"/>
      <c r="BK28" s="86"/>
      <c r="BL28" s="86"/>
      <c r="BM28" s="86"/>
    </row>
    <row r="29" spans="1:65" s="87" customFormat="1" ht="15.95" customHeight="1">
      <c r="A29" s="31"/>
      <c r="B29" s="32"/>
      <c r="C29" s="35">
        <v>482022100</v>
      </c>
      <c r="D29" s="104" t="s">
        <v>63</v>
      </c>
      <c r="E29" s="120">
        <f>+SUMIFS([1]全伝票!I:I,[1]全伝票!$C:$C,$C29)</f>
        <v>88770</v>
      </c>
      <c r="F29" s="121">
        <f>+SUMIFS([1]全伝票!J:J,[1]全伝票!$C:$C,$C29)</f>
        <v>0</v>
      </c>
      <c r="G29" s="122">
        <f>+SUMIFS([1]全伝票!K:K,[1]全伝票!$C:$C,$C29)</f>
        <v>0</v>
      </c>
      <c r="H29" s="122">
        <f>+SUMIFS([1]全伝票!L:L,[1]全伝票!$C:$C,$C29)</f>
        <v>0</v>
      </c>
      <c r="I29" s="123">
        <f>+SUMIFS([1]全伝票!M:M,[1]全伝票!$C:$C,$C29)</f>
        <v>0</v>
      </c>
      <c r="J29" s="123">
        <f>+SUMIFS([1]全伝票!N:N,[1]全伝票!$C:$C,$C29)</f>
        <v>0</v>
      </c>
      <c r="K29" s="109">
        <f>SUM(F29:J29)</f>
        <v>0</v>
      </c>
      <c r="L29" s="120">
        <f>+SUMIFS([1]全伝票!O:O,[1]全伝票!$C:$C,$C29)</f>
        <v>88770</v>
      </c>
      <c r="M29" s="105"/>
      <c r="N29" s="106"/>
      <c r="O29" s="107"/>
      <c r="P29" s="107"/>
      <c r="Q29" s="107"/>
      <c r="R29" s="107"/>
      <c r="S29" s="107">
        <f>SUM(N29:R29)</f>
        <v>0</v>
      </c>
      <c r="T29" s="107"/>
      <c r="U29" s="107">
        <f>+V29-SUM(S29:T29)</f>
        <v>0</v>
      </c>
      <c r="V29" s="124">
        <f>+SUMIFS([1]全伝票!P:P,[1]全伝票!$C:$C,$C29)</f>
        <v>0</v>
      </c>
      <c r="W29" s="106">
        <f t="shared" ref="W29:Z31" si="85">+ROUND(F29*F$6/(100+F$6),0)+AT29</f>
        <v>0</v>
      </c>
      <c r="X29" s="107">
        <f t="shared" si="85"/>
        <v>0</v>
      </c>
      <c r="Y29" s="107">
        <f t="shared" si="85"/>
        <v>0</v>
      </c>
      <c r="Z29" s="107">
        <f t="shared" si="85"/>
        <v>0</v>
      </c>
      <c r="AA29" s="108">
        <f>+ROUND(J29*J$6/(100+J$6),0)+AX29</f>
        <v>0</v>
      </c>
      <c r="AB29" s="109">
        <f t="shared" ref="AB29:AB31" si="86">SUM(W29:AA29)</f>
        <v>0</v>
      </c>
      <c r="AC29" s="110">
        <f t="shared" ref="AC29:AF31" si="87">+ROUND(N29*AC$6/(100+AC$6),0)+BI29</f>
        <v>0</v>
      </c>
      <c r="AD29" s="111">
        <f t="shared" si="87"/>
        <v>0</v>
      </c>
      <c r="AE29" s="111">
        <f t="shared" si="87"/>
        <v>0</v>
      </c>
      <c r="AF29" s="111">
        <f t="shared" si="87"/>
        <v>0</v>
      </c>
      <c r="AG29" s="111">
        <f>+ROUND(R29*AG$6/(100+AG$6),0)+BM29</f>
        <v>0</v>
      </c>
      <c r="AH29" s="112">
        <f t="shared" ref="AH29:AH31" si="88">SUM(AC29:AG29)</f>
        <v>0</v>
      </c>
      <c r="AI29" s="113">
        <f>+E29-AB29</f>
        <v>88770</v>
      </c>
      <c r="AJ29" s="84"/>
      <c r="AK29" s="84"/>
      <c r="AL29" s="84"/>
      <c r="AM29" s="84"/>
      <c r="AN29" s="84"/>
      <c r="AO29" s="85"/>
      <c r="AP29" s="85"/>
      <c r="AQ29" s="85"/>
      <c r="AR29" s="85"/>
      <c r="AS29" s="85"/>
      <c r="AT29" s="86"/>
      <c r="AU29" s="86"/>
      <c r="AV29" s="86"/>
      <c r="AW29" s="86"/>
      <c r="AX29" s="86"/>
      <c r="AY29" s="84"/>
      <c r="AZ29" s="84"/>
      <c r="BA29" s="84"/>
      <c r="BB29" s="84"/>
      <c r="BC29" s="84"/>
      <c r="BD29" s="85"/>
      <c r="BE29" s="85"/>
      <c r="BF29" s="85"/>
      <c r="BG29" s="85"/>
      <c r="BH29" s="85"/>
      <c r="BI29" s="86"/>
      <c r="BJ29" s="86"/>
      <c r="BK29" s="86"/>
      <c r="BL29" s="86"/>
      <c r="BM29" s="86"/>
    </row>
    <row r="30" spans="1:65" s="87" customFormat="1" ht="15.95" customHeight="1">
      <c r="A30" s="31"/>
      <c r="B30" s="32"/>
      <c r="C30" s="35">
        <v>482022200</v>
      </c>
      <c r="D30" s="104" t="s">
        <v>64</v>
      </c>
      <c r="E30" s="120">
        <f>+SUMIFS([1]全伝票!I:I,[1]全伝票!$C:$C,$C30)</f>
        <v>0</v>
      </c>
      <c r="F30" s="121">
        <f>+SUMIFS([1]全伝票!J:J,[1]全伝票!$C:$C,$C30)</f>
        <v>0</v>
      </c>
      <c r="G30" s="122">
        <f>+SUMIFS([1]全伝票!K:K,[1]全伝票!$C:$C,$C30)</f>
        <v>0</v>
      </c>
      <c r="H30" s="122">
        <f>+SUMIFS([1]全伝票!L:L,[1]全伝票!$C:$C,$C30)</f>
        <v>0</v>
      </c>
      <c r="I30" s="123">
        <f>+SUMIFS([1]全伝票!M:M,[1]全伝票!$C:$C,$C30)</f>
        <v>0</v>
      </c>
      <c r="J30" s="123">
        <f>+SUMIFS([1]全伝票!N:N,[1]全伝票!$C:$C,$C30)</f>
        <v>0</v>
      </c>
      <c r="K30" s="109">
        <f>SUM(F30:J30)</f>
        <v>0</v>
      </c>
      <c r="L30" s="120">
        <f>+SUMIFS([1]全伝票!O:O,[1]全伝票!$C:$C,$C30)</f>
        <v>0</v>
      </c>
      <c r="M30" s="105"/>
      <c r="N30" s="106"/>
      <c r="O30" s="107"/>
      <c r="P30" s="107"/>
      <c r="Q30" s="107"/>
      <c r="R30" s="107"/>
      <c r="S30" s="107">
        <f>SUM(N30:R30)</f>
        <v>0</v>
      </c>
      <c r="T30" s="107"/>
      <c r="U30" s="107">
        <f>+V30-SUM(S30:T30)</f>
        <v>0</v>
      </c>
      <c r="V30" s="124">
        <f>+SUMIFS([1]全伝票!P:P,[1]全伝票!$C:$C,$C30)</f>
        <v>0</v>
      </c>
      <c r="W30" s="106">
        <f t="shared" si="85"/>
        <v>0</v>
      </c>
      <c r="X30" s="107">
        <f t="shared" si="85"/>
        <v>0</v>
      </c>
      <c r="Y30" s="107">
        <f t="shared" si="85"/>
        <v>0</v>
      </c>
      <c r="Z30" s="107">
        <f t="shared" si="85"/>
        <v>0</v>
      </c>
      <c r="AA30" s="108">
        <f>+ROUND(J30*J$6/(100+J$6),0)+AX30</f>
        <v>0</v>
      </c>
      <c r="AB30" s="109">
        <f t="shared" si="86"/>
        <v>0</v>
      </c>
      <c r="AC30" s="110">
        <f t="shared" si="87"/>
        <v>0</v>
      </c>
      <c r="AD30" s="111">
        <f t="shared" si="87"/>
        <v>0</v>
      </c>
      <c r="AE30" s="111">
        <f t="shared" si="87"/>
        <v>0</v>
      </c>
      <c r="AF30" s="111">
        <f t="shared" si="87"/>
        <v>0</v>
      </c>
      <c r="AG30" s="111">
        <f>+ROUND(R30*AG$6/(100+AG$6),0)+BM30</f>
        <v>0</v>
      </c>
      <c r="AH30" s="112">
        <f t="shared" si="88"/>
        <v>0</v>
      </c>
      <c r="AI30" s="113">
        <f>+E30-AB30</f>
        <v>0</v>
      </c>
      <c r="AJ30" s="84"/>
      <c r="AK30" s="84"/>
      <c r="AL30" s="84"/>
      <c r="AM30" s="84"/>
      <c r="AN30" s="84"/>
      <c r="AO30" s="85"/>
      <c r="AP30" s="85"/>
      <c r="AQ30" s="85"/>
      <c r="AR30" s="85"/>
      <c r="AS30" s="85"/>
      <c r="AT30" s="86"/>
      <c r="AU30" s="86"/>
      <c r="AV30" s="86"/>
      <c r="AW30" s="86"/>
      <c r="AX30" s="86"/>
      <c r="AY30" s="84"/>
      <c r="AZ30" s="84"/>
      <c r="BA30" s="84"/>
      <c r="BB30" s="84"/>
      <c r="BC30" s="84"/>
      <c r="BD30" s="85"/>
      <c r="BE30" s="85"/>
      <c r="BF30" s="85"/>
      <c r="BG30" s="85"/>
      <c r="BH30" s="85"/>
      <c r="BI30" s="86"/>
      <c r="BJ30" s="86"/>
      <c r="BK30" s="86"/>
      <c r="BL30" s="86"/>
      <c r="BM30" s="86"/>
    </row>
    <row r="31" spans="1:65" s="87" customFormat="1" ht="15.95" customHeight="1">
      <c r="A31" s="28"/>
      <c r="B31" s="29"/>
      <c r="C31" s="30">
        <v>482022400</v>
      </c>
      <c r="D31" s="88" t="s">
        <v>65</v>
      </c>
      <c r="E31" s="89">
        <f>+SUMIFS([1]全伝票!I:I,[1]全伝票!$C:$C,$C31)</f>
        <v>0</v>
      </c>
      <c r="F31" s="90">
        <f>+SUMIFS([1]全伝票!J:J,[1]全伝票!$C:$C,$C31)</f>
        <v>0</v>
      </c>
      <c r="G31" s="91">
        <f>+SUMIFS([1]全伝票!K:K,[1]全伝票!$C:$C,$C31)</f>
        <v>0</v>
      </c>
      <c r="H31" s="91">
        <f>+SUMIFS([1]全伝票!L:L,[1]全伝票!$C:$C,$C31)</f>
        <v>0</v>
      </c>
      <c r="I31" s="92">
        <f>+SUMIFS([1]全伝票!M:M,[1]全伝票!$C:$C,$C31)</f>
        <v>0</v>
      </c>
      <c r="J31" s="92">
        <f>+SUMIFS([1]全伝票!N:N,[1]全伝票!$C:$C,$C31)</f>
        <v>0</v>
      </c>
      <c r="K31" s="93">
        <f>SUM(F31:J31)</f>
        <v>0</v>
      </c>
      <c r="L31" s="89">
        <f>+SUMIFS([1]全伝票!O:O,[1]全伝票!$C:$C,$C31)</f>
        <v>0</v>
      </c>
      <c r="M31" s="118"/>
      <c r="N31" s="95"/>
      <c r="O31" s="96"/>
      <c r="P31" s="96"/>
      <c r="Q31" s="96"/>
      <c r="R31" s="96"/>
      <c r="S31" s="96">
        <f>SUM(N31:R31)</f>
        <v>0</v>
      </c>
      <c r="T31" s="96"/>
      <c r="U31" s="96">
        <f>+V31-SUM(S31:T31)</f>
        <v>0</v>
      </c>
      <c r="V31" s="97">
        <f>+SUMIFS([1]全伝票!P:P,[1]全伝票!$C:$C,$C31)</f>
        <v>0</v>
      </c>
      <c r="W31" s="95">
        <f t="shared" si="85"/>
        <v>0</v>
      </c>
      <c r="X31" s="96">
        <f t="shared" si="85"/>
        <v>0</v>
      </c>
      <c r="Y31" s="96">
        <f t="shared" si="85"/>
        <v>0</v>
      </c>
      <c r="Z31" s="96">
        <f t="shared" si="85"/>
        <v>0</v>
      </c>
      <c r="AA31" s="98">
        <f>+ROUND(J31*J$6/(100+J$6),0)+AX31</f>
        <v>0</v>
      </c>
      <c r="AB31" s="93">
        <f t="shared" si="86"/>
        <v>0</v>
      </c>
      <c r="AC31" s="99">
        <f t="shared" si="87"/>
        <v>0</v>
      </c>
      <c r="AD31" s="100">
        <f t="shared" si="87"/>
        <v>0</v>
      </c>
      <c r="AE31" s="100">
        <f t="shared" si="87"/>
        <v>0</v>
      </c>
      <c r="AF31" s="100">
        <f t="shared" si="87"/>
        <v>0</v>
      </c>
      <c r="AG31" s="100">
        <f>+ROUND(R31*AG$6/(100+AG$6),0)+BM31</f>
        <v>0</v>
      </c>
      <c r="AH31" s="101">
        <f t="shared" si="88"/>
        <v>0</v>
      </c>
      <c r="AI31" s="102">
        <f>+E31-AB31</f>
        <v>0</v>
      </c>
      <c r="AJ31" s="84"/>
      <c r="AK31" s="84"/>
      <c r="AL31" s="84"/>
      <c r="AM31" s="84"/>
      <c r="AN31" s="84"/>
      <c r="AO31" s="85"/>
      <c r="AP31" s="85"/>
      <c r="AQ31" s="85"/>
      <c r="AR31" s="85"/>
      <c r="AS31" s="85"/>
      <c r="AT31" s="86"/>
      <c r="AU31" s="86"/>
      <c r="AV31" s="86"/>
      <c r="AW31" s="86"/>
      <c r="AX31" s="86"/>
      <c r="AY31" s="84"/>
      <c r="AZ31" s="84"/>
      <c r="BA31" s="84"/>
      <c r="BB31" s="84"/>
      <c r="BC31" s="84"/>
      <c r="BD31" s="85"/>
      <c r="BE31" s="85"/>
      <c r="BF31" s="85"/>
      <c r="BG31" s="85"/>
      <c r="BH31" s="85"/>
      <c r="BI31" s="86"/>
      <c r="BJ31" s="86"/>
      <c r="BK31" s="86"/>
      <c r="BL31" s="86"/>
      <c r="BM31" s="86"/>
    </row>
    <row r="32" spans="1:65" s="87" customFormat="1" ht="15.95" customHeight="1">
      <c r="A32" s="25"/>
      <c r="B32" s="26"/>
      <c r="C32" s="27"/>
      <c r="D32" s="71" t="s">
        <v>15</v>
      </c>
      <c r="E32" s="72">
        <f>+SUM(E33:E34)</f>
        <v>0</v>
      </c>
      <c r="F32" s="73">
        <f t="shared" ref="F32:V32" si="89">+SUM(F33:F34)</f>
        <v>0</v>
      </c>
      <c r="G32" s="74">
        <f t="shared" si="89"/>
        <v>0</v>
      </c>
      <c r="H32" s="74">
        <f t="shared" si="89"/>
        <v>0</v>
      </c>
      <c r="I32" s="75">
        <f t="shared" ref="I32" si="90">+SUM(I33:I34)</f>
        <v>0</v>
      </c>
      <c r="J32" s="75">
        <f t="shared" si="89"/>
        <v>0</v>
      </c>
      <c r="K32" s="76">
        <f t="shared" si="89"/>
        <v>0</v>
      </c>
      <c r="L32" s="72">
        <f t="shared" si="89"/>
        <v>0</v>
      </c>
      <c r="M32" s="72">
        <f t="shared" ref="M32" si="91">+SUM(M33:M34)</f>
        <v>0</v>
      </c>
      <c r="N32" s="77">
        <f t="shared" ref="N32:U32" si="92">+SUM(N33:N34)</f>
        <v>0</v>
      </c>
      <c r="O32" s="78">
        <f t="shared" si="92"/>
        <v>0</v>
      </c>
      <c r="P32" s="78">
        <f t="shared" si="92"/>
        <v>0</v>
      </c>
      <c r="Q32" s="78">
        <f t="shared" ref="Q32" si="93">+SUM(Q33:Q34)</f>
        <v>0</v>
      </c>
      <c r="R32" s="78">
        <f t="shared" si="92"/>
        <v>0</v>
      </c>
      <c r="S32" s="78">
        <f t="shared" si="92"/>
        <v>0</v>
      </c>
      <c r="T32" s="78">
        <f t="shared" si="92"/>
        <v>0</v>
      </c>
      <c r="U32" s="78">
        <f t="shared" si="92"/>
        <v>0</v>
      </c>
      <c r="V32" s="79">
        <f t="shared" si="89"/>
        <v>0</v>
      </c>
      <c r="W32" s="73">
        <f t="shared" ref="W32:AI32" si="94">+SUM(W33:W34)</f>
        <v>0</v>
      </c>
      <c r="X32" s="74">
        <f t="shared" si="94"/>
        <v>0</v>
      </c>
      <c r="Y32" s="74">
        <f t="shared" si="94"/>
        <v>0</v>
      </c>
      <c r="Z32" s="74">
        <f t="shared" ref="Z32" si="95">+SUM(Z33:Z34)</f>
        <v>0</v>
      </c>
      <c r="AA32" s="75">
        <f t="shared" si="94"/>
        <v>0</v>
      </c>
      <c r="AB32" s="76">
        <f t="shared" si="94"/>
        <v>0</v>
      </c>
      <c r="AC32" s="80">
        <f t="shared" ref="AC32:AH32" si="96">+SUM(AC33:AC34)</f>
        <v>0</v>
      </c>
      <c r="AD32" s="81">
        <f t="shared" si="96"/>
        <v>0</v>
      </c>
      <c r="AE32" s="81">
        <f t="shared" si="96"/>
        <v>0</v>
      </c>
      <c r="AF32" s="81">
        <f t="shared" si="96"/>
        <v>0</v>
      </c>
      <c r="AG32" s="81">
        <f t="shared" si="96"/>
        <v>0</v>
      </c>
      <c r="AH32" s="82">
        <f t="shared" si="96"/>
        <v>0</v>
      </c>
      <c r="AI32" s="83">
        <f t="shared" si="94"/>
        <v>0</v>
      </c>
      <c r="AJ32" s="103"/>
      <c r="AK32" s="103"/>
      <c r="AL32" s="103"/>
      <c r="AM32" s="103"/>
      <c r="AN32" s="103"/>
      <c r="AO32" s="85"/>
      <c r="AP32" s="85"/>
      <c r="AQ32" s="85"/>
      <c r="AR32" s="85"/>
      <c r="AS32" s="85"/>
      <c r="AT32" s="86"/>
      <c r="AU32" s="86"/>
      <c r="AV32" s="86"/>
      <c r="AW32" s="86"/>
      <c r="AX32" s="86"/>
      <c r="AY32" s="84"/>
      <c r="AZ32" s="84"/>
      <c r="BA32" s="84"/>
      <c r="BB32" s="84"/>
      <c r="BC32" s="84"/>
      <c r="BD32" s="85"/>
      <c r="BE32" s="85"/>
      <c r="BF32" s="85"/>
      <c r="BG32" s="85"/>
      <c r="BH32" s="85"/>
      <c r="BI32" s="86"/>
      <c r="BJ32" s="86"/>
      <c r="BK32" s="86"/>
      <c r="BL32" s="86"/>
      <c r="BM32" s="86"/>
    </row>
    <row r="33" spans="1:65" s="87" customFormat="1" ht="15.95" customHeight="1">
      <c r="A33" s="31"/>
      <c r="B33" s="32"/>
      <c r="C33" s="35">
        <v>482042700</v>
      </c>
      <c r="D33" s="137" t="s">
        <v>66</v>
      </c>
      <c r="E33" s="120">
        <f>+SUMIFS([1]全伝票!I:I,[1]全伝票!$C:$C,$C33)</f>
        <v>0</v>
      </c>
      <c r="F33" s="121">
        <f>+SUMIFS([1]全伝票!J:J,[1]全伝票!$C:$C,$C33)</f>
        <v>0</v>
      </c>
      <c r="G33" s="122">
        <f>+SUMIFS([1]全伝票!K:K,[1]全伝票!$C:$C,$C33)</f>
        <v>0</v>
      </c>
      <c r="H33" s="122">
        <f>+SUMIFS([1]全伝票!L:L,[1]全伝票!$C:$C,$C33)</f>
        <v>0</v>
      </c>
      <c r="I33" s="123">
        <f>+SUMIFS([1]全伝票!M:M,[1]全伝票!$C:$C,$C33)</f>
        <v>0</v>
      </c>
      <c r="J33" s="123">
        <f>+SUMIFS([1]全伝票!N:N,[1]全伝票!$C:$C,$C33)</f>
        <v>0</v>
      </c>
      <c r="K33" s="109">
        <f>SUM(F33:J33)</f>
        <v>0</v>
      </c>
      <c r="L33" s="120">
        <f>+SUMIFS([1]全伝票!O:O,[1]全伝票!$C:$C,$C33)</f>
        <v>0</v>
      </c>
      <c r="M33" s="105"/>
      <c r="N33" s="106"/>
      <c r="O33" s="107"/>
      <c r="P33" s="107"/>
      <c r="Q33" s="107"/>
      <c r="R33" s="107"/>
      <c r="S33" s="107">
        <f>SUM(N33:R33)</f>
        <v>0</v>
      </c>
      <c r="T33" s="107"/>
      <c r="U33" s="107">
        <f>+V33-SUM(S33:T33)</f>
        <v>0</v>
      </c>
      <c r="V33" s="124">
        <f>+SUMIFS([1]全伝票!P:P,[1]全伝票!$C:$C,$C33)</f>
        <v>0</v>
      </c>
      <c r="W33" s="106">
        <f>+ROUND(F33*F$6/(100+F$6),0)+AT33</f>
        <v>0</v>
      </c>
      <c r="X33" s="107">
        <f>+ROUND(G33*G$6/(100+G$6),0)+AU33</f>
        <v>0</v>
      </c>
      <c r="Y33" s="107">
        <f>+ROUND(H33*H$6/(100+H$6),0)+AV33</f>
        <v>0</v>
      </c>
      <c r="Z33" s="107">
        <f>+ROUND(I33*I$6/(100+I$6),0)+AW33</f>
        <v>0</v>
      </c>
      <c r="AA33" s="108">
        <f>+ROUND(J33*J$6/(100+J$6),0)+AX33</f>
        <v>0</v>
      </c>
      <c r="AB33" s="109">
        <f t="shared" ref="AB33" si="97">SUM(W33:AA33)</f>
        <v>0</v>
      </c>
      <c r="AC33" s="110">
        <f>+ROUND(N33*AC$6/(100+AC$6),0)+BI33</f>
        <v>0</v>
      </c>
      <c r="AD33" s="111">
        <f>+ROUND(O33*AD$6/(100+AD$6),0)+BJ33</f>
        <v>0</v>
      </c>
      <c r="AE33" s="111">
        <f>+ROUND(P33*AE$6/(100+AE$6),0)+BK33</f>
        <v>0</v>
      </c>
      <c r="AF33" s="111">
        <f>+ROUND(Q33*AF$6/(100+AF$6),0)+BL33</f>
        <v>0</v>
      </c>
      <c r="AG33" s="111">
        <f>+ROUND(R33*AG$6/(100+AG$6),0)+BM33</f>
        <v>0</v>
      </c>
      <c r="AH33" s="112">
        <f t="shared" ref="AH33" si="98">SUM(AC33:AG33)</f>
        <v>0</v>
      </c>
      <c r="AI33" s="113">
        <f>+E33-AB33</f>
        <v>0</v>
      </c>
      <c r="AJ33" s="84"/>
      <c r="AK33" s="84"/>
      <c r="AL33" s="84"/>
      <c r="AM33" s="84"/>
      <c r="AN33" s="84"/>
      <c r="AO33" s="85"/>
      <c r="AP33" s="85"/>
      <c r="AQ33" s="85"/>
      <c r="AR33" s="85"/>
      <c r="AS33" s="85"/>
      <c r="AT33" s="86"/>
      <c r="AU33" s="86"/>
      <c r="AV33" s="86"/>
      <c r="AW33" s="86"/>
      <c r="AX33" s="86"/>
      <c r="AY33" s="84"/>
      <c r="AZ33" s="84"/>
      <c r="BA33" s="84"/>
      <c r="BB33" s="84"/>
      <c r="BC33" s="84"/>
      <c r="BD33" s="85"/>
      <c r="BE33" s="85"/>
      <c r="BF33" s="85"/>
      <c r="BG33" s="85"/>
      <c r="BH33" s="85"/>
      <c r="BI33" s="86"/>
      <c r="BJ33" s="86"/>
      <c r="BK33" s="86"/>
      <c r="BL33" s="86"/>
      <c r="BM33" s="86"/>
    </row>
    <row r="34" spans="1:65" s="87" customFormat="1" ht="15.95" customHeight="1">
      <c r="A34" s="39"/>
      <c r="B34" s="40"/>
      <c r="C34" s="41"/>
      <c r="D34" s="138" t="s">
        <v>77</v>
      </c>
      <c r="E34" s="139">
        <f>SUM(E35:E38)</f>
        <v>0</v>
      </c>
      <c r="F34" s="140">
        <f t="shared" ref="F34:M34" si="99">SUM(F35:F38)</f>
        <v>0</v>
      </c>
      <c r="G34" s="141">
        <f t="shared" si="99"/>
        <v>0</v>
      </c>
      <c r="H34" s="141">
        <f t="shared" si="99"/>
        <v>0</v>
      </c>
      <c r="I34" s="142">
        <f t="shared" ref="I34" si="100">SUM(I35:I38)</f>
        <v>0</v>
      </c>
      <c r="J34" s="142">
        <f t="shared" si="99"/>
        <v>0</v>
      </c>
      <c r="K34" s="143">
        <f t="shared" si="99"/>
        <v>0</v>
      </c>
      <c r="L34" s="139">
        <f t="shared" si="99"/>
        <v>0</v>
      </c>
      <c r="M34" s="139">
        <f t="shared" si="99"/>
        <v>0</v>
      </c>
      <c r="N34" s="140"/>
      <c r="O34" s="141">
        <f t="shared" ref="O34" si="101">SUM(O35:O38)</f>
        <v>0</v>
      </c>
      <c r="P34" s="141">
        <f t="shared" ref="P34:Q34" si="102">SUM(P35:P38)</f>
        <v>0</v>
      </c>
      <c r="Q34" s="141">
        <f t="shared" si="102"/>
        <v>0</v>
      </c>
      <c r="R34" s="141">
        <f t="shared" ref="R34" si="103">SUM(R35:R38)</f>
        <v>0</v>
      </c>
      <c r="S34" s="141">
        <f t="shared" ref="S34" si="104">SUM(S35:S38)</f>
        <v>0</v>
      </c>
      <c r="T34" s="141">
        <f t="shared" ref="T34" si="105">SUM(T35:T38)</f>
        <v>0</v>
      </c>
      <c r="U34" s="141">
        <f t="shared" ref="U34" si="106">SUM(U35:U38)</f>
        <v>0</v>
      </c>
      <c r="V34" s="143">
        <f t="shared" ref="V34" si="107">SUM(V35:V38)</f>
        <v>0</v>
      </c>
      <c r="W34" s="140">
        <f t="shared" ref="W34" si="108">SUM(W35:W38)</f>
        <v>0</v>
      </c>
      <c r="X34" s="141">
        <f t="shared" ref="X34" si="109">SUM(X35:X38)</f>
        <v>0</v>
      </c>
      <c r="Y34" s="141">
        <f t="shared" ref="Y34:Z34" si="110">SUM(Y35:Y38)</f>
        <v>0</v>
      </c>
      <c r="Z34" s="141">
        <f t="shared" si="110"/>
        <v>0</v>
      </c>
      <c r="AA34" s="142">
        <f t="shared" ref="AA34" si="111">SUM(AA35:AA38)</f>
        <v>0</v>
      </c>
      <c r="AB34" s="143">
        <f t="shared" ref="AB34" si="112">SUM(AB35:AB38)</f>
        <v>0</v>
      </c>
      <c r="AC34" s="144">
        <f t="shared" ref="AC34" si="113">SUM(AC35:AC38)</f>
        <v>0</v>
      </c>
      <c r="AD34" s="145">
        <f t="shared" ref="AD34" si="114">SUM(AD35:AD38)</f>
        <v>0</v>
      </c>
      <c r="AE34" s="145">
        <f t="shared" ref="AE34:AF34" si="115">SUM(AE35:AE38)</f>
        <v>0</v>
      </c>
      <c r="AF34" s="145">
        <f t="shared" si="115"/>
        <v>0</v>
      </c>
      <c r="AG34" s="145">
        <f t="shared" ref="AG34" si="116">SUM(AG35:AG38)</f>
        <v>0</v>
      </c>
      <c r="AH34" s="146">
        <f t="shared" ref="AH34:AI34" si="117">SUM(AH35:AH38)</f>
        <v>0</v>
      </c>
      <c r="AI34" s="147">
        <f t="shared" si="117"/>
        <v>0</v>
      </c>
      <c r="AJ34" s="103"/>
      <c r="AK34" s="103"/>
      <c r="AL34" s="103"/>
      <c r="AM34" s="103"/>
      <c r="AN34" s="103"/>
      <c r="AO34" s="148"/>
      <c r="AP34" s="148"/>
      <c r="AQ34" s="148"/>
      <c r="AR34" s="148"/>
      <c r="AS34" s="148"/>
      <c r="AT34" s="149"/>
      <c r="AU34" s="149"/>
      <c r="AV34" s="149"/>
      <c r="AW34" s="149"/>
      <c r="AX34" s="149"/>
      <c r="AY34" s="103">
        <f t="shared" si="31"/>
        <v>0</v>
      </c>
      <c r="AZ34" s="103">
        <f t="shared" si="32"/>
        <v>0</v>
      </c>
      <c r="BA34" s="103">
        <f t="shared" si="33"/>
        <v>0</v>
      </c>
      <c r="BB34" s="103">
        <f t="shared" si="33"/>
        <v>0</v>
      </c>
      <c r="BC34" s="103">
        <f t="shared" si="34"/>
        <v>0</v>
      </c>
      <c r="BD34" s="148">
        <f>+IF(AC$71=0,0,IF(AC$71&lt;0,-RANK(AY34,AY$7:AY$68,0),RANK(AY34,AY$7:AY$68,1)))</f>
        <v>0</v>
      </c>
      <c r="BE34" s="148">
        <f>+IF(AD$71=0,0,IF(AD$71&lt;0,-RANK(AZ34,AZ$7:AZ$68,0),RANK(AZ34,AZ$7:AZ$68,1)))</f>
        <v>0</v>
      </c>
      <c r="BF34" s="148">
        <f>+IF(AE$71=0,0,IF(AE$71&lt;0,-RANK(BA34,BA$7:BA$68,0),RANK(BA34,BA$7:BA$68,1)))</f>
        <v>0</v>
      </c>
      <c r="BG34" s="148">
        <f>+IF(AF$71=0,0,IF(AF$71&lt;0,-RANK(BB34,BB$7:BB$68,0),RANK(BB34,BB$7:BB$68,1)))</f>
        <v>0</v>
      </c>
      <c r="BH34" s="148">
        <f>+IF(AG$71=0,0,IF(AG$71&lt;0,-RANK(BC34,BC$7:BC$68,0),RANK(BC34,BC$7:BC$68,1)))</f>
        <v>0</v>
      </c>
      <c r="BI34" s="149"/>
      <c r="BJ34" s="149"/>
      <c r="BK34" s="149"/>
      <c r="BL34" s="149"/>
      <c r="BM34" s="149"/>
    </row>
    <row r="35" spans="1:65" s="87" customFormat="1" ht="15.95" customHeight="1">
      <c r="A35" s="31">
        <v>1</v>
      </c>
      <c r="B35" s="32"/>
      <c r="C35" s="35">
        <v>482042900</v>
      </c>
      <c r="D35" s="104" t="s">
        <v>92</v>
      </c>
      <c r="E35" s="120">
        <f>+SUMIFS([1]全伝票!I:I,[1]全伝票!$C:$C,$C35,[1]全伝票!$A:$A,$A35)</f>
        <v>0</v>
      </c>
      <c r="F35" s="121">
        <f>+SUMIFS([1]全伝票!J:J,[1]全伝票!$C:$C,$C35)</f>
        <v>0</v>
      </c>
      <c r="G35" s="122">
        <f>+SUMIFS([1]全伝票!K:K,[1]全伝票!$C:$C,$C35)</f>
        <v>0</v>
      </c>
      <c r="H35" s="122">
        <f>+SUMIFS([1]全伝票!L:L,[1]全伝票!$C:$C,$C35)</f>
        <v>0</v>
      </c>
      <c r="I35" s="123">
        <f>+SUMIFS([1]全伝票!M:M,[1]全伝票!$C:$C,$C35)</f>
        <v>0</v>
      </c>
      <c r="J35" s="123">
        <f>+SUMIFS([1]全伝票!N:N,[1]全伝票!$C:$C,$C35)</f>
        <v>0</v>
      </c>
      <c r="K35" s="109">
        <f t="shared" ref="K35:K38" si="118">SUM(F35:J35)</f>
        <v>0</v>
      </c>
      <c r="L35" s="120">
        <f>+SUMIFS([1]全伝票!O:O,[1]全伝票!$C:$C,$C35)</f>
        <v>0</v>
      </c>
      <c r="M35" s="105"/>
      <c r="N35" s="106"/>
      <c r="O35" s="107"/>
      <c r="P35" s="115">
        <f>'[3]3条災害補助'!L$9</f>
        <v>0</v>
      </c>
      <c r="Q35" s="115">
        <f>'[3]3条災害補助'!M$9</f>
        <v>0</v>
      </c>
      <c r="R35" s="115">
        <f>'[3]3条災害補助'!N$9</f>
        <v>0</v>
      </c>
      <c r="S35" s="107">
        <f t="shared" ref="S35:S38" si="119">SUM(N35:R35)</f>
        <v>0</v>
      </c>
      <c r="T35" s="115">
        <f>'[3]3条災害補助'!I$8</f>
        <v>0</v>
      </c>
      <c r="U35" s="107">
        <f t="shared" ref="U35:U38" si="120">+V35-SUM(S35:T35)</f>
        <v>0</v>
      </c>
      <c r="V35" s="124">
        <f>SUMIFS([1]全伝票!P:P,[1]全伝票!$C:$C,$C35,[1]全伝票!$A:$A,$A35)</f>
        <v>0</v>
      </c>
      <c r="W35" s="106">
        <f t="shared" ref="W35:W38" si="121">+ROUND(F35*F$6/(100+F$6),0)+AT35</f>
        <v>0</v>
      </c>
      <c r="X35" s="107">
        <f t="shared" ref="X35:X38" si="122">+ROUND(G35*G$6/(100+G$6),0)+AU35</f>
        <v>0</v>
      </c>
      <c r="Y35" s="107">
        <f t="shared" ref="Y35:Z38" si="123">+ROUND(H35*H$6/(100+H$6),0)+AV35</f>
        <v>0</v>
      </c>
      <c r="Z35" s="107">
        <f t="shared" si="123"/>
        <v>0</v>
      </c>
      <c r="AA35" s="108">
        <f t="shared" ref="AA35:AA38" si="124">+ROUND(J35*J$6/(100+J$6),0)+AX35</f>
        <v>0</v>
      </c>
      <c r="AB35" s="109">
        <f t="shared" ref="AB35:AB38" si="125">SUM(W35:AA35)</f>
        <v>0</v>
      </c>
      <c r="AC35" s="110">
        <f t="shared" ref="AC35:AC38" si="126">+ROUND(N35*AC$6/(100+AC$6),0)+BI35</f>
        <v>0</v>
      </c>
      <c r="AD35" s="111">
        <f t="shared" ref="AD35:AD38" si="127">+ROUND(O35*AD$6/(100+AD$6),0)+BJ35</f>
        <v>0</v>
      </c>
      <c r="AE35" s="111">
        <f t="shared" ref="AE35:AF38" si="128">+ROUND(P35*AE$6/(100+AE$6),0)+BK35</f>
        <v>0</v>
      </c>
      <c r="AF35" s="111">
        <f t="shared" si="128"/>
        <v>0</v>
      </c>
      <c r="AG35" s="111">
        <f t="shared" ref="AG35:AG38" si="129">+ROUND(R35*AG$6/(100+AG$6),0)+BM35</f>
        <v>0</v>
      </c>
      <c r="AH35" s="112">
        <f t="shared" ref="AH35:AH38" si="130">SUM(AC35:AG35)</f>
        <v>0</v>
      </c>
      <c r="AI35" s="113">
        <f t="shared" ref="AI35:AI38" si="131">+E35-AB35</f>
        <v>0</v>
      </c>
      <c r="AJ35" s="84"/>
      <c r="AK35" s="84"/>
      <c r="AL35" s="84"/>
      <c r="AM35" s="84"/>
      <c r="AN35" s="84"/>
      <c r="AO35" s="85"/>
      <c r="AP35" s="85"/>
      <c r="AQ35" s="85"/>
      <c r="AR35" s="85"/>
      <c r="AS35" s="85"/>
      <c r="AT35" s="86"/>
      <c r="AU35" s="86"/>
      <c r="AV35" s="86"/>
      <c r="AW35" s="86"/>
      <c r="AX35" s="86"/>
      <c r="AY35" s="103">
        <f t="shared" ref="AY35:AY38" si="132">AC35-N35*AC$6/(100+AC$6)</f>
        <v>0</v>
      </c>
      <c r="AZ35" s="103">
        <f t="shared" ref="AZ35:AZ38" si="133">AD35-O35*AD$6/(100+AD$6)</f>
        <v>0</v>
      </c>
      <c r="BA35" s="103">
        <f t="shared" ref="BA35:BB38" si="134">AE35-P35*AE$6/(100+AE$6)</f>
        <v>0</v>
      </c>
      <c r="BB35" s="103">
        <f t="shared" si="134"/>
        <v>0</v>
      </c>
      <c r="BC35" s="103">
        <f t="shared" ref="BC35:BC38" si="135">AG35-R35*AG$6/(100+AG$6)</f>
        <v>0</v>
      </c>
      <c r="BD35" s="148">
        <f t="shared" ref="BD35:BD38" si="136">+IF(AC$71=0,0,IF(AC$71&lt;0,-RANK(AY35,AY$7:AY$68,0),RANK(AY35,AY$7:AY$68,1)))</f>
        <v>0</v>
      </c>
      <c r="BE35" s="148">
        <f t="shared" ref="BE35:BE38" si="137">+IF(AD$71=0,0,IF(AD$71&lt;0,-RANK(AZ35,AZ$7:AZ$68,0),RANK(AZ35,AZ$7:AZ$68,1)))</f>
        <v>0</v>
      </c>
      <c r="BF35" s="148">
        <f t="shared" ref="BF35:BG38" si="138">+IF(AE$71=0,0,IF(AE$71&lt;0,-RANK(BA35,BA$7:BA$68,0),RANK(BA35,BA$7:BA$68,1)))</f>
        <v>0</v>
      </c>
      <c r="BG35" s="148">
        <f t="shared" si="138"/>
        <v>0</v>
      </c>
      <c r="BH35" s="148">
        <f t="shared" ref="BH35:BH38" si="139">+IF(AG$71=0,0,IF(AG$71&lt;0,-RANK(BC35,BC$7:BC$68,0),RANK(BC35,BC$7:BC$68,1)))</f>
        <v>0</v>
      </c>
      <c r="BI35" s="86"/>
      <c r="BJ35" s="86"/>
      <c r="BK35" s="86"/>
      <c r="BL35" s="86"/>
      <c r="BM35" s="86"/>
    </row>
    <row r="36" spans="1:65" s="87" customFormat="1" ht="15.95" customHeight="1">
      <c r="A36" s="31">
        <v>2</v>
      </c>
      <c r="B36" s="32"/>
      <c r="C36" s="35">
        <v>482042900</v>
      </c>
      <c r="D36" s="104" t="s">
        <v>93</v>
      </c>
      <c r="E36" s="120">
        <f>+SUMIFS([1]全伝票!I:I,[1]全伝票!$C:$C,$C36,[1]全伝票!$A:$A,$A36)</f>
        <v>0</v>
      </c>
      <c r="F36" s="121">
        <f>+SUMIFS([1]全伝票!J:J,[1]全伝票!$C:$C,$C36)</f>
        <v>0</v>
      </c>
      <c r="G36" s="122">
        <f>+SUMIFS([1]全伝票!K:K,[1]全伝票!$C:$C,$C36)</f>
        <v>0</v>
      </c>
      <c r="H36" s="122">
        <f>+SUMIFS([1]全伝票!L:L,[1]全伝票!$C:$C,$C36)</f>
        <v>0</v>
      </c>
      <c r="I36" s="123">
        <f>+SUMIFS([1]全伝票!M:M,[1]全伝票!$C:$C,$C36)</f>
        <v>0</v>
      </c>
      <c r="J36" s="123">
        <f>+SUMIFS([1]全伝票!N:N,[1]全伝票!$C:$C,$C36)</f>
        <v>0</v>
      </c>
      <c r="K36" s="109">
        <f t="shared" si="118"/>
        <v>0</v>
      </c>
      <c r="L36" s="120">
        <f>+SUMIFS([1]全伝票!O:O,[1]全伝票!$C:$C,$C36)</f>
        <v>0</v>
      </c>
      <c r="M36" s="105"/>
      <c r="N36" s="106"/>
      <c r="O36" s="107"/>
      <c r="P36" s="115">
        <f>'[3]3条災害補助'!L$23</f>
        <v>0</v>
      </c>
      <c r="Q36" s="115">
        <f>'[3]3条災害補助'!M$23</f>
        <v>0</v>
      </c>
      <c r="R36" s="115">
        <f>'[3]3条災害補助'!N$23</f>
        <v>0</v>
      </c>
      <c r="S36" s="107">
        <f t="shared" si="119"/>
        <v>0</v>
      </c>
      <c r="T36" s="115">
        <f>'[3]3条災害補助'!I$22</f>
        <v>0</v>
      </c>
      <c r="U36" s="107">
        <f t="shared" si="120"/>
        <v>0</v>
      </c>
      <c r="V36" s="124">
        <f>SUMIFS([1]全伝票!P:P,[1]全伝票!$C:$C,$C36,[1]全伝票!$A:$A,$A36)</f>
        <v>0</v>
      </c>
      <c r="W36" s="106">
        <f t="shared" si="121"/>
        <v>0</v>
      </c>
      <c r="X36" s="107">
        <f t="shared" si="122"/>
        <v>0</v>
      </c>
      <c r="Y36" s="107">
        <f t="shared" si="123"/>
        <v>0</v>
      </c>
      <c r="Z36" s="107">
        <f t="shared" si="123"/>
        <v>0</v>
      </c>
      <c r="AA36" s="108">
        <f t="shared" si="124"/>
        <v>0</v>
      </c>
      <c r="AB36" s="109">
        <f t="shared" si="125"/>
        <v>0</v>
      </c>
      <c r="AC36" s="110">
        <f t="shared" si="126"/>
        <v>0</v>
      </c>
      <c r="AD36" s="111">
        <f t="shared" si="127"/>
        <v>0</v>
      </c>
      <c r="AE36" s="111">
        <f t="shared" si="128"/>
        <v>0</v>
      </c>
      <c r="AF36" s="111">
        <f t="shared" si="128"/>
        <v>0</v>
      </c>
      <c r="AG36" s="111">
        <f t="shared" si="129"/>
        <v>0</v>
      </c>
      <c r="AH36" s="112">
        <f t="shared" si="130"/>
        <v>0</v>
      </c>
      <c r="AI36" s="113">
        <f t="shared" si="131"/>
        <v>0</v>
      </c>
      <c r="AJ36" s="84"/>
      <c r="AK36" s="84"/>
      <c r="AL36" s="84"/>
      <c r="AM36" s="84"/>
      <c r="AN36" s="84"/>
      <c r="AO36" s="85"/>
      <c r="AP36" s="85"/>
      <c r="AQ36" s="85"/>
      <c r="AR36" s="85"/>
      <c r="AS36" s="85"/>
      <c r="AT36" s="86"/>
      <c r="AU36" s="86"/>
      <c r="AV36" s="86"/>
      <c r="AW36" s="86"/>
      <c r="AX36" s="86"/>
      <c r="AY36" s="103">
        <f t="shared" si="132"/>
        <v>0</v>
      </c>
      <c r="AZ36" s="103">
        <f t="shared" si="133"/>
        <v>0</v>
      </c>
      <c r="BA36" s="103">
        <f t="shared" si="134"/>
        <v>0</v>
      </c>
      <c r="BB36" s="103">
        <f t="shared" si="134"/>
        <v>0</v>
      </c>
      <c r="BC36" s="103">
        <f t="shared" si="135"/>
        <v>0</v>
      </c>
      <c r="BD36" s="148">
        <f t="shared" si="136"/>
        <v>0</v>
      </c>
      <c r="BE36" s="148">
        <f t="shared" si="137"/>
        <v>0</v>
      </c>
      <c r="BF36" s="148">
        <f t="shared" si="138"/>
        <v>0</v>
      </c>
      <c r="BG36" s="148">
        <f t="shared" si="138"/>
        <v>0</v>
      </c>
      <c r="BH36" s="148">
        <f t="shared" si="139"/>
        <v>0</v>
      </c>
      <c r="BI36" s="86"/>
      <c r="BJ36" s="86"/>
      <c r="BK36" s="86"/>
      <c r="BL36" s="86"/>
      <c r="BM36" s="86"/>
    </row>
    <row r="37" spans="1:65" s="87" customFormat="1" ht="15.95" customHeight="1">
      <c r="A37" s="31">
        <v>3</v>
      </c>
      <c r="B37" s="32"/>
      <c r="C37" s="35">
        <v>482042900</v>
      </c>
      <c r="D37" s="104" t="s">
        <v>94</v>
      </c>
      <c r="E37" s="120">
        <f>+SUMIFS([1]全伝票!I:I,[1]全伝票!$C:$C,$C37,[1]全伝票!$A:$A,$A37)</f>
        <v>0</v>
      </c>
      <c r="F37" s="121">
        <f>+SUMIFS([1]全伝票!J:J,[1]全伝票!$C:$C,$C37)</f>
        <v>0</v>
      </c>
      <c r="G37" s="122">
        <f>+SUMIFS([1]全伝票!K:K,[1]全伝票!$C:$C,$C37)</f>
        <v>0</v>
      </c>
      <c r="H37" s="122">
        <f>+SUMIFS([1]全伝票!L:L,[1]全伝票!$C:$C,$C37)</f>
        <v>0</v>
      </c>
      <c r="I37" s="123">
        <f>+SUMIFS([1]全伝票!M:M,[1]全伝票!$C:$C,$C37)</f>
        <v>0</v>
      </c>
      <c r="J37" s="123">
        <f>+SUMIFS([1]全伝票!N:N,[1]全伝票!$C:$C,$C37)</f>
        <v>0</v>
      </c>
      <c r="K37" s="109">
        <f t="shared" si="118"/>
        <v>0</v>
      </c>
      <c r="L37" s="120">
        <f>+SUMIFS([1]全伝票!O:O,[1]全伝票!$C:$C,$C37)</f>
        <v>0</v>
      </c>
      <c r="M37" s="105"/>
      <c r="N37" s="106"/>
      <c r="O37" s="107"/>
      <c r="P37" s="115">
        <f>'[3]3条災害補助'!L$37</f>
        <v>0</v>
      </c>
      <c r="Q37" s="115">
        <f>'[3]3条災害補助'!M$37</f>
        <v>0</v>
      </c>
      <c r="R37" s="115">
        <f>'[3]3条災害補助'!N$37</f>
        <v>0</v>
      </c>
      <c r="S37" s="107">
        <f t="shared" si="119"/>
        <v>0</v>
      </c>
      <c r="T37" s="115">
        <f>'[3]3条災害補助'!I$36</f>
        <v>0</v>
      </c>
      <c r="U37" s="107">
        <f t="shared" si="120"/>
        <v>0</v>
      </c>
      <c r="V37" s="124">
        <f>SUMIFS([1]全伝票!P:P,[1]全伝票!$C:$C,$C37,[1]全伝票!$A:$A,$A37)</f>
        <v>0</v>
      </c>
      <c r="W37" s="106">
        <f t="shared" si="121"/>
        <v>0</v>
      </c>
      <c r="X37" s="107">
        <f t="shared" si="122"/>
        <v>0</v>
      </c>
      <c r="Y37" s="107">
        <f t="shared" si="123"/>
        <v>0</v>
      </c>
      <c r="Z37" s="107">
        <f t="shared" si="123"/>
        <v>0</v>
      </c>
      <c r="AA37" s="108">
        <f t="shared" si="124"/>
        <v>0</v>
      </c>
      <c r="AB37" s="109">
        <f t="shared" si="125"/>
        <v>0</v>
      </c>
      <c r="AC37" s="110">
        <f t="shared" si="126"/>
        <v>0</v>
      </c>
      <c r="AD37" s="111">
        <f t="shared" si="127"/>
        <v>0</v>
      </c>
      <c r="AE37" s="111">
        <f t="shared" si="128"/>
        <v>0</v>
      </c>
      <c r="AF37" s="111">
        <f t="shared" si="128"/>
        <v>0</v>
      </c>
      <c r="AG37" s="111">
        <f t="shared" si="129"/>
        <v>0</v>
      </c>
      <c r="AH37" s="112">
        <f t="shared" si="130"/>
        <v>0</v>
      </c>
      <c r="AI37" s="113">
        <f t="shared" si="131"/>
        <v>0</v>
      </c>
      <c r="AJ37" s="84"/>
      <c r="AK37" s="84"/>
      <c r="AL37" s="84"/>
      <c r="AM37" s="84"/>
      <c r="AN37" s="84"/>
      <c r="AO37" s="85"/>
      <c r="AP37" s="85"/>
      <c r="AQ37" s="85"/>
      <c r="AR37" s="85"/>
      <c r="AS37" s="85"/>
      <c r="AT37" s="86"/>
      <c r="AU37" s="86"/>
      <c r="AV37" s="86"/>
      <c r="AW37" s="86"/>
      <c r="AX37" s="86"/>
      <c r="AY37" s="103">
        <f t="shared" si="132"/>
        <v>0</v>
      </c>
      <c r="AZ37" s="103">
        <f t="shared" si="133"/>
        <v>0</v>
      </c>
      <c r="BA37" s="103">
        <f t="shared" si="134"/>
        <v>0</v>
      </c>
      <c r="BB37" s="103">
        <f t="shared" si="134"/>
        <v>0</v>
      </c>
      <c r="BC37" s="103">
        <f t="shared" si="135"/>
        <v>0</v>
      </c>
      <c r="BD37" s="148">
        <f t="shared" si="136"/>
        <v>0</v>
      </c>
      <c r="BE37" s="148">
        <f t="shared" si="137"/>
        <v>0</v>
      </c>
      <c r="BF37" s="148">
        <f t="shared" si="138"/>
        <v>0</v>
      </c>
      <c r="BG37" s="148">
        <f t="shared" si="138"/>
        <v>0</v>
      </c>
      <c r="BH37" s="148">
        <f t="shared" si="139"/>
        <v>0</v>
      </c>
      <c r="BI37" s="86"/>
      <c r="BJ37" s="86"/>
      <c r="BK37" s="86"/>
      <c r="BL37" s="86"/>
      <c r="BM37" s="86"/>
    </row>
    <row r="38" spans="1:65" s="87" customFormat="1" ht="15.95" customHeight="1">
      <c r="A38" s="28">
        <v>4</v>
      </c>
      <c r="B38" s="29"/>
      <c r="C38" s="30">
        <v>482042900</v>
      </c>
      <c r="D38" s="88" t="s">
        <v>95</v>
      </c>
      <c r="E38" s="89">
        <f>+SUMIFS([1]全伝票!I:I,[1]全伝票!$C:$C,$C38,[1]全伝票!$A:$A,$A38)</f>
        <v>0</v>
      </c>
      <c r="F38" s="90">
        <f>+SUMIFS([1]全伝票!J:J,[1]全伝票!$C:$C,$C38)</f>
        <v>0</v>
      </c>
      <c r="G38" s="91">
        <f>+SUMIFS([1]全伝票!K:K,[1]全伝票!$C:$C,$C38)</f>
        <v>0</v>
      </c>
      <c r="H38" s="91">
        <f>+SUMIFS([1]全伝票!L:L,[1]全伝票!$C:$C,$C38)</f>
        <v>0</v>
      </c>
      <c r="I38" s="92">
        <f>+SUMIFS([1]全伝票!M:M,[1]全伝票!$C:$C,$C38)</f>
        <v>0</v>
      </c>
      <c r="J38" s="92">
        <f>+SUMIFS([1]全伝票!N:N,[1]全伝票!$C:$C,$C38)</f>
        <v>0</v>
      </c>
      <c r="K38" s="93">
        <f t="shared" si="118"/>
        <v>0</v>
      </c>
      <c r="L38" s="89">
        <f>+SUMIFS([1]全伝票!O:O,[1]全伝票!$C:$C,$C38)</f>
        <v>0</v>
      </c>
      <c r="M38" s="118"/>
      <c r="N38" s="95"/>
      <c r="O38" s="96"/>
      <c r="P38" s="119">
        <f>'[3]3条災害補助'!L$51</f>
        <v>0</v>
      </c>
      <c r="Q38" s="119">
        <f>'[3]3条災害補助'!M$51</f>
        <v>0</v>
      </c>
      <c r="R38" s="119">
        <f>'[3]3条災害補助'!N$51</f>
        <v>0</v>
      </c>
      <c r="S38" s="96">
        <f t="shared" si="119"/>
        <v>0</v>
      </c>
      <c r="T38" s="119">
        <f>'[3]3条災害補助'!I$50</f>
        <v>0</v>
      </c>
      <c r="U38" s="96">
        <f t="shared" si="120"/>
        <v>0</v>
      </c>
      <c r="V38" s="97">
        <f>SUMIFS([1]全伝票!P:P,[1]全伝票!$C:$C,$C38,[1]全伝票!$A:$A,$A38)</f>
        <v>0</v>
      </c>
      <c r="W38" s="95">
        <f t="shared" si="121"/>
        <v>0</v>
      </c>
      <c r="X38" s="96">
        <f t="shared" si="122"/>
        <v>0</v>
      </c>
      <c r="Y38" s="96">
        <f t="shared" si="123"/>
        <v>0</v>
      </c>
      <c r="Z38" s="96">
        <f t="shared" si="123"/>
        <v>0</v>
      </c>
      <c r="AA38" s="98">
        <f t="shared" si="124"/>
        <v>0</v>
      </c>
      <c r="AB38" s="93">
        <f t="shared" si="125"/>
        <v>0</v>
      </c>
      <c r="AC38" s="99">
        <f t="shared" si="126"/>
        <v>0</v>
      </c>
      <c r="AD38" s="100">
        <f t="shared" si="127"/>
        <v>0</v>
      </c>
      <c r="AE38" s="100">
        <f t="shared" si="128"/>
        <v>0</v>
      </c>
      <c r="AF38" s="100">
        <f t="shared" si="128"/>
        <v>0</v>
      </c>
      <c r="AG38" s="100">
        <f t="shared" si="129"/>
        <v>0</v>
      </c>
      <c r="AH38" s="101">
        <f t="shared" si="130"/>
        <v>0</v>
      </c>
      <c r="AI38" s="102">
        <f t="shared" si="131"/>
        <v>0</v>
      </c>
      <c r="AJ38" s="84"/>
      <c r="AK38" s="84"/>
      <c r="AL38" s="84"/>
      <c r="AM38" s="84"/>
      <c r="AN38" s="84"/>
      <c r="AO38" s="85"/>
      <c r="AP38" s="85"/>
      <c r="AQ38" s="85"/>
      <c r="AR38" s="85"/>
      <c r="AS38" s="85"/>
      <c r="AT38" s="86"/>
      <c r="AU38" s="86"/>
      <c r="AV38" s="86"/>
      <c r="AW38" s="86"/>
      <c r="AX38" s="86"/>
      <c r="AY38" s="103">
        <f t="shared" si="132"/>
        <v>0</v>
      </c>
      <c r="AZ38" s="103">
        <f t="shared" si="133"/>
        <v>0</v>
      </c>
      <c r="BA38" s="103">
        <f t="shared" si="134"/>
        <v>0</v>
      </c>
      <c r="BB38" s="103">
        <f t="shared" si="134"/>
        <v>0</v>
      </c>
      <c r="BC38" s="103">
        <f t="shared" si="135"/>
        <v>0</v>
      </c>
      <c r="BD38" s="148">
        <f t="shared" si="136"/>
        <v>0</v>
      </c>
      <c r="BE38" s="148">
        <f t="shared" si="137"/>
        <v>0</v>
      </c>
      <c r="BF38" s="148">
        <f t="shared" si="138"/>
        <v>0</v>
      </c>
      <c r="BG38" s="148">
        <f t="shared" si="138"/>
        <v>0</v>
      </c>
      <c r="BH38" s="148">
        <f t="shared" si="139"/>
        <v>0</v>
      </c>
      <c r="BI38" s="86"/>
      <c r="BJ38" s="86"/>
      <c r="BK38" s="86"/>
      <c r="BL38" s="86"/>
      <c r="BM38" s="86"/>
    </row>
    <row r="39" spans="1:65" s="87" customFormat="1" ht="15.95" customHeight="1">
      <c r="A39" s="63"/>
      <c r="B39" s="64"/>
      <c r="C39" s="65"/>
      <c r="D39" s="150" t="s">
        <v>16</v>
      </c>
      <c r="E39" s="151">
        <f>+SUM(E40:E41)</f>
        <v>53493193</v>
      </c>
      <c r="F39" s="77">
        <f t="shared" ref="F39:V39" si="140">+SUM(F40:F41)</f>
        <v>0</v>
      </c>
      <c r="G39" s="78">
        <f t="shared" si="140"/>
        <v>0</v>
      </c>
      <c r="H39" s="78">
        <f t="shared" si="140"/>
        <v>0</v>
      </c>
      <c r="I39" s="152">
        <f t="shared" ref="I39" si="141">+SUM(I40:I41)</f>
        <v>0</v>
      </c>
      <c r="J39" s="152">
        <f t="shared" si="140"/>
        <v>37016600</v>
      </c>
      <c r="K39" s="79">
        <f t="shared" si="140"/>
        <v>37016600</v>
      </c>
      <c r="L39" s="151">
        <f t="shared" si="140"/>
        <v>0</v>
      </c>
      <c r="M39" s="151">
        <f t="shared" ref="M39" si="142">+SUM(M40:M41)</f>
        <v>0</v>
      </c>
      <c r="N39" s="77">
        <f t="shared" ref="N39:U39" si="143">+SUM(N40:N41)</f>
        <v>0</v>
      </c>
      <c r="O39" s="78">
        <f t="shared" si="143"/>
        <v>0</v>
      </c>
      <c r="P39" s="78">
        <f t="shared" si="143"/>
        <v>0</v>
      </c>
      <c r="Q39" s="78">
        <f t="shared" ref="Q39" si="144">+SUM(Q40:Q41)</f>
        <v>0</v>
      </c>
      <c r="R39" s="78">
        <f t="shared" si="143"/>
        <v>0</v>
      </c>
      <c r="S39" s="78">
        <f t="shared" si="143"/>
        <v>0</v>
      </c>
      <c r="T39" s="78">
        <f t="shared" si="143"/>
        <v>16476593</v>
      </c>
      <c r="U39" s="78">
        <f t="shared" si="143"/>
        <v>0</v>
      </c>
      <c r="V39" s="79">
        <f t="shared" si="140"/>
        <v>16476593</v>
      </c>
      <c r="W39" s="77">
        <f t="shared" ref="W39:AI39" si="145">+SUM(W40:W41)</f>
        <v>0</v>
      </c>
      <c r="X39" s="78">
        <f t="shared" si="145"/>
        <v>0</v>
      </c>
      <c r="Y39" s="78">
        <f t="shared" si="145"/>
        <v>0</v>
      </c>
      <c r="Z39" s="78">
        <f t="shared" ref="Z39" si="146">+SUM(Z40:Z41)</f>
        <v>0</v>
      </c>
      <c r="AA39" s="152">
        <f t="shared" si="145"/>
        <v>3365145</v>
      </c>
      <c r="AB39" s="79">
        <f t="shared" si="145"/>
        <v>3365145</v>
      </c>
      <c r="AC39" s="153">
        <f t="shared" ref="AC39:AH39" si="147">+SUM(AC40:AC41)</f>
        <v>0</v>
      </c>
      <c r="AD39" s="154">
        <f t="shared" si="147"/>
        <v>0</v>
      </c>
      <c r="AE39" s="154">
        <f t="shared" si="147"/>
        <v>0</v>
      </c>
      <c r="AF39" s="154">
        <f t="shared" si="147"/>
        <v>0</v>
      </c>
      <c r="AG39" s="154">
        <f t="shared" si="147"/>
        <v>0</v>
      </c>
      <c r="AH39" s="82">
        <f t="shared" si="147"/>
        <v>0</v>
      </c>
      <c r="AI39" s="155">
        <f t="shared" si="145"/>
        <v>50128048</v>
      </c>
      <c r="AJ39" s="103"/>
      <c r="AK39" s="103"/>
      <c r="AL39" s="103"/>
      <c r="AM39" s="103"/>
      <c r="AN39" s="103"/>
      <c r="AO39" s="85"/>
      <c r="AP39" s="85"/>
      <c r="AQ39" s="85"/>
      <c r="AR39" s="85"/>
      <c r="AS39" s="85"/>
      <c r="AT39" s="86"/>
      <c r="AU39" s="86"/>
      <c r="AV39" s="86"/>
      <c r="AW39" s="86"/>
      <c r="AX39" s="86"/>
      <c r="AY39" s="84"/>
      <c r="AZ39" s="84"/>
      <c r="BA39" s="84"/>
      <c r="BB39" s="84"/>
      <c r="BC39" s="84"/>
      <c r="BD39" s="85"/>
      <c r="BE39" s="85"/>
      <c r="BF39" s="85"/>
      <c r="BG39" s="85"/>
      <c r="BH39" s="85"/>
      <c r="BI39" s="86"/>
      <c r="BJ39" s="86"/>
      <c r="BK39" s="86"/>
      <c r="BL39" s="86"/>
      <c r="BM39" s="86"/>
    </row>
    <row r="40" spans="1:65" s="87" customFormat="1" ht="15.95" customHeight="1">
      <c r="A40" s="31"/>
      <c r="B40" s="32"/>
      <c r="C40" s="35">
        <v>482093200</v>
      </c>
      <c r="D40" s="104" t="s">
        <v>67</v>
      </c>
      <c r="E40" s="120">
        <f>+SUMIFS([1]全伝票!I:I,[1]全伝票!$C:$C,$C40)</f>
        <v>37016600</v>
      </c>
      <c r="F40" s="121">
        <f>+SUMIFS([1]全伝票!J:J,[1]全伝票!$C:$C,$C40)</f>
        <v>0</v>
      </c>
      <c r="G40" s="122">
        <f>+SUMIFS([1]全伝票!K:K,[1]全伝票!$C:$C,$C40)</f>
        <v>0</v>
      </c>
      <c r="H40" s="122">
        <f>+SUMIFS([1]全伝票!L:L,[1]全伝票!$C:$C,$C40)</f>
        <v>0</v>
      </c>
      <c r="I40" s="123">
        <f>+SUMIFS([1]全伝票!M:M,[1]全伝票!$C:$C,$C40)</f>
        <v>0</v>
      </c>
      <c r="J40" s="123">
        <f>+SUMIFS([1]全伝票!N:N,[1]全伝票!$C:$C,$C40)</f>
        <v>37016600</v>
      </c>
      <c r="K40" s="109">
        <f>SUM(F40:J40)</f>
        <v>37016600</v>
      </c>
      <c r="L40" s="120">
        <f>+SUMIFS([1]全伝票!O:O,[1]全伝票!$C:$C,$C40)</f>
        <v>0</v>
      </c>
      <c r="M40" s="105"/>
      <c r="N40" s="106"/>
      <c r="O40" s="107"/>
      <c r="P40" s="107"/>
      <c r="Q40" s="107"/>
      <c r="R40" s="107"/>
      <c r="S40" s="107">
        <f>SUM(N40:R40)</f>
        <v>0</v>
      </c>
      <c r="T40" s="107"/>
      <c r="U40" s="107">
        <f>+V40-SUM(S40:T40)</f>
        <v>0</v>
      </c>
      <c r="V40" s="124">
        <f>+SUMIFS([1]全伝票!P:P,[1]全伝票!$C:$C,$C40)</f>
        <v>0</v>
      </c>
      <c r="W40" s="106">
        <f t="shared" ref="W40:Z41" si="148">+ROUND(F40*F$6/(100+F$6),0)+AT40</f>
        <v>0</v>
      </c>
      <c r="X40" s="107">
        <f t="shared" si="148"/>
        <v>0</v>
      </c>
      <c r="Y40" s="107">
        <f t="shared" si="148"/>
        <v>0</v>
      </c>
      <c r="Z40" s="107">
        <f t="shared" si="148"/>
        <v>0</v>
      </c>
      <c r="AA40" s="108">
        <f>+ROUND(J40*J$6/(100+J$6),0)+AX40</f>
        <v>3365145</v>
      </c>
      <c r="AB40" s="109">
        <f t="shared" ref="AB40:AB41" si="149">SUM(W40:AA40)</f>
        <v>3365145</v>
      </c>
      <c r="AC40" s="110">
        <f t="shared" ref="AC40:AF41" si="150">+ROUND(N40*AC$6/(100+AC$6),0)+BI40</f>
        <v>0</v>
      </c>
      <c r="AD40" s="111">
        <f t="shared" si="150"/>
        <v>0</v>
      </c>
      <c r="AE40" s="111">
        <f t="shared" si="150"/>
        <v>0</v>
      </c>
      <c r="AF40" s="111">
        <f t="shared" si="150"/>
        <v>0</v>
      </c>
      <c r="AG40" s="111">
        <f>+ROUND(R40*AG$6/(100+AG$6),0)+BM40</f>
        <v>0</v>
      </c>
      <c r="AH40" s="112">
        <f t="shared" ref="AH40:AH41" si="151">SUM(AC40:AG40)</f>
        <v>0</v>
      </c>
      <c r="AI40" s="113">
        <f>+E40-AB40</f>
        <v>33651455</v>
      </c>
      <c r="AJ40" s="84">
        <f>W40-F40*W$6/(100+W$6)</f>
        <v>0</v>
      </c>
      <c r="AK40" s="84">
        <f>X40-G40*X$6/(100+X$6)</f>
        <v>0</v>
      </c>
      <c r="AL40" s="84">
        <f>Y40-H40*Y$6/(100+Y$6)</f>
        <v>0</v>
      </c>
      <c r="AM40" s="84">
        <f>Z40-I40*Z$6/(100+Z$6)</f>
        <v>0</v>
      </c>
      <c r="AN40" s="84">
        <f>AA40-J40*AA$6/(100+AA$6)</f>
        <v>-0.45454545458778739</v>
      </c>
      <c r="AO40" s="85">
        <f>+IF(W$71=0,0,IF(W$71&lt;0,-RANK(AJ40,AJ$7:AJ$68,0),RANK(AJ40,AJ$7:AJ$68,1)))</f>
        <v>0</v>
      </c>
      <c r="AP40" s="85">
        <f>+IF(X$71=0,0,IF(X$71&lt;0,-RANK(AK40,AK$7:AK$68,0),RANK(AK40,AK$7:AK$68,1)))</f>
        <v>0</v>
      </c>
      <c r="AQ40" s="85">
        <f>+IF(Y$71=0,0,IF(Y$71&lt;0,-RANK(AL40,AL$7:AL$68,0),RANK(AL40,AL$7:AL$68,1)))</f>
        <v>0</v>
      </c>
      <c r="AR40" s="85">
        <f>+IF(Z$71=0,0,IF(Z$71&lt;0,-RANK(AM40,AM$7:AM$68,0),RANK(AM40,AM$7:AM$68,1)))</f>
        <v>0</v>
      </c>
      <c r="AS40" s="85">
        <f>+IF(AA$71=0,0,IF(AA$71&lt;0,-RANK(AN40,AN$7:AN$68,0),RANK(AN40,AN$7:AN$68,1)))</f>
        <v>0</v>
      </c>
      <c r="AT40" s="86"/>
      <c r="AU40" s="86"/>
      <c r="AV40" s="86"/>
      <c r="AW40" s="86"/>
      <c r="AX40" s="86"/>
      <c r="AY40" s="84">
        <f t="shared" si="31"/>
        <v>0</v>
      </c>
      <c r="AZ40" s="84">
        <f t="shared" si="32"/>
        <v>0</v>
      </c>
      <c r="BA40" s="84">
        <f t="shared" si="33"/>
        <v>0</v>
      </c>
      <c r="BB40" s="84">
        <f t="shared" si="33"/>
        <v>0</v>
      </c>
      <c r="BC40" s="84">
        <f t="shared" si="34"/>
        <v>0</v>
      </c>
      <c r="BD40" s="85">
        <f t="shared" ref="BD40:BG41" si="152">+IF(AC$71=0,0,IF(AC$71&lt;0,-RANK(AY40,AY$7:AY$68,0),RANK(AY40,AY$7:AY$68,1)))</f>
        <v>0</v>
      </c>
      <c r="BE40" s="85">
        <f t="shared" si="152"/>
        <v>0</v>
      </c>
      <c r="BF40" s="85">
        <f t="shared" si="152"/>
        <v>0</v>
      </c>
      <c r="BG40" s="85">
        <f t="shared" si="152"/>
        <v>0</v>
      </c>
      <c r="BH40" s="85">
        <f>+IF(AG$71=0,0,IF(AG$71&lt;0,-RANK(BC40,BC$7:BC$68,0),RANK(BC40,BC$7:BC$68,1)))</f>
        <v>0</v>
      </c>
      <c r="BI40" s="86"/>
      <c r="BJ40" s="86"/>
      <c r="BK40" s="86"/>
      <c r="BL40" s="86"/>
      <c r="BM40" s="86"/>
    </row>
    <row r="41" spans="1:65" s="87" customFormat="1" ht="15.95" customHeight="1">
      <c r="A41" s="28"/>
      <c r="B41" s="29"/>
      <c r="C41" s="30">
        <v>482093300</v>
      </c>
      <c r="D41" s="88" t="s">
        <v>68</v>
      </c>
      <c r="E41" s="89">
        <f>+SUMIFS([1]全伝票!I:I,[1]全伝票!$C:$C,$C41)</f>
        <v>16476593</v>
      </c>
      <c r="F41" s="90">
        <f>+SUMIFS([1]全伝票!J:J,[1]全伝票!$C:$C,$C41)</f>
        <v>0</v>
      </c>
      <c r="G41" s="91">
        <f>+SUMIFS([1]全伝票!K:K,[1]全伝票!$C:$C,$C41)</f>
        <v>0</v>
      </c>
      <c r="H41" s="91">
        <f>+SUMIFS([1]全伝票!L:L,[1]全伝票!$C:$C,$C41)</f>
        <v>0</v>
      </c>
      <c r="I41" s="92">
        <f>+SUMIFS([1]全伝票!M:M,[1]全伝票!$C:$C,$C41)</f>
        <v>0</v>
      </c>
      <c r="J41" s="92">
        <f>+SUMIFS([1]全伝票!N:N,[1]全伝票!$C:$C,$C41)</f>
        <v>0</v>
      </c>
      <c r="K41" s="93">
        <f>SUM(F41:J41)</f>
        <v>0</v>
      </c>
      <c r="L41" s="89">
        <f>+SUMIFS([1]全伝票!O:O,[1]全伝票!$C:$C,$C41)</f>
        <v>0</v>
      </c>
      <c r="M41" s="118"/>
      <c r="N41" s="95"/>
      <c r="O41" s="156"/>
      <c r="P41" s="156"/>
      <c r="Q41" s="156"/>
      <c r="R41" s="156"/>
      <c r="S41" s="156">
        <f>SUM(N41:R41)</f>
        <v>0</v>
      </c>
      <c r="T41" s="157">
        <f>+'[3]3条他会計'!$I$6</f>
        <v>16476593</v>
      </c>
      <c r="U41" s="96">
        <f>+V41-SUM(S41:T41)</f>
        <v>0</v>
      </c>
      <c r="V41" s="93">
        <f>+E41-K41</f>
        <v>16476593</v>
      </c>
      <c r="W41" s="95">
        <f t="shared" si="148"/>
        <v>0</v>
      </c>
      <c r="X41" s="96">
        <f t="shared" si="148"/>
        <v>0</v>
      </c>
      <c r="Y41" s="96">
        <f t="shared" si="148"/>
        <v>0</v>
      </c>
      <c r="Z41" s="96">
        <f t="shared" si="148"/>
        <v>0</v>
      </c>
      <c r="AA41" s="98">
        <f>+ROUND(J41*J$6/(100+J$6),0)+AX41</f>
        <v>0</v>
      </c>
      <c r="AB41" s="93">
        <f t="shared" si="149"/>
        <v>0</v>
      </c>
      <c r="AC41" s="99">
        <f t="shared" si="150"/>
        <v>0</v>
      </c>
      <c r="AD41" s="100">
        <f t="shared" si="150"/>
        <v>0</v>
      </c>
      <c r="AE41" s="100">
        <f t="shared" si="150"/>
        <v>0</v>
      </c>
      <c r="AF41" s="100">
        <f t="shared" si="150"/>
        <v>0</v>
      </c>
      <c r="AG41" s="100">
        <f>+ROUND(R41*AG$6/(100+AG$6),0)+BM41</f>
        <v>0</v>
      </c>
      <c r="AH41" s="158">
        <f t="shared" si="151"/>
        <v>0</v>
      </c>
      <c r="AI41" s="102">
        <f>+E41-AB41</f>
        <v>16476593</v>
      </c>
      <c r="AJ41" s="84"/>
      <c r="AK41" s="84"/>
      <c r="AL41" s="84"/>
      <c r="AM41" s="84"/>
      <c r="AN41" s="84"/>
      <c r="AO41" s="85"/>
      <c r="AP41" s="85"/>
      <c r="AQ41" s="85"/>
      <c r="AR41" s="85"/>
      <c r="AS41" s="85"/>
      <c r="AT41" s="86"/>
      <c r="AU41" s="86"/>
      <c r="AV41" s="86"/>
      <c r="AW41" s="86"/>
      <c r="AX41" s="86"/>
      <c r="AY41" s="84">
        <f t="shared" si="31"/>
        <v>0</v>
      </c>
      <c r="AZ41" s="84">
        <f t="shared" si="32"/>
        <v>0</v>
      </c>
      <c r="BA41" s="84">
        <f t="shared" si="33"/>
        <v>0</v>
      </c>
      <c r="BB41" s="84">
        <f t="shared" si="33"/>
        <v>0</v>
      </c>
      <c r="BC41" s="84">
        <f t="shared" si="34"/>
        <v>0</v>
      </c>
      <c r="BD41" s="85">
        <f t="shared" si="152"/>
        <v>0</v>
      </c>
      <c r="BE41" s="85">
        <f t="shared" si="152"/>
        <v>0</v>
      </c>
      <c r="BF41" s="85">
        <f t="shared" si="152"/>
        <v>0</v>
      </c>
      <c r="BG41" s="85">
        <f t="shared" si="152"/>
        <v>0</v>
      </c>
      <c r="BH41" s="85">
        <f>+IF(AG$71=0,0,IF(AG$71&lt;0,-RANK(BC41,BC$7:BC$68,0),RANK(BC41,BC$7:BC$68,1)))</f>
        <v>0</v>
      </c>
      <c r="BI41" s="86"/>
      <c r="BJ41" s="86"/>
      <c r="BK41" s="86"/>
      <c r="BL41" s="86"/>
      <c r="BM41" s="86"/>
    </row>
    <row r="42" spans="1:65" s="87" customFormat="1" ht="15.95" customHeight="1">
      <c r="A42" s="25"/>
      <c r="B42" s="26"/>
      <c r="C42" s="27"/>
      <c r="D42" s="71" t="s">
        <v>17</v>
      </c>
      <c r="E42" s="72">
        <f>+SUM(E43,E48)</f>
        <v>9203253</v>
      </c>
      <c r="F42" s="73">
        <f t="shared" ref="F42:V42" si="153">+SUM(F43,F48)</f>
        <v>0</v>
      </c>
      <c r="G42" s="74">
        <f t="shared" si="153"/>
        <v>0</v>
      </c>
      <c r="H42" s="74">
        <f t="shared" si="153"/>
        <v>0</v>
      </c>
      <c r="I42" s="75">
        <f t="shared" ref="I42" si="154">+SUM(I43,I48)</f>
        <v>0</v>
      </c>
      <c r="J42" s="75">
        <f t="shared" si="153"/>
        <v>0</v>
      </c>
      <c r="K42" s="76">
        <f t="shared" si="153"/>
        <v>0</v>
      </c>
      <c r="L42" s="72">
        <f t="shared" si="153"/>
        <v>0</v>
      </c>
      <c r="M42" s="72">
        <f t="shared" ref="M42" si="155">+SUM(M43,M48)</f>
        <v>0</v>
      </c>
      <c r="N42" s="77">
        <f t="shared" ref="N42:U42" si="156">+SUM(N43,N48)</f>
        <v>0</v>
      </c>
      <c r="O42" s="78">
        <f t="shared" si="156"/>
        <v>0</v>
      </c>
      <c r="P42" s="78">
        <f t="shared" si="156"/>
        <v>0</v>
      </c>
      <c r="Q42" s="78">
        <f t="shared" ref="Q42" si="157">+SUM(Q43,Q48)</f>
        <v>0</v>
      </c>
      <c r="R42" s="78">
        <f t="shared" si="156"/>
        <v>5368538</v>
      </c>
      <c r="S42" s="78">
        <f t="shared" si="156"/>
        <v>5368538</v>
      </c>
      <c r="T42" s="78">
        <f t="shared" si="156"/>
        <v>3834715</v>
      </c>
      <c r="U42" s="78">
        <f t="shared" si="156"/>
        <v>0</v>
      </c>
      <c r="V42" s="79">
        <f t="shared" si="153"/>
        <v>9203253</v>
      </c>
      <c r="W42" s="73">
        <f t="shared" ref="W42:AI42" si="158">+SUM(W43,W48)</f>
        <v>0</v>
      </c>
      <c r="X42" s="74">
        <f t="shared" si="158"/>
        <v>0</v>
      </c>
      <c r="Y42" s="74">
        <f t="shared" si="158"/>
        <v>0</v>
      </c>
      <c r="Z42" s="74">
        <f t="shared" ref="Z42" si="159">+SUM(Z43,Z48)</f>
        <v>0</v>
      </c>
      <c r="AA42" s="75">
        <f t="shared" si="158"/>
        <v>0</v>
      </c>
      <c r="AB42" s="76">
        <f t="shared" si="158"/>
        <v>0</v>
      </c>
      <c r="AC42" s="80">
        <f t="shared" ref="AC42:AH42" si="160">+SUM(AC43,AC48)</f>
        <v>0</v>
      </c>
      <c r="AD42" s="81">
        <f t="shared" si="160"/>
        <v>0</v>
      </c>
      <c r="AE42" s="81">
        <f t="shared" si="160"/>
        <v>0</v>
      </c>
      <c r="AF42" s="81">
        <f t="shared" si="160"/>
        <v>0</v>
      </c>
      <c r="AG42" s="81">
        <f t="shared" si="160"/>
        <v>488049</v>
      </c>
      <c r="AH42" s="82">
        <f t="shared" si="160"/>
        <v>488049</v>
      </c>
      <c r="AI42" s="83">
        <f t="shared" si="158"/>
        <v>9203253</v>
      </c>
      <c r="AJ42" s="103"/>
      <c r="AK42" s="103"/>
      <c r="AL42" s="103"/>
      <c r="AM42" s="103"/>
      <c r="AN42" s="103"/>
      <c r="AO42" s="85"/>
      <c r="AP42" s="85"/>
      <c r="AQ42" s="85"/>
      <c r="AR42" s="85"/>
      <c r="AS42" s="85"/>
      <c r="AT42" s="86"/>
      <c r="AU42" s="86"/>
      <c r="AV42" s="86"/>
      <c r="AW42" s="86"/>
      <c r="AX42" s="86"/>
      <c r="AY42" s="84"/>
      <c r="AZ42" s="84"/>
      <c r="BA42" s="84"/>
      <c r="BB42" s="84"/>
      <c r="BC42" s="84"/>
      <c r="BD42" s="85"/>
      <c r="BE42" s="85"/>
      <c r="BF42" s="85"/>
      <c r="BG42" s="85"/>
      <c r="BH42" s="85"/>
      <c r="BI42" s="86"/>
      <c r="BJ42" s="86"/>
      <c r="BK42" s="86"/>
      <c r="BL42" s="86"/>
      <c r="BM42" s="86"/>
    </row>
    <row r="43" spans="1:65" s="87" customFormat="1" ht="15.95" customHeight="1">
      <c r="A43" s="31"/>
      <c r="B43" s="32"/>
      <c r="C43" s="33"/>
      <c r="D43" s="104" t="s">
        <v>78</v>
      </c>
      <c r="E43" s="105">
        <f>+SUM(E44:E47)</f>
        <v>4980</v>
      </c>
      <c r="F43" s="106">
        <f t="shared" ref="F43:V43" si="161">+SUM(F44:F47)</f>
        <v>0</v>
      </c>
      <c r="G43" s="107">
        <f t="shared" si="161"/>
        <v>0</v>
      </c>
      <c r="H43" s="107">
        <f t="shared" si="161"/>
        <v>0</v>
      </c>
      <c r="I43" s="108">
        <f t="shared" ref="I43" si="162">+SUM(I44:I47)</f>
        <v>0</v>
      </c>
      <c r="J43" s="108">
        <f t="shared" si="161"/>
        <v>0</v>
      </c>
      <c r="K43" s="109">
        <f t="shared" si="161"/>
        <v>0</v>
      </c>
      <c r="L43" s="105">
        <f t="shared" si="161"/>
        <v>0</v>
      </c>
      <c r="M43" s="105">
        <f t="shared" ref="M43" si="163">+SUM(M44:M47)</f>
        <v>0</v>
      </c>
      <c r="N43" s="106">
        <f t="shared" ref="N43:U43" si="164">+SUM(N44:N47)</f>
        <v>0</v>
      </c>
      <c r="O43" s="107">
        <f t="shared" si="164"/>
        <v>0</v>
      </c>
      <c r="P43" s="107">
        <f t="shared" si="164"/>
        <v>0</v>
      </c>
      <c r="Q43" s="107">
        <f t="shared" ref="Q43" si="165">+SUM(Q44:Q47)</f>
        <v>0</v>
      </c>
      <c r="R43" s="107">
        <f t="shared" si="164"/>
        <v>0</v>
      </c>
      <c r="S43" s="107">
        <f t="shared" si="164"/>
        <v>0</v>
      </c>
      <c r="T43" s="107">
        <f t="shared" si="164"/>
        <v>4980</v>
      </c>
      <c r="U43" s="107">
        <f t="shared" si="164"/>
        <v>0</v>
      </c>
      <c r="V43" s="109">
        <f t="shared" si="161"/>
        <v>4980</v>
      </c>
      <c r="W43" s="106">
        <f t="shared" ref="W43:AI43" si="166">+SUM(W44:W47)</f>
        <v>0</v>
      </c>
      <c r="X43" s="107">
        <f t="shared" si="166"/>
        <v>0</v>
      </c>
      <c r="Y43" s="107">
        <f t="shared" si="166"/>
        <v>0</v>
      </c>
      <c r="Z43" s="107">
        <f t="shared" ref="Z43" si="167">+SUM(Z44:Z47)</f>
        <v>0</v>
      </c>
      <c r="AA43" s="108">
        <f t="shared" si="166"/>
        <v>0</v>
      </c>
      <c r="AB43" s="109">
        <f t="shared" si="166"/>
        <v>0</v>
      </c>
      <c r="AC43" s="110">
        <f t="shared" ref="AC43:AH43" si="168">+SUM(AC44:AC47)</f>
        <v>0</v>
      </c>
      <c r="AD43" s="111">
        <f t="shared" si="168"/>
        <v>0</v>
      </c>
      <c r="AE43" s="111">
        <f t="shared" si="168"/>
        <v>0</v>
      </c>
      <c r="AF43" s="111">
        <f t="shared" si="168"/>
        <v>0</v>
      </c>
      <c r="AG43" s="111">
        <f t="shared" si="168"/>
        <v>0</v>
      </c>
      <c r="AH43" s="112">
        <f t="shared" si="168"/>
        <v>0</v>
      </c>
      <c r="AI43" s="113">
        <f t="shared" si="166"/>
        <v>4980</v>
      </c>
      <c r="AJ43" s="84"/>
      <c r="AK43" s="84"/>
      <c r="AL43" s="84"/>
      <c r="AM43" s="84"/>
      <c r="AN43" s="84"/>
      <c r="AO43" s="85"/>
      <c r="AP43" s="85"/>
      <c r="AQ43" s="85"/>
      <c r="AR43" s="85"/>
      <c r="AS43" s="85"/>
      <c r="AT43" s="86"/>
      <c r="AU43" s="86"/>
      <c r="AV43" s="86"/>
      <c r="AW43" s="86"/>
      <c r="AX43" s="86"/>
      <c r="AY43" s="84"/>
      <c r="AZ43" s="84"/>
      <c r="BA43" s="84"/>
      <c r="BB43" s="84"/>
      <c r="BC43" s="84"/>
      <c r="BD43" s="85"/>
      <c r="BE43" s="85"/>
      <c r="BF43" s="85"/>
      <c r="BG43" s="85"/>
      <c r="BH43" s="85"/>
      <c r="BI43" s="86"/>
      <c r="BJ43" s="86"/>
      <c r="BK43" s="86"/>
      <c r="BL43" s="86"/>
      <c r="BM43" s="86"/>
    </row>
    <row r="44" spans="1:65" s="87" customFormat="1" ht="15.95" customHeight="1">
      <c r="A44" s="31"/>
      <c r="B44" s="32"/>
      <c r="C44" s="35">
        <v>482103411</v>
      </c>
      <c r="D44" s="104" t="s">
        <v>50</v>
      </c>
      <c r="E44" s="114">
        <f>+[2]雨汚水!E122</f>
        <v>0</v>
      </c>
      <c r="F44" s="106"/>
      <c r="G44" s="107"/>
      <c r="H44" s="107"/>
      <c r="I44" s="108"/>
      <c r="J44" s="108"/>
      <c r="K44" s="109">
        <f>SUM(F44:J44)</f>
        <v>0</v>
      </c>
      <c r="L44" s="105"/>
      <c r="M44" s="105"/>
      <c r="N44" s="106"/>
      <c r="O44" s="107"/>
      <c r="P44" s="107"/>
      <c r="Q44" s="107"/>
      <c r="R44" s="107"/>
      <c r="S44" s="107">
        <f>SUM(N44:R44)</f>
        <v>0</v>
      </c>
      <c r="T44" s="107"/>
      <c r="U44" s="107">
        <f>+V44-SUM(S44:T44)</f>
        <v>0</v>
      </c>
      <c r="V44" s="109">
        <f>+E44</f>
        <v>0</v>
      </c>
      <c r="W44" s="106">
        <f t="shared" ref="W44:Z48" si="169">+ROUND(F44*F$6/(100+F$6),0)+AT44</f>
        <v>0</v>
      </c>
      <c r="X44" s="107">
        <f t="shared" si="169"/>
        <v>0</v>
      </c>
      <c r="Y44" s="107">
        <f t="shared" si="169"/>
        <v>0</v>
      </c>
      <c r="Z44" s="107">
        <f t="shared" si="169"/>
        <v>0</v>
      </c>
      <c r="AA44" s="108">
        <f>+ROUND(J44*J$6/(100+J$6),0)+AX44</f>
        <v>0</v>
      </c>
      <c r="AB44" s="109">
        <f t="shared" ref="AB44:AB48" si="170">SUM(W44:AA44)</f>
        <v>0</v>
      </c>
      <c r="AC44" s="110">
        <f t="shared" ref="AC44:AF48" si="171">+ROUND(N44*AC$6/(100+AC$6),0)+BI44</f>
        <v>0</v>
      </c>
      <c r="AD44" s="111">
        <f t="shared" si="171"/>
        <v>0</v>
      </c>
      <c r="AE44" s="111">
        <f t="shared" si="171"/>
        <v>0</v>
      </c>
      <c r="AF44" s="111">
        <f t="shared" si="171"/>
        <v>0</v>
      </c>
      <c r="AG44" s="111">
        <f>+ROUND(R44*AG$6/(100+AG$6),0)+BM44</f>
        <v>0</v>
      </c>
      <c r="AH44" s="112">
        <f t="shared" ref="AH44:AH48" si="172">SUM(AC44:AG44)</f>
        <v>0</v>
      </c>
      <c r="AI44" s="113">
        <f>+E44-AB44</f>
        <v>0</v>
      </c>
      <c r="AJ44" s="84"/>
      <c r="AK44" s="84"/>
      <c r="AL44" s="84"/>
      <c r="AM44" s="84"/>
      <c r="AN44" s="84"/>
      <c r="AO44" s="85"/>
      <c r="AP44" s="85"/>
      <c r="AQ44" s="85"/>
      <c r="AR44" s="85"/>
      <c r="AS44" s="85"/>
      <c r="AT44" s="86"/>
      <c r="AU44" s="86"/>
      <c r="AV44" s="86"/>
      <c r="AW44" s="86"/>
      <c r="AX44" s="86"/>
      <c r="AY44" s="84">
        <f t="shared" ref="AY44:AY63" si="173">AC44-N44*AC$6/(100+AC$6)</f>
        <v>0</v>
      </c>
      <c r="AZ44" s="84">
        <f t="shared" ref="AZ44:AZ63" si="174">AD44-O44*AD$6/(100+AD$6)</f>
        <v>0</v>
      </c>
      <c r="BA44" s="84">
        <f t="shared" ref="BA44:BB63" si="175">AE44-P44*AE$6/(100+AE$6)</f>
        <v>0</v>
      </c>
      <c r="BB44" s="84">
        <f t="shared" si="175"/>
        <v>0</v>
      </c>
      <c r="BC44" s="84">
        <f t="shared" ref="BC44:BC63" si="176">AG44-R44*AG$6/(100+AG$6)</f>
        <v>0</v>
      </c>
      <c r="BD44" s="85">
        <f>+IF(AC$71=0,0,IF(AC$71&lt;0,-RANK(AY44,AY$7:AY$68,0),RANK(AY44,AY$7:AY$68,1)))</f>
        <v>0</v>
      </c>
      <c r="BE44" s="85">
        <f>+IF(AD$71=0,0,IF(AD$71&lt;0,-RANK(AZ44,AZ$7:AZ$68,0),RANK(AZ44,AZ$7:AZ$68,1)))</f>
        <v>0</v>
      </c>
      <c r="BF44" s="85">
        <f>+IF(AE$71=0,0,IF(AE$71&lt;0,-RANK(BA44,BA$7:BA$68,0),RANK(BA44,BA$7:BA$68,1)))</f>
        <v>0</v>
      </c>
      <c r="BG44" s="85">
        <f>+IF(AF$71=0,0,IF(AF$71&lt;0,-RANK(BB44,BB$7:BB$68,0),RANK(BB44,BB$7:BB$68,1)))</f>
        <v>0</v>
      </c>
      <c r="BH44" s="85">
        <f>+IF(AG$71=0,0,IF(AG$71&lt;0,-RANK(BC44,BC$7:BC$68,0),RANK(BC44,BC$7:BC$68,1)))</f>
        <v>0</v>
      </c>
      <c r="BI44" s="86"/>
      <c r="BJ44" s="86"/>
      <c r="BK44" s="86"/>
      <c r="BL44" s="86"/>
      <c r="BM44" s="86"/>
    </row>
    <row r="45" spans="1:65" s="87" customFormat="1" ht="15.95" customHeight="1">
      <c r="A45" s="31"/>
      <c r="B45" s="32"/>
      <c r="C45" s="35">
        <v>482103412</v>
      </c>
      <c r="D45" s="104" t="s">
        <v>51</v>
      </c>
      <c r="E45" s="114">
        <f>+[2]雨汚水!E123</f>
        <v>0</v>
      </c>
      <c r="F45" s="106"/>
      <c r="G45" s="107"/>
      <c r="H45" s="107"/>
      <c r="I45" s="108"/>
      <c r="J45" s="108"/>
      <c r="K45" s="109">
        <f>SUM(F45:J45)</f>
        <v>0</v>
      </c>
      <c r="L45" s="105"/>
      <c r="M45" s="105"/>
      <c r="N45" s="106"/>
      <c r="O45" s="107"/>
      <c r="P45" s="107"/>
      <c r="Q45" s="107"/>
      <c r="R45" s="107"/>
      <c r="S45" s="107">
        <f>SUM(N45:R45)</f>
        <v>0</v>
      </c>
      <c r="T45" s="107"/>
      <c r="U45" s="107">
        <f>+V45-SUM(S45:T45)</f>
        <v>0</v>
      </c>
      <c r="V45" s="109">
        <f>+E45</f>
        <v>0</v>
      </c>
      <c r="W45" s="106">
        <f t="shared" si="169"/>
        <v>0</v>
      </c>
      <c r="X45" s="107">
        <f t="shared" si="169"/>
        <v>0</v>
      </c>
      <c r="Y45" s="107">
        <f t="shared" si="169"/>
        <v>0</v>
      </c>
      <c r="Z45" s="107">
        <f t="shared" si="169"/>
        <v>0</v>
      </c>
      <c r="AA45" s="108">
        <f>+ROUND(J45*J$6/(100+J$6),0)+AX45</f>
        <v>0</v>
      </c>
      <c r="AB45" s="109">
        <f t="shared" si="170"/>
        <v>0</v>
      </c>
      <c r="AC45" s="110">
        <f t="shared" si="171"/>
        <v>0</v>
      </c>
      <c r="AD45" s="111">
        <f t="shared" si="171"/>
        <v>0</v>
      </c>
      <c r="AE45" s="111">
        <f t="shared" si="171"/>
        <v>0</v>
      </c>
      <c r="AF45" s="111">
        <f t="shared" si="171"/>
        <v>0</v>
      </c>
      <c r="AG45" s="111">
        <f>+ROUND(R45*AG$6/(100+AG$6),0)+BM45</f>
        <v>0</v>
      </c>
      <c r="AH45" s="112">
        <f t="shared" si="172"/>
        <v>0</v>
      </c>
      <c r="AI45" s="113">
        <f>+E45-AB45</f>
        <v>0</v>
      </c>
      <c r="AJ45" s="84"/>
      <c r="AK45" s="84"/>
      <c r="AL45" s="84"/>
      <c r="AM45" s="84"/>
      <c r="AN45" s="84"/>
      <c r="AO45" s="85"/>
      <c r="AP45" s="85"/>
      <c r="AQ45" s="85"/>
      <c r="AR45" s="85"/>
      <c r="AS45" s="85"/>
      <c r="AT45" s="86"/>
      <c r="AU45" s="86"/>
      <c r="AV45" s="86"/>
      <c r="AW45" s="86"/>
      <c r="AX45" s="86"/>
      <c r="AY45" s="84"/>
      <c r="AZ45" s="84"/>
      <c r="BA45" s="84"/>
      <c r="BB45" s="84"/>
      <c r="BC45" s="84"/>
      <c r="BD45" s="85"/>
      <c r="BE45" s="85"/>
      <c r="BF45" s="85"/>
      <c r="BG45" s="85"/>
      <c r="BH45" s="85"/>
      <c r="BI45" s="86"/>
      <c r="BJ45" s="86"/>
      <c r="BK45" s="86"/>
      <c r="BL45" s="86"/>
      <c r="BM45" s="86"/>
    </row>
    <row r="46" spans="1:65" s="87" customFormat="1" ht="15.95" customHeight="1">
      <c r="A46" s="31"/>
      <c r="B46" s="32"/>
      <c r="C46" s="35">
        <v>482103413</v>
      </c>
      <c r="D46" s="104" t="s">
        <v>52</v>
      </c>
      <c r="E46" s="114">
        <f>+[2]雨汚水!E124</f>
        <v>0</v>
      </c>
      <c r="F46" s="106"/>
      <c r="G46" s="107"/>
      <c r="H46" s="107"/>
      <c r="I46" s="108"/>
      <c r="J46" s="108"/>
      <c r="K46" s="109">
        <f>SUM(F46:J46)</f>
        <v>0</v>
      </c>
      <c r="L46" s="105"/>
      <c r="M46" s="105"/>
      <c r="N46" s="106"/>
      <c r="O46" s="107"/>
      <c r="P46" s="107"/>
      <c r="Q46" s="107"/>
      <c r="R46" s="107"/>
      <c r="S46" s="107">
        <f>SUM(N46:R46)</f>
        <v>0</v>
      </c>
      <c r="T46" s="107"/>
      <c r="U46" s="107">
        <f>+V46-SUM(S46:T46)</f>
        <v>0</v>
      </c>
      <c r="V46" s="109">
        <f>+E46</f>
        <v>0</v>
      </c>
      <c r="W46" s="106">
        <f t="shared" si="169"/>
        <v>0</v>
      </c>
      <c r="X46" s="107">
        <f t="shared" si="169"/>
        <v>0</v>
      </c>
      <c r="Y46" s="107">
        <f t="shared" si="169"/>
        <v>0</v>
      </c>
      <c r="Z46" s="107">
        <f t="shared" si="169"/>
        <v>0</v>
      </c>
      <c r="AA46" s="108">
        <f>+ROUND(J46*J$6/(100+J$6),0)+AX46</f>
        <v>0</v>
      </c>
      <c r="AB46" s="109">
        <f t="shared" si="170"/>
        <v>0</v>
      </c>
      <c r="AC46" s="110">
        <f t="shared" si="171"/>
        <v>0</v>
      </c>
      <c r="AD46" s="111">
        <f t="shared" si="171"/>
        <v>0</v>
      </c>
      <c r="AE46" s="111">
        <f t="shared" si="171"/>
        <v>0</v>
      </c>
      <c r="AF46" s="111">
        <f t="shared" si="171"/>
        <v>0</v>
      </c>
      <c r="AG46" s="111">
        <f>+ROUND(R46*AG$6/(100+AG$6),0)+BM46</f>
        <v>0</v>
      </c>
      <c r="AH46" s="112">
        <f t="shared" si="172"/>
        <v>0</v>
      </c>
      <c r="AI46" s="113">
        <f>+E46-AB46</f>
        <v>0</v>
      </c>
      <c r="AJ46" s="84"/>
      <c r="AK46" s="84"/>
      <c r="AL46" s="84"/>
      <c r="AM46" s="84"/>
      <c r="AN46" s="84"/>
      <c r="AO46" s="85"/>
      <c r="AP46" s="85"/>
      <c r="AQ46" s="85"/>
      <c r="AR46" s="85"/>
      <c r="AS46" s="85"/>
      <c r="AT46" s="86"/>
      <c r="AU46" s="86"/>
      <c r="AV46" s="86"/>
      <c r="AW46" s="86"/>
      <c r="AX46" s="86"/>
      <c r="AY46" s="84"/>
      <c r="AZ46" s="84"/>
      <c r="BA46" s="84"/>
      <c r="BB46" s="84"/>
      <c r="BC46" s="84"/>
      <c r="BD46" s="85"/>
      <c r="BE46" s="85"/>
      <c r="BF46" s="85"/>
      <c r="BG46" s="85"/>
      <c r="BH46" s="85"/>
      <c r="BI46" s="86"/>
      <c r="BJ46" s="86"/>
      <c r="BK46" s="86"/>
      <c r="BL46" s="86"/>
      <c r="BM46" s="86"/>
    </row>
    <row r="47" spans="1:65" s="87" customFormat="1" ht="15.95" customHeight="1">
      <c r="A47" s="31"/>
      <c r="B47" s="32"/>
      <c r="C47" s="35">
        <v>482103414</v>
      </c>
      <c r="D47" s="104" t="s">
        <v>79</v>
      </c>
      <c r="E47" s="114">
        <f>+[2]雨汚水!E125</f>
        <v>4980</v>
      </c>
      <c r="F47" s="106"/>
      <c r="G47" s="107"/>
      <c r="H47" s="107"/>
      <c r="I47" s="108"/>
      <c r="J47" s="108"/>
      <c r="K47" s="109">
        <f>SUM(F47:J47)</f>
        <v>0</v>
      </c>
      <c r="L47" s="105"/>
      <c r="M47" s="105"/>
      <c r="N47" s="106"/>
      <c r="O47" s="107"/>
      <c r="P47" s="107"/>
      <c r="Q47" s="107"/>
      <c r="R47" s="107"/>
      <c r="S47" s="107">
        <f>SUM(N47:R47)</f>
        <v>0</v>
      </c>
      <c r="T47" s="115">
        <f>+'[3]3条補助金'!$I$18</f>
        <v>4980</v>
      </c>
      <c r="U47" s="107">
        <f>+V47-SUM(S47:T47)</f>
        <v>0</v>
      </c>
      <c r="V47" s="159">
        <v>4980</v>
      </c>
      <c r="W47" s="106">
        <f t="shared" si="169"/>
        <v>0</v>
      </c>
      <c r="X47" s="107">
        <f t="shared" si="169"/>
        <v>0</v>
      </c>
      <c r="Y47" s="107">
        <f t="shared" si="169"/>
        <v>0</v>
      </c>
      <c r="Z47" s="107">
        <f t="shared" si="169"/>
        <v>0</v>
      </c>
      <c r="AA47" s="108">
        <f>+ROUND(J47*J$6/(100+J$6),0)+AX47</f>
        <v>0</v>
      </c>
      <c r="AB47" s="109">
        <f t="shared" si="170"/>
        <v>0</v>
      </c>
      <c r="AC47" s="110">
        <f t="shared" si="171"/>
        <v>0</v>
      </c>
      <c r="AD47" s="111">
        <f t="shared" si="171"/>
        <v>0</v>
      </c>
      <c r="AE47" s="111">
        <f t="shared" si="171"/>
        <v>0</v>
      </c>
      <c r="AF47" s="111">
        <f t="shared" si="171"/>
        <v>0</v>
      </c>
      <c r="AG47" s="111">
        <f>+ROUND(R47*AG$6/(100+AG$6),0)+BM47</f>
        <v>0</v>
      </c>
      <c r="AH47" s="112">
        <f t="shared" si="172"/>
        <v>0</v>
      </c>
      <c r="AI47" s="113">
        <f>+E47-AB47</f>
        <v>4980</v>
      </c>
      <c r="AJ47" s="84"/>
      <c r="AK47" s="84"/>
      <c r="AL47" s="84"/>
      <c r="AM47" s="84"/>
      <c r="AN47" s="84"/>
      <c r="AO47" s="85"/>
      <c r="AP47" s="85"/>
      <c r="AQ47" s="85"/>
      <c r="AR47" s="85"/>
      <c r="AS47" s="85"/>
      <c r="AT47" s="86"/>
      <c r="AU47" s="86"/>
      <c r="AV47" s="86"/>
      <c r="AW47" s="86"/>
      <c r="AX47" s="86"/>
      <c r="AY47" s="84"/>
      <c r="AZ47" s="84"/>
      <c r="BA47" s="84"/>
      <c r="BB47" s="84"/>
      <c r="BC47" s="84"/>
      <c r="BD47" s="85"/>
      <c r="BE47" s="85"/>
      <c r="BF47" s="85"/>
      <c r="BG47" s="85"/>
      <c r="BH47" s="85"/>
      <c r="BI47" s="86"/>
      <c r="BJ47" s="86"/>
      <c r="BK47" s="86"/>
      <c r="BL47" s="86"/>
      <c r="BM47" s="86"/>
    </row>
    <row r="48" spans="1:65" s="87" customFormat="1" ht="15.95" customHeight="1">
      <c r="A48" s="28"/>
      <c r="B48" s="29"/>
      <c r="C48" s="30">
        <v>482104000</v>
      </c>
      <c r="D48" s="88" t="s">
        <v>18</v>
      </c>
      <c r="E48" s="117">
        <f>+[2]雨汚水!E126</f>
        <v>9198273</v>
      </c>
      <c r="F48" s="95"/>
      <c r="G48" s="96"/>
      <c r="H48" s="96"/>
      <c r="I48" s="98"/>
      <c r="J48" s="98"/>
      <c r="K48" s="93">
        <f>SUM(F48:J48)</f>
        <v>0</v>
      </c>
      <c r="L48" s="118"/>
      <c r="M48" s="118"/>
      <c r="N48" s="95"/>
      <c r="O48" s="96"/>
      <c r="P48" s="119">
        <f>+'[3]3条補助金'!L$21</f>
        <v>0</v>
      </c>
      <c r="Q48" s="119">
        <f>+'[3]3条補助金'!M$21</f>
        <v>0</v>
      </c>
      <c r="R48" s="119">
        <f>+'[3]3条補助金'!N$21</f>
        <v>5368538</v>
      </c>
      <c r="S48" s="96">
        <f>SUM(N48:R48)</f>
        <v>5368538</v>
      </c>
      <c r="T48" s="119">
        <f>+'[3]3条補助金'!$I$20</f>
        <v>3829735</v>
      </c>
      <c r="U48" s="96">
        <f>+V48-SUM(S48:T48)</f>
        <v>0</v>
      </c>
      <c r="V48" s="93">
        <f t="shared" ref="V48" si="177">+E48</f>
        <v>9198273</v>
      </c>
      <c r="W48" s="95">
        <f t="shared" si="169"/>
        <v>0</v>
      </c>
      <c r="X48" s="96">
        <f t="shared" si="169"/>
        <v>0</v>
      </c>
      <c r="Y48" s="96">
        <f t="shared" si="169"/>
        <v>0</v>
      </c>
      <c r="Z48" s="96">
        <f t="shared" si="169"/>
        <v>0</v>
      </c>
      <c r="AA48" s="98">
        <f>+ROUND(J48*J$6/(100+J$6),0)+AX48</f>
        <v>0</v>
      </c>
      <c r="AB48" s="93">
        <f t="shared" si="170"/>
        <v>0</v>
      </c>
      <c r="AC48" s="99">
        <f t="shared" si="171"/>
        <v>0</v>
      </c>
      <c r="AD48" s="100">
        <f t="shared" si="171"/>
        <v>0</v>
      </c>
      <c r="AE48" s="100">
        <f t="shared" si="171"/>
        <v>0</v>
      </c>
      <c r="AF48" s="100">
        <f t="shared" si="171"/>
        <v>0</v>
      </c>
      <c r="AG48" s="100">
        <f>+ROUND(R48*AG$6/(100+AG$6),0)+BM48</f>
        <v>488049</v>
      </c>
      <c r="AH48" s="101">
        <f t="shared" si="172"/>
        <v>488049</v>
      </c>
      <c r="AI48" s="102">
        <f>+E48-AB48</f>
        <v>9198273</v>
      </c>
      <c r="AJ48" s="84"/>
      <c r="AK48" s="84"/>
      <c r="AL48" s="84"/>
      <c r="AM48" s="84"/>
      <c r="AN48" s="84"/>
      <c r="AO48" s="85"/>
      <c r="AP48" s="85"/>
      <c r="AQ48" s="85"/>
      <c r="AR48" s="85"/>
      <c r="AS48" s="85"/>
      <c r="AT48" s="86"/>
      <c r="AU48" s="86"/>
      <c r="AV48" s="86"/>
      <c r="AW48" s="86"/>
      <c r="AX48" s="86"/>
      <c r="AY48" s="84"/>
      <c r="AZ48" s="84"/>
      <c r="BA48" s="84"/>
      <c r="BB48" s="84"/>
      <c r="BC48" s="84"/>
      <c r="BD48" s="85"/>
      <c r="BE48" s="85"/>
      <c r="BF48" s="85"/>
      <c r="BG48" s="85"/>
      <c r="BH48" s="85"/>
      <c r="BI48" s="86"/>
      <c r="BJ48" s="86"/>
      <c r="BK48" s="86"/>
      <c r="BL48" s="86"/>
      <c r="BM48" s="86"/>
    </row>
    <row r="49" spans="1:65" s="87" customFormat="1" ht="15.95" customHeight="1">
      <c r="A49" s="25"/>
      <c r="B49" s="26"/>
      <c r="C49" s="27"/>
      <c r="D49" s="71" t="s">
        <v>8</v>
      </c>
      <c r="E49" s="72">
        <f>+E50</f>
        <v>0</v>
      </c>
      <c r="F49" s="73">
        <f t="shared" ref="F49:V49" si="178">+F50</f>
        <v>0</v>
      </c>
      <c r="G49" s="74">
        <f t="shared" si="178"/>
        <v>0</v>
      </c>
      <c r="H49" s="74">
        <f t="shared" si="178"/>
        <v>0</v>
      </c>
      <c r="I49" s="75">
        <f t="shared" si="178"/>
        <v>0</v>
      </c>
      <c r="J49" s="75">
        <f t="shared" si="178"/>
        <v>0</v>
      </c>
      <c r="K49" s="76">
        <f t="shared" si="178"/>
        <v>0</v>
      </c>
      <c r="L49" s="72">
        <f t="shared" si="178"/>
        <v>0</v>
      </c>
      <c r="M49" s="72">
        <f t="shared" si="178"/>
        <v>0</v>
      </c>
      <c r="N49" s="77">
        <f t="shared" ref="N49:U49" si="179">+N50</f>
        <v>0</v>
      </c>
      <c r="O49" s="78">
        <f t="shared" si="179"/>
        <v>0</v>
      </c>
      <c r="P49" s="78">
        <f t="shared" si="179"/>
        <v>0</v>
      </c>
      <c r="Q49" s="78">
        <f t="shared" si="179"/>
        <v>0</v>
      </c>
      <c r="R49" s="78">
        <f t="shared" si="179"/>
        <v>0</v>
      </c>
      <c r="S49" s="78">
        <f t="shared" si="179"/>
        <v>0</v>
      </c>
      <c r="T49" s="78">
        <f t="shared" si="179"/>
        <v>0</v>
      </c>
      <c r="U49" s="78">
        <f t="shared" si="179"/>
        <v>0</v>
      </c>
      <c r="V49" s="79">
        <f t="shared" si="178"/>
        <v>0</v>
      </c>
      <c r="W49" s="73">
        <f t="shared" ref="W49:AI49" si="180">+W50</f>
        <v>0</v>
      </c>
      <c r="X49" s="74">
        <f t="shared" si="180"/>
        <v>0</v>
      </c>
      <c r="Y49" s="74">
        <f t="shared" si="180"/>
        <v>0</v>
      </c>
      <c r="Z49" s="74">
        <f t="shared" si="180"/>
        <v>0</v>
      </c>
      <c r="AA49" s="75">
        <f t="shared" si="180"/>
        <v>0</v>
      </c>
      <c r="AB49" s="76">
        <f t="shared" si="180"/>
        <v>0</v>
      </c>
      <c r="AC49" s="80">
        <f t="shared" ref="AC49:AH49" si="181">+AC50</f>
        <v>0</v>
      </c>
      <c r="AD49" s="81">
        <f t="shared" si="181"/>
        <v>0</v>
      </c>
      <c r="AE49" s="81">
        <f t="shared" si="181"/>
        <v>0</v>
      </c>
      <c r="AF49" s="81">
        <f t="shared" si="181"/>
        <v>0</v>
      </c>
      <c r="AG49" s="81">
        <f t="shared" si="181"/>
        <v>0</v>
      </c>
      <c r="AH49" s="82">
        <f t="shared" si="181"/>
        <v>0</v>
      </c>
      <c r="AI49" s="83">
        <f t="shared" si="180"/>
        <v>0</v>
      </c>
      <c r="AJ49" s="103"/>
      <c r="AK49" s="103"/>
      <c r="AL49" s="103"/>
      <c r="AM49" s="103"/>
      <c r="AN49" s="103"/>
      <c r="AO49" s="85"/>
      <c r="AP49" s="85"/>
      <c r="AQ49" s="85"/>
      <c r="AR49" s="85"/>
      <c r="AS49" s="85"/>
      <c r="AT49" s="86"/>
      <c r="AU49" s="86"/>
      <c r="AV49" s="86"/>
      <c r="AW49" s="86"/>
      <c r="AX49" s="86"/>
      <c r="AY49" s="84"/>
      <c r="AZ49" s="84"/>
      <c r="BA49" s="84"/>
      <c r="BB49" s="84"/>
      <c r="BC49" s="84"/>
      <c r="BD49" s="85"/>
      <c r="BE49" s="85"/>
      <c r="BF49" s="85"/>
      <c r="BG49" s="85"/>
      <c r="BH49" s="85"/>
      <c r="BI49" s="86"/>
      <c r="BJ49" s="86"/>
      <c r="BK49" s="86"/>
      <c r="BL49" s="86"/>
      <c r="BM49" s="86"/>
    </row>
    <row r="50" spans="1:65" s="87" customFormat="1" ht="15.95" customHeight="1">
      <c r="A50" s="28"/>
      <c r="B50" s="29"/>
      <c r="C50" s="30">
        <v>482113700</v>
      </c>
      <c r="D50" s="88" t="s">
        <v>19</v>
      </c>
      <c r="E50" s="89">
        <f>+SUMIFS([1]全伝票!I:I,[1]全伝票!$C:$C,$C50)</f>
        <v>0</v>
      </c>
      <c r="F50" s="95"/>
      <c r="G50" s="96"/>
      <c r="H50" s="96"/>
      <c r="I50" s="98"/>
      <c r="J50" s="98"/>
      <c r="K50" s="93">
        <f>SUM(F50:J50)</f>
        <v>0</v>
      </c>
      <c r="L50" s="118"/>
      <c r="M50" s="118"/>
      <c r="N50" s="95"/>
      <c r="O50" s="96"/>
      <c r="P50" s="96"/>
      <c r="Q50" s="96"/>
      <c r="R50" s="96"/>
      <c r="S50" s="96">
        <f>SUM(N50:R50)</f>
        <v>0</v>
      </c>
      <c r="T50" s="96"/>
      <c r="U50" s="96">
        <f>+V50-SUM(S50:T50)</f>
        <v>0</v>
      </c>
      <c r="V50" s="97">
        <f>+SUMIFS([1]全伝票!P:P,[1]全伝票!$C:$C,$C50)</f>
        <v>0</v>
      </c>
      <c r="W50" s="95">
        <f>+ROUND(F50*F$6/(100+F$6),0)+AT50</f>
        <v>0</v>
      </c>
      <c r="X50" s="96">
        <f>+ROUND(G50*G$6/(100+G$6),0)+AU50</f>
        <v>0</v>
      </c>
      <c r="Y50" s="96">
        <f>+ROUND(H50*H$6/(100+H$6),0)+AV50</f>
        <v>0</v>
      </c>
      <c r="Z50" s="96">
        <f>+ROUND(I50*I$6/(100+I$6),0)+AW50</f>
        <v>0</v>
      </c>
      <c r="AA50" s="98">
        <f>+ROUND(J50*J$6/(100+J$6),0)+AX50</f>
        <v>0</v>
      </c>
      <c r="AB50" s="93">
        <f>SUM(W50:AA50)</f>
        <v>0</v>
      </c>
      <c r="AC50" s="99">
        <f>+ROUND(N50*AC$6/(100+AC$6),0)+BI50</f>
        <v>0</v>
      </c>
      <c r="AD50" s="100">
        <f>+ROUND(O50*AD$6/(100+AD$6),0)+BJ50</f>
        <v>0</v>
      </c>
      <c r="AE50" s="100">
        <f>+ROUND(P50*AE$6/(100+AE$6),0)+BK50</f>
        <v>0</v>
      </c>
      <c r="AF50" s="100">
        <f>+ROUND(Q50*AF$6/(100+AF$6),0)+BL50</f>
        <v>0</v>
      </c>
      <c r="AG50" s="100">
        <f>+ROUND(R50*AG$6/(100+AG$6),0)+BM50</f>
        <v>0</v>
      </c>
      <c r="AH50" s="101">
        <f>SUM(AC50:AG50)</f>
        <v>0</v>
      </c>
      <c r="AI50" s="102">
        <f>+E50-AB50</f>
        <v>0</v>
      </c>
      <c r="AJ50" s="84"/>
      <c r="AK50" s="84"/>
      <c r="AL50" s="84"/>
      <c r="AM50" s="84"/>
      <c r="AN50" s="84"/>
      <c r="AO50" s="85"/>
      <c r="AP50" s="85"/>
      <c r="AQ50" s="85"/>
      <c r="AR50" s="85"/>
      <c r="AS50" s="85"/>
      <c r="AT50" s="86"/>
      <c r="AU50" s="86"/>
      <c r="AV50" s="86"/>
      <c r="AW50" s="86"/>
      <c r="AX50" s="86"/>
      <c r="AY50" s="84">
        <f t="shared" si="173"/>
        <v>0</v>
      </c>
      <c r="AZ50" s="84">
        <f t="shared" si="174"/>
        <v>0</v>
      </c>
      <c r="BA50" s="84">
        <f t="shared" si="175"/>
        <v>0</v>
      </c>
      <c r="BB50" s="84">
        <f t="shared" si="175"/>
        <v>0</v>
      </c>
      <c r="BC50" s="84">
        <f t="shared" si="176"/>
        <v>0</v>
      </c>
      <c r="BD50" s="85">
        <f>+IF(AC$71=0,0,IF(AC$71&lt;0,-RANK(AY50,AY$7:AY$68,0),RANK(AY50,AY$7:AY$68,1)))</f>
        <v>0</v>
      </c>
      <c r="BE50" s="85">
        <f>+IF(AD$71=0,0,IF(AD$71&lt;0,-RANK(AZ50,AZ$7:AZ$68,0),RANK(AZ50,AZ$7:AZ$68,1)))</f>
        <v>0</v>
      </c>
      <c r="BF50" s="85">
        <f>+IF(AE$71=0,0,IF(AE$71&lt;0,-RANK(BA50,BA$7:BA$68,0),RANK(BA50,BA$7:BA$68,1)))</f>
        <v>0</v>
      </c>
      <c r="BG50" s="85">
        <f>+IF(AF$71=0,0,IF(AF$71&lt;0,-RANK(BB50,BB$7:BB$68,0),RANK(BB50,BB$7:BB$68,1)))</f>
        <v>0</v>
      </c>
      <c r="BH50" s="85">
        <f>+IF(AG$71=0,0,IF(AG$71&lt;0,-RANK(BC50,BC$7:BC$68,0),RANK(BC50,BC$7:BC$68,1)))</f>
        <v>0</v>
      </c>
      <c r="BI50" s="86"/>
      <c r="BJ50" s="86"/>
      <c r="BK50" s="86"/>
      <c r="BL50" s="86"/>
      <c r="BM50" s="86"/>
    </row>
    <row r="51" spans="1:65" s="87" customFormat="1" ht="15.95" customHeight="1">
      <c r="A51" s="25"/>
      <c r="B51" s="26"/>
      <c r="C51" s="27"/>
      <c r="D51" s="71" t="s">
        <v>20</v>
      </c>
      <c r="E51" s="72">
        <f>+SUM(E52:E54)</f>
        <v>36460334</v>
      </c>
      <c r="F51" s="73">
        <f t="shared" ref="F51:V51" si="182">+SUM(F52:F54)</f>
        <v>0</v>
      </c>
      <c r="G51" s="74">
        <f t="shared" si="182"/>
        <v>0</v>
      </c>
      <c r="H51" s="74">
        <f t="shared" si="182"/>
        <v>0</v>
      </c>
      <c r="I51" s="75">
        <f t="shared" ref="I51" si="183">+SUM(I52:I54)</f>
        <v>0</v>
      </c>
      <c r="J51" s="75">
        <f t="shared" si="182"/>
        <v>13313930</v>
      </c>
      <c r="K51" s="76">
        <f t="shared" si="182"/>
        <v>13313930</v>
      </c>
      <c r="L51" s="72">
        <f t="shared" si="182"/>
        <v>21944190</v>
      </c>
      <c r="M51" s="72">
        <f t="shared" ref="M51" si="184">+SUM(M52:M54)</f>
        <v>0</v>
      </c>
      <c r="N51" s="77">
        <f t="shared" ref="N51:U51" si="185">+SUM(N52:N54)</f>
        <v>0</v>
      </c>
      <c r="O51" s="78">
        <f t="shared" si="185"/>
        <v>0</v>
      </c>
      <c r="P51" s="78">
        <f t="shared" si="185"/>
        <v>35</v>
      </c>
      <c r="Q51" s="78">
        <f t="shared" ref="Q51" si="186">+SUM(Q52:Q54)</f>
        <v>14</v>
      </c>
      <c r="R51" s="78">
        <f t="shared" si="185"/>
        <v>256740</v>
      </c>
      <c r="S51" s="78">
        <f t="shared" si="185"/>
        <v>256789</v>
      </c>
      <c r="T51" s="78">
        <f t="shared" si="185"/>
        <v>945425</v>
      </c>
      <c r="U51" s="78">
        <f t="shared" si="185"/>
        <v>0</v>
      </c>
      <c r="V51" s="79">
        <f t="shared" si="182"/>
        <v>1202214</v>
      </c>
      <c r="W51" s="73">
        <f t="shared" ref="W51:AI51" si="187">+SUM(W52:W54)</f>
        <v>0</v>
      </c>
      <c r="X51" s="74">
        <f t="shared" si="187"/>
        <v>0</v>
      </c>
      <c r="Y51" s="74">
        <f t="shared" si="187"/>
        <v>0</v>
      </c>
      <c r="Z51" s="74">
        <f t="shared" ref="Z51" si="188">+SUM(Z52:Z54)</f>
        <v>0</v>
      </c>
      <c r="AA51" s="75">
        <f t="shared" si="187"/>
        <v>1210357</v>
      </c>
      <c r="AB51" s="76">
        <f t="shared" si="187"/>
        <v>1210357</v>
      </c>
      <c r="AC51" s="80">
        <f t="shared" ref="AC51:AH51" si="189">+SUM(AC52:AC54)</f>
        <v>0</v>
      </c>
      <c r="AD51" s="81">
        <f t="shared" si="189"/>
        <v>0</v>
      </c>
      <c r="AE51" s="81">
        <f t="shared" si="189"/>
        <v>3</v>
      </c>
      <c r="AF51" s="81">
        <f t="shared" si="189"/>
        <v>1</v>
      </c>
      <c r="AG51" s="81">
        <f t="shared" si="189"/>
        <v>23340</v>
      </c>
      <c r="AH51" s="82">
        <f t="shared" si="189"/>
        <v>23344</v>
      </c>
      <c r="AI51" s="83">
        <f t="shared" si="187"/>
        <v>37130542</v>
      </c>
      <c r="AJ51" s="103"/>
      <c r="AK51" s="103"/>
      <c r="AL51" s="103"/>
      <c r="AM51" s="103"/>
      <c r="AN51" s="103"/>
      <c r="AO51" s="85"/>
      <c r="AP51" s="85"/>
      <c r="AQ51" s="85"/>
      <c r="AR51" s="85"/>
      <c r="AS51" s="85"/>
      <c r="AT51" s="86"/>
      <c r="AU51" s="86"/>
      <c r="AV51" s="86"/>
      <c r="AW51" s="86"/>
      <c r="AX51" s="86"/>
      <c r="AY51" s="84"/>
      <c r="AZ51" s="84"/>
      <c r="BA51" s="84"/>
      <c r="BB51" s="84"/>
      <c r="BC51" s="84"/>
      <c r="BD51" s="85"/>
      <c r="BE51" s="85"/>
      <c r="BF51" s="85"/>
      <c r="BG51" s="85"/>
      <c r="BH51" s="85"/>
      <c r="BI51" s="86"/>
      <c r="BJ51" s="86"/>
      <c r="BK51" s="86"/>
      <c r="BL51" s="86"/>
      <c r="BM51" s="86"/>
    </row>
    <row r="52" spans="1:65" s="87" customFormat="1" ht="15.95" customHeight="1">
      <c r="A52" s="25"/>
      <c r="B52" s="26"/>
      <c r="C52" s="27">
        <v>482123600</v>
      </c>
      <c r="D52" s="71" t="s">
        <v>69</v>
      </c>
      <c r="E52" s="160">
        <f>+SUMIFS([1]全伝票!I:I,[1]全伝票!$C:$C,$C52)</f>
        <v>408100</v>
      </c>
      <c r="F52" s="161">
        <f>+SUMIFS([1]全伝票!J:J,[1]全伝票!$C:$C,$C52)</f>
        <v>0</v>
      </c>
      <c r="G52" s="162">
        <f>+SUMIFS([1]全伝票!K:K,[1]全伝票!$C:$C,$C52)</f>
        <v>0</v>
      </c>
      <c r="H52" s="162">
        <f>+SUMIFS([1]全伝票!L:L,[1]全伝票!$C:$C,$C52)</f>
        <v>0</v>
      </c>
      <c r="I52" s="163">
        <f>+SUMIFS([1]全伝票!M:M,[1]全伝票!$C:$C,$C52)</f>
        <v>0</v>
      </c>
      <c r="J52" s="163">
        <f>+SUMIFS([1]全伝票!N:N,[1]全伝票!$C:$C,$C52)</f>
        <v>408100</v>
      </c>
      <c r="K52" s="76">
        <f>SUM(F52:J52)</f>
        <v>408100</v>
      </c>
      <c r="L52" s="160">
        <f>+SUMIFS([1]全伝票!O:O,[1]全伝票!$C:$C,$C52)</f>
        <v>0</v>
      </c>
      <c r="M52" s="72"/>
      <c r="N52" s="73"/>
      <c r="O52" s="74"/>
      <c r="P52" s="74"/>
      <c r="Q52" s="74"/>
      <c r="R52" s="74"/>
      <c r="S52" s="74">
        <f>SUM(N52:R52)</f>
        <v>0</v>
      </c>
      <c r="T52" s="74"/>
      <c r="U52" s="74">
        <f>+V52-SUM(S52:T52)</f>
        <v>0</v>
      </c>
      <c r="V52" s="164">
        <f>+SUMIFS([1]全伝票!P:P,[1]全伝票!$C:$C,$C52)</f>
        <v>0</v>
      </c>
      <c r="W52" s="73">
        <f t="shared" ref="W52:Z53" si="190">+ROUND(F52*F$6/(100+F$6),0)+AT52</f>
        <v>0</v>
      </c>
      <c r="X52" s="74">
        <f t="shared" si="190"/>
        <v>0</v>
      </c>
      <c r="Y52" s="74">
        <f t="shared" si="190"/>
        <v>0</v>
      </c>
      <c r="Z52" s="74">
        <f t="shared" si="190"/>
        <v>0</v>
      </c>
      <c r="AA52" s="75">
        <f>+ROUND(J52*J$6/(100+J$6),0)+AX52</f>
        <v>37100</v>
      </c>
      <c r="AB52" s="76">
        <f>SUM(W52:AA52)</f>
        <v>37100</v>
      </c>
      <c r="AC52" s="80">
        <f t="shared" ref="AC52:AF53" si="191">+ROUND(N52*AC$6/(100+AC$6),0)+BI52</f>
        <v>0</v>
      </c>
      <c r="AD52" s="81">
        <f t="shared" si="191"/>
        <v>0</v>
      </c>
      <c r="AE52" s="81">
        <f t="shared" si="191"/>
        <v>0</v>
      </c>
      <c r="AF52" s="81">
        <f t="shared" si="191"/>
        <v>0</v>
      </c>
      <c r="AG52" s="81">
        <f>+ROUND(R52*AG$6/(100+AG$6),0)+BM52</f>
        <v>0</v>
      </c>
      <c r="AH52" s="136">
        <f t="shared" ref="AH52:AH53" si="192">SUM(AC52:AG52)</f>
        <v>0</v>
      </c>
      <c r="AI52" s="83">
        <f>+E52-AB52</f>
        <v>371000</v>
      </c>
      <c r="AJ52" s="84">
        <f t="shared" ref="AJ52:AM53" si="193">W52-F52*W$6/(100+W$6)</f>
        <v>0</v>
      </c>
      <c r="AK52" s="84">
        <f t="shared" si="193"/>
        <v>0</v>
      </c>
      <c r="AL52" s="84">
        <f t="shared" si="193"/>
        <v>0</v>
      </c>
      <c r="AM52" s="84">
        <f t="shared" si="193"/>
        <v>0</v>
      </c>
      <c r="AN52" s="84">
        <f>AA52-J52*AA$6/(100+AA$6)</f>
        <v>0</v>
      </c>
      <c r="AO52" s="85">
        <f t="shared" ref="AO52:AR53" si="194">+IF(W$71=0,0,IF(W$71&lt;0,-RANK(AJ52,AJ$7:AJ$68,0),RANK(AJ52,AJ$7:AJ$68,1)))</f>
        <v>0</v>
      </c>
      <c r="AP52" s="85">
        <f t="shared" si="194"/>
        <v>0</v>
      </c>
      <c r="AQ52" s="85">
        <f t="shared" si="194"/>
        <v>0</v>
      </c>
      <c r="AR52" s="85">
        <f t="shared" si="194"/>
        <v>0</v>
      </c>
      <c r="AS52" s="85">
        <f>+IF(AA$71=0,0,IF(AA$71&lt;0,-RANK(AN52,AN$7:AN$68,0),RANK(AN52,AN$7:AN$68,1)))</f>
        <v>0</v>
      </c>
      <c r="AT52" s="86"/>
      <c r="AU52" s="86"/>
      <c r="AV52" s="86"/>
      <c r="AW52" s="86"/>
      <c r="AX52" s="86"/>
      <c r="AY52" s="84">
        <f t="shared" si="173"/>
        <v>0</v>
      </c>
      <c r="AZ52" s="84">
        <f t="shared" si="174"/>
        <v>0</v>
      </c>
      <c r="BA52" s="84">
        <f t="shared" si="175"/>
        <v>0</v>
      </c>
      <c r="BB52" s="84">
        <f t="shared" si="175"/>
        <v>0</v>
      </c>
      <c r="BC52" s="84">
        <f t="shared" si="176"/>
        <v>0</v>
      </c>
      <c r="BD52" s="85">
        <f t="shared" ref="BD52:BG54" si="195">+IF(AC$71=0,0,IF(AC$71&lt;0,-RANK(AY52,AY$7:AY$68,0),RANK(AY52,AY$7:AY$68,1)))</f>
        <v>0</v>
      </c>
      <c r="BE52" s="85">
        <f t="shared" si="195"/>
        <v>0</v>
      </c>
      <c r="BF52" s="85">
        <f t="shared" si="195"/>
        <v>0</v>
      </c>
      <c r="BG52" s="85">
        <f t="shared" si="195"/>
        <v>0</v>
      </c>
      <c r="BH52" s="85">
        <f>+IF(AG$71=0,0,IF(AG$71&lt;0,-RANK(BC52,BC$7:BC$68,0),RANK(BC52,BC$7:BC$68,1)))</f>
        <v>0</v>
      </c>
      <c r="BI52" s="86"/>
      <c r="BJ52" s="86"/>
      <c r="BK52" s="86"/>
      <c r="BL52" s="86"/>
      <c r="BM52" s="86"/>
    </row>
    <row r="53" spans="1:65" s="87" customFormat="1" ht="15.95" customHeight="1">
      <c r="A53" s="39"/>
      <c r="B53" s="40"/>
      <c r="C53" s="41">
        <v>482124000</v>
      </c>
      <c r="D53" s="138" t="s">
        <v>70</v>
      </c>
      <c r="E53" s="165">
        <f>+SUMIFS([1]全伝票!I:I,[1]全伝票!$C:$C,$C53)</f>
        <v>36052234</v>
      </c>
      <c r="F53" s="166">
        <f>+SUMIFS([1]全伝票!J:J,[1]全伝票!$C:$C,$C53)</f>
        <v>0</v>
      </c>
      <c r="G53" s="167">
        <f>+SUMIFS([1]全伝票!K:K,[1]全伝票!$C:$C,$C53)</f>
        <v>0</v>
      </c>
      <c r="H53" s="167">
        <f>+SUMIFS([1]全伝票!L:L,[1]全伝票!$C:$C,$C53)</f>
        <v>0</v>
      </c>
      <c r="I53" s="168">
        <f>+SUMIFS([1]全伝票!M:M,[1]全伝票!$C:$C,$C53)</f>
        <v>0</v>
      </c>
      <c r="J53" s="168">
        <f>+SUMIFS([1]全伝票!N:N,[1]全伝票!$C:$C,$C53)</f>
        <v>12905830</v>
      </c>
      <c r="K53" s="143">
        <f>SUM(F53:J53)</f>
        <v>12905830</v>
      </c>
      <c r="L53" s="165">
        <f>+SUMIFS([1]全伝票!O:O,[1]全伝票!$C:$C,$C53)</f>
        <v>21944190</v>
      </c>
      <c r="M53" s="139"/>
      <c r="N53" s="140"/>
      <c r="O53" s="141"/>
      <c r="P53" s="169">
        <f>+'[3]3条その他'!L$19</f>
        <v>35</v>
      </c>
      <c r="Q53" s="169">
        <f>+'[3]3条その他'!M$19</f>
        <v>14</v>
      </c>
      <c r="R53" s="169">
        <f>+'[3]3条その他'!N$19</f>
        <v>256740</v>
      </c>
      <c r="S53" s="141">
        <f>SUM(N53:R53)</f>
        <v>256789</v>
      </c>
      <c r="T53" s="169">
        <f>+'[3]3条その他'!$I$18</f>
        <v>945425</v>
      </c>
      <c r="U53" s="141">
        <f>+V53-SUM(S53:T53)</f>
        <v>0</v>
      </c>
      <c r="V53" s="170">
        <f>+SUMIFS([1]全伝票!P:P,[1]全伝票!$C:$C,$C53)</f>
        <v>1202214</v>
      </c>
      <c r="W53" s="140">
        <f t="shared" si="190"/>
        <v>0</v>
      </c>
      <c r="X53" s="141">
        <f t="shared" si="190"/>
        <v>0</v>
      </c>
      <c r="Y53" s="141">
        <f t="shared" si="190"/>
        <v>0</v>
      </c>
      <c r="Z53" s="141">
        <f t="shared" si="190"/>
        <v>0</v>
      </c>
      <c r="AA53" s="142">
        <f>+ROUND(J53*J$6/(100+J$6),0)+AX53</f>
        <v>1173257</v>
      </c>
      <c r="AB53" s="143">
        <f>SUM(W53:AA53)</f>
        <v>1173257</v>
      </c>
      <c r="AC53" s="144">
        <f t="shared" si="191"/>
        <v>0</v>
      </c>
      <c r="AD53" s="145">
        <f t="shared" si="191"/>
        <v>0</v>
      </c>
      <c r="AE53" s="171">
        <f t="shared" si="191"/>
        <v>3</v>
      </c>
      <c r="AF53" s="145">
        <f t="shared" si="191"/>
        <v>1</v>
      </c>
      <c r="AG53" s="171">
        <f>+ROUND(R53*AG$6/(100+AG$6),0)+BM53</f>
        <v>23340</v>
      </c>
      <c r="AH53" s="146">
        <f t="shared" si="192"/>
        <v>23344</v>
      </c>
      <c r="AI53" s="147">
        <f>+E53-AB53</f>
        <v>34878977</v>
      </c>
      <c r="AJ53" s="84">
        <f t="shared" si="193"/>
        <v>0</v>
      </c>
      <c r="AK53" s="84">
        <f t="shared" si="193"/>
        <v>0</v>
      </c>
      <c r="AL53" s="84">
        <f t="shared" si="193"/>
        <v>0</v>
      </c>
      <c r="AM53" s="84">
        <f t="shared" si="193"/>
        <v>0</v>
      </c>
      <c r="AN53" s="84">
        <f>AA53-J53*AA$6/(100+AA$6)</f>
        <v>-0.27272727270610631</v>
      </c>
      <c r="AO53" s="85">
        <f t="shared" si="194"/>
        <v>0</v>
      </c>
      <c r="AP53" s="85">
        <f t="shared" si="194"/>
        <v>0</v>
      </c>
      <c r="AQ53" s="85">
        <f t="shared" si="194"/>
        <v>0</v>
      </c>
      <c r="AR53" s="85">
        <f t="shared" si="194"/>
        <v>0</v>
      </c>
      <c r="AS53" s="85">
        <f>+IF(AA$71=0,0,IF(AA$71&lt;0,-RANK(AN53,AN$7:AN$68,0),RANK(AN53,AN$7:AN$68,1)))</f>
        <v>0</v>
      </c>
      <c r="AT53" s="86"/>
      <c r="AU53" s="86"/>
      <c r="AV53" s="86"/>
      <c r="AW53" s="86"/>
      <c r="AX53" s="86"/>
      <c r="AY53" s="84">
        <f t="shared" si="173"/>
        <v>0</v>
      </c>
      <c r="AZ53" s="84">
        <f t="shared" si="174"/>
        <v>0</v>
      </c>
      <c r="BA53" s="84">
        <f t="shared" si="175"/>
        <v>0.40740740740740744</v>
      </c>
      <c r="BB53" s="84">
        <f t="shared" si="175"/>
        <v>-3.7037037037036979E-2</v>
      </c>
      <c r="BC53" s="84">
        <f t="shared" si="176"/>
        <v>0</v>
      </c>
      <c r="BD53" s="85">
        <f t="shared" si="195"/>
        <v>0</v>
      </c>
      <c r="BE53" s="85">
        <f t="shared" si="195"/>
        <v>0</v>
      </c>
      <c r="BF53" s="85">
        <f t="shared" si="195"/>
        <v>0</v>
      </c>
      <c r="BG53" s="85">
        <f t="shared" si="195"/>
        <v>0</v>
      </c>
      <c r="BH53" s="85">
        <f>+IF(AG$71=0,0,IF(AG$71&lt;0,-RANK(BC53,BC$7:BC$68,0),RANK(BC53,BC$7:BC$68,1)))</f>
        <v>0</v>
      </c>
      <c r="BI53" s="86"/>
      <c r="BJ53" s="86"/>
      <c r="BK53" s="86"/>
      <c r="BL53" s="86"/>
      <c r="BM53" s="86"/>
    </row>
    <row r="54" spans="1:65" s="87" customFormat="1" ht="15.95" customHeight="1">
      <c r="A54" s="28"/>
      <c r="B54" s="29"/>
      <c r="C54" s="30"/>
      <c r="D54" s="88" t="s">
        <v>29</v>
      </c>
      <c r="E54" s="118"/>
      <c r="F54" s="90">
        <f>+SUMIFS([1]全伝票!J:J,[1]全伝票!$C:$C,$C54)</f>
        <v>0</v>
      </c>
      <c r="G54" s="91">
        <f>+SUMIFS([1]全伝票!K:K,[1]全伝票!$C:$C,$C54)</f>
        <v>0</v>
      </c>
      <c r="H54" s="91">
        <f>+SUMIFS([1]全伝票!L:L,[1]全伝票!$C:$C,$C54)</f>
        <v>0</v>
      </c>
      <c r="I54" s="92">
        <f>+SUMIFS([1]全伝票!M:M,[1]全伝票!$C:$C,$C54)</f>
        <v>0</v>
      </c>
      <c r="J54" s="92">
        <f>+SUMIFS([1]全伝票!N:N,[1]全伝票!$C:$C,$C54)</f>
        <v>0</v>
      </c>
      <c r="K54" s="93"/>
      <c r="L54" s="89">
        <f>+SUMIFS([1]全伝票!O:O,[1]全伝票!$C:$C,$C54)</f>
        <v>0</v>
      </c>
      <c r="M54" s="118"/>
      <c r="N54" s="95"/>
      <c r="O54" s="96"/>
      <c r="P54" s="96"/>
      <c r="Q54" s="96"/>
      <c r="R54" s="96"/>
      <c r="S54" s="96"/>
      <c r="T54" s="96"/>
      <c r="U54" s="96"/>
      <c r="V54" s="93"/>
      <c r="W54" s="95"/>
      <c r="X54" s="96"/>
      <c r="Y54" s="96"/>
      <c r="Z54" s="96"/>
      <c r="AA54" s="98"/>
      <c r="AB54" s="93"/>
      <c r="AC54" s="99"/>
      <c r="AD54" s="100"/>
      <c r="AE54" s="100"/>
      <c r="AF54" s="100"/>
      <c r="AG54" s="100"/>
      <c r="AH54" s="101"/>
      <c r="AI54" s="172">
        <f>+[2]雨汚水!AD77</f>
        <v>1880565</v>
      </c>
      <c r="AJ54" s="103"/>
      <c r="AK54" s="103"/>
      <c r="AL54" s="103"/>
      <c r="AM54" s="103"/>
      <c r="AN54" s="103"/>
      <c r="AO54" s="85"/>
      <c r="AP54" s="85"/>
      <c r="AQ54" s="85"/>
      <c r="AR54" s="85"/>
      <c r="AS54" s="85"/>
      <c r="AT54" s="86"/>
      <c r="AU54" s="86"/>
      <c r="AV54" s="86"/>
      <c r="AW54" s="86"/>
      <c r="AX54" s="86"/>
      <c r="AY54" s="84">
        <f t="shared" si="173"/>
        <v>0</v>
      </c>
      <c r="AZ54" s="84">
        <f t="shared" si="174"/>
        <v>0</v>
      </c>
      <c r="BA54" s="84">
        <f t="shared" si="175"/>
        <v>0</v>
      </c>
      <c r="BB54" s="84">
        <f t="shared" si="175"/>
        <v>0</v>
      </c>
      <c r="BC54" s="84">
        <f t="shared" si="176"/>
        <v>0</v>
      </c>
      <c r="BD54" s="85">
        <f t="shared" si="195"/>
        <v>0</v>
      </c>
      <c r="BE54" s="85">
        <f t="shared" si="195"/>
        <v>0</v>
      </c>
      <c r="BF54" s="85">
        <f t="shared" si="195"/>
        <v>0</v>
      </c>
      <c r="BG54" s="85">
        <f t="shared" si="195"/>
        <v>0</v>
      </c>
      <c r="BH54" s="85">
        <f>+IF(AG$71=0,0,IF(AG$71&lt;0,-RANK(BC54,BC$7:BC$68,0),RANK(BC54,BC$7:BC$68,1)))</f>
        <v>0</v>
      </c>
      <c r="BI54" s="86"/>
      <c r="BJ54" s="86"/>
      <c r="BK54" s="86"/>
      <c r="BL54" s="86"/>
      <c r="BM54" s="86"/>
    </row>
    <row r="55" spans="1:65" s="87" customFormat="1" ht="15.95" customHeight="1">
      <c r="A55" s="25"/>
      <c r="B55" s="26"/>
      <c r="C55" s="27"/>
      <c r="D55" s="71" t="s">
        <v>22</v>
      </c>
      <c r="E55" s="72">
        <f>+E56</f>
        <v>9485355002</v>
      </c>
      <c r="F55" s="73">
        <f t="shared" ref="F55:V55" si="196">+F56</f>
        <v>0</v>
      </c>
      <c r="G55" s="74">
        <f t="shared" si="196"/>
        <v>0</v>
      </c>
      <c r="H55" s="74">
        <f t="shared" si="196"/>
        <v>0</v>
      </c>
      <c r="I55" s="75">
        <f t="shared" si="196"/>
        <v>0</v>
      </c>
      <c r="J55" s="75">
        <f t="shared" si="196"/>
        <v>0</v>
      </c>
      <c r="K55" s="76">
        <f t="shared" si="196"/>
        <v>0</v>
      </c>
      <c r="L55" s="72">
        <f t="shared" si="196"/>
        <v>0</v>
      </c>
      <c r="M55" s="72">
        <f t="shared" si="196"/>
        <v>0</v>
      </c>
      <c r="N55" s="77">
        <f t="shared" ref="N55:U55" si="197">+N56</f>
        <v>0</v>
      </c>
      <c r="O55" s="78">
        <f t="shared" si="197"/>
        <v>0</v>
      </c>
      <c r="P55" s="78">
        <f t="shared" si="197"/>
        <v>0</v>
      </c>
      <c r="Q55" s="78">
        <f t="shared" si="197"/>
        <v>0</v>
      </c>
      <c r="R55" s="78">
        <f t="shared" si="197"/>
        <v>0</v>
      </c>
      <c r="S55" s="78">
        <f t="shared" si="197"/>
        <v>0</v>
      </c>
      <c r="T55" s="78">
        <f t="shared" si="197"/>
        <v>0</v>
      </c>
      <c r="U55" s="78">
        <f t="shared" si="197"/>
        <v>9485355002</v>
      </c>
      <c r="V55" s="79">
        <f t="shared" si="196"/>
        <v>9485355002</v>
      </c>
      <c r="W55" s="73">
        <f t="shared" ref="W55:AI55" si="198">+W56</f>
        <v>0</v>
      </c>
      <c r="X55" s="74">
        <f t="shared" si="198"/>
        <v>0</v>
      </c>
      <c r="Y55" s="74">
        <f t="shared" si="198"/>
        <v>0</v>
      </c>
      <c r="Z55" s="74">
        <f t="shared" si="198"/>
        <v>0</v>
      </c>
      <c r="AA55" s="75">
        <f t="shared" si="198"/>
        <v>0</v>
      </c>
      <c r="AB55" s="76">
        <f t="shared" si="198"/>
        <v>0</v>
      </c>
      <c r="AC55" s="80">
        <f t="shared" ref="AC55:AH55" si="199">+AC56</f>
        <v>0</v>
      </c>
      <c r="AD55" s="81">
        <f t="shared" si="199"/>
        <v>0</v>
      </c>
      <c r="AE55" s="81">
        <f t="shared" si="199"/>
        <v>0</v>
      </c>
      <c r="AF55" s="81">
        <f t="shared" si="199"/>
        <v>0</v>
      </c>
      <c r="AG55" s="81">
        <f t="shared" si="199"/>
        <v>0</v>
      </c>
      <c r="AH55" s="82">
        <f t="shared" si="199"/>
        <v>0</v>
      </c>
      <c r="AI55" s="83">
        <f t="shared" si="198"/>
        <v>9485355002</v>
      </c>
      <c r="AJ55" s="103"/>
      <c r="AK55" s="103"/>
      <c r="AL55" s="103"/>
      <c r="AM55" s="103"/>
      <c r="AN55" s="103"/>
      <c r="AO55" s="85"/>
      <c r="AP55" s="85"/>
      <c r="AQ55" s="85"/>
      <c r="AR55" s="85"/>
      <c r="AS55" s="85"/>
      <c r="AT55" s="86"/>
      <c r="AU55" s="86"/>
      <c r="AV55" s="86"/>
      <c r="AW55" s="86"/>
      <c r="AX55" s="86"/>
      <c r="AY55" s="84"/>
      <c r="AZ55" s="84"/>
      <c r="BA55" s="84"/>
      <c r="BB55" s="84"/>
      <c r="BC55" s="84"/>
      <c r="BD55" s="85"/>
      <c r="BE55" s="85"/>
      <c r="BF55" s="85"/>
      <c r="BG55" s="85"/>
      <c r="BH55" s="85"/>
      <c r="BI55" s="86"/>
      <c r="BJ55" s="86"/>
      <c r="BK55" s="86"/>
      <c r="BL55" s="86"/>
      <c r="BM55" s="86"/>
    </row>
    <row r="56" spans="1:65" s="87" customFormat="1" ht="15.95" customHeight="1">
      <c r="A56" s="39"/>
      <c r="B56" s="40">
        <v>4821301</v>
      </c>
      <c r="C56" s="41"/>
      <c r="D56" s="138" t="s">
        <v>23</v>
      </c>
      <c r="E56" s="165">
        <f>+SUMIFS([1]全伝票!I:I,[1]全伝票!$B:$B,$B56)</f>
        <v>9485355002</v>
      </c>
      <c r="F56" s="166">
        <f>+SUMIFS([1]全伝票!J:J,[1]全伝票!$B:$B,$B56)</f>
        <v>0</v>
      </c>
      <c r="G56" s="167">
        <f>+SUMIFS([1]全伝票!K:K,[1]全伝票!$B:$B,$B56)</f>
        <v>0</v>
      </c>
      <c r="H56" s="167">
        <f>+SUMIFS([1]全伝票!L:L,[1]全伝票!$B:$B,$B56)</f>
        <v>0</v>
      </c>
      <c r="I56" s="168">
        <f>+SUMIFS([1]全伝票!M:M,[1]全伝票!$B:$B,$B56)</f>
        <v>0</v>
      </c>
      <c r="J56" s="168">
        <f>+SUMIFS([1]全伝票!N:N,[1]全伝票!$B:$B,$B56)</f>
        <v>0</v>
      </c>
      <c r="K56" s="143">
        <f>SUM(F56:J56)</f>
        <v>0</v>
      </c>
      <c r="L56" s="165">
        <f>+SUMIFS([1]全伝票!O:O,[1]全伝票!$B:$B,$B56)</f>
        <v>0</v>
      </c>
      <c r="M56" s="139"/>
      <c r="N56" s="140"/>
      <c r="O56" s="141"/>
      <c r="P56" s="141"/>
      <c r="Q56" s="141"/>
      <c r="R56" s="141"/>
      <c r="S56" s="141">
        <f>SUM(N56:R56)</f>
        <v>0</v>
      </c>
      <c r="T56" s="141"/>
      <c r="U56" s="141">
        <f>+V56-SUM(S56:T56)</f>
        <v>9485355002</v>
      </c>
      <c r="V56" s="170">
        <f>+SUMIFS([1]全伝票!P:P,[1]全伝票!$B:$B,$B56)</f>
        <v>9485355002</v>
      </c>
      <c r="W56" s="140">
        <f>+ROUND(F56*F$6/(100+F$6),0)+AT56</f>
        <v>0</v>
      </c>
      <c r="X56" s="141">
        <f>+ROUND(G56*G$6/(100+G$6),0)+AU56</f>
        <v>0</v>
      </c>
      <c r="Y56" s="141">
        <f>+ROUND(H56*H$6/(100+H$6),0)+AV56</f>
        <v>0</v>
      </c>
      <c r="Z56" s="141">
        <f>+ROUND(I56*I$6/(100+I$6),0)+AW56</f>
        <v>0</v>
      </c>
      <c r="AA56" s="142">
        <f>+ROUND(J56*J$6/(100+J$6),0)+AX56</f>
        <v>0</v>
      </c>
      <c r="AB56" s="143">
        <f>SUM(W56:AA56)</f>
        <v>0</v>
      </c>
      <c r="AC56" s="144">
        <f>+ROUND(N56*AC$6/(100+AC$6),0)+BI56</f>
        <v>0</v>
      </c>
      <c r="AD56" s="145">
        <f>+ROUND(O56*AD$6/(100+AD$6),0)+BJ56</f>
        <v>0</v>
      </c>
      <c r="AE56" s="145">
        <f>+ROUND(P56*AE$6/(100+AE$6),0)+BK56</f>
        <v>0</v>
      </c>
      <c r="AF56" s="145">
        <f>+ROUND(Q56*AF$6/(100+AF$6),0)+BL56</f>
        <v>0</v>
      </c>
      <c r="AG56" s="145">
        <f>+ROUND(R56*AG$6/(100+AG$6),0)+BM56</f>
        <v>0</v>
      </c>
      <c r="AH56" s="146">
        <f>SUM(AC56:AG56)</f>
        <v>0</v>
      </c>
      <c r="AI56" s="147">
        <f>+E56-AB56</f>
        <v>9485355002</v>
      </c>
      <c r="AJ56" s="84"/>
      <c r="AK56" s="84"/>
      <c r="AL56" s="84"/>
      <c r="AM56" s="84"/>
      <c r="AN56" s="84"/>
      <c r="AO56" s="85"/>
      <c r="AP56" s="85"/>
      <c r="AQ56" s="85"/>
      <c r="AR56" s="85"/>
      <c r="AS56" s="85"/>
      <c r="AT56" s="86"/>
      <c r="AU56" s="86"/>
      <c r="AV56" s="86"/>
      <c r="AW56" s="86"/>
      <c r="AX56" s="86"/>
      <c r="AY56" s="84"/>
      <c r="AZ56" s="84"/>
      <c r="BA56" s="84"/>
      <c r="BB56" s="84"/>
      <c r="BC56" s="84"/>
      <c r="BD56" s="85"/>
      <c r="BE56" s="85"/>
      <c r="BF56" s="85"/>
      <c r="BG56" s="85"/>
      <c r="BH56" s="85"/>
      <c r="BI56" s="86"/>
      <c r="BJ56" s="86"/>
      <c r="BK56" s="86"/>
      <c r="BL56" s="86"/>
      <c r="BM56" s="86"/>
    </row>
    <row r="57" spans="1:65" s="87" customFormat="1" ht="15.95" customHeight="1">
      <c r="A57" s="42"/>
      <c r="B57" s="43"/>
      <c r="C57" s="44"/>
      <c r="D57" s="173" t="s">
        <v>80</v>
      </c>
      <c r="E57" s="174">
        <f>+SUM(E28,E32,E39,E42,E49,E51,E55)</f>
        <v>9584600552</v>
      </c>
      <c r="F57" s="175">
        <f t="shared" ref="F57:V57" si="200">+SUM(F28,F32,F39,F42,F49,F51,F55)</f>
        <v>0</v>
      </c>
      <c r="G57" s="176">
        <f t="shared" si="200"/>
        <v>0</v>
      </c>
      <c r="H57" s="176">
        <f t="shared" si="200"/>
        <v>0</v>
      </c>
      <c r="I57" s="177">
        <f t="shared" ref="I57" si="201">+SUM(I28,I32,I39,I42,I49,I51,I55)</f>
        <v>0</v>
      </c>
      <c r="J57" s="177">
        <f t="shared" si="200"/>
        <v>50330530</v>
      </c>
      <c r="K57" s="178">
        <f t="shared" si="200"/>
        <v>50330530</v>
      </c>
      <c r="L57" s="174">
        <f t="shared" si="200"/>
        <v>22032960</v>
      </c>
      <c r="M57" s="174">
        <f t="shared" ref="M57" si="202">+SUM(M28,M32,M39,M42,M49,M51,M55)</f>
        <v>0</v>
      </c>
      <c r="N57" s="175">
        <f t="shared" ref="N57:U57" si="203">+SUM(N28,N32,N39,N42,N49,N51,N55)</f>
        <v>0</v>
      </c>
      <c r="O57" s="176">
        <f t="shared" si="203"/>
        <v>0</v>
      </c>
      <c r="P57" s="176">
        <f t="shared" si="203"/>
        <v>35</v>
      </c>
      <c r="Q57" s="176">
        <f t="shared" ref="Q57" si="204">+SUM(Q28,Q32,Q39,Q42,Q49,Q51,Q55)</f>
        <v>14</v>
      </c>
      <c r="R57" s="176">
        <f t="shared" si="203"/>
        <v>5625278</v>
      </c>
      <c r="S57" s="176">
        <f t="shared" si="203"/>
        <v>5625327</v>
      </c>
      <c r="T57" s="176">
        <f t="shared" si="203"/>
        <v>21256733</v>
      </c>
      <c r="U57" s="176">
        <f t="shared" si="203"/>
        <v>9485355002</v>
      </c>
      <c r="V57" s="178">
        <f t="shared" si="200"/>
        <v>9512237062</v>
      </c>
      <c r="W57" s="175">
        <f t="shared" ref="W57:AI57" si="205">+SUM(W28,W32,W39,W42,W49,W51,W55)</f>
        <v>0</v>
      </c>
      <c r="X57" s="176">
        <f t="shared" si="205"/>
        <v>0</v>
      </c>
      <c r="Y57" s="176">
        <f t="shared" si="205"/>
        <v>0</v>
      </c>
      <c r="Z57" s="176">
        <f t="shared" ref="Z57" si="206">+SUM(Z28,Z32,Z39,Z42,Z49,Z51,Z55)</f>
        <v>0</v>
      </c>
      <c r="AA57" s="177">
        <f t="shared" si="205"/>
        <v>4575502</v>
      </c>
      <c r="AB57" s="178">
        <f t="shared" si="205"/>
        <v>4575502</v>
      </c>
      <c r="AC57" s="179">
        <f t="shared" ref="AC57:AH57" si="207">+SUM(AC28,AC32,AC39,AC42,AC49,AC51,AC55)</f>
        <v>0</v>
      </c>
      <c r="AD57" s="180">
        <f t="shared" si="207"/>
        <v>0</v>
      </c>
      <c r="AE57" s="180">
        <f t="shared" si="207"/>
        <v>3</v>
      </c>
      <c r="AF57" s="180">
        <f t="shared" si="207"/>
        <v>1</v>
      </c>
      <c r="AG57" s="180">
        <f t="shared" si="207"/>
        <v>511389</v>
      </c>
      <c r="AH57" s="181">
        <f t="shared" si="207"/>
        <v>511393</v>
      </c>
      <c r="AI57" s="182">
        <f t="shared" si="205"/>
        <v>9581905615</v>
      </c>
      <c r="AJ57" s="103"/>
      <c r="AK57" s="103"/>
      <c r="AL57" s="103"/>
      <c r="AM57" s="103"/>
      <c r="AN57" s="103"/>
      <c r="AO57" s="85"/>
      <c r="AP57" s="85"/>
      <c r="AQ57" s="85"/>
      <c r="AR57" s="85"/>
      <c r="AS57" s="85"/>
      <c r="AT57" s="86"/>
      <c r="AU57" s="86"/>
      <c r="AV57" s="86"/>
      <c r="AW57" s="86"/>
      <c r="AX57" s="86"/>
      <c r="AY57" s="84"/>
      <c r="AZ57" s="84"/>
      <c r="BA57" s="84"/>
      <c r="BB57" s="84"/>
      <c r="BC57" s="84"/>
      <c r="BD57" s="85"/>
      <c r="BE57" s="85"/>
      <c r="BF57" s="85"/>
      <c r="BG57" s="85"/>
      <c r="BH57" s="85"/>
      <c r="BI57" s="86"/>
      <c r="BJ57" s="86"/>
      <c r="BK57" s="86"/>
      <c r="BL57" s="86"/>
      <c r="BM57" s="86"/>
    </row>
    <row r="58" spans="1:65" s="87" customFormat="1" ht="15.95" customHeight="1">
      <c r="A58" s="25"/>
      <c r="B58" s="26"/>
      <c r="C58" s="27"/>
      <c r="D58" s="71" t="s">
        <v>81</v>
      </c>
      <c r="E58" s="72">
        <f>+E59</f>
        <v>0</v>
      </c>
      <c r="F58" s="73">
        <f t="shared" ref="F58:V58" si="208">+F59</f>
        <v>0</v>
      </c>
      <c r="G58" s="74">
        <f t="shared" si="208"/>
        <v>0</v>
      </c>
      <c r="H58" s="74">
        <f t="shared" si="208"/>
        <v>0</v>
      </c>
      <c r="I58" s="75">
        <f t="shared" si="208"/>
        <v>0</v>
      </c>
      <c r="J58" s="75">
        <f t="shared" si="208"/>
        <v>0</v>
      </c>
      <c r="K58" s="76">
        <f t="shared" si="208"/>
        <v>0</v>
      </c>
      <c r="L58" s="72">
        <f t="shared" si="208"/>
        <v>0</v>
      </c>
      <c r="M58" s="72">
        <f t="shared" si="208"/>
        <v>0</v>
      </c>
      <c r="N58" s="77">
        <f t="shared" ref="N58:U58" si="209">+N59</f>
        <v>0</v>
      </c>
      <c r="O58" s="78">
        <f t="shared" si="209"/>
        <v>0</v>
      </c>
      <c r="P58" s="78">
        <f t="shared" si="209"/>
        <v>0</v>
      </c>
      <c r="Q58" s="78">
        <f t="shared" si="209"/>
        <v>0</v>
      </c>
      <c r="R58" s="78">
        <f t="shared" si="209"/>
        <v>0</v>
      </c>
      <c r="S58" s="78">
        <f t="shared" si="209"/>
        <v>0</v>
      </c>
      <c r="T58" s="78">
        <f t="shared" si="209"/>
        <v>0</v>
      </c>
      <c r="U58" s="78">
        <f t="shared" si="209"/>
        <v>0</v>
      </c>
      <c r="V58" s="79">
        <f t="shared" si="208"/>
        <v>0</v>
      </c>
      <c r="W58" s="73">
        <f t="shared" ref="W58:AI58" si="210">+W59</f>
        <v>0</v>
      </c>
      <c r="X58" s="74">
        <f t="shared" si="210"/>
        <v>0</v>
      </c>
      <c r="Y58" s="74">
        <f t="shared" si="210"/>
        <v>0</v>
      </c>
      <c r="Z58" s="74">
        <f t="shared" si="210"/>
        <v>0</v>
      </c>
      <c r="AA58" s="75">
        <f t="shared" si="210"/>
        <v>0</v>
      </c>
      <c r="AB58" s="76">
        <f t="shared" si="210"/>
        <v>0</v>
      </c>
      <c r="AC58" s="80">
        <f t="shared" ref="AC58:AH58" si="211">+AC59</f>
        <v>0</v>
      </c>
      <c r="AD58" s="81">
        <f t="shared" si="211"/>
        <v>0</v>
      </c>
      <c r="AE58" s="81">
        <f t="shared" si="211"/>
        <v>0</v>
      </c>
      <c r="AF58" s="81">
        <f t="shared" si="211"/>
        <v>0</v>
      </c>
      <c r="AG58" s="81">
        <f t="shared" si="211"/>
        <v>0</v>
      </c>
      <c r="AH58" s="82">
        <f t="shared" si="211"/>
        <v>0</v>
      </c>
      <c r="AI58" s="83">
        <f t="shared" si="210"/>
        <v>0</v>
      </c>
      <c r="AJ58" s="103"/>
      <c r="AK58" s="103"/>
      <c r="AL58" s="103"/>
      <c r="AM58" s="103"/>
      <c r="AN58" s="103"/>
      <c r="AO58" s="85"/>
      <c r="AP58" s="85"/>
      <c r="AQ58" s="85"/>
      <c r="AR58" s="85"/>
      <c r="AS58" s="85"/>
      <c r="AT58" s="86"/>
      <c r="AU58" s="86"/>
      <c r="AV58" s="86"/>
      <c r="AW58" s="86"/>
      <c r="AX58" s="86"/>
      <c r="AY58" s="84"/>
      <c r="AZ58" s="84"/>
      <c r="BA58" s="84"/>
      <c r="BB58" s="84"/>
      <c r="BC58" s="84"/>
      <c r="BD58" s="85"/>
      <c r="BE58" s="85"/>
      <c r="BF58" s="85"/>
      <c r="BG58" s="85"/>
      <c r="BH58" s="85"/>
      <c r="BI58" s="86"/>
      <c r="BJ58" s="86"/>
      <c r="BK58" s="86"/>
      <c r="BL58" s="86"/>
      <c r="BM58" s="86"/>
    </row>
    <row r="59" spans="1:65" s="87" customFormat="1" ht="15.95" customHeight="1">
      <c r="A59" s="28"/>
      <c r="B59" s="29"/>
      <c r="C59" s="30">
        <v>483020200</v>
      </c>
      <c r="D59" s="88" t="s">
        <v>71</v>
      </c>
      <c r="E59" s="89">
        <f>+SUMIFS([1]全伝票!I:I,[1]全伝票!$C:$C,$C59)</f>
        <v>0</v>
      </c>
      <c r="F59" s="90">
        <f>+SUMIFS([1]全伝票!J:J,[1]全伝票!$C:$C,$C59)</f>
        <v>0</v>
      </c>
      <c r="G59" s="91">
        <f>+SUMIFS([1]全伝票!K:K,[1]全伝票!$C:$C,$C59)</f>
        <v>0</v>
      </c>
      <c r="H59" s="91">
        <f>+SUMIFS([1]全伝票!L:L,[1]全伝票!$C:$C,$C59)</f>
        <v>0</v>
      </c>
      <c r="I59" s="92">
        <f>+SUMIFS([1]全伝票!M:M,[1]全伝票!$C:$C,$C59)</f>
        <v>0</v>
      </c>
      <c r="J59" s="92">
        <f>+SUMIFS([1]全伝票!N:N,[1]全伝票!$C:$C,$C59)</f>
        <v>0</v>
      </c>
      <c r="K59" s="93">
        <f>SUM(F59:J59)</f>
        <v>0</v>
      </c>
      <c r="L59" s="89">
        <f>+SUMIFS([1]全伝票!O:O,[1]全伝票!$C:$C,$C59)</f>
        <v>0</v>
      </c>
      <c r="M59" s="118"/>
      <c r="N59" s="95"/>
      <c r="O59" s="96"/>
      <c r="P59" s="96"/>
      <c r="Q59" s="96"/>
      <c r="R59" s="96"/>
      <c r="S59" s="96">
        <f>SUM(N59:R59)</f>
        <v>0</v>
      </c>
      <c r="T59" s="96"/>
      <c r="U59" s="96">
        <f>+V59-SUM(S59:T59)</f>
        <v>0</v>
      </c>
      <c r="V59" s="97">
        <f>+SUMIFS([1]全伝票!P:P,[1]全伝票!$C:$C,$C59)</f>
        <v>0</v>
      </c>
      <c r="W59" s="95">
        <f>+ROUND(F59*F$6/(100+F$6),0)+AT59</f>
        <v>0</v>
      </c>
      <c r="X59" s="96">
        <f>+ROUND(G59*G$6/(100+G$6),0)+AU59</f>
        <v>0</v>
      </c>
      <c r="Y59" s="96">
        <f>+ROUND(H59*H$6/(100+H$6),0)+AV59</f>
        <v>0</v>
      </c>
      <c r="Z59" s="96">
        <f>+ROUND(I59*I$6/(100+I$6),0)+AW59</f>
        <v>0</v>
      </c>
      <c r="AA59" s="98">
        <f>+ROUND(J59*J$6/(100+J$6),0)+AX59</f>
        <v>0</v>
      </c>
      <c r="AB59" s="93">
        <f>SUM(W59:AA59)</f>
        <v>0</v>
      </c>
      <c r="AC59" s="99">
        <f>+ROUND(N59*AC$6/(100+AC$6),0)+BI59</f>
        <v>0</v>
      </c>
      <c r="AD59" s="100">
        <f>+ROUND(O59*AD$6/(100+AD$6),0)+BJ59</f>
        <v>0</v>
      </c>
      <c r="AE59" s="100">
        <f>+ROUND(P59*AE$6/(100+AE$6),0)+BK59</f>
        <v>0</v>
      </c>
      <c r="AF59" s="100">
        <f>+ROUND(Q59*AF$6/(100+AF$6),0)+BL59</f>
        <v>0</v>
      </c>
      <c r="AG59" s="100">
        <f>+ROUND(R59*AG$6/(100+AG$6),0)+BM59</f>
        <v>0</v>
      </c>
      <c r="AH59" s="101">
        <f>SUM(AC59:AG59)</f>
        <v>0</v>
      </c>
      <c r="AI59" s="102">
        <f>+E59-AB59</f>
        <v>0</v>
      </c>
      <c r="AJ59" s="84">
        <f>W59-F59*W$6/(100+W$6)</f>
        <v>0</v>
      </c>
      <c r="AK59" s="84">
        <f>X59-G59*X$6/(100+X$6)</f>
        <v>0</v>
      </c>
      <c r="AL59" s="84">
        <f>Y59-H59*Y$6/(100+Y$6)</f>
        <v>0</v>
      </c>
      <c r="AM59" s="84">
        <f>Z59-I59*Z$6/(100+Z$6)</f>
        <v>0</v>
      </c>
      <c r="AN59" s="84">
        <f>AA59-J59*AA$6/(100+AA$6)</f>
        <v>0</v>
      </c>
      <c r="AO59" s="85">
        <f>+IF(W$71=0,0,IF(W$71&lt;0,-RANK(AJ59,AJ$7:AJ$68,0),RANK(AJ59,AJ$7:AJ$68,1)))</f>
        <v>0</v>
      </c>
      <c r="AP59" s="85">
        <f>+IF(X$71=0,0,IF(X$71&lt;0,-RANK(AK59,AK$7:AK$68,0),RANK(AK59,AK$7:AK$68,1)))</f>
        <v>0</v>
      </c>
      <c r="AQ59" s="85">
        <f>+IF(Y$71=0,0,IF(Y$71&lt;0,-RANK(AL59,AL$7:AL$68,0),RANK(AL59,AL$7:AL$68,1)))</f>
        <v>0</v>
      </c>
      <c r="AR59" s="85">
        <f>+IF(Z$71=0,0,IF(Z$71&lt;0,-RANK(AM59,AM$7:AM$68,0),RANK(AM59,AM$7:AM$68,1)))</f>
        <v>0</v>
      </c>
      <c r="AS59" s="85">
        <f>+IF(AA$71=0,0,IF(AA$71&lt;0,-RANK(AN59,AN$7:AN$68,0),RANK(AN59,AN$7:AN$68,1)))</f>
        <v>0</v>
      </c>
      <c r="AT59" s="86"/>
      <c r="AU59" s="86"/>
      <c r="AV59" s="86"/>
      <c r="AW59" s="86"/>
      <c r="AX59" s="86"/>
      <c r="AY59" s="84">
        <f t="shared" si="173"/>
        <v>0</v>
      </c>
      <c r="AZ59" s="84">
        <f t="shared" si="174"/>
        <v>0</v>
      </c>
      <c r="BA59" s="84">
        <f t="shared" si="175"/>
        <v>0</v>
      </c>
      <c r="BB59" s="84">
        <f t="shared" si="175"/>
        <v>0</v>
      </c>
      <c r="BC59" s="84">
        <f t="shared" si="176"/>
        <v>0</v>
      </c>
      <c r="BD59" s="85">
        <f>+IF(AC$71=0,0,IF(AC$71&lt;0,-RANK(AY59,AY$7:AY$68,0),RANK(AY59,AY$7:AY$68,1)))</f>
        <v>0</v>
      </c>
      <c r="BE59" s="85">
        <f>+IF(AD$71=0,0,IF(AD$71&lt;0,-RANK(AZ59,AZ$7:AZ$68,0),RANK(AZ59,AZ$7:AZ$68,1)))</f>
        <v>0</v>
      </c>
      <c r="BF59" s="85">
        <f>+IF(AE$71=0,0,IF(AE$71&lt;0,-RANK(BA59,BA$7:BA$68,0),RANK(BA59,BA$7:BA$68,1)))</f>
        <v>0</v>
      </c>
      <c r="BG59" s="85">
        <f>+IF(AF$71=0,0,IF(AF$71&lt;0,-RANK(BB59,BB$7:BB$68,0),RANK(BB59,BB$7:BB$68,1)))</f>
        <v>0</v>
      </c>
      <c r="BH59" s="85">
        <f>+IF(AG$71=0,0,IF(AG$71&lt;0,-RANK(BC59,BC$7:BC$68,0),RANK(BC59,BC$7:BC$68,1)))</f>
        <v>0</v>
      </c>
      <c r="BI59" s="86"/>
      <c r="BJ59" s="86"/>
      <c r="BK59" s="86"/>
      <c r="BL59" s="86"/>
      <c r="BM59" s="86"/>
    </row>
    <row r="60" spans="1:65" s="87" customFormat="1" ht="15.95" customHeight="1">
      <c r="A60" s="25"/>
      <c r="B60" s="26"/>
      <c r="C60" s="27"/>
      <c r="D60" s="71" t="s">
        <v>82</v>
      </c>
      <c r="E60" s="72">
        <f>+E61</f>
        <v>2769570</v>
      </c>
      <c r="F60" s="73">
        <f t="shared" ref="F60:V60" si="212">+F61</f>
        <v>0</v>
      </c>
      <c r="G60" s="74">
        <f t="shared" si="212"/>
        <v>0</v>
      </c>
      <c r="H60" s="74">
        <f t="shared" si="212"/>
        <v>47053</v>
      </c>
      <c r="I60" s="75">
        <f t="shared" si="212"/>
        <v>0</v>
      </c>
      <c r="J60" s="75">
        <f t="shared" si="212"/>
        <v>1566432</v>
      </c>
      <c r="K60" s="76">
        <f t="shared" si="212"/>
        <v>1613485</v>
      </c>
      <c r="L60" s="72">
        <f t="shared" si="212"/>
        <v>910</v>
      </c>
      <c r="M60" s="72">
        <f t="shared" si="212"/>
        <v>0</v>
      </c>
      <c r="N60" s="77">
        <f t="shared" ref="N60:U60" si="213">+N61</f>
        <v>0</v>
      </c>
      <c r="O60" s="78">
        <f t="shared" si="213"/>
        <v>0</v>
      </c>
      <c r="P60" s="78">
        <f t="shared" si="213"/>
        <v>0</v>
      </c>
      <c r="Q60" s="78">
        <f t="shared" si="213"/>
        <v>0</v>
      </c>
      <c r="R60" s="78">
        <f t="shared" si="213"/>
        <v>0</v>
      </c>
      <c r="S60" s="78">
        <f t="shared" si="213"/>
        <v>0</v>
      </c>
      <c r="T60" s="78">
        <f t="shared" si="213"/>
        <v>1155175</v>
      </c>
      <c r="U60" s="78">
        <f t="shared" si="213"/>
        <v>0</v>
      </c>
      <c r="V60" s="79">
        <f t="shared" si="212"/>
        <v>1155175</v>
      </c>
      <c r="W60" s="73">
        <f t="shared" ref="W60:AI60" si="214">+W61</f>
        <v>0</v>
      </c>
      <c r="X60" s="74">
        <f t="shared" si="214"/>
        <v>0</v>
      </c>
      <c r="Y60" s="74">
        <f t="shared" si="214"/>
        <v>3485</v>
      </c>
      <c r="Z60" s="74">
        <f t="shared" si="214"/>
        <v>0</v>
      </c>
      <c r="AA60" s="75">
        <f t="shared" si="214"/>
        <v>142403</v>
      </c>
      <c r="AB60" s="76">
        <f t="shared" si="214"/>
        <v>145888</v>
      </c>
      <c r="AC60" s="80">
        <f t="shared" ref="AC60:AH60" si="215">+AC61</f>
        <v>0</v>
      </c>
      <c r="AD60" s="81">
        <f t="shared" si="215"/>
        <v>0</v>
      </c>
      <c r="AE60" s="81">
        <f t="shared" si="215"/>
        <v>0</v>
      </c>
      <c r="AF60" s="81">
        <f t="shared" si="215"/>
        <v>0</v>
      </c>
      <c r="AG60" s="81">
        <f t="shared" si="215"/>
        <v>0</v>
      </c>
      <c r="AH60" s="82">
        <f t="shared" si="215"/>
        <v>0</v>
      </c>
      <c r="AI60" s="83">
        <f t="shared" si="214"/>
        <v>2623682</v>
      </c>
      <c r="AJ60" s="103"/>
      <c r="AK60" s="103"/>
      <c r="AL60" s="103"/>
      <c r="AM60" s="103"/>
      <c r="AN60" s="103"/>
      <c r="AO60" s="85"/>
      <c r="AP60" s="85"/>
      <c r="AQ60" s="85"/>
      <c r="AR60" s="85"/>
      <c r="AS60" s="85"/>
      <c r="AT60" s="86"/>
      <c r="AU60" s="86"/>
      <c r="AV60" s="86"/>
      <c r="AW60" s="86"/>
      <c r="AX60" s="86"/>
      <c r="AY60" s="84"/>
      <c r="AZ60" s="84"/>
      <c r="BA60" s="84"/>
      <c r="BB60" s="84"/>
      <c r="BC60" s="84"/>
      <c r="BD60" s="85"/>
      <c r="BE60" s="85"/>
      <c r="BF60" s="85"/>
      <c r="BG60" s="85"/>
      <c r="BH60" s="85"/>
      <c r="BI60" s="86"/>
      <c r="BJ60" s="86"/>
      <c r="BK60" s="86"/>
      <c r="BL60" s="86"/>
      <c r="BM60" s="86"/>
    </row>
    <row r="61" spans="1:65" s="87" customFormat="1" ht="15.95" customHeight="1">
      <c r="A61" s="39"/>
      <c r="B61" s="40"/>
      <c r="C61" s="41">
        <v>483040400</v>
      </c>
      <c r="D61" s="138" t="s">
        <v>72</v>
      </c>
      <c r="E61" s="165">
        <f>+SUMIFS([1]全伝票!I:I,[1]全伝票!$C:$C,$C61)</f>
        <v>2769570</v>
      </c>
      <c r="F61" s="166">
        <f>+SUMIFS([1]全伝票!J:J,[1]全伝票!$C:$C,$C61)</f>
        <v>0</v>
      </c>
      <c r="G61" s="167">
        <f>+SUMIFS([1]全伝票!K:K,[1]全伝票!$C:$C,$C61)</f>
        <v>0</v>
      </c>
      <c r="H61" s="167">
        <f>+SUMIFS([1]全伝票!L:L,[1]全伝票!$C:$C,$C61)</f>
        <v>47053</v>
      </c>
      <c r="I61" s="168">
        <f>+SUMIFS([1]全伝票!M:M,[1]全伝票!$C:$C,$C61)</f>
        <v>0</v>
      </c>
      <c r="J61" s="168">
        <f>+SUMIFS([1]全伝票!N:N,[1]全伝票!$C:$C,$C61)</f>
        <v>1566432</v>
      </c>
      <c r="K61" s="143">
        <f>SUM(F61:J61)</f>
        <v>1613485</v>
      </c>
      <c r="L61" s="165">
        <f>+SUMIFS([1]全伝票!O:O,[1]全伝票!$C:$C,$C61)</f>
        <v>910</v>
      </c>
      <c r="M61" s="139"/>
      <c r="N61" s="140"/>
      <c r="O61" s="141"/>
      <c r="P61" s="169">
        <f>+'[3]3条その他'!L$33</f>
        <v>0</v>
      </c>
      <c r="Q61" s="169">
        <f>+'[3]3条その他'!M$33</f>
        <v>0</v>
      </c>
      <c r="R61" s="169">
        <f>+'[3]3条その他'!N$33</f>
        <v>0</v>
      </c>
      <c r="S61" s="141">
        <f>SUM(N61:R61)</f>
        <v>0</v>
      </c>
      <c r="T61" s="169">
        <f>+'[3]3条その他'!$I$32</f>
        <v>1155175</v>
      </c>
      <c r="U61" s="141">
        <f>+V61-SUM(S61:T61)</f>
        <v>0</v>
      </c>
      <c r="V61" s="170">
        <f>+SUMIFS([1]全伝票!P:P,[1]全伝票!$C:$C,$C61)</f>
        <v>1155175</v>
      </c>
      <c r="W61" s="140">
        <f>+ROUND(F61*F$6/(100+F$6),0)+AT61</f>
        <v>0</v>
      </c>
      <c r="X61" s="141">
        <f>+ROUND(G61*G$6/(100+G$6),0)+AU61</f>
        <v>0</v>
      </c>
      <c r="Y61" s="141">
        <f>+ROUND(H61*H$6/(100+H$6),0)+AV61</f>
        <v>3485</v>
      </c>
      <c r="Z61" s="141">
        <f>+ROUND(I61*I$6/(100+I$6),0)+AW61</f>
        <v>0</v>
      </c>
      <c r="AA61" s="142">
        <f>+ROUND(J61*J$6/(100+J$6),0)+AX61</f>
        <v>142403</v>
      </c>
      <c r="AB61" s="143">
        <f>SUM(W61:AA61)</f>
        <v>145888</v>
      </c>
      <c r="AC61" s="144">
        <f>+ROUND(N61*AC$6/(100+AC$6),0)+BI61</f>
        <v>0</v>
      </c>
      <c r="AD61" s="145">
        <f>+ROUND(O61*AD$6/(100+AD$6),0)+BJ61</f>
        <v>0</v>
      </c>
      <c r="AE61" s="145">
        <f>+ROUND(P61*AE$6/(100+AE$6),0)+BK61</f>
        <v>0</v>
      </c>
      <c r="AF61" s="145">
        <f>+ROUND(Q61*AF$6/(100+AF$6),0)+BL61</f>
        <v>0</v>
      </c>
      <c r="AG61" s="145">
        <f>+ROUND(R61*AG$6/(100+AG$6),0)+BM61</f>
        <v>0</v>
      </c>
      <c r="AH61" s="146">
        <f>SUM(AC61:AG61)</f>
        <v>0</v>
      </c>
      <c r="AI61" s="147">
        <f>+E61-AB61</f>
        <v>2623682</v>
      </c>
      <c r="AJ61" s="84">
        <f>W61-F61*W$6/(100+W$6)</f>
        <v>0</v>
      </c>
      <c r="AK61" s="84">
        <f>X61-G61*X$6/(100+X$6)</f>
        <v>0</v>
      </c>
      <c r="AL61" s="84">
        <f>Y61-H61*Y$6/(100+Y$6)</f>
        <v>-0.40740740740739056</v>
      </c>
      <c r="AM61" s="84">
        <f>Z61-I61*Z$6/(100+Z$6)</f>
        <v>0</v>
      </c>
      <c r="AN61" s="84">
        <f>AA61-J61*AA$6/(100+AA$6)</f>
        <v>9.0909090911736712E-2</v>
      </c>
      <c r="AO61" s="85">
        <f>+IF(W$71=0,0,IF(W$71&lt;0,-RANK(AJ61,AJ$7:AJ$68,0),RANK(AJ61,AJ$7:AJ$68,1)))</f>
        <v>0</v>
      </c>
      <c r="AP61" s="85">
        <f>+IF(X$71=0,0,IF(X$71&lt;0,-RANK(AK61,AK$7:AK$68,0),RANK(AK61,AK$7:AK$68,1)))</f>
        <v>0</v>
      </c>
      <c r="AQ61" s="85">
        <f>+IF(Y$71=0,0,IF(Y$71&lt;0,-RANK(AL61,AL$7:AL$68,0),RANK(AL61,AL$7:AL$68,1)))</f>
        <v>0</v>
      </c>
      <c r="AR61" s="85">
        <f>+IF(Z$71=0,0,IF(Z$71&lt;0,-RANK(AM61,AM$7:AM$68,0),RANK(AM61,AM$7:AM$68,1)))</f>
        <v>0</v>
      </c>
      <c r="AS61" s="85">
        <f>+IF(AA$71=0,0,IF(AA$71&lt;0,-RANK(AN61,AN$7:AN$68,0),RANK(AN61,AN$7:AN$68,1)))</f>
        <v>0</v>
      </c>
      <c r="AT61" s="86"/>
      <c r="AU61" s="86"/>
      <c r="AV61" s="86"/>
      <c r="AW61" s="86"/>
      <c r="AX61" s="86"/>
      <c r="AY61" s="84">
        <f t="shared" si="173"/>
        <v>0</v>
      </c>
      <c r="AZ61" s="84">
        <f t="shared" si="174"/>
        <v>0</v>
      </c>
      <c r="BA61" s="84">
        <f t="shared" si="175"/>
        <v>0</v>
      </c>
      <c r="BB61" s="84">
        <f t="shared" si="175"/>
        <v>0</v>
      </c>
      <c r="BC61" s="84">
        <f t="shared" si="176"/>
        <v>0</v>
      </c>
      <c r="BD61" s="85">
        <f>+IF(AC$71=0,0,IF(AC$71&lt;0,-RANK(AY61,AY$7:AY$68,0),RANK(AY61,AY$7:AY$68,1)))</f>
        <v>0</v>
      </c>
      <c r="BE61" s="85">
        <f>+IF(AD$71=0,0,IF(AD$71&lt;0,-RANK(AZ61,AZ$7:AZ$68,0),RANK(AZ61,AZ$7:AZ$68,1)))</f>
        <v>0</v>
      </c>
      <c r="BF61" s="85">
        <f>+IF(AE$71=0,0,IF(AE$71&lt;0,-RANK(BA61,BA$7:BA$68,0),RANK(BA61,BA$7:BA$68,1)))</f>
        <v>0</v>
      </c>
      <c r="BG61" s="85">
        <f>+IF(AF$71=0,0,IF(AF$71&lt;0,-RANK(BB61,BB$7:BB$68,0),RANK(BB61,BB$7:BB$68,1)))</f>
        <v>0</v>
      </c>
      <c r="BH61" s="85">
        <f>+IF(AG$71=0,0,IF(AG$71&lt;0,-RANK(BC61,BC$7:BC$68,0),RANK(BC61,BC$7:BC$68,1)))</f>
        <v>0</v>
      </c>
      <c r="BI61" s="86"/>
      <c r="BJ61" s="86"/>
      <c r="BK61" s="86"/>
      <c r="BL61" s="86"/>
      <c r="BM61" s="86"/>
    </row>
    <row r="62" spans="1:65" s="87" customFormat="1" ht="15.95" customHeight="1">
      <c r="A62" s="25"/>
      <c r="B62" s="26"/>
      <c r="C62" s="27"/>
      <c r="D62" s="71" t="s">
        <v>83</v>
      </c>
      <c r="E62" s="72">
        <f>+SUM(E63:E65)</f>
        <v>1429429</v>
      </c>
      <c r="F62" s="73">
        <f t="shared" ref="F62:V62" si="216">+SUM(F63:F65)</f>
        <v>0</v>
      </c>
      <c r="G62" s="74">
        <f t="shared" si="216"/>
        <v>0</v>
      </c>
      <c r="H62" s="74">
        <f t="shared" si="216"/>
        <v>0</v>
      </c>
      <c r="I62" s="75">
        <f t="shared" ref="I62" si="217">+SUM(I63:I65)</f>
        <v>0</v>
      </c>
      <c r="J62" s="75">
        <f t="shared" si="216"/>
        <v>0</v>
      </c>
      <c r="K62" s="76">
        <f t="shared" si="216"/>
        <v>0</v>
      </c>
      <c r="L62" s="72">
        <f t="shared" si="216"/>
        <v>0</v>
      </c>
      <c r="M62" s="72">
        <f t="shared" ref="M62" si="218">+SUM(M63:M65)</f>
        <v>0</v>
      </c>
      <c r="N62" s="73">
        <f t="shared" ref="N62:U62" si="219">+SUM(N63:N65)</f>
        <v>0</v>
      </c>
      <c r="O62" s="74">
        <f t="shared" si="219"/>
        <v>0</v>
      </c>
      <c r="P62" s="74">
        <f t="shared" si="219"/>
        <v>0</v>
      </c>
      <c r="Q62" s="74">
        <f t="shared" ref="Q62" si="220">+SUM(Q63:Q65)</f>
        <v>0</v>
      </c>
      <c r="R62" s="74">
        <f t="shared" si="219"/>
        <v>0</v>
      </c>
      <c r="S62" s="74">
        <f t="shared" si="219"/>
        <v>0</v>
      </c>
      <c r="T62" s="74">
        <f t="shared" si="219"/>
        <v>1429429</v>
      </c>
      <c r="U62" s="74">
        <f t="shared" si="219"/>
        <v>0</v>
      </c>
      <c r="V62" s="76">
        <f t="shared" si="216"/>
        <v>1429429</v>
      </c>
      <c r="W62" s="73">
        <f t="shared" ref="W62:AI62" si="221">+SUM(W63:W65)</f>
        <v>0</v>
      </c>
      <c r="X62" s="74">
        <f t="shared" si="221"/>
        <v>0</v>
      </c>
      <c r="Y62" s="74">
        <f t="shared" si="221"/>
        <v>0</v>
      </c>
      <c r="Z62" s="74">
        <f t="shared" ref="Z62" si="222">+SUM(Z63:Z65)</f>
        <v>0</v>
      </c>
      <c r="AA62" s="75">
        <f t="shared" si="221"/>
        <v>0</v>
      </c>
      <c r="AB62" s="76">
        <f t="shared" si="221"/>
        <v>0</v>
      </c>
      <c r="AC62" s="80">
        <f t="shared" ref="AC62:AH62" si="223">+SUM(AC63:AC65)</f>
        <v>0</v>
      </c>
      <c r="AD62" s="81">
        <f t="shared" si="223"/>
        <v>0</v>
      </c>
      <c r="AE62" s="81">
        <f t="shared" si="223"/>
        <v>0</v>
      </c>
      <c r="AF62" s="81">
        <f t="shared" si="223"/>
        <v>0</v>
      </c>
      <c r="AG62" s="81">
        <f t="shared" si="223"/>
        <v>0</v>
      </c>
      <c r="AH62" s="136">
        <f t="shared" si="223"/>
        <v>0</v>
      </c>
      <c r="AI62" s="83">
        <f t="shared" si="221"/>
        <v>1429429</v>
      </c>
      <c r="AJ62" s="103"/>
      <c r="AK62" s="103"/>
      <c r="AL62" s="103"/>
      <c r="AM62" s="103"/>
      <c r="AN62" s="103"/>
      <c r="AO62" s="85"/>
      <c r="AP62" s="85"/>
      <c r="AQ62" s="85"/>
      <c r="AR62" s="85"/>
      <c r="AS62" s="85"/>
      <c r="AT62" s="86"/>
      <c r="AU62" s="86"/>
      <c r="AV62" s="86"/>
      <c r="AW62" s="86"/>
      <c r="AX62" s="86"/>
      <c r="AY62" s="84"/>
      <c r="AZ62" s="84"/>
      <c r="BA62" s="84"/>
      <c r="BB62" s="84"/>
      <c r="BC62" s="84"/>
      <c r="BD62" s="85"/>
      <c r="BE62" s="85"/>
      <c r="BF62" s="85"/>
      <c r="BG62" s="85"/>
      <c r="BH62" s="85"/>
      <c r="BI62" s="86"/>
      <c r="BJ62" s="86"/>
      <c r="BK62" s="86"/>
      <c r="BL62" s="86"/>
      <c r="BM62" s="86"/>
    </row>
    <row r="63" spans="1:65" s="87" customFormat="1" ht="15.95" customHeight="1">
      <c r="A63" s="31"/>
      <c r="B63" s="32"/>
      <c r="C63" s="35">
        <v>483060600</v>
      </c>
      <c r="D63" s="104" t="s">
        <v>73</v>
      </c>
      <c r="E63" s="120">
        <f>+SUMIFS([1]全伝票!I:I,[1]全伝票!$C:$C,$C63)</f>
        <v>864807</v>
      </c>
      <c r="F63" s="121">
        <f>+SUMIFS([1]全伝票!J:J,[1]全伝票!$C:$C,$C63)</f>
        <v>0</v>
      </c>
      <c r="G63" s="122">
        <f>+SUMIFS([1]全伝票!K:K,[1]全伝票!$C:$C,$C63)</f>
        <v>0</v>
      </c>
      <c r="H63" s="122">
        <f>+SUMIFS([1]全伝票!L:L,[1]全伝票!$C:$C,$C63)</f>
        <v>0</v>
      </c>
      <c r="I63" s="123">
        <f>+SUMIFS([1]全伝票!M:M,[1]全伝票!$C:$C,$C63)</f>
        <v>0</v>
      </c>
      <c r="J63" s="123">
        <f>+SUMIFS([1]全伝票!N:N,[1]全伝票!$C:$C,$C63)</f>
        <v>0</v>
      </c>
      <c r="K63" s="109">
        <f>SUM(F63:J63)</f>
        <v>0</v>
      </c>
      <c r="L63" s="120">
        <f>+SUMIFS([1]全伝票!O:O,[1]全伝票!$C:$C,$C63)</f>
        <v>0</v>
      </c>
      <c r="M63" s="105"/>
      <c r="N63" s="106"/>
      <c r="O63" s="107"/>
      <c r="P63" s="115">
        <f>+'[3]3条その他'!L$43</f>
        <v>0</v>
      </c>
      <c r="Q63" s="115">
        <f>+'[3]3条その他'!M$43</f>
        <v>0</v>
      </c>
      <c r="R63" s="115">
        <f>+'[3]3条その他'!N$43</f>
        <v>0</v>
      </c>
      <c r="S63" s="107">
        <f>SUM(N63:R63)</f>
        <v>0</v>
      </c>
      <c r="T63" s="115">
        <f>+'[3]3条その他'!$I$42</f>
        <v>864807</v>
      </c>
      <c r="U63" s="107">
        <f>+V63-SUM(S63:T63)</f>
        <v>0</v>
      </c>
      <c r="V63" s="124">
        <f>+SUMIFS([1]全伝票!P:P,[1]全伝票!$C:$C,$C63)</f>
        <v>864807</v>
      </c>
      <c r="W63" s="106">
        <f t="shared" ref="W63:Z65" si="224">+ROUND(F63*F$6/(100+F$6),0)+AT63</f>
        <v>0</v>
      </c>
      <c r="X63" s="107">
        <f t="shared" si="224"/>
        <v>0</v>
      </c>
      <c r="Y63" s="107">
        <f t="shared" si="224"/>
        <v>0</v>
      </c>
      <c r="Z63" s="107">
        <f t="shared" si="224"/>
        <v>0</v>
      </c>
      <c r="AA63" s="108">
        <f>+ROUND(J63*J$6/(100+J$6),0)+AX63</f>
        <v>0</v>
      </c>
      <c r="AB63" s="109">
        <f t="shared" ref="AB63:AB65" si="225">SUM(W63:AA63)</f>
        <v>0</v>
      </c>
      <c r="AC63" s="110">
        <f t="shared" ref="AC63:AF65" si="226">+ROUND(N63*AC$6/(100+AC$6),0)+BI63</f>
        <v>0</v>
      </c>
      <c r="AD63" s="111">
        <f t="shared" si="226"/>
        <v>0</v>
      </c>
      <c r="AE63" s="183">
        <f t="shared" si="226"/>
        <v>0</v>
      </c>
      <c r="AF63" s="111">
        <f t="shared" si="226"/>
        <v>0</v>
      </c>
      <c r="AG63" s="183">
        <f>+ROUND(R63*AG$6/(100+AG$6),0)+BM63</f>
        <v>0</v>
      </c>
      <c r="AH63" s="112">
        <f t="shared" ref="AH63:AH65" si="227">SUM(AC63:AG63)</f>
        <v>0</v>
      </c>
      <c r="AI63" s="113">
        <f>+E63-AB63</f>
        <v>864807</v>
      </c>
      <c r="AJ63" s="84">
        <f>W63-F63*W$6/(100+W$6)</f>
        <v>0</v>
      </c>
      <c r="AK63" s="84">
        <f>X63-G63*X$6/(100+X$6)</f>
        <v>0</v>
      </c>
      <c r="AL63" s="84">
        <f>Y63-H63*Y$6/(100+Y$6)</f>
        <v>0</v>
      </c>
      <c r="AM63" s="84">
        <f>Z63-I63*Z$6/(100+Z$6)</f>
        <v>0</v>
      </c>
      <c r="AN63" s="84">
        <f>AA63-J63*AA$6/(100+AA$6)</f>
        <v>0</v>
      </c>
      <c r="AO63" s="85">
        <f>+IF(W$71=0,0,IF(W$71&lt;0,-RANK(AJ63,AJ$7:AJ$68,0),RANK(AJ63,AJ$7:AJ$68,1)))</f>
        <v>0</v>
      </c>
      <c r="AP63" s="85">
        <f>+IF(X$71=0,0,IF(X$71&lt;0,-RANK(AK63,AK$7:AK$68,0),RANK(AK63,AK$7:AK$68,1)))</f>
        <v>0</v>
      </c>
      <c r="AQ63" s="85">
        <f>+IF(Y$71=0,0,IF(Y$71&lt;0,-RANK(AL63,AL$7:AL$68,0),RANK(AL63,AL$7:AL$68,1)))</f>
        <v>0</v>
      </c>
      <c r="AR63" s="85">
        <f>+IF(Z$71=0,0,IF(Z$71&lt;0,-RANK(AM63,AM$7:AM$68,0),RANK(AM63,AM$7:AM$68,1)))</f>
        <v>0</v>
      </c>
      <c r="AS63" s="85">
        <f>+IF(AA$71=0,0,IF(AA$71&lt;0,-RANK(AN63,AN$7:AN$68,0),RANK(AN63,AN$7:AN$68,1)))</f>
        <v>0</v>
      </c>
      <c r="AT63" s="86"/>
      <c r="AU63" s="86"/>
      <c r="AV63" s="86"/>
      <c r="AW63" s="86"/>
      <c r="AX63" s="86"/>
      <c r="AY63" s="84">
        <f t="shared" si="173"/>
        <v>0</v>
      </c>
      <c r="AZ63" s="84">
        <f t="shared" si="174"/>
        <v>0</v>
      </c>
      <c r="BA63" s="84">
        <f t="shared" si="175"/>
        <v>0</v>
      </c>
      <c r="BB63" s="84">
        <f t="shared" si="175"/>
        <v>0</v>
      </c>
      <c r="BC63" s="84">
        <f t="shared" si="176"/>
        <v>0</v>
      </c>
      <c r="BD63" s="85">
        <f>+IF(AC$71=0,0,IF(AC$71&lt;0,-RANK(AY63,AY$7:AY$68,0),RANK(AY63,AY$7:AY$68,1)))</f>
        <v>0</v>
      </c>
      <c r="BE63" s="85">
        <f>+IF(AD$71=0,0,IF(AD$71&lt;0,-RANK(AZ63,AZ$7:AZ$68,0),RANK(AZ63,AZ$7:AZ$68,1)))</f>
        <v>0</v>
      </c>
      <c r="BF63" s="85">
        <f>+IF(AE$71=0,0,IF(AE$71&lt;0,-RANK(BA63,BA$7:BA$68,0),RANK(BA63,BA$7:BA$68,1)))</f>
        <v>0</v>
      </c>
      <c r="BG63" s="85">
        <f>+IF(AF$71=0,0,IF(AF$71&lt;0,-RANK(BB63,BB$7:BB$68,0),RANK(BB63,BB$7:BB$68,1)))</f>
        <v>0</v>
      </c>
      <c r="BH63" s="85">
        <f>+IF(AG$71=0,0,IF(AG$71&lt;0,-RANK(BC63,BC$7:BC$68,0),RANK(BC63,BC$7:BC$68,1)))</f>
        <v>0</v>
      </c>
      <c r="BI63" s="86"/>
      <c r="BJ63" s="86"/>
      <c r="BK63" s="86"/>
      <c r="BL63" s="86"/>
      <c r="BM63" s="86"/>
    </row>
    <row r="64" spans="1:65" s="87" customFormat="1" ht="15.95" customHeight="1">
      <c r="A64" s="31"/>
      <c r="B64" s="32"/>
      <c r="C64" s="35">
        <v>483060700</v>
      </c>
      <c r="D64" s="104" t="s">
        <v>74</v>
      </c>
      <c r="E64" s="120">
        <f>+SUMIFS([1]全伝票!I:I,[1]全伝票!$C:$C,$C64)</f>
        <v>455622</v>
      </c>
      <c r="F64" s="121">
        <f>+SUMIFS([1]全伝票!J:J,[1]全伝票!$C:$C,$C64)</f>
        <v>0</v>
      </c>
      <c r="G64" s="122">
        <f>+SUMIFS([1]全伝票!K:K,[1]全伝票!$C:$C,$C64)</f>
        <v>0</v>
      </c>
      <c r="H64" s="122">
        <f>+SUMIFS([1]全伝票!L:L,[1]全伝票!$C:$C,$C64)</f>
        <v>0</v>
      </c>
      <c r="I64" s="123">
        <f>+SUMIFS([1]全伝票!M:M,[1]全伝票!$C:$C,$C64)</f>
        <v>0</v>
      </c>
      <c r="J64" s="123">
        <f>+SUMIFS([1]全伝票!N:N,[1]全伝票!$C:$C,$C64)</f>
        <v>0</v>
      </c>
      <c r="K64" s="109">
        <f>SUM(F64:J64)</f>
        <v>0</v>
      </c>
      <c r="L64" s="120">
        <f>+SUMIFS([1]全伝票!O:O,[1]全伝票!$C:$C,$C64)</f>
        <v>0</v>
      </c>
      <c r="M64" s="105"/>
      <c r="N64" s="106"/>
      <c r="O64" s="107"/>
      <c r="P64" s="115">
        <f>+'[3]3条その他'!L$45</f>
        <v>0</v>
      </c>
      <c r="Q64" s="115">
        <f>+'[3]3条その他'!M$45</f>
        <v>0</v>
      </c>
      <c r="R64" s="115">
        <f>+'[3]3条その他'!N$45</f>
        <v>0</v>
      </c>
      <c r="S64" s="107">
        <f>SUM(N64:R64)</f>
        <v>0</v>
      </c>
      <c r="T64" s="115">
        <f>+'[3]3条その他'!$I$44</f>
        <v>455622</v>
      </c>
      <c r="U64" s="107">
        <f>+V64-SUM(S64:T64)</f>
        <v>0</v>
      </c>
      <c r="V64" s="124">
        <f>+SUMIFS([1]全伝票!P:P,[1]全伝票!$C:$C,$C64)</f>
        <v>455622</v>
      </c>
      <c r="W64" s="106">
        <f t="shared" si="224"/>
        <v>0</v>
      </c>
      <c r="X64" s="107">
        <f t="shared" si="224"/>
        <v>0</v>
      </c>
      <c r="Y64" s="107">
        <f t="shared" si="224"/>
        <v>0</v>
      </c>
      <c r="Z64" s="107">
        <f t="shared" si="224"/>
        <v>0</v>
      </c>
      <c r="AA64" s="108">
        <f>+ROUND(J64*J$6/(100+J$6),0)+AX64</f>
        <v>0</v>
      </c>
      <c r="AB64" s="109">
        <f t="shared" si="225"/>
        <v>0</v>
      </c>
      <c r="AC64" s="110">
        <f t="shared" si="226"/>
        <v>0</v>
      </c>
      <c r="AD64" s="111">
        <f t="shared" si="226"/>
        <v>0</v>
      </c>
      <c r="AE64" s="111">
        <f t="shared" si="226"/>
        <v>0</v>
      </c>
      <c r="AF64" s="111">
        <f t="shared" si="226"/>
        <v>0</v>
      </c>
      <c r="AG64" s="111">
        <f>+ROUND(R64*AG$6/(100+AG$6),0)+BM64</f>
        <v>0</v>
      </c>
      <c r="AH64" s="112">
        <f t="shared" si="227"/>
        <v>0</v>
      </c>
      <c r="AI64" s="113">
        <f>+E64-AB64</f>
        <v>455622</v>
      </c>
      <c r="AJ64" s="84"/>
      <c r="AK64" s="84"/>
      <c r="AL64" s="84"/>
      <c r="AM64" s="84"/>
      <c r="AN64" s="84"/>
      <c r="AO64" s="85"/>
      <c r="AP64" s="85"/>
      <c r="AQ64" s="85"/>
      <c r="AR64" s="85"/>
      <c r="AS64" s="85"/>
      <c r="AT64" s="86"/>
      <c r="AU64" s="86"/>
      <c r="AV64" s="86"/>
      <c r="AW64" s="86"/>
      <c r="AX64" s="86"/>
      <c r="AY64" s="84"/>
      <c r="AZ64" s="84"/>
      <c r="BA64" s="84"/>
      <c r="BB64" s="84"/>
      <c r="BC64" s="84"/>
      <c r="BD64" s="85"/>
      <c r="BE64" s="85"/>
      <c r="BF64" s="85"/>
      <c r="BG64" s="85"/>
      <c r="BH64" s="85"/>
      <c r="BI64" s="86"/>
      <c r="BJ64" s="86"/>
      <c r="BK64" s="86"/>
      <c r="BL64" s="86"/>
      <c r="BM64" s="86"/>
    </row>
    <row r="65" spans="1:65" s="87" customFormat="1" ht="15.95" customHeight="1">
      <c r="A65" s="28"/>
      <c r="B65" s="29"/>
      <c r="C65" s="30">
        <v>483060800</v>
      </c>
      <c r="D65" s="88" t="s">
        <v>75</v>
      </c>
      <c r="E65" s="89">
        <f>+SUMIFS([1]全伝票!I:I,[1]全伝票!$C:$C,$C65)</f>
        <v>109000</v>
      </c>
      <c r="F65" s="90">
        <f>+SUMIFS([1]全伝票!J:J,[1]全伝票!$C:$C,$C65)</f>
        <v>0</v>
      </c>
      <c r="G65" s="91">
        <f>+SUMIFS([1]全伝票!K:K,[1]全伝票!$C:$C,$C65)</f>
        <v>0</v>
      </c>
      <c r="H65" s="91">
        <f>+SUMIFS([1]全伝票!L:L,[1]全伝票!$C:$C,$C65)</f>
        <v>0</v>
      </c>
      <c r="I65" s="92">
        <f>+SUMIFS([1]全伝票!M:M,[1]全伝票!$C:$C,$C65)</f>
        <v>0</v>
      </c>
      <c r="J65" s="92">
        <f>+SUMIFS([1]全伝票!N:N,[1]全伝票!$C:$C,$C65)</f>
        <v>0</v>
      </c>
      <c r="K65" s="93">
        <f>SUM(F65:J65)</f>
        <v>0</v>
      </c>
      <c r="L65" s="89">
        <f>+SUMIFS([1]全伝票!O:O,[1]全伝票!$C:$C,$C65)</f>
        <v>0</v>
      </c>
      <c r="M65" s="118"/>
      <c r="N65" s="95"/>
      <c r="O65" s="96"/>
      <c r="P65" s="119">
        <f>+'[3]3条その他'!L$47</f>
        <v>0</v>
      </c>
      <c r="Q65" s="119">
        <f>+'[3]3条その他'!M$47</f>
        <v>0</v>
      </c>
      <c r="R65" s="119">
        <f>+'[3]3条その他'!N$47</f>
        <v>0</v>
      </c>
      <c r="S65" s="96">
        <f>SUM(N65:R65)</f>
        <v>0</v>
      </c>
      <c r="T65" s="119">
        <f>+'[3]3条その他'!$I$46</f>
        <v>109000</v>
      </c>
      <c r="U65" s="96">
        <f>+V65-SUM(S65:T65)</f>
        <v>0</v>
      </c>
      <c r="V65" s="97">
        <f>+SUMIFS([1]全伝票!P:P,[1]全伝票!$C:$C,$C65)</f>
        <v>109000</v>
      </c>
      <c r="W65" s="95">
        <f t="shared" si="224"/>
        <v>0</v>
      </c>
      <c r="X65" s="96">
        <f t="shared" si="224"/>
        <v>0</v>
      </c>
      <c r="Y65" s="96">
        <f t="shared" si="224"/>
        <v>0</v>
      </c>
      <c r="Z65" s="96">
        <f t="shared" si="224"/>
        <v>0</v>
      </c>
      <c r="AA65" s="98">
        <f>+ROUND(J65*J$6/(100+J$6),0)+AX65</f>
        <v>0</v>
      </c>
      <c r="AB65" s="93">
        <f t="shared" si="225"/>
        <v>0</v>
      </c>
      <c r="AC65" s="99">
        <f t="shared" si="226"/>
        <v>0</v>
      </c>
      <c r="AD65" s="100">
        <f t="shared" si="226"/>
        <v>0</v>
      </c>
      <c r="AE65" s="100">
        <f t="shared" si="226"/>
        <v>0</v>
      </c>
      <c r="AF65" s="100">
        <f t="shared" si="226"/>
        <v>0</v>
      </c>
      <c r="AG65" s="100">
        <f>+ROUND(R65*AG$6/(100+AG$6),0)+BM65</f>
        <v>0</v>
      </c>
      <c r="AH65" s="101">
        <f t="shared" si="227"/>
        <v>0</v>
      </c>
      <c r="AI65" s="102">
        <f>+E65-AB65</f>
        <v>109000</v>
      </c>
      <c r="AJ65" s="84"/>
      <c r="AK65" s="84"/>
      <c r="AL65" s="84"/>
      <c r="AM65" s="84"/>
      <c r="AN65" s="84"/>
      <c r="AO65" s="85"/>
      <c r="AP65" s="85"/>
      <c r="AQ65" s="85"/>
      <c r="AR65" s="85"/>
      <c r="AS65" s="85"/>
      <c r="AT65" s="86"/>
      <c r="AU65" s="86"/>
      <c r="AV65" s="86"/>
      <c r="AW65" s="86"/>
      <c r="AX65" s="86"/>
      <c r="AY65" s="84"/>
      <c r="AZ65" s="84"/>
      <c r="BA65" s="84"/>
      <c r="BB65" s="84"/>
      <c r="BC65" s="84"/>
      <c r="BD65" s="85"/>
      <c r="BE65" s="85"/>
      <c r="BF65" s="85"/>
      <c r="BG65" s="85"/>
      <c r="BH65" s="85"/>
      <c r="BI65" s="86"/>
      <c r="BJ65" s="86"/>
      <c r="BK65" s="86"/>
      <c r="BL65" s="86"/>
      <c r="BM65" s="86"/>
    </row>
    <row r="66" spans="1:65" s="87" customFormat="1" ht="15.95" customHeight="1">
      <c r="A66" s="25"/>
      <c r="B66" s="26"/>
      <c r="C66" s="27"/>
      <c r="D66" s="71" t="s">
        <v>21</v>
      </c>
      <c r="E66" s="72">
        <f>+E67</f>
        <v>0</v>
      </c>
      <c r="F66" s="73">
        <f t="shared" ref="F66:M66" si="228">+F67</f>
        <v>0</v>
      </c>
      <c r="G66" s="74">
        <f t="shared" si="228"/>
        <v>0</v>
      </c>
      <c r="H66" s="74">
        <f t="shared" si="228"/>
        <v>0</v>
      </c>
      <c r="I66" s="75">
        <f t="shared" si="228"/>
        <v>0</v>
      </c>
      <c r="J66" s="75">
        <f t="shared" si="228"/>
        <v>0</v>
      </c>
      <c r="K66" s="76">
        <f t="shared" si="228"/>
        <v>0</v>
      </c>
      <c r="L66" s="72">
        <f t="shared" si="228"/>
        <v>0</v>
      </c>
      <c r="M66" s="72">
        <f t="shared" si="228"/>
        <v>0</v>
      </c>
      <c r="N66" s="77">
        <f t="shared" ref="N66:U66" si="229">+N67</f>
        <v>0</v>
      </c>
      <c r="O66" s="78">
        <f t="shared" si="229"/>
        <v>0</v>
      </c>
      <c r="P66" s="78">
        <f t="shared" si="229"/>
        <v>0</v>
      </c>
      <c r="Q66" s="78">
        <f t="shared" si="229"/>
        <v>0</v>
      </c>
      <c r="R66" s="78">
        <f t="shared" si="229"/>
        <v>0</v>
      </c>
      <c r="S66" s="78">
        <f t="shared" si="229"/>
        <v>0</v>
      </c>
      <c r="T66" s="78">
        <f t="shared" si="229"/>
        <v>0</v>
      </c>
      <c r="U66" s="78">
        <f t="shared" si="229"/>
        <v>0</v>
      </c>
      <c r="V66" s="79">
        <f>+V67</f>
        <v>0</v>
      </c>
      <c r="W66" s="73">
        <f t="shared" ref="W66:AI66" si="230">+W67</f>
        <v>0</v>
      </c>
      <c r="X66" s="74">
        <f t="shared" si="230"/>
        <v>0</v>
      </c>
      <c r="Y66" s="74">
        <f t="shared" si="230"/>
        <v>0</v>
      </c>
      <c r="Z66" s="74">
        <f t="shared" si="230"/>
        <v>0</v>
      </c>
      <c r="AA66" s="75">
        <f t="shared" si="230"/>
        <v>0</v>
      </c>
      <c r="AB66" s="76">
        <f t="shared" si="230"/>
        <v>0</v>
      </c>
      <c r="AC66" s="80">
        <f t="shared" ref="AC66:AH66" si="231">+AC67</f>
        <v>0</v>
      </c>
      <c r="AD66" s="81">
        <f t="shared" si="231"/>
        <v>0</v>
      </c>
      <c r="AE66" s="81">
        <f t="shared" si="231"/>
        <v>0</v>
      </c>
      <c r="AF66" s="81">
        <f t="shared" si="231"/>
        <v>0</v>
      </c>
      <c r="AG66" s="81">
        <f t="shared" si="231"/>
        <v>0</v>
      </c>
      <c r="AH66" s="82">
        <f t="shared" si="231"/>
        <v>0</v>
      </c>
      <c r="AI66" s="83">
        <f t="shared" si="230"/>
        <v>0</v>
      </c>
      <c r="AJ66" s="103"/>
      <c r="AK66" s="103"/>
      <c r="AL66" s="103"/>
      <c r="AM66" s="103"/>
      <c r="AN66" s="103"/>
      <c r="AO66" s="85"/>
      <c r="AP66" s="85"/>
      <c r="AQ66" s="85"/>
      <c r="AR66" s="85"/>
      <c r="AS66" s="85"/>
      <c r="AT66" s="86"/>
      <c r="AU66" s="86"/>
      <c r="AV66" s="86"/>
      <c r="AW66" s="86"/>
      <c r="AX66" s="86"/>
      <c r="AY66" s="84"/>
      <c r="AZ66" s="84"/>
      <c r="BA66" s="84"/>
      <c r="BB66" s="84"/>
      <c r="BC66" s="84"/>
      <c r="BD66" s="85"/>
      <c r="BE66" s="85"/>
      <c r="BF66" s="85"/>
      <c r="BG66" s="85"/>
      <c r="BH66" s="85"/>
      <c r="BI66" s="86"/>
      <c r="BJ66" s="86"/>
      <c r="BK66" s="86"/>
      <c r="BL66" s="86"/>
      <c r="BM66" s="86"/>
    </row>
    <row r="67" spans="1:65" s="87" customFormat="1" ht="15.95" customHeight="1">
      <c r="A67" s="39"/>
      <c r="B67" s="40"/>
      <c r="C67" s="45">
        <v>483080800</v>
      </c>
      <c r="D67" s="138" t="s">
        <v>24</v>
      </c>
      <c r="E67" s="165">
        <f>+SUMIFS([1]全伝票!I:I,[1]全伝票!$C:$C,$C67)</f>
        <v>0</v>
      </c>
      <c r="F67" s="166">
        <f>+SUMIFS([1]全伝票!J:J,[1]全伝票!$C:$C,$C67)</f>
        <v>0</v>
      </c>
      <c r="G67" s="167">
        <f>+SUMIFS([1]全伝票!K:K,[1]全伝票!$C:$C,$C67)</f>
        <v>0</v>
      </c>
      <c r="H67" s="167">
        <f>+SUMIFS([1]全伝票!L:L,[1]全伝票!$C:$C,$C67)</f>
        <v>0</v>
      </c>
      <c r="I67" s="168">
        <f>+SUMIFS([1]全伝票!M:M,[1]全伝票!$C:$C,$C67)</f>
        <v>0</v>
      </c>
      <c r="J67" s="168">
        <f>+SUMIFS([1]全伝票!N:N,[1]全伝票!$C:$C,$C67)</f>
        <v>0</v>
      </c>
      <c r="K67" s="143">
        <f>SUM(F67:J67)</f>
        <v>0</v>
      </c>
      <c r="L67" s="165">
        <f>+SUMIFS([1]全伝票!O:O,[1]全伝票!$C:$C,$C67)</f>
        <v>0</v>
      </c>
      <c r="M67" s="139"/>
      <c r="N67" s="140"/>
      <c r="O67" s="141"/>
      <c r="P67" s="141"/>
      <c r="Q67" s="141"/>
      <c r="R67" s="141"/>
      <c r="S67" s="141">
        <f>SUM(N67:R67)</f>
        <v>0</v>
      </c>
      <c r="T67" s="141"/>
      <c r="U67" s="141">
        <f>+V67-SUM(N67:T67)</f>
        <v>0</v>
      </c>
      <c r="V67" s="97">
        <f>+SUMIFS([1]全伝票!P:P,[1]全伝票!$C:$C,$C67)</f>
        <v>0</v>
      </c>
      <c r="W67" s="140">
        <f>+ROUND(F67*F$6/(100+F$6),0)+AT67</f>
        <v>0</v>
      </c>
      <c r="X67" s="141">
        <f>+ROUND(G67*G$6/(100+G$6),0)+AU67</f>
        <v>0</v>
      </c>
      <c r="Y67" s="141">
        <f>+ROUND(H67*H$6/(100+H$6),0)+AV67</f>
        <v>0</v>
      </c>
      <c r="Z67" s="141">
        <f>+ROUND(I67*I$6/(100+I$6),0)+AW67</f>
        <v>0</v>
      </c>
      <c r="AA67" s="142">
        <f>+ROUND(J67*J$6/(100+J$6),0)+AX67</f>
        <v>0</v>
      </c>
      <c r="AB67" s="143">
        <f>SUM(W67:AA67)</f>
        <v>0</v>
      </c>
      <c r="AC67" s="144">
        <f>+ROUND(N67*AC$6/(100+AC$6),0)+BI67</f>
        <v>0</v>
      </c>
      <c r="AD67" s="145">
        <f>+ROUND(O67*AD$6/(100+AD$6),0)+BJ67</f>
        <v>0</v>
      </c>
      <c r="AE67" s="145">
        <f>+ROUND(P67*AE$6/(100+AE$6),0)+BK67</f>
        <v>0</v>
      </c>
      <c r="AF67" s="145">
        <f>+ROUND(Q67*AF$6/(100+AF$6),0)+BL67</f>
        <v>0</v>
      </c>
      <c r="AG67" s="145">
        <f>+ROUND(R67*AG$6/(100+AG$6),0)+BM67</f>
        <v>0</v>
      </c>
      <c r="AH67" s="146">
        <f>SUM(AC67:AG67)</f>
        <v>0</v>
      </c>
      <c r="AI67" s="147">
        <f>+E67-AB67</f>
        <v>0</v>
      </c>
      <c r="AJ67" s="84"/>
      <c r="AK67" s="84"/>
      <c r="AL67" s="84"/>
      <c r="AM67" s="84"/>
      <c r="AN67" s="84"/>
      <c r="AO67" s="85"/>
      <c r="AP67" s="85"/>
      <c r="AQ67" s="85"/>
      <c r="AR67" s="85"/>
      <c r="AS67" s="85"/>
      <c r="AT67" s="86"/>
      <c r="AU67" s="86"/>
      <c r="AV67" s="86"/>
      <c r="AW67" s="86"/>
      <c r="AX67" s="86"/>
      <c r="AY67" s="84"/>
      <c r="AZ67" s="84"/>
      <c r="BA67" s="84"/>
      <c r="BB67" s="84"/>
      <c r="BC67" s="84"/>
      <c r="BD67" s="85"/>
      <c r="BE67" s="85"/>
      <c r="BF67" s="85"/>
      <c r="BG67" s="85"/>
      <c r="BH67" s="85"/>
      <c r="BI67" s="86"/>
      <c r="BJ67" s="86"/>
      <c r="BK67" s="86"/>
      <c r="BL67" s="86"/>
      <c r="BM67" s="86"/>
    </row>
    <row r="68" spans="1:65" s="87" customFormat="1" ht="15.95" customHeight="1" thickBot="1">
      <c r="A68" s="46"/>
      <c r="B68" s="47"/>
      <c r="C68" s="48"/>
      <c r="D68" s="184" t="s">
        <v>31</v>
      </c>
      <c r="E68" s="185">
        <f t="shared" ref="E68:AI68" si="232">+SUM(E66,E58,E60,E62)</f>
        <v>4198999</v>
      </c>
      <c r="F68" s="186">
        <f t="shared" si="232"/>
        <v>0</v>
      </c>
      <c r="G68" s="187">
        <f t="shared" si="232"/>
        <v>0</v>
      </c>
      <c r="H68" s="187">
        <f t="shared" si="232"/>
        <v>47053</v>
      </c>
      <c r="I68" s="188">
        <f t="shared" ref="I68" si="233">+SUM(I66,I58,I60,I62)</f>
        <v>0</v>
      </c>
      <c r="J68" s="188">
        <f t="shared" si="232"/>
        <v>1566432</v>
      </c>
      <c r="K68" s="189">
        <f t="shared" si="232"/>
        <v>1613485</v>
      </c>
      <c r="L68" s="185">
        <f t="shared" si="232"/>
        <v>910</v>
      </c>
      <c r="M68" s="185">
        <f t="shared" ref="M68" si="234">+SUM(M66,M58,M60,M62)</f>
        <v>0</v>
      </c>
      <c r="N68" s="186">
        <f t="shared" si="232"/>
        <v>0</v>
      </c>
      <c r="O68" s="187">
        <f t="shared" si="232"/>
        <v>0</v>
      </c>
      <c r="P68" s="187">
        <f t="shared" si="232"/>
        <v>0</v>
      </c>
      <c r="Q68" s="187">
        <f t="shared" ref="Q68" si="235">+SUM(Q66,Q58,Q60,Q62)</f>
        <v>0</v>
      </c>
      <c r="R68" s="187">
        <f t="shared" si="232"/>
        <v>0</v>
      </c>
      <c r="S68" s="187">
        <f t="shared" si="232"/>
        <v>0</v>
      </c>
      <c r="T68" s="187">
        <f t="shared" si="232"/>
        <v>2584604</v>
      </c>
      <c r="U68" s="187">
        <f t="shared" si="232"/>
        <v>0</v>
      </c>
      <c r="V68" s="189">
        <f t="shared" si="232"/>
        <v>2584604</v>
      </c>
      <c r="W68" s="186">
        <f t="shared" si="232"/>
        <v>0</v>
      </c>
      <c r="X68" s="187">
        <f t="shared" si="232"/>
        <v>0</v>
      </c>
      <c r="Y68" s="187">
        <f t="shared" si="232"/>
        <v>3485</v>
      </c>
      <c r="Z68" s="187">
        <f t="shared" ref="Z68" si="236">+SUM(Z66,Z58,Z60,Z62)</f>
        <v>0</v>
      </c>
      <c r="AA68" s="188">
        <f t="shared" si="232"/>
        <v>142403</v>
      </c>
      <c r="AB68" s="189">
        <f t="shared" si="232"/>
        <v>145888</v>
      </c>
      <c r="AC68" s="190">
        <f t="shared" si="232"/>
        <v>0</v>
      </c>
      <c r="AD68" s="191">
        <f t="shared" si="232"/>
        <v>0</v>
      </c>
      <c r="AE68" s="191">
        <f t="shared" si="232"/>
        <v>0</v>
      </c>
      <c r="AF68" s="191">
        <f t="shared" ref="AF68" si="237">+SUM(AF66,AF58,AF60,AF62)</f>
        <v>0</v>
      </c>
      <c r="AG68" s="191">
        <f t="shared" si="232"/>
        <v>0</v>
      </c>
      <c r="AH68" s="192">
        <f t="shared" si="232"/>
        <v>0</v>
      </c>
      <c r="AI68" s="193">
        <f t="shared" si="232"/>
        <v>4053111</v>
      </c>
      <c r="AJ68" s="103"/>
      <c r="AK68" s="103"/>
      <c r="AL68" s="103"/>
      <c r="AM68" s="103"/>
      <c r="AN68" s="103"/>
      <c r="AO68" s="85"/>
      <c r="AP68" s="85"/>
      <c r="AQ68" s="85"/>
      <c r="AR68" s="85"/>
      <c r="AS68" s="85"/>
      <c r="AT68" s="86"/>
      <c r="AU68" s="86"/>
      <c r="AV68" s="86"/>
      <c r="AW68" s="86"/>
      <c r="AX68" s="86"/>
      <c r="AY68" s="84"/>
      <c r="AZ68" s="84"/>
      <c r="BA68" s="84"/>
      <c r="BB68" s="84"/>
      <c r="BC68" s="84"/>
      <c r="BD68" s="85"/>
      <c r="BE68" s="85"/>
      <c r="BF68" s="85"/>
      <c r="BG68" s="85"/>
      <c r="BH68" s="85"/>
      <c r="BI68" s="86"/>
      <c r="BJ68" s="86"/>
      <c r="BK68" s="86"/>
      <c r="BL68" s="86"/>
      <c r="BM68" s="86"/>
    </row>
    <row r="69" spans="1:65" s="87" customFormat="1" ht="15.95" customHeight="1" thickTop="1">
      <c r="A69" s="194"/>
      <c r="B69" s="195"/>
      <c r="C69" s="196"/>
      <c r="D69" s="49" t="s">
        <v>5</v>
      </c>
      <c r="E69" s="197">
        <f t="shared" ref="E69:AI69" si="238">SUM(E27,E57,E68)</f>
        <v>44454711283</v>
      </c>
      <c r="F69" s="198">
        <f t="shared" si="238"/>
        <v>0</v>
      </c>
      <c r="G69" s="199">
        <f t="shared" si="238"/>
        <v>0</v>
      </c>
      <c r="H69" s="199">
        <f t="shared" si="238"/>
        <v>47053</v>
      </c>
      <c r="I69" s="200">
        <f t="shared" ref="I69" si="239">SUM(I27,I57,I68)</f>
        <v>0</v>
      </c>
      <c r="J69" s="200">
        <f t="shared" si="238"/>
        <v>20730008529</v>
      </c>
      <c r="K69" s="201">
        <f t="shared" si="238"/>
        <v>20730055582</v>
      </c>
      <c r="L69" s="197">
        <f t="shared" si="238"/>
        <v>22644840</v>
      </c>
      <c r="M69" s="197">
        <f t="shared" si="238"/>
        <v>86860</v>
      </c>
      <c r="N69" s="198">
        <f t="shared" si="238"/>
        <v>0</v>
      </c>
      <c r="O69" s="199">
        <f t="shared" si="238"/>
        <v>0</v>
      </c>
      <c r="P69" s="199">
        <f t="shared" si="238"/>
        <v>455392</v>
      </c>
      <c r="Q69" s="199">
        <f t="shared" ref="Q69" si="240">SUM(Q27,Q57,Q68)</f>
        <v>130568</v>
      </c>
      <c r="R69" s="199">
        <f t="shared" si="238"/>
        <v>2312306920</v>
      </c>
      <c r="S69" s="199">
        <f t="shared" si="238"/>
        <v>2312892880</v>
      </c>
      <c r="T69" s="199">
        <f t="shared" si="238"/>
        <v>11691202011</v>
      </c>
      <c r="U69" s="199">
        <f t="shared" si="238"/>
        <v>9697829110</v>
      </c>
      <c r="V69" s="202">
        <f t="shared" si="238"/>
        <v>23701924001</v>
      </c>
      <c r="W69" s="203">
        <f t="shared" si="238"/>
        <v>0</v>
      </c>
      <c r="X69" s="204">
        <f t="shared" si="238"/>
        <v>0</v>
      </c>
      <c r="Y69" s="204">
        <f t="shared" si="238"/>
        <v>3485</v>
      </c>
      <c r="Z69" s="204">
        <f t="shared" ref="Z69" si="241">SUM(Z27,Z57,Z68)</f>
        <v>0</v>
      </c>
      <c r="AA69" s="205">
        <f t="shared" si="238"/>
        <v>1884546229</v>
      </c>
      <c r="AB69" s="201">
        <f t="shared" si="238"/>
        <v>1884549714</v>
      </c>
      <c r="AC69" s="206">
        <f t="shared" si="238"/>
        <v>0</v>
      </c>
      <c r="AD69" s="204">
        <f t="shared" si="238"/>
        <v>0</v>
      </c>
      <c r="AE69" s="204">
        <f t="shared" si="238"/>
        <v>33732</v>
      </c>
      <c r="AF69" s="204">
        <f t="shared" ref="AF69" si="242">SUM(AF27,AF57,AF68)</f>
        <v>9671</v>
      </c>
      <c r="AG69" s="204">
        <f t="shared" si="238"/>
        <v>210209720</v>
      </c>
      <c r="AH69" s="207">
        <f t="shared" si="238"/>
        <v>210253123</v>
      </c>
      <c r="AI69" s="208">
        <f t="shared" si="238"/>
        <v>42572042134</v>
      </c>
      <c r="AJ69" s="103" t="str">
        <f>+IF(F69=0,"",ROUND(F69*F$6/(100+F$6),7)-W69)</f>
        <v/>
      </c>
      <c r="AK69" s="103"/>
      <c r="AL69" s="103"/>
      <c r="AM69" s="103"/>
      <c r="AN69" s="103"/>
      <c r="AO69" s="209"/>
    </row>
    <row r="70" spans="1:65" s="87" customFormat="1" ht="15.95" customHeight="1">
      <c r="A70" s="210"/>
      <c r="B70" s="211"/>
      <c r="C70" s="212"/>
      <c r="D70" s="19" t="s">
        <v>6</v>
      </c>
      <c r="E70" s="213">
        <f t="shared" ref="E70:J70" si="243">+E69</f>
        <v>44454711283</v>
      </c>
      <c r="F70" s="214">
        <f t="shared" si="243"/>
        <v>0</v>
      </c>
      <c r="G70" s="215">
        <f t="shared" si="243"/>
        <v>0</v>
      </c>
      <c r="H70" s="215">
        <f t="shared" si="243"/>
        <v>47053</v>
      </c>
      <c r="I70" s="216">
        <f t="shared" si="243"/>
        <v>0</v>
      </c>
      <c r="J70" s="216">
        <f t="shared" si="243"/>
        <v>20730008529</v>
      </c>
      <c r="K70" s="217">
        <f>SUM(F70:J70)</f>
        <v>20730055582</v>
      </c>
      <c r="L70" s="213">
        <f t="shared" ref="L70:R70" si="244">+L69</f>
        <v>22644840</v>
      </c>
      <c r="M70" s="213">
        <f t="shared" si="244"/>
        <v>86860</v>
      </c>
      <c r="N70" s="214">
        <f t="shared" si="244"/>
        <v>0</v>
      </c>
      <c r="O70" s="215">
        <f t="shared" si="244"/>
        <v>0</v>
      </c>
      <c r="P70" s="215">
        <f t="shared" si="244"/>
        <v>455392</v>
      </c>
      <c r="Q70" s="215">
        <f t="shared" ref="Q70" si="245">+Q69</f>
        <v>130568</v>
      </c>
      <c r="R70" s="215">
        <f t="shared" si="244"/>
        <v>2312306920</v>
      </c>
      <c r="S70" s="215">
        <f>SUM(N70:R70)</f>
        <v>2312892880</v>
      </c>
      <c r="T70" s="215">
        <f>+T69</f>
        <v>11691202011</v>
      </c>
      <c r="U70" s="215">
        <f>+U69</f>
        <v>9697829110</v>
      </c>
      <c r="V70" s="218">
        <f>+V69</f>
        <v>23701924001</v>
      </c>
      <c r="W70" s="214">
        <f>+ROUNDDOWN(F70*F$6/(100+F$6),0)</f>
        <v>0</v>
      </c>
      <c r="X70" s="156">
        <f>+ROUNDDOWN(G70*G$6/(100+G$6),0)</f>
        <v>0</v>
      </c>
      <c r="Y70" s="156">
        <f>+ROUNDDOWN(H70*H$6/(100+H$6),0)</f>
        <v>3485</v>
      </c>
      <c r="Z70" s="156">
        <f>+ROUNDDOWN(I70*I$6/(100+I$6),0)</f>
        <v>0</v>
      </c>
      <c r="AA70" s="219">
        <f>+ROUNDDOWN(J70*J$6/(100+J$6),0)</f>
        <v>1884546229</v>
      </c>
      <c r="AB70" s="217">
        <f>SUM(W70:AA70)</f>
        <v>1884549714</v>
      </c>
      <c r="AC70" s="220">
        <f>+[4]消費税!U$91</f>
        <v>0</v>
      </c>
      <c r="AD70" s="221">
        <f>+[4]消費税!V$91</f>
        <v>0</v>
      </c>
      <c r="AE70" s="221">
        <f>+[4]消費税!W$91</f>
        <v>33732</v>
      </c>
      <c r="AF70" s="221">
        <f>+[4]消費税!X$91</f>
        <v>9671</v>
      </c>
      <c r="AG70" s="221">
        <f>+[4]消費税!Y$91</f>
        <v>210209720</v>
      </c>
      <c r="AH70" s="222">
        <f>+[4]消費税!Z$91</f>
        <v>210253123</v>
      </c>
      <c r="AI70" s="213">
        <f>+E70-AB70</f>
        <v>42570161569</v>
      </c>
      <c r="AJ70" s="103" t="str">
        <f>+IF(F70=0,"",ROUND(F70*F$6/(100+F$6),7)-W70)</f>
        <v/>
      </c>
      <c r="AK70" s="103"/>
      <c r="AL70" s="103"/>
      <c r="AM70" s="103"/>
      <c r="AN70" s="103"/>
      <c r="AO70" s="209"/>
    </row>
    <row r="71" spans="1:65" s="87" customFormat="1" ht="15.95" customHeight="1">
      <c r="E71" s="223">
        <f t="shared" ref="E71:AI71" si="246">+E70-E69</f>
        <v>0</v>
      </c>
      <c r="F71" s="223">
        <f t="shared" si="246"/>
        <v>0</v>
      </c>
      <c r="G71" s="223">
        <f t="shared" si="246"/>
        <v>0</v>
      </c>
      <c r="H71" s="223">
        <f t="shared" si="246"/>
        <v>0</v>
      </c>
      <c r="I71" s="223">
        <f t="shared" ref="I71" si="247">+I70-I69</f>
        <v>0</v>
      </c>
      <c r="J71" s="223">
        <f t="shared" si="246"/>
        <v>0</v>
      </c>
      <c r="K71" s="223">
        <f t="shared" si="246"/>
        <v>0</v>
      </c>
      <c r="L71" s="223">
        <f t="shared" si="246"/>
        <v>0</v>
      </c>
      <c r="M71" s="223">
        <f t="shared" si="246"/>
        <v>0</v>
      </c>
      <c r="N71" s="223">
        <f t="shared" si="246"/>
        <v>0</v>
      </c>
      <c r="O71" s="223">
        <f t="shared" si="246"/>
        <v>0</v>
      </c>
      <c r="P71" s="223">
        <f t="shared" si="246"/>
        <v>0</v>
      </c>
      <c r="Q71" s="223">
        <f t="shared" ref="Q71" si="248">+Q70-Q69</f>
        <v>0</v>
      </c>
      <c r="R71" s="223">
        <f t="shared" si="246"/>
        <v>0</v>
      </c>
      <c r="S71" s="223">
        <f t="shared" si="246"/>
        <v>0</v>
      </c>
      <c r="T71" s="223">
        <f t="shared" si="246"/>
        <v>0</v>
      </c>
      <c r="U71" s="223">
        <f t="shared" si="246"/>
        <v>0</v>
      </c>
      <c r="V71" s="223">
        <f t="shared" si="246"/>
        <v>0</v>
      </c>
      <c r="W71" s="223">
        <f t="shared" si="246"/>
        <v>0</v>
      </c>
      <c r="X71" s="223">
        <f t="shared" si="246"/>
        <v>0</v>
      </c>
      <c r="Y71" s="223">
        <f t="shared" si="246"/>
        <v>0</v>
      </c>
      <c r="Z71" s="223">
        <f t="shared" ref="Z71" si="249">+Z70-Z69</f>
        <v>0</v>
      </c>
      <c r="AA71" s="223">
        <f t="shared" si="246"/>
        <v>0</v>
      </c>
      <c r="AB71" s="223">
        <f t="shared" si="246"/>
        <v>0</v>
      </c>
      <c r="AC71" s="223">
        <f t="shared" si="246"/>
        <v>0</v>
      </c>
      <c r="AD71" s="223">
        <f t="shared" si="246"/>
        <v>0</v>
      </c>
      <c r="AE71" s="223">
        <f t="shared" si="246"/>
        <v>0</v>
      </c>
      <c r="AF71" s="223">
        <f t="shared" ref="AF71" si="250">+AF70-AF69</f>
        <v>0</v>
      </c>
      <c r="AG71" s="223">
        <f t="shared" si="246"/>
        <v>0</v>
      </c>
      <c r="AH71" s="223">
        <f t="shared" si="246"/>
        <v>0</v>
      </c>
      <c r="AI71" s="223">
        <f t="shared" si="246"/>
        <v>-1880565</v>
      </c>
      <c r="AJ71" s="224" t="str">
        <f>+IF(F71=0,"",ROUND(F71*F$6/(100+F$6),7)-W71)</f>
        <v/>
      </c>
      <c r="AK71" s="224" t="str">
        <f>+IF(G71=0,"",ROUND(G71*G$6/(100+G$6),7)-X71)</f>
        <v/>
      </c>
      <c r="AL71" s="224" t="str">
        <f t="shared" ref="AL71:AL72" si="251">+IF(H71=0,"",ROUND(H71*H$6/(100+H$6),7)-Y71)</f>
        <v/>
      </c>
      <c r="AM71" s="224"/>
      <c r="AN71" s="224" t="str">
        <f t="shared" ref="AN71:AN72" si="252">+IF(J71=0,"",ROUND(J71*J$6/(100+J$6),7)-AA71)</f>
        <v/>
      </c>
      <c r="AO71" s="209" t="str">
        <f>+IF(SUM(AJ71:AN71)=0,"",SUM(AJ71:AN71))</f>
        <v/>
      </c>
    </row>
    <row r="72" spans="1:65" ht="15.95" customHeight="1">
      <c r="C72" s="1"/>
      <c r="AJ72" s="18" t="str">
        <f>+IF(F72=0,"",ROUND(F72*F$6/(100+F$6),7)-W72)</f>
        <v/>
      </c>
      <c r="AK72" s="18" t="str">
        <f>+IF(G72=0,"",ROUND(G72*G$6/(100+G$6),7)-X72)</f>
        <v/>
      </c>
      <c r="AL72" s="18" t="str">
        <f t="shared" si="251"/>
        <v/>
      </c>
      <c r="AM72" s="18"/>
      <c r="AN72" s="18" t="str">
        <f t="shared" si="252"/>
        <v/>
      </c>
      <c r="AO72" s="20" t="str">
        <f>+IF(SUM(AJ72:AN72)=0,"",SUM(AJ72:AN72))</f>
        <v/>
      </c>
    </row>
    <row r="73" spans="1:65" ht="15.95" customHeight="1">
      <c r="C73" s="1"/>
      <c r="D73" s="5" t="s">
        <v>87</v>
      </c>
      <c r="E73" s="50">
        <f>+'[1]3条支出'!E46</f>
        <v>42987208386</v>
      </c>
      <c r="F73" s="21">
        <f>+E70-E73+[4]消費税!AF113</f>
        <v>1467502897</v>
      </c>
      <c r="G73" s="1" t="s">
        <v>89</v>
      </c>
      <c r="AH73" s="5" t="s">
        <v>96</v>
      </c>
      <c r="AI73" s="21">
        <f>'[1]3条支出'!$T$41</f>
        <v>42028134935</v>
      </c>
      <c r="AJ73" s="18"/>
      <c r="AK73" s="18"/>
      <c r="AL73" s="18"/>
      <c r="AM73" s="18"/>
      <c r="AN73" s="18"/>
      <c r="AO73" s="20"/>
    </row>
    <row r="74" spans="1:65" ht="15.95" customHeight="1">
      <c r="F74" s="21">
        <f>+F73-AI74</f>
        <v>923595698</v>
      </c>
      <c r="G74" s="1" t="s">
        <v>88</v>
      </c>
      <c r="P74" s="55" t="s">
        <v>43</v>
      </c>
      <c r="Q74" s="55"/>
      <c r="R74" s="22"/>
      <c r="S74" s="1" t="s">
        <v>45</v>
      </c>
      <c r="AH74" s="1" t="s">
        <v>97</v>
      </c>
      <c r="AI74" s="21">
        <f>+AI69-AI73</f>
        <v>543907199</v>
      </c>
    </row>
    <row r="75" spans="1:65" ht="15.95" customHeight="1">
      <c r="P75" s="51"/>
      <c r="Q75" s="67"/>
      <c r="R75" s="52"/>
      <c r="S75" s="4" t="s">
        <v>38</v>
      </c>
      <c r="T75" s="4" t="s">
        <v>39</v>
      </c>
      <c r="U75" s="4" t="s">
        <v>40</v>
      </c>
      <c r="V75" s="4" t="s">
        <v>41</v>
      </c>
      <c r="W75" s="4" t="s">
        <v>42</v>
      </c>
      <c r="AI75" s="53"/>
    </row>
    <row r="76" spans="1:65" ht="15.95" customHeight="1">
      <c r="P76" s="51" t="s">
        <v>44</v>
      </c>
      <c r="Q76" s="67"/>
      <c r="R76" s="52"/>
      <c r="S76" s="3">
        <f>+SUM(T76:W76)</f>
        <v>4980</v>
      </c>
      <c r="T76" s="56">
        <v>4980</v>
      </c>
      <c r="U76" s="56"/>
      <c r="V76" s="56"/>
      <c r="W76" s="56"/>
      <c r="X76" s="6">
        <f>S76-V47</f>
        <v>0</v>
      </c>
      <c r="AH76" s="5"/>
      <c r="AI76" s="21"/>
    </row>
    <row r="77" spans="1:65" ht="15.95" customHeight="1">
      <c r="P77" s="51" t="s">
        <v>84</v>
      </c>
      <c r="Q77" s="67"/>
      <c r="R77" s="52"/>
      <c r="S77" s="3">
        <f>+S76</f>
        <v>4980</v>
      </c>
      <c r="T77" s="3">
        <f>+S77-SUM(U77:W77)</f>
        <v>4980</v>
      </c>
      <c r="U77" s="56"/>
      <c r="V77" s="56"/>
      <c r="W77" s="56"/>
      <c r="AI77" s="21"/>
    </row>
    <row r="78" spans="1:65" ht="15.95" customHeight="1">
      <c r="P78" s="54" t="s">
        <v>46</v>
      </c>
      <c r="Q78" s="68"/>
      <c r="R78" s="52"/>
      <c r="S78" s="3">
        <f>+S77</f>
        <v>4980</v>
      </c>
      <c r="T78" s="3">
        <f>+S78-SUM(U78:W78)</f>
        <v>4980</v>
      </c>
      <c r="U78" s="3">
        <f>+IF($T$77&lt;0,ROUND($S$77*U77/SUM($U$77:$W$77),0),U77)</f>
        <v>0</v>
      </c>
      <c r="V78" s="3">
        <f t="shared" ref="V78:W78" si="253">+IF($T$77&lt;0,ROUND($S$77*V77/SUM($U$77:$W$77),0),V77)</f>
        <v>0</v>
      </c>
      <c r="W78" s="3">
        <f t="shared" si="253"/>
        <v>0</v>
      </c>
      <c r="X78" s="1"/>
      <c r="Y78" s="1"/>
      <c r="Z78" s="1"/>
      <c r="AA78" s="1"/>
      <c r="AB78" s="1"/>
      <c r="AH78" s="5"/>
      <c r="AI78" s="21"/>
    </row>
    <row r="79" spans="1:65" ht="15.95" customHeight="1">
      <c r="W79" s="1"/>
      <c r="X79" s="1"/>
      <c r="Y79" s="1"/>
      <c r="Z79" s="1"/>
      <c r="AA79" s="1"/>
      <c r="AB79" s="1"/>
      <c r="AH79" s="5"/>
      <c r="AI79" s="21"/>
    </row>
    <row r="80" spans="1:65" ht="15.95" customHeight="1"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AI80" s="21"/>
    </row>
    <row r="81" spans="18:35" ht="15.95" customHeight="1">
      <c r="R81" s="6"/>
      <c r="S81" s="6"/>
      <c r="T81" s="6"/>
      <c r="U81" s="6"/>
      <c r="V81" s="6"/>
      <c r="AI81" s="6"/>
    </row>
    <row r="82" spans="18:35" ht="15.95" customHeight="1">
      <c r="R82" s="6"/>
      <c r="S82" s="6"/>
      <c r="T82" s="6"/>
      <c r="U82" s="6"/>
      <c r="V82" s="6"/>
      <c r="AI82" s="62"/>
    </row>
    <row r="83" spans="18:35" ht="15.95" customHeight="1">
      <c r="R83" s="6"/>
      <c r="S83" s="6"/>
      <c r="T83" s="6"/>
      <c r="U83" s="6"/>
      <c r="V83" s="6"/>
      <c r="W83" s="1"/>
      <c r="X83" s="1"/>
      <c r="Y83" s="1"/>
      <c r="Z83" s="1"/>
      <c r="AA83" s="1"/>
      <c r="AB83" s="1"/>
      <c r="AI83" s="21"/>
    </row>
    <row r="84" spans="18:35" ht="15.95" customHeight="1">
      <c r="T84" s="21"/>
    </row>
  </sheetData>
  <mergeCells count="26">
    <mergeCell ref="F3:K5"/>
    <mergeCell ref="L3:L6"/>
    <mergeCell ref="N5:S5"/>
    <mergeCell ref="V5:V6"/>
    <mergeCell ref="A3:A6"/>
    <mergeCell ref="B3:B6"/>
    <mergeCell ref="C3:C6"/>
    <mergeCell ref="D3:D6"/>
    <mergeCell ref="E3:E6"/>
    <mergeCell ref="M3:M6"/>
    <mergeCell ref="N4:T4"/>
    <mergeCell ref="U4:U6"/>
    <mergeCell ref="AC3:AH5"/>
    <mergeCell ref="T5:T6"/>
    <mergeCell ref="AI3:AI6"/>
    <mergeCell ref="W3:AB5"/>
    <mergeCell ref="N3:V3"/>
    <mergeCell ref="AY3:BM4"/>
    <mergeCell ref="AY5:BC5"/>
    <mergeCell ref="BD5:BH5"/>
    <mergeCell ref="BI5:BM5"/>
    <mergeCell ref="AJ3:AO3"/>
    <mergeCell ref="AP3:AT3"/>
    <mergeCell ref="AJ5:AN5"/>
    <mergeCell ref="AO5:AS5"/>
    <mergeCell ref="AT5:AX5"/>
  </mergeCells>
  <phoneticPr fontId="3"/>
  <conditionalFormatting sqref="AP69:AT73 AT54:AT68 AT22:AT52 AT7:AX21 BI7:BM21">
    <cfRule type="notContainsBlanks" dxfId="35" priority="37" stopIfTrue="1">
      <formula>LEN(TRIM(AP7))&gt;0</formula>
    </cfRule>
  </conditionalFormatting>
  <conditionalFormatting sqref="BI22:BI68">
    <cfRule type="notContainsBlanks" dxfId="34" priority="4" stopIfTrue="1">
      <formula>LEN(TRIM(BI22))&gt;0</formula>
    </cfRule>
  </conditionalFormatting>
  <conditionalFormatting sqref="AT53">
    <cfRule type="notContainsBlanks" dxfId="33" priority="35" stopIfTrue="1">
      <formula>LEN(TRIM(AT53))&gt;0</formula>
    </cfRule>
  </conditionalFormatting>
  <conditionalFormatting sqref="AT22:AX68">
    <cfRule type="notContainsBlanks" dxfId="32" priority="34" stopIfTrue="1">
      <formula>LEN(TRIM(AT22))&gt;0</formula>
    </cfRule>
  </conditionalFormatting>
  <conditionalFormatting sqref="AO7:AS21 BD7:BH21">
    <cfRule type="expression" dxfId="31" priority="33">
      <formula>ABS(AO7)=1</formula>
    </cfRule>
  </conditionalFormatting>
  <conditionalFormatting sqref="AO22:AS68">
    <cfRule type="expression" dxfId="30" priority="32">
      <formula>ABS(AO22)=1</formula>
    </cfRule>
  </conditionalFormatting>
  <conditionalFormatting sqref="BD33:BH33">
    <cfRule type="expression" dxfId="29" priority="31">
      <formula>ABS(BD33)=1</formula>
    </cfRule>
  </conditionalFormatting>
  <conditionalFormatting sqref="BI33:BL33">
    <cfRule type="notContainsBlanks" dxfId="28" priority="30" stopIfTrue="1">
      <formula>LEN(TRIM(BI33))&gt;0</formula>
    </cfRule>
  </conditionalFormatting>
  <conditionalFormatting sqref="BE33:BH33">
    <cfRule type="expression" dxfId="27" priority="29">
      <formula>ABS(BE33)=1</formula>
    </cfRule>
  </conditionalFormatting>
  <conditionalFormatting sqref="BI33">
    <cfRule type="notContainsBlanks" dxfId="26" priority="28" stopIfTrue="1">
      <formula>LEN(TRIM(BI33))&gt;0</formula>
    </cfRule>
  </conditionalFormatting>
  <conditionalFormatting sqref="BI33:BL33">
    <cfRule type="notContainsBlanks" dxfId="25" priority="27" stopIfTrue="1">
      <formula>LEN(TRIM(BI33))&gt;0</formula>
    </cfRule>
  </conditionalFormatting>
  <conditionalFormatting sqref="BD33:BH33">
    <cfRule type="expression" dxfId="24" priority="26">
      <formula>ABS(BD33)=1</formula>
    </cfRule>
  </conditionalFormatting>
  <conditionalFormatting sqref="BD22:BH68">
    <cfRule type="expression" dxfId="23" priority="25">
      <formula>ABS(BD22)=1</formula>
    </cfRule>
  </conditionalFormatting>
  <conditionalFormatting sqref="BD22:BH68">
    <cfRule type="expression" dxfId="22" priority="24">
      <formula>ABS(BD22)=1</formula>
    </cfRule>
  </conditionalFormatting>
  <conditionalFormatting sqref="BD22:BH68">
    <cfRule type="expression" dxfId="21" priority="23">
      <formula>ABS(BD22)=1</formula>
    </cfRule>
  </conditionalFormatting>
  <conditionalFormatting sqref="BD25:BH25">
    <cfRule type="expression" dxfId="20" priority="22">
      <formula>ABS(BD25)=1</formula>
    </cfRule>
  </conditionalFormatting>
  <conditionalFormatting sqref="BE25:BH25">
    <cfRule type="expression" dxfId="19" priority="21">
      <formula>ABS(BE25)=1</formula>
    </cfRule>
  </conditionalFormatting>
  <conditionalFormatting sqref="BD25:BH25">
    <cfRule type="expression" dxfId="18" priority="20">
      <formula>ABS(BD25)=1</formula>
    </cfRule>
  </conditionalFormatting>
  <conditionalFormatting sqref="BD27:BH29">
    <cfRule type="expression" dxfId="17" priority="19">
      <formula>ABS(BD27)=1</formula>
    </cfRule>
  </conditionalFormatting>
  <conditionalFormatting sqref="BD27:BH29">
    <cfRule type="expression" dxfId="16" priority="18">
      <formula>ABS(BD27)=1</formula>
    </cfRule>
  </conditionalFormatting>
  <conditionalFormatting sqref="BD27:BH29">
    <cfRule type="expression" dxfId="15" priority="17">
      <formula>ABS(BD27)=1</formula>
    </cfRule>
  </conditionalFormatting>
  <conditionalFormatting sqref="BD31:BH31">
    <cfRule type="expression" dxfId="14" priority="16">
      <formula>ABS(BD31)=1</formula>
    </cfRule>
  </conditionalFormatting>
  <conditionalFormatting sqref="BD31:BH31">
    <cfRule type="expression" dxfId="13" priority="15">
      <formula>ABS(BD31)=1</formula>
    </cfRule>
  </conditionalFormatting>
  <conditionalFormatting sqref="BD31:BH31">
    <cfRule type="expression" dxfId="12" priority="14">
      <formula>ABS(BD31)=1</formula>
    </cfRule>
  </conditionalFormatting>
  <conditionalFormatting sqref="BD39:BH39">
    <cfRule type="expression" dxfId="11" priority="13">
      <formula>ABS(BD39)=1</formula>
    </cfRule>
  </conditionalFormatting>
  <conditionalFormatting sqref="BD39:BH39">
    <cfRule type="expression" dxfId="10" priority="12">
      <formula>ABS(BD39)=1</formula>
    </cfRule>
  </conditionalFormatting>
  <conditionalFormatting sqref="BD39:BH39">
    <cfRule type="expression" dxfId="9" priority="11">
      <formula>ABS(BD39)=1</formula>
    </cfRule>
  </conditionalFormatting>
  <conditionalFormatting sqref="BD43:BH45">
    <cfRule type="expression" dxfId="8" priority="10">
      <formula>ABS(BD43)=1</formula>
    </cfRule>
  </conditionalFormatting>
  <conditionalFormatting sqref="BD43:BH45">
    <cfRule type="expression" dxfId="7" priority="9">
      <formula>ABS(BD43)=1</formula>
    </cfRule>
  </conditionalFormatting>
  <conditionalFormatting sqref="BD43:BH45">
    <cfRule type="expression" dxfId="6" priority="8">
      <formula>ABS(BD43)=1</formula>
    </cfRule>
  </conditionalFormatting>
  <conditionalFormatting sqref="BD47:BH47">
    <cfRule type="expression" dxfId="5" priority="7">
      <formula>ABS(BD47)=1</formula>
    </cfRule>
  </conditionalFormatting>
  <conditionalFormatting sqref="BD47:BH47">
    <cfRule type="expression" dxfId="4" priority="6">
      <formula>ABS(BD47)=1</formula>
    </cfRule>
  </conditionalFormatting>
  <conditionalFormatting sqref="BD47:BH47">
    <cfRule type="expression" dxfId="3" priority="5">
      <formula>ABS(BD47)=1</formula>
    </cfRule>
  </conditionalFormatting>
  <conditionalFormatting sqref="BI22:BM68">
    <cfRule type="notContainsBlanks" dxfId="2" priority="3" stopIfTrue="1">
      <formula>LEN(TRIM(BI22))&gt;0</formula>
    </cfRule>
  </conditionalFormatting>
  <conditionalFormatting sqref="E71:AH71">
    <cfRule type="cellIs" dxfId="1" priority="2" operator="notEqual">
      <formula>0</formula>
    </cfRule>
  </conditionalFormatting>
  <conditionalFormatting sqref="F74">
    <cfRule type="cellIs" dxfId="0" priority="1" operator="notEqual">
      <formula>0</formula>
    </cfRule>
  </conditionalFormatting>
  <printOptions horizontalCentered="1"/>
  <pageMargins left="0.78740157480314965" right="0.19685039370078741" top="0.59055118110236227" bottom="0.39370078740157483" header="0.19685039370078741" footer="0.19685039370078741"/>
  <pageSetup paperSize="8" scale="63"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3条収入</vt:lpstr>
      <vt:lpstr>'3条収入'!Print_Area</vt:lpstr>
    </vt:vector>
  </TitlesOfParts>
  <Company>広島市役所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行政管理課</dc:creator>
  <cp:lastModifiedBy>安達 謙介</cp:lastModifiedBy>
  <cp:lastPrinted>2024-05-20T08:29:55Z</cp:lastPrinted>
  <dcterms:created xsi:type="dcterms:W3CDTF">1998-05-17T07:51:00Z</dcterms:created>
  <dcterms:modified xsi:type="dcterms:W3CDTF">2024-06-13T02:44:06Z</dcterms:modified>
</cp:coreProperties>
</file>