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経理係フォルダ\☆決算事務\０５年度決算\06 R5決算 消費税計算\02 繰入金計算\令和５年度決算用\"/>
    </mc:Choice>
  </mc:AlternateContent>
  <bookViews>
    <workbookView xWindow="19710" yWindow="630" windowWidth="17460" windowHeight="7965" tabRatio="679"/>
  </bookViews>
  <sheets>
    <sheet name="4条支出" sheetId="1" r:id="rId1"/>
    <sheet name="公整" sheetId="2" r:id="rId2"/>
    <sheet name="受益" sheetId="3" r:id="rId3"/>
    <sheet name="排水" sheetId="4" r:id="rId4"/>
    <sheet name="都下" sheetId="5" r:id="rId5"/>
    <sheet name="流下" sheetId="6" r:id="rId6"/>
    <sheet name="諸公" sheetId="8" r:id="rId7"/>
    <sheet name="諸特" sheetId="9" r:id="rId8"/>
    <sheet name="諸農" sheetId="10" r:id="rId9"/>
    <sheet name="建利" sheetId="11" r:id="rId10"/>
    <sheet name="特整" sheetId="13" r:id="rId11"/>
    <sheet name="農整" sheetId="14" r:id="rId12"/>
    <sheet name="浄整" sheetId="15" r:id="rId13"/>
    <sheet name="償還" sheetId="16" r:id="rId14"/>
    <sheet name="水洗" sheetId="17" r:id="rId15"/>
    <sheet name="返還" sheetId="18" r:id="rId16"/>
  </sheets>
  <externalReferences>
    <externalReference r:id="rId17"/>
  </externalReferences>
  <definedNames>
    <definedName name="_xlnm.Print_Area" localSheetId="0">'4条支出'!$D$1:$T$43</definedName>
    <definedName name="_xlnm.Print_Area" localSheetId="9">建利!$D$1:$T$43</definedName>
    <definedName name="_xlnm.Print_Area" localSheetId="1">公整!$D$1:$T$43</definedName>
    <definedName name="_xlnm.Print_Area" localSheetId="2">受益!$D$1:$T$43</definedName>
    <definedName name="_xlnm.Print_Area" localSheetId="6">諸公!$D$1:$T$43</definedName>
    <definedName name="_xlnm.Print_Area" localSheetId="7">諸特!$D$1:$T$43</definedName>
    <definedName name="_xlnm.Print_Area" localSheetId="8">諸農!$D$1:$T$43</definedName>
    <definedName name="_xlnm.Print_Area" localSheetId="13">償還!$D$1:$T$43</definedName>
    <definedName name="_xlnm.Print_Area" localSheetId="12">浄整!$D$1:$T$43</definedName>
    <definedName name="_xlnm.Print_Area" localSheetId="14">水洗!$D$1:$T$43</definedName>
    <definedName name="_xlnm.Print_Area" localSheetId="4">都下!$D$1:$T$43</definedName>
    <definedName name="_xlnm.Print_Area" localSheetId="10">特整!$D$1:$T$43</definedName>
    <definedName name="_xlnm.Print_Area" localSheetId="11">農整!$D$1:$T$43</definedName>
    <definedName name="_xlnm.Print_Area" localSheetId="3">排水!$D$1:$T$43</definedName>
    <definedName name="_xlnm.Print_Area" localSheetId="15">返還!$D$1:$T$43</definedName>
    <definedName name="_xlnm.Print_Area" localSheetId="5">流下!$D$1:$T$43</definedName>
  </definedNames>
  <calcPr calcId="162913" fullCalcOnLoad="1"/>
</workbook>
</file>

<file path=xl/calcChain.xml><?xml version="1.0" encoding="utf-8"?>
<calcChain xmlns="http://schemas.openxmlformats.org/spreadsheetml/2006/main">
  <c r="M10" i="15" l="1"/>
  <c r="M5" i="15"/>
  <c r="J10" i="15"/>
  <c r="J5" i="15"/>
  <c r="H10" i="15"/>
  <c r="H5" i="15"/>
  <c r="M10" i="14"/>
  <c r="M5" i="14"/>
  <c r="J10" i="14"/>
  <c r="J5" i="14"/>
  <c r="H10" i="14"/>
  <c r="H5" i="14"/>
  <c r="M10" i="13"/>
  <c r="M5" i="13"/>
  <c r="J10" i="13"/>
  <c r="J5" i="13"/>
  <c r="H10" i="13"/>
  <c r="H5" i="13"/>
  <c r="M10" i="4"/>
  <c r="M5" i="4"/>
  <c r="J10" i="4"/>
  <c r="J5" i="4"/>
  <c r="H10" i="4"/>
  <c r="H5" i="4"/>
  <c r="M10" i="3"/>
  <c r="M5" i="3"/>
  <c r="J10" i="3"/>
  <c r="J5" i="3"/>
  <c r="H10" i="3"/>
  <c r="H5" i="3"/>
  <c r="M10" i="2"/>
  <c r="M5" i="2"/>
  <c r="J10" i="2"/>
  <c r="J5" i="2"/>
  <c r="H10" i="2"/>
  <c r="H5" i="2"/>
  <c r="J5" i="5" l="1"/>
  <c r="J5" i="6"/>
  <c r="J5" i="8"/>
  <c r="J5" i="9"/>
  <c r="J5" i="10"/>
  <c r="J5" i="11"/>
  <c r="J5" i="16"/>
  <c r="J5" i="17"/>
  <c r="J5" i="18"/>
  <c r="I40" i="3"/>
  <c r="I39" i="3"/>
  <c r="I38" i="3"/>
  <c r="Q38" i="3" s="1"/>
  <c r="X38" i="3" s="1"/>
  <c r="I37" i="3"/>
  <c r="Q37" i="3" s="1"/>
  <c r="X37" i="3" s="1"/>
  <c r="I36" i="3"/>
  <c r="Q36" i="3" s="1"/>
  <c r="X36" i="3" s="1"/>
  <c r="I35" i="3"/>
  <c r="Q35" i="3" s="1"/>
  <c r="X35" i="3" s="1"/>
  <c r="I34" i="3"/>
  <c r="Q34" i="3" s="1"/>
  <c r="X34" i="3" s="1"/>
  <c r="I33" i="3"/>
  <c r="I32" i="3"/>
  <c r="Q32" i="3" s="1"/>
  <c r="X32" i="3" s="1"/>
  <c r="I31" i="3"/>
  <c r="Q31" i="3" s="1"/>
  <c r="X31" i="3" s="1"/>
  <c r="I30" i="3"/>
  <c r="Q30" i="3" s="1"/>
  <c r="X30" i="3" s="1"/>
  <c r="I29" i="3"/>
  <c r="Q29" i="3" s="1"/>
  <c r="X29" i="3" s="1"/>
  <c r="I28" i="3"/>
  <c r="Q28" i="3" s="1"/>
  <c r="X28" i="3" s="1"/>
  <c r="I27" i="3"/>
  <c r="Q27" i="3" s="1"/>
  <c r="X27" i="3" s="1"/>
  <c r="I26" i="3"/>
  <c r="Q26" i="3" s="1"/>
  <c r="X26" i="3" s="1"/>
  <c r="I25" i="3"/>
  <c r="Q25" i="3" s="1"/>
  <c r="X25" i="3" s="1"/>
  <c r="I24" i="3"/>
  <c r="Q24" i="3" s="1"/>
  <c r="X24" i="3" s="1"/>
  <c r="I23" i="3"/>
  <c r="Q23" i="3" s="1"/>
  <c r="X23" i="3" s="1"/>
  <c r="I22" i="3"/>
  <c r="Q22" i="3" s="1"/>
  <c r="X22" i="3" s="1"/>
  <c r="I21" i="3"/>
  <c r="I20" i="3"/>
  <c r="Q20" i="3" s="1"/>
  <c r="X20" i="3" s="1"/>
  <c r="I19" i="3"/>
  <c r="Q19" i="3" s="1"/>
  <c r="X19" i="3" s="1"/>
  <c r="I18" i="3"/>
  <c r="Q18" i="3" s="1"/>
  <c r="X18" i="3" s="1"/>
  <c r="I17" i="3"/>
  <c r="Q17" i="3" s="1"/>
  <c r="X17" i="3" s="1"/>
  <c r="I16" i="3"/>
  <c r="Q16" i="3" s="1"/>
  <c r="X16" i="3" s="1"/>
  <c r="I15" i="3"/>
  <c r="Q15" i="3" s="1"/>
  <c r="X15" i="3" s="1"/>
  <c r="I14" i="3"/>
  <c r="Q14" i="3" s="1"/>
  <c r="X14" i="3" s="1"/>
  <c r="I13" i="3"/>
  <c r="I12" i="3"/>
  <c r="Q12" i="3" s="1"/>
  <c r="X12" i="3" s="1"/>
  <c r="I11" i="3"/>
  <c r="Q11" i="3" s="1"/>
  <c r="X11" i="3" s="1"/>
  <c r="I10" i="3"/>
  <c r="Q10" i="3" s="1"/>
  <c r="X10" i="3" s="1"/>
  <c r="I9" i="3"/>
  <c r="I8" i="3"/>
  <c r="Q8" i="3" s="1"/>
  <c r="I7" i="3"/>
  <c r="I6" i="3"/>
  <c r="Q6" i="3" s="1"/>
  <c r="X6" i="3" s="1"/>
  <c r="I5" i="3"/>
  <c r="Q5" i="3" s="1"/>
  <c r="X5" i="3" s="1"/>
  <c r="I40" i="4"/>
  <c r="Q40" i="4" s="1"/>
  <c r="X40" i="4" s="1"/>
  <c r="I39" i="4"/>
  <c r="Q39" i="4" s="1"/>
  <c r="X39" i="4" s="1"/>
  <c r="I38" i="4"/>
  <c r="Q38" i="4" s="1"/>
  <c r="X38" i="4" s="1"/>
  <c r="I37" i="4"/>
  <c r="I36" i="4"/>
  <c r="Q36" i="4" s="1"/>
  <c r="X36" i="4" s="1"/>
  <c r="I35" i="4"/>
  <c r="Q35" i="4" s="1"/>
  <c r="X35" i="4" s="1"/>
  <c r="I34" i="4"/>
  <c r="Q34" i="4" s="1"/>
  <c r="X34" i="4" s="1"/>
  <c r="I33" i="4"/>
  <c r="I32" i="4"/>
  <c r="Q32" i="4" s="1"/>
  <c r="X32" i="4" s="1"/>
  <c r="I31" i="4"/>
  <c r="Q31" i="4" s="1"/>
  <c r="X31" i="4" s="1"/>
  <c r="I30" i="4"/>
  <c r="Q30" i="4" s="1"/>
  <c r="X30" i="4" s="1"/>
  <c r="I29" i="4"/>
  <c r="Q29" i="4" s="1"/>
  <c r="X29" i="4" s="1"/>
  <c r="I28" i="4"/>
  <c r="Q28" i="4" s="1"/>
  <c r="X28" i="4" s="1"/>
  <c r="I27" i="4"/>
  <c r="Q27" i="4" s="1"/>
  <c r="X27" i="4" s="1"/>
  <c r="I26" i="4"/>
  <c r="Q26" i="4" s="1"/>
  <c r="X26" i="4" s="1"/>
  <c r="I25" i="4"/>
  <c r="I24" i="4"/>
  <c r="Q24" i="4" s="1"/>
  <c r="X24" i="4" s="1"/>
  <c r="I23" i="4"/>
  <c r="Q23" i="4" s="1"/>
  <c r="X23" i="4" s="1"/>
  <c r="I22" i="4"/>
  <c r="Q22" i="4" s="1"/>
  <c r="X22" i="4" s="1"/>
  <c r="I21" i="4"/>
  <c r="Q21" i="4" s="1"/>
  <c r="X21" i="4" s="1"/>
  <c r="I20" i="4"/>
  <c r="Q20" i="4" s="1"/>
  <c r="X20" i="4" s="1"/>
  <c r="I19" i="4"/>
  <c r="Q19" i="4" s="1"/>
  <c r="X19" i="4" s="1"/>
  <c r="I18" i="4"/>
  <c r="Q18" i="4" s="1"/>
  <c r="X18" i="4" s="1"/>
  <c r="I17" i="4"/>
  <c r="Q17" i="4" s="1"/>
  <c r="X17" i="4" s="1"/>
  <c r="I16" i="4"/>
  <c r="Q16" i="4" s="1"/>
  <c r="X16" i="4" s="1"/>
  <c r="I15" i="4"/>
  <c r="Q15" i="4" s="1"/>
  <c r="X15" i="4" s="1"/>
  <c r="I14" i="4"/>
  <c r="Q14" i="4" s="1"/>
  <c r="X14" i="4" s="1"/>
  <c r="I13" i="4"/>
  <c r="Q13" i="4" s="1"/>
  <c r="X13" i="4" s="1"/>
  <c r="I12" i="4"/>
  <c r="Q12" i="4" s="1"/>
  <c r="X12" i="4" s="1"/>
  <c r="I11" i="4"/>
  <c r="Q11" i="4" s="1"/>
  <c r="X11" i="4" s="1"/>
  <c r="I10" i="4"/>
  <c r="Q10" i="4" s="1"/>
  <c r="X10" i="4" s="1"/>
  <c r="I9" i="4"/>
  <c r="Q9" i="4" s="1"/>
  <c r="X9" i="4" s="1"/>
  <c r="I8" i="4"/>
  <c r="Q8" i="4" s="1"/>
  <c r="X8" i="4" s="1"/>
  <c r="I7" i="4"/>
  <c r="Q7" i="4" s="1"/>
  <c r="I6" i="4"/>
  <c r="Q6" i="4" s="1"/>
  <c r="X6" i="4" s="1"/>
  <c r="I5" i="4"/>
  <c r="Q5" i="4" s="1"/>
  <c r="X5" i="4" s="1"/>
  <c r="I39" i="5"/>
  <c r="I41" i="5" s="1"/>
  <c r="I42" i="5" s="1"/>
  <c r="I43" i="5" s="1"/>
  <c r="I39" i="6"/>
  <c r="I41" i="6" s="1"/>
  <c r="I42" i="6" s="1"/>
  <c r="I43" i="6" s="1"/>
  <c r="I40" i="8"/>
  <c r="Q40" i="8" s="1"/>
  <c r="X40" i="8" s="1"/>
  <c r="I39" i="8"/>
  <c r="Q39" i="8" s="1"/>
  <c r="X39" i="8" s="1"/>
  <c r="I38" i="8"/>
  <c r="Q38" i="8" s="1"/>
  <c r="X38" i="8" s="1"/>
  <c r="I37" i="8"/>
  <c r="Q37" i="8" s="1"/>
  <c r="X37" i="8" s="1"/>
  <c r="I36" i="8"/>
  <c r="Q36" i="8" s="1"/>
  <c r="X36" i="8" s="1"/>
  <c r="I35" i="8"/>
  <c r="Q35" i="8" s="1"/>
  <c r="X35" i="8" s="1"/>
  <c r="I34" i="8"/>
  <c r="Q34" i="8" s="1"/>
  <c r="I33" i="8"/>
  <c r="Q33" i="8" s="1"/>
  <c r="X33" i="8" s="1"/>
  <c r="I32" i="8"/>
  <c r="Q32" i="8" s="1"/>
  <c r="X32" i="8" s="1"/>
  <c r="I31" i="8"/>
  <c r="Q31" i="8" s="1"/>
  <c r="X31" i="8" s="1"/>
  <c r="I30" i="8"/>
  <c r="Q30" i="8" s="1"/>
  <c r="X30" i="8" s="1"/>
  <c r="I29" i="8"/>
  <c r="Q29" i="8" s="1"/>
  <c r="X29" i="8" s="1"/>
  <c r="I40" i="9"/>
  <c r="Q40" i="9" s="1"/>
  <c r="X40" i="9" s="1"/>
  <c r="I39" i="9"/>
  <c r="Q39" i="9" s="1"/>
  <c r="X39" i="9" s="1"/>
  <c r="I38" i="9"/>
  <c r="Q38" i="9" s="1"/>
  <c r="X38" i="9" s="1"/>
  <c r="I37" i="9"/>
  <c r="Q37" i="9" s="1"/>
  <c r="X37" i="9" s="1"/>
  <c r="I36" i="9"/>
  <c r="Q36" i="9" s="1"/>
  <c r="X36" i="9" s="1"/>
  <c r="I35" i="9"/>
  <c r="Q35" i="9" s="1"/>
  <c r="X35" i="9" s="1"/>
  <c r="I34" i="9"/>
  <c r="Q34" i="9" s="1"/>
  <c r="X34" i="9" s="1"/>
  <c r="I33" i="9"/>
  <c r="Q33" i="9" s="1"/>
  <c r="X33" i="9" s="1"/>
  <c r="I32" i="9"/>
  <c r="Q32" i="9" s="1"/>
  <c r="X32" i="9" s="1"/>
  <c r="I31" i="9"/>
  <c r="Q31" i="9" s="1"/>
  <c r="X31" i="9" s="1"/>
  <c r="I30" i="9"/>
  <c r="Q30" i="9" s="1"/>
  <c r="X30" i="9" s="1"/>
  <c r="I29" i="9"/>
  <c r="Q29" i="9" s="1"/>
  <c r="X29" i="9" s="1"/>
  <c r="I40" i="10"/>
  <c r="Q40" i="10" s="1"/>
  <c r="X40" i="10" s="1"/>
  <c r="I39" i="10"/>
  <c r="Q39" i="10" s="1"/>
  <c r="X39" i="10" s="1"/>
  <c r="I38" i="10"/>
  <c r="Q38" i="10" s="1"/>
  <c r="X38" i="10" s="1"/>
  <c r="I37" i="10"/>
  <c r="Q37" i="10" s="1"/>
  <c r="X37" i="10" s="1"/>
  <c r="I36" i="10"/>
  <c r="Q36" i="10" s="1"/>
  <c r="X36" i="10" s="1"/>
  <c r="I35" i="10"/>
  <c r="Q35" i="10" s="1"/>
  <c r="X35" i="10" s="1"/>
  <c r="I34" i="10"/>
  <c r="Q34" i="10" s="1"/>
  <c r="X34" i="10" s="1"/>
  <c r="I33" i="10"/>
  <c r="Q33" i="10" s="1"/>
  <c r="X33" i="10" s="1"/>
  <c r="I32" i="10"/>
  <c r="Q32" i="10" s="1"/>
  <c r="X32" i="10" s="1"/>
  <c r="I31" i="10"/>
  <c r="Q31" i="10" s="1"/>
  <c r="X31" i="10" s="1"/>
  <c r="I30" i="10"/>
  <c r="Q30" i="10" s="1"/>
  <c r="X30" i="10" s="1"/>
  <c r="I29" i="10"/>
  <c r="Q29" i="10" s="1"/>
  <c r="X29" i="10" s="1"/>
  <c r="I5" i="11"/>
  <c r="I41" i="11" s="1"/>
  <c r="I40" i="13"/>
  <c r="Q40" i="13" s="1"/>
  <c r="X40" i="13" s="1"/>
  <c r="I39" i="13"/>
  <c r="Q39" i="13" s="1"/>
  <c r="X39" i="13" s="1"/>
  <c r="I38" i="13"/>
  <c r="Q38" i="13" s="1"/>
  <c r="X38" i="13" s="1"/>
  <c r="I37" i="13"/>
  <c r="Q37" i="13" s="1"/>
  <c r="X37" i="13" s="1"/>
  <c r="I36" i="13"/>
  <c r="Q36" i="13" s="1"/>
  <c r="X36" i="13" s="1"/>
  <c r="I35" i="13"/>
  <c r="Q35" i="13" s="1"/>
  <c r="X35" i="13" s="1"/>
  <c r="I34" i="13"/>
  <c r="Q34" i="13" s="1"/>
  <c r="X34" i="13" s="1"/>
  <c r="I33" i="13"/>
  <c r="Q33" i="13" s="1"/>
  <c r="X33" i="13" s="1"/>
  <c r="I32" i="13"/>
  <c r="Q32" i="13" s="1"/>
  <c r="X32" i="13" s="1"/>
  <c r="I31" i="13"/>
  <c r="Q31" i="13" s="1"/>
  <c r="X31" i="13" s="1"/>
  <c r="I30" i="13"/>
  <c r="Q30" i="13" s="1"/>
  <c r="X30" i="13" s="1"/>
  <c r="I29" i="13"/>
  <c r="Q29" i="13" s="1"/>
  <c r="X29" i="13" s="1"/>
  <c r="I28" i="13"/>
  <c r="Q28" i="13" s="1"/>
  <c r="X28" i="13" s="1"/>
  <c r="I27" i="13"/>
  <c r="Q27" i="13" s="1"/>
  <c r="X27" i="13" s="1"/>
  <c r="I26" i="13"/>
  <c r="Q26" i="13" s="1"/>
  <c r="X26" i="13" s="1"/>
  <c r="I25" i="13"/>
  <c r="Q25" i="13" s="1"/>
  <c r="X25" i="13" s="1"/>
  <c r="I24" i="13"/>
  <c r="Q24" i="13" s="1"/>
  <c r="X24" i="13" s="1"/>
  <c r="I23" i="13"/>
  <c r="Q23" i="13" s="1"/>
  <c r="X23" i="13" s="1"/>
  <c r="I22" i="13"/>
  <c r="Q22" i="13" s="1"/>
  <c r="X22" i="13" s="1"/>
  <c r="I21" i="13"/>
  <c r="Q21" i="13" s="1"/>
  <c r="X21" i="13" s="1"/>
  <c r="I20" i="13"/>
  <c r="Q20" i="13" s="1"/>
  <c r="X20" i="13" s="1"/>
  <c r="I19" i="13"/>
  <c r="Q19" i="13" s="1"/>
  <c r="X19" i="13" s="1"/>
  <c r="I18" i="13"/>
  <c r="Q18" i="13" s="1"/>
  <c r="X18" i="13" s="1"/>
  <c r="I17" i="13"/>
  <c r="Q17" i="13" s="1"/>
  <c r="X17" i="13" s="1"/>
  <c r="I16" i="13"/>
  <c r="Q16" i="13" s="1"/>
  <c r="X16" i="13" s="1"/>
  <c r="I15" i="13"/>
  <c r="Q15" i="13" s="1"/>
  <c r="X15" i="13" s="1"/>
  <c r="I14" i="13"/>
  <c r="Q14" i="13" s="1"/>
  <c r="X14" i="13" s="1"/>
  <c r="I13" i="13"/>
  <c r="Q13" i="13" s="1"/>
  <c r="X13" i="13" s="1"/>
  <c r="I12" i="13"/>
  <c r="Q12" i="13" s="1"/>
  <c r="X12" i="13" s="1"/>
  <c r="I11" i="13"/>
  <c r="Q11" i="13" s="1"/>
  <c r="X11" i="13" s="1"/>
  <c r="I10" i="13"/>
  <c r="Q10" i="13" s="1"/>
  <c r="X10" i="13" s="1"/>
  <c r="I9" i="13"/>
  <c r="Q9" i="13" s="1"/>
  <c r="X9" i="13" s="1"/>
  <c r="I8" i="13"/>
  <c r="Q8" i="13" s="1"/>
  <c r="I7" i="13"/>
  <c r="Q7" i="13" s="1"/>
  <c r="X7" i="13" s="1"/>
  <c r="I6" i="13"/>
  <c r="Q6" i="13" s="1"/>
  <c r="X6" i="13" s="1"/>
  <c r="I5" i="13"/>
  <c r="Q5" i="13" s="1"/>
  <c r="X5" i="13" s="1"/>
  <c r="I40" i="14"/>
  <c r="Q40" i="14" s="1"/>
  <c r="X40" i="14" s="1"/>
  <c r="I39" i="14"/>
  <c r="Q39" i="14" s="1"/>
  <c r="X39" i="14" s="1"/>
  <c r="I38" i="14"/>
  <c r="Q38" i="14" s="1"/>
  <c r="X38" i="14" s="1"/>
  <c r="I37" i="14"/>
  <c r="Q37" i="14" s="1"/>
  <c r="X37" i="14" s="1"/>
  <c r="I36" i="14"/>
  <c r="Q36" i="14" s="1"/>
  <c r="X36" i="14" s="1"/>
  <c r="I35" i="14"/>
  <c r="Q35" i="14" s="1"/>
  <c r="X35" i="14" s="1"/>
  <c r="I34" i="14"/>
  <c r="Q34" i="14" s="1"/>
  <c r="X34" i="14" s="1"/>
  <c r="I33" i="14"/>
  <c r="Q33" i="14" s="1"/>
  <c r="X33" i="14" s="1"/>
  <c r="I32" i="14"/>
  <c r="Q32" i="14" s="1"/>
  <c r="X32" i="14" s="1"/>
  <c r="I31" i="14"/>
  <c r="Q31" i="14" s="1"/>
  <c r="X31" i="14" s="1"/>
  <c r="I30" i="14"/>
  <c r="Q30" i="14" s="1"/>
  <c r="X30" i="14" s="1"/>
  <c r="I29" i="14"/>
  <c r="Q29" i="14" s="1"/>
  <c r="X29" i="14" s="1"/>
  <c r="I28" i="14"/>
  <c r="Q28" i="14" s="1"/>
  <c r="X28" i="14" s="1"/>
  <c r="I27" i="14"/>
  <c r="Q27" i="14" s="1"/>
  <c r="X27" i="14" s="1"/>
  <c r="I26" i="14"/>
  <c r="Q26" i="14" s="1"/>
  <c r="X26" i="14" s="1"/>
  <c r="I25" i="14"/>
  <c r="Q25" i="14" s="1"/>
  <c r="X25" i="14" s="1"/>
  <c r="I24" i="14"/>
  <c r="Q24" i="14" s="1"/>
  <c r="X24" i="14" s="1"/>
  <c r="I23" i="14"/>
  <c r="Q23" i="14" s="1"/>
  <c r="X23" i="14" s="1"/>
  <c r="I22" i="14"/>
  <c r="Q22" i="14" s="1"/>
  <c r="X22" i="14" s="1"/>
  <c r="I21" i="14"/>
  <c r="Q21" i="14" s="1"/>
  <c r="X21" i="14" s="1"/>
  <c r="I20" i="14"/>
  <c r="Q20" i="14" s="1"/>
  <c r="X20" i="14" s="1"/>
  <c r="I19" i="14"/>
  <c r="Q19" i="14" s="1"/>
  <c r="X19" i="14" s="1"/>
  <c r="I18" i="14"/>
  <c r="Q18" i="14" s="1"/>
  <c r="X18" i="14" s="1"/>
  <c r="I17" i="14"/>
  <c r="Q17" i="14" s="1"/>
  <c r="X17" i="14" s="1"/>
  <c r="I16" i="14"/>
  <c r="Q16" i="14" s="1"/>
  <c r="X16" i="14" s="1"/>
  <c r="I15" i="14"/>
  <c r="Q15" i="14" s="1"/>
  <c r="I14" i="14"/>
  <c r="Q14" i="14" s="1"/>
  <c r="X14" i="14" s="1"/>
  <c r="I13" i="14"/>
  <c r="Q13" i="14" s="1"/>
  <c r="X13" i="14" s="1"/>
  <c r="I12" i="14"/>
  <c r="Q12" i="14" s="1"/>
  <c r="X12" i="14" s="1"/>
  <c r="I11" i="14"/>
  <c r="Q11" i="14" s="1"/>
  <c r="X11" i="14" s="1"/>
  <c r="I10" i="14"/>
  <c r="Q10" i="14" s="1"/>
  <c r="X10" i="14" s="1"/>
  <c r="I9" i="14"/>
  <c r="Q9" i="14" s="1"/>
  <c r="X9" i="14" s="1"/>
  <c r="I8" i="14"/>
  <c r="Q8" i="14" s="1"/>
  <c r="X8" i="14" s="1"/>
  <c r="I7" i="14"/>
  <c r="Q7" i="14" s="1"/>
  <c r="X7" i="14" s="1"/>
  <c r="I6" i="14"/>
  <c r="Q6" i="14" s="1"/>
  <c r="X6" i="14" s="1"/>
  <c r="I5" i="14"/>
  <c r="Q5" i="14" s="1"/>
  <c r="X5" i="14" s="1"/>
  <c r="I40" i="15"/>
  <c r="Q40" i="15" s="1"/>
  <c r="X40" i="15" s="1"/>
  <c r="I39" i="15"/>
  <c r="Q39" i="15" s="1"/>
  <c r="X39" i="15" s="1"/>
  <c r="I38" i="15"/>
  <c r="Q38" i="15" s="1"/>
  <c r="X38" i="15" s="1"/>
  <c r="I37" i="15"/>
  <c r="Q37" i="15" s="1"/>
  <c r="X37" i="15" s="1"/>
  <c r="I36" i="15"/>
  <c r="Q36" i="15" s="1"/>
  <c r="X36" i="15" s="1"/>
  <c r="I35" i="15"/>
  <c r="Q35" i="15" s="1"/>
  <c r="X35" i="15" s="1"/>
  <c r="I34" i="15"/>
  <c r="Q34" i="15" s="1"/>
  <c r="X34" i="15" s="1"/>
  <c r="I33" i="15"/>
  <c r="Q33" i="15" s="1"/>
  <c r="X33" i="15" s="1"/>
  <c r="I32" i="15"/>
  <c r="Q32" i="15" s="1"/>
  <c r="X32" i="15" s="1"/>
  <c r="I31" i="15"/>
  <c r="Q31" i="15" s="1"/>
  <c r="X31" i="15" s="1"/>
  <c r="I30" i="15"/>
  <c r="Q30" i="15" s="1"/>
  <c r="X30" i="15" s="1"/>
  <c r="I29" i="15"/>
  <c r="Q29" i="15" s="1"/>
  <c r="X29" i="15" s="1"/>
  <c r="I28" i="15"/>
  <c r="Q28" i="15" s="1"/>
  <c r="X28" i="15" s="1"/>
  <c r="I27" i="15"/>
  <c r="Q27" i="15" s="1"/>
  <c r="X27" i="15" s="1"/>
  <c r="I26" i="15"/>
  <c r="Q26" i="15" s="1"/>
  <c r="X26" i="15" s="1"/>
  <c r="I25" i="15"/>
  <c r="Q25" i="15" s="1"/>
  <c r="X25" i="15" s="1"/>
  <c r="I24" i="15"/>
  <c r="Q24" i="15" s="1"/>
  <c r="X24" i="15" s="1"/>
  <c r="I23" i="15"/>
  <c r="Q23" i="15" s="1"/>
  <c r="X23" i="15" s="1"/>
  <c r="I22" i="15"/>
  <c r="Q22" i="15" s="1"/>
  <c r="X22" i="15" s="1"/>
  <c r="I21" i="15"/>
  <c r="Q21" i="15" s="1"/>
  <c r="X21" i="15" s="1"/>
  <c r="I20" i="15"/>
  <c r="Q20" i="15" s="1"/>
  <c r="X20" i="15" s="1"/>
  <c r="I19" i="15"/>
  <c r="Q19" i="15" s="1"/>
  <c r="X19" i="15" s="1"/>
  <c r="I18" i="15"/>
  <c r="Q18" i="15" s="1"/>
  <c r="X18" i="15" s="1"/>
  <c r="I17" i="15"/>
  <c r="Q17" i="15" s="1"/>
  <c r="X17" i="15" s="1"/>
  <c r="I16" i="15"/>
  <c r="Q16" i="15" s="1"/>
  <c r="X16" i="15" s="1"/>
  <c r="I15" i="15"/>
  <c r="Q15" i="15" s="1"/>
  <c r="X15" i="15" s="1"/>
  <c r="I14" i="15"/>
  <c r="Q14" i="15" s="1"/>
  <c r="X14" i="15" s="1"/>
  <c r="I13" i="15"/>
  <c r="Q13" i="15" s="1"/>
  <c r="X13" i="15" s="1"/>
  <c r="I12" i="15"/>
  <c r="Q12" i="15" s="1"/>
  <c r="X12" i="15" s="1"/>
  <c r="I11" i="15"/>
  <c r="Q11" i="15" s="1"/>
  <c r="X11" i="15" s="1"/>
  <c r="I10" i="15"/>
  <c r="Q10" i="15" s="1"/>
  <c r="X10" i="15" s="1"/>
  <c r="I9" i="15"/>
  <c r="Q9" i="15" s="1"/>
  <c r="X9" i="15" s="1"/>
  <c r="I8" i="15"/>
  <c r="Q8" i="15" s="1"/>
  <c r="X8" i="15" s="1"/>
  <c r="I7" i="15"/>
  <c r="Q7" i="15" s="1"/>
  <c r="X7" i="15" s="1"/>
  <c r="I6" i="15"/>
  <c r="Q6" i="15" s="1"/>
  <c r="X6" i="15" s="1"/>
  <c r="I5" i="15"/>
  <c r="I7" i="16"/>
  <c r="Q7" i="16" s="1"/>
  <c r="X7" i="16" s="1"/>
  <c r="I6" i="16"/>
  <c r="Q6" i="16" s="1"/>
  <c r="X6" i="16" s="1"/>
  <c r="I5" i="16"/>
  <c r="Q5" i="16" s="1"/>
  <c r="X5" i="16" s="1"/>
  <c r="I35" i="17"/>
  <c r="Q35" i="17" s="1"/>
  <c r="X35" i="17" s="1"/>
  <c r="I34" i="17"/>
  <c r="Q34" i="17" s="1"/>
  <c r="X34" i="17" s="1"/>
  <c r="I33" i="17"/>
  <c r="Q33" i="17" s="1"/>
  <c r="X33" i="17" s="1"/>
  <c r="I32" i="17"/>
  <c r="Q32" i="17" s="1"/>
  <c r="X32" i="17" s="1"/>
  <c r="I31" i="17"/>
  <c r="Q31" i="17" s="1"/>
  <c r="X31" i="17" s="1"/>
  <c r="I30" i="17"/>
  <c r="Q30" i="17" s="1"/>
  <c r="X30" i="17" s="1"/>
  <c r="I29" i="17"/>
  <c r="Q29" i="17" s="1"/>
  <c r="X29" i="17" s="1"/>
  <c r="I28" i="17"/>
  <c r="Q28" i="17" s="1"/>
  <c r="X28" i="17" s="1"/>
  <c r="I27" i="17"/>
  <c r="Q27" i="17" s="1"/>
  <c r="X27" i="17" s="1"/>
  <c r="I24" i="17"/>
  <c r="I22" i="17"/>
  <c r="Q22" i="17" s="1"/>
  <c r="X22" i="17" s="1"/>
  <c r="I21" i="17"/>
  <c r="Q21" i="17" s="1"/>
  <c r="X21" i="17" s="1"/>
  <c r="I20" i="17"/>
  <c r="Q20" i="17" s="1"/>
  <c r="X20" i="17" s="1"/>
  <c r="I19" i="17"/>
  <c r="I16" i="17"/>
  <c r="Q16" i="17" s="1"/>
  <c r="X16" i="17" s="1"/>
  <c r="I15" i="17"/>
  <c r="Q15" i="17" s="1"/>
  <c r="X15" i="17" s="1"/>
  <c r="I14" i="17"/>
  <c r="Q14" i="17" s="1"/>
  <c r="X14" i="17" s="1"/>
  <c r="I13" i="17"/>
  <c r="Q13" i="17" s="1"/>
  <c r="X13" i="17" s="1"/>
  <c r="I10" i="17"/>
  <c r="Q10" i="17" s="1"/>
  <c r="X10" i="17" s="1"/>
  <c r="I9" i="17"/>
  <c r="Q9" i="17" s="1"/>
  <c r="X9" i="17" s="1"/>
  <c r="I8" i="17"/>
  <c r="Q8" i="17" s="1"/>
  <c r="X8" i="17" s="1"/>
  <c r="I7" i="17"/>
  <c r="Q7" i="17" s="1"/>
  <c r="X7" i="17" s="1"/>
  <c r="I5" i="18"/>
  <c r="I40" i="2"/>
  <c r="Q40" i="2" s="1"/>
  <c r="X40" i="2" s="1"/>
  <c r="I39" i="2"/>
  <c r="Q39" i="2" s="1"/>
  <c r="X39" i="2" s="1"/>
  <c r="I38" i="2"/>
  <c r="Q38" i="2" s="1"/>
  <c r="X38" i="2" s="1"/>
  <c r="I37" i="2"/>
  <c r="Q37" i="2" s="1"/>
  <c r="X37" i="2" s="1"/>
  <c r="I36" i="2"/>
  <c r="Q36" i="2" s="1"/>
  <c r="X36" i="2" s="1"/>
  <c r="I35" i="2"/>
  <c r="Q35" i="2" s="1"/>
  <c r="X35" i="2" s="1"/>
  <c r="I34" i="2"/>
  <c r="Q34" i="2" s="1"/>
  <c r="X34" i="2" s="1"/>
  <c r="I33" i="2"/>
  <c r="Q33" i="2" s="1"/>
  <c r="X33" i="2" s="1"/>
  <c r="I32" i="2"/>
  <c r="Q32" i="2" s="1"/>
  <c r="X32" i="2" s="1"/>
  <c r="I31" i="2"/>
  <c r="Q31" i="2" s="1"/>
  <c r="X31" i="2" s="1"/>
  <c r="I30" i="2"/>
  <c r="Q30" i="2" s="1"/>
  <c r="X30" i="2" s="1"/>
  <c r="I29" i="2"/>
  <c r="Q29" i="2" s="1"/>
  <c r="X29" i="2" s="1"/>
  <c r="I28" i="2"/>
  <c r="Q28" i="2" s="1"/>
  <c r="X28" i="2" s="1"/>
  <c r="I27" i="2"/>
  <c r="Q27" i="2" s="1"/>
  <c r="X27" i="2" s="1"/>
  <c r="I26" i="2"/>
  <c r="Q26" i="2" s="1"/>
  <c r="X26" i="2" s="1"/>
  <c r="I25" i="2"/>
  <c r="Q25" i="2" s="1"/>
  <c r="X25" i="2" s="1"/>
  <c r="I24" i="2"/>
  <c r="Q24" i="2" s="1"/>
  <c r="X24" i="2" s="1"/>
  <c r="I23" i="2"/>
  <c r="Q23" i="2" s="1"/>
  <c r="X23" i="2" s="1"/>
  <c r="I22" i="2"/>
  <c r="Q22" i="2" s="1"/>
  <c r="X22" i="2" s="1"/>
  <c r="I21" i="2"/>
  <c r="Q21" i="2" s="1"/>
  <c r="X21" i="2" s="1"/>
  <c r="I20" i="2"/>
  <c r="Q20" i="2" s="1"/>
  <c r="X20" i="2" s="1"/>
  <c r="I19" i="2"/>
  <c r="Q19" i="2" s="1"/>
  <c r="X19" i="2" s="1"/>
  <c r="I18" i="2"/>
  <c r="Q18" i="2" s="1"/>
  <c r="X18" i="2" s="1"/>
  <c r="I17" i="2"/>
  <c r="Q17" i="2" s="1"/>
  <c r="X17" i="2" s="1"/>
  <c r="I16" i="2"/>
  <c r="Q16" i="2" s="1"/>
  <c r="X16" i="2" s="1"/>
  <c r="I15" i="2"/>
  <c r="Q15" i="2" s="1"/>
  <c r="X15" i="2" s="1"/>
  <c r="I14" i="2"/>
  <c r="I13" i="2"/>
  <c r="Q13" i="2" s="1"/>
  <c r="X13" i="2" s="1"/>
  <c r="I12" i="2"/>
  <c r="Q12" i="2" s="1"/>
  <c r="X12" i="2" s="1"/>
  <c r="I11" i="2"/>
  <c r="Q11" i="2" s="1"/>
  <c r="X11" i="2" s="1"/>
  <c r="I10" i="2"/>
  <c r="Q10" i="2" s="1"/>
  <c r="X10" i="2" s="1"/>
  <c r="I9" i="2"/>
  <c r="Q9" i="2" s="1"/>
  <c r="X9" i="2" s="1"/>
  <c r="I8" i="2"/>
  <c r="Q8" i="2" s="1"/>
  <c r="X8" i="2" s="1"/>
  <c r="I7" i="2"/>
  <c r="Q7" i="2" s="1"/>
  <c r="X7" i="2" s="1"/>
  <c r="I6" i="2"/>
  <c r="Q6" i="2" s="1"/>
  <c r="X6" i="2" s="1"/>
  <c r="I5" i="2"/>
  <c r="Q5" i="2" s="1"/>
  <c r="X5" i="2" s="1"/>
  <c r="Q7" i="3"/>
  <c r="X7" i="3" s="1"/>
  <c r="Q9" i="3"/>
  <c r="X9" i="3" s="1"/>
  <c r="Q13" i="3"/>
  <c r="X13" i="3" s="1"/>
  <c r="Q21" i="3"/>
  <c r="X21" i="3" s="1"/>
  <c r="Q33" i="3"/>
  <c r="X33" i="3" s="1"/>
  <c r="Q39" i="3"/>
  <c r="X39" i="3" s="1"/>
  <c r="Q40" i="3"/>
  <c r="X40" i="3" s="1"/>
  <c r="Q25" i="4"/>
  <c r="X25" i="4" s="1"/>
  <c r="Q33" i="4"/>
  <c r="X33" i="4" s="1"/>
  <c r="Q37" i="4"/>
  <c r="X37" i="4" s="1"/>
  <c r="Q5" i="5"/>
  <c r="X5" i="5" s="1"/>
  <c r="Q6" i="5"/>
  <c r="Q7" i="5"/>
  <c r="X7" i="5" s="1"/>
  <c r="Q8" i="5"/>
  <c r="Q9" i="5"/>
  <c r="X9" i="5" s="1"/>
  <c r="Q10" i="5"/>
  <c r="Q11" i="5"/>
  <c r="X11" i="5" s="1"/>
  <c r="Q12" i="5"/>
  <c r="Q13" i="5"/>
  <c r="X13" i="5" s="1"/>
  <c r="Q14" i="5"/>
  <c r="Q15" i="5"/>
  <c r="X15" i="5" s="1"/>
  <c r="Q16" i="5"/>
  <c r="Q17" i="5"/>
  <c r="X17" i="5" s="1"/>
  <c r="Q18" i="5"/>
  <c r="Q19" i="5"/>
  <c r="X19" i="5" s="1"/>
  <c r="Q20" i="5"/>
  <c r="Q21" i="5"/>
  <c r="X21" i="5" s="1"/>
  <c r="Q22" i="5"/>
  <c r="Q23" i="5"/>
  <c r="X23" i="5" s="1"/>
  <c r="Q24" i="5"/>
  <c r="Q25" i="5"/>
  <c r="X25" i="5" s="1"/>
  <c r="Q26" i="5"/>
  <c r="Q27" i="5"/>
  <c r="X27" i="5" s="1"/>
  <c r="Q28" i="5"/>
  <c r="Q29" i="5"/>
  <c r="X29" i="5" s="1"/>
  <c r="Q30" i="5"/>
  <c r="Q31" i="5"/>
  <c r="X31" i="5" s="1"/>
  <c r="Q32" i="5"/>
  <c r="Q33" i="5"/>
  <c r="Q34" i="5"/>
  <c r="Q35" i="5"/>
  <c r="X35" i="5" s="1"/>
  <c r="Q36" i="5"/>
  <c r="Q37" i="5"/>
  <c r="X37" i="5" s="1"/>
  <c r="Q38" i="5"/>
  <c r="Q40" i="5"/>
  <c r="Q5" i="6"/>
  <c r="Q6" i="6"/>
  <c r="Q7" i="6"/>
  <c r="Q8" i="6"/>
  <c r="X8" i="6" s="1"/>
  <c r="Q9" i="6"/>
  <c r="Q10" i="6"/>
  <c r="Q11" i="6"/>
  <c r="Q12" i="6"/>
  <c r="X12" i="6" s="1"/>
  <c r="Q13" i="6"/>
  <c r="Q14" i="6"/>
  <c r="Q15" i="6"/>
  <c r="Q16" i="6"/>
  <c r="X16" i="6" s="1"/>
  <c r="Q17" i="6"/>
  <c r="Q18" i="6"/>
  <c r="Q19" i="6"/>
  <c r="Q20" i="6"/>
  <c r="X20" i="6" s="1"/>
  <c r="Q21" i="6"/>
  <c r="Q22" i="6"/>
  <c r="Q23" i="6"/>
  <c r="Q24" i="6"/>
  <c r="X24" i="6" s="1"/>
  <c r="Q25" i="6"/>
  <c r="Q26" i="6"/>
  <c r="Q27" i="6"/>
  <c r="Q28" i="6"/>
  <c r="X28" i="6" s="1"/>
  <c r="Q29" i="6"/>
  <c r="Q30" i="6"/>
  <c r="Q31" i="6"/>
  <c r="Q32" i="6"/>
  <c r="X32" i="6" s="1"/>
  <c r="Q33" i="6"/>
  <c r="Q34" i="6"/>
  <c r="Q35" i="6"/>
  <c r="Q36" i="6"/>
  <c r="X36" i="6" s="1"/>
  <c r="Q37" i="6"/>
  <c r="Q38" i="6"/>
  <c r="Q40" i="6"/>
  <c r="X40" i="6" s="1"/>
  <c r="Q5" i="8"/>
  <c r="X5" i="8" s="1"/>
  <c r="Q6" i="8"/>
  <c r="X6" i="8" s="1"/>
  <c r="Q7" i="8"/>
  <c r="X7" i="8" s="1"/>
  <c r="Q8" i="8"/>
  <c r="X8" i="8" s="1"/>
  <c r="Q9" i="8"/>
  <c r="X9" i="8" s="1"/>
  <c r="Q10" i="8"/>
  <c r="X10" i="8" s="1"/>
  <c r="Q11" i="8"/>
  <c r="X11" i="8" s="1"/>
  <c r="Q12" i="8"/>
  <c r="X12" i="8" s="1"/>
  <c r="Q13" i="8"/>
  <c r="X13" i="8" s="1"/>
  <c r="Q14" i="8"/>
  <c r="X14" i="8" s="1"/>
  <c r="Q15" i="8"/>
  <c r="X15" i="8" s="1"/>
  <c r="Q16" i="8"/>
  <c r="Q17" i="8"/>
  <c r="Q18" i="8"/>
  <c r="X18" i="8" s="1"/>
  <c r="Q19" i="8"/>
  <c r="X19" i="8" s="1"/>
  <c r="Q20" i="8"/>
  <c r="X20" i="8" s="1"/>
  <c r="Q21" i="8"/>
  <c r="X21" i="8" s="1"/>
  <c r="Q22" i="8"/>
  <c r="X22" i="8" s="1"/>
  <c r="Q23" i="8"/>
  <c r="X23" i="8" s="1"/>
  <c r="Q24" i="8"/>
  <c r="X24" i="8" s="1"/>
  <c r="Q25" i="8"/>
  <c r="X25" i="8" s="1"/>
  <c r="Q26" i="8"/>
  <c r="X26" i="8" s="1"/>
  <c r="Q27" i="8"/>
  <c r="X27" i="8" s="1"/>
  <c r="Q28" i="8"/>
  <c r="X28" i="8" s="1"/>
  <c r="Q5" i="9"/>
  <c r="X5" i="9" s="1"/>
  <c r="Q6" i="9"/>
  <c r="Q7" i="9"/>
  <c r="X7" i="9" s="1"/>
  <c r="Q8" i="9"/>
  <c r="X8" i="9" s="1"/>
  <c r="Q9" i="9"/>
  <c r="X9" i="9" s="1"/>
  <c r="Q10" i="9"/>
  <c r="X10" i="9" s="1"/>
  <c r="Q11" i="9"/>
  <c r="X11" i="9" s="1"/>
  <c r="Q12" i="9"/>
  <c r="X12" i="9" s="1"/>
  <c r="Q13" i="9"/>
  <c r="X13" i="9" s="1"/>
  <c r="Q14" i="9"/>
  <c r="X14" i="9" s="1"/>
  <c r="Q15" i="9"/>
  <c r="X15" i="9" s="1"/>
  <c r="Q16" i="9"/>
  <c r="X16" i="9" s="1"/>
  <c r="Q17" i="9"/>
  <c r="X17" i="9" s="1"/>
  <c r="Q18" i="9"/>
  <c r="X18" i="9" s="1"/>
  <c r="Q19" i="9"/>
  <c r="X19" i="9" s="1"/>
  <c r="Q20" i="9"/>
  <c r="X20" i="9" s="1"/>
  <c r="Q21" i="9"/>
  <c r="X21" i="9" s="1"/>
  <c r="Q22" i="9"/>
  <c r="X22" i="9" s="1"/>
  <c r="Q23" i="9"/>
  <c r="X23" i="9" s="1"/>
  <c r="Q24" i="9"/>
  <c r="X24" i="9" s="1"/>
  <c r="Q25" i="9"/>
  <c r="X25" i="9" s="1"/>
  <c r="Q26" i="9"/>
  <c r="X26" i="9" s="1"/>
  <c r="Q27" i="9"/>
  <c r="X27" i="9" s="1"/>
  <c r="Q28" i="9"/>
  <c r="X28" i="9" s="1"/>
  <c r="Q5" i="10"/>
  <c r="X5" i="10" s="1"/>
  <c r="Q6" i="10"/>
  <c r="X6" i="10" s="1"/>
  <c r="Q7" i="10"/>
  <c r="X7" i="10" s="1"/>
  <c r="Q8" i="10"/>
  <c r="X8" i="10" s="1"/>
  <c r="Q9" i="10"/>
  <c r="X9" i="10" s="1"/>
  <c r="Q10" i="10"/>
  <c r="X10" i="10" s="1"/>
  <c r="Q11" i="10"/>
  <c r="X11" i="10" s="1"/>
  <c r="Q12" i="10"/>
  <c r="X12" i="10" s="1"/>
  <c r="Q13" i="10"/>
  <c r="X13" i="10" s="1"/>
  <c r="Q14" i="10"/>
  <c r="X14" i="10" s="1"/>
  <c r="Q15" i="10"/>
  <c r="X15" i="10" s="1"/>
  <c r="Q16" i="10"/>
  <c r="X16" i="10" s="1"/>
  <c r="Q17" i="10"/>
  <c r="X17" i="10" s="1"/>
  <c r="Q18" i="10"/>
  <c r="X18" i="10" s="1"/>
  <c r="Q19" i="10"/>
  <c r="Q20" i="10"/>
  <c r="X20" i="10" s="1"/>
  <c r="Q21" i="10"/>
  <c r="X21" i="10" s="1"/>
  <c r="Q22" i="10"/>
  <c r="X22" i="10" s="1"/>
  <c r="Q23" i="10"/>
  <c r="X23" i="10" s="1"/>
  <c r="Q24" i="10"/>
  <c r="X24" i="10" s="1"/>
  <c r="Q25" i="10"/>
  <c r="X25" i="10" s="1"/>
  <c r="Q26" i="10"/>
  <c r="X26" i="10" s="1"/>
  <c r="Q27" i="10"/>
  <c r="X27" i="10" s="1"/>
  <c r="Q28" i="10"/>
  <c r="X28" i="10" s="1"/>
  <c r="Q6" i="11"/>
  <c r="Q7" i="11"/>
  <c r="Q8" i="11"/>
  <c r="X8" i="11" s="1"/>
  <c r="Q9" i="11"/>
  <c r="Q10" i="11"/>
  <c r="Q11" i="11"/>
  <c r="Q12" i="11"/>
  <c r="X12" i="11" s="1"/>
  <c r="Q13" i="11"/>
  <c r="X13" i="11" s="1"/>
  <c r="Q14" i="11"/>
  <c r="Q15" i="11"/>
  <c r="Q16" i="11"/>
  <c r="X16" i="11" s="1"/>
  <c r="Q17" i="11"/>
  <c r="X17" i="11" s="1"/>
  <c r="Q18" i="11"/>
  <c r="Q19" i="11"/>
  <c r="Q20" i="11"/>
  <c r="X20" i="11" s="1"/>
  <c r="Q21" i="11"/>
  <c r="Q22" i="11"/>
  <c r="Q23" i="11"/>
  <c r="Q24" i="11"/>
  <c r="X24" i="11" s="1"/>
  <c r="Q25" i="11"/>
  <c r="Q26" i="11"/>
  <c r="Q27" i="11"/>
  <c r="Q28" i="11"/>
  <c r="X28" i="11" s="1"/>
  <c r="Q29" i="11"/>
  <c r="X29" i="11" s="1"/>
  <c r="Q30" i="11"/>
  <c r="Q31" i="11"/>
  <c r="Q32" i="11"/>
  <c r="X32" i="11" s="1"/>
  <c r="Q33" i="11"/>
  <c r="X33" i="11" s="1"/>
  <c r="Q34" i="11"/>
  <c r="Q35" i="11"/>
  <c r="Q36" i="11"/>
  <c r="X36" i="11" s="1"/>
  <c r="Q37" i="11"/>
  <c r="X37" i="11" s="1"/>
  <c r="Q38" i="11"/>
  <c r="Q39" i="11"/>
  <c r="Q40" i="11"/>
  <c r="X40" i="11" s="1"/>
  <c r="Q8" i="16"/>
  <c r="Q9" i="16"/>
  <c r="Q10" i="16"/>
  <c r="X10" i="16" s="1"/>
  <c r="Q11" i="16"/>
  <c r="Q12" i="16"/>
  <c r="Q13" i="16"/>
  <c r="Q14" i="16"/>
  <c r="X14" i="16" s="1"/>
  <c r="Q15" i="16"/>
  <c r="Q16" i="16"/>
  <c r="Q17" i="16"/>
  <c r="Q18" i="16"/>
  <c r="X18" i="16" s="1"/>
  <c r="Q19" i="16"/>
  <c r="Q20" i="16"/>
  <c r="Q21" i="16"/>
  <c r="Q22" i="16"/>
  <c r="X22" i="16" s="1"/>
  <c r="Q23" i="16"/>
  <c r="Q24" i="16"/>
  <c r="Q25" i="16"/>
  <c r="Q26" i="16"/>
  <c r="X26" i="16" s="1"/>
  <c r="Q27" i="16"/>
  <c r="Q28" i="16"/>
  <c r="Q29" i="16"/>
  <c r="Q30" i="16"/>
  <c r="X30" i="16" s="1"/>
  <c r="Q31" i="16"/>
  <c r="Q32" i="16"/>
  <c r="Q33" i="16"/>
  <c r="Q34" i="16"/>
  <c r="X34" i="16" s="1"/>
  <c r="Q35" i="16"/>
  <c r="Q36" i="16"/>
  <c r="Q37" i="16"/>
  <c r="Q38" i="16"/>
  <c r="X38" i="16" s="1"/>
  <c r="Q39" i="16"/>
  <c r="Q40" i="16"/>
  <c r="Q11" i="17"/>
  <c r="X11" i="17" s="1"/>
  <c r="Q17" i="17"/>
  <c r="X17" i="17" s="1"/>
  <c r="Q23" i="17"/>
  <c r="X23" i="17" s="1"/>
  <c r="Q25" i="17"/>
  <c r="X25" i="17" s="1"/>
  <c r="Q36" i="17"/>
  <c r="X36" i="17" s="1"/>
  <c r="Q37" i="17"/>
  <c r="X37" i="17" s="1"/>
  <c r="Q38" i="17"/>
  <c r="X38" i="17" s="1"/>
  <c r="Q39" i="17"/>
  <c r="X39" i="17" s="1"/>
  <c r="Q40" i="17"/>
  <c r="X40" i="17" s="1"/>
  <c r="Q6" i="18"/>
  <c r="X6" i="18" s="1"/>
  <c r="Q7" i="18"/>
  <c r="Q8" i="18"/>
  <c r="Q9" i="18"/>
  <c r="X9" i="18" s="1"/>
  <c r="Q10" i="18"/>
  <c r="Q11" i="18"/>
  <c r="Q12" i="18"/>
  <c r="Q13" i="18"/>
  <c r="X13" i="18" s="1"/>
  <c r="Q14" i="18"/>
  <c r="X14" i="18" s="1"/>
  <c r="Q15" i="18"/>
  <c r="Q16" i="18"/>
  <c r="X16" i="18" s="1"/>
  <c r="Q17" i="18"/>
  <c r="X17" i="18" s="1"/>
  <c r="Q18" i="18"/>
  <c r="X18" i="18" s="1"/>
  <c r="Q19" i="18"/>
  <c r="Q20" i="18"/>
  <c r="Q21" i="18"/>
  <c r="X21" i="18" s="1"/>
  <c r="Q22" i="18"/>
  <c r="X22" i="18" s="1"/>
  <c r="Q23" i="18"/>
  <c r="Q24" i="18"/>
  <c r="Q25" i="18"/>
  <c r="X25" i="18" s="1"/>
  <c r="Q26" i="18"/>
  <c r="Q27" i="18"/>
  <c r="Q28" i="18"/>
  <c r="Q29" i="18"/>
  <c r="X29" i="18" s="1"/>
  <c r="Q30" i="18"/>
  <c r="X30" i="18" s="1"/>
  <c r="Q31" i="18"/>
  <c r="Q32" i="18"/>
  <c r="X32" i="18" s="1"/>
  <c r="Q33" i="18"/>
  <c r="X33" i="18" s="1"/>
  <c r="Q34" i="18"/>
  <c r="X34" i="18" s="1"/>
  <c r="Q35" i="18"/>
  <c r="Q36" i="18"/>
  <c r="Q37" i="18"/>
  <c r="X37" i="18" s="1"/>
  <c r="Q38" i="18"/>
  <c r="X38" i="18" s="1"/>
  <c r="Q39" i="18"/>
  <c r="Q40" i="18"/>
  <c r="Q42" i="18"/>
  <c r="X6" i="5"/>
  <c r="X8" i="5"/>
  <c r="X10" i="5"/>
  <c r="X12" i="5"/>
  <c r="X14" i="5"/>
  <c r="X16" i="5"/>
  <c r="X18" i="5"/>
  <c r="X20" i="5"/>
  <c r="X22" i="5"/>
  <c r="X24" i="5"/>
  <c r="X26" i="5"/>
  <c r="X28" i="5"/>
  <c r="X30" i="5"/>
  <c r="X32" i="5"/>
  <c r="X33" i="5"/>
  <c r="X34" i="5"/>
  <c r="X36" i="5"/>
  <c r="X38" i="5"/>
  <c r="X40" i="5"/>
  <c r="X5" i="6"/>
  <c r="X6" i="6"/>
  <c r="X7" i="6"/>
  <c r="X9" i="6"/>
  <c r="X10" i="6"/>
  <c r="X11" i="6"/>
  <c r="X13" i="6"/>
  <c r="X14" i="6"/>
  <c r="X15" i="6"/>
  <c r="X17" i="6"/>
  <c r="X18" i="6"/>
  <c r="X19" i="6"/>
  <c r="X21" i="6"/>
  <c r="X22" i="6"/>
  <c r="X23" i="6"/>
  <c r="X25" i="6"/>
  <c r="X26" i="6"/>
  <c r="X27" i="6"/>
  <c r="X29" i="6"/>
  <c r="X30" i="6"/>
  <c r="X31" i="6"/>
  <c r="X33" i="6"/>
  <c r="X34" i="6"/>
  <c r="X35" i="6"/>
  <c r="X37" i="6"/>
  <c r="X38" i="6"/>
  <c r="X16" i="8"/>
  <c r="X17" i="8"/>
  <c r="X34" i="8"/>
  <c r="X6" i="9"/>
  <c r="X19" i="10"/>
  <c r="X6" i="11"/>
  <c r="X7" i="11"/>
  <c r="X9" i="11"/>
  <c r="X10" i="11"/>
  <c r="X11" i="11"/>
  <c r="X14" i="11"/>
  <c r="X15" i="11"/>
  <c r="X18" i="11"/>
  <c r="X19" i="11"/>
  <c r="X21" i="11"/>
  <c r="X22" i="11"/>
  <c r="X23" i="11"/>
  <c r="X25" i="11"/>
  <c r="X26" i="11"/>
  <c r="X27" i="11"/>
  <c r="X30" i="11"/>
  <c r="X31" i="11"/>
  <c r="X34" i="11"/>
  <c r="X35" i="11"/>
  <c r="X38" i="11"/>
  <c r="X39" i="11"/>
  <c r="X8" i="16"/>
  <c r="X9" i="16"/>
  <c r="X11" i="16"/>
  <c r="X12" i="16"/>
  <c r="X13" i="16"/>
  <c r="X15" i="16"/>
  <c r="X16" i="16"/>
  <c r="X17" i="16"/>
  <c r="X19" i="16"/>
  <c r="X20" i="16"/>
  <c r="X21" i="16"/>
  <c r="X23" i="16"/>
  <c r="X24" i="16"/>
  <c r="X25" i="16"/>
  <c r="X27" i="16"/>
  <c r="X28" i="16"/>
  <c r="X29" i="16"/>
  <c r="X31" i="16"/>
  <c r="X32" i="16"/>
  <c r="X33" i="16"/>
  <c r="X35" i="16"/>
  <c r="X36" i="16"/>
  <c r="X37" i="16"/>
  <c r="X39" i="16"/>
  <c r="X40" i="16"/>
  <c r="X7" i="18"/>
  <c r="X8" i="18"/>
  <c r="X10" i="18"/>
  <c r="X11" i="18"/>
  <c r="X12" i="18"/>
  <c r="X15" i="18"/>
  <c r="X19" i="18"/>
  <c r="X20" i="18"/>
  <c r="X23" i="18"/>
  <c r="X24" i="18"/>
  <c r="X26" i="18"/>
  <c r="X27" i="18"/>
  <c r="X28" i="18"/>
  <c r="X31" i="18"/>
  <c r="X35" i="18"/>
  <c r="X36" i="18"/>
  <c r="X39" i="18"/>
  <c r="X40" i="18"/>
  <c r="I28" i="1"/>
  <c r="Q28" i="1" s="1"/>
  <c r="I9" i="1" l="1"/>
  <c r="Q9" i="1" s="1"/>
  <c r="Q14" i="2"/>
  <c r="X14" i="2" s="1"/>
  <c r="Q39" i="6"/>
  <c r="X39" i="6" s="1"/>
  <c r="Q39" i="5"/>
  <c r="X39" i="5" s="1"/>
  <c r="I10" i="1"/>
  <c r="Q10" i="1" s="1"/>
  <c r="X10" i="1" s="1"/>
  <c r="Q5" i="11"/>
  <c r="X5" i="11" s="1"/>
  <c r="X9" i="1"/>
  <c r="Q42" i="5"/>
  <c r="X15" i="14"/>
  <c r="Q41" i="14"/>
  <c r="I42" i="11"/>
  <c r="I43" i="11" s="1"/>
  <c r="I15" i="1"/>
  <c r="Q15" i="1" s="1"/>
  <c r="Q42" i="11" s="1"/>
  <c r="I41" i="16"/>
  <c r="I41" i="18"/>
  <c r="I42" i="18" s="1"/>
  <c r="I43" i="18" s="1"/>
  <c r="Q5" i="18"/>
  <c r="I18" i="17"/>
  <c r="Q18" i="17" s="1"/>
  <c r="X18" i="17" s="1"/>
  <c r="Q19" i="17"/>
  <c r="X19" i="17" s="1"/>
  <c r="Q24" i="17"/>
  <c r="X24" i="17" s="1"/>
  <c r="I25" i="1"/>
  <c r="Q25" i="1" s="1"/>
  <c r="X7" i="4"/>
  <c r="Q41" i="4"/>
  <c r="I41" i="15"/>
  <c r="Q5" i="15"/>
  <c r="X5" i="15" s="1"/>
  <c r="I26" i="17"/>
  <c r="I41" i="14"/>
  <c r="I41" i="3"/>
  <c r="I41" i="9"/>
  <c r="I41" i="13"/>
  <c r="I41" i="10"/>
  <c r="Q41" i="9"/>
  <c r="I6" i="17"/>
  <c r="I12" i="17"/>
  <c r="Q12" i="17" s="1"/>
  <c r="X12" i="17" s="1"/>
  <c r="I41" i="8"/>
  <c r="I41" i="4"/>
  <c r="I41" i="2"/>
  <c r="Q41" i="13"/>
  <c r="Q41" i="3"/>
  <c r="Q41" i="16"/>
  <c r="Q41" i="10"/>
  <c r="X8" i="13"/>
  <c r="X8" i="3"/>
  <c r="Q41" i="8"/>
  <c r="Q41" i="5" l="1"/>
  <c r="Q43" i="5" s="1"/>
  <c r="Q41" i="2"/>
  <c r="Q42" i="6"/>
  <c r="Q41" i="6"/>
  <c r="Q41" i="11"/>
  <c r="Q43" i="11" s="1"/>
  <c r="Q41" i="15"/>
  <c r="I42" i="16"/>
  <c r="I43" i="16" s="1"/>
  <c r="I21" i="1"/>
  <c r="Q21" i="1" s="1"/>
  <c r="Q42" i="16" s="1"/>
  <c r="Q43" i="16" s="1"/>
  <c r="I42" i="4"/>
  <c r="I43" i="4" s="1"/>
  <c r="I8" i="1"/>
  <c r="Q8" i="1" s="1"/>
  <c r="I42" i="15"/>
  <c r="I43" i="15" s="1"/>
  <c r="I19" i="1"/>
  <c r="Q19" i="1" s="1"/>
  <c r="Q42" i="15" s="1"/>
  <c r="I42" i="8"/>
  <c r="I43" i="8" s="1"/>
  <c r="I12" i="1"/>
  <c r="I42" i="10"/>
  <c r="I43" i="10" s="1"/>
  <c r="I14" i="1"/>
  <c r="Q14" i="1" s="1"/>
  <c r="Q42" i="10" s="1"/>
  <c r="Q43" i="10" s="1"/>
  <c r="I18" i="1"/>
  <c r="Q18" i="1" s="1"/>
  <c r="Q42" i="14" s="1"/>
  <c r="Q43" i="14" s="1"/>
  <c r="I42" i="14"/>
  <c r="I43" i="14" s="1"/>
  <c r="X5" i="18"/>
  <c r="Q41" i="18"/>
  <c r="Q43" i="18" s="1"/>
  <c r="AC15" i="18" s="1"/>
  <c r="I42" i="13"/>
  <c r="I43" i="13" s="1"/>
  <c r="I17" i="1"/>
  <c r="Q26" i="17"/>
  <c r="X26" i="17" s="1"/>
  <c r="I26" i="1"/>
  <c r="Q26" i="1" s="1"/>
  <c r="I42" i="3"/>
  <c r="I43" i="3" s="1"/>
  <c r="I7" i="1"/>
  <c r="Q7" i="1" s="1"/>
  <c r="I42" i="2"/>
  <c r="I43" i="2" s="1"/>
  <c r="I6" i="1"/>
  <c r="I41" i="17"/>
  <c r="I42" i="17" s="1"/>
  <c r="I43" i="17" s="1"/>
  <c r="I5" i="17"/>
  <c r="Q6" i="17"/>
  <c r="I42" i="9"/>
  <c r="I43" i="9" s="1"/>
  <c r="I13" i="1"/>
  <c r="Q13" i="1" s="1"/>
  <c r="Q42" i="9" s="1"/>
  <c r="Q43" i="9" s="1"/>
  <c r="AC20" i="5" l="1"/>
  <c r="AC33" i="5"/>
  <c r="AC27" i="5"/>
  <c r="AC8" i="5"/>
  <c r="AC23" i="5"/>
  <c r="AC17" i="5"/>
  <c r="AC30" i="5"/>
  <c r="AC40" i="5"/>
  <c r="AC31" i="5"/>
  <c r="AC14" i="5"/>
  <c r="AC24" i="5"/>
  <c r="AC19" i="5"/>
  <c r="AC22" i="5"/>
  <c r="AC25" i="5"/>
  <c r="AC9" i="5"/>
  <c r="AC16" i="5"/>
  <c r="AC38" i="5"/>
  <c r="AC6" i="5"/>
  <c r="AC32" i="5"/>
  <c r="AC15" i="5"/>
  <c r="AC39" i="5"/>
  <c r="AC34" i="5"/>
  <c r="AC18" i="5"/>
  <c r="AC37" i="5"/>
  <c r="AC21" i="5"/>
  <c r="AC5" i="5"/>
  <c r="AC28" i="5"/>
  <c r="AC12" i="5"/>
  <c r="AC35" i="5"/>
  <c r="AC11" i="5"/>
  <c r="AC7" i="5"/>
  <c r="AC26" i="5"/>
  <c r="AC10" i="5"/>
  <c r="AC29" i="5"/>
  <c r="AC13" i="5"/>
  <c r="AC36" i="5"/>
  <c r="Q43" i="6"/>
  <c r="AC16" i="6" s="1"/>
  <c r="AC27" i="18"/>
  <c r="AC12" i="11"/>
  <c r="AC32" i="11"/>
  <c r="AC25" i="11"/>
  <c r="AC22" i="11"/>
  <c r="AC35" i="11"/>
  <c r="AC6" i="11"/>
  <c r="AC39" i="11"/>
  <c r="AC8" i="11"/>
  <c r="AC40" i="11"/>
  <c r="AC33" i="11"/>
  <c r="AC30" i="11"/>
  <c r="AC7" i="11"/>
  <c r="AC9" i="11"/>
  <c r="AC31" i="11"/>
  <c r="AC16" i="11"/>
  <c r="AC38" i="11"/>
  <c r="AC24" i="11"/>
  <c r="AC17" i="11"/>
  <c r="AC14" i="11"/>
  <c r="AC11" i="11"/>
  <c r="AC27" i="11"/>
  <c r="AC15" i="11"/>
  <c r="AC26" i="11"/>
  <c r="AC10" i="11"/>
  <c r="AC29" i="11"/>
  <c r="AC13" i="11"/>
  <c r="AC36" i="11"/>
  <c r="AC20" i="11"/>
  <c r="AC6" i="18"/>
  <c r="AC23" i="11"/>
  <c r="AC19" i="11"/>
  <c r="AC34" i="11"/>
  <c r="AC18" i="11"/>
  <c r="AC37" i="11"/>
  <c r="AC21" i="11"/>
  <c r="AC5" i="11"/>
  <c r="AC28" i="11"/>
  <c r="Q43" i="15"/>
  <c r="AC16" i="15" s="1"/>
  <c r="AC28" i="18"/>
  <c r="AC25" i="18"/>
  <c r="AC12" i="18"/>
  <c r="AC10" i="18"/>
  <c r="AC11" i="18"/>
  <c r="AC9" i="18"/>
  <c r="AC14" i="18"/>
  <c r="AC16" i="16"/>
  <c r="AC9" i="16"/>
  <c r="AC25" i="16"/>
  <c r="AC18" i="16"/>
  <c r="AC31" i="16"/>
  <c r="AC38" i="16"/>
  <c r="AC36" i="16"/>
  <c r="AC23" i="16"/>
  <c r="AC11" i="16"/>
  <c r="AC20" i="16"/>
  <c r="AC13" i="16"/>
  <c r="AC6" i="16"/>
  <c r="AC22" i="16"/>
  <c r="AC35" i="16"/>
  <c r="AC19" i="16"/>
  <c r="AC29" i="16"/>
  <c r="AC34" i="16"/>
  <c r="AC5" i="16"/>
  <c r="AC14" i="16"/>
  <c r="AC32" i="16"/>
  <c r="AC37" i="16"/>
  <c r="AC40" i="16"/>
  <c r="AC27" i="16"/>
  <c r="AC8" i="16"/>
  <c r="AC24" i="16"/>
  <c r="AC17" i="16"/>
  <c r="AC10" i="16"/>
  <c r="AC15" i="16"/>
  <c r="AC39" i="16"/>
  <c r="AC28" i="16"/>
  <c r="AC26" i="16"/>
  <c r="AC33" i="16"/>
  <c r="AC12" i="16"/>
  <c r="AC21" i="16"/>
  <c r="AC30" i="16"/>
  <c r="AC7" i="16"/>
  <c r="AC37" i="18"/>
  <c r="AC21" i="18"/>
  <c r="AC5" i="18"/>
  <c r="AC40" i="18"/>
  <c r="AC24" i="18"/>
  <c r="AC8" i="18"/>
  <c r="AC39" i="18"/>
  <c r="AC23" i="18"/>
  <c r="AC7" i="18"/>
  <c r="AC30" i="6"/>
  <c r="AC24" i="6"/>
  <c r="AC34" i="18"/>
  <c r="AC33" i="18"/>
  <c r="AC17" i="18"/>
  <c r="AC38" i="18"/>
  <c r="AC36" i="18"/>
  <c r="AC20" i="18"/>
  <c r="AC30" i="18"/>
  <c r="AC35" i="18"/>
  <c r="AC19" i="18"/>
  <c r="AC10" i="6"/>
  <c r="AC29" i="6"/>
  <c r="AC22" i="18"/>
  <c r="AC29" i="18"/>
  <c r="AC13" i="18"/>
  <c r="AC26" i="18"/>
  <c r="AC32" i="18"/>
  <c r="AC16" i="18"/>
  <c r="AC18" i="18"/>
  <c r="AC31" i="18"/>
  <c r="AC22" i="6"/>
  <c r="AC6" i="6"/>
  <c r="Q42" i="3"/>
  <c r="Q43" i="3" s="1"/>
  <c r="X7" i="1"/>
  <c r="Q6" i="1"/>
  <c r="Q17" i="1"/>
  <c r="I16" i="1"/>
  <c r="X6" i="17"/>
  <c r="Q41" i="17"/>
  <c r="I11" i="1"/>
  <c r="Q12" i="1"/>
  <c r="Q42" i="4"/>
  <c r="Q43" i="4" s="1"/>
  <c r="X8" i="1"/>
  <c r="I24" i="1"/>
  <c r="Q5" i="17"/>
  <c r="X5" i="17" s="1"/>
  <c r="AC15" i="14"/>
  <c r="AC31" i="14"/>
  <c r="AC19" i="14"/>
  <c r="AC39" i="14"/>
  <c r="AC7" i="14"/>
  <c r="AC27" i="14"/>
  <c r="AC23" i="14"/>
  <c r="AC11" i="14"/>
  <c r="AC35" i="14"/>
  <c r="AC12" i="14"/>
  <c r="AC28" i="14"/>
  <c r="AC5" i="14"/>
  <c r="AC21" i="14"/>
  <c r="AC37" i="14"/>
  <c r="AC18" i="14"/>
  <c r="AC34" i="14"/>
  <c r="AC17" i="14"/>
  <c r="AC30" i="14"/>
  <c r="AC16" i="14"/>
  <c r="AC32" i="14"/>
  <c r="AC9" i="14"/>
  <c r="AC25" i="14"/>
  <c r="AC6" i="14"/>
  <c r="AC22" i="14"/>
  <c r="AC38" i="14"/>
  <c r="AC24" i="14"/>
  <c r="AC33" i="14"/>
  <c r="AC20" i="14"/>
  <c r="AC36" i="14"/>
  <c r="AC13" i="14"/>
  <c r="AC29" i="14"/>
  <c r="AC10" i="14"/>
  <c r="AC26" i="14"/>
  <c r="AC8" i="14"/>
  <c r="AC40" i="14"/>
  <c r="AC14" i="14"/>
  <c r="AC11" i="6" l="1"/>
  <c r="AC23" i="6"/>
  <c r="AC40" i="6"/>
  <c r="AC31" i="6"/>
  <c r="AC32" i="6"/>
  <c r="AC20" i="6"/>
  <c r="AC27" i="6"/>
  <c r="AC14" i="6"/>
  <c r="AC9" i="6"/>
  <c r="AC38" i="6"/>
  <c r="AC36" i="6"/>
  <c r="AC26" i="6"/>
  <c r="AC17" i="6"/>
  <c r="AC35" i="6"/>
  <c r="AC15" i="6"/>
  <c r="AC25" i="6"/>
  <c r="AC7" i="6"/>
  <c r="AC13" i="6"/>
  <c r="AC19" i="6"/>
  <c r="AC8" i="6"/>
  <c r="AC33" i="6"/>
  <c r="AC39" i="6"/>
  <c r="AC12" i="6"/>
  <c r="AC34" i="6"/>
  <c r="AC21" i="6"/>
  <c r="AC28" i="6"/>
  <c r="AC37" i="6"/>
  <c r="AC18" i="6"/>
  <c r="AC5" i="6"/>
  <c r="AC37" i="15"/>
  <c r="AC40" i="15"/>
  <c r="AC36" i="15"/>
  <c r="AC24" i="15"/>
  <c r="AC28" i="15"/>
  <c r="AC12" i="15"/>
  <c r="AC30" i="15"/>
  <c r="AC21" i="15"/>
  <c r="AC22" i="15"/>
  <c r="AC14" i="15"/>
  <c r="AC10" i="15"/>
  <c r="AC15" i="15"/>
  <c r="AC20" i="15"/>
  <c r="AC25" i="15"/>
  <c r="AC26" i="15"/>
  <c r="AC5" i="15"/>
  <c r="AC39" i="15"/>
  <c r="AC33" i="15"/>
  <c r="AC8" i="15"/>
  <c r="AC23" i="15"/>
  <c r="AC29" i="15"/>
  <c r="AC11" i="15"/>
  <c r="AC27" i="15"/>
  <c r="AC32" i="15"/>
  <c r="AC31" i="15"/>
  <c r="AC35" i="15"/>
  <c r="AC17" i="15"/>
  <c r="AC34" i="15"/>
  <c r="AC19" i="15"/>
  <c r="AC13" i="15"/>
  <c r="AC18" i="15"/>
  <c r="AC7" i="15"/>
  <c r="AC38" i="15"/>
  <c r="AC9" i="15"/>
  <c r="AC6" i="15"/>
  <c r="I5" i="1"/>
  <c r="AC19" i="4"/>
  <c r="AC35" i="4"/>
  <c r="AC11" i="4"/>
  <c r="AC31" i="4"/>
  <c r="AC39" i="4"/>
  <c r="AC23" i="4"/>
  <c r="AC15" i="4"/>
  <c r="AC7" i="4"/>
  <c r="AC27" i="4"/>
  <c r="AC8" i="4"/>
  <c r="AC24" i="4"/>
  <c r="AC40" i="4"/>
  <c r="AC17" i="4"/>
  <c r="AC33" i="4"/>
  <c r="AC14" i="4"/>
  <c r="AC30" i="4"/>
  <c r="AC36" i="4"/>
  <c r="AC29" i="4"/>
  <c r="AC26" i="4"/>
  <c r="AC12" i="4"/>
  <c r="AC28" i="4"/>
  <c r="AC5" i="4"/>
  <c r="AC21" i="4"/>
  <c r="AC37" i="4"/>
  <c r="AC18" i="4"/>
  <c r="AC34" i="4"/>
  <c r="AC16" i="4"/>
  <c r="AC32" i="4"/>
  <c r="AC9" i="4"/>
  <c r="AC25" i="4"/>
  <c r="AC6" i="4"/>
  <c r="AC22" i="4"/>
  <c r="AC38" i="4"/>
  <c r="AC20" i="4"/>
  <c r="AC13" i="4"/>
  <c r="AC10" i="4"/>
  <c r="Q42" i="2"/>
  <c r="Q43" i="2" s="1"/>
  <c r="X6" i="1"/>
  <c r="Q11" i="1"/>
  <c r="Q42" i="8"/>
  <c r="Q43" i="8" s="1"/>
  <c r="X12" i="1"/>
  <c r="I23" i="1"/>
  <c r="Q24" i="1"/>
  <c r="Q23" i="1" s="1"/>
  <c r="Q42" i="17" s="1"/>
  <c r="Q43" i="17" s="1"/>
  <c r="Q16" i="1"/>
  <c r="Q42" i="13"/>
  <c r="Q43" i="13" s="1"/>
  <c r="AC8" i="3"/>
  <c r="AC24" i="3"/>
  <c r="AC40" i="3"/>
  <c r="AC17" i="3"/>
  <c r="AC33" i="3"/>
  <c r="AC14" i="3"/>
  <c r="AC30" i="3"/>
  <c r="AC31" i="3"/>
  <c r="AC27" i="3"/>
  <c r="AC12" i="3"/>
  <c r="AC28" i="3"/>
  <c r="AC5" i="3"/>
  <c r="AC21" i="3"/>
  <c r="AC37" i="3"/>
  <c r="AC18" i="3"/>
  <c r="AC34" i="3"/>
  <c r="AC11" i="3"/>
  <c r="AC7" i="3"/>
  <c r="AC16" i="3"/>
  <c r="AC32" i="3"/>
  <c r="AC9" i="3"/>
  <c r="AC25" i="3"/>
  <c r="AC6" i="3"/>
  <c r="AC22" i="3"/>
  <c r="AC38" i="3"/>
  <c r="AC19" i="3"/>
  <c r="AC23" i="3"/>
  <c r="AC20" i="3"/>
  <c r="AC36" i="3"/>
  <c r="AC13" i="3"/>
  <c r="AC29" i="3"/>
  <c r="AC10" i="3"/>
  <c r="AC26" i="3"/>
  <c r="AC15" i="3"/>
  <c r="AC35" i="3"/>
  <c r="AC39" i="3"/>
  <c r="I41" i="1" l="1"/>
  <c r="Q5" i="1"/>
  <c r="Q41" i="1" s="1"/>
  <c r="AC7" i="17"/>
  <c r="AC23" i="17"/>
  <c r="AC39" i="17"/>
  <c r="AC8" i="17"/>
  <c r="AC24" i="17"/>
  <c r="AC40" i="17"/>
  <c r="AC5" i="17"/>
  <c r="AC21" i="17"/>
  <c r="AC37" i="17"/>
  <c r="AC19" i="17"/>
  <c r="AC36" i="17"/>
  <c r="AC17" i="17"/>
  <c r="AC11" i="17"/>
  <c r="AC27" i="17"/>
  <c r="AC14" i="17"/>
  <c r="AC12" i="17"/>
  <c r="AC28" i="17"/>
  <c r="AC6" i="17"/>
  <c r="AC9" i="17"/>
  <c r="AC25" i="17"/>
  <c r="AC10" i="17"/>
  <c r="AC20" i="17"/>
  <c r="AC34" i="17"/>
  <c r="AC15" i="17"/>
  <c r="AC31" i="17"/>
  <c r="AC26" i="17"/>
  <c r="AC16" i="17"/>
  <c r="AC32" i="17"/>
  <c r="AC18" i="17"/>
  <c r="AC13" i="17"/>
  <c r="AC29" i="17"/>
  <c r="AC22" i="17"/>
  <c r="AC35" i="17"/>
  <c r="AC30" i="17"/>
  <c r="AC33" i="17"/>
  <c r="AC38" i="17"/>
  <c r="AC8" i="13"/>
  <c r="AC24" i="13"/>
  <c r="AC40" i="13"/>
  <c r="AC17" i="13"/>
  <c r="AC33" i="13"/>
  <c r="AC14" i="13"/>
  <c r="AC30" i="13"/>
  <c r="AC27" i="13"/>
  <c r="AC23" i="13"/>
  <c r="AC12" i="13"/>
  <c r="AC28" i="13"/>
  <c r="AC5" i="13"/>
  <c r="AC21" i="13"/>
  <c r="AC37" i="13"/>
  <c r="AC18" i="13"/>
  <c r="AC34" i="13"/>
  <c r="AC7" i="13"/>
  <c r="AC19" i="13"/>
  <c r="AC16" i="13"/>
  <c r="AC32" i="13"/>
  <c r="AC9" i="13"/>
  <c r="AC25" i="13"/>
  <c r="AC6" i="13"/>
  <c r="AC22" i="13"/>
  <c r="AC38" i="13"/>
  <c r="AC15" i="13"/>
  <c r="AC35" i="13"/>
  <c r="AC20" i="13"/>
  <c r="AC36" i="13"/>
  <c r="AC13" i="13"/>
  <c r="AC29" i="13"/>
  <c r="AC10" i="13"/>
  <c r="AC26" i="13"/>
  <c r="AC11" i="13"/>
  <c r="AC31" i="13"/>
  <c r="AC39" i="13"/>
  <c r="AC7" i="2"/>
  <c r="AC23" i="2"/>
  <c r="AC39" i="2"/>
  <c r="AC8" i="2"/>
  <c r="AC24" i="2"/>
  <c r="AC40" i="2"/>
  <c r="AC5" i="2"/>
  <c r="AC21" i="2"/>
  <c r="AC37" i="2"/>
  <c r="AC19" i="2"/>
  <c r="AC34" i="2"/>
  <c r="AC11" i="2"/>
  <c r="AC27" i="2"/>
  <c r="AC6" i="2"/>
  <c r="AC12" i="2"/>
  <c r="AC28" i="2"/>
  <c r="AC14" i="2"/>
  <c r="AC9" i="2"/>
  <c r="AC25" i="2"/>
  <c r="AC10" i="2"/>
  <c r="AC35" i="2"/>
  <c r="AC15" i="2"/>
  <c r="AC31" i="2"/>
  <c r="AC18" i="2"/>
  <c r="AC16" i="2"/>
  <c r="AC32" i="2"/>
  <c r="AC26" i="2"/>
  <c r="AC13" i="2"/>
  <c r="AC29" i="2"/>
  <c r="AC22" i="2"/>
  <c r="AC20" i="2"/>
  <c r="AC33" i="2"/>
  <c r="AC30" i="2"/>
  <c r="AC36" i="2"/>
  <c r="AC38" i="2"/>
  <c r="AC17" i="2"/>
  <c r="I42" i="1" l="1"/>
  <c r="Q42" i="1" s="1"/>
  <c r="Q43" i="1" s="1"/>
  <c r="AC7" i="1" s="1"/>
  <c r="I43" i="1" l="1"/>
  <c r="AC6" i="1"/>
  <c r="AC8" i="1"/>
  <c r="AC9" i="1"/>
  <c r="AC10" i="1"/>
  <c r="AC12" i="1"/>
  <c r="M6" i="16"/>
  <c r="L6" i="16"/>
  <c r="J6" i="16"/>
  <c r="H6" i="16"/>
  <c r="G6" i="16"/>
  <c r="F6" i="16"/>
  <c r="E6" i="16"/>
  <c r="K6" i="16" l="1"/>
  <c r="N42" i="13" l="1"/>
  <c r="M35" i="17" l="1"/>
  <c r="L35" i="17"/>
  <c r="J35" i="17"/>
  <c r="H35" i="17"/>
  <c r="G35" i="17"/>
  <c r="F35" i="17"/>
  <c r="E35" i="17"/>
  <c r="M34" i="17"/>
  <c r="L34" i="17"/>
  <c r="J34" i="17"/>
  <c r="H34" i="17"/>
  <c r="G34" i="17"/>
  <c r="F34" i="17"/>
  <c r="E34" i="17"/>
  <c r="M33" i="17"/>
  <c r="L33" i="17"/>
  <c r="J33" i="17"/>
  <c r="H33" i="17"/>
  <c r="G33" i="17"/>
  <c r="F33" i="17"/>
  <c r="E33" i="17"/>
  <c r="M32" i="17"/>
  <c r="L32" i="17"/>
  <c r="J32" i="17"/>
  <c r="H32" i="17"/>
  <c r="G32" i="17"/>
  <c r="F32" i="17"/>
  <c r="E32" i="17"/>
  <c r="M31" i="17"/>
  <c r="L31" i="17"/>
  <c r="J31" i="17"/>
  <c r="H31" i="17"/>
  <c r="G31" i="17"/>
  <c r="F31" i="17"/>
  <c r="E31" i="17"/>
  <c r="M30" i="17"/>
  <c r="L30" i="17"/>
  <c r="J30" i="17"/>
  <c r="H30" i="17"/>
  <c r="G30" i="17"/>
  <c r="F30" i="17"/>
  <c r="E30" i="17"/>
  <c r="M29" i="17"/>
  <c r="L29" i="17"/>
  <c r="J29" i="17"/>
  <c r="H29" i="17"/>
  <c r="G29" i="17"/>
  <c r="F29" i="17"/>
  <c r="E29" i="17"/>
  <c r="M28" i="17"/>
  <c r="L28" i="17"/>
  <c r="J28" i="17"/>
  <c r="H28" i="17"/>
  <c r="G28" i="17"/>
  <c r="F28" i="17"/>
  <c r="E28" i="17"/>
  <c r="M27" i="17"/>
  <c r="L27" i="17"/>
  <c r="J27" i="17"/>
  <c r="H27" i="17"/>
  <c r="G27" i="17"/>
  <c r="F27" i="17"/>
  <c r="E27" i="17"/>
  <c r="E26" i="17" l="1"/>
  <c r="G26" i="17"/>
  <c r="O26" i="17" s="1"/>
  <c r="J26" i="17"/>
  <c r="R26" i="17" s="1"/>
  <c r="M26" i="17"/>
  <c r="H26" i="17"/>
  <c r="P26" i="17" s="1"/>
  <c r="L26" i="17"/>
  <c r="K31" i="17"/>
  <c r="K27" i="17"/>
  <c r="K29" i="17"/>
  <c r="K35" i="17"/>
  <c r="K33" i="17"/>
  <c r="K30" i="17"/>
  <c r="F26" i="17"/>
  <c r="N26" i="17" s="1"/>
  <c r="K32" i="17"/>
  <c r="K28" i="17"/>
  <c r="K34" i="17"/>
  <c r="S26" i="17" l="1"/>
  <c r="T26" i="17" s="1"/>
  <c r="K26" i="17"/>
  <c r="E5" i="18"/>
  <c r="E41" i="18" s="1"/>
  <c r="E42" i="18" s="1"/>
  <c r="E43" i="18" s="1"/>
  <c r="F5" i="18"/>
  <c r="F41" i="18" s="1"/>
  <c r="F42" i="18" s="1"/>
  <c r="F43" i="18" s="1"/>
  <c r="G5" i="18"/>
  <c r="O5" i="18" s="1"/>
  <c r="H5" i="18"/>
  <c r="H41" i="18" s="1"/>
  <c r="H42" i="18" s="1"/>
  <c r="H43" i="18" s="1"/>
  <c r="J41" i="18"/>
  <c r="J42" i="18" s="1"/>
  <c r="J43" i="18" s="1"/>
  <c r="L5" i="18"/>
  <c r="L41" i="18" s="1"/>
  <c r="L42" i="18" s="1"/>
  <c r="L43" i="18" s="1"/>
  <c r="M5" i="18"/>
  <c r="M41" i="18" s="1"/>
  <c r="M42" i="18" s="1"/>
  <c r="M43" i="18" s="1"/>
  <c r="P5" i="18"/>
  <c r="N6" i="18"/>
  <c r="O6" i="18"/>
  <c r="P6" i="18"/>
  <c r="W6" i="18" s="1"/>
  <c r="R6" i="18"/>
  <c r="Y6" i="18" s="1"/>
  <c r="U6" i="18"/>
  <c r="N7" i="18"/>
  <c r="U7" i="18" s="1"/>
  <c r="O7" i="18"/>
  <c r="V7" i="18" s="1"/>
  <c r="P7" i="18"/>
  <c r="R7" i="18"/>
  <c r="Y7" i="18" s="1"/>
  <c r="N8" i="18"/>
  <c r="O8" i="18"/>
  <c r="P8" i="18"/>
  <c r="W8" i="18" s="1"/>
  <c r="R8" i="18"/>
  <c r="Y8" i="18" s="1"/>
  <c r="U8" i="18"/>
  <c r="N9" i="18"/>
  <c r="U9" i="18" s="1"/>
  <c r="O9" i="18"/>
  <c r="P9" i="18"/>
  <c r="R9" i="18"/>
  <c r="Y9" i="18" s="1"/>
  <c r="N10" i="18"/>
  <c r="O10" i="18"/>
  <c r="P10" i="18"/>
  <c r="W10" i="18" s="1"/>
  <c r="R10" i="18"/>
  <c r="Y10" i="18" s="1"/>
  <c r="U10" i="18"/>
  <c r="N11" i="18"/>
  <c r="U11" i="18" s="1"/>
  <c r="O11" i="18"/>
  <c r="V11" i="18" s="1"/>
  <c r="P11" i="18"/>
  <c r="R11" i="18"/>
  <c r="Y11" i="18" s="1"/>
  <c r="N12" i="18"/>
  <c r="O12" i="18"/>
  <c r="P12" i="18"/>
  <c r="W12" i="18" s="1"/>
  <c r="R12" i="18"/>
  <c r="Y12" i="18" s="1"/>
  <c r="U12" i="18"/>
  <c r="N13" i="18"/>
  <c r="U13" i="18" s="1"/>
  <c r="O13" i="18"/>
  <c r="P13" i="18"/>
  <c r="R13" i="18"/>
  <c r="Y13" i="18" s="1"/>
  <c r="S13" i="18"/>
  <c r="T13" i="18" s="1"/>
  <c r="V13" i="18"/>
  <c r="N14" i="18"/>
  <c r="O14" i="18"/>
  <c r="P14" i="18"/>
  <c r="R14" i="18"/>
  <c r="Y14" i="18" s="1"/>
  <c r="U14" i="18"/>
  <c r="W14" i="18"/>
  <c r="N15" i="18"/>
  <c r="U15" i="18" s="1"/>
  <c r="O15" i="18"/>
  <c r="P15" i="18"/>
  <c r="R15" i="18"/>
  <c r="Y15" i="18" s="1"/>
  <c r="N16" i="18"/>
  <c r="O16" i="18"/>
  <c r="P16" i="18"/>
  <c r="W16" i="18" s="1"/>
  <c r="R16" i="18"/>
  <c r="Y16" i="18" s="1"/>
  <c r="U16" i="18"/>
  <c r="N17" i="18"/>
  <c r="U17" i="18" s="1"/>
  <c r="O17" i="18"/>
  <c r="V17" i="18" s="1"/>
  <c r="P17" i="18"/>
  <c r="R17" i="18"/>
  <c r="Y17" i="18"/>
  <c r="N18" i="18"/>
  <c r="O18" i="18"/>
  <c r="P18" i="18"/>
  <c r="W18" i="18" s="1"/>
  <c r="R18" i="18"/>
  <c r="Y18" i="18" s="1"/>
  <c r="U18" i="18"/>
  <c r="N19" i="18"/>
  <c r="U19" i="18" s="1"/>
  <c r="O19" i="18"/>
  <c r="V19" i="18" s="1"/>
  <c r="P19" i="18"/>
  <c r="R19" i="18"/>
  <c r="Y19" i="18" s="1"/>
  <c r="N20" i="18"/>
  <c r="O20" i="18"/>
  <c r="P20" i="18"/>
  <c r="W20" i="18" s="1"/>
  <c r="R20" i="18"/>
  <c r="Y20" i="18" s="1"/>
  <c r="U20" i="18"/>
  <c r="N21" i="18"/>
  <c r="U21" i="18" s="1"/>
  <c r="O21" i="18"/>
  <c r="V21" i="18" s="1"/>
  <c r="P21" i="18"/>
  <c r="R21" i="18"/>
  <c r="Y21" i="18" s="1"/>
  <c r="N22" i="18"/>
  <c r="O22" i="18"/>
  <c r="P22" i="18"/>
  <c r="W22" i="18" s="1"/>
  <c r="R22" i="18"/>
  <c r="Y22" i="18" s="1"/>
  <c r="U22" i="18"/>
  <c r="N23" i="18"/>
  <c r="U23" i="18" s="1"/>
  <c r="O23" i="18"/>
  <c r="P23" i="18"/>
  <c r="R23" i="18"/>
  <c r="Y23" i="18" s="1"/>
  <c r="N24" i="18"/>
  <c r="O24" i="18"/>
  <c r="P24" i="18"/>
  <c r="W24" i="18" s="1"/>
  <c r="R24" i="18"/>
  <c r="Y24" i="18" s="1"/>
  <c r="U24" i="18"/>
  <c r="N25" i="18"/>
  <c r="U25" i="18" s="1"/>
  <c r="O25" i="18"/>
  <c r="P25" i="18"/>
  <c r="R25" i="18"/>
  <c r="Y25" i="18" s="1"/>
  <c r="N26" i="18"/>
  <c r="O26" i="18"/>
  <c r="P26" i="18"/>
  <c r="W26" i="18" s="1"/>
  <c r="R26" i="18"/>
  <c r="Y26" i="18" s="1"/>
  <c r="U26" i="18"/>
  <c r="N27" i="18"/>
  <c r="O27" i="18"/>
  <c r="P27" i="18"/>
  <c r="W27" i="18" s="1"/>
  <c r="R27" i="18"/>
  <c r="Y27" i="18" s="1"/>
  <c r="U27" i="18"/>
  <c r="N28" i="18"/>
  <c r="U28" i="18" s="1"/>
  <c r="O28" i="18"/>
  <c r="V28" i="18" s="1"/>
  <c r="P28" i="18"/>
  <c r="R28" i="18"/>
  <c r="Y28" i="18" s="1"/>
  <c r="N29" i="18"/>
  <c r="O29" i="18"/>
  <c r="P29" i="18"/>
  <c r="W29" i="18" s="1"/>
  <c r="R29" i="18"/>
  <c r="Y29" i="18" s="1"/>
  <c r="U29" i="18"/>
  <c r="N30" i="18"/>
  <c r="U30" i="18" s="1"/>
  <c r="O30" i="18"/>
  <c r="P30" i="18"/>
  <c r="R30" i="18"/>
  <c r="Y30" i="18" s="1"/>
  <c r="N31" i="18"/>
  <c r="O31" i="18"/>
  <c r="P31" i="18"/>
  <c r="W31" i="18" s="1"/>
  <c r="R31" i="18"/>
  <c r="Y31" i="18" s="1"/>
  <c r="U31" i="18"/>
  <c r="N32" i="18"/>
  <c r="U32" i="18" s="1"/>
  <c r="O32" i="18"/>
  <c r="P32" i="18"/>
  <c r="R32" i="18"/>
  <c r="Y32" i="18" s="1"/>
  <c r="N33" i="18"/>
  <c r="O33" i="18"/>
  <c r="P33" i="18"/>
  <c r="W33" i="18" s="1"/>
  <c r="R33" i="18"/>
  <c r="Y33" i="18" s="1"/>
  <c r="U33" i="18"/>
  <c r="N34" i="18"/>
  <c r="U34" i="18" s="1"/>
  <c r="O34" i="18"/>
  <c r="V34" i="18" s="1"/>
  <c r="P34" i="18"/>
  <c r="R34" i="18"/>
  <c r="Y34" i="18" s="1"/>
  <c r="N35" i="18"/>
  <c r="O35" i="18"/>
  <c r="P35" i="18"/>
  <c r="W35" i="18" s="1"/>
  <c r="R35" i="18"/>
  <c r="Y35" i="18" s="1"/>
  <c r="U35" i="18"/>
  <c r="N36" i="18"/>
  <c r="U36" i="18" s="1"/>
  <c r="O36" i="18"/>
  <c r="P36" i="18"/>
  <c r="R36" i="18"/>
  <c r="S36" i="18" s="1"/>
  <c r="T36" i="18" s="1"/>
  <c r="V36" i="18"/>
  <c r="N37" i="18"/>
  <c r="O37" i="18"/>
  <c r="P37" i="18"/>
  <c r="R37" i="18"/>
  <c r="Y37" i="18" s="1"/>
  <c r="U37" i="18"/>
  <c r="W37" i="18"/>
  <c r="N38" i="18"/>
  <c r="U38" i="18" s="1"/>
  <c r="O38" i="18"/>
  <c r="P38" i="18"/>
  <c r="R38" i="18"/>
  <c r="Y38" i="18" s="1"/>
  <c r="N39" i="18"/>
  <c r="O39" i="18"/>
  <c r="P39" i="18"/>
  <c r="W39" i="18" s="1"/>
  <c r="R39" i="18"/>
  <c r="Y39" i="18" s="1"/>
  <c r="U39" i="18"/>
  <c r="N40" i="18"/>
  <c r="U40" i="18" s="1"/>
  <c r="O40" i="18"/>
  <c r="S40" i="18" s="1"/>
  <c r="T40" i="18" s="1"/>
  <c r="P40" i="18"/>
  <c r="R40" i="18"/>
  <c r="V40" i="18"/>
  <c r="Y40" i="18"/>
  <c r="E7" i="17"/>
  <c r="F7" i="17"/>
  <c r="N7" i="17" s="1"/>
  <c r="U7" i="17" s="1"/>
  <c r="G7" i="17"/>
  <c r="O7" i="17" s="1"/>
  <c r="H7" i="17"/>
  <c r="P7" i="17" s="1"/>
  <c r="J7" i="17"/>
  <c r="R7" i="17" s="1"/>
  <c r="Y7" i="17" s="1"/>
  <c r="L7" i="17"/>
  <c r="M7" i="17"/>
  <c r="E8" i="17"/>
  <c r="F8" i="17"/>
  <c r="N8" i="17" s="1"/>
  <c r="U8" i="17" s="1"/>
  <c r="G8" i="17"/>
  <c r="O8" i="17" s="1"/>
  <c r="V8" i="17" s="1"/>
  <c r="H8" i="17"/>
  <c r="P8" i="17" s="1"/>
  <c r="J8" i="17"/>
  <c r="R8" i="17" s="1"/>
  <c r="Y8" i="17" s="1"/>
  <c r="L8" i="17"/>
  <c r="M8" i="17"/>
  <c r="E9" i="17"/>
  <c r="F9" i="17"/>
  <c r="N9" i="17" s="1"/>
  <c r="U9" i="17" s="1"/>
  <c r="G9" i="17"/>
  <c r="O9" i="17" s="1"/>
  <c r="H9" i="17"/>
  <c r="P9" i="17" s="1"/>
  <c r="J9" i="17"/>
  <c r="R9" i="17" s="1"/>
  <c r="Y9" i="17" s="1"/>
  <c r="L9" i="17"/>
  <c r="M9" i="17"/>
  <c r="E10" i="17"/>
  <c r="F10" i="17"/>
  <c r="N10" i="17" s="1"/>
  <c r="U10" i="17" s="1"/>
  <c r="G10" i="17"/>
  <c r="O10" i="17" s="1"/>
  <c r="H10" i="17"/>
  <c r="P10" i="17" s="1"/>
  <c r="W10" i="17" s="1"/>
  <c r="J10" i="17"/>
  <c r="R10" i="17" s="1"/>
  <c r="Y10" i="17" s="1"/>
  <c r="L10" i="17"/>
  <c r="M10" i="17"/>
  <c r="N11" i="17"/>
  <c r="U11" i="17" s="1"/>
  <c r="O11" i="17"/>
  <c r="P11" i="17"/>
  <c r="R11" i="17"/>
  <c r="Y11" i="17" s="1"/>
  <c r="E13" i="17"/>
  <c r="F13" i="17"/>
  <c r="N13" i="17" s="1"/>
  <c r="U13" i="17" s="1"/>
  <c r="G13" i="17"/>
  <c r="O13" i="17" s="1"/>
  <c r="V13" i="17" s="1"/>
  <c r="H13" i="17"/>
  <c r="P13" i="17" s="1"/>
  <c r="J13" i="17"/>
  <c r="R13" i="17" s="1"/>
  <c r="L13" i="17"/>
  <c r="M13" i="17"/>
  <c r="E14" i="17"/>
  <c r="F14" i="17"/>
  <c r="N14" i="17" s="1"/>
  <c r="U14" i="17" s="1"/>
  <c r="G14" i="17"/>
  <c r="O14" i="17" s="1"/>
  <c r="H14" i="17"/>
  <c r="P14" i="17" s="1"/>
  <c r="J14" i="17"/>
  <c r="R14" i="17" s="1"/>
  <c r="Y14" i="17" s="1"/>
  <c r="L14" i="17"/>
  <c r="M14" i="17"/>
  <c r="E15" i="17"/>
  <c r="F15" i="17"/>
  <c r="N15" i="17" s="1"/>
  <c r="U15" i="17" s="1"/>
  <c r="G15" i="17"/>
  <c r="H15" i="17"/>
  <c r="P15" i="17" s="1"/>
  <c r="W15" i="17" s="1"/>
  <c r="J15" i="17"/>
  <c r="R15" i="17" s="1"/>
  <c r="Y15" i="17" s="1"/>
  <c r="L15" i="17"/>
  <c r="M15" i="17"/>
  <c r="E16" i="17"/>
  <c r="F16" i="17"/>
  <c r="N16" i="17" s="1"/>
  <c r="G16" i="17"/>
  <c r="O16" i="17" s="1"/>
  <c r="V16" i="17" s="1"/>
  <c r="H16" i="17"/>
  <c r="P16" i="17" s="1"/>
  <c r="J16" i="17"/>
  <c r="R16" i="17" s="1"/>
  <c r="Y16" i="17" s="1"/>
  <c r="L16" i="17"/>
  <c r="M16" i="17"/>
  <c r="N17" i="17"/>
  <c r="U17" i="17" s="1"/>
  <c r="O17" i="17"/>
  <c r="P17" i="17"/>
  <c r="R17" i="17"/>
  <c r="Y17" i="17" s="1"/>
  <c r="E19" i="17"/>
  <c r="F19" i="17"/>
  <c r="N19" i="17" s="1"/>
  <c r="U19" i="17" s="1"/>
  <c r="G19" i="17"/>
  <c r="H19" i="17"/>
  <c r="P19" i="17" s="1"/>
  <c r="W19" i="17" s="1"/>
  <c r="J19" i="17"/>
  <c r="L19" i="17"/>
  <c r="M19" i="17"/>
  <c r="E20" i="17"/>
  <c r="F20" i="17"/>
  <c r="N20" i="17" s="1"/>
  <c r="U20" i="17" s="1"/>
  <c r="G20" i="17"/>
  <c r="O20" i="17" s="1"/>
  <c r="H20" i="17"/>
  <c r="P20" i="17" s="1"/>
  <c r="J20" i="17"/>
  <c r="R20" i="17" s="1"/>
  <c r="Y20" i="17" s="1"/>
  <c r="L20" i="17"/>
  <c r="M20" i="17"/>
  <c r="E21" i="17"/>
  <c r="F21" i="17"/>
  <c r="N21" i="17" s="1"/>
  <c r="U21" i="17" s="1"/>
  <c r="G21" i="17"/>
  <c r="H21" i="17"/>
  <c r="P21" i="17" s="1"/>
  <c r="W21" i="17" s="1"/>
  <c r="J21" i="17"/>
  <c r="R21" i="17" s="1"/>
  <c r="Y21" i="17" s="1"/>
  <c r="L21" i="17"/>
  <c r="M21" i="17"/>
  <c r="E22" i="17"/>
  <c r="F22" i="17"/>
  <c r="N22" i="17" s="1"/>
  <c r="G22" i="17"/>
  <c r="O22" i="17" s="1"/>
  <c r="V22" i="17" s="1"/>
  <c r="H22" i="17"/>
  <c r="P22" i="17" s="1"/>
  <c r="J22" i="17"/>
  <c r="R22" i="17" s="1"/>
  <c r="Y22" i="17" s="1"/>
  <c r="L22" i="17"/>
  <c r="M22" i="17"/>
  <c r="N23" i="17"/>
  <c r="U23" i="17" s="1"/>
  <c r="O23" i="17"/>
  <c r="V23" i="17" s="1"/>
  <c r="P23" i="17"/>
  <c r="R23" i="17"/>
  <c r="Y23" i="17" s="1"/>
  <c r="E24" i="17"/>
  <c r="E25" i="1" s="1"/>
  <c r="F24" i="17"/>
  <c r="N24" i="17" s="1"/>
  <c r="U24" i="17" s="1"/>
  <c r="G24" i="17"/>
  <c r="O24" i="17" s="1"/>
  <c r="H24" i="17"/>
  <c r="P24" i="17" s="1"/>
  <c r="J24" i="17"/>
  <c r="R24" i="17" s="1"/>
  <c r="Y24" i="17" s="1"/>
  <c r="L24" i="17"/>
  <c r="M24" i="17"/>
  <c r="M25" i="1" s="1"/>
  <c r="N25" i="17"/>
  <c r="U25" i="17" s="1"/>
  <c r="O25" i="17"/>
  <c r="V25" i="17" s="1"/>
  <c r="P25" i="17"/>
  <c r="R25" i="17"/>
  <c r="Y25" i="17" s="1"/>
  <c r="Y26" i="17"/>
  <c r="U26" i="17"/>
  <c r="V26" i="17"/>
  <c r="N27" i="17"/>
  <c r="U27" i="17" s="1"/>
  <c r="O27" i="17"/>
  <c r="P27" i="17"/>
  <c r="W27" i="17" s="1"/>
  <c r="R27" i="17"/>
  <c r="Y27" i="17" s="1"/>
  <c r="N28" i="17"/>
  <c r="U28" i="17" s="1"/>
  <c r="O28" i="17"/>
  <c r="P28" i="17"/>
  <c r="R28" i="17"/>
  <c r="Y28" i="17" s="1"/>
  <c r="N29" i="17"/>
  <c r="U29" i="17" s="1"/>
  <c r="O29" i="17"/>
  <c r="P29" i="17"/>
  <c r="W29" i="17" s="1"/>
  <c r="R29" i="17"/>
  <c r="Y29" i="17" s="1"/>
  <c r="N30" i="17"/>
  <c r="U30" i="17" s="1"/>
  <c r="O30" i="17"/>
  <c r="V30" i="17" s="1"/>
  <c r="P30" i="17"/>
  <c r="R30" i="17"/>
  <c r="Y30" i="17" s="1"/>
  <c r="N31" i="17"/>
  <c r="U31" i="17" s="1"/>
  <c r="O31" i="17"/>
  <c r="P31" i="17"/>
  <c r="W31" i="17" s="1"/>
  <c r="R31" i="17"/>
  <c r="Y31" i="17" s="1"/>
  <c r="N32" i="17"/>
  <c r="U32" i="17" s="1"/>
  <c r="O32" i="17"/>
  <c r="V32" i="17" s="1"/>
  <c r="P32" i="17"/>
  <c r="R32" i="17"/>
  <c r="Y32" i="17" s="1"/>
  <c r="N33" i="17"/>
  <c r="U33" i="17" s="1"/>
  <c r="O33" i="17"/>
  <c r="P33" i="17"/>
  <c r="W33" i="17" s="1"/>
  <c r="R33" i="17"/>
  <c r="Y33" i="17" s="1"/>
  <c r="N34" i="17"/>
  <c r="U34" i="17" s="1"/>
  <c r="O34" i="17"/>
  <c r="P34" i="17"/>
  <c r="W34" i="17" s="1"/>
  <c r="R34" i="17"/>
  <c r="Y34" i="17" s="1"/>
  <c r="N35" i="17"/>
  <c r="U35" i="17" s="1"/>
  <c r="O35" i="17"/>
  <c r="V35" i="17" s="1"/>
  <c r="P35" i="17"/>
  <c r="R35" i="17"/>
  <c r="Y35" i="17" s="1"/>
  <c r="N36" i="17"/>
  <c r="U36" i="17" s="1"/>
  <c r="O36" i="17"/>
  <c r="P36" i="17"/>
  <c r="W36" i="17" s="1"/>
  <c r="R36" i="17"/>
  <c r="Y36" i="17" s="1"/>
  <c r="N37" i="17"/>
  <c r="U37" i="17" s="1"/>
  <c r="O37" i="17"/>
  <c r="V37" i="17" s="1"/>
  <c r="P37" i="17"/>
  <c r="R37" i="17"/>
  <c r="Y37" i="17" s="1"/>
  <c r="N38" i="17"/>
  <c r="U38" i="17" s="1"/>
  <c r="O38" i="17"/>
  <c r="P38" i="17"/>
  <c r="W38" i="17" s="1"/>
  <c r="R38" i="17"/>
  <c r="Y38" i="17" s="1"/>
  <c r="N39" i="17"/>
  <c r="U39" i="17" s="1"/>
  <c r="O39" i="17"/>
  <c r="V39" i="17" s="1"/>
  <c r="P39" i="17"/>
  <c r="R39" i="17"/>
  <c r="Y39" i="17" s="1"/>
  <c r="N40" i="17"/>
  <c r="U40" i="17" s="1"/>
  <c r="O40" i="17"/>
  <c r="P40" i="17"/>
  <c r="W40" i="17" s="1"/>
  <c r="R40" i="17"/>
  <c r="Y40" i="17" s="1"/>
  <c r="E5" i="16"/>
  <c r="F5" i="16"/>
  <c r="N5" i="16" s="1"/>
  <c r="U5" i="16" s="1"/>
  <c r="G5" i="16"/>
  <c r="H5" i="16"/>
  <c r="P5" i="16" s="1"/>
  <c r="W5" i="16" s="1"/>
  <c r="R5" i="16"/>
  <c r="L5" i="16"/>
  <c r="M5" i="16"/>
  <c r="N6" i="16"/>
  <c r="O6" i="16"/>
  <c r="P6" i="16"/>
  <c r="W6" i="16" s="1"/>
  <c r="R6" i="16"/>
  <c r="Y6" i="16" s="1"/>
  <c r="U6" i="16"/>
  <c r="E7" i="16"/>
  <c r="F7" i="16"/>
  <c r="N7" i="16" s="1"/>
  <c r="U7" i="16" s="1"/>
  <c r="G7" i="16"/>
  <c r="H7" i="16"/>
  <c r="P7" i="16" s="1"/>
  <c r="W7" i="16" s="1"/>
  <c r="J7" i="16"/>
  <c r="R7" i="16" s="1"/>
  <c r="Y7" i="16" s="1"/>
  <c r="L7" i="16"/>
  <c r="M7" i="16"/>
  <c r="N8" i="16"/>
  <c r="O8" i="16"/>
  <c r="P8" i="16"/>
  <c r="W8" i="16" s="1"/>
  <c r="R8" i="16"/>
  <c r="Y8" i="16" s="1"/>
  <c r="U8" i="16"/>
  <c r="N9" i="16"/>
  <c r="U9" i="16" s="1"/>
  <c r="O9" i="16"/>
  <c r="V9" i="16" s="1"/>
  <c r="P9" i="16"/>
  <c r="R9" i="16"/>
  <c r="Y9" i="16" s="1"/>
  <c r="N10" i="16"/>
  <c r="O10" i="16"/>
  <c r="P10" i="16"/>
  <c r="W10" i="16" s="1"/>
  <c r="R10" i="16"/>
  <c r="Y10" i="16" s="1"/>
  <c r="U10" i="16"/>
  <c r="N11" i="16"/>
  <c r="U11" i="16" s="1"/>
  <c r="O11" i="16"/>
  <c r="V11" i="16" s="1"/>
  <c r="P11" i="16"/>
  <c r="R11" i="16"/>
  <c r="Y11" i="16" s="1"/>
  <c r="N12" i="16"/>
  <c r="O12" i="16"/>
  <c r="P12" i="16"/>
  <c r="W12" i="16" s="1"/>
  <c r="R12" i="16"/>
  <c r="Y12" i="16" s="1"/>
  <c r="U12" i="16"/>
  <c r="N13" i="16"/>
  <c r="U13" i="16" s="1"/>
  <c r="O13" i="16"/>
  <c r="V13" i="16" s="1"/>
  <c r="P13" i="16"/>
  <c r="R13" i="16"/>
  <c r="Y13" i="16" s="1"/>
  <c r="N14" i="16"/>
  <c r="O14" i="16"/>
  <c r="P14" i="16"/>
  <c r="W14" i="16" s="1"/>
  <c r="R14" i="16"/>
  <c r="Y14" i="16" s="1"/>
  <c r="U14" i="16"/>
  <c r="N15" i="16"/>
  <c r="U15" i="16" s="1"/>
  <c r="O15" i="16"/>
  <c r="P15" i="16"/>
  <c r="R15" i="16"/>
  <c r="Y15" i="16" s="1"/>
  <c r="N16" i="16"/>
  <c r="O16" i="16"/>
  <c r="P16" i="16"/>
  <c r="W16" i="16" s="1"/>
  <c r="R16" i="16"/>
  <c r="Y16" i="16" s="1"/>
  <c r="U16" i="16"/>
  <c r="N17" i="16"/>
  <c r="U17" i="16" s="1"/>
  <c r="O17" i="16"/>
  <c r="V17" i="16" s="1"/>
  <c r="P17" i="16"/>
  <c r="R17" i="16"/>
  <c r="Y17" i="16" s="1"/>
  <c r="N18" i="16"/>
  <c r="O18" i="16"/>
  <c r="P18" i="16"/>
  <c r="W18" i="16" s="1"/>
  <c r="R18" i="16"/>
  <c r="Y18" i="16" s="1"/>
  <c r="U18" i="16"/>
  <c r="N19" i="16"/>
  <c r="U19" i="16" s="1"/>
  <c r="O19" i="16"/>
  <c r="V19" i="16" s="1"/>
  <c r="P19" i="16"/>
  <c r="R19" i="16"/>
  <c r="Y19" i="16" s="1"/>
  <c r="N20" i="16"/>
  <c r="O20" i="16"/>
  <c r="P20" i="16"/>
  <c r="W20" i="16" s="1"/>
  <c r="R20" i="16"/>
  <c r="Y20" i="16" s="1"/>
  <c r="U20" i="16"/>
  <c r="N21" i="16"/>
  <c r="U21" i="16" s="1"/>
  <c r="O21" i="16"/>
  <c r="V21" i="16" s="1"/>
  <c r="P21" i="16"/>
  <c r="R21" i="16"/>
  <c r="Y21" i="16" s="1"/>
  <c r="N22" i="16"/>
  <c r="O22" i="16"/>
  <c r="P22" i="16"/>
  <c r="W22" i="16" s="1"/>
  <c r="R22" i="16"/>
  <c r="Y22" i="16" s="1"/>
  <c r="U22" i="16"/>
  <c r="N23" i="16"/>
  <c r="U23" i="16" s="1"/>
  <c r="O23" i="16"/>
  <c r="P23" i="16"/>
  <c r="R23" i="16"/>
  <c r="Y23" i="16" s="1"/>
  <c r="N24" i="16"/>
  <c r="O24" i="16"/>
  <c r="P24" i="16"/>
  <c r="W24" i="16" s="1"/>
  <c r="R24" i="16"/>
  <c r="Y24" i="16" s="1"/>
  <c r="U24" i="16"/>
  <c r="N25" i="16"/>
  <c r="U25" i="16" s="1"/>
  <c r="O25" i="16"/>
  <c r="P25" i="16"/>
  <c r="R25" i="16"/>
  <c r="Y25" i="16" s="1"/>
  <c r="N26" i="16"/>
  <c r="O26" i="16"/>
  <c r="P26" i="16"/>
  <c r="W26" i="16" s="1"/>
  <c r="R26" i="16"/>
  <c r="Y26" i="16" s="1"/>
  <c r="U26" i="16"/>
  <c r="N27" i="16"/>
  <c r="U27" i="16" s="1"/>
  <c r="O27" i="16"/>
  <c r="V27" i="16" s="1"/>
  <c r="P27" i="16"/>
  <c r="R27" i="16"/>
  <c r="Y27" i="16" s="1"/>
  <c r="N28" i="16"/>
  <c r="O28" i="16"/>
  <c r="P28" i="16"/>
  <c r="W28" i="16" s="1"/>
  <c r="R28" i="16"/>
  <c r="Y28" i="16" s="1"/>
  <c r="U28" i="16"/>
  <c r="N29" i="16"/>
  <c r="U29" i="16" s="1"/>
  <c r="O29" i="16"/>
  <c r="V29" i="16" s="1"/>
  <c r="P29" i="16"/>
  <c r="R29" i="16"/>
  <c r="Y29" i="16" s="1"/>
  <c r="N30" i="16"/>
  <c r="O30" i="16"/>
  <c r="P30" i="16"/>
  <c r="W30" i="16" s="1"/>
  <c r="R30" i="16"/>
  <c r="Y30" i="16" s="1"/>
  <c r="U30" i="16"/>
  <c r="N31" i="16"/>
  <c r="U31" i="16" s="1"/>
  <c r="O31" i="16"/>
  <c r="P31" i="16"/>
  <c r="R31" i="16"/>
  <c r="Y31" i="16" s="1"/>
  <c r="N32" i="16"/>
  <c r="O32" i="16"/>
  <c r="P32" i="16"/>
  <c r="W32" i="16" s="1"/>
  <c r="R32" i="16"/>
  <c r="Y32" i="16" s="1"/>
  <c r="U32" i="16"/>
  <c r="N33" i="16"/>
  <c r="U33" i="16" s="1"/>
  <c r="O33" i="16"/>
  <c r="V33" i="16" s="1"/>
  <c r="P33" i="16"/>
  <c r="R33" i="16"/>
  <c r="Y33" i="16" s="1"/>
  <c r="N34" i="16"/>
  <c r="O34" i="16"/>
  <c r="P34" i="16"/>
  <c r="W34" i="16" s="1"/>
  <c r="R34" i="16"/>
  <c r="Y34" i="16" s="1"/>
  <c r="U34" i="16"/>
  <c r="N35" i="16"/>
  <c r="U35" i="16" s="1"/>
  <c r="O35" i="16"/>
  <c r="V35" i="16" s="1"/>
  <c r="P35" i="16"/>
  <c r="R35" i="16"/>
  <c r="Y35" i="16" s="1"/>
  <c r="N36" i="16"/>
  <c r="O36" i="16"/>
  <c r="P36" i="16"/>
  <c r="W36" i="16" s="1"/>
  <c r="R36" i="16"/>
  <c r="Y36" i="16" s="1"/>
  <c r="U36" i="16"/>
  <c r="N37" i="16"/>
  <c r="U37" i="16" s="1"/>
  <c r="O37" i="16"/>
  <c r="V37" i="16" s="1"/>
  <c r="P37" i="16"/>
  <c r="R37" i="16"/>
  <c r="Y37" i="16" s="1"/>
  <c r="N38" i="16"/>
  <c r="O38" i="16"/>
  <c r="P38" i="16"/>
  <c r="W38" i="16" s="1"/>
  <c r="R38" i="16"/>
  <c r="Y38" i="16" s="1"/>
  <c r="U38" i="16"/>
  <c r="N39" i="16"/>
  <c r="U39" i="16" s="1"/>
  <c r="O39" i="16"/>
  <c r="P39" i="16"/>
  <c r="R39" i="16"/>
  <c r="Y39" i="16" s="1"/>
  <c r="N40" i="16"/>
  <c r="O40" i="16"/>
  <c r="P40" i="16"/>
  <c r="W40" i="16" s="1"/>
  <c r="R40" i="16"/>
  <c r="Y40" i="16" s="1"/>
  <c r="U40" i="16"/>
  <c r="E5" i="15"/>
  <c r="F5" i="15"/>
  <c r="N5" i="15" s="1"/>
  <c r="U5" i="15" s="1"/>
  <c r="G5" i="15"/>
  <c r="O5" i="15" s="1"/>
  <c r="V5" i="15" s="1"/>
  <c r="P5" i="15"/>
  <c r="W5" i="15" s="1"/>
  <c r="R5" i="15"/>
  <c r="Y5" i="15" s="1"/>
  <c r="L5" i="15"/>
  <c r="E6" i="15"/>
  <c r="F6" i="15"/>
  <c r="N6" i="15" s="1"/>
  <c r="U6" i="15" s="1"/>
  <c r="G6" i="15"/>
  <c r="O6" i="15" s="1"/>
  <c r="V6" i="15" s="1"/>
  <c r="H6" i="15"/>
  <c r="J6" i="15"/>
  <c r="L6" i="15"/>
  <c r="M6" i="15"/>
  <c r="P6" i="15"/>
  <c r="W6" i="15" s="1"/>
  <c r="R6" i="15"/>
  <c r="Y6" i="15" s="1"/>
  <c r="E7" i="15"/>
  <c r="F7" i="15"/>
  <c r="N7" i="15" s="1"/>
  <c r="U7" i="15" s="1"/>
  <c r="G7" i="15"/>
  <c r="O7" i="15" s="1"/>
  <c r="V7" i="15" s="1"/>
  <c r="H7" i="15"/>
  <c r="P7" i="15" s="1"/>
  <c r="W7" i="15" s="1"/>
  <c r="J7" i="15"/>
  <c r="R7" i="15" s="1"/>
  <c r="Y7" i="15" s="1"/>
  <c r="L7" i="15"/>
  <c r="M7" i="15"/>
  <c r="E8" i="15"/>
  <c r="F8" i="15"/>
  <c r="N8" i="15" s="1"/>
  <c r="U8" i="15" s="1"/>
  <c r="G8" i="15"/>
  <c r="O8" i="15" s="1"/>
  <c r="V8" i="15" s="1"/>
  <c r="H8" i="15"/>
  <c r="P8" i="15" s="1"/>
  <c r="W8" i="15" s="1"/>
  <c r="J8" i="15"/>
  <c r="R8" i="15" s="1"/>
  <c r="Y8" i="15" s="1"/>
  <c r="L8" i="15"/>
  <c r="M8" i="15"/>
  <c r="E9" i="15"/>
  <c r="F9" i="15"/>
  <c r="N9" i="15" s="1"/>
  <c r="U9" i="15" s="1"/>
  <c r="G9" i="15"/>
  <c r="O9" i="15" s="1"/>
  <c r="V9" i="15" s="1"/>
  <c r="H9" i="15"/>
  <c r="P9" i="15" s="1"/>
  <c r="W9" i="15" s="1"/>
  <c r="J9" i="15"/>
  <c r="R9" i="15" s="1"/>
  <c r="Y9" i="15" s="1"/>
  <c r="L9" i="15"/>
  <c r="M9" i="15"/>
  <c r="E10" i="15"/>
  <c r="F10" i="15"/>
  <c r="N10" i="15" s="1"/>
  <c r="U10" i="15" s="1"/>
  <c r="G10" i="15"/>
  <c r="O10" i="15" s="1"/>
  <c r="V10" i="15" s="1"/>
  <c r="P10" i="15"/>
  <c r="W10" i="15" s="1"/>
  <c r="R10" i="15"/>
  <c r="Y10" i="15" s="1"/>
  <c r="L10" i="15"/>
  <c r="E11" i="15"/>
  <c r="F11" i="15"/>
  <c r="N11" i="15" s="1"/>
  <c r="U11" i="15" s="1"/>
  <c r="G11" i="15"/>
  <c r="O11" i="15" s="1"/>
  <c r="V11" i="15" s="1"/>
  <c r="H11" i="15"/>
  <c r="P11" i="15" s="1"/>
  <c r="W11" i="15" s="1"/>
  <c r="J11" i="15"/>
  <c r="R11" i="15" s="1"/>
  <c r="Y11" i="15" s="1"/>
  <c r="L11" i="15"/>
  <c r="M11" i="15"/>
  <c r="E12" i="15"/>
  <c r="F12" i="15"/>
  <c r="N12" i="15" s="1"/>
  <c r="U12" i="15" s="1"/>
  <c r="G12" i="15"/>
  <c r="O12" i="15" s="1"/>
  <c r="V12" i="15" s="1"/>
  <c r="H12" i="15"/>
  <c r="P12" i="15" s="1"/>
  <c r="W12" i="15" s="1"/>
  <c r="J12" i="15"/>
  <c r="R12" i="15" s="1"/>
  <c r="Y12" i="15" s="1"/>
  <c r="L12" i="15"/>
  <c r="M12" i="15"/>
  <c r="E13" i="15"/>
  <c r="F13" i="15"/>
  <c r="N13" i="15" s="1"/>
  <c r="U13" i="15" s="1"/>
  <c r="G13" i="15"/>
  <c r="O13" i="15" s="1"/>
  <c r="V13" i="15" s="1"/>
  <c r="H13" i="15"/>
  <c r="P13" i="15" s="1"/>
  <c r="W13" i="15" s="1"/>
  <c r="J13" i="15"/>
  <c r="R13" i="15" s="1"/>
  <c r="Y13" i="15" s="1"/>
  <c r="L13" i="15"/>
  <c r="M13" i="15"/>
  <c r="E14" i="15"/>
  <c r="F14" i="15"/>
  <c r="N14" i="15" s="1"/>
  <c r="U14" i="15" s="1"/>
  <c r="G14" i="15"/>
  <c r="O14" i="15" s="1"/>
  <c r="V14" i="15" s="1"/>
  <c r="H14" i="15"/>
  <c r="P14" i="15" s="1"/>
  <c r="W14" i="15" s="1"/>
  <c r="J14" i="15"/>
  <c r="R14" i="15" s="1"/>
  <c r="Y14" i="15" s="1"/>
  <c r="L14" i="15"/>
  <c r="M14" i="15"/>
  <c r="E15" i="15"/>
  <c r="F15" i="15"/>
  <c r="N15" i="15" s="1"/>
  <c r="U15" i="15" s="1"/>
  <c r="G15" i="15"/>
  <c r="O15" i="15" s="1"/>
  <c r="V15" i="15" s="1"/>
  <c r="H15" i="15"/>
  <c r="P15" i="15" s="1"/>
  <c r="W15" i="15" s="1"/>
  <c r="J15" i="15"/>
  <c r="R15" i="15" s="1"/>
  <c r="Y15" i="15" s="1"/>
  <c r="L15" i="15"/>
  <c r="M15" i="15"/>
  <c r="E16" i="15"/>
  <c r="F16" i="15"/>
  <c r="N16" i="15" s="1"/>
  <c r="U16" i="15" s="1"/>
  <c r="G16" i="15"/>
  <c r="O16" i="15" s="1"/>
  <c r="V16" i="15" s="1"/>
  <c r="H16" i="15"/>
  <c r="P16" i="15" s="1"/>
  <c r="W16" i="15" s="1"/>
  <c r="J16" i="15"/>
  <c r="R16" i="15" s="1"/>
  <c r="Y16" i="15" s="1"/>
  <c r="L16" i="15"/>
  <c r="M16" i="15"/>
  <c r="E17" i="15"/>
  <c r="F17" i="15"/>
  <c r="N17" i="15" s="1"/>
  <c r="U17" i="15" s="1"/>
  <c r="G17" i="15"/>
  <c r="O17" i="15" s="1"/>
  <c r="V17" i="15" s="1"/>
  <c r="H17" i="15"/>
  <c r="P17" i="15" s="1"/>
  <c r="W17" i="15" s="1"/>
  <c r="J17" i="15"/>
  <c r="R17" i="15" s="1"/>
  <c r="Y17" i="15" s="1"/>
  <c r="L17" i="15"/>
  <c r="M17" i="15"/>
  <c r="E18" i="15"/>
  <c r="F18" i="15"/>
  <c r="N18" i="15" s="1"/>
  <c r="U18" i="15" s="1"/>
  <c r="G18" i="15"/>
  <c r="O18" i="15" s="1"/>
  <c r="V18" i="15" s="1"/>
  <c r="H18" i="15"/>
  <c r="P18" i="15" s="1"/>
  <c r="W18" i="15" s="1"/>
  <c r="J18" i="15"/>
  <c r="R18" i="15" s="1"/>
  <c r="Y18" i="15" s="1"/>
  <c r="L18" i="15"/>
  <c r="M18" i="15"/>
  <c r="E19" i="15"/>
  <c r="F19" i="15"/>
  <c r="N19" i="15" s="1"/>
  <c r="U19" i="15" s="1"/>
  <c r="G19" i="15"/>
  <c r="O19" i="15" s="1"/>
  <c r="V19" i="15" s="1"/>
  <c r="H19" i="15"/>
  <c r="P19" i="15" s="1"/>
  <c r="W19" i="15" s="1"/>
  <c r="J19" i="15"/>
  <c r="R19" i="15" s="1"/>
  <c r="Y19" i="15" s="1"/>
  <c r="L19" i="15"/>
  <c r="M19" i="15"/>
  <c r="E20" i="15"/>
  <c r="F20" i="15"/>
  <c r="N20" i="15" s="1"/>
  <c r="U20" i="15" s="1"/>
  <c r="G20" i="15"/>
  <c r="O20" i="15" s="1"/>
  <c r="V20" i="15" s="1"/>
  <c r="H20" i="15"/>
  <c r="P20" i="15" s="1"/>
  <c r="W20" i="15" s="1"/>
  <c r="J20" i="15"/>
  <c r="R20" i="15" s="1"/>
  <c r="Y20" i="15" s="1"/>
  <c r="L20" i="15"/>
  <c r="M20" i="15"/>
  <c r="E21" i="15"/>
  <c r="F21" i="15"/>
  <c r="N21" i="15" s="1"/>
  <c r="U21" i="15" s="1"/>
  <c r="G21" i="15"/>
  <c r="H21" i="15"/>
  <c r="P21" i="15" s="1"/>
  <c r="W21" i="15" s="1"/>
  <c r="J21" i="15"/>
  <c r="R21" i="15" s="1"/>
  <c r="Y21" i="15" s="1"/>
  <c r="L21" i="15"/>
  <c r="M21" i="15"/>
  <c r="E22" i="15"/>
  <c r="F22" i="15"/>
  <c r="N22" i="15" s="1"/>
  <c r="U22" i="15" s="1"/>
  <c r="G22" i="15"/>
  <c r="O22" i="15" s="1"/>
  <c r="V22" i="15" s="1"/>
  <c r="H22" i="15"/>
  <c r="P22" i="15" s="1"/>
  <c r="W22" i="15" s="1"/>
  <c r="J22" i="15"/>
  <c r="R22" i="15" s="1"/>
  <c r="Y22" i="15" s="1"/>
  <c r="L22" i="15"/>
  <c r="M22" i="15"/>
  <c r="E23" i="15"/>
  <c r="F23" i="15"/>
  <c r="N23" i="15" s="1"/>
  <c r="U23" i="15" s="1"/>
  <c r="G23" i="15"/>
  <c r="H23" i="15"/>
  <c r="P23" i="15" s="1"/>
  <c r="W23" i="15" s="1"/>
  <c r="J23" i="15"/>
  <c r="R23" i="15" s="1"/>
  <c r="Y23" i="15" s="1"/>
  <c r="L23" i="15"/>
  <c r="M23" i="15"/>
  <c r="E24" i="15"/>
  <c r="F24" i="15"/>
  <c r="N24" i="15" s="1"/>
  <c r="U24" i="15" s="1"/>
  <c r="G24" i="15"/>
  <c r="O24" i="15" s="1"/>
  <c r="V24" i="15" s="1"/>
  <c r="H24" i="15"/>
  <c r="P24" i="15" s="1"/>
  <c r="W24" i="15" s="1"/>
  <c r="J24" i="15"/>
  <c r="R24" i="15" s="1"/>
  <c r="Y24" i="15" s="1"/>
  <c r="L24" i="15"/>
  <c r="M24" i="15"/>
  <c r="E25" i="15"/>
  <c r="F25" i="15"/>
  <c r="N25" i="15" s="1"/>
  <c r="U25" i="15" s="1"/>
  <c r="G25" i="15"/>
  <c r="H25" i="15"/>
  <c r="P25" i="15" s="1"/>
  <c r="W25" i="15" s="1"/>
  <c r="J25" i="15"/>
  <c r="R25" i="15" s="1"/>
  <c r="Y25" i="15" s="1"/>
  <c r="L25" i="15"/>
  <c r="M25" i="15"/>
  <c r="E26" i="15"/>
  <c r="F26" i="15"/>
  <c r="N26" i="15" s="1"/>
  <c r="U26" i="15" s="1"/>
  <c r="G26" i="15"/>
  <c r="O26" i="15" s="1"/>
  <c r="V26" i="15" s="1"/>
  <c r="H26" i="15"/>
  <c r="P26" i="15" s="1"/>
  <c r="W26" i="15" s="1"/>
  <c r="J26" i="15"/>
  <c r="R26" i="15" s="1"/>
  <c r="Y26" i="15" s="1"/>
  <c r="L26" i="15"/>
  <c r="M26" i="15"/>
  <c r="E27" i="15"/>
  <c r="F27" i="15"/>
  <c r="N27" i="15" s="1"/>
  <c r="U27" i="15" s="1"/>
  <c r="G27" i="15"/>
  <c r="H27" i="15"/>
  <c r="P27" i="15" s="1"/>
  <c r="W27" i="15" s="1"/>
  <c r="J27" i="15"/>
  <c r="R27" i="15" s="1"/>
  <c r="Y27" i="15" s="1"/>
  <c r="L27" i="15"/>
  <c r="M27" i="15"/>
  <c r="E28" i="15"/>
  <c r="F28" i="15"/>
  <c r="N28" i="15" s="1"/>
  <c r="U28" i="15" s="1"/>
  <c r="G28" i="15"/>
  <c r="O28" i="15" s="1"/>
  <c r="V28" i="15" s="1"/>
  <c r="H28" i="15"/>
  <c r="P28" i="15" s="1"/>
  <c r="W28" i="15" s="1"/>
  <c r="J28" i="15"/>
  <c r="R28" i="15" s="1"/>
  <c r="Y28" i="15" s="1"/>
  <c r="L28" i="15"/>
  <c r="M28" i="15"/>
  <c r="E29" i="15"/>
  <c r="F29" i="15"/>
  <c r="N29" i="15" s="1"/>
  <c r="U29" i="15" s="1"/>
  <c r="G29" i="15"/>
  <c r="H29" i="15"/>
  <c r="P29" i="15" s="1"/>
  <c r="W29" i="15" s="1"/>
  <c r="J29" i="15"/>
  <c r="R29" i="15" s="1"/>
  <c r="Y29" i="15" s="1"/>
  <c r="L29" i="15"/>
  <c r="M29" i="15"/>
  <c r="E30" i="15"/>
  <c r="F30" i="15"/>
  <c r="N30" i="15" s="1"/>
  <c r="U30" i="15" s="1"/>
  <c r="G30" i="15"/>
  <c r="O30" i="15" s="1"/>
  <c r="V30" i="15" s="1"/>
  <c r="H30" i="15"/>
  <c r="P30" i="15" s="1"/>
  <c r="W30" i="15" s="1"/>
  <c r="J30" i="15"/>
  <c r="R30" i="15" s="1"/>
  <c r="Y30" i="15" s="1"/>
  <c r="L30" i="15"/>
  <c r="M30" i="15"/>
  <c r="E31" i="15"/>
  <c r="F31" i="15"/>
  <c r="N31" i="15" s="1"/>
  <c r="U31" i="15" s="1"/>
  <c r="G31" i="15"/>
  <c r="H31" i="15"/>
  <c r="P31" i="15" s="1"/>
  <c r="W31" i="15" s="1"/>
  <c r="J31" i="15"/>
  <c r="R31" i="15" s="1"/>
  <c r="Y31" i="15" s="1"/>
  <c r="L31" i="15"/>
  <c r="M31" i="15"/>
  <c r="E32" i="15"/>
  <c r="F32" i="15"/>
  <c r="N32" i="15" s="1"/>
  <c r="U32" i="15" s="1"/>
  <c r="G32" i="15"/>
  <c r="O32" i="15" s="1"/>
  <c r="V32" i="15" s="1"/>
  <c r="H32" i="15"/>
  <c r="P32" i="15" s="1"/>
  <c r="W32" i="15" s="1"/>
  <c r="J32" i="15"/>
  <c r="R32" i="15" s="1"/>
  <c r="Y32" i="15" s="1"/>
  <c r="L32" i="15"/>
  <c r="M32" i="15"/>
  <c r="E33" i="15"/>
  <c r="F33" i="15"/>
  <c r="N33" i="15" s="1"/>
  <c r="U33" i="15" s="1"/>
  <c r="G33" i="15"/>
  <c r="H33" i="15"/>
  <c r="P33" i="15" s="1"/>
  <c r="W33" i="15" s="1"/>
  <c r="J33" i="15"/>
  <c r="R33" i="15" s="1"/>
  <c r="Y33" i="15" s="1"/>
  <c r="L33" i="15"/>
  <c r="M33" i="15"/>
  <c r="E34" i="15"/>
  <c r="F34" i="15"/>
  <c r="N34" i="15" s="1"/>
  <c r="U34" i="15" s="1"/>
  <c r="G34" i="15"/>
  <c r="O34" i="15" s="1"/>
  <c r="V34" i="15" s="1"/>
  <c r="H34" i="15"/>
  <c r="P34" i="15" s="1"/>
  <c r="W34" i="15" s="1"/>
  <c r="J34" i="15"/>
  <c r="L34" i="15"/>
  <c r="M34" i="15"/>
  <c r="E35" i="15"/>
  <c r="F35" i="15"/>
  <c r="N35" i="15" s="1"/>
  <c r="U35" i="15" s="1"/>
  <c r="G35" i="15"/>
  <c r="H35" i="15"/>
  <c r="P35" i="15" s="1"/>
  <c r="W35" i="15" s="1"/>
  <c r="J35" i="15"/>
  <c r="R35" i="15" s="1"/>
  <c r="Y35" i="15" s="1"/>
  <c r="L35" i="15"/>
  <c r="M35" i="15"/>
  <c r="E36" i="15"/>
  <c r="F36" i="15"/>
  <c r="N36" i="15" s="1"/>
  <c r="U36" i="15" s="1"/>
  <c r="G36" i="15"/>
  <c r="O36" i="15" s="1"/>
  <c r="V36" i="15" s="1"/>
  <c r="H36" i="15"/>
  <c r="P36" i="15" s="1"/>
  <c r="W36" i="15" s="1"/>
  <c r="J36" i="15"/>
  <c r="R36" i="15" s="1"/>
  <c r="Y36" i="15" s="1"/>
  <c r="L36" i="15"/>
  <c r="M36" i="15"/>
  <c r="E37" i="15"/>
  <c r="F37" i="15"/>
  <c r="N37" i="15" s="1"/>
  <c r="U37" i="15" s="1"/>
  <c r="G37" i="15"/>
  <c r="O37" i="15" s="1"/>
  <c r="V37" i="15" s="1"/>
  <c r="H37" i="15"/>
  <c r="P37" i="15" s="1"/>
  <c r="W37" i="15" s="1"/>
  <c r="J37" i="15"/>
  <c r="R37" i="15" s="1"/>
  <c r="Y37" i="15" s="1"/>
  <c r="L37" i="15"/>
  <c r="M37" i="15"/>
  <c r="E38" i="15"/>
  <c r="F38" i="15"/>
  <c r="N38" i="15" s="1"/>
  <c r="U38" i="15" s="1"/>
  <c r="G38" i="15"/>
  <c r="O38" i="15" s="1"/>
  <c r="V38" i="15" s="1"/>
  <c r="H38" i="15"/>
  <c r="P38" i="15" s="1"/>
  <c r="W38" i="15" s="1"/>
  <c r="J38" i="15"/>
  <c r="R38" i="15" s="1"/>
  <c r="Y38" i="15" s="1"/>
  <c r="L38" i="15"/>
  <c r="M38" i="15"/>
  <c r="E39" i="15"/>
  <c r="F39" i="15"/>
  <c r="N39" i="15" s="1"/>
  <c r="U39" i="15" s="1"/>
  <c r="G39" i="15"/>
  <c r="O39" i="15" s="1"/>
  <c r="V39" i="15" s="1"/>
  <c r="H39" i="15"/>
  <c r="P39" i="15" s="1"/>
  <c r="W39" i="15" s="1"/>
  <c r="J39" i="15"/>
  <c r="R39" i="15" s="1"/>
  <c r="Y39" i="15" s="1"/>
  <c r="L39" i="15"/>
  <c r="M39" i="15"/>
  <c r="E40" i="15"/>
  <c r="F40" i="15"/>
  <c r="N40" i="15" s="1"/>
  <c r="U40" i="15" s="1"/>
  <c r="G40" i="15"/>
  <c r="O40" i="15" s="1"/>
  <c r="V40" i="15" s="1"/>
  <c r="H40" i="15"/>
  <c r="P40" i="15" s="1"/>
  <c r="W40" i="15" s="1"/>
  <c r="J40" i="15"/>
  <c r="R40" i="15" s="1"/>
  <c r="Y40" i="15" s="1"/>
  <c r="L40" i="15"/>
  <c r="M40" i="15"/>
  <c r="E5" i="14"/>
  <c r="F5" i="14"/>
  <c r="N5" i="14" s="1"/>
  <c r="U5" i="14" s="1"/>
  <c r="G5" i="14"/>
  <c r="O5" i="14" s="1"/>
  <c r="V5" i="14" s="1"/>
  <c r="P5" i="14"/>
  <c r="W5" i="14" s="1"/>
  <c r="R5" i="14"/>
  <c r="Y5" i="14" s="1"/>
  <c r="L5" i="14"/>
  <c r="E6" i="14"/>
  <c r="F6" i="14"/>
  <c r="N6" i="14" s="1"/>
  <c r="U6" i="14" s="1"/>
  <c r="G6" i="14"/>
  <c r="O6" i="14" s="1"/>
  <c r="V6" i="14" s="1"/>
  <c r="H6" i="14"/>
  <c r="P6" i="14" s="1"/>
  <c r="W6" i="14" s="1"/>
  <c r="J6" i="14"/>
  <c r="R6" i="14" s="1"/>
  <c r="Y6" i="14" s="1"/>
  <c r="L6" i="14"/>
  <c r="M6" i="14"/>
  <c r="E7" i="14"/>
  <c r="F7" i="14"/>
  <c r="N7" i="14" s="1"/>
  <c r="U7" i="14" s="1"/>
  <c r="G7" i="14"/>
  <c r="H7" i="14"/>
  <c r="P7" i="14" s="1"/>
  <c r="W7" i="14" s="1"/>
  <c r="J7" i="14"/>
  <c r="R7" i="14" s="1"/>
  <c r="Y7" i="14" s="1"/>
  <c r="L7" i="14"/>
  <c r="M7" i="14"/>
  <c r="E8" i="14"/>
  <c r="F8" i="14"/>
  <c r="N8" i="14" s="1"/>
  <c r="U8" i="14" s="1"/>
  <c r="G8" i="14"/>
  <c r="O8" i="14" s="1"/>
  <c r="V8" i="14" s="1"/>
  <c r="H8" i="14"/>
  <c r="P8" i="14" s="1"/>
  <c r="W8" i="14" s="1"/>
  <c r="J8" i="14"/>
  <c r="R8" i="14" s="1"/>
  <c r="Y8" i="14" s="1"/>
  <c r="L8" i="14"/>
  <c r="M8" i="14"/>
  <c r="E9" i="14"/>
  <c r="F9" i="14"/>
  <c r="N9" i="14" s="1"/>
  <c r="U9" i="14" s="1"/>
  <c r="G9" i="14"/>
  <c r="H9" i="14"/>
  <c r="P9" i="14" s="1"/>
  <c r="W9" i="14" s="1"/>
  <c r="J9" i="14"/>
  <c r="R9" i="14" s="1"/>
  <c r="Y9" i="14" s="1"/>
  <c r="L9" i="14"/>
  <c r="M9" i="14"/>
  <c r="E10" i="14"/>
  <c r="F10" i="14"/>
  <c r="N10" i="14" s="1"/>
  <c r="U10" i="14" s="1"/>
  <c r="G10" i="14"/>
  <c r="O10" i="14" s="1"/>
  <c r="V10" i="14" s="1"/>
  <c r="P10" i="14"/>
  <c r="W10" i="14" s="1"/>
  <c r="R10" i="14"/>
  <c r="Y10" i="14" s="1"/>
  <c r="L10" i="14"/>
  <c r="E11" i="14"/>
  <c r="F11" i="14"/>
  <c r="N11" i="14" s="1"/>
  <c r="U11" i="14" s="1"/>
  <c r="G11" i="14"/>
  <c r="H11" i="14"/>
  <c r="P11" i="14" s="1"/>
  <c r="W11" i="14" s="1"/>
  <c r="J11" i="14"/>
  <c r="R11" i="14" s="1"/>
  <c r="Y11" i="14" s="1"/>
  <c r="L11" i="14"/>
  <c r="M11" i="14"/>
  <c r="E12" i="14"/>
  <c r="F12" i="14"/>
  <c r="N12" i="14" s="1"/>
  <c r="U12" i="14" s="1"/>
  <c r="G12" i="14"/>
  <c r="O12" i="14" s="1"/>
  <c r="V12" i="14" s="1"/>
  <c r="H12" i="14"/>
  <c r="P12" i="14" s="1"/>
  <c r="W12" i="14" s="1"/>
  <c r="J12" i="14"/>
  <c r="R12" i="14" s="1"/>
  <c r="Y12" i="14" s="1"/>
  <c r="L12" i="14"/>
  <c r="M12" i="14"/>
  <c r="E13" i="14"/>
  <c r="F13" i="14"/>
  <c r="N13" i="14" s="1"/>
  <c r="U13" i="14" s="1"/>
  <c r="G13" i="14"/>
  <c r="H13" i="14"/>
  <c r="P13" i="14" s="1"/>
  <c r="W13" i="14" s="1"/>
  <c r="J13" i="14"/>
  <c r="R13" i="14" s="1"/>
  <c r="Y13" i="14" s="1"/>
  <c r="L13" i="14"/>
  <c r="M13" i="14"/>
  <c r="E14" i="14"/>
  <c r="F14" i="14"/>
  <c r="N14" i="14" s="1"/>
  <c r="U14" i="14" s="1"/>
  <c r="G14" i="14"/>
  <c r="O14" i="14" s="1"/>
  <c r="V14" i="14" s="1"/>
  <c r="H14" i="14"/>
  <c r="P14" i="14" s="1"/>
  <c r="W14" i="14" s="1"/>
  <c r="J14" i="14"/>
  <c r="R14" i="14" s="1"/>
  <c r="Y14" i="14" s="1"/>
  <c r="L14" i="14"/>
  <c r="M14" i="14"/>
  <c r="E15" i="14"/>
  <c r="F15" i="14"/>
  <c r="N15" i="14" s="1"/>
  <c r="U15" i="14" s="1"/>
  <c r="G15" i="14"/>
  <c r="H15" i="14"/>
  <c r="P15" i="14" s="1"/>
  <c r="W15" i="14" s="1"/>
  <c r="J15" i="14"/>
  <c r="R15" i="14" s="1"/>
  <c r="Y15" i="14" s="1"/>
  <c r="L15" i="14"/>
  <c r="M15" i="14"/>
  <c r="E16" i="14"/>
  <c r="F16" i="14"/>
  <c r="N16" i="14" s="1"/>
  <c r="U16" i="14" s="1"/>
  <c r="G16" i="14"/>
  <c r="O16" i="14" s="1"/>
  <c r="V16" i="14" s="1"/>
  <c r="H16" i="14"/>
  <c r="P16" i="14" s="1"/>
  <c r="W16" i="14" s="1"/>
  <c r="J16" i="14"/>
  <c r="R16" i="14" s="1"/>
  <c r="Y16" i="14" s="1"/>
  <c r="L16" i="14"/>
  <c r="M16" i="14"/>
  <c r="E17" i="14"/>
  <c r="F17" i="14"/>
  <c r="N17" i="14" s="1"/>
  <c r="U17" i="14" s="1"/>
  <c r="G17" i="14"/>
  <c r="O17" i="14" s="1"/>
  <c r="V17" i="14" s="1"/>
  <c r="H17" i="14"/>
  <c r="P17" i="14" s="1"/>
  <c r="W17" i="14" s="1"/>
  <c r="J17" i="14"/>
  <c r="R17" i="14" s="1"/>
  <c r="Y17" i="14" s="1"/>
  <c r="L17" i="14"/>
  <c r="M17" i="14"/>
  <c r="E18" i="14"/>
  <c r="F18" i="14"/>
  <c r="N18" i="14" s="1"/>
  <c r="U18" i="14" s="1"/>
  <c r="G18" i="14"/>
  <c r="O18" i="14" s="1"/>
  <c r="V18" i="14" s="1"/>
  <c r="H18" i="14"/>
  <c r="P18" i="14" s="1"/>
  <c r="W18" i="14" s="1"/>
  <c r="J18" i="14"/>
  <c r="R18" i="14" s="1"/>
  <c r="Y18" i="14" s="1"/>
  <c r="L18" i="14"/>
  <c r="M18" i="14"/>
  <c r="E19" i="14"/>
  <c r="F19" i="14"/>
  <c r="N19" i="14" s="1"/>
  <c r="U19" i="14" s="1"/>
  <c r="G19" i="14"/>
  <c r="O19" i="14" s="1"/>
  <c r="V19" i="14" s="1"/>
  <c r="H19" i="14"/>
  <c r="P19" i="14" s="1"/>
  <c r="W19" i="14" s="1"/>
  <c r="J19" i="14"/>
  <c r="R19" i="14" s="1"/>
  <c r="Y19" i="14" s="1"/>
  <c r="L19" i="14"/>
  <c r="M19" i="14"/>
  <c r="E20" i="14"/>
  <c r="F20" i="14"/>
  <c r="N20" i="14" s="1"/>
  <c r="U20" i="14" s="1"/>
  <c r="G20" i="14"/>
  <c r="O20" i="14" s="1"/>
  <c r="V20" i="14" s="1"/>
  <c r="H20" i="14"/>
  <c r="P20" i="14" s="1"/>
  <c r="W20" i="14" s="1"/>
  <c r="J20" i="14"/>
  <c r="R20" i="14" s="1"/>
  <c r="Y20" i="14" s="1"/>
  <c r="L20" i="14"/>
  <c r="M20" i="14"/>
  <c r="E21" i="14"/>
  <c r="F21" i="14"/>
  <c r="N21" i="14" s="1"/>
  <c r="U21" i="14" s="1"/>
  <c r="G21" i="14"/>
  <c r="O21" i="14" s="1"/>
  <c r="V21" i="14" s="1"/>
  <c r="H21" i="14"/>
  <c r="P21" i="14" s="1"/>
  <c r="W21" i="14" s="1"/>
  <c r="J21" i="14"/>
  <c r="R21" i="14" s="1"/>
  <c r="Y21" i="14" s="1"/>
  <c r="L21" i="14"/>
  <c r="M21" i="14"/>
  <c r="E22" i="14"/>
  <c r="F22" i="14"/>
  <c r="N22" i="14" s="1"/>
  <c r="U22" i="14" s="1"/>
  <c r="G22" i="14"/>
  <c r="O22" i="14" s="1"/>
  <c r="V22" i="14" s="1"/>
  <c r="H22" i="14"/>
  <c r="P22" i="14" s="1"/>
  <c r="W22" i="14" s="1"/>
  <c r="J22" i="14"/>
  <c r="R22" i="14" s="1"/>
  <c r="Y22" i="14" s="1"/>
  <c r="L22" i="14"/>
  <c r="M22" i="14"/>
  <c r="E23" i="14"/>
  <c r="F23" i="14"/>
  <c r="N23" i="14" s="1"/>
  <c r="U23" i="14" s="1"/>
  <c r="G23" i="14"/>
  <c r="O23" i="14" s="1"/>
  <c r="V23" i="14" s="1"/>
  <c r="H23" i="14"/>
  <c r="P23" i="14" s="1"/>
  <c r="W23" i="14" s="1"/>
  <c r="J23" i="14"/>
  <c r="R23" i="14" s="1"/>
  <c r="Y23" i="14" s="1"/>
  <c r="L23" i="14"/>
  <c r="M23" i="14"/>
  <c r="E24" i="14"/>
  <c r="F24" i="14"/>
  <c r="N24" i="14" s="1"/>
  <c r="U24" i="14" s="1"/>
  <c r="G24" i="14"/>
  <c r="O24" i="14" s="1"/>
  <c r="V24" i="14" s="1"/>
  <c r="H24" i="14"/>
  <c r="P24" i="14" s="1"/>
  <c r="W24" i="14" s="1"/>
  <c r="J24" i="14"/>
  <c r="R24" i="14" s="1"/>
  <c r="Y24" i="14" s="1"/>
  <c r="L24" i="14"/>
  <c r="M24" i="14"/>
  <c r="E25" i="14"/>
  <c r="F25" i="14"/>
  <c r="N25" i="14" s="1"/>
  <c r="U25" i="14" s="1"/>
  <c r="G25" i="14"/>
  <c r="O25" i="14" s="1"/>
  <c r="V25" i="14" s="1"/>
  <c r="H25" i="14"/>
  <c r="P25" i="14" s="1"/>
  <c r="W25" i="14" s="1"/>
  <c r="J25" i="14"/>
  <c r="R25" i="14" s="1"/>
  <c r="Y25" i="14" s="1"/>
  <c r="L25" i="14"/>
  <c r="M25" i="14"/>
  <c r="E26" i="14"/>
  <c r="F26" i="14"/>
  <c r="N26" i="14" s="1"/>
  <c r="U26" i="14" s="1"/>
  <c r="G26" i="14"/>
  <c r="O26" i="14" s="1"/>
  <c r="V26" i="14" s="1"/>
  <c r="H26" i="14"/>
  <c r="P26" i="14" s="1"/>
  <c r="W26" i="14" s="1"/>
  <c r="J26" i="14"/>
  <c r="R26" i="14" s="1"/>
  <c r="Y26" i="14" s="1"/>
  <c r="L26" i="14"/>
  <c r="M26" i="14"/>
  <c r="E27" i="14"/>
  <c r="F27" i="14"/>
  <c r="N27" i="14" s="1"/>
  <c r="U27" i="14" s="1"/>
  <c r="G27" i="14"/>
  <c r="O27" i="14" s="1"/>
  <c r="V27" i="14" s="1"/>
  <c r="H27" i="14"/>
  <c r="P27" i="14" s="1"/>
  <c r="W27" i="14" s="1"/>
  <c r="J27" i="14"/>
  <c r="R27" i="14" s="1"/>
  <c r="Y27" i="14" s="1"/>
  <c r="L27" i="14"/>
  <c r="M27" i="14"/>
  <c r="E28" i="14"/>
  <c r="F28" i="14"/>
  <c r="N28" i="14" s="1"/>
  <c r="U28" i="14" s="1"/>
  <c r="G28" i="14"/>
  <c r="O28" i="14" s="1"/>
  <c r="V28" i="14" s="1"/>
  <c r="H28" i="14"/>
  <c r="P28" i="14" s="1"/>
  <c r="W28" i="14" s="1"/>
  <c r="J28" i="14"/>
  <c r="R28" i="14" s="1"/>
  <c r="Y28" i="14" s="1"/>
  <c r="L28" i="14"/>
  <c r="M28" i="14"/>
  <c r="E29" i="14"/>
  <c r="F29" i="14"/>
  <c r="N29" i="14" s="1"/>
  <c r="U29" i="14" s="1"/>
  <c r="G29" i="14"/>
  <c r="O29" i="14" s="1"/>
  <c r="V29" i="14" s="1"/>
  <c r="H29" i="14"/>
  <c r="P29" i="14" s="1"/>
  <c r="W29" i="14" s="1"/>
  <c r="J29" i="14"/>
  <c r="R29" i="14" s="1"/>
  <c r="Y29" i="14" s="1"/>
  <c r="L29" i="14"/>
  <c r="M29" i="14"/>
  <c r="E30" i="14"/>
  <c r="F30" i="14"/>
  <c r="N30" i="14" s="1"/>
  <c r="U30" i="14" s="1"/>
  <c r="G30" i="14"/>
  <c r="O30" i="14" s="1"/>
  <c r="V30" i="14" s="1"/>
  <c r="H30" i="14"/>
  <c r="P30" i="14" s="1"/>
  <c r="W30" i="14" s="1"/>
  <c r="J30" i="14"/>
  <c r="R30" i="14" s="1"/>
  <c r="Y30" i="14" s="1"/>
  <c r="L30" i="14"/>
  <c r="M30" i="14"/>
  <c r="E31" i="14"/>
  <c r="F31" i="14"/>
  <c r="N31" i="14" s="1"/>
  <c r="U31" i="14" s="1"/>
  <c r="G31" i="14"/>
  <c r="O31" i="14" s="1"/>
  <c r="V31" i="14" s="1"/>
  <c r="H31" i="14"/>
  <c r="P31" i="14" s="1"/>
  <c r="W31" i="14" s="1"/>
  <c r="J31" i="14"/>
  <c r="R31" i="14" s="1"/>
  <c r="Y31" i="14" s="1"/>
  <c r="L31" i="14"/>
  <c r="M31" i="14"/>
  <c r="E32" i="14"/>
  <c r="F32" i="14"/>
  <c r="N32" i="14" s="1"/>
  <c r="U32" i="14" s="1"/>
  <c r="G32" i="14"/>
  <c r="O32" i="14" s="1"/>
  <c r="V32" i="14" s="1"/>
  <c r="H32" i="14"/>
  <c r="P32" i="14" s="1"/>
  <c r="W32" i="14" s="1"/>
  <c r="J32" i="14"/>
  <c r="R32" i="14" s="1"/>
  <c r="Y32" i="14" s="1"/>
  <c r="L32" i="14"/>
  <c r="M32" i="14"/>
  <c r="E33" i="14"/>
  <c r="F33" i="14"/>
  <c r="N33" i="14" s="1"/>
  <c r="U33" i="14" s="1"/>
  <c r="G33" i="14"/>
  <c r="O33" i="14" s="1"/>
  <c r="V33" i="14" s="1"/>
  <c r="H33" i="14"/>
  <c r="P33" i="14" s="1"/>
  <c r="W33" i="14" s="1"/>
  <c r="J33" i="14"/>
  <c r="R33" i="14" s="1"/>
  <c r="Y33" i="14" s="1"/>
  <c r="L33" i="14"/>
  <c r="M33" i="14"/>
  <c r="E34" i="14"/>
  <c r="F34" i="14"/>
  <c r="N34" i="14" s="1"/>
  <c r="U34" i="14" s="1"/>
  <c r="G34" i="14"/>
  <c r="O34" i="14" s="1"/>
  <c r="V34" i="14" s="1"/>
  <c r="H34" i="14"/>
  <c r="P34" i="14" s="1"/>
  <c r="W34" i="14" s="1"/>
  <c r="J34" i="14"/>
  <c r="R34" i="14" s="1"/>
  <c r="Y34" i="14" s="1"/>
  <c r="L34" i="14"/>
  <c r="M34" i="14"/>
  <c r="E35" i="14"/>
  <c r="F35" i="14"/>
  <c r="N35" i="14" s="1"/>
  <c r="U35" i="14" s="1"/>
  <c r="G35" i="14"/>
  <c r="O35" i="14" s="1"/>
  <c r="V35" i="14" s="1"/>
  <c r="H35" i="14"/>
  <c r="P35" i="14" s="1"/>
  <c r="W35" i="14" s="1"/>
  <c r="J35" i="14"/>
  <c r="R35" i="14" s="1"/>
  <c r="Y35" i="14" s="1"/>
  <c r="L35" i="14"/>
  <c r="M35" i="14"/>
  <c r="E36" i="14"/>
  <c r="F36" i="14"/>
  <c r="N36" i="14" s="1"/>
  <c r="U36" i="14" s="1"/>
  <c r="G36" i="14"/>
  <c r="O36" i="14" s="1"/>
  <c r="V36" i="14" s="1"/>
  <c r="H36" i="14"/>
  <c r="P36" i="14" s="1"/>
  <c r="W36" i="14" s="1"/>
  <c r="J36" i="14"/>
  <c r="R36" i="14" s="1"/>
  <c r="Y36" i="14" s="1"/>
  <c r="L36" i="14"/>
  <c r="M36" i="14"/>
  <c r="E37" i="14"/>
  <c r="F37" i="14"/>
  <c r="N37" i="14" s="1"/>
  <c r="U37" i="14" s="1"/>
  <c r="G37" i="14"/>
  <c r="O37" i="14" s="1"/>
  <c r="V37" i="14" s="1"/>
  <c r="H37" i="14"/>
  <c r="P37" i="14" s="1"/>
  <c r="W37" i="14" s="1"/>
  <c r="J37" i="14"/>
  <c r="R37" i="14" s="1"/>
  <c r="Y37" i="14" s="1"/>
  <c r="L37" i="14"/>
  <c r="M37" i="14"/>
  <c r="E38" i="14"/>
  <c r="F38" i="14"/>
  <c r="N38" i="14" s="1"/>
  <c r="U38" i="14" s="1"/>
  <c r="G38" i="14"/>
  <c r="O38" i="14" s="1"/>
  <c r="V38" i="14" s="1"/>
  <c r="H38" i="14"/>
  <c r="P38" i="14" s="1"/>
  <c r="W38" i="14" s="1"/>
  <c r="J38" i="14"/>
  <c r="R38" i="14" s="1"/>
  <c r="Y38" i="14" s="1"/>
  <c r="L38" i="14"/>
  <c r="M38" i="14"/>
  <c r="E39" i="14"/>
  <c r="F39" i="14"/>
  <c r="N39" i="14" s="1"/>
  <c r="U39" i="14" s="1"/>
  <c r="G39" i="14"/>
  <c r="O39" i="14" s="1"/>
  <c r="V39" i="14" s="1"/>
  <c r="H39" i="14"/>
  <c r="P39" i="14" s="1"/>
  <c r="W39" i="14" s="1"/>
  <c r="J39" i="14"/>
  <c r="R39" i="14" s="1"/>
  <c r="Y39" i="14" s="1"/>
  <c r="L39" i="14"/>
  <c r="M39" i="14"/>
  <c r="E40" i="14"/>
  <c r="F40" i="14"/>
  <c r="N40" i="14" s="1"/>
  <c r="U40" i="14" s="1"/>
  <c r="G40" i="14"/>
  <c r="O40" i="14" s="1"/>
  <c r="V40" i="14" s="1"/>
  <c r="H40" i="14"/>
  <c r="P40" i="14" s="1"/>
  <c r="W40" i="14" s="1"/>
  <c r="J40" i="14"/>
  <c r="R40" i="14" s="1"/>
  <c r="Y40" i="14" s="1"/>
  <c r="L40" i="14"/>
  <c r="M40" i="14"/>
  <c r="E5" i="13"/>
  <c r="F5" i="13"/>
  <c r="N5" i="13" s="1"/>
  <c r="U5" i="13" s="1"/>
  <c r="G5" i="13"/>
  <c r="O5" i="13" s="1"/>
  <c r="V5" i="13" s="1"/>
  <c r="P5" i="13"/>
  <c r="W5" i="13" s="1"/>
  <c r="R5" i="13"/>
  <c r="Y5" i="13" s="1"/>
  <c r="L5" i="13"/>
  <c r="E6" i="13"/>
  <c r="F6" i="13"/>
  <c r="N6" i="13" s="1"/>
  <c r="U6" i="13" s="1"/>
  <c r="G6" i="13"/>
  <c r="O6" i="13" s="1"/>
  <c r="V6" i="13" s="1"/>
  <c r="H6" i="13"/>
  <c r="P6" i="13" s="1"/>
  <c r="W6" i="13" s="1"/>
  <c r="J6" i="13"/>
  <c r="R6" i="13" s="1"/>
  <c r="Y6" i="13" s="1"/>
  <c r="L6" i="13"/>
  <c r="M6" i="13"/>
  <c r="E7" i="13"/>
  <c r="F7" i="13"/>
  <c r="N7" i="13" s="1"/>
  <c r="U7" i="13" s="1"/>
  <c r="G7" i="13"/>
  <c r="O7" i="13" s="1"/>
  <c r="V7" i="13" s="1"/>
  <c r="H7" i="13"/>
  <c r="P7" i="13" s="1"/>
  <c r="W7" i="13" s="1"/>
  <c r="J7" i="13"/>
  <c r="R7" i="13" s="1"/>
  <c r="Y7" i="13" s="1"/>
  <c r="L7" i="13"/>
  <c r="M7" i="13"/>
  <c r="E8" i="13"/>
  <c r="F8" i="13"/>
  <c r="N8" i="13" s="1"/>
  <c r="U8" i="13" s="1"/>
  <c r="G8" i="13"/>
  <c r="O8" i="13" s="1"/>
  <c r="V8" i="13" s="1"/>
  <c r="H8" i="13"/>
  <c r="P8" i="13" s="1"/>
  <c r="W8" i="13" s="1"/>
  <c r="J8" i="13"/>
  <c r="R8" i="13" s="1"/>
  <c r="Y8" i="13" s="1"/>
  <c r="L8" i="13"/>
  <c r="M8" i="13"/>
  <c r="E9" i="13"/>
  <c r="F9" i="13"/>
  <c r="N9" i="13" s="1"/>
  <c r="U9" i="13" s="1"/>
  <c r="G9" i="13"/>
  <c r="O9" i="13" s="1"/>
  <c r="V9" i="13" s="1"/>
  <c r="H9" i="13"/>
  <c r="P9" i="13" s="1"/>
  <c r="W9" i="13" s="1"/>
  <c r="J9" i="13"/>
  <c r="R9" i="13" s="1"/>
  <c r="Y9" i="13" s="1"/>
  <c r="L9" i="13"/>
  <c r="M9" i="13"/>
  <c r="E10" i="13"/>
  <c r="F10" i="13"/>
  <c r="N10" i="13" s="1"/>
  <c r="U10" i="13" s="1"/>
  <c r="G10" i="13"/>
  <c r="O10" i="13" s="1"/>
  <c r="V10" i="13" s="1"/>
  <c r="P10" i="13"/>
  <c r="W10" i="13" s="1"/>
  <c r="R10" i="13"/>
  <c r="Y10" i="13" s="1"/>
  <c r="L10" i="13"/>
  <c r="E11" i="13"/>
  <c r="F11" i="13"/>
  <c r="N11" i="13" s="1"/>
  <c r="U11" i="13" s="1"/>
  <c r="G11" i="13"/>
  <c r="O11" i="13" s="1"/>
  <c r="V11" i="13" s="1"/>
  <c r="H11" i="13"/>
  <c r="P11" i="13" s="1"/>
  <c r="W11" i="13" s="1"/>
  <c r="J11" i="13"/>
  <c r="R11" i="13" s="1"/>
  <c r="Y11" i="13" s="1"/>
  <c r="L11" i="13"/>
  <c r="M11" i="13"/>
  <c r="E12" i="13"/>
  <c r="F12" i="13"/>
  <c r="N12" i="13" s="1"/>
  <c r="U12" i="13" s="1"/>
  <c r="G12" i="13"/>
  <c r="O12" i="13" s="1"/>
  <c r="V12" i="13" s="1"/>
  <c r="H12" i="13"/>
  <c r="P12" i="13" s="1"/>
  <c r="W12" i="13" s="1"/>
  <c r="J12" i="13"/>
  <c r="R12" i="13" s="1"/>
  <c r="Y12" i="13" s="1"/>
  <c r="L12" i="13"/>
  <c r="M12" i="13"/>
  <c r="E13" i="13"/>
  <c r="F13" i="13"/>
  <c r="N13" i="13" s="1"/>
  <c r="U13" i="13" s="1"/>
  <c r="G13" i="13"/>
  <c r="O13" i="13" s="1"/>
  <c r="V13" i="13" s="1"/>
  <c r="H13" i="13"/>
  <c r="P13" i="13" s="1"/>
  <c r="W13" i="13" s="1"/>
  <c r="J13" i="13"/>
  <c r="R13" i="13" s="1"/>
  <c r="Y13" i="13" s="1"/>
  <c r="L13" i="13"/>
  <c r="M13" i="13"/>
  <c r="E14" i="13"/>
  <c r="F14" i="13"/>
  <c r="N14" i="13" s="1"/>
  <c r="U14" i="13" s="1"/>
  <c r="G14" i="13"/>
  <c r="O14" i="13" s="1"/>
  <c r="V14" i="13" s="1"/>
  <c r="H14" i="13"/>
  <c r="P14" i="13" s="1"/>
  <c r="W14" i="13" s="1"/>
  <c r="J14" i="13"/>
  <c r="R14" i="13" s="1"/>
  <c r="Y14" i="13" s="1"/>
  <c r="L14" i="13"/>
  <c r="M14" i="13"/>
  <c r="E15" i="13"/>
  <c r="F15" i="13"/>
  <c r="N15" i="13" s="1"/>
  <c r="U15" i="13" s="1"/>
  <c r="G15" i="13"/>
  <c r="O15" i="13" s="1"/>
  <c r="V15" i="13" s="1"/>
  <c r="H15" i="13"/>
  <c r="P15" i="13" s="1"/>
  <c r="W15" i="13" s="1"/>
  <c r="J15" i="13"/>
  <c r="R15" i="13" s="1"/>
  <c r="Y15" i="13" s="1"/>
  <c r="L15" i="13"/>
  <c r="M15" i="13"/>
  <c r="E16" i="13"/>
  <c r="F16" i="13"/>
  <c r="N16" i="13" s="1"/>
  <c r="U16" i="13" s="1"/>
  <c r="G16" i="13"/>
  <c r="O16" i="13" s="1"/>
  <c r="V16" i="13" s="1"/>
  <c r="H16" i="13"/>
  <c r="P16" i="13" s="1"/>
  <c r="W16" i="13" s="1"/>
  <c r="J16" i="13"/>
  <c r="R16" i="13" s="1"/>
  <c r="Y16" i="13" s="1"/>
  <c r="L16" i="13"/>
  <c r="M16" i="13"/>
  <c r="E17" i="13"/>
  <c r="F17" i="13"/>
  <c r="N17" i="13" s="1"/>
  <c r="U17" i="13" s="1"/>
  <c r="G17" i="13"/>
  <c r="O17" i="13" s="1"/>
  <c r="V17" i="13" s="1"/>
  <c r="H17" i="13"/>
  <c r="P17" i="13" s="1"/>
  <c r="W17" i="13" s="1"/>
  <c r="J17" i="13"/>
  <c r="R17" i="13" s="1"/>
  <c r="Y17" i="13" s="1"/>
  <c r="L17" i="13"/>
  <c r="M17" i="13"/>
  <c r="E18" i="13"/>
  <c r="F18" i="13"/>
  <c r="N18" i="13" s="1"/>
  <c r="U18" i="13" s="1"/>
  <c r="G18" i="13"/>
  <c r="O18" i="13" s="1"/>
  <c r="V18" i="13" s="1"/>
  <c r="H18" i="13"/>
  <c r="P18" i="13" s="1"/>
  <c r="W18" i="13" s="1"/>
  <c r="J18" i="13"/>
  <c r="R18" i="13" s="1"/>
  <c r="Y18" i="13" s="1"/>
  <c r="L18" i="13"/>
  <c r="M18" i="13"/>
  <c r="E19" i="13"/>
  <c r="F19" i="13"/>
  <c r="N19" i="13" s="1"/>
  <c r="U19" i="13" s="1"/>
  <c r="G19" i="13"/>
  <c r="O19" i="13" s="1"/>
  <c r="V19" i="13" s="1"/>
  <c r="H19" i="13"/>
  <c r="P19" i="13" s="1"/>
  <c r="W19" i="13" s="1"/>
  <c r="J19" i="13"/>
  <c r="R19" i="13" s="1"/>
  <c r="Y19" i="13" s="1"/>
  <c r="L19" i="13"/>
  <c r="M19" i="13"/>
  <c r="E20" i="13"/>
  <c r="F20" i="13"/>
  <c r="N20" i="13" s="1"/>
  <c r="U20" i="13" s="1"/>
  <c r="G20" i="13"/>
  <c r="O20" i="13" s="1"/>
  <c r="V20" i="13" s="1"/>
  <c r="H20" i="13"/>
  <c r="P20" i="13" s="1"/>
  <c r="W20" i="13" s="1"/>
  <c r="J20" i="13"/>
  <c r="R20" i="13" s="1"/>
  <c r="Y20" i="13" s="1"/>
  <c r="L20" i="13"/>
  <c r="M20" i="13"/>
  <c r="E21" i="13"/>
  <c r="F21" i="13"/>
  <c r="N21" i="13" s="1"/>
  <c r="U21" i="13" s="1"/>
  <c r="G21" i="13"/>
  <c r="O21" i="13" s="1"/>
  <c r="V21" i="13" s="1"/>
  <c r="H21" i="13"/>
  <c r="P21" i="13" s="1"/>
  <c r="W21" i="13" s="1"/>
  <c r="J21" i="13"/>
  <c r="R21" i="13" s="1"/>
  <c r="Y21" i="13" s="1"/>
  <c r="L21" i="13"/>
  <c r="M21" i="13"/>
  <c r="E22" i="13"/>
  <c r="F22" i="13"/>
  <c r="N22" i="13" s="1"/>
  <c r="U22" i="13" s="1"/>
  <c r="G22" i="13"/>
  <c r="O22" i="13" s="1"/>
  <c r="V22" i="13" s="1"/>
  <c r="H22" i="13"/>
  <c r="P22" i="13" s="1"/>
  <c r="W22" i="13" s="1"/>
  <c r="J22" i="13"/>
  <c r="R22" i="13" s="1"/>
  <c r="Y22" i="13" s="1"/>
  <c r="L22" i="13"/>
  <c r="M22" i="13"/>
  <c r="E23" i="13"/>
  <c r="F23" i="13"/>
  <c r="N23" i="13" s="1"/>
  <c r="U23" i="13" s="1"/>
  <c r="G23" i="13"/>
  <c r="O23" i="13" s="1"/>
  <c r="V23" i="13" s="1"/>
  <c r="H23" i="13"/>
  <c r="P23" i="13" s="1"/>
  <c r="W23" i="13" s="1"/>
  <c r="J23" i="13"/>
  <c r="R23" i="13" s="1"/>
  <c r="Y23" i="13" s="1"/>
  <c r="L23" i="13"/>
  <c r="M23" i="13"/>
  <c r="E24" i="13"/>
  <c r="F24" i="13"/>
  <c r="N24" i="13" s="1"/>
  <c r="U24" i="13" s="1"/>
  <c r="G24" i="13"/>
  <c r="O24" i="13" s="1"/>
  <c r="V24" i="13" s="1"/>
  <c r="H24" i="13"/>
  <c r="P24" i="13" s="1"/>
  <c r="W24" i="13" s="1"/>
  <c r="J24" i="13"/>
  <c r="R24" i="13" s="1"/>
  <c r="Y24" i="13" s="1"/>
  <c r="L24" i="13"/>
  <c r="M24" i="13"/>
  <c r="E25" i="13"/>
  <c r="F25" i="13"/>
  <c r="N25" i="13" s="1"/>
  <c r="U25" i="13" s="1"/>
  <c r="G25" i="13"/>
  <c r="O25" i="13" s="1"/>
  <c r="V25" i="13" s="1"/>
  <c r="H25" i="13"/>
  <c r="P25" i="13" s="1"/>
  <c r="W25" i="13" s="1"/>
  <c r="J25" i="13"/>
  <c r="R25" i="13" s="1"/>
  <c r="Y25" i="13" s="1"/>
  <c r="L25" i="13"/>
  <c r="M25" i="13"/>
  <c r="E26" i="13"/>
  <c r="F26" i="13"/>
  <c r="N26" i="13" s="1"/>
  <c r="U26" i="13" s="1"/>
  <c r="G26" i="13"/>
  <c r="O26" i="13" s="1"/>
  <c r="V26" i="13" s="1"/>
  <c r="H26" i="13"/>
  <c r="P26" i="13" s="1"/>
  <c r="W26" i="13" s="1"/>
  <c r="J26" i="13"/>
  <c r="R26" i="13" s="1"/>
  <c r="Y26" i="13" s="1"/>
  <c r="L26" i="13"/>
  <c r="M26" i="13"/>
  <c r="E27" i="13"/>
  <c r="F27" i="13"/>
  <c r="N27" i="13" s="1"/>
  <c r="U27" i="13" s="1"/>
  <c r="G27" i="13"/>
  <c r="O27" i="13" s="1"/>
  <c r="V27" i="13" s="1"/>
  <c r="H27" i="13"/>
  <c r="P27" i="13" s="1"/>
  <c r="W27" i="13" s="1"/>
  <c r="J27" i="13"/>
  <c r="R27" i="13" s="1"/>
  <c r="Y27" i="13" s="1"/>
  <c r="L27" i="13"/>
  <c r="M27" i="13"/>
  <c r="E28" i="13"/>
  <c r="F28" i="13"/>
  <c r="N28" i="13" s="1"/>
  <c r="U28" i="13" s="1"/>
  <c r="G28" i="13"/>
  <c r="O28" i="13" s="1"/>
  <c r="V28" i="13" s="1"/>
  <c r="H28" i="13"/>
  <c r="P28" i="13" s="1"/>
  <c r="W28" i="13" s="1"/>
  <c r="J28" i="13"/>
  <c r="R28" i="13" s="1"/>
  <c r="Y28" i="13" s="1"/>
  <c r="L28" i="13"/>
  <c r="M28" i="13"/>
  <c r="E29" i="13"/>
  <c r="F29" i="13"/>
  <c r="N29" i="13" s="1"/>
  <c r="U29" i="13" s="1"/>
  <c r="G29" i="13"/>
  <c r="O29" i="13" s="1"/>
  <c r="V29" i="13" s="1"/>
  <c r="H29" i="13"/>
  <c r="P29" i="13" s="1"/>
  <c r="W29" i="13" s="1"/>
  <c r="J29" i="13"/>
  <c r="R29" i="13" s="1"/>
  <c r="Y29" i="13" s="1"/>
  <c r="L29" i="13"/>
  <c r="M29" i="13"/>
  <c r="E30" i="13"/>
  <c r="F30" i="13"/>
  <c r="N30" i="13" s="1"/>
  <c r="U30" i="13" s="1"/>
  <c r="G30" i="13"/>
  <c r="O30" i="13" s="1"/>
  <c r="V30" i="13" s="1"/>
  <c r="H30" i="13"/>
  <c r="P30" i="13" s="1"/>
  <c r="W30" i="13" s="1"/>
  <c r="J30" i="13"/>
  <c r="R30" i="13" s="1"/>
  <c r="Y30" i="13" s="1"/>
  <c r="L30" i="13"/>
  <c r="M30" i="13"/>
  <c r="E31" i="13"/>
  <c r="F31" i="13"/>
  <c r="N31" i="13" s="1"/>
  <c r="U31" i="13" s="1"/>
  <c r="G31" i="13"/>
  <c r="O31" i="13" s="1"/>
  <c r="V31" i="13" s="1"/>
  <c r="H31" i="13"/>
  <c r="P31" i="13" s="1"/>
  <c r="W31" i="13" s="1"/>
  <c r="J31" i="13"/>
  <c r="L31" i="13"/>
  <c r="M31" i="13"/>
  <c r="E32" i="13"/>
  <c r="F32" i="13"/>
  <c r="N32" i="13" s="1"/>
  <c r="U32" i="13" s="1"/>
  <c r="G32" i="13"/>
  <c r="H32" i="13"/>
  <c r="P32" i="13" s="1"/>
  <c r="W32" i="13" s="1"/>
  <c r="J32" i="13"/>
  <c r="L32" i="13"/>
  <c r="M32" i="13"/>
  <c r="E33" i="13"/>
  <c r="F33" i="13"/>
  <c r="N33" i="13" s="1"/>
  <c r="U33" i="13" s="1"/>
  <c r="G33" i="13"/>
  <c r="H33" i="13"/>
  <c r="P33" i="13" s="1"/>
  <c r="W33" i="13" s="1"/>
  <c r="J33" i="13"/>
  <c r="R33" i="13" s="1"/>
  <c r="Y33" i="13" s="1"/>
  <c r="L33" i="13"/>
  <c r="M33" i="13"/>
  <c r="E34" i="13"/>
  <c r="F34" i="13"/>
  <c r="N34" i="13" s="1"/>
  <c r="U34" i="13" s="1"/>
  <c r="G34" i="13"/>
  <c r="O34" i="13" s="1"/>
  <c r="V34" i="13" s="1"/>
  <c r="H34" i="13"/>
  <c r="P34" i="13" s="1"/>
  <c r="W34" i="13" s="1"/>
  <c r="J34" i="13"/>
  <c r="R34" i="13" s="1"/>
  <c r="Y34" i="13" s="1"/>
  <c r="L34" i="13"/>
  <c r="M34" i="13"/>
  <c r="E35" i="13"/>
  <c r="F35" i="13"/>
  <c r="N35" i="13" s="1"/>
  <c r="U35" i="13" s="1"/>
  <c r="G35" i="13"/>
  <c r="H35" i="13"/>
  <c r="P35" i="13" s="1"/>
  <c r="W35" i="13" s="1"/>
  <c r="J35" i="13"/>
  <c r="R35" i="13" s="1"/>
  <c r="Y35" i="13" s="1"/>
  <c r="L35" i="13"/>
  <c r="M35" i="13"/>
  <c r="E36" i="13"/>
  <c r="F36" i="13"/>
  <c r="N36" i="13" s="1"/>
  <c r="U36" i="13" s="1"/>
  <c r="G36" i="13"/>
  <c r="O36" i="13" s="1"/>
  <c r="V36" i="13" s="1"/>
  <c r="H36" i="13"/>
  <c r="P36" i="13" s="1"/>
  <c r="W36" i="13" s="1"/>
  <c r="J36" i="13"/>
  <c r="R36" i="13" s="1"/>
  <c r="Y36" i="13" s="1"/>
  <c r="L36" i="13"/>
  <c r="M36" i="13"/>
  <c r="E37" i="13"/>
  <c r="F37" i="13"/>
  <c r="N37" i="13" s="1"/>
  <c r="U37" i="13" s="1"/>
  <c r="G37" i="13"/>
  <c r="H37" i="13"/>
  <c r="J37" i="13"/>
  <c r="R37" i="13" s="1"/>
  <c r="Y37" i="13" s="1"/>
  <c r="L37" i="13"/>
  <c r="M37" i="13"/>
  <c r="E38" i="13"/>
  <c r="F38" i="13"/>
  <c r="N38" i="13" s="1"/>
  <c r="U38" i="13" s="1"/>
  <c r="G38" i="13"/>
  <c r="O38" i="13" s="1"/>
  <c r="V38" i="13" s="1"/>
  <c r="H38" i="13"/>
  <c r="P38" i="13" s="1"/>
  <c r="W38" i="13" s="1"/>
  <c r="J38" i="13"/>
  <c r="R38" i="13" s="1"/>
  <c r="Y38" i="13" s="1"/>
  <c r="L38" i="13"/>
  <c r="M38" i="13"/>
  <c r="E39" i="13"/>
  <c r="F39" i="13"/>
  <c r="N39" i="13" s="1"/>
  <c r="U39" i="13" s="1"/>
  <c r="G39" i="13"/>
  <c r="H39" i="13"/>
  <c r="P39" i="13" s="1"/>
  <c r="W39" i="13" s="1"/>
  <c r="J39" i="13"/>
  <c r="L39" i="13"/>
  <c r="M39" i="13"/>
  <c r="E40" i="13"/>
  <c r="F40" i="13"/>
  <c r="G40" i="13"/>
  <c r="H40" i="13"/>
  <c r="J40" i="13"/>
  <c r="R40" i="13" s="1"/>
  <c r="Y40" i="13" s="1"/>
  <c r="L40" i="13"/>
  <c r="M40" i="13"/>
  <c r="E5" i="11"/>
  <c r="E41" i="11" s="1"/>
  <c r="F5" i="11"/>
  <c r="N5" i="11" s="1"/>
  <c r="G5" i="11"/>
  <c r="O5" i="11" s="1"/>
  <c r="V5" i="11" s="1"/>
  <c r="H5" i="11"/>
  <c r="P5" i="11" s="1"/>
  <c r="R5" i="11"/>
  <c r="L5" i="11"/>
  <c r="L41" i="11" s="1"/>
  <c r="L42" i="11" s="1"/>
  <c r="L43" i="11" s="1"/>
  <c r="M5" i="11"/>
  <c r="M41" i="11" s="1"/>
  <c r="M42" i="11" s="1"/>
  <c r="M43" i="11" s="1"/>
  <c r="N6" i="11"/>
  <c r="U6" i="11" s="1"/>
  <c r="O6" i="11"/>
  <c r="P6" i="11"/>
  <c r="R6" i="11"/>
  <c r="Y6" i="11" s="1"/>
  <c r="V6" i="11"/>
  <c r="N7" i="11"/>
  <c r="O7" i="11"/>
  <c r="P7" i="11"/>
  <c r="W7" i="11" s="1"/>
  <c r="R7" i="11"/>
  <c r="Y7" i="11" s="1"/>
  <c r="U7" i="11"/>
  <c r="N8" i="11"/>
  <c r="U8" i="11" s="1"/>
  <c r="O8" i="11"/>
  <c r="V8" i="11" s="1"/>
  <c r="P8" i="11"/>
  <c r="R8" i="11"/>
  <c r="Y8" i="11"/>
  <c r="N9" i="11"/>
  <c r="O9" i="11"/>
  <c r="P9" i="11"/>
  <c r="W9" i="11" s="1"/>
  <c r="R9" i="11"/>
  <c r="Y9" i="11" s="1"/>
  <c r="U9" i="11"/>
  <c r="N10" i="11"/>
  <c r="U10" i="11" s="1"/>
  <c r="O10" i="11"/>
  <c r="V10" i="11" s="1"/>
  <c r="P10" i="11"/>
  <c r="R10" i="11"/>
  <c r="Y10" i="11" s="1"/>
  <c r="N11" i="11"/>
  <c r="O11" i="11"/>
  <c r="P11" i="11"/>
  <c r="W11" i="11" s="1"/>
  <c r="R11" i="11"/>
  <c r="Y11" i="11" s="1"/>
  <c r="U11" i="11"/>
  <c r="N12" i="11"/>
  <c r="U12" i="11" s="1"/>
  <c r="O12" i="11"/>
  <c r="V12" i="11" s="1"/>
  <c r="P12" i="11"/>
  <c r="R12" i="11"/>
  <c r="Y12" i="11" s="1"/>
  <c r="N13" i="11"/>
  <c r="O13" i="11"/>
  <c r="P13" i="11"/>
  <c r="W13" i="11" s="1"/>
  <c r="R13" i="11"/>
  <c r="Y13" i="11" s="1"/>
  <c r="U13" i="11"/>
  <c r="N14" i="11"/>
  <c r="U14" i="11" s="1"/>
  <c r="O14" i="11"/>
  <c r="P14" i="11"/>
  <c r="R14" i="11"/>
  <c r="Y14" i="11" s="1"/>
  <c r="N15" i="11"/>
  <c r="O15" i="11"/>
  <c r="P15" i="11"/>
  <c r="W15" i="11" s="1"/>
  <c r="R15" i="11"/>
  <c r="Y15" i="11" s="1"/>
  <c r="U15" i="11"/>
  <c r="N16" i="11"/>
  <c r="U16" i="11" s="1"/>
  <c r="O16" i="11"/>
  <c r="P16" i="11"/>
  <c r="R16" i="11"/>
  <c r="Y16" i="11" s="1"/>
  <c r="V16" i="11"/>
  <c r="N17" i="11"/>
  <c r="O17" i="11"/>
  <c r="P17" i="11"/>
  <c r="W17" i="11" s="1"/>
  <c r="R17" i="11"/>
  <c r="Y17" i="11" s="1"/>
  <c r="U17" i="11"/>
  <c r="N18" i="11"/>
  <c r="U18" i="11" s="1"/>
  <c r="O18" i="11"/>
  <c r="V18" i="11" s="1"/>
  <c r="P18" i="11"/>
  <c r="R18" i="11"/>
  <c r="Y18" i="11" s="1"/>
  <c r="N19" i="11"/>
  <c r="O19" i="11"/>
  <c r="P19" i="11"/>
  <c r="W19" i="11" s="1"/>
  <c r="R19" i="11"/>
  <c r="Y19" i="11" s="1"/>
  <c r="U19" i="11"/>
  <c r="N20" i="11"/>
  <c r="U20" i="11" s="1"/>
  <c r="O20" i="11"/>
  <c r="P20" i="11"/>
  <c r="R20" i="11"/>
  <c r="Y20" i="11" s="1"/>
  <c r="V20" i="11"/>
  <c r="N21" i="11"/>
  <c r="O21" i="11"/>
  <c r="P21" i="11"/>
  <c r="W21" i="11" s="1"/>
  <c r="R21" i="11"/>
  <c r="Y21" i="11" s="1"/>
  <c r="U21" i="11"/>
  <c r="N22" i="11"/>
  <c r="U22" i="11" s="1"/>
  <c r="O22" i="11"/>
  <c r="P22" i="11"/>
  <c r="R22" i="11"/>
  <c r="Y22" i="11" s="1"/>
  <c r="N23" i="11"/>
  <c r="O23" i="11"/>
  <c r="P23" i="11"/>
  <c r="W23" i="11" s="1"/>
  <c r="R23" i="11"/>
  <c r="Y23" i="11" s="1"/>
  <c r="U23" i="11"/>
  <c r="N24" i="11"/>
  <c r="U24" i="11" s="1"/>
  <c r="O24" i="11"/>
  <c r="P24" i="11"/>
  <c r="R24" i="11"/>
  <c r="Y24" i="11" s="1"/>
  <c r="N25" i="11"/>
  <c r="O25" i="11"/>
  <c r="P25" i="11"/>
  <c r="W25" i="11" s="1"/>
  <c r="R25" i="11"/>
  <c r="Y25" i="11" s="1"/>
  <c r="U25" i="11"/>
  <c r="N26" i="11"/>
  <c r="U26" i="11" s="1"/>
  <c r="O26" i="11"/>
  <c r="V26" i="11" s="1"/>
  <c r="P26" i="11"/>
  <c r="R26" i="11"/>
  <c r="Y26" i="11" s="1"/>
  <c r="N27" i="11"/>
  <c r="O27" i="11"/>
  <c r="P27" i="11"/>
  <c r="W27" i="11" s="1"/>
  <c r="R27" i="11"/>
  <c r="Y27" i="11" s="1"/>
  <c r="U27" i="11"/>
  <c r="N28" i="11"/>
  <c r="U28" i="11" s="1"/>
  <c r="O28" i="11"/>
  <c r="V28" i="11" s="1"/>
  <c r="P28" i="11"/>
  <c r="R28" i="11"/>
  <c r="Y28" i="11" s="1"/>
  <c r="N29" i="11"/>
  <c r="O29" i="11"/>
  <c r="P29" i="11"/>
  <c r="W29" i="11" s="1"/>
  <c r="R29" i="11"/>
  <c r="Y29" i="11" s="1"/>
  <c r="U29" i="11"/>
  <c r="N30" i="11"/>
  <c r="U30" i="11" s="1"/>
  <c r="O30" i="11"/>
  <c r="P30" i="11"/>
  <c r="R30" i="11"/>
  <c r="Y30" i="11" s="1"/>
  <c r="N31" i="11"/>
  <c r="O31" i="11"/>
  <c r="P31" i="11"/>
  <c r="W31" i="11" s="1"/>
  <c r="R31" i="11"/>
  <c r="Y31" i="11" s="1"/>
  <c r="U31" i="11"/>
  <c r="N32" i="11"/>
  <c r="U32" i="11" s="1"/>
  <c r="O32" i="11"/>
  <c r="V32" i="11" s="1"/>
  <c r="P32" i="11"/>
  <c r="R32" i="11"/>
  <c r="Y32" i="11"/>
  <c r="N33" i="11"/>
  <c r="O33" i="11"/>
  <c r="P33" i="11"/>
  <c r="W33" i="11" s="1"/>
  <c r="R33" i="11"/>
  <c r="Y33" i="11" s="1"/>
  <c r="U33" i="11"/>
  <c r="N34" i="11"/>
  <c r="U34" i="11" s="1"/>
  <c r="O34" i="11"/>
  <c r="V34" i="11" s="1"/>
  <c r="P34" i="11"/>
  <c r="R34" i="11"/>
  <c r="Y34" i="11" s="1"/>
  <c r="N35" i="11"/>
  <c r="O35" i="11"/>
  <c r="P35" i="11"/>
  <c r="W35" i="11" s="1"/>
  <c r="R35" i="11"/>
  <c r="Y35" i="11" s="1"/>
  <c r="U35" i="11"/>
  <c r="N36" i="11"/>
  <c r="U36" i="11" s="1"/>
  <c r="O36" i="11"/>
  <c r="P36" i="11"/>
  <c r="R36" i="11"/>
  <c r="Y36" i="11" s="1"/>
  <c r="N37" i="11"/>
  <c r="O37" i="11"/>
  <c r="P37" i="11"/>
  <c r="W37" i="11" s="1"/>
  <c r="R37" i="11"/>
  <c r="Y37" i="11" s="1"/>
  <c r="U37" i="11"/>
  <c r="N38" i="11"/>
  <c r="U38" i="11" s="1"/>
  <c r="O38" i="11"/>
  <c r="P38" i="11"/>
  <c r="R38" i="11"/>
  <c r="Y38" i="11" s="1"/>
  <c r="N39" i="11"/>
  <c r="O39" i="11"/>
  <c r="P39" i="11"/>
  <c r="W39" i="11" s="1"/>
  <c r="R39" i="11"/>
  <c r="Y39" i="11" s="1"/>
  <c r="U39" i="11"/>
  <c r="N40" i="11"/>
  <c r="U40" i="11" s="1"/>
  <c r="O40" i="11"/>
  <c r="V40" i="11" s="1"/>
  <c r="P40" i="11"/>
  <c r="R40" i="11"/>
  <c r="Y40" i="11" s="1"/>
  <c r="N5" i="10"/>
  <c r="U5" i="10" s="1"/>
  <c r="O5" i="10"/>
  <c r="P5" i="10"/>
  <c r="W5" i="10" s="1"/>
  <c r="R5" i="10"/>
  <c r="Y5" i="10" s="1"/>
  <c r="N6" i="10"/>
  <c r="U6" i="10" s="1"/>
  <c r="O6" i="10"/>
  <c r="P6" i="10"/>
  <c r="R6" i="10"/>
  <c r="Y6" i="10" s="1"/>
  <c r="N7" i="10"/>
  <c r="U7" i="10" s="1"/>
  <c r="O7" i="10"/>
  <c r="P7" i="10"/>
  <c r="W7" i="10" s="1"/>
  <c r="R7" i="10"/>
  <c r="Y7" i="10" s="1"/>
  <c r="N8" i="10"/>
  <c r="U8" i="10" s="1"/>
  <c r="O8" i="10"/>
  <c r="V8" i="10" s="1"/>
  <c r="P8" i="10"/>
  <c r="R8" i="10"/>
  <c r="Y8" i="10" s="1"/>
  <c r="N9" i="10"/>
  <c r="U9" i="10" s="1"/>
  <c r="O9" i="10"/>
  <c r="P9" i="10"/>
  <c r="W9" i="10" s="1"/>
  <c r="R9" i="10"/>
  <c r="Y9" i="10" s="1"/>
  <c r="N10" i="10"/>
  <c r="U10" i="10" s="1"/>
  <c r="O10" i="10"/>
  <c r="V10" i="10" s="1"/>
  <c r="P10" i="10"/>
  <c r="R10" i="10"/>
  <c r="Y10" i="10" s="1"/>
  <c r="N11" i="10"/>
  <c r="U11" i="10" s="1"/>
  <c r="O11" i="10"/>
  <c r="P11" i="10"/>
  <c r="W11" i="10" s="1"/>
  <c r="R11" i="10"/>
  <c r="Y11" i="10" s="1"/>
  <c r="N12" i="10"/>
  <c r="U12" i="10" s="1"/>
  <c r="O12" i="10"/>
  <c r="P12" i="10"/>
  <c r="R12" i="10"/>
  <c r="Y12" i="10" s="1"/>
  <c r="N13" i="10"/>
  <c r="U13" i="10" s="1"/>
  <c r="O13" i="10"/>
  <c r="P13" i="10"/>
  <c r="W13" i="10" s="1"/>
  <c r="R13" i="10"/>
  <c r="Y13" i="10" s="1"/>
  <c r="N14" i="10"/>
  <c r="U14" i="10" s="1"/>
  <c r="O14" i="10"/>
  <c r="V14" i="10" s="1"/>
  <c r="P14" i="10"/>
  <c r="R14" i="10"/>
  <c r="Y14" i="10" s="1"/>
  <c r="N15" i="10"/>
  <c r="U15" i="10" s="1"/>
  <c r="O15" i="10"/>
  <c r="P15" i="10"/>
  <c r="W15" i="10" s="1"/>
  <c r="R15" i="10"/>
  <c r="Y15" i="10" s="1"/>
  <c r="N16" i="10"/>
  <c r="U16" i="10" s="1"/>
  <c r="O16" i="10"/>
  <c r="V16" i="10" s="1"/>
  <c r="P16" i="10"/>
  <c r="R16" i="10"/>
  <c r="Y16" i="10" s="1"/>
  <c r="N17" i="10"/>
  <c r="U17" i="10" s="1"/>
  <c r="O17" i="10"/>
  <c r="P17" i="10"/>
  <c r="W17" i="10" s="1"/>
  <c r="R17" i="10"/>
  <c r="Y17" i="10" s="1"/>
  <c r="N18" i="10"/>
  <c r="U18" i="10" s="1"/>
  <c r="O18" i="10"/>
  <c r="V18" i="10" s="1"/>
  <c r="P18" i="10"/>
  <c r="R18" i="10"/>
  <c r="Y18" i="10" s="1"/>
  <c r="N19" i="10"/>
  <c r="U19" i="10" s="1"/>
  <c r="O19" i="10"/>
  <c r="P19" i="10"/>
  <c r="W19" i="10" s="1"/>
  <c r="R19" i="10"/>
  <c r="Y19" i="10" s="1"/>
  <c r="N20" i="10"/>
  <c r="U20" i="10" s="1"/>
  <c r="O20" i="10"/>
  <c r="P20" i="10"/>
  <c r="R20" i="10"/>
  <c r="Y20" i="10" s="1"/>
  <c r="N21" i="10"/>
  <c r="U21" i="10" s="1"/>
  <c r="O21" i="10"/>
  <c r="P21" i="10"/>
  <c r="W21" i="10" s="1"/>
  <c r="R21" i="10"/>
  <c r="Y21" i="10" s="1"/>
  <c r="N22" i="10"/>
  <c r="U22" i="10" s="1"/>
  <c r="O22" i="10"/>
  <c r="P22" i="10"/>
  <c r="R22" i="10"/>
  <c r="Y22" i="10" s="1"/>
  <c r="N23" i="10"/>
  <c r="U23" i="10" s="1"/>
  <c r="O23" i="10"/>
  <c r="P23" i="10"/>
  <c r="W23" i="10" s="1"/>
  <c r="R23" i="10"/>
  <c r="Y23" i="10" s="1"/>
  <c r="N24" i="10"/>
  <c r="U24" i="10" s="1"/>
  <c r="O24" i="10"/>
  <c r="V24" i="10" s="1"/>
  <c r="P24" i="10"/>
  <c r="R24" i="10"/>
  <c r="Y24" i="10" s="1"/>
  <c r="N25" i="10"/>
  <c r="U25" i="10" s="1"/>
  <c r="O25" i="10"/>
  <c r="P25" i="10"/>
  <c r="W25" i="10" s="1"/>
  <c r="R25" i="10"/>
  <c r="Y25" i="10" s="1"/>
  <c r="N26" i="10"/>
  <c r="U26" i="10" s="1"/>
  <c r="O26" i="10"/>
  <c r="P26" i="10"/>
  <c r="R26" i="10"/>
  <c r="Y26" i="10" s="1"/>
  <c r="N27" i="10"/>
  <c r="U27" i="10" s="1"/>
  <c r="O27" i="10"/>
  <c r="P27" i="10"/>
  <c r="W27" i="10" s="1"/>
  <c r="R27" i="10"/>
  <c r="Y27" i="10" s="1"/>
  <c r="N28" i="10"/>
  <c r="U28" i="10" s="1"/>
  <c r="O28" i="10"/>
  <c r="P28" i="10"/>
  <c r="R28" i="10"/>
  <c r="Y28" i="10" s="1"/>
  <c r="E29" i="10"/>
  <c r="F29" i="10"/>
  <c r="N29" i="10" s="1"/>
  <c r="G29" i="10"/>
  <c r="O29" i="10" s="1"/>
  <c r="V29" i="10" s="1"/>
  <c r="H29" i="10"/>
  <c r="J29" i="10"/>
  <c r="R29" i="10" s="1"/>
  <c r="L29" i="10"/>
  <c r="M29" i="10"/>
  <c r="E30" i="10"/>
  <c r="F30" i="10"/>
  <c r="N30" i="10" s="1"/>
  <c r="U30" i="10" s="1"/>
  <c r="G30" i="10"/>
  <c r="H30" i="10"/>
  <c r="P30" i="10" s="1"/>
  <c r="W30" i="10" s="1"/>
  <c r="J30" i="10"/>
  <c r="R30" i="10" s="1"/>
  <c r="L30" i="10"/>
  <c r="M30" i="10"/>
  <c r="E31" i="10"/>
  <c r="F31" i="10"/>
  <c r="N31" i="10" s="1"/>
  <c r="G31" i="10"/>
  <c r="H31" i="10"/>
  <c r="P31" i="10" s="1"/>
  <c r="J31" i="10"/>
  <c r="R31" i="10" s="1"/>
  <c r="Y31" i="10" s="1"/>
  <c r="L31" i="10"/>
  <c r="M31" i="10"/>
  <c r="E32" i="10"/>
  <c r="F32" i="10"/>
  <c r="N32" i="10" s="1"/>
  <c r="U32" i="10" s="1"/>
  <c r="G32" i="10"/>
  <c r="H32" i="10"/>
  <c r="P32" i="10" s="1"/>
  <c r="W32" i="10" s="1"/>
  <c r="J32" i="10"/>
  <c r="R32" i="10" s="1"/>
  <c r="Y32" i="10" s="1"/>
  <c r="L32" i="10"/>
  <c r="M32" i="10"/>
  <c r="E33" i="10"/>
  <c r="F33" i="10"/>
  <c r="N33" i="10" s="1"/>
  <c r="G33" i="10"/>
  <c r="O33" i="10" s="1"/>
  <c r="V33" i="10" s="1"/>
  <c r="H33" i="10"/>
  <c r="P33" i="10" s="1"/>
  <c r="J33" i="10"/>
  <c r="R33" i="10" s="1"/>
  <c r="Y33" i="10" s="1"/>
  <c r="L33" i="10"/>
  <c r="M33" i="10"/>
  <c r="E34" i="10"/>
  <c r="F34" i="10"/>
  <c r="N34" i="10" s="1"/>
  <c r="U34" i="10" s="1"/>
  <c r="G34" i="10"/>
  <c r="H34" i="10"/>
  <c r="P34" i="10" s="1"/>
  <c r="W34" i="10" s="1"/>
  <c r="J34" i="10"/>
  <c r="R34" i="10" s="1"/>
  <c r="Y34" i="10" s="1"/>
  <c r="L34" i="10"/>
  <c r="M34" i="10"/>
  <c r="E35" i="10"/>
  <c r="F35" i="10"/>
  <c r="N35" i="10" s="1"/>
  <c r="G35" i="10"/>
  <c r="O35" i="10" s="1"/>
  <c r="V35" i="10" s="1"/>
  <c r="H35" i="10"/>
  <c r="P35" i="10" s="1"/>
  <c r="J35" i="10"/>
  <c r="R35" i="10" s="1"/>
  <c r="Y35" i="10" s="1"/>
  <c r="L35" i="10"/>
  <c r="M35" i="10"/>
  <c r="E36" i="10"/>
  <c r="F36" i="10"/>
  <c r="N36" i="10" s="1"/>
  <c r="U36" i="10" s="1"/>
  <c r="G36" i="10"/>
  <c r="H36" i="10"/>
  <c r="P36" i="10" s="1"/>
  <c r="W36" i="10" s="1"/>
  <c r="J36" i="10"/>
  <c r="R36" i="10" s="1"/>
  <c r="Y36" i="10" s="1"/>
  <c r="L36" i="10"/>
  <c r="M36" i="10"/>
  <c r="E37" i="10"/>
  <c r="F37" i="10"/>
  <c r="N37" i="10" s="1"/>
  <c r="G37" i="10"/>
  <c r="H37" i="10"/>
  <c r="P37" i="10" s="1"/>
  <c r="J37" i="10"/>
  <c r="R37" i="10" s="1"/>
  <c r="Y37" i="10" s="1"/>
  <c r="L37" i="10"/>
  <c r="M37" i="10"/>
  <c r="E38" i="10"/>
  <c r="F38" i="10"/>
  <c r="N38" i="10" s="1"/>
  <c r="U38" i="10" s="1"/>
  <c r="G38" i="10"/>
  <c r="H38" i="10"/>
  <c r="P38" i="10" s="1"/>
  <c r="W38" i="10" s="1"/>
  <c r="J38" i="10"/>
  <c r="R38" i="10" s="1"/>
  <c r="Y38" i="10" s="1"/>
  <c r="L38" i="10"/>
  <c r="M38" i="10"/>
  <c r="E39" i="10"/>
  <c r="F39" i="10"/>
  <c r="N39" i="10" s="1"/>
  <c r="G39" i="10"/>
  <c r="O39" i="10" s="1"/>
  <c r="V39" i="10" s="1"/>
  <c r="H39" i="10"/>
  <c r="P39" i="10" s="1"/>
  <c r="J39" i="10"/>
  <c r="R39" i="10" s="1"/>
  <c r="Y39" i="10" s="1"/>
  <c r="L39" i="10"/>
  <c r="M39" i="10"/>
  <c r="E40" i="10"/>
  <c r="F40" i="10"/>
  <c r="N40" i="10" s="1"/>
  <c r="U40" i="10" s="1"/>
  <c r="G40" i="10"/>
  <c r="H40" i="10"/>
  <c r="P40" i="10" s="1"/>
  <c r="W40" i="10" s="1"/>
  <c r="J40" i="10"/>
  <c r="R40" i="10" s="1"/>
  <c r="Y40" i="10" s="1"/>
  <c r="L40" i="10"/>
  <c r="M40" i="10"/>
  <c r="N5" i="9"/>
  <c r="U5" i="9" s="1"/>
  <c r="O5" i="9"/>
  <c r="P5" i="9"/>
  <c r="W5" i="9" s="1"/>
  <c r="R5" i="9"/>
  <c r="Y5" i="9" s="1"/>
  <c r="N6" i="9"/>
  <c r="U6" i="9" s="1"/>
  <c r="O6" i="9"/>
  <c r="P6" i="9"/>
  <c r="R6" i="9"/>
  <c r="Y6" i="9" s="1"/>
  <c r="N7" i="9"/>
  <c r="U7" i="9" s="1"/>
  <c r="O7" i="9"/>
  <c r="P7" i="9"/>
  <c r="W7" i="9" s="1"/>
  <c r="R7" i="9"/>
  <c r="Y7" i="9" s="1"/>
  <c r="N8" i="9"/>
  <c r="U8" i="9" s="1"/>
  <c r="O8" i="9"/>
  <c r="P8" i="9"/>
  <c r="R8" i="9"/>
  <c r="Y8" i="9" s="1"/>
  <c r="N9" i="9"/>
  <c r="U9" i="9" s="1"/>
  <c r="O9" i="9"/>
  <c r="P9" i="9"/>
  <c r="W9" i="9" s="1"/>
  <c r="R9" i="9"/>
  <c r="Y9" i="9" s="1"/>
  <c r="N10" i="9"/>
  <c r="U10" i="9" s="1"/>
  <c r="O10" i="9"/>
  <c r="V10" i="9" s="1"/>
  <c r="P10" i="9"/>
  <c r="R10" i="9"/>
  <c r="Y10" i="9" s="1"/>
  <c r="N11" i="9"/>
  <c r="U11" i="9" s="1"/>
  <c r="O11" i="9"/>
  <c r="P11" i="9"/>
  <c r="W11" i="9" s="1"/>
  <c r="R11" i="9"/>
  <c r="Y11" i="9" s="1"/>
  <c r="N12" i="9"/>
  <c r="U12" i="9" s="1"/>
  <c r="O12" i="9"/>
  <c r="V12" i="9" s="1"/>
  <c r="P12" i="9"/>
  <c r="R12" i="9"/>
  <c r="Y12" i="9" s="1"/>
  <c r="N13" i="9"/>
  <c r="U13" i="9" s="1"/>
  <c r="O13" i="9"/>
  <c r="P13" i="9"/>
  <c r="W13" i="9" s="1"/>
  <c r="R13" i="9"/>
  <c r="Y13" i="9" s="1"/>
  <c r="N14" i="9"/>
  <c r="U14" i="9" s="1"/>
  <c r="O14" i="9"/>
  <c r="P14" i="9"/>
  <c r="R14" i="9"/>
  <c r="Y14" i="9" s="1"/>
  <c r="N15" i="9"/>
  <c r="U15" i="9" s="1"/>
  <c r="O15" i="9"/>
  <c r="P15" i="9"/>
  <c r="W15" i="9" s="1"/>
  <c r="R15" i="9"/>
  <c r="Y15" i="9" s="1"/>
  <c r="N16" i="9"/>
  <c r="U16" i="9" s="1"/>
  <c r="O16" i="9"/>
  <c r="V16" i="9" s="1"/>
  <c r="P16" i="9"/>
  <c r="R16" i="9"/>
  <c r="Y16" i="9" s="1"/>
  <c r="N17" i="9"/>
  <c r="U17" i="9" s="1"/>
  <c r="O17" i="9"/>
  <c r="P17" i="9"/>
  <c r="W17" i="9" s="1"/>
  <c r="R17" i="9"/>
  <c r="Y17" i="9" s="1"/>
  <c r="N18" i="9"/>
  <c r="U18" i="9" s="1"/>
  <c r="O18" i="9"/>
  <c r="V18" i="9" s="1"/>
  <c r="P18" i="9"/>
  <c r="R18" i="9"/>
  <c r="Y18" i="9" s="1"/>
  <c r="N19" i="9"/>
  <c r="U19" i="9" s="1"/>
  <c r="O19" i="9"/>
  <c r="P19" i="9"/>
  <c r="W19" i="9" s="1"/>
  <c r="R19" i="9"/>
  <c r="Y19" i="9" s="1"/>
  <c r="N20" i="9"/>
  <c r="U20" i="9" s="1"/>
  <c r="O20" i="9"/>
  <c r="V20" i="9" s="1"/>
  <c r="P20" i="9"/>
  <c r="R20" i="9"/>
  <c r="Y20" i="9" s="1"/>
  <c r="N21" i="9"/>
  <c r="U21" i="9" s="1"/>
  <c r="O21" i="9"/>
  <c r="P21" i="9"/>
  <c r="W21" i="9" s="1"/>
  <c r="R21" i="9"/>
  <c r="Y21" i="9" s="1"/>
  <c r="N22" i="9"/>
  <c r="U22" i="9" s="1"/>
  <c r="O22" i="9"/>
  <c r="P22" i="9"/>
  <c r="R22" i="9"/>
  <c r="Y22" i="9" s="1"/>
  <c r="N23" i="9"/>
  <c r="U23" i="9" s="1"/>
  <c r="O23" i="9"/>
  <c r="P23" i="9"/>
  <c r="W23" i="9" s="1"/>
  <c r="R23" i="9"/>
  <c r="Y23" i="9" s="1"/>
  <c r="N24" i="9"/>
  <c r="U24" i="9" s="1"/>
  <c r="O24" i="9"/>
  <c r="P24" i="9"/>
  <c r="R24" i="9"/>
  <c r="Y24" i="9" s="1"/>
  <c r="N25" i="9"/>
  <c r="U25" i="9" s="1"/>
  <c r="O25" i="9"/>
  <c r="P25" i="9"/>
  <c r="W25" i="9" s="1"/>
  <c r="R25" i="9"/>
  <c r="Y25" i="9" s="1"/>
  <c r="N26" i="9"/>
  <c r="U26" i="9" s="1"/>
  <c r="O26" i="9"/>
  <c r="P26" i="9"/>
  <c r="R26" i="9"/>
  <c r="Y26" i="9" s="1"/>
  <c r="N27" i="9"/>
  <c r="O27" i="9"/>
  <c r="P27" i="9"/>
  <c r="W27" i="9" s="1"/>
  <c r="R27" i="9"/>
  <c r="Y27" i="9" s="1"/>
  <c r="U27" i="9"/>
  <c r="N28" i="9"/>
  <c r="U28" i="9" s="1"/>
  <c r="O28" i="9"/>
  <c r="P28" i="9"/>
  <c r="R28" i="9"/>
  <c r="Y28" i="9" s="1"/>
  <c r="E29" i="9"/>
  <c r="F29" i="9"/>
  <c r="N29" i="9" s="1"/>
  <c r="G29" i="9"/>
  <c r="O29" i="9" s="1"/>
  <c r="V29" i="9" s="1"/>
  <c r="H29" i="9"/>
  <c r="P29" i="9" s="1"/>
  <c r="J29" i="9"/>
  <c r="R29" i="9" s="1"/>
  <c r="Y29" i="9" s="1"/>
  <c r="L29" i="9"/>
  <c r="M29" i="9"/>
  <c r="E30" i="9"/>
  <c r="F30" i="9"/>
  <c r="N30" i="9" s="1"/>
  <c r="U30" i="9" s="1"/>
  <c r="G30" i="9"/>
  <c r="H30" i="9"/>
  <c r="P30" i="9" s="1"/>
  <c r="W30" i="9" s="1"/>
  <c r="J30" i="9"/>
  <c r="R30" i="9" s="1"/>
  <c r="L30" i="9"/>
  <c r="M30" i="9"/>
  <c r="E31" i="9"/>
  <c r="F31" i="9"/>
  <c r="N31" i="9" s="1"/>
  <c r="G31" i="9"/>
  <c r="O31" i="9" s="1"/>
  <c r="V31" i="9" s="1"/>
  <c r="H31" i="9"/>
  <c r="P31" i="9" s="1"/>
  <c r="J31" i="9"/>
  <c r="R31" i="9" s="1"/>
  <c r="Y31" i="9" s="1"/>
  <c r="L31" i="9"/>
  <c r="M31" i="9"/>
  <c r="E32" i="9"/>
  <c r="F32" i="9"/>
  <c r="N32" i="9" s="1"/>
  <c r="U32" i="9" s="1"/>
  <c r="G32" i="9"/>
  <c r="H32" i="9"/>
  <c r="P32" i="9" s="1"/>
  <c r="W32" i="9" s="1"/>
  <c r="J32" i="9"/>
  <c r="R32" i="9" s="1"/>
  <c r="Y32" i="9" s="1"/>
  <c r="L32" i="9"/>
  <c r="M32" i="9"/>
  <c r="E33" i="9"/>
  <c r="F33" i="9"/>
  <c r="N33" i="9" s="1"/>
  <c r="G33" i="9"/>
  <c r="O33" i="9" s="1"/>
  <c r="V33" i="9" s="1"/>
  <c r="H33" i="9"/>
  <c r="P33" i="9" s="1"/>
  <c r="J33" i="9"/>
  <c r="R33" i="9" s="1"/>
  <c r="Y33" i="9" s="1"/>
  <c r="L33" i="9"/>
  <c r="M33" i="9"/>
  <c r="E34" i="9"/>
  <c r="F34" i="9"/>
  <c r="N34" i="9" s="1"/>
  <c r="U34" i="9" s="1"/>
  <c r="G34" i="9"/>
  <c r="H34" i="9"/>
  <c r="P34" i="9" s="1"/>
  <c r="W34" i="9" s="1"/>
  <c r="J34" i="9"/>
  <c r="R34" i="9" s="1"/>
  <c r="Y34" i="9" s="1"/>
  <c r="L34" i="9"/>
  <c r="M34" i="9"/>
  <c r="E35" i="9"/>
  <c r="F35" i="9"/>
  <c r="N35" i="9" s="1"/>
  <c r="G35" i="9"/>
  <c r="O35" i="9" s="1"/>
  <c r="V35" i="9" s="1"/>
  <c r="H35" i="9"/>
  <c r="P35" i="9" s="1"/>
  <c r="J35" i="9"/>
  <c r="R35" i="9" s="1"/>
  <c r="Y35" i="9" s="1"/>
  <c r="L35" i="9"/>
  <c r="M35" i="9"/>
  <c r="E36" i="9"/>
  <c r="F36" i="9"/>
  <c r="N36" i="9" s="1"/>
  <c r="U36" i="9" s="1"/>
  <c r="G36" i="9"/>
  <c r="H36" i="9"/>
  <c r="P36" i="9" s="1"/>
  <c r="W36" i="9" s="1"/>
  <c r="J36" i="9"/>
  <c r="R36" i="9" s="1"/>
  <c r="Y36" i="9" s="1"/>
  <c r="L36" i="9"/>
  <c r="M36" i="9"/>
  <c r="E37" i="9"/>
  <c r="F37" i="9"/>
  <c r="N37" i="9" s="1"/>
  <c r="G37" i="9"/>
  <c r="H37" i="9"/>
  <c r="P37" i="9" s="1"/>
  <c r="J37" i="9"/>
  <c r="R37" i="9" s="1"/>
  <c r="Y37" i="9" s="1"/>
  <c r="L37" i="9"/>
  <c r="M37" i="9"/>
  <c r="E38" i="9"/>
  <c r="F38" i="9"/>
  <c r="N38" i="9" s="1"/>
  <c r="U38" i="9" s="1"/>
  <c r="G38" i="9"/>
  <c r="H38" i="9"/>
  <c r="P38" i="9" s="1"/>
  <c r="W38" i="9" s="1"/>
  <c r="J38" i="9"/>
  <c r="R38" i="9" s="1"/>
  <c r="Y38" i="9" s="1"/>
  <c r="L38" i="9"/>
  <c r="M38" i="9"/>
  <c r="E39" i="9"/>
  <c r="F39" i="9"/>
  <c r="N39" i="9" s="1"/>
  <c r="G39" i="9"/>
  <c r="O39" i="9" s="1"/>
  <c r="V39" i="9" s="1"/>
  <c r="H39" i="9"/>
  <c r="P39" i="9" s="1"/>
  <c r="J39" i="9"/>
  <c r="R39" i="9" s="1"/>
  <c r="Y39" i="9" s="1"/>
  <c r="L39" i="9"/>
  <c r="M39" i="9"/>
  <c r="E40" i="9"/>
  <c r="F40" i="9"/>
  <c r="N40" i="9" s="1"/>
  <c r="U40" i="9" s="1"/>
  <c r="G40" i="9"/>
  <c r="H40" i="9"/>
  <c r="P40" i="9" s="1"/>
  <c r="W40" i="9" s="1"/>
  <c r="J40" i="9"/>
  <c r="R40" i="9" s="1"/>
  <c r="Y40" i="9" s="1"/>
  <c r="L40" i="9"/>
  <c r="M40" i="9"/>
  <c r="N5" i="8"/>
  <c r="U5" i="8" s="1"/>
  <c r="O5" i="8"/>
  <c r="P5" i="8"/>
  <c r="R5" i="8"/>
  <c r="N6" i="8"/>
  <c r="O6" i="8"/>
  <c r="P6" i="8"/>
  <c r="R6" i="8"/>
  <c r="N7" i="8"/>
  <c r="U7" i="8" s="1"/>
  <c r="O7" i="8"/>
  <c r="P7" i="8"/>
  <c r="R7" i="8"/>
  <c r="N8" i="8"/>
  <c r="O8" i="8"/>
  <c r="V8" i="8" s="1"/>
  <c r="P8" i="8"/>
  <c r="R8" i="8"/>
  <c r="N9" i="8"/>
  <c r="U9" i="8" s="1"/>
  <c r="O9" i="8"/>
  <c r="P9" i="8"/>
  <c r="R9" i="8"/>
  <c r="N10" i="8"/>
  <c r="O10" i="8"/>
  <c r="P10" i="8"/>
  <c r="R10" i="8"/>
  <c r="N11" i="8"/>
  <c r="U11" i="8" s="1"/>
  <c r="O11" i="8"/>
  <c r="P11" i="8"/>
  <c r="R11" i="8"/>
  <c r="N12" i="8"/>
  <c r="O12" i="8"/>
  <c r="P12" i="8"/>
  <c r="R12" i="8"/>
  <c r="Y12" i="8" s="1"/>
  <c r="N13" i="8"/>
  <c r="U13" i="8" s="1"/>
  <c r="O13" i="8"/>
  <c r="P13" i="8"/>
  <c r="R13" i="8"/>
  <c r="N14" i="8"/>
  <c r="O14" i="8"/>
  <c r="V14" i="8" s="1"/>
  <c r="P14" i="8"/>
  <c r="R14" i="8"/>
  <c r="N15" i="8"/>
  <c r="U15" i="8" s="1"/>
  <c r="O15" i="8"/>
  <c r="P15" i="8"/>
  <c r="R15" i="8"/>
  <c r="N16" i="8"/>
  <c r="O16" i="8"/>
  <c r="V16" i="8" s="1"/>
  <c r="P16" i="8"/>
  <c r="R16" i="8"/>
  <c r="Y16" i="8" s="1"/>
  <c r="N17" i="8"/>
  <c r="U17" i="8" s="1"/>
  <c r="O17" i="8"/>
  <c r="P17" i="8"/>
  <c r="W17" i="8" s="1"/>
  <c r="R17" i="8"/>
  <c r="N18" i="8"/>
  <c r="O18" i="8"/>
  <c r="P18" i="8"/>
  <c r="R18" i="8"/>
  <c r="N19" i="8"/>
  <c r="U19" i="8" s="1"/>
  <c r="O19" i="8"/>
  <c r="P19" i="8"/>
  <c r="R19" i="8"/>
  <c r="N20" i="8"/>
  <c r="O20" i="8"/>
  <c r="V20" i="8" s="1"/>
  <c r="P20" i="8"/>
  <c r="R20" i="8"/>
  <c r="Y20" i="8" s="1"/>
  <c r="N21" i="8"/>
  <c r="U21" i="8" s="1"/>
  <c r="O21" i="8"/>
  <c r="P21" i="8"/>
  <c r="R21" i="8"/>
  <c r="N22" i="8"/>
  <c r="O22" i="8"/>
  <c r="P22" i="8"/>
  <c r="R22" i="8"/>
  <c r="N23" i="8"/>
  <c r="U23" i="8" s="1"/>
  <c r="O23" i="8"/>
  <c r="P23" i="8"/>
  <c r="R23" i="8"/>
  <c r="N24" i="8"/>
  <c r="O24" i="8"/>
  <c r="V24" i="8" s="1"/>
  <c r="P24" i="8"/>
  <c r="R24" i="8"/>
  <c r="N25" i="8"/>
  <c r="U25" i="8" s="1"/>
  <c r="O25" i="8"/>
  <c r="P25" i="8"/>
  <c r="R25" i="8"/>
  <c r="N26" i="8"/>
  <c r="O26" i="8"/>
  <c r="P26" i="8"/>
  <c r="R26" i="8"/>
  <c r="N27" i="8"/>
  <c r="U27" i="8" s="1"/>
  <c r="O27" i="8"/>
  <c r="P27" i="8"/>
  <c r="R27" i="8"/>
  <c r="N28" i="8"/>
  <c r="O28" i="8"/>
  <c r="P28" i="8"/>
  <c r="R28" i="8"/>
  <c r="Y28" i="8" s="1"/>
  <c r="E29" i="8"/>
  <c r="F29" i="8"/>
  <c r="N29" i="8" s="1"/>
  <c r="G29" i="8"/>
  <c r="O29" i="8" s="1"/>
  <c r="H29" i="8"/>
  <c r="P29" i="8" s="1"/>
  <c r="J29" i="8"/>
  <c r="R29" i="8" s="1"/>
  <c r="L29" i="8"/>
  <c r="M29" i="8"/>
  <c r="E30" i="8"/>
  <c r="F30" i="8"/>
  <c r="N30" i="8" s="1"/>
  <c r="G30" i="8"/>
  <c r="O30" i="8" s="1"/>
  <c r="H30" i="8"/>
  <c r="J30" i="8"/>
  <c r="R30" i="8" s="1"/>
  <c r="L30" i="8"/>
  <c r="M30" i="8"/>
  <c r="E31" i="8"/>
  <c r="F31" i="8"/>
  <c r="N31" i="8" s="1"/>
  <c r="G31" i="8"/>
  <c r="H31" i="8"/>
  <c r="P31" i="8" s="1"/>
  <c r="J31" i="8"/>
  <c r="R31" i="8" s="1"/>
  <c r="L31" i="8"/>
  <c r="M31" i="8"/>
  <c r="E32" i="8"/>
  <c r="F32" i="8"/>
  <c r="N32" i="8" s="1"/>
  <c r="G32" i="8"/>
  <c r="H32" i="8"/>
  <c r="P32" i="8" s="1"/>
  <c r="J32" i="8"/>
  <c r="R32" i="8" s="1"/>
  <c r="L32" i="8"/>
  <c r="M32" i="8"/>
  <c r="E33" i="8"/>
  <c r="F33" i="8"/>
  <c r="N33" i="8" s="1"/>
  <c r="G33" i="8"/>
  <c r="H33" i="8"/>
  <c r="P33" i="8" s="1"/>
  <c r="J33" i="8"/>
  <c r="R33" i="8" s="1"/>
  <c r="L33" i="8"/>
  <c r="M33" i="8"/>
  <c r="E34" i="8"/>
  <c r="F34" i="8"/>
  <c r="N34" i="8" s="1"/>
  <c r="G34" i="8"/>
  <c r="O34" i="8" s="1"/>
  <c r="H34" i="8"/>
  <c r="P34" i="8" s="1"/>
  <c r="J34" i="8"/>
  <c r="R34" i="8" s="1"/>
  <c r="L34" i="8"/>
  <c r="M34" i="8"/>
  <c r="E35" i="8"/>
  <c r="F35" i="8"/>
  <c r="N35" i="8" s="1"/>
  <c r="G35" i="8"/>
  <c r="H35" i="8"/>
  <c r="P35" i="8" s="1"/>
  <c r="J35" i="8"/>
  <c r="R35" i="8" s="1"/>
  <c r="L35" i="8"/>
  <c r="M35" i="8"/>
  <c r="E36" i="8"/>
  <c r="F36" i="8"/>
  <c r="N36" i="8" s="1"/>
  <c r="G36" i="8"/>
  <c r="H36" i="8"/>
  <c r="P36" i="8" s="1"/>
  <c r="J36" i="8"/>
  <c r="R36" i="8" s="1"/>
  <c r="L36" i="8"/>
  <c r="M36" i="8"/>
  <c r="E37" i="8"/>
  <c r="F37" i="8"/>
  <c r="N37" i="8" s="1"/>
  <c r="G37" i="8"/>
  <c r="H37" i="8"/>
  <c r="P37" i="8" s="1"/>
  <c r="J37" i="8"/>
  <c r="R37" i="8" s="1"/>
  <c r="L37" i="8"/>
  <c r="M37" i="8"/>
  <c r="E38" i="8"/>
  <c r="F38" i="8"/>
  <c r="N38" i="8" s="1"/>
  <c r="G38" i="8"/>
  <c r="O38" i="8" s="1"/>
  <c r="H38" i="8"/>
  <c r="P38" i="8" s="1"/>
  <c r="J38" i="8"/>
  <c r="R38" i="8" s="1"/>
  <c r="L38" i="8"/>
  <c r="M38" i="8"/>
  <c r="E39" i="8"/>
  <c r="F39" i="8"/>
  <c r="N39" i="8" s="1"/>
  <c r="G39" i="8"/>
  <c r="H39" i="8"/>
  <c r="P39" i="8" s="1"/>
  <c r="J39" i="8"/>
  <c r="R39" i="8" s="1"/>
  <c r="L39" i="8"/>
  <c r="M39" i="8"/>
  <c r="E40" i="8"/>
  <c r="F40" i="8"/>
  <c r="N40" i="8" s="1"/>
  <c r="G40" i="8"/>
  <c r="H40" i="8"/>
  <c r="P40" i="8" s="1"/>
  <c r="J40" i="8"/>
  <c r="R40" i="8" s="1"/>
  <c r="L40" i="8"/>
  <c r="M40" i="8"/>
  <c r="N5" i="6"/>
  <c r="U5" i="6" s="1"/>
  <c r="O5" i="6"/>
  <c r="V5" i="6" s="1"/>
  <c r="P5" i="6"/>
  <c r="R5" i="6"/>
  <c r="Y5" i="6" s="1"/>
  <c r="N6" i="6"/>
  <c r="O6" i="6"/>
  <c r="P6" i="6"/>
  <c r="W6" i="6" s="1"/>
  <c r="R6" i="6"/>
  <c r="Y6" i="6" s="1"/>
  <c r="U6" i="6"/>
  <c r="N7" i="6"/>
  <c r="U7" i="6" s="1"/>
  <c r="O7" i="6"/>
  <c r="P7" i="6"/>
  <c r="R7" i="6"/>
  <c r="Y7" i="6" s="1"/>
  <c r="N8" i="6"/>
  <c r="O8" i="6"/>
  <c r="P8" i="6"/>
  <c r="W8" i="6" s="1"/>
  <c r="R8" i="6"/>
  <c r="Y8" i="6" s="1"/>
  <c r="U8" i="6"/>
  <c r="N9" i="6"/>
  <c r="U9" i="6" s="1"/>
  <c r="O9" i="6"/>
  <c r="V9" i="6" s="1"/>
  <c r="P9" i="6"/>
  <c r="R9" i="6"/>
  <c r="Y9" i="6" s="1"/>
  <c r="N10" i="6"/>
  <c r="O10" i="6"/>
  <c r="P10" i="6"/>
  <c r="W10" i="6" s="1"/>
  <c r="R10" i="6"/>
  <c r="Y10" i="6" s="1"/>
  <c r="U10" i="6"/>
  <c r="N11" i="6"/>
  <c r="U11" i="6" s="1"/>
  <c r="O11" i="6"/>
  <c r="V11" i="6" s="1"/>
  <c r="P11" i="6"/>
  <c r="R11" i="6"/>
  <c r="Y11" i="6" s="1"/>
  <c r="N12" i="6"/>
  <c r="O12" i="6"/>
  <c r="P12" i="6"/>
  <c r="W12" i="6" s="1"/>
  <c r="R12" i="6"/>
  <c r="Y12" i="6" s="1"/>
  <c r="U12" i="6"/>
  <c r="N13" i="6"/>
  <c r="U13" i="6" s="1"/>
  <c r="O13" i="6"/>
  <c r="V13" i="6" s="1"/>
  <c r="P13" i="6"/>
  <c r="R13" i="6"/>
  <c r="Y13" i="6" s="1"/>
  <c r="N14" i="6"/>
  <c r="O14" i="6"/>
  <c r="P14" i="6"/>
  <c r="W14" i="6" s="1"/>
  <c r="R14" i="6"/>
  <c r="Y14" i="6" s="1"/>
  <c r="U14" i="6"/>
  <c r="N15" i="6"/>
  <c r="U15" i="6" s="1"/>
  <c r="O15" i="6"/>
  <c r="P15" i="6"/>
  <c r="R15" i="6"/>
  <c r="Y15" i="6" s="1"/>
  <c r="N16" i="6"/>
  <c r="O16" i="6"/>
  <c r="P16" i="6"/>
  <c r="W16" i="6" s="1"/>
  <c r="R16" i="6"/>
  <c r="Y16" i="6" s="1"/>
  <c r="U16" i="6"/>
  <c r="N17" i="6"/>
  <c r="U17" i="6" s="1"/>
  <c r="O17" i="6"/>
  <c r="V17" i="6" s="1"/>
  <c r="P17" i="6"/>
  <c r="R17" i="6"/>
  <c r="N18" i="6"/>
  <c r="O18" i="6"/>
  <c r="P18" i="6"/>
  <c r="W18" i="6" s="1"/>
  <c r="R18" i="6"/>
  <c r="Y18" i="6" s="1"/>
  <c r="U18" i="6"/>
  <c r="N19" i="6"/>
  <c r="U19" i="6" s="1"/>
  <c r="O19" i="6"/>
  <c r="V19" i="6" s="1"/>
  <c r="P19" i="6"/>
  <c r="R19" i="6"/>
  <c r="Y19" i="6" s="1"/>
  <c r="N20" i="6"/>
  <c r="O20" i="6"/>
  <c r="P20" i="6"/>
  <c r="W20" i="6" s="1"/>
  <c r="R20" i="6"/>
  <c r="Y20" i="6" s="1"/>
  <c r="U20" i="6"/>
  <c r="N21" i="6"/>
  <c r="U21" i="6" s="1"/>
  <c r="O21" i="6"/>
  <c r="V21" i="6" s="1"/>
  <c r="P21" i="6"/>
  <c r="R21" i="6"/>
  <c r="Y21" i="6" s="1"/>
  <c r="N22" i="6"/>
  <c r="O22" i="6"/>
  <c r="P22" i="6"/>
  <c r="W22" i="6" s="1"/>
  <c r="R22" i="6"/>
  <c r="Y22" i="6" s="1"/>
  <c r="U22" i="6"/>
  <c r="N23" i="6"/>
  <c r="U23" i="6" s="1"/>
  <c r="O23" i="6"/>
  <c r="V23" i="6" s="1"/>
  <c r="P23" i="6"/>
  <c r="R23" i="6"/>
  <c r="Y23" i="6" s="1"/>
  <c r="N24" i="6"/>
  <c r="O24" i="6"/>
  <c r="P24" i="6"/>
  <c r="W24" i="6" s="1"/>
  <c r="R24" i="6"/>
  <c r="Y24" i="6" s="1"/>
  <c r="U24" i="6"/>
  <c r="N25" i="6"/>
  <c r="U25" i="6" s="1"/>
  <c r="O25" i="6"/>
  <c r="P25" i="6"/>
  <c r="R25" i="6"/>
  <c r="Y25" i="6" s="1"/>
  <c r="N26" i="6"/>
  <c r="O26" i="6"/>
  <c r="P26" i="6"/>
  <c r="W26" i="6" s="1"/>
  <c r="R26" i="6"/>
  <c r="Y26" i="6" s="1"/>
  <c r="U26" i="6"/>
  <c r="N27" i="6"/>
  <c r="U27" i="6" s="1"/>
  <c r="O27" i="6"/>
  <c r="V27" i="6" s="1"/>
  <c r="P27" i="6"/>
  <c r="R27" i="6"/>
  <c r="Y27" i="6" s="1"/>
  <c r="N28" i="6"/>
  <c r="O28" i="6"/>
  <c r="P28" i="6"/>
  <c r="W28" i="6" s="1"/>
  <c r="R28" i="6"/>
  <c r="Y28" i="6" s="1"/>
  <c r="U28" i="6"/>
  <c r="N29" i="6"/>
  <c r="U29" i="6" s="1"/>
  <c r="O29" i="6"/>
  <c r="V29" i="6" s="1"/>
  <c r="P29" i="6"/>
  <c r="R29" i="6"/>
  <c r="Y29" i="6" s="1"/>
  <c r="N30" i="6"/>
  <c r="O30" i="6"/>
  <c r="P30" i="6"/>
  <c r="W30" i="6" s="1"/>
  <c r="R30" i="6"/>
  <c r="Y30" i="6" s="1"/>
  <c r="U30" i="6"/>
  <c r="N31" i="6"/>
  <c r="U31" i="6" s="1"/>
  <c r="O31" i="6"/>
  <c r="V31" i="6" s="1"/>
  <c r="P31" i="6"/>
  <c r="R31" i="6"/>
  <c r="Y31" i="6" s="1"/>
  <c r="N32" i="6"/>
  <c r="O32" i="6"/>
  <c r="P32" i="6"/>
  <c r="W32" i="6" s="1"/>
  <c r="R32" i="6"/>
  <c r="Y32" i="6" s="1"/>
  <c r="U32" i="6"/>
  <c r="N33" i="6"/>
  <c r="U33" i="6" s="1"/>
  <c r="O33" i="6"/>
  <c r="P33" i="6"/>
  <c r="R33" i="6"/>
  <c r="Y33" i="6" s="1"/>
  <c r="N34" i="6"/>
  <c r="O34" i="6"/>
  <c r="P34" i="6"/>
  <c r="W34" i="6" s="1"/>
  <c r="R34" i="6"/>
  <c r="Y34" i="6" s="1"/>
  <c r="U34" i="6"/>
  <c r="N35" i="6"/>
  <c r="U35" i="6" s="1"/>
  <c r="O35" i="6"/>
  <c r="P35" i="6"/>
  <c r="R35" i="6"/>
  <c r="Y35" i="6" s="1"/>
  <c r="N36" i="6"/>
  <c r="O36" i="6"/>
  <c r="P36" i="6"/>
  <c r="W36" i="6" s="1"/>
  <c r="R36" i="6"/>
  <c r="Y36" i="6" s="1"/>
  <c r="U36" i="6"/>
  <c r="N37" i="6"/>
  <c r="U37" i="6" s="1"/>
  <c r="O37" i="6"/>
  <c r="P37" i="6"/>
  <c r="R37" i="6"/>
  <c r="Y37" i="6" s="1"/>
  <c r="N38" i="6"/>
  <c r="O38" i="6"/>
  <c r="P38" i="6"/>
  <c r="W38" i="6" s="1"/>
  <c r="R38" i="6"/>
  <c r="Y38" i="6" s="1"/>
  <c r="U38" i="6"/>
  <c r="E39" i="6"/>
  <c r="E41" i="6" s="1"/>
  <c r="F39" i="6"/>
  <c r="F41" i="6" s="1"/>
  <c r="G39" i="6"/>
  <c r="G41" i="6" s="1"/>
  <c r="H39" i="6"/>
  <c r="P39" i="6" s="1"/>
  <c r="J39" i="6"/>
  <c r="R39" i="6" s="1"/>
  <c r="L39" i="6"/>
  <c r="L41" i="6" s="1"/>
  <c r="M39" i="6"/>
  <c r="M41" i="6" s="1"/>
  <c r="N40" i="6"/>
  <c r="O40" i="6"/>
  <c r="P40" i="6"/>
  <c r="W40" i="6" s="1"/>
  <c r="R40" i="6"/>
  <c r="Y40" i="6" s="1"/>
  <c r="U40" i="6"/>
  <c r="N5" i="5"/>
  <c r="U5" i="5" s="1"/>
  <c r="O5" i="5"/>
  <c r="V5" i="5" s="1"/>
  <c r="P5" i="5"/>
  <c r="R5" i="5"/>
  <c r="Y5" i="5" s="1"/>
  <c r="N6" i="5"/>
  <c r="O6" i="5"/>
  <c r="P6" i="5"/>
  <c r="W6" i="5" s="1"/>
  <c r="R6" i="5"/>
  <c r="Y6" i="5" s="1"/>
  <c r="U6" i="5"/>
  <c r="N7" i="5"/>
  <c r="U7" i="5" s="1"/>
  <c r="O7" i="5"/>
  <c r="P7" i="5"/>
  <c r="R7" i="5"/>
  <c r="Y7" i="5" s="1"/>
  <c r="N8" i="5"/>
  <c r="O8" i="5"/>
  <c r="P8" i="5"/>
  <c r="W8" i="5" s="1"/>
  <c r="R8" i="5"/>
  <c r="Y8" i="5" s="1"/>
  <c r="U8" i="5"/>
  <c r="N9" i="5"/>
  <c r="U9" i="5" s="1"/>
  <c r="O9" i="5"/>
  <c r="V9" i="5" s="1"/>
  <c r="P9" i="5"/>
  <c r="R9" i="5"/>
  <c r="Y9" i="5" s="1"/>
  <c r="N10" i="5"/>
  <c r="O10" i="5"/>
  <c r="P10" i="5"/>
  <c r="W10" i="5" s="1"/>
  <c r="R10" i="5"/>
  <c r="Y10" i="5" s="1"/>
  <c r="U10" i="5"/>
  <c r="N11" i="5"/>
  <c r="U11" i="5" s="1"/>
  <c r="O11" i="5"/>
  <c r="V11" i="5" s="1"/>
  <c r="P11" i="5"/>
  <c r="R11" i="5"/>
  <c r="Y11" i="5" s="1"/>
  <c r="N12" i="5"/>
  <c r="O12" i="5"/>
  <c r="P12" i="5"/>
  <c r="W12" i="5" s="1"/>
  <c r="R12" i="5"/>
  <c r="Y12" i="5" s="1"/>
  <c r="U12" i="5"/>
  <c r="N13" i="5"/>
  <c r="U13" i="5" s="1"/>
  <c r="O13" i="5"/>
  <c r="V13" i="5" s="1"/>
  <c r="P13" i="5"/>
  <c r="R13" i="5"/>
  <c r="Y13" i="5" s="1"/>
  <c r="N14" i="5"/>
  <c r="O14" i="5"/>
  <c r="P14" i="5"/>
  <c r="W14" i="5" s="1"/>
  <c r="R14" i="5"/>
  <c r="Y14" i="5" s="1"/>
  <c r="U14" i="5"/>
  <c r="N15" i="5"/>
  <c r="U15" i="5" s="1"/>
  <c r="O15" i="5"/>
  <c r="P15" i="5"/>
  <c r="R15" i="5"/>
  <c r="Y15" i="5" s="1"/>
  <c r="N16" i="5"/>
  <c r="O16" i="5"/>
  <c r="P16" i="5"/>
  <c r="W16" i="5" s="1"/>
  <c r="R16" i="5"/>
  <c r="Y16" i="5" s="1"/>
  <c r="U16" i="5"/>
  <c r="N17" i="5"/>
  <c r="U17" i="5" s="1"/>
  <c r="O17" i="5"/>
  <c r="P17" i="5"/>
  <c r="R17" i="5"/>
  <c r="Y17" i="5" s="1"/>
  <c r="N18" i="5"/>
  <c r="O18" i="5"/>
  <c r="P18" i="5"/>
  <c r="W18" i="5" s="1"/>
  <c r="R18" i="5"/>
  <c r="Y18" i="5" s="1"/>
  <c r="U18" i="5"/>
  <c r="N19" i="5"/>
  <c r="U19" i="5" s="1"/>
  <c r="O19" i="5"/>
  <c r="V19" i="5" s="1"/>
  <c r="P19" i="5"/>
  <c r="R19" i="5"/>
  <c r="Y19" i="5" s="1"/>
  <c r="N20" i="5"/>
  <c r="O20" i="5"/>
  <c r="P20" i="5"/>
  <c r="W20" i="5" s="1"/>
  <c r="R20" i="5"/>
  <c r="Y20" i="5" s="1"/>
  <c r="U20" i="5"/>
  <c r="N21" i="5"/>
  <c r="U21" i="5" s="1"/>
  <c r="O21" i="5"/>
  <c r="P21" i="5"/>
  <c r="R21" i="5"/>
  <c r="Y21" i="5" s="1"/>
  <c r="N22" i="5"/>
  <c r="O22" i="5"/>
  <c r="P22" i="5"/>
  <c r="W22" i="5" s="1"/>
  <c r="R22" i="5"/>
  <c r="Y22" i="5" s="1"/>
  <c r="U22" i="5"/>
  <c r="N23" i="5"/>
  <c r="U23" i="5" s="1"/>
  <c r="O23" i="5"/>
  <c r="P23" i="5"/>
  <c r="R23" i="5"/>
  <c r="Y23" i="5" s="1"/>
  <c r="N24" i="5"/>
  <c r="O24" i="5"/>
  <c r="P24" i="5"/>
  <c r="W24" i="5" s="1"/>
  <c r="R24" i="5"/>
  <c r="Y24" i="5" s="1"/>
  <c r="U24" i="5"/>
  <c r="N25" i="5"/>
  <c r="U25" i="5" s="1"/>
  <c r="O25" i="5"/>
  <c r="V25" i="5" s="1"/>
  <c r="P25" i="5"/>
  <c r="R25" i="5"/>
  <c r="Y25" i="5" s="1"/>
  <c r="N26" i="5"/>
  <c r="O26" i="5"/>
  <c r="P26" i="5"/>
  <c r="W26" i="5" s="1"/>
  <c r="R26" i="5"/>
  <c r="Y26" i="5" s="1"/>
  <c r="U26" i="5"/>
  <c r="N27" i="5"/>
  <c r="U27" i="5" s="1"/>
  <c r="O27" i="5"/>
  <c r="V27" i="5" s="1"/>
  <c r="P27" i="5"/>
  <c r="R27" i="5"/>
  <c r="Y27" i="5" s="1"/>
  <c r="N28" i="5"/>
  <c r="O28" i="5"/>
  <c r="P28" i="5"/>
  <c r="W28" i="5" s="1"/>
  <c r="R28" i="5"/>
  <c r="Y28" i="5" s="1"/>
  <c r="U28" i="5"/>
  <c r="N29" i="5"/>
  <c r="U29" i="5" s="1"/>
  <c r="O29" i="5"/>
  <c r="V29" i="5" s="1"/>
  <c r="P29" i="5"/>
  <c r="R29" i="5"/>
  <c r="Y29" i="5" s="1"/>
  <c r="N30" i="5"/>
  <c r="O30" i="5"/>
  <c r="P30" i="5"/>
  <c r="W30" i="5" s="1"/>
  <c r="R30" i="5"/>
  <c r="Y30" i="5" s="1"/>
  <c r="U30" i="5"/>
  <c r="N31" i="5"/>
  <c r="U31" i="5" s="1"/>
  <c r="O31" i="5"/>
  <c r="P31" i="5"/>
  <c r="R31" i="5"/>
  <c r="Y31" i="5" s="1"/>
  <c r="N32" i="5"/>
  <c r="O32" i="5"/>
  <c r="P32" i="5"/>
  <c r="W32" i="5" s="1"/>
  <c r="R32" i="5"/>
  <c r="Y32" i="5" s="1"/>
  <c r="U32" i="5"/>
  <c r="N33" i="5"/>
  <c r="U33" i="5" s="1"/>
  <c r="O33" i="5"/>
  <c r="P33" i="5"/>
  <c r="R33" i="5"/>
  <c r="Y33" i="5" s="1"/>
  <c r="N34" i="5"/>
  <c r="O34" i="5"/>
  <c r="P34" i="5"/>
  <c r="W34" i="5" s="1"/>
  <c r="R34" i="5"/>
  <c r="Y34" i="5" s="1"/>
  <c r="U34" i="5"/>
  <c r="N35" i="5"/>
  <c r="U35" i="5" s="1"/>
  <c r="O35" i="5"/>
  <c r="V35" i="5" s="1"/>
  <c r="P35" i="5"/>
  <c r="R35" i="5"/>
  <c r="Y35" i="5" s="1"/>
  <c r="N36" i="5"/>
  <c r="O36" i="5"/>
  <c r="P36" i="5"/>
  <c r="W36" i="5" s="1"/>
  <c r="R36" i="5"/>
  <c r="Y36" i="5" s="1"/>
  <c r="U36" i="5"/>
  <c r="N37" i="5"/>
  <c r="U37" i="5" s="1"/>
  <c r="O37" i="5"/>
  <c r="P37" i="5"/>
  <c r="R37" i="5"/>
  <c r="Y37" i="5" s="1"/>
  <c r="V37" i="5"/>
  <c r="N38" i="5"/>
  <c r="O38" i="5"/>
  <c r="P38" i="5"/>
  <c r="W38" i="5" s="1"/>
  <c r="R38" i="5"/>
  <c r="Y38" i="5" s="1"/>
  <c r="U38" i="5"/>
  <c r="E39" i="5"/>
  <c r="E41" i="5" s="1"/>
  <c r="E42" i="5" s="1"/>
  <c r="E43" i="5" s="1"/>
  <c r="F39" i="5"/>
  <c r="F41" i="5" s="1"/>
  <c r="G39" i="5"/>
  <c r="G41" i="5" s="1"/>
  <c r="G42" i="5" s="1"/>
  <c r="G43" i="5" s="1"/>
  <c r="H39" i="5"/>
  <c r="P39" i="5" s="1"/>
  <c r="J39" i="5"/>
  <c r="R39" i="5" s="1"/>
  <c r="L39" i="5"/>
  <c r="L41" i="5" s="1"/>
  <c r="M39" i="5"/>
  <c r="M41" i="5" s="1"/>
  <c r="M42" i="5" s="1"/>
  <c r="M43" i="5" s="1"/>
  <c r="N40" i="5"/>
  <c r="O40" i="5"/>
  <c r="P40" i="5"/>
  <c r="W40" i="5" s="1"/>
  <c r="R40" i="5"/>
  <c r="Y40" i="5" s="1"/>
  <c r="U40" i="5"/>
  <c r="E5" i="4"/>
  <c r="F5" i="4"/>
  <c r="N5" i="4" s="1"/>
  <c r="U5" i="4" s="1"/>
  <c r="G5" i="4"/>
  <c r="P5" i="4"/>
  <c r="W5" i="4" s="1"/>
  <c r="R5" i="4"/>
  <c r="L5" i="4"/>
  <c r="E6" i="4"/>
  <c r="F6" i="4"/>
  <c r="N6" i="4" s="1"/>
  <c r="G6" i="4"/>
  <c r="O6" i="4" s="1"/>
  <c r="V6" i="4" s="1"/>
  <c r="H6" i="4"/>
  <c r="P6" i="4" s="1"/>
  <c r="J6" i="4"/>
  <c r="R6" i="4" s="1"/>
  <c r="Y6" i="4" s="1"/>
  <c r="L6" i="4"/>
  <c r="M6" i="4"/>
  <c r="E7" i="4"/>
  <c r="F7" i="4"/>
  <c r="N7" i="4" s="1"/>
  <c r="U7" i="4" s="1"/>
  <c r="G7" i="4"/>
  <c r="H7" i="4"/>
  <c r="P7" i="4" s="1"/>
  <c r="W7" i="4" s="1"/>
  <c r="J7" i="4"/>
  <c r="R7" i="4" s="1"/>
  <c r="Y7" i="4" s="1"/>
  <c r="L7" i="4"/>
  <c r="M7" i="4"/>
  <c r="E8" i="4"/>
  <c r="F8" i="4"/>
  <c r="N8" i="4" s="1"/>
  <c r="G8" i="4"/>
  <c r="O8" i="4" s="1"/>
  <c r="V8" i="4" s="1"/>
  <c r="H8" i="4"/>
  <c r="P8" i="4" s="1"/>
  <c r="J8" i="4"/>
  <c r="R8" i="4" s="1"/>
  <c r="Y8" i="4" s="1"/>
  <c r="L8" i="4"/>
  <c r="M8" i="4"/>
  <c r="E9" i="4"/>
  <c r="F9" i="4"/>
  <c r="N9" i="4" s="1"/>
  <c r="U9" i="4" s="1"/>
  <c r="G9" i="4"/>
  <c r="H9" i="4"/>
  <c r="P9" i="4" s="1"/>
  <c r="W9" i="4" s="1"/>
  <c r="J9" i="4"/>
  <c r="R9" i="4" s="1"/>
  <c r="Y9" i="4" s="1"/>
  <c r="L9" i="4"/>
  <c r="M9" i="4"/>
  <c r="E10" i="4"/>
  <c r="F10" i="4"/>
  <c r="N10" i="4" s="1"/>
  <c r="G10" i="4"/>
  <c r="O10" i="4" s="1"/>
  <c r="V10" i="4" s="1"/>
  <c r="P10" i="4"/>
  <c r="R10" i="4"/>
  <c r="Y10" i="4" s="1"/>
  <c r="L10" i="4"/>
  <c r="E11" i="4"/>
  <c r="F11" i="4"/>
  <c r="N11" i="4" s="1"/>
  <c r="U11" i="4" s="1"/>
  <c r="G11" i="4"/>
  <c r="H11" i="4"/>
  <c r="P11" i="4" s="1"/>
  <c r="W11" i="4" s="1"/>
  <c r="J11" i="4"/>
  <c r="R11" i="4" s="1"/>
  <c r="Y11" i="4" s="1"/>
  <c r="L11" i="4"/>
  <c r="M11" i="4"/>
  <c r="E12" i="4"/>
  <c r="F12" i="4"/>
  <c r="N12" i="4" s="1"/>
  <c r="G12" i="4"/>
  <c r="O12" i="4" s="1"/>
  <c r="V12" i="4" s="1"/>
  <c r="H12" i="4"/>
  <c r="P12" i="4" s="1"/>
  <c r="J12" i="4"/>
  <c r="R12" i="4" s="1"/>
  <c r="Y12" i="4" s="1"/>
  <c r="L12" i="4"/>
  <c r="M12" i="4"/>
  <c r="E13" i="4"/>
  <c r="F13" i="4"/>
  <c r="N13" i="4" s="1"/>
  <c r="U13" i="4" s="1"/>
  <c r="G13" i="4"/>
  <c r="H13" i="4"/>
  <c r="P13" i="4" s="1"/>
  <c r="W13" i="4" s="1"/>
  <c r="J13" i="4"/>
  <c r="R13" i="4" s="1"/>
  <c r="Y13" i="4" s="1"/>
  <c r="L13" i="4"/>
  <c r="M13" i="4"/>
  <c r="E14" i="4"/>
  <c r="F14" i="4"/>
  <c r="N14" i="4" s="1"/>
  <c r="G14" i="4"/>
  <c r="O14" i="4" s="1"/>
  <c r="V14" i="4" s="1"/>
  <c r="H14" i="4"/>
  <c r="P14" i="4" s="1"/>
  <c r="J14" i="4"/>
  <c r="R14" i="4" s="1"/>
  <c r="Y14" i="4" s="1"/>
  <c r="L14" i="4"/>
  <c r="M14" i="4"/>
  <c r="E15" i="4"/>
  <c r="F15" i="4"/>
  <c r="N15" i="4" s="1"/>
  <c r="U15" i="4" s="1"/>
  <c r="G15" i="4"/>
  <c r="H15" i="4"/>
  <c r="P15" i="4" s="1"/>
  <c r="W15" i="4" s="1"/>
  <c r="J15" i="4"/>
  <c r="R15" i="4" s="1"/>
  <c r="Y15" i="4" s="1"/>
  <c r="L15" i="4"/>
  <c r="M15" i="4"/>
  <c r="E16" i="4"/>
  <c r="F16" i="4"/>
  <c r="N16" i="4" s="1"/>
  <c r="G16" i="4"/>
  <c r="O16" i="4" s="1"/>
  <c r="V16" i="4" s="1"/>
  <c r="H16" i="4"/>
  <c r="P16" i="4" s="1"/>
  <c r="J16" i="4"/>
  <c r="R16" i="4" s="1"/>
  <c r="Y16" i="4" s="1"/>
  <c r="L16" i="4"/>
  <c r="M16" i="4"/>
  <c r="E17" i="4"/>
  <c r="F17" i="4"/>
  <c r="N17" i="4" s="1"/>
  <c r="U17" i="4" s="1"/>
  <c r="G17" i="4"/>
  <c r="H17" i="4"/>
  <c r="P17" i="4" s="1"/>
  <c r="W17" i="4" s="1"/>
  <c r="J17" i="4"/>
  <c r="R17" i="4" s="1"/>
  <c r="Y17" i="4" s="1"/>
  <c r="L17" i="4"/>
  <c r="M17" i="4"/>
  <c r="E18" i="4"/>
  <c r="F18" i="4"/>
  <c r="N18" i="4" s="1"/>
  <c r="G18" i="4"/>
  <c r="O18" i="4" s="1"/>
  <c r="V18" i="4" s="1"/>
  <c r="H18" i="4"/>
  <c r="P18" i="4" s="1"/>
  <c r="J18" i="4"/>
  <c r="R18" i="4" s="1"/>
  <c r="Y18" i="4" s="1"/>
  <c r="L18" i="4"/>
  <c r="M18" i="4"/>
  <c r="E19" i="4"/>
  <c r="F19" i="4"/>
  <c r="N19" i="4" s="1"/>
  <c r="U19" i="4" s="1"/>
  <c r="G19" i="4"/>
  <c r="H19" i="4"/>
  <c r="P19" i="4" s="1"/>
  <c r="W19" i="4" s="1"/>
  <c r="J19" i="4"/>
  <c r="R19" i="4" s="1"/>
  <c r="Y19" i="4" s="1"/>
  <c r="L19" i="4"/>
  <c r="M19" i="4"/>
  <c r="E20" i="4"/>
  <c r="F20" i="4"/>
  <c r="N20" i="4" s="1"/>
  <c r="G20" i="4"/>
  <c r="H20" i="4"/>
  <c r="P20" i="4" s="1"/>
  <c r="J20" i="4"/>
  <c r="R20" i="4" s="1"/>
  <c r="Y20" i="4" s="1"/>
  <c r="L20" i="4"/>
  <c r="M20" i="4"/>
  <c r="E21" i="4"/>
  <c r="F21" i="4"/>
  <c r="N21" i="4" s="1"/>
  <c r="U21" i="4" s="1"/>
  <c r="G21" i="4"/>
  <c r="H21" i="4"/>
  <c r="P21" i="4" s="1"/>
  <c r="W21" i="4" s="1"/>
  <c r="J21" i="4"/>
  <c r="R21" i="4" s="1"/>
  <c r="Y21" i="4" s="1"/>
  <c r="L21" i="4"/>
  <c r="M21" i="4"/>
  <c r="E22" i="4"/>
  <c r="F22" i="4"/>
  <c r="N22" i="4" s="1"/>
  <c r="G22" i="4"/>
  <c r="O22" i="4" s="1"/>
  <c r="V22" i="4" s="1"/>
  <c r="H22" i="4"/>
  <c r="P22" i="4" s="1"/>
  <c r="J22" i="4"/>
  <c r="R22" i="4" s="1"/>
  <c r="Y22" i="4" s="1"/>
  <c r="L22" i="4"/>
  <c r="M22" i="4"/>
  <c r="E23" i="4"/>
  <c r="F23" i="4"/>
  <c r="N23" i="4" s="1"/>
  <c r="U23" i="4" s="1"/>
  <c r="G23" i="4"/>
  <c r="H23" i="4"/>
  <c r="P23" i="4" s="1"/>
  <c r="W23" i="4" s="1"/>
  <c r="J23" i="4"/>
  <c r="R23" i="4" s="1"/>
  <c r="Y23" i="4" s="1"/>
  <c r="L23" i="4"/>
  <c r="M23" i="4"/>
  <c r="E24" i="4"/>
  <c r="F24" i="4"/>
  <c r="N24" i="4" s="1"/>
  <c r="G24" i="4"/>
  <c r="O24" i="4" s="1"/>
  <c r="V24" i="4" s="1"/>
  <c r="H24" i="4"/>
  <c r="P24" i="4" s="1"/>
  <c r="J24" i="4"/>
  <c r="R24" i="4" s="1"/>
  <c r="Y24" i="4" s="1"/>
  <c r="L24" i="4"/>
  <c r="M24" i="4"/>
  <c r="E25" i="4"/>
  <c r="F25" i="4"/>
  <c r="N25" i="4" s="1"/>
  <c r="U25" i="4" s="1"/>
  <c r="G25" i="4"/>
  <c r="H25" i="4"/>
  <c r="P25" i="4" s="1"/>
  <c r="W25" i="4" s="1"/>
  <c r="J25" i="4"/>
  <c r="R25" i="4" s="1"/>
  <c r="Y25" i="4" s="1"/>
  <c r="L25" i="4"/>
  <c r="M25" i="4"/>
  <c r="E26" i="4"/>
  <c r="F26" i="4"/>
  <c r="N26" i="4" s="1"/>
  <c r="G26" i="4"/>
  <c r="O26" i="4" s="1"/>
  <c r="V26" i="4" s="1"/>
  <c r="H26" i="4"/>
  <c r="P26" i="4" s="1"/>
  <c r="J26" i="4"/>
  <c r="R26" i="4" s="1"/>
  <c r="Y26" i="4" s="1"/>
  <c r="L26" i="4"/>
  <c r="M26" i="4"/>
  <c r="E27" i="4"/>
  <c r="F27" i="4"/>
  <c r="N27" i="4" s="1"/>
  <c r="U27" i="4" s="1"/>
  <c r="G27" i="4"/>
  <c r="H27" i="4"/>
  <c r="P27" i="4" s="1"/>
  <c r="W27" i="4" s="1"/>
  <c r="J27" i="4"/>
  <c r="R27" i="4" s="1"/>
  <c r="Y27" i="4" s="1"/>
  <c r="L27" i="4"/>
  <c r="M27" i="4"/>
  <c r="E28" i="4"/>
  <c r="F28" i="4"/>
  <c r="N28" i="4" s="1"/>
  <c r="G28" i="4"/>
  <c r="H28" i="4"/>
  <c r="P28" i="4" s="1"/>
  <c r="J28" i="4"/>
  <c r="R28" i="4" s="1"/>
  <c r="Y28" i="4" s="1"/>
  <c r="L28" i="4"/>
  <c r="M28" i="4"/>
  <c r="E29" i="4"/>
  <c r="F29" i="4"/>
  <c r="N29" i="4" s="1"/>
  <c r="U29" i="4" s="1"/>
  <c r="G29" i="4"/>
  <c r="H29" i="4"/>
  <c r="P29" i="4" s="1"/>
  <c r="W29" i="4" s="1"/>
  <c r="J29" i="4"/>
  <c r="R29" i="4" s="1"/>
  <c r="Y29" i="4" s="1"/>
  <c r="L29" i="4"/>
  <c r="M29" i="4"/>
  <c r="E30" i="4"/>
  <c r="F30" i="4"/>
  <c r="N30" i="4" s="1"/>
  <c r="G30" i="4"/>
  <c r="O30" i="4" s="1"/>
  <c r="V30" i="4" s="1"/>
  <c r="H30" i="4"/>
  <c r="P30" i="4" s="1"/>
  <c r="J30" i="4"/>
  <c r="R30" i="4" s="1"/>
  <c r="Y30" i="4" s="1"/>
  <c r="L30" i="4"/>
  <c r="M30" i="4"/>
  <c r="E31" i="4"/>
  <c r="F31" i="4"/>
  <c r="N31" i="4" s="1"/>
  <c r="U31" i="4" s="1"/>
  <c r="G31" i="4"/>
  <c r="H31" i="4"/>
  <c r="P31" i="4" s="1"/>
  <c r="W31" i="4" s="1"/>
  <c r="J31" i="4"/>
  <c r="R31" i="4" s="1"/>
  <c r="Y31" i="4" s="1"/>
  <c r="L31" i="4"/>
  <c r="M31" i="4"/>
  <c r="E32" i="4"/>
  <c r="F32" i="4"/>
  <c r="N32" i="4" s="1"/>
  <c r="G32" i="4"/>
  <c r="O32" i="4" s="1"/>
  <c r="V32" i="4" s="1"/>
  <c r="H32" i="4"/>
  <c r="P32" i="4" s="1"/>
  <c r="J32" i="4"/>
  <c r="R32" i="4" s="1"/>
  <c r="Y32" i="4" s="1"/>
  <c r="L32" i="4"/>
  <c r="M32" i="4"/>
  <c r="E33" i="4"/>
  <c r="F33" i="4"/>
  <c r="N33" i="4" s="1"/>
  <c r="U33" i="4" s="1"/>
  <c r="G33" i="4"/>
  <c r="H33" i="4"/>
  <c r="P33" i="4" s="1"/>
  <c r="W33" i="4" s="1"/>
  <c r="J33" i="4"/>
  <c r="R33" i="4" s="1"/>
  <c r="Y33" i="4" s="1"/>
  <c r="L33" i="4"/>
  <c r="M33" i="4"/>
  <c r="E34" i="4"/>
  <c r="F34" i="4"/>
  <c r="N34" i="4" s="1"/>
  <c r="G34" i="4"/>
  <c r="O34" i="4" s="1"/>
  <c r="V34" i="4" s="1"/>
  <c r="H34" i="4"/>
  <c r="P34" i="4" s="1"/>
  <c r="J34" i="4"/>
  <c r="R34" i="4" s="1"/>
  <c r="Y34" i="4" s="1"/>
  <c r="L34" i="4"/>
  <c r="M34" i="4"/>
  <c r="E35" i="4"/>
  <c r="F35" i="4"/>
  <c r="N35" i="4" s="1"/>
  <c r="U35" i="4" s="1"/>
  <c r="G35" i="4"/>
  <c r="H35" i="4"/>
  <c r="P35" i="4" s="1"/>
  <c r="W35" i="4" s="1"/>
  <c r="J35" i="4"/>
  <c r="R35" i="4" s="1"/>
  <c r="Y35" i="4" s="1"/>
  <c r="L35" i="4"/>
  <c r="M35" i="4"/>
  <c r="E36" i="4"/>
  <c r="F36" i="4"/>
  <c r="N36" i="4" s="1"/>
  <c r="G36" i="4"/>
  <c r="H36" i="4"/>
  <c r="P36" i="4" s="1"/>
  <c r="J36" i="4"/>
  <c r="R36" i="4" s="1"/>
  <c r="Y36" i="4" s="1"/>
  <c r="L36" i="4"/>
  <c r="M36" i="4"/>
  <c r="E37" i="4"/>
  <c r="F37" i="4"/>
  <c r="N37" i="4" s="1"/>
  <c r="U37" i="4" s="1"/>
  <c r="G37" i="4"/>
  <c r="H37" i="4"/>
  <c r="P37" i="4" s="1"/>
  <c r="W37" i="4" s="1"/>
  <c r="J37" i="4"/>
  <c r="R37" i="4" s="1"/>
  <c r="Y37" i="4" s="1"/>
  <c r="L37" i="4"/>
  <c r="M37" i="4"/>
  <c r="E38" i="4"/>
  <c r="F38" i="4"/>
  <c r="N38" i="4" s="1"/>
  <c r="G38" i="4"/>
  <c r="O38" i="4" s="1"/>
  <c r="V38" i="4" s="1"/>
  <c r="H38" i="4"/>
  <c r="P38" i="4" s="1"/>
  <c r="J38" i="4"/>
  <c r="R38" i="4" s="1"/>
  <c r="Y38" i="4" s="1"/>
  <c r="L38" i="4"/>
  <c r="M38" i="4"/>
  <c r="E39" i="4"/>
  <c r="F39" i="4"/>
  <c r="N39" i="4" s="1"/>
  <c r="U39" i="4" s="1"/>
  <c r="G39" i="4"/>
  <c r="H39" i="4"/>
  <c r="P39" i="4" s="1"/>
  <c r="W39" i="4" s="1"/>
  <c r="J39" i="4"/>
  <c r="R39" i="4" s="1"/>
  <c r="Y39" i="4" s="1"/>
  <c r="L39" i="4"/>
  <c r="M39" i="4"/>
  <c r="E40" i="4"/>
  <c r="F40" i="4"/>
  <c r="N40" i="4" s="1"/>
  <c r="G40" i="4"/>
  <c r="O40" i="4" s="1"/>
  <c r="V40" i="4" s="1"/>
  <c r="H40" i="4"/>
  <c r="P40" i="4" s="1"/>
  <c r="J40" i="4"/>
  <c r="R40" i="4" s="1"/>
  <c r="Y40" i="4" s="1"/>
  <c r="L40" i="4"/>
  <c r="M40" i="4"/>
  <c r="E5" i="3"/>
  <c r="F5" i="3"/>
  <c r="N5" i="3" s="1"/>
  <c r="U5" i="3" s="1"/>
  <c r="G5" i="3"/>
  <c r="P5" i="3"/>
  <c r="W5" i="3" s="1"/>
  <c r="R5" i="3"/>
  <c r="Y5" i="3" s="1"/>
  <c r="L5" i="3"/>
  <c r="E6" i="3"/>
  <c r="F6" i="3"/>
  <c r="N6" i="3" s="1"/>
  <c r="G6" i="3"/>
  <c r="O6" i="3" s="1"/>
  <c r="V6" i="3" s="1"/>
  <c r="H6" i="3"/>
  <c r="P6" i="3" s="1"/>
  <c r="J6" i="3"/>
  <c r="R6" i="3" s="1"/>
  <c r="Y6" i="3" s="1"/>
  <c r="L6" i="3"/>
  <c r="M6" i="3"/>
  <c r="E7" i="3"/>
  <c r="F7" i="3"/>
  <c r="N7" i="3" s="1"/>
  <c r="U7" i="3" s="1"/>
  <c r="G7" i="3"/>
  <c r="H7" i="3"/>
  <c r="P7" i="3" s="1"/>
  <c r="W7" i="3" s="1"/>
  <c r="J7" i="3"/>
  <c r="R7" i="3" s="1"/>
  <c r="Y7" i="3" s="1"/>
  <c r="L7" i="3"/>
  <c r="M7" i="3"/>
  <c r="E8" i="3"/>
  <c r="F8" i="3"/>
  <c r="N8" i="3" s="1"/>
  <c r="G8" i="3"/>
  <c r="O8" i="3" s="1"/>
  <c r="V8" i="3" s="1"/>
  <c r="H8" i="3"/>
  <c r="P8" i="3" s="1"/>
  <c r="J8" i="3"/>
  <c r="R8" i="3" s="1"/>
  <c r="Y8" i="3" s="1"/>
  <c r="L8" i="3"/>
  <c r="M8" i="3"/>
  <c r="E9" i="3"/>
  <c r="F9" i="3"/>
  <c r="N9" i="3" s="1"/>
  <c r="U9" i="3" s="1"/>
  <c r="G9" i="3"/>
  <c r="H9" i="3"/>
  <c r="P9" i="3" s="1"/>
  <c r="W9" i="3" s="1"/>
  <c r="J9" i="3"/>
  <c r="R9" i="3" s="1"/>
  <c r="Y9" i="3" s="1"/>
  <c r="L9" i="3"/>
  <c r="M9" i="3"/>
  <c r="E10" i="3"/>
  <c r="F10" i="3"/>
  <c r="N10" i="3" s="1"/>
  <c r="G10" i="3"/>
  <c r="P10" i="3"/>
  <c r="R10" i="3"/>
  <c r="Y10" i="3" s="1"/>
  <c r="L10" i="3"/>
  <c r="E11" i="3"/>
  <c r="F11" i="3"/>
  <c r="N11" i="3" s="1"/>
  <c r="U11" i="3" s="1"/>
  <c r="G11" i="3"/>
  <c r="H11" i="3"/>
  <c r="P11" i="3" s="1"/>
  <c r="W11" i="3" s="1"/>
  <c r="J11" i="3"/>
  <c r="R11" i="3" s="1"/>
  <c r="Y11" i="3" s="1"/>
  <c r="L11" i="3"/>
  <c r="M11" i="3"/>
  <c r="E12" i="3"/>
  <c r="F12" i="3"/>
  <c r="N12" i="3" s="1"/>
  <c r="G12" i="3"/>
  <c r="O12" i="3" s="1"/>
  <c r="V12" i="3" s="1"/>
  <c r="H12" i="3"/>
  <c r="P12" i="3" s="1"/>
  <c r="J12" i="3"/>
  <c r="R12" i="3" s="1"/>
  <c r="Y12" i="3" s="1"/>
  <c r="L12" i="3"/>
  <c r="M12" i="3"/>
  <c r="E13" i="3"/>
  <c r="F13" i="3"/>
  <c r="N13" i="3" s="1"/>
  <c r="U13" i="3" s="1"/>
  <c r="G13" i="3"/>
  <c r="H13" i="3"/>
  <c r="P13" i="3" s="1"/>
  <c r="W13" i="3" s="1"/>
  <c r="J13" i="3"/>
  <c r="R13" i="3" s="1"/>
  <c r="Y13" i="3" s="1"/>
  <c r="L13" i="3"/>
  <c r="M13" i="3"/>
  <c r="E14" i="3"/>
  <c r="F14" i="3"/>
  <c r="N14" i="3" s="1"/>
  <c r="G14" i="3"/>
  <c r="O14" i="3" s="1"/>
  <c r="V14" i="3" s="1"/>
  <c r="H14" i="3"/>
  <c r="P14" i="3" s="1"/>
  <c r="J14" i="3"/>
  <c r="R14" i="3" s="1"/>
  <c r="Y14" i="3" s="1"/>
  <c r="L14" i="3"/>
  <c r="M14" i="3"/>
  <c r="E15" i="3"/>
  <c r="F15" i="3"/>
  <c r="N15" i="3" s="1"/>
  <c r="U15" i="3" s="1"/>
  <c r="G15" i="3"/>
  <c r="H15" i="3"/>
  <c r="P15" i="3" s="1"/>
  <c r="W15" i="3" s="1"/>
  <c r="J15" i="3"/>
  <c r="R15" i="3" s="1"/>
  <c r="Y15" i="3" s="1"/>
  <c r="L15" i="3"/>
  <c r="M15" i="3"/>
  <c r="E16" i="3"/>
  <c r="F16" i="3"/>
  <c r="N16" i="3" s="1"/>
  <c r="G16" i="3"/>
  <c r="O16" i="3" s="1"/>
  <c r="H16" i="3"/>
  <c r="P16" i="3" s="1"/>
  <c r="W16" i="3" s="1"/>
  <c r="J16" i="3"/>
  <c r="R16" i="3" s="1"/>
  <c r="Y16" i="3" s="1"/>
  <c r="L16" i="3"/>
  <c r="M16" i="3"/>
  <c r="E17" i="3"/>
  <c r="F17" i="3"/>
  <c r="N17" i="3" s="1"/>
  <c r="G17" i="3"/>
  <c r="O17" i="3" s="1"/>
  <c r="V17" i="3" s="1"/>
  <c r="H17" i="3"/>
  <c r="P17" i="3" s="1"/>
  <c r="J17" i="3"/>
  <c r="R17" i="3" s="1"/>
  <c r="Y17" i="3" s="1"/>
  <c r="L17" i="3"/>
  <c r="M17" i="3"/>
  <c r="E18" i="3"/>
  <c r="F18" i="3"/>
  <c r="N18" i="3" s="1"/>
  <c r="U18" i="3" s="1"/>
  <c r="G18" i="3"/>
  <c r="H18" i="3"/>
  <c r="P18" i="3" s="1"/>
  <c r="W18" i="3" s="1"/>
  <c r="J18" i="3"/>
  <c r="R18" i="3" s="1"/>
  <c r="L18" i="3"/>
  <c r="M18" i="3"/>
  <c r="E19" i="3"/>
  <c r="F19" i="3"/>
  <c r="N19" i="3" s="1"/>
  <c r="G19" i="3"/>
  <c r="O19" i="3" s="1"/>
  <c r="V19" i="3" s="1"/>
  <c r="H19" i="3"/>
  <c r="P19" i="3" s="1"/>
  <c r="J19" i="3"/>
  <c r="R19" i="3" s="1"/>
  <c r="Y19" i="3" s="1"/>
  <c r="L19" i="3"/>
  <c r="M19" i="3"/>
  <c r="E20" i="3"/>
  <c r="F20" i="3"/>
  <c r="N20" i="3" s="1"/>
  <c r="U20" i="3" s="1"/>
  <c r="G20" i="3"/>
  <c r="H20" i="3"/>
  <c r="P20" i="3" s="1"/>
  <c r="W20" i="3" s="1"/>
  <c r="J20" i="3"/>
  <c r="L20" i="3"/>
  <c r="M20" i="3"/>
  <c r="E21" i="3"/>
  <c r="F21" i="3"/>
  <c r="N21" i="3" s="1"/>
  <c r="G21" i="3"/>
  <c r="O21" i="3" s="1"/>
  <c r="V21" i="3" s="1"/>
  <c r="H21" i="3"/>
  <c r="P21" i="3" s="1"/>
  <c r="J21" i="3"/>
  <c r="R21" i="3" s="1"/>
  <c r="Y21" i="3" s="1"/>
  <c r="L21" i="3"/>
  <c r="M21" i="3"/>
  <c r="E22" i="3"/>
  <c r="F22" i="3"/>
  <c r="N22" i="3" s="1"/>
  <c r="U22" i="3" s="1"/>
  <c r="G22" i="3"/>
  <c r="H22" i="3"/>
  <c r="P22" i="3" s="1"/>
  <c r="W22" i="3" s="1"/>
  <c r="J22" i="3"/>
  <c r="R22" i="3" s="1"/>
  <c r="Y22" i="3" s="1"/>
  <c r="L22" i="3"/>
  <c r="M22" i="3"/>
  <c r="E23" i="3"/>
  <c r="F23" i="3"/>
  <c r="N23" i="3" s="1"/>
  <c r="G23" i="3"/>
  <c r="H23" i="3"/>
  <c r="P23" i="3" s="1"/>
  <c r="J23" i="3"/>
  <c r="R23" i="3" s="1"/>
  <c r="Y23" i="3" s="1"/>
  <c r="L23" i="3"/>
  <c r="M23" i="3"/>
  <c r="E24" i="3"/>
  <c r="F24" i="3"/>
  <c r="N24" i="3" s="1"/>
  <c r="U24" i="3" s="1"/>
  <c r="G24" i="3"/>
  <c r="H24" i="3"/>
  <c r="P24" i="3" s="1"/>
  <c r="W24" i="3" s="1"/>
  <c r="J24" i="3"/>
  <c r="R24" i="3" s="1"/>
  <c r="Y24" i="3" s="1"/>
  <c r="L24" i="3"/>
  <c r="M24" i="3"/>
  <c r="E25" i="3"/>
  <c r="F25" i="3"/>
  <c r="N25" i="3" s="1"/>
  <c r="G25" i="3"/>
  <c r="O25" i="3" s="1"/>
  <c r="V25" i="3" s="1"/>
  <c r="H25" i="3"/>
  <c r="P25" i="3" s="1"/>
  <c r="J25" i="3"/>
  <c r="L25" i="3"/>
  <c r="M25" i="3"/>
  <c r="E26" i="3"/>
  <c r="F26" i="3"/>
  <c r="N26" i="3" s="1"/>
  <c r="U26" i="3" s="1"/>
  <c r="G26" i="3"/>
  <c r="H26" i="3"/>
  <c r="P26" i="3" s="1"/>
  <c r="W26" i="3" s="1"/>
  <c r="J26" i="3"/>
  <c r="R26" i="3" s="1"/>
  <c r="Y26" i="3" s="1"/>
  <c r="L26" i="3"/>
  <c r="M26" i="3"/>
  <c r="E27" i="3"/>
  <c r="F27" i="3"/>
  <c r="N27" i="3" s="1"/>
  <c r="G27" i="3"/>
  <c r="H27" i="3"/>
  <c r="P27" i="3" s="1"/>
  <c r="J27" i="3"/>
  <c r="R27" i="3" s="1"/>
  <c r="Y27" i="3" s="1"/>
  <c r="L27" i="3"/>
  <c r="M27" i="3"/>
  <c r="E28" i="3"/>
  <c r="F28" i="3"/>
  <c r="N28" i="3" s="1"/>
  <c r="U28" i="3" s="1"/>
  <c r="G28" i="3"/>
  <c r="H28" i="3"/>
  <c r="P28" i="3" s="1"/>
  <c r="W28" i="3" s="1"/>
  <c r="J28" i="3"/>
  <c r="R28" i="3" s="1"/>
  <c r="Y28" i="3" s="1"/>
  <c r="L28" i="3"/>
  <c r="M28" i="3"/>
  <c r="E29" i="3"/>
  <c r="F29" i="3"/>
  <c r="N29" i="3" s="1"/>
  <c r="G29" i="3"/>
  <c r="O29" i="3" s="1"/>
  <c r="V29" i="3" s="1"/>
  <c r="H29" i="3"/>
  <c r="P29" i="3" s="1"/>
  <c r="J29" i="3"/>
  <c r="R29" i="3" s="1"/>
  <c r="Y29" i="3" s="1"/>
  <c r="L29" i="3"/>
  <c r="M29" i="3"/>
  <c r="E30" i="3"/>
  <c r="F30" i="3"/>
  <c r="N30" i="3" s="1"/>
  <c r="U30" i="3" s="1"/>
  <c r="G30" i="3"/>
  <c r="H30" i="3"/>
  <c r="P30" i="3" s="1"/>
  <c r="W30" i="3" s="1"/>
  <c r="J30" i="3"/>
  <c r="R30" i="3" s="1"/>
  <c r="Y30" i="3" s="1"/>
  <c r="L30" i="3"/>
  <c r="M30" i="3"/>
  <c r="E31" i="3"/>
  <c r="F31" i="3"/>
  <c r="N31" i="3" s="1"/>
  <c r="G31" i="3"/>
  <c r="H31" i="3"/>
  <c r="P31" i="3" s="1"/>
  <c r="J31" i="3"/>
  <c r="R31" i="3" s="1"/>
  <c r="Y31" i="3" s="1"/>
  <c r="L31" i="3"/>
  <c r="M31" i="3"/>
  <c r="E32" i="3"/>
  <c r="F32" i="3"/>
  <c r="N32" i="3" s="1"/>
  <c r="U32" i="3" s="1"/>
  <c r="G32" i="3"/>
  <c r="H32" i="3"/>
  <c r="P32" i="3" s="1"/>
  <c r="W32" i="3" s="1"/>
  <c r="J32" i="3"/>
  <c r="R32" i="3" s="1"/>
  <c r="Y32" i="3" s="1"/>
  <c r="L32" i="3"/>
  <c r="M32" i="3"/>
  <c r="E33" i="3"/>
  <c r="F33" i="3"/>
  <c r="N33" i="3" s="1"/>
  <c r="G33" i="3"/>
  <c r="O33" i="3" s="1"/>
  <c r="V33" i="3" s="1"/>
  <c r="H33" i="3"/>
  <c r="P33" i="3" s="1"/>
  <c r="J33" i="3"/>
  <c r="R33" i="3" s="1"/>
  <c r="Y33" i="3" s="1"/>
  <c r="L33" i="3"/>
  <c r="M33" i="3"/>
  <c r="E34" i="3"/>
  <c r="F34" i="3"/>
  <c r="N34" i="3" s="1"/>
  <c r="U34" i="3" s="1"/>
  <c r="G34" i="3"/>
  <c r="H34" i="3"/>
  <c r="P34" i="3" s="1"/>
  <c r="W34" i="3" s="1"/>
  <c r="J34" i="3"/>
  <c r="R34" i="3" s="1"/>
  <c r="Y34" i="3" s="1"/>
  <c r="L34" i="3"/>
  <c r="M34" i="3"/>
  <c r="E35" i="3"/>
  <c r="F35" i="3"/>
  <c r="N35" i="3" s="1"/>
  <c r="G35" i="3"/>
  <c r="O35" i="3" s="1"/>
  <c r="V35" i="3" s="1"/>
  <c r="H35" i="3"/>
  <c r="P35" i="3" s="1"/>
  <c r="J35" i="3"/>
  <c r="R35" i="3" s="1"/>
  <c r="Y35" i="3" s="1"/>
  <c r="L35" i="3"/>
  <c r="M35" i="3"/>
  <c r="E36" i="3"/>
  <c r="F36" i="3"/>
  <c r="N36" i="3" s="1"/>
  <c r="U36" i="3" s="1"/>
  <c r="G36" i="3"/>
  <c r="H36" i="3"/>
  <c r="P36" i="3" s="1"/>
  <c r="W36" i="3" s="1"/>
  <c r="J36" i="3"/>
  <c r="R36" i="3" s="1"/>
  <c r="Y36" i="3" s="1"/>
  <c r="L36" i="3"/>
  <c r="M36" i="3"/>
  <c r="E37" i="3"/>
  <c r="F37" i="3"/>
  <c r="N37" i="3" s="1"/>
  <c r="G37" i="3"/>
  <c r="O37" i="3" s="1"/>
  <c r="V37" i="3" s="1"/>
  <c r="H37" i="3"/>
  <c r="P37" i="3" s="1"/>
  <c r="J37" i="3"/>
  <c r="R37" i="3" s="1"/>
  <c r="Y37" i="3" s="1"/>
  <c r="L37" i="3"/>
  <c r="M37" i="3"/>
  <c r="E38" i="3"/>
  <c r="F38" i="3"/>
  <c r="N38" i="3" s="1"/>
  <c r="U38" i="3" s="1"/>
  <c r="G38" i="3"/>
  <c r="H38" i="3"/>
  <c r="P38" i="3" s="1"/>
  <c r="W38" i="3" s="1"/>
  <c r="J38" i="3"/>
  <c r="R38" i="3" s="1"/>
  <c r="Y38" i="3" s="1"/>
  <c r="L38" i="3"/>
  <c r="M38" i="3"/>
  <c r="E39" i="3"/>
  <c r="F39" i="3"/>
  <c r="N39" i="3" s="1"/>
  <c r="G39" i="3"/>
  <c r="O39" i="3" s="1"/>
  <c r="V39" i="3" s="1"/>
  <c r="H39" i="3"/>
  <c r="P39" i="3" s="1"/>
  <c r="J39" i="3"/>
  <c r="R39" i="3" s="1"/>
  <c r="Y39" i="3" s="1"/>
  <c r="L39" i="3"/>
  <c r="M39" i="3"/>
  <c r="E40" i="3"/>
  <c r="F40" i="3"/>
  <c r="N40" i="3" s="1"/>
  <c r="U40" i="3" s="1"/>
  <c r="G40" i="3"/>
  <c r="H40" i="3"/>
  <c r="P40" i="3" s="1"/>
  <c r="W40" i="3" s="1"/>
  <c r="J40" i="3"/>
  <c r="R40" i="3" s="1"/>
  <c r="Y40" i="3" s="1"/>
  <c r="L40" i="3"/>
  <c r="M40" i="3"/>
  <c r="E5" i="2"/>
  <c r="F5" i="2"/>
  <c r="N5" i="2" s="1"/>
  <c r="G5" i="2"/>
  <c r="P5" i="2"/>
  <c r="R5" i="2"/>
  <c r="Y5" i="2" s="1"/>
  <c r="L5" i="2"/>
  <c r="E6" i="2"/>
  <c r="F6" i="2"/>
  <c r="N6" i="2" s="1"/>
  <c r="U6" i="2" s="1"/>
  <c r="G6" i="2"/>
  <c r="H6" i="2"/>
  <c r="P6" i="2" s="1"/>
  <c r="W6" i="2" s="1"/>
  <c r="J6" i="2"/>
  <c r="R6" i="2" s="1"/>
  <c r="L6" i="2"/>
  <c r="M6" i="2"/>
  <c r="E7" i="2"/>
  <c r="F7" i="2"/>
  <c r="N7" i="2" s="1"/>
  <c r="G7" i="2"/>
  <c r="O7" i="2" s="1"/>
  <c r="V7" i="2" s="1"/>
  <c r="H7" i="2"/>
  <c r="P7" i="2" s="1"/>
  <c r="J7" i="2"/>
  <c r="R7" i="2" s="1"/>
  <c r="Y7" i="2" s="1"/>
  <c r="L7" i="2"/>
  <c r="M7" i="2"/>
  <c r="E8" i="2"/>
  <c r="F8" i="2"/>
  <c r="N8" i="2" s="1"/>
  <c r="U8" i="2" s="1"/>
  <c r="G8" i="2"/>
  <c r="H8" i="2"/>
  <c r="P8" i="2" s="1"/>
  <c r="W8" i="2" s="1"/>
  <c r="J8" i="2"/>
  <c r="R8" i="2" s="1"/>
  <c r="Y8" i="2" s="1"/>
  <c r="L8" i="2"/>
  <c r="M8" i="2"/>
  <c r="E9" i="2"/>
  <c r="F9" i="2"/>
  <c r="N9" i="2" s="1"/>
  <c r="G9" i="2"/>
  <c r="H9" i="2"/>
  <c r="P9" i="2" s="1"/>
  <c r="J9" i="2"/>
  <c r="R9" i="2" s="1"/>
  <c r="Y9" i="2" s="1"/>
  <c r="L9" i="2"/>
  <c r="M9" i="2"/>
  <c r="E10" i="2"/>
  <c r="F10" i="2"/>
  <c r="N10" i="2" s="1"/>
  <c r="U10" i="2" s="1"/>
  <c r="G10" i="2"/>
  <c r="P10" i="2"/>
  <c r="W10" i="2" s="1"/>
  <c r="R10" i="2"/>
  <c r="Y10" i="2" s="1"/>
  <c r="L10" i="2"/>
  <c r="E11" i="2"/>
  <c r="F11" i="2"/>
  <c r="N11" i="2" s="1"/>
  <c r="G11" i="2"/>
  <c r="O11" i="2" s="1"/>
  <c r="V11" i="2" s="1"/>
  <c r="H11" i="2"/>
  <c r="P11" i="2" s="1"/>
  <c r="J11" i="2"/>
  <c r="R11" i="2" s="1"/>
  <c r="Y11" i="2" s="1"/>
  <c r="L11" i="2"/>
  <c r="M11" i="2"/>
  <c r="E12" i="2"/>
  <c r="F12" i="2"/>
  <c r="N12" i="2" s="1"/>
  <c r="U12" i="2" s="1"/>
  <c r="G12" i="2"/>
  <c r="H12" i="2"/>
  <c r="P12" i="2" s="1"/>
  <c r="W12" i="2" s="1"/>
  <c r="J12" i="2"/>
  <c r="L12" i="2"/>
  <c r="M12" i="2"/>
  <c r="E13" i="2"/>
  <c r="F13" i="2"/>
  <c r="N13" i="2" s="1"/>
  <c r="G13" i="2"/>
  <c r="O13" i="2" s="1"/>
  <c r="V13" i="2" s="1"/>
  <c r="H13" i="2"/>
  <c r="P13" i="2" s="1"/>
  <c r="J13" i="2"/>
  <c r="R13" i="2" s="1"/>
  <c r="Y13" i="2" s="1"/>
  <c r="L13" i="2"/>
  <c r="M13" i="2"/>
  <c r="E14" i="2"/>
  <c r="F14" i="2"/>
  <c r="N14" i="2" s="1"/>
  <c r="U14" i="2" s="1"/>
  <c r="G14" i="2"/>
  <c r="H14" i="2"/>
  <c r="P14" i="2" s="1"/>
  <c r="W14" i="2" s="1"/>
  <c r="J14" i="2"/>
  <c r="R14" i="2" s="1"/>
  <c r="Y14" i="2" s="1"/>
  <c r="L14" i="2"/>
  <c r="M14" i="2"/>
  <c r="E15" i="2"/>
  <c r="F15" i="2"/>
  <c r="N15" i="2" s="1"/>
  <c r="G15" i="2"/>
  <c r="O15" i="2" s="1"/>
  <c r="V15" i="2" s="1"/>
  <c r="H15" i="2"/>
  <c r="P15" i="2" s="1"/>
  <c r="J15" i="2"/>
  <c r="R15" i="2" s="1"/>
  <c r="Y15" i="2" s="1"/>
  <c r="L15" i="2"/>
  <c r="M15" i="2"/>
  <c r="E16" i="2"/>
  <c r="F16" i="2"/>
  <c r="N16" i="2" s="1"/>
  <c r="U16" i="2" s="1"/>
  <c r="G16" i="2"/>
  <c r="H16" i="2"/>
  <c r="P16" i="2" s="1"/>
  <c r="W16" i="2" s="1"/>
  <c r="J16" i="2"/>
  <c r="R16" i="2" s="1"/>
  <c r="Y16" i="2" s="1"/>
  <c r="L16" i="2"/>
  <c r="M16" i="2"/>
  <c r="E17" i="2"/>
  <c r="F17" i="2"/>
  <c r="N17" i="2" s="1"/>
  <c r="G17" i="2"/>
  <c r="H17" i="2"/>
  <c r="P17" i="2" s="1"/>
  <c r="J17" i="2"/>
  <c r="R17" i="2" s="1"/>
  <c r="Y17" i="2" s="1"/>
  <c r="L17" i="2"/>
  <c r="M17" i="2"/>
  <c r="E18" i="2"/>
  <c r="F18" i="2"/>
  <c r="N18" i="2" s="1"/>
  <c r="U18" i="2" s="1"/>
  <c r="G18" i="2"/>
  <c r="H18" i="2"/>
  <c r="P18" i="2" s="1"/>
  <c r="W18" i="2" s="1"/>
  <c r="J18" i="2"/>
  <c r="R18" i="2" s="1"/>
  <c r="Y18" i="2" s="1"/>
  <c r="L18" i="2"/>
  <c r="M18" i="2"/>
  <c r="E19" i="2"/>
  <c r="F19" i="2"/>
  <c r="N19" i="2" s="1"/>
  <c r="G19" i="2"/>
  <c r="O19" i="2" s="1"/>
  <c r="V19" i="2" s="1"/>
  <c r="H19" i="2"/>
  <c r="P19" i="2" s="1"/>
  <c r="J19" i="2"/>
  <c r="L19" i="2"/>
  <c r="M19" i="2"/>
  <c r="E20" i="2"/>
  <c r="F20" i="2"/>
  <c r="N20" i="2" s="1"/>
  <c r="U20" i="2" s="1"/>
  <c r="G20" i="2"/>
  <c r="H20" i="2"/>
  <c r="P20" i="2" s="1"/>
  <c r="W20" i="2" s="1"/>
  <c r="J20" i="2"/>
  <c r="R20" i="2" s="1"/>
  <c r="Y20" i="2" s="1"/>
  <c r="L20" i="2"/>
  <c r="M20" i="2"/>
  <c r="E21" i="2"/>
  <c r="F21" i="2"/>
  <c r="N21" i="2" s="1"/>
  <c r="G21" i="2"/>
  <c r="O21" i="2" s="1"/>
  <c r="V21" i="2" s="1"/>
  <c r="H21" i="2"/>
  <c r="P21" i="2" s="1"/>
  <c r="J21" i="2"/>
  <c r="R21" i="2" s="1"/>
  <c r="Y21" i="2" s="1"/>
  <c r="L21" i="2"/>
  <c r="M21" i="2"/>
  <c r="E22" i="2"/>
  <c r="F22" i="2"/>
  <c r="N22" i="2" s="1"/>
  <c r="U22" i="2" s="1"/>
  <c r="G22" i="2"/>
  <c r="H22" i="2"/>
  <c r="P22" i="2" s="1"/>
  <c r="W22" i="2" s="1"/>
  <c r="J22" i="2"/>
  <c r="R22" i="2" s="1"/>
  <c r="Y22" i="2" s="1"/>
  <c r="L22" i="2"/>
  <c r="M22" i="2"/>
  <c r="E23" i="2"/>
  <c r="F23" i="2"/>
  <c r="N23" i="2" s="1"/>
  <c r="G23" i="2"/>
  <c r="O23" i="2" s="1"/>
  <c r="V23" i="2" s="1"/>
  <c r="H23" i="2"/>
  <c r="P23" i="2" s="1"/>
  <c r="J23" i="2"/>
  <c r="R23" i="2" s="1"/>
  <c r="Y23" i="2" s="1"/>
  <c r="L23" i="2"/>
  <c r="M23" i="2"/>
  <c r="E24" i="2"/>
  <c r="F24" i="2"/>
  <c r="N24" i="2" s="1"/>
  <c r="U24" i="2" s="1"/>
  <c r="G24" i="2"/>
  <c r="H24" i="2"/>
  <c r="P24" i="2" s="1"/>
  <c r="W24" i="2" s="1"/>
  <c r="J24" i="2"/>
  <c r="R24" i="2" s="1"/>
  <c r="Y24" i="2" s="1"/>
  <c r="L24" i="2"/>
  <c r="M24" i="2"/>
  <c r="E25" i="2"/>
  <c r="F25" i="2"/>
  <c r="N25" i="2" s="1"/>
  <c r="G25" i="2"/>
  <c r="H25" i="2"/>
  <c r="P25" i="2" s="1"/>
  <c r="J25" i="2"/>
  <c r="R25" i="2" s="1"/>
  <c r="Y25" i="2" s="1"/>
  <c r="L25" i="2"/>
  <c r="M25" i="2"/>
  <c r="E26" i="2"/>
  <c r="F26" i="2"/>
  <c r="N26" i="2" s="1"/>
  <c r="U26" i="2" s="1"/>
  <c r="G26" i="2"/>
  <c r="H26" i="2"/>
  <c r="P26" i="2" s="1"/>
  <c r="W26" i="2" s="1"/>
  <c r="J26" i="2"/>
  <c r="R26" i="2" s="1"/>
  <c r="Y26" i="2" s="1"/>
  <c r="L26" i="2"/>
  <c r="M26" i="2"/>
  <c r="E27" i="2"/>
  <c r="F27" i="2"/>
  <c r="N27" i="2" s="1"/>
  <c r="G27" i="2"/>
  <c r="O27" i="2" s="1"/>
  <c r="V27" i="2" s="1"/>
  <c r="H27" i="2"/>
  <c r="P27" i="2" s="1"/>
  <c r="J27" i="2"/>
  <c r="R27" i="2" s="1"/>
  <c r="Y27" i="2" s="1"/>
  <c r="L27" i="2"/>
  <c r="M27" i="2"/>
  <c r="E28" i="2"/>
  <c r="F28" i="2"/>
  <c r="N28" i="2" s="1"/>
  <c r="U28" i="2" s="1"/>
  <c r="G28" i="2"/>
  <c r="H28" i="2"/>
  <c r="P28" i="2" s="1"/>
  <c r="W28" i="2" s="1"/>
  <c r="J28" i="2"/>
  <c r="R28" i="2" s="1"/>
  <c r="Y28" i="2" s="1"/>
  <c r="L28" i="2"/>
  <c r="M28" i="2"/>
  <c r="E29" i="2"/>
  <c r="F29" i="2"/>
  <c r="N29" i="2" s="1"/>
  <c r="G29" i="2"/>
  <c r="O29" i="2" s="1"/>
  <c r="V29" i="2" s="1"/>
  <c r="H29" i="2"/>
  <c r="P29" i="2" s="1"/>
  <c r="J29" i="2"/>
  <c r="R29" i="2" s="1"/>
  <c r="Y29" i="2" s="1"/>
  <c r="L29" i="2"/>
  <c r="M29" i="2"/>
  <c r="E30" i="2"/>
  <c r="F30" i="2"/>
  <c r="N30" i="2" s="1"/>
  <c r="U30" i="2" s="1"/>
  <c r="G30" i="2"/>
  <c r="H30" i="2"/>
  <c r="P30" i="2" s="1"/>
  <c r="W30" i="2" s="1"/>
  <c r="J30" i="2"/>
  <c r="R30" i="2" s="1"/>
  <c r="Y30" i="2" s="1"/>
  <c r="L30" i="2"/>
  <c r="M30" i="2"/>
  <c r="E31" i="2"/>
  <c r="F31" i="2"/>
  <c r="N31" i="2" s="1"/>
  <c r="G31" i="2"/>
  <c r="H31" i="2"/>
  <c r="P31" i="2" s="1"/>
  <c r="J31" i="2"/>
  <c r="R31" i="2" s="1"/>
  <c r="Y31" i="2" s="1"/>
  <c r="L31" i="2"/>
  <c r="M31" i="2"/>
  <c r="E32" i="2"/>
  <c r="F32" i="2"/>
  <c r="N32" i="2" s="1"/>
  <c r="U32" i="2" s="1"/>
  <c r="G32" i="2"/>
  <c r="H32" i="2"/>
  <c r="P32" i="2" s="1"/>
  <c r="W32" i="2" s="1"/>
  <c r="J32" i="2"/>
  <c r="R32" i="2" s="1"/>
  <c r="Y32" i="2" s="1"/>
  <c r="L32" i="2"/>
  <c r="M32" i="2"/>
  <c r="E33" i="2"/>
  <c r="F33" i="2"/>
  <c r="N33" i="2" s="1"/>
  <c r="G33" i="2"/>
  <c r="H33" i="2"/>
  <c r="P33" i="2" s="1"/>
  <c r="J33" i="2"/>
  <c r="R33" i="2" s="1"/>
  <c r="Y33" i="2" s="1"/>
  <c r="L33" i="2"/>
  <c r="M33" i="2"/>
  <c r="E34" i="2"/>
  <c r="F34" i="2"/>
  <c r="N34" i="2" s="1"/>
  <c r="U34" i="2" s="1"/>
  <c r="G34" i="2"/>
  <c r="H34" i="2"/>
  <c r="P34" i="2" s="1"/>
  <c r="W34" i="2" s="1"/>
  <c r="J34" i="2"/>
  <c r="R34" i="2" s="1"/>
  <c r="Y34" i="2" s="1"/>
  <c r="L34" i="2"/>
  <c r="M34" i="2"/>
  <c r="E35" i="2"/>
  <c r="F35" i="2"/>
  <c r="N35" i="2" s="1"/>
  <c r="G35" i="2"/>
  <c r="H35" i="2"/>
  <c r="P35" i="2" s="1"/>
  <c r="J35" i="2"/>
  <c r="R35" i="2" s="1"/>
  <c r="Y35" i="2" s="1"/>
  <c r="L35" i="2"/>
  <c r="M35" i="2"/>
  <c r="E36" i="2"/>
  <c r="F36" i="2"/>
  <c r="N36" i="2" s="1"/>
  <c r="U36" i="2" s="1"/>
  <c r="G36" i="2"/>
  <c r="H36" i="2"/>
  <c r="P36" i="2" s="1"/>
  <c r="W36" i="2" s="1"/>
  <c r="J36" i="2"/>
  <c r="R36" i="2" s="1"/>
  <c r="Y36" i="2" s="1"/>
  <c r="L36" i="2"/>
  <c r="M36" i="2"/>
  <c r="E37" i="2"/>
  <c r="F37" i="2"/>
  <c r="N37" i="2" s="1"/>
  <c r="G37" i="2"/>
  <c r="O37" i="2" s="1"/>
  <c r="V37" i="2" s="1"/>
  <c r="H37" i="2"/>
  <c r="P37" i="2" s="1"/>
  <c r="J37" i="2"/>
  <c r="R37" i="2" s="1"/>
  <c r="Y37" i="2" s="1"/>
  <c r="L37" i="2"/>
  <c r="M37" i="2"/>
  <c r="E38" i="2"/>
  <c r="F38" i="2"/>
  <c r="N38" i="2" s="1"/>
  <c r="U38" i="2" s="1"/>
  <c r="G38" i="2"/>
  <c r="H38" i="2"/>
  <c r="P38" i="2" s="1"/>
  <c r="W38" i="2" s="1"/>
  <c r="J38" i="2"/>
  <c r="R38" i="2" s="1"/>
  <c r="Y38" i="2" s="1"/>
  <c r="L38" i="2"/>
  <c r="M38" i="2"/>
  <c r="E39" i="2"/>
  <c r="F39" i="2"/>
  <c r="N39" i="2" s="1"/>
  <c r="G39" i="2"/>
  <c r="O39" i="2" s="1"/>
  <c r="V39" i="2" s="1"/>
  <c r="H39" i="2"/>
  <c r="P39" i="2" s="1"/>
  <c r="J39" i="2"/>
  <c r="R39" i="2" s="1"/>
  <c r="Y39" i="2" s="1"/>
  <c r="L39" i="2"/>
  <c r="M39" i="2"/>
  <c r="E40" i="2"/>
  <c r="F40" i="2"/>
  <c r="N40" i="2" s="1"/>
  <c r="U40" i="2" s="1"/>
  <c r="G40" i="2"/>
  <c r="H40" i="2"/>
  <c r="P40" i="2" s="1"/>
  <c r="W40" i="2" s="1"/>
  <c r="J40" i="2"/>
  <c r="R40" i="2" s="1"/>
  <c r="Y40" i="2" s="1"/>
  <c r="L40" i="2"/>
  <c r="M40" i="2"/>
  <c r="S22" i="1"/>
  <c r="T22" i="1" s="1"/>
  <c r="F25" i="1"/>
  <c r="N25" i="1" s="1"/>
  <c r="L25" i="1"/>
  <c r="E26" i="1"/>
  <c r="F26" i="1"/>
  <c r="N26" i="1" s="1"/>
  <c r="G26" i="1"/>
  <c r="O26" i="1" s="1"/>
  <c r="H26" i="1"/>
  <c r="P26" i="1" s="1"/>
  <c r="J26" i="1"/>
  <c r="R26" i="1" s="1"/>
  <c r="L26" i="1"/>
  <c r="M26" i="1"/>
  <c r="E28" i="1"/>
  <c r="F28" i="1"/>
  <c r="N28" i="1" s="1"/>
  <c r="N42" i="18" s="1"/>
  <c r="G28" i="1"/>
  <c r="O28" i="1" s="1"/>
  <c r="H28" i="1"/>
  <c r="P28" i="1" s="1"/>
  <c r="P42" i="18" s="1"/>
  <c r="J28" i="1"/>
  <c r="R28" i="1" s="1"/>
  <c r="K28" i="1"/>
  <c r="L28" i="1"/>
  <c r="M28" i="1"/>
  <c r="R12" i="2" l="1"/>
  <c r="Y12" i="2" s="1"/>
  <c r="R20" i="3"/>
  <c r="Y20" i="3" s="1"/>
  <c r="R19" i="2"/>
  <c r="Y19" i="2" s="1"/>
  <c r="E9" i="1"/>
  <c r="G25" i="1"/>
  <c r="O25" i="1" s="1"/>
  <c r="H25" i="1"/>
  <c r="P25" i="1" s="1"/>
  <c r="G9" i="1"/>
  <c r="O9" i="1" s="1"/>
  <c r="V9" i="1" s="1"/>
  <c r="L15" i="1"/>
  <c r="S12" i="9"/>
  <c r="T12" i="9" s="1"/>
  <c r="M15" i="1"/>
  <c r="J25" i="1"/>
  <c r="R25" i="1" s="1"/>
  <c r="M9" i="1"/>
  <c r="N39" i="6"/>
  <c r="U39" i="6" s="1"/>
  <c r="G41" i="18"/>
  <c r="G42" i="18" s="1"/>
  <c r="G43" i="18" s="1"/>
  <c r="N39" i="5"/>
  <c r="U39" i="5" s="1"/>
  <c r="S37" i="5"/>
  <c r="T37" i="5" s="1"/>
  <c r="F41" i="11"/>
  <c r="Y36" i="18"/>
  <c r="N5" i="18"/>
  <c r="U5" i="18" s="1"/>
  <c r="R5" i="18"/>
  <c r="Y5" i="18" s="1"/>
  <c r="S17" i="6"/>
  <c r="T17" i="6" s="1"/>
  <c r="S5" i="5"/>
  <c r="T5" i="5" s="1"/>
  <c r="Y17" i="6"/>
  <c r="S10" i="10"/>
  <c r="T10" i="10" s="1"/>
  <c r="S12" i="11"/>
  <c r="T12" i="11" s="1"/>
  <c r="S13" i="16"/>
  <c r="T13" i="16" s="1"/>
  <c r="E42" i="11"/>
  <c r="E43" i="11" s="1"/>
  <c r="E15" i="1"/>
  <c r="S37" i="16"/>
  <c r="T37" i="16" s="1"/>
  <c r="S39" i="17"/>
  <c r="T39" i="17" s="1"/>
  <c r="S29" i="16"/>
  <c r="T29" i="16" s="1"/>
  <c r="S21" i="5"/>
  <c r="T21" i="5" s="1"/>
  <c r="S16" i="8"/>
  <c r="T16" i="8" s="1"/>
  <c r="S26" i="10"/>
  <c r="T26" i="10" s="1"/>
  <c r="S28" i="18"/>
  <c r="T28" i="18" s="1"/>
  <c r="S21" i="18"/>
  <c r="T21" i="18" s="1"/>
  <c r="V21" i="5"/>
  <c r="S5" i="6"/>
  <c r="T5" i="6" s="1"/>
  <c r="V26" i="10"/>
  <c r="S28" i="11"/>
  <c r="T28" i="11" s="1"/>
  <c r="S21" i="16"/>
  <c r="T21" i="16" s="1"/>
  <c r="E42" i="6"/>
  <c r="E43" i="6" s="1"/>
  <c r="E10" i="1"/>
  <c r="S13" i="5"/>
  <c r="T13" i="5" s="1"/>
  <c r="S33" i="6"/>
  <c r="T33" i="6" s="1"/>
  <c r="S25" i="6"/>
  <c r="T25" i="6" s="1"/>
  <c r="S20" i="9"/>
  <c r="T20" i="9" s="1"/>
  <c r="S36" i="11"/>
  <c r="T36" i="11" s="1"/>
  <c r="S31" i="16"/>
  <c r="T31" i="16" s="1"/>
  <c r="S25" i="16"/>
  <c r="T25" i="16" s="1"/>
  <c r="S15" i="16"/>
  <c r="T15" i="16" s="1"/>
  <c r="S9" i="16"/>
  <c r="T9" i="16" s="1"/>
  <c r="S17" i="17"/>
  <c r="T17" i="17" s="1"/>
  <c r="S38" i="18"/>
  <c r="T38" i="18" s="1"/>
  <c r="S32" i="18"/>
  <c r="T32" i="18" s="1"/>
  <c r="S25" i="18"/>
  <c r="T25" i="18" s="1"/>
  <c r="S15" i="18"/>
  <c r="T15" i="18" s="1"/>
  <c r="S9" i="18"/>
  <c r="T9" i="18" s="1"/>
  <c r="S7" i="18"/>
  <c r="T7" i="18" s="1"/>
  <c r="S29" i="5"/>
  <c r="T29" i="5" s="1"/>
  <c r="V33" i="6"/>
  <c r="V25" i="6"/>
  <c r="S21" i="6"/>
  <c r="T21" i="6" s="1"/>
  <c r="S18" i="10"/>
  <c r="T18" i="10" s="1"/>
  <c r="S40" i="11"/>
  <c r="T40" i="11" s="1"/>
  <c r="V36" i="11"/>
  <c r="S20" i="11"/>
  <c r="T20" i="11" s="1"/>
  <c r="S39" i="16"/>
  <c r="T39" i="16" s="1"/>
  <c r="S33" i="16"/>
  <c r="T33" i="16" s="1"/>
  <c r="V25" i="16"/>
  <c r="S23" i="16"/>
  <c r="T23" i="16" s="1"/>
  <c r="S17" i="16"/>
  <c r="T17" i="16" s="1"/>
  <c r="S11" i="17"/>
  <c r="T11" i="17" s="1"/>
  <c r="V32" i="18"/>
  <c r="S30" i="18"/>
  <c r="T30" i="18" s="1"/>
  <c r="V25" i="18"/>
  <c r="S23" i="18"/>
  <c r="T23" i="18" s="1"/>
  <c r="S17" i="18"/>
  <c r="T17" i="18" s="1"/>
  <c r="V9" i="18"/>
  <c r="S33" i="5"/>
  <c r="T33" i="5" s="1"/>
  <c r="S23" i="5"/>
  <c r="T23" i="5" s="1"/>
  <c r="S17" i="5"/>
  <c r="T17" i="5" s="1"/>
  <c r="S7" i="5"/>
  <c r="T7" i="5" s="1"/>
  <c r="S37" i="6"/>
  <c r="T37" i="6" s="1"/>
  <c r="V33" i="5"/>
  <c r="S31" i="5"/>
  <c r="T31" i="5" s="1"/>
  <c r="S25" i="5"/>
  <c r="T25" i="5" s="1"/>
  <c r="V17" i="5"/>
  <c r="S15" i="5"/>
  <c r="T15" i="5" s="1"/>
  <c r="S9" i="5"/>
  <c r="T9" i="5" s="1"/>
  <c r="V37" i="6"/>
  <c r="S35" i="6"/>
  <c r="T35" i="6" s="1"/>
  <c r="S29" i="6"/>
  <c r="T29" i="6" s="1"/>
  <c r="S27" i="6"/>
  <c r="T27" i="6" s="1"/>
  <c r="S13" i="6"/>
  <c r="T13" i="6" s="1"/>
  <c r="S28" i="8"/>
  <c r="T28" i="8" s="1"/>
  <c r="W27" i="8"/>
  <c r="U26" i="8"/>
  <c r="W23" i="8"/>
  <c r="Y22" i="8"/>
  <c r="W21" i="8"/>
  <c r="U20" i="8"/>
  <c r="Y19" i="8"/>
  <c r="Y18" i="8"/>
  <c r="S18" i="8"/>
  <c r="T18" i="8" s="1"/>
  <c r="Y17" i="8"/>
  <c r="U16" i="8"/>
  <c r="Y15" i="8"/>
  <c r="U14" i="8"/>
  <c r="Y13" i="8"/>
  <c r="S12" i="8"/>
  <c r="T12" i="8" s="1"/>
  <c r="W11" i="8"/>
  <c r="U10" i="8"/>
  <c r="W7" i="8"/>
  <c r="Y6" i="8"/>
  <c r="W5" i="8"/>
  <c r="S28" i="9"/>
  <c r="T28" i="9" s="1"/>
  <c r="S24" i="9"/>
  <c r="T24" i="9" s="1"/>
  <c r="S14" i="9"/>
  <c r="T14" i="9" s="1"/>
  <c r="S8" i="9"/>
  <c r="T8" i="9" s="1"/>
  <c r="S28" i="10"/>
  <c r="T28" i="10" s="1"/>
  <c r="S22" i="10"/>
  <c r="T22" i="10" s="1"/>
  <c r="S12" i="10"/>
  <c r="T12" i="10" s="1"/>
  <c r="S6" i="10"/>
  <c r="T6" i="10" s="1"/>
  <c r="S30" i="11"/>
  <c r="T30" i="11" s="1"/>
  <c r="S24" i="11"/>
  <c r="T24" i="11" s="1"/>
  <c r="S14" i="11"/>
  <c r="T14" i="11" s="1"/>
  <c r="S8" i="11"/>
  <c r="T8" i="11" s="1"/>
  <c r="S9" i="6"/>
  <c r="T9" i="6" s="1"/>
  <c r="V28" i="8"/>
  <c r="U28" i="8"/>
  <c r="Y27" i="8"/>
  <c r="Y26" i="8"/>
  <c r="S26" i="8"/>
  <c r="T26" i="8" s="1"/>
  <c r="W25" i="8"/>
  <c r="Y25" i="8"/>
  <c r="Y24" i="8"/>
  <c r="S24" i="8"/>
  <c r="T24" i="8" s="1"/>
  <c r="U24" i="8"/>
  <c r="Y23" i="8"/>
  <c r="V22" i="8"/>
  <c r="U22" i="8"/>
  <c r="Y21" i="8"/>
  <c r="S20" i="8"/>
  <c r="T20" i="8" s="1"/>
  <c r="W19" i="8"/>
  <c r="U18" i="8"/>
  <c r="W15" i="8"/>
  <c r="Y14" i="8"/>
  <c r="W13" i="8"/>
  <c r="V12" i="8"/>
  <c r="U12" i="8"/>
  <c r="Y11" i="8"/>
  <c r="Y10" i="8"/>
  <c r="S10" i="8"/>
  <c r="T10" i="8" s="1"/>
  <c r="W9" i="8"/>
  <c r="Y9" i="8"/>
  <c r="Y8" i="8"/>
  <c r="S8" i="8"/>
  <c r="T8" i="8" s="1"/>
  <c r="U8" i="8"/>
  <c r="Y7" i="8"/>
  <c r="V6" i="8"/>
  <c r="U6" i="8"/>
  <c r="Y5" i="8"/>
  <c r="V28" i="9"/>
  <c r="S26" i="9"/>
  <c r="T26" i="9" s="1"/>
  <c r="V24" i="9"/>
  <c r="S22" i="9"/>
  <c r="T22" i="9" s="1"/>
  <c r="S16" i="9"/>
  <c r="T16" i="9" s="1"/>
  <c r="V8" i="9"/>
  <c r="S6" i="9"/>
  <c r="T6" i="9" s="1"/>
  <c r="V22" i="10"/>
  <c r="S20" i="10"/>
  <c r="T20" i="10" s="1"/>
  <c r="S14" i="10"/>
  <c r="T14" i="10" s="1"/>
  <c r="V6" i="10"/>
  <c r="S38" i="11"/>
  <c r="T38" i="11" s="1"/>
  <c r="S32" i="11"/>
  <c r="T32" i="11" s="1"/>
  <c r="V24" i="11"/>
  <c r="S22" i="11"/>
  <c r="T22" i="11" s="1"/>
  <c r="S16" i="11"/>
  <c r="T16" i="11" s="1"/>
  <c r="F41" i="16"/>
  <c r="F42" i="16" s="1"/>
  <c r="F43" i="16" s="1"/>
  <c r="K5" i="18"/>
  <c r="K41" i="18" s="1"/>
  <c r="U40" i="8"/>
  <c r="U39" i="8"/>
  <c r="Y38" i="8"/>
  <c r="U36" i="8"/>
  <c r="U35" i="8"/>
  <c r="U32" i="8"/>
  <c r="U31" i="8"/>
  <c r="W29" i="8"/>
  <c r="Y40" i="8"/>
  <c r="U37" i="8"/>
  <c r="Y36" i="8"/>
  <c r="U33" i="8"/>
  <c r="Y32" i="8"/>
  <c r="P30" i="8"/>
  <c r="S30" i="8" s="1"/>
  <c r="T30" i="8" s="1"/>
  <c r="Y29" i="8"/>
  <c r="V29" i="8"/>
  <c r="S35" i="17"/>
  <c r="T35" i="17" s="1"/>
  <c r="S30" i="17"/>
  <c r="T30" i="17" s="1"/>
  <c r="S28" i="17"/>
  <c r="T28" i="17" s="1"/>
  <c r="J41" i="16"/>
  <c r="M41" i="16"/>
  <c r="G41" i="16"/>
  <c r="E41" i="16"/>
  <c r="S19" i="6"/>
  <c r="T19" i="6" s="1"/>
  <c r="V26" i="8"/>
  <c r="S22" i="8"/>
  <c r="T22" i="8" s="1"/>
  <c r="V18" i="8"/>
  <c r="S14" i="8"/>
  <c r="T14" i="8" s="1"/>
  <c r="V10" i="8"/>
  <c r="S6" i="8"/>
  <c r="T6" i="8" s="1"/>
  <c r="V26" i="9"/>
  <c r="S35" i="5"/>
  <c r="T35" i="5" s="1"/>
  <c r="V31" i="5"/>
  <c r="S27" i="5"/>
  <c r="T27" i="5" s="1"/>
  <c r="V23" i="5"/>
  <c r="S19" i="5"/>
  <c r="T19" i="5" s="1"/>
  <c r="V15" i="5"/>
  <c r="S11" i="5"/>
  <c r="T11" i="5" s="1"/>
  <c r="V7" i="5"/>
  <c r="V35" i="6"/>
  <c r="S31" i="6"/>
  <c r="T31" i="6" s="1"/>
  <c r="S23" i="6"/>
  <c r="T23" i="6" s="1"/>
  <c r="S6" i="11"/>
  <c r="T6" i="11" s="1"/>
  <c r="V22" i="9"/>
  <c r="S18" i="9"/>
  <c r="T18" i="9" s="1"/>
  <c r="V14" i="9"/>
  <c r="S10" i="9"/>
  <c r="T10" i="9" s="1"/>
  <c r="V6" i="9"/>
  <c r="V28" i="10"/>
  <c r="S24" i="10"/>
  <c r="T24" i="10" s="1"/>
  <c r="V20" i="10"/>
  <c r="S16" i="10"/>
  <c r="T16" i="10" s="1"/>
  <c r="V12" i="10"/>
  <c r="S8" i="10"/>
  <c r="T8" i="10" s="1"/>
  <c r="V38" i="11"/>
  <c r="S34" i="11"/>
  <c r="T34" i="11" s="1"/>
  <c r="V30" i="11"/>
  <c r="S26" i="11"/>
  <c r="T26" i="11" s="1"/>
  <c r="V22" i="11"/>
  <c r="S18" i="11"/>
  <c r="T18" i="11" s="1"/>
  <c r="V14" i="11"/>
  <c r="S10" i="11"/>
  <c r="T10" i="11" s="1"/>
  <c r="V39" i="16"/>
  <c r="S35" i="16"/>
  <c r="T35" i="16" s="1"/>
  <c r="V31" i="16"/>
  <c r="S27" i="16"/>
  <c r="T27" i="16" s="1"/>
  <c r="V23" i="16"/>
  <c r="S19" i="16"/>
  <c r="T19" i="16" s="1"/>
  <c r="V15" i="16"/>
  <c r="S11" i="16"/>
  <c r="T11" i="16" s="1"/>
  <c r="S37" i="17"/>
  <c r="T37" i="17" s="1"/>
  <c r="S32" i="17"/>
  <c r="T32" i="17" s="1"/>
  <c r="V28" i="17"/>
  <c r="S25" i="17"/>
  <c r="T25" i="17" s="1"/>
  <c r="S23" i="17"/>
  <c r="T23" i="17" s="1"/>
  <c r="V17" i="17"/>
  <c r="V11" i="17"/>
  <c r="V38" i="18"/>
  <c r="S34" i="18"/>
  <c r="T34" i="18" s="1"/>
  <c r="V30" i="18"/>
  <c r="S27" i="18"/>
  <c r="T27" i="18" s="1"/>
  <c r="V23" i="18"/>
  <c r="S19" i="18"/>
  <c r="T19" i="18" s="1"/>
  <c r="V15" i="18"/>
  <c r="S11" i="18"/>
  <c r="T11" i="18" s="1"/>
  <c r="H41" i="5"/>
  <c r="G41" i="8"/>
  <c r="M41" i="14"/>
  <c r="F41" i="2"/>
  <c r="F42" i="2" s="1"/>
  <c r="F43" i="2" s="1"/>
  <c r="J41" i="6"/>
  <c r="F42" i="5"/>
  <c r="F43" i="5" s="1"/>
  <c r="F9" i="1"/>
  <c r="N9" i="1" s="1"/>
  <c r="U9" i="1" s="1"/>
  <c r="S11" i="13"/>
  <c r="T11" i="13" s="1"/>
  <c r="K9" i="2"/>
  <c r="K31" i="3"/>
  <c r="O9" i="2"/>
  <c r="V9" i="2" s="1"/>
  <c r="O31" i="3"/>
  <c r="V31" i="3" s="1"/>
  <c r="M42" i="6"/>
  <c r="M43" i="6" s="1"/>
  <c r="M10" i="1"/>
  <c r="G42" i="6"/>
  <c r="G43" i="6" s="1"/>
  <c r="G10" i="1"/>
  <c r="O10" i="1" s="1"/>
  <c r="V10" i="1" s="1"/>
  <c r="R39" i="13"/>
  <c r="Y39" i="13" s="1"/>
  <c r="K38" i="13"/>
  <c r="K25" i="3"/>
  <c r="F41" i="10"/>
  <c r="P37" i="13"/>
  <c r="W37" i="13" s="1"/>
  <c r="R32" i="13"/>
  <c r="Y32" i="13" s="1"/>
  <c r="O32" i="13"/>
  <c r="V32" i="13" s="1"/>
  <c r="S19" i="13"/>
  <c r="T19" i="13" s="1"/>
  <c r="M41" i="13"/>
  <c r="E41" i="13"/>
  <c r="K26" i="13"/>
  <c r="K24" i="13"/>
  <c r="K14" i="13"/>
  <c r="K10" i="13"/>
  <c r="S28" i="14"/>
  <c r="T28" i="14" s="1"/>
  <c r="G41" i="15"/>
  <c r="K34" i="15"/>
  <c r="L41" i="16"/>
  <c r="K9" i="17"/>
  <c r="L42" i="5"/>
  <c r="L43" i="5" s="1"/>
  <c r="L9" i="1"/>
  <c r="K17" i="2"/>
  <c r="G41" i="4"/>
  <c r="G8" i="1" s="1"/>
  <c r="O8" i="1" s="1"/>
  <c r="K12" i="4"/>
  <c r="S40" i="5"/>
  <c r="S38" i="5"/>
  <c r="T38" i="5" s="1"/>
  <c r="S34" i="5"/>
  <c r="S30" i="5"/>
  <c r="S26" i="5"/>
  <c r="S22" i="5"/>
  <c r="T22" i="5" s="1"/>
  <c r="S18" i="5"/>
  <c r="S14" i="5"/>
  <c r="S10" i="5"/>
  <c r="S6" i="5"/>
  <c r="T6" i="5" s="1"/>
  <c r="S40" i="6"/>
  <c r="S38" i="6"/>
  <c r="S34" i="6"/>
  <c r="S30" i="6"/>
  <c r="T30" i="6" s="1"/>
  <c r="S26" i="6"/>
  <c r="S22" i="6"/>
  <c r="S18" i="6"/>
  <c r="S15" i="6"/>
  <c r="T15" i="6" s="1"/>
  <c r="S14" i="6"/>
  <c r="S7" i="6"/>
  <c r="T7" i="6" s="1"/>
  <c r="S6" i="6"/>
  <c r="O17" i="2"/>
  <c r="V17" i="2" s="1"/>
  <c r="K8" i="4"/>
  <c r="S36" i="5"/>
  <c r="S32" i="5"/>
  <c r="S28" i="5"/>
  <c r="T28" i="5" s="1"/>
  <c r="S24" i="5"/>
  <c r="S20" i="5"/>
  <c r="S16" i="5"/>
  <c r="S12" i="5"/>
  <c r="T12" i="5" s="1"/>
  <c r="S8" i="5"/>
  <c r="S36" i="6"/>
  <c r="S32" i="6"/>
  <c r="S28" i="6"/>
  <c r="T28" i="6" s="1"/>
  <c r="S24" i="6"/>
  <c r="S20" i="6"/>
  <c r="V15" i="6"/>
  <c r="S11" i="6"/>
  <c r="T11" i="6" s="1"/>
  <c r="S10" i="6"/>
  <c r="V7" i="6"/>
  <c r="S21" i="8"/>
  <c r="T21" i="8" s="1"/>
  <c r="S17" i="8"/>
  <c r="S13" i="8"/>
  <c r="S9" i="8"/>
  <c r="T9" i="8" s="1"/>
  <c r="S5" i="8"/>
  <c r="T5" i="8" s="1"/>
  <c r="S25" i="9"/>
  <c r="T25" i="9" s="1"/>
  <c r="S21" i="9"/>
  <c r="T21" i="9" s="1"/>
  <c r="S17" i="9"/>
  <c r="S13" i="9"/>
  <c r="T13" i="9" s="1"/>
  <c r="S9" i="9"/>
  <c r="T9" i="9" s="1"/>
  <c r="S5" i="9"/>
  <c r="T5" i="9" s="1"/>
  <c r="S27" i="10"/>
  <c r="T27" i="10" s="1"/>
  <c r="S23" i="10"/>
  <c r="T23" i="10" s="1"/>
  <c r="S19" i="10"/>
  <c r="T19" i="10" s="1"/>
  <c r="S15" i="10"/>
  <c r="T15" i="10" s="1"/>
  <c r="S11" i="10"/>
  <c r="S7" i="10"/>
  <c r="T7" i="10" s="1"/>
  <c r="S37" i="11"/>
  <c r="T37" i="11" s="1"/>
  <c r="S33" i="11"/>
  <c r="S29" i="11"/>
  <c r="S25" i="11"/>
  <c r="S21" i="11"/>
  <c r="T21" i="11" s="1"/>
  <c r="S17" i="11"/>
  <c r="S13" i="11"/>
  <c r="S9" i="11"/>
  <c r="S36" i="14"/>
  <c r="T36" i="14" s="1"/>
  <c r="S20" i="14"/>
  <c r="T20" i="14" s="1"/>
  <c r="S16" i="6"/>
  <c r="S12" i="6"/>
  <c r="S8" i="6"/>
  <c r="T8" i="6" s="1"/>
  <c r="S19" i="8"/>
  <c r="T19" i="8" s="1"/>
  <c r="S15" i="8"/>
  <c r="S11" i="8"/>
  <c r="T11" i="8" s="1"/>
  <c r="S7" i="8"/>
  <c r="T7" i="8" s="1"/>
  <c r="F41" i="9"/>
  <c r="S27" i="9"/>
  <c r="S23" i="9"/>
  <c r="T23" i="9" s="1"/>
  <c r="S19" i="9"/>
  <c r="T19" i="9" s="1"/>
  <c r="S15" i="9"/>
  <c r="T15" i="9" s="1"/>
  <c r="S11" i="9"/>
  <c r="T11" i="9" s="1"/>
  <c r="S7" i="9"/>
  <c r="T7" i="9" s="1"/>
  <c r="S25" i="10"/>
  <c r="T25" i="10" s="1"/>
  <c r="S21" i="10"/>
  <c r="T21" i="10" s="1"/>
  <c r="S17" i="10"/>
  <c r="S13" i="10"/>
  <c r="T13" i="10" s="1"/>
  <c r="S9" i="10"/>
  <c r="T9" i="10" s="1"/>
  <c r="S5" i="10"/>
  <c r="T5" i="10" s="1"/>
  <c r="S39" i="11"/>
  <c r="S35" i="11"/>
  <c r="S31" i="11"/>
  <c r="T31" i="11" s="1"/>
  <c r="S27" i="11"/>
  <c r="S23" i="11"/>
  <c r="S19" i="11"/>
  <c r="S15" i="11"/>
  <c r="T15" i="11" s="1"/>
  <c r="S11" i="11"/>
  <c r="S7" i="11"/>
  <c r="J41" i="13"/>
  <c r="K39" i="14"/>
  <c r="E41" i="14"/>
  <c r="K23" i="14"/>
  <c r="S6" i="16"/>
  <c r="T6" i="16" s="1"/>
  <c r="S40" i="17"/>
  <c r="T40" i="17" s="1"/>
  <c r="S36" i="17"/>
  <c r="T36" i="17" s="1"/>
  <c r="S37" i="18"/>
  <c r="S33" i="18"/>
  <c r="S29" i="18"/>
  <c r="T29" i="18" s="1"/>
  <c r="S22" i="18"/>
  <c r="S18" i="18"/>
  <c r="H41" i="16"/>
  <c r="S38" i="17"/>
  <c r="T38" i="17" s="1"/>
  <c r="S34" i="17"/>
  <c r="T34" i="17" s="1"/>
  <c r="S39" i="18"/>
  <c r="S35" i="18"/>
  <c r="S31" i="18"/>
  <c r="T31" i="18" s="1"/>
  <c r="V27" i="18"/>
  <c r="S20" i="18"/>
  <c r="K33" i="2"/>
  <c r="O33" i="2"/>
  <c r="V33" i="2" s="1"/>
  <c r="V16" i="3"/>
  <c r="K25" i="2"/>
  <c r="K23" i="3"/>
  <c r="K10" i="3"/>
  <c r="L41" i="4"/>
  <c r="L8" i="1" s="1"/>
  <c r="K36" i="4"/>
  <c r="K28" i="4"/>
  <c r="K20" i="4"/>
  <c r="J41" i="5"/>
  <c r="J41" i="8"/>
  <c r="K38" i="8"/>
  <c r="E41" i="8"/>
  <c r="K30" i="8"/>
  <c r="K34" i="13"/>
  <c r="K30" i="13"/>
  <c r="K28" i="13"/>
  <c r="S27" i="13"/>
  <c r="T27" i="13" s="1"/>
  <c r="K22" i="13"/>
  <c r="S15" i="13"/>
  <c r="T15" i="13" s="1"/>
  <c r="S32" i="14"/>
  <c r="T32" i="14" s="1"/>
  <c r="S16" i="14"/>
  <c r="T16" i="14" s="1"/>
  <c r="S14" i="14"/>
  <c r="T14" i="14" s="1"/>
  <c r="M41" i="15"/>
  <c r="L41" i="2"/>
  <c r="L6" i="1" s="1"/>
  <c r="K37" i="2"/>
  <c r="K29" i="2"/>
  <c r="O25" i="2"/>
  <c r="V25" i="2" s="1"/>
  <c r="H41" i="3"/>
  <c r="O23" i="3"/>
  <c r="V23" i="3" s="1"/>
  <c r="K14" i="3"/>
  <c r="O10" i="3"/>
  <c r="V10" i="3" s="1"/>
  <c r="K6" i="3"/>
  <c r="K40" i="4"/>
  <c r="O36" i="4"/>
  <c r="V36" i="4" s="1"/>
  <c r="K32" i="4"/>
  <c r="O28" i="4"/>
  <c r="V28" i="4" s="1"/>
  <c r="K24" i="4"/>
  <c r="O20" i="4"/>
  <c r="V20" i="4" s="1"/>
  <c r="K34" i="8"/>
  <c r="K33" i="9"/>
  <c r="G41" i="13"/>
  <c r="S23" i="13"/>
  <c r="T23" i="13" s="1"/>
  <c r="K31" i="14"/>
  <c r="S24" i="14"/>
  <c r="T24" i="14" s="1"/>
  <c r="E41" i="15"/>
  <c r="K26" i="15"/>
  <c r="K20" i="15"/>
  <c r="K16" i="15"/>
  <c r="K12" i="15"/>
  <c r="K8" i="15"/>
  <c r="K10" i="17"/>
  <c r="W39" i="5"/>
  <c r="P41" i="5"/>
  <c r="W33" i="8"/>
  <c r="Y30" i="8"/>
  <c r="L42" i="6"/>
  <c r="L43" i="6" s="1"/>
  <c r="L10" i="1"/>
  <c r="F42" i="6"/>
  <c r="F43" i="6" s="1"/>
  <c r="F10" i="1"/>
  <c r="N10" i="1" s="1"/>
  <c r="W37" i="8"/>
  <c r="Y34" i="8"/>
  <c r="H41" i="2"/>
  <c r="H42" i="2" s="1"/>
  <c r="H43" i="2" s="1"/>
  <c r="M41" i="2"/>
  <c r="M42" i="2" s="1"/>
  <c r="M43" i="2" s="1"/>
  <c r="K21" i="2"/>
  <c r="K19" i="2"/>
  <c r="K5" i="2"/>
  <c r="F41" i="3"/>
  <c r="K27" i="3"/>
  <c r="E41" i="4"/>
  <c r="K37" i="9"/>
  <c r="K37" i="10"/>
  <c r="O37" i="10"/>
  <c r="V37" i="10" s="1"/>
  <c r="P29" i="10"/>
  <c r="W29" i="10" s="1"/>
  <c r="H41" i="10"/>
  <c r="K13" i="2"/>
  <c r="K11" i="2"/>
  <c r="O5" i="2"/>
  <c r="V5" i="2" s="1"/>
  <c r="M41" i="3"/>
  <c r="M7" i="1" s="1"/>
  <c r="K37" i="3"/>
  <c r="K35" i="3"/>
  <c r="K33" i="3"/>
  <c r="O27" i="3"/>
  <c r="V27" i="3" s="1"/>
  <c r="R25" i="3"/>
  <c r="Y25" i="3" s="1"/>
  <c r="K19" i="3"/>
  <c r="K17" i="3"/>
  <c r="M41" i="4"/>
  <c r="K16" i="4"/>
  <c r="K14" i="4"/>
  <c r="H41" i="6"/>
  <c r="L41" i="8"/>
  <c r="F41" i="8"/>
  <c r="K29" i="8"/>
  <c r="H41" i="9"/>
  <c r="M41" i="9"/>
  <c r="O37" i="9"/>
  <c r="V37" i="9" s="1"/>
  <c r="K31" i="10"/>
  <c r="O31" i="10"/>
  <c r="V31" i="10" s="1"/>
  <c r="K40" i="13"/>
  <c r="S29" i="13"/>
  <c r="T29" i="13" s="1"/>
  <c r="S25" i="13"/>
  <c r="T25" i="13" s="1"/>
  <c r="S21" i="13"/>
  <c r="T21" i="13" s="1"/>
  <c r="S13" i="13"/>
  <c r="T13" i="13" s="1"/>
  <c r="S5" i="13"/>
  <c r="T5" i="13" s="1"/>
  <c r="K29" i="9"/>
  <c r="M41" i="10"/>
  <c r="H41" i="11"/>
  <c r="O40" i="13"/>
  <c r="V40" i="13" s="1"/>
  <c r="L41" i="13"/>
  <c r="K18" i="13"/>
  <c r="S17" i="13"/>
  <c r="T17" i="13" s="1"/>
  <c r="S9" i="13"/>
  <c r="T9" i="13" s="1"/>
  <c r="S40" i="14"/>
  <c r="T40" i="14" s="1"/>
  <c r="G41" i="14"/>
  <c r="L41" i="14"/>
  <c r="H41" i="14"/>
  <c r="F41" i="14"/>
  <c r="K35" i="14"/>
  <c r="S34" i="14"/>
  <c r="T34" i="14" s="1"/>
  <c r="K27" i="14"/>
  <c r="S26" i="14"/>
  <c r="T26" i="14" s="1"/>
  <c r="K19" i="14"/>
  <c r="S18" i="14"/>
  <c r="T18" i="14" s="1"/>
  <c r="L41" i="15"/>
  <c r="H41" i="15"/>
  <c r="F41" i="15"/>
  <c r="R34" i="15"/>
  <c r="Y34" i="15" s="1"/>
  <c r="K18" i="15"/>
  <c r="K14" i="15"/>
  <c r="K10" i="15"/>
  <c r="K20" i="17"/>
  <c r="K14" i="17"/>
  <c r="S38" i="14"/>
  <c r="T38" i="14" s="1"/>
  <c r="S30" i="14"/>
  <c r="T30" i="14" s="1"/>
  <c r="S22" i="14"/>
  <c r="T22" i="14" s="1"/>
  <c r="S10" i="14"/>
  <c r="T10" i="14" s="1"/>
  <c r="K30" i="15"/>
  <c r="K22" i="15"/>
  <c r="S8" i="17"/>
  <c r="T8" i="17" s="1"/>
  <c r="K35" i="2"/>
  <c r="O35" i="2"/>
  <c r="V35" i="2" s="1"/>
  <c r="K31" i="2"/>
  <c r="O31" i="2"/>
  <c r="V31" i="2" s="1"/>
  <c r="K39" i="2"/>
  <c r="W39" i="6"/>
  <c r="P41" i="6"/>
  <c r="K23" i="2"/>
  <c r="K15" i="2"/>
  <c r="K7" i="2"/>
  <c r="L41" i="3"/>
  <c r="L42" i="3" s="1"/>
  <c r="L43" i="3" s="1"/>
  <c r="K39" i="3"/>
  <c r="K29" i="3"/>
  <c r="K21" i="3"/>
  <c r="K16" i="3"/>
  <c r="J41" i="4"/>
  <c r="K18" i="4"/>
  <c r="M41" i="8"/>
  <c r="K40" i="8"/>
  <c r="K36" i="8"/>
  <c r="K32" i="8"/>
  <c r="K35" i="9"/>
  <c r="K35" i="10"/>
  <c r="K29" i="10"/>
  <c r="K32" i="13"/>
  <c r="S30" i="13"/>
  <c r="T30" i="13" s="1"/>
  <c r="S26" i="13"/>
  <c r="T26" i="13" s="1"/>
  <c r="S22" i="13"/>
  <c r="T22" i="13" s="1"/>
  <c r="S18" i="13"/>
  <c r="T18" i="13" s="1"/>
  <c r="S14" i="13"/>
  <c r="T14" i="13" s="1"/>
  <c r="S10" i="13"/>
  <c r="T10" i="13" s="1"/>
  <c r="S7" i="13"/>
  <c r="T7" i="13" s="1"/>
  <c r="K27" i="2"/>
  <c r="K12" i="3"/>
  <c r="K8" i="3"/>
  <c r="K38" i="4"/>
  <c r="K34" i="4"/>
  <c r="K30" i="4"/>
  <c r="K26" i="4"/>
  <c r="K22" i="4"/>
  <c r="K10" i="4"/>
  <c r="K39" i="9"/>
  <c r="K31" i="9"/>
  <c r="K39" i="10"/>
  <c r="K33" i="10"/>
  <c r="K5" i="11"/>
  <c r="K41" i="11" s="1"/>
  <c r="K15" i="1" s="1"/>
  <c r="K36" i="13"/>
  <c r="S28" i="13"/>
  <c r="T28" i="13" s="1"/>
  <c r="S24" i="13"/>
  <c r="T24" i="13" s="1"/>
  <c r="S20" i="13"/>
  <c r="T20" i="13" s="1"/>
  <c r="K20" i="13"/>
  <c r="S16" i="13"/>
  <c r="T16" i="13" s="1"/>
  <c r="K16" i="13"/>
  <c r="S12" i="13"/>
  <c r="T12" i="13" s="1"/>
  <c r="K12" i="13"/>
  <c r="S8" i="13"/>
  <c r="T8" i="13" s="1"/>
  <c r="K8" i="13"/>
  <c r="S6" i="13"/>
  <c r="T6" i="13" s="1"/>
  <c r="K6" i="13"/>
  <c r="J41" i="14"/>
  <c r="S37" i="14"/>
  <c r="T37" i="14" s="1"/>
  <c r="K37" i="14"/>
  <c r="S33" i="14"/>
  <c r="T33" i="14" s="1"/>
  <c r="K33" i="14"/>
  <c r="S29" i="14"/>
  <c r="T29" i="14" s="1"/>
  <c r="K29" i="14"/>
  <c r="S25" i="14"/>
  <c r="T25" i="14" s="1"/>
  <c r="K25" i="14"/>
  <c r="S21" i="14"/>
  <c r="T21" i="14" s="1"/>
  <c r="K21" i="14"/>
  <c r="S17" i="14"/>
  <c r="T17" i="14" s="1"/>
  <c r="K17" i="14"/>
  <c r="K15" i="14"/>
  <c r="K13" i="14"/>
  <c r="K7" i="14"/>
  <c r="K5" i="14"/>
  <c r="K36" i="15"/>
  <c r="K28" i="15"/>
  <c r="K6" i="15"/>
  <c r="S9" i="17"/>
  <c r="T9" i="17" s="1"/>
  <c r="S39" i="14"/>
  <c r="T39" i="14" s="1"/>
  <c r="S35" i="14"/>
  <c r="T35" i="14" s="1"/>
  <c r="S31" i="14"/>
  <c r="T31" i="14" s="1"/>
  <c r="S27" i="14"/>
  <c r="T27" i="14" s="1"/>
  <c r="S23" i="14"/>
  <c r="T23" i="14" s="1"/>
  <c r="S19" i="14"/>
  <c r="T19" i="14" s="1"/>
  <c r="K11" i="14"/>
  <c r="K9" i="14"/>
  <c r="K39" i="15"/>
  <c r="K37" i="15"/>
  <c r="K24" i="15"/>
  <c r="K24" i="17"/>
  <c r="K25" i="1" s="1"/>
  <c r="K22" i="17"/>
  <c r="S20" i="17"/>
  <c r="T20" i="17" s="1"/>
  <c r="K16" i="17"/>
  <c r="S14" i="17"/>
  <c r="T14" i="17" s="1"/>
  <c r="S7" i="17"/>
  <c r="T7" i="17" s="1"/>
  <c r="V5" i="18"/>
  <c r="K38" i="2"/>
  <c r="K34" i="2"/>
  <c r="K30" i="2"/>
  <c r="K26" i="2"/>
  <c r="K22" i="2"/>
  <c r="K18" i="2"/>
  <c r="K14" i="2"/>
  <c r="K10" i="2"/>
  <c r="K6" i="2"/>
  <c r="K38" i="3"/>
  <c r="K34" i="3"/>
  <c r="K30" i="3"/>
  <c r="K26" i="3"/>
  <c r="K22" i="3"/>
  <c r="K18" i="3"/>
  <c r="K15" i="3"/>
  <c r="K11" i="3"/>
  <c r="K7" i="3"/>
  <c r="K37" i="4"/>
  <c r="K33" i="4"/>
  <c r="K29" i="4"/>
  <c r="K25" i="4"/>
  <c r="K21" i="4"/>
  <c r="K17" i="4"/>
  <c r="K13" i="4"/>
  <c r="K9" i="4"/>
  <c r="Y29" i="10"/>
  <c r="K40" i="2"/>
  <c r="K36" i="2"/>
  <c r="K32" i="2"/>
  <c r="K28" i="2"/>
  <c r="K24" i="2"/>
  <c r="K20" i="2"/>
  <c r="K16" i="2"/>
  <c r="K12" i="2"/>
  <c r="K8" i="2"/>
  <c r="K40" i="3"/>
  <c r="K36" i="3"/>
  <c r="K32" i="3"/>
  <c r="K28" i="3"/>
  <c r="K24" i="3"/>
  <c r="K20" i="3"/>
  <c r="K13" i="3"/>
  <c r="K9" i="3"/>
  <c r="K5" i="3"/>
  <c r="K39" i="4"/>
  <c r="K35" i="4"/>
  <c r="K31" i="4"/>
  <c r="K27" i="4"/>
  <c r="K23" i="4"/>
  <c r="K19" i="4"/>
  <c r="K15" i="4"/>
  <c r="K11" i="4"/>
  <c r="K7" i="4"/>
  <c r="K6" i="4"/>
  <c r="W39" i="8"/>
  <c r="U38" i="8"/>
  <c r="W35" i="8"/>
  <c r="U34" i="8"/>
  <c r="W31" i="8"/>
  <c r="N41" i="8"/>
  <c r="U30" i="8"/>
  <c r="Y5" i="11"/>
  <c r="R41" i="11"/>
  <c r="K39" i="5"/>
  <c r="K41" i="5" s="1"/>
  <c r="K9" i="1" s="1"/>
  <c r="K39" i="6"/>
  <c r="K41" i="6" s="1"/>
  <c r="K10" i="1" s="1"/>
  <c r="S38" i="8"/>
  <c r="T38" i="8" s="1"/>
  <c r="K37" i="8"/>
  <c r="S34" i="8"/>
  <c r="T34" i="8" s="1"/>
  <c r="K33" i="8"/>
  <c r="K40" i="9"/>
  <c r="K36" i="9"/>
  <c r="K32" i="9"/>
  <c r="K40" i="10"/>
  <c r="K36" i="10"/>
  <c r="K32" i="10"/>
  <c r="O41" i="11"/>
  <c r="J41" i="11"/>
  <c r="G41" i="11"/>
  <c r="K39" i="13"/>
  <c r="K35" i="13"/>
  <c r="K31" i="13"/>
  <c r="K29" i="13"/>
  <c r="K27" i="13"/>
  <c r="K25" i="13"/>
  <c r="K23" i="13"/>
  <c r="K21" i="13"/>
  <c r="K19" i="13"/>
  <c r="K17" i="13"/>
  <c r="K15" i="13"/>
  <c r="K13" i="13"/>
  <c r="K11" i="13"/>
  <c r="K9" i="13"/>
  <c r="K7" i="13"/>
  <c r="K5" i="13"/>
  <c r="K40" i="14"/>
  <c r="K38" i="14"/>
  <c r="K36" i="14"/>
  <c r="K34" i="14"/>
  <c r="K32" i="14"/>
  <c r="K30" i="14"/>
  <c r="K28" i="14"/>
  <c r="K26" i="14"/>
  <c r="K24" i="14"/>
  <c r="K22" i="14"/>
  <c r="K20" i="14"/>
  <c r="K18" i="14"/>
  <c r="K16" i="14"/>
  <c r="O15" i="14"/>
  <c r="V15" i="14" s="1"/>
  <c r="K14" i="14"/>
  <c r="O13" i="14"/>
  <c r="V13" i="14" s="1"/>
  <c r="K12" i="14"/>
  <c r="O11" i="14"/>
  <c r="V11" i="14" s="1"/>
  <c r="K10" i="14"/>
  <c r="O9" i="14"/>
  <c r="V9" i="14" s="1"/>
  <c r="K8" i="14"/>
  <c r="O7" i="14"/>
  <c r="V7" i="14" s="1"/>
  <c r="K6" i="14"/>
  <c r="S5" i="14"/>
  <c r="T5" i="14" s="1"/>
  <c r="K40" i="15"/>
  <c r="S39" i="15"/>
  <c r="T39" i="15" s="1"/>
  <c r="K38" i="15"/>
  <c r="S37" i="15"/>
  <c r="T37" i="15" s="1"/>
  <c r="K33" i="15"/>
  <c r="K5" i="4"/>
  <c r="O40" i="8"/>
  <c r="V40" i="8" s="1"/>
  <c r="K39" i="8"/>
  <c r="O36" i="8"/>
  <c r="V36" i="8" s="1"/>
  <c r="K35" i="8"/>
  <c r="O32" i="8"/>
  <c r="V32" i="8" s="1"/>
  <c r="K31" i="8"/>
  <c r="L41" i="9"/>
  <c r="K38" i="9"/>
  <c r="K34" i="9"/>
  <c r="K30" i="9"/>
  <c r="L41" i="10"/>
  <c r="K38" i="10"/>
  <c r="K34" i="10"/>
  <c r="K30" i="10"/>
  <c r="K37" i="13"/>
  <c r="K33" i="13"/>
  <c r="K32" i="15"/>
  <c r="K31" i="15"/>
  <c r="K27" i="15"/>
  <c r="K23" i="15"/>
  <c r="K5" i="16"/>
  <c r="K26" i="1"/>
  <c r="S24" i="17"/>
  <c r="T24" i="17" s="1"/>
  <c r="K21" i="17"/>
  <c r="L18" i="17"/>
  <c r="H18" i="17"/>
  <c r="P18" i="17" s="1"/>
  <c r="W18" i="17" s="1"/>
  <c r="K15" i="17"/>
  <c r="V9" i="17"/>
  <c r="K8" i="17"/>
  <c r="V7" i="17"/>
  <c r="L6" i="17"/>
  <c r="H6" i="17"/>
  <c r="P6" i="17" s="1"/>
  <c r="F6" i="17"/>
  <c r="N6" i="17" s="1"/>
  <c r="O41" i="18"/>
  <c r="K29" i="15"/>
  <c r="K25" i="15"/>
  <c r="K21" i="15"/>
  <c r="S20" i="15"/>
  <c r="T20" i="15" s="1"/>
  <c r="K19" i="15"/>
  <c r="S18" i="15"/>
  <c r="T18" i="15" s="1"/>
  <c r="K17" i="15"/>
  <c r="S16" i="15"/>
  <c r="T16" i="15" s="1"/>
  <c r="K15" i="15"/>
  <c r="S14" i="15"/>
  <c r="T14" i="15" s="1"/>
  <c r="K13" i="15"/>
  <c r="S12" i="15"/>
  <c r="T12" i="15" s="1"/>
  <c r="K11" i="15"/>
  <c r="S10" i="15"/>
  <c r="T10" i="15" s="1"/>
  <c r="K9" i="15"/>
  <c r="S8" i="15"/>
  <c r="T8" i="15" s="1"/>
  <c r="K7" i="15"/>
  <c r="S6" i="15"/>
  <c r="T6" i="15" s="1"/>
  <c r="K5" i="15"/>
  <c r="P41" i="16"/>
  <c r="F18" i="17"/>
  <c r="N18" i="17" s="1"/>
  <c r="U18" i="17" s="1"/>
  <c r="M18" i="17"/>
  <c r="J18" i="17"/>
  <c r="R18" i="17" s="1"/>
  <c r="Y18" i="17" s="1"/>
  <c r="G18" i="17"/>
  <c r="O18" i="17" s="1"/>
  <c r="V18" i="17" s="1"/>
  <c r="E18" i="17"/>
  <c r="K13" i="17"/>
  <c r="S10" i="17"/>
  <c r="T10" i="17" s="1"/>
  <c r="M6" i="17"/>
  <c r="J6" i="17"/>
  <c r="R6" i="17" s="1"/>
  <c r="G6" i="17"/>
  <c r="O6" i="17" s="1"/>
  <c r="E6" i="17"/>
  <c r="O42" i="18"/>
  <c r="S28" i="1"/>
  <c r="T28" i="1" s="1"/>
  <c r="T42" i="18" s="1"/>
  <c r="S39" i="2"/>
  <c r="U39" i="2"/>
  <c r="U35" i="2"/>
  <c r="W31" i="2"/>
  <c r="S27" i="2"/>
  <c r="U27" i="2"/>
  <c r="W23" i="2"/>
  <c r="U19" i="2"/>
  <c r="S26" i="1"/>
  <c r="W37" i="2"/>
  <c r="S37" i="2"/>
  <c r="U37" i="2"/>
  <c r="W33" i="2"/>
  <c r="U33" i="2"/>
  <c r="W29" i="2"/>
  <c r="S29" i="2"/>
  <c r="U29" i="2"/>
  <c r="W25" i="2"/>
  <c r="U25" i="2"/>
  <c r="W21" i="2"/>
  <c r="S21" i="2"/>
  <c r="U21" i="2"/>
  <c r="W17" i="2"/>
  <c r="U17" i="2"/>
  <c r="W13" i="2"/>
  <c r="S13" i="2"/>
  <c r="U13" i="2"/>
  <c r="W9" i="2"/>
  <c r="U9" i="2"/>
  <c r="P41" i="2"/>
  <c r="W5" i="2"/>
  <c r="N41" i="2"/>
  <c r="U5" i="2"/>
  <c r="W37" i="3"/>
  <c r="S37" i="3"/>
  <c r="U37" i="3"/>
  <c r="W33" i="3"/>
  <c r="S33" i="3"/>
  <c r="U33" i="3"/>
  <c r="W29" i="3"/>
  <c r="S29" i="3"/>
  <c r="U29" i="3"/>
  <c r="W25" i="3"/>
  <c r="U25" i="3"/>
  <c r="W21" i="3"/>
  <c r="S21" i="3"/>
  <c r="U21" i="3"/>
  <c r="P41" i="3"/>
  <c r="W17" i="3"/>
  <c r="S17" i="3"/>
  <c r="N41" i="3"/>
  <c r="U17" i="3"/>
  <c r="R42" i="18"/>
  <c r="W39" i="2"/>
  <c r="W35" i="2"/>
  <c r="U31" i="2"/>
  <c r="W27" i="2"/>
  <c r="S23" i="2"/>
  <c r="U23" i="2"/>
  <c r="W19" i="2"/>
  <c r="W15" i="2"/>
  <c r="S15" i="2"/>
  <c r="U15" i="2"/>
  <c r="W11" i="2"/>
  <c r="S11" i="2"/>
  <c r="U11" i="2"/>
  <c r="W7" i="2"/>
  <c r="S7" i="2"/>
  <c r="U7" i="2"/>
  <c r="Y6" i="2"/>
  <c r="W39" i="3"/>
  <c r="S39" i="3"/>
  <c r="U39" i="3"/>
  <c r="W35" i="3"/>
  <c r="S35" i="3"/>
  <c r="U35" i="3"/>
  <c r="W31" i="3"/>
  <c r="U31" i="3"/>
  <c r="W27" i="3"/>
  <c r="U27" i="3"/>
  <c r="W23" i="3"/>
  <c r="U23" i="3"/>
  <c r="W19" i="3"/>
  <c r="S19" i="3"/>
  <c r="U19" i="3"/>
  <c r="Y18" i="3"/>
  <c r="S16" i="3"/>
  <c r="W14" i="3"/>
  <c r="S14" i="3"/>
  <c r="U14" i="3"/>
  <c r="W10" i="3"/>
  <c r="U10" i="3"/>
  <c r="W6" i="3"/>
  <c r="S6" i="3"/>
  <c r="U6" i="3"/>
  <c r="W40" i="4"/>
  <c r="S40" i="4"/>
  <c r="U40" i="4"/>
  <c r="W36" i="4"/>
  <c r="U36" i="4"/>
  <c r="W32" i="4"/>
  <c r="S32" i="4"/>
  <c r="U32" i="4"/>
  <c r="W28" i="4"/>
  <c r="U28" i="4"/>
  <c r="W24" i="4"/>
  <c r="S24" i="4"/>
  <c r="U24" i="4"/>
  <c r="W20" i="4"/>
  <c r="U20" i="4"/>
  <c r="W16" i="4"/>
  <c r="S16" i="4"/>
  <c r="U16" i="4"/>
  <c r="W12" i="4"/>
  <c r="S12" i="4"/>
  <c r="U12" i="4"/>
  <c r="W8" i="4"/>
  <c r="S8" i="4"/>
  <c r="U8" i="4"/>
  <c r="T40" i="5"/>
  <c r="R41" i="5"/>
  <c r="Y39" i="5"/>
  <c r="T34" i="5"/>
  <c r="T30" i="5"/>
  <c r="T26" i="5"/>
  <c r="T18" i="5"/>
  <c r="T14" i="5"/>
  <c r="T10" i="5"/>
  <c r="T40" i="6"/>
  <c r="R41" i="6"/>
  <c r="Y39" i="6"/>
  <c r="T38" i="6"/>
  <c r="T34" i="6"/>
  <c r="T26" i="6"/>
  <c r="T22" i="6"/>
  <c r="T18" i="6"/>
  <c r="T14" i="6"/>
  <c r="T10" i="6"/>
  <c r="T6" i="6"/>
  <c r="W38" i="8"/>
  <c r="Y37" i="8"/>
  <c r="W34" i="8"/>
  <c r="Y33" i="8"/>
  <c r="J41" i="2"/>
  <c r="G41" i="2"/>
  <c r="E41" i="2"/>
  <c r="O40" i="2"/>
  <c r="O38" i="2"/>
  <c r="O36" i="2"/>
  <c r="O34" i="2"/>
  <c r="O32" i="2"/>
  <c r="O30" i="2"/>
  <c r="O28" i="2"/>
  <c r="O26" i="2"/>
  <c r="O24" i="2"/>
  <c r="O22" i="2"/>
  <c r="O20" i="2"/>
  <c r="O18" i="2"/>
  <c r="O16" i="2"/>
  <c r="O14" i="2"/>
  <c r="O12" i="2"/>
  <c r="O10" i="2"/>
  <c r="O8" i="2"/>
  <c r="O6" i="2"/>
  <c r="J41" i="3"/>
  <c r="G41" i="3"/>
  <c r="E41" i="3"/>
  <c r="O40" i="3"/>
  <c r="O38" i="3"/>
  <c r="O36" i="3"/>
  <c r="O34" i="3"/>
  <c r="O32" i="3"/>
  <c r="O30" i="3"/>
  <c r="O28" i="3"/>
  <c r="O26" i="3"/>
  <c r="O24" i="3"/>
  <c r="O22" i="3"/>
  <c r="O20" i="3"/>
  <c r="O18" i="3"/>
  <c r="U16" i="3"/>
  <c r="W12" i="3"/>
  <c r="S12" i="3"/>
  <c r="U12" i="3"/>
  <c r="W8" i="3"/>
  <c r="S8" i="3"/>
  <c r="U8" i="3"/>
  <c r="W38" i="4"/>
  <c r="S38" i="4"/>
  <c r="U38" i="4"/>
  <c r="W34" i="4"/>
  <c r="S34" i="4"/>
  <c r="U34" i="4"/>
  <c r="W30" i="4"/>
  <c r="S30" i="4"/>
  <c r="U30" i="4"/>
  <c r="W26" i="4"/>
  <c r="S26" i="4"/>
  <c r="U26" i="4"/>
  <c r="W22" i="4"/>
  <c r="S22" i="4"/>
  <c r="U22" i="4"/>
  <c r="W18" i="4"/>
  <c r="S18" i="4"/>
  <c r="U18" i="4"/>
  <c r="W14" i="4"/>
  <c r="S14" i="4"/>
  <c r="U14" i="4"/>
  <c r="W10" i="4"/>
  <c r="S10" i="4"/>
  <c r="U10" i="4"/>
  <c r="W6" i="4"/>
  <c r="P41" i="4"/>
  <c r="S6" i="4"/>
  <c r="U6" i="4"/>
  <c r="N41" i="4"/>
  <c r="R41" i="4"/>
  <c r="Y5" i="4"/>
  <c r="T36" i="5"/>
  <c r="T32" i="5"/>
  <c r="T24" i="5"/>
  <c r="T20" i="5"/>
  <c r="T16" i="5"/>
  <c r="T8" i="5"/>
  <c r="T36" i="6"/>
  <c r="T32" i="6"/>
  <c r="T24" i="6"/>
  <c r="T20" i="6"/>
  <c r="T16" i="6"/>
  <c r="T12" i="6"/>
  <c r="W40" i="8"/>
  <c r="Y39" i="8"/>
  <c r="W36" i="8"/>
  <c r="Y35" i="8"/>
  <c r="W32" i="8"/>
  <c r="R41" i="8"/>
  <c r="Y31" i="8"/>
  <c r="S29" i="8"/>
  <c r="W28" i="8"/>
  <c r="S25" i="8"/>
  <c r="V25" i="8"/>
  <c r="W24" i="8"/>
  <c r="T17" i="8"/>
  <c r="T13" i="8"/>
  <c r="W37" i="9"/>
  <c r="U37" i="9"/>
  <c r="W33" i="9"/>
  <c r="U33" i="9"/>
  <c r="S33" i="9"/>
  <c r="W29" i="9"/>
  <c r="P41" i="9"/>
  <c r="U29" i="9"/>
  <c r="S29" i="9"/>
  <c r="N41" i="9"/>
  <c r="T17" i="9"/>
  <c r="W37" i="10"/>
  <c r="U37" i="10"/>
  <c r="W33" i="10"/>
  <c r="U33" i="10"/>
  <c r="S33" i="10"/>
  <c r="U29" i="10"/>
  <c r="N41" i="10"/>
  <c r="T17" i="10"/>
  <c r="T39" i="11"/>
  <c r="T35" i="11"/>
  <c r="T27" i="11"/>
  <c r="T23" i="11"/>
  <c r="T19" i="11"/>
  <c r="T11" i="11"/>
  <c r="T7" i="11"/>
  <c r="W5" i="11"/>
  <c r="P41" i="11"/>
  <c r="U5" i="11"/>
  <c r="S5" i="11"/>
  <c r="N41" i="11"/>
  <c r="O15" i="3"/>
  <c r="O13" i="3"/>
  <c r="O11" i="3"/>
  <c r="O9" i="3"/>
  <c r="O7" i="3"/>
  <c r="O5" i="3"/>
  <c r="H41" i="4"/>
  <c r="F41" i="4"/>
  <c r="O39" i="4"/>
  <c r="O37" i="4"/>
  <c r="O35" i="4"/>
  <c r="O33" i="4"/>
  <c r="O31" i="4"/>
  <c r="O29" i="4"/>
  <c r="O27" i="4"/>
  <c r="O25" i="4"/>
  <c r="O23" i="4"/>
  <c r="O21" i="4"/>
  <c r="O19" i="4"/>
  <c r="O17" i="4"/>
  <c r="O15" i="4"/>
  <c r="O13" i="4"/>
  <c r="O11" i="4"/>
  <c r="O9" i="4"/>
  <c r="O7" i="4"/>
  <c r="O5" i="4"/>
  <c r="V40" i="5"/>
  <c r="O39" i="5"/>
  <c r="V38" i="5"/>
  <c r="W37" i="5"/>
  <c r="V36" i="5"/>
  <c r="W35" i="5"/>
  <c r="V34" i="5"/>
  <c r="W33" i="5"/>
  <c r="V32" i="5"/>
  <c r="W31" i="5"/>
  <c r="V30" i="5"/>
  <c r="W29" i="5"/>
  <c r="V28" i="5"/>
  <c r="W27" i="5"/>
  <c r="V26" i="5"/>
  <c r="W25" i="5"/>
  <c r="V24" i="5"/>
  <c r="W23" i="5"/>
  <c r="V22" i="5"/>
  <c r="W21" i="5"/>
  <c r="V20" i="5"/>
  <c r="W19" i="5"/>
  <c r="V18" i="5"/>
  <c r="W17" i="5"/>
  <c r="V16" i="5"/>
  <c r="W15" i="5"/>
  <c r="V14" i="5"/>
  <c r="W13" i="5"/>
  <c r="V12" i="5"/>
  <c r="W11" i="5"/>
  <c r="V10" i="5"/>
  <c r="W9" i="5"/>
  <c r="V8" i="5"/>
  <c r="W7" i="5"/>
  <c r="V6" i="5"/>
  <c r="W5" i="5"/>
  <c r="V40" i="6"/>
  <c r="O39" i="6"/>
  <c r="V38" i="6"/>
  <c r="W37" i="6"/>
  <c r="V36" i="6"/>
  <c r="W35" i="6"/>
  <c r="V34" i="6"/>
  <c r="W33" i="6"/>
  <c r="V32" i="6"/>
  <c r="W31" i="6"/>
  <c r="V30" i="6"/>
  <c r="W29" i="6"/>
  <c r="V28" i="6"/>
  <c r="W27" i="6"/>
  <c r="V26" i="6"/>
  <c r="W25" i="6"/>
  <c r="V24" i="6"/>
  <c r="W23" i="6"/>
  <c r="V22" i="6"/>
  <c r="W21" i="6"/>
  <c r="V20" i="6"/>
  <c r="W19" i="6"/>
  <c r="V18" i="6"/>
  <c r="W17" i="6"/>
  <c r="V16" i="6"/>
  <c r="W15" i="6"/>
  <c r="V14" i="6"/>
  <c r="W13" i="6"/>
  <c r="V12" i="6"/>
  <c r="W11" i="6"/>
  <c r="V10" i="6"/>
  <c r="W9" i="6"/>
  <c r="V8" i="6"/>
  <c r="W7" i="6"/>
  <c r="V6" i="6"/>
  <c r="W5" i="6"/>
  <c r="H41" i="8"/>
  <c r="O39" i="8"/>
  <c r="V38" i="8"/>
  <c r="O37" i="8"/>
  <c r="O35" i="8"/>
  <c r="V34" i="8"/>
  <c r="O33" i="8"/>
  <c r="O31" i="8"/>
  <c r="V30" i="8"/>
  <c r="U29" i="8"/>
  <c r="S27" i="8"/>
  <c r="V27" i="8"/>
  <c r="W26" i="8"/>
  <c r="S23" i="8"/>
  <c r="V23" i="8"/>
  <c r="T15" i="8"/>
  <c r="W39" i="9"/>
  <c r="U39" i="9"/>
  <c r="S39" i="9"/>
  <c r="W35" i="9"/>
  <c r="U35" i="9"/>
  <c r="S35" i="9"/>
  <c r="W31" i="9"/>
  <c r="U31" i="9"/>
  <c r="S31" i="9"/>
  <c r="Y30" i="9"/>
  <c r="R41" i="9"/>
  <c r="T27" i="9"/>
  <c r="W39" i="10"/>
  <c r="U39" i="10"/>
  <c r="S39" i="10"/>
  <c r="W35" i="10"/>
  <c r="U35" i="10"/>
  <c r="S35" i="10"/>
  <c r="W31" i="10"/>
  <c r="U31" i="10"/>
  <c r="Y30" i="10"/>
  <c r="R41" i="10"/>
  <c r="T11" i="10"/>
  <c r="T33" i="11"/>
  <c r="T29" i="11"/>
  <c r="T25" i="11"/>
  <c r="T17" i="11"/>
  <c r="T13" i="11"/>
  <c r="T9" i="11"/>
  <c r="W22" i="8"/>
  <c r="V21" i="8"/>
  <c r="W20" i="8"/>
  <c r="V19" i="8"/>
  <c r="W18" i="8"/>
  <c r="V17" i="8"/>
  <c r="W16" i="8"/>
  <c r="V15" i="8"/>
  <c r="W14" i="8"/>
  <c r="V13" i="8"/>
  <c r="W12" i="8"/>
  <c r="V11" i="8"/>
  <c r="W10" i="8"/>
  <c r="V9" i="8"/>
  <c r="W8" i="8"/>
  <c r="V7" i="8"/>
  <c r="W6" i="8"/>
  <c r="V5" i="8"/>
  <c r="J41" i="9"/>
  <c r="G41" i="9"/>
  <c r="E41" i="9"/>
  <c r="O40" i="9"/>
  <c r="O38" i="9"/>
  <c r="O36" i="9"/>
  <c r="O34" i="9"/>
  <c r="O32" i="9"/>
  <c r="O30" i="9"/>
  <c r="W28" i="9"/>
  <c r="V27" i="9"/>
  <c r="W26" i="9"/>
  <c r="V25" i="9"/>
  <c r="W24" i="9"/>
  <c r="V23" i="9"/>
  <c r="W22" i="9"/>
  <c r="V21" i="9"/>
  <c r="W20" i="9"/>
  <c r="V19" i="9"/>
  <c r="W18" i="9"/>
  <c r="V17" i="9"/>
  <c r="W16" i="9"/>
  <c r="V15" i="9"/>
  <c r="W14" i="9"/>
  <c r="V13" i="9"/>
  <c r="W12" i="9"/>
  <c r="V11" i="9"/>
  <c r="W10" i="9"/>
  <c r="V9" i="9"/>
  <c r="W8" i="9"/>
  <c r="V7" i="9"/>
  <c r="W6" i="9"/>
  <c r="V5" i="9"/>
  <c r="J41" i="10"/>
  <c r="G41" i="10"/>
  <c r="E41" i="10"/>
  <c r="O40" i="10"/>
  <c r="O38" i="10"/>
  <c r="O36" i="10"/>
  <c r="O34" i="10"/>
  <c r="O32" i="10"/>
  <c r="O30" i="10"/>
  <c r="W28" i="10"/>
  <c r="V27" i="10"/>
  <c r="W26" i="10"/>
  <c r="V25" i="10"/>
  <c r="W24" i="10"/>
  <c r="V23" i="10"/>
  <c r="W22" i="10"/>
  <c r="V21" i="10"/>
  <c r="W20" i="10"/>
  <c r="V19" i="10"/>
  <c r="W18" i="10"/>
  <c r="V17" i="10"/>
  <c r="W16" i="10"/>
  <c r="V15" i="10"/>
  <c r="W14" i="10"/>
  <c r="V13" i="10"/>
  <c r="W12" i="10"/>
  <c r="V11" i="10"/>
  <c r="W10" i="10"/>
  <c r="V9" i="10"/>
  <c r="W8" i="10"/>
  <c r="V7" i="10"/>
  <c r="W6" i="10"/>
  <c r="V5" i="10"/>
  <c r="W40" i="11"/>
  <c r="V39" i="11"/>
  <c r="W38" i="11"/>
  <c r="V37" i="11"/>
  <c r="W36" i="11"/>
  <c r="V35" i="11"/>
  <c r="W34" i="11"/>
  <c r="V33" i="11"/>
  <c r="W32" i="11"/>
  <c r="V31" i="11"/>
  <c r="W30" i="11"/>
  <c r="V29" i="11"/>
  <c r="W28" i="11"/>
  <c r="V27" i="11"/>
  <c r="W26" i="11"/>
  <c r="V25" i="11"/>
  <c r="W24" i="11"/>
  <c r="V23" i="11"/>
  <c r="W22" i="11"/>
  <c r="V21" i="11"/>
  <c r="W20" i="11"/>
  <c r="V19" i="11"/>
  <c r="W18" i="11"/>
  <c r="V17" i="11"/>
  <c r="W16" i="11"/>
  <c r="V15" i="11"/>
  <c r="W14" i="11"/>
  <c r="V13" i="11"/>
  <c r="W12" i="11"/>
  <c r="V11" i="11"/>
  <c r="W10" i="11"/>
  <c r="V9" i="11"/>
  <c r="W8" i="11"/>
  <c r="V7" i="11"/>
  <c r="W6" i="11"/>
  <c r="S36" i="13"/>
  <c r="S12" i="14"/>
  <c r="S8" i="14"/>
  <c r="S6" i="14"/>
  <c r="R41" i="14"/>
  <c r="S40" i="15"/>
  <c r="S38" i="15"/>
  <c r="P40" i="13"/>
  <c r="W40" i="13" s="1"/>
  <c r="H41" i="13"/>
  <c r="N40" i="13"/>
  <c r="U40" i="13" s="1"/>
  <c r="F41" i="13"/>
  <c r="S38" i="13"/>
  <c r="S34" i="13"/>
  <c r="O39" i="13"/>
  <c r="V39" i="13" s="1"/>
  <c r="O37" i="13"/>
  <c r="V37" i="13" s="1"/>
  <c r="O35" i="13"/>
  <c r="V35" i="13" s="1"/>
  <c r="O33" i="13"/>
  <c r="V33" i="13" s="1"/>
  <c r="R31" i="13"/>
  <c r="Y31" i="13" s="1"/>
  <c r="S36" i="15"/>
  <c r="S30" i="15"/>
  <c r="S26" i="15"/>
  <c r="S22" i="15"/>
  <c r="S19" i="15"/>
  <c r="S17" i="15"/>
  <c r="S15" i="15"/>
  <c r="S13" i="15"/>
  <c r="S11" i="15"/>
  <c r="S9" i="15"/>
  <c r="S7" i="15"/>
  <c r="S5" i="15"/>
  <c r="P41" i="14"/>
  <c r="N41" i="14"/>
  <c r="P41" i="15"/>
  <c r="N41" i="15"/>
  <c r="J41" i="15"/>
  <c r="K35" i="15"/>
  <c r="O35" i="15"/>
  <c r="V35" i="15" s="1"/>
  <c r="S32" i="15"/>
  <c r="S28" i="15"/>
  <c r="S24" i="15"/>
  <c r="O33" i="15"/>
  <c r="V33" i="15" s="1"/>
  <c r="O31" i="15"/>
  <c r="V31" i="15" s="1"/>
  <c r="O29" i="15"/>
  <c r="V29" i="15" s="1"/>
  <c r="O27" i="15"/>
  <c r="V27" i="15" s="1"/>
  <c r="O25" i="15"/>
  <c r="V25" i="15" s="1"/>
  <c r="O23" i="15"/>
  <c r="V23" i="15" s="1"/>
  <c r="O21" i="15"/>
  <c r="V21" i="15" s="1"/>
  <c r="N41" i="16"/>
  <c r="S40" i="16"/>
  <c r="V40" i="16"/>
  <c r="W39" i="16"/>
  <c r="S36" i="16"/>
  <c r="V36" i="16"/>
  <c r="W35" i="16"/>
  <c r="S32" i="16"/>
  <c r="V32" i="16"/>
  <c r="W31" i="16"/>
  <c r="S28" i="16"/>
  <c r="V28" i="16"/>
  <c r="W27" i="16"/>
  <c r="S24" i="16"/>
  <c r="V24" i="16"/>
  <c r="W23" i="16"/>
  <c r="S20" i="16"/>
  <c r="V20" i="16"/>
  <c r="W19" i="16"/>
  <c r="S16" i="16"/>
  <c r="V16" i="16"/>
  <c r="W15" i="16"/>
  <c r="S12" i="16"/>
  <c r="V12" i="16"/>
  <c r="W11" i="16"/>
  <c r="S8" i="16"/>
  <c r="V8" i="16"/>
  <c r="S38" i="16"/>
  <c r="V38" i="16"/>
  <c r="W37" i="16"/>
  <c r="S34" i="16"/>
  <c r="V34" i="16"/>
  <c r="W33" i="16"/>
  <c r="S30" i="16"/>
  <c r="V30" i="16"/>
  <c r="W29" i="16"/>
  <c r="S26" i="16"/>
  <c r="V26" i="16"/>
  <c r="W25" i="16"/>
  <c r="S22" i="16"/>
  <c r="V22" i="16"/>
  <c r="W21" i="16"/>
  <c r="S18" i="16"/>
  <c r="V18" i="16"/>
  <c r="W17" i="16"/>
  <c r="S14" i="16"/>
  <c r="V14" i="16"/>
  <c r="W13" i="16"/>
  <c r="S10" i="16"/>
  <c r="V10" i="16"/>
  <c r="W9" i="16"/>
  <c r="K7" i="16"/>
  <c r="R41" i="16"/>
  <c r="Y5" i="16"/>
  <c r="S33" i="17"/>
  <c r="V33" i="17"/>
  <c r="W32" i="17"/>
  <c r="S29" i="17"/>
  <c r="V29" i="17"/>
  <c r="W28" i="17"/>
  <c r="W26" i="17"/>
  <c r="W20" i="17"/>
  <c r="W14" i="17"/>
  <c r="S13" i="17"/>
  <c r="Y13" i="17"/>
  <c r="O7" i="16"/>
  <c r="V6" i="16"/>
  <c r="O5" i="16"/>
  <c r="V40" i="17"/>
  <c r="W39" i="17"/>
  <c r="V38" i="17"/>
  <c r="W37" i="17"/>
  <c r="V36" i="17"/>
  <c r="W35" i="17"/>
  <c r="V34" i="17"/>
  <c r="S31" i="17"/>
  <c r="V31" i="17"/>
  <c r="W30" i="17"/>
  <c r="S27" i="17"/>
  <c r="V27" i="17"/>
  <c r="W24" i="17"/>
  <c r="W22" i="17"/>
  <c r="U22" i="17"/>
  <c r="S22" i="17"/>
  <c r="W16" i="17"/>
  <c r="U16" i="17"/>
  <c r="S16" i="17"/>
  <c r="W25" i="17"/>
  <c r="V24" i="17"/>
  <c r="W23" i="17"/>
  <c r="O21" i="17"/>
  <c r="V20" i="17"/>
  <c r="R19" i="17"/>
  <c r="Y19" i="17" s="1"/>
  <c r="O19" i="17"/>
  <c r="K19" i="17"/>
  <c r="W17" i="17"/>
  <c r="O15" i="17"/>
  <c r="V14" i="17"/>
  <c r="W13" i="17"/>
  <c r="M12" i="17"/>
  <c r="H12" i="17"/>
  <c r="F12" i="17"/>
  <c r="T37" i="18"/>
  <c r="T33" i="18"/>
  <c r="L12" i="17"/>
  <c r="J12" i="17"/>
  <c r="G12" i="17"/>
  <c r="E12" i="17"/>
  <c r="T39" i="18"/>
  <c r="T35" i="18"/>
  <c r="W11" i="17"/>
  <c r="V10" i="17"/>
  <c r="W9" i="17"/>
  <c r="W7" i="17"/>
  <c r="K7" i="17"/>
  <c r="S24" i="18"/>
  <c r="V24" i="18"/>
  <c r="W23" i="18"/>
  <c r="T22" i="18"/>
  <c r="T18" i="18"/>
  <c r="W8" i="17"/>
  <c r="P41" i="18"/>
  <c r="P43" i="18" s="1"/>
  <c r="W40" i="18"/>
  <c r="V39" i="18"/>
  <c r="W38" i="18"/>
  <c r="V37" i="18"/>
  <c r="W36" i="18"/>
  <c r="V35" i="18"/>
  <c r="W34" i="18"/>
  <c r="V33" i="18"/>
  <c r="W32" i="18"/>
  <c r="V31" i="18"/>
  <c r="W30" i="18"/>
  <c r="V29" i="18"/>
  <c r="W28" i="18"/>
  <c r="S26" i="18"/>
  <c r="V26" i="18"/>
  <c r="W25" i="18"/>
  <c r="T20" i="18"/>
  <c r="V22" i="18"/>
  <c r="W21" i="18"/>
  <c r="V20" i="18"/>
  <c r="W19" i="18"/>
  <c r="V18" i="18"/>
  <c r="S16" i="18"/>
  <c r="V16" i="18"/>
  <c r="W15" i="18"/>
  <c r="S12" i="18"/>
  <c r="V12" i="18"/>
  <c r="W11" i="18"/>
  <c r="S8" i="18"/>
  <c r="V8" i="18"/>
  <c r="W7" i="18"/>
  <c r="W17" i="18"/>
  <c r="S14" i="18"/>
  <c r="V14" i="18"/>
  <c r="W13" i="18"/>
  <c r="S10" i="18"/>
  <c r="V10" i="18"/>
  <c r="W9" i="18"/>
  <c r="S6" i="18"/>
  <c r="V6" i="18"/>
  <c r="W5" i="18"/>
  <c r="R41" i="2" l="1"/>
  <c r="S19" i="2"/>
  <c r="T19" i="2" s="1"/>
  <c r="S25" i="1"/>
  <c r="T25" i="1" s="1"/>
  <c r="O42" i="5"/>
  <c r="R41" i="18"/>
  <c r="R43" i="18" s="1"/>
  <c r="AD8" i="18" s="1"/>
  <c r="K42" i="18"/>
  <c r="K43" i="18" s="1"/>
  <c r="L42" i="2"/>
  <c r="L43" i="2" s="1"/>
  <c r="S5" i="18"/>
  <c r="T5" i="18" s="1"/>
  <c r="N41" i="6"/>
  <c r="N41" i="18"/>
  <c r="N43" i="18" s="1"/>
  <c r="Z7" i="18" s="1"/>
  <c r="N41" i="5"/>
  <c r="F42" i="11"/>
  <c r="F43" i="11" s="1"/>
  <c r="F15" i="1"/>
  <c r="N15" i="1" s="1"/>
  <c r="N42" i="11" s="1"/>
  <c r="N43" i="11" s="1"/>
  <c r="Z5" i="11" s="1"/>
  <c r="S31" i="10"/>
  <c r="T31" i="10" s="1"/>
  <c r="S37" i="10"/>
  <c r="T37" i="10" s="1"/>
  <c r="S20" i="4"/>
  <c r="T20" i="4" s="1"/>
  <c r="S28" i="4"/>
  <c r="T28" i="4" s="1"/>
  <c r="S36" i="4"/>
  <c r="T36" i="4" s="1"/>
  <c r="L7" i="1"/>
  <c r="M6" i="1"/>
  <c r="H12" i="1"/>
  <c r="P12" i="1" s="1"/>
  <c r="F12" i="1"/>
  <c r="N12" i="1" s="1"/>
  <c r="J12" i="1"/>
  <c r="R12" i="1" s="1"/>
  <c r="W30" i="8"/>
  <c r="G42" i="4"/>
  <c r="G43" i="4" s="1"/>
  <c r="K41" i="13"/>
  <c r="K17" i="1" s="1"/>
  <c r="M41" i="17"/>
  <c r="M42" i="17" s="1"/>
  <c r="M43" i="17" s="1"/>
  <c r="S31" i="2"/>
  <c r="T31" i="2" s="1"/>
  <c r="S5" i="2"/>
  <c r="T5" i="2" s="1"/>
  <c r="S9" i="2"/>
  <c r="T9" i="2" s="1"/>
  <c r="S17" i="2"/>
  <c r="T17" i="2" s="1"/>
  <c r="S25" i="2"/>
  <c r="T25" i="2" s="1"/>
  <c r="S33" i="2"/>
  <c r="T33" i="2" s="1"/>
  <c r="O43" i="18"/>
  <c r="AA8" i="18" s="1"/>
  <c r="M5" i="17"/>
  <c r="M24" i="1" s="1"/>
  <c r="M23" i="1" s="1"/>
  <c r="H5" i="17"/>
  <c r="H24" i="1" s="1"/>
  <c r="S34" i="15"/>
  <c r="T34" i="15" s="1"/>
  <c r="S37" i="9"/>
  <c r="T37" i="9" s="1"/>
  <c r="F21" i="1"/>
  <c r="N21" i="1" s="1"/>
  <c r="N42" i="16" s="1"/>
  <c r="N43" i="16" s="1"/>
  <c r="W6" i="17"/>
  <c r="G42" i="10"/>
  <c r="G43" i="10" s="1"/>
  <c r="G14" i="1"/>
  <c r="E42" i="9"/>
  <c r="E43" i="9" s="1"/>
  <c r="E13" i="1"/>
  <c r="J42" i="9"/>
  <c r="J43" i="9" s="1"/>
  <c r="J13" i="1"/>
  <c r="Y6" i="17"/>
  <c r="L42" i="10"/>
  <c r="L43" i="10" s="1"/>
  <c r="L14" i="1"/>
  <c r="L42" i="9"/>
  <c r="L43" i="9" s="1"/>
  <c r="L13" i="1"/>
  <c r="F42" i="15"/>
  <c r="F43" i="15" s="1"/>
  <c r="F19" i="1"/>
  <c r="N19" i="1" s="1"/>
  <c r="L42" i="15"/>
  <c r="L43" i="15" s="1"/>
  <c r="L19" i="1"/>
  <c r="H42" i="14"/>
  <c r="H43" i="14" s="1"/>
  <c r="H18" i="1"/>
  <c r="P18" i="1" s="1"/>
  <c r="G42" i="14"/>
  <c r="G43" i="14" s="1"/>
  <c r="G18" i="1"/>
  <c r="O18" i="1" s="1"/>
  <c r="M42" i="10"/>
  <c r="M43" i="10" s="1"/>
  <c r="M14" i="1"/>
  <c r="M42" i="9"/>
  <c r="M43" i="9" s="1"/>
  <c r="M13" i="1"/>
  <c r="L42" i="8"/>
  <c r="L43" i="8" s="1"/>
  <c r="L12" i="1"/>
  <c r="E42" i="15"/>
  <c r="E43" i="15" s="1"/>
  <c r="E19" i="1"/>
  <c r="E42" i="13"/>
  <c r="E43" i="13" s="1"/>
  <c r="E17" i="1"/>
  <c r="F42" i="10"/>
  <c r="F43" i="10" s="1"/>
  <c r="F14" i="1"/>
  <c r="G42" i="8"/>
  <c r="G43" i="8" s="1"/>
  <c r="G12" i="1"/>
  <c r="O12" i="1" s="1"/>
  <c r="J42" i="15"/>
  <c r="J43" i="15" s="1"/>
  <c r="J19" i="1"/>
  <c r="R19" i="1" s="1"/>
  <c r="F42" i="13"/>
  <c r="F43" i="13" s="1"/>
  <c r="F17" i="1"/>
  <c r="N17" i="1" s="1"/>
  <c r="H42" i="13"/>
  <c r="H43" i="13" s="1"/>
  <c r="H17" i="1"/>
  <c r="P17" i="1" s="1"/>
  <c r="E42" i="10"/>
  <c r="E43" i="10" s="1"/>
  <c r="E14" i="1"/>
  <c r="J42" i="10"/>
  <c r="J43" i="10" s="1"/>
  <c r="J14" i="1"/>
  <c r="G42" i="9"/>
  <c r="G43" i="9" s="1"/>
  <c r="G13" i="1"/>
  <c r="J42" i="14"/>
  <c r="J43" i="14" s="1"/>
  <c r="J18" i="1"/>
  <c r="R18" i="1" s="1"/>
  <c r="M42" i="8"/>
  <c r="M43" i="8" s="1"/>
  <c r="M12" i="1"/>
  <c r="H42" i="15"/>
  <c r="H43" i="15" s="1"/>
  <c r="H19" i="1"/>
  <c r="P19" i="1" s="1"/>
  <c r="F42" i="14"/>
  <c r="F43" i="14" s="1"/>
  <c r="F18" i="1"/>
  <c r="N18" i="1" s="1"/>
  <c r="L42" i="14"/>
  <c r="L43" i="14" s="1"/>
  <c r="L18" i="1"/>
  <c r="L42" i="13"/>
  <c r="L43" i="13" s="1"/>
  <c r="L17" i="1"/>
  <c r="H42" i="9"/>
  <c r="H43" i="9" s="1"/>
  <c r="H13" i="1"/>
  <c r="H42" i="10"/>
  <c r="H43" i="10" s="1"/>
  <c r="H14" i="1"/>
  <c r="G42" i="13"/>
  <c r="G43" i="13" s="1"/>
  <c r="G17" i="1"/>
  <c r="O17" i="1" s="1"/>
  <c r="M42" i="15"/>
  <c r="M43" i="15" s="1"/>
  <c r="M19" i="1"/>
  <c r="E42" i="8"/>
  <c r="E43" i="8" s="1"/>
  <c r="E12" i="1"/>
  <c r="E42" i="14"/>
  <c r="E43" i="14" s="1"/>
  <c r="E18" i="1"/>
  <c r="J42" i="13"/>
  <c r="J43" i="13" s="1"/>
  <c r="J17" i="1"/>
  <c r="R17" i="1" s="1"/>
  <c r="F42" i="9"/>
  <c r="F43" i="9" s="1"/>
  <c r="F13" i="1"/>
  <c r="G42" i="15"/>
  <c r="G43" i="15" s="1"/>
  <c r="G19" i="1"/>
  <c r="O19" i="1" s="1"/>
  <c r="M42" i="13"/>
  <c r="M43" i="13" s="1"/>
  <c r="M17" i="1"/>
  <c r="M42" i="14"/>
  <c r="M43" i="14" s="1"/>
  <c r="M18" i="1"/>
  <c r="N42" i="6"/>
  <c r="U10" i="1"/>
  <c r="K41" i="9"/>
  <c r="K13" i="1" s="1"/>
  <c r="L42" i="4"/>
  <c r="L43" i="4" s="1"/>
  <c r="V8" i="1"/>
  <c r="O42" i="4"/>
  <c r="K6" i="17"/>
  <c r="J24" i="1"/>
  <c r="K18" i="17"/>
  <c r="S18" i="17"/>
  <c r="T18" i="17" s="1"/>
  <c r="K41" i="15"/>
  <c r="K19" i="1" s="1"/>
  <c r="R41" i="15"/>
  <c r="F6" i="1"/>
  <c r="N6" i="1" s="1"/>
  <c r="P41" i="8"/>
  <c r="R41" i="3"/>
  <c r="S23" i="3"/>
  <c r="T23" i="3" s="1"/>
  <c r="O42" i="6"/>
  <c r="N42" i="5"/>
  <c r="L5" i="17"/>
  <c r="L24" i="1" s="1"/>
  <c r="L23" i="1" s="1"/>
  <c r="K41" i="14"/>
  <c r="K18" i="1" s="1"/>
  <c r="K41" i="8"/>
  <c r="K12" i="1" s="1"/>
  <c r="L41" i="17"/>
  <c r="L42" i="17" s="1"/>
  <c r="L43" i="17" s="1"/>
  <c r="S31" i="3"/>
  <c r="T31" i="3" s="1"/>
  <c r="S25" i="3"/>
  <c r="T25" i="3" s="1"/>
  <c r="N41" i="13"/>
  <c r="N43" i="13" s="1"/>
  <c r="S32" i="8"/>
  <c r="T32" i="8" s="1"/>
  <c r="S36" i="8"/>
  <c r="T36" i="8" s="1"/>
  <c r="S40" i="8"/>
  <c r="T40" i="8" s="1"/>
  <c r="K41" i="16"/>
  <c r="K21" i="1" s="1"/>
  <c r="K41" i="10"/>
  <c r="K14" i="1" s="1"/>
  <c r="K41" i="3"/>
  <c r="K7" i="1" s="1"/>
  <c r="M42" i="3"/>
  <c r="M43" i="3" s="1"/>
  <c r="F5" i="17"/>
  <c r="F24" i="1" s="1"/>
  <c r="S32" i="13"/>
  <c r="T32" i="13" s="1"/>
  <c r="S29" i="10"/>
  <c r="T29" i="10" s="1"/>
  <c r="P41" i="10"/>
  <c r="H6" i="1"/>
  <c r="P6" i="1" s="1"/>
  <c r="S10" i="3"/>
  <c r="T10" i="3" s="1"/>
  <c r="S27" i="3"/>
  <c r="T27" i="3" s="1"/>
  <c r="S35" i="2"/>
  <c r="T35" i="2" s="1"/>
  <c r="K41" i="4"/>
  <c r="K8" i="1" s="1"/>
  <c r="G42" i="16"/>
  <c r="G43" i="16" s="1"/>
  <c r="G21" i="1"/>
  <c r="O21" i="1" s="1"/>
  <c r="J42" i="16"/>
  <c r="J43" i="16" s="1"/>
  <c r="J21" i="1"/>
  <c r="R21" i="1" s="1"/>
  <c r="E42" i="16"/>
  <c r="E43" i="16" s="1"/>
  <c r="E21" i="1"/>
  <c r="M42" i="16"/>
  <c r="M43" i="16" s="1"/>
  <c r="M21" i="1"/>
  <c r="H42" i="5"/>
  <c r="H43" i="5" s="1"/>
  <c r="H9" i="1"/>
  <c r="P9" i="1" s="1"/>
  <c r="W9" i="1" s="1"/>
  <c r="J42" i="6"/>
  <c r="J43" i="6" s="1"/>
  <c r="J10" i="1"/>
  <c r="R10" i="1" s="1"/>
  <c r="Y10" i="1" s="1"/>
  <c r="L42" i="16"/>
  <c r="L43" i="16" s="1"/>
  <c r="L21" i="1"/>
  <c r="E5" i="17"/>
  <c r="E41" i="17" s="1"/>
  <c r="E42" i="17" s="1"/>
  <c r="E43" i="17" s="1"/>
  <c r="H42" i="8"/>
  <c r="H43" i="8" s="1"/>
  <c r="K41" i="2"/>
  <c r="K6" i="1" s="1"/>
  <c r="F42" i="8"/>
  <c r="F43" i="8" s="1"/>
  <c r="J42" i="8"/>
  <c r="J43" i="8" s="1"/>
  <c r="H42" i="16"/>
  <c r="H43" i="16" s="1"/>
  <c r="H21" i="1"/>
  <c r="P21" i="1" s="1"/>
  <c r="H42" i="3"/>
  <c r="H43" i="3" s="1"/>
  <c r="H7" i="1"/>
  <c r="P7" i="1" s="1"/>
  <c r="J42" i="5"/>
  <c r="J43" i="5" s="1"/>
  <c r="J9" i="1"/>
  <c r="R9" i="1" s="1"/>
  <c r="Y9" i="1" s="1"/>
  <c r="K12" i="17"/>
  <c r="H42" i="11"/>
  <c r="H43" i="11" s="1"/>
  <c r="H15" i="1"/>
  <c r="P15" i="1" s="1"/>
  <c r="E42" i="4"/>
  <c r="E43" i="4" s="1"/>
  <c r="E8" i="1"/>
  <c r="F42" i="3"/>
  <c r="F43" i="3" s="1"/>
  <c r="F7" i="1"/>
  <c r="N7" i="1" s="1"/>
  <c r="H42" i="6"/>
  <c r="H43" i="6" s="1"/>
  <c r="H10" i="1"/>
  <c r="P10" i="1" s="1"/>
  <c r="W10" i="1" s="1"/>
  <c r="M42" i="4"/>
  <c r="M43" i="4" s="1"/>
  <c r="M8" i="1"/>
  <c r="J42" i="4"/>
  <c r="J43" i="4" s="1"/>
  <c r="J8" i="1"/>
  <c r="R8" i="1" s="1"/>
  <c r="S7" i="14"/>
  <c r="O41" i="14"/>
  <c r="S9" i="14"/>
  <c r="T9" i="14" s="1"/>
  <c r="S15" i="14"/>
  <c r="T15" i="14" s="1"/>
  <c r="J42" i="11"/>
  <c r="J43" i="11" s="1"/>
  <c r="J15" i="1"/>
  <c r="R15" i="1" s="1"/>
  <c r="S11" i="14"/>
  <c r="T11" i="14" s="1"/>
  <c r="S13" i="14"/>
  <c r="T13" i="14" s="1"/>
  <c r="G42" i="11"/>
  <c r="G43" i="11" s="1"/>
  <c r="G15" i="1"/>
  <c r="O15" i="1" s="1"/>
  <c r="AB5" i="18"/>
  <c r="AB7" i="18"/>
  <c r="AB9" i="18"/>
  <c r="AB11" i="18"/>
  <c r="AB13" i="18"/>
  <c r="AB15" i="18"/>
  <c r="AB17" i="18"/>
  <c r="AB6" i="18"/>
  <c r="AB10" i="18"/>
  <c r="AB14" i="18"/>
  <c r="AB18" i="18"/>
  <c r="AB20" i="18"/>
  <c r="AB8" i="18"/>
  <c r="AB12" i="18"/>
  <c r="AB16" i="18"/>
  <c r="AB19" i="18"/>
  <c r="AB21" i="18"/>
  <c r="AB23" i="18"/>
  <c r="AB25" i="18"/>
  <c r="AB22" i="18"/>
  <c r="AB26" i="18"/>
  <c r="AB28" i="18"/>
  <c r="AB30" i="18"/>
  <c r="AB32" i="18"/>
  <c r="AB34" i="18"/>
  <c r="AB36" i="18"/>
  <c r="AB38" i="18"/>
  <c r="AB40" i="18"/>
  <c r="AB24" i="18"/>
  <c r="AB27" i="18"/>
  <c r="AB29" i="18"/>
  <c r="AB31" i="18"/>
  <c r="AB33" i="18"/>
  <c r="AB35" i="18"/>
  <c r="AB37" i="18"/>
  <c r="AB39" i="18"/>
  <c r="T6" i="18"/>
  <c r="T14" i="18"/>
  <c r="T26" i="18"/>
  <c r="T24" i="18"/>
  <c r="U6" i="17"/>
  <c r="S6" i="17"/>
  <c r="O12" i="17"/>
  <c r="O41" i="17" s="1"/>
  <c r="G41" i="17"/>
  <c r="G42" i="17" s="1"/>
  <c r="G43" i="17" s="1"/>
  <c r="G5" i="17"/>
  <c r="N12" i="17"/>
  <c r="N41" i="17" s="1"/>
  <c r="F41" i="17"/>
  <c r="F42" i="17" s="1"/>
  <c r="F43" i="17" s="1"/>
  <c r="S15" i="17"/>
  <c r="V15" i="17"/>
  <c r="T16" i="17"/>
  <c r="T27" i="17"/>
  <c r="T31" i="17"/>
  <c r="V7" i="16"/>
  <c r="S7" i="16"/>
  <c r="T29" i="17"/>
  <c r="T14" i="16"/>
  <c r="T22" i="16"/>
  <c r="T30" i="16"/>
  <c r="T38" i="16"/>
  <c r="T8" i="16"/>
  <c r="T12" i="16"/>
  <c r="T16" i="16"/>
  <c r="T20" i="16"/>
  <c r="T24" i="16"/>
  <c r="T28" i="16"/>
  <c r="T32" i="16"/>
  <c r="T36" i="16"/>
  <c r="T40" i="16"/>
  <c r="S21" i="15"/>
  <c r="O41" i="15"/>
  <c r="S25" i="15"/>
  <c r="S29" i="15"/>
  <c r="S33" i="15"/>
  <c r="T24" i="15"/>
  <c r="T28" i="15"/>
  <c r="T32" i="15"/>
  <c r="T5" i="15"/>
  <c r="T9" i="15"/>
  <c r="T13" i="15"/>
  <c r="T17" i="15"/>
  <c r="S35" i="13"/>
  <c r="S39" i="13"/>
  <c r="T34" i="13"/>
  <c r="T38" i="13"/>
  <c r="T40" i="15"/>
  <c r="T8" i="14"/>
  <c r="T36" i="13"/>
  <c r="S32" i="10"/>
  <c r="V32" i="10"/>
  <c r="S36" i="10"/>
  <c r="V36" i="10"/>
  <c r="S40" i="10"/>
  <c r="V40" i="10"/>
  <c r="S30" i="9"/>
  <c r="V30" i="9"/>
  <c r="O41" i="9"/>
  <c r="S34" i="9"/>
  <c r="V34" i="9"/>
  <c r="S38" i="9"/>
  <c r="V38" i="9"/>
  <c r="T31" i="9"/>
  <c r="T35" i="9"/>
  <c r="T39" i="9"/>
  <c r="T23" i="8"/>
  <c r="T27" i="8"/>
  <c r="S33" i="8"/>
  <c r="V33" i="8"/>
  <c r="S37" i="8"/>
  <c r="V37" i="8"/>
  <c r="O41" i="6"/>
  <c r="S39" i="6"/>
  <c r="V39" i="6"/>
  <c r="O41" i="5"/>
  <c r="S39" i="5"/>
  <c r="V39" i="5"/>
  <c r="S7" i="4"/>
  <c r="V7" i="4"/>
  <c r="S11" i="4"/>
  <c r="V11" i="4"/>
  <c r="S15" i="4"/>
  <c r="V15" i="4"/>
  <c r="S19" i="4"/>
  <c r="V19" i="4"/>
  <c r="S23" i="4"/>
  <c r="V23" i="4"/>
  <c r="S27" i="4"/>
  <c r="V27" i="4"/>
  <c r="S31" i="4"/>
  <c r="V31" i="4"/>
  <c r="S35" i="4"/>
  <c r="V35" i="4"/>
  <c r="S39" i="4"/>
  <c r="V39" i="4"/>
  <c r="H42" i="4"/>
  <c r="H43" i="4" s="1"/>
  <c r="H8" i="1"/>
  <c r="P8" i="1" s="1"/>
  <c r="S7" i="3"/>
  <c r="V7" i="3"/>
  <c r="S11" i="3"/>
  <c r="V11" i="3"/>
  <c r="V15" i="3"/>
  <c r="S15" i="3"/>
  <c r="T33" i="10"/>
  <c r="T29" i="9"/>
  <c r="T25" i="8"/>
  <c r="T29" i="8"/>
  <c r="T6" i="4"/>
  <c r="S20" i="3"/>
  <c r="V20" i="3"/>
  <c r="S24" i="3"/>
  <c r="V24" i="3"/>
  <c r="S28" i="3"/>
  <c r="V28" i="3"/>
  <c r="S32" i="3"/>
  <c r="V32" i="3"/>
  <c r="S36" i="3"/>
  <c r="V36" i="3"/>
  <c r="S40" i="3"/>
  <c r="V40" i="3"/>
  <c r="G7" i="1"/>
  <c r="O7" i="1" s="1"/>
  <c r="G42" i="3"/>
  <c r="G43" i="3" s="1"/>
  <c r="S6" i="2"/>
  <c r="V6" i="2"/>
  <c r="O41" i="2"/>
  <c r="S10" i="2"/>
  <c r="V10" i="2"/>
  <c r="S14" i="2"/>
  <c r="V14" i="2"/>
  <c r="S18" i="2"/>
  <c r="V18" i="2"/>
  <c r="S22" i="2"/>
  <c r="V22" i="2"/>
  <c r="S26" i="2"/>
  <c r="V26" i="2"/>
  <c r="S30" i="2"/>
  <c r="V30" i="2"/>
  <c r="S34" i="2"/>
  <c r="V34" i="2"/>
  <c r="S38" i="2"/>
  <c r="V38" i="2"/>
  <c r="E42" i="2"/>
  <c r="E43" i="2" s="1"/>
  <c r="E6" i="1"/>
  <c r="J42" i="2"/>
  <c r="J43" i="2" s="1"/>
  <c r="J6" i="1"/>
  <c r="R6" i="1" s="1"/>
  <c r="T8" i="4"/>
  <c r="T12" i="4"/>
  <c r="T16" i="4"/>
  <c r="T24" i="4"/>
  <c r="T32" i="4"/>
  <c r="T40" i="4"/>
  <c r="T6" i="3"/>
  <c r="T14" i="3"/>
  <c r="T16" i="3"/>
  <c r="T7" i="2"/>
  <c r="T11" i="2"/>
  <c r="T15" i="2"/>
  <c r="T23" i="2"/>
  <c r="T17" i="3"/>
  <c r="T26" i="1"/>
  <c r="T39" i="2"/>
  <c r="T10" i="18"/>
  <c r="T8" i="18"/>
  <c r="T12" i="18"/>
  <c r="T16" i="18"/>
  <c r="R12" i="17"/>
  <c r="Y12" i="17" s="1"/>
  <c r="J41" i="17"/>
  <c r="J42" i="17" s="1"/>
  <c r="J43" i="17" s="1"/>
  <c r="V6" i="17"/>
  <c r="P12" i="17"/>
  <c r="W12" i="17" s="1"/>
  <c r="H41" i="17"/>
  <c r="H42" i="17" s="1"/>
  <c r="H43" i="17" s="1"/>
  <c r="S19" i="17"/>
  <c r="V19" i="17"/>
  <c r="S21" i="17"/>
  <c r="V21" i="17"/>
  <c r="T22" i="17"/>
  <c r="O41" i="16"/>
  <c r="S5" i="16"/>
  <c r="V5" i="16"/>
  <c r="T13" i="17"/>
  <c r="T33" i="17"/>
  <c r="T10" i="16"/>
  <c r="T18" i="16"/>
  <c r="T26" i="16"/>
  <c r="T34" i="16"/>
  <c r="S23" i="15"/>
  <c r="S27" i="15"/>
  <c r="S31" i="15"/>
  <c r="S35" i="15"/>
  <c r="T7" i="15"/>
  <c r="T11" i="15"/>
  <c r="T15" i="15"/>
  <c r="T19" i="15"/>
  <c r="T22" i="15"/>
  <c r="T26" i="15"/>
  <c r="T30" i="15"/>
  <c r="T36" i="15"/>
  <c r="S31" i="13"/>
  <c r="R41" i="13"/>
  <c r="S33" i="13"/>
  <c r="O41" i="13"/>
  <c r="S37" i="13"/>
  <c r="S40" i="13"/>
  <c r="P41" i="13"/>
  <c r="T38" i="15"/>
  <c r="T6" i="14"/>
  <c r="T12" i="14"/>
  <c r="S30" i="10"/>
  <c r="V30" i="10"/>
  <c r="O41" i="10"/>
  <c r="S34" i="10"/>
  <c r="V34" i="10"/>
  <c r="S38" i="10"/>
  <c r="V38" i="10"/>
  <c r="S32" i="9"/>
  <c r="V32" i="9"/>
  <c r="S36" i="9"/>
  <c r="V36" i="9"/>
  <c r="S40" i="9"/>
  <c r="V40" i="9"/>
  <c r="T35" i="10"/>
  <c r="T39" i="10"/>
  <c r="O41" i="8"/>
  <c r="S31" i="8"/>
  <c r="V31" i="8"/>
  <c r="S35" i="8"/>
  <c r="V35" i="8"/>
  <c r="S39" i="8"/>
  <c r="V39" i="8"/>
  <c r="O41" i="4"/>
  <c r="S5" i="4"/>
  <c r="V5" i="4"/>
  <c r="S9" i="4"/>
  <c r="V9" i="4"/>
  <c r="S13" i="4"/>
  <c r="V13" i="4"/>
  <c r="S17" i="4"/>
  <c r="V17" i="4"/>
  <c r="S21" i="4"/>
  <c r="V21" i="4"/>
  <c r="S25" i="4"/>
  <c r="V25" i="4"/>
  <c r="S29" i="4"/>
  <c r="V29" i="4"/>
  <c r="S33" i="4"/>
  <c r="V33" i="4"/>
  <c r="S37" i="4"/>
  <c r="V37" i="4"/>
  <c r="F42" i="4"/>
  <c r="F43" i="4" s="1"/>
  <c r="F8" i="1"/>
  <c r="N8" i="1" s="1"/>
  <c r="S5" i="3"/>
  <c r="V5" i="3"/>
  <c r="O41" i="3"/>
  <c r="S9" i="3"/>
  <c r="V9" i="3"/>
  <c r="S13" i="3"/>
  <c r="V13" i="3"/>
  <c r="T5" i="11"/>
  <c r="T41" i="11" s="1"/>
  <c r="S41" i="11"/>
  <c r="T33" i="9"/>
  <c r="T10" i="4"/>
  <c r="T14" i="4"/>
  <c r="T18" i="4"/>
  <c r="T22" i="4"/>
  <c r="T26" i="4"/>
  <c r="T30" i="4"/>
  <c r="T34" i="4"/>
  <c r="T38" i="4"/>
  <c r="T8" i="3"/>
  <c r="T12" i="3"/>
  <c r="S18" i="3"/>
  <c r="V18" i="3"/>
  <c r="S22" i="3"/>
  <c r="V22" i="3"/>
  <c r="S26" i="3"/>
  <c r="V26" i="3"/>
  <c r="S30" i="3"/>
  <c r="V30" i="3"/>
  <c r="S34" i="3"/>
  <c r="V34" i="3"/>
  <c r="S38" i="3"/>
  <c r="V38" i="3"/>
  <c r="E7" i="1"/>
  <c r="E42" i="3"/>
  <c r="E43" i="3" s="1"/>
  <c r="J7" i="1"/>
  <c r="R7" i="1" s="1"/>
  <c r="J42" i="3"/>
  <c r="J43" i="3" s="1"/>
  <c r="S8" i="2"/>
  <c r="V8" i="2"/>
  <c r="S12" i="2"/>
  <c r="V12" i="2"/>
  <c r="S16" i="2"/>
  <c r="V16" i="2"/>
  <c r="S20" i="2"/>
  <c r="V20" i="2"/>
  <c r="S24" i="2"/>
  <c r="V24" i="2"/>
  <c r="S28" i="2"/>
  <c r="V28" i="2"/>
  <c r="S32" i="2"/>
  <c r="V32" i="2"/>
  <c r="S36" i="2"/>
  <c r="V36" i="2"/>
  <c r="S40" i="2"/>
  <c r="V40" i="2"/>
  <c r="G42" i="2"/>
  <c r="G43" i="2" s="1"/>
  <c r="G6" i="1"/>
  <c r="T19" i="3"/>
  <c r="T35" i="3"/>
  <c r="T39" i="3"/>
  <c r="T21" i="3"/>
  <c r="T29" i="3"/>
  <c r="T33" i="3"/>
  <c r="T37" i="3"/>
  <c r="T13" i="2"/>
  <c r="T21" i="2"/>
  <c r="T29" i="2"/>
  <c r="T37" i="2"/>
  <c r="T27" i="2"/>
  <c r="S42" i="18"/>
  <c r="O43" i="5" l="1"/>
  <c r="AA6" i="5" s="1"/>
  <c r="Z5" i="18"/>
  <c r="AA33" i="18"/>
  <c r="Z33" i="18"/>
  <c r="Z21" i="18"/>
  <c r="Z26" i="18"/>
  <c r="Z6" i="18"/>
  <c r="Z36" i="18"/>
  <c r="Z12" i="18"/>
  <c r="Z28" i="18"/>
  <c r="Z13" i="18"/>
  <c r="N43" i="6"/>
  <c r="Z9" i="6" s="1"/>
  <c r="Z39" i="18"/>
  <c r="Z31" i="18"/>
  <c r="Z22" i="18"/>
  <c r="Z34" i="18"/>
  <c r="Z24" i="18"/>
  <c r="Z19" i="18"/>
  <c r="Z20" i="18"/>
  <c r="Z8" i="18"/>
  <c r="Z11" i="18"/>
  <c r="Z37" i="18"/>
  <c r="Z29" i="18"/>
  <c r="Z40" i="18"/>
  <c r="Z32" i="18"/>
  <c r="Z25" i="18"/>
  <c r="Z14" i="18"/>
  <c r="Z18" i="18"/>
  <c r="Z17" i="18"/>
  <c r="Z9" i="18"/>
  <c r="Z35" i="18"/>
  <c r="Z27" i="18"/>
  <c r="Z38" i="18"/>
  <c r="Z30" i="18"/>
  <c r="Z23" i="18"/>
  <c r="Z10" i="18"/>
  <c r="Z16" i="18"/>
  <c r="Z15" i="18"/>
  <c r="AA15" i="18"/>
  <c r="Z39" i="11"/>
  <c r="Z36" i="11"/>
  <c r="Z7" i="11"/>
  <c r="AA34" i="18"/>
  <c r="AA20" i="18"/>
  <c r="AA6" i="18"/>
  <c r="AA25" i="18"/>
  <c r="AA9" i="18"/>
  <c r="AA23" i="18"/>
  <c r="AA14" i="18"/>
  <c r="S41" i="18"/>
  <c r="S43" i="18" s="1"/>
  <c r="K5" i="17"/>
  <c r="K24" i="1" s="1"/>
  <c r="K23" i="1" s="1"/>
  <c r="N43" i="5"/>
  <c r="Z7" i="5" s="1"/>
  <c r="AD39" i="18"/>
  <c r="AD21" i="18"/>
  <c r="Z20" i="11"/>
  <c r="Z23" i="11"/>
  <c r="AD40" i="18"/>
  <c r="AD26" i="18"/>
  <c r="AD12" i="18"/>
  <c r="Z28" i="11"/>
  <c r="Z12" i="11"/>
  <c r="Z31" i="11"/>
  <c r="Z15" i="11"/>
  <c r="AA38" i="18"/>
  <c r="AA30" i="18"/>
  <c r="AA37" i="18"/>
  <c r="AA29" i="18"/>
  <c r="AA24" i="18"/>
  <c r="AA17" i="18"/>
  <c r="AA21" i="18"/>
  <c r="AA7" i="18"/>
  <c r="AA10" i="18"/>
  <c r="K42" i="10"/>
  <c r="K43" i="10" s="1"/>
  <c r="K42" i="8"/>
  <c r="K43" i="8" s="1"/>
  <c r="P5" i="17"/>
  <c r="W5" i="17" s="1"/>
  <c r="AD32" i="18"/>
  <c r="AD31" i="18"/>
  <c r="AD18" i="18"/>
  <c r="AD9" i="18"/>
  <c r="K42" i="13"/>
  <c r="K43" i="13" s="1"/>
  <c r="Z40" i="11"/>
  <c r="Z32" i="11"/>
  <c r="Z24" i="11"/>
  <c r="Z16" i="11"/>
  <c r="Z8" i="11"/>
  <c r="Z35" i="11"/>
  <c r="Z27" i="11"/>
  <c r="Z19" i="11"/>
  <c r="Z11" i="11"/>
  <c r="R5" i="17"/>
  <c r="Y5" i="17" s="1"/>
  <c r="AD6" i="18"/>
  <c r="S19" i="1"/>
  <c r="P14" i="1"/>
  <c r="R14" i="1"/>
  <c r="N14" i="1"/>
  <c r="N13" i="1"/>
  <c r="N42" i="9" s="1"/>
  <c r="N43" i="9" s="1"/>
  <c r="P13" i="1"/>
  <c r="R13" i="1"/>
  <c r="O14" i="1"/>
  <c r="N5" i="17"/>
  <c r="U5" i="17" s="1"/>
  <c r="AD36" i="18"/>
  <c r="AD28" i="18"/>
  <c r="AD35" i="18"/>
  <c r="AD27" i="18"/>
  <c r="AD22" i="18"/>
  <c r="AD11" i="18"/>
  <c r="AD17" i="18"/>
  <c r="AD16" i="18"/>
  <c r="Z38" i="11"/>
  <c r="Z34" i="11"/>
  <c r="Z30" i="11"/>
  <c r="Z26" i="11"/>
  <c r="Z22" i="11"/>
  <c r="Z18" i="11"/>
  <c r="Z14" i="11"/>
  <c r="Z10" i="11"/>
  <c r="Z6" i="11"/>
  <c r="Z37" i="11"/>
  <c r="Z33" i="11"/>
  <c r="Z29" i="11"/>
  <c r="Z25" i="11"/>
  <c r="Z21" i="11"/>
  <c r="Z17" i="11"/>
  <c r="Z13" i="11"/>
  <c r="Z9" i="11"/>
  <c r="K41" i="17"/>
  <c r="J11" i="1"/>
  <c r="K16" i="1"/>
  <c r="AA40" i="18"/>
  <c r="AA36" i="18"/>
  <c r="AA32" i="18"/>
  <c r="AA28" i="18"/>
  <c r="AA39" i="18"/>
  <c r="AA35" i="18"/>
  <c r="AA31" i="18"/>
  <c r="AA27" i="18"/>
  <c r="AA26" i="18"/>
  <c r="AA22" i="18"/>
  <c r="AA18" i="18"/>
  <c r="AA13" i="18"/>
  <c r="AA5" i="18"/>
  <c r="AA19" i="18"/>
  <c r="AA11" i="18"/>
  <c r="AA16" i="18"/>
  <c r="AA12" i="18"/>
  <c r="K42" i="9"/>
  <c r="K43" i="9" s="1"/>
  <c r="K42" i="15"/>
  <c r="K43" i="15" s="1"/>
  <c r="K42" i="14"/>
  <c r="K43" i="14" s="1"/>
  <c r="O43" i="6"/>
  <c r="AA8" i="6" s="1"/>
  <c r="P42" i="15"/>
  <c r="P43" i="15" s="1"/>
  <c r="AB39" i="15" s="1"/>
  <c r="O43" i="4"/>
  <c r="AA6" i="4" s="1"/>
  <c r="R42" i="15"/>
  <c r="R43" i="15" s="1"/>
  <c r="Z37" i="13"/>
  <c r="Z34" i="13"/>
  <c r="Z32" i="13"/>
  <c r="Z31" i="13"/>
  <c r="Z30" i="13"/>
  <c r="Z27" i="13"/>
  <c r="Z26" i="13"/>
  <c r="Z24" i="13"/>
  <c r="Z23" i="13"/>
  <c r="Z19" i="13"/>
  <c r="Z18" i="13"/>
  <c r="Z15" i="13"/>
  <c r="Z13" i="13"/>
  <c r="Z9" i="13"/>
  <c r="Z5" i="13"/>
  <c r="Z40" i="13"/>
  <c r="Z39" i="13"/>
  <c r="Z38" i="13"/>
  <c r="Z36" i="13"/>
  <c r="Z35" i="13"/>
  <c r="Z33" i="13"/>
  <c r="Z29" i="13"/>
  <c r="Z28" i="13"/>
  <c r="Z25" i="13"/>
  <c r="Z22" i="13"/>
  <c r="Z21" i="13"/>
  <c r="Z20" i="13"/>
  <c r="Z17" i="13"/>
  <c r="Z16" i="13"/>
  <c r="Z14" i="13"/>
  <c r="Z12" i="13"/>
  <c r="Z11" i="13"/>
  <c r="Z10" i="13"/>
  <c r="Z8" i="13"/>
  <c r="Z7" i="13"/>
  <c r="Z6" i="13"/>
  <c r="O42" i="15"/>
  <c r="O43" i="15" s="1"/>
  <c r="L16" i="1"/>
  <c r="M11" i="1"/>
  <c r="Z5" i="16"/>
  <c r="Z9" i="16"/>
  <c r="Z13" i="16"/>
  <c r="Z17" i="16"/>
  <c r="Z21" i="16"/>
  <c r="Z25" i="16"/>
  <c r="Z29" i="16"/>
  <c r="Z33" i="16"/>
  <c r="Z37" i="16"/>
  <c r="Z6" i="16"/>
  <c r="Z12" i="16"/>
  <c r="Z20" i="16"/>
  <c r="Z28" i="16"/>
  <c r="Z36" i="16"/>
  <c r="Z10" i="16"/>
  <c r="Z18" i="16"/>
  <c r="Z26" i="16"/>
  <c r="Z34" i="16"/>
  <c r="Z7" i="16"/>
  <c r="Z11" i="16"/>
  <c r="Z15" i="16"/>
  <c r="Z19" i="16"/>
  <c r="Z23" i="16"/>
  <c r="Z27" i="16"/>
  <c r="Z31" i="16"/>
  <c r="Z35" i="16"/>
  <c r="Z39" i="16"/>
  <c r="Z8" i="16"/>
  <c r="Z16" i="16"/>
  <c r="Z24" i="16"/>
  <c r="Z32" i="16"/>
  <c r="Z40" i="16"/>
  <c r="Z14" i="16"/>
  <c r="Z22" i="16"/>
  <c r="Z30" i="16"/>
  <c r="Z38" i="16"/>
  <c r="K11" i="1"/>
  <c r="R42" i="8"/>
  <c r="R43" i="8" s="1"/>
  <c r="Y12" i="1"/>
  <c r="U12" i="1"/>
  <c r="S12" i="1"/>
  <c r="T12" i="1" s="1"/>
  <c r="N42" i="8"/>
  <c r="N43" i="8" s="1"/>
  <c r="P42" i="8"/>
  <c r="P43" i="8" s="1"/>
  <c r="W12" i="1"/>
  <c r="G11" i="1"/>
  <c r="O13" i="1"/>
  <c r="R41" i="17"/>
  <c r="P41" i="17"/>
  <c r="M16" i="1"/>
  <c r="J16" i="1"/>
  <c r="E11" i="1"/>
  <c r="G16" i="1"/>
  <c r="F11" i="1"/>
  <c r="H11" i="1"/>
  <c r="H16" i="1"/>
  <c r="F16" i="1"/>
  <c r="O42" i="8"/>
  <c r="O43" i="8" s="1"/>
  <c r="V12" i="1"/>
  <c r="E16" i="1"/>
  <c r="N42" i="15"/>
  <c r="N43" i="15" s="1"/>
  <c r="L11" i="1"/>
  <c r="AD38" i="18"/>
  <c r="AD34" i="18"/>
  <c r="AD30" i="18"/>
  <c r="AD23" i="18"/>
  <c r="AD37" i="18"/>
  <c r="AD33" i="18"/>
  <c r="AD29" i="18"/>
  <c r="AD25" i="18"/>
  <c r="AD24" i="18"/>
  <c r="AD20" i="18"/>
  <c r="AD15" i="18"/>
  <c r="AD7" i="18"/>
  <c r="AD19" i="18"/>
  <c r="AD13" i="18"/>
  <c r="AD5" i="18"/>
  <c r="AD14" i="18"/>
  <c r="AD10" i="18"/>
  <c r="E24" i="1"/>
  <c r="R42" i="16"/>
  <c r="O42" i="16"/>
  <c r="O43" i="16" s="1"/>
  <c r="AA6" i="16" s="1"/>
  <c r="P42" i="5"/>
  <c r="P43" i="5" s="1"/>
  <c r="R42" i="6"/>
  <c r="K42" i="16"/>
  <c r="K43" i="16" s="1"/>
  <c r="P42" i="16"/>
  <c r="P43" i="16" s="1"/>
  <c r="S21" i="1"/>
  <c r="R42" i="5"/>
  <c r="R43" i="5" s="1"/>
  <c r="S9" i="1"/>
  <c r="W7" i="1"/>
  <c r="P42" i="3"/>
  <c r="P43" i="3" s="1"/>
  <c r="AB5" i="3" s="1"/>
  <c r="K42" i="5"/>
  <c r="K43" i="5" s="1"/>
  <c r="K42" i="6"/>
  <c r="K43" i="6" s="1"/>
  <c r="N42" i="3"/>
  <c r="U7" i="1"/>
  <c r="P42" i="11"/>
  <c r="P43" i="11" s="1"/>
  <c r="P42" i="6"/>
  <c r="P43" i="6" s="1"/>
  <c r="S10" i="1"/>
  <c r="R42" i="4"/>
  <c r="Y8" i="1"/>
  <c r="K42" i="11"/>
  <c r="K43" i="11" s="1"/>
  <c r="T7" i="14"/>
  <c r="T41" i="14" s="1"/>
  <c r="S41" i="14"/>
  <c r="S41" i="2"/>
  <c r="O42" i="11"/>
  <c r="O43" i="11" s="1"/>
  <c r="S15" i="1"/>
  <c r="R42" i="11"/>
  <c r="R43" i="11" s="1"/>
  <c r="K42" i="2"/>
  <c r="K43" i="2" s="1"/>
  <c r="R42" i="3"/>
  <c r="R43" i="3" s="1"/>
  <c r="Y7" i="1"/>
  <c r="T13" i="3"/>
  <c r="T9" i="3"/>
  <c r="K42" i="4"/>
  <c r="K43" i="4" s="1"/>
  <c r="T39" i="8"/>
  <c r="T31" i="8"/>
  <c r="T40" i="9"/>
  <c r="T32" i="9"/>
  <c r="T38" i="10"/>
  <c r="T34" i="10"/>
  <c r="T40" i="13"/>
  <c r="T37" i="13"/>
  <c r="T33" i="13"/>
  <c r="T31" i="15"/>
  <c r="T23" i="15"/>
  <c r="W6" i="1"/>
  <c r="P42" i="2"/>
  <c r="P43" i="2" s="1"/>
  <c r="T38" i="2"/>
  <c r="T34" i="2"/>
  <c r="T30" i="2"/>
  <c r="T26" i="2"/>
  <c r="T22" i="2"/>
  <c r="T18" i="2"/>
  <c r="T14" i="2"/>
  <c r="T10" i="2"/>
  <c r="O42" i="3"/>
  <c r="O43" i="3" s="1"/>
  <c r="V7" i="1"/>
  <c r="S7" i="1"/>
  <c r="T11" i="3"/>
  <c r="T7" i="3"/>
  <c r="P42" i="4"/>
  <c r="P43" i="4" s="1"/>
  <c r="W8" i="1"/>
  <c r="T39" i="4"/>
  <c r="T35" i="4"/>
  <c r="T31" i="4"/>
  <c r="T27" i="4"/>
  <c r="T23" i="4"/>
  <c r="T19" i="4"/>
  <c r="T15" i="4"/>
  <c r="T11" i="4"/>
  <c r="T7" i="4"/>
  <c r="S41" i="5"/>
  <c r="T39" i="5"/>
  <c r="T41" i="5" s="1"/>
  <c r="T39" i="6"/>
  <c r="T41" i="6" s="1"/>
  <c r="S41" i="6"/>
  <c r="T33" i="8"/>
  <c r="T38" i="9"/>
  <c r="T40" i="10"/>
  <c r="T36" i="10"/>
  <c r="T32" i="10"/>
  <c r="S41" i="15"/>
  <c r="T33" i="15"/>
  <c r="T25" i="15"/>
  <c r="T21" i="15"/>
  <c r="T7" i="16"/>
  <c r="K42" i="17"/>
  <c r="O5" i="17"/>
  <c r="G24" i="1"/>
  <c r="V12" i="17"/>
  <c r="T6" i="17"/>
  <c r="T41" i="18"/>
  <c r="T43" i="18" s="1"/>
  <c r="J23" i="1"/>
  <c r="R24" i="1"/>
  <c r="U6" i="1"/>
  <c r="N42" i="2"/>
  <c r="N43" i="2" s="1"/>
  <c r="O6" i="1"/>
  <c r="T40" i="2"/>
  <c r="T36" i="2"/>
  <c r="T32" i="2"/>
  <c r="T28" i="2"/>
  <c r="T24" i="2"/>
  <c r="T20" i="2"/>
  <c r="T16" i="2"/>
  <c r="T12" i="2"/>
  <c r="T8" i="2"/>
  <c r="T38" i="3"/>
  <c r="T34" i="3"/>
  <c r="T30" i="3"/>
  <c r="T26" i="3"/>
  <c r="T22" i="3"/>
  <c r="T18" i="3"/>
  <c r="S41" i="3"/>
  <c r="T5" i="3"/>
  <c r="N42" i="4"/>
  <c r="N43" i="4" s="1"/>
  <c r="U8" i="1"/>
  <c r="S8" i="1"/>
  <c r="T37" i="4"/>
  <c r="T33" i="4"/>
  <c r="T29" i="4"/>
  <c r="T25" i="4"/>
  <c r="T21" i="4"/>
  <c r="T17" i="4"/>
  <c r="T13" i="4"/>
  <c r="T9" i="4"/>
  <c r="S41" i="4"/>
  <c r="T5" i="4"/>
  <c r="T35" i="8"/>
  <c r="T36" i="9"/>
  <c r="S41" i="10"/>
  <c r="T30" i="10"/>
  <c r="T31" i="13"/>
  <c r="S41" i="13"/>
  <c r="T35" i="15"/>
  <c r="T27" i="15"/>
  <c r="T5" i="16"/>
  <c r="S41" i="16"/>
  <c r="T21" i="17"/>
  <c r="T19" i="17"/>
  <c r="H23" i="1"/>
  <c r="P24" i="1"/>
  <c r="F23" i="1"/>
  <c r="N24" i="1"/>
  <c r="T6" i="2"/>
  <c r="K42" i="3"/>
  <c r="K43" i="3" s="1"/>
  <c r="T40" i="3"/>
  <c r="T36" i="3"/>
  <c r="T32" i="3"/>
  <c r="T28" i="3"/>
  <c r="T24" i="3"/>
  <c r="T20" i="3"/>
  <c r="T15" i="3"/>
  <c r="AA36" i="5"/>
  <c r="T37" i="8"/>
  <c r="S41" i="8"/>
  <c r="T34" i="9"/>
  <c r="S41" i="9"/>
  <c r="T30" i="9"/>
  <c r="T39" i="13"/>
  <c r="T35" i="13"/>
  <c r="T29" i="15"/>
  <c r="T15" i="17"/>
  <c r="S12" i="17"/>
  <c r="S41" i="17" s="1"/>
  <c r="U12" i="17"/>
  <c r="AA31" i="5" l="1"/>
  <c r="AA28" i="5"/>
  <c r="AA15" i="5"/>
  <c r="AA20" i="5"/>
  <c r="AA23" i="5"/>
  <c r="AA39" i="5"/>
  <c r="AA7" i="5"/>
  <c r="AA12" i="5"/>
  <c r="AA29" i="5"/>
  <c r="AA13" i="5"/>
  <c r="AA34" i="5"/>
  <c r="AA18" i="5"/>
  <c r="AA32" i="5"/>
  <c r="AA37" i="5"/>
  <c r="AA21" i="5"/>
  <c r="AA5" i="5"/>
  <c r="AA26" i="5"/>
  <c r="AA10" i="5"/>
  <c r="AA35" i="5"/>
  <c r="AA27" i="5"/>
  <c r="AA19" i="5"/>
  <c r="AA11" i="5"/>
  <c r="AA40" i="5"/>
  <c r="AA24" i="5"/>
  <c r="AA16" i="5"/>
  <c r="AA8" i="5"/>
  <c r="AA33" i="5"/>
  <c r="AA25" i="5"/>
  <c r="AA17" i="5"/>
  <c r="AA9" i="5"/>
  <c r="AA38" i="5"/>
  <c r="AA30" i="5"/>
  <c r="AA22" i="5"/>
  <c r="AA14" i="5"/>
  <c r="Z24" i="6"/>
  <c r="Z37" i="6"/>
  <c r="Z31" i="6"/>
  <c r="Z30" i="6"/>
  <c r="Z28" i="6"/>
  <c r="Z34" i="6"/>
  <c r="Z5" i="6"/>
  <c r="Z27" i="6"/>
  <c r="Z33" i="6"/>
  <c r="Z12" i="6"/>
  <c r="Z15" i="6"/>
  <c r="Z18" i="6"/>
  <c r="Z21" i="6"/>
  <c r="Z40" i="6"/>
  <c r="Z8" i="6"/>
  <c r="Z11" i="6"/>
  <c r="Z14" i="6"/>
  <c r="Z17" i="6"/>
  <c r="Z36" i="6"/>
  <c r="Z20" i="6"/>
  <c r="Z39" i="6"/>
  <c r="Z23" i="6"/>
  <c r="Z7" i="6"/>
  <c r="Z26" i="6"/>
  <c r="Z10" i="6"/>
  <c r="Z29" i="6"/>
  <c r="Z13" i="6"/>
  <c r="Z32" i="6"/>
  <c r="Z16" i="6"/>
  <c r="Z35" i="6"/>
  <c r="Z19" i="6"/>
  <c r="Z38" i="6"/>
  <c r="Z22" i="6"/>
  <c r="Z6" i="6"/>
  <c r="Z25" i="6"/>
  <c r="Z12" i="5"/>
  <c r="AA19" i="4"/>
  <c r="Z28" i="5"/>
  <c r="AA24" i="4"/>
  <c r="Z15" i="5"/>
  <c r="Z22" i="5"/>
  <c r="Z31" i="5"/>
  <c r="Z19" i="5"/>
  <c r="Z35" i="5"/>
  <c r="Z16" i="5"/>
  <c r="Z32" i="5"/>
  <c r="Z30" i="5"/>
  <c r="Z23" i="5"/>
  <c r="Z39" i="5"/>
  <c r="Z20" i="5"/>
  <c r="Z36" i="5"/>
  <c r="Z11" i="5"/>
  <c r="Z27" i="5"/>
  <c r="Z8" i="5"/>
  <c r="Z24" i="5"/>
  <c r="Z40" i="5"/>
  <c r="Z10" i="5"/>
  <c r="AA6" i="6"/>
  <c r="AB8" i="3"/>
  <c r="AA33" i="6"/>
  <c r="AA38" i="6"/>
  <c r="Z17" i="5"/>
  <c r="Z25" i="5"/>
  <c r="Z29" i="5"/>
  <c r="Z33" i="5"/>
  <c r="Z38" i="5"/>
  <c r="Z26" i="5"/>
  <c r="Z5" i="5"/>
  <c r="Z9" i="5"/>
  <c r="Z6" i="5"/>
  <c r="Z21" i="5"/>
  <c r="Z14" i="5"/>
  <c r="Z34" i="5"/>
  <c r="Z18" i="5"/>
  <c r="Z13" i="5"/>
  <c r="Z37" i="5"/>
  <c r="AA11" i="4"/>
  <c r="AA16" i="4"/>
  <c r="AA35" i="4"/>
  <c r="AA40" i="4"/>
  <c r="AA8" i="4"/>
  <c r="AA27" i="4"/>
  <c r="AA32" i="4"/>
  <c r="K43" i="17"/>
  <c r="E23" i="1"/>
  <c r="AB31" i="3"/>
  <c r="AA25" i="6"/>
  <c r="AA30" i="6"/>
  <c r="AA17" i="6"/>
  <c r="AA22" i="6"/>
  <c r="AB40" i="3"/>
  <c r="AA9" i="6"/>
  <c r="AA14" i="6"/>
  <c r="AB24" i="3"/>
  <c r="AA21" i="16"/>
  <c r="AA36" i="16"/>
  <c r="AA23" i="16"/>
  <c r="AA20" i="16"/>
  <c r="AA37" i="6"/>
  <c r="AA29" i="6"/>
  <c r="AA21" i="6"/>
  <c r="AA13" i="6"/>
  <c r="AA5" i="6"/>
  <c r="AA34" i="6"/>
  <c r="AA26" i="6"/>
  <c r="AA18" i="6"/>
  <c r="AA10" i="6"/>
  <c r="AB39" i="3"/>
  <c r="AB23" i="3"/>
  <c r="AB32" i="3"/>
  <c r="AB16" i="3"/>
  <c r="AB11" i="3"/>
  <c r="AA39" i="4"/>
  <c r="AA31" i="4"/>
  <c r="AA23" i="4"/>
  <c r="AA15" i="4"/>
  <c r="AA7" i="4"/>
  <c r="AA36" i="4"/>
  <c r="AA28" i="4"/>
  <c r="AA20" i="4"/>
  <c r="AA12" i="4"/>
  <c r="AB35" i="3"/>
  <c r="AB27" i="3"/>
  <c r="AB19" i="3"/>
  <c r="AB36" i="3"/>
  <c r="AB28" i="3"/>
  <c r="AB20" i="3"/>
  <c r="AB12" i="3"/>
  <c r="AB15" i="3"/>
  <c r="AB7" i="3"/>
  <c r="S14" i="1"/>
  <c r="S42" i="10" s="1"/>
  <c r="S43" i="10" s="1"/>
  <c r="AA37" i="16"/>
  <c r="AA39" i="16"/>
  <c r="AA7" i="16"/>
  <c r="AA28" i="16"/>
  <c r="AA12" i="16"/>
  <c r="N42" i="10"/>
  <c r="N43" i="10" s="1"/>
  <c r="L5" i="1"/>
  <c r="L41" i="1" s="1"/>
  <c r="L42" i="1" s="1"/>
  <c r="L43" i="1" s="1"/>
  <c r="P42" i="10"/>
  <c r="P43" i="10" s="1"/>
  <c r="O42" i="10"/>
  <c r="O43" i="10" s="1"/>
  <c r="P42" i="9"/>
  <c r="P43" i="9" s="1"/>
  <c r="AA29" i="16"/>
  <c r="AA13" i="16"/>
  <c r="AA31" i="16"/>
  <c r="AA15" i="16"/>
  <c r="AA40" i="16"/>
  <c r="AA32" i="16"/>
  <c r="AA24" i="16"/>
  <c r="AA16" i="16"/>
  <c r="AA8" i="16"/>
  <c r="S13" i="1"/>
  <c r="S42" i="9" s="1"/>
  <c r="S43" i="9" s="1"/>
  <c r="R42" i="10"/>
  <c r="R43" i="10" s="1"/>
  <c r="R42" i="9"/>
  <c r="R43" i="9" s="1"/>
  <c r="N11" i="1"/>
  <c r="P11" i="1"/>
  <c r="R11" i="1"/>
  <c r="O11" i="1"/>
  <c r="AB6" i="15"/>
  <c r="AB38" i="15"/>
  <c r="O42" i="14"/>
  <c r="O43" i="14" s="1"/>
  <c r="AA37" i="14" s="1"/>
  <c r="P42" i="14"/>
  <c r="P43" i="14" s="1"/>
  <c r="AB39" i="14" s="1"/>
  <c r="R42" i="14"/>
  <c r="R43" i="14" s="1"/>
  <c r="AD18" i="14" s="1"/>
  <c r="S17" i="1"/>
  <c r="S18" i="1"/>
  <c r="S42" i="14" s="1"/>
  <c r="S43" i="14" s="1"/>
  <c r="N42" i="14"/>
  <c r="N43" i="14" s="1"/>
  <c r="Z39" i="14" s="1"/>
  <c r="AB22" i="15"/>
  <c r="AB14" i="15"/>
  <c r="AB30" i="15"/>
  <c r="T41" i="9"/>
  <c r="AA39" i="6"/>
  <c r="AA35" i="6"/>
  <c r="AA31" i="6"/>
  <c r="AA27" i="6"/>
  <c r="AA23" i="6"/>
  <c r="AA19" i="6"/>
  <c r="AA15" i="6"/>
  <c r="AA11" i="6"/>
  <c r="AA7" i="6"/>
  <c r="AA40" i="6"/>
  <c r="AA36" i="6"/>
  <c r="AA32" i="6"/>
  <c r="AA28" i="6"/>
  <c r="AA24" i="6"/>
  <c r="AA20" i="6"/>
  <c r="AA16" i="6"/>
  <c r="AA12" i="6"/>
  <c r="T41" i="10"/>
  <c r="AA37" i="4"/>
  <c r="AA33" i="4"/>
  <c r="AA29" i="4"/>
  <c r="AA25" i="4"/>
  <c r="AA21" i="4"/>
  <c r="AA17" i="4"/>
  <c r="AA13" i="4"/>
  <c r="AA9" i="4"/>
  <c r="AA5" i="4"/>
  <c r="AA38" i="4"/>
  <c r="AA34" i="4"/>
  <c r="AA30" i="4"/>
  <c r="AA26" i="4"/>
  <c r="AA22" i="4"/>
  <c r="AA18" i="4"/>
  <c r="AA14" i="4"/>
  <c r="AA10" i="4"/>
  <c r="AA33" i="16"/>
  <c r="AA25" i="16"/>
  <c r="AA17" i="16"/>
  <c r="AA9" i="16"/>
  <c r="AA35" i="16"/>
  <c r="AA27" i="16"/>
  <c r="AA19" i="16"/>
  <c r="AA11" i="16"/>
  <c r="AA5" i="16"/>
  <c r="AA38" i="16"/>
  <c r="AA34" i="16"/>
  <c r="AA30" i="16"/>
  <c r="AA26" i="16"/>
  <c r="AA22" i="16"/>
  <c r="AA18" i="16"/>
  <c r="AA14" i="16"/>
  <c r="AA10" i="16"/>
  <c r="AB10" i="15"/>
  <c r="AB18" i="15"/>
  <c r="AB26" i="15"/>
  <c r="AB34" i="15"/>
  <c r="T41" i="15"/>
  <c r="T41" i="2"/>
  <c r="AB37" i="3"/>
  <c r="AB33" i="3"/>
  <c r="AB29" i="3"/>
  <c r="AB25" i="3"/>
  <c r="AB21" i="3"/>
  <c r="AB17" i="3"/>
  <c r="AB38" i="3"/>
  <c r="AB34" i="3"/>
  <c r="AB30" i="3"/>
  <c r="AB26" i="3"/>
  <c r="AB22" i="3"/>
  <c r="AB18" i="3"/>
  <c r="AB14" i="3"/>
  <c r="AB10" i="3"/>
  <c r="AB6" i="3"/>
  <c r="AB13" i="3"/>
  <c r="AB9" i="3"/>
  <c r="M5" i="1"/>
  <c r="M41" i="1" s="1"/>
  <c r="M42" i="1" s="1"/>
  <c r="M43" i="1" s="1"/>
  <c r="AB8" i="15"/>
  <c r="AB12" i="15"/>
  <c r="AB16" i="15"/>
  <c r="AB20" i="15"/>
  <c r="AB24" i="15"/>
  <c r="AB28" i="15"/>
  <c r="AB32" i="15"/>
  <c r="AB36" i="15"/>
  <c r="AB40" i="15"/>
  <c r="O16" i="1"/>
  <c r="AB5" i="15"/>
  <c r="AB7" i="15"/>
  <c r="AB9" i="15"/>
  <c r="AB11" i="15"/>
  <c r="AB13" i="15"/>
  <c r="AB15" i="15"/>
  <c r="AB17" i="15"/>
  <c r="AB19" i="15"/>
  <c r="AB21" i="15"/>
  <c r="AB23" i="15"/>
  <c r="AB25" i="15"/>
  <c r="AB27" i="15"/>
  <c r="AB29" i="15"/>
  <c r="AB31" i="15"/>
  <c r="AB33" i="15"/>
  <c r="AB35" i="15"/>
  <c r="AB37" i="15"/>
  <c r="N16" i="1"/>
  <c r="P16" i="1"/>
  <c r="R16" i="1"/>
  <c r="N43" i="3"/>
  <c r="Z18" i="3" s="1"/>
  <c r="R43" i="6"/>
  <c r="AD40" i="6" s="1"/>
  <c r="R43" i="4"/>
  <c r="AD29" i="4" s="1"/>
  <c r="R43" i="16"/>
  <c r="AD8" i="16" s="1"/>
  <c r="O42" i="9"/>
  <c r="O43" i="9" s="1"/>
  <c r="Z40" i="15"/>
  <c r="Z39" i="15"/>
  <c r="Z38" i="15"/>
  <c r="Z37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8" i="15"/>
  <c r="Z16" i="15"/>
  <c r="Z15" i="15"/>
  <c r="Z14" i="15"/>
  <c r="Z13" i="15"/>
  <c r="Z12" i="15"/>
  <c r="Z11" i="15"/>
  <c r="Z10" i="15"/>
  <c r="Z9" i="15"/>
  <c r="Z7" i="15"/>
  <c r="Z6" i="15"/>
  <c r="Z5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25" i="15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A12" i="15"/>
  <c r="AA11" i="15"/>
  <c r="AA10" i="15"/>
  <c r="AA9" i="15"/>
  <c r="AA8" i="15"/>
  <c r="AA7" i="15"/>
  <c r="AA6" i="15"/>
  <c r="AA5" i="15"/>
  <c r="S42" i="15"/>
  <c r="S43" i="15" s="1"/>
  <c r="J5" i="1"/>
  <c r="J41" i="1" s="1"/>
  <c r="G5" i="1"/>
  <c r="K5" i="1"/>
  <c r="K41" i="1" s="1"/>
  <c r="K42" i="1" s="1"/>
  <c r="K43" i="1" s="1"/>
  <c r="H5" i="1"/>
  <c r="H41" i="1" s="1"/>
  <c r="F5" i="1"/>
  <c r="F41" i="1" s="1"/>
  <c r="E5" i="1"/>
  <c r="O42" i="13"/>
  <c r="O43" i="13" s="1"/>
  <c r="R42" i="13"/>
  <c r="R43" i="13" s="1"/>
  <c r="S42" i="8"/>
  <c r="S43" i="8" s="1"/>
  <c r="T19" i="1"/>
  <c r="P42" i="13"/>
  <c r="P43" i="13" s="1"/>
  <c r="T42" i="8"/>
  <c r="T41" i="16"/>
  <c r="AB7" i="5"/>
  <c r="AB11" i="5"/>
  <c r="AB15" i="5"/>
  <c r="AB19" i="5"/>
  <c r="AB23" i="5"/>
  <c r="AB27" i="5"/>
  <c r="AB31" i="5"/>
  <c r="AB35" i="5"/>
  <c r="AB39" i="5"/>
  <c r="AB8" i="5"/>
  <c r="AB12" i="5"/>
  <c r="AB16" i="5"/>
  <c r="AB20" i="5"/>
  <c r="AB24" i="5"/>
  <c r="AB28" i="5"/>
  <c r="AB32" i="5"/>
  <c r="AB36" i="5"/>
  <c r="AB40" i="5"/>
  <c r="AB5" i="5"/>
  <c r="AB9" i="5"/>
  <c r="AB13" i="5"/>
  <c r="AB17" i="5"/>
  <c r="AB21" i="5"/>
  <c r="AB25" i="5"/>
  <c r="AB29" i="5"/>
  <c r="AB33" i="5"/>
  <c r="AB37" i="5"/>
  <c r="AB6" i="5"/>
  <c r="AB10" i="5"/>
  <c r="AB14" i="5"/>
  <c r="AB18" i="5"/>
  <c r="AB22" i="5"/>
  <c r="AB26" i="5"/>
  <c r="AB30" i="5"/>
  <c r="AB34" i="5"/>
  <c r="AB38" i="5"/>
  <c r="T21" i="1"/>
  <c r="T42" i="16" s="1"/>
  <c r="S42" i="16"/>
  <c r="S43" i="16" s="1"/>
  <c r="AB11" i="16"/>
  <c r="AB19" i="16"/>
  <c r="AB27" i="16"/>
  <c r="AB35" i="16"/>
  <c r="AB10" i="16"/>
  <c r="AB26" i="16"/>
  <c r="AB8" i="16"/>
  <c r="AB24" i="16"/>
  <c r="AB40" i="16"/>
  <c r="AB9" i="16"/>
  <c r="AB17" i="16"/>
  <c r="AB25" i="16"/>
  <c r="AB33" i="16"/>
  <c r="AB6" i="16"/>
  <c r="AB22" i="16"/>
  <c r="AB38" i="16"/>
  <c r="AB20" i="16"/>
  <c r="AB36" i="16"/>
  <c r="AB7" i="16"/>
  <c r="AB15" i="16"/>
  <c r="AB23" i="16"/>
  <c r="AB31" i="16"/>
  <c r="AB39" i="16"/>
  <c r="AB18" i="16"/>
  <c r="AB34" i="16"/>
  <c r="AB16" i="16"/>
  <c r="AB32" i="16"/>
  <c r="AB5" i="16"/>
  <c r="AB13" i="16"/>
  <c r="AB21" i="16"/>
  <c r="AB29" i="16"/>
  <c r="AB37" i="16"/>
  <c r="AB14" i="16"/>
  <c r="AB30" i="16"/>
  <c r="AB12" i="16"/>
  <c r="AB28" i="16"/>
  <c r="AD6" i="5"/>
  <c r="AD10" i="5"/>
  <c r="AD14" i="5"/>
  <c r="AD18" i="5"/>
  <c r="AD22" i="5"/>
  <c r="AD26" i="5"/>
  <c r="AD30" i="5"/>
  <c r="AD34" i="5"/>
  <c r="AD38" i="5"/>
  <c r="AD5" i="5"/>
  <c r="AD9" i="5"/>
  <c r="AD13" i="5"/>
  <c r="AD17" i="5"/>
  <c r="AD21" i="5"/>
  <c r="AD25" i="5"/>
  <c r="AD29" i="5"/>
  <c r="AD33" i="5"/>
  <c r="AD37" i="5"/>
  <c r="AD8" i="5"/>
  <c r="AD12" i="5"/>
  <c r="AD16" i="5"/>
  <c r="AD20" i="5"/>
  <c r="AD24" i="5"/>
  <c r="AD28" i="5"/>
  <c r="AD32" i="5"/>
  <c r="AD36" i="5"/>
  <c r="AD40" i="5"/>
  <c r="AD7" i="5"/>
  <c r="AD11" i="5"/>
  <c r="AD15" i="5"/>
  <c r="AD19" i="5"/>
  <c r="AD23" i="5"/>
  <c r="AD27" i="5"/>
  <c r="AD31" i="5"/>
  <c r="AD35" i="5"/>
  <c r="AD39" i="5"/>
  <c r="S42" i="5"/>
  <c r="S43" i="5" s="1"/>
  <c r="T9" i="1"/>
  <c r="T42" i="5" s="1"/>
  <c r="T43" i="5" s="1"/>
  <c r="T10" i="1"/>
  <c r="T42" i="6" s="1"/>
  <c r="T43" i="6" s="1"/>
  <c r="S42" i="6"/>
  <c r="S43" i="6" s="1"/>
  <c r="AB7" i="11"/>
  <c r="AB11" i="11"/>
  <c r="AB15" i="11"/>
  <c r="AB19" i="11"/>
  <c r="AB23" i="11"/>
  <c r="AB27" i="11"/>
  <c r="AB31" i="11"/>
  <c r="AB35" i="11"/>
  <c r="AB39" i="11"/>
  <c r="AB8" i="11"/>
  <c r="AB12" i="11"/>
  <c r="AB16" i="11"/>
  <c r="AB20" i="11"/>
  <c r="AB24" i="11"/>
  <c r="AB28" i="11"/>
  <c r="AB32" i="11"/>
  <c r="AB36" i="11"/>
  <c r="AB40" i="11"/>
  <c r="AB5" i="11"/>
  <c r="AB9" i="11"/>
  <c r="AB13" i="11"/>
  <c r="AB17" i="11"/>
  <c r="AB21" i="11"/>
  <c r="AB25" i="11"/>
  <c r="AB29" i="11"/>
  <c r="AB33" i="11"/>
  <c r="AB37" i="11"/>
  <c r="AB6" i="11"/>
  <c r="AB10" i="11"/>
  <c r="AB14" i="11"/>
  <c r="AB18" i="11"/>
  <c r="AB22" i="11"/>
  <c r="AB26" i="11"/>
  <c r="AB30" i="11"/>
  <c r="AB34" i="11"/>
  <c r="AB38" i="11"/>
  <c r="T41" i="4"/>
  <c r="AB5" i="6"/>
  <c r="AB9" i="6"/>
  <c r="AB13" i="6"/>
  <c r="AB17" i="6"/>
  <c r="AB21" i="6"/>
  <c r="AB25" i="6"/>
  <c r="AB29" i="6"/>
  <c r="AB33" i="6"/>
  <c r="AB37" i="6"/>
  <c r="AB6" i="6"/>
  <c r="AB10" i="6"/>
  <c r="AB14" i="6"/>
  <c r="AB18" i="6"/>
  <c r="AB22" i="6"/>
  <c r="AB26" i="6"/>
  <c r="AB30" i="6"/>
  <c r="AB34" i="6"/>
  <c r="AB38" i="6"/>
  <c r="AB7" i="6"/>
  <c r="AB11" i="6"/>
  <c r="AB15" i="6"/>
  <c r="AB19" i="6"/>
  <c r="AB23" i="6"/>
  <c r="AB27" i="6"/>
  <c r="AB31" i="6"/>
  <c r="AB35" i="6"/>
  <c r="AB39" i="6"/>
  <c r="AB8" i="6"/>
  <c r="AB12" i="6"/>
  <c r="AB16" i="6"/>
  <c r="AB20" i="6"/>
  <c r="AB24" i="6"/>
  <c r="AB28" i="6"/>
  <c r="AB32" i="6"/>
  <c r="AB36" i="6"/>
  <c r="AB40" i="6"/>
  <c r="AD6" i="11"/>
  <c r="AD10" i="11"/>
  <c r="AD14" i="11"/>
  <c r="AD18" i="11"/>
  <c r="AD22" i="11"/>
  <c r="AD26" i="11"/>
  <c r="AD30" i="11"/>
  <c r="AD34" i="11"/>
  <c r="AD38" i="11"/>
  <c r="AD5" i="11"/>
  <c r="AD9" i="11"/>
  <c r="AD13" i="11"/>
  <c r="AD17" i="11"/>
  <c r="AD21" i="11"/>
  <c r="AD25" i="11"/>
  <c r="AD29" i="11"/>
  <c r="AD33" i="11"/>
  <c r="AD37" i="11"/>
  <c r="AD8" i="11"/>
  <c r="AD12" i="11"/>
  <c r="AD16" i="11"/>
  <c r="AD20" i="11"/>
  <c r="AD24" i="11"/>
  <c r="AD28" i="11"/>
  <c r="AD32" i="11"/>
  <c r="AD36" i="11"/>
  <c r="AD40" i="11"/>
  <c r="AD7" i="11"/>
  <c r="AD11" i="11"/>
  <c r="AD15" i="11"/>
  <c r="AD19" i="11"/>
  <c r="AD23" i="11"/>
  <c r="AD27" i="11"/>
  <c r="AD31" i="11"/>
  <c r="AD35" i="11"/>
  <c r="AD39" i="11"/>
  <c r="T15" i="1"/>
  <c r="S42" i="11"/>
  <c r="S43" i="11" s="1"/>
  <c r="AA6" i="11"/>
  <c r="AA10" i="11"/>
  <c r="AA14" i="11"/>
  <c r="AA18" i="11"/>
  <c r="AA22" i="11"/>
  <c r="AA26" i="11"/>
  <c r="AA30" i="11"/>
  <c r="AA34" i="11"/>
  <c r="AA38" i="11"/>
  <c r="AA5" i="11"/>
  <c r="AA9" i="11"/>
  <c r="AA13" i="11"/>
  <c r="AA17" i="11"/>
  <c r="AA21" i="11"/>
  <c r="AA25" i="11"/>
  <c r="AA29" i="11"/>
  <c r="AA33" i="11"/>
  <c r="AA37" i="11"/>
  <c r="AA8" i="11"/>
  <c r="AA12" i="11"/>
  <c r="AA16" i="11"/>
  <c r="AA20" i="11"/>
  <c r="AA24" i="11"/>
  <c r="AA28" i="11"/>
  <c r="AA32" i="11"/>
  <c r="AA36" i="11"/>
  <c r="AA40" i="11"/>
  <c r="AA7" i="11"/>
  <c r="AA11" i="11"/>
  <c r="AA15" i="11"/>
  <c r="AA19" i="11"/>
  <c r="AA23" i="11"/>
  <c r="AA27" i="11"/>
  <c r="AA31" i="11"/>
  <c r="AA35" i="11"/>
  <c r="AA39" i="11"/>
  <c r="N23" i="1"/>
  <c r="P23" i="1"/>
  <c r="P42" i="17" s="1"/>
  <c r="P43" i="17" s="1"/>
  <c r="T41" i="13"/>
  <c r="S42" i="4"/>
  <c r="S43" i="4" s="1"/>
  <c r="T8" i="1"/>
  <c r="T42" i="4" s="1"/>
  <c r="Z5" i="4"/>
  <c r="Z7" i="4"/>
  <c r="Z9" i="4"/>
  <c r="Z11" i="4"/>
  <c r="Z13" i="4"/>
  <c r="Z15" i="4"/>
  <c r="Z17" i="4"/>
  <c r="Z19" i="4"/>
  <c r="Z21" i="4"/>
  <c r="Z23" i="4"/>
  <c r="Z25" i="4"/>
  <c r="Z27" i="4"/>
  <c r="Z29" i="4"/>
  <c r="Z31" i="4"/>
  <c r="Z33" i="4"/>
  <c r="Z35" i="4"/>
  <c r="Z37" i="4"/>
  <c r="Z39" i="4"/>
  <c r="Z6" i="4"/>
  <c r="Z8" i="4"/>
  <c r="Z10" i="4"/>
  <c r="Z12" i="4"/>
  <c r="Z14" i="4"/>
  <c r="Z16" i="4"/>
  <c r="Z18" i="4"/>
  <c r="Z20" i="4"/>
  <c r="Z22" i="4"/>
  <c r="Z24" i="4"/>
  <c r="Z26" i="4"/>
  <c r="Z28" i="4"/>
  <c r="Z30" i="4"/>
  <c r="Z32" i="4"/>
  <c r="Z34" i="4"/>
  <c r="Z36" i="4"/>
  <c r="Z38" i="4"/>
  <c r="Z40" i="4"/>
  <c r="O42" i="2"/>
  <c r="O43" i="2" s="1"/>
  <c r="V6" i="1"/>
  <c r="Z6" i="2"/>
  <c r="Z8" i="2"/>
  <c r="Z10" i="2"/>
  <c r="Z12" i="2"/>
  <c r="Z14" i="2"/>
  <c r="Z16" i="2"/>
  <c r="Z18" i="2"/>
  <c r="Z20" i="2"/>
  <c r="Z22" i="2"/>
  <c r="Z24" i="2"/>
  <c r="Z26" i="2"/>
  <c r="Z28" i="2"/>
  <c r="Z30" i="2"/>
  <c r="Z32" i="2"/>
  <c r="Z34" i="2"/>
  <c r="Z36" i="2"/>
  <c r="Z38" i="2"/>
  <c r="Z40" i="2"/>
  <c r="Z5" i="2"/>
  <c r="Z7" i="2"/>
  <c r="Z9" i="2"/>
  <c r="Z11" i="2"/>
  <c r="Z13" i="2"/>
  <c r="Z15" i="2"/>
  <c r="Z17" i="2"/>
  <c r="Z19" i="2"/>
  <c r="Z21" i="2"/>
  <c r="Z23" i="2"/>
  <c r="Z25" i="2"/>
  <c r="Z27" i="2"/>
  <c r="Z29" i="2"/>
  <c r="Z31" i="2"/>
  <c r="Z33" i="2"/>
  <c r="Z35" i="2"/>
  <c r="Z37" i="2"/>
  <c r="Z39" i="2"/>
  <c r="R23" i="1"/>
  <c r="R42" i="17" s="1"/>
  <c r="R43" i="17" s="1"/>
  <c r="V5" i="17"/>
  <c r="S42" i="3"/>
  <c r="S43" i="3" s="1"/>
  <c r="AA6" i="3"/>
  <c r="AA8" i="3"/>
  <c r="AA10" i="3"/>
  <c r="AA12" i="3"/>
  <c r="AA14" i="3"/>
  <c r="AA5" i="3"/>
  <c r="AA7" i="3"/>
  <c r="AA9" i="3"/>
  <c r="AA11" i="3"/>
  <c r="AA13" i="3"/>
  <c r="AA15" i="3"/>
  <c r="AA17" i="3"/>
  <c r="AA19" i="3"/>
  <c r="AA21" i="3"/>
  <c r="AA23" i="3"/>
  <c r="AA25" i="3"/>
  <c r="AA27" i="3"/>
  <c r="AA29" i="3"/>
  <c r="AA31" i="3"/>
  <c r="AA33" i="3"/>
  <c r="AA35" i="3"/>
  <c r="AA37" i="3"/>
  <c r="AA39" i="3"/>
  <c r="AA16" i="3"/>
  <c r="AA18" i="3"/>
  <c r="AA20" i="3"/>
  <c r="AA22" i="3"/>
  <c r="AA24" i="3"/>
  <c r="AA26" i="3"/>
  <c r="AA28" i="3"/>
  <c r="AA30" i="3"/>
  <c r="AA32" i="3"/>
  <c r="AA34" i="3"/>
  <c r="AA36" i="3"/>
  <c r="AA38" i="3"/>
  <c r="AA40" i="3"/>
  <c r="T12" i="17"/>
  <c r="T41" i="17" s="1"/>
  <c r="T41" i="3"/>
  <c r="S6" i="1"/>
  <c r="G23" i="1"/>
  <c r="O24" i="1"/>
  <c r="AB5" i="4"/>
  <c r="AB7" i="4"/>
  <c r="AB9" i="4"/>
  <c r="AB11" i="4"/>
  <c r="AB13" i="4"/>
  <c r="AB15" i="4"/>
  <c r="AB17" i="4"/>
  <c r="AB19" i="4"/>
  <c r="AB21" i="4"/>
  <c r="AB23" i="4"/>
  <c r="AB25" i="4"/>
  <c r="AB27" i="4"/>
  <c r="AB29" i="4"/>
  <c r="AB31" i="4"/>
  <c r="AB33" i="4"/>
  <c r="AB35" i="4"/>
  <c r="AB37" i="4"/>
  <c r="AB39" i="4"/>
  <c r="AB6" i="4"/>
  <c r="AB8" i="4"/>
  <c r="AB10" i="4"/>
  <c r="AB12" i="4"/>
  <c r="AB14" i="4"/>
  <c r="AB16" i="4"/>
  <c r="AB18" i="4"/>
  <c r="AB20" i="4"/>
  <c r="AB22" i="4"/>
  <c r="AB24" i="4"/>
  <c r="AB26" i="4"/>
  <c r="AB28" i="4"/>
  <c r="AB30" i="4"/>
  <c r="AB32" i="4"/>
  <c r="AB34" i="4"/>
  <c r="AB36" i="4"/>
  <c r="AB38" i="4"/>
  <c r="AB40" i="4"/>
  <c r="R42" i="2"/>
  <c r="R43" i="2" s="1"/>
  <c r="Y6" i="1"/>
  <c r="AB6" i="2"/>
  <c r="AB8" i="2"/>
  <c r="AB10" i="2"/>
  <c r="AB12" i="2"/>
  <c r="AB14" i="2"/>
  <c r="AB16" i="2"/>
  <c r="AB18" i="2"/>
  <c r="AB20" i="2"/>
  <c r="AB22" i="2"/>
  <c r="AB24" i="2"/>
  <c r="AB26" i="2"/>
  <c r="AB28" i="2"/>
  <c r="AB30" i="2"/>
  <c r="AB32" i="2"/>
  <c r="AB34" i="2"/>
  <c r="AB36" i="2"/>
  <c r="AB38" i="2"/>
  <c r="AB40" i="2"/>
  <c r="AB5" i="2"/>
  <c r="AB7" i="2"/>
  <c r="AB9" i="2"/>
  <c r="AB11" i="2"/>
  <c r="AB13" i="2"/>
  <c r="AB15" i="2"/>
  <c r="AB17" i="2"/>
  <c r="AB19" i="2"/>
  <c r="AB21" i="2"/>
  <c r="AB23" i="2"/>
  <c r="AB25" i="2"/>
  <c r="AB27" i="2"/>
  <c r="AB29" i="2"/>
  <c r="AB31" i="2"/>
  <c r="AB33" i="2"/>
  <c r="AB35" i="2"/>
  <c r="AB37" i="2"/>
  <c r="AB39" i="2"/>
  <c r="S5" i="17"/>
  <c r="T41" i="8"/>
  <c r="T7" i="1"/>
  <c r="T42" i="3" s="1"/>
  <c r="AD6" i="3"/>
  <c r="AD8" i="3"/>
  <c r="AD10" i="3"/>
  <c r="AD12" i="3"/>
  <c r="AD14" i="3"/>
  <c r="AD5" i="3"/>
  <c r="AD7" i="3"/>
  <c r="AD9" i="3"/>
  <c r="AD11" i="3"/>
  <c r="AD13" i="3"/>
  <c r="AD17" i="3"/>
  <c r="AD19" i="3"/>
  <c r="AD21" i="3"/>
  <c r="AD23" i="3"/>
  <c r="AD25" i="3"/>
  <c r="AD27" i="3"/>
  <c r="AD29" i="3"/>
  <c r="AD31" i="3"/>
  <c r="AD33" i="3"/>
  <c r="AD35" i="3"/>
  <c r="AD37" i="3"/>
  <c r="AD39" i="3"/>
  <c r="AD15" i="3"/>
  <c r="AD16" i="3"/>
  <c r="AD18" i="3"/>
  <c r="AD20" i="3"/>
  <c r="AD22" i="3"/>
  <c r="AD24" i="3"/>
  <c r="AD26" i="3"/>
  <c r="AD28" i="3"/>
  <c r="AD30" i="3"/>
  <c r="AD32" i="3"/>
  <c r="AD34" i="3"/>
  <c r="AD36" i="3"/>
  <c r="AD38" i="3"/>
  <c r="AD40" i="3"/>
  <c r="P5" i="1" l="1"/>
  <c r="P41" i="1" s="1"/>
  <c r="E41" i="1"/>
  <c r="AA8" i="14"/>
  <c r="AA35" i="14"/>
  <c r="AA40" i="14"/>
  <c r="T14" i="1"/>
  <c r="T42" i="10" s="1"/>
  <c r="T43" i="10" s="1"/>
  <c r="T43" i="4"/>
  <c r="Z36" i="14"/>
  <c r="F42" i="1"/>
  <c r="F43" i="1" s="1"/>
  <c r="H42" i="1"/>
  <c r="H43" i="1" s="1"/>
  <c r="AD14" i="6"/>
  <c r="T43" i="3"/>
  <c r="Z20" i="14"/>
  <c r="Z35" i="3"/>
  <c r="Z29" i="3"/>
  <c r="T13" i="1"/>
  <c r="T42" i="9" s="1"/>
  <c r="T43" i="9" s="1"/>
  <c r="Z12" i="14"/>
  <c r="Z28" i="14"/>
  <c r="G41" i="1"/>
  <c r="AD9" i="4"/>
  <c r="Z8" i="14"/>
  <c r="Z16" i="14"/>
  <c r="Z24" i="14"/>
  <c r="Z32" i="14"/>
  <c r="Z40" i="14"/>
  <c r="R5" i="1"/>
  <c r="R41" i="1" s="1"/>
  <c r="N5" i="1"/>
  <c r="N41" i="1" s="1"/>
  <c r="AD25" i="14"/>
  <c r="AD7" i="14"/>
  <c r="AD9" i="6"/>
  <c r="AB17" i="14"/>
  <c r="AD33" i="14"/>
  <c r="AD15" i="14"/>
  <c r="AA24" i="14"/>
  <c r="T18" i="1"/>
  <c r="T42" i="14" s="1"/>
  <c r="T43" i="14" s="1"/>
  <c r="AD10" i="14"/>
  <c r="AD34" i="14"/>
  <c r="AD30" i="6"/>
  <c r="AD25" i="6"/>
  <c r="AD20" i="6"/>
  <c r="AD37" i="14"/>
  <c r="AD29" i="14"/>
  <c r="AD21" i="14"/>
  <c r="AD11" i="14"/>
  <c r="AA32" i="14"/>
  <c r="AA16" i="14"/>
  <c r="AA19" i="14"/>
  <c r="AA25" i="14"/>
  <c r="AA36" i="14"/>
  <c r="AA28" i="14"/>
  <c r="AA20" i="14"/>
  <c r="AA12" i="14"/>
  <c r="AA27" i="14"/>
  <c r="AD28" i="14"/>
  <c r="AA5" i="14"/>
  <c r="AA15" i="14"/>
  <c r="AD36" i="14"/>
  <c r="AD20" i="14"/>
  <c r="AD16" i="14"/>
  <c r="AA13" i="14"/>
  <c r="AA7" i="14"/>
  <c r="AA29" i="14"/>
  <c r="S11" i="1"/>
  <c r="Z28" i="3"/>
  <c r="AD27" i="4"/>
  <c r="Z10" i="3"/>
  <c r="Z12" i="3"/>
  <c r="Z19" i="3"/>
  <c r="AD32" i="4"/>
  <c r="Z22" i="3"/>
  <c r="AD10" i="4"/>
  <c r="AD18" i="4"/>
  <c r="AD22" i="6"/>
  <c r="AD38" i="6"/>
  <c r="AD17" i="6"/>
  <c r="AD33" i="6"/>
  <c r="AD15" i="6"/>
  <c r="AD16" i="6"/>
  <c r="AB33" i="14"/>
  <c r="Z15" i="3"/>
  <c r="Z20" i="3"/>
  <c r="Z36" i="3"/>
  <c r="Z27" i="3"/>
  <c r="AD16" i="4"/>
  <c r="AD11" i="4"/>
  <c r="Z6" i="3"/>
  <c r="Z38" i="3"/>
  <c r="AD14" i="4"/>
  <c r="AD37" i="4"/>
  <c r="Z17" i="3"/>
  <c r="Z25" i="3"/>
  <c r="AB25" i="14"/>
  <c r="AB9" i="14"/>
  <c r="AB16" i="14"/>
  <c r="AD6" i="4"/>
  <c r="AD24" i="4"/>
  <c r="AD40" i="4"/>
  <c r="AD19" i="4"/>
  <c r="AD35" i="4"/>
  <c r="AD36" i="6"/>
  <c r="AD31" i="6"/>
  <c r="AD30" i="4"/>
  <c r="AD25" i="4"/>
  <c r="AD11" i="6"/>
  <c r="AD5" i="4"/>
  <c r="AD24" i="6"/>
  <c r="AB37" i="14"/>
  <c r="AB29" i="14"/>
  <c r="AB21" i="14"/>
  <c r="AB13" i="14"/>
  <c r="AB5" i="14"/>
  <c r="AB32" i="14"/>
  <c r="AB38" i="14"/>
  <c r="AD34" i="4"/>
  <c r="O5" i="1"/>
  <c r="AB40" i="14"/>
  <c r="AB24" i="14"/>
  <c r="AB8" i="14"/>
  <c r="AB26" i="14"/>
  <c r="AB30" i="14"/>
  <c r="AB10" i="14"/>
  <c r="AB22" i="14"/>
  <c r="Z11" i="3"/>
  <c r="Z8" i="3"/>
  <c r="Z16" i="3"/>
  <c r="Z24" i="3"/>
  <c r="Z32" i="3"/>
  <c r="Z40" i="3"/>
  <c r="Z23" i="3"/>
  <c r="Z31" i="3"/>
  <c r="Z39" i="3"/>
  <c r="Z9" i="3"/>
  <c r="Z14" i="3"/>
  <c r="Z30" i="3"/>
  <c r="Z21" i="3"/>
  <c r="Z37" i="3"/>
  <c r="Z5" i="3"/>
  <c r="Z26" i="3"/>
  <c r="Z33" i="3"/>
  <c r="AD12" i="16"/>
  <c r="Z6" i="14"/>
  <c r="Z10" i="14"/>
  <c r="Z14" i="14"/>
  <c r="Z18" i="14"/>
  <c r="Z22" i="14"/>
  <c r="Z26" i="14"/>
  <c r="Z30" i="14"/>
  <c r="Z34" i="14"/>
  <c r="Z38" i="14"/>
  <c r="AD39" i="14"/>
  <c r="AD35" i="14"/>
  <c r="AD31" i="14"/>
  <c r="AD27" i="14"/>
  <c r="AD23" i="14"/>
  <c r="AD19" i="14"/>
  <c r="AD13" i="14"/>
  <c r="AD9" i="14"/>
  <c r="AD5" i="14"/>
  <c r="AA38" i="14"/>
  <c r="AA34" i="14"/>
  <c r="AA30" i="14"/>
  <c r="AA26" i="14"/>
  <c r="AA22" i="14"/>
  <c r="AA18" i="14"/>
  <c r="AA14" i="14"/>
  <c r="AA10" i="14"/>
  <c r="AA6" i="14"/>
  <c r="AA39" i="14"/>
  <c r="AA31" i="14"/>
  <c r="AA23" i="14"/>
  <c r="AD17" i="14"/>
  <c r="AD32" i="14"/>
  <c r="AD24" i="14"/>
  <c r="AD14" i="14"/>
  <c r="AD6" i="14"/>
  <c r="AD40" i="14"/>
  <c r="AD26" i="14"/>
  <c r="AD8" i="14"/>
  <c r="AA9" i="14"/>
  <c r="AA17" i="14"/>
  <c r="AA33" i="14"/>
  <c r="AA11" i="14"/>
  <c r="AA21" i="14"/>
  <c r="AD38" i="14"/>
  <c r="AD30" i="14"/>
  <c r="Z5" i="14"/>
  <c r="Z7" i="14"/>
  <c r="Z9" i="14"/>
  <c r="Z11" i="14"/>
  <c r="Z13" i="14"/>
  <c r="Z15" i="14"/>
  <c r="Z17" i="14"/>
  <c r="Z19" i="14"/>
  <c r="Z21" i="14"/>
  <c r="Z23" i="14"/>
  <c r="Z25" i="14"/>
  <c r="Z27" i="14"/>
  <c r="Z29" i="14"/>
  <c r="Z31" i="14"/>
  <c r="Z33" i="14"/>
  <c r="Z35" i="14"/>
  <c r="Z37" i="14"/>
  <c r="AB35" i="14"/>
  <c r="AB31" i="14"/>
  <c r="AB27" i="14"/>
  <c r="AB23" i="14"/>
  <c r="AB19" i="14"/>
  <c r="AB15" i="14"/>
  <c r="AB11" i="14"/>
  <c r="AB7" i="14"/>
  <c r="AB36" i="14"/>
  <c r="AB28" i="14"/>
  <c r="AB20" i="14"/>
  <c r="AB12" i="14"/>
  <c r="AB34" i="14"/>
  <c r="AB18" i="14"/>
  <c r="AB14" i="14"/>
  <c r="AB6" i="14"/>
  <c r="AD22" i="14"/>
  <c r="AD12" i="14"/>
  <c r="AD36" i="16"/>
  <c r="AD20" i="16"/>
  <c r="AD25" i="16"/>
  <c r="AD28" i="16"/>
  <c r="AD9" i="16"/>
  <c r="AD23" i="16"/>
  <c r="AD7" i="16"/>
  <c r="AD39" i="16"/>
  <c r="AD16" i="16"/>
  <c r="AD24" i="16"/>
  <c r="AD32" i="16"/>
  <c r="AD40" i="16"/>
  <c r="AD17" i="16"/>
  <c r="AD33" i="16"/>
  <c r="AD15" i="16"/>
  <c r="AD31" i="16"/>
  <c r="T43" i="16"/>
  <c r="AD10" i="6"/>
  <c r="AD18" i="6"/>
  <c r="AD26" i="6"/>
  <c r="AD34" i="6"/>
  <c r="AD5" i="6"/>
  <c r="AD13" i="6"/>
  <c r="AD21" i="6"/>
  <c r="AD29" i="6"/>
  <c r="AD37" i="6"/>
  <c r="AD12" i="4"/>
  <c r="AD20" i="4"/>
  <c r="AD28" i="4"/>
  <c r="AD36" i="4"/>
  <c r="AD7" i="4"/>
  <c r="AD15" i="4"/>
  <c r="AD23" i="4"/>
  <c r="AD31" i="4"/>
  <c r="AD39" i="4"/>
  <c r="AD12" i="6"/>
  <c r="AD28" i="6"/>
  <c r="AD7" i="6"/>
  <c r="AD23" i="6"/>
  <c r="AD39" i="6"/>
  <c r="AD22" i="4"/>
  <c r="AD38" i="4"/>
  <c r="AD17" i="4"/>
  <c r="AD33" i="4"/>
  <c r="AD32" i="6"/>
  <c r="AD27" i="6"/>
  <c r="AD26" i="4"/>
  <c r="AD21" i="4"/>
  <c r="AD19" i="6"/>
  <c r="AD13" i="4"/>
  <c r="S16" i="1"/>
  <c r="T43" i="8"/>
  <c r="AD8" i="4"/>
  <c r="AD35" i="6"/>
  <c r="AD8" i="6"/>
  <c r="Z34" i="3"/>
  <c r="Z13" i="3"/>
  <c r="AD10" i="16"/>
  <c r="AD18" i="16"/>
  <c r="AD26" i="16"/>
  <c r="AD34" i="16"/>
  <c r="AD5" i="16"/>
  <c r="AD21" i="16"/>
  <c r="AD37" i="16"/>
  <c r="AD19" i="16"/>
  <c r="AD35" i="16"/>
  <c r="AD6" i="16"/>
  <c r="AD14" i="16"/>
  <c r="AD22" i="16"/>
  <c r="AD30" i="16"/>
  <c r="AD38" i="16"/>
  <c r="AD13" i="16"/>
  <c r="AD29" i="16"/>
  <c r="AD11" i="16"/>
  <c r="AD27" i="16"/>
  <c r="AD6" i="6"/>
  <c r="Z7" i="3"/>
  <c r="AB14" i="13"/>
  <c r="AB12" i="13"/>
  <c r="AB10" i="13"/>
  <c r="AB8" i="13"/>
  <c r="AB7" i="13"/>
  <c r="AB40" i="13"/>
  <c r="AB39" i="13"/>
  <c r="AB38" i="13"/>
  <c r="AB37" i="13"/>
  <c r="AB36" i="13"/>
  <c r="AB35" i="13"/>
  <c r="AB34" i="13"/>
  <c r="AB33" i="13"/>
  <c r="AB32" i="13"/>
  <c r="AB31" i="13"/>
  <c r="AB30" i="13"/>
  <c r="AB29" i="13"/>
  <c r="AB28" i="13"/>
  <c r="AB27" i="13"/>
  <c r="AB26" i="13"/>
  <c r="AB25" i="13"/>
  <c r="AB24" i="13"/>
  <c r="AB23" i="13"/>
  <c r="AB22" i="13"/>
  <c r="AB21" i="13"/>
  <c r="AB20" i="13"/>
  <c r="AB19" i="13"/>
  <c r="AB18" i="13"/>
  <c r="AB17" i="13"/>
  <c r="AB16" i="13"/>
  <c r="AB15" i="13"/>
  <c r="AB13" i="13"/>
  <c r="AB11" i="13"/>
  <c r="AB9" i="13"/>
  <c r="AB6" i="13"/>
  <c r="AB5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T42" i="15"/>
  <c r="T43" i="15" s="1"/>
  <c r="S42" i="13"/>
  <c r="S43" i="13" s="1"/>
  <c r="T17" i="1"/>
  <c r="T42" i="11"/>
  <c r="T43" i="11" s="1"/>
  <c r="O23" i="1"/>
  <c r="S23" i="1" s="1"/>
  <c r="J42" i="1"/>
  <c r="J43" i="1" s="1"/>
  <c r="AB6" i="17"/>
  <c r="AB8" i="17"/>
  <c r="AB10" i="17"/>
  <c r="AB5" i="17"/>
  <c r="AB7" i="17"/>
  <c r="AB9" i="17"/>
  <c r="AB11" i="17"/>
  <c r="AB14" i="17"/>
  <c r="AB16" i="17"/>
  <c r="AB18" i="17"/>
  <c r="AB20" i="17"/>
  <c r="AB22" i="17"/>
  <c r="AB24" i="17"/>
  <c r="AB12" i="17"/>
  <c r="AB13" i="17"/>
  <c r="AB15" i="17"/>
  <c r="AB17" i="17"/>
  <c r="AB19" i="17"/>
  <c r="AB21" i="17"/>
  <c r="AB23" i="17"/>
  <c r="AB25" i="17"/>
  <c r="AB26" i="17"/>
  <c r="AB28" i="17"/>
  <c r="AB30" i="17"/>
  <c r="AB32" i="17"/>
  <c r="AB27" i="17"/>
  <c r="AB31" i="17"/>
  <c r="AB33" i="17"/>
  <c r="AB35" i="17"/>
  <c r="AB37" i="17"/>
  <c r="AB39" i="17"/>
  <c r="AB29" i="17"/>
  <c r="AB34" i="17"/>
  <c r="AB36" i="17"/>
  <c r="AB38" i="17"/>
  <c r="AB40" i="17"/>
  <c r="N42" i="17"/>
  <c r="N43" i="17" s="1"/>
  <c r="S24" i="1"/>
  <c r="T5" i="17"/>
  <c r="AD5" i="2"/>
  <c r="AD7" i="2"/>
  <c r="AD9" i="2"/>
  <c r="AD11" i="2"/>
  <c r="AD13" i="2"/>
  <c r="AD15" i="2"/>
  <c r="AD17" i="2"/>
  <c r="AD19" i="2"/>
  <c r="AD21" i="2"/>
  <c r="AD23" i="2"/>
  <c r="AD25" i="2"/>
  <c r="AD27" i="2"/>
  <c r="AD29" i="2"/>
  <c r="AD31" i="2"/>
  <c r="AD33" i="2"/>
  <c r="AD35" i="2"/>
  <c r="AD37" i="2"/>
  <c r="AD39" i="2"/>
  <c r="AD6" i="2"/>
  <c r="AD8" i="2"/>
  <c r="AD10" i="2"/>
  <c r="AD12" i="2"/>
  <c r="AD14" i="2"/>
  <c r="AD16" i="2"/>
  <c r="AD18" i="2"/>
  <c r="AD20" i="2"/>
  <c r="AD22" i="2"/>
  <c r="AD24" i="2"/>
  <c r="AD26" i="2"/>
  <c r="AD28" i="2"/>
  <c r="AD30" i="2"/>
  <c r="AD32" i="2"/>
  <c r="AD34" i="2"/>
  <c r="AD36" i="2"/>
  <c r="AD38" i="2"/>
  <c r="AD40" i="2"/>
  <c r="S42" i="2"/>
  <c r="S43" i="2" s="1"/>
  <c r="T6" i="1"/>
  <c r="T42" i="2" s="1"/>
  <c r="T43" i="2" s="1"/>
  <c r="AD5" i="17"/>
  <c r="AD7" i="17"/>
  <c r="AD9" i="17"/>
  <c r="AD11" i="17"/>
  <c r="AD6" i="17"/>
  <c r="AD8" i="17"/>
  <c r="AD10" i="17"/>
  <c r="AD12" i="17"/>
  <c r="AD13" i="17"/>
  <c r="AD15" i="17"/>
  <c r="AD17" i="17"/>
  <c r="AD19" i="17"/>
  <c r="AD21" i="17"/>
  <c r="AD23" i="17"/>
  <c r="AD25" i="17"/>
  <c r="AD14" i="17"/>
  <c r="AD16" i="17"/>
  <c r="AD18" i="17"/>
  <c r="AD20" i="17"/>
  <c r="AD22" i="17"/>
  <c r="AD24" i="17"/>
  <c r="AD27" i="17"/>
  <c r="AD29" i="17"/>
  <c r="AD31" i="17"/>
  <c r="AD26" i="17"/>
  <c r="AD30" i="17"/>
  <c r="AD34" i="17"/>
  <c r="AD36" i="17"/>
  <c r="AD38" i="17"/>
  <c r="AD40" i="17"/>
  <c r="AD28" i="17"/>
  <c r="AD32" i="17"/>
  <c r="AD33" i="17"/>
  <c r="AD35" i="17"/>
  <c r="AD37" i="17"/>
  <c r="AD39" i="17"/>
  <c r="AA5" i="2"/>
  <c r="AA7" i="2"/>
  <c r="AA9" i="2"/>
  <c r="AA11" i="2"/>
  <c r="AA13" i="2"/>
  <c r="AA15" i="2"/>
  <c r="AA17" i="2"/>
  <c r="AA19" i="2"/>
  <c r="AA21" i="2"/>
  <c r="AA23" i="2"/>
  <c r="AA25" i="2"/>
  <c r="AA27" i="2"/>
  <c r="AA29" i="2"/>
  <c r="AA31" i="2"/>
  <c r="AA33" i="2"/>
  <c r="AA35" i="2"/>
  <c r="AA37" i="2"/>
  <c r="AA39" i="2"/>
  <c r="AA6" i="2"/>
  <c r="AA8" i="2"/>
  <c r="AA10" i="2"/>
  <c r="AA12" i="2"/>
  <c r="AA14" i="2"/>
  <c r="AA16" i="2"/>
  <c r="AA18" i="2"/>
  <c r="AA20" i="2"/>
  <c r="AA22" i="2"/>
  <c r="AA24" i="2"/>
  <c r="AA26" i="2"/>
  <c r="AA28" i="2"/>
  <c r="AA30" i="2"/>
  <c r="AA32" i="2"/>
  <c r="AA34" i="2"/>
  <c r="AA36" i="2"/>
  <c r="AA38" i="2"/>
  <c r="AA40" i="2"/>
  <c r="N42" i="1" l="1"/>
  <c r="N43" i="1" s="1"/>
  <c r="E42" i="1"/>
  <c r="E43" i="1" s="1"/>
  <c r="G42" i="1"/>
  <c r="G43" i="1" s="1"/>
  <c r="T16" i="1"/>
  <c r="P42" i="1"/>
  <c r="P43" i="1" s="1"/>
  <c r="T11" i="1"/>
  <c r="S5" i="1"/>
  <c r="S41" i="1" s="1"/>
  <c r="T42" i="13"/>
  <c r="T43" i="13" s="1"/>
  <c r="O41" i="1"/>
  <c r="Z6" i="17"/>
  <c r="Z8" i="17"/>
  <c r="Z10" i="17"/>
  <c r="Z5" i="17"/>
  <c r="Z7" i="17"/>
  <c r="Z9" i="17"/>
  <c r="Z11" i="17"/>
  <c r="Z12" i="17"/>
  <c r="Z14" i="17"/>
  <c r="Z16" i="17"/>
  <c r="Z18" i="17"/>
  <c r="Z20" i="17"/>
  <c r="Z22" i="17"/>
  <c r="Z24" i="17"/>
  <c r="Z13" i="17"/>
  <c r="Z15" i="17"/>
  <c r="Z17" i="17"/>
  <c r="Z19" i="17"/>
  <c r="Z21" i="17"/>
  <c r="Z23" i="17"/>
  <c r="Z25" i="17"/>
  <c r="Z26" i="17"/>
  <c r="Z28" i="17"/>
  <c r="Z30" i="17"/>
  <c r="Z32" i="17"/>
  <c r="Z29" i="17"/>
  <c r="Z33" i="17"/>
  <c r="Z35" i="17"/>
  <c r="Z37" i="17"/>
  <c r="Z39" i="17"/>
  <c r="Z27" i="17"/>
  <c r="Z31" i="17"/>
  <c r="Z34" i="17"/>
  <c r="Z36" i="17"/>
  <c r="Z38" i="17"/>
  <c r="Z40" i="17"/>
  <c r="R42" i="1"/>
  <c r="R43" i="1" s="1"/>
  <c r="O42" i="17"/>
  <c r="O43" i="17" s="1"/>
  <c r="T24" i="1"/>
  <c r="S42" i="17"/>
  <c r="S43" i="17" s="1"/>
  <c r="T23" i="1"/>
  <c r="T42" i="17" s="1"/>
  <c r="T43" i="17" s="1"/>
  <c r="O42" i="1" l="1"/>
  <c r="O43" i="1" s="1"/>
  <c r="T5" i="1"/>
  <c r="T41" i="1" s="1"/>
  <c r="AB6" i="1"/>
  <c r="AB8" i="1"/>
  <c r="AB7" i="1"/>
  <c r="AD12" i="1"/>
  <c r="AD10" i="1"/>
  <c r="AD9" i="1"/>
  <c r="AB10" i="1"/>
  <c r="AB9" i="1"/>
  <c r="AB12" i="1"/>
  <c r="Z10" i="1"/>
  <c r="Z12" i="1"/>
  <c r="Z9" i="1"/>
  <c r="Z6" i="1"/>
  <c r="Z8" i="1"/>
  <c r="Z7" i="1"/>
  <c r="AA5" i="17"/>
  <c r="AA7" i="17"/>
  <c r="AA9" i="17"/>
  <c r="AA11" i="17"/>
  <c r="AA6" i="17"/>
  <c r="AA8" i="17"/>
  <c r="AA10" i="17"/>
  <c r="AA12" i="17"/>
  <c r="AA13" i="17"/>
  <c r="AA15" i="17"/>
  <c r="AA17" i="17"/>
  <c r="AA19" i="17"/>
  <c r="AA21" i="17"/>
  <c r="AA23" i="17"/>
  <c r="AA25" i="17"/>
  <c r="AA14" i="17"/>
  <c r="AA16" i="17"/>
  <c r="AA18" i="17"/>
  <c r="AA20" i="17"/>
  <c r="AA22" i="17"/>
  <c r="AA24" i="17"/>
  <c r="AA27" i="17"/>
  <c r="AA29" i="17"/>
  <c r="AA31" i="17"/>
  <c r="AA28" i="17"/>
  <c r="AA32" i="17"/>
  <c r="AA34" i="17"/>
  <c r="AA36" i="17"/>
  <c r="AA38" i="17"/>
  <c r="AA40" i="17"/>
  <c r="AA26" i="17"/>
  <c r="AA30" i="17"/>
  <c r="AA33" i="17"/>
  <c r="AA35" i="17"/>
  <c r="AA37" i="17"/>
  <c r="AA39" i="17"/>
  <c r="AD7" i="1"/>
  <c r="AD6" i="1"/>
  <c r="AD8" i="1"/>
  <c r="S42" i="1" l="1"/>
  <c r="T42" i="1" s="1"/>
  <c r="T43" i="1" s="1"/>
  <c r="AA9" i="1"/>
  <c r="AA12" i="1"/>
  <c r="AA10" i="1"/>
  <c r="AA7" i="1"/>
  <c r="AA6" i="1"/>
  <c r="AA8" i="1"/>
  <c r="S43" i="1" l="1"/>
  <c r="D1" i="1" l="1"/>
  <c r="D1" i="8" l="1"/>
  <c r="D1" i="17"/>
  <c r="D1" i="6"/>
  <c r="D1" i="10"/>
  <c r="D1" i="13"/>
  <c r="D1" i="4"/>
  <c r="D1" i="18"/>
  <c r="D1" i="9"/>
  <c r="D1" i="11"/>
  <c r="D1" i="5"/>
  <c r="D1" i="15"/>
  <c r="D1" i="3"/>
  <c r="D1" i="2"/>
  <c r="D1" i="14"/>
  <c r="D1" i="16"/>
</calcChain>
</file>

<file path=xl/sharedStrings.xml><?xml version="1.0" encoding="utf-8"?>
<sst xmlns="http://schemas.openxmlformats.org/spreadsheetml/2006/main" count="1224" uniqueCount="372">
  <si>
    <t>総額検算</t>
    <rPh sb="0" eb="2">
      <t>ソウガク</t>
    </rPh>
    <rPh sb="2" eb="4">
      <t>ケンザン</t>
    </rPh>
    <phoneticPr fontId="2"/>
  </si>
  <si>
    <t>計</t>
    <rPh sb="0" eb="1">
      <t>ケイ</t>
    </rPh>
    <phoneticPr fontId="2"/>
  </si>
  <si>
    <t>返還金</t>
    <rPh sb="0" eb="3">
      <t>ヘンカンキン</t>
    </rPh>
    <phoneticPr fontId="2"/>
  </si>
  <si>
    <t>　一般会計借入金償還金</t>
    <rPh sb="1" eb="3">
      <t>イッパン</t>
    </rPh>
    <rPh sb="3" eb="5">
      <t>カイケイ</t>
    </rPh>
    <rPh sb="5" eb="7">
      <t>カリイレ</t>
    </rPh>
    <rPh sb="7" eb="8">
      <t>キン</t>
    </rPh>
    <phoneticPr fontId="2"/>
  </si>
  <si>
    <t>　貸付資金企業債償還金</t>
  </si>
  <si>
    <t>　貸付金</t>
  </si>
  <si>
    <t>水洗化貸付事業費</t>
  </si>
  <si>
    <t>企業債償還金</t>
  </si>
  <si>
    <t>　市街化区域外整備費</t>
    <rPh sb="1" eb="4">
      <t>シガイカ</t>
    </rPh>
    <rPh sb="4" eb="7">
      <t>クイキガイ</t>
    </rPh>
    <rPh sb="7" eb="10">
      <t>セイビヒ</t>
    </rPh>
    <phoneticPr fontId="2"/>
  </si>
  <si>
    <t>　建設利息</t>
  </si>
  <si>
    <t>　諸設備新設改良費</t>
  </si>
  <si>
    <t>　流域下水道整備費</t>
  </si>
  <si>
    <t>　都市下水路整備費</t>
  </si>
  <si>
    <t>　排水設備整備費</t>
  </si>
  <si>
    <t>　受益者負担金業務費</t>
  </si>
  <si>
    <t>　公共下水道整備費</t>
  </si>
  <si>
    <t>建設改良費</t>
  </si>
  <si>
    <t>消費税　調整額</t>
    <rPh sb="0" eb="3">
      <t>ショウヒゼイ</t>
    </rPh>
    <rPh sb="4" eb="6">
      <t>チョウセイ</t>
    </rPh>
    <rPh sb="6" eb="7">
      <t>ガク</t>
    </rPh>
    <phoneticPr fontId="2"/>
  </si>
  <si>
    <t>消費税端数調整ランク</t>
    <rPh sb="0" eb="3">
      <t>ショウヒゼイ</t>
    </rPh>
    <rPh sb="3" eb="5">
      <t>ハスウ</t>
    </rPh>
    <rPh sb="5" eb="7">
      <t>チョウセイ</t>
    </rPh>
    <phoneticPr fontId="2"/>
  </si>
  <si>
    <t>消費税　端数確認</t>
    <rPh sb="0" eb="3">
      <t>ショウヒゼイ</t>
    </rPh>
    <rPh sb="4" eb="6">
      <t>ハスウ</t>
    </rPh>
    <rPh sb="6" eb="8">
      <t>カクニン</t>
    </rPh>
    <phoneticPr fontId="2"/>
  </si>
  <si>
    <t>消費税</t>
    <rPh sb="0" eb="3">
      <t>ショウヒゼイ</t>
    </rPh>
    <phoneticPr fontId="2"/>
  </si>
  <si>
    <t>税抜決算額</t>
    <rPh sb="0" eb="2">
      <t>ゼイヌキ</t>
    </rPh>
    <rPh sb="2" eb="4">
      <t>ケッサン</t>
    </rPh>
    <rPh sb="4" eb="5">
      <t>ガク</t>
    </rPh>
    <phoneticPr fontId="2"/>
  </si>
  <si>
    <t>不課税支出</t>
    <rPh sb="0" eb="1">
      <t>フ</t>
    </rPh>
    <rPh sb="1" eb="3">
      <t>カゼイ</t>
    </rPh>
    <rPh sb="3" eb="5">
      <t>シシュツ</t>
    </rPh>
    <phoneticPr fontId="2"/>
  </si>
  <si>
    <t>非課税支出</t>
    <rPh sb="0" eb="3">
      <t>ヒカゼイ</t>
    </rPh>
    <rPh sb="3" eb="5">
      <t>シシュツ</t>
    </rPh>
    <phoneticPr fontId="2"/>
  </si>
  <si>
    <t>課税支出</t>
    <rPh sb="0" eb="2">
      <t>カゼイ</t>
    </rPh>
    <rPh sb="2" eb="4">
      <t>シシュツ</t>
    </rPh>
    <phoneticPr fontId="2"/>
  </si>
  <si>
    <t>税込決算額</t>
    <rPh sb="0" eb="2">
      <t>ゼイコミ</t>
    </rPh>
    <rPh sb="2" eb="4">
      <t>ケッサン</t>
    </rPh>
    <rPh sb="4" eb="5">
      <t>ガク</t>
    </rPh>
    <phoneticPr fontId="2"/>
  </si>
  <si>
    <t>費目</t>
    <rPh sb="0" eb="2">
      <t>ヒモク</t>
    </rPh>
    <phoneticPr fontId="2"/>
  </si>
  <si>
    <t>細節</t>
    <rPh sb="0" eb="2">
      <t>サイセツ</t>
    </rPh>
    <phoneticPr fontId="2"/>
  </si>
  <si>
    <t>節</t>
    <rPh sb="0" eb="1">
      <t>セツ</t>
    </rPh>
    <phoneticPr fontId="2"/>
  </si>
  <si>
    <t>事業</t>
    <rPh sb="0" eb="2">
      <t>ジギョウ</t>
    </rPh>
    <phoneticPr fontId="2"/>
  </si>
  <si>
    <t>【４条支出総括】</t>
    <rPh sb="2" eb="3">
      <t>ジョウ</t>
    </rPh>
    <rPh sb="3" eb="5">
      <t>シシュツ</t>
    </rPh>
    <rPh sb="5" eb="7">
      <t>ソウカツ</t>
    </rPh>
    <phoneticPr fontId="2"/>
  </si>
  <si>
    <t>路面復旧費</t>
  </si>
  <si>
    <t>615327588</t>
  </si>
  <si>
    <t>6153275</t>
  </si>
  <si>
    <t>工事負担金</t>
  </si>
  <si>
    <t>615327587</t>
  </si>
  <si>
    <t>工事委託料</t>
  </si>
  <si>
    <t>615327586</t>
  </si>
  <si>
    <t>設計委託料</t>
  </si>
  <si>
    <t>615327585</t>
  </si>
  <si>
    <t>工事補償金</t>
  </si>
  <si>
    <t>615327584</t>
  </si>
  <si>
    <t>工事請負費</t>
  </si>
  <si>
    <t>615327583</t>
  </si>
  <si>
    <t>電話加入権</t>
  </si>
  <si>
    <t>6153274</t>
  </si>
  <si>
    <t>施設利用権購入費</t>
  </si>
  <si>
    <t>6153273</t>
  </si>
  <si>
    <t>地上権購入費</t>
  </si>
  <si>
    <t>6153272</t>
  </si>
  <si>
    <t>借地権購入費</t>
  </si>
  <si>
    <t>6153271</t>
  </si>
  <si>
    <t>器具備品購入費</t>
  </si>
  <si>
    <t>6153270</t>
  </si>
  <si>
    <t>車両購入費</t>
  </si>
  <si>
    <t>6153269</t>
  </si>
  <si>
    <t>用地購入費並びに補償費</t>
  </si>
  <si>
    <t>6153265</t>
  </si>
  <si>
    <t>公課費</t>
  </si>
  <si>
    <t>6153240</t>
  </si>
  <si>
    <t>損害保険料</t>
  </si>
  <si>
    <t>6153239</t>
  </si>
  <si>
    <t>食糧費</t>
  </si>
  <si>
    <t>6153237</t>
  </si>
  <si>
    <t>負担金、補助及び交付金</t>
  </si>
  <si>
    <t>6153231</t>
  </si>
  <si>
    <t>材料費</t>
  </si>
  <si>
    <t>6153224</t>
  </si>
  <si>
    <t>修繕費</t>
  </si>
  <si>
    <t>6153223</t>
  </si>
  <si>
    <t>委託料</t>
  </si>
  <si>
    <t>6153221</t>
  </si>
  <si>
    <t>賃借料</t>
  </si>
  <si>
    <t>6153220</t>
  </si>
  <si>
    <t>手数料</t>
  </si>
  <si>
    <t>6153219</t>
  </si>
  <si>
    <t>通信運搬費</t>
  </si>
  <si>
    <t>6153217</t>
  </si>
  <si>
    <t>光熱水費</t>
  </si>
  <si>
    <t>6153215</t>
  </si>
  <si>
    <t>燃料費</t>
  </si>
  <si>
    <t>6153214</t>
  </si>
  <si>
    <t>備消品費</t>
  </si>
  <si>
    <t>6153213</t>
  </si>
  <si>
    <t>特別旅費</t>
  </si>
  <si>
    <t>615321002</t>
  </si>
  <si>
    <t>6153210</t>
  </si>
  <si>
    <t>普通旅費</t>
  </si>
  <si>
    <t>615321001</t>
  </si>
  <si>
    <t>報償費</t>
  </si>
  <si>
    <t>6153208</t>
  </si>
  <si>
    <t>賃金</t>
  </si>
  <si>
    <t>6153207</t>
  </si>
  <si>
    <t>災害補償費</t>
  </si>
  <si>
    <t>6153205</t>
  </si>
  <si>
    <t>法定福利費</t>
  </si>
  <si>
    <t>6153204</t>
  </si>
  <si>
    <t>手当等</t>
  </si>
  <si>
    <t>6153203</t>
  </si>
  <si>
    <t>給料</t>
  </si>
  <si>
    <t>6153202</t>
  </si>
  <si>
    <t>報酬</t>
  </si>
  <si>
    <t>6153201</t>
  </si>
  <si>
    <t>【公共下水道整備費】</t>
    <rPh sb="1" eb="3">
      <t>コウキョウ</t>
    </rPh>
    <rPh sb="3" eb="6">
      <t>ゲスイドウ</t>
    </rPh>
    <rPh sb="6" eb="8">
      <t>セイビ</t>
    </rPh>
    <rPh sb="8" eb="9">
      <t>ヒ</t>
    </rPh>
    <phoneticPr fontId="2"/>
  </si>
  <si>
    <t>615387588</t>
  </si>
  <si>
    <t>6153875</t>
  </si>
  <si>
    <t>615387587</t>
  </si>
  <si>
    <t>615387586</t>
  </si>
  <si>
    <t>615387585</t>
  </si>
  <si>
    <t>615387584</t>
  </si>
  <si>
    <t>615387583</t>
  </si>
  <si>
    <t>6153874</t>
  </si>
  <si>
    <t>6153873</t>
  </si>
  <si>
    <t>6153872</t>
  </si>
  <si>
    <t>6153871</t>
  </si>
  <si>
    <t>6153870</t>
  </si>
  <si>
    <t>6153869</t>
  </si>
  <si>
    <t>6153865</t>
  </si>
  <si>
    <t>6153840</t>
  </si>
  <si>
    <t>6153839</t>
  </si>
  <si>
    <t>6153837</t>
  </si>
  <si>
    <t>6153831</t>
  </si>
  <si>
    <t>6153824</t>
  </si>
  <si>
    <t>6153823</t>
  </si>
  <si>
    <t>6153821</t>
  </si>
  <si>
    <t>6153820</t>
  </si>
  <si>
    <t>6153819</t>
  </si>
  <si>
    <t>6153817</t>
  </si>
  <si>
    <t>6153815</t>
  </si>
  <si>
    <t>6153814</t>
  </si>
  <si>
    <t>6153813</t>
  </si>
  <si>
    <t>615381002</t>
  </si>
  <si>
    <t>6153810</t>
  </si>
  <si>
    <t>615381001</t>
  </si>
  <si>
    <t>6153808</t>
  </si>
  <si>
    <t>6153807</t>
  </si>
  <si>
    <t>6153805</t>
  </si>
  <si>
    <t>6153804</t>
  </si>
  <si>
    <t>6153803</t>
  </si>
  <si>
    <t>6153802</t>
  </si>
  <si>
    <t>6153801</t>
  </si>
  <si>
    <t>【受益者負担金業務費】</t>
    <rPh sb="1" eb="10">
      <t>ジュエキシャ</t>
    </rPh>
    <rPh sb="9" eb="10">
      <t>ヒ</t>
    </rPh>
    <phoneticPr fontId="2"/>
  </si>
  <si>
    <t>615427588</t>
  </si>
  <si>
    <t>6154275</t>
  </si>
  <si>
    <t>615427587</t>
  </si>
  <si>
    <t>615427586</t>
  </si>
  <si>
    <t>615427585</t>
  </si>
  <si>
    <t>615427584</t>
  </si>
  <si>
    <t>615427583</t>
  </si>
  <si>
    <t>6154274</t>
  </si>
  <si>
    <t>6154273</t>
  </si>
  <si>
    <t>6154272</t>
  </si>
  <si>
    <t>6154271</t>
  </si>
  <si>
    <t>6154270</t>
  </si>
  <si>
    <t>6154269</t>
  </si>
  <si>
    <t>6154265</t>
  </si>
  <si>
    <t>6154240</t>
  </si>
  <si>
    <t>6154239</t>
  </si>
  <si>
    <t>6154237</t>
  </si>
  <si>
    <t>6154231</t>
  </si>
  <si>
    <t>6154224</t>
  </si>
  <si>
    <t>6154223</t>
  </si>
  <si>
    <t>6154221</t>
  </si>
  <si>
    <t>6154220</t>
  </si>
  <si>
    <t>6154219</t>
  </si>
  <si>
    <t>6154217</t>
  </si>
  <si>
    <t>6154215</t>
  </si>
  <si>
    <t>6154214</t>
  </si>
  <si>
    <t>6154213</t>
  </si>
  <si>
    <t>615421002</t>
  </si>
  <si>
    <t>6154210</t>
  </si>
  <si>
    <t>615421001</t>
  </si>
  <si>
    <t>6154208</t>
  </si>
  <si>
    <t>6154207</t>
  </si>
  <si>
    <t>6154205</t>
  </si>
  <si>
    <t>6154204</t>
  </si>
  <si>
    <t>6154203</t>
  </si>
  <si>
    <t>6154202</t>
  </si>
  <si>
    <t>6154201</t>
  </si>
  <si>
    <t>【排水設備整備費】</t>
    <rPh sb="1" eb="8">
      <t>ハイスイ</t>
    </rPh>
    <phoneticPr fontId="2"/>
  </si>
  <si>
    <t>615467588</t>
  </si>
  <si>
    <t>6154675</t>
  </si>
  <si>
    <t>615467587</t>
  </si>
  <si>
    <t>615467586</t>
  </si>
  <si>
    <t>615467585</t>
  </si>
  <si>
    <t>615467584</t>
  </si>
  <si>
    <t>615467583</t>
  </si>
  <si>
    <t>6154674</t>
  </si>
  <si>
    <t>6154673</t>
  </si>
  <si>
    <t>6154672</t>
  </si>
  <si>
    <t>6154671</t>
  </si>
  <si>
    <t>6154670</t>
  </si>
  <si>
    <t>6154669</t>
  </si>
  <si>
    <t>6154665</t>
  </si>
  <si>
    <t>6154640</t>
  </si>
  <si>
    <t>6154639</t>
  </si>
  <si>
    <t>6154637</t>
  </si>
  <si>
    <t>6154631</t>
  </si>
  <si>
    <t>6154624</t>
  </si>
  <si>
    <t>6154623</t>
  </si>
  <si>
    <t>6154621</t>
  </si>
  <si>
    <t>6154620</t>
  </si>
  <si>
    <t>6154619</t>
  </si>
  <si>
    <t>6154617</t>
  </si>
  <si>
    <t>6154615</t>
  </si>
  <si>
    <t>6154614</t>
  </si>
  <si>
    <t>6154613</t>
  </si>
  <si>
    <t>615461002</t>
  </si>
  <si>
    <t>6154610</t>
  </si>
  <si>
    <t>615461001</t>
  </si>
  <si>
    <t>6154608</t>
  </si>
  <si>
    <t>6154607</t>
  </si>
  <si>
    <t>6154605</t>
  </si>
  <si>
    <t>6154604</t>
  </si>
  <si>
    <t>6154603</t>
  </si>
  <si>
    <t>6154602</t>
  </si>
  <si>
    <t>6154601</t>
  </si>
  <si>
    <t>【都市下水路整備費】</t>
    <rPh sb="1" eb="3">
      <t>トシ</t>
    </rPh>
    <rPh sb="3" eb="5">
      <t>ゲスイ</t>
    </rPh>
    <rPh sb="5" eb="6">
      <t>ロ</t>
    </rPh>
    <rPh sb="6" eb="8">
      <t>セイビ</t>
    </rPh>
    <rPh sb="8" eb="9">
      <t>ヒ</t>
    </rPh>
    <phoneticPr fontId="2"/>
  </si>
  <si>
    <t>615477588</t>
  </si>
  <si>
    <t>6154775</t>
  </si>
  <si>
    <t>615477587</t>
  </si>
  <si>
    <t>615477586</t>
  </si>
  <si>
    <t>615477585</t>
  </si>
  <si>
    <t>615477584</t>
  </si>
  <si>
    <t>615477583</t>
  </si>
  <si>
    <t>6154774</t>
  </si>
  <si>
    <t>6154773</t>
  </si>
  <si>
    <t>6154772</t>
  </si>
  <si>
    <t>6154771</t>
  </si>
  <si>
    <t>6154770</t>
  </si>
  <si>
    <t>6154769</t>
  </si>
  <si>
    <t>6154765</t>
  </si>
  <si>
    <t>6154740</t>
  </si>
  <si>
    <t>6154739</t>
  </si>
  <si>
    <t>6154737</t>
  </si>
  <si>
    <t>6154731</t>
  </si>
  <si>
    <t>6154724</t>
  </si>
  <si>
    <t>6154723</t>
  </si>
  <si>
    <t>6154721</t>
  </si>
  <si>
    <t>6154720</t>
  </si>
  <si>
    <t>6154719</t>
  </si>
  <si>
    <t>6154717</t>
  </si>
  <si>
    <t>6154715</t>
  </si>
  <si>
    <t>6154714</t>
  </si>
  <si>
    <t>6154713</t>
  </si>
  <si>
    <t>615471002</t>
  </si>
  <si>
    <t>6154710</t>
  </si>
  <si>
    <t>615471001</t>
  </si>
  <si>
    <t>6154708</t>
  </si>
  <si>
    <t>6154707</t>
  </si>
  <si>
    <t>6154705</t>
  </si>
  <si>
    <t>6154704</t>
  </si>
  <si>
    <t>6154703</t>
  </si>
  <si>
    <t>6154702</t>
  </si>
  <si>
    <t>6154701</t>
  </si>
  <si>
    <t>【流域下水道整備費】</t>
    <rPh sb="1" eb="3">
      <t>リュウイキ</t>
    </rPh>
    <rPh sb="3" eb="5">
      <t>ゲスイ</t>
    </rPh>
    <rPh sb="5" eb="6">
      <t>ドウ</t>
    </rPh>
    <rPh sb="6" eb="8">
      <t>セイビ</t>
    </rPh>
    <rPh sb="8" eb="9">
      <t>ヒ</t>
    </rPh>
    <phoneticPr fontId="2"/>
  </si>
  <si>
    <t>615507588</t>
  </si>
  <si>
    <t>6155075</t>
  </si>
  <si>
    <t>615507587</t>
  </si>
  <si>
    <t>615507586</t>
  </si>
  <si>
    <t>615507585</t>
  </si>
  <si>
    <t>615507584</t>
  </si>
  <si>
    <t>615507583</t>
  </si>
  <si>
    <t>6155074</t>
  </si>
  <si>
    <t>6155073</t>
  </si>
  <si>
    <t>6155072</t>
  </si>
  <si>
    <t>6155071</t>
  </si>
  <si>
    <t>6155070</t>
  </si>
  <si>
    <t>6155069</t>
  </si>
  <si>
    <t>6155065</t>
  </si>
  <si>
    <t>6155040</t>
  </si>
  <si>
    <t>6155039</t>
  </si>
  <si>
    <t>6155037</t>
  </si>
  <si>
    <t>6155031</t>
  </si>
  <si>
    <t>6155024</t>
  </si>
  <si>
    <t>6155023</t>
  </si>
  <si>
    <t>6155021</t>
  </si>
  <si>
    <t>6155020</t>
  </si>
  <si>
    <t>6155019</t>
  </si>
  <si>
    <t>6155017</t>
  </si>
  <si>
    <t>6155015</t>
  </si>
  <si>
    <t>6155014</t>
  </si>
  <si>
    <t>6155013</t>
  </si>
  <si>
    <t>615501002</t>
  </si>
  <si>
    <t>6155010</t>
  </si>
  <si>
    <t>615501001</t>
  </si>
  <si>
    <t>6155008</t>
  </si>
  <si>
    <t>6155007</t>
  </si>
  <si>
    <t>6155005</t>
  </si>
  <si>
    <t>6155004</t>
  </si>
  <si>
    <t>6155003</t>
  </si>
  <si>
    <t>6155002</t>
  </si>
  <si>
    <t>6155001</t>
  </si>
  <si>
    <t>【諸設備新設改良費（公共）】</t>
    <rPh sb="1" eb="9">
      <t>ショシン</t>
    </rPh>
    <rPh sb="10" eb="12">
      <t>コウキョウ</t>
    </rPh>
    <phoneticPr fontId="2"/>
  </si>
  <si>
    <t>【諸設備新設改良費（特環）】</t>
    <rPh sb="1" eb="9">
      <t>ショシン</t>
    </rPh>
    <rPh sb="10" eb="12">
      <t>トッカン</t>
    </rPh>
    <phoneticPr fontId="2"/>
  </si>
  <si>
    <t>【諸設備新設改良費（農集）】</t>
    <rPh sb="1" eb="9">
      <t>ショシン</t>
    </rPh>
    <rPh sb="10" eb="12">
      <t>ノウシュウ</t>
    </rPh>
    <phoneticPr fontId="2"/>
  </si>
  <si>
    <t>建設利息</t>
    <rPh sb="0" eb="2">
      <t>ケンセツ</t>
    </rPh>
    <rPh sb="2" eb="4">
      <t>リソク</t>
    </rPh>
    <phoneticPr fontId="2"/>
  </si>
  <si>
    <t>6155277</t>
  </si>
  <si>
    <t>【建設利息】</t>
    <rPh sb="1" eb="3">
      <t>ケンセツ</t>
    </rPh>
    <rPh sb="3" eb="5">
      <t>リソク</t>
    </rPh>
    <phoneticPr fontId="2"/>
  </si>
  <si>
    <t>615537588</t>
  </si>
  <si>
    <t>6155375</t>
  </si>
  <si>
    <t>615537587</t>
  </si>
  <si>
    <t>615537586</t>
  </si>
  <si>
    <t>615537585</t>
  </si>
  <si>
    <t>615537584</t>
  </si>
  <si>
    <t>615537583</t>
  </si>
  <si>
    <t>6155374</t>
  </si>
  <si>
    <t>6155373</t>
  </si>
  <si>
    <t>6155372</t>
  </si>
  <si>
    <t>6155371</t>
  </si>
  <si>
    <t>6155370</t>
  </si>
  <si>
    <t>6155369</t>
  </si>
  <si>
    <t>6155365</t>
  </si>
  <si>
    <t>6155340</t>
  </si>
  <si>
    <t>6155339</t>
  </si>
  <si>
    <t>6155337</t>
  </si>
  <si>
    <t>6155331</t>
  </si>
  <si>
    <t>6155324</t>
  </si>
  <si>
    <t>6155323</t>
  </si>
  <si>
    <t>6155321</t>
  </si>
  <si>
    <t>6155320</t>
  </si>
  <si>
    <t>6155319</t>
  </si>
  <si>
    <t>6155317</t>
  </si>
  <si>
    <t>6155315</t>
  </si>
  <si>
    <t>6155314</t>
  </si>
  <si>
    <t>6155313</t>
  </si>
  <si>
    <t>615531002</t>
  </si>
  <si>
    <t>6155310</t>
  </si>
  <si>
    <t>615531001</t>
  </si>
  <si>
    <t>6155308</t>
  </si>
  <si>
    <t>6155307</t>
  </si>
  <si>
    <t>6155305</t>
  </si>
  <si>
    <t>6155304</t>
  </si>
  <si>
    <t>6155303</t>
  </si>
  <si>
    <t>6155302</t>
  </si>
  <si>
    <t>6155301</t>
  </si>
  <si>
    <t>【市街化区域外汚水処理施設整備費（特環）】</t>
    <rPh sb="1" eb="16">
      <t>クイキガイ</t>
    </rPh>
    <rPh sb="17" eb="19">
      <t>トッカン</t>
    </rPh>
    <phoneticPr fontId="2"/>
  </si>
  <si>
    <t>【市街化区域外汚水処理施設整備費（農集）】</t>
    <rPh sb="1" eb="16">
      <t>クイキガイ</t>
    </rPh>
    <rPh sb="17" eb="19">
      <t>ノウシュウ</t>
    </rPh>
    <phoneticPr fontId="2"/>
  </si>
  <si>
    <t>【市街化区域外汚水処理施設整備費（浄化槽）】</t>
    <rPh sb="1" eb="16">
      <t>クイキガイ</t>
    </rPh>
    <rPh sb="17" eb="20">
      <t>ジョウカソウ</t>
    </rPh>
    <phoneticPr fontId="2"/>
  </si>
  <si>
    <t>企業債償還積立金</t>
  </si>
  <si>
    <t>6160202</t>
  </si>
  <si>
    <t>6160101</t>
  </si>
  <si>
    <t>【企業債償還金】</t>
    <rPh sb="1" eb="3">
      <t>キギョウ</t>
    </rPh>
    <rPh sb="3" eb="4">
      <t>サイ</t>
    </rPh>
    <rPh sb="4" eb="7">
      <t>ショウカンキン</t>
    </rPh>
    <phoneticPr fontId="2"/>
  </si>
  <si>
    <t>一般会計借入金償還金</t>
  </si>
  <si>
    <t>貸付資金企業債償還金</t>
  </si>
  <si>
    <t>　浄化槽</t>
    <rPh sb="1" eb="4">
      <t>ジョウカソウ</t>
    </rPh>
    <phoneticPr fontId="2"/>
  </si>
  <si>
    <t>　農集</t>
    <rPh sb="1" eb="3">
      <t>ノウシュウ</t>
    </rPh>
    <phoneticPr fontId="2"/>
  </si>
  <si>
    <t>　特環</t>
    <rPh sb="1" eb="3">
      <t>トッカン</t>
    </rPh>
    <phoneticPr fontId="2"/>
  </si>
  <si>
    <t>　公共</t>
    <rPh sb="1" eb="3">
      <t>コウキョウ</t>
    </rPh>
    <phoneticPr fontId="2"/>
  </si>
  <si>
    <t>排水設備改修資金貸付金</t>
    <phoneticPr fontId="2"/>
  </si>
  <si>
    <t>し尿浄化槽廃止資金貸付金</t>
    <phoneticPr fontId="2"/>
  </si>
  <si>
    <t>水洗便所改造資金貸付金</t>
    <phoneticPr fontId="2"/>
  </si>
  <si>
    <t>貸付金　計</t>
    <rPh sb="0" eb="2">
      <t>カシツケ</t>
    </rPh>
    <rPh sb="2" eb="3">
      <t>キン</t>
    </rPh>
    <rPh sb="4" eb="5">
      <t>ケイ</t>
    </rPh>
    <phoneticPr fontId="2"/>
  </si>
  <si>
    <t>【水洗化貸付事業費】</t>
    <rPh sb="1" eb="4">
      <t>スイセンカ</t>
    </rPh>
    <rPh sb="4" eb="6">
      <t>カシツケ</t>
    </rPh>
    <rPh sb="6" eb="8">
      <t>ジギョウ</t>
    </rPh>
    <rPh sb="8" eb="9">
      <t>ヒ</t>
    </rPh>
    <phoneticPr fontId="2"/>
  </si>
  <si>
    <t>国庫補助金返還金</t>
  </si>
  <si>
    <t>【返還金】</t>
    <rPh sb="1" eb="4">
      <t>ヘンカンキン</t>
    </rPh>
    <phoneticPr fontId="2"/>
  </si>
  <si>
    <t>水洗借入金償還金（特環）</t>
    <rPh sb="9" eb="11">
      <t>トッカン</t>
    </rPh>
    <phoneticPr fontId="2"/>
  </si>
  <si>
    <t>し尿借入金償還金（特環）</t>
    <phoneticPr fontId="2"/>
  </si>
  <si>
    <t>排水借入金償還金（特環）</t>
    <rPh sb="9" eb="11">
      <t>トッカン</t>
    </rPh>
    <phoneticPr fontId="2"/>
  </si>
  <si>
    <t>水洗借入金償還金（農集）</t>
    <rPh sb="9" eb="11">
      <t>ノウシュウ</t>
    </rPh>
    <phoneticPr fontId="2"/>
  </si>
  <si>
    <t>し尿借入金償還金（農集）</t>
    <phoneticPr fontId="2"/>
  </si>
  <si>
    <t>排水借入金償還金（農集）</t>
    <phoneticPr fontId="2"/>
  </si>
  <si>
    <t>水洗借入金償還金（浄化槽）</t>
    <rPh sb="9" eb="12">
      <t>ジョウカソウ</t>
    </rPh>
    <phoneticPr fontId="2"/>
  </si>
  <si>
    <t>し尿借入金償還金（浄化槽）</t>
    <phoneticPr fontId="2"/>
  </si>
  <si>
    <t>排水借入金償還金（浄化槽）</t>
    <rPh sb="9" eb="12">
      <t>ジョウカソウ</t>
    </rPh>
    <phoneticPr fontId="2"/>
  </si>
  <si>
    <t>　　公共</t>
    <rPh sb="2" eb="4">
      <t>コウキョウ</t>
    </rPh>
    <phoneticPr fontId="2"/>
  </si>
  <si>
    <t>　　特環</t>
    <rPh sb="2" eb="4">
      <t>トッカン</t>
    </rPh>
    <phoneticPr fontId="2"/>
  </si>
  <si>
    <t>　　農集</t>
    <rPh sb="2" eb="4">
      <t>ノウシュウ</t>
    </rPh>
    <phoneticPr fontId="2"/>
  </si>
  <si>
    <t>　　浄化槽</t>
    <rPh sb="2" eb="5">
      <t>ジョウカソウ</t>
    </rPh>
    <phoneticPr fontId="2"/>
  </si>
  <si>
    <t>災害復旧事業債償還金</t>
    <rPh sb="0" eb="2">
      <t>サイガイ</t>
    </rPh>
    <rPh sb="2" eb="4">
      <t>フッキュウ</t>
    </rPh>
    <rPh sb="4" eb="6">
      <t>ジギョウ</t>
    </rPh>
    <rPh sb="6" eb="7">
      <t>サイ</t>
    </rPh>
    <phoneticPr fontId="2"/>
  </si>
  <si>
    <t>費用弁償</t>
    <rPh sb="0" eb="4">
      <t>ヒヨウベンショウ</t>
    </rPh>
    <phoneticPr fontId="2"/>
  </si>
  <si>
    <t>費用弁償</t>
    <rPh sb="0" eb="4">
      <t>ヒヨウベンショウ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</si>
</sst>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0;[Red]\-#,##0.000"/>
    <numFmt numFmtId="177" formatCode="0_);[Red]\(0\)"/>
    <numFmt numFmtId="178" formatCode="General&quot; （軽）&quot;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11"/>
      <color theme="0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/>
      </patternFill>
    </fill>
  </fills>
  <borders count="46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4" fillId="0" borderId="0"/>
    <xf numFmtId="0" fontId="3" fillId="0" borderId="0">
      <alignment vertical="center"/>
    </xf>
    <xf numFmtId="0" fontId="5" fillId="0" borderId="0"/>
    <xf numFmtId="0" fontId="6" fillId="0" borderId="0"/>
    <xf numFmtId="0" fontId="7" fillId="5" borderId="0" applyNumberFormat="0" applyBorder="0" applyAlignment="0" applyProtection="0">
      <alignment vertical="center"/>
    </xf>
  </cellStyleXfs>
  <cellXfs count="157">
    <xf numFmtId="0" fontId="0" fillId="0" borderId="0" xfId="0"/>
    <xf numFmtId="0" fontId="0" fillId="0" borderId="0" xfId="0" applyFont="1" applyAlignment="1">
      <alignment vertical="center"/>
    </xf>
    <xf numFmtId="38" fontId="0" fillId="0" borderId="0" xfId="1" applyFont="1" applyAlignment="1">
      <alignment vertical="center"/>
    </xf>
    <xf numFmtId="38" fontId="0" fillId="0" borderId="0" xfId="0" applyNumberFormat="1" applyFont="1" applyAlignment="1">
      <alignment vertical="center"/>
    </xf>
    <xf numFmtId="38" fontId="0" fillId="0" borderId="1" xfId="1" applyFont="1" applyBorder="1" applyAlignment="1">
      <alignment vertical="center"/>
    </xf>
    <xf numFmtId="38" fontId="0" fillId="0" borderId="4" xfId="0" applyNumberFormat="1" applyFont="1" applyBorder="1" applyAlignment="1">
      <alignment vertical="center"/>
    </xf>
    <xf numFmtId="38" fontId="0" fillId="0" borderId="2" xfId="1" applyFont="1" applyFill="1" applyBorder="1" applyAlignment="1">
      <alignment vertical="center"/>
    </xf>
    <xf numFmtId="38" fontId="0" fillId="0" borderId="1" xfId="0" applyNumberFormat="1" applyFont="1" applyBorder="1" applyAlignment="1">
      <alignment vertical="center"/>
    </xf>
    <xf numFmtId="38" fontId="0" fillId="0" borderId="5" xfId="0" applyNumberFormat="1" applyFont="1" applyBorder="1" applyAlignment="1">
      <alignment vertical="center"/>
    </xf>
    <xf numFmtId="38" fontId="0" fillId="0" borderId="2" xfId="0" applyNumberFormat="1" applyFont="1" applyBorder="1" applyAlignment="1">
      <alignment vertical="center"/>
    </xf>
    <xf numFmtId="38" fontId="0" fillId="0" borderId="3" xfId="0" applyNumberFormat="1" applyFont="1" applyBorder="1" applyAlignment="1">
      <alignment vertical="center"/>
    </xf>
    <xf numFmtId="0" fontId="0" fillId="0" borderId="4" xfId="0" applyFont="1" applyBorder="1" applyAlignment="1">
      <alignment horizontal="center" vertical="center" shrinkToFit="1"/>
    </xf>
    <xf numFmtId="0" fontId="0" fillId="0" borderId="5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38" fontId="0" fillId="0" borderId="6" xfId="1" applyFont="1" applyBorder="1" applyAlignment="1">
      <alignment vertical="center"/>
    </xf>
    <xf numFmtId="38" fontId="0" fillId="0" borderId="7" xfId="1" applyFont="1" applyBorder="1" applyAlignment="1">
      <alignment vertical="center"/>
    </xf>
    <xf numFmtId="38" fontId="0" fillId="0" borderId="8" xfId="1" applyFont="1" applyBorder="1" applyAlignment="1">
      <alignment vertical="center"/>
    </xf>
    <xf numFmtId="38" fontId="0" fillId="0" borderId="9" xfId="1" applyFont="1" applyBorder="1" applyAlignment="1">
      <alignment vertical="center"/>
    </xf>
    <xf numFmtId="38" fontId="0" fillId="0" borderId="10" xfId="1" applyFont="1" applyBorder="1" applyAlignment="1">
      <alignment vertical="center"/>
    </xf>
    <xf numFmtId="38" fontId="0" fillId="0" borderId="9" xfId="0" applyNumberFormat="1" applyFont="1" applyBorder="1" applyAlignment="1">
      <alignment vertical="center"/>
    </xf>
    <xf numFmtId="38" fontId="0" fillId="0" borderId="6" xfId="0" applyNumberFormat="1" applyFont="1" applyBorder="1" applyAlignment="1">
      <alignment vertical="center"/>
    </xf>
    <xf numFmtId="38" fontId="0" fillId="0" borderId="10" xfId="0" applyNumberFormat="1" applyFont="1" applyBorder="1" applyAlignment="1">
      <alignment vertical="center"/>
    </xf>
    <xf numFmtId="38" fontId="0" fillId="0" borderId="7" xfId="0" applyNumberFormat="1" applyFont="1" applyBorder="1" applyAlignment="1">
      <alignment vertical="center"/>
    </xf>
    <xf numFmtId="38" fontId="0" fillId="0" borderId="8" xfId="0" applyNumberFormat="1" applyFont="1" applyBorder="1" applyAlignment="1">
      <alignment vertical="center"/>
    </xf>
    <xf numFmtId="0" fontId="0" fillId="0" borderId="9" xfId="0" applyFont="1" applyBorder="1" applyAlignment="1">
      <alignment horizontal="center" vertical="center" shrinkToFit="1"/>
    </xf>
    <xf numFmtId="0" fontId="0" fillId="0" borderId="1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38" fontId="0" fillId="0" borderId="0" xfId="1" applyNumberFormat="1" applyFont="1" applyAlignment="1">
      <alignment vertical="center"/>
    </xf>
    <xf numFmtId="176" fontId="0" fillId="0" borderId="0" xfId="1" applyNumberFormat="1" applyFont="1" applyAlignment="1">
      <alignment vertical="center"/>
    </xf>
    <xf numFmtId="38" fontId="0" fillId="0" borderId="12" xfId="1" applyFont="1" applyBorder="1" applyAlignment="1">
      <alignment vertical="center"/>
    </xf>
    <xf numFmtId="38" fontId="0" fillId="0" borderId="13" xfId="1" applyFont="1" applyBorder="1" applyAlignment="1">
      <alignment vertical="center"/>
    </xf>
    <xf numFmtId="38" fontId="0" fillId="0" borderId="14" xfId="0" applyNumberFormat="1" applyFont="1" applyBorder="1" applyAlignment="1">
      <alignment vertical="center"/>
    </xf>
    <xf numFmtId="38" fontId="0" fillId="0" borderId="11" xfId="1" applyFont="1" applyBorder="1" applyAlignment="1">
      <alignment vertical="center"/>
    </xf>
    <xf numFmtId="38" fontId="0" fillId="0" borderId="15" xfId="1" applyFont="1" applyBorder="1" applyAlignment="1">
      <alignment vertical="center"/>
    </xf>
    <xf numFmtId="38" fontId="0" fillId="0" borderId="14" xfId="1" applyFont="1" applyBorder="1" applyAlignment="1">
      <alignment vertical="center"/>
    </xf>
    <xf numFmtId="0" fontId="0" fillId="0" borderId="14" xfId="0" applyFont="1" applyBorder="1" applyAlignment="1">
      <alignment vertical="center" shrinkToFit="1"/>
    </xf>
    <xf numFmtId="0" fontId="0" fillId="0" borderId="15" xfId="0" applyFont="1" applyBorder="1" applyAlignment="1">
      <alignment horizontal="center" vertical="center" shrinkToFit="1"/>
    </xf>
    <xf numFmtId="0" fontId="0" fillId="0" borderId="12" xfId="0" applyFont="1" applyBorder="1" applyAlignment="1">
      <alignment horizontal="center" vertical="center" shrinkToFit="1"/>
    </xf>
    <xf numFmtId="0" fontId="0" fillId="0" borderId="13" xfId="0" applyFont="1" applyBorder="1" applyAlignment="1">
      <alignment vertical="center" shrinkToFit="1"/>
    </xf>
    <xf numFmtId="38" fontId="0" fillId="0" borderId="17" xfId="1" applyFont="1" applyBorder="1" applyAlignment="1">
      <alignment vertical="center"/>
    </xf>
    <xf numFmtId="38" fontId="0" fillId="0" borderId="18" xfId="1" applyFont="1" applyBorder="1" applyAlignment="1">
      <alignment vertical="center"/>
    </xf>
    <xf numFmtId="38" fontId="0" fillId="0" borderId="19" xfId="0" applyNumberFormat="1" applyFont="1" applyBorder="1" applyAlignment="1">
      <alignment vertical="center"/>
    </xf>
    <xf numFmtId="38" fontId="0" fillId="0" borderId="16" xfId="1" applyFont="1" applyBorder="1" applyAlignment="1">
      <alignment vertical="center"/>
    </xf>
    <xf numFmtId="38" fontId="0" fillId="0" borderId="20" xfId="1" applyFont="1" applyBorder="1" applyAlignment="1">
      <alignment vertical="center"/>
    </xf>
    <xf numFmtId="38" fontId="0" fillId="0" borderId="19" xfId="1" applyFont="1" applyBorder="1" applyAlignment="1">
      <alignment vertical="center"/>
    </xf>
    <xf numFmtId="0" fontId="0" fillId="0" borderId="19" xfId="0" applyFont="1" applyBorder="1" applyAlignment="1">
      <alignment vertical="center" shrinkToFit="1"/>
    </xf>
    <xf numFmtId="0" fontId="0" fillId="0" borderId="20" xfId="0" applyFont="1" applyBorder="1" applyAlignment="1">
      <alignment horizontal="center" vertical="center" shrinkToFit="1"/>
    </xf>
    <xf numFmtId="0" fontId="0" fillId="0" borderId="17" xfId="0" applyFont="1" applyBorder="1" applyAlignment="1">
      <alignment horizontal="center" vertical="center" shrinkToFit="1"/>
    </xf>
    <xf numFmtId="0" fontId="0" fillId="0" borderId="18" xfId="0" applyFont="1" applyBorder="1" applyAlignment="1">
      <alignment vertical="center" shrinkToFit="1"/>
    </xf>
    <xf numFmtId="38" fontId="0" fillId="0" borderId="19" xfId="0" applyNumberFormat="1" applyBorder="1" applyAlignment="1">
      <alignment vertical="center"/>
    </xf>
    <xf numFmtId="38" fontId="0" fillId="0" borderId="16" xfId="1" applyFont="1" applyFill="1" applyBorder="1" applyAlignment="1">
      <alignment vertical="center"/>
    </xf>
    <xf numFmtId="38" fontId="0" fillId="0" borderId="20" xfId="1" applyFont="1" applyFill="1" applyBorder="1" applyAlignment="1">
      <alignment vertical="center"/>
    </xf>
    <xf numFmtId="38" fontId="0" fillId="0" borderId="17" xfId="1" applyFont="1" applyFill="1" applyBorder="1" applyAlignment="1">
      <alignment vertical="center"/>
    </xf>
    <xf numFmtId="38" fontId="0" fillId="0" borderId="18" xfId="1" applyFont="1" applyFill="1" applyBorder="1" applyAlignment="1">
      <alignment vertical="center"/>
    </xf>
    <xf numFmtId="38" fontId="0" fillId="0" borderId="21" xfId="0" applyNumberFormat="1" applyFont="1" applyBorder="1" applyAlignment="1">
      <alignment vertical="center"/>
    </xf>
    <xf numFmtId="38" fontId="0" fillId="0" borderId="22" xfId="1" applyFont="1" applyBorder="1" applyAlignment="1">
      <alignment vertical="center"/>
    </xf>
    <xf numFmtId="38" fontId="0" fillId="0" borderId="23" xfId="1" applyFont="1" applyBorder="1" applyAlignment="1">
      <alignment vertical="center"/>
    </xf>
    <xf numFmtId="38" fontId="0" fillId="0" borderId="24" xfId="1" applyFont="1" applyBorder="1" applyAlignment="1">
      <alignment vertical="center"/>
    </xf>
    <xf numFmtId="38" fontId="0" fillId="0" borderId="25" xfId="1" applyFont="1" applyBorder="1" applyAlignment="1">
      <alignment vertical="center"/>
    </xf>
    <xf numFmtId="38" fontId="0" fillId="0" borderId="21" xfId="1" applyFont="1" applyBorder="1" applyAlignment="1">
      <alignment vertical="center"/>
    </xf>
    <xf numFmtId="0" fontId="0" fillId="0" borderId="21" xfId="0" applyFont="1" applyBorder="1" applyAlignment="1">
      <alignment vertical="center" shrinkToFit="1"/>
    </xf>
    <xf numFmtId="0" fontId="0" fillId="0" borderId="23" xfId="0" applyFont="1" applyBorder="1" applyAlignment="1">
      <alignment horizontal="center" vertical="center" shrinkToFit="1"/>
    </xf>
    <xf numFmtId="0" fontId="0" fillId="0" borderId="24" xfId="0" applyFont="1" applyBorder="1" applyAlignment="1">
      <alignment horizontal="center" vertical="center" shrinkToFit="1"/>
    </xf>
    <xf numFmtId="0" fontId="0" fillId="0" borderId="25" xfId="0" applyFont="1" applyBorder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27" xfId="1" applyFont="1" applyBorder="1" applyAlignment="1">
      <alignment horizontal="center" vertical="center"/>
    </xf>
    <xf numFmtId="38" fontId="0" fillId="0" borderId="28" xfId="1" applyFont="1" applyBorder="1" applyAlignment="1">
      <alignment horizontal="center" vertical="center"/>
    </xf>
    <xf numFmtId="38" fontId="0" fillId="0" borderId="29" xfId="1" applyFont="1" applyBorder="1" applyAlignment="1">
      <alignment horizontal="center" vertical="center"/>
    </xf>
    <xf numFmtId="38" fontId="0" fillId="0" borderId="30" xfId="1" applyFont="1" applyBorder="1" applyAlignment="1">
      <alignment horizontal="center" vertical="center"/>
    </xf>
    <xf numFmtId="177" fontId="0" fillId="0" borderId="27" xfId="2" applyNumberFormat="1" applyFont="1" applyBorder="1" applyAlignment="1">
      <alignment horizontal="center" vertical="center"/>
    </xf>
    <xf numFmtId="177" fontId="0" fillId="0" borderId="28" xfId="2" applyNumberFormat="1" applyFont="1" applyBorder="1" applyAlignment="1">
      <alignment horizontal="center" vertical="center"/>
    </xf>
    <xf numFmtId="177" fontId="0" fillId="0" borderId="29" xfId="2" applyNumberFormat="1" applyFont="1" applyBorder="1" applyAlignment="1">
      <alignment horizontal="center" vertical="center"/>
    </xf>
    <xf numFmtId="177" fontId="0" fillId="0" borderId="30" xfId="2" applyNumberFormat="1" applyFont="1" applyBorder="1" applyAlignment="1">
      <alignment horizontal="center" vertical="center"/>
    </xf>
    <xf numFmtId="38" fontId="0" fillId="2" borderId="14" xfId="1" applyFont="1" applyFill="1" applyBorder="1" applyAlignment="1">
      <alignment vertical="center"/>
    </xf>
    <xf numFmtId="38" fontId="0" fillId="2" borderId="15" xfId="1" applyFont="1" applyFill="1" applyBorder="1" applyAlignment="1">
      <alignment vertical="center"/>
    </xf>
    <xf numFmtId="38" fontId="0" fillId="2" borderId="12" xfId="1" applyFont="1" applyFill="1" applyBorder="1" applyAlignment="1">
      <alignment vertical="center"/>
    </xf>
    <xf numFmtId="38" fontId="0" fillId="2" borderId="13" xfId="1" applyFont="1" applyFill="1" applyBorder="1" applyAlignment="1">
      <alignment vertical="center"/>
    </xf>
    <xf numFmtId="38" fontId="0" fillId="2" borderId="19" xfId="1" applyFont="1" applyFill="1" applyBorder="1" applyAlignment="1">
      <alignment vertical="center"/>
    </xf>
    <xf numFmtId="38" fontId="0" fillId="2" borderId="20" xfId="1" applyFont="1" applyFill="1" applyBorder="1" applyAlignment="1">
      <alignment vertical="center"/>
    </xf>
    <xf numFmtId="38" fontId="0" fillId="2" borderId="17" xfId="1" applyFont="1" applyFill="1" applyBorder="1" applyAlignment="1">
      <alignment vertical="center"/>
    </xf>
    <xf numFmtId="38" fontId="0" fillId="2" borderId="18" xfId="1" applyFont="1" applyFill="1" applyBorder="1" applyAlignment="1">
      <alignment vertical="center"/>
    </xf>
    <xf numFmtId="38" fontId="0" fillId="0" borderId="21" xfId="0" applyNumberFormat="1" applyBorder="1" applyAlignment="1">
      <alignment vertical="center"/>
    </xf>
    <xf numFmtId="38" fontId="0" fillId="2" borderId="21" xfId="1" applyFont="1" applyFill="1" applyBorder="1" applyAlignment="1">
      <alignment vertical="center"/>
    </xf>
    <xf numFmtId="38" fontId="0" fillId="2" borderId="23" xfId="1" applyFont="1" applyFill="1" applyBorder="1" applyAlignment="1">
      <alignment vertical="center"/>
    </xf>
    <xf numFmtId="38" fontId="0" fillId="2" borderId="24" xfId="1" applyFont="1" applyFill="1" applyBorder="1" applyAlignment="1">
      <alignment vertical="center"/>
    </xf>
    <xf numFmtId="38" fontId="0" fillId="2" borderId="25" xfId="1" applyFont="1" applyFill="1" applyBorder="1" applyAlignment="1">
      <alignment vertical="center"/>
    </xf>
    <xf numFmtId="38" fontId="0" fillId="0" borderId="14" xfId="1" applyFont="1" applyFill="1" applyBorder="1" applyAlignment="1">
      <alignment vertical="center"/>
    </xf>
    <xf numFmtId="38" fontId="0" fillId="0" borderId="11" xfId="1" applyFont="1" applyFill="1" applyBorder="1" applyAlignment="1">
      <alignment vertical="center"/>
    </xf>
    <xf numFmtId="38" fontId="0" fillId="0" borderId="15" xfId="1" applyFont="1" applyFill="1" applyBorder="1" applyAlignment="1">
      <alignment vertical="center"/>
    </xf>
    <xf numFmtId="38" fontId="0" fillId="0" borderId="12" xfId="1" applyFont="1" applyFill="1" applyBorder="1" applyAlignment="1">
      <alignment vertical="center"/>
    </xf>
    <xf numFmtId="38" fontId="0" fillId="0" borderId="13" xfId="1" applyFont="1" applyFill="1" applyBorder="1" applyAlignment="1">
      <alignment vertical="center"/>
    </xf>
    <xf numFmtId="38" fontId="0" fillId="0" borderId="19" xfId="1" applyFont="1" applyFill="1" applyBorder="1" applyAlignment="1">
      <alignment vertical="center"/>
    </xf>
    <xf numFmtId="38" fontId="0" fillId="0" borderId="21" xfId="1" applyFont="1" applyFill="1" applyBorder="1" applyAlignment="1">
      <alignment vertical="center"/>
    </xf>
    <xf numFmtId="38" fontId="0" fillId="0" borderId="22" xfId="1" applyFont="1" applyFill="1" applyBorder="1" applyAlignment="1">
      <alignment vertical="center"/>
    </xf>
    <xf numFmtId="38" fontId="0" fillId="0" borderId="23" xfId="1" applyFont="1" applyFill="1" applyBorder="1" applyAlignment="1">
      <alignment vertical="center"/>
    </xf>
    <xf numFmtId="38" fontId="0" fillId="0" borderId="24" xfId="1" applyFont="1" applyFill="1" applyBorder="1" applyAlignment="1">
      <alignment vertical="center"/>
    </xf>
    <xf numFmtId="38" fontId="0" fillId="0" borderId="25" xfId="1" applyFont="1" applyFill="1" applyBorder="1" applyAlignment="1">
      <alignment vertical="center"/>
    </xf>
    <xf numFmtId="38" fontId="0" fillId="2" borderId="35" xfId="1" applyFont="1" applyFill="1" applyBorder="1" applyAlignment="1">
      <alignment vertical="center"/>
    </xf>
    <xf numFmtId="0" fontId="0" fillId="0" borderId="35" xfId="0" applyFont="1" applyBorder="1" applyAlignment="1">
      <alignment vertical="center" shrinkToFit="1"/>
    </xf>
    <xf numFmtId="0" fontId="0" fillId="0" borderId="36" xfId="0" applyFont="1" applyBorder="1" applyAlignment="1">
      <alignment horizontal="center" vertical="center" shrinkToFit="1"/>
    </xf>
    <xf numFmtId="0" fontId="0" fillId="0" borderId="37" xfId="0" applyFont="1" applyBorder="1" applyAlignment="1">
      <alignment horizontal="center" vertical="center" shrinkToFit="1"/>
    </xf>
    <xf numFmtId="0" fontId="0" fillId="0" borderId="38" xfId="0" applyFont="1" applyBorder="1" applyAlignment="1">
      <alignment vertical="center" shrinkToFit="1"/>
    </xf>
    <xf numFmtId="0" fontId="0" fillId="0" borderId="19" xfId="0" applyFont="1" applyBorder="1" applyAlignment="1">
      <alignment vertical="center"/>
    </xf>
    <xf numFmtId="38" fontId="0" fillId="0" borderId="39" xfId="1" applyFont="1" applyBorder="1" applyAlignment="1">
      <alignment vertical="center"/>
    </xf>
    <xf numFmtId="38" fontId="0" fillId="0" borderId="40" xfId="1" applyFont="1" applyBorder="1" applyAlignment="1">
      <alignment vertical="center"/>
    </xf>
    <xf numFmtId="38" fontId="0" fillId="0" borderId="41" xfId="1" applyFont="1" applyBorder="1" applyAlignment="1">
      <alignment vertical="center"/>
    </xf>
    <xf numFmtId="38" fontId="0" fillId="0" borderId="42" xfId="1" applyFont="1" applyBorder="1" applyAlignment="1">
      <alignment vertical="center"/>
    </xf>
    <xf numFmtId="38" fontId="0" fillId="0" borderId="43" xfId="1" applyFont="1" applyBorder="1" applyAlignment="1">
      <alignment vertical="center"/>
    </xf>
    <xf numFmtId="0" fontId="0" fillId="0" borderId="39" xfId="0" applyFont="1" applyBorder="1" applyAlignment="1">
      <alignment vertical="center"/>
    </xf>
    <xf numFmtId="0" fontId="0" fillId="0" borderId="41" xfId="0" applyFont="1" applyBorder="1" applyAlignment="1">
      <alignment horizontal="center" vertical="center" shrinkToFit="1"/>
    </xf>
    <xf numFmtId="0" fontId="0" fillId="0" borderId="42" xfId="0" applyFont="1" applyBorder="1" applyAlignment="1">
      <alignment horizontal="center" vertical="center" shrinkToFit="1"/>
    </xf>
    <xf numFmtId="0" fontId="0" fillId="0" borderId="43" xfId="0" applyFont="1" applyBorder="1" applyAlignment="1">
      <alignment vertical="center" shrinkToFit="1"/>
    </xf>
    <xf numFmtId="0" fontId="0" fillId="0" borderId="21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3" borderId="3" xfId="0" applyNumberFormat="1" applyFont="1" applyFill="1" applyBorder="1" applyAlignment="1">
      <alignment vertical="center"/>
    </xf>
    <xf numFmtId="38" fontId="0" fillId="3" borderId="2" xfId="1" applyFont="1" applyFill="1" applyBorder="1" applyAlignment="1">
      <alignment vertical="center"/>
    </xf>
    <xf numFmtId="38" fontId="0" fillId="3" borderId="5" xfId="1" applyFont="1" applyFill="1" applyBorder="1" applyAlignment="1">
      <alignment vertical="center"/>
    </xf>
    <xf numFmtId="38" fontId="0" fillId="3" borderId="1" xfId="1" applyFont="1" applyFill="1" applyBorder="1" applyAlignment="1">
      <alignment vertical="center"/>
    </xf>
    <xf numFmtId="38" fontId="0" fillId="3" borderId="4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38" fontId="0" fillId="2" borderId="38" xfId="1" applyFont="1" applyFill="1" applyBorder="1" applyAlignment="1">
      <alignment vertical="center"/>
    </xf>
    <xf numFmtId="38" fontId="0" fillId="2" borderId="37" xfId="1" applyFont="1" applyFill="1" applyBorder="1" applyAlignment="1">
      <alignment vertical="center"/>
    </xf>
    <xf numFmtId="38" fontId="0" fillId="2" borderId="36" xfId="1" applyFont="1" applyFill="1" applyBorder="1" applyAlignment="1">
      <alignment vertical="center"/>
    </xf>
    <xf numFmtId="38" fontId="0" fillId="0" borderId="44" xfId="1" applyFont="1" applyBorder="1" applyAlignment="1">
      <alignment vertical="center"/>
    </xf>
    <xf numFmtId="178" fontId="0" fillId="4" borderId="28" xfId="2" applyNumberFormat="1" applyFont="1" applyFill="1" applyBorder="1" applyAlignment="1">
      <alignment horizontal="center" vertical="center"/>
    </xf>
    <xf numFmtId="178" fontId="0" fillId="4" borderId="0" xfId="2" applyNumberFormat="1" applyFont="1" applyFill="1" applyBorder="1" applyAlignment="1">
      <alignment horizontal="center" vertical="center" shrinkToFit="1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0" borderId="45" xfId="0" applyFont="1" applyFill="1" applyBorder="1" applyAlignment="1">
      <alignment horizontal="right" vertical="center"/>
    </xf>
    <xf numFmtId="38" fontId="0" fillId="0" borderId="29" xfId="1" applyFont="1" applyFill="1" applyBorder="1" applyAlignment="1">
      <alignment vertical="center"/>
    </xf>
    <xf numFmtId="0" fontId="0" fillId="0" borderId="45" xfId="0" applyFont="1" applyFill="1" applyBorder="1" applyAlignment="1">
      <alignment vertical="center"/>
    </xf>
    <xf numFmtId="38" fontId="7" fillId="5" borderId="19" xfId="14" applyNumberFormat="1" applyBorder="1" applyAlignment="1">
      <alignment vertical="center"/>
    </xf>
    <xf numFmtId="0" fontId="8" fillId="0" borderId="19" xfId="0" applyFont="1" applyBorder="1" applyAlignment="1">
      <alignment vertical="center" shrinkToFit="1"/>
    </xf>
    <xf numFmtId="0" fontId="0" fillId="0" borderId="3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38" fontId="0" fillId="0" borderId="34" xfId="1" applyFont="1" applyBorder="1" applyAlignment="1">
      <alignment horizontal="center" vertical="center"/>
    </xf>
    <xf numFmtId="38" fontId="0" fillId="0" borderId="33" xfId="1" applyFont="1" applyBorder="1" applyAlignment="1">
      <alignment horizontal="center" vertical="center"/>
    </xf>
    <xf numFmtId="38" fontId="0" fillId="0" borderId="32" xfId="1" applyFont="1" applyBorder="1" applyAlignment="1">
      <alignment horizontal="center" vertical="center"/>
    </xf>
  </cellXfs>
  <cellStyles count="15">
    <cellStyle name="アクセント 6" xfId="14" builtinId="49"/>
    <cellStyle name="パーセント" xfId="2" builtinId="5"/>
    <cellStyle name="パーセント 2" xfId="3"/>
    <cellStyle name="桁区切り" xfId="1" builtinId="6"/>
    <cellStyle name="桁区切り 2" xfId="4"/>
    <cellStyle name="桁区切り 2 2" xfId="5"/>
    <cellStyle name="桁区切り 3" xfId="6"/>
    <cellStyle name="桁区切り 4" xfId="7"/>
    <cellStyle name="標準" xfId="0" builtinId="0"/>
    <cellStyle name="標準 2" xfId="8"/>
    <cellStyle name="標準 2 2" xfId="9"/>
    <cellStyle name="標準 3" xfId="10"/>
    <cellStyle name="標準 4" xfId="11"/>
    <cellStyle name="標準 5" xfId="12"/>
    <cellStyle name="標準 6" xfId="13"/>
  </cellStyles>
  <dxfs count="15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FFFCC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2;R5%20&#65299;&#26465;&#25903;&#209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年度"/>
      <sheetName val="全伝票"/>
      <sheetName val="災害伝票"/>
      <sheetName val="3条支出"/>
      <sheetName val="管"/>
      <sheetName val="水質"/>
      <sheetName val="ポ"/>
      <sheetName val="処"/>
      <sheetName val="受工"/>
      <sheetName val="普及"/>
      <sheetName val="貸付"/>
      <sheetName val="業務"/>
      <sheetName val="総係"/>
      <sheetName val="特環"/>
      <sheetName val="農集"/>
      <sheetName val="浄化"/>
      <sheetName val="災"/>
      <sheetName val="減価"/>
      <sheetName val="減耗"/>
      <sheetName val="営外"/>
      <sheetName val="特損"/>
      <sheetName val="3条支出(共通按分後)"/>
      <sheetName val="総係(共通按分後)"/>
      <sheetName val="特環(共通按分後)"/>
      <sheetName val="農集(共通按分後)"/>
      <sheetName val="浄化(共通按分後)"/>
    </sheetNames>
    <sheetDataSet>
      <sheetData sheetId="0"/>
      <sheetData sheetId="1">
        <row r="1">
          <cell r="I1">
            <v>179962946555</v>
          </cell>
          <cell r="J1">
            <v>0</v>
          </cell>
          <cell r="K1">
            <v>0</v>
          </cell>
          <cell r="L1">
            <v>1408906</v>
          </cell>
          <cell r="M1">
            <v>537718</v>
          </cell>
          <cell r="N1">
            <v>44539401683</v>
          </cell>
          <cell r="O1">
            <v>4535078073</v>
          </cell>
          <cell r="P1">
            <v>130886520175</v>
          </cell>
        </row>
        <row r="2">
          <cell r="A2" t="str">
            <v>事業</v>
          </cell>
          <cell r="B2" t="str">
            <v>予算コード</v>
          </cell>
          <cell r="C2" t="str">
            <v>予算コード</v>
          </cell>
          <cell r="I2" t="str">
            <v>執行額</v>
          </cell>
          <cell r="J2" t="str">
            <v>課税</v>
          </cell>
          <cell r="O2" t="str">
            <v>非課税</v>
          </cell>
          <cell r="P2" t="str">
            <v>不課税</v>
          </cell>
        </row>
        <row r="3">
          <cell r="J3">
            <v>3</v>
          </cell>
          <cell r="K3">
            <v>5</v>
          </cell>
          <cell r="L3">
            <v>8</v>
          </cell>
          <cell r="M3">
            <v>8</v>
          </cell>
          <cell r="N3">
            <v>10</v>
          </cell>
          <cell r="O3">
            <v>21</v>
          </cell>
          <cell r="P3">
            <v>31</v>
          </cell>
        </row>
        <row r="4">
          <cell r="A4">
            <v>1</v>
          </cell>
          <cell r="B4">
            <v>1120110</v>
          </cell>
          <cell r="C4">
            <v>112011010</v>
          </cell>
          <cell r="I4">
            <v>8822500000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8822500000</v>
          </cell>
        </row>
        <row r="5">
          <cell r="A5">
            <v>1</v>
          </cell>
          <cell r="B5">
            <v>1120110</v>
          </cell>
          <cell r="C5">
            <v>112011011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>
            <v>1</v>
          </cell>
          <cell r="B6">
            <v>1120110</v>
          </cell>
          <cell r="C6">
            <v>112011012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>
            <v>1</v>
          </cell>
          <cell r="B7">
            <v>1120111</v>
          </cell>
          <cell r="C7">
            <v>112011100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>
            <v>1</v>
          </cell>
          <cell r="B8">
            <v>1120112</v>
          </cell>
          <cell r="C8">
            <v>112011200</v>
          </cell>
          <cell r="I8">
            <v>120200000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120200000</v>
          </cell>
        </row>
        <row r="9">
          <cell r="A9">
            <v>1</v>
          </cell>
          <cell r="B9">
            <v>1120113</v>
          </cell>
          <cell r="C9">
            <v>112011300</v>
          </cell>
          <cell r="I9">
            <v>5632100000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5632100000</v>
          </cell>
        </row>
        <row r="10">
          <cell r="A10">
            <v>1</v>
          </cell>
          <cell r="B10">
            <v>1120114</v>
          </cell>
          <cell r="C10">
            <v>112011400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>
            <v>1</v>
          </cell>
          <cell r="B11">
            <v>1120116</v>
          </cell>
          <cell r="C11">
            <v>112011600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>
            <v>1</v>
          </cell>
          <cell r="B12">
            <v>1120210</v>
          </cell>
          <cell r="C12">
            <v>112021000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1</v>
          </cell>
          <cell r="B13">
            <v>1120220</v>
          </cell>
          <cell r="C13">
            <v>112022000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>
            <v>1</v>
          </cell>
          <cell r="B14">
            <v>1120230</v>
          </cell>
          <cell r="C14">
            <v>112023000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>
            <v>1</v>
          </cell>
          <cell r="B15">
            <v>1120240</v>
          </cell>
          <cell r="C15">
            <v>112024000</v>
          </cell>
          <cell r="I15">
            <v>17007700000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17007700000</v>
          </cell>
        </row>
        <row r="16">
          <cell r="A16">
            <v>1</v>
          </cell>
          <cell r="B16">
            <v>1120310</v>
          </cell>
          <cell r="C16">
            <v>112031000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1</v>
          </cell>
          <cell r="B17">
            <v>1140303</v>
          </cell>
          <cell r="C17">
            <v>114030300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>
            <v>1</v>
          </cell>
          <cell r="B18">
            <v>1160101</v>
          </cell>
          <cell r="C18">
            <v>116010100</v>
          </cell>
          <cell r="I18">
            <v>3566242000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3566242000</v>
          </cell>
        </row>
        <row r="19">
          <cell r="A19">
            <v>1</v>
          </cell>
          <cell r="B19">
            <v>1160202</v>
          </cell>
          <cell r="C19">
            <v>116020200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>
            <v>1</v>
          </cell>
          <cell r="B20">
            <v>1180401</v>
          </cell>
          <cell r="C20">
            <v>118040101</v>
          </cell>
          <cell r="I20">
            <v>5683800000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5683800000</v>
          </cell>
        </row>
        <row r="21">
          <cell r="A21">
            <v>1</v>
          </cell>
          <cell r="B21">
            <v>1180401</v>
          </cell>
          <cell r="C21">
            <v>118040102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>
            <v>1</v>
          </cell>
          <cell r="B22">
            <v>1180402</v>
          </cell>
          <cell r="C22">
            <v>118040200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>
            <v>1</v>
          </cell>
          <cell r="B23">
            <v>1200630</v>
          </cell>
          <cell r="C23">
            <v>120063000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>
            <v>1</v>
          </cell>
          <cell r="B24">
            <v>1300831</v>
          </cell>
          <cell r="C24">
            <v>130083100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>
            <v>1</v>
          </cell>
          <cell r="B25">
            <v>1401010</v>
          </cell>
          <cell r="C25">
            <v>140101000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>
            <v>1</v>
          </cell>
          <cell r="B26">
            <v>1600101</v>
          </cell>
          <cell r="C26">
            <v>160010100</v>
          </cell>
          <cell r="I26">
            <v>24373083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24373083</v>
          </cell>
          <cell r="O26">
            <v>0</v>
          </cell>
          <cell r="P26">
            <v>0</v>
          </cell>
        </row>
        <row r="27">
          <cell r="A27">
            <v>1</v>
          </cell>
          <cell r="B27">
            <v>1800606</v>
          </cell>
          <cell r="C27">
            <v>180060600</v>
          </cell>
          <cell r="I27">
            <v>8799605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8799605</v>
          </cell>
        </row>
        <row r="28">
          <cell r="A28">
            <v>1</v>
          </cell>
          <cell r="B28">
            <v>1800808</v>
          </cell>
          <cell r="C28">
            <v>180080800</v>
          </cell>
          <cell r="I28">
            <v>530286509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15318327</v>
          </cell>
          <cell r="O28">
            <v>0</v>
          </cell>
          <cell r="P28">
            <v>514968182</v>
          </cell>
        </row>
        <row r="29">
          <cell r="A29">
            <v>1</v>
          </cell>
          <cell r="B29">
            <v>1820101</v>
          </cell>
          <cell r="C29">
            <v>182010100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>
            <v>1</v>
          </cell>
          <cell r="B30">
            <v>1840102</v>
          </cell>
          <cell r="C30">
            <v>184010200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>
            <v>1</v>
          </cell>
          <cell r="B31">
            <v>1840304</v>
          </cell>
          <cell r="C31">
            <v>184030400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>
            <v>1</v>
          </cell>
          <cell r="B32">
            <v>1840305</v>
          </cell>
          <cell r="C32">
            <v>184030500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>
            <v>1</v>
          </cell>
          <cell r="B33">
            <v>1840306</v>
          </cell>
          <cell r="C33">
            <v>184030600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>
            <v>1</v>
          </cell>
          <cell r="B34">
            <v>1840506</v>
          </cell>
          <cell r="C34">
            <v>184050600</v>
          </cell>
          <cell r="I34">
            <v>640000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640000</v>
          </cell>
        </row>
        <row r="35">
          <cell r="A35">
            <v>1</v>
          </cell>
          <cell r="B35">
            <v>1840507</v>
          </cell>
          <cell r="C35">
            <v>184050700</v>
          </cell>
          <cell r="I35">
            <v>1079000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1079000</v>
          </cell>
        </row>
        <row r="36">
          <cell r="A36">
            <v>1</v>
          </cell>
          <cell r="B36">
            <v>1840508</v>
          </cell>
          <cell r="C36">
            <v>184050800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>
            <v>1</v>
          </cell>
          <cell r="B37">
            <v>1860303</v>
          </cell>
          <cell r="C37">
            <v>186030300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>
            <v>1</v>
          </cell>
          <cell r="B38">
            <v>1880101</v>
          </cell>
          <cell r="C38">
            <v>188010100</v>
          </cell>
          <cell r="I38">
            <v>45948113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45948113</v>
          </cell>
          <cell r="P38">
            <v>0</v>
          </cell>
        </row>
        <row r="39">
          <cell r="A39">
            <v>1</v>
          </cell>
          <cell r="B39">
            <v>1880202</v>
          </cell>
          <cell r="C39">
            <v>188020200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>
            <v>1</v>
          </cell>
          <cell r="B40">
            <v>1900101</v>
          </cell>
          <cell r="C40">
            <v>190010100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1</v>
          </cell>
          <cell r="B41">
            <v>1900202</v>
          </cell>
          <cell r="C41">
            <v>190020200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>
            <v>1</v>
          </cell>
          <cell r="B42">
            <v>1900303</v>
          </cell>
          <cell r="C42">
            <v>190030300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>
            <v>1</v>
          </cell>
          <cell r="B43">
            <v>4810202</v>
          </cell>
          <cell r="C43">
            <v>481020200</v>
          </cell>
          <cell r="I43">
            <v>20339840861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20339840861</v>
          </cell>
          <cell r="O43">
            <v>0</v>
          </cell>
          <cell r="P43">
            <v>0</v>
          </cell>
        </row>
        <row r="44">
          <cell r="A44">
            <v>1</v>
          </cell>
          <cell r="B44">
            <v>4810404</v>
          </cell>
          <cell r="C44">
            <v>481040411</v>
          </cell>
          <cell r="I44">
            <v>2754671000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2754671000</v>
          </cell>
        </row>
        <row r="45">
          <cell r="A45">
            <v>1</v>
          </cell>
          <cell r="B45">
            <v>4810404</v>
          </cell>
          <cell r="C45">
            <v>481040412</v>
          </cell>
          <cell r="I45">
            <v>7912710000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7912710000</v>
          </cell>
        </row>
        <row r="46">
          <cell r="A46">
            <v>1</v>
          </cell>
          <cell r="B46">
            <v>4810404</v>
          </cell>
          <cell r="C46">
            <v>481040413</v>
          </cell>
          <cell r="I46">
            <v>2138644000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2138644000</v>
          </cell>
        </row>
        <row r="47">
          <cell r="A47">
            <v>1</v>
          </cell>
          <cell r="B47">
            <v>4810404</v>
          </cell>
          <cell r="C47">
            <v>481040415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>
            <v>1</v>
          </cell>
          <cell r="B48">
            <v>4810406</v>
          </cell>
          <cell r="C48">
            <v>481040600</v>
          </cell>
          <cell r="I48">
            <v>61778000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61778000</v>
          </cell>
        </row>
        <row r="49">
          <cell r="A49">
            <v>1</v>
          </cell>
          <cell r="B49">
            <v>4810408</v>
          </cell>
          <cell r="C49">
            <v>481040800</v>
          </cell>
          <cell r="I49">
            <v>40039000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40039000</v>
          </cell>
        </row>
        <row r="50">
          <cell r="A50">
            <v>1</v>
          </cell>
          <cell r="B50">
            <v>4810409</v>
          </cell>
          <cell r="C50">
            <v>481040900</v>
          </cell>
          <cell r="I50">
            <v>14763000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14763000</v>
          </cell>
        </row>
        <row r="51">
          <cell r="A51">
            <v>1</v>
          </cell>
          <cell r="B51">
            <v>4810415</v>
          </cell>
          <cell r="C51">
            <v>481041500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>
            <v>1</v>
          </cell>
          <cell r="B52">
            <v>4811214</v>
          </cell>
          <cell r="C52">
            <v>481121400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>
            <v>1</v>
          </cell>
          <cell r="B53">
            <v>4811415</v>
          </cell>
          <cell r="C53">
            <v>481141500</v>
          </cell>
          <cell r="I53">
            <v>187826166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187826166</v>
          </cell>
          <cell r="O53">
            <v>0</v>
          </cell>
          <cell r="P53">
            <v>0</v>
          </cell>
        </row>
        <row r="54">
          <cell r="A54">
            <v>1</v>
          </cell>
          <cell r="B54">
            <v>4811416</v>
          </cell>
          <cell r="C54">
            <v>481141600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1</v>
          </cell>
          <cell r="B55">
            <v>4811417</v>
          </cell>
          <cell r="C55">
            <v>481141700</v>
          </cell>
          <cell r="I55">
            <v>1409733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1409733</v>
          </cell>
          <cell r="O55">
            <v>0</v>
          </cell>
          <cell r="P55">
            <v>0</v>
          </cell>
        </row>
        <row r="56">
          <cell r="A56">
            <v>1</v>
          </cell>
          <cell r="B56">
            <v>4811418</v>
          </cell>
          <cell r="C56">
            <v>481141800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>
            <v>1</v>
          </cell>
          <cell r="B57">
            <v>4811419</v>
          </cell>
          <cell r="C57">
            <v>481141915</v>
          </cell>
          <cell r="I57">
            <v>71970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71970</v>
          </cell>
          <cell r="P57">
            <v>0</v>
          </cell>
        </row>
        <row r="58">
          <cell r="A58">
            <v>1</v>
          </cell>
          <cell r="B58">
            <v>4811419</v>
          </cell>
          <cell r="C58">
            <v>481141916</v>
          </cell>
          <cell r="I58">
            <v>539000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539000</v>
          </cell>
          <cell r="P58">
            <v>0</v>
          </cell>
        </row>
        <row r="59">
          <cell r="A59">
            <v>1</v>
          </cell>
          <cell r="B59">
            <v>4811419</v>
          </cell>
          <cell r="C59">
            <v>481141917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>
            <v>1</v>
          </cell>
          <cell r="B60">
            <v>4811420</v>
          </cell>
          <cell r="C60">
            <v>481142000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A61">
            <v>1</v>
          </cell>
          <cell r="B61">
            <v>4820221</v>
          </cell>
          <cell r="C61">
            <v>482022100</v>
          </cell>
          <cell r="I61">
            <v>88770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88770</v>
          </cell>
          <cell r="P61">
            <v>0</v>
          </cell>
        </row>
        <row r="62">
          <cell r="A62">
            <v>1</v>
          </cell>
          <cell r="B62">
            <v>4820222</v>
          </cell>
          <cell r="C62">
            <v>482022200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>
            <v>1</v>
          </cell>
          <cell r="B63">
            <v>4820224</v>
          </cell>
          <cell r="C63">
            <v>482022400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>
            <v>1</v>
          </cell>
          <cell r="B64">
            <v>4820427</v>
          </cell>
          <cell r="C64">
            <v>482042700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>
            <v>1</v>
          </cell>
          <cell r="B65">
            <v>4820428</v>
          </cell>
          <cell r="C65">
            <v>482042800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>
            <v>1</v>
          </cell>
          <cell r="B66">
            <v>4820429</v>
          </cell>
          <cell r="C66">
            <v>482042900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>
            <v>1</v>
          </cell>
          <cell r="B67">
            <v>4820501</v>
          </cell>
          <cell r="C67">
            <v>482050100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>
            <v>1</v>
          </cell>
          <cell r="B68">
            <v>4820630</v>
          </cell>
          <cell r="C68">
            <v>482063000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>
            <v>1</v>
          </cell>
          <cell r="B69">
            <v>4820831</v>
          </cell>
          <cell r="C69">
            <v>482083100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>
            <v>1</v>
          </cell>
          <cell r="B70">
            <v>4820932</v>
          </cell>
          <cell r="C70">
            <v>482093200</v>
          </cell>
          <cell r="I70">
            <v>37016600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37016600</v>
          </cell>
          <cell r="O70">
            <v>0</v>
          </cell>
          <cell r="P70">
            <v>0</v>
          </cell>
        </row>
        <row r="71">
          <cell r="A71">
            <v>1</v>
          </cell>
          <cell r="B71">
            <v>4820933</v>
          </cell>
          <cell r="C71">
            <v>482093300</v>
          </cell>
          <cell r="I71">
            <v>16476593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16476593</v>
          </cell>
        </row>
        <row r="72">
          <cell r="A72">
            <v>1</v>
          </cell>
          <cell r="B72">
            <v>4821034</v>
          </cell>
          <cell r="C72">
            <v>482103411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>
            <v>1</v>
          </cell>
          <cell r="B73">
            <v>4821034</v>
          </cell>
          <cell r="C73">
            <v>482103412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>
            <v>1</v>
          </cell>
          <cell r="B74">
            <v>4821034</v>
          </cell>
          <cell r="C74">
            <v>482103413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>
            <v>1</v>
          </cell>
          <cell r="B75">
            <v>4821034</v>
          </cell>
          <cell r="C75">
            <v>482103414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1</v>
          </cell>
          <cell r="B76">
            <v>4821035</v>
          </cell>
          <cell r="C76">
            <v>482103500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>
            <v>1</v>
          </cell>
          <cell r="B77">
            <v>4821040</v>
          </cell>
          <cell r="C77">
            <v>482104000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>
            <v>1</v>
          </cell>
          <cell r="B78">
            <v>4821137</v>
          </cell>
          <cell r="C78">
            <v>482113700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>
            <v>1</v>
          </cell>
          <cell r="B79">
            <v>4821236</v>
          </cell>
          <cell r="C79">
            <v>482123600</v>
          </cell>
          <cell r="I79">
            <v>408100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408100</v>
          </cell>
          <cell r="O79">
            <v>0</v>
          </cell>
          <cell r="P79">
            <v>0</v>
          </cell>
        </row>
        <row r="80">
          <cell r="A80">
            <v>1</v>
          </cell>
          <cell r="B80">
            <v>4821240</v>
          </cell>
          <cell r="C80">
            <v>482124000</v>
          </cell>
          <cell r="I80">
            <v>35949984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12905830</v>
          </cell>
          <cell r="O80">
            <v>21841940</v>
          </cell>
          <cell r="P80">
            <v>1202214</v>
          </cell>
        </row>
        <row r="81">
          <cell r="A81">
            <v>1</v>
          </cell>
          <cell r="B81">
            <v>4821301</v>
          </cell>
          <cell r="C81">
            <v>482130103</v>
          </cell>
          <cell r="I81">
            <v>1393301969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1393301969</v>
          </cell>
        </row>
        <row r="82">
          <cell r="A82">
            <v>1</v>
          </cell>
          <cell r="B82">
            <v>4821301</v>
          </cell>
          <cell r="C82">
            <v>482130104</v>
          </cell>
          <cell r="I82">
            <v>6705381537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6705381537</v>
          </cell>
        </row>
        <row r="83">
          <cell r="A83">
            <v>1</v>
          </cell>
          <cell r="B83">
            <v>4821301</v>
          </cell>
          <cell r="C83">
            <v>482130106</v>
          </cell>
          <cell r="I83">
            <v>193254317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193254317</v>
          </cell>
        </row>
        <row r="84">
          <cell r="A84">
            <v>1</v>
          </cell>
          <cell r="B84">
            <v>4821301</v>
          </cell>
          <cell r="C84">
            <v>482130108</v>
          </cell>
          <cell r="I84">
            <v>841304822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841304822</v>
          </cell>
        </row>
        <row r="85">
          <cell r="A85">
            <v>1</v>
          </cell>
          <cell r="B85">
            <v>4821301</v>
          </cell>
          <cell r="C85">
            <v>482130110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>
            <v>1</v>
          </cell>
          <cell r="B86">
            <v>4821301</v>
          </cell>
          <cell r="C86">
            <v>482130120</v>
          </cell>
          <cell r="I86">
            <v>4429743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4429743</v>
          </cell>
        </row>
        <row r="87">
          <cell r="A87">
            <v>1</v>
          </cell>
          <cell r="B87">
            <v>4830202</v>
          </cell>
          <cell r="C87">
            <v>483020200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1</v>
          </cell>
          <cell r="B88">
            <v>4830404</v>
          </cell>
          <cell r="C88">
            <v>483040400</v>
          </cell>
          <cell r="I88">
            <v>2710875</v>
          </cell>
          <cell r="J88">
            <v>0</v>
          </cell>
          <cell r="K88">
            <v>0</v>
          </cell>
          <cell r="L88">
            <v>36536</v>
          </cell>
          <cell r="M88">
            <v>0</v>
          </cell>
          <cell r="N88">
            <v>1518254</v>
          </cell>
          <cell r="O88">
            <v>910</v>
          </cell>
          <cell r="P88">
            <v>1155175</v>
          </cell>
        </row>
        <row r="89">
          <cell r="A89">
            <v>1</v>
          </cell>
          <cell r="B89">
            <v>4830606</v>
          </cell>
          <cell r="C89">
            <v>483060600</v>
          </cell>
          <cell r="I89">
            <v>864807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864807</v>
          </cell>
        </row>
        <row r="90">
          <cell r="A90">
            <v>1</v>
          </cell>
          <cell r="B90">
            <v>4830607</v>
          </cell>
          <cell r="C90">
            <v>483060700</v>
          </cell>
          <cell r="I90">
            <v>428075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428075</v>
          </cell>
        </row>
        <row r="91">
          <cell r="A91">
            <v>1</v>
          </cell>
          <cell r="B91">
            <v>4830608</v>
          </cell>
          <cell r="C91">
            <v>483060800</v>
          </cell>
          <cell r="I91">
            <v>109000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109000</v>
          </cell>
        </row>
        <row r="92">
          <cell r="A92">
            <v>1</v>
          </cell>
          <cell r="B92">
            <v>4830808</v>
          </cell>
          <cell r="C92">
            <v>483080800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1</v>
          </cell>
          <cell r="B93">
            <v>6153201</v>
          </cell>
          <cell r="C93">
            <v>615320102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>
            <v>1</v>
          </cell>
          <cell r="B94">
            <v>6153201</v>
          </cell>
          <cell r="C94">
            <v>615320103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>
            <v>1</v>
          </cell>
          <cell r="B95">
            <v>6153201</v>
          </cell>
          <cell r="C95">
            <v>615320104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>
            <v>1</v>
          </cell>
          <cell r="B96">
            <v>6153201</v>
          </cell>
          <cell r="C96">
            <v>615320105</v>
          </cell>
          <cell r="I96">
            <v>13722776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13722776</v>
          </cell>
        </row>
        <row r="97">
          <cell r="A97">
            <v>1</v>
          </cell>
          <cell r="B97">
            <v>6153202</v>
          </cell>
          <cell r="C97">
            <v>615320202</v>
          </cell>
          <cell r="I97">
            <v>285882615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285882615</v>
          </cell>
        </row>
        <row r="98">
          <cell r="A98">
            <v>1</v>
          </cell>
          <cell r="B98">
            <v>6153203</v>
          </cell>
          <cell r="C98">
            <v>615320301</v>
          </cell>
          <cell r="I98">
            <v>30683384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30683384</v>
          </cell>
        </row>
        <row r="99">
          <cell r="A99">
            <v>1</v>
          </cell>
          <cell r="B99">
            <v>6153203</v>
          </cell>
          <cell r="C99">
            <v>615320302</v>
          </cell>
          <cell r="I99">
            <v>10330091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10330091</v>
          </cell>
        </row>
        <row r="100">
          <cell r="A100">
            <v>1</v>
          </cell>
          <cell r="B100">
            <v>6153203</v>
          </cell>
          <cell r="C100">
            <v>615320303</v>
          </cell>
          <cell r="I100">
            <v>135518157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135518157</v>
          </cell>
        </row>
        <row r="101">
          <cell r="A101">
            <v>1</v>
          </cell>
          <cell r="B101">
            <v>6153203</v>
          </cell>
          <cell r="C101">
            <v>615320304</v>
          </cell>
          <cell r="I101">
            <v>8735510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8735510</v>
          </cell>
          <cell r="O101">
            <v>0</v>
          </cell>
          <cell r="P101">
            <v>0</v>
          </cell>
        </row>
        <row r="102">
          <cell r="A102">
            <v>1</v>
          </cell>
          <cell r="B102">
            <v>6153203</v>
          </cell>
          <cell r="C102">
            <v>615320305</v>
          </cell>
          <cell r="I102">
            <v>10621200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10621200</v>
          </cell>
        </row>
        <row r="103">
          <cell r="A103">
            <v>1</v>
          </cell>
          <cell r="B103">
            <v>6153203</v>
          </cell>
          <cell r="C103">
            <v>615320306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>
            <v>1</v>
          </cell>
          <cell r="B104">
            <v>6153203</v>
          </cell>
          <cell r="C104">
            <v>615320307</v>
          </cell>
          <cell r="I104">
            <v>46428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46428</v>
          </cell>
        </row>
        <row r="105">
          <cell r="A105">
            <v>1</v>
          </cell>
          <cell r="B105">
            <v>6153203</v>
          </cell>
          <cell r="C105">
            <v>615320310</v>
          </cell>
          <cell r="I105">
            <v>45682943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45682943</v>
          </cell>
        </row>
        <row r="106">
          <cell r="A106">
            <v>1</v>
          </cell>
          <cell r="B106">
            <v>6153203</v>
          </cell>
          <cell r="C106">
            <v>615320311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>
            <v>1</v>
          </cell>
          <cell r="B107">
            <v>6153203</v>
          </cell>
          <cell r="C107">
            <v>615320314</v>
          </cell>
          <cell r="I107">
            <v>7701600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7701600</v>
          </cell>
        </row>
        <row r="108">
          <cell r="A108">
            <v>1</v>
          </cell>
          <cell r="B108">
            <v>6153203</v>
          </cell>
          <cell r="C108">
            <v>615320315</v>
          </cell>
          <cell r="I108">
            <v>4935000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4935000</v>
          </cell>
        </row>
        <row r="109">
          <cell r="A109">
            <v>1</v>
          </cell>
          <cell r="B109">
            <v>6153203</v>
          </cell>
          <cell r="C109">
            <v>615320316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>
            <v>1</v>
          </cell>
          <cell r="B110">
            <v>6153203</v>
          </cell>
          <cell r="C110">
            <v>615320319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1</v>
          </cell>
          <cell r="B111">
            <v>6153204</v>
          </cell>
          <cell r="C111">
            <v>615320401</v>
          </cell>
          <cell r="I111">
            <v>77205747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77205747</v>
          </cell>
          <cell r="P111">
            <v>0</v>
          </cell>
        </row>
        <row r="112">
          <cell r="A112">
            <v>1</v>
          </cell>
          <cell r="B112">
            <v>6153204</v>
          </cell>
          <cell r="C112">
            <v>615320402</v>
          </cell>
          <cell r="I112">
            <v>444888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444888</v>
          </cell>
        </row>
        <row r="113">
          <cell r="A113">
            <v>1</v>
          </cell>
          <cell r="B113">
            <v>6153204</v>
          </cell>
          <cell r="C113">
            <v>615320403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>
            <v>1</v>
          </cell>
          <cell r="B114">
            <v>6153204</v>
          </cell>
          <cell r="C114">
            <v>615320405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>
            <v>1</v>
          </cell>
          <cell r="B115">
            <v>6153204</v>
          </cell>
          <cell r="C115">
            <v>615320406</v>
          </cell>
          <cell r="I115">
            <v>162145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162145</v>
          </cell>
          <cell r="P115">
            <v>0</v>
          </cell>
        </row>
        <row r="116">
          <cell r="A116">
            <v>1</v>
          </cell>
          <cell r="B116">
            <v>6153204</v>
          </cell>
          <cell r="C116">
            <v>615320407</v>
          </cell>
          <cell r="I116">
            <v>1528328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1528328</v>
          </cell>
          <cell r="P116">
            <v>0</v>
          </cell>
        </row>
        <row r="117">
          <cell r="A117">
            <v>1</v>
          </cell>
          <cell r="B117">
            <v>6153204</v>
          </cell>
          <cell r="C117">
            <v>615320408</v>
          </cell>
          <cell r="I117">
            <v>60124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60124</v>
          </cell>
          <cell r="P117">
            <v>0</v>
          </cell>
        </row>
        <row r="118">
          <cell r="A118">
            <v>1</v>
          </cell>
          <cell r="B118">
            <v>6153204</v>
          </cell>
          <cell r="C118">
            <v>615320410</v>
          </cell>
          <cell r="I118">
            <v>28219882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28219882</v>
          </cell>
          <cell r="P118">
            <v>0</v>
          </cell>
        </row>
        <row r="119">
          <cell r="A119">
            <v>1</v>
          </cell>
          <cell r="B119">
            <v>6153204</v>
          </cell>
          <cell r="C119">
            <v>615320411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>
            <v>1</v>
          </cell>
          <cell r="B120">
            <v>6153205</v>
          </cell>
          <cell r="C120">
            <v>615320500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>
            <v>1</v>
          </cell>
          <cell r="B121">
            <v>6153207</v>
          </cell>
          <cell r="C121">
            <v>615320700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1</v>
          </cell>
          <cell r="B122">
            <v>6153208</v>
          </cell>
          <cell r="C122">
            <v>615320800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1</v>
          </cell>
          <cell r="B123">
            <v>6153210</v>
          </cell>
          <cell r="C123">
            <v>615321001</v>
          </cell>
          <cell r="I123">
            <v>2021074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2021074</v>
          </cell>
          <cell r="O123">
            <v>0</v>
          </cell>
          <cell r="P123">
            <v>0</v>
          </cell>
        </row>
        <row r="124">
          <cell r="A124">
            <v>1</v>
          </cell>
          <cell r="B124">
            <v>6153210</v>
          </cell>
          <cell r="C124">
            <v>615321002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>
            <v>1</v>
          </cell>
          <cell r="B125">
            <v>6153210</v>
          </cell>
          <cell r="C125">
            <v>615321003</v>
          </cell>
          <cell r="I125">
            <v>739160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739160</v>
          </cell>
          <cell r="O125">
            <v>0</v>
          </cell>
          <cell r="P125">
            <v>0</v>
          </cell>
        </row>
        <row r="126">
          <cell r="A126">
            <v>1</v>
          </cell>
          <cell r="B126">
            <v>6153213</v>
          </cell>
          <cell r="C126">
            <v>615321300</v>
          </cell>
          <cell r="I126">
            <v>10417060</v>
          </cell>
          <cell r="J126">
            <v>0</v>
          </cell>
          <cell r="K126">
            <v>0</v>
          </cell>
          <cell r="L126">
            <v>0</v>
          </cell>
          <cell r="M126">
            <v>36840</v>
          </cell>
          <cell r="N126">
            <v>10380220</v>
          </cell>
          <cell r="O126">
            <v>0</v>
          </cell>
          <cell r="P126">
            <v>0</v>
          </cell>
        </row>
        <row r="127">
          <cell r="A127">
            <v>1</v>
          </cell>
          <cell r="B127">
            <v>6153214</v>
          </cell>
          <cell r="C127">
            <v>615321400</v>
          </cell>
          <cell r="I127">
            <v>1053838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1053838</v>
          </cell>
          <cell r="O127">
            <v>0</v>
          </cell>
          <cell r="P127">
            <v>0</v>
          </cell>
        </row>
        <row r="128">
          <cell r="A128">
            <v>1</v>
          </cell>
          <cell r="B128">
            <v>6153215</v>
          </cell>
          <cell r="C128">
            <v>615321500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>
            <v>1</v>
          </cell>
          <cell r="B129">
            <v>6153217</v>
          </cell>
          <cell r="C129">
            <v>615321700</v>
          </cell>
          <cell r="I129">
            <v>2423102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2423102</v>
          </cell>
          <cell r="O129">
            <v>0</v>
          </cell>
          <cell r="P129">
            <v>0</v>
          </cell>
        </row>
        <row r="130">
          <cell r="A130">
            <v>1</v>
          </cell>
          <cell r="B130">
            <v>6153219</v>
          </cell>
          <cell r="C130">
            <v>615321900</v>
          </cell>
          <cell r="I130">
            <v>357250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290850</v>
          </cell>
          <cell r="O130">
            <v>66400</v>
          </cell>
          <cell r="P130">
            <v>0</v>
          </cell>
        </row>
        <row r="131">
          <cell r="A131">
            <v>1</v>
          </cell>
          <cell r="B131">
            <v>6153220</v>
          </cell>
          <cell r="C131">
            <v>615322000</v>
          </cell>
          <cell r="I131">
            <v>13483332</v>
          </cell>
          <cell r="J131">
            <v>0</v>
          </cell>
          <cell r="K131">
            <v>0</v>
          </cell>
          <cell r="L131">
            <v>125712</v>
          </cell>
          <cell r="M131">
            <v>0</v>
          </cell>
          <cell r="N131">
            <v>7866081</v>
          </cell>
          <cell r="O131">
            <v>5491539</v>
          </cell>
          <cell r="P131">
            <v>0</v>
          </cell>
        </row>
        <row r="132">
          <cell r="A132">
            <v>1</v>
          </cell>
          <cell r="B132">
            <v>6153221</v>
          </cell>
          <cell r="C132">
            <v>615322100</v>
          </cell>
          <cell r="I132">
            <v>85827500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85827500</v>
          </cell>
          <cell r="O132">
            <v>0</v>
          </cell>
          <cell r="P132">
            <v>0</v>
          </cell>
        </row>
        <row r="133">
          <cell r="A133">
            <v>1</v>
          </cell>
          <cell r="B133">
            <v>6153223</v>
          </cell>
          <cell r="C133">
            <v>615322300</v>
          </cell>
          <cell r="I133">
            <v>1482466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1482466</v>
          </cell>
          <cell r="O133">
            <v>0</v>
          </cell>
          <cell r="P133">
            <v>0</v>
          </cell>
        </row>
        <row r="134">
          <cell r="A134">
            <v>1</v>
          </cell>
          <cell r="B134">
            <v>6153224</v>
          </cell>
          <cell r="C134">
            <v>615322400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>
            <v>1</v>
          </cell>
          <cell r="B135">
            <v>6153231</v>
          </cell>
          <cell r="C135">
            <v>615323100</v>
          </cell>
          <cell r="I135">
            <v>51295633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51295633</v>
          </cell>
          <cell r="O135">
            <v>0</v>
          </cell>
          <cell r="P135">
            <v>0</v>
          </cell>
        </row>
        <row r="136">
          <cell r="A136">
            <v>1</v>
          </cell>
          <cell r="B136">
            <v>6153237</v>
          </cell>
          <cell r="C136">
            <v>615323700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A137">
            <v>1</v>
          </cell>
          <cell r="B137">
            <v>6153239</v>
          </cell>
          <cell r="C137">
            <v>615323900</v>
          </cell>
          <cell r="I137">
            <v>557452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557452</v>
          </cell>
          <cell r="P137">
            <v>0</v>
          </cell>
        </row>
        <row r="138">
          <cell r="A138">
            <v>1</v>
          </cell>
          <cell r="B138">
            <v>6153240</v>
          </cell>
          <cell r="C138">
            <v>615324000</v>
          </cell>
          <cell r="I138">
            <v>240506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240506</v>
          </cell>
        </row>
        <row r="139">
          <cell r="A139">
            <v>1</v>
          </cell>
          <cell r="B139">
            <v>6153241</v>
          </cell>
          <cell r="C139">
            <v>615324100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>
            <v>1</v>
          </cell>
          <cell r="B140">
            <v>6153265</v>
          </cell>
          <cell r="C140">
            <v>615326500</v>
          </cell>
          <cell r="I140">
            <v>14830375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4022760</v>
          </cell>
          <cell r="P140">
            <v>10807615</v>
          </cell>
        </row>
        <row r="141">
          <cell r="A141">
            <v>1</v>
          </cell>
          <cell r="B141">
            <v>6153269</v>
          </cell>
          <cell r="C141">
            <v>615326900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A142">
            <v>1</v>
          </cell>
          <cell r="B142">
            <v>6153270</v>
          </cell>
          <cell r="C142">
            <v>615327000</v>
          </cell>
          <cell r="I142">
            <v>275990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275990</v>
          </cell>
          <cell r="O142">
            <v>0</v>
          </cell>
          <cell r="P142">
            <v>0</v>
          </cell>
        </row>
        <row r="143">
          <cell r="A143">
            <v>1</v>
          </cell>
          <cell r="B143">
            <v>6153271</v>
          </cell>
          <cell r="C143">
            <v>615327100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A144">
            <v>1</v>
          </cell>
          <cell r="B144">
            <v>6153272</v>
          </cell>
          <cell r="C144">
            <v>615327200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>
            <v>1</v>
          </cell>
          <cell r="B145">
            <v>6153273</v>
          </cell>
          <cell r="C145">
            <v>615327300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>
            <v>1</v>
          </cell>
          <cell r="B146">
            <v>6153274</v>
          </cell>
          <cell r="C146">
            <v>615327400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>
            <v>1</v>
          </cell>
          <cell r="B147">
            <v>6153275</v>
          </cell>
          <cell r="C147">
            <v>615327583</v>
          </cell>
          <cell r="I147">
            <v>13601868302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13601868302</v>
          </cell>
          <cell r="O147">
            <v>0</v>
          </cell>
          <cell r="P147">
            <v>0</v>
          </cell>
        </row>
        <row r="148">
          <cell r="A148">
            <v>1</v>
          </cell>
          <cell r="B148">
            <v>6153275</v>
          </cell>
          <cell r="C148">
            <v>615327584</v>
          </cell>
          <cell r="I148">
            <v>59375146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59375146</v>
          </cell>
        </row>
        <row r="149">
          <cell r="A149">
            <v>1</v>
          </cell>
          <cell r="B149">
            <v>6153275</v>
          </cell>
          <cell r="C149">
            <v>615327585</v>
          </cell>
          <cell r="I149">
            <v>867470663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867470663</v>
          </cell>
          <cell r="O149">
            <v>0</v>
          </cell>
          <cell r="P149">
            <v>0</v>
          </cell>
        </row>
        <row r="150">
          <cell r="A150">
            <v>1</v>
          </cell>
          <cell r="B150">
            <v>6153275</v>
          </cell>
          <cell r="C150">
            <v>615327586</v>
          </cell>
          <cell r="I150">
            <v>273840500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273840500</v>
          </cell>
          <cell r="O150">
            <v>0</v>
          </cell>
          <cell r="P150">
            <v>0</v>
          </cell>
        </row>
        <row r="151">
          <cell r="A151">
            <v>1</v>
          </cell>
          <cell r="B151">
            <v>6153275</v>
          </cell>
          <cell r="C151">
            <v>615327587</v>
          </cell>
          <cell r="I151">
            <v>25650977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1500075</v>
          </cell>
          <cell r="O151">
            <v>0</v>
          </cell>
          <cell r="P151">
            <v>24150902</v>
          </cell>
        </row>
        <row r="152">
          <cell r="A152">
            <v>1</v>
          </cell>
          <cell r="B152">
            <v>6153275</v>
          </cell>
          <cell r="C152">
            <v>615327588</v>
          </cell>
          <cell r="I152">
            <v>2958420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2958420</v>
          </cell>
          <cell r="P152">
            <v>0</v>
          </cell>
        </row>
        <row r="153">
          <cell r="A153">
            <v>1</v>
          </cell>
          <cell r="B153">
            <v>6153801</v>
          </cell>
          <cell r="C153">
            <v>615380102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A154">
            <v>1</v>
          </cell>
          <cell r="B154">
            <v>6153801</v>
          </cell>
          <cell r="C154">
            <v>615380103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>
            <v>1</v>
          </cell>
          <cell r="B155">
            <v>6153801</v>
          </cell>
          <cell r="C155">
            <v>615380104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>
            <v>1</v>
          </cell>
          <cell r="B156">
            <v>6153801</v>
          </cell>
          <cell r="C156">
            <v>615380105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>
            <v>1</v>
          </cell>
          <cell r="B157">
            <v>6153802</v>
          </cell>
          <cell r="C157">
            <v>615380202</v>
          </cell>
          <cell r="I157">
            <v>4694400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4694400</v>
          </cell>
        </row>
        <row r="158">
          <cell r="A158">
            <v>1</v>
          </cell>
          <cell r="B158">
            <v>6153803</v>
          </cell>
          <cell r="C158">
            <v>615380301</v>
          </cell>
          <cell r="I158">
            <v>495480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495480</v>
          </cell>
        </row>
        <row r="159">
          <cell r="A159">
            <v>1</v>
          </cell>
          <cell r="B159">
            <v>6153803</v>
          </cell>
          <cell r="C159">
            <v>615380302</v>
          </cell>
          <cell r="I159">
            <v>260400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260400</v>
          </cell>
        </row>
        <row r="160">
          <cell r="A160">
            <v>1</v>
          </cell>
          <cell r="B160">
            <v>6153803</v>
          </cell>
          <cell r="C160">
            <v>615380303</v>
          </cell>
          <cell r="I160">
            <v>2237499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2237499</v>
          </cell>
        </row>
        <row r="161">
          <cell r="A161">
            <v>1</v>
          </cell>
          <cell r="B161">
            <v>6153803</v>
          </cell>
          <cell r="C161">
            <v>615380304</v>
          </cell>
          <cell r="I161">
            <v>168200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168200</v>
          </cell>
          <cell r="O161">
            <v>0</v>
          </cell>
          <cell r="P161">
            <v>0</v>
          </cell>
        </row>
        <row r="162">
          <cell r="A162">
            <v>1</v>
          </cell>
          <cell r="B162">
            <v>6153803</v>
          </cell>
          <cell r="C162">
            <v>615380305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A163">
            <v>1</v>
          </cell>
          <cell r="B163">
            <v>6153803</v>
          </cell>
          <cell r="C163">
            <v>615380306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</v>
          </cell>
          <cell r="B164">
            <v>6153803</v>
          </cell>
          <cell r="C164">
            <v>615380307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>
            <v>1</v>
          </cell>
          <cell r="B165">
            <v>6153803</v>
          </cell>
          <cell r="C165">
            <v>615380310</v>
          </cell>
          <cell r="I165">
            <v>10281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10281</v>
          </cell>
        </row>
        <row r="166">
          <cell r="A166">
            <v>1</v>
          </cell>
          <cell r="B166">
            <v>6153803</v>
          </cell>
          <cell r="C166">
            <v>615380311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>
            <v>1</v>
          </cell>
          <cell r="B167">
            <v>6153803</v>
          </cell>
          <cell r="C167">
            <v>615380314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>
            <v>1</v>
          </cell>
          <cell r="B168">
            <v>6153803</v>
          </cell>
          <cell r="C168">
            <v>615380315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>
            <v>1</v>
          </cell>
          <cell r="B169">
            <v>6153804</v>
          </cell>
          <cell r="C169">
            <v>615380401</v>
          </cell>
          <cell r="I169">
            <v>1191868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1191868</v>
          </cell>
          <cell r="P169">
            <v>0</v>
          </cell>
        </row>
        <row r="170">
          <cell r="A170">
            <v>1</v>
          </cell>
          <cell r="B170">
            <v>6153804</v>
          </cell>
          <cell r="C170">
            <v>615380402</v>
          </cell>
          <cell r="I170">
            <v>7032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7032</v>
          </cell>
        </row>
        <row r="171">
          <cell r="A171">
            <v>1</v>
          </cell>
          <cell r="B171">
            <v>6153804</v>
          </cell>
          <cell r="C171">
            <v>615380403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>
            <v>1</v>
          </cell>
          <cell r="B172">
            <v>6153804</v>
          </cell>
          <cell r="C172">
            <v>615380405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>
            <v>1</v>
          </cell>
          <cell r="B173">
            <v>6153804</v>
          </cell>
          <cell r="C173">
            <v>615380406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>
            <v>1</v>
          </cell>
          <cell r="B174">
            <v>6153804</v>
          </cell>
          <cell r="C174">
            <v>615380407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A175">
            <v>1</v>
          </cell>
          <cell r="B175">
            <v>6153804</v>
          </cell>
          <cell r="C175">
            <v>615380408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>
            <v>1</v>
          </cell>
          <cell r="B176">
            <v>6153804</v>
          </cell>
          <cell r="C176">
            <v>615380410</v>
          </cell>
          <cell r="I176">
            <v>455365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455365</v>
          </cell>
          <cell r="P176">
            <v>0</v>
          </cell>
        </row>
        <row r="177">
          <cell r="A177">
            <v>1</v>
          </cell>
          <cell r="B177">
            <v>6153805</v>
          </cell>
          <cell r="C177">
            <v>615380500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A178">
            <v>1</v>
          </cell>
          <cell r="B178">
            <v>6153807</v>
          </cell>
          <cell r="C178">
            <v>615380700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>
            <v>1</v>
          </cell>
          <cell r="B179">
            <v>6153808</v>
          </cell>
          <cell r="C179">
            <v>615380800</v>
          </cell>
          <cell r="I179">
            <v>534257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534257</v>
          </cell>
        </row>
        <row r="180">
          <cell r="A180">
            <v>1</v>
          </cell>
          <cell r="B180">
            <v>6153810</v>
          </cell>
          <cell r="C180">
            <v>615381001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>
            <v>1</v>
          </cell>
          <cell r="B181">
            <v>6153810</v>
          </cell>
          <cell r="C181">
            <v>615381002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A182">
            <v>1</v>
          </cell>
          <cell r="B182">
            <v>6153810</v>
          </cell>
          <cell r="C182">
            <v>615381003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>
            <v>1</v>
          </cell>
          <cell r="B183">
            <v>6153813</v>
          </cell>
          <cell r="C183">
            <v>615381300</v>
          </cell>
          <cell r="I183">
            <v>274112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274112</v>
          </cell>
          <cell r="O183">
            <v>0</v>
          </cell>
          <cell r="P183">
            <v>0</v>
          </cell>
        </row>
        <row r="184">
          <cell r="A184">
            <v>1</v>
          </cell>
          <cell r="B184">
            <v>6153814</v>
          </cell>
          <cell r="C184">
            <v>615381400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>
            <v>1</v>
          </cell>
          <cell r="B185">
            <v>6153815</v>
          </cell>
          <cell r="C185">
            <v>615381500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</v>
          </cell>
          <cell r="B186">
            <v>6153817</v>
          </cell>
          <cell r="C186">
            <v>615381700</v>
          </cell>
          <cell r="I186">
            <v>75214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75214</v>
          </cell>
          <cell r="O186">
            <v>0</v>
          </cell>
          <cell r="P186">
            <v>0</v>
          </cell>
        </row>
        <row r="187">
          <cell r="A187">
            <v>1</v>
          </cell>
          <cell r="B187">
            <v>6153819</v>
          </cell>
          <cell r="C187">
            <v>615381900</v>
          </cell>
          <cell r="I187">
            <v>1016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1016</v>
          </cell>
          <cell r="O187">
            <v>0</v>
          </cell>
          <cell r="P187">
            <v>0</v>
          </cell>
        </row>
        <row r="188">
          <cell r="A188">
            <v>1</v>
          </cell>
          <cell r="B188">
            <v>6153820</v>
          </cell>
          <cell r="C188">
            <v>615382000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>
            <v>1</v>
          </cell>
          <cell r="B189">
            <v>6153821</v>
          </cell>
          <cell r="C189">
            <v>615382100</v>
          </cell>
          <cell r="I189">
            <v>5356549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5356549</v>
          </cell>
          <cell r="O189">
            <v>0</v>
          </cell>
          <cell r="P189">
            <v>0</v>
          </cell>
        </row>
        <row r="190">
          <cell r="A190">
            <v>1</v>
          </cell>
          <cell r="B190">
            <v>6153823</v>
          </cell>
          <cell r="C190">
            <v>615382300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>
            <v>1</v>
          </cell>
          <cell r="B191">
            <v>6153824</v>
          </cell>
          <cell r="C191">
            <v>615382400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A192">
            <v>1</v>
          </cell>
          <cell r="B192">
            <v>6153831</v>
          </cell>
          <cell r="C192">
            <v>615383100</v>
          </cell>
          <cell r="I192">
            <v>98684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98684</v>
          </cell>
          <cell r="O192">
            <v>0</v>
          </cell>
          <cell r="P192">
            <v>0</v>
          </cell>
        </row>
        <row r="193">
          <cell r="A193">
            <v>1</v>
          </cell>
          <cell r="B193">
            <v>6153837</v>
          </cell>
          <cell r="C193">
            <v>615383700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>
            <v>1</v>
          </cell>
          <cell r="B194">
            <v>6153839</v>
          </cell>
          <cell r="C194">
            <v>615383900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1</v>
          </cell>
          <cell r="B195">
            <v>6153840</v>
          </cell>
          <cell r="C195">
            <v>615384000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>
            <v>1</v>
          </cell>
          <cell r="B196">
            <v>6153841</v>
          </cell>
          <cell r="C196">
            <v>615384100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A197">
            <v>1</v>
          </cell>
          <cell r="B197">
            <v>6153865</v>
          </cell>
          <cell r="C197">
            <v>615386500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>
            <v>1</v>
          </cell>
          <cell r="B198">
            <v>6153869</v>
          </cell>
          <cell r="C198">
            <v>615386900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>
            <v>1</v>
          </cell>
          <cell r="B199">
            <v>6153870</v>
          </cell>
          <cell r="C199">
            <v>615387000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A200">
            <v>1</v>
          </cell>
          <cell r="B200">
            <v>6153871</v>
          </cell>
          <cell r="C200">
            <v>615387100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>
            <v>1</v>
          </cell>
          <cell r="B201">
            <v>6153872</v>
          </cell>
          <cell r="C201">
            <v>615387200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1</v>
          </cell>
          <cell r="B202">
            <v>6153873</v>
          </cell>
          <cell r="C202">
            <v>615387300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A203">
            <v>1</v>
          </cell>
          <cell r="B203">
            <v>6153874</v>
          </cell>
          <cell r="C203">
            <v>615387400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A204">
            <v>1</v>
          </cell>
          <cell r="B204">
            <v>6153875</v>
          </cell>
          <cell r="C204">
            <v>615387583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>
            <v>1</v>
          </cell>
          <cell r="B205">
            <v>6153875</v>
          </cell>
          <cell r="C205">
            <v>615387584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>
            <v>1</v>
          </cell>
          <cell r="B206">
            <v>6153875</v>
          </cell>
          <cell r="C206">
            <v>615387585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>
            <v>1</v>
          </cell>
          <cell r="B207">
            <v>6153875</v>
          </cell>
          <cell r="C207">
            <v>615387586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A208">
            <v>1</v>
          </cell>
          <cell r="B208">
            <v>6153875</v>
          </cell>
          <cell r="C208">
            <v>615387587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A209">
            <v>1</v>
          </cell>
          <cell r="B209">
            <v>6154075</v>
          </cell>
          <cell r="C209">
            <v>615407583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1</v>
          </cell>
          <cell r="B210">
            <v>6154075</v>
          </cell>
          <cell r="C210">
            <v>615407584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A211">
            <v>1</v>
          </cell>
          <cell r="B211">
            <v>6154075</v>
          </cell>
          <cell r="C211">
            <v>615407585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A212">
            <v>1</v>
          </cell>
          <cell r="B212">
            <v>6154075</v>
          </cell>
          <cell r="C212">
            <v>615407586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A213">
            <v>1</v>
          </cell>
          <cell r="B213">
            <v>6154075</v>
          </cell>
          <cell r="C213">
            <v>615407587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A214">
            <v>1</v>
          </cell>
          <cell r="B214">
            <v>6154201</v>
          </cell>
          <cell r="C214">
            <v>615420102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A215">
            <v>1</v>
          </cell>
          <cell r="B215">
            <v>6154201</v>
          </cell>
          <cell r="C215">
            <v>615420103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1</v>
          </cell>
          <cell r="B216">
            <v>6154201</v>
          </cell>
          <cell r="C216">
            <v>615420104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A217">
            <v>1</v>
          </cell>
          <cell r="B217">
            <v>6154201</v>
          </cell>
          <cell r="C217">
            <v>615420105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A218">
            <v>1</v>
          </cell>
          <cell r="B218">
            <v>6154202</v>
          </cell>
          <cell r="C218">
            <v>615420202</v>
          </cell>
          <cell r="I218">
            <v>67726400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67726400</v>
          </cell>
        </row>
        <row r="219">
          <cell r="A219">
            <v>1</v>
          </cell>
          <cell r="B219">
            <v>6154203</v>
          </cell>
          <cell r="C219">
            <v>615420301</v>
          </cell>
          <cell r="I219">
            <v>7045640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7045640</v>
          </cell>
        </row>
        <row r="220">
          <cell r="A220">
            <v>1</v>
          </cell>
          <cell r="B220">
            <v>6154203</v>
          </cell>
          <cell r="C220">
            <v>615420302</v>
          </cell>
          <cell r="I220">
            <v>1964400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1964400</v>
          </cell>
        </row>
        <row r="221">
          <cell r="A221">
            <v>1</v>
          </cell>
          <cell r="B221">
            <v>6154203</v>
          </cell>
          <cell r="C221">
            <v>615420303</v>
          </cell>
          <cell r="I221">
            <v>29010974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29010974</v>
          </cell>
        </row>
        <row r="222">
          <cell r="A222">
            <v>1</v>
          </cell>
          <cell r="B222">
            <v>6154203</v>
          </cell>
          <cell r="C222">
            <v>615420304</v>
          </cell>
          <cell r="I222">
            <v>2482140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2482140</v>
          </cell>
          <cell r="O222">
            <v>0</v>
          </cell>
          <cell r="P222">
            <v>0</v>
          </cell>
        </row>
        <row r="223">
          <cell r="A223">
            <v>1</v>
          </cell>
          <cell r="B223">
            <v>6154203</v>
          </cell>
          <cell r="C223">
            <v>615420305</v>
          </cell>
          <cell r="I223">
            <v>765600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765600</v>
          </cell>
        </row>
        <row r="224">
          <cell r="A224">
            <v>1</v>
          </cell>
          <cell r="B224">
            <v>6154203</v>
          </cell>
          <cell r="C224">
            <v>615420306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1</v>
          </cell>
          <cell r="B225">
            <v>6154203</v>
          </cell>
          <cell r="C225">
            <v>615420307</v>
          </cell>
          <cell r="I225">
            <v>62880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62880</v>
          </cell>
        </row>
        <row r="226">
          <cell r="A226">
            <v>1</v>
          </cell>
          <cell r="B226">
            <v>6154203</v>
          </cell>
          <cell r="C226">
            <v>615420310</v>
          </cell>
          <cell r="I226">
            <v>11610729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11610729</v>
          </cell>
        </row>
        <row r="227">
          <cell r="A227">
            <v>1</v>
          </cell>
          <cell r="B227">
            <v>6154203</v>
          </cell>
          <cell r="C227">
            <v>615420311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1</v>
          </cell>
          <cell r="B228">
            <v>6154203</v>
          </cell>
          <cell r="C228">
            <v>615420314</v>
          </cell>
          <cell r="I228">
            <v>2861400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2861400</v>
          </cell>
        </row>
        <row r="229">
          <cell r="A229">
            <v>1</v>
          </cell>
          <cell r="B229">
            <v>6154203</v>
          </cell>
          <cell r="C229">
            <v>615420315</v>
          </cell>
          <cell r="I229">
            <v>480000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480000</v>
          </cell>
        </row>
        <row r="230">
          <cell r="A230">
            <v>1</v>
          </cell>
          <cell r="B230">
            <v>6154204</v>
          </cell>
          <cell r="C230">
            <v>615420401</v>
          </cell>
          <cell r="I230">
            <v>17996187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17996187</v>
          </cell>
          <cell r="P230">
            <v>0</v>
          </cell>
        </row>
        <row r="231">
          <cell r="A231">
            <v>1</v>
          </cell>
          <cell r="B231">
            <v>6154204</v>
          </cell>
          <cell r="C231">
            <v>615420402</v>
          </cell>
          <cell r="I231">
            <v>101588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101588</v>
          </cell>
        </row>
        <row r="232">
          <cell r="A232">
            <v>1</v>
          </cell>
          <cell r="B232">
            <v>6154204</v>
          </cell>
          <cell r="C232">
            <v>615420403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>
            <v>1</v>
          </cell>
          <cell r="B233">
            <v>6154204</v>
          </cell>
          <cell r="C233">
            <v>615420405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1</v>
          </cell>
          <cell r="B234">
            <v>6154204</v>
          </cell>
          <cell r="C234">
            <v>615420406</v>
          </cell>
          <cell r="I234">
            <v>77742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77742</v>
          </cell>
          <cell r="P234">
            <v>0</v>
          </cell>
        </row>
        <row r="235">
          <cell r="A235">
            <v>1</v>
          </cell>
          <cell r="B235">
            <v>6154204</v>
          </cell>
          <cell r="C235">
            <v>615420407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A236">
            <v>1</v>
          </cell>
          <cell r="B236">
            <v>6154204</v>
          </cell>
          <cell r="C236">
            <v>615420408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1</v>
          </cell>
          <cell r="B237">
            <v>6154204</v>
          </cell>
          <cell r="C237">
            <v>615420410</v>
          </cell>
          <cell r="I237">
            <v>6437933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6437933</v>
          </cell>
          <cell r="P237">
            <v>0</v>
          </cell>
        </row>
        <row r="238">
          <cell r="A238">
            <v>1</v>
          </cell>
          <cell r="B238">
            <v>6154204</v>
          </cell>
          <cell r="C238">
            <v>615420411</v>
          </cell>
          <cell r="I238">
            <v>59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59</v>
          </cell>
          <cell r="P238">
            <v>0</v>
          </cell>
        </row>
        <row r="239">
          <cell r="A239">
            <v>1</v>
          </cell>
          <cell r="B239">
            <v>6154205</v>
          </cell>
          <cell r="C239">
            <v>615420500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A240">
            <v>1</v>
          </cell>
          <cell r="B240">
            <v>6154207</v>
          </cell>
          <cell r="C240">
            <v>615420700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A241">
            <v>1</v>
          </cell>
          <cell r="B241">
            <v>6154208</v>
          </cell>
          <cell r="C241">
            <v>615420800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1</v>
          </cell>
          <cell r="B242">
            <v>6154210</v>
          </cell>
          <cell r="C242">
            <v>615421001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A243">
            <v>1</v>
          </cell>
          <cell r="B243">
            <v>6154210</v>
          </cell>
          <cell r="C243">
            <v>615421002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>
            <v>1</v>
          </cell>
          <cell r="B244">
            <v>6154210</v>
          </cell>
          <cell r="C244">
            <v>615421003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>
            <v>1</v>
          </cell>
          <cell r="B245">
            <v>6154213</v>
          </cell>
          <cell r="C245">
            <v>615421300</v>
          </cell>
          <cell r="I245">
            <v>144037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144037</v>
          </cell>
          <cell r="O245">
            <v>0</v>
          </cell>
          <cell r="P245">
            <v>0</v>
          </cell>
        </row>
        <row r="246">
          <cell r="A246">
            <v>1</v>
          </cell>
          <cell r="B246">
            <v>6154214</v>
          </cell>
          <cell r="C246">
            <v>615421400</v>
          </cell>
          <cell r="I246">
            <v>181386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181386</v>
          </cell>
          <cell r="O246">
            <v>0</v>
          </cell>
          <cell r="P246">
            <v>0</v>
          </cell>
        </row>
        <row r="247">
          <cell r="A247">
            <v>1</v>
          </cell>
          <cell r="B247">
            <v>6154215</v>
          </cell>
          <cell r="C247">
            <v>615421500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A248">
            <v>1</v>
          </cell>
          <cell r="B248">
            <v>6154217</v>
          </cell>
          <cell r="C248">
            <v>615421700</v>
          </cell>
          <cell r="I248">
            <v>120705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120705</v>
          </cell>
          <cell r="O248">
            <v>0</v>
          </cell>
          <cell r="P248">
            <v>0</v>
          </cell>
        </row>
        <row r="249">
          <cell r="A249">
            <v>1</v>
          </cell>
          <cell r="B249">
            <v>6154219</v>
          </cell>
          <cell r="C249">
            <v>615421900</v>
          </cell>
          <cell r="I249">
            <v>3850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3850</v>
          </cell>
          <cell r="O249">
            <v>0</v>
          </cell>
          <cell r="P249">
            <v>0</v>
          </cell>
        </row>
        <row r="250">
          <cell r="A250">
            <v>1</v>
          </cell>
          <cell r="B250">
            <v>6154220</v>
          </cell>
          <cell r="C250">
            <v>615422000</v>
          </cell>
          <cell r="I250">
            <v>10980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10980</v>
          </cell>
          <cell r="O250">
            <v>0</v>
          </cell>
          <cell r="P250">
            <v>0</v>
          </cell>
        </row>
        <row r="251">
          <cell r="A251">
            <v>1</v>
          </cell>
          <cell r="B251">
            <v>6154221</v>
          </cell>
          <cell r="C251">
            <v>615422100</v>
          </cell>
          <cell r="I251">
            <v>1071341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1071341</v>
          </cell>
          <cell r="O251">
            <v>0</v>
          </cell>
          <cell r="P251">
            <v>0</v>
          </cell>
        </row>
        <row r="252">
          <cell r="A252">
            <v>1</v>
          </cell>
          <cell r="B252">
            <v>6154223</v>
          </cell>
          <cell r="C252">
            <v>615422300</v>
          </cell>
          <cell r="I252">
            <v>206580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206580</v>
          </cell>
          <cell r="O252">
            <v>0</v>
          </cell>
          <cell r="P252">
            <v>0</v>
          </cell>
        </row>
        <row r="253">
          <cell r="A253">
            <v>1</v>
          </cell>
          <cell r="B253">
            <v>6154224</v>
          </cell>
          <cell r="C253">
            <v>615422400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1</v>
          </cell>
          <cell r="B254">
            <v>6154231</v>
          </cell>
          <cell r="C254">
            <v>615423100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>
            <v>1</v>
          </cell>
          <cell r="B255">
            <v>6154237</v>
          </cell>
          <cell r="C255">
            <v>615423700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A256">
            <v>1</v>
          </cell>
          <cell r="B256">
            <v>6154239</v>
          </cell>
          <cell r="C256">
            <v>615423900</v>
          </cell>
          <cell r="I256">
            <v>10540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10540</v>
          </cell>
          <cell r="P256">
            <v>0</v>
          </cell>
        </row>
        <row r="257">
          <cell r="A257">
            <v>1</v>
          </cell>
          <cell r="B257">
            <v>6154240</v>
          </cell>
          <cell r="C257">
            <v>615424000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>
            <v>1</v>
          </cell>
          <cell r="B258">
            <v>6154241</v>
          </cell>
          <cell r="C258">
            <v>615424100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A259">
            <v>1</v>
          </cell>
          <cell r="B259">
            <v>6154265</v>
          </cell>
          <cell r="C259">
            <v>615426500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A260">
            <v>1</v>
          </cell>
          <cell r="B260">
            <v>6154269</v>
          </cell>
          <cell r="C260">
            <v>615426900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1</v>
          </cell>
          <cell r="B261">
            <v>6154270</v>
          </cell>
          <cell r="C261">
            <v>615427000</v>
          </cell>
          <cell r="I261">
            <v>1448370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1448370</v>
          </cell>
          <cell r="O261">
            <v>0</v>
          </cell>
          <cell r="P261">
            <v>0</v>
          </cell>
        </row>
        <row r="262">
          <cell r="A262">
            <v>1</v>
          </cell>
          <cell r="B262">
            <v>6154271</v>
          </cell>
          <cell r="C262">
            <v>615427100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>
            <v>1</v>
          </cell>
          <cell r="B263">
            <v>6154272</v>
          </cell>
          <cell r="C263">
            <v>615427200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A264">
            <v>1</v>
          </cell>
          <cell r="B264">
            <v>6154273</v>
          </cell>
          <cell r="C264">
            <v>615427300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1</v>
          </cell>
          <cell r="B265">
            <v>6154274</v>
          </cell>
          <cell r="C265">
            <v>615427400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A266">
            <v>1</v>
          </cell>
          <cell r="B266">
            <v>6154275</v>
          </cell>
          <cell r="C266">
            <v>615427583</v>
          </cell>
          <cell r="I266">
            <v>473572660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473572660</v>
          </cell>
          <cell r="O266">
            <v>0</v>
          </cell>
          <cell r="P266">
            <v>0</v>
          </cell>
        </row>
        <row r="267">
          <cell r="A267">
            <v>1</v>
          </cell>
          <cell r="B267">
            <v>6154275</v>
          </cell>
          <cell r="C267">
            <v>615427584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>
            <v>6154275</v>
          </cell>
          <cell r="C268">
            <v>615427585</v>
          </cell>
          <cell r="I268">
            <v>28758400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28758400</v>
          </cell>
          <cell r="O268">
            <v>0</v>
          </cell>
          <cell r="P268">
            <v>0</v>
          </cell>
        </row>
        <row r="269">
          <cell r="A269">
            <v>1</v>
          </cell>
          <cell r="B269">
            <v>6154275</v>
          </cell>
          <cell r="C269">
            <v>615427586</v>
          </cell>
          <cell r="I269">
            <v>10619400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10619400</v>
          </cell>
          <cell r="O269">
            <v>0</v>
          </cell>
          <cell r="P269">
            <v>0</v>
          </cell>
        </row>
        <row r="270">
          <cell r="A270">
            <v>1</v>
          </cell>
          <cell r="B270">
            <v>6154275</v>
          </cell>
          <cell r="C270">
            <v>615427587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A271">
            <v>1</v>
          </cell>
          <cell r="B271">
            <v>6154275</v>
          </cell>
          <cell r="C271">
            <v>615427588</v>
          </cell>
          <cell r="I271">
            <v>328230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328230</v>
          </cell>
          <cell r="P271">
            <v>0</v>
          </cell>
        </row>
        <row r="272">
          <cell r="A272">
            <v>1</v>
          </cell>
          <cell r="B272">
            <v>6154601</v>
          </cell>
          <cell r="C272">
            <v>615460102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A273">
            <v>1</v>
          </cell>
          <cell r="B273">
            <v>6154601</v>
          </cell>
          <cell r="C273">
            <v>615460103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1</v>
          </cell>
          <cell r="B274">
            <v>6154601</v>
          </cell>
          <cell r="C274">
            <v>615460104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A275">
            <v>1</v>
          </cell>
          <cell r="B275">
            <v>6154601</v>
          </cell>
          <cell r="C275">
            <v>615460105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1</v>
          </cell>
          <cell r="B276">
            <v>6154602</v>
          </cell>
          <cell r="C276">
            <v>615460202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>
            <v>1</v>
          </cell>
          <cell r="B277">
            <v>6154603</v>
          </cell>
          <cell r="C277">
            <v>615460301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1</v>
          </cell>
          <cell r="B278">
            <v>6154603</v>
          </cell>
          <cell r="C278">
            <v>615460302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>
            <v>1</v>
          </cell>
          <cell r="B279">
            <v>6154603</v>
          </cell>
          <cell r="C279">
            <v>615460303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1</v>
          </cell>
          <cell r="B280">
            <v>6154603</v>
          </cell>
          <cell r="C280">
            <v>615460304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A281">
            <v>1</v>
          </cell>
          <cell r="B281">
            <v>6154603</v>
          </cell>
          <cell r="C281">
            <v>615460305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1</v>
          </cell>
          <cell r="B282">
            <v>6154603</v>
          </cell>
          <cell r="C282">
            <v>615460306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>
            <v>1</v>
          </cell>
          <cell r="B283">
            <v>6154603</v>
          </cell>
          <cell r="C283">
            <v>615460307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1</v>
          </cell>
          <cell r="B284">
            <v>6154603</v>
          </cell>
          <cell r="C284">
            <v>615460310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A285">
            <v>1</v>
          </cell>
          <cell r="B285">
            <v>6154603</v>
          </cell>
          <cell r="C285">
            <v>615460311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</v>
          </cell>
          <cell r="B286">
            <v>6154603</v>
          </cell>
          <cell r="C286">
            <v>615460314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A287">
            <v>1</v>
          </cell>
          <cell r="B287">
            <v>6154603</v>
          </cell>
          <cell r="C287">
            <v>615460315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</v>
          </cell>
          <cell r="B288">
            <v>6154604</v>
          </cell>
          <cell r="C288">
            <v>615460401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A289">
            <v>1</v>
          </cell>
          <cell r="B289">
            <v>6154604</v>
          </cell>
          <cell r="C289">
            <v>615460402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</v>
          </cell>
          <cell r="B290">
            <v>6154604</v>
          </cell>
          <cell r="C290">
            <v>615460403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A291">
            <v>1</v>
          </cell>
          <cell r="B291">
            <v>6154604</v>
          </cell>
          <cell r="C291">
            <v>615460405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</v>
          </cell>
          <cell r="B292">
            <v>6154604</v>
          </cell>
          <cell r="C292">
            <v>615460406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>
            <v>1</v>
          </cell>
          <cell r="B293">
            <v>6154604</v>
          </cell>
          <cell r="C293">
            <v>615460407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>
            <v>1</v>
          </cell>
          <cell r="B294">
            <v>6154604</v>
          </cell>
          <cell r="C294">
            <v>615460408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>
            <v>1</v>
          </cell>
          <cell r="B295">
            <v>6154604</v>
          </cell>
          <cell r="C295">
            <v>615460410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</v>
          </cell>
          <cell r="B296">
            <v>6154605</v>
          </cell>
          <cell r="C296">
            <v>615460500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>
            <v>1</v>
          </cell>
          <cell r="B297">
            <v>6154607</v>
          </cell>
          <cell r="C297">
            <v>615460700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A298">
            <v>1</v>
          </cell>
          <cell r="B298">
            <v>6154608</v>
          </cell>
          <cell r="C298">
            <v>615460800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>
            <v>1</v>
          </cell>
          <cell r="B299">
            <v>6154610</v>
          </cell>
          <cell r="C299">
            <v>615461001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</v>
          </cell>
          <cell r="B300">
            <v>6154610</v>
          </cell>
          <cell r="C300">
            <v>615461002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>
            <v>1</v>
          </cell>
          <cell r="B301">
            <v>6154610</v>
          </cell>
          <cell r="C301">
            <v>615461003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A302">
            <v>1</v>
          </cell>
          <cell r="B302">
            <v>6154613</v>
          </cell>
          <cell r="C302">
            <v>615461300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</v>
          </cell>
          <cell r="B303">
            <v>6154614</v>
          </cell>
          <cell r="C303">
            <v>615461400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A304">
            <v>1</v>
          </cell>
          <cell r="B304">
            <v>6154615</v>
          </cell>
          <cell r="C304">
            <v>615461500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A305">
            <v>1</v>
          </cell>
          <cell r="B305">
            <v>6154617</v>
          </cell>
          <cell r="C305">
            <v>615461700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A306">
            <v>1</v>
          </cell>
          <cell r="B306">
            <v>6154619</v>
          </cell>
          <cell r="C306">
            <v>615461900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A307">
            <v>1</v>
          </cell>
          <cell r="B307">
            <v>6154620</v>
          </cell>
          <cell r="C307">
            <v>615462000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>
            <v>1</v>
          </cell>
          <cell r="B308">
            <v>6154621</v>
          </cell>
          <cell r="C308">
            <v>615462100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>
            <v>1</v>
          </cell>
          <cell r="B309">
            <v>6154623</v>
          </cell>
          <cell r="C309">
            <v>615462300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1</v>
          </cell>
          <cell r="B310">
            <v>6154624</v>
          </cell>
          <cell r="C310">
            <v>615462400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A311">
            <v>1</v>
          </cell>
          <cell r="B311">
            <v>6154631</v>
          </cell>
          <cell r="C311">
            <v>615463100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1</v>
          </cell>
          <cell r="B312">
            <v>6154637</v>
          </cell>
          <cell r="C312">
            <v>615463700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>
            <v>1</v>
          </cell>
          <cell r="B313">
            <v>6154639</v>
          </cell>
          <cell r="C313">
            <v>615463900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A314">
            <v>1</v>
          </cell>
          <cell r="B314">
            <v>6154640</v>
          </cell>
          <cell r="C314">
            <v>615464000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1</v>
          </cell>
          <cell r="B315">
            <v>6154641</v>
          </cell>
          <cell r="C315">
            <v>615464100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A316">
            <v>1</v>
          </cell>
          <cell r="B316">
            <v>6154665</v>
          </cell>
          <cell r="C316">
            <v>615466500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A317">
            <v>1</v>
          </cell>
          <cell r="B317">
            <v>6154669</v>
          </cell>
          <cell r="C317">
            <v>615466900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1</v>
          </cell>
          <cell r="B318">
            <v>6154670</v>
          </cell>
          <cell r="C318">
            <v>615467000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>
            <v>1</v>
          </cell>
          <cell r="B319">
            <v>6154671</v>
          </cell>
          <cell r="C319">
            <v>615467100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1</v>
          </cell>
          <cell r="B320">
            <v>6154672</v>
          </cell>
          <cell r="C320">
            <v>615467200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>
            <v>1</v>
          </cell>
          <cell r="B321">
            <v>6154673</v>
          </cell>
          <cell r="C321">
            <v>615467300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>
            <v>1</v>
          </cell>
          <cell r="B322">
            <v>6154674</v>
          </cell>
          <cell r="C322">
            <v>615467400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1</v>
          </cell>
          <cell r="B323">
            <v>6154675</v>
          </cell>
          <cell r="C323">
            <v>615467583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1</v>
          </cell>
          <cell r="B324">
            <v>6154675</v>
          </cell>
          <cell r="C324">
            <v>615467584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A325">
            <v>1</v>
          </cell>
          <cell r="B325">
            <v>6154675</v>
          </cell>
          <cell r="C325">
            <v>615467585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1</v>
          </cell>
          <cell r="B326">
            <v>6154675</v>
          </cell>
          <cell r="C326">
            <v>615467586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1</v>
          </cell>
          <cell r="B327">
            <v>6154675</v>
          </cell>
          <cell r="C327">
            <v>615467587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A328">
            <v>1</v>
          </cell>
          <cell r="B328">
            <v>6154675</v>
          </cell>
          <cell r="C328">
            <v>615467588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>
            <v>1</v>
          </cell>
          <cell r="B329">
            <v>6154775</v>
          </cell>
          <cell r="C329">
            <v>615477583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A330">
            <v>1</v>
          </cell>
          <cell r="B330">
            <v>6154775</v>
          </cell>
          <cell r="C330">
            <v>615477584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A331">
            <v>1</v>
          </cell>
          <cell r="B331">
            <v>6154775</v>
          </cell>
          <cell r="C331">
            <v>615477585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A332">
            <v>1</v>
          </cell>
          <cell r="B332">
            <v>6154775</v>
          </cell>
          <cell r="C332">
            <v>615477586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A333">
            <v>1</v>
          </cell>
          <cell r="B333">
            <v>6154775</v>
          </cell>
          <cell r="C333">
            <v>615477587</v>
          </cell>
          <cell r="I333">
            <v>131921564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121228564</v>
          </cell>
          <cell r="O333">
            <v>0</v>
          </cell>
          <cell r="P333">
            <v>10693000</v>
          </cell>
        </row>
        <row r="334">
          <cell r="A334">
            <v>1</v>
          </cell>
          <cell r="B334">
            <v>6154875</v>
          </cell>
          <cell r="C334">
            <v>615487583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A335">
            <v>1</v>
          </cell>
          <cell r="B335">
            <v>6154875</v>
          </cell>
          <cell r="C335">
            <v>615487584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A336">
            <v>1</v>
          </cell>
          <cell r="B336">
            <v>6154875</v>
          </cell>
          <cell r="C336">
            <v>615487585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>
            <v>1</v>
          </cell>
          <cell r="B337">
            <v>6154875</v>
          </cell>
          <cell r="C337">
            <v>615487586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A338">
            <v>1</v>
          </cell>
          <cell r="B338">
            <v>6154875</v>
          </cell>
          <cell r="C338">
            <v>615487587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>
            <v>1</v>
          </cell>
          <cell r="B339">
            <v>6155017</v>
          </cell>
          <cell r="C339">
            <v>615501700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A340">
            <v>1</v>
          </cell>
          <cell r="B340">
            <v>6155020</v>
          </cell>
          <cell r="C340">
            <v>615502000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A341">
            <v>1</v>
          </cell>
          <cell r="B341">
            <v>6155065</v>
          </cell>
          <cell r="C341">
            <v>615506500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A342">
            <v>1</v>
          </cell>
          <cell r="B342">
            <v>6155069</v>
          </cell>
          <cell r="C342">
            <v>615506900</v>
          </cell>
          <cell r="I342">
            <v>3003980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3003980</v>
          </cell>
          <cell r="O342">
            <v>0</v>
          </cell>
          <cell r="P342">
            <v>0</v>
          </cell>
        </row>
        <row r="343">
          <cell r="A343">
            <v>1</v>
          </cell>
          <cell r="B343">
            <v>6155070</v>
          </cell>
          <cell r="C343">
            <v>615507000</v>
          </cell>
          <cell r="I343">
            <v>6518930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6518930</v>
          </cell>
          <cell r="O343">
            <v>0</v>
          </cell>
          <cell r="P343">
            <v>0</v>
          </cell>
        </row>
        <row r="344">
          <cell r="A344">
            <v>1</v>
          </cell>
          <cell r="B344">
            <v>6155071</v>
          </cell>
          <cell r="C344">
            <v>615507100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>
            <v>1</v>
          </cell>
          <cell r="B345">
            <v>6155072</v>
          </cell>
          <cell r="C345">
            <v>615507200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>
            <v>6155073</v>
          </cell>
          <cell r="C346">
            <v>615507300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>
            <v>1</v>
          </cell>
          <cell r="B347">
            <v>6155074</v>
          </cell>
          <cell r="C347">
            <v>615507400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A348">
            <v>1</v>
          </cell>
          <cell r="B348">
            <v>6155075</v>
          </cell>
          <cell r="C348">
            <v>615507583</v>
          </cell>
          <cell r="I348">
            <v>48126100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48126100</v>
          </cell>
          <cell r="O348">
            <v>0</v>
          </cell>
          <cell r="P348">
            <v>0</v>
          </cell>
        </row>
        <row r="349">
          <cell r="A349">
            <v>1</v>
          </cell>
          <cell r="B349">
            <v>6155075</v>
          </cell>
          <cell r="C349">
            <v>615507584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A350">
            <v>1</v>
          </cell>
          <cell r="B350">
            <v>6155075</v>
          </cell>
          <cell r="C350">
            <v>615507585</v>
          </cell>
          <cell r="I350">
            <v>1529000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1529000</v>
          </cell>
          <cell r="O350">
            <v>0</v>
          </cell>
          <cell r="P350">
            <v>0</v>
          </cell>
        </row>
        <row r="351">
          <cell r="A351">
            <v>1</v>
          </cell>
          <cell r="B351">
            <v>6155075</v>
          </cell>
          <cell r="C351">
            <v>615507586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A352">
            <v>1</v>
          </cell>
          <cell r="B352">
            <v>6155075</v>
          </cell>
          <cell r="C352">
            <v>615507587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A353">
            <v>1</v>
          </cell>
          <cell r="B353">
            <v>6155075</v>
          </cell>
          <cell r="C353">
            <v>615507588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1</v>
          </cell>
          <cell r="B354">
            <v>6155113</v>
          </cell>
          <cell r="C354">
            <v>615511300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</v>
          </cell>
          <cell r="B355">
            <v>6155175</v>
          </cell>
          <cell r="C355">
            <v>615517583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1</v>
          </cell>
          <cell r="B356">
            <v>6155277</v>
          </cell>
          <cell r="C356">
            <v>615527700</v>
          </cell>
          <cell r="I356">
            <v>12600000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12600000</v>
          </cell>
          <cell r="P356">
            <v>0</v>
          </cell>
        </row>
        <row r="357">
          <cell r="A357">
            <v>1</v>
          </cell>
          <cell r="B357">
            <v>6155278</v>
          </cell>
          <cell r="C357">
            <v>615527800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A358">
            <v>1</v>
          </cell>
          <cell r="B358">
            <v>6160101</v>
          </cell>
          <cell r="C358">
            <v>616010100</v>
          </cell>
          <cell r="I358">
            <v>43813632761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43813632761</v>
          </cell>
        </row>
        <row r="359">
          <cell r="A359">
            <v>1</v>
          </cell>
          <cell r="B359">
            <v>6160102</v>
          </cell>
          <cell r="C359">
            <v>616010200</v>
          </cell>
          <cell r="I359">
            <v>25158531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25158531</v>
          </cell>
        </row>
        <row r="360">
          <cell r="A360">
            <v>1</v>
          </cell>
          <cell r="B360">
            <v>6160202</v>
          </cell>
          <cell r="C360">
            <v>616020200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</v>
          </cell>
          <cell r="B361">
            <v>6160303</v>
          </cell>
          <cell r="C361">
            <v>616030300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>
            <v>1</v>
          </cell>
          <cell r="B362">
            <v>6170202</v>
          </cell>
          <cell r="C362">
            <v>617020200</v>
          </cell>
          <cell r="I362">
            <v>1040000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1040000</v>
          </cell>
        </row>
        <row r="363">
          <cell r="A363">
            <v>1</v>
          </cell>
          <cell r="B363">
            <v>6170204</v>
          </cell>
          <cell r="C363">
            <v>617020400</v>
          </cell>
          <cell r="I363">
            <v>874000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874000</v>
          </cell>
        </row>
        <row r="364">
          <cell r="A364">
            <v>1</v>
          </cell>
          <cell r="B364">
            <v>6170206</v>
          </cell>
          <cell r="C364">
            <v>617020600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>
            <v>1</v>
          </cell>
          <cell r="B365">
            <v>6170303</v>
          </cell>
          <cell r="C365">
            <v>617030300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>
            <v>1</v>
          </cell>
          <cell r="B366">
            <v>6170401</v>
          </cell>
          <cell r="C366">
            <v>617040100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>
            <v>1</v>
          </cell>
          <cell r="B367">
            <v>6170402</v>
          </cell>
          <cell r="C367">
            <v>617040200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A368">
            <v>1</v>
          </cell>
          <cell r="B368">
            <v>6170403</v>
          </cell>
          <cell r="C368">
            <v>617040300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A369">
            <v>1</v>
          </cell>
          <cell r="B369">
            <v>6181212</v>
          </cell>
          <cell r="C369">
            <v>618121200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A370">
            <v>1</v>
          </cell>
          <cell r="B370">
            <v>6181414</v>
          </cell>
          <cell r="C370">
            <v>618141400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>
            <v>1</v>
          </cell>
          <cell r="B371">
            <v>6182020</v>
          </cell>
          <cell r="C371">
            <v>618202000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A372">
            <v>1</v>
          </cell>
          <cell r="B372">
            <v>6190101</v>
          </cell>
          <cell r="C372">
            <v>619010100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>
            <v>1</v>
          </cell>
          <cell r="B373">
            <v>6200101</v>
          </cell>
          <cell r="C373">
            <v>620010100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>
            <v>1</v>
          </cell>
          <cell r="B374">
            <v>6210101</v>
          </cell>
          <cell r="C374">
            <v>621010100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>
            <v>6220101</v>
          </cell>
          <cell r="C375">
            <v>622010100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>
            <v>1</v>
          </cell>
          <cell r="B376">
            <v>6900101</v>
          </cell>
          <cell r="C376">
            <v>690010100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>
            <v>1</v>
          </cell>
          <cell r="B377">
            <v>8830201</v>
          </cell>
          <cell r="C377">
            <v>883020102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>
            <v>1</v>
          </cell>
          <cell r="B378">
            <v>8830201</v>
          </cell>
          <cell r="C378">
            <v>883020103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A379">
            <v>1</v>
          </cell>
          <cell r="B379">
            <v>8830201</v>
          </cell>
          <cell r="C379">
            <v>883020104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A380">
            <v>1</v>
          </cell>
          <cell r="B380">
            <v>8830201</v>
          </cell>
          <cell r="C380">
            <v>883020105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A381">
            <v>1</v>
          </cell>
          <cell r="B381">
            <v>8830202</v>
          </cell>
          <cell r="C381">
            <v>883020202</v>
          </cell>
          <cell r="I381">
            <v>39580800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39580800</v>
          </cell>
        </row>
        <row r="382">
          <cell r="A382">
            <v>1</v>
          </cell>
          <cell r="B382">
            <v>8830203</v>
          </cell>
          <cell r="C382">
            <v>883020301</v>
          </cell>
          <cell r="I382">
            <v>4072950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4072950</v>
          </cell>
        </row>
        <row r="383">
          <cell r="A383">
            <v>1</v>
          </cell>
          <cell r="B383">
            <v>8830203</v>
          </cell>
          <cell r="C383">
            <v>883020302</v>
          </cell>
          <cell r="I383">
            <v>1148700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1148700</v>
          </cell>
        </row>
        <row r="384">
          <cell r="A384">
            <v>1</v>
          </cell>
          <cell r="B384">
            <v>8830203</v>
          </cell>
          <cell r="C384">
            <v>883020303</v>
          </cell>
          <cell r="I384">
            <v>13135154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13135154</v>
          </cell>
        </row>
        <row r="385">
          <cell r="A385">
            <v>1</v>
          </cell>
          <cell r="B385">
            <v>8830203</v>
          </cell>
          <cell r="C385">
            <v>883020304</v>
          </cell>
          <cell r="I385">
            <v>1117260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1117260</v>
          </cell>
          <cell r="O385">
            <v>0</v>
          </cell>
          <cell r="P385">
            <v>0</v>
          </cell>
        </row>
        <row r="386">
          <cell r="A386">
            <v>1</v>
          </cell>
          <cell r="B386">
            <v>8830203</v>
          </cell>
          <cell r="C386">
            <v>883020305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1</v>
          </cell>
          <cell r="B387">
            <v>8830203</v>
          </cell>
          <cell r="C387">
            <v>883020306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A388">
            <v>1</v>
          </cell>
          <cell r="B388">
            <v>8830203</v>
          </cell>
          <cell r="C388">
            <v>883020307</v>
          </cell>
          <cell r="I388">
            <v>88476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88476</v>
          </cell>
        </row>
        <row r="389">
          <cell r="A389">
            <v>1</v>
          </cell>
          <cell r="B389">
            <v>8830203</v>
          </cell>
          <cell r="C389">
            <v>883020310</v>
          </cell>
          <cell r="I389">
            <v>7380655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7380655</v>
          </cell>
        </row>
        <row r="390">
          <cell r="A390">
            <v>1</v>
          </cell>
          <cell r="B390">
            <v>8830203</v>
          </cell>
          <cell r="C390">
            <v>883020311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1</v>
          </cell>
          <cell r="B391">
            <v>8830203</v>
          </cell>
          <cell r="C391">
            <v>883020314</v>
          </cell>
          <cell r="I391">
            <v>1239800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1239800</v>
          </cell>
        </row>
        <row r="392">
          <cell r="A392">
            <v>1</v>
          </cell>
          <cell r="B392">
            <v>8830203</v>
          </cell>
          <cell r="C392">
            <v>883020315</v>
          </cell>
          <cell r="I392">
            <v>400000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400000</v>
          </cell>
        </row>
        <row r="393">
          <cell r="A393">
            <v>1</v>
          </cell>
          <cell r="B393">
            <v>8830204</v>
          </cell>
          <cell r="C393">
            <v>883020401</v>
          </cell>
          <cell r="I393">
            <v>10164027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10164027</v>
          </cell>
          <cell r="P393">
            <v>0</v>
          </cell>
        </row>
        <row r="394">
          <cell r="A394">
            <v>1</v>
          </cell>
          <cell r="B394">
            <v>8830204</v>
          </cell>
          <cell r="C394">
            <v>883020402</v>
          </cell>
          <cell r="I394">
            <v>64656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64656</v>
          </cell>
        </row>
        <row r="395">
          <cell r="A395">
            <v>1</v>
          </cell>
          <cell r="B395">
            <v>8830204</v>
          </cell>
          <cell r="C395">
            <v>883020403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A396">
            <v>1</v>
          </cell>
          <cell r="B396">
            <v>8830204</v>
          </cell>
          <cell r="C396">
            <v>883020405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A397">
            <v>1</v>
          </cell>
          <cell r="B397">
            <v>8830204</v>
          </cell>
          <cell r="C397">
            <v>883020406</v>
          </cell>
          <cell r="I397">
            <v>38358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38358</v>
          </cell>
          <cell r="P397">
            <v>0</v>
          </cell>
        </row>
        <row r="398">
          <cell r="A398">
            <v>1</v>
          </cell>
          <cell r="B398">
            <v>8830204</v>
          </cell>
          <cell r="C398">
            <v>883020407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>
            <v>1</v>
          </cell>
          <cell r="B399">
            <v>8830204</v>
          </cell>
          <cell r="C399">
            <v>883020408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A400">
            <v>1</v>
          </cell>
          <cell r="B400">
            <v>8830204</v>
          </cell>
          <cell r="C400">
            <v>883020410</v>
          </cell>
          <cell r="I400">
            <v>3570122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3570122</v>
          </cell>
          <cell r="P400">
            <v>0</v>
          </cell>
        </row>
        <row r="401">
          <cell r="A401">
            <v>1</v>
          </cell>
          <cell r="B401">
            <v>8830204</v>
          </cell>
          <cell r="C401">
            <v>883020411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A402">
            <v>1</v>
          </cell>
          <cell r="B402">
            <v>8830205</v>
          </cell>
          <cell r="C402">
            <v>883020500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A403">
            <v>1</v>
          </cell>
          <cell r="B403">
            <v>8830207</v>
          </cell>
          <cell r="C403">
            <v>883020700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</v>
          </cell>
          <cell r="B404">
            <v>8830208</v>
          </cell>
          <cell r="C404">
            <v>883020800</v>
          </cell>
          <cell r="I404">
            <v>45200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45200</v>
          </cell>
          <cell r="O404">
            <v>0</v>
          </cell>
          <cell r="P404">
            <v>0</v>
          </cell>
        </row>
        <row r="405">
          <cell r="A405">
            <v>1</v>
          </cell>
          <cell r="B405">
            <v>8830210</v>
          </cell>
          <cell r="C405">
            <v>883021001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</v>
          </cell>
          <cell r="B406">
            <v>8830210</v>
          </cell>
          <cell r="C406">
            <v>883021002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A407">
            <v>1</v>
          </cell>
          <cell r="B407">
            <v>8830210</v>
          </cell>
          <cell r="C407">
            <v>883021003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A408">
            <v>1</v>
          </cell>
          <cell r="B408">
            <v>8830213</v>
          </cell>
          <cell r="C408">
            <v>883021300</v>
          </cell>
          <cell r="I408">
            <v>2612281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2612281</v>
          </cell>
          <cell r="O408">
            <v>0</v>
          </cell>
          <cell r="P408">
            <v>0</v>
          </cell>
        </row>
        <row r="409">
          <cell r="A409">
            <v>1</v>
          </cell>
          <cell r="B409">
            <v>8830214</v>
          </cell>
          <cell r="C409">
            <v>883021400</v>
          </cell>
          <cell r="I409">
            <v>474482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474482</v>
          </cell>
          <cell r="O409">
            <v>0</v>
          </cell>
          <cell r="P409">
            <v>0</v>
          </cell>
        </row>
        <row r="410">
          <cell r="A410">
            <v>1</v>
          </cell>
          <cell r="B410">
            <v>8830215</v>
          </cell>
          <cell r="C410">
            <v>883021500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>
            <v>8830217</v>
          </cell>
          <cell r="C411">
            <v>883021700</v>
          </cell>
          <cell r="I411">
            <v>650162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650162</v>
          </cell>
          <cell r="O411">
            <v>0</v>
          </cell>
          <cell r="P411">
            <v>0</v>
          </cell>
        </row>
        <row r="412">
          <cell r="A412">
            <v>1</v>
          </cell>
          <cell r="B412">
            <v>8830219</v>
          </cell>
          <cell r="C412">
            <v>883021900</v>
          </cell>
          <cell r="I412">
            <v>19480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11880</v>
          </cell>
          <cell r="O412">
            <v>7600</v>
          </cell>
          <cell r="P412">
            <v>0</v>
          </cell>
        </row>
        <row r="413">
          <cell r="A413">
            <v>1</v>
          </cell>
          <cell r="B413">
            <v>8830220</v>
          </cell>
          <cell r="C413">
            <v>883022000</v>
          </cell>
          <cell r="I413">
            <v>6446706</v>
          </cell>
          <cell r="J413">
            <v>0</v>
          </cell>
          <cell r="K413">
            <v>0</v>
          </cell>
          <cell r="L413">
            <v>678402</v>
          </cell>
          <cell r="M413">
            <v>0</v>
          </cell>
          <cell r="N413">
            <v>114697</v>
          </cell>
          <cell r="O413">
            <v>5653607</v>
          </cell>
          <cell r="P413">
            <v>0</v>
          </cell>
        </row>
        <row r="414">
          <cell r="A414">
            <v>1</v>
          </cell>
          <cell r="B414">
            <v>8830221</v>
          </cell>
          <cell r="C414">
            <v>883022100</v>
          </cell>
          <cell r="I414">
            <v>163512706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163512706</v>
          </cell>
          <cell r="O414">
            <v>0</v>
          </cell>
          <cell r="P414">
            <v>0</v>
          </cell>
        </row>
        <row r="415">
          <cell r="A415">
            <v>1</v>
          </cell>
          <cell r="B415">
            <v>8830223</v>
          </cell>
          <cell r="C415">
            <v>883022300</v>
          </cell>
          <cell r="I415">
            <v>12499689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12499689</v>
          </cell>
          <cell r="O415">
            <v>0</v>
          </cell>
          <cell r="P415">
            <v>0</v>
          </cell>
        </row>
        <row r="416">
          <cell r="A416">
            <v>1</v>
          </cell>
          <cell r="B416">
            <v>8830224</v>
          </cell>
          <cell r="C416">
            <v>883022400</v>
          </cell>
          <cell r="I416">
            <v>2121075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2121075</v>
          </cell>
          <cell r="O416">
            <v>0</v>
          </cell>
          <cell r="P416">
            <v>0</v>
          </cell>
        </row>
        <row r="417">
          <cell r="A417">
            <v>1</v>
          </cell>
          <cell r="B417">
            <v>8830225</v>
          </cell>
          <cell r="C417">
            <v>883022500</v>
          </cell>
          <cell r="I417">
            <v>299926084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299926084</v>
          </cell>
          <cell r="O417">
            <v>0</v>
          </cell>
          <cell r="P417">
            <v>0</v>
          </cell>
        </row>
        <row r="418">
          <cell r="A418">
            <v>1</v>
          </cell>
          <cell r="B418">
            <v>8830226</v>
          </cell>
          <cell r="C418">
            <v>883022600</v>
          </cell>
          <cell r="I418">
            <v>3840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3840</v>
          </cell>
          <cell r="P418">
            <v>0</v>
          </cell>
        </row>
        <row r="419">
          <cell r="A419">
            <v>1</v>
          </cell>
          <cell r="B419">
            <v>8830228</v>
          </cell>
          <cell r="C419">
            <v>883022866</v>
          </cell>
          <cell r="I419">
            <v>1471468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1471468</v>
          </cell>
          <cell r="O419">
            <v>0</v>
          </cell>
          <cell r="P419">
            <v>0</v>
          </cell>
        </row>
        <row r="420">
          <cell r="A420">
            <v>1</v>
          </cell>
          <cell r="B420">
            <v>8830228</v>
          </cell>
          <cell r="C420">
            <v>883022867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>
            <v>1</v>
          </cell>
          <cell r="B421">
            <v>8830229</v>
          </cell>
          <cell r="C421">
            <v>883022900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>
            <v>1</v>
          </cell>
          <cell r="B422">
            <v>8830230</v>
          </cell>
          <cell r="C422">
            <v>883023000</v>
          </cell>
          <cell r="I422">
            <v>693759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693759</v>
          </cell>
        </row>
        <row r="423">
          <cell r="A423">
            <v>1</v>
          </cell>
          <cell r="B423">
            <v>8830231</v>
          </cell>
          <cell r="C423">
            <v>883023100</v>
          </cell>
          <cell r="I423">
            <v>34481445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33599086</v>
          </cell>
          <cell r="O423">
            <v>882359</v>
          </cell>
          <cell r="P423">
            <v>0</v>
          </cell>
        </row>
        <row r="424">
          <cell r="A424">
            <v>1</v>
          </cell>
          <cell r="B424">
            <v>8830237</v>
          </cell>
          <cell r="C424">
            <v>883023700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>
            <v>1</v>
          </cell>
          <cell r="B425">
            <v>8830239</v>
          </cell>
          <cell r="C425">
            <v>883023900</v>
          </cell>
          <cell r="I425">
            <v>134822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134822</v>
          </cell>
          <cell r="P425">
            <v>0</v>
          </cell>
        </row>
        <row r="426">
          <cell r="A426">
            <v>1</v>
          </cell>
          <cell r="B426">
            <v>8830240</v>
          </cell>
          <cell r="C426">
            <v>883024000</v>
          </cell>
          <cell r="I426">
            <v>24800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24800</v>
          </cell>
        </row>
        <row r="427">
          <cell r="A427">
            <v>1</v>
          </cell>
          <cell r="B427">
            <v>8830241</v>
          </cell>
          <cell r="C427">
            <v>883024100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>
            <v>1</v>
          </cell>
          <cell r="B428">
            <v>8830242</v>
          </cell>
          <cell r="C428">
            <v>883024201</v>
          </cell>
          <cell r="I428">
            <v>3913000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3913000</v>
          </cell>
        </row>
        <row r="429">
          <cell r="A429">
            <v>1</v>
          </cell>
          <cell r="B429">
            <v>8830242</v>
          </cell>
          <cell r="C429">
            <v>883024202</v>
          </cell>
          <cell r="I429">
            <v>788000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788000</v>
          </cell>
        </row>
        <row r="430">
          <cell r="A430">
            <v>1</v>
          </cell>
          <cell r="B430">
            <v>8830401</v>
          </cell>
          <cell r="C430">
            <v>883040102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>
            <v>1</v>
          </cell>
          <cell r="B431">
            <v>8830401</v>
          </cell>
          <cell r="C431">
            <v>883040103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1</v>
          </cell>
          <cell r="B432">
            <v>8830401</v>
          </cell>
          <cell r="C432">
            <v>883040104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>
            <v>1</v>
          </cell>
          <cell r="B433">
            <v>8830401</v>
          </cell>
          <cell r="C433">
            <v>883040105</v>
          </cell>
          <cell r="I433">
            <v>115000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115000</v>
          </cell>
        </row>
        <row r="434">
          <cell r="A434">
            <v>1</v>
          </cell>
          <cell r="B434">
            <v>8830402</v>
          </cell>
          <cell r="C434">
            <v>883040202</v>
          </cell>
          <cell r="I434">
            <v>19311700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19311700</v>
          </cell>
        </row>
        <row r="435">
          <cell r="A435">
            <v>1</v>
          </cell>
          <cell r="B435">
            <v>8830403</v>
          </cell>
          <cell r="C435">
            <v>883040301</v>
          </cell>
          <cell r="I435">
            <v>2059170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2059170</v>
          </cell>
        </row>
        <row r="436">
          <cell r="A436">
            <v>1</v>
          </cell>
          <cell r="B436">
            <v>8830403</v>
          </cell>
          <cell r="C436">
            <v>883040302</v>
          </cell>
          <cell r="I436">
            <v>444800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444800</v>
          </cell>
        </row>
        <row r="437">
          <cell r="A437">
            <v>1</v>
          </cell>
          <cell r="B437">
            <v>8830403</v>
          </cell>
          <cell r="C437">
            <v>883040303</v>
          </cell>
          <cell r="I437">
            <v>7338328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7338328</v>
          </cell>
        </row>
        <row r="438">
          <cell r="A438">
            <v>1</v>
          </cell>
          <cell r="B438">
            <v>8830403</v>
          </cell>
          <cell r="C438">
            <v>883040304</v>
          </cell>
          <cell r="I438">
            <v>371190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371190</v>
          </cell>
          <cell r="O438">
            <v>0</v>
          </cell>
          <cell r="P438">
            <v>0</v>
          </cell>
        </row>
        <row r="439">
          <cell r="A439">
            <v>1</v>
          </cell>
          <cell r="B439">
            <v>8830403</v>
          </cell>
          <cell r="C439">
            <v>883040305</v>
          </cell>
          <cell r="I439">
            <v>835200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835200</v>
          </cell>
        </row>
        <row r="440">
          <cell r="A440">
            <v>1</v>
          </cell>
          <cell r="B440">
            <v>8830403</v>
          </cell>
          <cell r="C440">
            <v>883040306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>
            <v>1</v>
          </cell>
          <cell r="B441">
            <v>8830403</v>
          </cell>
          <cell r="C441">
            <v>883040307</v>
          </cell>
          <cell r="I441">
            <v>216624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216624</v>
          </cell>
        </row>
        <row r="442">
          <cell r="A442">
            <v>1</v>
          </cell>
          <cell r="B442">
            <v>8830403</v>
          </cell>
          <cell r="C442">
            <v>883040310</v>
          </cell>
          <cell r="I442">
            <v>525743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525743</v>
          </cell>
        </row>
        <row r="443">
          <cell r="A443">
            <v>1</v>
          </cell>
          <cell r="B443">
            <v>8830403</v>
          </cell>
          <cell r="C443">
            <v>883040311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>
            <v>1</v>
          </cell>
          <cell r="B444">
            <v>8830403</v>
          </cell>
          <cell r="C444">
            <v>883040314</v>
          </cell>
          <cell r="I444">
            <v>324000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324000</v>
          </cell>
        </row>
        <row r="445">
          <cell r="A445">
            <v>1</v>
          </cell>
          <cell r="B445">
            <v>8830403</v>
          </cell>
          <cell r="C445">
            <v>883040315</v>
          </cell>
          <cell r="I445">
            <v>105000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105000</v>
          </cell>
        </row>
        <row r="446">
          <cell r="A446">
            <v>1</v>
          </cell>
          <cell r="B446">
            <v>8830404</v>
          </cell>
          <cell r="C446">
            <v>883040401</v>
          </cell>
          <cell r="I446">
            <v>4551856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4551856</v>
          </cell>
          <cell r="P446">
            <v>0</v>
          </cell>
        </row>
        <row r="447">
          <cell r="A447">
            <v>1</v>
          </cell>
          <cell r="B447">
            <v>8830404</v>
          </cell>
          <cell r="C447">
            <v>883040402</v>
          </cell>
          <cell r="I447">
            <v>29424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29424</v>
          </cell>
        </row>
        <row r="448">
          <cell r="A448">
            <v>1</v>
          </cell>
          <cell r="B448">
            <v>8830404</v>
          </cell>
          <cell r="C448">
            <v>883040403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>
            <v>1</v>
          </cell>
          <cell r="B449">
            <v>8830404</v>
          </cell>
          <cell r="C449">
            <v>883040405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>
            <v>1</v>
          </cell>
          <cell r="B450">
            <v>8830404</v>
          </cell>
          <cell r="C450">
            <v>883040406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A451">
            <v>1</v>
          </cell>
          <cell r="B451">
            <v>8830404</v>
          </cell>
          <cell r="C451">
            <v>883040407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A452">
            <v>1</v>
          </cell>
          <cell r="B452">
            <v>8830404</v>
          </cell>
          <cell r="C452">
            <v>883040408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>
            <v>1</v>
          </cell>
          <cell r="B453">
            <v>8830404</v>
          </cell>
          <cell r="C453">
            <v>883040410</v>
          </cell>
          <cell r="I453">
            <v>1624261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1624261</v>
          </cell>
          <cell r="P453">
            <v>0</v>
          </cell>
        </row>
        <row r="454">
          <cell r="A454">
            <v>1</v>
          </cell>
          <cell r="B454">
            <v>8830404</v>
          </cell>
          <cell r="C454">
            <v>883040411</v>
          </cell>
          <cell r="I454">
            <v>366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366</v>
          </cell>
          <cell r="P454">
            <v>0</v>
          </cell>
        </row>
        <row r="455">
          <cell r="A455">
            <v>1</v>
          </cell>
          <cell r="B455">
            <v>8830405</v>
          </cell>
          <cell r="C455">
            <v>883040500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A456">
            <v>1</v>
          </cell>
          <cell r="B456">
            <v>8830407</v>
          </cell>
          <cell r="C456">
            <v>883040700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</v>
          </cell>
          <cell r="B457">
            <v>8830408</v>
          </cell>
          <cell r="C457">
            <v>883040800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A458">
            <v>1</v>
          </cell>
          <cell r="B458">
            <v>8830410</v>
          </cell>
          <cell r="C458">
            <v>883041001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</v>
          </cell>
          <cell r="B459">
            <v>8830410</v>
          </cell>
          <cell r="C459">
            <v>883041002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A460">
            <v>1</v>
          </cell>
          <cell r="B460">
            <v>8830410</v>
          </cell>
          <cell r="C460">
            <v>883041003</v>
          </cell>
          <cell r="I460">
            <v>7400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7400</v>
          </cell>
          <cell r="O460">
            <v>0</v>
          </cell>
          <cell r="P460">
            <v>0</v>
          </cell>
        </row>
        <row r="461">
          <cell r="A461">
            <v>1</v>
          </cell>
          <cell r="B461">
            <v>8830413</v>
          </cell>
          <cell r="C461">
            <v>883041300</v>
          </cell>
          <cell r="I461">
            <v>123964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123964</v>
          </cell>
          <cell r="O461">
            <v>0</v>
          </cell>
          <cell r="P461">
            <v>0</v>
          </cell>
        </row>
        <row r="462">
          <cell r="A462">
            <v>1</v>
          </cell>
          <cell r="B462">
            <v>8830414</v>
          </cell>
          <cell r="C462">
            <v>883041400</v>
          </cell>
          <cell r="I462">
            <v>67172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67172</v>
          </cell>
          <cell r="O462">
            <v>0</v>
          </cell>
          <cell r="P462">
            <v>0</v>
          </cell>
        </row>
        <row r="463">
          <cell r="A463">
            <v>1</v>
          </cell>
          <cell r="B463">
            <v>8830415</v>
          </cell>
          <cell r="C463">
            <v>883041500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>
            <v>1</v>
          </cell>
          <cell r="B464">
            <v>8830417</v>
          </cell>
          <cell r="C464">
            <v>883041700</v>
          </cell>
          <cell r="I464">
            <v>87858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87858</v>
          </cell>
          <cell r="O464">
            <v>0</v>
          </cell>
          <cell r="P464">
            <v>0</v>
          </cell>
        </row>
        <row r="465">
          <cell r="A465">
            <v>1</v>
          </cell>
          <cell r="B465">
            <v>8830419</v>
          </cell>
          <cell r="C465">
            <v>883041900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A466">
            <v>1</v>
          </cell>
          <cell r="B466">
            <v>8830420</v>
          </cell>
          <cell r="C466">
            <v>883042000</v>
          </cell>
          <cell r="I466">
            <v>1820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1820</v>
          </cell>
          <cell r="O466">
            <v>0</v>
          </cell>
          <cell r="P466">
            <v>0</v>
          </cell>
        </row>
        <row r="467">
          <cell r="A467">
            <v>1</v>
          </cell>
          <cell r="B467">
            <v>8830421</v>
          </cell>
          <cell r="C467">
            <v>883042100</v>
          </cell>
          <cell r="I467">
            <v>11727105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11727105</v>
          </cell>
          <cell r="O467">
            <v>0</v>
          </cell>
          <cell r="P467">
            <v>0</v>
          </cell>
        </row>
        <row r="468">
          <cell r="A468">
            <v>1</v>
          </cell>
          <cell r="B468">
            <v>8830423</v>
          </cell>
          <cell r="C468">
            <v>883042300</v>
          </cell>
          <cell r="I468">
            <v>49808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49808</v>
          </cell>
          <cell r="O468">
            <v>0</v>
          </cell>
          <cell r="P468">
            <v>0</v>
          </cell>
        </row>
        <row r="469">
          <cell r="A469">
            <v>1</v>
          </cell>
          <cell r="B469">
            <v>8830424</v>
          </cell>
          <cell r="C469">
            <v>883042400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>
            <v>1</v>
          </cell>
          <cell r="B470">
            <v>8830425</v>
          </cell>
          <cell r="C470">
            <v>883042500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A471">
            <v>1</v>
          </cell>
          <cell r="B471">
            <v>8830428</v>
          </cell>
          <cell r="C471">
            <v>883042866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A472">
            <v>1</v>
          </cell>
          <cell r="B472">
            <v>8830428</v>
          </cell>
          <cell r="C472">
            <v>883042867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>
            <v>1</v>
          </cell>
          <cell r="B473">
            <v>8830429</v>
          </cell>
          <cell r="C473">
            <v>883042900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A474">
            <v>1</v>
          </cell>
          <cell r="B474">
            <v>8830430</v>
          </cell>
          <cell r="C474">
            <v>883043000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>
            <v>8830431</v>
          </cell>
          <cell r="C475">
            <v>883043100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>
            <v>1</v>
          </cell>
          <cell r="B476">
            <v>8830437</v>
          </cell>
          <cell r="C476">
            <v>883043700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A477">
            <v>1</v>
          </cell>
          <cell r="B477">
            <v>8830439</v>
          </cell>
          <cell r="C477">
            <v>883043900</v>
          </cell>
          <cell r="I477">
            <v>21080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21080</v>
          </cell>
          <cell r="P477">
            <v>0</v>
          </cell>
        </row>
        <row r="478">
          <cell r="A478">
            <v>1</v>
          </cell>
          <cell r="B478">
            <v>8830440</v>
          </cell>
          <cell r="C478">
            <v>883044000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>
            <v>1</v>
          </cell>
          <cell r="B479">
            <v>8830441</v>
          </cell>
          <cell r="C479">
            <v>883044100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A480">
            <v>1</v>
          </cell>
          <cell r="B480">
            <v>8830442</v>
          </cell>
          <cell r="C480">
            <v>883044201</v>
          </cell>
          <cell r="I480">
            <v>2082000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2082000</v>
          </cell>
        </row>
        <row r="481">
          <cell r="A481">
            <v>1</v>
          </cell>
          <cell r="B481">
            <v>8830442</v>
          </cell>
          <cell r="C481">
            <v>883044202</v>
          </cell>
          <cell r="I481">
            <v>423000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423000</v>
          </cell>
        </row>
        <row r="482">
          <cell r="A482">
            <v>1</v>
          </cell>
          <cell r="B482">
            <v>8830601</v>
          </cell>
          <cell r="C482">
            <v>883060102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1</v>
          </cell>
          <cell r="B483">
            <v>8830601</v>
          </cell>
          <cell r="C483">
            <v>883060103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A484">
            <v>1</v>
          </cell>
          <cell r="B484">
            <v>8830601</v>
          </cell>
          <cell r="C484">
            <v>883060104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A485">
            <v>1</v>
          </cell>
          <cell r="B485">
            <v>8830601</v>
          </cell>
          <cell r="C485">
            <v>883060105</v>
          </cell>
          <cell r="I485">
            <v>2110500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2110500</v>
          </cell>
        </row>
        <row r="486">
          <cell r="A486">
            <v>1</v>
          </cell>
          <cell r="B486">
            <v>8830602</v>
          </cell>
          <cell r="C486">
            <v>883060202</v>
          </cell>
          <cell r="I486">
            <v>517574247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517574247</v>
          </cell>
        </row>
        <row r="487">
          <cell r="A487">
            <v>1</v>
          </cell>
          <cell r="B487">
            <v>8830603</v>
          </cell>
          <cell r="C487">
            <v>883060301</v>
          </cell>
          <cell r="I487">
            <v>54000739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54000739</v>
          </cell>
        </row>
        <row r="488">
          <cell r="A488">
            <v>1</v>
          </cell>
          <cell r="B488">
            <v>8830603</v>
          </cell>
          <cell r="C488">
            <v>883060302</v>
          </cell>
          <cell r="I488">
            <v>22464300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22464300</v>
          </cell>
        </row>
        <row r="489">
          <cell r="A489">
            <v>1</v>
          </cell>
          <cell r="B489">
            <v>8830603</v>
          </cell>
          <cell r="C489">
            <v>883060303</v>
          </cell>
          <cell r="I489">
            <v>180977648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180977648</v>
          </cell>
        </row>
        <row r="490">
          <cell r="A490">
            <v>1</v>
          </cell>
          <cell r="B490">
            <v>8830603</v>
          </cell>
          <cell r="C490">
            <v>883060304</v>
          </cell>
          <cell r="I490">
            <v>11930100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11930100</v>
          </cell>
          <cell r="O490">
            <v>0</v>
          </cell>
          <cell r="P490">
            <v>0</v>
          </cell>
        </row>
        <row r="491">
          <cell r="A491">
            <v>1</v>
          </cell>
          <cell r="B491">
            <v>8830603</v>
          </cell>
          <cell r="C491">
            <v>883060305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A492">
            <v>1</v>
          </cell>
          <cell r="B492">
            <v>8830603</v>
          </cell>
          <cell r="C492">
            <v>883060306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A493">
            <v>1</v>
          </cell>
          <cell r="B493">
            <v>8830603</v>
          </cell>
          <cell r="C493">
            <v>883060307</v>
          </cell>
          <cell r="I493">
            <v>39833893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39833893</v>
          </cell>
        </row>
        <row r="494">
          <cell r="A494">
            <v>1</v>
          </cell>
          <cell r="B494">
            <v>8830603</v>
          </cell>
          <cell r="C494">
            <v>883060310</v>
          </cell>
          <cell r="I494">
            <v>108226437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108226437</v>
          </cell>
        </row>
        <row r="495">
          <cell r="A495">
            <v>1</v>
          </cell>
          <cell r="B495">
            <v>8830603</v>
          </cell>
          <cell r="C495">
            <v>883060311</v>
          </cell>
          <cell r="I495">
            <v>9099292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9099292</v>
          </cell>
        </row>
        <row r="496">
          <cell r="A496">
            <v>1</v>
          </cell>
          <cell r="B496">
            <v>8830603</v>
          </cell>
          <cell r="C496">
            <v>883060312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>
            <v>1</v>
          </cell>
          <cell r="B497">
            <v>8830603</v>
          </cell>
          <cell r="C497">
            <v>883060314</v>
          </cell>
          <cell r="I497">
            <v>6768371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6768371</v>
          </cell>
        </row>
        <row r="498">
          <cell r="A498">
            <v>1</v>
          </cell>
          <cell r="B498">
            <v>8830603</v>
          </cell>
          <cell r="C498">
            <v>883060315</v>
          </cell>
          <cell r="I498">
            <v>11890000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11890000</v>
          </cell>
        </row>
        <row r="499">
          <cell r="A499">
            <v>1</v>
          </cell>
          <cell r="B499">
            <v>8830604</v>
          </cell>
          <cell r="C499">
            <v>883060401</v>
          </cell>
          <cell r="I499">
            <v>134361225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134361225</v>
          </cell>
          <cell r="P499">
            <v>0</v>
          </cell>
        </row>
        <row r="500">
          <cell r="A500">
            <v>1</v>
          </cell>
          <cell r="B500">
            <v>8830604</v>
          </cell>
          <cell r="C500">
            <v>883060402</v>
          </cell>
          <cell r="I500">
            <v>780657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780657</v>
          </cell>
        </row>
        <row r="501">
          <cell r="A501">
            <v>1</v>
          </cell>
          <cell r="B501">
            <v>8830604</v>
          </cell>
          <cell r="C501">
            <v>883060403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>
            <v>1</v>
          </cell>
          <cell r="B502">
            <v>8830604</v>
          </cell>
          <cell r="C502">
            <v>883060405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>
            <v>1</v>
          </cell>
          <cell r="B503">
            <v>8830604</v>
          </cell>
          <cell r="C503">
            <v>883060406</v>
          </cell>
          <cell r="I503">
            <v>466434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466434</v>
          </cell>
          <cell r="P503">
            <v>0</v>
          </cell>
        </row>
        <row r="504">
          <cell r="A504">
            <v>1</v>
          </cell>
          <cell r="B504">
            <v>8830604</v>
          </cell>
          <cell r="C504">
            <v>883060407</v>
          </cell>
          <cell r="I504">
            <v>1626549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1626549</v>
          </cell>
          <cell r="P504">
            <v>0</v>
          </cell>
        </row>
        <row r="505">
          <cell r="A505">
            <v>1</v>
          </cell>
          <cell r="B505">
            <v>8830604</v>
          </cell>
          <cell r="C505">
            <v>883060408</v>
          </cell>
          <cell r="I505">
            <v>63882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63882</v>
          </cell>
          <cell r="P505">
            <v>0</v>
          </cell>
        </row>
        <row r="506">
          <cell r="A506">
            <v>1</v>
          </cell>
          <cell r="B506">
            <v>8830604</v>
          </cell>
          <cell r="C506">
            <v>883060410</v>
          </cell>
          <cell r="I506">
            <v>50675356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50675356</v>
          </cell>
          <cell r="P506">
            <v>0</v>
          </cell>
        </row>
        <row r="507">
          <cell r="A507">
            <v>1</v>
          </cell>
          <cell r="B507">
            <v>8830604</v>
          </cell>
          <cell r="C507">
            <v>883060411</v>
          </cell>
          <cell r="I507">
            <v>14667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14667</v>
          </cell>
          <cell r="P507">
            <v>0</v>
          </cell>
        </row>
        <row r="508">
          <cell r="A508">
            <v>1</v>
          </cell>
          <cell r="B508">
            <v>8830605</v>
          </cell>
          <cell r="C508">
            <v>883060500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A509">
            <v>1</v>
          </cell>
          <cell r="B509">
            <v>8830607</v>
          </cell>
          <cell r="C509">
            <v>883060700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</v>
          </cell>
          <cell r="B510">
            <v>8830608</v>
          </cell>
          <cell r="C510">
            <v>883060800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>
            <v>1</v>
          </cell>
          <cell r="B511">
            <v>8830610</v>
          </cell>
          <cell r="C511">
            <v>883061001</v>
          </cell>
          <cell r="I511">
            <v>225020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225020</v>
          </cell>
          <cell r="O511">
            <v>0</v>
          </cell>
          <cell r="P511">
            <v>0</v>
          </cell>
        </row>
        <row r="512">
          <cell r="A512">
            <v>1</v>
          </cell>
          <cell r="B512">
            <v>8830610</v>
          </cell>
          <cell r="C512">
            <v>883061002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A513">
            <v>1</v>
          </cell>
          <cell r="B513">
            <v>8830610</v>
          </cell>
          <cell r="C513">
            <v>883061003</v>
          </cell>
          <cell r="I513">
            <v>153600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153600</v>
          </cell>
          <cell r="O513">
            <v>0</v>
          </cell>
          <cell r="P513">
            <v>0</v>
          </cell>
        </row>
        <row r="514">
          <cell r="A514">
            <v>1</v>
          </cell>
          <cell r="B514">
            <v>8830613</v>
          </cell>
          <cell r="C514">
            <v>883061300</v>
          </cell>
          <cell r="I514">
            <v>11013390</v>
          </cell>
          <cell r="J514">
            <v>0</v>
          </cell>
          <cell r="K514">
            <v>0</v>
          </cell>
          <cell r="L514">
            <v>0</v>
          </cell>
          <cell r="M514">
            <v>30357</v>
          </cell>
          <cell r="N514">
            <v>10983033</v>
          </cell>
          <cell r="O514">
            <v>0</v>
          </cell>
          <cell r="P514">
            <v>0</v>
          </cell>
        </row>
        <row r="515">
          <cell r="A515">
            <v>1</v>
          </cell>
          <cell r="B515">
            <v>8830614</v>
          </cell>
          <cell r="C515">
            <v>883061400</v>
          </cell>
          <cell r="I515">
            <v>2213663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2213663</v>
          </cell>
          <cell r="O515">
            <v>0</v>
          </cell>
          <cell r="P515">
            <v>0</v>
          </cell>
        </row>
        <row r="516">
          <cell r="A516">
            <v>1</v>
          </cell>
          <cell r="B516">
            <v>8830615</v>
          </cell>
          <cell r="C516">
            <v>883061500</v>
          </cell>
          <cell r="I516">
            <v>16902233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16902233</v>
          </cell>
          <cell r="O516">
            <v>0</v>
          </cell>
          <cell r="P516">
            <v>0</v>
          </cell>
        </row>
        <row r="517">
          <cell r="A517">
            <v>1</v>
          </cell>
          <cell r="B517">
            <v>8830617</v>
          </cell>
          <cell r="C517">
            <v>883061700</v>
          </cell>
          <cell r="I517">
            <v>12573953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12573953</v>
          </cell>
          <cell r="O517">
            <v>0</v>
          </cell>
          <cell r="P517">
            <v>0</v>
          </cell>
        </row>
        <row r="518">
          <cell r="A518">
            <v>1</v>
          </cell>
          <cell r="B518">
            <v>8830619</v>
          </cell>
          <cell r="C518">
            <v>883061900</v>
          </cell>
          <cell r="I518">
            <v>155875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97165</v>
          </cell>
          <cell r="O518">
            <v>49050</v>
          </cell>
          <cell r="P518">
            <v>9660</v>
          </cell>
        </row>
        <row r="519">
          <cell r="A519">
            <v>1</v>
          </cell>
          <cell r="B519">
            <v>8830620</v>
          </cell>
          <cell r="C519">
            <v>883062000</v>
          </cell>
          <cell r="I519">
            <v>1295496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786510</v>
          </cell>
          <cell r="O519">
            <v>508986</v>
          </cell>
          <cell r="P519">
            <v>0</v>
          </cell>
        </row>
        <row r="520">
          <cell r="A520">
            <v>1</v>
          </cell>
          <cell r="B520">
            <v>8830621</v>
          </cell>
          <cell r="C520">
            <v>883062100</v>
          </cell>
          <cell r="I520">
            <v>428095489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428095489</v>
          </cell>
          <cell r="O520">
            <v>0</v>
          </cell>
          <cell r="P520">
            <v>0</v>
          </cell>
        </row>
        <row r="521">
          <cell r="A521">
            <v>1</v>
          </cell>
          <cell r="B521">
            <v>8830623</v>
          </cell>
          <cell r="C521">
            <v>883062300</v>
          </cell>
          <cell r="I521">
            <v>166478038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166478038</v>
          </cell>
          <cell r="O521">
            <v>0</v>
          </cell>
          <cell r="P521">
            <v>0</v>
          </cell>
        </row>
        <row r="522">
          <cell r="A522">
            <v>1</v>
          </cell>
          <cell r="B522">
            <v>8830624</v>
          </cell>
          <cell r="C522">
            <v>883062400</v>
          </cell>
          <cell r="I522">
            <v>50100458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50100458</v>
          </cell>
          <cell r="O522">
            <v>0</v>
          </cell>
          <cell r="P522">
            <v>0</v>
          </cell>
        </row>
        <row r="523">
          <cell r="A523">
            <v>1</v>
          </cell>
          <cell r="B523">
            <v>8830625</v>
          </cell>
          <cell r="C523">
            <v>883062500</v>
          </cell>
          <cell r="I523">
            <v>25190000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25190000</v>
          </cell>
          <cell r="O523">
            <v>0</v>
          </cell>
          <cell r="P523">
            <v>0</v>
          </cell>
        </row>
        <row r="524">
          <cell r="A524">
            <v>1</v>
          </cell>
          <cell r="B524">
            <v>8830626</v>
          </cell>
          <cell r="C524">
            <v>883062600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A525">
            <v>1</v>
          </cell>
          <cell r="B525">
            <v>8830628</v>
          </cell>
          <cell r="C525">
            <v>883062866</v>
          </cell>
          <cell r="I525">
            <v>383761300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383761300</v>
          </cell>
          <cell r="O525">
            <v>0</v>
          </cell>
          <cell r="P525">
            <v>0</v>
          </cell>
        </row>
        <row r="526">
          <cell r="A526">
            <v>1</v>
          </cell>
          <cell r="B526">
            <v>8830628</v>
          </cell>
          <cell r="C526">
            <v>883062867</v>
          </cell>
          <cell r="I526">
            <v>28445230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28445230</v>
          </cell>
          <cell r="O526">
            <v>0</v>
          </cell>
          <cell r="P526">
            <v>0</v>
          </cell>
        </row>
        <row r="527">
          <cell r="A527">
            <v>1</v>
          </cell>
          <cell r="B527">
            <v>8830629</v>
          </cell>
          <cell r="C527">
            <v>883062900</v>
          </cell>
          <cell r="I527">
            <v>42735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42735</v>
          </cell>
          <cell r="O527">
            <v>0</v>
          </cell>
          <cell r="P527">
            <v>0</v>
          </cell>
        </row>
        <row r="528">
          <cell r="A528">
            <v>1</v>
          </cell>
          <cell r="B528">
            <v>8830630</v>
          </cell>
          <cell r="C528">
            <v>883063000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>
            <v>1</v>
          </cell>
          <cell r="B529">
            <v>8830631</v>
          </cell>
          <cell r="C529">
            <v>883063100</v>
          </cell>
          <cell r="I529">
            <v>12205239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10201576</v>
          </cell>
          <cell r="O529">
            <v>0</v>
          </cell>
          <cell r="P529">
            <v>2003663</v>
          </cell>
        </row>
        <row r="530">
          <cell r="A530">
            <v>1</v>
          </cell>
          <cell r="B530">
            <v>8830637</v>
          </cell>
          <cell r="C530">
            <v>883063700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A531">
            <v>1</v>
          </cell>
          <cell r="B531">
            <v>8830639</v>
          </cell>
          <cell r="C531">
            <v>883063900</v>
          </cell>
          <cell r="I531">
            <v>819427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819427</v>
          </cell>
          <cell r="P531">
            <v>0</v>
          </cell>
        </row>
        <row r="532">
          <cell r="A532">
            <v>1</v>
          </cell>
          <cell r="B532">
            <v>8830640</v>
          </cell>
          <cell r="C532">
            <v>883064000</v>
          </cell>
          <cell r="I532">
            <v>311782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311782</v>
          </cell>
        </row>
        <row r="533">
          <cell r="A533">
            <v>1</v>
          </cell>
          <cell r="B533">
            <v>8830641</v>
          </cell>
          <cell r="C533">
            <v>883064100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>
            <v>1</v>
          </cell>
          <cell r="B534">
            <v>8830642</v>
          </cell>
          <cell r="C534">
            <v>883064201</v>
          </cell>
          <cell r="I534">
            <v>52591000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52591000</v>
          </cell>
        </row>
        <row r="535">
          <cell r="A535">
            <v>1</v>
          </cell>
          <cell r="B535">
            <v>8830642</v>
          </cell>
          <cell r="C535">
            <v>883064202</v>
          </cell>
          <cell r="I535">
            <v>10602000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10602000</v>
          </cell>
        </row>
        <row r="536">
          <cell r="A536">
            <v>1</v>
          </cell>
          <cell r="B536">
            <v>8830801</v>
          </cell>
          <cell r="C536">
            <v>883080102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>
            <v>1</v>
          </cell>
          <cell r="B537">
            <v>8830801</v>
          </cell>
          <cell r="C537">
            <v>883080103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>
            <v>1</v>
          </cell>
          <cell r="B538">
            <v>8830801</v>
          </cell>
          <cell r="C538">
            <v>883080104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>
            <v>1</v>
          </cell>
          <cell r="B539">
            <v>8830801</v>
          </cell>
          <cell r="C539">
            <v>883080105</v>
          </cell>
          <cell r="I539">
            <v>1115544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1115544</v>
          </cell>
        </row>
        <row r="540">
          <cell r="A540">
            <v>1</v>
          </cell>
          <cell r="B540">
            <v>8830802</v>
          </cell>
          <cell r="C540">
            <v>883080202</v>
          </cell>
          <cell r="I540">
            <v>370587446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370587446</v>
          </cell>
        </row>
        <row r="541">
          <cell r="A541">
            <v>1</v>
          </cell>
          <cell r="B541">
            <v>8830803</v>
          </cell>
          <cell r="C541">
            <v>883080301</v>
          </cell>
          <cell r="I541">
            <v>38801422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38801422</v>
          </cell>
        </row>
        <row r="542">
          <cell r="A542">
            <v>1</v>
          </cell>
          <cell r="B542">
            <v>8830803</v>
          </cell>
          <cell r="C542">
            <v>883080302</v>
          </cell>
          <cell r="I542">
            <v>14085987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14085987</v>
          </cell>
        </row>
        <row r="543">
          <cell r="A543">
            <v>1</v>
          </cell>
          <cell r="B543">
            <v>8830803</v>
          </cell>
          <cell r="C543">
            <v>883080303</v>
          </cell>
          <cell r="I543">
            <v>130536625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130536625</v>
          </cell>
        </row>
        <row r="544">
          <cell r="A544">
            <v>1</v>
          </cell>
          <cell r="B544">
            <v>8830803</v>
          </cell>
          <cell r="C544">
            <v>883080304</v>
          </cell>
          <cell r="I544">
            <v>7777220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7777220</v>
          </cell>
          <cell r="O544">
            <v>0</v>
          </cell>
          <cell r="P544">
            <v>0</v>
          </cell>
        </row>
        <row r="545">
          <cell r="A545">
            <v>1</v>
          </cell>
          <cell r="B545">
            <v>8830803</v>
          </cell>
          <cell r="C545">
            <v>883080305</v>
          </cell>
          <cell r="I545">
            <v>3340800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3340800</v>
          </cell>
        </row>
        <row r="546">
          <cell r="A546">
            <v>1</v>
          </cell>
          <cell r="B546">
            <v>8830803</v>
          </cell>
          <cell r="C546">
            <v>883080306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>
            <v>1</v>
          </cell>
          <cell r="B547">
            <v>8830803</v>
          </cell>
          <cell r="C547">
            <v>883080307</v>
          </cell>
          <cell r="I547">
            <v>23053067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23053067</v>
          </cell>
        </row>
        <row r="548">
          <cell r="A548">
            <v>1</v>
          </cell>
          <cell r="B548">
            <v>8830803</v>
          </cell>
          <cell r="C548">
            <v>883080310</v>
          </cell>
          <cell r="I548">
            <v>56494805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56494805</v>
          </cell>
        </row>
        <row r="549">
          <cell r="A549">
            <v>1</v>
          </cell>
          <cell r="B549">
            <v>8830803</v>
          </cell>
          <cell r="C549">
            <v>883080311</v>
          </cell>
          <cell r="I549">
            <v>9377739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9377739</v>
          </cell>
        </row>
        <row r="550">
          <cell r="A550">
            <v>1</v>
          </cell>
          <cell r="B550">
            <v>8830803</v>
          </cell>
          <cell r="C550">
            <v>883080312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>
            <v>1</v>
          </cell>
          <cell r="B551">
            <v>8830803</v>
          </cell>
          <cell r="C551">
            <v>883080314</v>
          </cell>
          <cell r="I551">
            <v>5765537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5765537</v>
          </cell>
        </row>
        <row r="552">
          <cell r="A552">
            <v>1</v>
          </cell>
          <cell r="B552">
            <v>8830803</v>
          </cell>
          <cell r="C552">
            <v>883080315</v>
          </cell>
          <cell r="I552">
            <v>5450000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5450000</v>
          </cell>
        </row>
        <row r="553">
          <cell r="A553">
            <v>1</v>
          </cell>
          <cell r="B553">
            <v>8830803</v>
          </cell>
          <cell r="C553">
            <v>883080316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A554">
            <v>1</v>
          </cell>
          <cell r="B554">
            <v>8830804</v>
          </cell>
          <cell r="C554">
            <v>883080401</v>
          </cell>
          <cell r="I554">
            <v>94575574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94575574</v>
          </cell>
          <cell r="P554">
            <v>0</v>
          </cell>
        </row>
        <row r="555">
          <cell r="A555">
            <v>1</v>
          </cell>
          <cell r="B555">
            <v>8830804</v>
          </cell>
          <cell r="C555">
            <v>883080402</v>
          </cell>
          <cell r="I555">
            <v>561704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561704</v>
          </cell>
        </row>
        <row r="556">
          <cell r="A556">
            <v>1</v>
          </cell>
          <cell r="B556">
            <v>8830804</v>
          </cell>
          <cell r="C556">
            <v>883080403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A557">
            <v>1</v>
          </cell>
          <cell r="B557">
            <v>8830804</v>
          </cell>
          <cell r="C557">
            <v>883080405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>
            <v>1</v>
          </cell>
          <cell r="B558">
            <v>8830804</v>
          </cell>
          <cell r="C558">
            <v>883080406</v>
          </cell>
          <cell r="I558">
            <v>231109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231109</v>
          </cell>
          <cell r="P558">
            <v>0</v>
          </cell>
        </row>
        <row r="559">
          <cell r="A559">
            <v>1</v>
          </cell>
          <cell r="B559">
            <v>8830804</v>
          </cell>
          <cell r="C559">
            <v>883080407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A560">
            <v>1</v>
          </cell>
          <cell r="B560">
            <v>8830804</v>
          </cell>
          <cell r="C560">
            <v>883080408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A561">
            <v>1</v>
          </cell>
          <cell r="B561">
            <v>8830804</v>
          </cell>
          <cell r="C561">
            <v>883080410</v>
          </cell>
          <cell r="I561">
            <v>35707068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35707068</v>
          </cell>
          <cell r="P561">
            <v>0</v>
          </cell>
        </row>
        <row r="562">
          <cell r="A562">
            <v>1</v>
          </cell>
          <cell r="B562">
            <v>8830804</v>
          </cell>
          <cell r="C562">
            <v>883080411</v>
          </cell>
          <cell r="I562">
            <v>4026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4026</v>
          </cell>
          <cell r="P562">
            <v>0</v>
          </cell>
        </row>
        <row r="563">
          <cell r="A563">
            <v>1</v>
          </cell>
          <cell r="B563">
            <v>8830805</v>
          </cell>
          <cell r="C563">
            <v>883080500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A564">
            <v>1</v>
          </cell>
          <cell r="B564">
            <v>8830807</v>
          </cell>
          <cell r="C564">
            <v>883080700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>
            <v>1</v>
          </cell>
          <cell r="B565">
            <v>8830808</v>
          </cell>
          <cell r="C565">
            <v>883080800</v>
          </cell>
          <cell r="I565">
            <v>45200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45200</v>
          </cell>
          <cell r="O565">
            <v>0</v>
          </cell>
          <cell r="P565">
            <v>0</v>
          </cell>
        </row>
        <row r="566">
          <cell r="A566">
            <v>1</v>
          </cell>
          <cell r="B566">
            <v>8830810</v>
          </cell>
          <cell r="C566">
            <v>883081001</v>
          </cell>
          <cell r="I566">
            <v>6600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6600</v>
          </cell>
          <cell r="O566">
            <v>0</v>
          </cell>
          <cell r="P566">
            <v>0</v>
          </cell>
        </row>
        <row r="567">
          <cell r="A567">
            <v>1</v>
          </cell>
          <cell r="B567">
            <v>8830810</v>
          </cell>
          <cell r="C567">
            <v>883081002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A568">
            <v>1</v>
          </cell>
          <cell r="B568">
            <v>8830810</v>
          </cell>
          <cell r="C568">
            <v>883081003</v>
          </cell>
          <cell r="I568">
            <v>24960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24960</v>
          </cell>
          <cell r="O568">
            <v>0</v>
          </cell>
          <cell r="P568">
            <v>0</v>
          </cell>
        </row>
        <row r="569">
          <cell r="A569">
            <v>1</v>
          </cell>
          <cell r="B569">
            <v>8830813</v>
          </cell>
          <cell r="C569">
            <v>883081300</v>
          </cell>
          <cell r="I569">
            <v>14320191</v>
          </cell>
          <cell r="J569">
            <v>0</v>
          </cell>
          <cell r="K569">
            <v>0</v>
          </cell>
          <cell r="L569">
            <v>0</v>
          </cell>
          <cell r="M569">
            <v>144600</v>
          </cell>
          <cell r="N569">
            <v>14175591</v>
          </cell>
          <cell r="O569">
            <v>0</v>
          </cell>
          <cell r="P569">
            <v>0</v>
          </cell>
        </row>
        <row r="570">
          <cell r="A570">
            <v>1</v>
          </cell>
          <cell r="B570">
            <v>8830814</v>
          </cell>
          <cell r="C570">
            <v>883081400</v>
          </cell>
          <cell r="I570">
            <v>333066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333066</v>
          </cell>
          <cell r="O570">
            <v>0</v>
          </cell>
          <cell r="P570">
            <v>0</v>
          </cell>
        </row>
        <row r="571">
          <cell r="A571">
            <v>1</v>
          </cell>
          <cell r="B571">
            <v>8830815</v>
          </cell>
          <cell r="C571">
            <v>883081500</v>
          </cell>
          <cell r="I571">
            <v>12953428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12953428</v>
          </cell>
          <cell r="O571">
            <v>0</v>
          </cell>
          <cell r="P571">
            <v>0</v>
          </cell>
        </row>
        <row r="572">
          <cell r="A572">
            <v>1</v>
          </cell>
          <cell r="B572">
            <v>8830817</v>
          </cell>
          <cell r="C572">
            <v>883081700</v>
          </cell>
          <cell r="I572">
            <v>2514300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2514300</v>
          </cell>
          <cell r="O572">
            <v>0</v>
          </cell>
          <cell r="P572">
            <v>0</v>
          </cell>
        </row>
        <row r="573">
          <cell r="A573">
            <v>1</v>
          </cell>
          <cell r="B573">
            <v>8830819</v>
          </cell>
          <cell r="C573">
            <v>883081900</v>
          </cell>
          <cell r="I573">
            <v>268755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256855</v>
          </cell>
          <cell r="O573">
            <v>11900</v>
          </cell>
          <cell r="P573">
            <v>0</v>
          </cell>
        </row>
        <row r="574">
          <cell r="A574">
            <v>1</v>
          </cell>
          <cell r="B574">
            <v>8830820</v>
          </cell>
          <cell r="C574">
            <v>883082000</v>
          </cell>
          <cell r="I574">
            <v>1481824</v>
          </cell>
          <cell r="J574">
            <v>0</v>
          </cell>
          <cell r="K574">
            <v>0</v>
          </cell>
          <cell r="L574">
            <v>518400</v>
          </cell>
          <cell r="M574">
            <v>0</v>
          </cell>
          <cell r="N574">
            <v>963424</v>
          </cell>
          <cell r="O574">
            <v>0</v>
          </cell>
          <cell r="P574">
            <v>0</v>
          </cell>
        </row>
        <row r="575">
          <cell r="A575">
            <v>1</v>
          </cell>
          <cell r="B575">
            <v>8830821</v>
          </cell>
          <cell r="C575">
            <v>883082100</v>
          </cell>
          <cell r="I575">
            <v>3225357455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3225357455</v>
          </cell>
          <cell r="O575">
            <v>0</v>
          </cell>
          <cell r="P575">
            <v>0</v>
          </cell>
        </row>
        <row r="576">
          <cell r="A576">
            <v>1</v>
          </cell>
          <cell r="B576">
            <v>8830823</v>
          </cell>
          <cell r="C576">
            <v>883082300</v>
          </cell>
          <cell r="I576">
            <v>216228011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216228011</v>
          </cell>
          <cell r="O576">
            <v>0</v>
          </cell>
          <cell r="P576">
            <v>0</v>
          </cell>
        </row>
        <row r="577">
          <cell r="A577">
            <v>1</v>
          </cell>
          <cell r="B577">
            <v>8830824</v>
          </cell>
          <cell r="C577">
            <v>883082400</v>
          </cell>
          <cell r="I577">
            <v>44165778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44165778</v>
          </cell>
          <cell r="O577">
            <v>0</v>
          </cell>
          <cell r="P577">
            <v>0</v>
          </cell>
        </row>
        <row r="578">
          <cell r="A578">
            <v>1</v>
          </cell>
          <cell r="B578">
            <v>8830825</v>
          </cell>
          <cell r="C578">
            <v>883082500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A579">
            <v>1</v>
          </cell>
          <cell r="B579">
            <v>8830826</v>
          </cell>
          <cell r="C579">
            <v>883082600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</row>
        <row r="580">
          <cell r="A580">
            <v>1</v>
          </cell>
          <cell r="B580">
            <v>8830828</v>
          </cell>
          <cell r="C580">
            <v>883082866</v>
          </cell>
          <cell r="I580">
            <v>514598231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514598231</v>
          </cell>
          <cell r="O580">
            <v>0</v>
          </cell>
          <cell r="P580">
            <v>0</v>
          </cell>
        </row>
        <row r="581">
          <cell r="A581">
            <v>1</v>
          </cell>
          <cell r="B581">
            <v>8830828</v>
          </cell>
          <cell r="C581">
            <v>883082867</v>
          </cell>
          <cell r="I581">
            <v>270270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270270</v>
          </cell>
          <cell r="O581">
            <v>0</v>
          </cell>
          <cell r="P581">
            <v>0</v>
          </cell>
        </row>
        <row r="582">
          <cell r="A582">
            <v>1</v>
          </cell>
          <cell r="B582">
            <v>8830829</v>
          </cell>
          <cell r="C582">
            <v>883082900</v>
          </cell>
          <cell r="I582">
            <v>82462216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82462216</v>
          </cell>
          <cell r="O582">
            <v>0</v>
          </cell>
          <cell r="P582">
            <v>0</v>
          </cell>
        </row>
        <row r="583">
          <cell r="A583">
            <v>1</v>
          </cell>
          <cell r="B583">
            <v>8830830</v>
          </cell>
          <cell r="C583">
            <v>883083000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A584">
            <v>1</v>
          </cell>
          <cell r="B584">
            <v>8830831</v>
          </cell>
          <cell r="C584">
            <v>883083100</v>
          </cell>
          <cell r="I584">
            <v>1598889696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1596158815</v>
          </cell>
          <cell r="O584">
            <v>15600</v>
          </cell>
          <cell r="P584">
            <v>2715281</v>
          </cell>
        </row>
        <row r="585">
          <cell r="A585">
            <v>1</v>
          </cell>
          <cell r="B585">
            <v>8830837</v>
          </cell>
          <cell r="C585">
            <v>883083700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A586">
            <v>1</v>
          </cell>
          <cell r="B586">
            <v>8830839</v>
          </cell>
          <cell r="C586">
            <v>883083900</v>
          </cell>
          <cell r="I586">
            <v>123910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123910</v>
          </cell>
          <cell r="P586">
            <v>0</v>
          </cell>
        </row>
        <row r="587">
          <cell r="A587">
            <v>1</v>
          </cell>
          <cell r="B587">
            <v>8830840</v>
          </cell>
          <cell r="C587">
            <v>883084000</v>
          </cell>
          <cell r="I587">
            <v>31300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31300</v>
          </cell>
        </row>
        <row r="588">
          <cell r="A588">
            <v>1</v>
          </cell>
          <cell r="B588">
            <v>8830841</v>
          </cell>
          <cell r="C588">
            <v>883084100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>
            <v>1</v>
          </cell>
          <cell r="B589">
            <v>8830842</v>
          </cell>
          <cell r="C589">
            <v>883084201</v>
          </cell>
          <cell r="I589">
            <v>38404000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38404000</v>
          </cell>
        </row>
        <row r="590">
          <cell r="A590">
            <v>1</v>
          </cell>
          <cell r="B590">
            <v>8830842</v>
          </cell>
          <cell r="C590">
            <v>883084202</v>
          </cell>
          <cell r="I590">
            <v>7759000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7759000</v>
          </cell>
        </row>
        <row r="591">
          <cell r="A591">
            <v>1</v>
          </cell>
          <cell r="B591">
            <v>8831001</v>
          </cell>
          <cell r="C591">
            <v>883100102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>
            <v>1</v>
          </cell>
          <cell r="B592">
            <v>8831001</v>
          </cell>
          <cell r="C592">
            <v>883100103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>
            <v>1</v>
          </cell>
          <cell r="B593">
            <v>8831001</v>
          </cell>
          <cell r="C593">
            <v>883100104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A594">
            <v>1</v>
          </cell>
          <cell r="B594">
            <v>8831001</v>
          </cell>
          <cell r="C594">
            <v>883100105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A595">
            <v>1</v>
          </cell>
          <cell r="B595">
            <v>8831002</v>
          </cell>
          <cell r="C595">
            <v>883100202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A596">
            <v>1</v>
          </cell>
          <cell r="B596">
            <v>8831003</v>
          </cell>
          <cell r="C596">
            <v>883100301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A597">
            <v>1</v>
          </cell>
          <cell r="B597">
            <v>8831003</v>
          </cell>
          <cell r="C597">
            <v>883100302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>
            <v>1</v>
          </cell>
          <cell r="B598">
            <v>8831003</v>
          </cell>
          <cell r="C598">
            <v>883100303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A599">
            <v>1</v>
          </cell>
          <cell r="B599">
            <v>8831003</v>
          </cell>
          <cell r="C599">
            <v>883100304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>
            <v>1</v>
          </cell>
          <cell r="B600">
            <v>8831003</v>
          </cell>
          <cell r="C600">
            <v>883100305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A601">
            <v>1</v>
          </cell>
          <cell r="B601">
            <v>8831003</v>
          </cell>
          <cell r="C601">
            <v>883100306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A602">
            <v>1</v>
          </cell>
          <cell r="B602">
            <v>8831003</v>
          </cell>
          <cell r="C602">
            <v>883100307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A603">
            <v>1</v>
          </cell>
          <cell r="B603">
            <v>8831003</v>
          </cell>
          <cell r="C603">
            <v>883100310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A604">
            <v>1</v>
          </cell>
          <cell r="B604">
            <v>8831003</v>
          </cell>
          <cell r="C604">
            <v>883100311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</row>
        <row r="605">
          <cell r="A605">
            <v>1</v>
          </cell>
          <cell r="B605">
            <v>8831003</v>
          </cell>
          <cell r="C605">
            <v>883100314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>
            <v>1</v>
          </cell>
          <cell r="B606">
            <v>8831003</v>
          </cell>
          <cell r="C606">
            <v>883100315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>
            <v>1</v>
          </cell>
          <cell r="B607">
            <v>8831004</v>
          </cell>
          <cell r="C607">
            <v>883100401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>
            <v>1</v>
          </cell>
          <cell r="B608">
            <v>8831004</v>
          </cell>
          <cell r="C608">
            <v>883100402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</row>
        <row r="609">
          <cell r="A609">
            <v>1</v>
          </cell>
          <cell r="B609">
            <v>8831004</v>
          </cell>
          <cell r="C609">
            <v>883100403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A610">
            <v>1</v>
          </cell>
          <cell r="B610">
            <v>8831004</v>
          </cell>
          <cell r="C610">
            <v>883100405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>
            <v>1</v>
          </cell>
          <cell r="B611">
            <v>8831004</v>
          </cell>
          <cell r="C611">
            <v>883100406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A612">
            <v>1</v>
          </cell>
          <cell r="B612">
            <v>8831004</v>
          </cell>
          <cell r="C612">
            <v>883100407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A613">
            <v>1</v>
          </cell>
          <cell r="B613">
            <v>8831004</v>
          </cell>
          <cell r="C613">
            <v>883100408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A614">
            <v>1</v>
          </cell>
          <cell r="B614">
            <v>8831004</v>
          </cell>
          <cell r="C614">
            <v>883100410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</row>
        <row r="615">
          <cell r="A615">
            <v>1</v>
          </cell>
          <cell r="B615">
            <v>8831005</v>
          </cell>
          <cell r="C615">
            <v>883100500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A616">
            <v>1</v>
          </cell>
          <cell r="B616">
            <v>8831007</v>
          </cell>
          <cell r="C616">
            <v>883100700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>
            <v>1</v>
          </cell>
          <cell r="B617">
            <v>8831008</v>
          </cell>
          <cell r="C617">
            <v>883100800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>
            <v>1</v>
          </cell>
          <cell r="B618">
            <v>8831010</v>
          </cell>
          <cell r="C618">
            <v>883101001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>
            <v>1</v>
          </cell>
          <cell r="B619">
            <v>8831010</v>
          </cell>
          <cell r="C619">
            <v>883101002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>
            <v>1</v>
          </cell>
          <cell r="B620">
            <v>8831010</v>
          </cell>
          <cell r="C620">
            <v>883101003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>
            <v>1</v>
          </cell>
          <cell r="B621">
            <v>8831013</v>
          </cell>
          <cell r="C621">
            <v>883101300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>
            <v>1</v>
          </cell>
          <cell r="B622">
            <v>8831014</v>
          </cell>
          <cell r="C622">
            <v>883101400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>
            <v>1</v>
          </cell>
          <cell r="B623">
            <v>8831015</v>
          </cell>
          <cell r="C623">
            <v>883101500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>
            <v>1</v>
          </cell>
          <cell r="B624">
            <v>8831017</v>
          </cell>
          <cell r="C624">
            <v>883101700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>
            <v>1</v>
          </cell>
          <cell r="B625">
            <v>8831019</v>
          </cell>
          <cell r="C625">
            <v>883101900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>
            <v>1</v>
          </cell>
          <cell r="B626">
            <v>8831020</v>
          </cell>
          <cell r="C626">
            <v>883102000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A627">
            <v>1</v>
          </cell>
          <cell r="B627">
            <v>8831021</v>
          </cell>
          <cell r="C627">
            <v>883102100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A628">
            <v>1</v>
          </cell>
          <cell r="B628">
            <v>8831023</v>
          </cell>
          <cell r="C628">
            <v>883102300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A629">
            <v>1</v>
          </cell>
          <cell r="B629">
            <v>8831024</v>
          </cell>
          <cell r="C629">
            <v>883102400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</row>
        <row r="630">
          <cell r="A630">
            <v>1</v>
          </cell>
          <cell r="B630">
            <v>8831025</v>
          </cell>
          <cell r="C630">
            <v>883102500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>
            <v>1</v>
          </cell>
          <cell r="B631">
            <v>8831026</v>
          </cell>
          <cell r="C631">
            <v>883102600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A632">
            <v>1</v>
          </cell>
          <cell r="B632">
            <v>8831028</v>
          </cell>
          <cell r="C632">
            <v>883102866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>
            <v>1</v>
          </cell>
          <cell r="B633">
            <v>8831028</v>
          </cell>
          <cell r="C633">
            <v>883102867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A634">
            <v>1</v>
          </cell>
          <cell r="B634">
            <v>8831029</v>
          </cell>
          <cell r="C634">
            <v>883102900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>
            <v>1</v>
          </cell>
          <cell r="B635">
            <v>8831030</v>
          </cell>
          <cell r="C635">
            <v>883103000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>
            <v>1</v>
          </cell>
          <cell r="B636">
            <v>8831031</v>
          </cell>
          <cell r="C636">
            <v>883103100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A637">
            <v>1</v>
          </cell>
          <cell r="B637">
            <v>8831037</v>
          </cell>
          <cell r="C637">
            <v>883103700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A638">
            <v>1</v>
          </cell>
          <cell r="B638">
            <v>8831039</v>
          </cell>
          <cell r="C638">
            <v>883103900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>
            <v>1</v>
          </cell>
          <cell r="B639">
            <v>8831040</v>
          </cell>
          <cell r="C639">
            <v>883104000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A640">
            <v>1</v>
          </cell>
          <cell r="B640">
            <v>8831041</v>
          </cell>
          <cell r="C640">
            <v>883104100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A641">
            <v>1</v>
          </cell>
          <cell r="B641">
            <v>8831201</v>
          </cell>
          <cell r="C641">
            <v>883120102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>
            <v>1</v>
          </cell>
          <cell r="B642">
            <v>8831201</v>
          </cell>
          <cell r="C642">
            <v>883120103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A643">
            <v>1</v>
          </cell>
          <cell r="B643">
            <v>8831201</v>
          </cell>
          <cell r="C643">
            <v>883120104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>
            <v>1</v>
          </cell>
          <cell r="B644">
            <v>8831201</v>
          </cell>
          <cell r="C644">
            <v>883120105</v>
          </cell>
          <cell r="I644">
            <v>19274556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19274556</v>
          </cell>
        </row>
        <row r="645">
          <cell r="A645">
            <v>1</v>
          </cell>
          <cell r="B645">
            <v>8831202</v>
          </cell>
          <cell r="C645">
            <v>883120202</v>
          </cell>
          <cell r="I645">
            <v>22985320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22985320</v>
          </cell>
        </row>
        <row r="646">
          <cell r="A646">
            <v>1</v>
          </cell>
          <cell r="B646">
            <v>8831203</v>
          </cell>
          <cell r="C646">
            <v>883120301</v>
          </cell>
          <cell r="I646">
            <v>2305456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2305456</v>
          </cell>
        </row>
        <row r="647">
          <cell r="A647">
            <v>1</v>
          </cell>
          <cell r="B647">
            <v>8831203</v>
          </cell>
          <cell r="C647">
            <v>883120302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</row>
        <row r="648">
          <cell r="A648">
            <v>1</v>
          </cell>
          <cell r="B648">
            <v>8831203</v>
          </cell>
          <cell r="C648">
            <v>883120303</v>
          </cell>
          <cell r="I648">
            <v>9621019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9621019</v>
          </cell>
        </row>
        <row r="649">
          <cell r="A649">
            <v>1</v>
          </cell>
          <cell r="B649">
            <v>8831203</v>
          </cell>
          <cell r="C649">
            <v>883120304</v>
          </cell>
          <cell r="I649">
            <v>517080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517080</v>
          </cell>
          <cell r="O649">
            <v>0</v>
          </cell>
          <cell r="P649">
            <v>0</v>
          </cell>
        </row>
        <row r="650">
          <cell r="A650">
            <v>1</v>
          </cell>
          <cell r="B650">
            <v>8831203</v>
          </cell>
          <cell r="C650">
            <v>883120305</v>
          </cell>
          <cell r="I650">
            <v>69600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69600</v>
          </cell>
        </row>
        <row r="651">
          <cell r="A651">
            <v>1</v>
          </cell>
          <cell r="B651">
            <v>8831203</v>
          </cell>
          <cell r="C651">
            <v>883120306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A652">
            <v>1</v>
          </cell>
          <cell r="B652">
            <v>8831203</v>
          </cell>
          <cell r="C652">
            <v>883120307</v>
          </cell>
          <cell r="I652">
            <v>383622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383622</v>
          </cell>
        </row>
        <row r="653">
          <cell r="A653">
            <v>1</v>
          </cell>
          <cell r="B653">
            <v>8831203</v>
          </cell>
          <cell r="C653">
            <v>883120310</v>
          </cell>
          <cell r="I653">
            <v>1478667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1478667</v>
          </cell>
        </row>
        <row r="654">
          <cell r="A654">
            <v>1</v>
          </cell>
          <cell r="B654">
            <v>8831203</v>
          </cell>
          <cell r="C654">
            <v>883120311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A655">
            <v>1</v>
          </cell>
          <cell r="B655">
            <v>8831203</v>
          </cell>
          <cell r="C655">
            <v>883120314</v>
          </cell>
          <cell r="I655">
            <v>324000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324000</v>
          </cell>
        </row>
        <row r="656">
          <cell r="A656">
            <v>1</v>
          </cell>
          <cell r="B656">
            <v>8831203</v>
          </cell>
          <cell r="C656">
            <v>883120315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A657">
            <v>1</v>
          </cell>
          <cell r="B657">
            <v>8831204</v>
          </cell>
          <cell r="C657">
            <v>883120401</v>
          </cell>
          <cell r="I657">
            <v>2319119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2319119</v>
          </cell>
          <cell r="P657">
            <v>0</v>
          </cell>
        </row>
        <row r="658">
          <cell r="A658">
            <v>1</v>
          </cell>
          <cell r="B658">
            <v>8831204</v>
          </cell>
          <cell r="C658">
            <v>883120402</v>
          </cell>
          <cell r="I658">
            <v>60748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60748</v>
          </cell>
        </row>
        <row r="659">
          <cell r="A659">
            <v>1</v>
          </cell>
          <cell r="B659">
            <v>8831204</v>
          </cell>
          <cell r="C659">
            <v>883120403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A660">
            <v>1</v>
          </cell>
          <cell r="B660">
            <v>8831204</v>
          </cell>
          <cell r="C660">
            <v>883120405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A661">
            <v>1</v>
          </cell>
          <cell r="B661">
            <v>8831204</v>
          </cell>
          <cell r="C661">
            <v>883120406</v>
          </cell>
          <cell r="I661">
            <v>405632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405632</v>
          </cell>
          <cell r="P661">
            <v>0</v>
          </cell>
        </row>
        <row r="662">
          <cell r="A662">
            <v>1</v>
          </cell>
          <cell r="B662">
            <v>8831204</v>
          </cell>
          <cell r="C662">
            <v>883120407</v>
          </cell>
          <cell r="I662">
            <v>3606933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3606933</v>
          </cell>
          <cell r="P662">
            <v>0</v>
          </cell>
        </row>
        <row r="663">
          <cell r="A663">
            <v>1</v>
          </cell>
          <cell r="B663">
            <v>8831204</v>
          </cell>
          <cell r="C663">
            <v>883120408</v>
          </cell>
          <cell r="I663">
            <v>142269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142269</v>
          </cell>
          <cell r="P663">
            <v>0</v>
          </cell>
        </row>
        <row r="664">
          <cell r="A664">
            <v>1</v>
          </cell>
          <cell r="B664">
            <v>8831204</v>
          </cell>
          <cell r="C664">
            <v>883120410</v>
          </cell>
          <cell r="I664">
            <v>2984624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2984624</v>
          </cell>
          <cell r="P664">
            <v>0</v>
          </cell>
        </row>
        <row r="665">
          <cell r="A665">
            <v>1</v>
          </cell>
          <cell r="B665">
            <v>8831204</v>
          </cell>
          <cell r="C665">
            <v>883120411</v>
          </cell>
          <cell r="I665">
            <v>73529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73529</v>
          </cell>
          <cell r="P665">
            <v>0</v>
          </cell>
        </row>
        <row r="666">
          <cell r="A666">
            <v>1</v>
          </cell>
          <cell r="B666">
            <v>8831205</v>
          </cell>
          <cell r="C666">
            <v>883120500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A667">
            <v>1</v>
          </cell>
          <cell r="B667">
            <v>8831207</v>
          </cell>
          <cell r="C667">
            <v>883120700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A668">
            <v>1</v>
          </cell>
          <cell r="B668">
            <v>8831208</v>
          </cell>
          <cell r="C668">
            <v>883120800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A669">
            <v>1</v>
          </cell>
          <cell r="B669">
            <v>8831210</v>
          </cell>
          <cell r="C669">
            <v>883121001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A670">
            <v>1</v>
          </cell>
          <cell r="B670">
            <v>8831210</v>
          </cell>
          <cell r="C670">
            <v>883121002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A671">
            <v>1</v>
          </cell>
          <cell r="B671">
            <v>8831210</v>
          </cell>
          <cell r="C671">
            <v>883121003</v>
          </cell>
          <cell r="I671">
            <v>957480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957480</v>
          </cell>
          <cell r="O671">
            <v>0</v>
          </cell>
          <cell r="P671">
            <v>0</v>
          </cell>
        </row>
        <row r="672">
          <cell r="A672">
            <v>1</v>
          </cell>
          <cell r="B672">
            <v>8831213</v>
          </cell>
          <cell r="C672">
            <v>883121300</v>
          </cell>
          <cell r="I672">
            <v>524214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524214</v>
          </cell>
          <cell r="O672">
            <v>0</v>
          </cell>
          <cell r="P672">
            <v>0</v>
          </cell>
        </row>
        <row r="673">
          <cell r="A673">
            <v>1</v>
          </cell>
          <cell r="B673">
            <v>8831214</v>
          </cell>
          <cell r="C673">
            <v>883121400</v>
          </cell>
          <cell r="I673">
            <v>14678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14678</v>
          </cell>
          <cell r="O673">
            <v>0</v>
          </cell>
          <cell r="P673">
            <v>0</v>
          </cell>
        </row>
        <row r="674">
          <cell r="A674">
            <v>1</v>
          </cell>
          <cell r="B674">
            <v>8831215</v>
          </cell>
          <cell r="C674">
            <v>883121500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A675">
            <v>1</v>
          </cell>
          <cell r="B675">
            <v>8831217</v>
          </cell>
          <cell r="C675">
            <v>883121700</v>
          </cell>
          <cell r="I675">
            <v>265731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265731</v>
          </cell>
          <cell r="O675">
            <v>0</v>
          </cell>
          <cell r="P675">
            <v>0</v>
          </cell>
        </row>
        <row r="676">
          <cell r="A676">
            <v>1</v>
          </cell>
          <cell r="B676">
            <v>8831219</v>
          </cell>
          <cell r="C676">
            <v>883121900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>
            <v>1</v>
          </cell>
          <cell r="B677">
            <v>8831220</v>
          </cell>
          <cell r="C677">
            <v>883122000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A678">
            <v>1</v>
          </cell>
          <cell r="B678">
            <v>8831221</v>
          </cell>
          <cell r="C678">
            <v>883122100</v>
          </cell>
          <cell r="I678">
            <v>16474337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16474337</v>
          </cell>
          <cell r="O678">
            <v>0</v>
          </cell>
          <cell r="P678">
            <v>0</v>
          </cell>
        </row>
        <row r="679">
          <cell r="A679">
            <v>1</v>
          </cell>
          <cell r="B679">
            <v>8831223</v>
          </cell>
          <cell r="C679">
            <v>883122300</v>
          </cell>
          <cell r="I679">
            <v>116949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116949</v>
          </cell>
          <cell r="O679">
            <v>0</v>
          </cell>
          <cell r="P679">
            <v>0</v>
          </cell>
        </row>
        <row r="680">
          <cell r="A680">
            <v>1</v>
          </cell>
          <cell r="B680">
            <v>8831224</v>
          </cell>
          <cell r="C680">
            <v>883122400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A681">
            <v>1</v>
          </cell>
          <cell r="B681">
            <v>8831225</v>
          </cell>
          <cell r="C681">
            <v>883122500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>
            <v>1</v>
          </cell>
          <cell r="B682">
            <v>8831228</v>
          </cell>
          <cell r="C682">
            <v>883122866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A683">
            <v>1</v>
          </cell>
          <cell r="B683">
            <v>8831228</v>
          </cell>
          <cell r="C683">
            <v>883122867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A684">
            <v>1</v>
          </cell>
          <cell r="B684">
            <v>8831229</v>
          </cell>
          <cell r="C684">
            <v>883122900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A685">
            <v>1</v>
          </cell>
          <cell r="B685">
            <v>8831230</v>
          </cell>
          <cell r="C685">
            <v>883123000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A686">
            <v>1</v>
          </cell>
          <cell r="B686">
            <v>8831231</v>
          </cell>
          <cell r="C686">
            <v>883123100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A687">
            <v>1</v>
          </cell>
          <cell r="B687">
            <v>8831237</v>
          </cell>
          <cell r="C687">
            <v>883123700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A688">
            <v>1</v>
          </cell>
          <cell r="B688">
            <v>8831239</v>
          </cell>
          <cell r="C688">
            <v>883123900</v>
          </cell>
          <cell r="I688">
            <v>81986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81986</v>
          </cell>
          <cell r="P688">
            <v>0</v>
          </cell>
        </row>
        <row r="689">
          <cell r="A689">
            <v>1</v>
          </cell>
          <cell r="B689">
            <v>8831240</v>
          </cell>
          <cell r="C689">
            <v>883124000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A690">
            <v>1</v>
          </cell>
          <cell r="B690">
            <v>8831241</v>
          </cell>
          <cell r="C690">
            <v>883124100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</row>
        <row r="691">
          <cell r="A691">
            <v>1</v>
          </cell>
          <cell r="B691">
            <v>8831242</v>
          </cell>
          <cell r="C691">
            <v>883124201</v>
          </cell>
          <cell r="I691">
            <v>3295000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3295000</v>
          </cell>
        </row>
        <row r="692">
          <cell r="A692">
            <v>1</v>
          </cell>
          <cell r="B692">
            <v>8831242</v>
          </cell>
          <cell r="C692">
            <v>883124202</v>
          </cell>
          <cell r="I692">
            <v>567000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567000</v>
          </cell>
        </row>
        <row r="693">
          <cell r="A693">
            <v>1</v>
          </cell>
          <cell r="B693">
            <v>8831301</v>
          </cell>
          <cell r="C693">
            <v>883130102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>
            <v>1</v>
          </cell>
          <cell r="B694">
            <v>8831301</v>
          </cell>
          <cell r="C694">
            <v>883130103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>
            <v>1</v>
          </cell>
          <cell r="B695">
            <v>8831301</v>
          </cell>
          <cell r="C695">
            <v>883130104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A696">
            <v>1</v>
          </cell>
          <cell r="B696">
            <v>8831301</v>
          </cell>
          <cell r="C696">
            <v>883130105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A697">
            <v>1</v>
          </cell>
          <cell r="B697">
            <v>8831302</v>
          </cell>
          <cell r="C697">
            <v>883130202</v>
          </cell>
          <cell r="I697">
            <v>4418400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4418400</v>
          </cell>
        </row>
        <row r="698">
          <cell r="A698">
            <v>1</v>
          </cell>
          <cell r="B698">
            <v>8831303</v>
          </cell>
          <cell r="C698">
            <v>883130301</v>
          </cell>
          <cell r="I698">
            <v>460080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460080</v>
          </cell>
        </row>
        <row r="699">
          <cell r="A699">
            <v>1</v>
          </cell>
          <cell r="B699">
            <v>8831303</v>
          </cell>
          <cell r="C699">
            <v>883130302</v>
          </cell>
          <cell r="I699">
            <v>182400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182400</v>
          </cell>
        </row>
        <row r="700">
          <cell r="A700">
            <v>1</v>
          </cell>
          <cell r="B700">
            <v>8831303</v>
          </cell>
          <cell r="C700">
            <v>883130303</v>
          </cell>
          <cell r="I700">
            <v>1581823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1581823</v>
          </cell>
        </row>
        <row r="701">
          <cell r="A701">
            <v>1</v>
          </cell>
          <cell r="B701">
            <v>8831303</v>
          </cell>
          <cell r="C701">
            <v>883130304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A702">
            <v>1</v>
          </cell>
          <cell r="B702">
            <v>8831303</v>
          </cell>
          <cell r="C702">
            <v>883130305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A703">
            <v>1</v>
          </cell>
          <cell r="B703">
            <v>8831303</v>
          </cell>
          <cell r="C703">
            <v>883130306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A704">
            <v>1</v>
          </cell>
          <cell r="B704">
            <v>8831303</v>
          </cell>
          <cell r="C704">
            <v>883130307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A705">
            <v>1</v>
          </cell>
          <cell r="B705">
            <v>8831303</v>
          </cell>
          <cell r="C705">
            <v>883130310</v>
          </cell>
          <cell r="I705">
            <v>611004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611004</v>
          </cell>
        </row>
        <row r="706">
          <cell r="A706">
            <v>1</v>
          </cell>
          <cell r="B706">
            <v>8831303</v>
          </cell>
          <cell r="C706">
            <v>883130311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A707">
            <v>1</v>
          </cell>
          <cell r="B707">
            <v>8831303</v>
          </cell>
          <cell r="C707">
            <v>883130314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A708">
            <v>1</v>
          </cell>
          <cell r="B708">
            <v>8831303</v>
          </cell>
          <cell r="C708">
            <v>883130315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>
            <v>1</v>
          </cell>
          <cell r="B709">
            <v>8831304</v>
          </cell>
          <cell r="C709">
            <v>883130401</v>
          </cell>
          <cell r="I709">
            <v>1126810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1126810</v>
          </cell>
          <cell r="P709">
            <v>0</v>
          </cell>
        </row>
        <row r="710">
          <cell r="A710">
            <v>1</v>
          </cell>
          <cell r="B710">
            <v>8831304</v>
          </cell>
          <cell r="C710">
            <v>883130402</v>
          </cell>
          <cell r="I710">
            <v>6624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6624</v>
          </cell>
        </row>
        <row r="711">
          <cell r="A711">
            <v>1</v>
          </cell>
          <cell r="B711">
            <v>8831304</v>
          </cell>
          <cell r="C711">
            <v>883130403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>
            <v>1</v>
          </cell>
          <cell r="B712">
            <v>8831304</v>
          </cell>
          <cell r="C712">
            <v>883130405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>
            <v>1</v>
          </cell>
          <cell r="B713">
            <v>8831304</v>
          </cell>
          <cell r="C713">
            <v>883130406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>
            <v>1</v>
          </cell>
          <cell r="B714">
            <v>8831304</v>
          </cell>
          <cell r="C714">
            <v>883130407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A715">
            <v>1</v>
          </cell>
          <cell r="B715">
            <v>8831304</v>
          </cell>
          <cell r="C715">
            <v>883130408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A716">
            <v>1</v>
          </cell>
          <cell r="B716">
            <v>8831304</v>
          </cell>
          <cell r="C716">
            <v>883130410</v>
          </cell>
          <cell r="I716">
            <v>435839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435839</v>
          </cell>
          <cell r="P716">
            <v>0</v>
          </cell>
        </row>
        <row r="717">
          <cell r="A717">
            <v>1</v>
          </cell>
          <cell r="B717">
            <v>8831304</v>
          </cell>
          <cell r="C717">
            <v>883130411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A718">
            <v>1</v>
          </cell>
          <cell r="B718">
            <v>8831305</v>
          </cell>
          <cell r="C718">
            <v>883130500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A719">
            <v>1</v>
          </cell>
          <cell r="B719">
            <v>8831307</v>
          </cell>
          <cell r="C719">
            <v>883130700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A720">
            <v>1</v>
          </cell>
          <cell r="B720">
            <v>8831308</v>
          </cell>
          <cell r="C720">
            <v>883130800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A721">
            <v>1</v>
          </cell>
          <cell r="B721">
            <v>8831310</v>
          </cell>
          <cell r="C721">
            <v>883131001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>
            <v>1</v>
          </cell>
          <cell r="B722">
            <v>8831310</v>
          </cell>
          <cell r="C722">
            <v>883131002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A723">
            <v>1</v>
          </cell>
          <cell r="B723">
            <v>8831310</v>
          </cell>
          <cell r="C723">
            <v>883131003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>
            <v>1</v>
          </cell>
          <cell r="B724">
            <v>8831313</v>
          </cell>
          <cell r="C724">
            <v>883131300</v>
          </cell>
          <cell r="I724">
            <v>314753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314753</v>
          </cell>
          <cell r="O724">
            <v>0</v>
          </cell>
          <cell r="P724">
            <v>0</v>
          </cell>
        </row>
        <row r="725">
          <cell r="A725">
            <v>1</v>
          </cell>
          <cell r="B725">
            <v>8831314</v>
          </cell>
          <cell r="C725">
            <v>883131400</v>
          </cell>
          <cell r="I725">
            <v>205816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205816</v>
          </cell>
          <cell r="O725">
            <v>0</v>
          </cell>
          <cell r="P725">
            <v>0</v>
          </cell>
        </row>
        <row r="726">
          <cell r="A726">
            <v>1</v>
          </cell>
          <cell r="B726">
            <v>8831315</v>
          </cell>
          <cell r="C726">
            <v>883131500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>
            <v>1</v>
          </cell>
          <cell r="B727">
            <v>8831317</v>
          </cell>
          <cell r="C727">
            <v>883131700</v>
          </cell>
          <cell r="I727">
            <v>25200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25200</v>
          </cell>
          <cell r="O727">
            <v>0</v>
          </cell>
          <cell r="P727">
            <v>0</v>
          </cell>
        </row>
        <row r="728">
          <cell r="A728">
            <v>1</v>
          </cell>
          <cell r="B728">
            <v>8831319</v>
          </cell>
          <cell r="C728">
            <v>883131900</v>
          </cell>
          <cell r="I728">
            <v>31159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3839</v>
          </cell>
          <cell r="O728">
            <v>12900</v>
          </cell>
          <cell r="P728">
            <v>14420</v>
          </cell>
        </row>
        <row r="729">
          <cell r="A729">
            <v>1</v>
          </cell>
          <cell r="B729">
            <v>8831320</v>
          </cell>
          <cell r="C729">
            <v>883132000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>
            <v>1</v>
          </cell>
          <cell r="B730">
            <v>8831321</v>
          </cell>
          <cell r="C730">
            <v>883132100</v>
          </cell>
          <cell r="I730">
            <v>223630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223630</v>
          </cell>
          <cell r="O730">
            <v>0</v>
          </cell>
          <cell r="P730">
            <v>0</v>
          </cell>
        </row>
        <row r="731">
          <cell r="A731">
            <v>1</v>
          </cell>
          <cell r="B731">
            <v>8831323</v>
          </cell>
          <cell r="C731">
            <v>883132300</v>
          </cell>
          <cell r="I731">
            <v>190247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190247</v>
          </cell>
          <cell r="O731">
            <v>0</v>
          </cell>
          <cell r="P731">
            <v>0</v>
          </cell>
        </row>
        <row r="732">
          <cell r="A732">
            <v>1</v>
          </cell>
          <cell r="B732">
            <v>8831324</v>
          </cell>
          <cell r="C732">
            <v>883132400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>
            <v>1</v>
          </cell>
          <cell r="B733">
            <v>8831325</v>
          </cell>
          <cell r="C733">
            <v>883132500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>
            <v>1</v>
          </cell>
          <cell r="B734">
            <v>8831328</v>
          </cell>
          <cell r="C734">
            <v>883132866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>
            <v>1</v>
          </cell>
          <cell r="B735">
            <v>8831328</v>
          </cell>
          <cell r="C735">
            <v>883132867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A736">
            <v>1</v>
          </cell>
          <cell r="B736">
            <v>8831329</v>
          </cell>
          <cell r="C736">
            <v>883132900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A737">
            <v>1</v>
          </cell>
          <cell r="B737">
            <v>8831330</v>
          </cell>
          <cell r="C737">
            <v>883133000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A738">
            <v>1</v>
          </cell>
          <cell r="B738">
            <v>8831331</v>
          </cell>
          <cell r="C738">
            <v>883133100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A739">
            <v>1</v>
          </cell>
          <cell r="B739">
            <v>8831337</v>
          </cell>
          <cell r="C739">
            <v>883133700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A740">
            <v>1</v>
          </cell>
          <cell r="B740">
            <v>8831339</v>
          </cell>
          <cell r="C740">
            <v>883133900</v>
          </cell>
          <cell r="I740">
            <v>97074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97074</v>
          </cell>
          <cell r="P740">
            <v>0</v>
          </cell>
        </row>
        <row r="741">
          <cell r="A741">
            <v>1</v>
          </cell>
          <cell r="B741">
            <v>8831340</v>
          </cell>
          <cell r="C741">
            <v>883134000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>
            <v>1</v>
          </cell>
          <cell r="B742">
            <v>8831341</v>
          </cell>
          <cell r="C742">
            <v>883134100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A743">
            <v>1</v>
          </cell>
          <cell r="B743">
            <v>8831342</v>
          </cell>
          <cell r="C743">
            <v>883134201</v>
          </cell>
          <cell r="I743">
            <v>476000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476000</v>
          </cell>
        </row>
        <row r="744">
          <cell r="A744">
            <v>1</v>
          </cell>
          <cell r="B744">
            <v>8831342</v>
          </cell>
          <cell r="C744">
            <v>883134202</v>
          </cell>
          <cell r="I744">
            <v>97000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97000</v>
          </cell>
        </row>
        <row r="745">
          <cell r="A745">
            <v>1</v>
          </cell>
          <cell r="B745">
            <v>8831401</v>
          </cell>
          <cell r="C745">
            <v>883140102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A746">
            <v>1</v>
          </cell>
          <cell r="B746">
            <v>8831401</v>
          </cell>
          <cell r="C746">
            <v>883140103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A747">
            <v>1</v>
          </cell>
          <cell r="B747">
            <v>8831401</v>
          </cell>
          <cell r="C747">
            <v>883140104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A748">
            <v>1</v>
          </cell>
          <cell r="B748">
            <v>8831401</v>
          </cell>
          <cell r="C748">
            <v>883140105</v>
          </cell>
          <cell r="I748">
            <v>2132308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2132308</v>
          </cell>
        </row>
        <row r="749">
          <cell r="A749">
            <v>1</v>
          </cell>
          <cell r="B749">
            <v>8831402</v>
          </cell>
          <cell r="C749">
            <v>883140202</v>
          </cell>
          <cell r="I749">
            <v>12502020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12502020</v>
          </cell>
        </row>
        <row r="750">
          <cell r="A750">
            <v>1</v>
          </cell>
          <cell r="B750">
            <v>8831403</v>
          </cell>
          <cell r="C750">
            <v>883140301</v>
          </cell>
          <cell r="I750">
            <v>1257996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1257996</v>
          </cell>
        </row>
        <row r="751">
          <cell r="A751">
            <v>1</v>
          </cell>
          <cell r="B751">
            <v>8831403</v>
          </cell>
          <cell r="C751">
            <v>883140302</v>
          </cell>
          <cell r="I751">
            <v>78000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78000</v>
          </cell>
        </row>
        <row r="752">
          <cell r="A752">
            <v>1</v>
          </cell>
          <cell r="B752">
            <v>8831403</v>
          </cell>
          <cell r="C752">
            <v>883140303</v>
          </cell>
          <cell r="I752">
            <v>3550567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3550567</v>
          </cell>
        </row>
        <row r="753">
          <cell r="A753">
            <v>1</v>
          </cell>
          <cell r="B753">
            <v>8831403</v>
          </cell>
          <cell r="C753">
            <v>883140304</v>
          </cell>
          <cell r="I753">
            <v>587260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587260</v>
          </cell>
          <cell r="O753">
            <v>0</v>
          </cell>
          <cell r="P753">
            <v>0</v>
          </cell>
        </row>
        <row r="754">
          <cell r="A754">
            <v>1</v>
          </cell>
          <cell r="B754">
            <v>8831403</v>
          </cell>
          <cell r="C754">
            <v>883140305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>
            <v>1</v>
          </cell>
          <cell r="B755">
            <v>8831403</v>
          </cell>
          <cell r="C755">
            <v>883140306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>
            <v>1</v>
          </cell>
          <cell r="B756">
            <v>8831403</v>
          </cell>
          <cell r="C756">
            <v>883140307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A757">
            <v>1</v>
          </cell>
          <cell r="B757">
            <v>8831403</v>
          </cell>
          <cell r="C757">
            <v>883140310</v>
          </cell>
          <cell r="I757">
            <v>1597508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1597508</v>
          </cell>
        </row>
        <row r="758">
          <cell r="A758">
            <v>1</v>
          </cell>
          <cell r="B758">
            <v>8831403</v>
          </cell>
          <cell r="C758">
            <v>883140311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>
            <v>1</v>
          </cell>
          <cell r="B759">
            <v>8831403</v>
          </cell>
          <cell r="C759">
            <v>883140314</v>
          </cell>
          <cell r="I759">
            <v>324000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324000</v>
          </cell>
        </row>
        <row r="760">
          <cell r="A760">
            <v>1</v>
          </cell>
          <cell r="B760">
            <v>8831403</v>
          </cell>
          <cell r="C760">
            <v>883140315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>
            <v>1</v>
          </cell>
          <cell r="B761">
            <v>8831404</v>
          </cell>
          <cell r="C761">
            <v>883140401</v>
          </cell>
          <cell r="I761">
            <v>2441526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2441526</v>
          </cell>
          <cell r="P761">
            <v>0</v>
          </cell>
        </row>
        <row r="762">
          <cell r="A762">
            <v>1</v>
          </cell>
          <cell r="B762">
            <v>8831404</v>
          </cell>
          <cell r="C762">
            <v>883140402</v>
          </cell>
          <cell r="I762">
            <v>20796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20796</v>
          </cell>
        </row>
        <row r="763">
          <cell r="A763">
            <v>1</v>
          </cell>
          <cell r="B763">
            <v>8831404</v>
          </cell>
          <cell r="C763">
            <v>883140403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>
            <v>1</v>
          </cell>
          <cell r="B764">
            <v>8831404</v>
          </cell>
          <cell r="C764">
            <v>883140405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A765">
            <v>1</v>
          </cell>
          <cell r="B765">
            <v>8831404</v>
          </cell>
          <cell r="C765">
            <v>883140406</v>
          </cell>
          <cell r="I765">
            <v>56524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56524</v>
          </cell>
          <cell r="P765">
            <v>0</v>
          </cell>
        </row>
        <row r="766">
          <cell r="A766">
            <v>1</v>
          </cell>
          <cell r="B766">
            <v>8831404</v>
          </cell>
          <cell r="C766">
            <v>883140407</v>
          </cell>
          <cell r="I766">
            <v>506636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506636</v>
          </cell>
          <cell r="P766">
            <v>0</v>
          </cell>
        </row>
        <row r="767">
          <cell r="A767">
            <v>1</v>
          </cell>
          <cell r="B767">
            <v>8831404</v>
          </cell>
          <cell r="C767">
            <v>883140408</v>
          </cell>
          <cell r="I767">
            <v>20477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20477</v>
          </cell>
          <cell r="P767">
            <v>0</v>
          </cell>
        </row>
        <row r="768">
          <cell r="A768">
            <v>1</v>
          </cell>
          <cell r="B768">
            <v>8831404</v>
          </cell>
          <cell r="C768">
            <v>883140410</v>
          </cell>
          <cell r="I768">
            <v>1151322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1151322</v>
          </cell>
          <cell r="P768">
            <v>0</v>
          </cell>
        </row>
        <row r="769">
          <cell r="A769">
            <v>1</v>
          </cell>
          <cell r="B769">
            <v>8831404</v>
          </cell>
          <cell r="C769">
            <v>883140411</v>
          </cell>
          <cell r="I769">
            <v>8208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8208</v>
          </cell>
          <cell r="P769">
            <v>0</v>
          </cell>
        </row>
        <row r="770">
          <cell r="A770">
            <v>1</v>
          </cell>
          <cell r="B770">
            <v>8831405</v>
          </cell>
          <cell r="C770">
            <v>883140500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A771">
            <v>1</v>
          </cell>
          <cell r="B771">
            <v>8831407</v>
          </cell>
          <cell r="C771">
            <v>883140700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A772">
            <v>1</v>
          </cell>
          <cell r="B772">
            <v>8831408</v>
          </cell>
          <cell r="C772">
            <v>883140800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A773">
            <v>1</v>
          </cell>
          <cell r="B773">
            <v>8831410</v>
          </cell>
          <cell r="C773">
            <v>883141001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A774">
            <v>1</v>
          </cell>
          <cell r="B774">
            <v>8831410</v>
          </cell>
          <cell r="C774">
            <v>883141002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A775">
            <v>1</v>
          </cell>
          <cell r="B775">
            <v>8831410</v>
          </cell>
          <cell r="C775">
            <v>883141003</v>
          </cell>
          <cell r="I775">
            <v>258110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258110</v>
          </cell>
          <cell r="O775">
            <v>0</v>
          </cell>
          <cell r="P775">
            <v>0</v>
          </cell>
        </row>
        <row r="776">
          <cell r="A776">
            <v>1</v>
          </cell>
          <cell r="B776">
            <v>8831413</v>
          </cell>
          <cell r="C776">
            <v>883141300</v>
          </cell>
          <cell r="I776">
            <v>127781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127781</v>
          </cell>
          <cell r="O776">
            <v>0</v>
          </cell>
          <cell r="P776">
            <v>0</v>
          </cell>
        </row>
        <row r="777">
          <cell r="A777">
            <v>1</v>
          </cell>
          <cell r="B777">
            <v>8831414</v>
          </cell>
          <cell r="C777">
            <v>883141400</v>
          </cell>
          <cell r="I777">
            <v>31107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31107</v>
          </cell>
          <cell r="O777">
            <v>0</v>
          </cell>
          <cell r="P777">
            <v>0</v>
          </cell>
        </row>
        <row r="778">
          <cell r="A778">
            <v>1</v>
          </cell>
          <cell r="B778">
            <v>8831415</v>
          </cell>
          <cell r="C778">
            <v>883141500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A779">
            <v>1</v>
          </cell>
          <cell r="B779">
            <v>8831417</v>
          </cell>
          <cell r="C779">
            <v>883141700</v>
          </cell>
          <cell r="I779">
            <v>615774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615774</v>
          </cell>
          <cell r="O779">
            <v>0</v>
          </cell>
          <cell r="P779">
            <v>0</v>
          </cell>
        </row>
        <row r="780">
          <cell r="A780">
            <v>1</v>
          </cell>
          <cell r="B780">
            <v>8831419</v>
          </cell>
          <cell r="C780">
            <v>883141900</v>
          </cell>
          <cell r="I780">
            <v>1406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1406</v>
          </cell>
          <cell r="O780">
            <v>0</v>
          </cell>
          <cell r="P780">
            <v>0</v>
          </cell>
        </row>
        <row r="781">
          <cell r="A781">
            <v>1</v>
          </cell>
          <cell r="B781">
            <v>8831420</v>
          </cell>
          <cell r="C781">
            <v>883142000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>
            <v>1</v>
          </cell>
          <cell r="B782">
            <v>8831421</v>
          </cell>
          <cell r="C782">
            <v>883142100</v>
          </cell>
          <cell r="I782">
            <v>991166277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991166277</v>
          </cell>
          <cell r="O782">
            <v>0</v>
          </cell>
          <cell r="P782">
            <v>0</v>
          </cell>
        </row>
        <row r="783">
          <cell r="A783">
            <v>1</v>
          </cell>
          <cell r="B783">
            <v>8831423</v>
          </cell>
          <cell r="C783">
            <v>883142300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</row>
        <row r="784">
          <cell r="A784">
            <v>1</v>
          </cell>
          <cell r="B784">
            <v>8831424</v>
          </cell>
          <cell r="C784">
            <v>883142400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A785">
            <v>1</v>
          </cell>
          <cell r="B785">
            <v>8831425</v>
          </cell>
          <cell r="C785">
            <v>883142500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>
            <v>1</v>
          </cell>
          <cell r="B786">
            <v>8831428</v>
          </cell>
          <cell r="C786">
            <v>883142866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>
            <v>1</v>
          </cell>
          <cell r="B787">
            <v>8831428</v>
          </cell>
          <cell r="C787">
            <v>883142867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>
            <v>1</v>
          </cell>
          <cell r="B788">
            <v>8831429</v>
          </cell>
          <cell r="C788">
            <v>883142900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A789">
            <v>1</v>
          </cell>
          <cell r="B789">
            <v>8831430</v>
          </cell>
          <cell r="C789">
            <v>883143000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A790">
            <v>1</v>
          </cell>
          <cell r="B790">
            <v>8831431</v>
          </cell>
          <cell r="C790">
            <v>883143100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>
            <v>1</v>
          </cell>
          <cell r="B791">
            <v>8831437</v>
          </cell>
          <cell r="C791">
            <v>883143700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>
            <v>1</v>
          </cell>
          <cell r="B792">
            <v>8831439</v>
          </cell>
          <cell r="C792">
            <v>883143900</v>
          </cell>
          <cell r="I792">
            <v>10540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10540</v>
          </cell>
          <cell r="P792">
            <v>0</v>
          </cell>
        </row>
        <row r="793">
          <cell r="A793">
            <v>1</v>
          </cell>
          <cell r="B793">
            <v>8831440</v>
          </cell>
          <cell r="C793">
            <v>883144000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A794">
            <v>1</v>
          </cell>
          <cell r="B794">
            <v>8831441</v>
          </cell>
          <cell r="C794">
            <v>883144100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A795">
            <v>1</v>
          </cell>
          <cell r="B795">
            <v>8831442</v>
          </cell>
          <cell r="C795">
            <v>883144201</v>
          </cell>
          <cell r="I795">
            <v>1256000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1256000</v>
          </cell>
        </row>
        <row r="796">
          <cell r="A796">
            <v>1</v>
          </cell>
          <cell r="B796">
            <v>8831442</v>
          </cell>
          <cell r="C796">
            <v>883144202</v>
          </cell>
          <cell r="I796">
            <v>243000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243000</v>
          </cell>
        </row>
        <row r="797">
          <cell r="A797">
            <v>1</v>
          </cell>
          <cell r="B797">
            <v>8831601</v>
          </cell>
          <cell r="C797">
            <v>883160102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A798">
            <v>1</v>
          </cell>
          <cell r="B798">
            <v>8831601</v>
          </cell>
          <cell r="C798">
            <v>883160103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A799">
            <v>1</v>
          </cell>
          <cell r="B799">
            <v>8831601</v>
          </cell>
          <cell r="C799">
            <v>883160104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A800">
            <v>1</v>
          </cell>
          <cell r="B800">
            <v>8831601</v>
          </cell>
          <cell r="C800">
            <v>883160105</v>
          </cell>
          <cell r="I800">
            <v>8388763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8388763</v>
          </cell>
        </row>
        <row r="801">
          <cell r="A801">
            <v>1</v>
          </cell>
          <cell r="B801">
            <v>8831602</v>
          </cell>
          <cell r="C801">
            <v>883160202</v>
          </cell>
          <cell r="I801">
            <v>118729200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118729200</v>
          </cell>
        </row>
        <row r="802">
          <cell r="A802">
            <v>1</v>
          </cell>
          <cell r="B802">
            <v>8831603</v>
          </cell>
          <cell r="C802">
            <v>883160301</v>
          </cell>
          <cell r="I802">
            <v>12811200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12811200</v>
          </cell>
        </row>
        <row r="803">
          <cell r="A803">
            <v>1</v>
          </cell>
          <cell r="B803">
            <v>8831603</v>
          </cell>
          <cell r="C803">
            <v>883160302</v>
          </cell>
          <cell r="I803">
            <v>3372000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3372000</v>
          </cell>
        </row>
        <row r="804">
          <cell r="A804">
            <v>1</v>
          </cell>
          <cell r="B804">
            <v>8831603</v>
          </cell>
          <cell r="C804">
            <v>883160303</v>
          </cell>
          <cell r="I804">
            <v>45165067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45165067</v>
          </cell>
        </row>
        <row r="805">
          <cell r="A805">
            <v>1</v>
          </cell>
          <cell r="B805">
            <v>8831603</v>
          </cell>
          <cell r="C805">
            <v>883160304</v>
          </cell>
          <cell r="I805">
            <v>2558640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2558640</v>
          </cell>
          <cell r="O805">
            <v>0</v>
          </cell>
          <cell r="P805">
            <v>0</v>
          </cell>
        </row>
        <row r="806">
          <cell r="A806">
            <v>1</v>
          </cell>
          <cell r="B806">
            <v>8831603</v>
          </cell>
          <cell r="C806">
            <v>883160305</v>
          </cell>
          <cell r="I806">
            <v>6010800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6010800</v>
          </cell>
        </row>
        <row r="807">
          <cell r="A807">
            <v>1</v>
          </cell>
          <cell r="B807">
            <v>8831603</v>
          </cell>
          <cell r="C807">
            <v>883160306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>
            <v>1</v>
          </cell>
          <cell r="B808">
            <v>8831603</v>
          </cell>
          <cell r="C808">
            <v>883160307</v>
          </cell>
          <cell r="I808">
            <v>123888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123888</v>
          </cell>
        </row>
        <row r="809">
          <cell r="A809">
            <v>1</v>
          </cell>
          <cell r="B809">
            <v>8831603</v>
          </cell>
          <cell r="C809">
            <v>883160310</v>
          </cell>
          <cell r="I809">
            <v>15845828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15845828</v>
          </cell>
        </row>
        <row r="810">
          <cell r="A810">
            <v>1</v>
          </cell>
          <cell r="B810">
            <v>8831603</v>
          </cell>
          <cell r="C810">
            <v>883160311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>
            <v>1</v>
          </cell>
          <cell r="B811">
            <v>8831603</v>
          </cell>
          <cell r="C811">
            <v>883160314</v>
          </cell>
          <cell r="I811">
            <v>2847600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2847600</v>
          </cell>
        </row>
        <row r="812">
          <cell r="A812">
            <v>1</v>
          </cell>
          <cell r="B812">
            <v>8831603</v>
          </cell>
          <cell r="C812">
            <v>883160315</v>
          </cell>
          <cell r="I812">
            <v>1660000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1660000</v>
          </cell>
        </row>
        <row r="813">
          <cell r="A813">
            <v>1</v>
          </cell>
          <cell r="B813">
            <v>8831603</v>
          </cell>
          <cell r="C813">
            <v>883160316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>
            <v>1</v>
          </cell>
          <cell r="B814">
            <v>8831604</v>
          </cell>
          <cell r="C814">
            <v>883160401</v>
          </cell>
          <cell r="I814">
            <v>29133707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29133707</v>
          </cell>
          <cell r="P814">
            <v>0</v>
          </cell>
        </row>
        <row r="815">
          <cell r="A815">
            <v>1</v>
          </cell>
          <cell r="B815">
            <v>8831604</v>
          </cell>
          <cell r="C815">
            <v>883160402</v>
          </cell>
          <cell r="I815">
            <v>189534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189534</v>
          </cell>
        </row>
        <row r="816">
          <cell r="A816">
            <v>1</v>
          </cell>
          <cell r="B816">
            <v>8831604</v>
          </cell>
          <cell r="C816">
            <v>883160403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A817">
            <v>1</v>
          </cell>
          <cell r="B817">
            <v>8831604</v>
          </cell>
          <cell r="C817">
            <v>883160405</v>
          </cell>
          <cell r="I817">
            <v>5731086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5731086</v>
          </cell>
          <cell r="P817">
            <v>0</v>
          </cell>
        </row>
        <row r="818">
          <cell r="A818">
            <v>1</v>
          </cell>
          <cell r="B818">
            <v>8831604</v>
          </cell>
          <cell r="C818">
            <v>883160406</v>
          </cell>
          <cell r="I818">
            <v>99826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99826</v>
          </cell>
          <cell r="P818">
            <v>0</v>
          </cell>
        </row>
        <row r="819">
          <cell r="A819">
            <v>1</v>
          </cell>
          <cell r="B819">
            <v>8831604</v>
          </cell>
          <cell r="C819">
            <v>883160407</v>
          </cell>
          <cell r="I819">
            <v>884598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884598</v>
          </cell>
          <cell r="P819">
            <v>0</v>
          </cell>
        </row>
        <row r="820">
          <cell r="A820">
            <v>1</v>
          </cell>
          <cell r="B820">
            <v>8831604</v>
          </cell>
          <cell r="C820">
            <v>883160408</v>
          </cell>
          <cell r="I820">
            <v>35189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35189</v>
          </cell>
          <cell r="P820">
            <v>0</v>
          </cell>
        </row>
        <row r="821">
          <cell r="A821">
            <v>1</v>
          </cell>
          <cell r="B821">
            <v>8831604</v>
          </cell>
          <cell r="C821">
            <v>883160410</v>
          </cell>
          <cell r="I821">
            <v>11048228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11048228</v>
          </cell>
          <cell r="P821">
            <v>0</v>
          </cell>
        </row>
        <row r="822">
          <cell r="A822">
            <v>1</v>
          </cell>
          <cell r="B822">
            <v>8831604</v>
          </cell>
          <cell r="C822">
            <v>883160411</v>
          </cell>
          <cell r="I822">
            <v>5907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5907</v>
          </cell>
          <cell r="P822">
            <v>0</v>
          </cell>
        </row>
        <row r="823">
          <cell r="A823">
            <v>1</v>
          </cell>
          <cell r="B823">
            <v>8831605</v>
          </cell>
          <cell r="C823">
            <v>883160500</v>
          </cell>
          <cell r="I823">
            <v>183360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183360</v>
          </cell>
        </row>
        <row r="824">
          <cell r="A824">
            <v>1</v>
          </cell>
          <cell r="B824">
            <v>8831607</v>
          </cell>
          <cell r="C824">
            <v>883160700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A825">
            <v>1</v>
          </cell>
          <cell r="B825">
            <v>8831608</v>
          </cell>
          <cell r="C825">
            <v>883160800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A826">
            <v>1</v>
          </cell>
          <cell r="B826">
            <v>8831610</v>
          </cell>
          <cell r="C826">
            <v>883161001</v>
          </cell>
          <cell r="I826">
            <v>3310372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3284472</v>
          </cell>
          <cell r="O826">
            <v>0</v>
          </cell>
          <cell r="P826">
            <v>25900</v>
          </cell>
        </row>
        <row r="827">
          <cell r="A827">
            <v>1</v>
          </cell>
          <cell r="B827">
            <v>8831610</v>
          </cell>
          <cell r="C827">
            <v>883161002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A828">
            <v>1</v>
          </cell>
          <cell r="B828">
            <v>8831610</v>
          </cell>
          <cell r="C828">
            <v>883161003</v>
          </cell>
          <cell r="I828">
            <v>422700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422700</v>
          </cell>
          <cell r="O828">
            <v>0</v>
          </cell>
          <cell r="P828">
            <v>0</v>
          </cell>
        </row>
        <row r="829">
          <cell r="A829">
            <v>1</v>
          </cell>
          <cell r="B829">
            <v>8831613</v>
          </cell>
          <cell r="C829">
            <v>883161300</v>
          </cell>
          <cell r="I829">
            <v>6713734</v>
          </cell>
          <cell r="J829">
            <v>0</v>
          </cell>
          <cell r="K829">
            <v>0</v>
          </cell>
          <cell r="L829">
            <v>0</v>
          </cell>
          <cell r="M829">
            <v>317198</v>
          </cell>
          <cell r="N829">
            <v>6396536</v>
          </cell>
          <cell r="O829">
            <v>0</v>
          </cell>
          <cell r="P829">
            <v>0</v>
          </cell>
        </row>
        <row r="830">
          <cell r="A830">
            <v>1</v>
          </cell>
          <cell r="B830">
            <v>8831614</v>
          </cell>
          <cell r="C830">
            <v>883161400</v>
          </cell>
          <cell r="I830">
            <v>256877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256877</v>
          </cell>
          <cell r="O830">
            <v>0</v>
          </cell>
          <cell r="P830">
            <v>0</v>
          </cell>
        </row>
        <row r="831">
          <cell r="A831">
            <v>1</v>
          </cell>
          <cell r="B831">
            <v>8831615</v>
          </cell>
          <cell r="C831">
            <v>883161500</v>
          </cell>
          <cell r="I831">
            <v>42836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42836</v>
          </cell>
          <cell r="O831">
            <v>0</v>
          </cell>
          <cell r="P831">
            <v>0</v>
          </cell>
        </row>
        <row r="832">
          <cell r="A832">
            <v>1</v>
          </cell>
          <cell r="B832">
            <v>8831617</v>
          </cell>
          <cell r="C832">
            <v>883161700</v>
          </cell>
          <cell r="I832">
            <v>1404435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1404435</v>
          </cell>
          <cell r="O832">
            <v>0</v>
          </cell>
          <cell r="P832">
            <v>0</v>
          </cell>
        </row>
        <row r="833">
          <cell r="A833">
            <v>1</v>
          </cell>
          <cell r="B833">
            <v>8831619</v>
          </cell>
          <cell r="C833">
            <v>883161900</v>
          </cell>
          <cell r="I833">
            <v>190945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136081</v>
          </cell>
          <cell r="O833">
            <v>54864</v>
          </cell>
          <cell r="P833">
            <v>0</v>
          </cell>
        </row>
        <row r="834">
          <cell r="A834">
            <v>1</v>
          </cell>
          <cell r="B834">
            <v>8831620</v>
          </cell>
          <cell r="C834">
            <v>883162000</v>
          </cell>
          <cell r="I834">
            <v>32908077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32908077</v>
          </cell>
          <cell r="O834">
            <v>0</v>
          </cell>
          <cell r="P834">
            <v>0</v>
          </cell>
        </row>
        <row r="835">
          <cell r="A835">
            <v>1</v>
          </cell>
          <cell r="B835">
            <v>8831621</v>
          </cell>
          <cell r="C835">
            <v>883162100</v>
          </cell>
          <cell r="I835">
            <v>38947557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38947557</v>
          </cell>
          <cell r="O835">
            <v>0</v>
          </cell>
          <cell r="P835">
            <v>0</v>
          </cell>
        </row>
        <row r="836">
          <cell r="A836">
            <v>1</v>
          </cell>
          <cell r="B836">
            <v>8831623</v>
          </cell>
          <cell r="C836">
            <v>883162300</v>
          </cell>
          <cell r="I836">
            <v>1396111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1396111</v>
          </cell>
          <cell r="O836">
            <v>0</v>
          </cell>
          <cell r="P836">
            <v>0</v>
          </cell>
        </row>
        <row r="837">
          <cell r="A837">
            <v>1</v>
          </cell>
          <cell r="B837">
            <v>8831624</v>
          </cell>
          <cell r="C837">
            <v>883162400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>
            <v>1</v>
          </cell>
          <cell r="B838">
            <v>8831625</v>
          </cell>
          <cell r="C838">
            <v>883162500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>
            <v>1</v>
          </cell>
          <cell r="B839">
            <v>8831628</v>
          </cell>
          <cell r="C839">
            <v>883162866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>
            <v>1</v>
          </cell>
          <cell r="B840">
            <v>8831628</v>
          </cell>
          <cell r="C840">
            <v>883162867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A841">
            <v>1</v>
          </cell>
          <cell r="B841">
            <v>8831629</v>
          </cell>
          <cell r="C841">
            <v>883162900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>
            <v>1</v>
          </cell>
          <cell r="B842">
            <v>8831630</v>
          </cell>
          <cell r="C842">
            <v>883163000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>
            <v>1</v>
          </cell>
          <cell r="B843">
            <v>8831631</v>
          </cell>
          <cell r="C843">
            <v>883163100</v>
          </cell>
          <cell r="I843">
            <v>111850504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106451181</v>
          </cell>
          <cell r="O843">
            <v>0</v>
          </cell>
          <cell r="P843">
            <v>5399323</v>
          </cell>
        </row>
        <row r="844">
          <cell r="A844">
            <v>1</v>
          </cell>
          <cell r="B844">
            <v>8831633</v>
          </cell>
          <cell r="C844">
            <v>883163300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>
            <v>1</v>
          </cell>
          <cell r="B845">
            <v>8831636</v>
          </cell>
          <cell r="C845">
            <v>883163600</v>
          </cell>
          <cell r="I845">
            <v>2892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2892</v>
          </cell>
          <cell r="O845">
            <v>0</v>
          </cell>
          <cell r="P845">
            <v>0</v>
          </cell>
        </row>
        <row r="846">
          <cell r="A846">
            <v>1</v>
          </cell>
          <cell r="B846">
            <v>8831637</v>
          </cell>
          <cell r="C846">
            <v>883163700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>
            <v>1</v>
          </cell>
          <cell r="B847">
            <v>8831639</v>
          </cell>
          <cell r="C847">
            <v>883163900</v>
          </cell>
          <cell r="I847">
            <v>3828947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3828947</v>
          </cell>
          <cell r="P847">
            <v>0</v>
          </cell>
        </row>
        <row r="848">
          <cell r="A848">
            <v>1</v>
          </cell>
          <cell r="B848">
            <v>8831640</v>
          </cell>
          <cell r="C848">
            <v>883164000</v>
          </cell>
          <cell r="I848">
            <v>16361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5000</v>
          </cell>
          <cell r="P848">
            <v>11361</v>
          </cell>
        </row>
        <row r="849">
          <cell r="A849">
            <v>1</v>
          </cell>
          <cell r="B849">
            <v>8831641</v>
          </cell>
          <cell r="C849">
            <v>883164100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>
            <v>1</v>
          </cell>
          <cell r="B850">
            <v>8831642</v>
          </cell>
          <cell r="C850">
            <v>883164201</v>
          </cell>
          <cell r="I850">
            <v>13469000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13469000</v>
          </cell>
        </row>
        <row r="851">
          <cell r="A851">
            <v>1</v>
          </cell>
          <cell r="B851">
            <v>8831642</v>
          </cell>
          <cell r="C851">
            <v>883164202</v>
          </cell>
          <cell r="I851">
            <v>2703000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2703000</v>
          </cell>
        </row>
        <row r="852">
          <cell r="A852">
            <v>1</v>
          </cell>
          <cell r="B852">
            <v>8831643</v>
          </cell>
          <cell r="C852">
            <v>883164301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>
            <v>1</v>
          </cell>
          <cell r="B853">
            <v>8831643</v>
          </cell>
          <cell r="C853">
            <v>883164302</v>
          </cell>
          <cell r="I853">
            <v>257863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257863</v>
          </cell>
        </row>
        <row r="854">
          <cell r="A854">
            <v>1</v>
          </cell>
          <cell r="B854">
            <v>8831643</v>
          </cell>
          <cell r="C854">
            <v>883164304</v>
          </cell>
          <cell r="I854">
            <v>145321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145321</v>
          </cell>
        </row>
        <row r="855">
          <cell r="A855">
            <v>1</v>
          </cell>
          <cell r="B855">
            <v>8831643</v>
          </cell>
          <cell r="C855">
            <v>883164305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>
            <v>1</v>
          </cell>
          <cell r="B856">
            <v>8831643</v>
          </cell>
          <cell r="C856" t="str">
            <v>883164306</v>
          </cell>
          <cell r="I856">
            <v>94500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94500</v>
          </cell>
        </row>
        <row r="857">
          <cell r="A857">
            <v>1</v>
          </cell>
          <cell r="B857">
            <v>8832043</v>
          </cell>
          <cell r="C857">
            <v>883204370</v>
          </cell>
          <cell r="I857">
            <v>736845633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736845633</v>
          </cell>
        </row>
        <row r="858">
          <cell r="A858">
            <v>1</v>
          </cell>
          <cell r="B858">
            <v>8832043</v>
          </cell>
          <cell r="C858">
            <v>883204371</v>
          </cell>
          <cell r="I858">
            <v>20069115278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20069115278</v>
          </cell>
        </row>
        <row r="859">
          <cell r="A859">
            <v>1</v>
          </cell>
          <cell r="B859">
            <v>8832043</v>
          </cell>
          <cell r="C859">
            <v>883204372</v>
          </cell>
          <cell r="I859">
            <v>4457068757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4457068757</v>
          </cell>
        </row>
        <row r="860">
          <cell r="A860">
            <v>1</v>
          </cell>
          <cell r="B860">
            <v>8832043</v>
          </cell>
          <cell r="C860">
            <v>883204373</v>
          </cell>
          <cell r="I860">
            <v>4222403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4222403</v>
          </cell>
        </row>
        <row r="861">
          <cell r="A861">
            <v>1</v>
          </cell>
          <cell r="B861">
            <v>8832043</v>
          </cell>
          <cell r="C861">
            <v>883204374</v>
          </cell>
          <cell r="I861">
            <v>5635044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5635044</v>
          </cell>
        </row>
        <row r="862">
          <cell r="A862">
            <v>1</v>
          </cell>
          <cell r="B862">
            <v>8832044</v>
          </cell>
          <cell r="C862">
            <v>883204475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</row>
        <row r="863">
          <cell r="A863">
            <v>1</v>
          </cell>
          <cell r="B863">
            <v>8832044</v>
          </cell>
          <cell r="C863">
            <v>883204476</v>
          </cell>
          <cell r="I863">
            <v>238105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238105</v>
          </cell>
        </row>
        <row r="864">
          <cell r="A864">
            <v>1</v>
          </cell>
          <cell r="B864">
            <v>8832044</v>
          </cell>
          <cell r="C864">
            <v>883204477</v>
          </cell>
          <cell r="I864">
            <v>446882476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446882476</v>
          </cell>
        </row>
        <row r="865">
          <cell r="A865">
            <v>1</v>
          </cell>
          <cell r="B865">
            <v>8832044</v>
          </cell>
          <cell r="C865">
            <v>883204478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>
            <v>1</v>
          </cell>
          <cell r="B866">
            <v>8832044</v>
          </cell>
          <cell r="C866">
            <v>883204479</v>
          </cell>
          <cell r="I866">
            <v>210372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210372</v>
          </cell>
        </row>
        <row r="867">
          <cell r="A867">
            <v>1</v>
          </cell>
          <cell r="B867">
            <v>8832246</v>
          </cell>
          <cell r="C867">
            <v>883224600</v>
          </cell>
          <cell r="I867">
            <v>495467840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495467840</v>
          </cell>
        </row>
        <row r="868">
          <cell r="A868">
            <v>1</v>
          </cell>
          <cell r="B868">
            <v>8832247</v>
          </cell>
          <cell r="C868">
            <v>883224700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>
            <v>1</v>
          </cell>
          <cell r="B869">
            <v>8840251</v>
          </cell>
          <cell r="C869">
            <v>884025180</v>
          </cell>
          <cell r="I869">
            <v>3723784121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3723784121</v>
          </cell>
          <cell r="P869">
            <v>0</v>
          </cell>
        </row>
        <row r="870">
          <cell r="A870">
            <v>1</v>
          </cell>
          <cell r="B870">
            <v>8840251</v>
          </cell>
          <cell r="C870">
            <v>884025181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A871">
            <v>1</v>
          </cell>
          <cell r="B871">
            <v>8840251</v>
          </cell>
          <cell r="C871">
            <v>884025182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</row>
        <row r="872">
          <cell r="A872">
            <v>1</v>
          </cell>
          <cell r="B872">
            <v>8840252</v>
          </cell>
          <cell r="C872">
            <v>884025200</v>
          </cell>
          <cell r="I872">
            <v>60965516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60965516</v>
          </cell>
          <cell r="O872">
            <v>0</v>
          </cell>
          <cell r="P872">
            <v>0</v>
          </cell>
        </row>
        <row r="873">
          <cell r="A873">
            <v>1</v>
          </cell>
          <cell r="B873">
            <v>8840253</v>
          </cell>
          <cell r="C873">
            <v>884025300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>
            <v>1</v>
          </cell>
          <cell r="B874">
            <v>8840254</v>
          </cell>
          <cell r="C874">
            <v>884025400</v>
          </cell>
          <cell r="I874">
            <v>2477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2477</v>
          </cell>
          <cell r="P874">
            <v>0</v>
          </cell>
        </row>
        <row r="875">
          <cell r="A875">
            <v>1</v>
          </cell>
          <cell r="B875">
            <v>8840255</v>
          </cell>
          <cell r="C875">
            <v>884025500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>
            <v>1</v>
          </cell>
          <cell r="B876">
            <v>8840456</v>
          </cell>
          <cell r="C876">
            <v>884045600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>
            <v>1</v>
          </cell>
          <cell r="B877">
            <v>8840457</v>
          </cell>
          <cell r="C877">
            <v>884045700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</row>
        <row r="878">
          <cell r="A878">
            <v>1</v>
          </cell>
          <cell r="B878">
            <v>8840458</v>
          </cell>
          <cell r="C878">
            <v>884045800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A879">
            <v>1</v>
          </cell>
          <cell r="B879">
            <v>8840559</v>
          </cell>
          <cell r="C879">
            <v>884055900</v>
          </cell>
          <cell r="I879">
            <v>42630200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42630200</v>
          </cell>
        </row>
        <row r="880">
          <cell r="A880">
            <v>1</v>
          </cell>
          <cell r="B880">
            <v>8840662</v>
          </cell>
          <cell r="C880">
            <v>884066200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>
            <v>1</v>
          </cell>
          <cell r="B881">
            <v>8840663</v>
          </cell>
          <cell r="C881">
            <v>884066300</v>
          </cell>
          <cell r="I881">
            <v>9224169</v>
          </cell>
          <cell r="J881">
            <v>0</v>
          </cell>
          <cell r="K881">
            <v>0</v>
          </cell>
          <cell r="L881">
            <v>23932</v>
          </cell>
          <cell r="M881">
            <v>0</v>
          </cell>
          <cell r="N881">
            <v>5368538</v>
          </cell>
          <cell r="O881">
            <v>0</v>
          </cell>
          <cell r="P881">
            <v>3831699</v>
          </cell>
        </row>
        <row r="882">
          <cell r="A882">
            <v>1</v>
          </cell>
          <cell r="B882">
            <v>8850202</v>
          </cell>
          <cell r="C882">
            <v>885020200</v>
          </cell>
          <cell r="I882">
            <v>10315355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10315355</v>
          </cell>
        </row>
        <row r="883">
          <cell r="A883">
            <v>1</v>
          </cell>
          <cell r="B883">
            <v>8850404</v>
          </cell>
          <cell r="C883">
            <v>885040400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A884">
            <v>1</v>
          </cell>
          <cell r="B884">
            <v>8850606</v>
          </cell>
          <cell r="C884">
            <v>885060600</v>
          </cell>
          <cell r="I884">
            <v>10484320</v>
          </cell>
          <cell r="J884">
            <v>0</v>
          </cell>
          <cell r="K884">
            <v>0</v>
          </cell>
          <cell r="L884">
            <v>15407</v>
          </cell>
          <cell r="M884">
            <v>0</v>
          </cell>
          <cell r="N884">
            <v>10444710</v>
          </cell>
          <cell r="O884">
            <v>6023</v>
          </cell>
          <cell r="P884">
            <v>18180</v>
          </cell>
        </row>
        <row r="885">
          <cell r="A885">
            <v>1</v>
          </cell>
          <cell r="B885">
            <v>8850808</v>
          </cell>
          <cell r="C885">
            <v>885080800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>
            <v>1</v>
          </cell>
          <cell r="B886">
            <v>8851010</v>
          </cell>
          <cell r="C886">
            <v>885101000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A887">
            <v>1</v>
          </cell>
          <cell r="B887">
            <v>8900101</v>
          </cell>
          <cell r="C887">
            <v>890010100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A888">
            <v>2</v>
          </cell>
          <cell r="B888">
            <v>1120110</v>
          </cell>
          <cell r="C888">
            <v>112011010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A889">
            <v>2</v>
          </cell>
          <cell r="B889">
            <v>1120110</v>
          </cell>
          <cell r="C889">
            <v>112011011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>
            <v>2</v>
          </cell>
          <cell r="B890">
            <v>1120111</v>
          </cell>
          <cell r="C890">
            <v>112011100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>
            <v>2</v>
          </cell>
          <cell r="B891">
            <v>1120112</v>
          </cell>
          <cell r="C891">
            <v>112011200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>
            <v>2</v>
          </cell>
          <cell r="B892">
            <v>1120113</v>
          </cell>
          <cell r="C892">
            <v>112011300</v>
          </cell>
          <cell r="I892">
            <v>84000000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84000000</v>
          </cell>
        </row>
        <row r="893">
          <cell r="A893">
            <v>2</v>
          </cell>
          <cell r="B893">
            <v>1120114</v>
          </cell>
          <cell r="C893">
            <v>112011400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A894">
            <v>2</v>
          </cell>
          <cell r="B894">
            <v>1120115</v>
          </cell>
          <cell r="C894">
            <v>112011500</v>
          </cell>
          <cell r="I894">
            <v>318900000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318900000</v>
          </cell>
        </row>
        <row r="895">
          <cell r="A895">
            <v>2</v>
          </cell>
          <cell r="B895">
            <v>1120116</v>
          </cell>
          <cell r="C895">
            <v>112011600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>
            <v>2</v>
          </cell>
          <cell r="B896">
            <v>1120210</v>
          </cell>
          <cell r="C896">
            <v>112021000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</row>
        <row r="897">
          <cell r="A897">
            <v>2</v>
          </cell>
          <cell r="B897">
            <v>1120220</v>
          </cell>
          <cell r="C897">
            <v>112022000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A898">
            <v>2</v>
          </cell>
          <cell r="B898">
            <v>1140303</v>
          </cell>
          <cell r="C898">
            <v>114030300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>
            <v>2</v>
          </cell>
          <cell r="B899">
            <v>1160101</v>
          </cell>
          <cell r="C899">
            <v>116010100</v>
          </cell>
          <cell r="I899">
            <v>50066000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50066000</v>
          </cell>
        </row>
        <row r="900">
          <cell r="A900">
            <v>2</v>
          </cell>
          <cell r="B900">
            <v>1160202</v>
          </cell>
          <cell r="C900">
            <v>116020200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A901">
            <v>2</v>
          </cell>
          <cell r="B901">
            <v>1180401</v>
          </cell>
          <cell r="C901">
            <v>118040103</v>
          </cell>
          <cell r="I901">
            <v>30500000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30500000</v>
          </cell>
        </row>
        <row r="902">
          <cell r="A902">
            <v>2</v>
          </cell>
          <cell r="B902">
            <v>1180402</v>
          </cell>
          <cell r="C902">
            <v>118040200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>
            <v>2</v>
          </cell>
          <cell r="B903">
            <v>1180403</v>
          </cell>
          <cell r="C903">
            <v>118040300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A904">
            <v>2</v>
          </cell>
          <cell r="B904">
            <v>1180404</v>
          </cell>
          <cell r="C904">
            <v>118040400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A905">
            <v>2</v>
          </cell>
          <cell r="B905">
            <v>1200630</v>
          </cell>
          <cell r="C905">
            <v>120063000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>
            <v>2</v>
          </cell>
          <cell r="B906">
            <v>1300831</v>
          </cell>
          <cell r="C906">
            <v>130083100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A907">
            <v>2</v>
          </cell>
          <cell r="B907">
            <v>1401010</v>
          </cell>
          <cell r="C907">
            <v>140101000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>
            <v>2</v>
          </cell>
          <cell r="B908">
            <v>1600101</v>
          </cell>
          <cell r="C908">
            <v>160010100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>
            <v>2</v>
          </cell>
          <cell r="B909">
            <v>1800707</v>
          </cell>
          <cell r="C909">
            <v>180070700</v>
          </cell>
          <cell r="I909">
            <v>17022400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17022400</v>
          </cell>
        </row>
        <row r="910">
          <cell r="A910">
            <v>2</v>
          </cell>
          <cell r="B910">
            <v>1800808</v>
          </cell>
          <cell r="C910">
            <v>180080800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>
            <v>2</v>
          </cell>
          <cell r="B911">
            <v>1820101</v>
          </cell>
          <cell r="C911">
            <v>182010100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A912">
            <v>2</v>
          </cell>
          <cell r="B912">
            <v>1840102</v>
          </cell>
          <cell r="C912">
            <v>184010200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A913">
            <v>2</v>
          </cell>
          <cell r="B913">
            <v>1840304</v>
          </cell>
          <cell r="C913">
            <v>184030400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A914">
            <v>2</v>
          </cell>
          <cell r="B914">
            <v>1840305</v>
          </cell>
          <cell r="C914">
            <v>184030500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>
            <v>2</v>
          </cell>
          <cell r="B915">
            <v>1840306</v>
          </cell>
          <cell r="C915">
            <v>184030600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>
            <v>2</v>
          </cell>
          <cell r="B916">
            <v>1840509</v>
          </cell>
          <cell r="C916">
            <v>184050900</v>
          </cell>
          <cell r="I916">
            <v>580000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580000</v>
          </cell>
        </row>
        <row r="917">
          <cell r="A917">
            <v>2</v>
          </cell>
          <cell r="B917">
            <v>1840510</v>
          </cell>
          <cell r="C917">
            <v>184051000</v>
          </cell>
          <cell r="I917">
            <v>440000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440000</v>
          </cell>
        </row>
        <row r="918">
          <cell r="A918">
            <v>2</v>
          </cell>
          <cell r="B918">
            <v>1840511</v>
          </cell>
          <cell r="C918">
            <v>184051100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9">
          <cell r="A919">
            <v>2</v>
          </cell>
          <cell r="B919">
            <v>1860303</v>
          </cell>
          <cell r="C919">
            <v>186030300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>
            <v>2</v>
          </cell>
          <cell r="B920">
            <v>1880101</v>
          </cell>
          <cell r="C920">
            <v>188010100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>
            <v>2</v>
          </cell>
          <cell r="B921">
            <v>1880202</v>
          </cell>
          <cell r="C921">
            <v>188020200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A922">
            <v>2</v>
          </cell>
          <cell r="B922">
            <v>1900101</v>
          </cell>
          <cell r="C922">
            <v>190010100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A923">
            <v>2</v>
          </cell>
          <cell r="B923">
            <v>1900202</v>
          </cell>
          <cell r="C923">
            <v>190020200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>
            <v>2</v>
          </cell>
          <cell r="B924">
            <v>1900303</v>
          </cell>
          <cell r="C924">
            <v>190030300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>
            <v>2</v>
          </cell>
          <cell r="B925">
            <v>4810202</v>
          </cell>
          <cell r="C925">
            <v>481020200</v>
          </cell>
          <cell r="I925">
            <v>24480257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24480257</v>
          </cell>
          <cell r="O925">
            <v>0</v>
          </cell>
          <cell r="P925">
            <v>0</v>
          </cell>
        </row>
        <row r="926">
          <cell r="A926">
            <v>2</v>
          </cell>
          <cell r="B926">
            <v>4810404</v>
          </cell>
          <cell r="C926">
            <v>481040411</v>
          </cell>
          <cell r="I926">
            <v>357675000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357675000</v>
          </cell>
        </row>
        <row r="927">
          <cell r="A927">
            <v>2</v>
          </cell>
          <cell r="B927">
            <v>4810404</v>
          </cell>
          <cell r="C927">
            <v>481040412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A928">
            <v>2</v>
          </cell>
          <cell r="B928">
            <v>4810404</v>
          </cell>
          <cell r="C928">
            <v>481040413</v>
          </cell>
          <cell r="I928">
            <v>16000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16000</v>
          </cell>
        </row>
        <row r="929">
          <cell r="A929">
            <v>2</v>
          </cell>
          <cell r="B929">
            <v>4810404</v>
          </cell>
          <cell r="C929">
            <v>481040415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>
            <v>2</v>
          </cell>
          <cell r="B930">
            <v>4810406</v>
          </cell>
          <cell r="C930">
            <v>481040600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A931">
            <v>2</v>
          </cell>
          <cell r="B931">
            <v>4810408</v>
          </cell>
          <cell r="C931">
            <v>481040800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>
            <v>2</v>
          </cell>
          <cell r="B932">
            <v>4810409</v>
          </cell>
          <cell r="C932">
            <v>481040900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A933">
            <v>2</v>
          </cell>
          <cell r="B933">
            <v>4811214</v>
          </cell>
          <cell r="C933">
            <v>481121400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>
            <v>2</v>
          </cell>
          <cell r="B934">
            <v>4811417</v>
          </cell>
          <cell r="C934">
            <v>481141700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A935">
            <v>2</v>
          </cell>
          <cell r="B935">
            <v>4811418</v>
          </cell>
          <cell r="C935">
            <v>481141800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A936">
            <v>2</v>
          </cell>
          <cell r="B936">
            <v>4811419</v>
          </cell>
          <cell r="C936">
            <v>481141915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>
            <v>2</v>
          </cell>
          <cell r="B937">
            <v>4811419</v>
          </cell>
          <cell r="C937">
            <v>481141916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>
            <v>2</v>
          </cell>
          <cell r="B938">
            <v>4811419</v>
          </cell>
          <cell r="C938">
            <v>481141917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A939">
            <v>2</v>
          </cell>
          <cell r="B939">
            <v>4811420</v>
          </cell>
          <cell r="C939">
            <v>481142000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A940">
            <v>2</v>
          </cell>
          <cell r="B940">
            <v>4820221</v>
          </cell>
          <cell r="C940">
            <v>482022100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>
            <v>2</v>
          </cell>
          <cell r="B941">
            <v>4820222</v>
          </cell>
          <cell r="C941">
            <v>482022200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>
            <v>2</v>
          </cell>
          <cell r="B942">
            <v>4820224</v>
          </cell>
          <cell r="C942">
            <v>482022400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>
            <v>2</v>
          </cell>
          <cell r="B943">
            <v>4820427</v>
          </cell>
          <cell r="C943">
            <v>482042700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>
            <v>2</v>
          </cell>
          <cell r="B944">
            <v>4820428</v>
          </cell>
          <cell r="C944">
            <v>482042800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>
            <v>2</v>
          </cell>
          <cell r="B945">
            <v>4820429</v>
          </cell>
          <cell r="C945">
            <v>482042900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>
            <v>2</v>
          </cell>
          <cell r="B946">
            <v>4820501</v>
          </cell>
          <cell r="C946">
            <v>482050100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>
            <v>2</v>
          </cell>
          <cell r="B947">
            <v>4820630</v>
          </cell>
          <cell r="C947">
            <v>482063000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A948">
            <v>2</v>
          </cell>
          <cell r="B948">
            <v>4820831</v>
          </cell>
          <cell r="C948">
            <v>482083100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>
            <v>2</v>
          </cell>
          <cell r="B949">
            <v>4820932</v>
          </cell>
          <cell r="C949">
            <v>482093200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A950">
            <v>2</v>
          </cell>
          <cell r="B950">
            <v>4820933</v>
          </cell>
          <cell r="C950">
            <v>482093300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>
            <v>2</v>
          </cell>
          <cell r="B951">
            <v>4821034</v>
          </cell>
          <cell r="C951">
            <v>482103411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A952">
            <v>2</v>
          </cell>
          <cell r="B952">
            <v>4821034</v>
          </cell>
          <cell r="C952">
            <v>482103412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A953">
            <v>2</v>
          </cell>
          <cell r="B953">
            <v>4821034</v>
          </cell>
          <cell r="C953">
            <v>482103413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A954">
            <v>2</v>
          </cell>
          <cell r="B954">
            <v>4821034</v>
          </cell>
          <cell r="C954">
            <v>482103414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A955">
            <v>2</v>
          </cell>
          <cell r="B955">
            <v>4821035</v>
          </cell>
          <cell r="C955">
            <v>482103500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A956">
            <v>2</v>
          </cell>
          <cell r="B956">
            <v>4821137</v>
          </cell>
          <cell r="C956">
            <v>482113700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A957">
            <v>2</v>
          </cell>
          <cell r="B957">
            <v>4821236</v>
          </cell>
          <cell r="C957">
            <v>482123600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>
            <v>2</v>
          </cell>
          <cell r="B958">
            <v>4821240</v>
          </cell>
          <cell r="C958">
            <v>482124000</v>
          </cell>
          <cell r="I958">
            <v>42600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42600</v>
          </cell>
          <cell r="P958">
            <v>0</v>
          </cell>
        </row>
        <row r="959">
          <cell r="A959">
            <v>2</v>
          </cell>
          <cell r="B959">
            <v>4821301</v>
          </cell>
          <cell r="C959">
            <v>482130103</v>
          </cell>
          <cell r="I959">
            <v>852423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852423</v>
          </cell>
        </row>
        <row r="960">
          <cell r="A960">
            <v>2</v>
          </cell>
          <cell r="B960">
            <v>4821301</v>
          </cell>
          <cell r="C960">
            <v>482130104</v>
          </cell>
          <cell r="I960">
            <v>49993041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49993041</v>
          </cell>
        </row>
        <row r="961">
          <cell r="A961">
            <v>2</v>
          </cell>
          <cell r="B961">
            <v>4821301</v>
          </cell>
          <cell r="C961">
            <v>482130105</v>
          </cell>
          <cell r="I961">
            <v>46908935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46908935</v>
          </cell>
        </row>
        <row r="962">
          <cell r="A962">
            <v>2</v>
          </cell>
          <cell r="B962">
            <v>4821301</v>
          </cell>
          <cell r="C962">
            <v>482130107</v>
          </cell>
          <cell r="I962">
            <v>11072772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11072772</v>
          </cell>
        </row>
        <row r="963">
          <cell r="A963">
            <v>2</v>
          </cell>
          <cell r="B963">
            <v>4821301</v>
          </cell>
          <cell r="C963">
            <v>482130108</v>
          </cell>
          <cell r="I963">
            <v>633019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633019</v>
          </cell>
        </row>
        <row r="964">
          <cell r="A964">
            <v>2</v>
          </cell>
          <cell r="B964">
            <v>4821301</v>
          </cell>
          <cell r="C964">
            <v>482130110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>
            <v>2</v>
          </cell>
          <cell r="B965">
            <v>4821301</v>
          </cell>
          <cell r="C965">
            <v>482130120</v>
          </cell>
          <cell r="I965">
            <v>2787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2787</v>
          </cell>
        </row>
        <row r="966">
          <cell r="A966">
            <v>2</v>
          </cell>
          <cell r="B966">
            <v>4830202</v>
          </cell>
          <cell r="C966">
            <v>483020200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>
            <v>2</v>
          </cell>
          <cell r="B967">
            <v>4830404</v>
          </cell>
          <cell r="C967">
            <v>483040400</v>
          </cell>
          <cell r="I967">
            <v>17509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17509</v>
          </cell>
          <cell r="O967">
            <v>0</v>
          </cell>
          <cell r="P967">
            <v>0</v>
          </cell>
        </row>
        <row r="968">
          <cell r="A968">
            <v>2</v>
          </cell>
          <cell r="B968">
            <v>4830606</v>
          </cell>
          <cell r="C968">
            <v>483060600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>
            <v>2</v>
          </cell>
          <cell r="B969">
            <v>4830607</v>
          </cell>
          <cell r="C969">
            <v>483060700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A970">
            <v>2</v>
          </cell>
          <cell r="B970">
            <v>4830608</v>
          </cell>
          <cell r="C970">
            <v>483060800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A971">
            <v>2</v>
          </cell>
          <cell r="B971">
            <v>4830808</v>
          </cell>
          <cell r="C971">
            <v>483080800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>
            <v>2</v>
          </cell>
          <cell r="B972">
            <v>6155075</v>
          </cell>
          <cell r="C972">
            <v>615507583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A973">
            <v>2</v>
          </cell>
          <cell r="B973">
            <v>6155075</v>
          </cell>
          <cell r="C973">
            <v>615507585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>
            <v>2</v>
          </cell>
          <cell r="B974">
            <v>6155075</v>
          </cell>
          <cell r="C974">
            <v>615507586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A975">
            <v>2</v>
          </cell>
          <cell r="B975">
            <v>6155113</v>
          </cell>
          <cell r="C975">
            <v>615511300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A976">
            <v>2</v>
          </cell>
          <cell r="B976">
            <v>6155175</v>
          </cell>
          <cell r="C976">
            <v>615517583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A977">
            <v>2</v>
          </cell>
          <cell r="B977">
            <v>6155277</v>
          </cell>
          <cell r="C977">
            <v>615527700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A978">
            <v>2</v>
          </cell>
          <cell r="B978">
            <v>6155278</v>
          </cell>
          <cell r="C978">
            <v>615527800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A979">
            <v>2</v>
          </cell>
          <cell r="B979">
            <v>6155301</v>
          </cell>
          <cell r="C979">
            <v>615530102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A980">
            <v>2</v>
          </cell>
          <cell r="B980">
            <v>6155301</v>
          </cell>
          <cell r="C980">
            <v>615530103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A981">
            <v>2</v>
          </cell>
          <cell r="B981">
            <v>6155301</v>
          </cell>
          <cell r="C981">
            <v>615530104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A982">
            <v>2</v>
          </cell>
          <cell r="B982">
            <v>6155301</v>
          </cell>
          <cell r="C982">
            <v>615530105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A983">
            <v>2</v>
          </cell>
          <cell r="B983">
            <v>6155302</v>
          </cell>
          <cell r="C983">
            <v>615530202</v>
          </cell>
          <cell r="I983">
            <v>3280800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3280800</v>
          </cell>
        </row>
        <row r="984">
          <cell r="A984">
            <v>2</v>
          </cell>
          <cell r="B984">
            <v>6155303</v>
          </cell>
          <cell r="C984">
            <v>615530301</v>
          </cell>
          <cell r="I984">
            <v>352080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352080</v>
          </cell>
        </row>
        <row r="985">
          <cell r="A985">
            <v>2</v>
          </cell>
          <cell r="B985">
            <v>6155303</v>
          </cell>
          <cell r="C985">
            <v>615530302</v>
          </cell>
          <cell r="I985">
            <v>240000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240000</v>
          </cell>
        </row>
        <row r="986">
          <cell r="A986">
            <v>2</v>
          </cell>
          <cell r="B986">
            <v>6155303</v>
          </cell>
          <cell r="C986">
            <v>615530303</v>
          </cell>
          <cell r="I986">
            <v>1452330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1452330</v>
          </cell>
        </row>
        <row r="987">
          <cell r="A987">
            <v>2</v>
          </cell>
          <cell r="B987">
            <v>6155303</v>
          </cell>
          <cell r="C987">
            <v>615530304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A988">
            <v>2</v>
          </cell>
          <cell r="B988">
            <v>6155303</v>
          </cell>
          <cell r="C988">
            <v>615530305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A989">
            <v>2</v>
          </cell>
          <cell r="B989">
            <v>6155303</v>
          </cell>
          <cell r="C989">
            <v>615530306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>
            <v>2</v>
          </cell>
          <cell r="B990">
            <v>6155303</v>
          </cell>
          <cell r="C990">
            <v>615530307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>
            <v>2</v>
          </cell>
          <cell r="B991">
            <v>6155303</v>
          </cell>
          <cell r="C991">
            <v>615530310</v>
          </cell>
          <cell r="I991">
            <v>759099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759099</v>
          </cell>
        </row>
        <row r="992">
          <cell r="A992">
            <v>2</v>
          </cell>
          <cell r="B992">
            <v>6155303</v>
          </cell>
          <cell r="C992">
            <v>615530311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>
            <v>2</v>
          </cell>
          <cell r="B993">
            <v>6155303</v>
          </cell>
          <cell r="C993">
            <v>615530314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>
            <v>2</v>
          </cell>
          <cell r="B994">
            <v>6155303</v>
          </cell>
          <cell r="C994">
            <v>615530315</v>
          </cell>
          <cell r="I994">
            <v>300000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300000</v>
          </cell>
        </row>
        <row r="995">
          <cell r="A995">
            <v>2</v>
          </cell>
          <cell r="B995">
            <v>6155303</v>
          </cell>
          <cell r="C995">
            <v>615530316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>
            <v>2</v>
          </cell>
          <cell r="B996">
            <v>6155303</v>
          </cell>
          <cell r="C996">
            <v>615530319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>
            <v>2</v>
          </cell>
          <cell r="B997">
            <v>6155304</v>
          </cell>
          <cell r="C997">
            <v>615530401</v>
          </cell>
          <cell r="I997">
            <v>878362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878362</v>
          </cell>
          <cell r="P997">
            <v>0</v>
          </cell>
        </row>
        <row r="998">
          <cell r="A998">
            <v>2</v>
          </cell>
          <cell r="B998">
            <v>6155304</v>
          </cell>
          <cell r="C998">
            <v>615530402</v>
          </cell>
          <cell r="I998">
            <v>4920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4920</v>
          </cell>
        </row>
        <row r="999">
          <cell r="A999">
            <v>2</v>
          </cell>
          <cell r="B999">
            <v>6155304</v>
          </cell>
          <cell r="C999">
            <v>615530403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>
            <v>2</v>
          </cell>
          <cell r="B1000">
            <v>6155304</v>
          </cell>
          <cell r="C1000">
            <v>615530405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A1001">
            <v>2</v>
          </cell>
          <cell r="B1001">
            <v>6155304</v>
          </cell>
          <cell r="C1001">
            <v>615530406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>
            <v>2</v>
          </cell>
          <cell r="B1002">
            <v>6155304</v>
          </cell>
          <cell r="C1002">
            <v>615530407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A1003">
            <v>2</v>
          </cell>
          <cell r="B1003">
            <v>6155304</v>
          </cell>
          <cell r="C1003">
            <v>615530408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>
            <v>2</v>
          </cell>
          <cell r="B1004">
            <v>6155304</v>
          </cell>
          <cell r="C1004">
            <v>615530410</v>
          </cell>
          <cell r="I1004">
            <v>279305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279305</v>
          </cell>
          <cell r="P1004">
            <v>0</v>
          </cell>
        </row>
        <row r="1005">
          <cell r="A1005">
            <v>2</v>
          </cell>
          <cell r="B1005">
            <v>6155304</v>
          </cell>
          <cell r="C1005">
            <v>615530411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A1006">
            <v>2</v>
          </cell>
          <cell r="B1006">
            <v>6155305</v>
          </cell>
          <cell r="C1006">
            <v>615530500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A1007">
            <v>2</v>
          </cell>
          <cell r="B1007">
            <v>6155307</v>
          </cell>
          <cell r="C1007">
            <v>615530700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>
            <v>2</v>
          </cell>
          <cell r="B1008">
            <v>6155308</v>
          </cell>
          <cell r="C1008">
            <v>615530800</v>
          </cell>
          <cell r="I1008">
            <v>918000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918000</v>
          </cell>
        </row>
        <row r="1009">
          <cell r="A1009">
            <v>2</v>
          </cell>
          <cell r="B1009">
            <v>6155310</v>
          </cell>
          <cell r="C1009">
            <v>615531001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A1010">
            <v>2</v>
          </cell>
          <cell r="B1010">
            <v>6155310</v>
          </cell>
          <cell r="C1010">
            <v>615531002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>
            <v>2</v>
          </cell>
          <cell r="B1011">
            <v>6155310</v>
          </cell>
          <cell r="C1011">
            <v>615531003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>
            <v>2</v>
          </cell>
          <cell r="B1012">
            <v>6155313</v>
          </cell>
          <cell r="C1012">
            <v>615531300</v>
          </cell>
          <cell r="I1012">
            <v>766743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766743</v>
          </cell>
          <cell r="O1012">
            <v>0</v>
          </cell>
          <cell r="P1012">
            <v>0</v>
          </cell>
        </row>
        <row r="1013">
          <cell r="A1013">
            <v>2</v>
          </cell>
          <cell r="B1013">
            <v>6155314</v>
          </cell>
          <cell r="C1013">
            <v>615531400</v>
          </cell>
          <cell r="I1013">
            <v>71900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71900</v>
          </cell>
          <cell r="O1013">
            <v>0</v>
          </cell>
          <cell r="P1013">
            <v>0</v>
          </cell>
        </row>
        <row r="1014">
          <cell r="A1014">
            <v>2</v>
          </cell>
          <cell r="B1014">
            <v>6155315</v>
          </cell>
          <cell r="C1014">
            <v>615531500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>
            <v>2</v>
          </cell>
          <cell r="B1015">
            <v>6155317</v>
          </cell>
          <cell r="C1015">
            <v>615531700</v>
          </cell>
          <cell r="I1015">
            <v>35232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35232</v>
          </cell>
          <cell r="O1015">
            <v>0</v>
          </cell>
          <cell r="P1015">
            <v>0</v>
          </cell>
        </row>
        <row r="1016">
          <cell r="A1016">
            <v>2</v>
          </cell>
          <cell r="B1016">
            <v>6155319</v>
          </cell>
          <cell r="C1016">
            <v>615531900</v>
          </cell>
          <cell r="I1016">
            <v>2241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441</v>
          </cell>
          <cell r="O1016">
            <v>1800</v>
          </cell>
          <cell r="P1016">
            <v>0</v>
          </cell>
        </row>
        <row r="1017">
          <cell r="A1017">
            <v>2</v>
          </cell>
          <cell r="B1017">
            <v>6155320</v>
          </cell>
          <cell r="C1017">
            <v>615532000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>
            <v>2</v>
          </cell>
          <cell r="B1018">
            <v>6155321</v>
          </cell>
          <cell r="C1018">
            <v>615532100</v>
          </cell>
          <cell r="I1018">
            <v>9051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9051</v>
          </cell>
          <cell r="O1018">
            <v>0</v>
          </cell>
          <cell r="P1018">
            <v>0</v>
          </cell>
        </row>
        <row r="1019">
          <cell r="A1019">
            <v>2</v>
          </cell>
          <cell r="B1019">
            <v>6155323</v>
          </cell>
          <cell r="C1019">
            <v>615532300</v>
          </cell>
          <cell r="I1019">
            <v>166925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166925</v>
          </cell>
          <cell r="O1019">
            <v>0</v>
          </cell>
          <cell r="P1019">
            <v>0</v>
          </cell>
        </row>
        <row r="1020">
          <cell r="A1020">
            <v>2</v>
          </cell>
          <cell r="B1020">
            <v>6155324</v>
          </cell>
          <cell r="C1020">
            <v>615532400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>
            <v>2</v>
          </cell>
          <cell r="B1021">
            <v>6155331</v>
          </cell>
          <cell r="C1021">
            <v>615533100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A1022">
            <v>2</v>
          </cell>
          <cell r="B1022">
            <v>6155337</v>
          </cell>
          <cell r="C1022">
            <v>615533700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>
            <v>2</v>
          </cell>
          <cell r="B1023">
            <v>6155339</v>
          </cell>
          <cell r="C1023">
            <v>615533900</v>
          </cell>
          <cell r="I1023">
            <v>28080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28080</v>
          </cell>
          <cell r="P1023">
            <v>0</v>
          </cell>
        </row>
        <row r="1024">
          <cell r="A1024">
            <v>2</v>
          </cell>
          <cell r="B1024">
            <v>6155340</v>
          </cell>
          <cell r="C1024">
            <v>615534000</v>
          </cell>
          <cell r="I1024">
            <v>8200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8200</v>
          </cell>
        </row>
        <row r="1025">
          <cell r="A1025">
            <v>2</v>
          </cell>
          <cell r="B1025">
            <v>6155341</v>
          </cell>
          <cell r="C1025">
            <v>615534100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A1026">
            <v>2</v>
          </cell>
          <cell r="B1026">
            <v>6155365</v>
          </cell>
          <cell r="C1026">
            <v>615536500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>
            <v>2</v>
          </cell>
          <cell r="B1027">
            <v>6155369</v>
          </cell>
          <cell r="C1027">
            <v>615536900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>
            <v>2</v>
          </cell>
          <cell r="B1028">
            <v>6155370</v>
          </cell>
          <cell r="C1028">
            <v>615537000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>
            <v>2</v>
          </cell>
          <cell r="B1029">
            <v>6155371</v>
          </cell>
          <cell r="C1029">
            <v>615537100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>
            <v>2</v>
          </cell>
          <cell r="B1030">
            <v>6155372</v>
          </cell>
          <cell r="C1030">
            <v>615537200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>
            <v>2</v>
          </cell>
          <cell r="B1031">
            <v>6155373</v>
          </cell>
          <cell r="C1031">
            <v>615537300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>
            <v>2</v>
          </cell>
          <cell r="B1032">
            <v>6155374</v>
          </cell>
          <cell r="C1032">
            <v>615537400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>
            <v>2</v>
          </cell>
          <cell r="B1033">
            <v>6155375</v>
          </cell>
          <cell r="C1033">
            <v>615537583</v>
          </cell>
          <cell r="I1033">
            <v>419535338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419535338</v>
          </cell>
          <cell r="O1033">
            <v>0</v>
          </cell>
          <cell r="P1033">
            <v>0</v>
          </cell>
        </row>
        <row r="1034">
          <cell r="A1034">
            <v>2</v>
          </cell>
          <cell r="B1034">
            <v>6155375</v>
          </cell>
          <cell r="C1034">
            <v>615537584</v>
          </cell>
          <cell r="I1034">
            <v>4022728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4022728</v>
          </cell>
        </row>
        <row r="1035">
          <cell r="A1035">
            <v>2</v>
          </cell>
          <cell r="B1035">
            <v>6155375</v>
          </cell>
          <cell r="C1035">
            <v>615537585</v>
          </cell>
          <cell r="I1035">
            <v>12423600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12423600</v>
          </cell>
          <cell r="O1035">
            <v>0</v>
          </cell>
          <cell r="P1035">
            <v>0</v>
          </cell>
        </row>
        <row r="1036">
          <cell r="A1036">
            <v>2</v>
          </cell>
          <cell r="B1036">
            <v>6155375</v>
          </cell>
          <cell r="C1036">
            <v>615537586</v>
          </cell>
          <cell r="I1036">
            <v>7632900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7632900</v>
          </cell>
          <cell r="O1036">
            <v>0</v>
          </cell>
          <cell r="P1036">
            <v>0</v>
          </cell>
        </row>
        <row r="1037">
          <cell r="A1037">
            <v>2</v>
          </cell>
          <cell r="B1037">
            <v>6155375</v>
          </cell>
          <cell r="C1037">
            <v>615537587</v>
          </cell>
          <cell r="I1037">
            <v>45870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45870</v>
          </cell>
          <cell r="O1037">
            <v>0</v>
          </cell>
          <cell r="P1037">
            <v>0</v>
          </cell>
        </row>
        <row r="1038">
          <cell r="A1038">
            <v>2</v>
          </cell>
          <cell r="B1038">
            <v>6155375</v>
          </cell>
          <cell r="C1038">
            <v>615537588</v>
          </cell>
          <cell r="I1038">
            <v>525070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525070</v>
          </cell>
          <cell r="P1038">
            <v>0</v>
          </cell>
        </row>
        <row r="1039">
          <cell r="A1039">
            <v>2</v>
          </cell>
          <cell r="B1039">
            <v>6160101</v>
          </cell>
          <cell r="C1039">
            <v>616010100</v>
          </cell>
          <cell r="I1039">
            <v>274954288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274954288</v>
          </cell>
        </row>
        <row r="1040">
          <cell r="A1040">
            <v>2</v>
          </cell>
          <cell r="B1040">
            <v>6160102</v>
          </cell>
          <cell r="C1040">
            <v>616010200</v>
          </cell>
          <cell r="I1040">
            <v>100000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100000</v>
          </cell>
        </row>
        <row r="1041">
          <cell r="A1041">
            <v>2</v>
          </cell>
          <cell r="B1041">
            <v>6160303</v>
          </cell>
          <cell r="C1041">
            <v>616030300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>
            <v>2</v>
          </cell>
          <cell r="B1042">
            <v>6170208</v>
          </cell>
          <cell r="C1042">
            <v>617020800</v>
          </cell>
          <cell r="I1042">
            <v>1040000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1040000</v>
          </cell>
        </row>
        <row r="1043">
          <cell r="A1043">
            <v>2</v>
          </cell>
          <cell r="B1043">
            <v>6170210</v>
          </cell>
          <cell r="C1043">
            <v>617021000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A1044">
            <v>2</v>
          </cell>
          <cell r="B1044">
            <v>6170212</v>
          </cell>
          <cell r="C1044">
            <v>617021200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A1045">
            <v>2</v>
          </cell>
          <cell r="B1045">
            <v>6170303</v>
          </cell>
          <cell r="C1045">
            <v>617030300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>
            <v>2</v>
          </cell>
          <cell r="B1046">
            <v>6170401</v>
          </cell>
          <cell r="C1046">
            <v>617040100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>
            <v>2</v>
          </cell>
          <cell r="B1047">
            <v>6170402</v>
          </cell>
          <cell r="C1047">
            <v>617040200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>
            <v>2</v>
          </cell>
          <cell r="B1048">
            <v>6170403</v>
          </cell>
          <cell r="C1048">
            <v>617040300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>
            <v>2</v>
          </cell>
          <cell r="B1049">
            <v>6181212</v>
          </cell>
          <cell r="C1049">
            <v>618121200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>
            <v>2</v>
          </cell>
          <cell r="B1050">
            <v>6181414</v>
          </cell>
          <cell r="C1050">
            <v>618141400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>
            <v>2</v>
          </cell>
          <cell r="B1051">
            <v>6182020</v>
          </cell>
          <cell r="C1051">
            <v>618202000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A1052">
            <v>2</v>
          </cell>
          <cell r="B1052">
            <v>6190101</v>
          </cell>
          <cell r="C1052">
            <v>619010100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>
            <v>2</v>
          </cell>
          <cell r="B1053">
            <v>6200101</v>
          </cell>
          <cell r="C1053">
            <v>620010100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A1054">
            <v>2</v>
          </cell>
          <cell r="B1054">
            <v>6210101</v>
          </cell>
          <cell r="C1054">
            <v>621010100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A1055">
            <v>2</v>
          </cell>
          <cell r="B1055">
            <v>6900101</v>
          </cell>
          <cell r="C1055">
            <v>690010100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A1056">
            <v>2</v>
          </cell>
          <cell r="B1056">
            <v>8830823</v>
          </cell>
          <cell r="C1056">
            <v>883082300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>
            <v>2</v>
          </cell>
          <cell r="B1057">
            <v>8831643</v>
          </cell>
          <cell r="C1057">
            <v>883164301</v>
          </cell>
          <cell r="I1057">
            <v>6341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6341</v>
          </cell>
        </row>
        <row r="1058">
          <cell r="A1058">
            <v>2</v>
          </cell>
          <cell r="B1058">
            <v>8831643</v>
          </cell>
          <cell r="C1058">
            <v>883164303</v>
          </cell>
          <cell r="I1058">
            <v>533590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533590</v>
          </cell>
        </row>
        <row r="1059">
          <cell r="A1059">
            <v>2</v>
          </cell>
          <cell r="B1059">
            <v>8831643</v>
          </cell>
          <cell r="C1059">
            <v>883164304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A1060">
            <v>2</v>
          </cell>
          <cell r="B1060">
            <v>8831643</v>
          </cell>
          <cell r="C1060">
            <v>883164305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A1061">
            <v>2</v>
          </cell>
          <cell r="B1061">
            <v>8831701</v>
          </cell>
          <cell r="C1061">
            <v>883170102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>
            <v>2</v>
          </cell>
          <cell r="B1062">
            <v>8831701</v>
          </cell>
          <cell r="C1062">
            <v>883170103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>
            <v>2</v>
          </cell>
          <cell r="B1063">
            <v>8831701</v>
          </cell>
          <cell r="C1063">
            <v>883170104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</row>
        <row r="1064">
          <cell r="A1064">
            <v>2</v>
          </cell>
          <cell r="B1064">
            <v>8831701</v>
          </cell>
          <cell r="C1064">
            <v>883170105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A1065">
            <v>2</v>
          </cell>
          <cell r="B1065">
            <v>8831702</v>
          </cell>
          <cell r="C1065">
            <v>883170202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A1066">
            <v>2</v>
          </cell>
          <cell r="B1066">
            <v>8831703</v>
          </cell>
          <cell r="C1066">
            <v>883170301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A1067">
            <v>2</v>
          </cell>
          <cell r="B1067">
            <v>8831703</v>
          </cell>
          <cell r="C1067">
            <v>883170302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>
            <v>2</v>
          </cell>
          <cell r="B1068">
            <v>8831703</v>
          </cell>
          <cell r="C1068">
            <v>883170303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>
            <v>2</v>
          </cell>
          <cell r="B1069">
            <v>8831703</v>
          </cell>
          <cell r="C1069">
            <v>883170304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>
            <v>2</v>
          </cell>
          <cell r="B1070">
            <v>8831703</v>
          </cell>
          <cell r="C1070">
            <v>883170305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A1071">
            <v>2</v>
          </cell>
          <cell r="B1071">
            <v>8831703</v>
          </cell>
          <cell r="C1071">
            <v>883170306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A1072">
            <v>2</v>
          </cell>
          <cell r="B1072">
            <v>8831703</v>
          </cell>
          <cell r="C1072">
            <v>883170307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A1073">
            <v>2</v>
          </cell>
          <cell r="B1073">
            <v>8831703</v>
          </cell>
          <cell r="C1073">
            <v>883170310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>
            <v>2</v>
          </cell>
          <cell r="B1074">
            <v>8831703</v>
          </cell>
          <cell r="C1074">
            <v>883170311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A1075">
            <v>2</v>
          </cell>
          <cell r="B1075">
            <v>8831703</v>
          </cell>
          <cell r="C1075">
            <v>883170314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A1076">
            <v>2</v>
          </cell>
          <cell r="B1076">
            <v>8831703</v>
          </cell>
          <cell r="C1076">
            <v>883170315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>
            <v>2</v>
          </cell>
          <cell r="B1077">
            <v>8831703</v>
          </cell>
          <cell r="C1077">
            <v>883170316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A1078">
            <v>2</v>
          </cell>
          <cell r="B1078">
            <v>8831704</v>
          </cell>
          <cell r="C1078">
            <v>883170401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A1079">
            <v>2</v>
          </cell>
          <cell r="B1079">
            <v>8831704</v>
          </cell>
          <cell r="C1079">
            <v>883170402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A1080">
            <v>2</v>
          </cell>
          <cell r="B1080">
            <v>8831704</v>
          </cell>
          <cell r="C1080">
            <v>883170403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>
            <v>2</v>
          </cell>
          <cell r="B1081">
            <v>8831704</v>
          </cell>
          <cell r="C1081">
            <v>883170405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>
            <v>2</v>
          </cell>
          <cell r="B1082">
            <v>8831704</v>
          </cell>
          <cell r="C1082">
            <v>883170406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A1083">
            <v>2</v>
          </cell>
          <cell r="B1083">
            <v>8831704</v>
          </cell>
          <cell r="C1083">
            <v>883170407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A1084">
            <v>2</v>
          </cell>
          <cell r="B1084">
            <v>8831704</v>
          </cell>
          <cell r="C1084">
            <v>883170408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>
            <v>2</v>
          </cell>
          <cell r="B1085">
            <v>8831704</v>
          </cell>
          <cell r="C1085">
            <v>883170410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>
            <v>2</v>
          </cell>
          <cell r="B1086">
            <v>8831704</v>
          </cell>
          <cell r="C1086">
            <v>883170411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A1087">
            <v>2</v>
          </cell>
          <cell r="B1087">
            <v>8831705</v>
          </cell>
          <cell r="C1087">
            <v>883170500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A1088">
            <v>2</v>
          </cell>
          <cell r="B1088">
            <v>8831707</v>
          </cell>
          <cell r="C1088">
            <v>883170700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A1089">
            <v>2</v>
          </cell>
          <cell r="B1089">
            <v>8831708</v>
          </cell>
          <cell r="C1089">
            <v>883170800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A1090">
            <v>2</v>
          </cell>
          <cell r="B1090">
            <v>8831710</v>
          </cell>
          <cell r="C1090">
            <v>883171001</v>
          </cell>
          <cell r="I1090">
            <v>3331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3331</v>
          </cell>
          <cell r="O1090">
            <v>0</v>
          </cell>
          <cell r="P1090">
            <v>0</v>
          </cell>
        </row>
        <row r="1091">
          <cell r="A1091">
            <v>2</v>
          </cell>
          <cell r="B1091">
            <v>8831710</v>
          </cell>
          <cell r="C1091">
            <v>883171002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A1092">
            <v>2</v>
          </cell>
          <cell r="B1092">
            <v>8831710</v>
          </cell>
          <cell r="C1092">
            <v>883171003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A1093">
            <v>2</v>
          </cell>
          <cell r="B1093">
            <v>8831713</v>
          </cell>
          <cell r="C1093">
            <v>883171300</v>
          </cell>
          <cell r="I1093">
            <v>48450</v>
          </cell>
          <cell r="J1093">
            <v>0</v>
          </cell>
          <cell r="K1093">
            <v>0</v>
          </cell>
          <cell r="L1093">
            <v>0</v>
          </cell>
          <cell r="M1093">
            <v>2121</v>
          </cell>
          <cell r="N1093">
            <v>46329</v>
          </cell>
          <cell r="O1093">
            <v>0</v>
          </cell>
          <cell r="P1093">
            <v>0</v>
          </cell>
        </row>
        <row r="1094">
          <cell r="A1094">
            <v>2</v>
          </cell>
          <cell r="B1094">
            <v>8831714</v>
          </cell>
          <cell r="C1094">
            <v>883171400</v>
          </cell>
          <cell r="I1094">
            <v>704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704</v>
          </cell>
          <cell r="O1094">
            <v>0</v>
          </cell>
          <cell r="P1094">
            <v>0</v>
          </cell>
        </row>
        <row r="1095">
          <cell r="A1095">
            <v>2</v>
          </cell>
          <cell r="B1095">
            <v>8831715</v>
          </cell>
          <cell r="C1095">
            <v>883171500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A1096">
            <v>2</v>
          </cell>
          <cell r="B1096">
            <v>8831717</v>
          </cell>
          <cell r="C1096">
            <v>883171700</v>
          </cell>
          <cell r="I1096">
            <v>26746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26746</v>
          </cell>
          <cell r="O1096">
            <v>0</v>
          </cell>
          <cell r="P1096">
            <v>0</v>
          </cell>
        </row>
        <row r="1097">
          <cell r="A1097">
            <v>2</v>
          </cell>
          <cell r="B1097">
            <v>8831719</v>
          </cell>
          <cell r="C1097">
            <v>883171900</v>
          </cell>
          <cell r="I1097">
            <v>1304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1246</v>
          </cell>
          <cell r="O1097">
            <v>58</v>
          </cell>
          <cell r="P1097">
            <v>0</v>
          </cell>
        </row>
        <row r="1098">
          <cell r="A1098">
            <v>2</v>
          </cell>
          <cell r="B1098">
            <v>8831720</v>
          </cell>
          <cell r="C1098">
            <v>883172000</v>
          </cell>
          <cell r="I1098">
            <v>29450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2449</v>
          </cell>
          <cell r="O1098">
            <v>27001</v>
          </cell>
          <cell r="P1098">
            <v>0</v>
          </cell>
        </row>
        <row r="1099">
          <cell r="A1099">
            <v>2</v>
          </cell>
          <cell r="B1099">
            <v>8831721</v>
          </cell>
          <cell r="C1099">
            <v>883172100</v>
          </cell>
          <cell r="I1099">
            <v>84624500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84624500</v>
          </cell>
          <cell r="O1099">
            <v>0</v>
          </cell>
          <cell r="P1099">
            <v>0</v>
          </cell>
        </row>
        <row r="1100">
          <cell r="A1100">
            <v>2</v>
          </cell>
          <cell r="B1100">
            <v>8831723</v>
          </cell>
          <cell r="C1100">
            <v>883172300</v>
          </cell>
          <cell r="I1100">
            <v>6873329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6873329</v>
          </cell>
          <cell r="O1100">
            <v>0</v>
          </cell>
          <cell r="P1100">
            <v>0</v>
          </cell>
        </row>
        <row r="1101">
          <cell r="A1101">
            <v>2</v>
          </cell>
          <cell r="B1101">
            <v>8831724</v>
          </cell>
          <cell r="C1101">
            <v>883172400</v>
          </cell>
          <cell r="I1101">
            <v>4513894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4513894</v>
          </cell>
          <cell r="O1101">
            <v>0</v>
          </cell>
          <cell r="P1101">
            <v>0</v>
          </cell>
        </row>
        <row r="1102">
          <cell r="A1102">
            <v>2</v>
          </cell>
          <cell r="B1102">
            <v>8831725</v>
          </cell>
          <cell r="C1102">
            <v>883172500</v>
          </cell>
          <cell r="I1102">
            <v>9753471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9753471</v>
          </cell>
          <cell r="O1102">
            <v>0</v>
          </cell>
          <cell r="P1102">
            <v>0</v>
          </cell>
        </row>
        <row r="1103">
          <cell r="A1103">
            <v>2</v>
          </cell>
          <cell r="B1103">
            <v>8831728</v>
          </cell>
          <cell r="C1103">
            <v>883172866</v>
          </cell>
          <cell r="I1103">
            <v>39778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39778</v>
          </cell>
          <cell r="O1103">
            <v>0</v>
          </cell>
          <cell r="P1103">
            <v>0</v>
          </cell>
        </row>
        <row r="1104">
          <cell r="A1104">
            <v>2</v>
          </cell>
          <cell r="B1104">
            <v>8831728</v>
          </cell>
          <cell r="C1104">
            <v>883172867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A1105">
            <v>2</v>
          </cell>
          <cell r="B1105">
            <v>8831729</v>
          </cell>
          <cell r="C1105">
            <v>883172900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</row>
        <row r="1106">
          <cell r="A1106">
            <v>2</v>
          </cell>
          <cell r="B1106">
            <v>8831730</v>
          </cell>
          <cell r="C1106">
            <v>883173000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>
            <v>2</v>
          </cell>
          <cell r="B1107">
            <v>8831731</v>
          </cell>
          <cell r="C1107">
            <v>883173100</v>
          </cell>
          <cell r="I1107">
            <v>998517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966295</v>
          </cell>
          <cell r="O1107">
            <v>0</v>
          </cell>
          <cell r="P1107">
            <v>32222</v>
          </cell>
        </row>
        <row r="1108">
          <cell r="A1108">
            <v>2</v>
          </cell>
          <cell r="B1108">
            <v>8831733</v>
          </cell>
          <cell r="C1108">
            <v>883173300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A1109">
            <v>2</v>
          </cell>
          <cell r="B1109">
            <v>8831736</v>
          </cell>
          <cell r="C1109">
            <v>883173600</v>
          </cell>
          <cell r="I1109">
            <v>26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26</v>
          </cell>
          <cell r="O1109">
            <v>0</v>
          </cell>
          <cell r="P1109">
            <v>0</v>
          </cell>
        </row>
        <row r="1110">
          <cell r="A1110">
            <v>2</v>
          </cell>
          <cell r="B1110">
            <v>8831737</v>
          </cell>
          <cell r="C1110">
            <v>883173700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A1111">
            <v>2</v>
          </cell>
          <cell r="B1111">
            <v>8831739</v>
          </cell>
          <cell r="C1111">
            <v>883173900</v>
          </cell>
          <cell r="I1111">
            <v>77348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77348</v>
          </cell>
          <cell r="P1111">
            <v>0</v>
          </cell>
        </row>
        <row r="1112">
          <cell r="A1112">
            <v>2</v>
          </cell>
          <cell r="B1112">
            <v>8831740</v>
          </cell>
          <cell r="C1112">
            <v>883174000</v>
          </cell>
          <cell r="I1112">
            <v>58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58</v>
          </cell>
        </row>
        <row r="1113">
          <cell r="A1113">
            <v>2</v>
          </cell>
          <cell r="B1113">
            <v>8831741</v>
          </cell>
          <cell r="C1113">
            <v>883174100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>
            <v>2</v>
          </cell>
          <cell r="B1114">
            <v>8831742</v>
          </cell>
          <cell r="C1114">
            <v>883174201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>
            <v>2</v>
          </cell>
          <cell r="B1115">
            <v>8831742</v>
          </cell>
          <cell r="C1115">
            <v>883174202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A1116">
            <v>2</v>
          </cell>
          <cell r="B1116">
            <v>8832043</v>
          </cell>
          <cell r="C1116">
            <v>883204370</v>
          </cell>
          <cell r="I1116">
            <v>10270824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10270824</v>
          </cell>
        </row>
        <row r="1117">
          <cell r="A1117">
            <v>2</v>
          </cell>
          <cell r="B1117">
            <v>8832043</v>
          </cell>
          <cell r="C1117">
            <v>883204371</v>
          </cell>
          <cell r="I1117">
            <v>212330673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212330673</v>
          </cell>
        </row>
        <row r="1118">
          <cell r="A1118">
            <v>2</v>
          </cell>
          <cell r="B1118">
            <v>8832043</v>
          </cell>
          <cell r="C1118">
            <v>883204372</v>
          </cell>
          <cell r="I1118">
            <v>74683472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74683472</v>
          </cell>
        </row>
        <row r="1119">
          <cell r="A1119">
            <v>2</v>
          </cell>
          <cell r="B1119">
            <v>8832043</v>
          </cell>
          <cell r="C1119">
            <v>883204373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A1120">
            <v>2</v>
          </cell>
          <cell r="B1120">
            <v>8832043</v>
          </cell>
          <cell r="C1120">
            <v>883204374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</row>
        <row r="1121">
          <cell r="A1121">
            <v>2</v>
          </cell>
          <cell r="B1121">
            <v>8832044</v>
          </cell>
          <cell r="C1121">
            <v>883204475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>
            <v>2</v>
          </cell>
          <cell r="B1122">
            <v>8832044</v>
          </cell>
          <cell r="C1122">
            <v>883204476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>
            <v>2</v>
          </cell>
          <cell r="B1123">
            <v>8832044</v>
          </cell>
          <cell r="C1123">
            <v>883204477</v>
          </cell>
          <cell r="I1123">
            <v>7049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7049</v>
          </cell>
        </row>
        <row r="1124">
          <cell r="A1124">
            <v>2</v>
          </cell>
          <cell r="B1124">
            <v>8832246</v>
          </cell>
          <cell r="C1124">
            <v>883224600</v>
          </cell>
          <cell r="I1124">
            <v>1767155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1767155</v>
          </cell>
        </row>
        <row r="1125">
          <cell r="A1125">
            <v>2</v>
          </cell>
          <cell r="B1125">
            <v>8832247</v>
          </cell>
          <cell r="C1125">
            <v>883224700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>
            <v>2</v>
          </cell>
          <cell r="B1126">
            <v>8840251</v>
          </cell>
          <cell r="C1126">
            <v>884025180</v>
          </cell>
          <cell r="I1126">
            <v>84315300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84315300</v>
          </cell>
          <cell r="P1126">
            <v>0</v>
          </cell>
        </row>
        <row r="1127">
          <cell r="A1127">
            <v>2</v>
          </cell>
          <cell r="B1127">
            <v>8840251</v>
          </cell>
          <cell r="C1127">
            <v>884025181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>
            <v>2</v>
          </cell>
          <cell r="B1128">
            <v>8840252</v>
          </cell>
          <cell r="C1128">
            <v>884025200</v>
          </cell>
          <cell r="I1128">
            <v>244627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244627</v>
          </cell>
          <cell r="O1128">
            <v>0</v>
          </cell>
          <cell r="P1128">
            <v>0</v>
          </cell>
        </row>
        <row r="1129">
          <cell r="A1129">
            <v>2</v>
          </cell>
          <cell r="B1129">
            <v>8840253</v>
          </cell>
          <cell r="C1129">
            <v>884025300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>
            <v>2</v>
          </cell>
          <cell r="B1130">
            <v>8840254</v>
          </cell>
          <cell r="C1130">
            <v>884025400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A1131">
            <v>2</v>
          </cell>
          <cell r="B1131">
            <v>8840255</v>
          </cell>
          <cell r="C1131">
            <v>884025500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A1132">
            <v>2</v>
          </cell>
          <cell r="B1132">
            <v>8840456</v>
          </cell>
          <cell r="C1132">
            <v>884045600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A1133">
            <v>2</v>
          </cell>
          <cell r="B1133">
            <v>8840457</v>
          </cell>
          <cell r="C1133">
            <v>884045700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A1134">
            <v>2</v>
          </cell>
          <cell r="B1134">
            <v>8840458</v>
          </cell>
          <cell r="C1134">
            <v>884045800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>
            <v>2</v>
          </cell>
          <cell r="B1135">
            <v>8840559</v>
          </cell>
          <cell r="C1135">
            <v>884055900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A1136">
            <v>2</v>
          </cell>
          <cell r="B1136">
            <v>8840662</v>
          </cell>
          <cell r="C1136">
            <v>884066200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A1137">
            <v>2</v>
          </cell>
          <cell r="B1137">
            <v>8840663</v>
          </cell>
          <cell r="C1137">
            <v>884066300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>
            <v>2</v>
          </cell>
          <cell r="B1138">
            <v>8850202</v>
          </cell>
          <cell r="C1138">
            <v>885020200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>
            <v>2</v>
          </cell>
          <cell r="B1139">
            <v>8850404</v>
          </cell>
          <cell r="C1139">
            <v>885040400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>
            <v>2</v>
          </cell>
          <cell r="B1140">
            <v>8850606</v>
          </cell>
          <cell r="C1140">
            <v>885060600</v>
          </cell>
          <cell r="I1140">
            <v>160124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160124</v>
          </cell>
          <cell r="O1140">
            <v>0</v>
          </cell>
          <cell r="P1140">
            <v>0</v>
          </cell>
        </row>
        <row r="1141">
          <cell r="A1141">
            <v>2</v>
          </cell>
          <cell r="B1141">
            <v>8850808</v>
          </cell>
          <cell r="C1141">
            <v>885080800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>
            <v>2</v>
          </cell>
          <cell r="B1142">
            <v>8851010</v>
          </cell>
          <cell r="C1142">
            <v>885101000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>
            <v>2</v>
          </cell>
          <cell r="B1143">
            <v>8900101</v>
          </cell>
          <cell r="C1143">
            <v>890010100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A1144">
            <v>3</v>
          </cell>
          <cell r="B1144">
            <v>1120110</v>
          </cell>
          <cell r="C1144">
            <v>112011010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A1145">
            <v>3</v>
          </cell>
          <cell r="B1145">
            <v>1120110</v>
          </cell>
          <cell r="C1145">
            <v>112011011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>
            <v>3</v>
          </cell>
          <cell r="B1146">
            <v>1120111</v>
          </cell>
          <cell r="C1146">
            <v>112011100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A1147">
            <v>3</v>
          </cell>
          <cell r="B1147">
            <v>1120112</v>
          </cell>
          <cell r="C1147">
            <v>112011200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A1148">
            <v>3</v>
          </cell>
          <cell r="B1148">
            <v>1120113</v>
          </cell>
          <cell r="C1148">
            <v>112011300</v>
          </cell>
          <cell r="I1148">
            <v>213400000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213400000</v>
          </cell>
        </row>
        <row r="1149">
          <cell r="A1149">
            <v>3</v>
          </cell>
          <cell r="B1149">
            <v>1120114</v>
          </cell>
          <cell r="C1149">
            <v>112011400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A1150">
            <v>3</v>
          </cell>
          <cell r="B1150">
            <v>1120115</v>
          </cell>
          <cell r="C1150">
            <v>112011500</v>
          </cell>
          <cell r="I1150">
            <v>109400000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109400000</v>
          </cell>
        </row>
        <row r="1151">
          <cell r="A1151">
            <v>3</v>
          </cell>
          <cell r="B1151">
            <v>1120116</v>
          </cell>
          <cell r="C1151">
            <v>112011600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A1152">
            <v>3</v>
          </cell>
          <cell r="B1152">
            <v>1120210</v>
          </cell>
          <cell r="C1152">
            <v>112021000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>
            <v>3</v>
          </cell>
          <cell r="B1153">
            <v>1120220</v>
          </cell>
          <cell r="C1153">
            <v>112022000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A1154">
            <v>3</v>
          </cell>
          <cell r="B1154">
            <v>1120230</v>
          </cell>
          <cell r="C1154">
            <v>112023000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>
            <v>3</v>
          </cell>
          <cell r="B1155">
            <v>1140303</v>
          </cell>
          <cell r="C1155">
            <v>114030300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>
            <v>3</v>
          </cell>
          <cell r="B1156">
            <v>1160101</v>
          </cell>
          <cell r="C1156">
            <v>116010100</v>
          </cell>
          <cell r="I1156">
            <v>17796000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17796000</v>
          </cell>
        </row>
        <row r="1157">
          <cell r="A1157">
            <v>3</v>
          </cell>
          <cell r="B1157">
            <v>1160202</v>
          </cell>
          <cell r="C1157">
            <v>116020200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A1158">
            <v>3</v>
          </cell>
          <cell r="B1158">
            <v>1180401</v>
          </cell>
          <cell r="C1158">
            <v>118040100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A1159">
            <v>3</v>
          </cell>
          <cell r="B1159">
            <v>1180402</v>
          </cell>
          <cell r="C1159">
            <v>118040200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A1160">
            <v>3</v>
          </cell>
          <cell r="B1160">
            <v>1180403</v>
          </cell>
          <cell r="C1160">
            <v>118040300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>
            <v>3</v>
          </cell>
          <cell r="B1161">
            <v>1180404</v>
          </cell>
          <cell r="C1161">
            <v>118040400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>
            <v>3</v>
          </cell>
          <cell r="B1162">
            <v>1190401</v>
          </cell>
          <cell r="C1162">
            <v>119040100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A1163">
            <v>3</v>
          </cell>
          <cell r="B1163">
            <v>1200630</v>
          </cell>
          <cell r="C1163">
            <v>120063000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A1164">
            <v>3</v>
          </cell>
          <cell r="B1164">
            <v>1300831</v>
          </cell>
          <cell r="C1164">
            <v>130083100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A1165">
            <v>3</v>
          </cell>
          <cell r="B1165">
            <v>1401010</v>
          </cell>
          <cell r="C1165">
            <v>140101000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>
            <v>3</v>
          </cell>
          <cell r="B1166">
            <v>1600101</v>
          </cell>
          <cell r="C1166">
            <v>160010100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>
            <v>3</v>
          </cell>
          <cell r="B1167">
            <v>1800707</v>
          </cell>
          <cell r="C1167">
            <v>180070700</v>
          </cell>
          <cell r="I1167">
            <v>14115880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14115880</v>
          </cell>
        </row>
        <row r="1168">
          <cell r="A1168">
            <v>3</v>
          </cell>
          <cell r="B1168">
            <v>1800808</v>
          </cell>
          <cell r="C1168">
            <v>180080800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>
            <v>3</v>
          </cell>
          <cell r="B1169">
            <v>1820101</v>
          </cell>
          <cell r="C1169">
            <v>182010100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>
            <v>3</v>
          </cell>
          <cell r="B1170">
            <v>1840102</v>
          </cell>
          <cell r="C1170">
            <v>184010200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A1171">
            <v>3</v>
          </cell>
          <cell r="B1171">
            <v>1840304</v>
          </cell>
          <cell r="C1171">
            <v>184030400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A1172">
            <v>3</v>
          </cell>
          <cell r="B1172">
            <v>1840305</v>
          </cell>
          <cell r="C1172">
            <v>184030500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A1173">
            <v>3</v>
          </cell>
          <cell r="B1173">
            <v>1840306</v>
          </cell>
          <cell r="C1173">
            <v>184030600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A1174">
            <v>3</v>
          </cell>
          <cell r="B1174">
            <v>1840512</v>
          </cell>
          <cell r="C1174">
            <v>184051200</v>
          </cell>
          <cell r="I1174">
            <v>738000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738000</v>
          </cell>
        </row>
        <row r="1175">
          <cell r="A1175">
            <v>3</v>
          </cell>
          <cell r="B1175">
            <v>1840513</v>
          </cell>
          <cell r="C1175">
            <v>184051300</v>
          </cell>
          <cell r="I1175">
            <v>350000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350000</v>
          </cell>
        </row>
        <row r="1176">
          <cell r="A1176">
            <v>3</v>
          </cell>
          <cell r="B1176">
            <v>1840514</v>
          </cell>
          <cell r="C1176">
            <v>184051400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A1177">
            <v>3</v>
          </cell>
          <cell r="B1177">
            <v>1860303</v>
          </cell>
          <cell r="C1177">
            <v>186030300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A1178">
            <v>3</v>
          </cell>
          <cell r="B1178">
            <v>1880101</v>
          </cell>
          <cell r="C1178">
            <v>188010100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>
            <v>3</v>
          </cell>
          <cell r="B1179">
            <v>1880202</v>
          </cell>
          <cell r="C1179">
            <v>188020200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A1180">
            <v>3</v>
          </cell>
          <cell r="B1180">
            <v>1900101</v>
          </cell>
          <cell r="C1180">
            <v>190010100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>
            <v>3</v>
          </cell>
          <cell r="B1181">
            <v>1900202</v>
          </cell>
          <cell r="C1181">
            <v>190020200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A1182">
            <v>3</v>
          </cell>
          <cell r="B1182">
            <v>1900303</v>
          </cell>
          <cell r="C1182">
            <v>190030300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>
            <v>3</v>
          </cell>
          <cell r="B1183">
            <v>4810202</v>
          </cell>
          <cell r="C1183">
            <v>481020200</v>
          </cell>
          <cell r="I1183">
            <v>110725924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110725924</v>
          </cell>
          <cell r="O1183">
            <v>0</v>
          </cell>
          <cell r="P1183">
            <v>0</v>
          </cell>
        </row>
        <row r="1184">
          <cell r="A1184">
            <v>3</v>
          </cell>
          <cell r="B1184">
            <v>4810404</v>
          </cell>
          <cell r="C1184">
            <v>481040411</v>
          </cell>
          <cell r="I1184">
            <v>499344000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499344000</v>
          </cell>
        </row>
        <row r="1185">
          <cell r="A1185">
            <v>3</v>
          </cell>
          <cell r="B1185">
            <v>4810404</v>
          </cell>
          <cell r="C1185">
            <v>481040412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>
            <v>3</v>
          </cell>
          <cell r="B1186">
            <v>4810404</v>
          </cell>
          <cell r="C1186">
            <v>481040413</v>
          </cell>
          <cell r="I1186">
            <v>114000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114000</v>
          </cell>
        </row>
        <row r="1187">
          <cell r="A1187">
            <v>3</v>
          </cell>
          <cell r="B1187">
            <v>4810404</v>
          </cell>
          <cell r="C1187">
            <v>481040415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>
            <v>3</v>
          </cell>
          <cell r="B1188">
            <v>4810406</v>
          </cell>
          <cell r="C1188">
            <v>481040600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A1189">
            <v>3</v>
          </cell>
          <cell r="B1189">
            <v>4810408</v>
          </cell>
          <cell r="C1189">
            <v>481040800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>
            <v>3</v>
          </cell>
          <cell r="B1190">
            <v>4810409</v>
          </cell>
          <cell r="C1190">
            <v>481040900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>
            <v>3</v>
          </cell>
          <cell r="B1191">
            <v>4811214</v>
          </cell>
          <cell r="C1191">
            <v>481121400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>
            <v>3</v>
          </cell>
          <cell r="B1192">
            <v>4811417</v>
          </cell>
          <cell r="C1192">
            <v>481141700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>
            <v>3</v>
          </cell>
          <cell r="B1193">
            <v>4811418</v>
          </cell>
          <cell r="C1193">
            <v>481141800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>
            <v>3</v>
          </cell>
          <cell r="B1194">
            <v>4811419</v>
          </cell>
          <cell r="C1194">
            <v>481141915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>
            <v>3</v>
          </cell>
          <cell r="B1195">
            <v>4811419</v>
          </cell>
          <cell r="C1195">
            <v>481141916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>
            <v>3</v>
          </cell>
          <cell r="B1196">
            <v>4811419</v>
          </cell>
          <cell r="C1196">
            <v>481141917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>
            <v>3</v>
          </cell>
          <cell r="B1197">
            <v>4811420</v>
          </cell>
          <cell r="C1197">
            <v>481142000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>
            <v>3</v>
          </cell>
          <cell r="B1198">
            <v>4820221</v>
          </cell>
          <cell r="C1198">
            <v>482022100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A1199">
            <v>3</v>
          </cell>
          <cell r="B1199">
            <v>4820222</v>
          </cell>
          <cell r="C1199">
            <v>482022200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A1200">
            <v>3</v>
          </cell>
          <cell r="B1200">
            <v>4820224</v>
          </cell>
          <cell r="C1200">
            <v>482022400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A1201">
            <v>3</v>
          </cell>
          <cell r="B1201">
            <v>4820427</v>
          </cell>
          <cell r="C1201">
            <v>482042700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2">
          <cell r="A1202">
            <v>3</v>
          </cell>
          <cell r="B1202">
            <v>4820428</v>
          </cell>
          <cell r="C1202">
            <v>482042800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A1203">
            <v>3</v>
          </cell>
          <cell r="B1203">
            <v>4820429</v>
          </cell>
          <cell r="C1203">
            <v>482042900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A1204">
            <v>3</v>
          </cell>
          <cell r="B1204">
            <v>4820501</v>
          </cell>
          <cell r="C1204">
            <v>482050100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A1205">
            <v>3</v>
          </cell>
          <cell r="B1205">
            <v>4820630</v>
          </cell>
          <cell r="C1205">
            <v>482063000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>
            <v>3</v>
          </cell>
          <cell r="B1206">
            <v>4820831</v>
          </cell>
          <cell r="C1206">
            <v>482083100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>
            <v>3</v>
          </cell>
          <cell r="B1207">
            <v>4820932</v>
          </cell>
          <cell r="C1207">
            <v>482093200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>
            <v>3</v>
          </cell>
          <cell r="B1208">
            <v>4820933</v>
          </cell>
          <cell r="C1208">
            <v>482093300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>
            <v>3</v>
          </cell>
          <cell r="B1209">
            <v>4821034</v>
          </cell>
          <cell r="C1209">
            <v>482103411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>
            <v>3</v>
          </cell>
          <cell r="B1210">
            <v>4821034</v>
          </cell>
          <cell r="C1210">
            <v>482103412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>
            <v>3</v>
          </cell>
          <cell r="B1211">
            <v>4821034</v>
          </cell>
          <cell r="C1211">
            <v>482103413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>
            <v>3</v>
          </cell>
          <cell r="B1212">
            <v>4821034</v>
          </cell>
          <cell r="C1212">
            <v>482103414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>
            <v>3</v>
          </cell>
          <cell r="B1213">
            <v>4821035</v>
          </cell>
          <cell r="C1213">
            <v>482103500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>
            <v>3</v>
          </cell>
          <cell r="B1214">
            <v>4821137</v>
          </cell>
          <cell r="C1214">
            <v>482113700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>
            <v>3</v>
          </cell>
          <cell r="B1215">
            <v>4821236</v>
          </cell>
          <cell r="C1215">
            <v>482123600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>
            <v>3</v>
          </cell>
          <cell r="B1216">
            <v>4821240</v>
          </cell>
          <cell r="C1216">
            <v>482124000</v>
          </cell>
          <cell r="I1216">
            <v>59650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59650</v>
          </cell>
          <cell r="P1216">
            <v>0</v>
          </cell>
        </row>
        <row r="1217">
          <cell r="A1217">
            <v>3</v>
          </cell>
          <cell r="B1217">
            <v>4821301</v>
          </cell>
          <cell r="C1217">
            <v>482130103</v>
          </cell>
          <cell r="I1217">
            <v>555546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555546</v>
          </cell>
        </row>
        <row r="1218">
          <cell r="A1218">
            <v>3</v>
          </cell>
          <cell r="B1218">
            <v>4821301</v>
          </cell>
          <cell r="C1218">
            <v>482130104</v>
          </cell>
          <cell r="I1218">
            <v>60541484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60541484</v>
          </cell>
        </row>
        <row r="1219">
          <cell r="A1219">
            <v>3</v>
          </cell>
          <cell r="B1219">
            <v>4821301</v>
          </cell>
          <cell r="C1219">
            <v>482130105</v>
          </cell>
          <cell r="I1219">
            <v>135768482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135768482</v>
          </cell>
        </row>
        <row r="1220">
          <cell r="A1220">
            <v>3</v>
          </cell>
          <cell r="B1220">
            <v>4821301</v>
          </cell>
          <cell r="C1220">
            <v>482130107</v>
          </cell>
          <cell r="I1220">
            <v>17689764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17689764</v>
          </cell>
        </row>
        <row r="1221">
          <cell r="A1221">
            <v>3</v>
          </cell>
          <cell r="B1221">
            <v>4821301</v>
          </cell>
          <cell r="C1221">
            <v>482130108</v>
          </cell>
          <cell r="I1221">
            <v>9543665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9543665</v>
          </cell>
        </row>
        <row r="1222">
          <cell r="A1222">
            <v>3</v>
          </cell>
          <cell r="B1222">
            <v>4821301</v>
          </cell>
          <cell r="C1222">
            <v>482130110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>
            <v>3</v>
          </cell>
          <cell r="B1223">
            <v>4821301</v>
          </cell>
          <cell r="C1223">
            <v>482130120</v>
          </cell>
          <cell r="I1223">
            <v>51782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51782</v>
          </cell>
        </row>
        <row r="1224">
          <cell r="A1224">
            <v>3</v>
          </cell>
          <cell r="B1224">
            <v>4830202</v>
          </cell>
          <cell r="C1224">
            <v>483020200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A1225">
            <v>3</v>
          </cell>
          <cell r="B1225">
            <v>4830404</v>
          </cell>
          <cell r="C1225">
            <v>483040400</v>
          </cell>
          <cell r="I1225">
            <v>41186</v>
          </cell>
          <cell r="J1225">
            <v>0</v>
          </cell>
          <cell r="K1225">
            <v>0</v>
          </cell>
          <cell r="L1225">
            <v>10517</v>
          </cell>
          <cell r="M1225">
            <v>0</v>
          </cell>
          <cell r="N1225">
            <v>30669</v>
          </cell>
          <cell r="O1225">
            <v>0</v>
          </cell>
          <cell r="P1225">
            <v>0</v>
          </cell>
        </row>
        <row r="1226">
          <cell r="A1226">
            <v>3</v>
          </cell>
          <cell r="B1226">
            <v>4830606</v>
          </cell>
          <cell r="C1226">
            <v>483060600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A1227">
            <v>3</v>
          </cell>
          <cell r="B1227">
            <v>4830607</v>
          </cell>
          <cell r="C1227">
            <v>483060700</v>
          </cell>
          <cell r="I1227">
            <v>27547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27547</v>
          </cell>
        </row>
        <row r="1228">
          <cell r="A1228">
            <v>3</v>
          </cell>
          <cell r="B1228">
            <v>4830608</v>
          </cell>
          <cell r="C1228">
            <v>483060800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>
            <v>3</v>
          </cell>
          <cell r="B1229">
            <v>4830808</v>
          </cell>
          <cell r="C1229">
            <v>483080800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>
            <v>3</v>
          </cell>
          <cell r="B1230">
            <v>6155069</v>
          </cell>
          <cell r="C1230">
            <v>615506900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A1231">
            <v>3</v>
          </cell>
          <cell r="B1231">
            <v>6155075</v>
          </cell>
          <cell r="C1231">
            <v>615507583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>
            <v>3</v>
          </cell>
          <cell r="B1232">
            <v>6155075</v>
          </cell>
          <cell r="C1232">
            <v>615507585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>
            <v>3</v>
          </cell>
          <cell r="B1233">
            <v>6155075</v>
          </cell>
          <cell r="C1233">
            <v>615507586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A1234">
            <v>3</v>
          </cell>
          <cell r="B1234">
            <v>6155301</v>
          </cell>
          <cell r="C1234">
            <v>615530102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>
            <v>3</v>
          </cell>
          <cell r="B1235">
            <v>6155301</v>
          </cell>
          <cell r="C1235">
            <v>615530103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A1236">
            <v>3</v>
          </cell>
          <cell r="B1236">
            <v>6155301</v>
          </cell>
          <cell r="C1236">
            <v>615530104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>
            <v>3</v>
          </cell>
          <cell r="B1237">
            <v>6155301</v>
          </cell>
          <cell r="C1237">
            <v>615530105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A1238">
            <v>3</v>
          </cell>
          <cell r="B1238">
            <v>6155302</v>
          </cell>
          <cell r="C1238">
            <v>615530202</v>
          </cell>
          <cell r="I1238">
            <v>3978000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3978000</v>
          </cell>
        </row>
        <row r="1239">
          <cell r="A1239">
            <v>3</v>
          </cell>
          <cell r="B1239">
            <v>6155303</v>
          </cell>
          <cell r="C1239">
            <v>615530301</v>
          </cell>
          <cell r="I1239">
            <v>397800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397800</v>
          </cell>
        </row>
        <row r="1240">
          <cell r="A1240">
            <v>3</v>
          </cell>
          <cell r="B1240">
            <v>6155303</v>
          </cell>
          <cell r="C1240">
            <v>615530302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>
            <v>3</v>
          </cell>
          <cell r="B1241">
            <v>6155303</v>
          </cell>
          <cell r="C1241">
            <v>615530303</v>
          </cell>
          <cell r="I1241">
            <v>1722969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1722969</v>
          </cell>
        </row>
        <row r="1242">
          <cell r="A1242">
            <v>3</v>
          </cell>
          <cell r="B1242">
            <v>6155303</v>
          </cell>
          <cell r="C1242">
            <v>615530304</v>
          </cell>
          <cell r="I1242">
            <v>242040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242040</v>
          </cell>
          <cell r="O1242">
            <v>0</v>
          </cell>
          <cell r="P1242">
            <v>0</v>
          </cell>
        </row>
        <row r="1243">
          <cell r="A1243">
            <v>3</v>
          </cell>
          <cell r="B1243">
            <v>6155303</v>
          </cell>
          <cell r="C1243">
            <v>615530305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>
            <v>3</v>
          </cell>
          <cell r="B1244">
            <v>6155303</v>
          </cell>
          <cell r="C1244">
            <v>615530306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>
            <v>3</v>
          </cell>
          <cell r="B1245">
            <v>6155303</v>
          </cell>
          <cell r="C1245">
            <v>615530307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>
            <v>3</v>
          </cell>
          <cell r="B1246">
            <v>6155303</v>
          </cell>
          <cell r="C1246">
            <v>615530310</v>
          </cell>
          <cell r="I1246">
            <v>631575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631575</v>
          </cell>
        </row>
        <row r="1247">
          <cell r="A1247">
            <v>3</v>
          </cell>
          <cell r="B1247">
            <v>6155303</v>
          </cell>
          <cell r="C1247">
            <v>615530311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>
            <v>3</v>
          </cell>
          <cell r="B1248">
            <v>6155303</v>
          </cell>
          <cell r="C1248">
            <v>615530314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A1249">
            <v>3</v>
          </cell>
          <cell r="B1249">
            <v>6155303</v>
          </cell>
          <cell r="C1249">
            <v>615530315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A1250">
            <v>3</v>
          </cell>
          <cell r="B1250">
            <v>6155303</v>
          </cell>
          <cell r="C1250">
            <v>615530316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A1251">
            <v>3</v>
          </cell>
          <cell r="B1251">
            <v>6155303</v>
          </cell>
          <cell r="C1251">
            <v>615530319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>
            <v>3</v>
          </cell>
          <cell r="B1252">
            <v>6155304</v>
          </cell>
          <cell r="C1252">
            <v>615530401</v>
          </cell>
          <cell r="I1252">
            <v>1040529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1040529</v>
          </cell>
          <cell r="P1252">
            <v>0</v>
          </cell>
        </row>
        <row r="1253">
          <cell r="A1253">
            <v>3</v>
          </cell>
          <cell r="B1253">
            <v>6155304</v>
          </cell>
          <cell r="C1253">
            <v>615530402</v>
          </cell>
          <cell r="I1253">
            <v>5964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5964</v>
          </cell>
        </row>
        <row r="1254">
          <cell r="A1254">
            <v>3</v>
          </cell>
          <cell r="B1254">
            <v>6155304</v>
          </cell>
          <cell r="C1254">
            <v>615530403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>
            <v>3</v>
          </cell>
          <cell r="B1255">
            <v>6155304</v>
          </cell>
          <cell r="C1255">
            <v>615530405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>
            <v>3</v>
          </cell>
          <cell r="B1256">
            <v>6155304</v>
          </cell>
          <cell r="C1256">
            <v>615530406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>
            <v>3</v>
          </cell>
          <cell r="B1257">
            <v>6155304</v>
          </cell>
          <cell r="C1257">
            <v>615530407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>
            <v>3</v>
          </cell>
          <cell r="B1258">
            <v>6155304</v>
          </cell>
          <cell r="C1258">
            <v>615530408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>
            <v>3</v>
          </cell>
          <cell r="B1259">
            <v>6155304</v>
          </cell>
          <cell r="C1259">
            <v>615530410</v>
          </cell>
          <cell r="I1259">
            <v>395370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395370</v>
          </cell>
          <cell r="P1259">
            <v>0</v>
          </cell>
        </row>
        <row r="1260">
          <cell r="A1260">
            <v>3</v>
          </cell>
          <cell r="B1260">
            <v>6155304</v>
          </cell>
          <cell r="C1260">
            <v>615530411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>
            <v>3</v>
          </cell>
          <cell r="B1261">
            <v>6155305</v>
          </cell>
          <cell r="C1261">
            <v>615530500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>
            <v>3</v>
          </cell>
          <cell r="B1262">
            <v>6155307</v>
          </cell>
          <cell r="C1262">
            <v>615530700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>
            <v>3</v>
          </cell>
          <cell r="B1263">
            <v>6155308</v>
          </cell>
          <cell r="C1263">
            <v>615530800</v>
          </cell>
          <cell r="I1263">
            <v>798400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798400</v>
          </cell>
        </row>
        <row r="1264">
          <cell r="A1264">
            <v>3</v>
          </cell>
          <cell r="B1264">
            <v>6155310</v>
          </cell>
          <cell r="C1264">
            <v>615531001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>
            <v>3</v>
          </cell>
          <cell r="B1265">
            <v>6155310</v>
          </cell>
          <cell r="C1265">
            <v>615531002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>
            <v>3</v>
          </cell>
          <cell r="B1266">
            <v>6155310</v>
          </cell>
          <cell r="C1266">
            <v>615531003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>
            <v>3</v>
          </cell>
          <cell r="B1267">
            <v>6155313</v>
          </cell>
          <cell r="C1267">
            <v>615531300</v>
          </cell>
          <cell r="I1267">
            <v>276770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276770</v>
          </cell>
          <cell r="O1267">
            <v>0</v>
          </cell>
          <cell r="P1267">
            <v>0</v>
          </cell>
        </row>
        <row r="1268">
          <cell r="A1268">
            <v>3</v>
          </cell>
          <cell r="B1268">
            <v>6155314</v>
          </cell>
          <cell r="C1268">
            <v>615531400</v>
          </cell>
          <cell r="I1268">
            <v>134790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134790</v>
          </cell>
          <cell r="O1268">
            <v>0</v>
          </cell>
          <cell r="P1268">
            <v>0</v>
          </cell>
        </row>
        <row r="1269">
          <cell r="A1269">
            <v>3</v>
          </cell>
          <cell r="B1269">
            <v>6155315</v>
          </cell>
          <cell r="C1269">
            <v>615531500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>
            <v>3</v>
          </cell>
          <cell r="B1270">
            <v>6155317</v>
          </cell>
          <cell r="C1270">
            <v>615531700</v>
          </cell>
          <cell r="I1270">
            <v>33182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33182</v>
          </cell>
          <cell r="O1270">
            <v>0</v>
          </cell>
          <cell r="P1270">
            <v>0</v>
          </cell>
        </row>
        <row r="1271">
          <cell r="A1271">
            <v>3</v>
          </cell>
          <cell r="B1271">
            <v>6155319</v>
          </cell>
          <cell r="C1271">
            <v>615531900</v>
          </cell>
          <cell r="I1271">
            <v>4061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461</v>
          </cell>
          <cell r="O1271">
            <v>3600</v>
          </cell>
          <cell r="P1271">
            <v>0</v>
          </cell>
        </row>
        <row r="1272">
          <cell r="A1272">
            <v>3</v>
          </cell>
          <cell r="B1272">
            <v>6155320</v>
          </cell>
          <cell r="C1272">
            <v>615532000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>
            <v>3</v>
          </cell>
          <cell r="B1273">
            <v>6155321</v>
          </cell>
          <cell r="C1273">
            <v>615532100</v>
          </cell>
          <cell r="I1273">
            <v>7072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7072</v>
          </cell>
          <cell r="O1273">
            <v>0</v>
          </cell>
          <cell r="P1273">
            <v>0</v>
          </cell>
        </row>
        <row r="1274">
          <cell r="A1274">
            <v>3</v>
          </cell>
          <cell r="B1274">
            <v>6155323</v>
          </cell>
          <cell r="C1274">
            <v>615532300</v>
          </cell>
          <cell r="I1274">
            <v>131873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131873</v>
          </cell>
          <cell r="O1274">
            <v>0</v>
          </cell>
          <cell r="P1274">
            <v>0</v>
          </cell>
        </row>
        <row r="1275">
          <cell r="A1275">
            <v>3</v>
          </cell>
          <cell r="B1275">
            <v>6155324</v>
          </cell>
          <cell r="C1275">
            <v>615532400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A1276">
            <v>3</v>
          </cell>
          <cell r="B1276">
            <v>6155331</v>
          </cell>
          <cell r="C1276">
            <v>615533100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>
            <v>3</v>
          </cell>
          <cell r="B1277">
            <v>6155337</v>
          </cell>
          <cell r="C1277">
            <v>615533700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>
            <v>3</v>
          </cell>
          <cell r="B1278">
            <v>6155339</v>
          </cell>
          <cell r="C1278">
            <v>615533900</v>
          </cell>
          <cell r="I1278">
            <v>76260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76260</v>
          </cell>
          <cell r="P1278">
            <v>0</v>
          </cell>
        </row>
        <row r="1279">
          <cell r="A1279">
            <v>3</v>
          </cell>
          <cell r="B1279">
            <v>6155340</v>
          </cell>
          <cell r="C1279">
            <v>615534000</v>
          </cell>
          <cell r="I1279">
            <v>49407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49407</v>
          </cell>
        </row>
        <row r="1280">
          <cell r="A1280">
            <v>3</v>
          </cell>
          <cell r="B1280">
            <v>6155341</v>
          </cell>
          <cell r="C1280">
            <v>615534100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>
            <v>3</v>
          </cell>
          <cell r="B1281">
            <v>6155365</v>
          </cell>
          <cell r="C1281">
            <v>615536500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A1282">
            <v>3</v>
          </cell>
          <cell r="B1282">
            <v>6155369</v>
          </cell>
          <cell r="C1282">
            <v>615536900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A1283">
            <v>3</v>
          </cell>
          <cell r="B1283">
            <v>6155370</v>
          </cell>
          <cell r="C1283">
            <v>615537000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A1284">
            <v>3</v>
          </cell>
          <cell r="B1284">
            <v>6155371</v>
          </cell>
          <cell r="C1284">
            <v>615537100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A1285">
            <v>3</v>
          </cell>
          <cell r="B1285">
            <v>6155372</v>
          </cell>
          <cell r="C1285">
            <v>615537200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>
            <v>3</v>
          </cell>
          <cell r="B1286">
            <v>6155373</v>
          </cell>
          <cell r="C1286">
            <v>615537300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A1287">
            <v>3</v>
          </cell>
          <cell r="B1287">
            <v>6155374</v>
          </cell>
          <cell r="C1287">
            <v>615537400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>
            <v>3</v>
          </cell>
          <cell r="B1288">
            <v>6155375</v>
          </cell>
          <cell r="C1288">
            <v>615537583</v>
          </cell>
          <cell r="I1288">
            <v>122037821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122037821</v>
          </cell>
          <cell r="O1288">
            <v>0</v>
          </cell>
          <cell r="P1288">
            <v>0</v>
          </cell>
        </row>
        <row r="1289">
          <cell r="A1289">
            <v>3</v>
          </cell>
          <cell r="B1289">
            <v>6155375</v>
          </cell>
          <cell r="C1289">
            <v>615537584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A1290">
            <v>3</v>
          </cell>
          <cell r="B1290">
            <v>6155375</v>
          </cell>
          <cell r="C1290">
            <v>615537585</v>
          </cell>
          <cell r="I1290">
            <v>10447900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10447900</v>
          </cell>
          <cell r="O1290">
            <v>0</v>
          </cell>
          <cell r="P1290">
            <v>0</v>
          </cell>
        </row>
        <row r="1291">
          <cell r="A1291">
            <v>3</v>
          </cell>
          <cell r="B1291">
            <v>6155375</v>
          </cell>
          <cell r="C1291">
            <v>615537586</v>
          </cell>
          <cell r="I1291">
            <v>3268100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3268100</v>
          </cell>
          <cell r="O1291">
            <v>0</v>
          </cell>
          <cell r="P1291">
            <v>0</v>
          </cell>
        </row>
        <row r="1292">
          <cell r="A1292">
            <v>3</v>
          </cell>
          <cell r="B1292">
            <v>6155375</v>
          </cell>
          <cell r="C1292">
            <v>615537587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>
            <v>3</v>
          </cell>
          <cell r="B1293">
            <v>6155375</v>
          </cell>
          <cell r="C1293">
            <v>615537588</v>
          </cell>
          <cell r="I1293">
            <v>426920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426920</v>
          </cell>
          <cell r="P1293">
            <v>0</v>
          </cell>
        </row>
        <row r="1294">
          <cell r="A1294">
            <v>3</v>
          </cell>
          <cell r="B1294">
            <v>6160101</v>
          </cell>
          <cell r="C1294">
            <v>616010100</v>
          </cell>
          <cell r="I1294">
            <v>494560197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494560197</v>
          </cell>
        </row>
        <row r="1295">
          <cell r="A1295">
            <v>3</v>
          </cell>
          <cell r="B1295">
            <v>6160102</v>
          </cell>
          <cell r="C1295">
            <v>616010200</v>
          </cell>
          <cell r="I1295">
            <v>5479894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5479894</v>
          </cell>
        </row>
        <row r="1296">
          <cell r="A1296">
            <v>3</v>
          </cell>
          <cell r="B1296">
            <v>6160202</v>
          </cell>
          <cell r="C1296">
            <v>616020200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A1297">
            <v>3</v>
          </cell>
          <cell r="B1297">
            <v>6160303</v>
          </cell>
          <cell r="C1297">
            <v>616030300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A1298">
            <v>3</v>
          </cell>
          <cell r="B1298">
            <v>6170214</v>
          </cell>
          <cell r="C1298">
            <v>617021400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>
            <v>3</v>
          </cell>
          <cell r="B1299">
            <v>6170216</v>
          </cell>
          <cell r="C1299">
            <v>617021600</v>
          </cell>
          <cell r="I1299">
            <v>285000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285000</v>
          </cell>
        </row>
        <row r="1300">
          <cell r="A1300">
            <v>3</v>
          </cell>
          <cell r="B1300">
            <v>6170218</v>
          </cell>
          <cell r="C1300">
            <v>617021800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A1301">
            <v>3</v>
          </cell>
          <cell r="B1301">
            <v>6170303</v>
          </cell>
          <cell r="C1301">
            <v>617030300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>
            <v>3</v>
          </cell>
          <cell r="B1302">
            <v>6170401</v>
          </cell>
          <cell r="C1302">
            <v>617040100</v>
          </cell>
          <cell r="I1302">
            <v>358000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358000</v>
          </cell>
        </row>
        <row r="1303">
          <cell r="A1303">
            <v>3</v>
          </cell>
          <cell r="B1303">
            <v>6170402</v>
          </cell>
          <cell r="C1303">
            <v>617040200</v>
          </cell>
          <cell r="I1303">
            <v>65000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65000</v>
          </cell>
        </row>
        <row r="1304">
          <cell r="A1304">
            <v>3</v>
          </cell>
          <cell r="B1304">
            <v>6170403</v>
          </cell>
          <cell r="C1304">
            <v>617040300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>
            <v>3</v>
          </cell>
          <cell r="B1305">
            <v>6181212</v>
          </cell>
          <cell r="C1305">
            <v>618121200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>
            <v>3</v>
          </cell>
          <cell r="B1306">
            <v>6181414</v>
          </cell>
          <cell r="C1306">
            <v>618141400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A1307">
            <v>3</v>
          </cell>
          <cell r="B1307">
            <v>6182020</v>
          </cell>
          <cell r="C1307">
            <v>618202000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>
            <v>3</v>
          </cell>
          <cell r="B1308">
            <v>6190101</v>
          </cell>
          <cell r="C1308">
            <v>619010100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>
            <v>3</v>
          </cell>
          <cell r="B1309">
            <v>6200101</v>
          </cell>
          <cell r="C1309">
            <v>620010100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>
            <v>3</v>
          </cell>
          <cell r="B1310">
            <v>6210101</v>
          </cell>
          <cell r="C1310">
            <v>621010100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>
            <v>3</v>
          </cell>
          <cell r="B1311">
            <v>6900101</v>
          </cell>
          <cell r="C1311">
            <v>690010100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A1312">
            <v>3</v>
          </cell>
          <cell r="B1312">
            <v>8830823</v>
          </cell>
          <cell r="C1312">
            <v>883082300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>
            <v>3</v>
          </cell>
          <cell r="B1313">
            <v>8831643</v>
          </cell>
          <cell r="C1313">
            <v>883164301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>
            <v>3</v>
          </cell>
          <cell r="B1314">
            <v>8831643</v>
          </cell>
          <cell r="C1314">
            <v>883164303</v>
          </cell>
          <cell r="I1314">
            <v>464424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464424</v>
          </cell>
        </row>
        <row r="1315">
          <cell r="A1315">
            <v>3</v>
          </cell>
          <cell r="B1315">
            <v>8831643</v>
          </cell>
          <cell r="C1315">
            <v>883164304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A1316">
            <v>3</v>
          </cell>
          <cell r="B1316">
            <v>8831643</v>
          </cell>
          <cell r="C1316">
            <v>883164305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A1317">
            <v>3</v>
          </cell>
          <cell r="B1317">
            <v>8831801</v>
          </cell>
          <cell r="C1317">
            <v>883180102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>
            <v>3</v>
          </cell>
          <cell r="B1318">
            <v>8831801</v>
          </cell>
          <cell r="C1318">
            <v>883180103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>
            <v>3</v>
          </cell>
          <cell r="B1319">
            <v>8831801</v>
          </cell>
          <cell r="C1319">
            <v>883180104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>
            <v>3</v>
          </cell>
          <cell r="B1320">
            <v>8831801</v>
          </cell>
          <cell r="C1320">
            <v>883180105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>
            <v>3</v>
          </cell>
          <cell r="B1321">
            <v>8831802</v>
          </cell>
          <cell r="C1321">
            <v>883180202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>
            <v>3</v>
          </cell>
          <cell r="B1322">
            <v>8831803</v>
          </cell>
          <cell r="C1322">
            <v>883180301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>
            <v>3</v>
          </cell>
          <cell r="B1323">
            <v>8831803</v>
          </cell>
          <cell r="C1323">
            <v>883180302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>
            <v>3</v>
          </cell>
          <cell r="B1324">
            <v>8831803</v>
          </cell>
          <cell r="C1324">
            <v>883180303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>
            <v>3</v>
          </cell>
          <cell r="B1325">
            <v>8831803</v>
          </cell>
          <cell r="C1325">
            <v>883180304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>
            <v>3</v>
          </cell>
          <cell r="B1326">
            <v>8831803</v>
          </cell>
          <cell r="C1326">
            <v>883180305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>
            <v>3</v>
          </cell>
          <cell r="B1327">
            <v>8831803</v>
          </cell>
          <cell r="C1327">
            <v>883180306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>
            <v>3</v>
          </cell>
          <cell r="B1328">
            <v>8831803</v>
          </cell>
          <cell r="C1328">
            <v>883180307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>
            <v>3</v>
          </cell>
          <cell r="B1329">
            <v>8831803</v>
          </cell>
          <cell r="C1329">
            <v>883180310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A1330">
            <v>3</v>
          </cell>
          <cell r="B1330">
            <v>8831803</v>
          </cell>
          <cell r="C1330">
            <v>883180311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>
            <v>3</v>
          </cell>
          <cell r="B1331">
            <v>8831803</v>
          </cell>
          <cell r="C1331">
            <v>883180314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A1332">
            <v>3</v>
          </cell>
          <cell r="B1332">
            <v>8831803</v>
          </cell>
          <cell r="C1332">
            <v>883180315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A1333">
            <v>3</v>
          </cell>
          <cell r="B1333">
            <v>8831803</v>
          </cell>
          <cell r="C1333">
            <v>883180316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A1334">
            <v>3</v>
          </cell>
          <cell r="B1334">
            <v>8831804</v>
          </cell>
          <cell r="C1334">
            <v>883180401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>
            <v>3</v>
          </cell>
          <cell r="B1335">
            <v>8831804</v>
          </cell>
          <cell r="C1335">
            <v>883180402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>
            <v>3</v>
          </cell>
          <cell r="B1336">
            <v>8831804</v>
          </cell>
          <cell r="C1336">
            <v>883180403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>
            <v>3</v>
          </cell>
          <cell r="B1337">
            <v>8831804</v>
          </cell>
          <cell r="C1337">
            <v>883180405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A1338">
            <v>3</v>
          </cell>
          <cell r="B1338">
            <v>8831804</v>
          </cell>
          <cell r="C1338">
            <v>883180406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A1339">
            <v>3</v>
          </cell>
          <cell r="B1339">
            <v>8831804</v>
          </cell>
          <cell r="C1339">
            <v>883180407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>
            <v>3</v>
          </cell>
          <cell r="B1340">
            <v>8831804</v>
          </cell>
          <cell r="C1340">
            <v>883180408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>
            <v>3</v>
          </cell>
          <cell r="B1341">
            <v>8831804</v>
          </cell>
          <cell r="C1341">
            <v>883180410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>
            <v>3</v>
          </cell>
          <cell r="B1342">
            <v>8831804</v>
          </cell>
          <cell r="C1342">
            <v>883180411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A1343">
            <v>3</v>
          </cell>
          <cell r="B1343">
            <v>8831805</v>
          </cell>
          <cell r="C1343">
            <v>883180500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A1344">
            <v>3</v>
          </cell>
          <cell r="B1344">
            <v>8831807</v>
          </cell>
          <cell r="C1344">
            <v>883180700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>
            <v>3</v>
          </cell>
          <cell r="B1345">
            <v>8831808</v>
          </cell>
          <cell r="C1345">
            <v>883180800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A1346">
            <v>3</v>
          </cell>
          <cell r="B1346">
            <v>8831810</v>
          </cell>
          <cell r="C1346">
            <v>883181001</v>
          </cell>
          <cell r="I1346">
            <v>7966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7966</v>
          </cell>
          <cell r="O1346">
            <v>0</v>
          </cell>
          <cell r="P1346">
            <v>0</v>
          </cell>
        </row>
        <row r="1347">
          <cell r="A1347">
            <v>3</v>
          </cell>
          <cell r="B1347">
            <v>8831810</v>
          </cell>
          <cell r="C1347">
            <v>883181002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A1348">
            <v>3</v>
          </cell>
          <cell r="B1348">
            <v>8831810</v>
          </cell>
          <cell r="C1348">
            <v>883181003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>
            <v>3</v>
          </cell>
          <cell r="B1349">
            <v>8831813</v>
          </cell>
          <cell r="C1349">
            <v>883181300</v>
          </cell>
          <cell r="I1349">
            <v>109131</v>
          </cell>
          <cell r="J1349">
            <v>0</v>
          </cell>
          <cell r="K1349">
            <v>0</v>
          </cell>
          <cell r="L1349">
            <v>0</v>
          </cell>
          <cell r="M1349">
            <v>5073</v>
          </cell>
          <cell r="N1349">
            <v>104058</v>
          </cell>
          <cell r="O1349">
            <v>0</v>
          </cell>
          <cell r="P1349">
            <v>0</v>
          </cell>
        </row>
        <row r="1350">
          <cell r="A1350">
            <v>3</v>
          </cell>
          <cell r="B1350">
            <v>8831814</v>
          </cell>
          <cell r="C1350">
            <v>883181400</v>
          </cell>
          <cell r="I1350">
            <v>1683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1683</v>
          </cell>
          <cell r="O1350">
            <v>0</v>
          </cell>
          <cell r="P1350">
            <v>0</v>
          </cell>
        </row>
        <row r="1351">
          <cell r="A1351">
            <v>3</v>
          </cell>
          <cell r="B1351">
            <v>8831815</v>
          </cell>
          <cell r="C1351">
            <v>883181500</v>
          </cell>
          <cell r="I1351">
            <v>25581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25581</v>
          </cell>
          <cell r="O1351">
            <v>0</v>
          </cell>
          <cell r="P1351">
            <v>0</v>
          </cell>
        </row>
        <row r="1352">
          <cell r="A1352">
            <v>3</v>
          </cell>
          <cell r="B1352">
            <v>8831817</v>
          </cell>
          <cell r="C1352">
            <v>883181700</v>
          </cell>
          <cell r="I1352">
            <v>827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827</v>
          </cell>
          <cell r="O1352">
            <v>0</v>
          </cell>
          <cell r="P1352">
            <v>0</v>
          </cell>
        </row>
        <row r="1353">
          <cell r="A1353">
            <v>3</v>
          </cell>
          <cell r="B1353">
            <v>8831819</v>
          </cell>
          <cell r="C1353">
            <v>883181900</v>
          </cell>
          <cell r="I1353">
            <v>14717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2980</v>
          </cell>
          <cell r="O1353">
            <v>11737</v>
          </cell>
          <cell r="P1353">
            <v>0</v>
          </cell>
        </row>
        <row r="1354">
          <cell r="A1354">
            <v>3</v>
          </cell>
          <cell r="B1354">
            <v>8831820</v>
          </cell>
          <cell r="C1354">
            <v>883182000</v>
          </cell>
          <cell r="I1354">
            <v>1186506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1184616</v>
          </cell>
          <cell r="O1354">
            <v>1890</v>
          </cell>
          <cell r="P1354">
            <v>0</v>
          </cell>
        </row>
        <row r="1355">
          <cell r="A1355">
            <v>3</v>
          </cell>
          <cell r="B1355">
            <v>8831821</v>
          </cell>
          <cell r="C1355">
            <v>883182100</v>
          </cell>
          <cell r="I1355">
            <v>212395907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212395907</v>
          </cell>
          <cell r="O1355">
            <v>0</v>
          </cell>
          <cell r="P1355">
            <v>0</v>
          </cell>
        </row>
        <row r="1356">
          <cell r="A1356">
            <v>3</v>
          </cell>
          <cell r="B1356">
            <v>8831823</v>
          </cell>
          <cell r="C1356">
            <v>883182300</v>
          </cell>
          <cell r="I1356">
            <v>16506765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16506765</v>
          </cell>
          <cell r="O1356">
            <v>0</v>
          </cell>
          <cell r="P1356">
            <v>0</v>
          </cell>
        </row>
        <row r="1357">
          <cell r="A1357">
            <v>3</v>
          </cell>
          <cell r="B1357">
            <v>8831824</v>
          </cell>
          <cell r="C1357">
            <v>883182400</v>
          </cell>
          <cell r="I1357">
            <v>995500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995500</v>
          </cell>
          <cell r="O1357">
            <v>0</v>
          </cell>
          <cell r="P1357">
            <v>0</v>
          </cell>
        </row>
        <row r="1358">
          <cell r="A1358">
            <v>3</v>
          </cell>
          <cell r="B1358">
            <v>8831825</v>
          </cell>
          <cell r="C1358">
            <v>883182500</v>
          </cell>
          <cell r="I1358">
            <v>13807574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13807574</v>
          </cell>
          <cell r="O1358">
            <v>0</v>
          </cell>
          <cell r="P1358">
            <v>0</v>
          </cell>
        </row>
        <row r="1359">
          <cell r="A1359">
            <v>3</v>
          </cell>
          <cell r="B1359">
            <v>8831826</v>
          </cell>
          <cell r="C1359">
            <v>883182600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A1360">
            <v>3</v>
          </cell>
          <cell r="B1360">
            <v>8831828</v>
          </cell>
          <cell r="C1360">
            <v>883182866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</row>
        <row r="1361">
          <cell r="A1361">
            <v>3</v>
          </cell>
          <cell r="B1361">
            <v>8831828</v>
          </cell>
          <cell r="C1361">
            <v>883182867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>
            <v>3</v>
          </cell>
          <cell r="B1362">
            <v>8831829</v>
          </cell>
          <cell r="C1362">
            <v>883182900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>
            <v>3</v>
          </cell>
          <cell r="B1363">
            <v>8831830</v>
          </cell>
          <cell r="C1363">
            <v>883183000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A1364">
            <v>3</v>
          </cell>
          <cell r="B1364">
            <v>8831831</v>
          </cell>
          <cell r="C1364">
            <v>883183100</v>
          </cell>
          <cell r="I1364">
            <v>2416327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2310867</v>
          </cell>
          <cell r="O1364">
            <v>0</v>
          </cell>
          <cell r="P1364">
            <v>105460</v>
          </cell>
        </row>
        <row r="1365">
          <cell r="A1365">
            <v>3</v>
          </cell>
          <cell r="B1365">
            <v>8831833</v>
          </cell>
          <cell r="C1365">
            <v>883183300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>
            <v>3</v>
          </cell>
          <cell r="B1366">
            <v>8831836</v>
          </cell>
          <cell r="C1366">
            <v>883183600</v>
          </cell>
          <cell r="I1366">
            <v>63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63</v>
          </cell>
          <cell r="O1366">
            <v>0</v>
          </cell>
          <cell r="P1366">
            <v>0</v>
          </cell>
        </row>
        <row r="1367">
          <cell r="A1367">
            <v>3</v>
          </cell>
          <cell r="B1367">
            <v>8831837</v>
          </cell>
          <cell r="C1367">
            <v>883183700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A1368">
            <v>3</v>
          </cell>
          <cell r="B1368">
            <v>8831839</v>
          </cell>
          <cell r="C1368">
            <v>883183900</v>
          </cell>
          <cell r="I1368">
            <v>169338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169338</v>
          </cell>
          <cell r="P1368">
            <v>0</v>
          </cell>
        </row>
        <row r="1369">
          <cell r="A1369">
            <v>3</v>
          </cell>
          <cell r="B1369">
            <v>8831840</v>
          </cell>
          <cell r="C1369">
            <v>883184000</v>
          </cell>
          <cell r="I1369">
            <v>139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139</v>
          </cell>
        </row>
        <row r="1370">
          <cell r="A1370">
            <v>3</v>
          </cell>
          <cell r="B1370">
            <v>8831841</v>
          </cell>
          <cell r="C1370">
            <v>883184100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>
            <v>3</v>
          </cell>
          <cell r="B1371">
            <v>8831843</v>
          </cell>
          <cell r="C1371">
            <v>883184304</v>
          </cell>
          <cell r="I1371">
            <v>16000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16000</v>
          </cell>
        </row>
        <row r="1372">
          <cell r="A1372">
            <v>3</v>
          </cell>
          <cell r="B1372">
            <v>8832043</v>
          </cell>
          <cell r="C1372">
            <v>883204370</v>
          </cell>
          <cell r="I1372">
            <v>18007053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18007053</v>
          </cell>
        </row>
        <row r="1373">
          <cell r="A1373">
            <v>3</v>
          </cell>
          <cell r="B1373">
            <v>8832043</v>
          </cell>
          <cell r="C1373">
            <v>883204371</v>
          </cell>
          <cell r="I1373">
            <v>388438705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388438705</v>
          </cell>
        </row>
        <row r="1374">
          <cell r="A1374">
            <v>3</v>
          </cell>
          <cell r="B1374">
            <v>8832043</v>
          </cell>
          <cell r="C1374">
            <v>883204372</v>
          </cell>
          <cell r="I1374">
            <v>99952168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99952168</v>
          </cell>
        </row>
        <row r="1375">
          <cell r="A1375">
            <v>3</v>
          </cell>
          <cell r="B1375">
            <v>8832043</v>
          </cell>
          <cell r="C1375">
            <v>883204373</v>
          </cell>
          <cell r="I1375">
            <v>374650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374650</v>
          </cell>
        </row>
        <row r="1376">
          <cell r="A1376">
            <v>3</v>
          </cell>
          <cell r="B1376">
            <v>8832043</v>
          </cell>
          <cell r="C1376">
            <v>883204374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>
            <v>3</v>
          </cell>
          <cell r="B1377">
            <v>8832044</v>
          </cell>
          <cell r="C1377">
            <v>883204475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A1378">
            <v>3</v>
          </cell>
          <cell r="B1378">
            <v>8832044</v>
          </cell>
          <cell r="C1378">
            <v>883204476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A1379">
            <v>3</v>
          </cell>
          <cell r="B1379">
            <v>8832044</v>
          </cell>
          <cell r="C1379">
            <v>883204477</v>
          </cell>
          <cell r="I1379">
            <v>3300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3300</v>
          </cell>
        </row>
        <row r="1380">
          <cell r="A1380">
            <v>3</v>
          </cell>
          <cell r="B1380">
            <v>8832246</v>
          </cell>
          <cell r="C1380">
            <v>883224600</v>
          </cell>
          <cell r="I1380">
            <v>6526876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6526876</v>
          </cell>
        </row>
        <row r="1381">
          <cell r="A1381">
            <v>3</v>
          </cell>
          <cell r="B1381">
            <v>8832247</v>
          </cell>
          <cell r="C1381">
            <v>883224700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>
            <v>3</v>
          </cell>
          <cell r="B1382">
            <v>8840251</v>
          </cell>
          <cell r="C1382">
            <v>884025180</v>
          </cell>
          <cell r="I1382">
            <v>73142201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73142201</v>
          </cell>
          <cell r="P1382">
            <v>0</v>
          </cell>
        </row>
        <row r="1383">
          <cell r="A1383">
            <v>3</v>
          </cell>
          <cell r="B1383">
            <v>8840251</v>
          </cell>
          <cell r="C1383">
            <v>884025181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A1384">
            <v>3</v>
          </cell>
          <cell r="B1384">
            <v>8840252</v>
          </cell>
          <cell r="C1384">
            <v>884025200</v>
          </cell>
          <cell r="I1384">
            <v>603610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603610</v>
          </cell>
          <cell r="O1384">
            <v>0</v>
          </cell>
          <cell r="P1384">
            <v>0</v>
          </cell>
        </row>
        <row r="1385">
          <cell r="A1385">
            <v>3</v>
          </cell>
          <cell r="B1385">
            <v>8840253</v>
          </cell>
          <cell r="C1385">
            <v>884025300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A1386">
            <v>3</v>
          </cell>
          <cell r="B1386">
            <v>8840254</v>
          </cell>
          <cell r="C1386">
            <v>884025400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>
            <v>3</v>
          </cell>
          <cell r="B1387">
            <v>8840255</v>
          </cell>
          <cell r="C1387">
            <v>884025500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A1388">
            <v>3</v>
          </cell>
          <cell r="B1388">
            <v>8840456</v>
          </cell>
          <cell r="C1388">
            <v>884045600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A1389">
            <v>3</v>
          </cell>
          <cell r="B1389">
            <v>8840457</v>
          </cell>
          <cell r="C1389">
            <v>884045700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A1390">
            <v>3</v>
          </cell>
          <cell r="B1390">
            <v>8840458</v>
          </cell>
          <cell r="C1390">
            <v>884045800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A1391">
            <v>3</v>
          </cell>
          <cell r="B1391">
            <v>8840559</v>
          </cell>
          <cell r="C1391">
            <v>884055900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A1392">
            <v>3</v>
          </cell>
          <cell r="B1392">
            <v>8840662</v>
          </cell>
          <cell r="C1392">
            <v>884066200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A1393">
            <v>3</v>
          </cell>
          <cell r="B1393">
            <v>8840663</v>
          </cell>
          <cell r="C1393">
            <v>884066300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A1394">
            <v>3</v>
          </cell>
          <cell r="B1394">
            <v>8850202</v>
          </cell>
          <cell r="C1394">
            <v>885020200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>
            <v>3</v>
          </cell>
          <cell r="B1395">
            <v>8850404</v>
          </cell>
          <cell r="C1395">
            <v>885040400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A1396">
            <v>3</v>
          </cell>
          <cell r="B1396">
            <v>8850606</v>
          </cell>
          <cell r="C1396">
            <v>885060600</v>
          </cell>
          <cell r="I1396">
            <v>35499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35499</v>
          </cell>
          <cell r="O1396">
            <v>0</v>
          </cell>
          <cell r="P1396">
            <v>0</v>
          </cell>
        </row>
        <row r="1397">
          <cell r="A1397">
            <v>3</v>
          </cell>
          <cell r="B1397">
            <v>8850808</v>
          </cell>
          <cell r="C1397">
            <v>885080800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A1398">
            <v>3</v>
          </cell>
          <cell r="B1398">
            <v>8851010</v>
          </cell>
          <cell r="C1398">
            <v>885101000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A1399">
            <v>3</v>
          </cell>
          <cell r="B1399">
            <v>8900101</v>
          </cell>
          <cell r="C1399">
            <v>890010100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A1400">
            <v>4</v>
          </cell>
          <cell r="B1400">
            <v>1120110</v>
          </cell>
          <cell r="C1400">
            <v>112011010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A1401">
            <v>4</v>
          </cell>
          <cell r="B1401">
            <v>1120110</v>
          </cell>
          <cell r="C1401">
            <v>112011011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A1402">
            <v>4</v>
          </cell>
          <cell r="B1402">
            <v>1120111</v>
          </cell>
          <cell r="C1402">
            <v>112011100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>
            <v>4</v>
          </cell>
          <cell r="B1403">
            <v>1120112</v>
          </cell>
          <cell r="C1403">
            <v>112011200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A1404">
            <v>4</v>
          </cell>
          <cell r="B1404">
            <v>1120113</v>
          </cell>
          <cell r="C1404">
            <v>112011300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A1405">
            <v>4</v>
          </cell>
          <cell r="B1405">
            <v>1120114</v>
          </cell>
          <cell r="C1405">
            <v>112011400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A1406">
            <v>4</v>
          </cell>
          <cell r="B1406">
            <v>1120115</v>
          </cell>
          <cell r="C1406">
            <v>112011500</v>
          </cell>
          <cell r="I1406">
            <v>65100000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65100000</v>
          </cell>
        </row>
        <row r="1407">
          <cell r="A1407">
            <v>4</v>
          </cell>
          <cell r="B1407">
            <v>1120210</v>
          </cell>
          <cell r="C1407">
            <v>112021000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>
            <v>4</v>
          </cell>
          <cell r="B1408">
            <v>1120220</v>
          </cell>
          <cell r="C1408">
            <v>112022000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>
            <v>4</v>
          </cell>
          <cell r="B1409">
            <v>1140303</v>
          </cell>
          <cell r="C1409">
            <v>114030300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>
            <v>4</v>
          </cell>
          <cell r="B1410">
            <v>1160101</v>
          </cell>
          <cell r="C1410">
            <v>116010100</v>
          </cell>
          <cell r="I1410">
            <v>6370000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6370000</v>
          </cell>
        </row>
        <row r="1411">
          <cell r="A1411">
            <v>4</v>
          </cell>
          <cell r="B1411">
            <v>1160202</v>
          </cell>
          <cell r="C1411">
            <v>116020200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>
            <v>4</v>
          </cell>
          <cell r="B1412">
            <v>1180401</v>
          </cell>
          <cell r="C1412">
            <v>118040100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A1413">
            <v>4</v>
          </cell>
          <cell r="B1413">
            <v>1180402</v>
          </cell>
          <cell r="C1413">
            <v>118040200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A1414">
            <v>4</v>
          </cell>
          <cell r="B1414">
            <v>1180403</v>
          </cell>
          <cell r="C1414">
            <v>118040300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A1415">
            <v>4</v>
          </cell>
          <cell r="B1415">
            <v>1180404</v>
          </cell>
          <cell r="C1415">
            <v>118040400</v>
          </cell>
          <cell r="I1415">
            <v>3488000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3488000</v>
          </cell>
        </row>
        <row r="1416">
          <cell r="A1416">
            <v>4</v>
          </cell>
          <cell r="B1416">
            <v>1200630</v>
          </cell>
          <cell r="C1416">
            <v>120063000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A1417">
            <v>4</v>
          </cell>
          <cell r="B1417">
            <v>1300831</v>
          </cell>
          <cell r="C1417">
            <v>130083100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>
            <v>4</v>
          </cell>
          <cell r="B1418">
            <v>1401010</v>
          </cell>
          <cell r="C1418">
            <v>140101000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A1419">
            <v>4</v>
          </cell>
          <cell r="B1419">
            <v>1600101</v>
          </cell>
          <cell r="C1419">
            <v>160010100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>
            <v>4</v>
          </cell>
          <cell r="B1420">
            <v>1800707</v>
          </cell>
          <cell r="C1420">
            <v>180070700</v>
          </cell>
          <cell r="I1420">
            <v>4080000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4080000</v>
          </cell>
        </row>
        <row r="1421">
          <cell r="A1421">
            <v>4</v>
          </cell>
          <cell r="B1421">
            <v>1800808</v>
          </cell>
          <cell r="C1421">
            <v>180080800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>
            <v>4</v>
          </cell>
          <cell r="B1422">
            <v>1820101</v>
          </cell>
          <cell r="C1422">
            <v>182010100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>
            <v>4</v>
          </cell>
          <cell r="B1423">
            <v>1840102</v>
          </cell>
          <cell r="C1423">
            <v>184010200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>
            <v>4</v>
          </cell>
          <cell r="B1424">
            <v>1840304</v>
          </cell>
          <cell r="C1424">
            <v>184030400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A1425">
            <v>4</v>
          </cell>
          <cell r="B1425">
            <v>1840305</v>
          </cell>
          <cell r="C1425">
            <v>184030500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>
            <v>4</v>
          </cell>
          <cell r="B1426">
            <v>1840306</v>
          </cell>
          <cell r="C1426">
            <v>184030600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A1427">
            <v>4</v>
          </cell>
          <cell r="B1427">
            <v>1840515</v>
          </cell>
          <cell r="C1427">
            <v>184051500</v>
          </cell>
          <cell r="I1427">
            <v>160000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160000</v>
          </cell>
        </row>
        <row r="1428">
          <cell r="A1428">
            <v>4</v>
          </cell>
          <cell r="B1428">
            <v>1840516</v>
          </cell>
          <cell r="C1428">
            <v>184051600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>
            <v>4</v>
          </cell>
          <cell r="B1429">
            <v>1840517</v>
          </cell>
          <cell r="C1429">
            <v>184051700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A1430">
            <v>4</v>
          </cell>
          <cell r="B1430">
            <v>1860303</v>
          </cell>
          <cell r="C1430">
            <v>186030300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>
            <v>4</v>
          </cell>
          <cell r="B1431">
            <v>1880101</v>
          </cell>
          <cell r="C1431">
            <v>188010100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>
            <v>4</v>
          </cell>
          <cell r="B1432">
            <v>1880202</v>
          </cell>
          <cell r="C1432">
            <v>188020200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>
            <v>4</v>
          </cell>
          <cell r="B1433">
            <v>1900101</v>
          </cell>
          <cell r="C1433">
            <v>190010100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>
            <v>4</v>
          </cell>
          <cell r="B1434">
            <v>1900202</v>
          </cell>
          <cell r="C1434">
            <v>190020200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A1435">
            <v>4</v>
          </cell>
          <cell r="B1435">
            <v>1900303</v>
          </cell>
          <cell r="C1435">
            <v>190030300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>
            <v>4</v>
          </cell>
          <cell r="B1436">
            <v>4810202</v>
          </cell>
          <cell r="C1436">
            <v>481020200</v>
          </cell>
          <cell r="I1436">
            <v>13915486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13915486</v>
          </cell>
          <cell r="O1436">
            <v>0</v>
          </cell>
          <cell r="P1436">
            <v>0</v>
          </cell>
        </row>
        <row r="1437">
          <cell r="A1437">
            <v>4</v>
          </cell>
          <cell r="B1437">
            <v>4810404</v>
          </cell>
          <cell r="C1437">
            <v>481040411</v>
          </cell>
          <cell r="I1437">
            <v>75108000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75108000</v>
          </cell>
        </row>
        <row r="1438">
          <cell r="A1438">
            <v>4</v>
          </cell>
          <cell r="B1438">
            <v>4810404</v>
          </cell>
          <cell r="C1438">
            <v>481040412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A1439">
            <v>4</v>
          </cell>
          <cell r="B1439">
            <v>4810404</v>
          </cell>
          <cell r="C1439">
            <v>481040413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>
            <v>4</v>
          </cell>
          <cell r="B1440">
            <v>4810404</v>
          </cell>
          <cell r="C1440">
            <v>481040415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>
            <v>4</v>
          </cell>
          <cell r="B1441">
            <v>4810406</v>
          </cell>
          <cell r="C1441">
            <v>481040600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>
            <v>4</v>
          </cell>
          <cell r="B1442">
            <v>4810408</v>
          </cell>
          <cell r="C1442">
            <v>481040800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A1443">
            <v>4</v>
          </cell>
          <cell r="B1443">
            <v>4810409</v>
          </cell>
          <cell r="C1443">
            <v>481040900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A1444">
            <v>4</v>
          </cell>
          <cell r="B1444">
            <v>4811214</v>
          </cell>
          <cell r="C1444">
            <v>481121400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A1445">
            <v>4</v>
          </cell>
          <cell r="B1445">
            <v>4811417</v>
          </cell>
          <cell r="C1445">
            <v>481141700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A1446">
            <v>4</v>
          </cell>
          <cell r="B1446">
            <v>4811418</v>
          </cell>
          <cell r="C1446">
            <v>481141800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>
            <v>4</v>
          </cell>
          <cell r="B1447">
            <v>4811419</v>
          </cell>
          <cell r="C1447">
            <v>481141915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>
            <v>4</v>
          </cell>
          <cell r="B1448">
            <v>4811419</v>
          </cell>
          <cell r="C1448">
            <v>481141916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A1449">
            <v>4</v>
          </cell>
          <cell r="B1449">
            <v>4811419</v>
          </cell>
          <cell r="C1449">
            <v>481141917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A1450">
            <v>4</v>
          </cell>
          <cell r="B1450">
            <v>4811420</v>
          </cell>
          <cell r="C1450">
            <v>481142000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>
            <v>4</v>
          </cell>
          <cell r="B1451">
            <v>4820221</v>
          </cell>
          <cell r="C1451">
            <v>482022100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>
            <v>4</v>
          </cell>
          <cell r="B1452">
            <v>4820222</v>
          </cell>
          <cell r="C1452">
            <v>482022200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A1453">
            <v>4</v>
          </cell>
          <cell r="B1453">
            <v>4820224</v>
          </cell>
          <cell r="C1453">
            <v>482022400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</row>
        <row r="1454">
          <cell r="A1454">
            <v>4</v>
          </cell>
          <cell r="B1454">
            <v>4820427</v>
          </cell>
          <cell r="C1454">
            <v>482042700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A1455">
            <v>4</v>
          </cell>
          <cell r="B1455">
            <v>4820428</v>
          </cell>
          <cell r="C1455">
            <v>482042800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6">
          <cell r="A1456">
            <v>4</v>
          </cell>
          <cell r="B1456">
            <v>4820429</v>
          </cell>
          <cell r="C1456">
            <v>482042900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A1457">
            <v>4</v>
          </cell>
          <cell r="B1457">
            <v>4820501</v>
          </cell>
          <cell r="C1457">
            <v>482050100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>
            <v>4</v>
          </cell>
          <cell r="B1458">
            <v>4820630</v>
          </cell>
          <cell r="C1458">
            <v>482063000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>
            <v>4</v>
          </cell>
          <cell r="B1459">
            <v>4820831</v>
          </cell>
          <cell r="C1459">
            <v>482083100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>
            <v>4</v>
          </cell>
          <cell r="B1460">
            <v>4820932</v>
          </cell>
          <cell r="C1460">
            <v>482093200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>
            <v>4</v>
          </cell>
          <cell r="B1461">
            <v>4820933</v>
          </cell>
          <cell r="C1461">
            <v>482093300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>
            <v>4</v>
          </cell>
          <cell r="B1462">
            <v>4821034</v>
          </cell>
          <cell r="C1462">
            <v>482103411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>
            <v>4</v>
          </cell>
          <cell r="B1463">
            <v>4821034</v>
          </cell>
          <cell r="C1463">
            <v>482103412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>
            <v>4</v>
          </cell>
          <cell r="B1464">
            <v>4821034</v>
          </cell>
          <cell r="C1464">
            <v>482103413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>
            <v>4</v>
          </cell>
          <cell r="B1465">
            <v>4821034</v>
          </cell>
          <cell r="C1465">
            <v>482103414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>
            <v>4</v>
          </cell>
          <cell r="B1466">
            <v>4821035</v>
          </cell>
          <cell r="C1466">
            <v>482103500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>
            <v>4</v>
          </cell>
          <cell r="B1467">
            <v>4821137</v>
          </cell>
          <cell r="C1467">
            <v>482113700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>
            <v>4</v>
          </cell>
          <cell r="B1468">
            <v>4821236</v>
          </cell>
          <cell r="C1468">
            <v>482123600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>
            <v>4</v>
          </cell>
          <cell r="B1469">
            <v>4821240</v>
          </cell>
          <cell r="C1469">
            <v>482124000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>
            <v>4</v>
          </cell>
          <cell r="B1470">
            <v>4821301</v>
          </cell>
          <cell r="C1470">
            <v>482130103</v>
          </cell>
          <cell r="I1470">
            <v>9781154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9781154</v>
          </cell>
        </row>
        <row r="1471">
          <cell r="A1471">
            <v>4</v>
          </cell>
          <cell r="B1471">
            <v>4821301</v>
          </cell>
          <cell r="C1471">
            <v>482130104</v>
          </cell>
          <cell r="I1471">
            <v>2448564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2448564</v>
          </cell>
        </row>
        <row r="1472">
          <cell r="A1472">
            <v>4</v>
          </cell>
          <cell r="B1472">
            <v>4821301</v>
          </cell>
          <cell r="C1472">
            <v>482130107</v>
          </cell>
          <cell r="I1472">
            <v>1839196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1839196</v>
          </cell>
        </row>
        <row r="1473">
          <cell r="A1473">
            <v>4</v>
          </cell>
          <cell r="B1473">
            <v>4821301</v>
          </cell>
          <cell r="C1473">
            <v>482130108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A1474">
            <v>4</v>
          </cell>
          <cell r="B1474">
            <v>4821301</v>
          </cell>
          <cell r="C1474">
            <v>482130110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>
            <v>4</v>
          </cell>
          <cell r="B1475">
            <v>4821301</v>
          </cell>
          <cell r="C1475">
            <v>482130120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>
            <v>4</v>
          </cell>
          <cell r="B1476">
            <v>4830202</v>
          </cell>
          <cell r="C1476">
            <v>483020200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</row>
        <row r="1477">
          <cell r="A1477">
            <v>4</v>
          </cell>
          <cell r="B1477">
            <v>4830404</v>
          </cell>
          <cell r="C1477">
            <v>483040400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A1478">
            <v>4</v>
          </cell>
          <cell r="B1478">
            <v>4830606</v>
          </cell>
          <cell r="C1478">
            <v>483060600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>
            <v>4</v>
          </cell>
          <cell r="B1479">
            <v>4830607</v>
          </cell>
          <cell r="C1479">
            <v>483060700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>
            <v>4</v>
          </cell>
          <cell r="B1480">
            <v>4830608</v>
          </cell>
          <cell r="C1480">
            <v>483060800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</row>
        <row r="1481">
          <cell r="A1481">
            <v>4</v>
          </cell>
          <cell r="B1481">
            <v>4830808</v>
          </cell>
          <cell r="C1481">
            <v>483080800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A1482">
            <v>4</v>
          </cell>
          <cell r="B1482">
            <v>6155277</v>
          </cell>
          <cell r="C1482">
            <v>615527700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</row>
        <row r="1483">
          <cell r="A1483">
            <v>4</v>
          </cell>
          <cell r="B1483">
            <v>6155278</v>
          </cell>
          <cell r="C1483">
            <v>615527800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>
            <v>4</v>
          </cell>
          <cell r="B1484">
            <v>6155301</v>
          </cell>
          <cell r="C1484">
            <v>615530102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</row>
        <row r="1485">
          <cell r="A1485">
            <v>4</v>
          </cell>
          <cell r="B1485">
            <v>6155301</v>
          </cell>
          <cell r="C1485">
            <v>615530103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>
            <v>4</v>
          </cell>
          <cell r="B1486">
            <v>6155301</v>
          </cell>
          <cell r="C1486">
            <v>615530104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>
            <v>4</v>
          </cell>
          <cell r="B1487">
            <v>6155301</v>
          </cell>
          <cell r="C1487">
            <v>615530105</v>
          </cell>
          <cell r="I1487">
            <v>2110500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2110500</v>
          </cell>
        </row>
        <row r="1488">
          <cell r="A1488">
            <v>4</v>
          </cell>
          <cell r="B1488">
            <v>6155302</v>
          </cell>
          <cell r="C1488">
            <v>615530202</v>
          </cell>
          <cell r="I1488">
            <v>2474400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2474400</v>
          </cell>
        </row>
        <row r="1489">
          <cell r="A1489">
            <v>4</v>
          </cell>
          <cell r="B1489">
            <v>6155303</v>
          </cell>
          <cell r="C1489">
            <v>615530301</v>
          </cell>
          <cell r="I1489">
            <v>247440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247440</v>
          </cell>
        </row>
        <row r="1490">
          <cell r="A1490">
            <v>4</v>
          </cell>
          <cell r="B1490">
            <v>6155303</v>
          </cell>
          <cell r="C1490">
            <v>615530302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</row>
        <row r="1491">
          <cell r="A1491">
            <v>4</v>
          </cell>
          <cell r="B1491">
            <v>6155303</v>
          </cell>
          <cell r="C1491">
            <v>615530303</v>
          </cell>
          <cell r="I1491">
            <v>1491572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1491572</v>
          </cell>
        </row>
        <row r="1492">
          <cell r="A1492">
            <v>4</v>
          </cell>
          <cell r="B1492">
            <v>6155303</v>
          </cell>
          <cell r="C1492">
            <v>615530304</v>
          </cell>
          <cell r="I1492">
            <v>194020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194020</v>
          </cell>
          <cell r="O1492">
            <v>0</v>
          </cell>
          <cell r="P1492">
            <v>0</v>
          </cell>
        </row>
        <row r="1493">
          <cell r="A1493">
            <v>4</v>
          </cell>
          <cell r="B1493">
            <v>6155303</v>
          </cell>
          <cell r="C1493">
            <v>615530305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>
            <v>4</v>
          </cell>
          <cell r="B1494">
            <v>6155303</v>
          </cell>
          <cell r="C1494">
            <v>615530306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</row>
        <row r="1495">
          <cell r="A1495">
            <v>4</v>
          </cell>
          <cell r="B1495">
            <v>6155303</v>
          </cell>
          <cell r="C1495">
            <v>615530307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A1496">
            <v>4</v>
          </cell>
          <cell r="B1496">
            <v>6155303</v>
          </cell>
          <cell r="C1496">
            <v>615530310</v>
          </cell>
          <cell r="I1496">
            <v>753722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753722</v>
          </cell>
        </row>
        <row r="1497">
          <cell r="A1497">
            <v>4</v>
          </cell>
          <cell r="B1497">
            <v>6155303</v>
          </cell>
          <cell r="C1497">
            <v>615530311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>
            <v>4</v>
          </cell>
          <cell r="B1498">
            <v>6155303</v>
          </cell>
          <cell r="C1498">
            <v>615530314</v>
          </cell>
          <cell r="I1498">
            <v>324000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324000</v>
          </cell>
        </row>
        <row r="1499">
          <cell r="A1499">
            <v>4</v>
          </cell>
          <cell r="B1499">
            <v>6155303</v>
          </cell>
          <cell r="C1499">
            <v>615530315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>
            <v>4</v>
          </cell>
          <cell r="B1500">
            <v>6155303</v>
          </cell>
          <cell r="C1500">
            <v>615530316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A1501">
            <v>4</v>
          </cell>
          <cell r="B1501">
            <v>6155303</v>
          </cell>
          <cell r="C1501">
            <v>615530319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</row>
        <row r="1502">
          <cell r="A1502">
            <v>4</v>
          </cell>
          <cell r="B1502">
            <v>6155304</v>
          </cell>
          <cell r="C1502">
            <v>615530401</v>
          </cell>
          <cell r="I1502">
            <v>709013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709013</v>
          </cell>
          <cell r="P1502">
            <v>0</v>
          </cell>
        </row>
        <row r="1503">
          <cell r="A1503">
            <v>4</v>
          </cell>
          <cell r="B1503">
            <v>6155304</v>
          </cell>
          <cell r="C1503">
            <v>615530402</v>
          </cell>
          <cell r="I1503">
            <v>6576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6576</v>
          </cell>
        </row>
        <row r="1504">
          <cell r="A1504">
            <v>4</v>
          </cell>
          <cell r="B1504">
            <v>6155304</v>
          </cell>
          <cell r="C1504">
            <v>615530403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>
            <v>4</v>
          </cell>
          <cell r="B1505">
            <v>6155304</v>
          </cell>
          <cell r="C1505">
            <v>615530405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>
            <v>4</v>
          </cell>
          <cell r="B1506">
            <v>6155304</v>
          </cell>
          <cell r="C1506">
            <v>615530406</v>
          </cell>
          <cell r="I1506">
            <v>26372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26372</v>
          </cell>
          <cell r="P1506">
            <v>0</v>
          </cell>
        </row>
        <row r="1507">
          <cell r="A1507">
            <v>4</v>
          </cell>
          <cell r="B1507">
            <v>6155304</v>
          </cell>
          <cell r="C1507">
            <v>615530407</v>
          </cell>
          <cell r="I1507">
            <v>250253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250253</v>
          </cell>
          <cell r="P1507">
            <v>0</v>
          </cell>
        </row>
        <row r="1508">
          <cell r="A1508">
            <v>4</v>
          </cell>
          <cell r="B1508">
            <v>6155304</v>
          </cell>
          <cell r="C1508">
            <v>615530408</v>
          </cell>
          <cell r="I1508">
            <v>9845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9845</v>
          </cell>
          <cell r="P1508">
            <v>0</v>
          </cell>
        </row>
        <row r="1509">
          <cell r="A1509">
            <v>4</v>
          </cell>
          <cell r="B1509">
            <v>6155304</v>
          </cell>
          <cell r="C1509">
            <v>615530410</v>
          </cell>
          <cell r="I1509">
            <v>352921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352921</v>
          </cell>
          <cell r="P1509">
            <v>0</v>
          </cell>
        </row>
        <row r="1510">
          <cell r="A1510">
            <v>4</v>
          </cell>
          <cell r="B1510">
            <v>6155304</v>
          </cell>
          <cell r="C1510">
            <v>615530411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>
            <v>4</v>
          </cell>
          <cell r="B1511">
            <v>6155305</v>
          </cell>
          <cell r="C1511">
            <v>615530500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</row>
        <row r="1512">
          <cell r="A1512">
            <v>4</v>
          </cell>
          <cell r="B1512">
            <v>6155307</v>
          </cell>
          <cell r="C1512">
            <v>615530700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>
            <v>4</v>
          </cell>
          <cell r="B1513">
            <v>6155308</v>
          </cell>
          <cell r="C1513">
            <v>615530800</v>
          </cell>
          <cell r="I1513">
            <v>240000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240000</v>
          </cell>
        </row>
        <row r="1514">
          <cell r="A1514">
            <v>4</v>
          </cell>
          <cell r="B1514">
            <v>6155310</v>
          </cell>
          <cell r="C1514">
            <v>615531001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A1515">
            <v>4</v>
          </cell>
          <cell r="B1515">
            <v>6155310</v>
          </cell>
          <cell r="C1515">
            <v>615531002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</row>
        <row r="1516">
          <cell r="A1516">
            <v>4</v>
          </cell>
          <cell r="B1516">
            <v>6155310</v>
          </cell>
          <cell r="C1516">
            <v>615531003</v>
          </cell>
          <cell r="I1516">
            <v>208660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208660</v>
          </cell>
          <cell r="O1516">
            <v>0</v>
          </cell>
          <cell r="P1516">
            <v>0</v>
          </cell>
        </row>
        <row r="1517">
          <cell r="A1517">
            <v>4</v>
          </cell>
          <cell r="B1517">
            <v>6155313</v>
          </cell>
          <cell r="C1517">
            <v>615531300</v>
          </cell>
          <cell r="I1517">
            <v>232236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232236</v>
          </cell>
          <cell r="O1517">
            <v>0</v>
          </cell>
          <cell r="P1517">
            <v>0</v>
          </cell>
        </row>
        <row r="1518">
          <cell r="A1518">
            <v>4</v>
          </cell>
          <cell r="B1518">
            <v>6155314</v>
          </cell>
          <cell r="C1518">
            <v>615531400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A1519">
            <v>4</v>
          </cell>
          <cell r="B1519">
            <v>6155315</v>
          </cell>
          <cell r="C1519">
            <v>615531500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</row>
        <row r="1520">
          <cell r="A1520">
            <v>4</v>
          </cell>
          <cell r="B1520">
            <v>6155317</v>
          </cell>
          <cell r="C1520">
            <v>615531700</v>
          </cell>
          <cell r="I1520">
            <v>7600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7600</v>
          </cell>
          <cell r="O1520">
            <v>0</v>
          </cell>
          <cell r="P1520">
            <v>0</v>
          </cell>
        </row>
        <row r="1521">
          <cell r="A1521">
            <v>4</v>
          </cell>
          <cell r="B1521">
            <v>6155319</v>
          </cell>
          <cell r="C1521">
            <v>615531900</v>
          </cell>
          <cell r="I1521">
            <v>283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283</v>
          </cell>
          <cell r="O1521">
            <v>0</v>
          </cell>
          <cell r="P1521">
            <v>0</v>
          </cell>
        </row>
        <row r="1522">
          <cell r="A1522">
            <v>4</v>
          </cell>
          <cell r="B1522">
            <v>6155320</v>
          </cell>
          <cell r="C1522">
            <v>615532000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</row>
        <row r="1523">
          <cell r="A1523">
            <v>4</v>
          </cell>
          <cell r="B1523">
            <v>6155321</v>
          </cell>
          <cell r="C1523">
            <v>615532100</v>
          </cell>
          <cell r="I1523">
            <v>2041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2041</v>
          </cell>
          <cell r="O1523">
            <v>0</v>
          </cell>
          <cell r="P1523">
            <v>0</v>
          </cell>
        </row>
        <row r="1524">
          <cell r="A1524">
            <v>4</v>
          </cell>
          <cell r="B1524">
            <v>6155323</v>
          </cell>
          <cell r="C1524">
            <v>615532300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</row>
        <row r="1525">
          <cell r="A1525">
            <v>4</v>
          </cell>
          <cell r="B1525">
            <v>6155324</v>
          </cell>
          <cell r="C1525">
            <v>615532400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A1526">
            <v>4</v>
          </cell>
          <cell r="B1526">
            <v>6155331</v>
          </cell>
          <cell r="C1526">
            <v>615533100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>
            <v>4</v>
          </cell>
          <cell r="B1527">
            <v>6155337</v>
          </cell>
          <cell r="C1527">
            <v>615533700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>
            <v>4</v>
          </cell>
          <cell r="B1528">
            <v>6155339</v>
          </cell>
          <cell r="C1528">
            <v>615533900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A1529">
            <v>4</v>
          </cell>
          <cell r="B1529">
            <v>6155340</v>
          </cell>
          <cell r="C1529">
            <v>615534000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</row>
        <row r="1530">
          <cell r="A1530">
            <v>4</v>
          </cell>
          <cell r="B1530">
            <v>6155341</v>
          </cell>
          <cell r="C1530">
            <v>615534100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A1531">
            <v>4</v>
          </cell>
          <cell r="B1531">
            <v>6155365</v>
          </cell>
          <cell r="C1531">
            <v>615536500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</row>
        <row r="1532">
          <cell r="A1532">
            <v>4</v>
          </cell>
          <cell r="B1532">
            <v>6155369</v>
          </cell>
          <cell r="C1532">
            <v>615536900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</row>
        <row r="1533">
          <cell r="A1533">
            <v>4</v>
          </cell>
          <cell r="B1533">
            <v>6155370</v>
          </cell>
          <cell r="C1533">
            <v>615537000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</row>
        <row r="1534">
          <cell r="A1534">
            <v>4</v>
          </cell>
          <cell r="B1534">
            <v>6155371</v>
          </cell>
          <cell r="C1534">
            <v>615537100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A1535">
            <v>4</v>
          </cell>
          <cell r="B1535">
            <v>6155372</v>
          </cell>
          <cell r="C1535">
            <v>615537200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</row>
        <row r="1536">
          <cell r="A1536">
            <v>4</v>
          </cell>
          <cell r="B1536">
            <v>6155373</v>
          </cell>
          <cell r="C1536">
            <v>615537300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</row>
        <row r="1537">
          <cell r="A1537">
            <v>4</v>
          </cell>
          <cell r="B1537">
            <v>6155374</v>
          </cell>
          <cell r="C1537">
            <v>615537400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</row>
        <row r="1538">
          <cell r="A1538">
            <v>4</v>
          </cell>
          <cell r="B1538">
            <v>6155375</v>
          </cell>
          <cell r="C1538">
            <v>615537583</v>
          </cell>
          <cell r="I1538">
            <v>59382913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59382913</v>
          </cell>
          <cell r="O1538">
            <v>0</v>
          </cell>
          <cell r="P1538">
            <v>0</v>
          </cell>
        </row>
        <row r="1539">
          <cell r="A1539">
            <v>4</v>
          </cell>
          <cell r="B1539">
            <v>6155375</v>
          </cell>
          <cell r="C1539">
            <v>615537584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</row>
        <row r="1540">
          <cell r="A1540">
            <v>4</v>
          </cell>
          <cell r="B1540">
            <v>6155375</v>
          </cell>
          <cell r="C1540">
            <v>615537585</v>
          </cell>
          <cell r="I1540">
            <v>16918900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16918900</v>
          </cell>
          <cell r="O1540">
            <v>0</v>
          </cell>
          <cell r="P1540">
            <v>0</v>
          </cell>
        </row>
        <row r="1541">
          <cell r="A1541">
            <v>4</v>
          </cell>
          <cell r="B1541">
            <v>6155375</v>
          </cell>
          <cell r="C1541">
            <v>615537586</v>
          </cell>
          <cell r="I1541">
            <v>2450800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2450800</v>
          </cell>
          <cell r="O1541">
            <v>0</v>
          </cell>
          <cell r="P1541">
            <v>0</v>
          </cell>
        </row>
        <row r="1542">
          <cell r="A1542">
            <v>4</v>
          </cell>
          <cell r="B1542">
            <v>6155375</v>
          </cell>
          <cell r="C1542">
            <v>615537587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</row>
        <row r="1543">
          <cell r="A1543">
            <v>4</v>
          </cell>
          <cell r="B1543">
            <v>6155375</v>
          </cell>
          <cell r="C1543">
            <v>615537588</v>
          </cell>
          <cell r="I1543">
            <v>5780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5780</v>
          </cell>
          <cell r="P1543">
            <v>0</v>
          </cell>
        </row>
        <row r="1544">
          <cell r="A1544">
            <v>4</v>
          </cell>
          <cell r="B1544">
            <v>6160101</v>
          </cell>
          <cell r="C1544">
            <v>616010100</v>
          </cell>
          <cell r="I1544">
            <v>7354796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7354796</v>
          </cell>
        </row>
        <row r="1545">
          <cell r="A1545">
            <v>4</v>
          </cell>
          <cell r="B1545">
            <v>6160303</v>
          </cell>
          <cell r="C1545">
            <v>616030300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</row>
        <row r="1546">
          <cell r="A1546">
            <v>4</v>
          </cell>
          <cell r="B1546">
            <v>6170220</v>
          </cell>
          <cell r="C1546">
            <v>617022000</v>
          </cell>
          <cell r="I1546">
            <v>520000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520000</v>
          </cell>
        </row>
        <row r="1547">
          <cell r="A1547">
            <v>4</v>
          </cell>
          <cell r="B1547">
            <v>6170222</v>
          </cell>
          <cell r="C1547">
            <v>617022200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</row>
        <row r="1548">
          <cell r="A1548">
            <v>4</v>
          </cell>
          <cell r="B1548">
            <v>6170224</v>
          </cell>
          <cell r="C1548">
            <v>617022400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</row>
        <row r="1549">
          <cell r="A1549">
            <v>4</v>
          </cell>
          <cell r="B1549">
            <v>6170303</v>
          </cell>
          <cell r="C1549">
            <v>617030300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</row>
        <row r="1550">
          <cell r="A1550">
            <v>4</v>
          </cell>
          <cell r="B1550">
            <v>6170401</v>
          </cell>
          <cell r="C1550">
            <v>617040100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</row>
        <row r="1551">
          <cell r="A1551">
            <v>4</v>
          </cell>
          <cell r="B1551">
            <v>6170402</v>
          </cell>
          <cell r="C1551">
            <v>617040200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</row>
        <row r="1552">
          <cell r="A1552">
            <v>4</v>
          </cell>
          <cell r="B1552">
            <v>6170403</v>
          </cell>
          <cell r="C1552">
            <v>617040300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</row>
        <row r="1553">
          <cell r="A1553">
            <v>4</v>
          </cell>
          <cell r="B1553">
            <v>6181212</v>
          </cell>
          <cell r="C1553">
            <v>618121200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</row>
        <row r="1554">
          <cell r="A1554">
            <v>4</v>
          </cell>
          <cell r="B1554">
            <v>6181414</v>
          </cell>
          <cell r="C1554">
            <v>618141400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</row>
        <row r="1555">
          <cell r="A1555">
            <v>4</v>
          </cell>
          <cell r="B1555">
            <v>6182020</v>
          </cell>
          <cell r="C1555">
            <v>618202000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</row>
        <row r="1556">
          <cell r="A1556">
            <v>4</v>
          </cell>
          <cell r="B1556">
            <v>6190101</v>
          </cell>
          <cell r="C1556">
            <v>619010100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</row>
        <row r="1557">
          <cell r="A1557">
            <v>4</v>
          </cell>
          <cell r="B1557">
            <v>6200101</v>
          </cell>
          <cell r="C1557">
            <v>620010100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</row>
        <row r="1558">
          <cell r="A1558">
            <v>4</v>
          </cell>
          <cell r="B1558">
            <v>6210101</v>
          </cell>
          <cell r="C1558">
            <v>621010100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</row>
        <row r="1559">
          <cell r="A1559">
            <v>4</v>
          </cell>
          <cell r="B1559">
            <v>6900101</v>
          </cell>
          <cell r="C1559">
            <v>690010100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</row>
        <row r="1560">
          <cell r="A1560">
            <v>4</v>
          </cell>
          <cell r="B1560">
            <v>8831643</v>
          </cell>
          <cell r="C1560">
            <v>883164301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</row>
        <row r="1561">
          <cell r="A1561">
            <v>4</v>
          </cell>
          <cell r="B1561">
            <v>8831643</v>
          </cell>
          <cell r="C1561">
            <v>883164303</v>
          </cell>
          <cell r="I1561">
            <v>174406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174406</v>
          </cell>
        </row>
        <row r="1562">
          <cell r="A1562">
            <v>4</v>
          </cell>
          <cell r="B1562">
            <v>8831901</v>
          </cell>
          <cell r="C1562">
            <v>883190102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</row>
        <row r="1563">
          <cell r="A1563">
            <v>4</v>
          </cell>
          <cell r="B1563">
            <v>8831901</v>
          </cell>
          <cell r="C1563">
            <v>883190103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</row>
        <row r="1564">
          <cell r="A1564">
            <v>4</v>
          </cell>
          <cell r="B1564">
            <v>8831901</v>
          </cell>
          <cell r="C1564">
            <v>883190104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</row>
        <row r="1565">
          <cell r="A1565">
            <v>4</v>
          </cell>
          <cell r="B1565">
            <v>8831901</v>
          </cell>
          <cell r="C1565">
            <v>883190105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</row>
        <row r="1566">
          <cell r="A1566">
            <v>4</v>
          </cell>
          <cell r="B1566">
            <v>8831902</v>
          </cell>
          <cell r="C1566">
            <v>883190202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</row>
        <row r="1567">
          <cell r="A1567">
            <v>4</v>
          </cell>
          <cell r="B1567">
            <v>8831903</v>
          </cell>
          <cell r="C1567">
            <v>883190301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</row>
        <row r="1568">
          <cell r="A1568">
            <v>4</v>
          </cell>
          <cell r="B1568">
            <v>8831903</v>
          </cell>
          <cell r="C1568">
            <v>883190302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</row>
        <row r="1569">
          <cell r="A1569">
            <v>4</v>
          </cell>
          <cell r="B1569">
            <v>8831903</v>
          </cell>
          <cell r="C1569">
            <v>883190303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</row>
        <row r="1570">
          <cell r="A1570">
            <v>4</v>
          </cell>
          <cell r="B1570">
            <v>8831903</v>
          </cell>
          <cell r="C1570">
            <v>883190304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</row>
        <row r="1571">
          <cell r="A1571">
            <v>4</v>
          </cell>
          <cell r="B1571">
            <v>8831903</v>
          </cell>
          <cell r="C1571">
            <v>883190305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</row>
        <row r="1572">
          <cell r="A1572">
            <v>4</v>
          </cell>
          <cell r="B1572">
            <v>8831903</v>
          </cell>
          <cell r="C1572">
            <v>883190306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</row>
        <row r="1573">
          <cell r="A1573">
            <v>4</v>
          </cell>
          <cell r="B1573">
            <v>8831903</v>
          </cell>
          <cell r="C1573">
            <v>883190307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</row>
        <row r="1574">
          <cell r="A1574">
            <v>4</v>
          </cell>
          <cell r="B1574">
            <v>8831903</v>
          </cell>
          <cell r="C1574">
            <v>883190310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</row>
        <row r="1575">
          <cell r="A1575">
            <v>4</v>
          </cell>
          <cell r="B1575">
            <v>8831903</v>
          </cell>
          <cell r="C1575">
            <v>883190311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</row>
        <row r="1576">
          <cell r="A1576">
            <v>4</v>
          </cell>
          <cell r="B1576">
            <v>8831903</v>
          </cell>
          <cell r="C1576">
            <v>883190314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</row>
        <row r="1577">
          <cell r="A1577">
            <v>4</v>
          </cell>
          <cell r="B1577">
            <v>8831903</v>
          </cell>
          <cell r="C1577">
            <v>883190315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</row>
        <row r="1578">
          <cell r="A1578">
            <v>4</v>
          </cell>
          <cell r="B1578">
            <v>8831903</v>
          </cell>
          <cell r="C1578">
            <v>883190316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</row>
        <row r="1579">
          <cell r="A1579">
            <v>4</v>
          </cell>
          <cell r="B1579">
            <v>8831904</v>
          </cell>
          <cell r="C1579">
            <v>883190401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</row>
        <row r="1580">
          <cell r="A1580">
            <v>4</v>
          </cell>
          <cell r="B1580">
            <v>8831904</v>
          </cell>
          <cell r="C1580">
            <v>883190402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</row>
        <row r="1581">
          <cell r="A1581">
            <v>4</v>
          </cell>
          <cell r="B1581">
            <v>8831904</v>
          </cell>
          <cell r="C1581">
            <v>883190403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</row>
        <row r="1582">
          <cell r="A1582">
            <v>4</v>
          </cell>
          <cell r="B1582">
            <v>8831904</v>
          </cell>
          <cell r="C1582">
            <v>883190405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</row>
        <row r="1583">
          <cell r="A1583">
            <v>4</v>
          </cell>
          <cell r="B1583">
            <v>8831904</v>
          </cell>
          <cell r="C1583">
            <v>883190406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</row>
        <row r="1584">
          <cell r="A1584">
            <v>4</v>
          </cell>
          <cell r="B1584">
            <v>8831904</v>
          </cell>
          <cell r="C1584">
            <v>883190407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</row>
        <row r="1585">
          <cell r="A1585">
            <v>4</v>
          </cell>
          <cell r="B1585">
            <v>8831904</v>
          </cell>
          <cell r="C1585">
            <v>883190408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</row>
        <row r="1586">
          <cell r="A1586">
            <v>4</v>
          </cell>
          <cell r="B1586">
            <v>8831904</v>
          </cell>
          <cell r="C1586">
            <v>883190410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</row>
        <row r="1587">
          <cell r="A1587">
            <v>4</v>
          </cell>
          <cell r="B1587">
            <v>8831904</v>
          </cell>
          <cell r="C1587">
            <v>883190411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</row>
        <row r="1588">
          <cell r="A1588">
            <v>4</v>
          </cell>
          <cell r="B1588">
            <v>8831905</v>
          </cell>
          <cell r="C1588">
            <v>883190500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</row>
        <row r="1589">
          <cell r="A1589">
            <v>4</v>
          </cell>
          <cell r="B1589">
            <v>8831907</v>
          </cell>
          <cell r="C1589">
            <v>883190700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</row>
        <row r="1590">
          <cell r="A1590">
            <v>4</v>
          </cell>
          <cell r="B1590">
            <v>8831908</v>
          </cell>
          <cell r="C1590">
            <v>883190800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</row>
        <row r="1591">
          <cell r="A1591">
            <v>4</v>
          </cell>
          <cell r="B1591">
            <v>8831910</v>
          </cell>
          <cell r="C1591">
            <v>883191001</v>
          </cell>
          <cell r="I1591">
            <v>2401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2401</v>
          </cell>
          <cell r="O1591">
            <v>0</v>
          </cell>
          <cell r="P1591">
            <v>0</v>
          </cell>
        </row>
        <row r="1592">
          <cell r="A1592">
            <v>4</v>
          </cell>
          <cell r="B1592">
            <v>8831910</v>
          </cell>
          <cell r="C1592">
            <v>883191002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</row>
        <row r="1593">
          <cell r="A1593">
            <v>4</v>
          </cell>
          <cell r="B1593">
            <v>8831910</v>
          </cell>
          <cell r="C1593">
            <v>883191003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</row>
        <row r="1594">
          <cell r="A1594">
            <v>4</v>
          </cell>
          <cell r="B1594">
            <v>8831913</v>
          </cell>
          <cell r="C1594">
            <v>883191300</v>
          </cell>
          <cell r="I1594">
            <v>36401</v>
          </cell>
          <cell r="J1594">
            <v>0</v>
          </cell>
          <cell r="K1594">
            <v>0</v>
          </cell>
          <cell r="L1594">
            <v>0</v>
          </cell>
          <cell r="M1594">
            <v>1529</v>
          </cell>
          <cell r="N1594">
            <v>34872</v>
          </cell>
          <cell r="O1594">
            <v>0</v>
          </cell>
          <cell r="P1594">
            <v>0</v>
          </cell>
        </row>
        <row r="1595">
          <cell r="A1595">
            <v>4</v>
          </cell>
          <cell r="B1595">
            <v>8831914</v>
          </cell>
          <cell r="C1595">
            <v>883191400</v>
          </cell>
          <cell r="I1595">
            <v>507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507</v>
          </cell>
          <cell r="O1595">
            <v>0</v>
          </cell>
          <cell r="P1595">
            <v>0</v>
          </cell>
        </row>
        <row r="1596">
          <cell r="A1596">
            <v>4</v>
          </cell>
          <cell r="B1596">
            <v>8831915</v>
          </cell>
          <cell r="C1596">
            <v>883191500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</row>
        <row r="1597">
          <cell r="A1597">
            <v>4</v>
          </cell>
          <cell r="B1597">
            <v>8831917</v>
          </cell>
          <cell r="C1597">
            <v>883191700</v>
          </cell>
          <cell r="I1597">
            <v>249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249</v>
          </cell>
          <cell r="O1597">
            <v>0</v>
          </cell>
          <cell r="P1597">
            <v>0</v>
          </cell>
        </row>
        <row r="1598">
          <cell r="A1598">
            <v>4</v>
          </cell>
          <cell r="B1598">
            <v>8831919</v>
          </cell>
          <cell r="C1598">
            <v>883191900</v>
          </cell>
          <cell r="I1598">
            <v>5444939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898</v>
          </cell>
          <cell r="O1598">
            <v>5444041</v>
          </cell>
          <cell r="P1598">
            <v>0</v>
          </cell>
        </row>
        <row r="1599">
          <cell r="A1599">
            <v>4</v>
          </cell>
          <cell r="B1599">
            <v>8831920</v>
          </cell>
          <cell r="C1599">
            <v>883192000</v>
          </cell>
          <cell r="I1599">
            <v>1905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1765</v>
          </cell>
          <cell r="O1599">
            <v>140</v>
          </cell>
          <cell r="P1599">
            <v>0</v>
          </cell>
        </row>
        <row r="1600">
          <cell r="A1600">
            <v>4</v>
          </cell>
          <cell r="B1600">
            <v>8831921</v>
          </cell>
          <cell r="C1600">
            <v>883192100</v>
          </cell>
          <cell r="I1600">
            <v>65215024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65215024</v>
          </cell>
          <cell r="O1600">
            <v>0</v>
          </cell>
          <cell r="P1600">
            <v>0</v>
          </cell>
        </row>
        <row r="1601">
          <cell r="A1601">
            <v>4</v>
          </cell>
          <cell r="B1601">
            <v>8831923</v>
          </cell>
          <cell r="C1601">
            <v>883192300</v>
          </cell>
          <cell r="I1601">
            <v>4963548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4963548</v>
          </cell>
          <cell r="O1601">
            <v>0</v>
          </cell>
          <cell r="P1601">
            <v>0</v>
          </cell>
        </row>
        <row r="1602">
          <cell r="A1602">
            <v>4</v>
          </cell>
          <cell r="B1602">
            <v>8831924</v>
          </cell>
          <cell r="C1602">
            <v>883192400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</row>
        <row r="1603">
          <cell r="A1603">
            <v>4</v>
          </cell>
          <cell r="B1603">
            <v>8831925</v>
          </cell>
          <cell r="C1603">
            <v>883192500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</row>
        <row r="1604">
          <cell r="A1604">
            <v>4</v>
          </cell>
          <cell r="B1604">
            <v>8831928</v>
          </cell>
          <cell r="C1604">
            <v>883192866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</row>
        <row r="1605">
          <cell r="A1605">
            <v>4</v>
          </cell>
          <cell r="B1605">
            <v>8831928</v>
          </cell>
          <cell r="C1605">
            <v>883192867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</row>
        <row r="1606">
          <cell r="A1606">
            <v>4</v>
          </cell>
          <cell r="B1606">
            <v>8831929</v>
          </cell>
          <cell r="C1606">
            <v>883192900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</row>
        <row r="1607">
          <cell r="A1607">
            <v>4</v>
          </cell>
          <cell r="B1607">
            <v>8831930</v>
          </cell>
          <cell r="C1607">
            <v>883193000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</row>
        <row r="1608">
          <cell r="A1608">
            <v>4</v>
          </cell>
          <cell r="B1608">
            <v>8831931</v>
          </cell>
          <cell r="C1608">
            <v>883193100</v>
          </cell>
          <cell r="I1608">
            <v>719709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696484</v>
          </cell>
          <cell r="O1608">
            <v>0</v>
          </cell>
          <cell r="P1608">
            <v>23225</v>
          </cell>
        </row>
        <row r="1609">
          <cell r="A1609">
            <v>4</v>
          </cell>
          <cell r="B1609">
            <v>8831933</v>
          </cell>
          <cell r="C1609">
            <v>883193300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</row>
        <row r="1610">
          <cell r="A1610">
            <v>4</v>
          </cell>
          <cell r="B1610">
            <v>8831936</v>
          </cell>
          <cell r="C1610">
            <v>883193600</v>
          </cell>
          <cell r="I1610">
            <v>19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19</v>
          </cell>
          <cell r="O1610">
            <v>0</v>
          </cell>
          <cell r="P1610">
            <v>0</v>
          </cell>
        </row>
        <row r="1611">
          <cell r="A1611">
            <v>4</v>
          </cell>
          <cell r="B1611">
            <v>8831937</v>
          </cell>
          <cell r="C1611">
            <v>883193700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</row>
        <row r="1612">
          <cell r="A1612">
            <v>4</v>
          </cell>
          <cell r="B1612">
            <v>8831939</v>
          </cell>
          <cell r="C1612">
            <v>883193900</v>
          </cell>
          <cell r="I1612">
            <v>3586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3586</v>
          </cell>
          <cell r="P1612">
            <v>0</v>
          </cell>
        </row>
        <row r="1613">
          <cell r="A1613">
            <v>4</v>
          </cell>
          <cell r="B1613">
            <v>8831940</v>
          </cell>
          <cell r="C1613">
            <v>883194000</v>
          </cell>
          <cell r="I1613">
            <v>42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42</v>
          </cell>
        </row>
        <row r="1614">
          <cell r="A1614">
            <v>4</v>
          </cell>
          <cell r="B1614">
            <v>8831941</v>
          </cell>
          <cell r="C1614">
            <v>883194100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</row>
        <row r="1615">
          <cell r="A1615">
            <v>4</v>
          </cell>
          <cell r="B1615">
            <v>8832043</v>
          </cell>
          <cell r="C1615">
            <v>883204370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</row>
        <row r="1616">
          <cell r="A1616">
            <v>4</v>
          </cell>
          <cell r="B1616">
            <v>8832043</v>
          </cell>
          <cell r="C1616">
            <v>883204371</v>
          </cell>
          <cell r="I1616">
            <v>27156268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27156268</v>
          </cell>
        </row>
        <row r="1617">
          <cell r="A1617">
            <v>4</v>
          </cell>
          <cell r="B1617">
            <v>8832043</v>
          </cell>
          <cell r="C1617">
            <v>883204372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</row>
        <row r="1618">
          <cell r="A1618">
            <v>4</v>
          </cell>
          <cell r="B1618">
            <v>8832043</v>
          </cell>
          <cell r="C1618">
            <v>883204373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</row>
        <row r="1619">
          <cell r="A1619">
            <v>4</v>
          </cell>
          <cell r="B1619">
            <v>8832043</v>
          </cell>
          <cell r="C1619">
            <v>883204374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</row>
        <row r="1620">
          <cell r="A1620">
            <v>4</v>
          </cell>
          <cell r="B1620">
            <v>8832044</v>
          </cell>
          <cell r="C1620">
            <v>883204475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</row>
        <row r="1621">
          <cell r="A1621">
            <v>4</v>
          </cell>
          <cell r="B1621">
            <v>8832044</v>
          </cell>
          <cell r="C1621">
            <v>883204476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</row>
        <row r="1622">
          <cell r="A1622">
            <v>4</v>
          </cell>
          <cell r="B1622">
            <v>8832044</v>
          </cell>
          <cell r="C1622">
            <v>883204477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</row>
        <row r="1623">
          <cell r="A1623">
            <v>4</v>
          </cell>
          <cell r="B1623">
            <v>8832246</v>
          </cell>
          <cell r="C1623">
            <v>883224600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</row>
        <row r="1624">
          <cell r="A1624">
            <v>4</v>
          </cell>
          <cell r="B1624">
            <v>8832247</v>
          </cell>
          <cell r="C1624">
            <v>883224700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</row>
        <row r="1625">
          <cell r="A1625">
            <v>4</v>
          </cell>
          <cell r="B1625">
            <v>8840251</v>
          </cell>
          <cell r="C1625">
            <v>884025180</v>
          </cell>
          <cell r="I1625">
            <v>2903291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2903291</v>
          </cell>
          <cell r="P1625">
            <v>0</v>
          </cell>
        </row>
        <row r="1626">
          <cell r="A1626">
            <v>4</v>
          </cell>
          <cell r="B1626">
            <v>8840251</v>
          </cell>
          <cell r="C1626">
            <v>884025181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</row>
        <row r="1627">
          <cell r="A1627">
            <v>4</v>
          </cell>
          <cell r="B1627">
            <v>8840252</v>
          </cell>
          <cell r="C1627">
            <v>884025200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</row>
        <row r="1628">
          <cell r="A1628">
            <v>4</v>
          </cell>
          <cell r="B1628">
            <v>8840253</v>
          </cell>
          <cell r="C1628">
            <v>884025300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</row>
        <row r="1629">
          <cell r="A1629">
            <v>4</v>
          </cell>
          <cell r="B1629">
            <v>8840254</v>
          </cell>
          <cell r="C1629">
            <v>884025400</v>
          </cell>
          <cell r="I1629">
            <v>6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6</v>
          </cell>
          <cell r="P1629">
            <v>0</v>
          </cell>
        </row>
        <row r="1630">
          <cell r="A1630">
            <v>4</v>
          </cell>
          <cell r="B1630">
            <v>8840255</v>
          </cell>
          <cell r="C1630">
            <v>884025500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</row>
        <row r="1631">
          <cell r="A1631">
            <v>4</v>
          </cell>
          <cell r="B1631">
            <v>8840456</v>
          </cell>
          <cell r="C1631">
            <v>884045600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</row>
        <row r="1632">
          <cell r="A1632">
            <v>4</v>
          </cell>
          <cell r="B1632">
            <v>8840457</v>
          </cell>
          <cell r="C1632">
            <v>884045700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</row>
        <row r="1633">
          <cell r="A1633">
            <v>4</v>
          </cell>
          <cell r="B1633">
            <v>8840458</v>
          </cell>
          <cell r="C1633">
            <v>884045800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</row>
        <row r="1634">
          <cell r="A1634">
            <v>4</v>
          </cell>
          <cell r="B1634">
            <v>8840559</v>
          </cell>
          <cell r="C1634">
            <v>884055900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</row>
        <row r="1635">
          <cell r="A1635">
            <v>4</v>
          </cell>
          <cell r="B1635">
            <v>8840662</v>
          </cell>
          <cell r="C1635">
            <v>884066200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</row>
        <row r="1636">
          <cell r="A1636">
            <v>4</v>
          </cell>
          <cell r="B1636">
            <v>8840663</v>
          </cell>
          <cell r="C1636">
            <v>884066300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</row>
        <row r="1637">
          <cell r="A1637">
            <v>4</v>
          </cell>
          <cell r="B1637">
            <v>8850202</v>
          </cell>
          <cell r="C1637">
            <v>885020200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</row>
        <row r="1638">
          <cell r="A1638">
            <v>4</v>
          </cell>
          <cell r="B1638">
            <v>8850404</v>
          </cell>
          <cell r="C1638">
            <v>885040400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</row>
        <row r="1639">
          <cell r="A1639">
            <v>4</v>
          </cell>
          <cell r="B1639">
            <v>8850606</v>
          </cell>
          <cell r="C1639">
            <v>885060600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</row>
        <row r="1640">
          <cell r="A1640">
            <v>4</v>
          </cell>
          <cell r="B1640">
            <v>8850808</v>
          </cell>
          <cell r="C1640">
            <v>885080800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</row>
        <row r="1641">
          <cell r="A1641">
            <v>4</v>
          </cell>
          <cell r="B1641">
            <v>8851010</v>
          </cell>
          <cell r="C1641">
            <v>885101000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</row>
        <row r="1642">
          <cell r="A1642">
            <v>4</v>
          </cell>
          <cell r="B1642">
            <v>8900101</v>
          </cell>
          <cell r="C1642">
            <v>890010100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</row>
      </sheetData>
      <sheetData sheetId="2"/>
      <sheetData sheetId="3">
        <row r="1">
          <cell r="D1" t="str">
            <v>令和５年度決算　消費税算出資料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I43"/>
  <sheetViews>
    <sheetView tabSelected="1" topLeftCell="D1" zoomScale="80" zoomScaleNormal="80" zoomScaleSheetLayoutView="40" workbookViewId="0">
      <pane xSplit="1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4.25" style="1" customWidth="1"/>
    <col min="6" max="6" width="11.625" style="1" hidden="1" customWidth="1" outlineLevel="1"/>
    <col min="7" max="7" width="12.625" style="1" customWidth="1" collapsed="1"/>
    <col min="8" max="9" width="14.375" style="1" customWidth="1"/>
    <col min="10" max="10" width="14" style="1" bestFit="1" customWidth="1"/>
    <col min="11" max="11" width="14.25" style="1" customWidth="1"/>
    <col min="12" max="12" width="13.625" style="1" customWidth="1"/>
    <col min="13" max="13" width="14.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2.875" style="2" bestFit="1" customWidth="1"/>
    <col min="19" max="19" width="12.625" style="2" customWidth="1"/>
    <col min="20" max="20" width="15" style="1" customWidth="1"/>
    <col min="21" max="22" width="5.375" style="1" customWidth="1"/>
    <col min="23" max="23" width="6.875" style="1" bestFit="1" customWidth="1"/>
    <col min="24" max="24" width="7.125" style="1" bestFit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+'[1]3条支出'!$D$1</f>
        <v>令和５年度決算　消費税算出資料</v>
      </c>
    </row>
    <row r="2" spans="1:35" x14ac:dyDescent="0.15">
      <c r="D2" s="1" t="s">
        <v>30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73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/>
      <c r="B5" s="65"/>
      <c r="C5" s="64"/>
      <c r="D5" s="63" t="s">
        <v>16</v>
      </c>
      <c r="E5" s="62">
        <f t="shared" ref="E5:T5" si="0">+SUM(E6:E11,E15:E16)</f>
        <v>17250555070</v>
      </c>
      <c r="F5" s="61">
        <f t="shared" si="0"/>
        <v>0</v>
      </c>
      <c r="G5" s="60">
        <f t="shared" si="0"/>
        <v>0</v>
      </c>
      <c r="H5" s="60">
        <f t="shared" si="0"/>
        <v>125712</v>
      </c>
      <c r="I5" s="60">
        <f t="shared" ref="I5" si="1">+SUM(I6:I11,I15:I16)</f>
        <v>36840</v>
      </c>
      <c r="J5" s="59">
        <f t="shared" si="0"/>
        <v>16278736624</v>
      </c>
      <c r="K5" s="58">
        <f t="shared" si="0"/>
        <v>16278899176</v>
      </c>
      <c r="L5" s="62">
        <f t="shared" si="0"/>
        <v>164380201</v>
      </c>
      <c r="M5" s="62">
        <f t="shared" si="0"/>
        <v>807275693</v>
      </c>
      <c r="N5" s="61">
        <f t="shared" si="0"/>
        <v>0</v>
      </c>
      <c r="O5" s="60">
        <f t="shared" si="0"/>
        <v>0</v>
      </c>
      <c r="P5" s="60">
        <f>+SUM(P6:P11,P15:P16)</f>
        <v>9312</v>
      </c>
      <c r="Q5" s="60">
        <f t="shared" ref="Q5" si="2">+SUM(Q6:Q11,Q15:Q16)</f>
        <v>2728</v>
      </c>
      <c r="R5" s="59">
        <f t="shared" si="0"/>
        <v>1479885147</v>
      </c>
      <c r="S5" s="58">
        <f t="shared" si="0"/>
        <v>1479897187</v>
      </c>
      <c r="T5" s="57">
        <f t="shared" si="0"/>
        <v>15770657883</v>
      </c>
      <c r="U5" s="31"/>
      <c r="V5" s="31"/>
      <c r="W5" s="31"/>
      <c r="X5" s="31"/>
      <c r="Y5" s="31"/>
      <c r="Z5" s="30"/>
      <c r="AA5" s="30"/>
      <c r="AB5" s="30"/>
      <c r="AC5" s="30"/>
      <c r="AD5" s="30"/>
      <c r="AE5" s="29"/>
      <c r="AF5" s="29"/>
      <c r="AG5" s="29"/>
      <c r="AH5" s="29"/>
      <c r="AI5" s="29"/>
    </row>
    <row r="6" spans="1:35" x14ac:dyDescent="0.15">
      <c r="A6" s="51"/>
      <c r="B6" s="50"/>
      <c r="C6" s="49"/>
      <c r="D6" s="48" t="s">
        <v>15</v>
      </c>
      <c r="E6" s="47">
        <f>+公整!E41</f>
        <v>15677649564</v>
      </c>
      <c r="F6" s="43">
        <f>+公整!F41</f>
        <v>0</v>
      </c>
      <c r="G6" s="42">
        <f>+公整!G41</f>
        <v>0</v>
      </c>
      <c r="H6" s="42">
        <f>+公整!H41</f>
        <v>125712</v>
      </c>
      <c r="I6" s="42">
        <f>+公整!I41</f>
        <v>36840</v>
      </c>
      <c r="J6" s="46">
        <f>+公整!J41</f>
        <v>14917070964</v>
      </c>
      <c r="K6" s="45">
        <f>+公整!K41</f>
        <v>14917233516</v>
      </c>
      <c r="L6" s="47">
        <f>+公整!L41</f>
        <v>120272797</v>
      </c>
      <c r="M6" s="47">
        <f>+公整!M41</f>
        <v>640143251</v>
      </c>
      <c r="N6" s="56">
        <f t="shared" ref="N6:Q10" si="3">+ROUND(F6*F$4/(100+F$4),0)+AE6</f>
        <v>0</v>
      </c>
      <c r="O6" s="55">
        <f t="shared" si="3"/>
        <v>0</v>
      </c>
      <c r="P6" s="55">
        <f t="shared" si="3"/>
        <v>9312</v>
      </c>
      <c r="Q6" s="55">
        <f t="shared" si="3"/>
        <v>2728</v>
      </c>
      <c r="R6" s="54">
        <f>+ROUND(J6*J$4/(100+J$4),0)+AI6</f>
        <v>1356097360</v>
      </c>
      <c r="S6" s="53">
        <f t="shared" ref="S6:S16" si="4">SUM(N6:R6)</f>
        <v>1356109400</v>
      </c>
      <c r="T6" s="52">
        <f t="shared" ref="T6:T19" si="5">+E6-S6</f>
        <v>14321540164</v>
      </c>
      <c r="U6" s="31">
        <f t="shared" ref="U6:X10" si="6">N6-F6*F$4/(100+F$4)</f>
        <v>0</v>
      </c>
      <c r="V6" s="31">
        <f t="shared" si="6"/>
        <v>0</v>
      </c>
      <c r="W6" s="31">
        <f t="shared" si="6"/>
        <v>0</v>
      </c>
      <c r="X6" s="31">
        <f t="shared" si="6"/>
        <v>-0.88888888888868678</v>
      </c>
      <c r="Y6" s="31">
        <f>R6-J6*J$4/(100+J$4)</f>
        <v>-0.36363625526428223</v>
      </c>
      <c r="Z6" s="30">
        <f t="shared" ref="Z6:AC10" si="7">+IF(N$43=0,0,IF(N$43&lt;0,-RANK(U6,U$5:U$40,0),RANK(U6,U$5:U$40,1)))</f>
        <v>0</v>
      </c>
      <c r="AA6" s="30">
        <f t="shared" si="7"/>
        <v>0</v>
      </c>
      <c r="AB6" s="30">
        <f t="shared" si="7"/>
        <v>0</v>
      </c>
      <c r="AC6" s="30">
        <f t="shared" si="7"/>
        <v>0</v>
      </c>
      <c r="AD6" s="30">
        <f>+IF(R$43=0,0,IF(R$43&lt;0,-RANK(Y6,Y$5:Y$40,0),RANK(Y6,Y$5:Y$40,1)))</f>
        <v>0</v>
      </c>
      <c r="AE6" s="29"/>
      <c r="AF6" s="29"/>
      <c r="AG6" s="29"/>
      <c r="AH6" s="29">
        <v>-1</v>
      </c>
      <c r="AI6" s="29"/>
    </row>
    <row r="7" spans="1:35" x14ac:dyDescent="0.15">
      <c r="A7" s="51"/>
      <c r="B7" s="50"/>
      <c r="C7" s="49"/>
      <c r="D7" s="48" t="s">
        <v>14</v>
      </c>
      <c r="E7" s="47">
        <f>+受益!E41</f>
        <v>15860357</v>
      </c>
      <c r="F7" s="43">
        <f>+受益!F41</f>
        <v>0</v>
      </c>
      <c r="G7" s="42">
        <f>+受益!G41</f>
        <v>0</v>
      </c>
      <c r="H7" s="42">
        <f>+受益!H41</f>
        <v>0</v>
      </c>
      <c r="I7" s="42">
        <f>+受益!I41</f>
        <v>0</v>
      </c>
      <c r="J7" s="46">
        <f>+受益!J41</f>
        <v>5973775</v>
      </c>
      <c r="K7" s="45">
        <f>+受益!K41</f>
        <v>5973775</v>
      </c>
      <c r="L7" s="47">
        <f>+受益!L41</f>
        <v>1647233</v>
      </c>
      <c r="M7" s="47">
        <f>+受益!M41</f>
        <v>8239349</v>
      </c>
      <c r="N7" s="56">
        <f t="shared" si="3"/>
        <v>0</v>
      </c>
      <c r="O7" s="55">
        <f t="shared" si="3"/>
        <v>0</v>
      </c>
      <c r="P7" s="55">
        <f t="shared" si="3"/>
        <v>0</v>
      </c>
      <c r="Q7" s="55">
        <f t="shared" si="3"/>
        <v>0</v>
      </c>
      <c r="R7" s="54">
        <f>+ROUND(J7*J$4/(100+J$4),0)+AI7</f>
        <v>543071</v>
      </c>
      <c r="S7" s="53">
        <f t="shared" si="4"/>
        <v>543071</v>
      </c>
      <c r="T7" s="52">
        <f t="shared" si="5"/>
        <v>15317286</v>
      </c>
      <c r="U7" s="31">
        <f t="shared" si="6"/>
        <v>0</v>
      </c>
      <c r="V7" s="31">
        <f t="shared" si="6"/>
        <v>0</v>
      </c>
      <c r="W7" s="31">
        <f t="shared" si="6"/>
        <v>0</v>
      </c>
      <c r="X7" s="31">
        <f t="shared" si="6"/>
        <v>0</v>
      </c>
      <c r="Y7" s="31">
        <f>R7-J7*J$4/(100+J$4)</f>
        <v>0.54545454541221261</v>
      </c>
      <c r="Z7" s="30">
        <f t="shared" si="7"/>
        <v>0</v>
      </c>
      <c r="AA7" s="30">
        <f t="shared" si="7"/>
        <v>0</v>
      </c>
      <c r="AB7" s="30">
        <f t="shared" si="7"/>
        <v>0</v>
      </c>
      <c r="AC7" s="30">
        <f t="shared" si="7"/>
        <v>0</v>
      </c>
      <c r="AD7" s="30">
        <f>+IF(R$43=0,0,IF(R$43&lt;0,-RANK(Y7,Y$5:Y$40,0),RANK(Y7,Y$5:Y$40,1)))</f>
        <v>0</v>
      </c>
      <c r="AE7" s="29"/>
      <c r="AF7" s="29"/>
      <c r="AG7" s="29"/>
      <c r="AH7" s="29"/>
      <c r="AI7" s="29">
        <v>1</v>
      </c>
    </row>
    <row r="8" spans="1:35" x14ac:dyDescent="0.15">
      <c r="A8" s="51"/>
      <c r="B8" s="50"/>
      <c r="C8" s="49"/>
      <c r="D8" s="48" t="s">
        <v>13</v>
      </c>
      <c r="E8" s="47">
        <f>+排水!E41</f>
        <v>665100151</v>
      </c>
      <c r="F8" s="43">
        <f>+排水!F41</f>
        <v>0</v>
      </c>
      <c r="G8" s="42">
        <f>+排水!G41</f>
        <v>0</v>
      </c>
      <c r="H8" s="42">
        <f>+排水!H41</f>
        <v>0</v>
      </c>
      <c r="I8" s="42">
        <f>+排水!I41</f>
        <v>0</v>
      </c>
      <c r="J8" s="46">
        <f>+排水!J41</f>
        <v>518619849</v>
      </c>
      <c r="K8" s="45">
        <f>+排水!K41</f>
        <v>518619849</v>
      </c>
      <c r="L8" s="47">
        <f>+排水!L41</f>
        <v>24850691</v>
      </c>
      <c r="M8" s="47">
        <f>+排水!M41</f>
        <v>121629611</v>
      </c>
      <c r="N8" s="56">
        <f t="shared" si="3"/>
        <v>0</v>
      </c>
      <c r="O8" s="55">
        <f t="shared" si="3"/>
        <v>0</v>
      </c>
      <c r="P8" s="55">
        <f t="shared" si="3"/>
        <v>0</v>
      </c>
      <c r="Q8" s="55">
        <f t="shared" si="3"/>
        <v>0</v>
      </c>
      <c r="R8" s="54">
        <f>+ROUND(J8*J$4/(100+J$4),0)+AI8</f>
        <v>47147259</v>
      </c>
      <c r="S8" s="53">
        <f t="shared" si="4"/>
        <v>47147259</v>
      </c>
      <c r="T8" s="52">
        <f t="shared" si="5"/>
        <v>617952892</v>
      </c>
      <c r="U8" s="31">
        <f t="shared" si="6"/>
        <v>0</v>
      </c>
      <c r="V8" s="31">
        <f t="shared" si="6"/>
        <v>0</v>
      </c>
      <c r="W8" s="31">
        <f t="shared" si="6"/>
        <v>0</v>
      </c>
      <c r="X8" s="31">
        <f t="shared" si="6"/>
        <v>0</v>
      </c>
      <c r="Y8" s="31">
        <f>R8-J8*J$4/(100+J$4)</f>
        <v>0</v>
      </c>
      <c r="Z8" s="30">
        <f t="shared" si="7"/>
        <v>0</v>
      </c>
      <c r="AA8" s="30">
        <f t="shared" si="7"/>
        <v>0</v>
      </c>
      <c r="AB8" s="30">
        <f t="shared" si="7"/>
        <v>0</v>
      </c>
      <c r="AC8" s="30">
        <f t="shared" si="7"/>
        <v>0</v>
      </c>
      <c r="AD8" s="30">
        <f>+IF(R$43=0,0,IF(R$43&lt;0,-RANK(Y8,Y$5:Y$40,0),RANK(Y8,Y$5:Y$40,1)))</f>
        <v>0</v>
      </c>
      <c r="AE8" s="29"/>
      <c r="AF8" s="29"/>
      <c r="AG8" s="29"/>
      <c r="AH8" s="29"/>
      <c r="AI8" s="29"/>
    </row>
    <row r="9" spans="1:35" x14ac:dyDescent="0.15">
      <c r="A9" s="51"/>
      <c r="B9" s="50"/>
      <c r="C9" s="49"/>
      <c r="D9" s="48" t="s">
        <v>12</v>
      </c>
      <c r="E9" s="47">
        <f>+都下!E41</f>
        <v>0</v>
      </c>
      <c r="F9" s="43">
        <f>+都下!F41</f>
        <v>0</v>
      </c>
      <c r="G9" s="42">
        <f>+都下!G41</f>
        <v>0</v>
      </c>
      <c r="H9" s="42">
        <f>+都下!H41</f>
        <v>0</v>
      </c>
      <c r="I9" s="42">
        <f>+都下!I41</f>
        <v>0</v>
      </c>
      <c r="J9" s="46">
        <f>+都下!J41</f>
        <v>0</v>
      </c>
      <c r="K9" s="45">
        <f>+都下!K41</f>
        <v>0</v>
      </c>
      <c r="L9" s="47">
        <f>+都下!L41</f>
        <v>0</v>
      </c>
      <c r="M9" s="47">
        <f>+都下!M41</f>
        <v>0</v>
      </c>
      <c r="N9" s="56">
        <f t="shared" si="3"/>
        <v>0</v>
      </c>
      <c r="O9" s="55">
        <f t="shared" si="3"/>
        <v>0</v>
      </c>
      <c r="P9" s="55">
        <f t="shared" si="3"/>
        <v>0</v>
      </c>
      <c r="Q9" s="55">
        <f t="shared" si="3"/>
        <v>0</v>
      </c>
      <c r="R9" s="54">
        <f>+ROUND(J9*J$4/(100+J$4),0)+AI9</f>
        <v>0</v>
      </c>
      <c r="S9" s="53">
        <f t="shared" si="4"/>
        <v>0</v>
      </c>
      <c r="T9" s="52">
        <f t="shared" si="5"/>
        <v>0</v>
      </c>
      <c r="U9" s="31">
        <f t="shared" si="6"/>
        <v>0</v>
      </c>
      <c r="V9" s="31">
        <f t="shared" si="6"/>
        <v>0</v>
      </c>
      <c r="W9" s="31">
        <f t="shared" si="6"/>
        <v>0</v>
      </c>
      <c r="X9" s="31">
        <f t="shared" si="6"/>
        <v>0</v>
      </c>
      <c r="Y9" s="31">
        <f>R9-J9*J$4/(100+J$4)</f>
        <v>0</v>
      </c>
      <c r="Z9" s="30">
        <f t="shared" si="7"/>
        <v>0</v>
      </c>
      <c r="AA9" s="30">
        <f t="shared" si="7"/>
        <v>0</v>
      </c>
      <c r="AB9" s="30">
        <f t="shared" si="7"/>
        <v>0</v>
      </c>
      <c r="AC9" s="30">
        <f t="shared" si="7"/>
        <v>0</v>
      </c>
      <c r="AD9" s="30">
        <f>+IF(R$43=0,0,IF(R$43&lt;0,-RANK(Y9,Y$5:Y$40,0),RANK(Y9,Y$5:Y$40,1)))</f>
        <v>0</v>
      </c>
      <c r="AE9" s="29"/>
      <c r="AF9" s="29"/>
      <c r="AG9" s="29"/>
      <c r="AH9" s="29"/>
      <c r="AI9" s="29"/>
    </row>
    <row r="10" spans="1:35" x14ac:dyDescent="0.15">
      <c r="A10" s="51"/>
      <c r="B10" s="50"/>
      <c r="C10" s="49"/>
      <c r="D10" s="48" t="s">
        <v>11</v>
      </c>
      <c r="E10" s="47">
        <f>+流下!E41</f>
        <v>131921564</v>
      </c>
      <c r="F10" s="43">
        <f>+流下!F41</f>
        <v>0</v>
      </c>
      <c r="G10" s="42">
        <f>+流下!G41</f>
        <v>0</v>
      </c>
      <c r="H10" s="42">
        <f>+流下!H41</f>
        <v>0</v>
      </c>
      <c r="I10" s="42">
        <f>+流下!I41</f>
        <v>0</v>
      </c>
      <c r="J10" s="46">
        <f>+流下!J41</f>
        <v>121228564</v>
      </c>
      <c r="K10" s="45">
        <f>+流下!K41</f>
        <v>121228564</v>
      </c>
      <c r="L10" s="47">
        <f>+流下!L41</f>
        <v>0</v>
      </c>
      <c r="M10" s="47">
        <f>+流下!M41</f>
        <v>10693000</v>
      </c>
      <c r="N10" s="56">
        <f t="shared" si="3"/>
        <v>0</v>
      </c>
      <c r="O10" s="55">
        <f t="shared" si="3"/>
        <v>0</v>
      </c>
      <c r="P10" s="55">
        <f t="shared" si="3"/>
        <v>0</v>
      </c>
      <c r="Q10" s="55">
        <f t="shared" si="3"/>
        <v>0</v>
      </c>
      <c r="R10" s="54">
        <f>+ROUND(J10*J$4/(100+J$4),0)+AI10</f>
        <v>11020779</v>
      </c>
      <c r="S10" s="53">
        <f t="shared" si="4"/>
        <v>11020779</v>
      </c>
      <c r="T10" s="52">
        <f t="shared" si="5"/>
        <v>120900785</v>
      </c>
      <c r="U10" s="31">
        <f t="shared" si="6"/>
        <v>0</v>
      </c>
      <c r="V10" s="31">
        <f t="shared" si="6"/>
        <v>0</v>
      </c>
      <c r="W10" s="31">
        <f t="shared" si="6"/>
        <v>0</v>
      </c>
      <c r="X10" s="31">
        <f t="shared" si="6"/>
        <v>0</v>
      </c>
      <c r="Y10" s="31">
        <f>R10-J10*J$4/(100+J$4)</f>
        <v>0.45454545505344868</v>
      </c>
      <c r="Z10" s="30">
        <f t="shared" si="7"/>
        <v>0</v>
      </c>
      <c r="AA10" s="30">
        <f t="shared" si="7"/>
        <v>0</v>
      </c>
      <c r="AB10" s="30">
        <f t="shared" si="7"/>
        <v>0</v>
      </c>
      <c r="AC10" s="30">
        <f t="shared" si="7"/>
        <v>0</v>
      </c>
      <c r="AD10" s="30">
        <f>+IF(R$43=0,0,IF(R$43&lt;0,-RANK(Y10,Y$5:Y$40,0),RANK(Y10,Y$5:Y$40,1)))</f>
        <v>0</v>
      </c>
      <c r="AE10" s="29"/>
      <c r="AF10" s="29"/>
      <c r="AG10" s="29"/>
      <c r="AH10" s="29"/>
      <c r="AI10" s="29"/>
    </row>
    <row r="11" spans="1:35" x14ac:dyDescent="0.15">
      <c r="A11" s="51"/>
      <c r="B11" s="50"/>
      <c r="C11" s="49"/>
      <c r="D11" s="48" t="s">
        <v>10</v>
      </c>
      <c r="E11" s="47">
        <f>+SUM(E12:E14)</f>
        <v>59178010</v>
      </c>
      <c r="F11" s="43">
        <f t="shared" ref="F11:M11" si="8">+SUM(F12:F14)</f>
        <v>0</v>
      </c>
      <c r="G11" s="42">
        <f t="shared" si="8"/>
        <v>0</v>
      </c>
      <c r="H11" s="42">
        <f t="shared" si="8"/>
        <v>0</v>
      </c>
      <c r="I11" s="42">
        <f t="shared" ref="I11" si="9">+SUM(I12:I14)</f>
        <v>0</v>
      </c>
      <c r="J11" s="46">
        <f t="shared" si="8"/>
        <v>59178010</v>
      </c>
      <c r="K11" s="45">
        <f t="shared" si="8"/>
        <v>59178010</v>
      </c>
      <c r="L11" s="47">
        <f t="shared" si="8"/>
        <v>0</v>
      </c>
      <c r="M11" s="47">
        <f t="shared" si="8"/>
        <v>0</v>
      </c>
      <c r="N11" s="56">
        <f t="shared" ref="N11:R11" si="10">+SUM(N12:N14)</f>
        <v>0</v>
      </c>
      <c r="O11" s="55">
        <f t="shared" si="10"/>
        <v>0</v>
      </c>
      <c r="P11" s="55">
        <f t="shared" si="10"/>
        <v>0</v>
      </c>
      <c r="Q11" s="55">
        <f t="shared" ref="Q11" si="11">+SUM(Q12:Q14)</f>
        <v>0</v>
      </c>
      <c r="R11" s="54">
        <f t="shared" si="10"/>
        <v>5379819</v>
      </c>
      <c r="S11" s="53">
        <f t="shared" ref="S11" si="12">SUM(N11:R11)</f>
        <v>5379819</v>
      </c>
      <c r="T11" s="52">
        <f t="shared" ref="T11" si="13">+E11-S11</f>
        <v>53798191</v>
      </c>
      <c r="U11" s="31"/>
      <c r="V11" s="31"/>
      <c r="W11" s="31"/>
      <c r="X11" s="31"/>
      <c r="Y11" s="31"/>
      <c r="Z11" s="30"/>
      <c r="AA11" s="30"/>
      <c r="AB11" s="30"/>
      <c r="AC11" s="30"/>
      <c r="AD11" s="30"/>
      <c r="AE11" s="29"/>
      <c r="AF11" s="29"/>
      <c r="AG11" s="29"/>
      <c r="AH11" s="29"/>
      <c r="AI11" s="29"/>
    </row>
    <row r="12" spans="1:35" x14ac:dyDescent="0.15">
      <c r="A12" s="51"/>
      <c r="B12" s="50"/>
      <c r="C12" s="49"/>
      <c r="D12" s="48" t="s">
        <v>365</v>
      </c>
      <c r="E12" s="47">
        <f>+諸公!E41</f>
        <v>59178010</v>
      </c>
      <c r="F12" s="43">
        <f>+諸公!F41</f>
        <v>0</v>
      </c>
      <c r="G12" s="42">
        <f>+諸公!G41</f>
        <v>0</v>
      </c>
      <c r="H12" s="42">
        <f>+諸公!H41</f>
        <v>0</v>
      </c>
      <c r="I12" s="42">
        <f>+諸公!I41</f>
        <v>0</v>
      </c>
      <c r="J12" s="46">
        <f>+諸公!J41</f>
        <v>59178010</v>
      </c>
      <c r="K12" s="45">
        <f>+諸公!K41</f>
        <v>59178010</v>
      </c>
      <c r="L12" s="47">
        <f>+諸公!L41</f>
        <v>0</v>
      </c>
      <c r="M12" s="47">
        <f>+諸公!M41</f>
        <v>0</v>
      </c>
      <c r="N12" s="56">
        <f t="shared" ref="N12:N14" si="14">+ROUND(F12*F$4/(100+F$4),0)+AE12</f>
        <v>0</v>
      </c>
      <c r="O12" s="55">
        <f t="shared" ref="O12:O14" si="15">+ROUND(G12*G$4/(100+G$4),0)+AF12</f>
        <v>0</v>
      </c>
      <c r="P12" s="55">
        <f t="shared" ref="P12:Q14" si="16">+ROUND(H12*H$4/(100+H$4),0)+AG12</f>
        <v>0</v>
      </c>
      <c r="Q12" s="55">
        <f t="shared" si="16"/>
        <v>0</v>
      </c>
      <c r="R12" s="54">
        <f t="shared" ref="R12:R14" si="17">+ROUND(J12*J$4/(100+J$4),0)+AI12</f>
        <v>5379819</v>
      </c>
      <c r="S12" s="53">
        <f t="shared" ref="S12:S14" si="18">SUM(N12:R12)</f>
        <v>5379819</v>
      </c>
      <c r="T12" s="52">
        <f t="shared" si="5"/>
        <v>53798191</v>
      </c>
      <c r="U12" s="31">
        <f t="shared" ref="U12" si="19">N12-F12*F$4/(100+F$4)</f>
        <v>0</v>
      </c>
      <c r="V12" s="31">
        <f t="shared" ref="V12" si="20">O12-G12*G$4/(100+G$4)</f>
        <v>0</v>
      </c>
      <c r="W12" s="31">
        <f t="shared" ref="W12:X12" si="21">P12-H12*H$4/(100+H$4)</f>
        <v>0</v>
      </c>
      <c r="X12" s="31">
        <f t="shared" si="21"/>
        <v>0</v>
      </c>
      <c r="Y12" s="31">
        <f t="shared" ref="Y12" si="22">R12-J12*J$4/(100+J$4)</f>
        <v>-9.090909082442522E-2</v>
      </c>
      <c r="Z12" s="30">
        <f>+IF(N$43=0,0,IF(N$43&lt;0,-RANK(U12,U$5:U$40,0),RANK(U12,U$5:U$40,1)))</f>
        <v>0</v>
      </c>
      <c r="AA12" s="30">
        <f>+IF(O$43=0,0,IF(O$43&lt;0,-RANK(V12,V$5:V$40,0),RANK(V12,V$5:V$40,1)))</f>
        <v>0</v>
      </c>
      <c r="AB12" s="30">
        <f>+IF(P$43=0,0,IF(P$43&lt;0,-RANK(W12,W$5:W$40,0),RANK(W12,W$5:W$40,1)))</f>
        <v>0</v>
      </c>
      <c r="AC12" s="30">
        <f>+IF(Q$43=0,0,IF(Q$43&lt;0,-RANK(X12,X$5:X$40,0),RANK(X12,X$5:X$40,1)))</f>
        <v>0</v>
      </c>
      <c r="AD12" s="30">
        <f>+IF(R$43=0,0,IF(R$43&lt;0,-RANK(Y12,Y$5:Y$40,0),RANK(Y12,Y$5:Y$40,1)))</f>
        <v>0</v>
      </c>
      <c r="AE12" s="29"/>
      <c r="AF12" s="29"/>
      <c r="AG12" s="29"/>
      <c r="AH12" s="29"/>
      <c r="AI12" s="29"/>
    </row>
    <row r="13" spans="1:35" x14ac:dyDescent="0.15">
      <c r="A13" s="51"/>
      <c r="B13" s="50"/>
      <c r="C13" s="49"/>
      <c r="D13" s="48" t="s">
        <v>366</v>
      </c>
      <c r="E13" s="47">
        <f>+諸特!E41</f>
        <v>0</v>
      </c>
      <c r="F13" s="43">
        <f>+諸特!F41</f>
        <v>0</v>
      </c>
      <c r="G13" s="42">
        <f>+諸特!G41</f>
        <v>0</v>
      </c>
      <c r="H13" s="42">
        <f>+諸特!H41</f>
        <v>0</v>
      </c>
      <c r="I13" s="42">
        <f>+諸特!I41</f>
        <v>0</v>
      </c>
      <c r="J13" s="46">
        <f>+諸特!J41</f>
        <v>0</v>
      </c>
      <c r="K13" s="45">
        <f>+諸特!K41</f>
        <v>0</v>
      </c>
      <c r="L13" s="47">
        <f>+諸特!L41</f>
        <v>0</v>
      </c>
      <c r="M13" s="47">
        <f>+諸特!M41</f>
        <v>0</v>
      </c>
      <c r="N13" s="56">
        <f t="shared" si="14"/>
        <v>0</v>
      </c>
      <c r="O13" s="55">
        <f t="shared" si="15"/>
        <v>0</v>
      </c>
      <c r="P13" s="55">
        <f t="shared" si="16"/>
        <v>0</v>
      </c>
      <c r="Q13" s="55">
        <f t="shared" si="16"/>
        <v>0</v>
      </c>
      <c r="R13" s="54">
        <f t="shared" si="17"/>
        <v>0</v>
      </c>
      <c r="S13" s="53">
        <f t="shared" si="18"/>
        <v>0</v>
      </c>
      <c r="T13" s="52">
        <f t="shared" si="5"/>
        <v>0</v>
      </c>
      <c r="U13" s="31"/>
      <c r="V13" s="31"/>
      <c r="W13" s="31"/>
      <c r="X13" s="31"/>
      <c r="Y13" s="31"/>
      <c r="Z13" s="30"/>
      <c r="AA13" s="30"/>
      <c r="AB13" s="30"/>
      <c r="AC13" s="30"/>
      <c r="AD13" s="30"/>
      <c r="AE13" s="29"/>
      <c r="AF13" s="29"/>
      <c r="AG13" s="29"/>
      <c r="AH13" s="29"/>
      <c r="AI13" s="29"/>
    </row>
    <row r="14" spans="1:35" x14ac:dyDescent="0.15">
      <c r="A14" s="51"/>
      <c r="B14" s="50"/>
      <c r="C14" s="49"/>
      <c r="D14" s="48" t="s">
        <v>367</v>
      </c>
      <c r="E14" s="47">
        <f>+諸農!E41</f>
        <v>0</v>
      </c>
      <c r="F14" s="43">
        <f>+諸農!F41</f>
        <v>0</v>
      </c>
      <c r="G14" s="42">
        <f>+諸農!G41</f>
        <v>0</v>
      </c>
      <c r="H14" s="42">
        <f>+諸農!H41</f>
        <v>0</v>
      </c>
      <c r="I14" s="42">
        <f>+諸農!I41</f>
        <v>0</v>
      </c>
      <c r="J14" s="46">
        <f>+諸農!J41</f>
        <v>0</v>
      </c>
      <c r="K14" s="45">
        <f>+諸農!K41</f>
        <v>0</v>
      </c>
      <c r="L14" s="47">
        <f>+諸農!L41</f>
        <v>0</v>
      </c>
      <c r="M14" s="47">
        <f>+諸農!M41</f>
        <v>0</v>
      </c>
      <c r="N14" s="56">
        <f t="shared" si="14"/>
        <v>0</v>
      </c>
      <c r="O14" s="55">
        <f t="shared" si="15"/>
        <v>0</v>
      </c>
      <c r="P14" s="55">
        <f t="shared" si="16"/>
        <v>0</v>
      </c>
      <c r="Q14" s="55">
        <f t="shared" si="16"/>
        <v>0</v>
      </c>
      <c r="R14" s="54">
        <f t="shared" si="17"/>
        <v>0</v>
      </c>
      <c r="S14" s="53">
        <f t="shared" si="18"/>
        <v>0</v>
      </c>
      <c r="T14" s="52">
        <f t="shared" si="5"/>
        <v>0</v>
      </c>
      <c r="U14" s="31"/>
      <c r="V14" s="31"/>
      <c r="W14" s="31"/>
      <c r="X14" s="31"/>
      <c r="Y14" s="31"/>
      <c r="Z14" s="30"/>
      <c r="AA14" s="30"/>
      <c r="AB14" s="30"/>
      <c r="AC14" s="30"/>
      <c r="AD14" s="30"/>
      <c r="AE14" s="29"/>
      <c r="AF14" s="29"/>
      <c r="AG14" s="29"/>
      <c r="AH14" s="29"/>
      <c r="AI14" s="29"/>
    </row>
    <row r="15" spans="1:35" x14ac:dyDescent="0.15">
      <c r="A15" s="51"/>
      <c r="B15" s="50"/>
      <c r="C15" s="49"/>
      <c r="D15" s="48" t="s">
        <v>9</v>
      </c>
      <c r="E15" s="47">
        <f>+建利!E41</f>
        <v>12600000</v>
      </c>
      <c r="F15" s="43">
        <f>+建利!F41</f>
        <v>0</v>
      </c>
      <c r="G15" s="42">
        <f>+建利!G41</f>
        <v>0</v>
      </c>
      <c r="H15" s="42">
        <f>+建利!H41</f>
        <v>0</v>
      </c>
      <c r="I15" s="42">
        <f>+建利!I41</f>
        <v>0</v>
      </c>
      <c r="J15" s="46">
        <f>+建利!J41</f>
        <v>0</v>
      </c>
      <c r="K15" s="45">
        <f>+建利!K41</f>
        <v>0</v>
      </c>
      <c r="L15" s="47">
        <f>+建利!L41</f>
        <v>12600000</v>
      </c>
      <c r="M15" s="47">
        <f>+建利!M41</f>
        <v>0</v>
      </c>
      <c r="N15" s="56">
        <f>+ROUND(F15*F$4/(100+F$4),0)+AE15</f>
        <v>0</v>
      </c>
      <c r="O15" s="55">
        <f>+ROUND(G15*G$4/(100+G$4),0)+AF15</f>
        <v>0</v>
      </c>
      <c r="P15" s="55">
        <f>+ROUND(H15*H$4/(100+H$4),0)+AG15</f>
        <v>0</v>
      </c>
      <c r="Q15" s="55">
        <f>+ROUND(I15*I$4/(100+I$4),0)+AH15</f>
        <v>0</v>
      </c>
      <c r="R15" s="54">
        <f>+ROUND(J15*J$4/(100+J$4),0)+AI15</f>
        <v>0</v>
      </c>
      <c r="S15" s="53">
        <f t="shared" si="4"/>
        <v>0</v>
      </c>
      <c r="T15" s="52">
        <f t="shared" si="5"/>
        <v>12600000</v>
      </c>
      <c r="U15" s="31"/>
      <c r="V15" s="31"/>
      <c r="W15" s="31"/>
      <c r="X15" s="31"/>
      <c r="Y15" s="31"/>
      <c r="Z15" s="30"/>
      <c r="AA15" s="30"/>
      <c r="AB15" s="30"/>
      <c r="AC15" s="30"/>
      <c r="AD15" s="30"/>
      <c r="AE15" s="29"/>
      <c r="AF15" s="29"/>
      <c r="AG15" s="29"/>
      <c r="AH15" s="29"/>
      <c r="AI15" s="29"/>
    </row>
    <row r="16" spans="1:35" x14ac:dyDescent="0.15">
      <c r="A16" s="51"/>
      <c r="B16" s="50"/>
      <c r="C16" s="49"/>
      <c r="D16" s="48" t="s">
        <v>8</v>
      </c>
      <c r="E16" s="47">
        <f t="shared" ref="E16:T16" si="23">+SUM(E17:E19)</f>
        <v>688245424</v>
      </c>
      <c r="F16" s="43">
        <f t="shared" si="23"/>
        <v>0</v>
      </c>
      <c r="G16" s="42">
        <f t="shared" si="23"/>
        <v>0</v>
      </c>
      <c r="H16" s="42">
        <f t="shared" si="23"/>
        <v>0</v>
      </c>
      <c r="I16" s="42">
        <f t="shared" ref="I16" si="24">+SUM(I17:I19)</f>
        <v>0</v>
      </c>
      <c r="J16" s="46">
        <f t="shared" si="23"/>
        <v>656665462</v>
      </c>
      <c r="K16" s="45">
        <f t="shared" si="23"/>
        <v>656665462</v>
      </c>
      <c r="L16" s="47">
        <f t="shared" si="23"/>
        <v>5009480</v>
      </c>
      <c r="M16" s="47">
        <f t="shared" si="23"/>
        <v>26570482</v>
      </c>
      <c r="N16" s="56">
        <f t="shared" si="23"/>
        <v>0</v>
      </c>
      <c r="O16" s="55">
        <f t="shared" si="23"/>
        <v>0</v>
      </c>
      <c r="P16" s="55">
        <f t="shared" si="23"/>
        <v>0</v>
      </c>
      <c r="Q16" s="55">
        <f t="shared" ref="Q16" si="25">+SUM(Q17:Q19)</f>
        <v>0</v>
      </c>
      <c r="R16" s="54">
        <f t="shared" si="23"/>
        <v>59696859</v>
      </c>
      <c r="S16" s="53">
        <f t="shared" si="4"/>
        <v>59696859</v>
      </c>
      <c r="T16" s="52">
        <f t="shared" si="23"/>
        <v>628548565</v>
      </c>
      <c r="U16" s="31"/>
      <c r="V16" s="31"/>
      <c r="W16" s="31"/>
      <c r="X16" s="31"/>
      <c r="Y16" s="31"/>
      <c r="Z16" s="30"/>
      <c r="AA16" s="30"/>
      <c r="AB16" s="30"/>
      <c r="AC16" s="30"/>
      <c r="AD16" s="30"/>
      <c r="AE16" s="29"/>
      <c r="AF16" s="29"/>
      <c r="AG16" s="29"/>
      <c r="AH16" s="29"/>
      <c r="AI16" s="29"/>
    </row>
    <row r="17" spans="1:35" x14ac:dyDescent="0.15">
      <c r="A17" s="51"/>
      <c r="B17" s="50"/>
      <c r="C17" s="49"/>
      <c r="D17" s="48" t="s">
        <v>366</v>
      </c>
      <c r="E17" s="47">
        <f>+特整!E41</f>
        <v>453738774</v>
      </c>
      <c r="F17" s="43">
        <f>+特整!F41</f>
        <v>0</v>
      </c>
      <c r="G17" s="42">
        <f>+特整!G41</f>
        <v>0</v>
      </c>
      <c r="H17" s="42">
        <f>+特整!H41</f>
        <v>0</v>
      </c>
      <c r="I17" s="42">
        <f>+特整!I41</f>
        <v>0</v>
      </c>
      <c r="J17" s="46">
        <f>+特整!J41</f>
        <v>440688000</v>
      </c>
      <c r="K17" s="45">
        <f>+特整!K41</f>
        <v>440688000</v>
      </c>
      <c r="L17" s="47">
        <f>+特整!L41</f>
        <v>1712617</v>
      </c>
      <c r="M17" s="47">
        <f>+特整!M41</f>
        <v>11338157</v>
      </c>
      <c r="N17" s="56">
        <f t="shared" ref="N17:N19" si="26">+ROUND(F17*F$4/(100+F$4),0)+AE17</f>
        <v>0</v>
      </c>
      <c r="O17" s="55">
        <f t="shared" ref="O17:O19" si="27">+ROUND(G17*G$4/(100+G$4),0)+AF17</f>
        <v>0</v>
      </c>
      <c r="P17" s="55">
        <f t="shared" ref="P17:Q19" si="28">+ROUND(H17*H$4/(100+H$4),0)+AG17</f>
        <v>0</v>
      </c>
      <c r="Q17" s="55">
        <f t="shared" si="28"/>
        <v>0</v>
      </c>
      <c r="R17" s="54">
        <f t="shared" ref="R17:R19" si="29">+ROUND(J17*J$4/(100+J$4),0)+AI17</f>
        <v>40062545</v>
      </c>
      <c r="S17" s="53">
        <f t="shared" ref="S17:S19" si="30">SUM(N17:R17)</f>
        <v>40062545</v>
      </c>
      <c r="T17" s="52">
        <f t="shared" si="5"/>
        <v>413676229</v>
      </c>
      <c r="U17" s="31"/>
      <c r="V17" s="31"/>
      <c r="W17" s="31"/>
      <c r="X17" s="31"/>
      <c r="Y17" s="31"/>
      <c r="Z17" s="30"/>
      <c r="AA17" s="30"/>
      <c r="AB17" s="30"/>
      <c r="AC17" s="30"/>
      <c r="AD17" s="30"/>
      <c r="AE17" s="29"/>
      <c r="AF17" s="29"/>
      <c r="AG17" s="29"/>
      <c r="AH17" s="29"/>
      <c r="AI17" s="29"/>
    </row>
    <row r="18" spans="1:35" x14ac:dyDescent="0.15">
      <c r="A18" s="51"/>
      <c r="B18" s="50"/>
      <c r="C18" s="49"/>
      <c r="D18" s="48" t="s">
        <v>367</v>
      </c>
      <c r="E18" s="47">
        <f>+農整!E41</f>
        <v>146106803</v>
      </c>
      <c r="F18" s="43">
        <f>+農整!F41</f>
        <v>0</v>
      </c>
      <c r="G18" s="42">
        <f>+農整!G41</f>
        <v>0</v>
      </c>
      <c r="H18" s="42">
        <f>+農整!H41</f>
        <v>0</v>
      </c>
      <c r="I18" s="42">
        <f>+農整!I41</f>
        <v>0</v>
      </c>
      <c r="J18" s="46">
        <f>+農整!J41</f>
        <v>136580009</v>
      </c>
      <c r="K18" s="45">
        <f>+農整!K41</f>
        <v>136580009</v>
      </c>
      <c r="L18" s="47">
        <f>+農整!L41</f>
        <v>1942679</v>
      </c>
      <c r="M18" s="47">
        <f>+農整!M41</f>
        <v>7584115</v>
      </c>
      <c r="N18" s="56">
        <f t="shared" si="26"/>
        <v>0</v>
      </c>
      <c r="O18" s="55">
        <f t="shared" si="27"/>
        <v>0</v>
      </c>
      <c r="P18" s="55">
        <f t="shared" si="28"/>
        <v>0</v>
      </c>
      <c r="Q18" s="55">
        <f t="shared" si="28"/>
        <v>0</v>
      </c>
      <c r="R18" s="54">
        <f t="shared" si="29"/>
        <v>12416364</v>
      </c>
      <c r="S18" s="53">
        <f t="shared" si="30"/>
        <v>12416364</v>
      </c>
      <c r="T18" s="52">
        <f t="shared" si="5"/>
        <v>133690439</v>
      </c>
      <c r="U18" s="31"/>
      <c r="V18" s="31"/>
      <c r="W18" s="31"/>
      <c r="X18" s="31"/>
      <c r="Y18" s="31"/>
      <c r="Z18" s="30"/>
      <c r="AA18" s="30"/>
      <c r="AB18" s="30"/>
      <c r="AC18" s="30"/>
      <c r="AD18" s="30"/>
      <c r="AE18" s="29"/>
      <c r="AF18" s="29"/>
      <c r="AG18" s="29"/>
      <c r="AH18" s="29"/>
      <c r="AI18" s="29"/>
    </row>
    <row r="19" spans="1:35" x14ac:dyDescent="0.15">
      <c r="A19" s="51"/>
      <c r="B19" s="50"/>
      <c r="C19" s="49"/>
      <c r="D19" s="48" t="s">
        <v>368</v>
      </c>
      <c r="E19" s="47">
        <f>+浄整!E41</f>
        <v>88399847</v>
      </c>
      <c r="F19" s="43">
        <f>+浄整!F41</f>
        <v>0</v>
      </c>
      <c r="G19" s="42">
        <f>+浄整!G41</f>
        <v>0</v>
      </c>
      <c r="H19" s="42">
        <f>+浄整!H41</f>
        <v>0</v>
      </c>
      <c r="I19" s="42">
        <f>+浄整!I41</f>
        <v>0</v>
      </c>
      <c r="J19" s="46">
        <f>+浄整!J41</f>
        <v>79397453</v>
      </c>
      <c r="K19" s="45">
        <f>+浄整!K41</f>
        <v>79397453</v>
      </c>
      <c r="L19" s="47">
        <f>+浄整!L41</f>
        <v>1354184</v>
      </c>
      <c r="M19" s="47">
        <f>+浄整!M41</f>
        <v>7648210</v>
      </c>
      <c r="N19" s="56">
        <f t="shared" si="26"/>
        <v>0</v>
      </c>
      <c r="O19" s="55">
        <f t="shared" si="27"/>
        <v>0</v>
      </c>
      <c r="P19" s="55">
        <f t="shared" si="28"/>
        <v>0</v>
      </c>
      <c r="Q19" s="55">
        <f t="shared" si="28"/>
        <v>0</v>
      </c>
      <c r="R19" s="54">
        <f t="shared" si="29"/>
        <v>7217950</v>
      </c>
      <c r="S19" s="53">
        <f t="shared" si="30"/>
        <v>7217950</v>
      </c>
      <c r="T19" s="52">
        <f t="shared" si="5"/>
        <v>81181897</v>
      </c>
      <c r="U19" s="31"/>
      <c r="V19" s="31"/>
      <c r="W19" s="31"/>
      <c r="X19" s="31"/>
      <c r="Y19" s="31"/>
      <c r="Z19" s="30"/>
      <c r="AA19" s="30"/>
      <c r="AB19" s="30"/>
      <c r="AC19" s="30"/>
      <c r="AD19" s="30"/>
      <c r="AE19" s="29"/>
      <c r="AF19" s="29"/>
      <c r="AG19" s="29"/>
      <c r="AH19" s="29"/>
      <c r="AI19" s="29"/>
    </row>
    <row r="20" spans="1:35" x14ac:dyDescent="0.15">
      <c r="A20" s="51"/>
      <c r="B20" s="50"/>
      <c r="C20" s="49"/>
      <c r="D20" s="48"/>
      <c r="E20" s="47"/>
      <c r="F20" s="43"/>
      <c r="G20" s="42"/>
      <c r="H20" s="42"/>
      <c r="I20" s="42"/>
      <c r="J20" s="46"/>
      <c r="K20" s="45"/>
      <c r="L20" s="47"/>
      <c r="M20" s="47"/>
      <c r="N20" s="43"/>
      <c r="O20" s="42"/>
      <c r="P20" s="42"/>
      <c r="Q20" s="42"/>
      <c r="R20" s="46"/>
      <c r="S20" s="45"/>
      <c r="T20" s="44"/>
      <c r="U20" s="31"/>
      <c r="V20" s="31"/>
      <c r="W20" s="31"/>
      <c r="X20" s="31"/>
      <c r="Y20" s="31"/>
      <c r="Z20" s="30"/>
      <c r="AA20" s="30"/>
      <c r="AB20" s="30"/>
      <c r="AC20" s="30"/>
      <c r="AD20" s="30"/>
      <c r="AE20" s="29"/>
      <c r="AF20" s="29"/>
      <c r="AG20" s="29"/>
      <c r="AH20" s="29"/>
      <c r="AI20" s="29"/>
    </row>
    <row r="21" spans="1:35" x14ac:dyDescent="0.15">
      <c r="A21" s="51"/>
      <c r="B21" s="50"/>
      <c r="C21" s="49"/>
      <c r="D21" s="48" t="s">
        <v>7</v>
      </c>
      <c r="E21" s="47">
        <f>+償還!E41</f>
        <v>44621240467</v>
      </c>
      <c r="F21" s="43">
        <f>+償還!F41</f>
        <v>0</v>
      </c>
      <c r="G21" s="42">
        <f>+償還!G41</f>
        <v>0</v>
      </c>
      <c r="H21" s="42">
        <f>+償還!H41</f>
        <v>0</v>
      </c>
      <c r="I21" s="42">
        <f>+償還!I41</f>
        <v>0</v>
      </c>
      <c r="J21" s="46">
        <f>+償還!J41</f>
        <v>0</v>
      </c>
      <c r="K21" s="45">
        <f>+償還!K41</f>
        <v>0</v>
      </c>
      <c r="L21" s="47">
        <f>+償還!L41</f>
        <v>0</v>
      </c>
      <c r="M21" s="47">
        <f>+償還!M41</f>
        <v>44621240467</v>
      </c>
      <c r="N21" s="56">
        <f>+ROUND(F21*F$4/(100+F$4),0)+AE21</f>
        <v>0</v>
      </c>
      <c r="O21" s="55">
        <f>+ROUND(G21*G$4/(100+G$4),0)+AF21</f>
        <v>0</v>
      </c>
      <c r="P21" s="55">
        <f>+ROUND(H21*H$4/(100+H$4),0)+AG21</f>
        <v>0</v>
      </c>
      <c r="Q21" s="55">
        <f>+ROUND(I21*I$4/(100+I$4),0)+AH21</f>
        <v>0</v>
      </c>
      <c r="R21" s="54">
        <f>+ROUND(J21*J$4/(100+J$4),0)+AI21</f>
        <v>0</v>
      </c>
      <c r="S21" s="53">
        <f t="shared" ref="S21:S26" si="31">SUM(N21:R21)</f>
        <v>0</v>
      </c>
      <c r="T21" s="52">
        <f t="shared" ref="T21:T26" si="32">+E21-S21</f>
        <v>44621240467</v>
      </c>
      <c r="U21" s="31"/>
      <c r="V21" s="31"/>
      <c r="W21" s="31"/>
      <c r="X21" s="31"/>
      <c r="Y21" s="31"/>
      <c r="Z21" s="30"/>
      <c r="AA21" s="30"/>
      <c r="AB21" s="30"/>
      <c r="AC21" s="30"/>
      <c r="AD21" s="30"/>
      <c r="AE21" s="29"/>
      <c r="AF21" s="29"/>
      <c r="AG21" s="29"/>
      <c r="AH21" s="29"/>
      <c r="AI21" s="29"/>
    </row>
    <row r="22" spans="1:35" x14ac:dyDescent="0.15">
      <c r="A22" s="51"/>
      <c r="B22" s="50"/>
      <c r="C22" s="49"/>
      <c r="D22" s="48"/>
      <c r="E22" s="47"/>
      <c r="F22" s="43"/>
      <c r="G22" s="42"/>
      <c r="H22" s="42"/>
      <c r="I22" s="42"/>
      <c r="J22" s="46"/>
      <c r="K22" s="45"/>
      <c r="L22" s="47"/>
      <c r="M22" s="47"/>
      <c r="N22" s="43"/>
      <c r="O22" s="42"/>
      <c r="P22" s="42"/>
      <c r="Q22" s="42"/>
      <c r="R22" s="46"/>
      <c r="S22" s="45">
        <f t="shared" si="31"/>
        <v>0</v>
      </c>
      <c r="T22" s="44">
        <f t="shared" si="32"/>
        <v>0</v>
      </c>
      <c r="U22" s="31"/>
      <c r="V22" s="31"/>
      <c r="W22" s="31"/>
      <c r="X22" s="31"/>
      <c r="Y22" s="31"/>
      <c r="Z22" s="30"/>
      <c r="AA22" s="30"/>
      <c r="AB22" s="30"/>
      <c r="AC22" s="30"/>
      <c r="AD22" s="30"/>
      <c r="AE22" s="29"/>
      <c r="AF22" s="29"/>
      <c r="AG22" s="29"/>
      <c r="AH22" s="29"/>
      <c r="AI22" s="29"/>
    </row>
    <row r="23" spans="1:35" x14ac:dyDescent="0.15">
      <c r="A23" s="51"/>
      <c r="B23" s="50"/>
      <c r="C23" s="49"/>
      <c r="D23" s="48" t="s">
        <v>6</v>
      </c>
      <c r="E23" s="47">
        <f t="shared" ref="E23:R23" si="33">+SUM(E24:E26)</f>
        <v>4182000</v>
      </c>
      <c r="F23" s="43">
        <f t="shared" si="33"/>
        <v>0</v>
      </c>
      <c r="G23" s="42">
        <f t="shared" si="33"/>
        <v>0</v>
      </c>
      <c r="H23" s="42">
        <f t="shared" si="33"/>
        <v>0</v>
      </c>
      <c r="I23" s="42">
        <f t="shared" ref="I23" si="34">+SUM(I24:I26)</f>
        <v>0</v>
      </c>
      <c r="J23" s="46">
        <f t="shared" si="33"/>
        <v>0</v>
      </c>
      <c r="K23" s="45">
        <f t="shared" si="33"/>
        <v>0</v>
      </c>
      <c r="L23" s="47">
        <f t="shared" si="33"/>
        <v>0</v>
      </c>
      <c r="M23" s="47">
        <f t="shared" si="33"/>
        <v>4182000</v>
      </c>
      <c r="N23" s="43">
        <f t="shared" si="33"/>
        <v>0</v>
      </c>
      <c r="O23" s="42">
        <f t="shared" si="33"/>
        <v>0</v>
      </c>
      <c r="P23" s="42">
        <f t="shared" si="33"/>
        <v>0</v>
      </c>
      <c r="Q23" s="42">
        <f t="shared" ref="Q23" si="35">+SUM(Q24:Q26)</f>
        <v>0</v>
      </c>
      <c r="R23" s="46">
        <f t="shared" si="33"/>
        <v>0</v>
      </c>
      <c r="S23" s="45">
        <f t="shared" si="31"/>
        <v>0</v>
      </c>
      <c r="T23" s="44">
        <f t="shared" si="32"/>
        <v>4182000</v>
      </c>
      <c r="U23" s="31"/>
      <c r="V23" s="31"/>
      <c r="W23" s="31"/>
      <c r="X23" s="31"/>
      <c r="Y23" s="31"/>
      <c r="Z23" s="30"/>
      <c r="AA23" s="30"/>
      <c r="AB23" s="30"/>
      <c r="AC23" s="30"/>
      <c r="AD23" s="30"/>
      <c r="AE23" s="29"/>
      <c r="AF23" s="29"/>
      <c r="AG23" s="29"/>
      <c r="AH23" s="29"/>
      <c r="AI23" s="29"/>
    </row>
    <row r="24" spans="1:35" x14ac:dyDescent="0.15">
      <c r="A24" s="51"/>
      <c r="B24" s="50"/>
      <c r="C24" s="49"/>
      <c r="D24" s="48" t="s">
        <v>5</v>
      </c>
      <c r="E24" s="138">
        <f>+水洗!E5</f>
        <v>3759000</v>
      </c>
      <c r="F24" s="43">
        <f>+水洗!F5</f>
        <v>0</v>
      </c>
      <c r="G24" s="42">
        <f>+水洗!G5</f>
        <v>0</v>
      </c>
      <c r="H24" s="42">
        <f>+水洗!H5</f>
        <v>0</v>
      </c>
      <c r="I24" s="42">
        <f>+水洗!I5</f>
        <v>0</v>
      </c>
      <c r="J24" s="46">
        <f>+水洗!J5</f>
        <v>0</v>
      </c>
      <c r="K24" s="45">
        <f>+水洗!K5</f>
        <v>0</v>
      </c>
      <c r="L24" s="47">
        <f>+水洗!L5</f>
        <v>0</v>
      </c>
      <c r="M24" s="47">
        <f>+水洗!M5</f>
        <v>3759000</v>
      </c>
      <c r="N24" s="56">
        <f t="shared" ref="N24:Q26" si="36">+ROUND(F24*F$4/(100+F$4),0)+AE24</f>
        <v>0</v>
      </c>
      <c r="O24" s="55">
        <f t="shared" si="36"/>
        <v>0</v>
      </c>
      <c r="P24" s="55">
        <f t="shared" si="36"/>
        <v>0</v>
      </c>
      <c r="Q24" s="55">
        <f t="shared" si="36"/>
        <v>0</v>
      </c>
      <c r="R24" s="54">
        <f>+ROUND(J24*J$4/(100+J$4),0)+AI24</f>
        <v>0</v>
      </c>
      <c r="S24" s="53">
        <f t="shared" si="31"/>
        <v>0</v>
      </c>
      <c r="T24" s="52">
        <f t="shared" si="32"/>
        <v>3759000</v>
      </c>
      <c r="U24" s="31"/>
      <c r="V24" s="31"/>
      <c r="W24" s="31"/>
      <c r="X24" s="31"/>
      <c r="Y24" s="31"/>
      <c r="Z24" s="30"/>
      <c r="AA24" s="30"/>
      <c r="AB24" s="30"/>
      <c r="AC24" s="30"/>
      <c r="AD24" s="30"/>
      <c r="AE24" s="29"/>
      <c r="AF24" s="29"/>
      <c r="AG24" s="29"/>
      <c r="AH24" s="29"/>
      <c r="AI24" s="29"/>
    </row>
    <row r="25" spans="1:35" x14ac:dyDescent="0.15">
      <c r="A25" s="51"/>
      <c r="B25" s="50"/>
      <c r="C25" s="49"/>
      <c r="D25" s="48" t="s">
        <v>4</v>
      </c>
      <c r="E25" s="47">
        <f>+水洗!E24</f>
        <v>0</v>
      </c>
      <c r="F25" s="43">
        <f>+水洗!F24</f>
        <v>0</v>
      </c>
      <c r="G25" s="42">
        <f>+水洗!G24</f>
        <v>0</v>
      </c>
      <c r="H25" s="42">
        <f>+水洗!H24</f>
        <v>0</v>
      </c>
      <c r="I25" s="42">
        <f>+水洗!I24</f>
        <v>0</v>
      </c>
      <c r="J25" s="46">
        <f>+水洗!J24</f>
        <v>0</v>
      </c>
      <c r="K25" s="45">
        <f>+水洗!K24</f>
        <v>0</v>
      </c>
      <c r="L25" s="47">
        <f>+水洗!L24</f>
        <v>0</v>
      </c>
      <c r="M25" s="47">
        <f>+水洗!M24</f>
        <v>0</v>
      </c>
      <c r="N25" s="56">
        <f t="shared" si="36"/>
        <v>0</v>
      </c>
      <c r="O25" s="55">
        <f t="shared" si="36"/>
        <v>0</v>
      </c>
      <c r="P25" s="55">
        <f t="shared" si="36"/>
        <v>0</v>
      </c>
      <c r="Q25" s="55">
        <f t="shared" si="36"/>
        <v>0</v>
      </c>
      <c r="R25" s="54">
        <f>+ROUND(J25*J$4/(100+J$4),0)+AI25</f>
        <v>0</v>
      </c>
      <c r="S25" s="53">
        <f t="shared" si="31"/>
        <v>0</v>
      </c>
      <c r="T25" s="52">
        <f t="shared" si="32"/>
        <v>0</v>
      </c>
      <c r="U25" s="31"/>
      <c r="V25" s="31"/>
      <c r="W25" s="31"/>
      <c r="X25" s="31"/>
      <c r="Y25" s="31"/>
      <c r="Z25" s="30"/>
      <c r="AA25" s="30"/>
      <c r="AB25" s="30"/>
      <c r="AC25" s="30"/>
      <c r="AD25" s="30"/>
      <c r="AE25" s="29"/>
      <c r="AF25" s="29"/>
      <c r="AG25" s="29"/>
      <c r="AH25" s="29"/>
      <c r="AI25" s="29"/>
    </row>
    <row r="26" spans="1:35" x14ac:dyDescent="0.15">
      <c r="A26" s="51"/>
      <c r="B26" s="50"/>
      <c r="C26" s="49"/>
      <c r="D26" s="48" t="s">
        <v>3</v>
      </c>
      <c r="E26" s="47">
        <f>+水洗!E26</f>
        <v>423000</v>
      </c>
      <c r="F26" s="43">
        <f>+水洗!F26</f>
        <v>0</v>
      </c>
      <c r="G26" s="42">
        <f>+水洗!G26</f>
        <v>0</v>
      </c>
      <c r="H26" s="42">
        <f>+水洗!H26</f>
        <v>0</v>
      </c>
      <c r="I26" s="42">
        <f>+水洗!I26</f>
        <v>0</v>
      </c>
      <c r="J26" s="46">
        <f>+水洗!J26</f>
        <v>0</v>
      </c>
      <c r="K26" s="45">
        <f>+水洗!K26</f>
        <v>0</v>
      </c>
      <c r="L26" s="47">
        <f>+水洗!L26</f>
        <v>0</v>
      </c>
      <c r="M26" s="47">
        <f>+水洗!M26</f>
        <v>423000</v>
      </c>
      <c r="N26" s="56">
        <f t="shared" si="36"/>
        <v>0</v>
      </c>
      <c r="O26" s="55">
        <f t="shared" si="36"/>
        <v>0</v>
      </c>
      <c r="P26" s="55">
        <f t="shared" si="36"/>
        <v>0</v>
      </c>
      <c r="Q26" s="55">
        <f t="shared" si="36"/>
        <v>0</v>
      </c>
      <c r="R26" s="54">
        <f>+ROUND(J26*J$4/(100+J$4),0)+AI26</f>
        <v>0</v>
      </c>
      <c r="S26" s="53">
        <f t="shared" si="31"/>
        <v>0</v>
      </c>
      <c r="T26" s="52">
        <f t="shared" si="32"/>
        <v>423000</v>
      </c>
      <c r="U26" s="31"/>
      <c r="V26" s="31"/>
      <c r="W26" s="31"/>
      <c r="X26" s="31"/>
      <c r="Y26" s="31"/>
      <c r="Z26" s="30"/>
      <c r="AA26" s="30"/>
      <c r="AB26" s="30"/>
      <c r="AC26" s="30"/>
      <c r="AD26" s="30"/>
      <c r="AE26" s="29"/>
      <c r="AF26" s="29"/>
      <c r="AG26" s="29"/>
      <c r="AH26" s="29"/>
      <c r="AI26" s="29"/>
    </row>
    <row r="27" spans="1:35" x14ac:dyDescent="0.15">
      <c r="A27" s="51"/>
      <c r="B27" s="50"/>
      <c r="C27" s="49"/>
      <c r="D27" s="48"/>
      <c r="E27" s="47"/>
      <c r="F27" s="43"/>
      <c r="G27" s="42"/>
      <c r="H27" s="42"/>
      <c r="I27" s="42"/>
      <c r="J27" s="46"/>
      <c r="K27" s="45"/>
      <c r="L27" s="47"/>
      <c r="M27" s="47"/>
      <c r="N27" s="43"/>
      <c r="O27" s="42"/>
      <c r="P27" s="42"/>
      <c r="Q27" s="42"/>
      <c r="R27" s="46"/>
      <c r="S27" s="45"/>
      <c r="T27" s="44"/>
      <c r="U27" s="31"/>
      <c r="V27" s="31"/>
      <c r="W27" s="31"/>
      <c r="X27" s="31"/>
      <c r="Y27" s="31"/>
      <c r="Z27" s="30"/>
      <c r="AA27" s="30"/>
      <c r="AB27" s="30"/>
      <c r="AC27" s="30"/>
      <c r="AD27" s="30"/>
      <c r="AE27" s="29"/>
      <c r="AF27" s="29"/>
      <c r="AG27" s="29"/>
      <c r="AH27" s="29"/>
      <c r="AI27" s="29"/>
    </row>
    <row r="28" spans="1:35" x14ac:dyDescent="0.15">
      <c r="A28" s="51"/>
      <c r="B28" s="50"/>
      <c r="C28" s="49"/>
      <c r="D28" s="48" t="s">
        <v>2</v>
      </c>
      <c r="E28" s="47">
        <f>+返還!E28</f>
        <v>0</v>
      </c>
      <c r="F28" s="43">
        <f>+返還!F28</f>
        <v>0</v>
      </c>
      <c r="G28" s="42">
        <f>+返還!G28</f>
        <v>0</v>
      </c>
      <c r="H28" s="42">
        <f>+返還!H28</f>
        <v>0</v>
      </c>
      <c r="I28" s="42">
        <f>+返還!I28</f>
        <v>0</v>
      </c>
      <c r="J28" s="46">
        <f>+返還!J28</f>
        <v>0</v>
      </c>
      <c r="K28" s="45">
        <f>+返還!K28</f>
        <v>0</v>
      </c>
      <c r="L28" s="47">
        <f>+返還!L28</f>
        <v>0</v>
      </c>
      <c r="M28" s="47">
        <f>+返還!M28</f>
        <v>0</v>
      </c>
      <c r="N28" s="56">
        <f>+ROUND(F28*F$4/(100+F$4),0)+AE28</f>
        <v>0</v>
      </c>
      <c r="O28" s="55">
        <f>+ROUND(G28*G$4/(100+G$4),0)+AF28</f>
        <v>0</v>
      </c>
      <c r="P28" s="55">
        <f>+ROUND(H28*H$4/(100+H$4),0)+AG28</f>
        <v>0</v>
      </c>
      <c r="Q28" s="55">
        <f>+ROUND(I28*I$4/(100+I$4),0)+AH28</f>
        <v>0</v>
      </c>
      <c r="R28" s="54">
        <f>+ROUND(J28*J$4/(100+J$4),0)+AI28</f>
        <v>0</v>
      </c>
      <c r="S28" s="53">
        <f>SUM(N28:R28)</f>
        <v>0</v>
      </c>
      <c r="T28" s="52">
        <f>+E28-S28</f>
        <v>0</v>
      </c>
      <c r="U28" s="31"/>
      <c r="V28" s="31"/>
      <c r="W28" s="31"/>
      <c r="X28" s="31"/>
      <c r="Y28" s="31"/>
      <c r="Z28" s="30"/>
      <c r="AA28" s="30"/>
      <c r="AB28" s="30"/>
      <c r="AC28" s="30"/>
      <c r="AD28" s="30"/>
      <c r="AE28" s="29"/>
      <c r="AF28" s="29"/>
      <c r="AG28" s="29"/>
      <c r="AH28" s="29"/>
      <c r="AI28" s="29"/>
    </row>
    <row r="29" spans="1:35" ht="14.25" thickBot="1" x14ac:dyDescent="0.2">
      <c r="A29" s="51"/>
      <c r="B29" s="50"/>
      <c r="C29" s="49"/>
      <c r="D29" s="48"/>
      <c r="E29" s="47"/>
      <c r="F29" s="43"/>
      <c r="G29" s="42"/>
      <c r="H29" s="42"/>
      <c r="I29" s="42"/>
      <c r="J29" s="46"/>
      <c r="K29" s="45"/>
      <c r="L29" s="47"/>
      <c r="M29" s="47"/>
      <c r="N29" s="43"/>
      <c r="O29" s="42"/>
      <c r="P29" s="42"/>
      <c r="Q29" s="42"/>
      <c r="R29" s="46"/>
      <c r="S29" s="45"/>
      <c r="T29" s="44"/>
      <c r="U29" s="31"/>
      <c r="V29" s="31"/>
      <c r="W29" s="31"/>
      <c r="X29" s="31"/>
      <c r="Y29" s="31"/>
      <c r="Z29" s="30"/>
      <c r="AA29" s="30"/>
      <c r="AB29" s="30"/>
      <c r="AC29" s="30"/>
      <c r="AD29" s="30"/>
      <c r="AE29" s="29"/>
      <c r="AF29" s="29"/>
      <c r="AG29" s="29"/>
      <c r="AH29" s="29"/>
      <c r="AI29" s="29"/>
    </row>
    <row r="30" spans="1:35" hidden="1" x14ac:dyDescent="0.15">
      <c r="A30" s="51"/>
      <c r="B30" s="50"/>
      <c r="C30" s="49"/>
      <c r="D30" s="48"/>
      <c r="E30" s="47"/>
      <c r="F30" s="43"/>
      <c r="G30" s="42"/>
      <c r="H30" s="42"/>
      <c r="I30" s="42"/>
      <c r="J30" s="46"/>
      <c r="K30" s="45"/>
      <c r="L30" s="47"/>
      <c r="M30" s="47"/>
      <c r="N30" s="43"/>
      <c r="O30" s="42"/>
      <c r="P30" s="42"/>
      <c r="Q30" s="42"/>
      <c r="R30" s="46"/>
      <c r="S30" s="45"/>
      <c r="T30" s="44"/>
      <c r="U30" s="31"/>
      <c r="V30" s="31"/>
      <c r="W30" s="31"/>
      <c r="X30" s="31"/>
      <c r="Y30" s="31"/>
      <c r="Z30" s="30"/>
      <c r="AA30" s="30"/>
      <c r="AB30" s="30"/>
      <c r="AC30" s="30"/>
      <c r="AD30" s="30"/>
      <c r="AE30" s="29"/>
      <c r="AF30" s="29"/>
      <c r="AG30" s="29"/>
      <c r="AH30" s="29"/>
      <c r="AI30" s="29"/>
    </row>
    <row r="31" spans="1:35" hidden="1" x14ac:dyDescent="0.15">
      <c r="A31" s="51"/>
      <c r="B31" s="50"/>
      <c r="C31" s="49"/>
      <c r="D31" s="48"/>
      <c r="E31" s="47"/>
      <c r="F31" s="43"/>
      <c r="G31" s="42"/>
      <c r="H31" s="42"/>
      <c r="I31" s="42"/>
      <c r="J31" s="46"/>
      <c r="K31" s="45"/>
      <c r="L31" s="47"/>
      <c r="M31" s="47"/>
      <c r="N31" s="43"/>
      <c r="O31" s="42"/>
      <c r="P31" s="42"/>
      <c r="Q31" s="42"/>
      <c r="R31" s="46"/>
      <c r="S31" s="45"/>
      <c r="T31" s="44"/>
      <c r="U31" s="31"/>
      <c r="V31" s="31"/>
      <c r="W31" s="31"/>
      <c r="X31" s="31"/>
      <c r="Y31" s="31"/>
      <c r="Z31" s="30"/>
      <c r="AA31" s="30"/>
      <c r="AB31" s="30"/>
      <c r="AC31" s="30"/>
      <c r="AD31" s="30"/>
      <c r="AE31" s="29"/>
      <c r="AF31" s="29"/>
      <c r="AG31" s="29"/>
      <c r="AH31" s="29"/>
      <c r="AI31" s="29"/>
    </row>
    <row r="32" spans="1:35" hidden="1" x14ac:dyDescent="0.15">
      <c r="A32" s="51"/>
      <c r="B32" s="50"/>
      <c r="C32" s="49"/>
      <c r="D32" s="48"/>
      <c r="E32" s="47"/>
      <c r="F32" s="43"/>
      <c r="G32" s="42"/>
      <c r="H32" s="42"/>
      <c r="I32" s="42"/>
      <c r="J32" s="46"/>
      <c r="K32" s="45"/>
      <c r="L32" s="47"/>
      <c r="M32" s="47"/>
      <c r="N32" s="43"/>
      <c r="O32" s="42"/>
      <c r="P32" s="42"/>
      <c r="Q32" s="42"/>
      <c r="R32" s="46"/>
      <c r="S32" s="45"/>
      <c r="T32" s="44"/>
      <c r="U32" s="31"/>
      <c r="V32" s="31"/>
      <c r="W32" s="31"/>
      <c r="X32" s="31"/>
      <c r="Y32" s="31"/>
      <c r="Z32" s="30"/>
      <c r="AA32" s="30"/>
      <c r="AB32" s="30"/>
      <c r="AC32" s="30"/>
      <c r="AD32" s="30"/>
      <c r="AE32" s="29"/>
      <c r="AF32" s="29"/>
      <c r="AG32" s="29"/>
      <c r="AH32" s="29"/>
      <c r="AI32" s="29"/>
    </row>
    <row r="33" spans="1:35" hidden="1" x14ac:dyDescent="0.15">
      <c r="A33" s="51"/>
      <c r="B33" s="50"/>
      <c r="C33" s="49"/>
      <c r="D33" s="48"/>
      <c r="E33" s="47"/>
      <c r="F33" s="43"/>
      <c r="G33" s="42"/>
      <c r="H33" s="42"/>
      <c r="I33" s="42"/>
      <c r="J33" s="46"/>
      <c r="K33" s="45"/>
      <c r="L33" s="47"/>
      <c r="M33" s="47"/>
      <c r="N33" s="43"/>
      <c r="O33" s="42"/>
      <c r="P33" s="42"/>
      <c r="Q33" s="42"/>
      <c r="R33" s="46"/>
      <c r="S33" s="45"/>
      <c r="T33" s="44"/>
      <c r="U33" s="31"/>
      <c r="V33" s="31"/>
      <c r="W33" s="31"/>
      <c r="X33" s="31"/>
      <c r="Y33" s="31"/>
      <c r="Z33" s="30"/>
      <c r="AA33" s="30"/>
      <c r="AB33" s="30"/>
      <c r="AC33" s="30"/>
      <c r="AD33" s="30"/>
      <c r="AE33" s="29"/>
      <c r="AF33" s="29"/>
      <c r="AG33" s="29"/>
      <c r="AH33" s="29"/>
      <c r="AI33" s="29"/>
    </row>
    <row r="34" spans="1:35" hidden="1" x14ac:dyDescent="0.15">
      <c r="A34" s="51"/>
      <c r="B34" s="50"/>
      <c r="C34" s="49"/>
      <c r="D34" s="48"/>
      <c r="E34" s="47"/>
      <c r="F34" s="43"/>
      <c r="G34" s="42"/>
      <c r="H34" s="42"/>
      <c r="I34" s="42"/>
      <c r="J34" s="46"/>
      <c r="K34" s="45"/>
      <c r="L34" s="47"/>
      <c r="M34" s="47"/>
      <c r="N34" s="43"/>
      <c r="O34" s="42"/>
      <c r="P34" s="42"/>
      <c r="Q34" s="42"/>
      <c r="R34" s="46"/>
      <c r="S34" s="45"/>
      <c r="T34" s="44"/>
      <c r="U34" s="31"/>
      <c r="V34" s="31"/>
      <c r="W34" s="31"/>
      <c r="X34" s="31"/>
      <c r="Y34" s="31"/>
      <c r="Z34" s="30"/>
      <c r="AA34" s="30"/>
      <c r="AB34" s="30"/>
      <c r="AC34" s="30"/>
      <c r="AD34" s="30"/>
      <c r="AE34" s="29"/>
      <c r="AF34" s="29"/>
      <c r="AG34" s="29"/>
      <c r="AH34" s="29"/>
      <c r="AI34" s="29"/>
    </row>
    <row r="35" spans="1:35" hidden="1" x14ac:dyDescent="0.15">
      <c r="A35" s="51"/>
      <c r="B35" s="50"/>
      <c r="C35" s="49"/>
      <c r="D35" s="48"/>
      <c r="E35" s="47"/>
      <c r="F35" s="43"/>
      <c r="G35" s="42"/>
      <c r="H35" s="42"/>
      <c r="I35" s="42"/>
      <c r="J35" s="46"/>
      <c r="K35" s="45"/>
      <c r="L35" s="47"/>
      <c r="M35" s="47"/>
      <c r="N35" s="43"/>
      <c r="O35" s="42"/>
      <c r="P35" s="42"/>
      <c r="Q35" s="42"/>
      <c r="R35" s="46"/>
      <c r="S35" s="45"/>
      <c r="T35" s="44"/>
      <c r="U35" s="31"/>
      <c r="V35" s="31"/>
      <c r="W35" s="31"/>
      <c r="X35" s="31"/>
      <c r="Y35" s="31"/>
      <c r="Z35" s="30"/>
      <c r="AA35" s="30"/>
      <c r="AB35" s="30"/>
      <c r="AC35" s="30"/>
      <c r="AD35" s="30"/>
      <c r="AE35" s="29"/>
      <c r="AF35" s="29"/>
      <c r="AG35" s="29"/>
      <c r="AH35" s="29"/>
      <c r="AI35" s="29"/>
    </row>
    <row r="36" spans="1:35" hidden="1" x14ac:dyDescent="0.15">
      <c r="A36" s="51"/>
      <c r="B36" s="50"/>
      <c r="C36" s="49"/>
      <c r="D36" s="48"/>
      <c r="E36" s="47"/>
      <c r="F36" s="43"/>
      <c r="G36" s="42"/>
      <c r="H36" s="42"/>
      <c r="I36" s="42"/>
      <c r="J36" s="46"/>
      <c r="K36" s="45"/>
      <c r="L36" s="47"/>
      <c r="M36" s="47"/>
      <c r="N36" s="43"/>
      <c r="O36" s="42"/>
      <c r="P36" s="42"/>
      <c r="Q36" s="42"/>
      <c r="R36" s="46"/>
      <c r="S36" s="45"/>
      <c r="T36" s="44"/>
      <c r="U36" s="31"/>
      <c r="V36" s="31"/>
      <c r="W36" s="31"/>
      <c r="X36" s="31"/>
      <c r="Y36" s="31"/>
      <c r="Z36" s="30"/>
      <c r="AA36" s="30"/>
      <c r="AB36" s="30"/>
      <c r="AC36" s="30"/>
      <c r="AD36" s="30"/>
      <c r="AE36" s="29"/>
      <c r="AF36" s="29"/>
      <c r="AG36" s="29"/>
      <c r="AH36" s="29"/>
      <c r="AI36" s="29"/>
    </row>
    <row r="37" spans="1:35" hidden="1" x14ac:dyDescent="0.15">
      <c r="A37" s="51"/>
      <c r="B37" s="50"/>
      <c r="C37" s="49"/>
      <c r="D37" s="48"/>
      <c r="E37" s="47"/>
      <c r="F37" s="43"/>
      <c r="G37" s="42"/>
      <c r="H37" s="42"/>
      <c r="I37" s="42"/>
      <c r="J37" s="46"/>
      <c r="K37" s="45"/>
      <c r="L37" s="47"/>
      <c r="M37" s="47"/>
      <c r="N37" s="43"/>
      <c r="O37" s="42"/>
      <c r="P37" s="42"/>
      <c r="Q37" s="42"/>
      <c r="R37" s="46"/>
      <c r="S37" s="45"/>
      <c r="T37" s="44"/>
      <c r="U37" s="31"/>
      <c r="V37" s="31"/>
      <c r="W37" s="31"/>
      <c r="X37" s="31"/>
      <c r="Y37" s="31"/>
      <c r="Z37" s="30"/>
      <c r="AA37" s="30"/>
      <c r="AB37" s="30"/>
      <c r="AC37" s="30"/>
      <c r="AD37" s="30"/>
      <c r="AE37" s="29"/>
      <c r="AF37" s="29"/>
      <c r="AG37" s="29"/>
      <c r="AH37" s="29"/>
      <c r="AI37" s="29"/>
    </row>
    <row r="38" spans="1:35" hidden="1" x14ac:dyDescent="0.15">
      <c r="A38" s="51"/>
      <c r="B38" s="50"/>
      <c r="C38" s="49"/>
      <c r="D38" s="48"/>
      <c r="E38" s="47"/>
      <c r="F38" s="43"/>
      <c r="G38" s="42"/>
      <c r="H38" s="42"/>
      <c r="I38" s="42"/>
      <c r="J38" s="46"/>
      <c r="K38" s="45"/>
      <c r="L38" s="47"/>
      <c r="M38" s="47"/>
      <c r="N38" s="43"/>
      <c r="O38" s="42"/>
      <c r="P38" s="42"/>
      <c r="Q38" s="42"/>
      <c r="R38" s="46"/>
      <c r="S38" s="45"/>
      <c r="T38" s="44"/>
      <c r="U38" s="31"/>
      <c r="V38" s="31"/>
      <c r="W38" s="31"/>
      <c r="X38" s="31"/>
      <c r="Y38" s="31"/>
      <c r="Z38" s="30"/>
      <c r="AA38" s="30"/>
      <c r="AB38" s="30"/>
      <c r="AC38" s="30"/>
      <c r="AD38" s="30"/>
      <c r="AE38" s="29"/>
      <c r="AF38" s="29"/>
      <c r="AG38" s="29"/>
      <c r="AH38" s="29"/>
      <c r="AI38" s="29"/>
    </row>
    <row r="39" spans="1:35" hidden="1" x14ac:dyDescent="0.15">
      <c r="A39" s="51"/>
      <c r="B39" s="50"/>
      <c r="C39" s="49"/>
      <c r="D39" s="48"/>
      <c r="E39" s="47"/>
      <c r="F39" s="43"/>
      <c r="G39" s="42"/>
      <c r="H39" s="42"/>
      <c r="I39" s="42"/>
      <c r="J39" s="46"/>
      <c r="K39" s="45"/>
      <c r="L39" s="47"/>
      <c r="M39" s="47"/>
      <c r="N39" s="43"/>
      <c r="O39" s="42"/>
      <c r="P39" s="42"/>
      <c r="Q39" s="42"/>
      <c r="R39" s="46"/>
      <c r="S39" s="45"/>
      <c r="T39" s="44"/>
      <c r="U39" s="31"/>
      <c r="V39" s="31"/>
      <c r="W39" s="31"/>
      <c r="X39" s="31"/>
      <c r="Y39" s="31"/>
      <c r="Z39" s="30"/>
      <c r="AA39" s="30"/>
      <c r="AB39" s="30"/>
      <c r="AC39" s="30"/>
      <c r="AD39" s="30"/>
      <c r="AE39" s="29"/>
      <c r="AF39" s="29"/>
      <c r="AG39" s="29"/>
      <c r="AH39" s="29"/>
      <c r="AI39" s="29"/>
    </row>
    <row r="40" spans="1:35" ht="14.25" hidden="1" thickBot="1" x14ac:dyDescent="0.2">
      <c r="A40" s="41"/>
      <c r="B40" s="40"/>
      <c r="C40" s="39"/>
      <c r="D40" s="38"/>
      <c r="E40" s="37"/>
      <c r="F40" s="33"/>
      <c r="G40" s="32"/>
      <c r="H40" s="32"/>
      <c r="I40" s="32"/>
      <c r="J40" s="36"/>
      <c r="K40" s="35"/>
      <c r="L40" s="37"/>
      <c r="M40" s="37"/>
      <c r="N40" s="33"/>
      <c r="O40" s="32"/>
      <c r="P40" s="32"/>
      <c r="Q40" s="32"/>
      <c r="R40" s="36"/>
      <c r="S40" s="35"/>
      <c r="T40" s="34"/>
      <c r="U40" s="31"/>
      <c r="V40" s="31"/>
      <c r="W40" s="31"/>
      <c r="X40" s="31"/>
      <c r="Y40" s="31"/>
      <c r="Z40" s="30"/>
      <c r="AA40" s="30"/>
      <c r="AB40" s="30"/>
      <c r="AC40" s="30"/>
      <c r="AD40" s="30"/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37">SUM(E5,E21,E23,E28)</f>
        <v>61875977537</v>
      </c>
      <c r="F41" s="24">
        <f t="shared" si="37"/>
        <v>0</v>
      </c>
      <c r="G41" s="23">
        <f t="shared" si="37"/>
        <v>0</v>
      </c>
      <c r="H41" s="23">
        <f t="shared" si="37"/>
        <v>125712</v>
      </c>
      <c r="I41" s="23">
        <f t="shared" ref="I41" si="38">SUM(I5,I21,I23,I28)</f>
        <v>36840</v>
      </c>
      <c r="J41" s="22">
        <f t="shared" si="37"/>
        <v>16278736624</v>
      </c>
      <c r="K41" s="21">
        <f t="shared" si="37"/>
        <v>16278899176</v>
      </c>
      <c r="L41" s="20">
        <f t="shared" si="37"/>
        <v>164380201</v>
      </c>
      <c r="M41" s="20">
        <f t="shared" si="37"/>
        <v>45432698160</v>
      </c>
      <c r="N41" s="17">
        <f t="shared" si="37"/>
        <v>0</v>
      </c>
      <c r="O41" s="16">
        <f t="shared" si="37"/>
        <v>0</v>
      </c>
      <c r="P41" s="16">
        <f t="shared" si="37"/>
        <v>9312</v>
      </c>
      <c r="Q41" s="16">
        <f t="shared" ref="Q41" si="39">SUM(Q5,Q21,Q23,Q28)</f>
        <v>2728</v>
      </c>
      <c r="R41" s="19">
        <f t="shared" si="37"/>
        <v>1479885147</v>
      </c>
      <c r="S41" s="15">
        <f t="shared" si="37"/>
        <v>1479897187</v>
      </c>
      <c r="T41" s="18">
        <f t="shared" si="37"/>
        <v>60396080350</v>
      </c>
    </row>
    <row r="42" spans="1:35" x14ac:dyDescent="0.15">
      <c r="A42" s="14"/>
      <c r="B42" s="13"/>
      <c r="C42" s="12"/>
      <c r="D42" s="11" t="s">
        <v>0</v>
      </c>
      <c r="E42" s="5">
        <f t="shared" ref="E42:M42" si="40">+E41</f>
        <v>61875977537</v>
      </c>
      <c r="F42" s="10">
        <f t="shared" si="40"/>
        <v>0</v>
      </c>
      <c r="G42" s="9">
        <f t="shared" si="40"/>
        <v>0</v>
      </c>
      <c r="H42" s="9">
        <f t="shared" si="40"/>
        <v>125712</v>
      </c>
      <c r="I42" s="9">
        <f t="shared" ref="I42" si="41">+I41</f>
        <v>36840</v>
      </c>
      <c r="J42" s="8">
        <f t="shared" si="40"/>
        <v>16278736624</v>
      </c>
      <c r="K42" s="7">
        <f t="shared" si="40"/>
        <v>16278899176</v>
      </c>
      <c r="L42" s="5">
        <f t="shared" si="40"/>
        <v>164380201</v>
      </c>
      <c r="M42" s="5">
        <f t="shared" si="40"/>
        <v>45432698160</v>
      </c>
      <c r="N42" s="6">
        <f>+ROUNDDOWN(F42*F$4/(100+F$4),0)</f>
        <v>0</v>
      </c>
      <c r="O42" s="6">
        <f>+ROUNDDOWN(G42*G$4/(100+G$4),0)</f>
        <v>0</v>
      </c>
      <c r="P42" s="6">
        <f>+ROUNDDOWN(H42*H$4/(100+H$4),0)</f>
        <v>9312</v>
      </c>
      <c r="Q42" s="6">
        <f>+ROUNDDOWN(I42*I$4/(100+I$4),0)</f>
        <v>2728</v>
      </c>
      <c r="R42" s="6">
        <f>+ROUNDDOWN(J42*J$4/(100+J$4),0)</f>
        <v>1479885147</v>
      </c>
      <c r="S42" s="4">
        <f>SUM(N42:R42)</f>
        <v>1479897187</v>
      </c>
      <c r="T42" s="5">
        <f>+E42-S42</f>
        <v>60396080350</v>
      </c>
    </row>
    <row r="43" spans="1:35" x14ac:dyDescent="0.15">
      <c r="E43" s="3">
        <f t="shared" ref="E43:T43" si="42">+E42-E41</f>
        <v>0</v>
      </c>
      <c r="F43" s="3">
        <f t="shared" si="42"/>
        <v>0</v>
      </c>
      <c r="G43" s="3">
        <f t="shared" si="42"/>
        <v>0</v>
      </c>
      <c r="H43" s="3">
        <f t="shared" si="42"/>
        <v>0</v>
      </c>
      <c r="I43" s="3">
        <f t="shared" ref="I43" si="43">+I42-I41</f>
        <v>0</v>
      </c>
      <c r="J43" s="3">
        <f t="shared" si="42"/>
        <v>0</v>
      </c>
      <c r="K43" s="3">
        <f t="shared" si="42"/>
        <v>0</v>
      </c>
      <c r="L43" s="3">
        <f t="shared" si="42"/>
        <v>0</v>
      </c>
      <c r="M43" s="3">
        <f t="shared" si="42"/>
        <v>0</v>
      </c>
      <c r="N43" s="3">
        <f t="shared" si="42"/>
        <v>0</v>
      </c>
      <c r="O43" s="3">
        <f t="shared" si="42"/>
        <v>0</v>
      </c>
      <c r="P43" s="3">
        <f t="shared" si="42"/>
        <v>0</v>
      </c>
      <c r="Q43" s="3">
        <f t="shared" ref="Q43" si="44">+Q42-Q41</f>
        <v>0</v>
      </c>
      <c r="R43" s="3">
        <f t="shared" si="42"/>
        <v>0</v>
      </c>
      <c r="S43" s="3">
        <f t="shared" si="42"/>
        <v>0</v>
      </c>
      <c r="T43" s="3">
        <f t="shared" si="42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AE24:AI26 AE29:AI40 AE6:AI19">
    <cfRule type="notContainsBlanks" dxfId="149" priority="13" stopIfTrue="1">
      <formula>LEN(TRIM(AE6))&gt;0</formula>
    </cfRule>
  </conditionalFormatting>
  <conditionalFormatting sqref="Z5:AD5 Z20:AD20 Z22:AD23 Z27:AD27 Z29:AD40">
    <cfRule type="expression" dxfId="148" priority="22">
      <formula>ABS(Z5)=1</formula>
    </cfRule>
  </conditionalFormatting>
  <conditionalFormatting sqref="AA20:AD20 AA22:AD23 AA27:AD27">
    <cfRule type="expression" dxfId="147" priority="21">
      <formula>ABS(AA20)=1</formula>
    </cfRule>
  </conditionalFormatting>
  <conditionalFormatting sqref="AE20 AE22:AE23 AE27">
    <cfRule type="notContainsBlanks" dxfId="146" priority="20" stopIfTrue="1">
      <formula>LEN(TRIM(AE20))&gt;0</formula>
    </cfRule>
  </conditionalFormatting>
  <conditionalFormatting sqref="AE5:AI5">
    <cfRule type="notContainsBlanks" dxfId="145" priority="19" stopIfTrue="1">
      <formula>LEN(TRIM(AE5))&gt;0</formula>
    </cfRule>
  </conditionalFormatting>
  <conditionalFormatting sqref="AE5:AI5 AE20:AI20 AE22:AI23 AE27:AI27">
    <cfRule type="notContainsBlanks" dxfId="144" priority="18" stopIfTrue="1">
      <formula>LEN(TRIM(AE5))&gt;0</formula>
    </cfRule>
  </conditionalFormatting>
  <conditionalFormatting sqref="Z15:AD15 Z6:AD8">
    <cfRule type="expression" dxfId="143" priority="16">
      <formula>ABS(Z6)=1</formula>
    </cfRule>
  </conditionalFormatting>
  <conditionalFormatting sqref="AE21:AI21">
    <cfRule type="notContainsBlanks" dxfId="142" priority="15" stopIfTrue="1">
      <formula>LEN(TRIM(AE21))&gt;0</formula>
    </cfRule>
  </conditionalFormatting>
  <conditionalFormatting sqref="Z21:AD21">
    <cfRule type="expression" dxfId="141" priority="14">
      <formula>ABS(Z21)=1</formula>
    </cfRule>
  </conditionalFormatting>
  <conditionalFormatting sqref="Z24:AD26">
    <cfRule type="expression" dxfId="140" priority="12">
      <formula>ABS(Z24)=1</formula>
    </cfRule>
  </conditionalFormatting>
  <conditionalFormatting sqref="AE28:AI28">
    <cfRule type="notContainsBlanks" dxfId="139" priority="11" stopIfTrue="1">
      <formula>LEN(TRIM(AE28))&gt;0</formula>
    </cfRule>
  </conditionalFormatting>
  <conditionalFormatting sqref="Z28:AD28">
    <cfRule type="expression" dxfId="138" priority="10">
      <formula>ABS(Z28)=1</formula>
    </cfRule>
  </conditionalFormatting>
  <conditionalFormatting sqref="Z20:AD28 Z15:AD15 Z9:AD10 Z12:AD12">
    <cfRule type="expression" dxfId="137" priority="9">
      <formula>ABS(Z9)=1</formula>
    </cfRule>
  </conditionalFormatting>
  <conditionalFormatting sqref="Z16:AD16">
    <cfRule type="expression" dxfId="136" priority="5">
      <formula>ABS(Z16)=1</formula>
    </cfRule>
  </conditionalFormatting>
  <conditionalFormatting sqref="Z11:AD11">
    <cfRule type="expression" dxfId="135" priority="4">
      <formula>ABS(Z11)=1</formula>
    </cfRule>
  </conditionalFormatting>
  <conditionalFormatting sqref="E43:T43">
    <cfRule type="cellIs" dxfId="134" priority="3" operator="notEqual">
      <formula>0</formula>
    </cfRule>
  </conditionalFormatting>
  <conditionalFormatting sqref="Z13:AD14">
    <cfRule type="expression" dxfId="133" priority="2">
      <formula>ABS(Z13)=1</formula>
    </cfRule>
  </conditionalFormatting>
  <conditionalFormatting sqref="Z17:AD19">
    <cfRule type="expression" dxfId="132" priority="1">
      <formula>ABS(Z17)=1</formula>
    </cfRule>
  </conditionalFormatting>
  <pageMargins left="0.39370078740157483" right="0.39370078740157483" top="0.78740157480314965" bottom="0.39370078740157483" header="0.39370078740157483" footer="0.19685039370078741"/>
  <pageSetup paperSize="9" scale="68" fitToHeight="2" orientation="landscape" blackAndWhite="1" r:id="rId1"/>
  <headerFooter>
    <oddFooter>&amp;L&amp;8&amp;Z&amp;F&amp;A&amp;R&amp;8&amp;D&amp;T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6"/>
  <sheetViews>
    <sheetView zoomScale="70" zoomScaleNormal="70" zoomScaleSheetLayoutView="40" workbookViewId="0">
      <pane xSplit="4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4" style="1" bestFit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2.875" style="2" bestFit="1" customWidth="1"/>
    <col min="19" max="19" width="12.625" style="2" customWidth="1"/>
    <col min="20" max="20" width="13.625" style="1" customWidth="1"/>
    <col min="21" max="22" width="5.375" style="1" customWidth="1"/>
    <col min="23" max="23" width="6.875" style="1" bestFit="1" customWidth="1"/>
    <col min="24" max="24" width="7.125" style="1" bestFit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103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1</v>
      </c>
      <c r="B5" s="65" t="s">
        <v>102</v>
      </c>
      <c r="C5" s="64"/>
      <c r="D5" s="63" t="s">
        <v>101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13722776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ref="K5:K40" si="0"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13722776</v>
      </c>
      <c r="N5" s="61">
        <f t="shared" ref="N5:N40" si="1">+ROUND(F5*F$4/(100+F$4),0)+AE5</f>
        <v>0</v>
      </c>
      <c r="O5" s="60">
        <f t="shared" ref="O5:O40" si="2">+ROUND(G5*G$4/(100+G$4),0)+AF5</f>
        <v>0</v>
      </c>
      <c r="P5" s="60">
        <f t="shared" ref="P5:Q40" si="3">+ROUND(H5*H$4/(100+H$4),0)+AG5</f>
        <v>0</v>
      </c>
      <c r="Q5" s="60">
        <f t="shared" si="3"/>
        <v>0</v>
      </c>
      <c r="R5" s="59">
        <f t="shared" ref="R5:R40" si="4">+ROUND(J5*J$4/(100+J$4),0)+AI5</f>
        <v>0</v>
      </c>
      <c r="S5" s="58">
        <f t="shared" ref="S5:S40" si="5">SUM(N5:R5)</f>
        <v>0</v>
      </c>
      <c r="T5" s="85">
        <f t="shared" ref="T5:T40" si="6">+E5-S5</f>
        <v>13722776</v>
      </c>
      <c r="U5" s="31">
        <f t="shared" ref="U5:U40" si="7">N5-F5*F$4/(100+F$4)</f>
        <v>0</v>
      </c>
      <c r="V5" s="31">
        <f t="shared" ref="V5:V40" si="8">O5-G5*G$4/(100+G$4)</f>
        <v>0</v>
      </c>
      <c r="W5" s="31">
        <f t="shared" ref="W5:X40" si="9">P5-H5*H$4/(100+H$4)</f>
        <v>0</v>
      </c>
      <c r="X5" s="31">
        <f t="shared" si="9"/>
        <v>0</v>
      </c>
      <c r="Y5" s="31">
        <f t="shared" ref="Y5:Y40" si="10">R5-J5*J$4/(100+J$4)</f>
        <v>0</v>
      </c>
      <c r="Z5" s="30">
        <f t="shared" ref="Z5:Z40" si="11">+IF(N$43=0,0,IF(N$43&lt;0,-RANK(U5,U$5:U$40,0),RANK(U5,U$5:U$40,1)))</f>
        <v>0</v>
      </c>
      <c r="AA5" s="30">
        <f t="shared" ref="AA5:AA40" si="12">+IF(O$43=0,0,IF(O$43&lt;0,-RANK(V5,V$5:V$40,0),RANK(V5,V$5:V$40,1)))</f>
        <v>0</v>
      </c>
      <c r="AB5" s="30">
        <f t="shared" ref="AB5:AC40" si="13">+IF(P$43=0,0,IF(P$43&lt;0,-RANK(W5,W$5:W$40,0),RANK(W5,W$5:W$40,1)))</f>
        <v>0</v>
      </c>
      <c r="AC5" s="30">
        <f t="shared" si="13"/>
        <v>0</v>
      </c>
      <c r="AD5" s="30">
        <f t="shared" ref="AD5:AD40" si="14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1</v>
      </c>
      <c r="B6" s="50" t="s">
        <v>100</v>
      </c>
      <c r="C6" s="49"/>
      <c r="D6" s="48" t="s">
        <v>99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285882615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 t="shared" si="0"/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285882615</v>
      </c>
      <c r="N6" s="43">
        <f t="shared" si="1"/>
        <v>0</v>
      </c>
      <c r="O6" s="42">
        <f t="shared" si="2"/>
        <v>0</v>
      </c>
      <c r="P6" s="42">
        <f t="shared" si="3"/>
        <v>0</v>
      </c>
      <c r="Q6" s="42">
        <f t="shared" si="3"/>
        <v>0</v>
      </c>
      <c r="R6" s="46">
        <f t="shared" si="4"/>
        <v>0</v>
      </c>
      <c r="S6" s="45">
        <f t="shared" si="5"/>
        <v>0</v>
      </c>
      <c r="T6" s="44">
        <f t="shared" si="6"/>
        <v>285882615</v>
      </c>
      <c r="U6" s="31">
        <f t="shared" si="7"/>
        <v>0</v>
      </c>
      <c r="V6" s="31">
        <f t="shared" si="8"/>
        <v>0</v>
      </c>
      <c r="W6" s="31">
        <f t="shared" si="9"/>
        <v>0</v>
      </c>
      <c r="X6" s="31">
        <f t="shared" si="9"/>
        <v>0</v>
      </c>
      <c r="Y6" s="31">
        <f t="shared" si="10"/>
        <v>0</v>
      </c>
      <c r="Z6" s="30">
        <f t="shared" si="11"/>
        <v>0</v>
      </c>
      <c r="AA6" s="30">
        <f t="shared" si="12"/>
        <v>0</v>
      </c>
      <c r="AB6" s="30">
        <f t="shared" si="13"/>
        <v>0</v>
      </c>
      <c r="AC6" s="30">
        <f t="shared" si="13"/>
        <v>0</v>
      </c>
      <c r="AD6" s="30">
        <f t="shared" si="14"/>
        <v>0</v>
      </c>
      <c r="AE6" s="29"/>
      <c r="AF6" s="29"/>
      <c r="AG6" s="29"/>
      <c r="AH6" s="29"/>
      <c r="AI6" s="29"/>
    </row>
    <row r="7" spans="1:35" x14ac:dyDescent="0.15">
      <c r="A7" s="51">
        <v>1</v>
      </c>
      <c r="B7" s="50" t="s">
        <v>98</v>
      </c>
      <c r="C7" s="49"/>
      <c r="D7" s="48" t="s">
        <v>97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254254313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8735510</v>
      </c>
      <c r="K7" s="45">
        <f t="shared" si="0"/>
        <v>8735510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245518803</v>
      </c>
      <c r="N7" s="43">
        <f t="shared" si="1"/>
        <v>0</v>
      </c>
      <c r="O7" s="42">
        <f t="shared" si="2"/>
        <v>0</v>
      </c>
      <c r="P7" s="42">
        <f t="shared" si="3"/>
        <v>0</v>
      </c>
      <c r="Q7" s="42">
        <f t="shared" si="3"/>
        <v>0</v>
      </c>
      <c r="R7" s="46">
        <f t="shared" si="4"/>
        <v>794137</v>
      </c>
      <c r="S7" s="45">
        <f t="shared" si="5"/>
        <v>794137</v>
      </c>
      <c r="T7" s="44">
        <f t="shared" si="6"/>
        <v>253460176</v>
      </c>
      <c r="U7" s="31">
        <f t="shared" si="7"/>
        <v>0</v>
      </c>
      <c r="V7" s="31">
        <f t="shared" si="8"/>
        <v>0</v>
      </c>
      <c r="W7" s="31">
        <f t="shared" si="9"/>
        <v>0</v>
      </c>
      <c r="X7" s="31">
        <f t="shared" si="9"/>
        <v>0</v>
      </c>
      <c r="Y7" s="31">
        <f t="shared" si="10"/>
        <v>-0.27272727270610631</v>
      </c>
      <c r="Z7" s="30">
        <f t="shared" si="11"/>
        <v>0</v>
      </c>
      <c r="AA7" s="30">
        <f t="shared" si="12"/>
        <v>0</v>
      </c>
      <c r="AB7" s="30">
        <f t="shared" si="13"/>
        <v>0</v>
      </c>
      <c r="AC7" s="30">
        <f t="shared" si="13"/>
        <v>0</v>
      </c>
      <c r="AD7" s="30">
        <f t="shared" si="14"/>
        <v>0</v>
      </c>
      <c r="AE7" s="29"/>
      <c r="AF7" s="29"/>
      <c r="AG7" s="29"/>
      <c r="AH7" s="29"/>
      <c r="AI7" s="29"/>
    </row>
    <row r="8" spans="1:35" x14ac:dyDescent="0.15">
      <c r="A8" s="51">
        <v>1</v>
      </c>
      <c r="B8" s="50" t="s">
        <v>96</v>
      </c>
      <c r="C8" s="49"/>
      <c r="D8" s="48" t="s">
        <v>95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107621114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 t="shared" si="0"/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107176226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444888</v>
      </c>
      <c r="N8" s="43">
        <f t="shared" si="1"/>
        <v>0</v>
      </c>
      <c r="O8" s="42">
        <f t="shared" si="2"/>
        <v>0</v>
      </c>
      <c r="P8" s="42">
        <f t="shared" si="3"/>
        <v>0</v>
      </c>
      <c r="Q8" s="42">
        <f t="shared" si="3"/>
        <v>0</v>
      </c>
      <c r="R8" s="46">
        <f t="shared" si="4"/>
        <v>0</v>
      </c>
      <c r="S8" s="45">
        <f t="shared" si="5"/>
        <v>0</v>
      </c>
      <c r="T8" s="44">
        <f t="shared" si="6"/>
        <v>107621114</v>
      </c>
      <c r="U8" s="31">
        <f t="shared" si="7"/>
        <v>0</v>
      </c>
      <c r="V8" s="31">
        <f t="shared" si="8"/>
        <v>0</v>
      </c>
      <c r="W8" s="31">
        <f t="shared" si="9"/>
        <v>0</v>
      </c>
      <c r="X8" s="31">
        <f t="shared" si="9"/>
        <v>0</v>
      </c>
      <c r="Y8" s="31">
        <f t="shared" si="10"/>
        <v>0</v>
      </c>
      <c r="Z8" s="30">
        <f t="shared" si="11"/>
        <v>0</v>
      </c>
      <c r="AA8" s="30">
        <f t="shared" si="12"/>
        <v>0</v>
      </c>
      <c r="AB8" s="30">
        <f t="shared" si="13"/>
        <v>0</v>
      </c>
      <c r="AC8" s="30">
        <f t="shared" si="13"/>
        <v>0</v>
      </c>
      <c r="AD8" s="30">
        <f t="shared" si="14"/>
        <v>0</v>
      </c>
      <c r="AE8" s="29"/>
      <c r="AF8" s="29"/>
      <c r="AG8" s="29"/>
      <c r="AH8" s="29"/>
      <c r="AI8" s="29"/>
    </row>
    <row r="9" spans="1:35" x14ac:dyDescent="0.15">
      <c r="A9" s="51">
        <v>1</v>
      </c>
      <c r="B9" s="50" t="s">
        <v>94</v>
      </c>
      <c r="C9" s="49"/>
      <c r="D9" s="48" t="s">
        <v>93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 t="shared" si="0"/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1"/>
        <v>0</v>
      </c>
      <c r="O9" s="42">
        <f t="shared" si="2"/>
        <v>0</v>
      </c>
      <c r="P9" s="42">
        <f t="shared" si="3"/>
        <v>0</v>
      </c>
      <c r="Q9" s="42">
        <f t="shared" si="3"/>
        <v>0</v>
      </c>
      <c r="R9" s="46">
        <f t="shared" si="4"/>
        <v>0</v>
      </c>
      <c r="S9" s="45">
        <f t="shared" si="5"/>
        <v>0</v>
      </c>
      <c r="T9" s="44">
        <f t="shared" si="6"/>
        <v>0</v>
      </c>
      <c r="U9" s="31">
        <f t="shared" si="7"/>
        <v>0</v>
      </c>
      <c r="V9" s="31">
        <f t="shared" si="8"/>
        <v>0</v>
      </c>
      <c r="W9" s="31">
        <f t="shared" si="9"/>
        <v>0</v>
      </c>
      <c r="X9" s="31">
        <f t="shared" si="9"/>
        <v>0</v>
      </c>
      <c r="Y9" s="31">
        <f t="shared" si="10"/>
        <v>0</v>
      </c>
      <c r="Z9" s="30">
        <f t="shared" si="11"/>
        <v>0</v>
      </c>
      <c r="AA9" s="30">
        <f t="shared" si="12"/>
        <v>0</v>
      </c>
      <c r="AB9" s="30">
        <f t="shared" si="13"/>
        <v>0</v>
      </c>
      <c r="AC9" s="30">
        <f t="shared" si="13"/>
        <v>0</v>
      </c>
      <c r="AD9" s="30">
        <f t="shared" si="14"/>
        <v>0</v>
      </c>
      <c r="AE9" s="29"/>
      <c r="AF9" s="29"/>
      <c r="AG9" s="29"/>
      <c r="AH9" s="29"/>
      <c r="AI9" s="29"/>
    </row>
    <row r="10" spans="1:35" x14ac:dyDescent="0.15">
      <c r="A10" s="51">
        <v>1</v>
      </c>
      <c r="B10" s="50" t="s">
        <v>92</v>
      </c>
      <c r="C10" s="49"/>
      <c r="D10" s="48" t="s">
        <v>91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 t="shared" si="0"/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0</v>
      </c>
      <c r="N10" s="43">
        <f t="shared" si="1"/>
        <v>0</v>
      </c>
      <c r="O10" s="42">
        <f t="shared" si="2"/>
        <v>0</v>
      </c>
      <c r="P10" s="42">
        <f t="shared" si="3"/>
        <v>0</v>
      </c>
      <c r="Q10" s="42">
        <f t="shared" si="3"/>
        <v>0</v>
      </c>
      <c r="R10" s="46">
        <f t="shared" si="4"/>
        <v>0</v>
      </c>
      <c r="S10" s="45">
        <f t="shared" si="5"/>
        <v>0</v>
      </c>
      <c r="T10" s="44">
        <f t="shared" si="6"/>
        <v>0</v>
      </c>
      <c r="U10" s="31">
        <f t="shared" si="7"/>
        <v>0</v>
      </c>
      <c r="V10" s="31">
        <f t="shared" si="8"/>
        <v>0</v>
      </c>
      <c r="W10" s="31">
        <f t="shared" si="9"/>
        <v>0</v>
      </c>
      <c r="X10" s="31">
        <f t="shared" si="9"/>
        <v>0</v>
      </c>
      <c r="Y10" s="31">
        <f t="shared" si="10"/>
        <v>0</v>
      </c>
      <c r="Z10" s="30">
        <f t="shared" si="11"/>
        <v>0</v>
      </c>
      <c r="AA10" s="30">
        <f t="shared" si="12"/>
        <v>0</v>
      </c>
      <c r="AB10" s="30">
        <f t="shared" si="13"/>
        <v>0</v>
      </c>
      <c r="AC10" s="30">
        <f t="shared" si="13"/>
        <v>0</v>
      </c>
      <c r="AD10" s="30">
        <f t="shared" si="14"/>
        <v>0</v>
      </c>
      <c r="AE10" s="29"/>
      <c r="AF10" s="29"/>
      <c r="AG10" s="29"/>
      <c r="AH10" s="29"/>
      <c r="AI10" s="29"/>
    </row>
    <row r="11" spans="1:35" x14ac:dyDescent="0.15">
      <c r="A11" s="51">
        <v>1</v>
      </c>
      <c r="B11" s="50" t="s">
        <v>90</v>
      </c>
      <c r="C11" s="49"/>
      <c r="D11" s="48" t="s">
        <v>89</v>
      </c>
      <c r="E11" s="81">
        <f>+IF($A11="",IF($C11="",SUMIFS([1]全伝票!I:I,[1]全伝票!$B:$B,$B11),SUMIFS([1]全伝票!I:I,[1]全伝票!$C:$C,$C11)),IF($C11="",SUMIFS([1]全伝票!I:I,[1]全伝票!$A:$A,$A11,[1]全伝票!$B:$B,$B11),SUMIFS([1]全伝票!I:I,[1]全伝票!$A:$A,$A11,[1]全伝票!$C:$C,$C11)))</f>
        <v>0</v>
      </c>
      <c r="F11" s="84">
        <f>+IF($A11="",IF($C11="",SUMIFS([1]全伝票!J:J,[1]全伝票!$B:$B,$B11),SUMIFS([1]全伝票!J:J,[1]全伝票!$C:$C,$C11)),IF($C11="",SUMIFS([1]全伝票!J:J,[1]全伝票!$A:$A,$A11,[1]全伝票!$B:$B,$B11),SUMIFS([1]全伝票!J:J,[1]全伝票!$A:$A,$A11,[1]全伝票!$C:$C,$C11)))</f>
        <v>0</v>
      </c>
      <c r="G11" s="83">
        <f>+IF($A11="",IF($C11="",SUMIFS([1]全伝票!K:K,[1]全伝票!$B:$B,$B11),SUMIFS([1]全伝票!K:K,[1]全伝票!$C:$C,$C11)),IF($C11="",SUMIFS([1]全伝票!K:K,[1]全伝票!$A:$A,$A11,[1]全伝票!$B:$B,$B11),SUMIFS([1]全伝票!K:K,[1]全伝票!$A:$A,$A11,[1]全伝票!$C:$C,$C11)))</f>
        <v>0</v>
      </c>
      <c r="H11" s="83">
        <f>+IF($A11="",IF($C11="",SUMIFS([1]全伝票!L:L,[1]全伝票!$B:$B,$B11),SUMIFS([1]全伝票!L:L,[1]全伝票!$C:$C,$C11)),IF($C11="",SUMIFS([1]全伝票!L:L,[1]全伝票!$A:$A,$A11,[1]全伝票!$B:$B,$B11),SUMIFS([1]全伝票!L:L,[1]全伝票!$A:$A,$A11,[1]全伝票!$C:$C,$C11)))</f>
        <v>0</v>
      </c>
      <c r="I11" s="83">
        <f>+IF($A11="",IF($C11="",SUMIFS([1]全伝票!M:M,[1]全伝票!$B:$B,$B11),SUMIFS([1]全伝票!M:M,[1]全伝票!$C:$C,$C11)),IF($C11="",SUMIFS([1]全伝票!M:M,[1]全伝票!$A:$A,$A11,[1]全伝票!$B:$B,$B11),SUMIFS([1]全伝票!M:M,[1]全伝票!$A:$A,$A11,[1]全伝票!$C:$C,$C11)))</f>
        <v>0</v>
      </c>
      <c r="J11" s="82">
        <f>+IF($A11="",IF($C11="",SUMIFS([1]全伝票!N:N,[1]全伝票!$B:$B,$B11),SUMIFS([1]全伝票!N:N,[1]全伝票!$C:$C,$C11)),IF($C11="",SUMIFS([1]全伝票!N:N,[1]全伝票!$A:$A,$A11,[1]全伝票!$B:$B,$B11),SUMIFS([1]全伝票!N:N,[1]全伝票!$A:$A,$A11,[1]全伝票!$C:$C,$C11)))</f>
        <v>0</v>
      </c>
      <c r="K11" s="45">
        <f t="shared" si="0"/>
        <v>0</v>
      </c>
      <c r="L11" s="81">
        <f>+IF($A11="",IF($C11="",SUMIFS([1]全伝票!O:O,[1]全伝票!$B:$B,$B11),SUMIFS([1]全伝票!O:O,[1]全伝票!$C:$C,$C11)),IF($C11="",SUMIFS([1]全伝票!O:O,[1]全伝票!$A:$A,$A11,[1]全伝票!$B:$B,$B11),SUMIFS([1]全伝票!O:O,[1]全伝票!$A:$A,$A11,[1]全伝票!$C:$C,$C11)))</f>
        <v>0</v>
      </c>
      <c r="M11" s="81">
        <f>+IF($A11="",IF($C11="",SUMIFS([1]全伝票!P:P,[1]全伝票!$B:$B,$B11),SUMIFS([1]全伝票!P:P,[1]全伝票!$C:$C,$C11)),IF($C11="",SUMIFS([1]全伝票!P:P,[1]全伝票!$A:$A,$A11,[1]全伝票!$B:$B,$B11),SUMIFS([1]全伝票!P:P,[1]全伝票!$A:$A,$A11,[1]全伝票!$C:$C,$C11)))</f>
        <v>0</v>
      </c>
      <c r="N11" s="43">
        <f t="shared" si="1"/>
        <v>0</v>
      </c>
      <c r="O11" s="42">
        <f t="shared" si="2"/>
        <v>0</v>
      </c>
      <c r="P11" s="42">
        <f t="shared" si="3"/>
        <v>0</v>
      </c>
      <c r="Q11" s="42">
        <f t="shared" si="3"/>
        <v>0</v>
      </c>
      <c r="R11" s="46">
        <f t="shared" si="4"/>
        <v>0</v>
      </c>
      <c r="S11" s="45">
        <f t="shared" si="5"/>
        <v>0</v>
      </c>
      <c r="T11" s="44">
        <f t="shared" si="6"/>
        <v>0</v>
      </c>
      <c r="U11" s="31">
        <f t="shared" si="7"/>
        <v>0</v>
      </c>
      <c r="V11" s="31">
        <f t="shared" si="8"/>
        <v>0</v>
      </c>
      <c r="W11" s="31">
        <f t="shared" si="9"/>
        <v>0</v>
      </c>
      <c r="X11" s="31">
        <f t="shared" si="9"/>
        <v>0</v>
      </c>
      <c r="Y11" s="31">
        <f t="shared" si="10"/>
        <v>0</v>
      </c>
      <c r="Z11" s="30">
        <f t="shared" si="11"/>
        <v>0</v>
      </c>
      <c r="AA11" s="30">
        <f t="shared" si="12"/>
        <v>0</v>
      </c>
      <c r="AB11" s="30">
        <f t="shared" si="13"/>
        <v>0</v>
      </c>
      <c r="AC11" s="30">
        <f t="shared" si="13"/>
        <v>0</v>
      </c>
      <c r="AD11" s="30">
        <f t="shared" si="14"/>
        <v>0</v>
      </c>
      <c r="AE11" s="29"/>
      <c r="AF11" s="29"/>
      <c r="AG11" s="29"/>
      <c r="AH11" s="29"/>
      <c r="AI11" s="29"/>
    </row>
    <row r="12" spans="1:35" x14ac:dyDescent="0.15">
      <c r="A12" s="51">
        <v>1</v>
      </c>
      <c r="B12" s="50" t="s">
        <v>86</v>
      </c>
      <c r="C12" s="49" t="s">
        <v>88</v>
      </c>
      <c r="D12" s="48" t="s">
        <v>87</v>
      </c>
      <c r="E12" s="81">
        <f>+IF($A12="",IF($C12="",SUMIFS([1]全伝票!I:I,[1]全伝票!$B:$B,$B12),SUMIFS([1]全伝票!I:I,[1]全伝票!$C:$C,$C12)),IF($C12="",SUMIFS([1]全伝票!I:I,[1]全伝票!$A:$A,$A12,[1]全伝票!$B:$B,$B12),SUMIFS([1]全伝票!I:I,[1]全伝票!$A:$A,$A12,[1]全伝票!$C:$C,$C12)))</f>
        <v>2021074</v>
      </c>
      <c r="F12" s="84">
        <f>+IF($A12="",IF($C12="",SUMIFS([1]全伝票!J:J,[1]全伝票!$B:$B,$B12),SUMIFS([1]全伝票!J:J,[1]全伝票!$C:$C,$C12)),IF($C12="",SUMIFS([1]全伝票!J:J,[1]全伝票!$A:$A,$A12,[1]全伝票!$B:$B,$B12),SUMIFS([1]全伝票!J:J,[1]全伝票!$A:$A,$A12,[1]全伝票!$C:$C,$C12)))</f>
        <v>0</v>
      </c>
      <c r="G12" s="83">
        <f>+IF($A12="",IF($C12="",SUMIFS([1]全伝票!K:K,[1]全伝票!$B:$B,$B12),SUMIFS([1]全伝票!K:K,[1]全伝票!$C:$C,$C12)),IF($C12="",SUMIFS([1]全伝票!K:K,[1]全伝票!$A:$A,$A12,[1]全伝票!$B:$B,$B12),SUMIFS([1]全伝票!K:K,[1]全伝票!$A:$A,$A12,[1]全伝票!$C:$C,$C12)))</f>
        <v>0</v>
      </c>
      <c r="H12" s="83">
        <f>+IF($A12="",IF($C12="",SUMIFS([1]全伝票!L:L,[1]全伝票!$B:$B,$B12),SUMIFS([1]全伝票!L:L,[1]全伝票!$C:$C,$C12)),IF($C12="",SUMIFS([1]全伝票!L:L,[1]全伝票!$A:$A,$A12,[1]全伝票!$B:$B,$B12),SUMIFS([1]全伝票!L:L,[1]全伝票!$A:$A,$A12,[1]全伝票!$C:$C,$C12)))</f>
        <v>0</v>
      </c>
      <c r="I12" s="83">
        <f>+IF($A12="",IF($C12="",SUMIFS([1]全伝票!M:M,[1]全伝票!$B:$B,$B12),SUMIFS([1]全伝票!M:M,[1]全伝票!$C:$C,$C12)),IF($C12="",SUMIFS([1]全伝票!M:M,[1]全伝票!$A:$A,$A12,[1]全伝票!$B:$B,$B12),SUMIFS([1]全伝票!M:M,[1]全伝票!$A:$A,$A12,[1]全伝票!$C:$C,$C12)))</f>
        <v>0</v>
      </c>
      <c r="J12" s="82">
        <f>+IF($A12="",IF($C12="",SUMIFS([1]全伝票!N:N,[1]全伝票!$B:$B,$B12),SUMIFS([1]全伝票!N:N,[1]全伝票!$C:$C,$C12)),IF($C12="",SUMIFS([1]全伝票!N:N,[1]全伝票!$A:$A,$A12,[1]全伝票!$B:$B,$B12),SUMIFS([1]全伝票!N:N,[1]全伝票!$A:$A,$A12,[1]全伝票!$C:$C,$C12)))</f>
        <v>2021074</v>
      </c>
      <c r="K12" s="45">
        <f t="shared" si="0"/>
        <v>2021074</v>
      </c>
      <c r="L12" s="81">
        <f>+IF($A12="",IF($C12="",SUMIFS([1]全伝票!O:O,[1]全伝票!$B:$B,$B12),SUMIFS([1]全伝票!O:O,[1]全伝票!$C:$C,$C12)),IF($C12="",SUMIFS([1]全伝票!O:O,[1]全伝票!$A:$A,$A12,[1]全伝票!$B:$B,$B12),SUMIFS([1]全伝票!O:O,[1]全伝票!$A:$A,$A12,[1]全伝票!$C:$C,$C12)))</f>
        <v>0</v>
      </c>
      <c r="M12" s="81">
        <f>+IF($A12="",IF($C12="",SUMIFS([1]全伝票!P:P,[1]全伝票!$B:$B,$B12),SUMIFS([1]全伝票!P:P,[1]全伝票!$C:$C,$C12)),IF($C12="",SUMIFS([1]全伝票!P:P,[1]全伝票!$A:$A,$A12,[1]全伝票!$B:$B,$B12),SUMIFS([1]全伝票!P:P,[1]全伝票!$A:$A,$A12,[1]全伝票!$C:$C,$C12)))</f>
        <v>0</v>
      </c>
      <c r="N12" s="43">
        <f t="shared" si="1"/>
        <v>0</v>
      </c>
      <c r="O12" s="42">
        <f t="shared" si="2"/>
        <v>0</v>
      </c>
      <c r="P12" s="42">
        <f t="shared" si="3"/>
        <v>0</v>
      </c>
      <c r="Q12" s="42">
        <f t="shared" si="3"/>
        <v>0</v>
      </c>
      <c r="R12" s="46">
        <f>+ROUND(J12*J$4/(100+J$4),0)+AI12</f>
        <v>183734</v>
      </c>
      <c r="S12" s="45">
        <f t="shared" si="5"/>
        <v>183734</v>
      </c>
      <c r="T12" s="44">
        <f t="shared" si="6"/>
        <v>1837340</v>
      </c>
      <c r="U12" s="31">
        <f t="shared" si="7"/>
        <v>0</v>
      </c>
      <c r="V12" s="31">
        <f t="shared" si="8"/>
        <v>0</v>
      </c>
      <c r="W12" s="31">
        <f t="shared" si="9"/>
        <v>0</v>
      </c>
      <c r="X12" s="31">
        <f t="shared" si="9"/>
        <v>0</v>
      </c>
      <c r="Y12" s="31">
        <f t="shared" si="10"/>
        <v>0</v>
      </c>
      <c r="Z12" s="30">
        <f t="shared" si="11"/>
        <v>0</v>
      </c>
      <c r="AA12" s="30">
        <f t="shared" si="12"/>
        <v>0</v>
      </c>
      <c r="AB12" s="30">
        <f t="shared" si="13"/>
        <v>0</v>
      </c>
      <c r="AC12" s="30">
        <f t="shared" si="13"/>
        <v>0</v>
      </c>
      <c r="AD12" s="30">
        <f t="shared" si="14"/>
        <v>0</v>
      </c>
      <c r="AE12" s="29"/>
      <c r="AF12" s="29"/>
      <c r="AG12" s="29"/>
      <c r="AH12" s="29"/>
      <c r="AI12" s="29"/>
    </row>
    <row r="13" spans="1:35" x14ac:dyDescent="0.15">
      <c r="A13" s="51">
        <v>1</v>
      </c>
      <c r="B13" s="50" t="s">
        <v>86</v>
      </c>
      <c r="C13" s="49" t="s">
        <v>85</v>
      </c>
      <c r="D13" s="48" t="s">
        <v>84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 t="shared" si="0"/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0</v>
      </c>
      <c r="N13" s="43">
        <f t="shared" si="1"/>
        <v>0</v>
      </c>
      <c r="O13" s="42">
        <f t="shared" si="2"/>
        <v>0</v>
      </c>
      <c r="P13" s="42">
        <f t="shared" si="3"/>
        <v>0</v>
      </c>
      <c r="Q13" s="42">
        <f t="shared" si="3"/>
        <v>0</v>
      </c>
      <c r="R13" s="46">
        <f t="shared" si="4"/>
        <v>0</v>
      </c>
      <c r="S13" s="45">
        <f t="shared" si="5"/>
        <v>0</v>
      </c>
      <c r="T13" s="44">
        <f t="shared" si="6"/>
        <v>0</v>
      </c>
      <c r="U13" s="31">
        <f t="shared" si="7"/>
        <v>0</v>
      </c>
      <c r="V13" s="31">
        <f t="shared" si="8"/>
        <v>0</v>
      </c>
      <c r="W13" s="31">
        <f t="shared" si="9"/>
        <v>0</v>
      </c>
      <c r="X13" s="31">
        <f t="shared" si="9"/>
        <v>0</v>
      </c>
      <c r="Y13" s="31">
        <f t="shared" si="10"/>
        <v>0</v>
      </c>
      <c r="Z13" s="30">
        <f t="shared" si="11"/>
        <v>0</v>
      </c>
      <c r="AA13" s="30">
        <f t="shared" si="12"/>
        <v>0</v>
      </c>
      <c r="AB13" s="30">
        <f t="shared" si="13"/>
        <v>0</v>
      </c>
      <c r="AC13" s="30">
        <f t="shared" si="13"/>
        <v>0</v>
      </c>
      <c r="AD13" s="30">
        <f t="shared" si="14"/>
        <v>0</v>
      </c>
      <c r="AE13" s="29"/>
      <c r="AF13" s="29"/>
      <c r="AG13" s="29"/>
      <c r="AH13" s="29"/>
      <c r="AI13" s="29"/>
    </row>
    <row r="14" spans="1:35" x14ac:dyDescent="0.15">
      <c r="A14" s="51">
        <v>1</v>
      </c>
      <c r="B14" s="50" t="s">
        <v>83</v>
      </c>
      <c r="C14" s="49"/>
      <c r="D14" s="48" t="s">
        <v>82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10417060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36840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10380220</v>
      </c>
      <c r="K14" s="45">
        <f t="shared" si="0"/>
        <v>10417060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1"/>
        <v>0</v>
      </c>
      <c r="O14" s="42">
        <f t="shared" si="2"/>
        <v>0</v>
      </c>
      <c r="P14" s="42">
        <f t="shared" si="3"/>
        <v>0</v>
      </c>
      <c r="Q14" s="42">
        <f>+ROUND(I14*I$4/(100+I$4),0)+AH14</f>
        <v>2728</v>
      </c>
      <c r="R14" s="46">
        <f t="shared" si="4"/>
        <v>943656</v>
      </c>
      <c r="S14" s="45">
        <f t="shared" si="5"/>
        <v>946384</v>
      </c>
      <c r="T14" s="44">
        <f t="shared" si="6"/>
        <v>9470676</v>
      </c>
      <c r="U14" s="31">
        <f t="shared" si="7"/>
        <v>0</v>
      </c>
      <c r="V14" s="31">
        <f t="shared" si="8"/>
        <v>0</v>
      </c>
      <c r="W14" s="31">
        <f t="shared" si="9"/>
        <v>0</v>
      </c>
      <c r="X14" s="31">
        <f t="shared" si="9"/>
        <v>-0.88888888888868678</v>
      </c>
      <c r="Y14" s="31">
        <f t="shared" si="10"/>
        <v>-0.36363636364694685</v>
      </c>
      <c r="Z14" s="30">
        <f t="shared" si="11"/>
        <v>0</v>
      </c>
      <c r="AA14" s="30">
        <f t="shared" si="12"/>
        <v>0</v>
      </c>
      <c r="AB14" s="30">
        <f t="shared" si="13"/>
        <v>0</v>
      </c>
      <c r="AC14" s="30">
        <f t="shared" si="13"/>
        <v>0</v>
      </c>
      <c r="AD14" s="30">
        <f t="shared" si="14"/>
        <v>0</v>
      </c>
      <c r="AE14" s="29"/>
      <c r="AF14" s="29"/>
      <c r="AG14" s="29"/>
      <c r="AH14" s="29">
        <v>-1</v>
      </c>
      <c r="AI14" s="29"/>
    </row>
    <row r="15" spans="1:35" x14ac:dyDescent="0.15">
      <c r="A15" s="51">
        <v>1</v>
      </c>
      <c r="B15" s="50" t="s">
        <v>81</v>
      </c>
      <c r="C15" s="49"/>
      <c r="D15" s="48" t="s">
        <v>80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1053838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1053838</v>
      </c>
      <c r="K15" s="45">
        <f t="shared" si="0"/>
        <v>1053838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0</v>
      </c>
      <c r="N15" s="43">
        <f t="shared" si="1"/>
        <v>0</v>
      </c>
      <c r="O15" s="42">
        <f t="shared" si="2"/>
        <v>0</v>
      </c>
      <c r="P15" s="42">
        <f t="shared" si="3"/>
        <v>0</v>
      </c>
      <c r="Q15" s="42">
        <f t="shared" si="3"/>
        <v>0</v>
      </c>
      <c r="R15" s="46">
        <f t="shared" si="4"/>
        <v>95804</v>
      </c>
      <c r="S15" s="45">
        <f t="shared" si="5"/>
        <v>95804</v>
      </c>
      <c r="T15" s="44">
        <f t="shared" si="6"/>
        <v>958034</v>
      </c>
      <c r="U15" s="31">
        <f t="shared" si="7"/>
        <v>0</v>
      </c>
      <c r="V15" s="31">
        <f t="shared" si="8"/>
        <v>0</v>
      </c>
      <c r="W15" s="31">
        <f t="shared" si="9"/>
        <v>0</v>
      </c>
      <c r="X15" s="31">
        <f t="shared" si="9"/>
        <v>0</v>
      </c>
      <c r="Y15" s="31">
        <f t="shared" si="10"/>
        <v>0.54545454545586836</v>
      </c>
      <c r="Z15" s="30">
        <f t="shared" si="11"/>
        <v>0</v>
      </c>
      <c r="AA15" s="30">
        <f t="shared" si="12"/>
        <v>0</v>
      </c>
      <c r="AB15" s="30">
        <f t="shared" si="13"/>
        <v>0</v>
      </c>
      <c r="AC15" s="30">
        <f t="shared" si="13"/>
        <v>0</v>
      </c>
      <c r="AD15" s="30">
        <f t="shared" si="14"/>
        <v>0</v>
      </c>
      <c r="AE15" s="29"/>
      <c r="AF15" s="29"/>
      <c r="AG15" s="29"/>
      <c r="AH15" s="29"/>
      <c r="AI15" s="29">
        <v>1</v>
      </c>
    </row>
    <row r="16" spans="1:35" x14ac:dyDescent="0.15">
      <c r="A16" s="51">
        <v>1</v>
      </c>
      <c r="B16" s="50" t="s">
        <v>79</v>
      </c>
      <c r="C16" s="49"/>
      <c r="D16" s="48" t="s">
        <v>78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 t="shared" si="0"/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1"/>
        <v>0</v>
      </c>
      <c r="O16" s="42">
        <f t="shared" si="2"/>
        <v>0</v>
      </c>
      <c r="P16" s="42">
        <f t="shared" si="3"/>
        <v>0</v>
      </c>
      <c r="Q16" s="42">
        <f t="shared" si="3"/>
        <v>0</v>
      </c>
      <c r="R16" s="46">
        <f t="shared" si="4"/>
        <v>0</v>
      </c>
      <c r="S16" s="45">
        <f t="shared" si="5"/>
        <v>0</v>
      </c>
      <c r="T16" s="44">
        <f t="shared" si="6"/>
        <v>0</v>
      </c>
      <c r="U16" s="31">
        <f t="shared" si="7"/>
        <v>0</v>
      </c>
      <c r="V16" s="31">
        <f t="shared" si="8"/>
        <v>0</v>
      </c>
      <c r="W16" s="31">
        <f t="shared" si="9"/>
        <v>0</v>
      </c>
      <c r="X16" s="31">
        <f t="shared" si="9"/>
        <v>0</v>
      </c>
      <c r="Y16" s="31">
        <f t="shared" si="10"/>
        <v>0</v>
      </c>
      <c r="Z16" s="30">
        <f t="shared" si="11"/>
        <v>0</v>
      </c>
      <c r="AA16" s="30">
        <f t="shared" si="12"/>
        <v>0</v>
      </c>
      <c r="AB16" s="30">
        <f t="shared" si="13"/>
        <v>0</v>
      </c>
      <c r="AC16" s="30">
        <f t="shared" si="13"/>
        <v>0</v>
      </c>
      <c r="AD16" s="30">
        <f t="shared" si="14"/>
        <v>0</v>
      </c>
      <c r="AE16" s="29"/>
      <c r="AF16" s="29"/>
      <c r="AG16" s="29"/>
      <c r="AH16" s="29"/>
      <c r="AI16" s="29"/>
    </row>
    <row r="17" spans="1:35" x14ac:dyDescent="0.15">
      <c r="A17" s="51">
        <v>1</v>
      </c>
      <c r="B17" s="50" t="s">
        <v>77</v>
      </c>
      <c r="C17" s="49"/>
      <c r="D17" s="48" t="s">
        <v>76</v>
      </c>
      <c r="E17" s="81">
        <f>+IF($A17="",IF($C17="",SUMIFS([1]全伝票!I:I,[1]全伝票!$B:$B,$B17),SUMIFS([1]全伝票!I:I,[1]全伝票!$C:$C,$C17)),IF($C17="",SUMIFS([1]全伝票!I:I,[1]全伝票!$A:$A,$A17,[1]全伝票!$B:$B,$B17),SUMIFS([1]全伝票!I:I,[1]全伝票!$A:$A,$A17,[1]全伝票!$C:$C,$C17)))</f>
        <v>2423102</v>
      </c>
      <c r="F17" s="84">
        <f>+IF($A17="",IF($C17="",SUMIFS([1]全伝票!J:J,[1]全伝票!$B:$B,$B17),SUMIFS([1]全伝票!J:J,[1]全伝票!$C:$C,$C17)),IF($C17="",SUMIFS([1]全伝票!J:J,[1]全伝票!$A:$A,$A17,[1]全伝票!$B:$B,$B17),SUMIFS([1]全伝票!J:J,[1]全伝票!$A:$A,$A17,[1]全伝票!$C:$C,$C17)))</f>
        <v>0</v>
      </c>
      <c r="G17" s="83">
        <f>+IF($A17="",IF($C17="",SUMIFS([1]全伝票!K:K,[1]全伝票!$B:$B,$B17),SUMIFS([1]全伝票!K:K,[1]全伝票!$C:$C,$C17)),IF($C17="",SUMIFS([1]全伝票!K:K,[1]全伝票!$A:$A,$A17,[1]全伝票!$B:$B,$B17),SUMIFS([1]全伝票!K:K,[1]全伝票!$A:$A,$A17,[1]全伝票!$C:$C,$C17)))</f>
        <v>0</v>
      </c>
      <c r="H17" s="83">
        <f>+IF($A17="",IF($C17="",SUMIFS([1]全伝票!L:L,[1]全伝票!$B:$B,$B17),SUMIFS([1]全伝票!L:L,[1]全伝票!$C:$C,$C17)),IF($C17="",SUMIFS([1]全伝票!L:L,[1]全伝票!$A:$A,$A17,[1]全伝票!$B:$B,$B17),SUMIFS([1]全伝票!L:L,[1]全伝票!$A:$A,$A17,[1]全伝票!$C:$C,$C17)))</f>
        <v>0</v>
      </c>
      <c r="I17" s="83">
        <f>+IF($A17="",IF($C17="",SUMIFS([1]全伝票!M:M,[1]全伝票!$B:$B,$B17),SUMIFS([1]全伝票!M:M,[1]全伝票!$C:$C,$C17)),IF($C17="",SUMIFS([1]全伝票!M:M,[1]全伝票!$A:$A,$A17,[1]全伝票!$B:$B,$B17),SUMIFS([1]全伝票!M:M,[1]全伝票!$A:$A,$A17,[1]全伝票!$C:$C,$C17)))</f>
        <v>0</v>
      </c>
      <c r="J17" s="82">
        <f>+IF($A17="",IF($C17="",SUMIFS([1]全伝票!N:N,[1]全伝票!$B:$B,$B17),SUMIFS([1]全伝票!N:N,[1]全伝票!$C:$C,$C17)),IF($C17="",SUMIFS([1]全伝票!N:N,[1]全伝票!$A:$A,$A17,[1]全伝票!$B:$B,$B17),SUMIFS([1]全伝票!N:N,[1]全伝票!$A:$A,$A17,[1]全伝票!$C:$C,$C17)))</f>
        <v>2423102</v>
      </c>
      <c r="K17" s="45">
        <f t="shared" si="0"/>
        <v>2423102</v>
      </c>
      <c r="L17" s="81">
        <f>+IF($A17="",IF($C17="",SUMIFS([1]全伝票!O:O,[1]全伝票!$B:$B,$B17),SUMIFS([1]全伝票!O:O,[1]全伝票!$C:$C,$C17)),IF($C17="",SUMIFS([1]全伝票!O:O,[1]全伝票!$A:$A,$A17,[1]全伝票!$B:$B,$B17),SUMIFS([1]全伝票!O:O,[1]全伝票!$A:$A,$A17,[1]全伝票!$C:$C,$C17)))</f>
        <v>0</v>
      </c>
      <c r="M17" s="81">
        <f>+IF($A17="",IF($C17="",SUMIFS([1]全伝票!P:P,[1]全伝票!$B:$B,$B17),SUMIFS([1]全伝票!P:P,[1]全伝票!$C:$C,$C17)),IF($C17="",SUMIFS([1]全伝票!P:P,[1]全伝票!$A:$A,$A17,[1]全伝票!$B:$B,$B17),SUMIFS([1]全伝票!P:P,[1]全伝票!$A:$A,$A17,[1]全伝票!$C:$C,$C17)))</f>
        <v>0</v>
      </c>
      <c r="N17" s="43">
        <f t="shared" si="1"/>
        <v>0</v>
      </c>
      <c r="O17" s="42">
        <f t="shared" si="2"/>
        <v>0</v>
      </c>
      <c r="P17" s="42">
        <f t="shared" si="3"/>
        <v>0</v>
      </c>
      <c r="Q17" s="42">
        <f t="shared" si="3"/>
        <v>0</v>
      </c>
      <c r="R17" s="46">
        <f t="shared" si="4"/>
        <v>220282</v>
      </c>
      <c r="S17" s="45">
        <f t="shared" si="5"/>
        <v>220282</v>
      </c>
      <c r="T17" s="44">
        <f t="shared" si="6"/>
        <v>2202820</v>
      </c>
      <c r="U17" s="31">
        <f t="shared" si="7"/>
        <v>0</v>
      </c>
      <c r="V17" s="31">
        <f t="shared" si="8"/>
        <v>0</v>
      </c>
      <c r="W17" s="31">
        <f t="shared" si="9"/>
        <v>0</v>
      </c>
      <c r="X17" s="31">
        <f t="shared" si="9"/>
        <v>0</v>
      </c>
      <c r="Y17" s="31">
        <f t="shared" si="10"/>
        <v>0</v>
      </c>
      <c r="Z17" s="30">
        <f t="shared" si="11"/>
        <v>0</v>
      </c>
      <c r="AA17" s="30">
        <f t="shared" si="12"/>
        <v>0</v>
      </c>
      <c r="AB17" s="30">
        <f t="shared" si="13"/>
        <v>0</v>
      </c>
      <c r="AC17" s="30">
        <f t="shared" si="13"/>
        <v>0</v>
      </c>
      <c r="AD17" s="30">
        <f t="shared" si="14"/>
        <v>0</v>
      </c>
      <c r="AE17" s="29"/>
      <c r="AF17" s="29"/>
      <c r="AG17" s="29"/>
      <c r="AH17" s="29"/>
      <c r="AI17" s="29"/>
    </row>
    <row r="18" spans="1:35" x14ac:dyDescent="0.15">
      <c r="A18" s="51">
        <v>1</v>
      </c>
      <c r="B18" s="50" t="s">
        <v>75</v>
      </c>
      <c r="C18" s="49"/>
      <c r="D18" s="48" t="s">
        <v>74</v>
      </c>
      <c r="E18" s="81">
        <f>+IF($A18="",IF($C18="",SUMIFS([1]全伝票!I:I,[1]全伝票!$B:$B,$B18),SUMIFS([1]全伝票!I:I,[1]全伝票!$C:$C,$C18)),IF($C18="",SUMIFS([1]全伝票!I:I,[1]全伝票!$A:$A,$A18,[1]全伝票!$B:$B,$B18),SUMIFS([1]全伝票!I:I,[1]全伝票!$A:$A,$A18,[1]全伝票!$C:$C,$C18)))</f>
        <v>357250</v>
      </c>
      <c r="F18" s="84">
        <f>+IF($A18="",IF($C18="",SUMIFS([1]全伝票!J:J,[1]全伝票!$B:$B,$B18),SUMIFS([1]全伝票!J:J,[1]全伝票!$C:$C,$C18)),IF($C18="",SUMIFS([1]全伝票!J:J,[1]全伝票!$A:$A,$A18,[1]全伝票!$B:$B,$B18),SUMIFS([1]全伝票!J:J,[1]全伝票!$A:$A,$A18,[1]全伝票!$C:$C,$C18)))</f>
        <v>0</v>
      </c>
      <c r="G18" s="83">
        <f>+IF($A18="",IF($C18="",SUMIFS([1]全伝票!K:K,[1]全伝票!$B:$B,$B18),SUMIFS([1]全伝票!K:K,[1]全伝票!$C:$C,$C18)),IF($C18="",SUMIFS([1]全伝票!K:K,[1]全伝票!$A:$A,$A18,[1]全伝票!$B:$B,$B18),SUMIFS([1]全伝票!K:K,[1]全伝票!$A:$A,$A18,[1]全伝票!$C:$C,$C18)))</f>
        <v>0</v>
      </c>
      <c r="H18" s="83">
        <f>+IF($A18="",IF($C18="",SUMIFS([1]全伝票!L:L,[1]全伝票!$B:$B,$B18),SUMIFS([1]全伝票!L:L,[1]全伝票!$C:$C,$C18)),IF($C18="",SUMIFS([1]全伝票!L:L,[1]全伝票!$A:$A,$A18,[1]全伝票!$B:$B,$B18),SUMIFS([1]全伝票!L:L,[1]全伝票!$A:$A,$A18,[1]全伝票!$C:$C,$C18)))</f>
        <v>0</v>
      </c>
      <c r="I18" s="83">
        <f>+IF($A18="",IF($C18="",SUMIFS([1]全伝票!M:M,[1]全伝票!$B:$B,$B18),SUMIFS([1]全伝票!M:M,[1]全伝票!$C:$C,$C18)),IF($C18="",SUMIFS([1]全伝票!M:M,[1]全伝票!$A:$A,$A18,[1]全伝票!$B:$B,$B18),SUMIFS([1]全伝票!M:M,[1]全伝票!$A:$A,$A18,[1]全伝票!$C:$C,$C18)))</f>
        <v>0</v>
      </c>
      <c r="J18" s="82">
        <f>+IF($A18="",IF($C18="",SUMIFS([1]全伝票!N:N,[1]全伝票!$B:$B,$B18),SUMIFS([1]全伝票!N:N,[1]全伝票!$C:$C,$C18)),IF($C18="",SUMIFS([1]全伝票!N:N,[1]全伝票!$A:$A,$A18,[1]全伝票!$B:$B,$B18),SUMIFS([1]全伝票!N:N,[1]全伝票!$A:$A,$A18,[1]全伝票!$C:$C,$C18)))</f>
        <v>290850</v>
      </c>
      <c r="K18" s="45">
        <f t="shared" si="0"/>
        <v>290850</v>
      </c>
      <c r="L18" s="81">
        <f>+IF($A18="",IF($C18="",SUMIFS([1]全伝票!O:O,[1]全伝票!$B:$B,$B18),SUMIFS([1]全伝票!O:O,[1]全伝票!$C:$C,$C18)),IF($C18="",SUMIFS([1]全伝票!O:O,[1]全伝票!$A:$A,$A18,[1]全伝票!$B:$B,$B18),SUMIFS([1]全伝票!O:O,[1]全伝票!$A:$A,$A18,[1]全伝票!$C:$C,$C18)))</f>
        <v>66400</v>
      </c>
      <c r="M18" s="81">
        <f>+IF($A18="",IF($C18="",SUMIFS([1]全伝票!P:P,[1]全伝票!$B:$B,$B18),SUMIFS([1]全伝票!P:P,[1]全伝票!$C:$C,$C18)),IF($C18="",SUMIFS([1]全伝票!P:P,[1]全伝票!$A:$A,$A18,[1]全伝票!$B:$B,$B18),SUMIFS([1]全伝票!P:P,[1]全伝票!$A:$A,$A18,[1]全伝票!$C:$C,$C18)))</f>
        <v>0</v>
      </c>
      <c r="N18" s="43">
        <f t="shared" si="1"/>
        <v>0</v>
      </c>
      <c r="O18" s="42">
        <f t="shared" si="2"/>
        <v>0</v>
      </c>
      <c r="P18" s="42">
        <f t="shared" si="3"/>
        <v>0</v>
      </c>
      <c r="Q18" s="42">
        <f t="shared" si="3"/>
        <v>0</v>
      </c>
      <c r="R18" s="46">
        <f t="shared" si="4"/>
        <v>26441</v>
      </c>
      <c r="S18" s="45">
        <f t="shared" si="5"/>
        <v>26441</v>
      </c>
      <c r="T18" s="44">
        <f t="shared" si="6"/>
        <v>330809</v>
      </c>
      <c r="U18" s="31">
        <f t="shared" si="7"/>
        <v>0</v>
      </c>
      <c r="V18" s="31">
        <f t="shared" si="8"/>
        <v>0</v>
      </c>
      <c r="W18" s="31">
        <f t="shared" si="9"/>
        <v>0</v>
      </c>
      <c r="X18" s="31">
        <f t="shared" si="9"/>
        <v>0</v>
      </c>
      <c r="Y18" s="31">
        <f t="shared" si="10"/>
        <v>9.0909090908098733E-2</v>
      </c>
      <c r="Z18" s="30">
        <f t="shared" si="11"/>
        <v>0</v>
      </c>
      <c r="AA18" s="30">
        <f t="shared" si="12"/>
        <v>0</v>
      </c>
      <c r="AB18" s="30">
        <f t="shared" si="13"/>
        <v>0</v>
      </c>
      <c r="AC18" s="30">
        <f t="shared" si="13"/>
        <v>0</v>
      </c>
      <c r="AD18" s="30">
        <f t="shared" si="14"/>
        <v>0</v>
      </c>
      <c r="AE18" s="29"/>
      <c r="AF18" s="29"/>
      <c r="AG18" s="29"/>
      <c r="AH18" s="29"/>
      <c r="AI18" s="29"/>
    </row>
    <row r="19" spans="1:35" x14ac:dyDescent="0.15">
      <c r="A19" s="51">
        <v>1</v>
      </c>
      <c r="B19" s="50" t="s">
        <v>73</v>
      </c>
      <c r="C19" s="49"/>
      <c r="D19" s="48" t="s">
        <v>72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13483332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125712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7866081</v>
      </c>
      <c r="K19" s="45">
        <f t="shared" si="0"/>
        <v>7991793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5491539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1"/>
        <v>0</v>
      </c>
      <c r="O19" s="42">
        <f t="shared" si="2"/>
        <v>0</v>
      </c>
      <c r="P19" s="42">
        <f>+ROUND(H19*H$4/(100+H$4),0)+AG19</f>
        <v>9312</v>
      </c>
      <c r="Q19" s="42">
        <f t="shared" si="3"/>
        <v>0</v>
      </c>
      <c r="R19" s="46">
        <f>+ROUND(J19*J$4/(100+J$4),0)+AI19</f>
        <v>715098</v>
      </c>
      <c r="S19" s="45">
        <f t="shared" si="5"/>
        <v>724410</v>
      </c>
      <c r="T19" s="44">
        <f t="shared" si="6"/>
        <v>12758922</v>
      </c>
      <c r="U19" s="31">
        <f t="shared" si="7"/>
        <v>0</v>
      </c>
      <c r="V19" s="31">
        <f t="shared" si="8"/>
        <v>0</v>
      </c>
      <c r="W19" s="31">
        <f t="shared" si="9"/>
        <v>0</v>
      </c>
      <c r="X19" s="31">
        <f t="shared" si="9"/>
        <v>0</v>
      </c>
      <c r="Y19" s="31">
        <f t="shared" si="10"/>
        <v>-0.27272727270610631</v>
      </c>
      <c r="Z19" s="30">
        <f t="shared" si="11"/>
        <v>0</v>
      </c>
      <c r="AA19" s="30">
        <f t="shared" si="12"/>
        <v>0</v>
      </c>
      <c r="AB19" s="30">
        <f t="shared" si="13"/>
        <v>0</v>
      </c>
      <c r="AC19" s="30">
        <f t="shared" si="13"/>
        <v>0</v>
      </c>
      <c r="AD19" s="30">
        <f t="shared" si="14"/>
        <v>0</v>
      </c>
      <c r="AE19" s="29"/>
      <c r="AF19" s="29"/>
      <c r="AG19" s="29"/>
      <c r="AH19" s="29"/>
      <c r="AI19" s="29"/>
    </row>
    <row r="20" spans="1:35" x14ac:dyDescent="0.15">
      <c r="A20" s="51">
        <v>1</v>
      </c>
      <c r="B20" s="50" t="s">
        <v>71</v>
      </c>
      <c r="C20" s="49"/>
      <c r="D20" s="48" t="s">
        <v>70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85827500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85827500</v>
      </c>
      <c r="K20" s="45">
        <f t="shared" si="0"/>
        <v>85827500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1"/>
        <v>0</v>
      </c>
      <c r="O20" s="42">
        <f t="shared" si="2"/>
        <v>0</v>
      </c>
      <c r="P20" s="42">
        <f t="shared" si="3"/>
        <v>0</v>
      </c>
      <c r="Q20" s="42">
        <f t="shared" si="3"/>
        <v>0</v>
      </c>
      <c r="R20" s="46">
        <f t="shared" si="4"/>
        <v>7802500</v>
      </c>
      <c r="S20" s="45">
        <f t="shared" si="5"/>
        <v>7802500</v>
      </c>
      <c r="T20" s="44">
        <f t="shared" si="6"/>
        <v>78025000</v>
      </c>
      <c r="U20" s="31">
        <f t="shared" si="7"/>
        <v>0</v>
      </c>
      <c r="V20" s="31">
        <f t="shared" si="8"/>
        <v>0</v>
      </c>
      <c r="W20" s="31">
        <f t="shared" si="9"/>
        <v>0</v>
      </c>
      <c r="X20" s="31">
        <f t="shared" si="9"/>
        <v>0</v>
      </c>
      <c r="Y20" s="31">
        <f t="shared" si="10"/>
        <v>0</v>
      </c>
      <c r="Z20" s="30">
        <f t="shared" si="11"/>
        <v>0</v>
      </c>
      <c r="AA20" s="30">
        <f t="shared" si="12"/>
        <v>0</v>
      </c>
      <c r="AB20" s="30">
        <f t="shared" si="13"/>
        <v>0</v>
      </c>
      <c r="AC20" s="30">
        <f t="shared" si="13"/>
        <v>0</v>
      </c>
      <c r="AD20" s="30">
        <f t="shared" si="14"/>
        <v>0</v>
      </c>
      <c r="AE20" s="29"/>
      <c r="AF20" s="29"/>
      <c r="AG20" s="29"/>
      <c r="AH20" s="29"/>
      <c r="AI20" s="29"/>
    </row>
    <row r="21" spans="1:35" x14ac:dyDescent="0.15">
      <c r="A21" s="51">
        <v>1</v>
      </c>
      <c r="B21" s="50" t="s">
        <v>69</v>
      </c>
      <c r="C21" s="49"/>
      <c r="D21" s="48" t="s">
        <v>68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1482466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1482466</v>
      </c>
      <c r="K21" s="45">
        <f t="shared" si="0"/>
        <v>1482466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1"/>
        <v>0</v>
      </c>
      <c r="O21" s="42">
        <f t="shared" si="2"/>
        <v>0</v>
      </c>
      <c r="P21" s="42">
        <f t="shared" si="3"/>
        <v>0</v>
      </c>
      <c r="Q21" s="42">
        <f t="shared" si="3"/>
        <v>0</v>
      </c>
      <c r="R21" s="46">
        <f t="shared" si="4"/>
        <v>134770</v>
      </c>
      <c r="S21" s="45">
        <f t="shared" si="5"/>
        <v>134770</v>
      </c>
      <c r="T21" s="44">
        <f t="shared" si="6"/>
        <v>1347696</v>
      </c>
      <c r="U21" s="31">
        <f t="shared" si="7"/>
        <v>0</v>
      </c>
      <c r="V21" s="31">
        <f t="shared" si="8"/>
        <v>0</v>
      </c>
      <c r="W21" s="31">
        <f t="shared" si="9"/>
        <v>0</v>
      </c>
      <c r="X21" s="31">
        <f t="shared" si="9"/>
        <v>0</v>
      </c>
      <c r="Y21" s="31">
        <f t="shared" si="10"/>
        <v>0.36363636364694685</v>
      </c>
      <c r="Z21" s="30">
        <f t="shared" si="11"/>
        <v>0</v>
      </c>
      <c r="AA21" s="30">
        <f t="shared" si="12"/>
        <v>0</v>
      </c>
      <c r="AB21" s="30">
        <f t="shared" si="13"/>
        <v>0</v>
      </c>
      <c r="AC21" s="30">
        <f t="shared" si="13"/>
        <v>0</v>
      </c>
      <c r="AD21" s="30">
        <f t="shared" si="14"/>
        <v>0</v>
      </c>
      <c r="AE21" s="29"/>
      <c r="AF21" s="29"/>
      <c r="AG21" s="29"/>
      <c r="AH21" s="29"/>
      <c r="AI21" s="29"/>
    </row>
    <row r="22" spans="1:35" x14ac:dyDescent="0.15">
      <c r="A22" s="51">
        <v>1</v>
      </c>
      <c r="B22" s="50" t="s">
        <v>67</v>
      </c>
      <c r="C22" s="49"/>
      <c r="D22" s="48" t="s">
        <v>66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 t="shared" si="0"/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1"/>
        <v>0</v>
      </c>
      <c r="O22" s="42">
        <f t="shared" si="2"/>
        <v>0</v>
      </c>
      <c r="P22" s="42">
        <f t="shared" si="3"/>
        <v>0</v>
      </c>
      <c r="Q22" s="42">
        <f t="shared" si="3"/>
        <v>0</v>
      </c>
      <c r="R22" s="46">
        <f t="shared" si="4"/>
        <v>0</v>
      </c>
      <c r="S22" s="45">
        <f t="shared" si="5"/>
        <v>0</v>
      </c>
      <c r="T22" s="44">
        <f t="shared" si="6"/>
        <v>0</v>
      </c>
      <c r="U22" s="31">
        <f t="shared" si="7"/>
        <v>0</v>
      </c>
      <c r="V22" s="31">
        <f t="shared" si="8"/>
        <v>0</v>
      </c>
      <c r="W22" s="31">
        <f t="shared" si="9"/>
        <v>0</v>
      </c>
      <c r="X22" s="31">
        <f t="shared" si="9"/>
        <v>0</v>
      </c>
      <c r="Y22" s="31">
        <f t="shared" si="10"/>
        <v>0</v>
      </c>
      <c r="Z22" s="30">
        <f t="shared" si="11"/>
        <v>0</v>
      </c>
      <c r="AA22" s="30">
        <f t="shared" si="12"/>
        <v>0</v>
      </c>
      <c r="AB22" s="30">
        <f t="shared" si="13"/>
        <v>0</v>
      </c>
      <c r="AC22" s="30">
        <f t="shared" si="13"/>
        <v>0</v>
      </c>
      <c r="AD22" s="30">
        <f t="shared" si="14"/>
        <v>0</v>
      </c>
      <c r="AE22" s="29"/>
      <c r="AF22" s="29"/>
      <c r="AG22" s="29"/>
      <c r="AH22" s="29"/>
      <c r="AI22" s="29"/>
    </row>
    <row r="23" spans="1:35" x14ac:dyDescent="0.15">
      <c r="A23" s="51">
        <v>1</v>
      </c>
      <c r="B23" s="50" t="s">
        <v>65</v>
      </c>
      <c r="C23" s="49"/>
      <c r="D23" s="48" t="s">
        <v>64</v>
      </c>
      <c r="E23" s="81">
        <f>+IF($A23="",IF($C23="",SUMIFS([1]全伝票!I:I,[1]全伝票!$B:$B,$B23),SUMIFS([1]全伝票!I:I,[1]全伝票!$C:$C,$C23)),IF($C23="",SUMIFS([1]全伝票!I:I,[1]全伝票!$A:$A,$A23,[1]全伝票!$B:$B,$B23),SUMIFS([1]全伝票!I:I,[1]全伝票!$A:$A,$A23,[1]全伝票!$C:$C,$C23)))</f>
        <v>51295633</v>
      </c>
      <c r="F23" s="84">
        <f>+IF($A23="",IF($C23="",SUMIFS([1]全伝票!J:J,[1]全伝票!$B:$B,$B23),SUMIFS([1]全伝票!J:J,[1]全伝票!$C:$C,$C23)),IF($C23="",SUMIFS([1]全伝票!J:J,[1]全伝票!$A:$A,$A23,[1]全伝票!$B:$B,$B23),SUMIFS([1]全伝票!J:J,[1]全伝票!$A:$A,$A23,[1]全伝票!$C:$C,$C23)))</f>
        <v>0</v>
      </c>
      <c r="G23" s="83">
        <f>+IF($A23="",IF($C23="",SUMIFS([1]全伝票!K:K,[1]全伝票!$B:$B,$B23),SUMIFS([1]全伝票!K:K,[1]全伝票!$C:$C,$C23)),IF($C23="",SUMIFS([1]全伝票!K:K,[1]全伝票!$A:$A,$A23,[1]全伝票!$B:$B,$B23),SUMIFS([1]全伝票!K:K,[1]全伝票!$A:$A,$A23,[1]全伝票!$C:$C,$C23)))</f>
        <v>0</v>
      </c>
      <c r="H23" s="83">
        <f>+IF($A23="",IF($C23="",SUMIFS([1]全伝票!L:L,[1]全伝票!$B:$B,$B23),SUMIFS([1]全伝票!L:L,[1]全伝票!$C:$C,$C23)),IF($C23="",SUMIFS([1]全伝票!L:L,[1]全伝票!$A:$A,$A23,[1]全伝票!$B:$B,$B23),SUMIFS([1]全伝票!L:L,[1]全伝票!$A:$A,$A23,[1]全伝票!$C:$C,$C23)))</f>
        <v>0</v>
      </c>
      <c r="I23" s="83">
        <f>+IF($A23="",IF($C23="",SUMIFS([1]全伝票!M:M,[1]全伝票!$B:$B,$B23),SUMIFS([1]全伝票!M:M,[1]全伝票!$C:$C,$C23)),IF($C23="",SUMIFS([1]全伝票!M:M,[1]全伝票!$A:$A,$A23,[1]全伝票!$B:$B,$B23),SUMIFS([1]全伝票!M:M,[1]全伝票!$A:$A,$A23,[1]全伝票!$C:$C,$C23)))</f>
        <v>0</v>
      </c>
      <c r="J23" s="82">
        <f>+IF($A23="",IF($C23="",SUMIFS([1]全伝票!N:N,[1]全伝票!$B:$B,$B23),SUMIFS([1]全伝票!N:N,[1]全伝票!$C:$C,$C23)),IF($C23="",SUMIFS([1]全伝票!N:N,[1]全伝票!$A:$A,$A23,[1]全伝票!$B:$B,$B23),SUMIFS([1]全伝票!N:N,[1]全伝票!$A:$A,$A23,[1]全伝票!$C:$C,$C23)))</f>
        <v>51295633</v>
      </c>
      <c r="K23" s="45">
        <f t="shared" si="0"/>
        <v>51295633</v>
      </c>
      <c r="L23" s="81">
        <f>+IF($A23="",IF($C23="",SUMIFS([1]全伝票!O:O,[1]全伝票!$B:$B,$B23),SUMIFS([1]全伝票!O:O,[1]全伝票!$C:$C,$C23)),IF($C23="",SUMIFS([1]全伝票!O:O,[1]全伝票!$A:$A,$A23,[1]全伝票!$B:$B,$B23),SUMIFS([1]全伝票!O:O,[1]全伝票!$A:$A,$A23,[1]全伝票!$C:$C,$C23)))</f>
        <v>0</v>
      </c>
      <c r="M23" s="81">
        <f>+IF($A23="",IF($C23="",SUMIFS([1]全伝票!P:P,[1]全伝票!$B:$B,$B23),SUMIFS([1]全伝票!P:P,[1]全伝票!$C:$C,$C23)),IF($C23="",SUMIFS([1]全伝票!P:P,[1]全伝票!$A:$A,$A23,[1]全伝票!$B:$B,$B23),SUMIFS([1]全伝票!P:P,[1]全伝票!$A:$A,$A23,[1]全伝票!$C:$C,$C23)))</f>
        <v>0</v>
      </c>
      <c r="N23" s="43">
        <f t="shared" si="1"/>
        <v>0</v>
      </c>
      <c r="O23" s="42">
        <f t="shared" si="2"/>
        <v>0</v>
      </c>
      <c r="P23" s="42">
        <f t="shared" si="3"/>
        <v>0</v>
      </c>
      <c r="Q23" s="42">
        <f t="shared" si="3"/>
        <v>0</v>
      </c>
      <c r="R23" s="46">
        <f t="shared" si="4"/>
        <v>4663239</v>
      </c>
      <c r="S23" s="45">
        <f t="shared" si="5"/>
        <v>4663239</v>
      </c>
      <c r="T23" s="44">
        <f t="shared" si="6"/>
        <v>46632394</v>
      </c>
      <c r="U23" s="31">
        <f t="shared" si="7"/>
        <v>0</v>
      </c>
      <c r="V23" s="31">
        <f t="shared" si="8"/>
        <v>0</v>
      </c>
      <c r="W23" s="31">
        <f t="shared" si="9"/>
        <v>0</v>
      </c>
      <c r="X23" s="31">
        <f t="shared" si="9"/>
        <v>0</v>
      </c>
      <c r="Y23" s="31">
        <f t="shared" si="10"/>
        <v>-0.36363636329770088</v>
      </c>
      <c r="Z23" s="30">
        <f t="shared" si="11"/>
        <v>0</v>
      </c>
      <c r="AA23" s="30">
        <f t="shared" si="12"/>
        <v>0</v>
      </c>
      <c r="AB23" s="30">
        <f t="shared" si="13"/>
        <v>0</v>
      </c>
      <c r="AC23" s="30">
        <f t="shared" si="13"/>
        <v>0</v>
      </c>
      <c r="AD23" s="30">
        <f t="shared" si="14"/>
        <v>0</v>
      </c>
      <c r="AE23" s="29"/>
      <c r="AF23" s="29"/>
      <c r="AG23" s="29"/>
      <c r="AH23" s="29"/>
      <c r="AI23" s="29"/>
    </row>
    <row r="24" spans="1:35" x14ac:dyDescent="0.15">
      <c r="A24" s="51">
        <v>1</v>
      </c>
      <c r="B24" s="50" t="s">
        <v>63</v>
      </c>
      <c r="C24" s="49"/>
      <c r="D24" s="48" t="s">
        <v>62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 t="shared" si="0"/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1"/>
        <v>0</v>
      </c>
      <c r="O24" s="42">
        <f t="shared" si="2"/>
        <v>0</v>
      </c>
      <c r="P24" s="42">
        <f t="shared" si="3"/>
        <v>0</v>
      </c>
      <c r="Q24" s="42">
        <f t="shared" si="3"/>
        <v>0</v>
      </c>
      <c r="R24" s="46">
        <f t="shared" si="4"/>
        <v>0</v>
      </c>
      <c r="S24" s="45">
        <f t="shared" si="5"/>
        <v>0</v>
      </c>
      <c r="T24" s="44">
        <f t="shared" si="6"/>
        <v>0</v>
      </c>
      <c r="U24" s="31">
        <f t="shared" si="7"/>
        <v>0</v>
      </c>
      <c r="V24" s="31">
        <f t="shared" si="8"/>
        <v>0</v>
      </c>
      <c r="W24" s="31">
        <f t="shared" si="9"/>
        <v>0</v>
      </c>
      <c r="X24" s="31">
        <f t="shared" si="9"/>
        <v>0</v>
      </c>
      <c r="Y24" s="31">
        <f t="shared" si="10"/>
        <v>0</v>
      </c>
      <c r="Z24" s="30">
        <f t="shared" si="11"/>
        <v>0</v>
      </c>
      <c r="AA24" s="30">
        <f t="shared" si="12"/>
        <v>0</v>
      </c>
      <c r="AB24" s="30">
        <f t="shared" si="13"/>
        <v>0</v>
      </c>
      <c r="AC24" s="30">
        <f t="shared" si="13"/>
        <v>0</v>
      </c>
      <c r="AD24" s="30">
        <f t="shared" si="14"/>
        <v>0</v>
      </c>
      <c r="AE24" s="29"/>
      <c r="AF24" s="29"/>
      <c r="AG24" s="29"/>
      <c r="AH24" s="29"/>
      <c r="AI24" s="29"/>
    </row>
    <row r="25" spans="1:35" x14ac:dyDescent="0.15">
      <c r="A25" s="51">
        <v>1</v>
      </c>
      <c r="B25" s="50" t="s">
        <v>61</v>
      </c>
      <c r="C25" s="49"/>
      <c r="D25" s="48" t="s">
        <v>60</v>
      </c>
      <c r="E25" s="81">
        <f>+IF($A25="",IF($C25="",SUMIFS([1]全伝票!I:I,[1]全伝票!$B:$B,$B25),SUMIFS([1]全伝票!I:I,[1]全伝票!$C:$C,$C25)),IF($C25="",SUMIFS([1]全伝票!I:I,[1]全伝票!$A:$A,$A25,[1]全伝票!$B:$B,$B25),SUMIFS([1]全伝票!I:I,[1]全伝票!$A:$A,$A25,[1]全伝票!$C:$C,$C25)))</f>
        <v>557452</v>
      </c>
      <c r="F25" s="84">
        <f>+IF($A25="",IF($C25="",SUMIFS([1]全伝票!J:J,[1]全伝票!$B:$B,$B25),SUMIFS([1]全伝票!J:J,[1]全伝票!$C:$C,$C25)),IF($C25="",SUMIFS([1]全伝票!J:J,[1]全伝票!$A:$A,$A25,[1]全伝票!$B:$B,$B25),SUMIFS([1]全伝票!J:J,[1]全伝票!$A:$A,$A25,[1]全伝票!$C:$C,$C25)))</f>
        <v>0</v>
      </c>
      <c r="G25" s="83">
        <f>+IF($A25="",IF($C25="",SUMIFS([1]全伝票!K:K,[1]全伝票!$B:$B,$B25),SUMIFS([1]全伝票!K:K,[1]全伝票!$C:$C,$C25)),IF($C25="",SUMIFS([1]全伝票!K:K,[1]全伝票!$A:$A,$A25,[1]全伝票!$B:$B,$B25),SUMIFS([1]全伝票!K:K,[1]全伝票!$A:$A,$A25,[1]全伝票!$C:$C,$C25)))</f>
        <v>0</v>
      </c>
      <c r="H25" s="83">
        <f>+IF($A25="",IF($C25="",SUMIFS([1]全伝票!L:L,[1]全伝票!$B:$B,$B25),SUMIFS([1]全伝票!L:L,[1]全伝票!$C:$C,$C25)),IF($C25="",SUMIFS([1]全伝票!L:L,[1]全伝票!$A:$A,$A25,[1]全伝票!$B:$B,$B25),SUMIFS([1]全伝票!L:L,[1]全伝票!$A:$A,$A25,[1]全伝票!$C:$C,$C25)))</f>
        <v>0</v>
      </c>
      <c r="I25" s="83">
        <f>+IF($A25="",IF($C25="",SUMIFS([1]全伝票!M:M,[1]全伝票!$B:$B,$B25),SUMIFS([1]全伝票!M:M,[1]全伝票!$C:$C,$C25)),IF($C25="",SUMIFS([1]全伝票!M:M,[1]全伝票!$A:$A,$A25,[1]全伝票!$B:$B,$B25),SUMIFS([1]全伝票!M:M,[1]全伝票!$A:$A,$A25,[1]全伝票!$C:$C,$C25)))</f>
        <v>0</v>
      </c>
      <c r="J25" s="82">
        <f>+IF($A25="",IF($C25="",SUMIFS([1]全伝票!N:N,[1]全伝票!$B:$B,$B25),SUMIFS([1]全伝票!N:N,[1]全伝票!$C:$C,$C25)),IF($C25="",SUMIFS([1]全伝票!N:N,[1]全伝票!$A:$A,$A25,[1]全伝票!$B:$B,$B25),SUMIFS([1]全伝票!N:N,[1]全伝票!$A:$A,$A25,[1]全伝票!$C:$C,$C25)))</f>
        <v>0</v>
      </c>
      <c r="K25" s="45">
        <f t="shared" si="0"/>
        <v>0</v>
      </c>
      <c r="L25" s="81">
        <f>+IF($A25="",IF($C25="",SUMIFS([1]全伝票!O:O,[1]全伝票!$B:$B,$B25),SUMIFS([1]全伝票!O:O,[1]全伝票!$C:$C,$C25)),IF($C25="",SUMIFS([1]全伝票!O:O,[1]全伝票!$A:$A,$A25,[1]全伝票!$B:$B,$B25),SUMIFS([1]全伝票!O:O,[1]全伝票!$A:$A,$A25,[1]全伝票!$C:$C,$C25)))</f>
        <v>557452</v>
      </c>
      <c r="M25" s="81">
        <f>+IF($A25="",IF($C25="",SUMIFS([1]全伝票!P:P,[1]全伝票!$B:$B,$B25),SUMIFS([1]全伝票!P:P,[1]全伝票!$C:$C,$C25)),IF($C25="",SUMIFS([1]全伝票!P:P,[1]全伝票!$A:$A,$A25,[1]全伝票!$B:$B,$B25),SUMIFS([1]全伝票!P:P,[1]全伝票!$A:$A,$A25,[1]全伝票!$C:$C,$C25)))</f>
        <v>0</v>
      </c>
      <c r="N25" s="43">
        <f t="shared" si="1"/>
        <v>0</v>
      </c>
      <c r="O25" s="42">
        <f t="shared" si="2"/>
        <v>0</v>
      </c>
      <c r="P25" s="42">
        <f t="shared" si="3"/>
        <v>0</v>
      </c>
      <c r="Q25" s="42">
        <f t="shared" si="3"/>
        <v>0</v>
      </c>
      <c r="R25" s="46">
        <f t="shared" si="4"/>
        <v>0</v>
      </c>
      <c r="S25" s="45">
        <f t="shared" si="5"/>
        <v>0</v>
      </c>
      <c r="T25" s="44">
        <f t="shared" si="6"/>
        <v>557452</v>
      </c>
      <c r="U25" s="31">
        <f t="shared" si="7"/>
        <v>0</v>
      </c>
      <c r="V25" s="31">
        <f t="shared" si="8"/>
        <v>0</v>
      </c>
      <c r="W25" s="31">
        <f t="shared" si="9"/>
        <v>0</v>
      </c>
      <c r="X25" s="31">
        <f t="shared" si="9"/>
        <v>0</v>
      </c>
      <c r="Y25" s="31">
        <f t="shared" si="10"/>
        <v>0</v>
      </c>
      <c r="Z25" s="30">
        <f t="shared" si="11"/>
        <v>0</v>
      </c>
      <c r="AA25" s="30">
        <f t="shared" si="12"/>
        <v>0</v>
      </c>
      <c r="AB25" s="30">
        <f t="shared" si="13"/>
        <v>0</v>
      </c>
      <c r="AC25" s="30">
        <f t="shared" si="13"/>
        <v>0</v>
      </c>
      <c r="AD25" s="30">
        <f t="shared" si="14"/>
        <v>0</v>
      </c>
      <c r="AE25" s="29"/>
      <c r="AF25" s="29"/>
      <c r="AG25" s="29"/>
      <c r="AH25" s="29"/>
      <c r="AI25" s="29"/>
    </row>
    <row r="26" spans="1:35" x14ac:dyDescent="0.15">
      <c r="A26" s="51">
        <v>1</v>
      </c>
      <c r="B26" s="50" t="s">
        <v>59</v>
      </c>
      <c r="C26" s="49"/>
      <c r="D26" s="48" t="s">
        <v>58</v>
      </c>
      <c r="E26" s="81">
        <f>+IF($A26="",IF($C26="",SUMIFS([1]全伝票!I:I,[1]全伝票!$B:$B,$B26),SUMIFS([1]全伝票!I:I,[1]全伝票!$C:$C,$C26)),IF($C26="",SUMIFS([1]全伝票!I:I,[1]全伝票!$A:$A,$A26,[1]全伝票!$B:$B,$B26),SUMIFS([1]全伝票!I:I,[1]全伝票!$A:$A,$A26,[1]全伝票!$C:$C,$C26)))</f>
        <v>240506</v>
      </c>
      <c r="F26" s="84">
        <f>+IF($A26="",IF($C26="",SUMIFS([1]全伝票!J:J,[1]全伝票!$B:$B,$B26),SUMIFS([1]全伝票!J:J,[1]全伝票!$C:$C,$C26)),IF($C26="",SUMIFS([1]全伝票!J:J,[1]全伝票!$A:$A,$A26,[1]全伝票!$B:$B,$B26),SUMIFS([1]全伝票!J:J,[1]全伝票!$A:$A,$A26,[1]全伝票!$C:$C,$C26)))</f>
        <v>0</v>
      </c>
      <c r="G26" s="83">
        <f>+IF($A26="",IF($C26="",SUMIFS([1]全伝票!K:K,[1]全伝票!$B:$B,$B26),SUMIFS([1]全伝票!K:K,[1]全伝票!$C:$C,$C26)),IF($C26="",SUMIFS([1]全伝票!K:K,[1]全伝票!$A:$A,$A26,[1]全伝票!$B:$B,$B26),SUMIFS([1]全伝票!K:K,[1]全伝票!$A:$A,$A26,[1]全伝票!$C:$C,$C26)))</f>
        <v>0</v>
      </c>
      <c r="H26" s="83">
        <f>+IF($A26="",IF($C26="",SUMIFS([1]全伝票!L:L,[1]全伝票!$B:$B,$B26),SUMIFS([1]全伝票!L:L,[1]全伝票!$C:$C,$C26)),IF($C26="",SUMIFS([1]全伝票!L:L,[1]全伝票!$A:$A,$A26,[1]全伝票!$B:$B,$B26),SUMIFS([1]全伝票!L:L,[1]全伝票!$A:$A,$A26,[1]全伝票!$C:$C,$C26)))</f>
        <v>0</v>
      </c>
      <c r="I26" s="83">
        <f>+IF($A26="",IF($C26="",SUMIFS([1]全伝票!M:M,[1]全伝票!$B:$B,$B26),SUMIFS([1]全伝票!M:M,[1]全伝票!$C:$C,$C26)),IF($C26="",SUMIFS([1]全伝票!M:M,[1]全伝票!$A:$A,$A26,[1]全伝票!$B:$B,$B26),SUMIFS([1]全伝票!M:M,[1]全伝票!$A:$A,$A26,[1]全伝票!$C:$C,$C26)))</f>
        <v>0</v>
      </c>
      <c r="J26" s="82">
        <f>+IF($A26="",IF($C26="",SUMIFS([1]全伝票!N:N,[1]全伝票!$B:$B,$B26),SUMIFS([1]全伝票!N:N,[1]全伝票!$C:$C,$C26)),IF($C26="",SUMIFS([1]全伝票!N:N,[1]全伝票!$A:$A,$A26,[1]全伝票!$B:$B,$B26),SUMIFS([1]全伝票!N:N,[1]全伝票!$A:$A,$A26,[1]全伝票!$C:$C,$C26)))</f>
        <v>0</v>
      </c>
      <c r="K26" s="45">
        <f t="shared" si="0"/>
        <v>0</v>
      </c>
      <c r="L26" s="81">
        <f>+IF($A26="",IF($C26="",SUMIFS([1]全伝票!O:O,[1]全伝票!$B:$B,$B26),SUMIFS([1]全伝票!O:O,[1]全伝票!$C:$C,$C26)),IF($C26="",SUMIFS([1]全伝票!O:O,[1]全伝票!$A:$A,$A26,[1]全伝票!$B:$B,$B26),SUMIFS([1]全伝票!O:O,[1]全伝票!$A:$A,$A26,[1]全伝票!$C:$C,$C26)))</f>
        <v>0</v>
      </c>
      <c r="M26" s="81">
        <f>+IF($A26="",IF($C26="",SUMIFS([1]全伝票!P:P,[1]全伝票!$B:$B,$B26),SUMIFS([1]全伝票!P:P,[1]全伝票!$C:$C,$C26)),IF($C26="",SUMIFS([1]全伝票!P:P,[1]全伝票!$A:$A,$A26,[1]全伝票!$B:$B,$B26),SUMIFS([1]全伝票!P:P,[1]全伝票!$A:$A,$A26,[1]全伝票!$C:$C,$C26)))</f>
        <v>240506</v>
      </c>
      <c r="N26" s="43">
        <f t="shared" si="1"/>
        <v>0</v>
      </c>
      <c r="O26" s="42">
        <f t="shared" si="2"/>
        <v>0</v>
      </c>
      <c r="P26" s="42">
        <f t="shared" si="3"/>
        <v>0</v>
      </c>
      <c r="Q26" s="42">
        <f t="shared" si="3"/>
        <v>0</v>
      </c>
      <c r="R26" s="46">
        <f t="shared" si="4"/>
        <v>0</v>
      </c>
      <c r="S26" s="45">
        <f t="shared" si="5"/>
        <v>0</v>
      </c>
      <c r="T26" s="44">
        <f t="shared" si="6"/>
        <v>240506</v>
      </c>
      <c r="U26" s="31">
        <f t="shared" si="7"/>
        <v>0</v>
      </c>
      <c r="V26" s="31">
        <f t="shared" si="8"/>
        <v>0</v>
      </c>
      <c r="W26" s="31">
        <f t="shared" si="9"/>
        <v>0</v>
      </c>
      <c r="X26" s="31">
        <f t="shared" si="9"/>
        <v>0</v>
      </c>
      <c r="Y26" s="31">
        <f t="shared" si="10"/>
        <v>0</v>
      </c>
      <c r="Z26" s="30">
        <f t="shared" si="11"/>
        <v>0</v>
      </c>
      <c r="AA26" s="30">
        <f t="shared" si="12"/>
        <v>0</v>
      </c>
      <c r="AB26" s="30">
        <f t="shared" si="13"/>
        <v>0</v>
      </c>
      <c r="AC26" s="30">
        <f t="shared" si="13"/>
        <v>0</v>
      </c>
      <c r="AD26" s="30">
        <f t="shared" si="14"/>
        <v>0</v>
      </c>
      <c r="AE26" s="29"/>
      <c r="AF26" s="29"/>
      <c r="AG26" s="29"/>
      <c r="AH26" s="29"/>
      <c r="AI26" s="29"/>
    </row>
    <row r="27" spans="1:35" x14ac:dyDescent="0.15">
      <c r="A27" s="51">
        <v>1</v>
      </c>
      <c r="B27" s="50" t="s">
        <v>86</v>
      </c>
      <c r="C27" s="49">
        <v>615321003</v>
      </c>
      <c r="D27" s="139" t="s">
        <v>370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739160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739160</v>
      </c>
      <c r="K27" s="45">
        <f t="shared" si="0"/>
        <v>739160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1"/>
        <v>0</v>
      </c>
      <c r="O27" s="42">
        <f t="shared" si="2"/>
        <v>0</v>
      </c>
      <c r="P27" s="42">
        <f t="shared" si="3"/>
        <v>0</v>
      </c>
      <c r="Q27" s="42">
        <f t="shared" si="3"/>
        <v>0</v>
      </c>
      <c r="R27" s="46">
        <f t="shared" si="4"/>
        <v>67196</v>
      </c>
      <c r="S27" s="45">
        <f t="shared" si="5"/>
        <v>67196</v>
      </c>
      <c r="T27" s="44">
        <f t="shared" si="6"/>
        <v>671964</v>
      </c>
      <c r="U27" s="31">
        <f t="shared" si="7"/>
        <v>0</v>
      </c>
      <c r="V27" s="31">
        <f t="shared" si="8"/>
        <v>0</v>
      </c>
      <c r="W27" s="31">
        <f t="shared" si="9"/>
        <v>0</v>
      </c>
      <c r="X27" s="31">
        <f t="shared" si="9"/>
        <v>0</v>
      </c>
      <c r="Y27" s="31">
        <f t="shared" si="10"/>
        <v>-0.36363636363239493</v>
      </c>
      <c r="Z27" s="30">
        <f t="shared" si="11"/>
        <v>0</v>
      </c>
      <c r="AA27" s="30">
        <f t="shared" si="12"/>
        <v>0</v>
      </c>
      <c r="AB27" s="30">
        <f t="shared" si="13"/>
        <v>0</v>
      </c>
      <c r="AC27" s="30">
        <f t="shared" si="13"/>
        <v>0</v>
      </c>
      <c r="AD27" s="30">
        <f t="shared" si="14"/>
        <v>0</v>
      </c>
      <c r="AE27" s="29"/>
      <c r="AF27" s="29"/>
      <c r="AG27" s="29"/>
      <c r="AH27" s="29"/>
      <c r="AI27" s="29"/>
    </row>
    <row r="28" spans="1:35" x14ac:dyDescent="0.15">
      <c r="A28" s="51">
        <v>1</v>
      </c>
      <c r="B28" s="50" t="s">
        <v>57</v>
      </c>
      <c r="C28" s="49"/>
      <c r="D28" s="48" t="s">
        <v>56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14830375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0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4022760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10807615</v>
      </c>
      <c r="N28" s="43">
        <f t="shared" si="1"/>
        <v>0</v>
      </c>
      <c r="O28" s="42">
        <f t="shared" si="2"/>
        <v>0</v>
      </c>
      <c r="P28" s="42">
        <f t="shared" si="3"/>
        <v>0</v>
      </c>
      <c r="Q28" s="42">
        <f t="shared" si="3"/>
        <v>0</v>
      </c>
      <c r="R28" s="46">
        <f t="shared" si="4"/>
        <v>0</v>
      </c>
      <c r="S28" s="45">
        <f t="shared" si="5"/>
        <v>0</v>
      </c>
      <c r="T28" s="44">
        <f t="shared" si="6"/>
        <v>14830375</v>
      </c>
      <c r="U28" s="31">
        <f t="shared" si="7"/>
        <v>0</v>
      </c>
      <c r="V28" s="31">
        <f t="shared" si="8"/>
        <v>0</v>
      </c>
      <c r="W28" s="31">
        <f t="shared" si="9"/>
        <v>0</v>
      </c>
      <c r="X28" s="31">
        <f t="shared" si="9"/>
        <v>0</v>
      </c>
      <c r="Y28" s="31">
        <f t="shared" si="10"/>
        <v>0</v>
      </c>
      <c r="Z28" s="30">
        <f t="shared" si="11"/>
        <v>0</v>
      </c>
      <c r="AA28" s="30">
        <f t="shared" si="12"/>
        <v>0</v>
      </c>
      <c r="AB28" s="30">
        <f t="shared" si="13"/>
        <v>0</v>
      </c>
      <c r="AC28" s="30">
        <f t="shared" si="13"/>
        <v>0</v>
      </c>
      <c r="AD28" s="30">
        <f t="shared" si="14"/>
        <v>0</v>
      </c>
      <c r="AE28" s="29"/>
      <c r="AF28" s="29"/>
      <c r="AG28" s="29"/>
      <c r="AH28" s="29"/>
      <c r="AI28" s="29"/>
    </row>
    <row r="29" spans="1:35" x14ac:dyDescent="0.15">
      <c r="A29" s="51">
        <v>1</v>
      </c>
      <c r="B29" s="50" t="s">
        <v>55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0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1"/>
        <v>0</v>
      </c>
      <c r="O29" s="42">
        <f t="shared" si="2"/>
        <v>0</v>
      </c>
      <c r="P29" s="42">
        <f t="shared" si="3"/>
        <v>0</v>
      </c>
      <c r="Q29" s="42">
        <f t="shared" si="3"/>
        <v>0</v>
      </c>
      <c r="R29" s="46">
        <f t="shared" si="4"/>
        <v>0</v>
      </c>
      <c r="S29" s="45">
        <f t="shared" si="5"/>
        <v>0</v>
      </c>
      <c r="T29" s="44">
        <f t="shared" si="6"/>
        <v>0</v>
      </c>
      <c r="U29" s="31">
        <f t="shared" si="7"/>
        <v>0</v>
      </c>
      <c r="V29" s="31">
        <f t="shared" si="8"/>
        <v>0</v>
      </c>
      <c r="W29" s="31">
        <f t="shared" si="9"/>
        <v>0</v>
      </c>
      <c r="X29" s="31">
        <f t="shared" si="9"/>
        <v>0</v>
      </c>
      <c r="Y29" s="31">
        <f t="shared" si="10"/>
        <v>0</v>
      </c>
      <c r="Z29" s="30">
        <f t="shared" si="11"/>
        <v>0</v>
      </c>
      <c r="AA29" s="30">
        <f t="shared" si="12"/>
        <v>0</v>
      </c>
      <c r="AB29" s="30">
        <f t="shared" si="13"/>
        <v>0</v>
      </c>
      <c r="AC29" s="30">
        <f t="shared" si="13"/>
        <v>0</v>
      </c>
      <c r="AD29" s="30">
        <f t="shared" si="14"/>
        <v>0</v>
      </c>
      <c r="AE29" s="29"/>
      <c r="AF29" s="29"/>
      <c r="AG29" s="29"/>
      <c r="AH29" s="29"/>
      <c r="AI29" s="29"/>
    </row>
    <row r="30" spans="1:35" x14ac:dyDescent="0.15">
      <c r="A30" s="51">
        <v>1</v>
      </c>
      <c r="B30" s="50" t="s">
        <v>53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275990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275990</v>
      </c>
      <c r="K30" s="45">
        <f t="shared" si="0"/>
        <v>275990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1"/>
        <v>0</v>
      </c>
      <c r="O30" s="42">
        <f t="shared" si="2"/>
        <v>0</v>
      </c>
      <c r="P30" s="42">
        <f t="shared" si="3"/>
        <v>0</v>
      </c>
      <c r="Q30" s="42">
        <f t="shared" si="3"/>
        <v>0</v>
      </c>
      <c r="R30" s="46">
        <f t="shared" si="4"/>
        <v>25090</v>
      </c>
      <c r="S30" s="45">
        <f t="shared" si="5"/>
        <v>25090</v>
      </c>
      <c r="T30" s="44">
        <f t="shared" si="6"/>
        <v>250900</v>
      </c>
      <c r="U30" s="31">
        <f t="shared" si="7"/>
        <v>0</v>
      </c>
      <c r="V30" s="31">
        <f t="shared" si="8"/>
        <v>0</v>
      </c>
      <c r="W30" s="31">
        <f t="shared" si="9"/>
        <v>0</v>
      </c>
      <c r="X30" s="31">
        <f t="shared" si="9"/>
        <v>0</v>
      </c>
      <c r="Y30" s="31">
        <f t="shared" si="10"/>
        <v>0</v>
      </c>
      <c r="Z30" s="30">
        <f t="shared" si="11"/>
        <v>0</v>
      </c>
      <c r="AA30" s="30">
        <f t="shared" si="12"/>
        <v>0</v>
      </c>
      <c r="AB30" s="30">
        <f t="shared" si="13"/>
        <v>0</v>
      </c>
      <c r="AC30" s="30">
        <f t="shared" si="13"/>
        <v>0</v>
      </c>
      <c r="AD30" s="30">
        <f t="shared" si="14"/>
        <v>0</v>
      </c>
      <c r="AE30" s="29"/>
      <c r="AF30" s="29"/>
      <c r="AG30" s="29"/>
      <c r="AH30" s="29"/>
      <c r="AI30" s="29"/>
    </row>
    <row r="31" spans="1:35" x14ac:dyDescent="0.15">
      <c r="A31" s="51">
        <v>1</v>
      </c>
      <c r="B31" s="50" t="s">
        <v>51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1"/>
        <v>0</v>
      </c>
      <c r="O31" s="42">
        <f t="shared" si="2"/>
        <v>0</v>
      </c>
      <c r="P31" s="42">
        <f t="shared" si="3"/>
        <v>0</v>
      </c>
      <c r="Q31" s="42">
        <f t="shared" si="3"/>
        <v>0</v>
      </c>
      <c r="R31" s="46">
        <f t="shared" si="4"/>
        <v>0</v>
      </c>
      <c r="S31" s="45">
        <f t="shared" si="5"/>
        <v>0</v>
      </c>
      <c r="T31" s="44">
        <f t="shared" si="6"/>
        <v>0</v>
      </c>
      <c r="U31" s="31">
        <f t="shared" si="7"/>
        <v>0</v>
      </c>
      <c r="V31" s="31">
        <f t="shared" si="8"/>
        <v>0</v>
      </c>
      <c r="W31" s="31">
        <f t="shared" si="9"/>
        <v>0</v>
      </c>
      <c r="X31" s="31">
        <f t="shared" si="9"/>
        <v>0</v>
      </c>
      <c r="Y31" s="31">
        <f t="shared" si="10"/>
        <v>0</v>
      </c>
      <c r="Z31" s="30">
        <f t="shared" si="11"/>
        <v>0</v>
      </c>
      <c r="AA31" s="30">
        <f t="shared" si="12"/>
        <v>0</v>
      </c>
      <c r="AB31" s="30">
        <f t="shared" si="13"/>
        <v>0</v>
      </c>
      <c r="AC31" s="30">
        <f t="shared" si="13"/>
        <v>0</v>
      </c>
      <c r="AD31" s="30">
        <f t="shared" si="14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49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1"/>
        <v>0</v>
      </c>
      <c r="O32" s="42">
        <f t="shared" si="2"/>
        <v>0</v>
      </c>
      <c r="P32" s="42">
        <f t="shared" si="3"/>
        <v>0</v>
      </c>
      <c r="Q32" s="42">
        <f t="shared" si="3"/>
        <v>0</v>
      </c>
      <c r="R32" s="46">
        <f t="shared" si="4"/>
        <v>0</v>
      </c>
      <c r="S32" s="45">
        <f t="shared" si="5"/>
        <v>0</v>
      </c>
      <c r="T32" s="44">
        <f t="shared" si="6"/>
        <v>0</v>
      </c>
      <c r="U32" s="31">
        <f t="shared" si="7"/>
        <v>0</v>
      </c>
      <c r="V32" s="31">
        <f t="shared" si="8"/>
        <v>0</v>
      </c>
      <c r="W32" s="31">
        <f t="shared" si="9"/>
        <v>0</v>
      </c>
      <c r="X32" s="31">
        <f t="shared" si="9"/>
        <v>0</v>
      </c>
      <c r="Y32" s="31">
        <f t="shared" si="10"/>
        <v>0</v>
      </c>
      <c r="Z32" s="30">
        <f t="shared" si="11"/>
        <v>0</v>
      </c>
      <c r="AA32" s="30">
        <f t="shared" si="12"/>
        <v>0</v>
      </c>
      <c r="AB32" s="30">
        <f t="shared" si="13"/>
        <v>0</v>
      </c>
      <c r="AC32" s="30">
        <f t="shared" si="13"/>
        <v>0</v>
      </c>
      <c r="AD32" s="30">
        <f t="shared" si="14"/>
        <v>0</v>
      </c>
      <c r="AE32" s="29"/>
      <c r="AF32" s="29"/>
      <c r="AG32" s="29"/>
      <c r="AH32" s="29"/>
      <c r="AI32" s="29"/>
    </row>
    <row r="33" spans="1:35" x14ac:dyDescent="0.15">
      <c r="A33" s="51">
        <v>1</v>
      </c>
      <c r="B33" s="50" t="s">
        <v>47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1"/>
        <v>0</v>
      </c>
      <c r="O33" s="42">
        <f t="shared" si="2"/>
        <v>0</v>
      </c>
      <c r="P33" s="42">
        <f t="shared" si="3"/>
        <v>0</v>
      </c>
      <c r="Q33" s="42">
        <f t="shared" si="3"/>
        <v>0</v>
      </c>
      <c r="R33" s="46">
        <f t="shared" si="4"/>
        <v>0</v>
      </c>
      <c r="S33" s="45">
        <f t="shared" si="5"/>
        <v>0</v>
      </c>
      <c r="T33" s="44">
        <f t="shared" si="6"/>
        <v>0</v>
      </c>
      <c r="U33" s="31">
        <f t="shared" si="7"/>
        <v>0</v>
      </c>
      <c r="V33" s="31">
        <f t="shared" si="8"/>
        <v>0</v>
      </c>
      <c r="W33" s="31">
        <f t="shared" si="9"/>
        <v>0</v>
      </c>
      <c r="X33" s="31">
        <f t="shared" si="9"/>
        <v>0</v>
      </c>
      <c r="Y33" s="31">
        <f t="shared" si="10"/>
        <v>0</v>
      </c>
      <c r="Z33" s="30">
        <f t="shared" si="11"/>
        <v>0</v>
      </c>
      <c r="AA33" s="30">
        <f t="shared" si="12"/>
        <v>0</v>
      </c>
      <c r="AB33" s="30">
        <f t="shared" si="13"/>
        <v>0</v>
      </c>
      <c r="AC33" s="30">
        <f t="shared" si="13"/>
        <v>0</v>
      </c>
      <c r="AD33" s="30">
        <f t="shared" si="14"/>
        <v>0</v>
      </c>
      <c r="AE33" s="29"/>
      <c r="AF33" s="29"/>
      <c r="AG33" s="29"/>
      <c r="AH33" s="29"/>
      <c r="AI33" s="29"/>
    </row>
    <row r="34" spans="1:35" x14ac:dyDescent="0.15">
      <c r="A34" s="51">
        <v>1</v>
      </c>
      <c r="B34" s="50" t="s">
        <v>45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1"/>
        <v>0</v>
      </c>
      <c r="O34" s="42">
        <f t="shared" si="2"/>
        <v>0</v>
      </c>
      <c r="P34" s="42">
        <f t="shared" si="3"/>
        <v>0</v>
      </c>
      <c r="Q34" s="42">
        <f t="shared" si="3"/>
        <v>0</v>
      </c>
      <c r="R34" s="46">
        <f t="shared" si="4"/>
        <v>0</v>
      </c>
      <c r="S34" s="45">
        <f t="shared" si="5"/>
        <v>0</v>
      </c>
      <c r="T34" s="44">
        <f t="shared" si="6"/>
        <v>0</v>
      </c>
      <c r="U34" s="31">
        <f t="shared" si="7"/>
        <v>0</v>
      </c>
      <c r="V34" s="31">
        <f t="shared" si="8"/>
        <v>0</v>
      </c>
      <c r="W34" s="31">
        <f t="shared" si="9"/>
        <v>0</v>
      </c>
      <c r="X34" s="31">
        <f t="shared" si="9"/>
        <v>0</v>
      </c>
      <c r="Y34" s="31">
        <f t="shared" si="10"/>
        <v>0</v>
      </c>
      <c r="Z34" s="30">
        <f t="shared" si="11"/>
        <v>0</v>
      </c>
      <c r="AA34" s="30">
        <f t="shared" si="12"/>
        <v>0</v>
      </c>
      <c r="AB34" s="30">
        <f t="shared" si="13"/>
        <v>0</v>
      </c>
      <c r="AC34" s="30">
        <f t="shared" si="13"/>
        <v>0</v>
      </c>
      <c r="AD34" s="30">
        <f t="shared" si="14"/>
        <v>0</v>
      </c>
      <c r="AE34" s="29"/>
      <c r="AF34" s="29"/>
      <c r="AG34" s="29"/>
      <c r="AH34" s="29"/>
      <c r="AI34" s="29"/>
    </row>
    <row r="35" spans="1:35" x14ac:dyDescent="0.15">
      <c r="A35" s="51">
        <v>1</v>
      </c>
      <c r="B35" s="50" t="s">
        <v>33</v>
      </c>
      <c r="C35" s="49" t="s">
        <v>43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13601868302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13601868302</v>
      </c>
      <c r="K35" s="45">
        <f t="shared" si="0"/>
        <v>13601868302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1"/>
        <v>0</v>
      </c>
      <c r="O35" s="42">
        <f t="shared" si="2"/>
        <v>0</v>
      </c>
      <c r="P35" s="42">
        <f>+ROUND(H35*H$4/(100+H$4),0)+AG35</f>
        <v>0</v>
      </c>
      <c r="Q35" s="42">
        <f t="shared" si="3"/>
        <v>0</v>
      </c>
      <c r="R35" s="46">
        <f t="shared" si="4"/>
        <v>1236533482</v>
      </c>
      <c r="S35" s="45">
        <f t="shared" si="5"/>
        <v>1236533482</v>
      </c>
      <c r="T35" s="44">
        <f t="shared" si="6"/>
        <v>12365334820</v>
      </c>
      <c r="U35" s="31">
        <f t="shared" si="7"/>
        <v>0</v>
      </c>
      <c r="V35" s="31">
        <f t="shared" si="8"/>
        <v>0</v>
      </c>
      <c r="W35" s="31">
        <f t="shared" si="9"/>
        <v>0</v>
      </c>
      <c r="X35" s="31">
        <f t="shared" si="9"/>
        <v>0</v>
      </c>
      <c r="Y35" s="31">
        <f t="shared" si="10"/>
        <v>0</v>
      </c>
      <c r="Z35" s="30">
        <f t="shared" si="11"/>
        <v>0</v>
      </c>
      <c r="AA35" s="30">
        <f t="shared" si="12"/>
        <v>0</v>
      </c>
      <c r="AB35" s="30">
        <f t="shared" si="13"/>
        <v>0</v>
      </c>
      <c r="AC35" s="30">
        <f t="shared" si="13"/>
        <v>0</v>
      </c>
      <c r="AD35" s="30">
        <f t="shared" si="14"/>
        <v>0</v>
      </c>
      <c r="AE35" s="29"/>
      <c r="AF35" s="29"/>
      <c r="AG35" s="29"/>
      <c r="AH35" s="29"/>
      <c r="AI35" s="29"/>
    </row>
    <row r="36" spans="1:35" x14ac:dyDescent="0.15">
      <c r="A36" s="51">
        <v>1</v>
      </c>
      <c r="B36" s="50" t="s">
        <v>33</v>
      </c>
      <c r="C36" s="49" t="s">
        <v>41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59375146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59375146</v>
      </c>
      <c r="N36" s="43">
        <f t="shared" si="1"/>
        <v>0</v>
      </c>
      <c r="O36" s="42">
        <f t="shared" si="2"/>
        <v>0</v>
      </c>
      <c r="P36" s="42">
        <f t="shared" si="3"/>
        <v>0</v>
      </c>
      <c r="Q36" s="42">
        <f t="shared" si="3"/>
        <v>0</v>
      </c>
      <c r="R36" s="46">
        <f t="shared" si="4"/>
        <v>0</v>
      </c>
      <c r="S36" s="45">
        <f t="shared" si="5"/>
        <v>0</v>
      </c>
      <c r="T36" s="44">
        <f t="shared" si="6"/>
        <v>59375146</v>
      </c>
      <c r="U36" s="31">
        <f t="shared" si="7"/>
        <v>0</v>
      </c>
      <c r="V36" s="31">
        <f t="shared" si="8"/>
        <v>0</v>
      </c>
      <c r="W36" s="31">
        <f t="shared" si="9"/>
        <v>0</v>
      </c>
      <c r="X36" s="31">
        <f t="shared" si="9"/>
        <v>0</v>
      </c>
      <c r="Y36" s="31">
        <f t="shared" si="10"/>
        <v>0</v>
      </c>
      <c r="Z36" s="30">
        <f t="shared" si="11"/>
        <v>0</v>
      </c>
      <c r="AA36" s="30">
        <f t="shared" si="12"/>
        <v>0</v>
      </c>
      <c r="AB36" s="30">
        <f t="shared" si="13"/>
        <v>0</v>
      </c>
      <c r="AC36" s="30">
        <f t="shared" si="13"/>
        <v>0</v>
      </c>
      <c r="AD36" s="30">
        <f t="shared" si="14"/>
        <v>0</v>
      </c>
      <c r="AE36" s="29"/>
      <c r="AF36" s="29"/>
      <c r="AG36" s="29"/>
      <c r="AH36" s="29"/>
      <c r="AI36" s="29"/>
    </row>
    <row r="37" spans="1:35" x14ac:dyDescent="0.15">
      <c r="A37" s="51">
        <v>1</v>
      </c>
      <c r="B37" s="50" t="s">
        <v>33</v>
      </c>
      <c r="C37" s="49" t="s">
        <v>39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867470663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867470663</v>
      </c>
      <c r="K37" s="45">
        <f t="shared" si="0"/>
        <v>867470663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1"/>
        <v>0</v>
      </c>
      <c r="O37" s="42">
        <f t="shared" si="2"/>
        <v>0</v>
      </c>
      <c r="P37" s="42">
        <f t="shared" si="3"/>
        <v>0</v>
      </c>
      <c r="Q37" s="42">
        <f t="shared" si="3"/>
        <v>0</v>
      </c>
      <c r="R37" s="46">
        <f t="shared" si="4"/>
        <v>78860969</v>
      </c>
      <c r="S37" s="45">
        <f t="shared" si="5"/>
        <v>78860969</v>
      </c>
      <c r="T37" s="44">
        <f t="shared" si="6"/>
        <v>788609694</v>
      </c>
      <c r="U37" s="31">
        <f t="shared" si="7"/>
        <v>0</v>
      </c>
      <c r="V37" s="31">
        <f t="shared" si="8"/>
        <v>0</v>
      </c>
      <c r="W37" s="31">
        <f t="shared" si="9"/>
        <v>0</v>
      </c>
      <c r="X37" s="31">
        <f t="shared" si="9"/>
        <v>0</v>
      </c>
      <c r="Y37" s="31">
        <f t="shared" si="10"/>
        <v>-0.36363635957241058</v>
      </c>
      <c r="Z37" s="30">
        <f t="shared" si="11"/>
        <v>0</v>
      </c>
      <c r="AA37" s="30">
        <f t="shared" si="12"/>
        <v>0</v>
      </c>
      <c r="AB37" s="30">
        <f t="shared" si="13"/>
        <v>0</v>
      </c>
      <c r="AC37" s="30">
        <f t="shared" si="13"/>
        <v>0</v>
      </c>
      <c r="AD37" s="30">
        <f t="shared" si="14"/>
        <v>0</v>
      </c>
      <c r="AE37" s="29"/>
      <c r="AF37" s="29"/>
      <c r="AG37" s="29"/>
      <c r="AH37" s="29"/>
      <c r="AI37" s="29"/>
    </row>
    <row r="38" spans="1:35" x14ac:dyDescent="0.15">
      <c r="A38" s="51">
        <v>1</v>
      </c>
      <c r="B38" s="50" t="s">
        <v>33</v>
      </c>
      <c r="C38" s="49" t="s">
        <v>37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273840500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273840500</v>
      </c>
      <c r="K38" s="45">
        <f t="shared" si="0"/>
        <v>273840500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1"/>
        <v>0</v>
      </c>
      <c r="O38" s="42">
        <f t="shared" si="2"/>
        <v>0</v>
      </c>
      <c r="P38" s="42">
        <f t="shared" si="3"/>
        <v>0</v>
      </c>
      <c r="Q38" s="42">
        <f t="shared" si="3"/>
        <v>0</v>
      </c>
      <c r="R38" s="46">
        <f t="shared" si="4"/>
        <v>24894591</v>
      </c>
      <c r="S38" s="45">
        <f t="shared" si="5"/>
        <v>24894591</v>
      </c>
      <c r="T38" s="44">
        <f t="shared" si="6"/>
        <v>248945909</v>
      </c>
      <c r="U38" s="31">
        <f t="shared" si="7"/>
        <v>0</v>
      </c>
      <c r="V38" s="31">
        <f t="shared" si="8"/>
        <v>0</v>
      </c>
      <c r="W38" s="31">
        <f t="shared" si="9"/>
        <v>0</v>
      </c>
      <c r="X38" s="31">
        <f t="shared" si="9"/>
        <v>0</v>
      </c>
      <c r="Y38" s="31">
        <f t="shared" si="10"/>
        <v>9.0909089893102646E-2</v>
      </c>
      <c r="Z38" s="30">
        <f t="shared" si="11"/>
        <v>0</v>
      </c>
      <c r="AA38" s="30">
        <f t="shared" si="12"/>
        <v>0</v>
      </c>
      <c r="AB38" s="30">
        <f t="shared" si="13"/>
        <v>0</v>
      </c>
      <c r="AC38" s="30">
        <f t="shared" si="13"/>
        <v>0</v>
      </c>
      <c r="AD38" s="30">
        <f t="shared" si="14"/>
        <v>0</v>
      </c>
      <c r="AE38" s="29"/>
      <c r="AF38" s="29"/>
      <c r="AG38" s="29"/>
      <c r="AH38" s="29"/>
      <c r="AI38" s="29"/>
    </row>
    <row r="39" spans="1:35" x14ac:dyDescent="0.15">
      <c r="A39" s="51">
        <v>1</v>
      </c>
      <c r="B39" s="50" t="s">
        <v>33</v>
      </c>
      <c r="C39" s="49" t="s">
        <v>35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25650977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1500075</v>
      </c>
      <c r="K39" s="45">
        <f t="shared" si="0"/>
        <v>1500075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24150902</v>
      </c>
      <c r="N39" s="43">
        <f t="shared" si="1"/>
        <v>0</v>
      </c>
      <c r="O39" s="42">
        <f t="shared" si="2"/>
        <v>0</v>
      </c>
      <c r="P39" s="42">
        <f t="shared" si="3"/>
        <v>0</v>
      </c>
      <c r="Q39" s="42">
        <f t="shared" si="3"/>
        <v>0</v>
      </c>
      <c r="R39" s="46">
        <f t="shared" si="4"/>
        <v>136371</v>
      </c>
      <c r="S39" s="45">
        <f t="shared" si="5"/>
        <v>136371</v>
      </c>
      <c r="T39" s="44">
        <f t="shared" si="6"/>
        <v>25514606</v>
      </c>
      <c r="U39" s="31">
        <f t="shared" si="7"/>
        <v>0</v>
      </c>
      <c r="V39" s="31">
        <f t="shared" si="8"/>
        <v>0</v>
      </c>
      <c r="W39" s="31">
        <f t="shared" si="9"/>
        <v>0</v>
      </c>
      <c r="X39" s="31">
        <f t="shared" si="9"/>
        <v>0</v>
      </c>
      <c r="Y39" s="31">
        <f t="shared" si="10"/>
        <v>0.54545454544131644</v>
      </c>
      <c r="Z39" s="30">
        <f t="shared" si="11"/>
        <v>0</v>
      </c>
      <c r="AA39" s="30">
        <f t="shared" si="12"/>
        <v>0</v>
      </c>
      <c r="AB39" s="30">
        <f t="shared" si="13"/>
        <v>0</v>
      </c>
      <c r="AC39" s="30">
        <f t="shared" si="13"/>
        <v>0</v>
      </c>
      <c r="AD39" s="30">
        <f t="shared" si="14"/>
        <v>0</v>
      </c>
      <c r="AE39" s="29"/>
      <c r="AF39" s="29"/>
      <c r="AG39" s="29"/>
      <c r="AH39" s="29"/>
      <c r="AI39" s="29">
        <v>1</v>
      </c>
    </row>
    <row r="40" spans="1:35" ht="14.25" thickBot="1" x14ac:dyDescent="0.2">
      <c r="A40" s="41">
        <v>1</v>
      </c>
      <c r="B40" s="40" t="s">
        <v>33</v>
      </c>
      <c r="C40" s="39" t="s">
        <v>32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2958420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2958420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1"/>
        <v>0</v>
      </c>
      <c r="O40" s="32">
        <f t="shared" si="2"/>
        <v>0</v>
      </c>
      <c r="P40" s="32">
        <f t="shared" si="3"/>
        <v>0</v>
      </c>
      <c r="Q40" s="32">
        <f t="shared" si="3"/>
        <v>0</v>
      </c>
      <c r="R40" s="36">
        <f t="shared" si="4"/>
        <v>0</v>
      </c>
      <c r="S40" s="35">
        <f t="shared" si="5"/>
        <v>0</v>
      </c>
      <c r="T40" s="34">
        <f t="shared" si="6"/>
        <v>2958420</v>
      </c>
      <c r="U40" s="31">
        <f t="shared" si="7"/>
        <v>0</v>
      </c>
      <c r="V40" s="31">
        <f t="shared" si="8"/>
        <v>0</v>
      </c>
      <c r="W40" s="31">
        <f t="shared" si="9"/>
        <v>0</v>
      </c>
      <c r="X40" s="31">
        <f t="shared" si="9"/>
        <v>0</v>
      </c>
      <c r="Y40" s="31">
        <f t="shared" si="10"/>
        <v>0</v>
      </c>
      <c r="Z40" s="30">
        <f t="shared" si="11"/>
        <v>0</v>
      </c>
      <c r="AA40" s="30">
        <f t="shared" si="12"/>
        <v>0</v>
      </c>
      <c r="AB40" s="30">
        <f t="shared" si="13"/>
        <v>0</v>
      </c>
      <c r="AC40" s="30">
        <f t="shared" si="13"/>
        <v>0</v>
      </c>
      <c r="AD40" s="30">
        <f t="shared" si="14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5">SUM(E5:E40)</f>
        <v>15677649564</v>
      </c>
      <c r="F41" s="24">
        <f t="shared" si="15"/>
        <v>0</v>
      </c>
      <c r="G41" s="23">
        <f t="shared" si="15"/>
        <v>0</v>
      </c>
      <c r="H41" s="23">
        <f t="shared" si="15"/>
        <v>125712</v>
      </c>
      <c r="I41" s="23">
        <f t="shared" ref="I41" si="16">SUM(I5:I40)</f>
        <v>36840</v>
      </c>
      <c r="J41" s="22">
        <f t="shared" si="15"/>
        <v>14917070964</v>
      </c>
      <c r="K41" s="15">
        <f t="shared" si="15"/>
        <v>14917233516</v>
      </c>
      <c r="L41" s="20">
        <f t="shared" si="15"/>
        <v>120272797</v>
      </c>
      <c r="M41" s="20">
        <f t="shared" si="15"/>
        <v>640143251</v>
      </c>
      <c r="N41" s="17">
        <f t="shared" si="15"/>
        <v>0</v>
      </c>
      <c r="O41" s="16">
        <f t="shared" si="15"/>
        <v>0</v>
      </c>
      <c r="P41" s="16">
        <f t="shared" si="15"/>
        <v>9312</v>
      </c>
      <c r="Q41" s="16">
        <f t="shared" ref="Q41" si="17">SUM(Q5:Q40)</f>
        <v>2728</v>
      </c>
      <c r="R41" s="19">
        <f t="shared" si="15"/>
        <v>1356097360</v>
      </c>
      <c r="S41" s="15">
        <f t="shared" si="15"/>
        <v>1356109400</v>
      </c>
      <c r="T41" s="18">
        <f t="shared" si="15"/>
        <v>14321540164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8">+E41</f>
        <v>15677649564</v>
      </c>
      <c r="F42" s="10">
        <f t="shared" si="18"/>
        <v>0</v>
      </c>
      <c r="G42" s="9">
        <f t="shared" si="18"/>
        <v>0</v>
      </c>
      <c r="H42" s="9">
        <f t="shared" si="18"/>
        <v>125712</v>
      </c>
      <c r="I42" s="9">
        <f t="shared" si="18"/>
        <v>36840</v>
      </c>
      <c r="J42" s="8">
        <f t="shared" si="18"/>
        <v>14917070964</v>
      </c>
      <c r="K42" s="4">
        <f>SUM(F42:J42)</f>
        <v>14917233516</v>
      </c>
      <c r="L42" s="5">
        <f>+L41</f>
        <v>120272797</v>
      </c>
      <c r="M42" s="5">
        <f>+M41</f>
        <v>640143251</v>
      </c>
      <c r="N42" s="121">
        <f>+'4条支出'!N6</f>
        <v>0</v>
      </c>
      <c r="O42" s="122">
        <f>+'4条支出'!O6</f>
        <v>0</v>
      </c>
      <c r="P42" s="122">
        <f>+'4条支出'!P6</f>
        <v>9312</v>
      </c>
      <c r="Q42" s="122">
        <f>+'4条支出'!Q6</f>
        <v>2728</v>
      </c>
      <c r="R42" s="123">
        <f>+'4条支出'!R6</f>
        <v>1356097360</v>
      </c>
      <c r="S42" s="124">
        <f>+'4条支出'!S6</f>
        <v>1356109400</v>
      </c>
      <c r="T42" s="125">
        <f>+'4条支出'!T6</f>
        <v>14321540164</v>
      </c>
    </row>
    <row r="43" spans="1:35" x14ac:dyDescent="0.15">
      <c r="E43" s="3">
        <f t="shared" ref="E43:T43" si="19">+E42-E41</f>
        <v>0</v>
      </c>
      <c r="F43" s="3">
        <f t="shared" si="19"/>
        <v>0</v>
      </c>
      <c r="G43" s="3">
        <f t="shared" si="19"/>
        <v>0</v>
      </c>
      <c r="H43" s="3">
        <f t="shared" si="19"/>
        <v>0</v>
      </c>
      <c r="I43" s="3">
        <f t="shared" ref="I43" si="20">+I42-I41</f>
        <v>0</v>
      </c>
      <c r="J43" s="3">
        <f t="shared" si="19"/>
        <v>0</v>
      </c>
      <c r="K43" s="3">
        <f t="shared" si="19"/>
        <v>0</v>
      </c>
      <c r="L43" s="3">
        <f t="shared" si="19"/>
        <v>0</v>
      </c>
      <c r="M43" s="3">
        <f t="shared" si="19"/>
        <v>0</v>
      </c>
      <c r="N43" s="3">
        <f t="shared" si="19"/>
        <v>0</v>
      </c>
      <c r="O43" s="3">
        <f t="shared" si="19"/>
        <v>0</v>
      </c>
      <c r="P43" s="3">
        <f t="shared" si="19"/>
        <v>0</v>
      </c>
      <c r="Q43" s="3">
        <f t="shared" ref="Q43" si="21">+Q42-Q41</f>
        <v>0</v>
      </c>
      <c r="R43" s="3">
        <f t="shared" si="19"/>
        <v>0</v>
      </c>
      <c r="S43" s="3">
        <f t="shared" si="19"/>
        <v>0</v>
      </c>
      <c r="T43" s="3">
        <f t="shared" si="19"/>
        <v>0</v>
      </c>
    </row>
    <row r="45" spans="1:35" x14ac:dyDescent="0.15">
      <c r="G45" s="133"/>
      <c r="H45" s="55"/>
      <c r="I45" s="134"/>
      <c r="J45" s="55"/>
    </row>
    <row r="46" spans="1:35" x14ac:dyDescent="0.15">
      <c r="G46" s="135"/>
      <c r="H46" s="136"/>
      <c r="I46" s="137"/>
      <c r="J46" s="136"/>
    </row>
  </sheetData>
  <mergeCells count="13">
    <mergeCell ref="Z3:AD3"/>
    <mergeCell ref="AE3:AI3"/>
    <mergeCell ref="C3:C4"/>
    <mergeCell ref="B3:B4"/>
    <mergeCell ref="A3:A4"/>
    <mergeCell ref="N3:S3"/>
    <mergeCell ref="E3:E4"/>
    <mergeCell ref="M3:M4"/>
    <mergeCell ref="L3:L4"/>
    <mergeCell ref="T3:T4"/>
    <mergeCell ref="F3:K3"/>
    <mergeCell ref="D3:D4"/>
    <mergeCell ref="U3:Y3"/>
  </mergeCells>
  <phoneticPr fontId="2"/>
  <conditionalFormatting sqref="AE6:AE14 AE16:AE40">
    <cfRule type="notContainsBlanks" dxfId="131" priority="9" stopIfTrue="1">
      <formula>LEN(TRIM(AE6))&gt;0</formula>
    </cfRule>
  </conditionalFormatting>
  <conditionalFormatting sqref="AE6:AI40">
    <cfRule type="notContainsBlanks" dxfId="130" priority="6" stopIfTrue="1">
      <formula>LEN(TRIM(AE6))&gt;0</formula>
    </cfRule>
  </conditionalFormatting>
  <conditionalFormatting sqref="Z6:AC40">
    <cfRule type="expression" dxfId="129" priority="8">
      <formula>ABS(Z6)=1</formula>
    </cfRule>
  </conditionalFormatting>
  <conditionalFormatting sqref="AA6:AC40">
    <cfRule type="expression" dxfId="128" priority="7">
      <formula>ABS(AA6)=1</formula>
    </cfRule>
  </conditionalFormatting>
  <conditionalFormatting sqref="AE5:AI5">
    <cfRule type="notContainsBlanks" dxfId="127" priority="5" stopIfTrue="1">
      <formula>LEN(TRIM(AE5))&gt;0</formula>
    </cfRule>
  </conditionalFormatting>
  <conditionalFormatting sqref="Z5:AD40">
    <cfRule type="expression" dxfId="126" priority="4">
      <formula>ABS(Z5)=1</formula>
    </cfRule>
  </conditionalFormatting>
  <conditionalFormatting sqref="AD5:AD40">
    <cfRule type="expression" dxfId="125" priority="3">
      <formula>ABS(AD5)=1</formula>
    </cfRule>
  </conditionalFormatting>
  <conditionalFormatting sqref="E43:H43 J43:T43">
    <cfRule type="cellIs" dxfId="124" priority="2" operator="notEqual">
      <formula>0</formula>
    </cfRule>
  </conditionalFormatting>
  <conditionalFormatting sqref="I43">
    <cfRule type="cellIs" dxfId="123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69" fitToHeight="2" orientation="landscape" blackAndWhite="1" r:id="rId1"/>
  <headerFooter>
    <oddFooter>&amp;L&amp;8&amp;Z&amp;F&amp;A&amp;R&amp;8&amp;D&amp;T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6"/>
  <sheetViews>
    <sheetView zoomScale="80" zoomScaleNormal="80" zoomScaleSheetLayoutView="40" workbookViewId="0">
      <pane xSplit="4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4" width="5.375" style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141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1</v>
      </c>
      <c r="B5" s="65" t="s">
        <v>140</v>
      </c>
      <c r="C5" s="64"/>
      <c r="D5" s="63" t="s">
        <v>101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ref="K5:K40" si="0"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0</v>
      </c>
      <c r="N5" s="61">
        <f t="shared" ref="N5:N40" si="1">+ROUND(F5*F$4/(100+F$4),0)+AE5</f>
        <v>0</v>
      </c>
      <c r="O5" s="60">
        <f t="shared" ref="O5:O40" si="2">+ROUND(G5*G$4/(100+G$4),0)+AF5</f>
        <v>0</v>
      </c>
      <c r="P5" s="60">
        <f t="shared" ref="P5:Q40" si="3">+ROUND(H5*H$4/(100+H$4),0)+AG5</f>
        <v>0</v>
      </c>
      <c r="Q5" s="60">
        <f t="shared" si="3"/>
        <v>0</v>
      </c>
      <c r="R5" s="59">
        <f t="shared" ref="R5:R40" si="4">+ROUND(J5*J$4/(100+J$4),0)+AI5</f>
        <v>0</v>
      </c>
      <c r="S5" s="58">
        <f t="shared" ref="S5:S40" si="5">SUM(N5:R5)</f>
        <v>0</v>
      </c>
      <c r="T5" s="85">
        <f t="shared" ref="T5:T40" si="6">+E5-S5</f>
        <v>0</v>
      </c>
      <c r="U5" s="31">
        <f t="shared" ref="U5:U40" si="7">N5-F5*F$4/(100+F$4)</f>
        <v>0</v>
      </c>
      <c r="V5" s="31">
        <f t="shared" ref="V5:V40" si="8">O5-G5*G$4/(100+G$4)</f>
        <v>0</v>
      </c>
      <c r="W5" s="31">
        <f t="shared" ref="W5:X40" si="9">P5-H5*H$4/(100+H$4)</f>
        <v>0</v>
      </c>
      <c r="X5" s="31">
        <f t="shared" si="9"/>
        <v>0</v>
      </c>
      <c r="Y5" s="31">
        <f t="shared" ref="Y5:Y40" si="10">R5-J5*J$4/(100+J$4)</f>
        <v>0</v>
      </c>
      <c r="Z5" s="30">
        <f t="shared" ref="Z5:Z40" si="11">+IF(N$43=0,0,IF(N$43&lt;0,-RANK(U5,U$5:U$40,0),RANK(U5,U$5:U$40,1)))</f>
        <v>0</v>
      </c>
      <c r="AA5" s="30">
        <f t="shared" ref="AA5:AA40" si="12">+IF(O$43=0,0,IF(O$43&lt;0,-RANK(V5,V$5:V$40,0),RANK(V5,V$5:V$40,1)))</f>
        <v>0</v>
      </c>
      <c r="AB5" s="30">
        <f t="shared" ref="AB5:AC40" si="13">+IF(P$43=0,0,IF(P$43&lt;0,-RANK(W5,W$5:W$40,0),RANK(W5,W$5:W$40,1)))</f>
        <v>0</v>
      </c>
      <c r="AC5" s="30">
        <f t="shared" si="13"/>
        <v>0</v>
      </c>
      <c r="AD5" s="30">
        <f t="shared" ref="AD5:AD40" si="14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1</v>
      </c>
      <c r="B6" s="50" t="s">
        <v>139</v>
      </c>
      <c r="C6" s="49"/>
      <c r="D6" s="48" t="s">
        <v>99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4694400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 t="shared" si="0"/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4694400</v>
      </c>
      <c r="N6" s="43">
        <f t="shared" si="1"/>
        <v>0</v>
      </c>
      <c r="O6" s="42">
        <f t="shared" si="2"/>
        <v>0</v>
      </c>
      <c r="P6" s="42">
        <f t="shared" si="3"/>
        <v>0</v>
      </c>
      <c r="Q6" s="42">
        <f t="shared" si="3"/>
        <v>0</v>
      </c>
      <c r="R6" s="46">
        <f t="shared" si="4"/>
        <v>0</v>
      </c>
      <c r="S6" s="45">
        <f t="shared" si="5"/>
        <v>0</v>
      </c>
      <c r="T6" s="44">
        <f t="shared" si="6"/>
        <v>4694400</v>
      </c>
      <c r="U6" s="31">
        <f t="shared" si="7"/>
        <v>0</v>
      </c>
      <c r="V6" s="31">
        <f t="shared" si="8"/>
        <v>0</v>
      </c>
      <c r="W6" s="31">
        <f t="shared" si="9"/>
        <v>0</v>
      </c>
      <c r="X6" s="31">
        <f t="shared" si="9"/>
        <v>0</v>
      </c>
      <c r="Y6" s="31">
        <f t="shared" si="10"/>
        <v>0</v>
      </c>
      <c r="Z6" s="30">
        <f t="shared" si="11"/>
        <v>0</v>
      </c>
      <c r="AA6" s="30">
        <f t="shared" si="12"/>
        <v>0</v>
      </c>
      <c r="AB6" s="30">
        <f t="shared" si="13"/>
        <v>0</v>
      </c>
      <c r="AC6" s="30">
        <f t="shared" si="13"/>
        <v>0</v>
      </c>
      <c r="AD6" s="30">
        <f t="shared" si="14"/>
        <v>0</v>
      </c>
      <c r="AE6" s="29"/>
      <c r="AF6" s="29"/>
      <c r="AG6" s="29"/>
      <c r="AH6" s="29"/>
      <c r="AI6" s="29"/>
    </row>
    <row r="7" spans="1:35" x14ac:dyDescent="0.15">
      <c r="A7" s="51">
        <v>1</v>
      </c>
      <c r="B7" s="50" t="s">
        <v>138</v>
      </c>
      <c r="C7" s="49"/>
      <c r="D7" s="48" t="s">
        <v>97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3171860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168200</v>
      </c>
      <c r="K7" s="45">
        <f t="shared" si="0"/>
        <v>168200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3003660</v>
      </c>
      <c r="N7" s="43">
        <f t="shared" si="1"/>
        <v>0</v>
      </c>
      <c r="O7" s="42">
        <f t="shared" si="2"/>
        <v>0</v>
      </c>
      <c r="P7" s="42">
        <f t="shared" si="3"/>
        <v>0</v>
      </c>
      <c r="Q7" s="42">
        <f t="shared" si="3"/>
        <v>0</v>
      </c>
      <c r="R7" s="46">
        <f t="shared" si="4"/>
        <v>15291</v>
      </c>
      <c r="S7" s="45">
        <f t="shared" si="5"/>
        <v>15291</v>
      </c>
      <c r="T7" s="44">
        <f t="shared" si="6"/>
        <v>3156569</v>
      </c>
      <c r="U7" s="31">
        <f t="shared" si="7"/>
        <v>0</v>
      </c>
      <c r="V7" s="31">
        <f t="shared" si="8"/>
        <v>0</v>
      </c>
      <c r="W7" s="31">
        <f t="shared" si="9"/>
        <v>0</v>
      </c>
      <c r="X7" s="31">
        <f t="shared" si="9"/>
        <v>0</v>
      </c>
      <c r="Y7" s="31">
        <f t="shared" si="10"/>
        <v>9.0909090909917722E-2</v>
      </c>
      <c r="Z7" s="30">
        <f t="shared" si="11"/>
        <v>0</v>
      </c>
      <c r="AA7" s="30">
        <f t="shared" si="12"/>
        <v>0</v>
      </c>
      <c r="AB7" s="30">
        <f t="shared" si="13"/>
        <v>0</v>
      </c>
      <c r="AC7" s="30">
        <f t="shared" si="13"/>
        <v>0</v>
      </c>
      <c r="AD7" s="30">
        <f t="shared" si="14"/>
        <v>0</v>
      </c>
      <c r="AE7" s="29"/>
      <c r="AF7" s="29"/>
      <c r="AG7" s="29"/>
      <c r="AH7" s="29"/>
      <c r="AI7" s="29"/>
    </row>
    <row r="8" spans="1:35" x14ac:dyDescent="0.15">
      <c r="A8" s="51">
        <v>1</v>
      </c>
      <c r="B8" s="50" t="s">
        <v>137</v>
      </c>
      <c r="C8" s="49"/>
      <c r="D8" s="48" t="s">
        <v>95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1654265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 t="shared" si="0"/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1647233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7032</v>
      </c>
      <c r="N8" s="43">
        <f t="shared" si="1"/>
        <v>0</v>
      </c>
      <c r="O8" s="42">
        <f t="shared" si="2"/>
        <v>0</v>
      </c>
      <c r="P8" s="42">
        <f t="shared" si="3"/>
        <v>0</v>
      </c>
      <c r="Q8" s="42">
        <f t="shared" si="3"/>
        <v>0</v>
      </c>
      <c r="R8" s="46">
        <f t="shared" si="4"/>
        <v>0</v>
      </c>
      <c r="S8" s="45">
        <f t="shared" si="5"/>
        <v>0</v>
      </c>
      <c r="T8" s="44">
        <f t="shared" si="6"/>
        <v>1654265</v>
      </c>
      <c r="U8" s="31">
        <f t="shared" si="7"/>
        <v>0</v>
      </c>
      <c r="V8" s="31">
        <f t="shared" si="8"/>
        <v>0</v>
      </c>
      <c r="W8" s="31">
        <f t="shared" si="9"/>
        <v>0</v>
      </c>
      <c r="X8" s="31">
        <f t="shared" si="9"/>
        <v>0</v>
      </c>
      <c r="Y8" s="31">
        <f t="shared" si="10"/>
        <v>0</v>
      </c>
      <c r="Z8" s="30">
        <f t="shared" si="11"/>
        <v>0</v>
      </c>
      <c r="AA8" s="30">
        <f t="shared" si="12"/>
        <v>0</v>
      </c>
      <c r="AB8" s="30">
        <f t="shared" si="13"/>
        <v>0</v>
      </c>
      <c r="AC8" s="30">
        <f t="shared" si="13"/>
        <v>0</v>
      </c>
      <c r="AD8" s="30">
        <f t="shared" si="14"/>
        <v>0</v>
      </c>
      <c r="AE8" s="29"/>
      <c r="AF8" s="29"/>
      <c r="AG8" s="29"/>
      <c r="AH8" s="29"/>
      <c r="AI8" s="29"/>
    </row>
    <row r="9" spans="1:35" x14ac:dyDescent="0.15">
      <c r="A9" s="51">
        <v>1</v>
      </c>
      <c r="B9" s="50" t="s">
        <v>136</v>
      </c>
      <c r="C9" s="49"/>
      <c r="D9" s="48" t="s">
        <v>93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 t="shared" si="0"/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1"/>
        <v>0</v>
      </c>
      <c r="O9" s="42">
        <f t="shared" si="2"/>
        <v>0</v>
      </c>
      <c r="P9" s="42">
        <f t="shared" si="3"/>
        <v>0</v>
      </c>
      <c r="Q9" s="42">
        <f t="shared" si="3"/>
        <v>0</v>
      </c>
      <c r="R9" s="46">
        <f t="shared" si="4"/>
        <v>0</v>
      </c>
      <c r="S9" s="45">
        <f t="shared" si="5"/>
        <v>0</v>
      </c>
      <c r="T9" s="44">
        <f t="shared" si="6"/>
        <v>0</v>
      </c>
      <c r="U9" s="31">
        <f t="shared" si="7"/>
        <v>0</v>
      </c>
      <c r="V9" s="31">
        <f t="shared" si="8"/>
        <v>0</v>
      </c>
      <c r="W9" s="31">
        <f t="shared" si="9"/>
        <v>0</v>
      </c>
      <c r="X9" s="31">
        <f t="shared" si="9"/>
        <v>0</v>
      </c>
      <c r="Y9" s="31">
        <f t="shared" si="10"/>
        <v>0</v>
      </c>
      <c r="Z9" s="30">
        <f t="shared" si="11"/>
        <v>0</v>
      </c>
      <c r="AA9" s="30">
        <f t="shared" si="12"/>
        <v>0</v>
      </c>
      <c r="AB9" s="30">
        <f t="shared" si="13"/>
        <v>0</v>
      </c>
      <c r="AC9" s="30">
        <f t="shared" si="13"/>
        <v>0</v>
      </c>
      <c r="AD9" s="30">
        <f t="shared" si="14"/>
        <v>0</v>
      </c>
      <c r="AE9" s="29"/>
      <c r="AF9" s="29"/>
      <c r="AG9" s="29"/>
      <c r="AH9" s="29"/>
      <c r="AI9" s="29"/>
    </row>
    <row r="10" spans="1:35" x14ac:dyDescent="0.15">
      <c r="A10" s="51">
        <v>1</v>
      </c>
      <c r="B10" s="50" t="s">
        <v>135</v>
      </c>
      <c r="C10" s="49"/>
      <c r="D10" s="48" t="s">
        <v>91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 t="shared" si="0"/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0</v>
      </c>
      <c r="N10" s="43">
        <f t="shared" si="1"/>
        <v>0</v>
      </c>
      <c r="O10" s="42">
        <f t="shared" si="2"/>
        <v>0</v>
      </c>
      <c r="P10" s="42">
        <f t="shared" si="3"/>
        <v>0</v>
      </c>
      <c r="Q10" s="42">
        <f t="shared" si="3"/>
        <v>0</v>
      </c>
      <c r="R10" s="46">
        <f t="shared" si="4"/>
        <v>0</v>
      </c>
      <c r="S10" s="45">
        <f t="shared" si="5"/>
        <v>0</v>
      </c>
      <c r="T10" s="44">
        <f t="shared" si="6"/>
        <v>0</v>
      </c>
      <c r="U10" s="31">
        <f t="shared" si="7"/>
        <v>0</v>
      </c>
      <c r="V10" s="31">
        <f t="shared" si="8"/>
        <v>0</v>
      </c>
      <c r="W10" s="31">
        <f t="shared" si="9"/>
        <v>0</v>
      </c>
      <c r="X10" s="31">
        <f t="shared" si="9"/>
        <v>0</v>
      </c>
      <c r="Y10" s="31">
        <f t="shared" si="10"/>
        <v>0</v>
      </c>
      <c r="Z10" s="30">
        <f t="shared" si="11"/>
        <v>0</v>
      </c>
      <c r="AA10" s="30">
        <f t="shared" si="12"/>
        <v>0</v>
      </c>
      <c r="AB10" s="30">
        <f t="shared" si="13"/>
        <v>0</v>
      </c>
      <c r="AC10" s="30">
        <f t="shared" si="13"/>
        <v>0</v>
      </c>
      <c r="AD10" s="30">
        <f t="shared" si="14"/>
        <v>0</v>
      </c>
      <c r="AE10" s="29"/>
      <c r="AF10" s="29"/>
      <c r="AG10" s="29"/>
      <c r="AH10" s="29"/>
      <c r="AI10" s="29"/>
    </row>
    <row r="11" spans="1:35" x14ac:dyDescent="0.15">
      <c r="A11" s="51">
        <v>1</v>
      </c>
      <c r="B11" s="50" t="s">
        <v>134</v>
      </c>
      <c r="C11" s="49"/>
      <c r="D11" s="48" t="s">
        <v>89</v>
      </c>
      <c r="E11" s="81">
        <f>+IF($A11="",IF($C11="",SUMIFS([1]全伝票!I:I,[1]全伝票!$B:$B,$B11),SUMIFS([1]全伝票!I:I,[1]全伝票!$C:$C,$C11)),IF($C11="",SUMIFS([1]全伝票!I:I,[1]全伝票!$A:$A,$A11,[1]全伝票!$B:$B,$B11),SUMIFS([1]全伝票!I:I,[1]全伝票!$A:$A,$A11,[1]全伝票!$C:$C,$C11)))</f>
        <v>534257</v>
      </c>
      <c r="F11" s="84">
        <f>+IF($A11="",IF($C11="",SUMIFS([1]全伝票!J:J,[1]全伝票!$B:$B,$B11),SUMIFS([1]全伝票!J:J,[1]全伝票!$C:$C,$C11)),IF($C11="",SUMIFS([1]全伝票!J:J,[1]全伝票!$A:$A,$A11,[1]全伝票!$B:$B,$B11),SUMIFS([1]全伝票!J:J,[1]全伝票!$A:$A,$A11,[1]全伝票!$C:$C,$C11)))</f>
        <v>0</v>
      </c>
      <c r="G11" s="83">
        <f>+IF($A11="",IF($C11="",SUMIFS([1]全伝票!K:K,[1]全伝票!$B:$B,$B11),SUMIFS([1]全伝票!K:K,[1]全伝票!$C:$C,$C11)),IF($C11="",SUMIFS([1]全伝票!K:K,[1]全伝票!$A:$A,$A11,[1]全伝票!$B:$B,$B11),SUMIFS([1]全伝票!K:K,[1]全伝票!$A:$A,$A11,[1]全伝票!$C:$C,$C11)))</f>
        <v>0</v>
      </c>
      <c r="H11" s="83">
        <f>+IF($A11="",IF($C11="",SUMIFS([1]全伝票!L:L,[1]全伝票!$B:$B,$B11),SUMIFS([1]全伝票!L:L,[1]全伝票!$C:$C,$C11)),IF($C11="",SUMIFS([1]全伝票!L:L,[1]全伝票!$A:$A,$A11,[1]全伝票!$B:$B,$B11),SUMIFS([1]全伝票!L:L,[1]全伝票!$A:$A,$A11,[1]全伝票!$C:$C,$C11)))</f>
        <v>0</v>
      </c>
      <c r="I11" s="83">
        <f>+IF($A11="",IF($C11="",SUMIFS([1]全伝票!M:M,[1]全伝票!$B:$B,$B11),SUMIFS([1]全伝票!M:M,[1]全伝票!$C:$C,$C11)),IF($C11="",SUMIFS([1]全伝票!M:M,[1]全伝票!$A:$A,$A11,[1]全伝票!$B:$B,$B11),SUMIFS([1]全伝票!M:M,[1]全伝票!$A:$A,$A11,[1]全伝票!$C:$C,$C11)))</f>
        <v>0</v>
      </c>
      <c r="J11" s="82">
        <f>+IF($A11="",IF($C11="",SUMIFS([1]全伝票!N:N,[1]全伝票!$B:$B,$B11),SUMIFS([1]全伝票!N:N,[1]全伝票!$C:$C,$C11)),IF($C11="",SUMIFS([1]全伝票!N:N,[1]全伝票!$A:$A,$A11,[1]全伝票!$B:$B,$B11),SUMIFS([1]全伝票!N:N,[1]全伝票!$A:$A,$A11,[1]全伝票!$C:$C,$C11)))</f>
        <v>0</v>
      </c>
      <c r="K11" s="45">
        <f t="shared" si="0"/>
        <v>0</v>
      </c>
      <c r="L11" s="81">
        <f>+IF($A11="",IF($C11="",SUMIFS([1]全伝票!O:O,[1]全伝票!$B:$B,$B11),SUMIFS([1]全伝票!O:O,[1]全伝票!$C:$C,$C11)),IF($C11="",SUMIFS([1]全伝票!O:O,[1]全伝票!$A:$A,$A11,[1]全伝票!$B:$B,$B11),SUMIFS([1]全伝票!O:O,[1]全伝票!$A:$A,$A11,[1]全伝票!$C:$C,$C11)))</f>
        <v>0</v>
      </c>
      <c r="M11" s="81">
        <f>+IF($A11="",IF($C11="",SUMIFS([1]全伝票!P:P,[1]全伝票!$B:$B,$B11),SUMIFS([1]全伝票!P:P,[1]全伝票!$C:$C,$C11)),IF($C11="",SUMIFS([1]全伝票!P:P,[1]全伝票!$A:$A,$A11,[1]全伝票!$B:$B,$B11),SUMIFS([1]全伝票!P:P,[1]全伝票!$A:$A,$A11,[1]全伝票!$C:$C,$C11)))</f>
        <v>534257</v>
      </c>
      <c r="N11" s="43">
        <f t="shared" si="1"/>
        <v>0</v>
      </c>
      <c r="O11" s="42">
        <f t="shared" si="2"/>
        <v>0</v>
      </c>
      <c r="P11" s="42">
        <f t="shared" si="3"/>
        <v>0</v>
      </c>
      <c r="Q11" s="42">
        <f t="shared" si="3"/>
        <v>0</v>
      </c>
      <c r="R11" s="46">
        <f t="shared" si="4"/>
        <v>0</v>
      </c>
      <c r="S11" s="45">
        <f t="shared" si="5"/>
        <v>0</v>
      </c>
      <c r="T11" s="44">
        <f t="shared" si="6"/>
        <v>534257</v>
      </c>
      <c r="U11" s="31">
        <f t="shared" si="7"/>
        <v>0</v>
      </c>
      <c r="V11" s="31">
        <f t="shared" si="8"/>
        <v>0</v>
      </c>
      <c r="W11" s="31">
        <f t="shared" si="9"/>
        <v>0</v>
      </c>
      <c r="X11" s="31">
        <f t="shared" si="9"/>
        <v>0</v>
      </c>
      <c r="Y11" s="31">
        <f t="shared" si="10"/>
        <v>0</v>
      </c>
      <c r="Z11" s="30">
        <f t="shared" si="11"/>
        <v>0</v>
      </c>
      <c r="AA11" s="30">
        <f t="shared" si="12"/>
        <v>0</v>
      </c>
      <c r="AB11" s="30">
        <f t="shared" si="13"/>
        <v>0</v>
      </c>
      <c r="AC11" s="30">
        <f t="shared" si="13"/>
        <v>0</v>
      </c>
      <c r="AD11" s="30">
        <f t="shared" si="14"/>
        <v>0</v>
      </c>
      <c r="AE11" s="29"/>
      <c r="AF11" s="29"/>
      <c r="AG11" s="29"/>
      <c r="AH11" s="29"/>
      <c r="AI11" s="29"/>
    </row>
    <row r="12" spans="1:35" x14ac:dyDescent="0.15">
      <c r="A12" s="51">
        <v>1</v>
      </c>
      <c r="B12" s="50" t="s">
        <v>132</v>
      </c>
      <c r="C12" s="49" t="s">
        <v>133</v>
      </c>
      <c r="D12" s="48" t="s">
        <v>87</v>
      </c>
      <c r="E12" s="81">
        <f>+IF($A12="",IF($C12="",SUMIFS([1]全伝票!I:I,[1]全伝票!$B:$B,$B12),SUMIFS([1]全伝票!I:I,[1]全伝票!$C:$C,$C12)),IF($C12="",SUMIFS([1]全伝票!I:I,[1]全伝票!$A:$A,$A12,[1]全伝票!$B:$B,$B12),SUMIFS([1]全伝票!I:I,[1]全伝票!$A:$A,$A12,[1]全伝票!$C:$C,$C12)))</f>
        <v>0</v>
      </c>
      <c r="F12" s="84">
        <f>+IF($A12="",IF($C12="",SUMIFS([1]全伝票!J:J,[1]全伝票!$B:$B,$B12),SUMIFS([1]全伝票!J:J,[1]全伝票!$C:$C,$C12)),IF($C12="",SUMIFS([1]全伝票!J:J,[1]全伝票!$A:$A,$A12,[1]全伝票!$B:$B,$B12),SUMIFS([1]全伝票!J:J,[1]全伝票!$A:$A,$A12,[1]全伝票!$C:$C,$C12)))</f>
        <v>0</v>
      </c>
      <c r="G12" s="83">
        <f>+IF($A12="",IF($C12="",SUMIFS([1]全伝票!K:K,[1]全伝票!$B:$B,$B12),SUMIFS([1]全伝票!K:K,[1]全伝票!$C:$C,$C12)),IF($C12="",SUMIFS([1]全伝票!K:K,[1]全伝票!$A:$A,$A12,[1]全伝票!$B:$B,$B12),SUMIFS([1]全伝票!K:K,[1]全伝票!$A:$A,$A12,[1]全伝票!$C:$C,$C12)))</f>
        <v>0</v>
      </c>
      <c r="H12" s="83">
        <f>+IF($A12="",IF($C12="",SUMIFS([1]全伝票!L:L,[1]全伝票!$B:$B,$B12),SUMIFS([1]全伝票!L:L,[1]全伝票!$C:$C,$C12)),IF($C12="",SUMIFS([1]全伝票!L:L,[1]全伝票!$A:$A,$A12,[1]全伝票!$B:$B,$B12),SUMIFS([1]全伝票!L:L,[1]全伝票!$A:$A,$A12,[1]全伝票!$C:$C,$C12)))</f>
        <v>0</v>
      </c>
      <c r="I12" s="83">
        <f>+IF($A12="",IF($C12="",SUMIFS([1]全伝票!M:M,[1]全伝票!$B:$B,$B12),SUMIFS([1]全伝票!M:M,[1]全伝票!$C:$C,$C12)),IF($C12="",SUMIFS([1]全伝票!M:M,[1]全伝票!$A:$A,$A12,[1]全伝票!$B:$B,$B12),SUMIFS([1]全伝票!M:M,[1]全伝票!$A:$A,$A12,[1]全伝票!$C:$C,$C12)))</f>
        <v>0</v>
      </c>
      <c r="J12" s="82">
        <f>+IF($A12="",IF($C12="",SUMIFS([1]全伝票!N:N,[1]全伝票!$B:$B,$B12),SUMIFS([1]全伝票!N:N,[1]全伝票!$C:$C,$C12)),IF($C12="",SUMIFS([1]全伝票!N:N,[1]全伝票!$A:$A,$A12,[1]全伝票!$B:$B,$B12),SUMIFS([1]全伝票!N:N,[1]全伝票!$A:$A,$A12,[1]全伝票!$C:$C,$C12)))</f>
        <v>0</v>
      </c>
      <c r="K12" s="45">
        <f t="shared" si="0"/>
        <v>0</v>
      </c>
      <c r="L12" s="81">
        <f>+IF($A12="",IF($C12="",SUMIFS([1]全伝票!O:O,[1]全伝票!$B:$B,$B12),SUMIFS([1]全伝票!O:O,[1]全伝票!$C:$C,$C12)),IF($C12="",SUMIFS([1]全伝票!O:O,[1]全伝票!$A:$A,$A12,[1]全伝票!$B:$B,$B12),SUMIFS([1]全伝票!O:O,[1]全伝票!$A:$A,$A12,[1]全伝票!$C:$C,$C12)))</f>
        <v>0</v>
      </c>
      <c r="M12" s="81">
        <f>+IF($A12="",IF($C12="",SUMIFS([1]全伝票!P:P,[1]全伝票!$B:$B,$B12),SUMIFS([1]全伝票!P:P,[1]全伝票!$C:$C,$C12)),IF($C12="",SUMIFS([1]全伝票!P:P,[1]全伝票!$A:$A,$A12,[1]全伝票!$B:$B,$B12),SUMIFS([1]全伝票!P:P,[1]全伝票!$A:$A,$A12,[1]全伝票!$C:$C,$C12)))</f>
        <v>0</v>
      </c>
      <c r="N12" s="43">
        <f t="shared" si="1"/>
        <v>0</v>
      </c>
      <c r="O12" s="42">
        <f t="shared" si="2"/>
        <v>0</v>
      </c>
      <c r="P12" s="42">
        <f t="shared" si="3"/>
        <v>0</v>
      </c>
      <c r="Q12" s="42">
        <f t="shared" si="3"/>
        <v>0</v>
      </c>
      <c r="R12" s="46">
        <f t="shared" si="4"/>
        <v>0</v>
      </c>
      <c r="S12" s="45">
        <f t="shared" si="5"/>
        <v>0</v>
      </c>
      <c r="T12" s="44">
        <f t="shared" si="6"/>
        <v>0</v>
      </c>
      <c r="U12" s="31">
        <f t="shared" si="7"/>
        <v>0</v>
      </c>
      <c r="V12" s="31">
        <f t="shared" si="8"/>
        <v>0</v>
      </c>
      <c r="W12" s="31">
        <f t="shared" si="9"/>
        <v>0</v>
      </c>
      <c r="X12" s="31">
        <f t="shared" si="9"/>
        <v>0</v>
      </c>
      <c r="Y12" s="31">
        <f t="shared" si="10"/>
        <v>0</v>
      </c>
      <c r="Z12" s="30">
        <f t="shared" si="11"/>
        <v>0</v>
      </c>
      <c r="AA12" s="30">
        <f t="shared" si="12"/>
        <v>0</v>
      </c>
      <c r="AB12" s="30">
        <f t="shared" si="13"/>
        <v>0</v>
      </c>
      <c r="AC12" s="30">
        <f t="shared" si="13"/>
        <v>0</v>
      </c>
      <c r="AD12" s="30">
        <f t="shared" si="14"/>
        <v>0</v>
      </c>
      <c r="AE12" s="29"/>
      <c r="AF12" s="29"/>
      <c r="AG12" s="29"/>
      <c r="AH12" s="29"/>
      <c r="AI12" s="29"/>
    </row>
    <row r="13" spans="1:35" x14ac:dyDescent="0.15">
      <c r="A13" s="51">
        <v>1</v>
      </c>
      <c r="B13" s="50" t="s">
        <v>132</v>
      </c>
      <c r="C13" s="49" t="s">
        <v>131</v>
      </c>
      <c r="D13" s="48" t="s">
        <v>84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 t="shared" si="0"/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0</v>
      </c>
      <c r="N13" s="43">
        <f t="shared" si="1"/>
        <v>0</v>
      </c>
      <c r="O13" s="42">
        <f t="shared" si="2"/>
        <v>0</v>
      </c>
      <c r="P13" s="42">
        <f t="shared" si="3"/>
        <v>0</v>
      </c>
      <c r="Q13" s="42">
        <f t="shared" si="3"/>
        <v>0</v>
      </c>
      <c r="R13" s="46">
        <f t="shared" si="4"/>
        <v>0</v>
      </c>
      <c r="S13" s="45">
        <f t="shared" si="5"/>
        <v>0</v>
      </c>
      <c r="T13" s="44">
        <f t="shared" si="6"/>
        <v>0</v>
      </c>
      <c r="U13" s="31">
        <f t="shared" si="7"/>
        <v>0</v>
      </c>
      <c r="V13" s="31">
        <f t="shared" si="8"/>
        <v>0</v>
      </c>
      <c r="W13" s="31">
        <f t="shared" si="9"/>
        <v>0</v>
      </c>
      <c r="X13" s="31">
        <f t="shared" si="9"/>
        <v>0</v>
      </c>
      <c r="Y13" s="31">
        <f t="shared" si="10"/>
        <v>0</v>
      </c>
      <c r="Z13" s="30">
        <f t="shared" si="11"/>
        <v>0</v>
      </c>
      <c r="AA13" s="30">
        <f t="shared" si="12"/>
        <v>0</v>
      </c>
      <c r="AB13" s="30">
        <f t="shared" si="13"/>
        <v>0</v>
      </c>
      <c r="AC13" s="30">
        <f t="shared" si="13"/>
        <v>0</v>
      </c>
      <c r="AD13" s="30">
        <f t="shared" si="14"/>
        <v>0</v>
      </c>
      <c r="AE13" s="29"/>
      <c r="AF13" s="29"/>
      <c r="AG13" s="29"/>
      <c r="AH13" s="29"/>
      <c r="AI13" s="29"/>
    </row>
    <row r="14" spans="1:35" x14ac:dyDescent="0.15">
      <c r="A14" s="51">
        <v>1</v>
      </c>
      <c r="B14" s="50" t="s">
        <v>130</v>
      </c>
      <c r="C14" s="49"/>
      <c r="D14" s="48" t="s">
        <v>82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274112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274112</v>
      </c>
      <c r="K14" s="45">
        <f t="shared" si="0"/>
        <v>274112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1"/>
        <v>0</v>
      </c>
      <c r="O14" s="42">
        <f t="shared" si="2"/>
        <v>0</v>
      </c>
      <c r="P14" s="42">
        <f t="shared" si="3"/>
        <v>0</v>
      </c>
      <c r="Q14" s="42">
        <f t="shared" si="3"/>
        <v>0</v>
      </c>
      <c r="R14" s="46">
        <f t="shared" si="4"/>
        <v>24919</v>
      </c>
      <c r="S14" s="45">
        <f t="shared" si="5"/>
        <v>24919</v>
      </c>
      <c r="T14" s="44">
        <f t="shared" si="6"/>
        <v>249193</v>
      </c>
      <c r="U14" s="31">
        <f t="shared" si="7"/>
        <v>0</v>
      </c>
      <c r="V14" s="31">
        <f t="shared" si="8"/>
        <v>0</v>
      </c>
      <c r="W14" s="31">
        <f t="shared" si="9"/>
        <v>0</v>
      </c>
      <c r="X14" s="31">
        <f t="shared" si="9"/>
        <v>0</v>
      </c>
      <c r="Y14" s="31">
        <f t="shared" si="10"/>
        <v>-0.27272727272793418</v>
      </c>
      <c r="Z14" s="30">
        <f t="shared" si="11"/>
        <v>0</v>
      </c>
      <c r="AA14" s="30">
        <f t="shared" si="12"/>
        <v>0</v>
      </c>
      <c r="AB14" s="30">
        <f t="shared" si="13"/>
        <v>0</v>
      </c>
      <c r="AC14" s="30">
        <f t="shared" si="13"/>
        <v>0</v>
      </c>
      <c r="AD14" s="30">
        <f t="shared" si="14"/>
        <v>0</v>
      </c>
      <c r="AE14" s="29"/>
      <c r="AF14" s="29"/>
      <c r="AG14" s="29"/>
      <c r="AH14" s="29"/>
      <c r="AI14" s="29"/>
    </row>
    <row r="15" spans="1:35" x14ac:dyDescent="0.15">
      <c r="A15" s="51">
        <v>1</v>
      </c>
      <c r="B15" s="50" t="s">
        <v>129</v>
      </c>
      <c r="C15" s="49"/>
      <c r="D15" s="48" t="s">
        <v>80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0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0</v>
      </c>
      <c r="K15" s="45">
        <f t="shared" si="0"/>
        <v>0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0</v>
      </c>
      <c r="N15" s="43">
        <f t="shared" si="1"/>
        <v>0</v>
      </c>
      <c r="O15" s="42">
        <f t="shared" si="2"/>
        <v>0</v>
      </c>
      <c r="P15" s="42">
        <f t="shared" si="3"/>
        <v>0</v>
      </c>
      <c r="Q15" s="42">
        <f t="shared" si="3"/>
        <v>0</v>
      </c>
      <c r="R15" s="46">
        <f t="shared" si="4"/>
        <v>0</v>
      </c>
      <c r="S15" s="45">
        <f t="shared" si="5"/>
        <v>0</v>
      </c>
      <c r="T15" s="44">
        <f t="shared" si="6"/>
        <v>0</v>
      </c>
      <c r="U15" s="31">
        <f t="shared" si="7"/>
        <v>0</v>
      </c>
      <c r="V15" s="31">
        <f t="shared" si="8"/>
        <v>0</v>
      </c>
      <c r="W15" s="31">
        <f t="shared" si="9"/>
        <v>0</v>
      </c>
      <c r="X15" s="31">
        <f t="shared" si="9"/>
        <v>0</v>
      </c>
      <c r="Y15" s="31">
        <f t="shared" si="10"/>
        <v>0</v>
      </c>
      <c r="Z15" s="30">
        <f t="shared" si="11"/>
        <v>0</v>
      </c>
      <c r="AA15" s="30">
        <f t="shared" si="12"/>
        <v>0</v>
      </c>
      <c r="AB15" s="30">
        <f t="shared" si="13"/>
        <v>0</v>
      </c>
      <c r="AC15" s="30">
        <f t="shared" si="13"/>
        <v>0</v>
      </c>
      <c r="AD15" s="30">
        <f t="shared" si="14"/>
        <v>0</v>
      </c>
      <c r="AE15" s="29"/>
      <c r="AF15" s="29"/>
      <c r="AG15" s="29"/>
      <c r="AH15" s="29"/>
      <c r="AI15" s="29"/>
    </row>
    <row r="16" spans="1:35" x14ac:dyDescent="0.15">
      <c r="A16" s="51">
        <v>1</v>
      </c>
      <c r="B16" s="50" t="s">
        <v>128</v>
      </c>
      <c r="C16" s="49"/>
      <c r="D16" s="48" t="s">
        <v>78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 t="shared" si="0"/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1"/>
        <v>0</v>
      </c>
      <c r="O16" s="42">
        <f t="shared" si="2"/>
        <v>0</v>
      </c>
      <c r="P16" s="42">
        <f t="shared" si="3"/>
        <v>0</v>
      </c>
      <c r="Q16" s="42">
        <f t="shared" si="3"/>
        <v>0</v>
      </c>
      <c r="R16" s="46">
        <f t="shared" si="4"/>
        <v>0</v>
      </c>
      <c r="S16" s="45">
        <f t="shared" si="5"/>
        <v>0</v>
      </c>
      <c r="T16" s="44">
        <f t="shared" si="6"/>
        <v>0</v>
      </c>
      <c r="U16" s="31">
        <f t="shared" si="7"/>
        <v>0</v>
      </c>
      <c r="V16" s="31">
        <f t="shared" si="8"/>
        <v>0</v>
      </c>
      <c r="W16" s="31">
        <f t="shared" si="9"/>
        <v>0</v>
      </c>
      <c r="X16" s="31">
        <f t="shared" si="9"/>
        <v>0</v>
      </c>
      <c r="Y16" s="31">
        <f t="shared" si="10"/>
        <v>0</v>
      </c>
      <c r="Z16" s="30">
        <f t="shared" si="11"/>
        <v>0</v>
      </c>
      <c r="AA16" s="30">
        <f t="shared" si="12"/>
        <v>0</v>
      </c>
      <c r="AB16" s="30">
        <f t="shared" si="13"/>
        <v>0</v>
      </c>
      <c r="AC16" s="30">
        <f t="shared" si="13"/>
        <v>0</v>
      </c>
      <c r="AD16" s="30">
        <f t="shared" si="14"/>
        <v>0</v>
      </c>
      <c r="AE16" s="29"/>
      <c r="AF16" s="29"/>
      <c r="AG16" s="29"/>
      <c r="AH16" s="29"/>
      <c r="AI16" s="29"/>
    </row>
    <row r="17" spans="1:35" x14ac:dyDescent="0.15">
      <c r="A17" s="51">
        <v>1</v>
      </c>
      <c r="B17" s="50" t="s">
        <v>127</v>
      </c>
      <c r="C17" s="49"/>
      <c r="D17" s="48" t="s">
        <v>76</v>
      </c>
      <c r="E17" s="81">
        <f>+IF($A17="",IF($C17="",SUMIFS([1]全伝票!I:I,[1]全伝票!$B:$B,$B17),SUMIFS([1]全伝票!I:I,[1]全伝票!$C:$C,$C17)),IF($C17="",SUMIFS([1]全伝票!I:I,[1]全伝票!$A:$A,$A17,[1]全伝票!$B:$B,$B17),SUMIFS([1]全伝票!I:I,[1]全伝票!$A:$A,$A17,[1]全伝票!$C:$C,$C17)))</f>
        <v>75214</v>
      </c>
      <c r="F17" s="84">
        <f>+IF($A17="",IF($C17="",SUMIFS([1]全伝票!J:J,[1]全伝票!$B:$B,$B17),SUMIFS([1]全伝票!J:J,[1]全伝票!$C:$C,$C17)),IF($C17="",SUMIFS([1]全伝票!J:J,[1]全伝票!$A:$A,$A17,[1]全伝票!$B:$B,$B17),SUMIFS([1]全伝票!J:J,[1]全伝票!$A:$A,$A17,[1]全伝票!$C:$C,$C17)))</f>
        <v>0</v>
      </c>
      <c r="G17" s="83">
        <f>+IF($A17="",IF($C17="",SUMIFS([1]全伝票!K:K,[1]全伝票!$B:$B,$B17),SUMIFS([1]全伝票!K:K,[1]全伝票!$C:$C,$C17)),IF($C17="",SUMIFS([1]全伝票!K:K,[1]全伝票!$A:$A,$A17,[1]全伝票!$B:$B,$B17),SUMIFS([1]全伝票!K:K,[1]全伝票!$A:$A,$A17,[1]全伝票!$C:$C,$C17)))</f>
        <v>0</v>
      </c>
      <c r="H17" s="83">
        <f>+IF($A17="",IF($C17="",SUMIFS([1]全伝票!L:L,[1]全伝票!$B:$B,$B17),SUMIFS([1]全伝票!L:L,[1]全伝票!$C:$C,$C17)),IF($C17="",SUMIFS([1]全伝票!L:L,[1]全伝票!$A:$A,$A17,[1]全伝票!$B:$B,$B17),SUMIFS([1]全伝票!L:L,[1]全伝票!$A:$A,$A17,[1]全伝票!$C:$C,$C17)))</f>
        <v>0</v>
      </c>
      <c r="I17" s="83">
        <f>+IF($A17="",IF($C17="",SUMIFS([1]全伝票!M:M,[1]全伝票!$B:$B,$B17),SUMIFS([1]全伝票!M:M,[1]全伝票!$C:$C,$C17)),IF($C17="",SUMIFS([1]全伝票!M:M,[1]全伝票!$A:$A,$A17,[1]全伝票!$B:$B,$B17),SUMIFS([1]全伝票!M:M,[1]全伝票!$A:$A,$A17,[1]全伝票!$C:$C,$C17)))</f>
        <v>0</v>
      </c>
      <c r="J17" s="82">
        <f>+IF($A17="",IF($C17="",SUMIFS([1]全伝票!N:N,[1]全伝票!$B:$B,$B17),SUMIFS([1]全伝票!N:N,[1]全伝票!$C:$C,$C17)),IF($C17="",SUMIFS([1]全伝票!N:N,[1]全伝票!$A:$A,$A17,[1]全伝票!$B:$B,$B17),SUMIFS([1]全伝票!N:N,[1]全伝票!$A:$A,$A17,[1]全伝票!$C:$C,$C17)))</f>
        <v>75214</v>
      </c>
      <c r="K17" s="45">
        <f t="shared" si="0"/>
        <v>75214</v>
      </c>
      <c r="L17" s="81">
        <f>+IF($A17="",IF($C17="",SUMIFS([1]全伝票!O:O,[1]全伝票!$B:$B,$B17),SUMIFS([1]全伝票!O:O,[1]全伝票!$C:$C,$C17)),IF($C17="",SUMIFS([1]全伝票!O:O,[1]全伝票!$A:$A,$A17,[1]全伝票!$B:$B,$B17),SUMIFS([1]全伝票!O:O,[1]全伝票!$A:$A,$A17,[1]全伝票!$C:$C,$C17)))</f>
        <v>0</v>
      </c>
      <c r="M17" s="81">
        <f>+IF($A17="",IF($C17="",SUMIFS([1]全伝票!P:P,[1]全伝票!$B:$B,$B17),SUMIFS([1]全伝票!P:P,[1]全伝票!$C:$C,$C17)),IF($C17="",SUMIFS([1]全伝票!P:P,[1]全伝票!$A:$A,$A17,[1]全伝票!$B:$B,$B17),SUMIFS([1]全伝票!P:P,[1]全伝票!$A:$A,$A17,[1]全伝票!$C:$C,$C17)))</f>
        <v>0</v>
      </c>
      <c r="N17" s="43">
        <f t="shared" si="1"/>
        <v>0</v>
      </c>
      <c r="O17" s="42">
        <f t="shared" si="2"/>
        <v>0</v>
      </c>
      <c r="P17" s="42">
        <f t="shared" si="3"/>
        <v>0</v>
      </c>
      <c r="Q17" s="42">
        <f t="shared" si="3"/>
        <v>0</v>
      </c>
      <c r="R17" s="46">
        <f t="shared" si="4"/>
        <v>6838</v>
      </c>
      <c r="S17" s="45">
        <f t="shared" si="5"/>
        <v>6838</v>
      </c>
      <c r="T17" s="44">
        <f t="shared" si="6"/>
        <v>68376</v>
      </c>
      <c r="U17" s="31">
        <f t="shared" si="7"/>
        <v>0</v>
      </c>
      <c r="V17" s="31">
        <f t="shared" si="8"/>
        <v>0</v>
      </c>
      <c r="W17" s="31">
        <f t="shared" si="9"/>
        <v>0</v>
      </c>
      <c r="X17" s="31">
        <f t="shared" si="9"/>
        <v>0</v>
      </c>
      <c r="Y17" s="31">
        <f t="shared" si="10"/>
        <v>0.36363636363603291</v>
      </c>
      <c r="Z17" s="30">
        <f t="shared" si="11"/>
        <v>0</v>
      </c>
      <c r="AA17" s="30">
        <f t="shared" si="12"/>
        <v>0</v>
      </c>
      <c r="AB17" s="30">
        <f t="shared" si="13"/>
        <v>0</v>
      </c>
      <c r="AC17" s="30">
        <f t="shared" si="13"/>
        <v>0</v>
      </c>
      <c r="AD17" s="30">
        <f t="shared" si="14"/>
        <v>0</v>
      </c>
      <c r="AE17" s="29"/>
      <c r="AF17" s="29"/>
      <c r="AG17" s="29"/>
      <c r="AH17" s="29"/>
      <c r="AI17" s="29"/>
    </row>
    <row r="18" spans="1:35" x14ac:dyDescent="0.15">
      <c r="A18" s="51">
        <v>1</v>
      </c>
      <c r="B18" s="50" t="s">
        <v>126</v>
      </c>
      <c r="C18" s="49"/>
      <c r="D18" s="48" t="s">
        <v>74</v>
      </c>
      <c r="E18" s="81">
        <f>+IF($A18="",IF($C18="",SUMIFS([1]全伝票!I:I,[1]全伝票!$B:$B,$B18),SUMIFS([1]全伝票!I:I,[1]全伝票!$C:$C,$C18)),IF($C18="",SUMIFS([1]全伝票!I:I,[1]全伝票!$A:$A,$A18,[1]全伝票!$B:$B,$B18),SUMIFS([1]全伝票!I:I,[1]全伝票!$A:$A,$A18,[1]全伝票!$C:$C,$C18)))</f>
        <v>1016</v>
      </c>
      <c r="F18" s="84">
        <f>+IF($A18="",IF($C18="",SUMIFS([1]全伝票!J:J,[1]全伝票!$B:$B,$B18),SUMIFS([1]全伝票!J:J,[1]全伝票!$C:$C,$C18)),IF($C18="",SUMIFS([1]全伝票!J:J,[1]全伝票!$A:$A,$A18,[1]全伝票!$B:$B,$B18),SUMIFS([1]全伝票!J:J,[1]全伝票!$A:$A,$A18,[1]全伝票!$C:$C,$C18)))</f>
        <v>0</v>
      </c>
      <c r="G18" s="83">
        <f>+IF($A18="",IF($C18="",SUMIFS([1]全伝票!K:K,[1]全伝票!$B:$B,$B18),SUMIFS([1]全伝票!K:K,[1]全伝票!$C:$C,$C18)),IF($C18="",SUMIFS([1]全伝票!K:K,[1]全伝票!$A:$A,$A18,[1]全伝票!$B:$B,$B18),SUMIFS([1]全伝票!K:K,[1]全伝票!$A:$A,$A18,[1]全伝票!$C:$C,$C18)))</f>
        <v>0</v>
      </c>
      <c r="H18" s="83">
        <f>+IF($A18="",IF($C18="",SUMIFS([1]全伝票!L:L,[1]全伝票!$B:$B,$B18),SUMIFS([1]全伝票!L:L,[1]全伝票!$C:$C,$C18)),IF($C18="",SUMIFS([1]全伝票!L:L,[1]全伝票!$A:$A,$A18,[1]全伝票!$B:$B,$B18),SUMIFS([1]全伝票!L:L,[1]全伝票!$A:$A,$A18,[1]全伝票!$C:$C,$C18)))</f>
        <v>0</v>
      </c>
      <c r="I18" s="83">
        <f>+IF($A18="",IF($C18="",SUMIFS([1]全伝票!M:M,[1]全伝票!$B:$B,$B18),SUMIFS([1]全伝票!M:M,[1]全伝票!$C:$C,$C18)),IF($C18="",SUMIFS([1]全伝票!M:M,[1]全伝票!$A:$A,$A18,[1]全伝票!$B:$B,$B18),SUMIFS([1]全伝票!M:M,[1]全伝票!$A:$A,$A18,[1]全伝票!$C:$C,$C18)))</f>
        <v>0</v>
      </c>
      <c r="J18" s="82">
        <f>+IF($A18="",IF($C18="",SUMIFS([1]全伝票!N:N,[1]全伝票!$B:$B,$B18),SUMIFS([1]全伝票!N:N,[1]全伝票!$C:$C,$C18)),IF($C18="",SUMIFS([1]全伝票!N:N,[1]全伝票!$A:$A,$A18,[1]全伝票!$B:$B,$B18),SUMIFS([1]全伝票!N:N,[1]全伝票!$A:$A,$A18,[1]全伝票!$C:$C,$C18)))</f>
        <v>1016</v>
      </c>
      <c r="K18" s="45">
        <f t="shared" si="0"/>
        <v>1016</v>
      </c>
      <c r="L18" s="81">
        <f>+IF($A18="",IF($C18="",SUMIFS([1]全伝票!O:O,[1]全伝票!$B:$B,$B18),SUMIFS([1]全伝票!O:O,[1]全伝票!$C:$C,$C18)),IF($C18="",SUMIFS([1]全伝票!O:O,[1]全伝票!$A:$A,$A18,[1]全伝票!$B:$B,$B18),SUMIFS([1]全伝票!O:O,[1]全伝票!$A:$A,$A18,[1]全伝票!$C:$C,$C18)))</f>
        <v>0</v>
      </c>
      <c r="M18" s="81">
        <f>+IF($A18="",IF($C18="",SUMIFS([1]全伝票!P:P,[1]全伝票!$B:$B,$B18),SUMIFS([1]全伝票!P:P,[1]全伝票!$C:$C,$C18)),IF($C18="",SUMIFS([1]全伝票!P:P,[1]全伝票!$A:$A,$A18,[1]全伝票!$B:$B,$B18),SUMIFS([1]全伝票!P:P,[1]全伝票!$A:$A,$A18,[1]全伝票!$C:$C,$C18)))</f>
        <v>0</v>
      </c>
      <c r="N18" s="43">
        <f t="shared" si="1"/>
        <v>0</v>
      </c>
      <c r="O18" s="42">
        <f t="shared" si="2"/>
        <v>0</v>
      </c>
      <c r="P18" s="42">
        <f t="shared" si="3"/>
        <v>0</v>
      </c>
      <c r="Q18" s="42">
        <f t="shared" si="3"/>
        <v>0</v>
      </c>
      <c r="R18" s="46">
        <f t="shared" si="4"/>
        <v>93</v>
      </c>
      <c r="S18" s="45">
        <f t="shared" si="5"/>
        <v>93</v>
      </c>
      <c r="T18" s="44">
        <f t="shared" si="6"/>
        <v>923</v>
      </c>
      <c r="U18" s="31">
        <f t="shared" si="7"/>
        <v>0</v>
      </c>
      <c r="V18" s="31">
        <f t="shared" si="8"/>
        <v>0</v>
      </c>
      <c r="W18" s="31">
        <f t="shared" si="9"/>
        <v>0</v>
      </c>
      <c r="X18" s="31">
        <f t="shared" si="9"/>
        <v>0</v>
      </c>
      <c r="Y18" s="31">
        <f t="shared" si="10"/>
        <v>0.63636363636364024</v>
      </c>
      <c r="Z18" s="30">
        <f t="shared" si="11"/>
        <v>0</v>
      </c>
      <c r="AA18" s="30">
        <f t="shared" si="12"/>
        <v>0</v>
      </c>
      <c r="AB18" s="30">
        <f t="shared" si="13"/>
        <v>0</v>
      </c>
      <c r="AC18" s="30">
        <f t="shared" si="13"/>
        <v>0</v>
      </c>
      <c r="AD18" s="30">
        <f t="shared" si="14"/>
        <v>0</v>
      </c>
      <c r="AE18" s="29"/>
      <c r="AF18" s="29"/>
      <c r="AG18" s="29"/>
      <c r="AH18" s="29"/>
      <c r="AI18" s="29">
        <v>1</v>
      </c>
    </row>
    <row r="19" spans="1:35" x14ac:dyDescent="0.15">
      <c r="A19" s="51">
        <v>1</v>
      </c>
      <c r="B19" s="50" t="s">
        <v>125</v>
      </c>
      <c r="C19" s="49"/>
      <c r="D19" s="48" t="s">
        <v>72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0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0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0</v>
      </c>
      <c r="K19" s="45">
        <f t="shared" si="0"/>
        <v>0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0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1"/>
        <v>0</v>
      </c>
      <c r="O19" s="42">
        <f t="shared" si="2"/>
        <v>0</v>
      </c>
      <c r="P19" s="42">
        <f t="shared" si="3"/>
        <v>0</v>
      </c>
      <c r="Q19" s="42">
        <f t="shared" si="3"/>
        <v>0</v>
      </c>
      <c r="R19" s="46">
        <f t="shared" si="4"/>
        <v>0</v>
      </c>
      <c r="S19" s="45">
        <f t="shared" si="5"/>
        <v>0</v>
      </c>
      <c r="T19" s="44">
        <f t="shared" si="6"/>
        <v>0</v>
      </c>
      <c r="U19" s="31">
        <f t="shared" si="7"/>
        <v>0</v>
      </c>
      <c r="V19" s="31">
        <f t="shared" si="8"/>
        <v>0</v>
      </c>
      <c r="W19" s="31">
        <f t="shared" si="9"/>
        <v>0</v>
      </c>
      <c r="X19" s="31">
        <f t="shared" si="9"/>
        <v>0</v>
      </c>
      <c r="Y19" s="31">
        <f t="shared" si="10"/>
        <v>0</v>
      </c>
      <c r="Z19" s="30">
        <f t="shared" si="11"/>
        <v>0</v>
      </c>
      <c r="AA19" s="30">
        <f t="shared" si="12"/>
        <v>0</v>
      </c>
      <c r="AB19" s="30">
        <f t="shared" si="13"/>
        <v>0</v>
      </c>
      <c r="AC19" s="30">
        <f t="shared" si="13"/>
        <v>0</v>
      </c>
      <c r="AD19" s="30">
        <f t="shared" si="14"/>
        <v>0</v>
      </c>
      <c r="AE19" s="29"/>
      <c r="AF19" s="29"/>
      <c r="AG19" s="29"/>
      <c r="AH19" s="29"/>
      <c r="AI19" s="29"/>
    </row>
    <row r="20" spans="1:35" x14ac:dyDescent="0.15">
      <c r="A20" s="51">
        <v>1</v>
      </c>
      <c r="B20" s="50" t="s">
        <v>124</v>
      </c>
      <c r="C20" s="49"/>
      <c r="D20" s="48" t="s">
        <v>70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5356549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5356549</v>
      </c>
      <c r="K20" s="45">
        <f t="shared" si="0"/>
        <v>5356549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1"/>
        <v>0</v>
      </c>
      <c r="O20" s="42">
        <f t="shared" si="2"/>
        <v>0</v>
      </c>
      <c r="P20" s="42">
        <f t="shared" si="3"/>
        <v>0</v>
      </c>
      <c r="Q20" s="42">
        <f t="shared" si="3"/>
        <v>0</v>
      </c>
      <c r="R20" s="46">
        <f>+ROUND(J20*J$4/(100+J$4),0)+AI20</f>
        <v>486959</v>
      </c>
      <c r="S20" s="45">
        <f t="shared" si="5"/>
        <v>486959</v>
      </c>
      <c r="T20" s="44">
        <f t="shared" si="6"/>
        <v>4869590</v>
      </c>
      <c r="U20" s="31">
        <f t="shared" si="7"/>
        <v>0</v>
      </c>
      <c r="V20" s="31">
        <f t="shared" si="8"/>
        <v>0</v>
      </c>
      <c r="W20" s="31">
        <f t="shared" si="9"/>
        <v>0</v>
      </c>
      <c r="X20" s="31">
        <f t="shared" si="9"/>
        <v>0</v>
      </c>
      <c r="Y20" s="31">
        <f t="shared" si="10"/>
        <v>0</v>
      </c>
      <c r="Z20" s="30">
        <f t="shared" si="11"/>
        <v>0</v>
      </c>
      <c r="AA20" s="30">
        <f t="shared" si="12"/>
        <v>0</v>
      </c>
      <c r="AB20" s="30">
        <f t="shared" si="13"/>
        <v>0</v>
      </c>
      <c r="AC20" s="30">
        <f t="shared" si="13"/>
        <v>0</v>
      </c>
      <c r="AD20" s="30">
        <f t="shared" si="14"/>
        <v>0</v>
      </c>
      <c r="AE20" s="29"/>
      <c r="AF20" s="29"/>
      <c r="AG20" s="29"/>
      <c r="AH20" s="29"/>
      <c r="AI20" s="29"/>
    </row>
    <row r="21" spans="1:35" x14ac:dyDescent="0.15">
      <c r="A21" s="51">
        <v>1</v>
      </c>
      <c r="B21" s="50" t="s">
        <v>123</v>
      </c>
      <c r="C21" s="49"/>
      <c r="D21" s="48" t="s">
        <v>68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0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0</v>
      </c>
      <c r="K21" s="45">
        <f t="shared" si="0"/>
        <v>0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1"/>
        <v>0</v>
      </c>
      <c r="O21" s="42">
        <f t="shared" si="2"/>
        <v>0</v>
      </c>
      <c r="P21" s="42">
        <f t="shared" si="3"/>
        <v>0</v>
      </c>
      <c r="Q21" s="42">
        <f t="shared" si="3"/>
        <v>0</v>
      </c>
      <c r="R21" s="46">
        <f t="shared" si="4"/>
        <v>0</v>
      </c>
      <c r="S21" s="45">
        <f t="shared" si="5"/>
        <v>0</v>
      </c>
      <c r="T21" s="44">
        <f t="shared" si="6"/>
        <v>0</v>
      </c>
      <c r="U21" s="31">
        <f t="shared" si="7"/>
        <v>0</v>
      </c>
      <c r="V21" s="31">
        <f t="shared" si="8"/>
        <v>0</v>
      </c>
      <c r="W21" s="31">
        <f t="shared" si="9"/>
        <v>0</v>
      </c>
      <c r="X21" s="31">
        <f t="shared" si="9"/>
        <v>0</v>
      </c>
      <c r="Y21" s="31">
        <f t="shared" si="10"/>
        <v>0</v>
      </c>
      <c r="Z21" s="30">
        <f t="shared" si="11"/>
        <v>0</v>
      </c>
      <c r="AA21" s="30">
        <f t="shared" si="12"/>
        <v>0</v>
      </c>
      <c r="AB21" s="30">
        <f t="shared" si="13"/>
        <v>0</v>
      </c>
      <c r="AC21" s="30">
        <f t="shared" si="13"/>
        <v>0</v>
      </c>
      <c r="AD21" s="30">
        <f t="shared" si="14"/>
        <v>0</v>
      </c>
      <c r="AE21" s="29"/>
      <c r="AF21" s="29"/>
      <c r="AG21" s="29"/>
      <c r="AH21" s="29"/>
      <c r="AI21" s="29"/>
    </row>
    <row r="22" spans="1:35" x14ac:dyDescent="0.15">
      <c r="A22" s="51">
        <v>1</v>
      </c>
      <c r="B22" s="50" t="s">
        <v>122</v>
      </c>
      <c r="C22" s="49"/>
      <c r="D22" s="48" t="s">
        <v>66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 t="shared" si="0"/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1"/>
        <v>0</v>
      </c>
      <c r="O22" s="42">
        <f t="shared" si="2"/>
        <v>0</v>
      </c>
      <c r="P22" s="42">
        <f t="shared" si="3"/>
        <v>0</v>
      </c>
      <c r="Q22" s="42">
        <f t="shared" si="3"/>
        <v>0</v>
      </c>
      <c r="R22" s="46">
        <f t="shared" si="4"/>
        <v>0</v>
      </c>
      <c r="S22" s="45">
        <f t="shared" si="5"/>
        <v>0</v>
      </c>
      <c r="T22" s="44">
        <f t="shared" si="6"/>
        <v>0</v>
      </c>
      <c r="U22" s="31">
        <f t="shared" si="7"/>
        <v>0</v>
      </c>
      <c r="V22" s="31">
        <f t="shared" si="8"/>
        <v>0</v>
      </c>
      <c r="W22" s="31">
        <f t="shared" si="9"/>
        <v>0</v>
      </c>
      <c r="X22" s="31">
        <f t="shared" si="9"/>
        <v>0</v>
      </c>
      <c r="Y22" s="31">
        <f t="shared" si="10"/>
        <v>0</v>
      </c>
      <c r="Z22" s="30">
        <f t="shared" si="11"/>
        <v>0</v>
      </c>
      <c r="AA22" s="30">
        <f t="shared" si="12"/>
        <v>0</v>
      </c>
      <c r="AB22" s="30">
        <f t="shared" si="13"/>
        <v>0</v>
      </c>
      <c r="AC22" s="30">
        <f t="shared" si="13"/>
        <v>0</v>
      </c>
      <c r="AD22" s="30">
        <f t="shared" si="14"/>
        <v>0</v>
      </c>
      <c r="AE22" s="29"/>
      <c r="AF22" s="29"/>
      <c r="AG22" s="29"/>
      <c r="AH22" s="29"/>
      <c r="AI22" s="29"/>
    </row>
    <row r="23" spans="1:35" x14ac:dyDescent="0.15">
      <c r="A23" s="51">
        <v>1</v>
      </c>
      <c r="B23" s="50" t="s">
        <v>121</v>
      </c>
      <c r="C23" s="49"/>
      <c r="D23" s="48" t="s">
        <v>64</v>
      </c>
      <c r="E23" s="81">
        <f>+IF($A23="",IF($C23="",SUMIFS([1]全伝票!I:I,[1]全伝票!$B:$B,$B23),SUMIFS([1]全伝票!I:I,[1]全伝票!$C:$C,$C23)),IF($C23="",SUMIFS([1]全伝票!I:I,[1]全伝票!$A:$A,$A23,[1]全伝票!$B:$B,$B23),SUMIFS([1]全伝票!I:I,[1]全伝票!$A:$A,$A23,[1]全伝票!$C:$C,$C23)))</f>
        <v>98684</v>
      </c>
      <c r="F23" s="84">
        <f>+IF($A23="",IF($C23="",SUMIFS([1]全伝票!J:J,[1]全伝票!$B:$B,$B23),SUMIFS([1]全伝票!J:J,[1]全伝票!$C:$C,$C23)),IF($C23="",SUMIFS([1]全伝票!J:J,[1]全伝票!$A:$A,$A23,[1]全伝票!$B:$B,$B23),SUMIFS([1]全伝票!J:J,[1]全伝票!$A:$A,$A23,[1]全伝票!$C:$C,$C23)))</f>
        <v>0</v>
      </c>
      <c r="G23" s="83">
        <f>+IF($A23="",IF($C23="",SUMIFS([1]全伝票!K:K,[1]全伝票!$B:$B,$B23),SUMIFS([1]全伝票!K:K,[1]全伝票!$C:$C,$C23)),IF($C23="",SUMIFS([1]全伝票!K:K,[1]全伝票!$A:$A,$A23,[1]全伝票!$B:$B,$B23),SUMIFS([1]全伝票!K:K,[1]全伝票!$A:$A,$A23,[1]全伝票!$C:$C,$C23)))</f>
        <v>0</v>
      </c>
      <c r="H23" s="83">
        <f>+IF($A23="",IF($C23="",SUMIFS([1]全伝票!L:L,[1]全伝票!$B:$B,$B23),SUMIFS([1]全伝票!L:L,[1]全伝票!$C:$C,$C23)),IF($C23="",SUMIFS([1]全伝票!L:L,[1]全伝票!$A:$A,$A23,[1]全伝票!$B:$B,$B23),SUMIFS([1]全伝票!L:L,[1]全伝票!$A:$A,$A23,[1]全伝票!$C:$C,$C23)))</f>
        <v>0</v>
      </c>
      <c r="I23" s="83">
        <f>+IF($A23="",IF($C23="",SUMIFS([1]全伝票!M:M,[1]全伝票!$B:$B,$B23),SUMIFS([1]全伝票!M:M,[1]全伝票!$C:$C,$C23)),IF($C23="",SUMIFS([1]全伝票!M:M,[1]全伝票!$A:$A,$A23,[1]全伝票!$B:$B,$B23),SUMIFS([1]全伝票!M:M,[1]全伝票!$A:$A,$A23,[1]全伝票!$C:$C,$C23)))</f>
        <v>0</v>
      </c>
      <c r="J23" s="82">
        <f>+IF($A23="",IF($C23="",SUMIFS([1]全伝票!N:N,[1]全伝票!$B:$B,$B23),SUMIFS([1]全伝票!N:N,[1]全伝票!$C:$C,$C23)),IF($C23="",SUMIFS([1]全伝票!N:N,[1]全伝票!$A:$A,$A23,[1]全伝票!$B:$B,$B23),SUMIFS([1]全伝票!N:N,[1]全伝票!$A:$A,$A23,[1]全伝票!$C:$C,$C23)))</f>
        <v>98684</v>
      </c>
      <c r="K23" s="45">
        <f t="shared" si="0"/>
        <v>98684</v>
      </c>
      <c r="L23" s="81">
        <f>+IF($A23="",IF($C23="",SUMIFS([1]全伝票!O:O,[1]全伝票!$B:$B,$B23),SUMIFS([1]全伝票!O:O,[1]全伝票!$C:$C,$C23)),IF($C23="",SUMIFS([1]全伝票!O:O,[1]全伝票!$A:$A,$A23,[1]全伝票!$B:$B,$B23),SUMIFS([1]全伝票!O:O,[1]全伝票!$A:$A,$A23,[1]全伝票!$C:$C,$C23)))</f>
        <v>0</v>
      </c>
      <c r="M23" s="81">
        <f>+IF($A23="",IF($C23="",SUMIFS([1]全伝票!P:P,[1]全伝票!$B:$B,$B23),SUMIFS([1]全伝票!P:P,[1]全伝票!$C:$C,$C23)),IF($C23="",SUMIFS([1]全伝票!P:P,[1]全伝票!$A:$A,$A23,[1]全伝票!$B:$B,$B23),SUMIFS([1]全伝票!P:P,[1]全伝票!$A:$A,$A23,[1]全伝票!$C:$C,$C23)))</f>
        <v>0</v>
      </c>
      <c r="N23" s="43">
        <f t="shared" si="1"/>
        <v>0</v>
      </c>
      <c r="O23" s="42">
        <f t="shared" si="2"/>
        <v>0</v>
      </c>
      <c r="P23" s="42">
        <f t="shared" si="3"/>
        <v>0</v>
      </c>
      <c r="Q23" s="42">
        <f t="shared" si="3"/>
        <v>0</v>
      </c>
      <c r="R23" s="46">
        <f t="shared" si="4"/>
        <v>8971</v>
      </c>
      <c r="S23" s="45">
        <f t="shared" si="5"/>
        <v>8971</v>
      </c>
      <c r="T23" s="44">
        <f t="shared" si="6"/>
        <v>89713</v>
      </c>
      <c r="U23" s="31">
        <f t="shared" si="7"/>
        <v>0</v>
      </c>
      <c r="V23" s="31">
        <f t="shared" si="8"/>
        <v>0</v>
      </c>
      <c r="W23" s="31">
        <f t="shared" si="9"/>
        <v>0</v>
      </c>
      <c r="X23" s="31">
        <f t="shared" si="9"/>
        <v>0</v>
      </c>
      <c r="Y23" s="31">
        <f t="shared" si="10"/>
        <v>-0.27272727272793418</v>
      </c>
      <c r="Z23" s="30">
        <f t="shared" si="11"/>
        <v>0</v>
      </c>
      <c r="AA23" s="30">
        <f t="shared" si="12"/>
        <v>0</v>
      </c>
      <c r="AB23" s="30">
        <f t="shared" si="13"/>
        <v>0</v>
      </c>
      <c r="AC23" s="30">
        <f t="shared" si="13"/>
        <v>0</v>
      </c>
      <c r="AD23" s="30">
        <f t="shared" si="14"/>
        <v>0</v>
      </c>
      <c r="AE23" s="29"/>
      <c r="AF23" s="29"/>
      <c r="AG23" s="29"/>
      <c r="AH23" s="29"/>
      <c r="AI23" s="29"/>
    </row>
    <row r="24" spans="1:35" x14ac:dyDescent="0.15">
      <c r="A24" s="51">
        <v>1</v>
      </c>
      <c r="B24" s="50" t="s">
        <v>120</v>
      </c>
      <c r="C24" s="49"/>
      <c r="D24" s="48" t="s">
        <v>62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 t="shared" si="0"/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1"/>
        <v>0</v>
      </c>
      <c r="O24" s="42">
        <f t="shared" si="2"/>
        <v>0</v>
      </c>
      <c r="P24" s="42">
        <f t="shared" si="3"/>
        <v>0</v>
      </c>
      <c r="Q24" s="42">
        <f t="shared" si="3"/>
        <v>0</v>
      </c>
      <c r="R24" s="46">
        <f t="shared" si="4"/>
        <v>0</v>
      </c>
      <c r="S24" s="45">
        <f t="shared" si="5"/>
        <v>0</v>
      </c>
      <c r="T24" s="44">
        <f t="shared" si="6"/>
        <v>0</v>
      </c>
      <c r="U24" s="31">
        <f t="shared" si="7"/>
        <v>0</v>
      </c>
      <c r="V24" s="31">
        <f t="shared" si="8"/>
        <v>0</v>
      </c>
      <c r="W24" s="31">
        <f t="shared" si="9"/>
        <v>0</v>
      </c>
      <c r="X24" s="31">
        <f t="shared" si="9"/>
        <v>0</v>
      </c>
      <c r="Y24" s="31">
        <f t="shared" si="10"/>
        <v>0</v>
      </c>
      <c r="Z24" s="30">
        <f t="shared" si="11"/>
        <v>0</v>
      </c>
      <c r="AA24" s="30">
        <f t="shared" si="12"/>
        <v>0</v>
      </c>
      <c r="AB24" s="30">
        <f t="shared" si="13"/>
        <v>0</v>
      </c>
      <c r="AC24" s="30">
        <f t="shared" si="13"/>
        <v>0</v>
      </c>
      <c r="AD24" s="30">
        <f t="shared" si="14"/>
        <v>0</v>
      </c>
      <c r="AE24" s="29"/>
      <c r="AF24" s="29"/>
      <c r="AG24" s="29"/>
      <c r="AH24" s="29"/>
      <c r="AI24" s="29"/>
    </row>
    <row r="25" spans="1:35" x14ac:dyDescent="0.15">
      <c r="A25" s="51">
        <v>1</v>
      </c>
      <c r="B25" s="50" t="s">
        <v>119</v>
      </c>
      <c r="C25" s="49"/>
      <c r="D25" s="48" t="s">
        <v>60</v>
      </c>
      <c r="E25" s="81">
        <f>+IF($A25="",IF($C25="",SUMIFS([1]全伝票!I:I,[1]全伝票!$B:$B,$B25),SUMIFS([1]全伝票!I:I,[1]全伝票!$C:$C,$C25)),IF($C25="",SUMIFS([1]全伝票!I:I,[1]全伝票!$A:$A,$A25,[1]全伝票!$B:$B,$B25),SUMIFS([1]全伝票!I:I,[1]全伝票!$A:$A,$A25,[1]全伝票!$C:$C,$C25)))</f>
        <v>0</v>
      </c>
      <c r="F25" s="84">
        <f>+IF($A25="",IF($C25="",SUMIFS([1]全伝票!J:J,[1]全伝票!$B:$B,$B25),SUMIFS([1]全伝票!J:J,[1]全伝票!$C:$C,$C25)),IF($C25="",SUMIFS([1]全伝票!J:J,[1]全伝票!$A:$A,$A25,[1]全伝票!$B:$B,$B25),SUMIFS([1]全伝票!J:J,[1]全伝票!$A:$A,$A25,[1]全伝票!$C:$C,$C25)))</f>
        <v>0</v>
      </c>
      <c r="G25" s="83">
        <f>+IF($A25="",IF($C25="",SUMIFS([1]全伝票!K:K,[1]全伝票!$B:$B,$B25),SUMIFS([1]全伝票!K:K,[1]全伝票!$C:$C,$C25)),IF($C25="",SUMIFS([1]全伝票!K:K,[1]全伝票!$A:$A,$A25,[1]全伝票!$B:$B,$B25),SUMIFS([1]全伝票!K:K,[1]全伝票!$A:$A,$A25,[1]全伝票!$C:$C,$C25)))</f>
        <v>0</v>
      </c>
      <c r="H25" s="83">
        <f>+IF($A25="",IF($C25="",SUMIFS([1]全伝票!L:L,[1]全伝票!$B:$B,$B25),SUMIFS([1]全伝票!L:L,[1]全伝票!$C:$C,$C25)),IF($C25="",SUMIFS([1]全伝票!L:L,[1]全伝票!$A:$A,$A25,[1]全伝票!$B:$B,$B25),SUMIFS([1]全伝票!L:L,[1]全伝票!$A:$A,$A25,[1]全伝票!$C:$C,$C25)))</f>
        <v>0</v>
      </c>
      <c r="I25" s="83">
        <f>+IF($A25="",IF($C25="",SUMIFS([1]全伝票!M:M,[1]全伝票!$B:$B,$B25),SUMIFS([1]全伝票!M:M,[1]全伝票!$C:$C,$C25)),IF($C25="",SUMIFS([1]全伝票!M:M,[1]全伝票!$A:$A,$A25,[1]全伝票!$B:$B,$B25),SUMIFS([1]全伝票!M:M,[1]全伝票!$A:$A,$A25,[1]全伝票!$C:$C,$C25)))</f>
        <v>0</v>
      </c>
      <c r="J25" s="82">
        <f>+IF($A25="",IF($C25="",SUMIFS([1]全伝票!N:N,[1]全伝票!$B:$B,$B25),SUMIFS([1]全伝票!N:N,[1]全伝票!$C:$C,$C25)),IF($C25="",SUMIFS([1]全伝票!N:N,[1]全伝票!$A:$A,$A25,[1]全伝票!$B:$B,$B25),SUMIFS([1]全伝票!N:N,[1]全伝票!$A:$A,$A25,[1]全伝票!$C:$C,$C25)))</f>
        <v>0</v>
      </c>
      <c r="K25" s="45">
        <f t="shared" si="0"/>
        <v>0</v>
      </c>
      <c r="L25" s="81">
        <f>+IF($A25="",IF($C25="",SUMIFS([1]全伝票!O:O,[1]全伝票!$B:$B,$B25),SUMIFS([1]全伝票!O:O,[1]全伝票!$C:$C,$C25)),IF($C25="",SUMIFS([1]全伝票!O:O,[1]全伝票!$A:$A,$A25,[1]全伝票!$B:$B,$B25),SUMIFS([1]全伝票!O:O,[1]全伝票!$A:$A,$A25,[1]全伝票!$C:$C,$C25)))</f>
        <v>0</v>
      </c>
      <c r="M25" s="81">
        <f>+IF($A25="",IF($C25="",SUMIFS([1]全伝票!P:P,[1]全伝票!$B:$B,$B25),SUMIFS([1]全伝票!P:P,[1]全伝票!$C:$C,$C25)),IF($C25="",SUMIFS([1]全伝票!P:P,[1]全伝票!$A:$A,$A25,[1]全伝票!$B:$B,$B25),SUMIFS([1]全伝票!P:P,[1]全伝票!$A:$A,$A25,[1]全伝票!$C:$C,$C25)))</f>
        <v>0</v>
      </c>
      <c r="N25" s="43">
        <f t="shared" si="1"/>
        <v>0</v>
      </c>
      <c r="O25" s="42">
        <f t="shared" si="2"/>
        <v>0</v>
      </c>
      <c r="P25" s="42">
        <f t="shared" si="3"/>
        <v>0</v>
      </c>
      <c r="Q25" s="42">
        <f t="shared" si="3"/>
        <v>0</v>
      </c>
      <c r="R25" s="46">
        <f t="shared" si="4"/>
        <v>0</v>
      </c>
      <c r="S25" s="45">
        <f t="shared" si="5"/>
        <v>0</v>
      </c>
      <c r="T25" s="44">
        <f t="shared" si="6"/>
        <v>0</v>
      </c>
      <c r="U25" s="31">
        <f t="shared" si="7"/>
        <v>0</v>
      </c>
      <c r="V25" s="31">
        <f t="shared" si="8"/>
        <v>0</v>
      </c>
      <c r="W25" s="31">
        <f t="shared" si="9"/>
        <v>0</v>
      </c>
      <c r="X25" s="31">
        <f t="shared" si="9"/>
        <v>0</v>
      </c>
      <c r="Y25" s="31">
        <f t="shared" si="10"/>
        <v>0</v>
      </c>
      <c r="Z25" s="30">
        <f t="shared" si="11"/>
        <v>0</v>
      </c>
      <c r="AA25" s="30">
        <f t="shared" si="12"/>
        <v>0</v>
      </c>
      <c r="AB25" s="30">
        <f t="shared" si="13"/>
        <v>0</v>
      </c>
      <c r="AC25" s="30">
        <f t="shared" si="13"/>
        <v>0</v>
      </c>
      <c r="AD25" s="30">
        <f t="shared" si="14"/>
        <v>0</v>
      </c>
      <c r="AE25" s="29"/>
      <c r="AF25" s="29"/>
      <c r="AG25" s="29"/>
      <c r="AH25" s="29"/>
      <c r="AI25" s="29"/>
    </row>
    <row r="26" spans="1:35" x14ac:dyDescent="0.15">
      <c r="A26" s="51">
        <v>1</v>
      </c>
      <c r="B26" s="50" t="s">
        <v>118</v>
      </c>
      <c r="C26" s="49"/>
      <c r="D26" s="48" t="s">
        <v>58</v>
      </c>
      <c r="E26" s="81">
        <f>+IF($A26="",IF($C26="",SUMIFS([1]全伝票!I:I,[1]全伝票!$B:$B,$B26),SUMIFS([1]全伝票!I:I,[1]全伝票!$C:$C,$C26)),IF($C26="",SUMIFS([1]全伝票!I:I,[1]全伝票!$A:$A,$A26,[1]全伝票!$B:$B,$B26),SUMIFS([1]全伝票!I:I,[1]全伝票!$A:$A,$A26,[1]全伝票!$C:$C,$C26)))</f>
        <v>0</v>
      </c>
      <c r="F26" s="84">
        <f>+IF($A26="",IF($C26="",SUMIFS([1]全伝票!J:J,[1]全伝票!$B:$B,$B26),SUMIFS([1]全伝票!J:J,[1]全伝票!$C:$C,$C26)),IF($C26="",SUMIFS([1]全伝票!J:J,[1]全伝票!$A:$A,$A26,[1]全伝票!$B:$B,$B26),SUMIFS([1]全伝票!J:J,[1]全伝票!$A:$A,$A26,[1]全伝票!$C:$C,$C26)))</f>
        <v>0</v>
      </c>
      <c r="G26" s="83">
        <f>+IF($A26="",IF($C26="",SUMIFS([1]全伝票!K:K,[1]全伝票!$B:$B,$B26),SUMIFS([1]全伝票!K:K,[1]全伝票!$C:$C,$C26)),IF($C26="",SUMIFS([1]全伝票!K:K,[1]全伝票!$A:$A,$A26,[1]全伝票!$B:$B,$B26),SUMIFS([1]全伝票!K:K,[1]全伝票!$A:$A,$A26,[1]全伝票!$C:$C,$C26)))</f>
        <v>0</v>
      </c>
      <c r="H26" s="83">
        <f>+IF($A26="",IF($C26="",SUMIFS([1]全伝票!L:L,[1]全伝票!$B:$B,$B26),SUMIFS([1]全伝票!L:L,[1]全伝票!$C:$C,$C26)),IF($C26="",SUMIFS([1]全伝票!L:L,[1]全伝票!$A:$A,$A26,[1]全伝票!$B:$B,$B26),SUMIFS([1]全伝票!L:L,[1]全伝票!$A:$A,$A26,[1]全伝票!$C:$C,$C26)))</f>
        <v>0</v>
      </c>
      <c r="I26" s="83">
        <f>+IF($A26="",IF($C26="",SUMIFS([1]全伝票!M:M,[1]全伝票!$B:$B,$B26),SUMIFS([1]全伝票!M:M,[1]全伝票!$C:$C,$C26)),IF($C26="",SUMIFS([1]全伝票!M:M,[1]全伝票!$A:$A,$A26,[1]全伝票!$B:$B,$B26),SUMIFS([1]全伝票!M:M,[1]全伝票!$A:$A,$A26,[1]全伝票!$C:$C,$C26)))</f>
        <v>0</v>
      </c>
      <c r="J26" s="82">
        <f>+IF($A26="",IF($C26="",SUMIFS([1]全伝票!N:N,[1]全伝票!$B:$B,$B26),SUMIFS([1]全伝票!N:N,[1]全伝票!$C:$C,$C26)),IF($C26="",SUMIFS([1]全伝票!N:N,[1]全伝票!$A:$A,$A26,[1]全伝票!$B:$B,$B26),SUMIFS([1]全伝票!N:N,[1]全伝票!$A:$A,$A26,[1]全伝票!$C:$C,$C26)))</f>
        <v>0</v>
      </c>
      <c r="K26" s="45">
        <f t="shared" si="0"/>
        <v>0</v>
      </c>
      <c r="L26" s="81">
        <f>+IF($A26="",IF($C26="",SUMIFS([1]全伝票!O:O,[1]全伝票!$B:$B,$B26),SUMIFS([1]全伝票!O:O,[1]全伝票!$C:$C,$C26)),IF($C26="",SUMIFS([1]全伝票!O:O,[1]全伝票!$A:$A,$A26,[1]全伝票!$B:$B,$B26),SUMIFS([1]全伝票!O:O,[1]全伝票!$A:$A,$A26,[1]全伝票!$C:$C,$C26)))</f>
        <v>0</v>
      </c>
      <c r="M26" s="81">
        <f>+IF($A26="",IF($C26="",SUMIFS([1]全伝票!P:P,[1]全伝票!$B:$B,$B26),SUMIFS([1]全伝票!P:P,[1]全伝票!$C:$C,$C26)),IF($C26="",SUMIFS([1]全伝票!P:P,[1]全伝票!$A:$A,$A26,[1]全伝票!$B:$B,$B26),SUMIFS([1]全伝票!P:P,[1]全伝票!$A:$A,$A26,[1]全伝票!$C:$C,$C26)))</f>
        <v>0</v>
      </c>
      <c r="N26" s="43">
        <f t="shared" si="1"/>
        <v>0</v>
      </c>
      <c r="O26" s="42">
        <f t="shared" si="2"/>
        <v>0</v>
      </c>
      <c r="P26" s="42">
        <f t="shared" si="3"/>
        <v>0</v>
      </c>
      <c r="Q26" s="42">
        <f t="shared" si="3"/>
        <v>0</v>
      </c>
      <c r="R26" s="46">
        <f t="shared" si="4"/>
        <v>0</v>
      </c>
      <c r="S26" s="45">
        <f t="shared" si="5"/>
        <v>0</v>
      </c>
      <c r="T26" s="44">
        <f t="shared" si="6"/>
        <v>0</v>
      </c>
      <c r="U26" s="31">
        <f t="shared" si="7"/>
        <v>0</v>
      </c>
      <c r="V26" s="31">
        <f t="shared" si="8"/>
        <v>0</v>
      </c>
      <c r="W26" s="31">
        <f t="shared" si="9"/>
        <v>0</v>
      </c>
      <c r="X26" s="31">
        <f t="shared" si="9"/>
        <v>0</v>
      </c>
      <c r="Y26" s="31">
        <f t="shared" si="10"/>
        <v>0</v>
      </c>
      <c r="Z26" s="30">
        <f t="shared" si="11"/>
        <v>0</v>
      </c>
      <c r="AA26" s="30">
        <f t="shared" si="12"/>
        <v>0</v>
      </c>
      <c r="AB26" s="30">
        <f t="shared" si="13"/>
        <v>0</v>
      </c>
      <c r="AC26" s="30">
        <f t="shared" si="13"/>
        <v>0</v>
      </c>
      <c r="AD26" s="30">
        <f t="shared" si="14"/>
        <v>0</v>
      </c>
      <c r="AE26" s="29"/>
      <c r="AF26" s="29"/>
      <c r="AG26" s="29"/>
      <c r="AH26" s="29"/>
      <c r="AI26" s="29"/>
    </row>
    <row r="27" spans="1:35" x14ac:dyDescent="0.15">
      <c r="A27" s="51">
        <v>1</v>
      </c>
      <c r="B27" s="50" t="s">
        <v>132</v>
      </c>
      <c r="C27" s="49">
        <v>615381003</v>
      </c>
      <c r="D27" s="48" t="s">
        <v>371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0</v>
      </c>
      <c r="K27" s="45">
        <f t="shared" si="0"/>
        <v>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1"/>
        <v>0</v>
      </c>
      <c r="O27" s="42">
        <f t="shared" si="2"/>
        <v>0</v>
      </c>
      <c r="P27" s="42">
        <f t="shared" si="3"/>
        <v>0</v>
      </c>
      <c r="Q27" s="42">
        <f t="shared" si="3"/>
        <v>0</v>
      </c>
      <c r="R27" s="46">
        <f t="shared" si="4"/>
        <v>0</v>
      </c>
      <c r="S27" s="45">
        <f t="shared" si="5"/>
        <v>0</v>
      </c>
      <c r="T27" s="44">
        <f t="shared" si="6"/>
        <v>0</v>
      </c>
      <c r="U27" s="31">
        <f t="shared" si="7"/>
        <v>0</v>
      </c>
      <c r="V27" s="31">
        <f t="shared" si="8"/>
        <v>0</v>
      </c>
      <c r="W27" s="31">
        <f t="shared" si="9"/>
        <v>0</v>
      </c>
      <c r="X27" s="31">
        <f t="shared" si="9"/>
        <v>0</v>
      </c>
      <c r="Y27" s="31">
        <f t="shared" si="10"/>
        <v>0</v>
      </c>
      <c r="Z27" s="30">
        <f t="shared" si="11"/>
        <v>0</v>
      </c>
      <c r="AA27" s="30">
        <f t="shared" si="12"/>
        <v>0</v>
      </c>
      <c r="AB27" s="30">
        <f t="shared" si="13"/>
        <v>0</v>
      </c>
      <c r="AC27" s="30">
        <f t="shared" si="13"/>
        <v>0</v>
      </c>
      <c r="AD27" s="30">
        <f t="shared" si="14"/>
        <v>0</v>
      </c>
      <c r="AE27" s="29"/>
      <c r="AF27" s="29"/>
      <c r="AG27" s="29"/>
      <c r="AH27" s="29"/>
      <c r="AI27" s="29"/>
    </row>
    <row r="28" spans="1:35" x14ac:dyDescent="0.15">
      <c r="A28" s="51">
        <v>1</v>
      </c>
      <c r="B28" s="50" t="s">
        <v>117</v>
      </c>
      <c r="C28" s="49"/>
      <c r="D28" s="48" t="s">
        <v>56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0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0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0</v>
      </c>
      <c r="N28" s="43">
        <f t="shared" si="1"/>
        <v>0</v>
      </c>
      <c r="O28" s="42">
        <f t="shared" si="2"/>
        <v>0</v>
      </c>
      <c r="P28" s="42">
        <f t="shared" si="3"/>
        <v>0</v>
      </c>
      <c r="Q28" s="42">
        <f t="shared" si="3"/>
        <v>0</v>
      </c>
      <c r="R28" s="46">
        <f t="shared" si="4"/>
        <v>0</v>
      </c>
      <c r="S28" s="45">
        <f t="shared" si="5"/>
        <v>0</v>
      </c>
      <c r="T28" s="44">
        <f t="shared" si="6"/>
        <v>0</v>
      </c>
      <c r="U28" s="31">
        <f t="shared" si="7"/>
        <v>0</v>
      </c>
      <c r="V28" s="31">
        <f t="shared" si="8"/>
        <v>0</v>
      </c>
      <c r="W28" s="31">
        <f t="shared" si="9"/>
        <v>0</v>
      </c>
      <c r="X28" s="31">
        <f t="shared" si="9"/>
        <v>0</v>
      </c>
      <c r="Y28" s="31">
        <f t="shared" si="10"/>
        <v>0</v>
      </c>
      <c r="Z28" s="30">
        <f t="shared" si="11"/>
        <v>0</v>
      </c>
      <c r="AA28" s="30">
        <f t="shared" si="12"/>
        <v>0</v>
      </c>
      <c r="AB28" s="30">
        <f t="shared" si="13"/>
        <v>0</v>
      </c>
      <c r="AC28" s="30">
        <f t="shared" si="13"/>
        <v>0</v>
      </c>
      <c r="AD28" s="30">
        <f t="shared" si="14"/>
        <v>0</v>
      </c>
      <c r="AE28" s="29"/>
      <c r="AF28" s="29"/>
      <c r="AG28" s="29"/>
      <c r="AH28" s="29"/>
      <c r="AI28" s="29"/>
    </row>
    <row r="29" spans="1:35" x14ac:dyDescent="0.15">
      <c r="A29" s="51">
        <v>1</v>
      </c>
      <c r="B29" s="50" t="s">
        <v>116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0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1"/>
        <v>0</v>
      </c>
      <c r="O29" s="42">
        <f t="shared" si="2"/>
        <v>0</v>
      </c>
      <c r="P29" s="42">
        <f t="shared" si="3"/>
        <v>0</v>
      </c>
      <c r="Q29" s="42">
        <f t="shared" si="3"/>
        <v>0</v>
      </c>
      <c r="R29" s="46">
        <f t="shared" si="4"/>
        <v>0</v>
      </c>
      <c r="S29" s="45">
        <f t="shared" si="5"/>
        <v>0</v>
      </c>
      <c r="T29" s="44">
        <f t="shared" si="6"/>
        <v>0</v>
      </c>
      <c r="U29" s="31">
        <f t="shared" si="7"/>
        <v>0</v>
      </c>
      <c r="V29" s="31">
        <f t="shared" si="8"/>
        <v>0</v>
      </c>
      <c r="W29" s="31">
        <f t="shared" si="9"/>
        <v>0</v>
      </c>
      <c r="X29" s="31">
        <f t="shared" si="9"/>
        <v>0</v>
      </c>
      <c r="Y29" s="31">
        <f t="shared" si="10"/>
        <v>0</v>
      </c>
      <c r="Z29" s="30">
        <f t="shared" si="11"/>
        <v>0</v>
      </c>
      <c r="AA29" s="30">
        <f t="shared" si="12"/>
        <v>0</v>
      </c>
      <c r="AB29" s="30">
        <f t="shared" si="13"/>
        <v>0</v>
      </c>
      <c r="AC29" s="30">
        <f t="shared" si="13"/>
        <v>0</v>
      </c>
      <c r="AD29" s="30">
        <f t="shared" si="14"/>
        <v>0</v>
      </c>
      <c r="AE29" s="29"/>
      <c r="AF29" s="29"/>
      <c r="AG29" s="29"/>
      <c r="AH29" s="29"/>
      <c r="AI29" s="29"/>
    </row>
    <row r="30" spans="1:35" x14ac:dyDescent="0.15">
      <c r="A30" s="51">
        <v>1</v>
      </c>
      <c r="B30" s="50" t="s">
        <v>115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0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1"/>
        <v>0</v>
      </c>
      <c r="O30" s="42">
        <f t="shared" si="2"/>
        <v>0</v>
      </c>
      <c r="P30" s="42">
        <f t="shared" si="3"/>
        <v>0</v>
      </c>
      <c r="Q30" s="42">
        <f t="shared" si="3"/>
        <v>0</v>
      </c>
      <c r="R30" s="46">
        <f t="shared" si="4"/>
        <v>0</v>
      </c>
      <c r="S30" s="45">
        <f t="shared" si="5"/>
        <v>0</v>
      </c>
      <c r="T30" s="44">
        <f t="shared" si="6"/>
        <v>0</v>
      </c>
      <c r="U30" s="31">
        <f t="shared" si="7"/>
        <v>0</v>
      </c>
      <c r="V30" s="31">
        <f t="shared" si="8"/>
        <v>0</v>
      </c>
      <c r="W30" s="31">
        <f t="shared" si="9"/>
        <v>0</v>
      </c>
      <c r="X30" s="31">
        <f t="shared" si="9"/>
        <v>0</v>
      </c>
      <c r="Y30" s="31">
        <f t="shared" si="10"/>
        <v>0</v>
      </c>
      <c r="Z30" s="30">
        <f t="shared" si="11"/>
        <v>0</v>
      </c>
      <c r="AA30" s="30">
        <f t="shared" si="12"/>
        <v>0</v>
      </c>
      <c r="AB30" s="30">
        <f t="shared" si="13"/>
        <v>0</v>
      </c>
      <c r="AC30" s="30">
        <f t="shared" si="13"/>
        <v>0</v>
      </c>
      <c r="AD30" s="30">
        <f t="shared" si="14"/>
        <v>0</v>
      </c>
      <c r="AE30" s="29"/>
      <c r="AF30" s="29"/>
      <c r="AG30" s="29"/>
      <c r="AH30" s="29"/>
      <c r="AI30" s="29"/>
    </row>
    <row r="31" spans="1:35" x14ac:dyDescent="0.15">
      <c r="A31" s="51">
        <v>1</v>
      </c>
      <c r="B31" s="50" t="s">
        <v>114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1"/>
        <v>0</v>
      </c>
      <c r="O31" s="42">
        <f t="shared" si="2"/>
        <v>0</v>
      </c>
      <c r="P31" s="42">
        <f t="shared" si="3"/>
        <v>0</v>
      </c>
      <c r="Q31" s="42">
        <f t="shared" si="3"/>
        <v>0</v>
      </c>
      <c r="R31" s="46">
        <f t="shared" si="4"/>
        <v>0</v>
      </c>
      <c r="S31" s="45">
        <f t="shared" si="5"/>
        <v>0</v>
      </c>
      <c r="T31" s="44">
        <f t="shared" si="6"/>
        <v>0</v>
      </c>
      <c r="U31" s="31">
        <f t="shared" si="7"/>
        <v>0</v>
      </c>
      <c r="V31" s="31">
        <f t="shared" si="8"/>
        <v>0</v>
      </c>
      <c r="W31" s="31">
        <f t="shared" si="9"/>
        <v>0</v>
      </c>
      <c r="X31" s="31">
        <f t="shared" si="9"/>
        <v>0</v>
      </c>
      <c r="Y31" s="31">
        <f t="shared" si="10"/>
        <v>0</v>
      </c>
      <c r="Z31" s="30">
        <f t="shared" si="11"/>
        <v>0</v>
      </c>
      <c r="AA31" s="30">
        <f t="shared" si="12"/>
        <v>0</v>
      </c>
      <c r="AB31" s="30">
        <f t="shared" si="13"/>
        <v>0</v>
      </c>
      <c r="AC31" s="30">
        <f t="shared" si="13"/>
        <v>0</v>
      </c>
      <c r="AD31" s="30">
        <f t="shared" si="14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113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1"/>
        <v>0</v>
      </c>
      <c r="O32" s="42">
        <f t="shared" si="2"/>
        <v>0</v>
      </c>
      <c r="P32" s="42">
        <f t="shared" si="3"/>
        <v>0</v>
      </c>
      <c r="Q32" s="42">
        <f t="shared" si="3"/>
        <v>0</v>
      </c>
      <c r="R32" s="46">
        <f t="shared" si="4"/>
        <v>0</v>
      </c>
      <c r="S32" s="45">
        <f t="shared" si="5"/>
        <v>0</v>
      </c>
      <c r="T32" s="44">
        <f t="shared" si="6"/>
        <v>0</v>
      </c>
      <c r="U32" s="31">
        <f t="shared" si="7"/>
        <v>0</v>
      </c>
      <c r="V32" s="31">
        <f t="shared" si="8"/>
        <v>0</v>
      </c>
      <c r="W32" s="31">
        <f t="shared" si="9"/>
        <v>0</v>
      </c>
      <c r="X32" s="31">
        <f t="shared" si="9"/>
        <v>0</v>
      </c>
      <c r="Y32" s="31">
        <f t="shared" si="10"/>
        <v>0</v>
      </c>
      <c r="Z32" s="30">
        <f t="shared" si="11"/>
        <v>0</v>
      </c>
      <c r="AA32" s="30">
        <f t="shared" si="12"/>
        <v>0</v>
      </c>
      <c r="AB32" s="30">
        <f t="shared" si="13"/>
        <v>0</v>
      </c>
      <c r="AC32" s="30">
        <f t="shared" si="13"/>
        <v>0</v>
      </c>
      <c r="AD32" s="30">
        <f t="shared" si="14"/>
        <v>0</v>
      </c>
      <c r="AE32" s="29"/>
      <c r="AF32" s="29"/>
      <c r="AG32" s="29"/>
      <c r="AH32" s="29"/>
      <c r="AI32" s="29"/>
    </row>
    <row r="33" spans="1:35" x14ac:dyDescent="0.15">
      <c r="A33" s="51">
        <v>1</v>
      </c>
      <c r="B33" s="50" t="s">
        <v>112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1"/>
        <v>0</v>
      </c>
      <c r="O33" s="42">
        <f t="shared" si="2"/>
        <v>0</v>
      </c>
      <c r="P33" s="42">
        <f t="shared" si="3"/>
        <v>0</v>
      </c>
      <c r="Q33" s="42">
        <f t="shared" si="3"/>
        <v>0</v>
      </c>
      <c r="R33" s="46">
        <f t="shared" si="4"/>
        <v>0</v>
      </c>
      <c r="S33" s="45">
        <f t="shared" si="5"/>
        <v>0</v>
      </c>
      <c r="T33" s="44">
        <f t="shared" si="6"/>
        <v>0</v>
      </c>
      <c r="U33" s="31">
        <f t="shared" si="7"/>
        <v>0</v>
      </c>
      <c r="V33" s="31">
        <f t="shared" si="8"/>
        <v>0</v>
      </c>
      <c r="W33" s="31">
        <f t="shared" si="9"/>
        <v>0</v>
      </c>
      <c r="X33" s="31">
        <f t="shared" si="9"/>
        <v>0</v>
      </c>
      <c r="Y33" s="31">
        <f t="shared" si="10"/>
        <v>0</v>
      </c>
      <c r="Z33" s="30">
        <f t="shared" si="11"/>
        <v>0</v>
      </c>
      <c r="AA33" s="30">
        <f t="shared" si="12"/>
        <v>0</v>
      </c>
      <c r="AB33" s="30">
        <f t="shared" si="13"/>
        <v>0</v>
      </c>
      <c r="AC33" s="30">
        <f t="shared" si="13"/>
        <v>0</v>
      </c>
      <c r="AD33" s="30">
        <f t="shared" si="14"/>
        <v>0</v>
      </c>
      <c r="AE33" s="29"/>
      <c r="AF33" s="29"/>
      <c r="AG33" s="29"/>
      <c r="AH33" s="29"/>
      <c r="AI33" s="29"/>
    </row>
    <row r="34" spans="1:35" x14ac:dyDescent="0.15">
      <c r="A34" s="51">
        <v>1</v>
      </c>
      <c r="B34" s="50" t="s">
        <v>111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1"/>
        <v>0</v>
      </c>
      <c r="O34" s="42">
        <f t="shared" si="2"/>
        <v>0</v>
      </c>
      <c r="P34" s="42">
        <f t="shared" si="3"/>
        <v>0</v>
      </c>
      <c r="Q34" s="42">
        <f t="shared" si="3"/>
        <v>0</v>
      </c>
      <c r="R34" s="46">
        <f t="shared" si="4"/>
        <v>0</v>
      </c>
      <c r="S34" s="45">
        <f t="shared" si="5"/>
        <v>0</v>
      </c>
      <c r="T34" s="44">
        <f t="shared" si="6"/>
        <v>0</v>
      </c>
      <c r="U34" s="31">
        <f t="shared" si="7"/>
        <v>0</v>
      </c>
      <c r="V34" s="31">
        <f t="shared" si="8"/>
        <v>0</v>
      </c>
      <c r="W34" s="31">
        <f t="shared" si="9"/>
        <v>0</v>
      </c>
      <c r="X34" s="31">
        <f t="shared" si="9"/>
        <v>0</v>
      </c>
      <c r="Y34" s="31">
        <f t="shared" si="10"/>
        <v>0</v>
      </c>
      <c r="Z34" s="30">
        <f t="shared" si="11"/>
        <v>0</v>
      </c>
      <c r="AA34" s="30">
        <f t="shared" si="12"/>
        <v>0</v>
      </c>
      <c r="AB34" s="30">
        <f t="shared" si="13"/>
        <v>0</v>
      </c>
      <c r="AC34" s="30">
        <f t="shared" si="13"/>
        <v>0</v>
      </c>
      <c r="AD34" s="30">
        <f t="shared" si="14"/>
        <v>0</v>
      </c>
      <c r="AE34" s="29"/>
      <c r="AF34" s="29"/>
      <c r="AG34" s="29"/>
      <c r="AH34" s="29"/>
      <c r="AI34" s="29"/>
    </row>
    <row r="35" spans="1:35" x14ac:dyDescent="0.15">
      <c r="A35" s="51">
        <v>1</v>
      </c>
      <c r="B35" s="50" t="s">
        <v>105</v>
      </c>
      <c r="C35" s="49" t="s">
        <v>110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0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0</v>
      </c>
      <c r="K35" s="45">
        <f t="shared" si="0"/>
        <v>0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1"/>
        <v>0</v>
      </c>
      <c r="O35" s="42">
        <f t="shared" si="2"/>
        <v>0</v>
      </c>
      <c r="P35" s="42">
        <f t="shared" si="3"/>
        <v>0</v>
      </c>
      <c r="Q35" s="42">
        <f t="shared" si="3"/>
        <v>0</v>
      </c>
      <c r="R35" s="46">
        <f t="shared" si="4"/>
        <v>0</v>
      </c>
      <c r="S35" s="45">
        <f t="shared" si="5"/>
        <v>0</v>
      </c>
      <c r="T35" s="44">
        <f t="shared" si="6"/>
        <v>0</v>
      </c>
      <c r="U35" s="31">
        <f t="shared" si="7"/>
        <v>0</v>
      </c>
      <c r="V35" s="31">
        <f t="shared" si="8"/>
        <v>0</v>
      </c>
      <c r="W35" s="31">
        <f t="shared" si="9"/>
        <v>0</v>
      </c>
      <c r="X35" s="31">
        <f t="shared" si="9"/>
        <v>0</v>
      </c>
      <c r="Y35" s="31">
        <f t="shared" si="10"/>
        <v>0</v>
      </c>
      <c r="Z35" s="30">
        <f t="shared" si="11"/>
        <v>0</v>
      </c>
      <c r="AA35" s="30">
        <f t="shared" si="12"/>
        <v>0</v>
      </c>
      <c r="AB35" s="30">
        <f t="shared" si="13"/>
        <v>0</v>
      </c>
      <c r="AC35" s="30">
        <f t="shared" si="13"/>
        <v>0</v>
      </c>
      <c r="AD35" s="30">
        <f t="shared" si="14"/>
        <v>0</v>
      </c>
      <c r="AE35" s="29"/>
      <c r="AF35" s="29"/>
      <c r="AG35" s="29"/>
      <c r="AH35" s="29"/>
      <c r="AI35" s="29"/>
    </row>
    <row r="36" spans="1:35" x14ac:dyDescent="0.15">
      <c r="A36" s="51">
        <v>1</v>
      </c>
      <c r="B36" s="50" t="s">
        <v>105</v>
      </c>
      <c r="C36" s="49" t="s">
        <v>109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1"/>
        <v>0</v>
      </c>
      <c r="O36" s="42">
        <f t="shared" si="2"/>
        <v>0</v>
      </c>
      <c r="P36" s="42">
        <f t="shared" si="3"/>
        <v>0</v>
      </c>
      <c r="Q36" s="42">
        <f t="shared" si="3"/>
        <v>0</v>
      </c>
      <c r="R36" s="46">
        <f t="shared" si="4"/>
        <v>0</v>
      </c>
      <c r="S36" s="45">
        <f t="shared" si="5"/>
        <v>0</v>
      </c>
      <c r="T36" s="44">
        <f t="shared" si="6"/>
        <v>0</v>
      </c>
      <c r="U36" s="31">
        <f t="shared" si="7"/>
        <v>0</v>
      </c>
      <c r="V36" s="31">
        <f t="shared" si="8"/>
        <v>0</v>
      </c>
      <c r="W36" s="31">
        <f t="shared" si="9"/>
        <v>0</v>
      </c>
      <c r="X36" s="31">
        <f t="shared" si="9"/>
        <v>0</v>
      </c>
      <c r="Y36" s="31">
        <f t="shared" si="10"/>
        <v>0</v>
      </c>
      <c r="Z36" s="30">
        <f t="shared" si="11"/>
        <v>0</v>
      </c>
      <c r="AA36" s="30">
        <f t="shared" si="12"/>
        <v>0</v>
      </c>
      <c r="AB36" s="30">
        <f t="shared" si="13"/>
        <v>0</v>
      </c>
      <c r="AC36" s="30">
        <f t="shared" si="13"/>
        <v>0</v>
      </c>
      <c r="AD36" s="30">
        <f t="shared" si="14"/>
        <v>0</v>
      </c>
      <c r="AE36" s="29"/>
      <c r="AF36" s="29"/>
      <c r="AG36" s="29"/>
      <c r="AH36" s="29"/>
      <c r="AI36" s="29"/>
    </row>
    <row r="37" spans="1:35" x14ac:dyDescent="0.15">
      <c r="A37" s="51">
        <v>1</v>
      </c>
      <c r="B37" s="50" t="s">
        <v>105</v>
      </c>
      <c r="C37" s="49" t="s">
        <v>108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0</v>
      </c>
      <c r="K37" s="45">
        <f t="shared" si="0"/>
        <v>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1"/>
        <v>0</v>
      </c>
      <c r="O37" s="42">
        <f t="shared" si="2"/>
        <v>0</v>
      </c>
      <c r="P37" s="42">
        <f t="shared" si="3"/>
        <v>0</v>
      </c>
      <c r="Q37" s="42">
        <f t="shared" si="3"/>
        <v>0</v>
      </c>
      <c r="R37" s="46">
        <f t="shared" si="4"/>
        <v>0</v>
      </c>
      <c r="S37" s="45">
        <f t="shared" si="5"/>
        <v>0</v>
      </c>
      <c r="T37" s="44">
        <f t="shared" si="6"/>
        <v>0</v>
      </c>
      <c r="U37" s="31">
        <f t="shared" si="7"/>
        <v>0</v>
      </c>
      <c r="V37" s="31">
        <f t="shared" si="8"/>
        <v>0</v>
      </c>
      <c r="W37" s="31">
        <f t="shared" si="9"/>
        <v>0</v>
      </c>
      <c r="X37" s="31">
        <f t="shared" si="9"/>
        <v>0</v>
      </c>
      <c r="Y37" s="31">
        <f t="shared" si="10"/>
        <v>0</v>
      </c>
      <c r="Z37" s="30">
        <f t="shared" si="11"/>
        <v>0</v>
      </c>
      <c r="AA37" s="30">
        <f t="shared" si="12"/>
        <v>0</v>
      </c>
      <c r="AB37" s="30">
        <f t="shared" si="13"/>
        <v>0</v>
      </c>
      <c r="AC37" s="30">
        <f t="shared" si="13"/>
        <v>0</v>
      </c>
      <c r="AD37" s="30">
        <f t="shared" si="14"/>
        <v>0</v>
      </c>
      <c r="AE37" s="29"/>
      <c r="AF37" s="29"/>
      <c r="AG37" s="29"/>
      <c r="AH37" s="29"/>
      <c r="AI37" s="29"/>
    </row>
    <row r="38" spans="1:35" x14ac:dyDescent="0.15">
      <c r="A38" s="51">
        <v>1</v>
      </c>
      <c r="B38" s="50" t="s">
        <v>105</v>
      </c>
      <c r="C38" s="49" t="s">
        <v>107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0</v>
      </c>
      <c r="K38" s="45">
        <f t="shared" si="0"/>
        <v>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1"/>
        <v>0</v>
      </c>
      <c r="O38" s="42">
        <f t="shared" si="2"/>
        <v>0</v>
      </c>
      <c r="P38" s="42">
        <f t="shared" si="3"/>
        <v>0</v>
      </c>
      <c r="Q38" s="42">
        <f t="shared" si="3"/>
        <v>0</v>
      </c>
      <c r="R38" s="46">
        <f t="shared" si="4"/>
        <v>0</v>
      </c>
      <c r="S38" s="45">
        <f t="shared" si="5"/>
        <v>0</v>
      </c>
      <c r="T38" s="44">
        <f t="shared" si="6"/>
        <v>0</v>
      </c>
      <c r="U38" s="31">
        <f t="shared" si="7"/>
        <v>0</v>
      </c>
      <c r="V38" s="31">
        <f t="shared" si="8"/>
        <v>0</v>
      </c>
      <c r="W38" s="31">
        <f t="shared" si="9"/>
        <v>0</v>
      </c>
      <c r="X38" s="31">
        <f t="shared" si="9"/>
        <v>0</v>
      </c>
      <c r="Y38" s="31">
        <f t="shared" si="10"/>
        <v>0</v>
      </c>
      <c r="Z38" s="30">
        <f t="shared" si="11"/>
        <v>0</v>
      </c>
      <c r="AA38" s="30">
        <f t="shared" si="12"/>
        <v>0</v>
      </c>
      <c r="AB38" s="30">
        <f t="shared" si="13"/>
        <v>0</v>
      </c>
      <c r="AC38" s="30">
        <f t="shared" si="13"/>
        <v>0</v>
      </c>
      <c r="AD38" s="30">
        <f t="shared" si="14"/>
        <v>0</v>
      </c>
      <c r="AE38" s="29"/>
      <c r="AF38" s="29"/>
      <c r="AG38" s="29"/>
      <c r="AH38" s="29"/>
      <c r="AI38" s="29"/>
    </row>
    <row r="39" spans="1:35" x14ac:dyDescent="0.15">
      <c r="A39" s="51">
        <v>1</v>
      </c>
      <c r="B39" s="50" t="s">
        <v>105</v>
      </c>
      <c r="C39" s="49" t="s">
        <v>106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1"/>
        <v>0</v>
      </c>
      <c r="O39" s="42">
        <f t="shared" si="2"/>
        <v>0</v>
      </c>
      <c r="P39" s="42">
        <f t="shared" si="3"/>
        <v>0</v>
      </c>
      <c r="Q39" s="42">
        <f t="shared" si="3"/>
        <v>0</v>
      </c>
      <c r="R39" s="46">
        <f t="shared" si="4"/>
        <v>0</v>
      </c>
      <c r="S39" s="45">
        <f t="shared" si="5"/>
        <v>0</v>
      </c>
      <c r="T39" s="44">
        <f t="shared" si="6"/>
        <v>0</v>
      </c>
      <c r="U39" s="31">
        <f t="shared" si="7"/>
        <v>0</v>
      </c>
      <c r="V39" s="31">
        <f t="shared" si="8"/>
        <v>0</v>
      </c>
      <c r="W39" s="31">
        <f t="shared" si="9"/>
        <v>0</v>
      </c>
      <c r="X39" s="31">
        <f t="shared" si="9"/>
        <v>0</v>
      </c>
      <c r="Y39" s="31">
        <f t="shared" si="10"/>
        <v>0</v>
      </c>
      <c r="Z39" s="30">
        <f t="shared" si="11"/>
        <v>0</v>
      </c>
      <c r="AA39" s="30">
        <f t="shared" si="12"/>
        <v>0</v>
      </c>
      <c r="AB39" s="30">
        <f t="shared" si="13"/>
        <v>0</v>
      </c>
      <c r="AC39" s="30">
        <f t="shared" si="13"/>
        <v>0</v>
      </c>
      <c r="AD39" s="30">
        <f t="shared" si="14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1</v>
      </c>
      <c r="B40" s="40" t="s">
        <v>105</v>
      </c>
      <c r="C40" s="39" t="s">
        <v>104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1"/>
        <v>0</v>
      </c>
      <c r="O40" s="32">
        <f t="shared" si="2"/>
        <v>0</v>
      </c>
      <c r="P40" s="32">
        <f t="shared" si="3"/>
        <v>0</v>
      </c>
      <c r="Q40" s="32">
        <f t="shared" si="3"/>
        <v>0</v>
      </c>
      <c r="R40" s="36">
        <f t="shared" si="4"/>
        <v>0</v>
      </c>
      <c r="S40" s="35">
        <f t="shared" si="5"/>
        <v>0</v>
      </c>
      <c r="T40" s="34">
        <f t="shared" si="6"/>
        <v>0</v>
      </c>
      <c r="U40" s="31">
        <f t="shared" si="7"/>
        <v>0</v>
      </c>
      <c r="V40" s="31">
        <f t="shared" si="8"/>
        <v>0</v>
      </c>
      <c r="W40" s="31">
        <f t="shared" si="9"/>
        <v>0</v>
      </c>
      <c r="X40" s="31">
        <f t="shared" si="9"/>
        <v>0</v>
      </c>
      <c r="Y40" s="31">
        <f t="shared" si="10"/>
        <v>0</v>
      </c>
      <c r="Z40" s="30">
        <f t="shared" si="11"/>
        <v>0</v>
      </c>
      <c r="AA40" s="30">
        <f t="shared" si="12"/>
        <v>0</v>
      </c>
      <c r="AB40" s="30">
        <f t="shared" si="13"/>
        <v>0</v>
      </c>
      <c r="AC40" s="30">
        <f t="shared" si="13"/>
        <v>0</v>
      </c>
      <c r="AD40" s="30">
        <f t="shared" si="14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5">SUM(E5:E40)</f>
        <v>15860357</v>
      </c>
      <c r="F41" s="24">
        <f t="shared" si="15"/>
        <v>0</v>
      </c>
      <c r="G41" s="23">
        <f t="shared" si="15"/>
        <v>0</v>
      </c>
      <c r="H41" s="23">
        <f t="shared" si="15"/>
        <v>0</v>
      </c>
      <c r="I41" s="23">
        <f t="shared" ref="I41" si="16">SUM(I5:I40)</f>
        <v>0</v>
      </c>
      <c r="J41" s="22">
        <f t="shared" si="15"/>
        <v>5973775</v>
      </c>
      <c r="K41" s="15">
        <f t="shared" si="15"/>
        <v>5973775</v>
      </c>
      <c r="L41" s="20">
        <f t="shared" si="15"/>
        <v>1647233</v>
      </c>
      <c r="M41" s="20">
        <f t="shared" si="15"/>
        <v>8239349</v>
      </c>
      <c r="N41" s="17">
        <f t="shared" si="15"/>
        <v>0</v>
      </c>
      <c r="O41" s="16">
        <f t="shared" si="15"/>
        <v>0</v>
      </c>
      <c r="P41" s="16">
        <f t="shared" si="15"/>
        <v>0</v>
      </c>
      <c r="Q41" s="16">
        <f t="shared" ref="Q41" si="17">SUM(Q5:Q40)</f>
        <v>0</v>
      </c>
      <c r="R41" s="19">
        <f t="shared" si="15"/>
        <v>543071</v>
      </c>
      <c r="S41" s="15">
        <f t="shared" si="15"/>
        <v>543071</v>
      </c>
      <c r="T41" s="18">
        <f t="shared" si="15"/>
        <v>15317286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8">+E41</f>
        <v>15860357</v>
      </c>
      <c r="F42" s="10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8">
        <f t="shared" si="18"/>
        <v>5973775</v>
      </c>
      <c r="K42" s="4">
        <f>SUM(F42:J42)</f>
        <v>5973775</v>
      </c>
      <c r="L42" s="5">
        <f>+L41</f>
        <v>1647233</v>
      </c>
      <c r="M42" s="5">
        <f>+M41</f>
        <v>8239349</v>
      </c>
      <c r="N42" s="121">
        <f>+'4条支出'!N7</f>
        <v>0</v>
      </c>
      <c r="O42" s="122">
        <f>+'4条支出'!O7</f>
        <v>0</v>
      </c>
      <c r="P42" s="122">
        <f>+'4条支出'!P7</f>
        <v>0</v>
      </c>
      <c r="Q42" s="122">
        <f>+'4条支出'!Q7</f>
        <v>0</v>
      </c>
      <c r="R42" s="123">
        <f>+'4条支出'!R7</f>
        <v>543071</v>
      </c>
      <c r="S42" s="124">
        <f>+'4条支出'!S7</f>
        <v>543071</v>
      </c>
      <c r="T42" s="125">
        <f>+'4条支出'!T7</f>
        <v>15317286</v>
      </c>
    </row>
    <row r="43" spans="1:35" x14ac:dyDescent="0.15">
      <c r="E43" s="3">
        <f t="shared" ref="E43:T43" si="19">+E42-E41</f>
        <v>0</v>
      </c>
      <c r="F43" s="3">
        <f t="shared" si="19"/>
        <v>0</v>
      </c>
      <c r="G43" s="3">
        <f t="shared" si="19"/>
        <v>0</v>
      </c>
      <c r="H43" s="3">
        <f t="shared" si="19"/>
        <v>0</v>
      </c>
      <c r="I43" s="3">
        <f t="shared" ref="I43" si="20">+I42-I41</f>
        <v>0</v>
      </c>
      <c r="J43" s="3">
        <f t="shared" si="19"/>
        <v>0</v>
      </c>
      <c r="K43" s="3">
        <f t="shared" si="19"/>
        <v>0</v>
      </c>
      <c r="L43" s="3">
        <f t="shared" si="19"/>
        <v>0</v>
      </c>
      <c r="M43" s="3">
        <f t="shared" si="19"/>
        <v>0</v>
      </c>
      <c r="N43" s="3">
        <f t="shared" si="19"/>
        <v>0</v>
      </c>
      <c r="O43" s="3">
        <f t="shared" si="19"/>
        <v>0</v>
      </c>
      <c r="P43" s="3">
        <f t="shared" si="19"/>
        <v>0</v>
      </c>
      <c r="Q43" s="3">
        <f t="shared" ref="Q43" si="21">+Q42-Q41</f>
        <v>0</v>
      </c>
      <c r="R43" s="3">
        <f t="shared" si="19"/>
        <v>0</v>
      </c>
      <c r="S43" s="3">
        <f t="shared" si="19"/>
        <v>0</v>
      </c>
      <c r="T43" s="3">
        <f t="shared" si="19"/>
        <v>0</v>
      </c>
    </row>
    <row r="45" spans="1:35" x14ac:dyDescent="0.15">
      <c r="G45" s="133"/>
      <c r="H45" s="134"/>
      <c r="I45" s="134"/>
      <c r="J45" s="134"/>
    </row>
    <row r="46" spans="1:35" x14ac:dyDescent="0.15">
      <c r="G46" s="133"/>
      <c r="H46" s="134"/>
      <c r="I46" s="134"/>
      <c r="J46" s="134"/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122" priority="4">
      <formula>ABS(Z5)=1</formula>
    </cfRule>
  </conditionalFormatting>
  <conditionalFormatting sqref="AD5:AD40">
    <cfRule type="expression" dxfId="121" priority="3">
      <formula>ABS(AD5)=1</formula>
    </cfRule>
  </conditionalFormatting>
  <conditionalFormatting sqref="Z6:AC40">
    <cfRule type="expression" dxfId="120" priority="6">
      <formula>ABS(Z6)=1</formula>
    </cfRule>
  </conditionalFormatting>
  <conditionalFormatting sqref="AE6:AE14 AE16:AE40">
    <cfRule type="notContainsBlanks" dxfId="119" priority="9" stopIfTrue="1">
      <formula>LEN(TRIM(AE6))&gt;0</formula>
    </cfRule>
  </conditionalFormatting>
  <conditionalFormatting sqref="AE6:AI40">
    <cfRule type="notContainsBlanks" dxfId="118" priority="8" stopIfTrue="1">
      <formula>LEN(TRIM(AE6))&gt;0</formula>
    </cfRule>
  </conditionalFormatting>
  <conditionalFormatting sqref="AE5:AI5">
    <cfRule type="notContainsBlanks" dxfId="117" priority="7" stopIfTrue="1">
      <formula>LEN(TRIM(AE5))&gt;0</formula>
    </cfRule>
  </conditionalFormatting>
  <conditionalFormatting sqref="AA6:AC40">
    <cfRule type="expression" dxfId="116" priority="5">
      <formula>ABS(AA6)=1</formula>
    </cfRule>
  </conditionalFormatting>
  <conditionalFormatting sqref="E43:H43 J43:T43">
    <cfRule type="cellIs" dxfId="115" priority="2" operator="notEqual">
      <formula>0</formula>
    </cfRule>
  </conditionalFormatting>
  <conditionalFormatting sqref="I43">
    <cfRule type="cellIs" dxfId="114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6"/>
  <sheetViews>
    <sheetView topLeftCell="B1" zoomScale="80" zoomScaleNormal="80" zoomScaleSheetLayoutView="40" workbookViewId="0">
      <pane xSplit="3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3" width="5.375" style="1" hidden="1" customWidth="1"/>
    <col min="24" max="24" width="5.375" style="1" customWidth="1"/>
    <col min="25" max="25" width="5.375" style="1" hidden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179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1</v>
      </c>
      <c r="B5" s="65" t="s">
        <v>178</v>
      </c>
      <c r="C5" s="64"/>
      <c r="D5" s="63" t="s">
        <v>101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ref="K5:K40" si="0"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0</v>
      </c>
      <c r="N5" s="61">
        <f t="shared" ref="N5:N40" si="1">+ROUND(F5*F$4/(100+F$4),0)+AE5</f>
        <v>0</v>
      </c>
      <c r="O5" s="60">
        <f t="shared" ref="O5:O40" si="2">+ROUND(G5*G$4/(100+G$4),0)+AF5</f>
        <v>0</v>
      </c>
      <c r="P5" s="60">
        <f t="shared" ref="P5:Q40" si="3">+ROUND(H5*H$4/(100+H$4),0)+AG5</f>
        <v>0</v>
      </c>
      <c r="Q5" s="60">
        <f t="shared" si="3"/>
        <v>0</v>
      </c>
      <c r="R5" s="59">
        <f t="shared" ref="R5:R40" si="4">+ROUND(J5*J$4/(100+J$4),0)+AI5</f>
        <v>0</v>
      </c>
      <c r="S5" s="58">
        <f t="shared" ref="S5:S40" si="5">SUM(N5:R5)</f>
        <v>0</v>
      </c>
      <c r="T5" s="85">
        <f t="shared" ref="T5:T40" si="6">+E5-S5</f>
        <v>0</v>
      </c>
      <c r="U5" s="31">
        <f t="shared" ref="U5:U40" si="7">N5-F5*F$4/(100+F$4)</f>
        <v>0</v>
      </c>
      <c r="V5" s="31">
        <f t="shared" ref="V5:V40" si="8">O5-G5*G$4/(100+G$4)</f>
        <v>0</v>
      </c>
      <c r="W5" s="31">
        <f t="shared" ref="W5:X40" si="9">P5-H5*H$4/(100+H$4)</f>
        <v>0</v>
      </c>
      <c r="X5" s="31">
        <f t="shared" si="9"/>
        <v>0</v>
      </c>
      <c r="Y5" s="31">
        <f t="shared" ref="Y5:Y40" si="10">R5-J5*J$4/(100+J$4)</f>
        <v>0</v>
      </c>
      <c r="Z5" s="30">
        <f t="shared" ref="Z5:Z40" si="11">+IF(N$43=0,0,IF(N$43&lt;0,-RANK(U5,U$5:U$40,0),RANK(U5,U$5:U$40,1)))</f>
        <v>0</v>
      </c>
      <c r="AA5" s="30">
        <f t="shared" ref="AA5:AA40" si="12">+IF(O$43=0,0,IF(O$43&lt;0,-RANK(V5,V$5:V$40,0),RANK(V5,V$5:V$40,1)))</f>
        <v>0</v>
      </c>
      <c r="AB5" s="30">
        <f t="shared" ref="AB5:AC40" si="13">+IF(P$43=0,0,IF(P$43&lt;0,-RANK(W5,W$5:W$40,0),RANK(W5,W$5:W$40,1)))</f>
        <v>0</v>
      </c>
      <c r="AC5" s="30">
        <f t="shared" si="13"/>
        <v>0</v>
      </c>
      <c r="AD5" s="30">
        <f t="shared" ref="AD5:AD40" si="14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1</v>
      </c>
      <c r="B6" s="50" t="s">
        <v>177</v>
      </c>
      <c r="C6" s="49"/>
      <c r="D6" s="48" t="s">
        <v>99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67726400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 t="shared" si="0"/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67726400</v>
      </c>
      <c r="N6" s="43">
        <f t="shared" si="1"/>
        <v>0</v>
      </c>
      <c r="O6" s="42">
        <f t="shared" si="2"/>
        <v>0</v>
      </c>
      <c r="P6" s="42">
        <f t="shared" si="3"/>
        <v>0</v>
      </c>
      <c r="Q6" s="42">
        <f t="shared" si="3"/>
        <v>0</v>
      </c>
      <c r="R6" s="46">
        <f t="shared" si="4"/>
        <v>0</v>
      </c>
      <c r="S6" s="45">
        <f t="shared" si="5"/>
        <v>0</v>
      </c>
      <c r="T6" s="44">
        <f t="shared" si="6"/>
        <v>67726400</v>
      </c>
      <c r="U6" s="31">
        <f t="shared" si="7"/>
        <v>0</v>
      </c>
      <c r="V6" s="31">
        <f t="shared" si="8"/>
        <v>0</v>
      </c>
      <c r="W6" s="31">
        <f t="shared" si="9"/>
        <v>0</v>
      </c>
      <c r="X6" s="31">
        <f t="shared" si="9"/>
        <v>0</v>
      </c>
      <c r="Y6" s="31">
        <f t="shared" si="10"/>
        <v>0</v>
      </c>
      <c r="Z6" s="30">
        <f t="shared" si="11"/>
        <v>0</v>
      </c>
      <c r="AA6" s="30">
        <f t="shared" si="12"/>
        <v>0</v>
      </c>
      <c r="AB6" s="30">
        <f t="shared" si="13"/>
        <v>0</v>
      </c>
      <c r="AC6" s="30">
        <f t="shared" si="13"/>
        <v>0</v>
      </c>
      <c r="AD6" s="30">
        <f t="shared" si="14"/>
        <v>0</v>
      </c>
      <c r="AE6" s="29"/>
      <c r="AF6" s="29"/>
      <c r="AG6" s="29"/>
      <c r="AH6" s="29"/>
      <c r="AI6" s="29"/>
    </row>
    <row r="7" spans="1:35" x14ac:dyDescent="0.15">
      <c r="A7" s="51">
        <v>1</v>
      </c>
      <c r="B7" s="50" t="s">
        <v>176</v>
      </c>
      <c r="C7" s="49"/>
      <c r="D7" s="48" t="s">
        <v>97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56283763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2482140</v>
      </c>
      <c r="K7" s="45">
        <f t="shared" si="0"/>
        <v>2482140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53801623</v>
      </c>
      <c r="N7" s="43">
        <f t="shared" si="1"/>
        <v>0</v>
      </c>
      <c r="O7" s="42">
        <f t="shared" si="2"/>
        <v>0</v>
      </c>
      <c r="P7" s="42">
        <f t="shared" si="3"/>
        <v>0</v>
      </c>
      <c r="Q7" s="42">
        <f t="shared" si="3"/>
        <v>0</v>
      </c>
      <c r="R7" s="46">
        <f t="shared" si="4"/>
        <v>225649</v>
      </c>
      <c r="S7" s="45">
        <f t="shared" si="5"/>
        <v>225649</v>
      </c>
      <c r="T7" s="44">
        <f t="shared" si="6"/>
        <v>56058114</v>
      </c>
      <c r="U7" s="31">
        <f t="shared" si="7"/>
        <v>0</v>
      </c>
      <c r="V7" s="31">
        <f t="shared" si="8"/>
        <v>0</v>
      </c>
      <c r="W7" s="31">
        <f t="shared" si="9"/>
        <v>0</v>
      </c>
      <c r="X7" s="31">
        <f t="shared" si="9"/>
        <v>0</v>
      </c>
      <c r="Y7" s="31">
        <f t="shared" si="10"/>
        <v>-9.0909090911736712E-2</v>
      </c>
      <c r="Z7" s="30">
        <f t="shared" si="11"/>
        <v>0</v>
      </c>
      <c r="AA7" s="30">
        <f t="shared" si="12"/>
        <v>0</v>
      </c>
      <c r="AB7" s="30">
        <f t="shared" si="13"/>
        <v>0</v>
      </c>
      <c r="AC7" s="30">
        <f t="shared" si="13"/>
        <v>0</v>
      </c>
      <c r="AD7" s="30">
        <f t="shared" si="14"/>
        <v>0</v>
      </c>
      <c r="AE7" s="29"/>
      <c r="AF7" s="29"/>
      <c r="AG7" s="29"/>
      <c r="AH7" s="29"/>
      <c r="AI7" s="29"/>
    </row>
    <row r="8" spans="1:35" x14ac:dyDescent="0.15">
      <c r="A8" s="51">
        <v>1</v>
      </c>
      <c r="B8" s="50" t="s">
        <v>175</v>
      </c>
      <c r="C8" s="49"/>
      <c r="D8" s="48" t="s">
        <v>95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24613509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 t="shared" si="0"/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24511921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101588</v>
      </c>
      <c r="N8" s="43">
        <f t="shared" si="1"/>
        <v>0</v>
      </c>
      <c r="O8" s="42">
        <f t="shared" si="2"/>
        <v>0</v>
      </c>
      <c r="P8" s="42">
        <f t="shared" si="3"/>
        <v>0</v>
      </c>
      <c r="Q8" s="42">
        <f t="shared" si="3"/>
        <v>0</v>
      </c>
      <c r="R8" s="46">
        <f t="shared" si="4"/>
        <v>0</v>
      </c>
      <c r="S8" s="45">
        <f t="shared" si="5"/>
        <v>0</v>
      </c>
      <c r="T8" s="44">
        <f t="shared" si="6"/>
        <v>24613509</v>
      </c>
      <c r="U8" s="31">
        <f t="shared" si="7"/>
        <v>0</v>
      </c>
      <c r="V8" s="31">
        <f t="shared" si="8"/>
        <v>0</v>
      </c>
      <c r="W8" s="31">
        <f t="shared" si="9"/>
        <v>0</v>
      </c>
      <c r="X8" s="31">
        <f t="shared" si="9"/>
        <v>0</v>
      </c>
      <c r="Y8" s="31">
        <f t="shared" si="10"/>
        <v>0</v>
      </c>
      <c r="Z8" s="30">
        <f t="shared" si="11"/>
        <v>0</v>
      </c>
      <c r="AA8" s="30">
        <f t="shared" si="12"/>
        <v>0</v>
      </c>
      <c r="AB8" s="30">
        <f t="shared" si="13"/>
        <v>0</v>
      </c>
      <c r="AC8" s="30">
        <f t="shared" si="13"/>
        <v>0</v>
      </c>
      <c r="AD8" s="30">
        <f t="shared" si="14"/>
        <v>0</v>
      </c>
      <c r="AE8" s="29"/>
      <c r="AF8" s="29"/>
      <c r="AG8" s="29"/>
      <c r="AH8" s="29"/>
      <c r="AI8" s="29"/>
    </row>
    <row r="9" spans="1:35" x14ac:dyDescent="0.15">
      <c r="A9" s="51">
        <v>1</v>
      </c>
      <c r="B9" s="50" t="s">
        <v>174</v>
      </c>
      <c r="C9" s="49"/>
      <c r="D9" s="48" t="s">
        <v>93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 t="shared" si="0"/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1"/>
        <v>0</v>
      </c>
      <c r="O9" s="42">
        <f t="shared" si="2"/>
        <v>0</v>
      </c>
      <c r="P9" s="42">
        <f t="shared" si="3"/>
        <v>0</v>
      </c>
      <c r="Q9" s="42">
        <f t="shared" si="3"/>
        <v>0</v>
      </c>
      <c r="R9" s="46">
        <f t="shared" si="4"/>
        <v>0</v>
      </c>
      <c r="S9" s="45">
        <f t="shared" si="5"/>
        <v>0</v>
      </c>
      <c r="T9" s="44">
        <f t="shared" si="6"/>
        <v>0</v>
      </c>
      <c r="U9" s="31">
        <f t="shared" si="7"/>
        <v>0</v>
      </c>
      <c r="V9" s="31">
        <f t="shared" si="8"/>
        <v>0</v>
      </c>
      <c r="W9" s="31">
        <f t="shared" si="9"/>
        <v>0</v>
      </c>
      <c r="X9" s="31">
        <f t="shared" si="9"/>
        <v>0</v>
      </c>
      <c r="Y9" s="31">
        <f t="shared" si="10"/>
        <v>0</v>
      </c>
      <c r="Z9" s="30">
        <f t="shared" si="11"/>
        <v>0</v>
      </c>
      <c r="AA9" s="30">
        <f t="shared" si="12"/>
        <v>0</v>
      </c>
      <c r="AB9" s="30">
        <f t="shared" si="13"/>
        <v>0</v>
      </c>
      <c r="AC9" s="30">
        <f t="shared" si="13"/>
        <v>0</v>
      </c>
      <c r="AD9" s="30">
        <f t="shared" si="14"/>
        <v>0</v>
      </c>
      <c r="AE9" s="29"/>
      <c r="AF9" s="29"/>
      <c r="AG9" s="29"/>
      <c r="AH9" s="29"/>
      <c r="AI9" s="29"/>
    </row>
    <row r="10" spans="1:35" x14ac:dyDescent="0.15">
      <c r="A10" s="51">
        <v>1</v>
      </c>
      <c r="B10" s="50" t="s">
        <v>173</v>
      </c>
      <c r="C10" s="49"/>
      <c r="D10" s="48" t="s">
        <v>91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 t="shared" si="0"/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0</v>
      </c>
      <c r="N10" s="43">
        <f t="shared" si="1"/>
        <v>0</v>
      </c>
      <c r="O10" s="42">
        <f t="shared" si="2"/>
        <v>0</v>
      </c>
      <c r="P10" s="42">
        <f t="shared" si="3"/>
        <v>0</v>
      </c>
      <c r="Q10" s="42">
        <f t="shared" si="3"/>
        <v>0</v>
      </c>
      <c r="R10" s="46">
        <f t="shared" si="4"/>
        <v>0</v>
      </c>
      <c r="S10" s="45">
        <f t="shared" si="5"/>
        <v>0</v>
      </c>
      <c r="T10" s="44">
        <f t="shared" si="6"/>
        <v>0</v>
      </c>
      <c r="U10" s="31">
        <f t="shared" si="7"/>
        <v>0</v>
      </c>
      <c r="V10" s="31">
        <f t="shared" si="8"/>
        <v>0</v>
      </c>
      <c r="W10" s="31">
        <f t="shared" si="9"/>
        <v>0</v>
      </c>
      <c r="X10" s="31">
        <f t="shared" si="9"/>
        <v>0</v>
      </c>
      <c r="Y10" s="31">
        <f t="shared" si="10"/>
        <v>0</v>
      </c>
      <c r="Z10" s="30">
        <f t="shared" si="11"/>
        <v>0</v>
      </c>
      <c r="AA10" s="30">
        <f t="shared" si="12"/>
        <v>0</v>
      </c>
      <c r="AB10" s="30">
        <f t="shared" si="13"/>
        <v>0</v>
      </c>
      <c r="AC10" s="30">
        <f t="shared" si="13"/>
        <v>0</v>
      </c>
      <c r="AD10" s="30">
        <f t="shared" si="14"/>
        <v>0</v>
      </c>
      <c r="AE10" s="29"/>
      <c r="AF10" s="29"/>
      <c r="AG10" s="29"/>
      <c r="AH10" s="29"/>
      <c r="AI10" s="29"/>
    </row>
    <row r="11" spans="1:35" x14ac:dyDescent="0.15">
      <c r="A11" s="51">
        <v>1</v>
      </c>
      <c r="B11" s="50" t="s">
        <v>172</v>
      </c>
      <c r="C11" s="49"/>
      <c r="D11" s="48" t="s">
        <v>89</v>
      </c>
      <c r="E11" s="81">
        <f>+IF($A11="",IF($C11="",SUMIFS([1]全伝票!I:I,[1]全伝票!$B:$B,$B11),SUMIFS([1]全伝票!I:I,[1]全伝票!$C:$C,$C11)),IF($C11="",SUMIFS([1]全伝票!I:I,[1]全伝票!$A:$A,$A11,[1]全伝票!$B:$B,$B11),SUMIFS([1]全伝票!I:I,[1]全伝票!$A:$A,$A11,[1]全伝票!$C:$C,$C11)))</f>
        <v>0</v>
      </c>
      <c r="F11" s="84">
        <f>+IF($A11="",IF($C11="",SUMIFS([1]全伝票!J:J,[1]全伝票!$B:$B,$B11),SUMIFS([1]全伝票!J:J,[1]全伝票!$C:$C,$C11)),IF($C11="",SUMIFS([1]全伝票!J:J,[1]全伝票!$A:$A,$A11,[1]全伝票!$B:$B,$B11),SUMIFS([1]全伝票!J:J,[1]全伝票!$A:$A,$A11,[1]全伝票!$C:$C,$C11)))</f>
        <v>0</v>
      </c>
      <c r="G11" s="83">
        <f>+IF($A11="",IF($C11="",SUMIFS([1]全伝票!K:K,[1]全伝票!$B:$B,$B11),SUMIFS([1]全伝票!K:K,[1]全伝票!$C:$C,$C11)),IF($C11="",SUMIFS([1]全伝票!K:K,[1]全伝票!$A:$A,$A11,[1]全伝票!$B:$B,$B11),SUMIFS([1]全伝票!K:K,[1]全伝票!$A:$A,$A11,[1]全伝票!$C:$C,$C11)))</f>
        <v>0</v>
      </c>
      <c r="H11" s="83">
        <f>+IF($A11="",IF($C11="",SUMIFS([1]全伝票!L:L,[1]全伝票!$B:$B,$B11),SUMIFS([1]全伝票!L:L,[1]全伝票!$C:$C,$C11)),IF($C11="",SUMIFS([1]全伝票!L:L,[1]全伝票!$A:$A,$A11,[1]全伝票!$B:$B,$B11),SUMIFS([1]全伝票!L:L,[1]全伝票!$A:$A,$A11,[1]全伝票!$C:$C,$C11)))</f>
        <v>0</v>
      </c>
      <c r="I11" s="83">
        <f>+IF($A11="",IF($C11="",SUMIFS([1]全伝票!M:M,[1]全伝票!$B:$B,$B11),SUMIFS([1]全伝票!M:M,[1]全伝票!$C:$C,$C11)),IF($C11="",SUMIFS([1]全伝票!M:M,[1]全伝票!$A:$A,$A11,[1]全伝票!$B:$B,$B11),SUMIFS([1]全伝票!M:M,[1]全伝票!$A:$A,$A11,[1]全伝票!$C:$C,$C11)))</f>
        <v>0</v>
      </c>
      <c r="J11" s="82">
        <f>+IF($A11="",IF($C11="",SUMIFS([1]全伝票!N:N,[1]全伝票!$B:$B,$B11),SUMIFS([1]全伝票!N:N,[1]全伝票!$C:$C,$C11)),IF($C11="",SUMIFS([1]全伝票!N:N,[1]全伝票!$A:$A,$A11,[1]全伝票!$B:$B,$B11),SUMIFS([1]全伝票!N:N,[1]全伝票!$A:$A,$A11,[1]全伝票!$C:$C,$C11)))</f>
        <v>0</v>
      </c>
      <c r="K11" s="45">
        <f t="shared" si="0"/>
        <v>0</v>
      </c>
      <c r="L11" s="81">
        <f>+IF($A11="",IF($C11="",SUMIFS([1]全伝票!O:O,[1]全伝票!$B:$B,$B11),SUMIFS([1]全伝票!O:O,[1]全伝票!$C:$C,$C11)),IF($C11="",SUMIFS([1]全伝票!O:O,[1]全伝票!$A:$A,$A11,[1]全伝票!$B:$B,$B11),SUMIFS([1]全伝票!O:O,[1]全伝票!$A:$A,$A11,[1]全伝票!$C:$C,$C11)))</f>
        <v>0</v>
      </c>
      <c r="M11" s="81">
        <f>+IF($A11="",IF($C11="",SUMIFS([1]全伝票!P:P,[1]全伝票!$B:$B,$B11),SUMIFS([1]全伝票!P:P,[1]全伝票!$C:$C,$C11)),IF($C11="",SUMIFS([1]全伝票!P:P,[1]全伝票!$A:$A,$A11,[1]全伝票!$B:$B,$B11),SUMIFS([1]全伝票!P:P,[1]全伝票!$A:$A,$A11,[1]全伝票!$C:$C,$C11)))</f>
        <v>0</v>
      </c>
      <c r="N11" s="43">
        <f t="shared" si="1"/>
        <v>0</v>
      </c>
      <c r="O11" s="42">
        <f t="shared" si="2"/>
        <v>0</v>
      </c>
      <c r="P11" s="42">
        <f t="shared" si="3"/>
        <v>0</v>
      </c>
      <c r="Q11" s="42">
        <f t="shared" si="3"/>
        <v>0</v>
      </c>
      <c r="R11" s="46">
        <f t="shared" si="4"/>
        <v>0</v>
      </c>
      <c r="S11" s="45">
        <f t="shared" si="5"/>
        <v>0</v>
      </c>
      <c r="T11" s="44">
        <f t="shared" si="6"/>
        <v>0</v>
      </c>
      <c r="U11" s="31">
        <f t="shared" si="7"/>
        <v>0</v>
      </c>
      <c r="V11" s="31">
        <f t="shared" si="8"/>
        <v>0</v>
      </c>
      <c r="W11" s="31">
        <f t="shared" si="9"/>
        <v>0</v>
      </c>
      <c r="X11" s="31">
        <f t="shared" si="9"/>
        <v>0</v>
      </c>
      <c r="Y11" s="31">
        <f t="shared" si="10"/>
        <v>0</v>
      </c>
      <c r="Z11" s="30">
        <f t="shared" si="11"/>
        <v>0</v>
      </c>
      <c r="AA11" s="30">
        <f t="shared" si="12"/>
        <v>0</v>
      </c>
      <c r="AB11" s="30">
        <f t="shared" si="13"/>
        <v>0</v>
      </c>
      <c r="AC11" s="30">
        <f t="shared" si="13"/>
        <v>0</v>
      </c>
      <c r="AD11" s="30">
        <f t="shared" si="14"/>
        <v>0</v>
      </c>
      <c r="AE11" s="29"/>
      <c r="AF11" s="29"/>
      <c r="AG11" s="29"/>
      <c r="AH11" s="29"/>
      <c r="AI11" s="29"/>
    </row>
    <row r="12" spans="1:35" x14ac:dyDescent="0.15">
      <c r="A12" s="51">
        <v>1</v>
      </c>
      <c r="B12" s="50" t="s">
        <v>170</v>
      </c>
      <c r="C12" s="49" t="s">
        <v>171</v>
      </c>
      <c r="D12" s="48" t="s">
        <v>87</v>
      </c>
      <c r="E12" s="81">
        <f>+IF($A12="",IF($C12="",SUMIFS([1]全伝票!I:I,[1]全伝票!$B:$B,$B12),SUMIFS([1]全伝票!I:I,[1]全伝票!$C:$C,$C12)),IF($C12="",SUMIFS([1]全伝票!I:I,[1]全伝票!$A:$A,$A12,[1]全伝票!$B:$B,$B12),SUMIFS([1]全伝票!I:I,[1]全伝票!$A:$A,$A12,[1]全伝票!$C:$C,$C12)))</f>
        <v>0</v>
      </c>
      <c r="F12" s="84">
        <f>+IF($A12="",IF($C12="",SUMIFS([1]全伝票!J:J,[1]全伝票!$B:$B,$B12),SUMIFS([1]全伝票!J:J,[1]全伝票!$C:$C,$C12)),IF($C12="",SUMIFS([1]全伝票!J:J,[1]全伝票!$A:$A,$A12,[1]全伝票!$B:$B,$B12),SUMIFS([1]全伝票!J:J,[1]全伝票!$A:$A,$A12,[1]全伝票!$C:$C,$C12)))</f>
        <v>0</v>
      </c>
      <c r="G12" s="83">
        <f>+IF($A12="",IF($C12="",SUMIFS([1]全伝票!K:K,[1]全伝票!$B:$B,$B12),SUMIFS([1]全伝票!K:K,[1]全伝票!$C:$C,$C12)),IF($C12="",SUMIFS([1]全伝票!K:K,[1]全伝票!$A:$A,$A12,[1]全伝票!$B:$B,$B12),SUMIFS([1]全伝票!K:K,[1]全伝票!$A:$A,$A12,[1]全伝票!$C:$C,$C12)))</f>
        <v>0</v>
      </c>
      <c r="H12" s="83">
        <f>+IF($A12="",IF($C12="",SUMIFS([1]全伝票!L:L,[1]全伝票!$B:$B,$B12),SUMIFS([1]全伝票!L:L,[1]全伝票!$C:$C,$C12)),IF($C12="",SUMIFS([1]全伝票!L:L,[1]全伝票!$A:$A,$A12,[1]全伝票!$B:$B,$B12),SUMIFS([1]全伝票!L:L,[1]全伝票!$A:$A,$A12,[1]全伝票!$C:$C,$C12)))</f>
        <v>0</v>
      </c>
      <c r="I12" s="83">
        <f>+IF($A12="",IF($C12="",SUMIFS([1]全伝票!M:M,[1]全伝票!$B:$B,$B12),SUMIFS([1]全伝票!M:M,[1]全伝票!$C:$C,$C12)),IF($C12="",SUMIFS([1]全伝票!M:M,[1]全伝票!$A:$A,$A12,[1]全伝票!$B:$B,$B12),SUMIFS([1]全伝票!M:M,[1]全伝票!$A:$A,$A12,[1]全伝票!$C:$C,$C12)))</f>
        <v>0</v>
      </c>
      <c r="J12" s="82">
        <f>+IF($A12="",IF($C12="",SUMIFS([1]全伝票!N:N,[1]全伝票!$B:$B,$B12),SUMIFS([1]全伝票!N:N,[1]全伝票!$C:$C,$C12)),IF($C12="",SUMIFS([1]全伝票!N:N,[1]全伝票!$A:$A,$A12,[1]全伝票!$B:$B,$B12),SUMIFS([1]全伝票!N:N,[1]全伝票!$A:$A,$A12,[1]全伝票!$C:$C,$C12)))</f>
        <v>0</v>
      </c>
      <c r="K12" s="45">
        <f t="shared" si="0"/>
        <v>0</v>
      </c>
      <c r="L12" s="81">
        <f>+IF($A12="",IF($C12="",SUMIFS([1]全伝票!O:O,[1]全伝票!$B:$B,$B12),SUMIFS([1]全伝票!O:O,[1]全伝票!$C:$C,$C12)),IF($C12="",SUMIFS([1]全伝票!O:O,[1]全伝票!$A:$A,$A12,[1]全伝票!$B:$B,$B12),SUMIFS([1]全伝票!O:O,[1]全伝票!$A:$A,$A12,[1]全伝票!$C:$C,$C12)))</f>
        <v>0</v>
      </c>
      <c r="M12" s="81">
        <f>+IF($A12="",IF($C12="",SUMIFS([1]全伝票!P:P,[1]全伝票!$B:$B,$B12),SUMIFS([1]全伝票!P:P,[1]全伝票!$C:$C,$C12)),IF($C12="",SUMIFS([1]全伝票!P:P,[1]全伝票!$A:$A,$A12,[1]全伝票!$B:$B,$B12),SUMIFS([1]全伝票!P:P,[1]全伝票!$A:$A,$A12,[1]全伝票!$C:$C,$C12)))</f>
        <v>0</v>
      </c>
      <c r="N12" s="43">
        <f t="shared" si="1"/>
        <v>0</v>
      </c>
      <c r="O12" s="42">
        <f t="shared" si="2"/>
        <v>0</v>
      </c>
      <c r="P12" s="42">
        <f t="shared" si="3"/>
        <v>0</v>
      </c>
      <c r="Q12" s="42">
        <f t="shared" si="3"/>
        <v>0</v>
      </c>
      <c r="R12" s="46">
        <f t="shared" si="4"/>
        <v>0</v>
      </c>
      <c r="S12" s="45">
        <f t="shared" si="5"/>
        <v>0</v>
      </c>
      <c r="T12" s="44">
        <f t="shared" si="6"/>
        <v>0</v>
      </c>
      <c r="U12" s="31">
        <f t="shared" si="7"/>
        <v>0</v>
      </c>
      <c r="V12" s="31">
        <f t="shared" si="8"/>
        <v>0</v>
      </c>
      <c r="W12" s="31">
        <f t="shared" si="9"/>
        <v>0</v>
      </c>
      <c r="X12" s="31">
        <f t="shared" si="9"/>
        <v>0</v>
      </c>
      <c r="Y12" s="31">
        <f t="shared" si="10"/>
        <v>0</v>
      </c>
      <c r="Z12" s="30">
        <f t="shared" si="11"/>
        <v>0</v>
      </c>
      <c r="AA12" s="30">
        <f t="shared" si="12"/>
        <v>0</v>
      </c>
      <c r="AB12" s="30">
        <f t="shared" si="13"/>
        <v>0</v>
      </c>
      <c r="AC12" s="30">
        <f t="shared" si="13"/>
        <v>0</v>
      </c>
      <c r="AD12" s="30">
        <f t="shared" si="14"/>
        <v>0</v>
      </c>
      <c r="AE12" s="29"/>
      <c r="AF12" s="29"/>
      <c r="AG12" s="29"/>
      <c r="AH12" s="29"/>
      <c r="AI12" s="29"/>
    </row>
    <row r="13" spans="1:35" x14ac:dyDescent="0.15">
      <c r="A13" s="51">
        <v>1</v>
      </c>
      <c r="B13" s="50" t="s">
        <v>170</v>
      </c>
      <c r="C13" s="49" t="s">
        <v>169</v>
      </c>
      <c r="D13" s="48" t="s">
        <v>84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 t="shared" si="0"/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0</v>
      </c>
      <c r="N13" s="43">
        <f t="shared" si="1"/>
        <v>0</v>
      </c>
      <c r="O13" s="42">
        <f t="shared" si="2"/>
        <v>0</v>
      </c>
      <c r="P13" s="42">
        <f t="shared" si="3"/>
        <v>0</v>
      </c>
      <c r="Q13" s="42">
        <f t="shared" si="3"/>
        <v>0</v>
      </c>
      <c r="R13" s="46">
        <f t="shared" si="4"/>
        <v>0</v>
      </c>
      <c r="S13" s="45">
        <f t="shared" si="5"/>
        <v>0</v>
      </c>
      <c r="T13" s="44">
        <f t="shared" si="6"/>
        <v>0</v>
      </c>
      <c r="U13" s="31">
        <f t="shared" si="7"/>
        <v>0</v>
      </c>
      <c r="V13" s="31">
        <f t="shared" si="8"/>
        <v>0</v>
      </c>
      <c r="W13" s="31">
        <f t="shared" si="9"/>
        <v>0</v>
      </c>
      <c r="X13" s="31">
        <f t="shared" si="9"/>
        <v>0</v>
      </c>
      <c r="Y13" s="31">
        <f t="shared" si="10"/>
        <v>0</v>
      </c>
      <c r="Z13" s="30">
        <f t="shared" si="11"/>
        <v>0</v>
      </c>
      <c r="AA13" s="30">
        <f t="shared" si="12"/>
        <v>0</v>
      </c>
      <c r="AB13" s="30">
        <f t="shared" si="13"/>
        <v>0</v>
      </c>
      <c r="AC13" s="30">
        <f t="shared" si="13"/>
        <v>0</v>
      </c>
      <c r="AD13" s="30">
        <f t="shared" si="14"/>
        <v>0</v>
      </c>
      <c r="AE13" s="29"/>
      <c r="AF13" s="29"/>
      <c r="AG13" s="29"/>
      <c r="AH13" s="29"/>
      <c r="AI13" s="29"/>
    </row>
    <row r="14" spans="1:35" x14ac:dyDescent="0.15">
      <c r="A14" s="51">
        <v>1</v>
      </c>
      <c r="B14" s="50" t="s">
        <v>168</v>
      </c>
      <c r="C14" s="49"/>
      <c r="D14" s="48" t="s">
        <v>82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144037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144037</v>
      </c>
      <c r="K14" s="45">
        <f t="shared" si="0"/>
        <v>144037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1"/>
        <v>0</v>
      </c>
      <c r="O14" s="42">
        <f t="shared" si="2"/>
        <v>0</v>
      </c>
      <c r="P14" s="42">
        <f t="shared" si="3"/>
        <v>0</v>
      </c>
      <c r="Q14" s="42">
        <f t="shared" si="3"/>
        <v>0</v>
      </c>
      <c r="R14" s="46">
        <f t="shared" si="4"/>
        <v>13094</v>
      </c>
      <c r="S14" s="45">
        <f t="shared" si="5"/>
        <v>13094</v>
      </c>
      <c r="T14" s="44">
        <f t="shared" si="6"/>
        <v>130943</v>
      </c>
      <c r="U14" s="31">
        <f t="shared" si="7"/>
        <v>0</v>
      </c>
      <c r="V14" s="31">
        <f t="shared" si="8"/>
        <v>0</v>
      </c>
      <c r="W14" s="31">
        <f t="shared" si="9"/>
        <v>0</v>
      </c>
      <c r="X14" s="31">
        <f t="shared" si="9"/>
        <v>0</v>
      </c>
      <c r="Y14" s="31">
        <f t="shared" si="10"/>
        <v>-0.27272727272793418</v>
      </c>
      <c r="Z14" s="30">
        <f t="shared" si="11"/>
        <v>0</v>
      </c>
      <c r="AA14" s="30">
        <f t="shared" si="12"/>
        <v>0</v>
      </c>
      <c r="AB14" s="30">
        <f t="shared" si="13"/>
        <v>0</v>
      </c>
      <c r="AC14" s="30">
        <f t="shared" si="13"/>
        <v>0</v>
      </c>
      <c r="AD14" s="30">
        <f t="shared" si="14"/>
        <v>0</v>
      </c>
      <c r="AE14" s="29"/>
      <c r="AF14" s="29"/>
      <c r="AG14" s="29"/>
      <c r="AH14" s="29"/>
      <c r="AI14" s="29"/>
    </row>
    <row r="15" spans="1:35" x14ac:dyDescent="0.15">
      <c r="A15" s="51">
        <v>1</v>
      </c>
      <c r="B15" s="50" t="s">
        <v>167</v>
      </c>
      <c r="C15" s="49"/>
      <c r="D15" s="48" t="s">
        <v>80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181386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181386</v>
      </c>
      <c r="K15" s="45">
        <f t="shared" si="0"/>
        <v>181386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0</v>
      </c>
      <c r="N15" s="43">
        <f t="shared" si="1"/>
        <v>0</v>
      </c>
      <c r="O15" s="42">
        <f t="shared" si="2"/>
        <v>0</v>
      </c>
      <c r="P15" s="42">
        <f t="shared" si="3"/>
        <v>0</v>
      </c>
      <c r="Q15" s="42">
        <f t="shared" si="3"/>
        <v>0</v>
      </c>
      <c r="R15" s="46">
        <f t="shared" si="4"/>
        <v>16490</v>
      </c>
      <c r="S15" s="45">
        <f t="shared" si="5"/>
        <v>16490</v>
      </c>
      <c r="T15" s="44">
        <f t="shared" si="6"/>
        <v>164896</v>
      </c>
      <c r="U15" s="31">
        <f t="shared" si="7"/>
        <v>0</v>
      </c>
      <c r="V15" s="31">
        <f t="shared" si="8"/>
        <v>0</v>
      </c>
      <c r="W15" s="31">
        <f t="shared" si="9"/>
        <v>0</v>
      </c>
      <c r="X15" s="31">
        <f t="shared" si="9"/>
        <v>0</v>
      </c>
      <c r="Y15" s="31">
        <f t="shared" si="10"/>
        <v>0.36363636363603291</v>
      </c>
      <c r="Z15" s="30">
        <f t="shared" si="11"/>
        <v>0</v>
      </c>
      <c r="AA15" s="30">
        <f t="shared" si="12"/>
        <v>0</v>
      </c>
      <c r="AB15" s="30">
        <f t="shared" si="13"/>
        <v>0</v>
      </c>
      <c r="AC15" s="30">
        <f t="shared" si="13"/>
        <v>0</v>
      </c>
      <c r="AD15" s="30">
        <f t="shared" si="14"/>
        <v>0</v>
      </c>
      <c r="AE15" s="29"/>
      <c r="AF15" s="29"/>
      <c r="AG15" s="29"/>
      <c r="AH15" s="29"/>
      <c r="AI15" s="29"/>
    </row>
    <row r="16" spans="1:35" x14ac:dyDescent="0.15">
      <c r="A16" s="51">
        <v>1</v>
      </c>
      <c r="B16" s="50" t="s">
        <v>166</v>
      </c>
      <c r="C16" s="49"/>
      <c r="D16" s="48" t="s">
        <v>78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 t="shared" si="0"/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1"/>
        <v>0</v>
      </c>
      <c r="O16" s="42">
        <f t="shared" si="2"/>
        <v>0</v>
      </c>
      <c r="P16" s="42">
        <f t="shared" si="3"/>
        <v>0</v>
      </c>
      <c r="Q16" s="42">
        <f t="shared" si="3"/>
        <v>0</v>
      </c>
      <c r="R16" s="46">
        <f t="shared" si="4"/>
        <v>0</v>
      </c>
      <c r="S16" s="45">
        <f t="shared" si="5"/>
        <v>0</v>
      </c>
      <c r="T16" s="44">
        <f t="shared" si="6"/>
        <v>0</v>
      </c>
      <c r="U16" s="31">
        <f t="shared" si="7"/>
        <v>0</v>
      </c>
      <c r="V16" s="31">
        <f t="shared" si="8"/>
        <v>0</v>
      </c>
      <c r="W16" s="31">
        <f t="shared" si="9"/>
        <v>0</v>
      </c>
      <c r="X16" s="31">
        <f t="shared" si="9"/>
        <v>0</v>
      </c>
      <c r="Y16" s="31">
        <f t="shared" si="10"/>
        <v>0</v>
      </c>
      <c r="Z16" s="30">
        <f t="shared" si="11"/>
        <v>0</v>
      </c>
      <c r="AA16" s="30">
        <f t="shared" si="12"/>
        <v>0</v>
      </c>
      <c r="AB16" s="30">
        <f t="shared" si="13"/>
        <v>0</v>
      </c>
      <c r="AC16" s="30">
        <f t="shared" si="13"/>
        <v>0</v>
      </c>
      <c r="AD16" s="30">
        <f t="shared" si="14"/>
        <v>0</v>
      </c>
      <c r="AE16" s="29"/>
      <c r="AF16" s="29"/>
      <c r="AG16" s="29"/>
      <c r="AH16" s="29"/>
      <c r="AI16" s="29"/>
    </row>
    <row r="17" spans="1:35" x14ac:dyDescent="0.15">
      <c r="A17" s="51">
        <v>1</v>
      </c>
      <c r="B17" s="50" t="s">
        <v>165</v>
      </c>
      <c r="C17" s="49"/>
      <c r="D17" s="48" t="s">
        <v>76</v>
      </c>
      <c r="E17" s="81">
        <f>+IF($A17="",IF($C17="",SUMIFS([1]全伝票!I:I,[1]全伝票!$B:$B,$B17),SUMIFS([1]全伝票!I:I,[1]全伝票!$C:$C,$C17)),IF($C17="",SUMIFS([1]全伝票!I:I,[1]全伝票!$A:$A,$A17,[1]全伝票!$B:$B,$B17),SUMIFS([1]全伝票!I:I,[1]全伝票!$A:$A,$A17,[1]全伝票!$C:$C,$C17)))</f>
        <v>120705</v>
      </c>
      <c r="F17" s="84">
        <f>+IF($A17="",IF($C17="",SUMIFS([1]全伝票!J:J,[1]全伝票!$B:$B,$B17),SUMIFS([1]全伝票!J:J,[1]全伝票!$C:$C,$C17)),IF($C17="",SUMIFS([1]全伝票!J:J,[1]全伝票!$A:$A,$A17,[1]全伝票!$B:$B,$B17),SUMIFS([1]全伝票!J:J,[1]全伝票!$A:$A,$A17,[1]全伝票!$C:$C,$C17)))</f>
        <v>0</v>
      </c>
      <c r="G17" s="83">
        <f>+IF($A17="",IF($C17="",SUMIFS([1]全伝票!K:K,[1]全伝票!$B:$B,$B17),SUMIFS([1]全伝票!K:K,[1]全伝票!$C:$C,$C17)),IF($C17="",SUMIFS([1]全伝票!K:K,[1]全伝票!$A:$A,$A17,[1]全伝票!$B:$B,$B17),SUMIFS([1]全伝票!K:K,[1]全伝票!$A:$A,$A17,[1]全伝票!$C:$C,$C17)))</f>
        <v>0</v>
      </c>
      <c r="H17" s="83">
        <f>+IF($A17="",IF($C17="",SUMIFS([1]全伝票!L:L,[1]全伝票!$B:$B,$B17),SUMIFS([1]全伝票!L:L,[1]全伝票!$C:$C,$C17)),IF($C17="",SUMIFS([1]全伝票!L:L,[1]全伝票!$A:$A,$A17,[1]全伝票!$B:$B,$B17),SUMIFS([1]全伝票!L:L,[1]全伝票!$A:$A,$A17,[1]全伝票!$C:$C,$C17)))</f>
        <v>0</v>
      </c>
      <c r="I17" s="83">
        <f>+IF($A17="",IF($C17="",SUMIFS([1]全伝票!M:M,[1]全伝票!$B:$B,$B17),SUMIFS([1]全伝票!M:M,[1]全伝票!$C:$C,$C17)),IF($C17="",SUMIFS([1]全伝票!M:M,[1]全伝票!$A:$A,$A17,[1]全伝票!$B:$B,$B17),SUMIFS([1]全伝票!M:M,[1]全伝票!$A:$A,$A17,[1]全伝票!$C:$C,$C17)))</f>
        <v>0</v>
      </c>
      <c r="J17" s="82">
        <f>+IF($A17="",IF($C17="",SUMIFS([1]全伝票!N:N,[1]全伝票!$B:$B,$B17),SUMIFS([1]全伝票!N:N,[1]全伝票!$C:$C,$C17)),IF($C17="",SUMIFS([1]全伝票!N:N,[1]全伝票!$A:$A,$A17,[1]全伝票!$B:$B,$B17),SUMIFS([1]全伝票!N:N,[1]全伝票!$A:$A,$A17,[1]全伝票!$C:$C,$C17)))</f>
        <v>120705</v>
      </c>
      <c r="K17" s="45">
        <f t="shared" si="0"/>
        <v>120705</v>
      </c>
      <c r="L17" s="81">
        <f>+IF($A17="",IF($C17="",SUMIFS([1]全伝票!O:O,[1]全伝票!$B:$B,$B17),SUMIFS([1]全伝票!O:O,[1]全伝票!$C:$C,$C17)),IF($C17="",SUMIFS([1]全伝票!O:O,[1]全伝票!$A:$A,$A17,[1]全伝票!$B:$B,$B17),SUMIFS([1]全伝票!O:O,[1]全伝票!$A:$A,$A17,[1]全伝票!$C:$C,$C17)))</f>
        <v>0</v>
      </c>
      <c r="M17" s="81">
        <f>+IF($A17="",IF($C17="",SUMIFS([1]全伝票!P:P,[1]全伝票!$B:$B,$B17),SUMIFS([1]全伝票!P:P,[1]全伝票!$C:$C,$C17)),IF($C17="",SUMIFS([1]全伝票!P:P,[1]全伝票!$A:$A,$A17,[1]全伝票!$B:$B,$B17),SUMIFS([1]全伝票!P:P,[1]全伝票!$A:$A,$A17,[1]全伝票!$C:$C,$C17)))</f>
        <v>0</v>
      </c>
      <c r="N17" s="43">
        <f t="shared" si="1"/>
        <v>0</v>
      </c>
      <c r="O17" s="42">
        <f t="shared" si="2"/>
        <v>0</v>
      </c>
      <c r="P17" s="42">
        <f t="shared" si="3"/>
        <v>0</v>
      </c>
      <c r="Q17" s="42">
        <f t="shared" si="3"/>
        <v>0</v>
      </c>
      <c r="R17" s="46">
        <f t="shared" si="4"/>
        <v>10973</v>
      </c>
      <c r="S17" s="45">
        <f t="shared" si="5"/>
        <v>10973</v>
      </c>
      <c r="T17" s="44">
        <f t="shared" si="6"/>
        <v>109732</v>
      </c>
      <c r="U17" s="31">
        <f t="shared" si="7"/>
        <v>0</v>
      </c>
      <c r="V17" s="31">
        <f t="shared" si="8"/>
        <v>0</v>
      </c>
      <c r="W17" s="31">
        <f t="shared" si="9"/>
        <v>0</v>
      </c>
      <c r="X17" s="31">
        <f t="shared" si="9"/>
        <v>0</v>
      </c>
      <c r="Y17" s="31">
        <f t="shared" si="10"/>
        <v>-0.18181818181801646</v>
      </c>
      <c r="Z17" s="30">
        <f t="shared" si="11"/>
        <v>0</v>
      </c>
      <c r="AA17" s="30">
        <f t="shared" si="12"/>
        <v>0</v>
      </c>
      <c r="AB17" s="30">
        <f t="shared" si="13"/>
        <v>0</v>
      </c>
      <c r="AC17" s="30">
        <f t="shared" si="13"/>
        <v>0</v>
      </c>
      <c r="AD17" s="30">
        <f t="shared" si="14"/>
        <v>0</v>
      </c>
      <c r="AE17" s="29"/>
      <c r="AF17" s="29"/>
      <c r="AG17" s="29"/>
      <c r="AH17" s="29"/>
      <c r="AI17" s="29"/>
    </row>
    <row r="18" spans="1:35" x14ac:dyDescent="0.15">
      <c r="A18" s="51">
        <v>1</v>
      </c>
      <c r="B18" s="50" t="s">
        <v>164</v>
      </c>
      <c r="C18" s="49"/>
      <c r="D18" s="48" t="s">
        <v>74</v>
      </c>
      <c r="E18" s="81">
        <f>+IF($A18="",IF($C18="",SUMIFS([1]全伝票!I:I,[1]全伝票!$B:$B,$B18),SUMIFS([1]全伝票!I:I,[1]全伝票!$C:$C,$C18)),IF($C18="",SUMIFS([1]全伝票!I:I,[1]全伝票!$A:$A,$A18,[1]全伝票!$B:$B,$B18),SUMIFS([1]全伝票!I:I,[1]全伝票!$A:$A,$A18,[1]全伝票!$C:$C,$C18)))</f>
        <v>3850</v>
      </c>
      <c r="F18" s="84">
        <f>+IF($A18="",IF($C18="",SUMIFS([1]全伝票!J:J,[1]全伝票!$B:$B,$B18),SUMIFS([1]全伝票!J:J,[1]全伝票!$C:$C,$C18)),IF($C18="",SUMIFS([1]全伝票!J:J,[1]全伝票!$A:$A,$A18,[1]全伝票!$B:$B,$B18),SUMIFS([1]全伝票!J:J,[1]全伝票!$A:$A,$A18,[1]全伝票!$C:$C,$C18)))</f>
        <v>0</v>
      </c>
      <c r="G18" s="83">
        <f>+IF($A18="",IF($C18="",SUMIFS([1]全伝票!K:K,[1]全伝票!$B:$B,$B18),SUMIFS([1]全伝票!K:K,[1]全伝票!$C:$C,$C18)),IF($C18="",SUMIFS([1]全伝票!K:K,[1]全伝票!$A:$A,$A18,[1]全伝票!$B:$B,$B18),SUMIFS([1]全伝票!K:K,[1]全伝票!$A:$A,$A18,[1]全伝票!$C:$C,$C18)))</f>
        <v>0</v>
      </c>
      <c r="H18" s="83">
        <f>+IF($A18="",IF($C18="",SUMIFS([1]全伝票!L:L,[1]全伝票!$B:$B,$B18),SUMIFS([1]全伝票!L:L,[1]全伝票!$C:$C,$C18)),IF($C18="",SUMIFS([1]全伝票!L:L,[1]全伝票!$A:$A,$A18,[1]全伝票!$B:$B,$B18),SUMIFS([1]全伝票!L:L,[1]全伝票!$A:$A,$A18,[1]全伝票!$C:$C,$C18)))</f>
        <v>0</v>
      </c>
      <c r="I18" s="83">
        <f>+IF($A18="",IF($C18="",SUMIFS([1]全伝票!M:M,[1]全伝票!$B:$B,$B18),SUMIFS([1]全伝票!M:M,[1]全伝票!$C:$C,$C18)),IF($C18="",SUMIFS([1]全伝票!M:M,[1]全伝票!$A:$A,$A18,[1]全伝票!$B:$B,$B18),SUMIFS([1]全伝票!M:M,[1]全伝票!$A:$A,$A18,[1]全伝票!$C:$C,$C18)))</f>
        <v>0</v>
      </c>
      <c r="J18" s="82">
        <f>+IF($A18="",IF($C18="",SUMIFS([1]全伝票!N:N,[1]全伝票!$B:$B,$B18),SUMIFS([1]全伝票!N:N,[1]全伝票!$C:$C,$C18)),IF($C18="",SUMIFS([1]全伝票!N:N,[1]全伝票!$A:$A,$A18,[1]全伝票!$B:$B,$B18),SUMIFS([1]全伝票!N:N,[1]全伝票!$A:$A,$A18,[1]全伝票!$C:$C,$C18)))</f>
        <v>3850</v>
      </c>
      <c r="K18" s="45">
        <f t="shared" si="0"/>
        <v>3850</v>
      </c>
      <c r="L18" s="81">
        <f>+IF($A18="",IF($C18="",SUMIFS([1]全伝票!O:O,[1]全伝票!$B:$B,$B18),SUMIFS([1]全伝票!O:O,[1]全伝票!$C:$C,$C18)),IF($C18="",SUMIFS([1]全伝票!O:O,[1]全伝票!$A:$A,$A18,[1]全伝票!$B:$B,$B18),SUMIFS([1]全伝票!O:O,[1]全伝票!$A:$A,$A18,[1]全伝票!$C:$C,$C18)))</f>
        <v>0</v>
      </c>
      <c r="M18" s="81">
        <f>+IF($A18="",IF($C18="",SUMIFS([1]全伝票!P:P,[1]全伝票!$B:$B,$B18),SUMIFS([1]全伝票!P:P,[1]全伝票!$C:$C,$C18)),IF($C18="",SUMIFS([1]全伝票!P:P,[1]全伝票!$A:$A,$A18,[1]全伝票!$B:$B,$B18),SUMIFS([1]全伝票!P:P,[1]全伝票!$A:$A,$A18,[1]全伝票!$C:$C,$C18)))</f>
        <v>0</v>
      </c>
      <c r="N18" s="43">
        <f t="shared" si="1"/>
        <v>0</v>
      </c>
      <c r="O18" s="42">
        <f t="shared" si="2"/>
        <v>0</v>
      </c>
      <c r="P18" s="42">
        <f t="shared" si="3"/>
        <v>0</v>
      </c>
      <c r="Q18" s="42">
        <f t="shared" si="3"/>
        <v>0</v>
      </c>
      <c r="R18" s="46">
        <f t="shared" si="4"/>
        <v>350</v>
      </c>
      <c r="S18" s="45">
        <f t="shared" si="5"/>
        <v>350</v>
      </c>
      <c r="T18" s="44">
        <f t="shared" si="6"/>
        <v>3500</v>
      </c>
      <c r="U18" s="31">
        <f t="shared" si="7"/>
        <v>0</v>
      </c>
      <c r="V18" s="31">
        <f t="shared" si="8"/>
        <v>0</v>
      </c>
      <c r="W18" s="31">
        <f t="shared" si="9"/>
        <v>0</v>
      </c>
      <c r="X18" s="31">
        <f t="shared" si="9"/>
        <v>0</v>
      </c>
      <c r="Y18" s="31">
        <f t="shared" si="10"/>
        <v>0</v>
      </c>
      <c r="Z18" s="30">
        <f t="shared" si="11"/>
        <v>0</v>
      </c>
      <c r="AA18" s="30">
        <f t="shared" si="12"/>
        <v>0</v>
      </c>
      <c r="AB18" s="30">
        <f t="shared" si="13"/>
        <v>0</v>
      </c>
      <c r="AC18" s="30">
        <f t="shared" si="13"/>
        <v>0</v>
      </c>
      <c r="AD18" s="30">
        <f t="shared" si="14"/>
        <v>0</v>
      </c>
      <c r="AE18" s="29"/>
      <c r="AF18" s="29"/>
      <c r="AG18" s="29"/>
      <c r="AH18" s="29"/>
      <c r="AI18" s="29"/>
    </row>
    <row r="19" spans="1:35" x14ac:dyDescent="0.15">
      <c r="A19" s="51">
        <v>1</v>
      </c>
      <c r="B19" s="50" t="s">
        <v>163</v>
      </c>
      <c r="C19" s="49"/>
      <c r="D19" s="48" t="s">
        <v>72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10980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0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10980</v>
      </c>
      <c r="K19" s="45">
        <f t="shared" si="0"/>
        <v>10980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0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1"/>
        <v>0</v>
      </c>
      <c r="O19" s="42">
        <f t="shared" si="2"/>
        <v>0</v>
      </c>
      <c r="P19" s="42">
        <f t="shared" si="3"/>
        <v>0</v>
      </c>
      <c r="Q19" s="42">
        <f t="shared" si="3"/>
        <v>0</v>
      </c>
      <c r="R19" s="46">
        <f t="shared" si="4"/>
        <v>998</v>
      </c>
      <c r="S19" s="45">
        <f t="shared" si="5"/>
        <v>998</v>
      </c>
      <c r="T19" s="44">
        <f t="shared" si="6"/>
        <v>9982</v>
      </c>
      <c r="U19" s="31">
        <f t="shared" si="7"/>
        <v>0</v>
      </c>
      <c r="V19" s="31">
        <f t="shared" si="8"/>
        <v>0</v>
      </c>
      <c r="W19" s="31">
        <f t="shared" si="9"/>
        <v>0</v>
      </c>
      <c r="X19" s="31">
        <f t="shared" si="9"/>
        <v>0</v>
      </c>
      <c r="Y19" s="31">
        <f t="shared" si="10"/>
        <v>-0.18181818181813014</v>
      </c>
      <c r="Z19" s="30">
        <f t="shared" si="11"/>
        <v>0</v>
      </c>
      <c r="AA19" s="30">
        <f t="shared" si="12"/>
        <v>0</v>
      </c>
      <c r="AB19" s="30">
        <f t="shared" si="13"/>
        <v>0</v>
      </c>
      <c r="AC19" s="30">
        <f t="shared" si="13"/>
        <v>0</v>
      </c>
      <c r="AD19" s="30">
        <f t="shared" si="14"/>
        <v>0</v>
      </c>
      <c r="AE19" s="29"/>
      <c r="AF19" s="29"/>
      <c r="AG19" s="29"/>
      <c r="AH19" s="29"/>
      <c r="AI19" s="29"/>
    </row>
    <row r="20" spans="1:35" x14ac:dyDescent="0.15">
      <c r="A20" s="51">
        <v>1</v>
      </c>
      <c r="B20" s="50" t="s">
        <v>162</v>
      </c>
      <c r="C20" s="49"/>
      <c r="D20" s="48" t="s">
        <v>70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1071341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1071341</v>
      </c>
      <c r="K20" s="45">
        <f t="shared" si="0"/>
        <v>1071341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1"/>
        <v>0</v>
      </c>
      <c r="O20" s="42">
        <f t="shared" si="2"/>
        <v>0</v>
      </c>
      <c r="P20" s="42">
        <f t="shared" si="3"/>
        <v>0</v>
      </c>
      <c r="Q20" s="42">
        <f t="shared" si="3"/>
        <v>0</v>
      </c>
      <c r="R20" s="46">
        <f t="shared" si="4"/>
        <v>97395</v>
      </c>
      <c r="S20" s="45">
        <f t="shared" si="5"/>
        <v>97395</v>
      </c>
      <c r="T20" s="44">
        <f t="shared" si="6"/>
        <v>973946</v>
      </c>
      <c r="U20" s="31">
        <f t="shared" si="7"/>
        <v>0</v>
      </c>
      <c r="V20" s="31">
        <f t="shared" si="8"/>
        <v>0</v>
      </c>
      <c r="W20" s="31">
        <f t="shared" si="9"/>
        <v>0</v>
      </c>
      <c r="X20" s="31">
        <f t="shared" si="9"/>
        <v>0</v>
      </c>
      <c r="Y20" s="31">
        <f t="shared" si="10"/>
        <v>0.36363636363239493</v>
      </c>
      <c r="Z20" s="30">
        <f t="shared" si="11"/>
        <v>0</v>
      </c>
      <c r="AA20" s="30">
        <f t="shared" si="12"/>
        <v>0</v>
      </c>
      <c r="AB20" s="30">
        <f t="shared" si="13"/>
        <v>0</v>
      </c>
      <c r="AC20" s="30">
        <f t="shared" si="13"/>
        <v>0</v>
      </c>
      <c r="AD20" s="30">
        <f t="shared" si="14"/>
        <v>0</v>
      </c>
      <c r="AE20" s="29"/>
      <c r="AF20" s="29"/>
      <c r="AG20" s="29"/>
      <c r="AH20" s="29"/>
      <c r="AI20" s="29"/>
    </row>
    <row r="21" spans="1:35" x14ac:dyDescent="0.15">
      <c r="A21" s="51">
        <v>1</v>
      </c>
      <c r="B21" s="50" t="s">
        <v>161</v>
      </c>
      <c r="C21" s="49"/>
      <c r="D21" s="48" t="s">
        <v>68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206580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206580</v>
      </c>
      <c r="K21" s="45">
        <f t="shared" si="0"/>
        <v>206580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1"/>
        <v>0</v>
      </c>
      <c r="O21" s="42">
        <f t="shared" si="2"/>
        <v>0</v>
      </c>
      <c r="P21" s="42">
        <f t="shared" si="3"/>
        <v>0</v>
      </c>
      <c r="Q21" s="42">
        <f t="shared" si="3"/>
        <v>0</v>
      </c>
      <c r="R21" s="46">
        <f t="shared" si="4"/>
        <v>18780</v>
      </c>
      <c r="S21" s="45">
        <f t="shared" si="5"/>
        <v>18780</v>
      </c>
      <c r="T21" s="44">
        <f t="shared" si="6"/>
        <v>187800</v>
      </c>
      <c r="U21" s="31">
        <f t="shared" si="7"/>
        <v>0</v>
      </c>
      <c r="V21" s="31">
        <f t="shared" si="8"/>
        <v>0</v>
      </c>
      <c r="W21" s="31">
        <f t="shared" si="9"/>
        <v>0</v>
      </c>
      <c r="X21" s="31">
        <f t="shared" si="9"/>
        <v>0</v>
      </c>
      <c r="Y21" s="31">
        <f t="shared" si="10"/>
        <v>0</v>
      </c>
      <c r="Z21" s="30">
        <f t="shared" si="11"/>
        <v>0</v>
      </c>
      <c r="AA21" s="30">
        <f t="shared" si="12"/>
        <v>0</v>
      </c>
      <c r="AB21" s="30">
        <f t="shared" si="13"/>
        <v>0</v>
      </c>
      <c r="AC21" s="30">
        <f t="shared" si="13"/>
        <v>0</v>
      </c>
      <c r="AD21" s="30">
        <f t="shared" si="14"/>
        <v>0</v>
      </c>
      <c r="AE21" s="29"/>
      <c r="AF21" s="29"/>
      <c r="AG21" s="29"/>
      <c r="AH21" s="29"/>
      <c r="AI21" s="29"/>
    </row>
    <row r="22" spans="1:35" x14ac:dyDescent="0.15">
      <c r="A22" s="51">
        <v>1</v>
      </c>
      <c r="B22" s="50" t="s">
        <v>160</v>
      </c>
      <c r="C22" s="49"/>
      <c r="D22" s="48" t="s">
        <v>66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 t="shared" si="0"/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1"/>
        <v>0</v>
      </c>
      <c r="O22" s="42">
        <f t="shared" si="2"/>
        <v>0</v>
      </c>
      <c r="P22" s="42">
        <f t="shared" si="3"/>
        <v>0</v>
      </c>
      <c r="Q22" s="42">
        <f t="shared" si="3"/>
        <v>0</v>
      </c>
      <c r="R22" s="46">
        <f t="shared" si="4"/>
        <v>0</v>
      </c>
      <c r="S22" s="45">
        <f t="shared" si="5"/>
        <v>0</v>
      </c>
      <c r="T22" s="44">
        <f t="shared" si="6"/>
        <v>0</v>
      </c>
      <c r="U22" s="31">
        <f t="shared" si="7"/>
        <v>0</v>
      </c>
      <c r="V22" s="31">
        <f t="shared" si="8"/>
        <v>0</v>
      </c>
      <c r="W22" s="31">
        <f t="shared" si="9"/>
        <v>0</v>
      </c>
      <c r="X22" s="31">
        <f t="shared" si="9"/>
        <v>0</v>
      </c>
      <c r="Y22" s="31">
        <f t="shared" si="10"/>
        <v>0</v>
      </c>
      <c r="Z22" s="30">
        <f t="shared" si="11"/>
        <v>0</v>
      </c>
      <c r="AA22" s="30">
        <f t="shared" si="12"/>
        <v>0</v>
      </c>
      <c r="AB22" s="30">
        <f t="shared" si="13"/>
        <v>0</v>
      </c>
      <c r="AC22" s="30">
        <f t="shared" si="13"/>
        <v>0</v>
      </c>
      <c r="AD22" s="30">
        <f t="shared" si="14"/>
        <v>0</v>
      </c>
      <c r="AE22" s="29"/>
      <c r="AF22" s="29"/>
      <c r="AG22" s="29"/>
      <c r="AH22" s="29"/>
      <c r="AI22" s="29"/>
    </row>
    <row r="23" spans="1:35" x14ac:dyDescent="0.15">
      <c r="A23" s="51">
        <v>1</v>
      </c>
      <c r="B23" s="50" t="s">
        <v>159</v>
      </c>
      <c r="C23" s="49"/>
      <c r="D23" s="48" t="s">
        <v>64</v>
      </c>
      <c r="E23" s="81">
        <f>+IF($A23="",IF($C23="",SUMIFS([1]全伝票!I:I,[1]全伝票!$B:$B,$B23),SUMIFS([1]全伝票!I:I,[1]全伝票!$C:$C,$C23)),IF($C23="",SUMIFS([1]全伝票!I:I,[1]全伝票!$A:$A,$A23,[1]全伝票!$B:$B,$B23),SUMIFS([1]全伝票!I:I,[1]全伝票!$A:$A,$A23,[1]全伝票!$C:$C,$C23)))</f>
        <v>0</v>
      </c>
      <c r="F23" s="84">
        <f>+IF($A23="",IF($C23="",SUMIFS([1]全伝票!J:J,[1]全伝票!$B:$B,$B23),SUMIFS([1]全伝票!J:J,[1]全伝票!$C:$C,$C23)),IF($C23="",SUMIFS([1]全伝票!J:J,[1]全伝票!$A:$A,$A23,[1]全伝票!$B:$B,$B23),SUMIFS([1]全伝票!J:J,[1]全伝票!$A:$A,$A23,[1]全伝票!$C:$C,$C23)))</f>
        <v>0</v>
      </c>
      <c r="G23" s="83">
        <f>+IF($A23="",IF($C23="",SUMIFS([1]全伝票!K:K,[1]全伝票!$B:$B,$B23),SUMIFS([1]全伝票!K:K,[1]全伝票!$C:$C,$C23)),IF($C23="",SUMIFS([1]全伝票!K:K,[1]全伝票!$A:$A,$A23,[1]全伝票!$B:$B,$B23),SUMIFS([1]全伝票!K:K,[1]全伝票!$A:$A,$A23,[1]全伝票!$C:$C,$C23)))</f>
        <v>0</v>
      </c>
      <c r="H23" s="83">
        <f>+IF($A23="",IF($C23="",SUMIFS([1]全伝票!L:L,[1]全伝票!$B:$B,$B23),SUMIFS([1]全伝票!L:L,[1]全伝票!$C:$C,$C23)),IF($C23="",SUMIFS([1]全伝票!L:L,[1]全伝票!$A:$A,$A23,[1]全伝票!$B:$B,$B23),SUMIFS([1]全伝票!L:L,[1]全伝票!$A:$A,$A23,[1]全伝票!$C:$C,$C23)))</f>
        <v>0</v>
      </c>
      <c r="I23" s="83">
        <f>+IF($A23="",IF($C23="",SUMIFS([1]全伝票!M:M,[1]全伝票!$B:$B,$B23),SUMIFS([1]全伝票!M:M,[1]全伝票!$C:$C,$C23)),IF($C23="",SUMIFS([1]全伝票!M:M,[1]全伝票!$A:$A,$A23,[1]全伝票!$B:$B,$B23),SUMIFS([1]全伝票!M:M,[1]全伝票!$A:$A,$A23,[1]全伝票!$C:$C,$C23)))</f>
        <v>0</v>
      </c>
      <c r="J23" s="82">
        <f>+IF($A23="",IF($C23="",SUMIFS([1]全伝票!N:N,[1]全伝票!$B:$B,$B23),SUMIFS([1]全伝票!N:N,[1]全伝票!$C:$C,$C23)),IF($C23="",SUMIFS([1]全伝票!N:N,[1]全伝票!$A:$A,$A23,[1]全伝票!$B:$B,$B23),SUMIFS([1]全伝票!N:N,[1]全伝票!$A:$A,$A23,[1]全伝票!$C:$C,$C23)))</f>
        <v>0</v>
      </c>
      <c r="K23" s="45">
        <f t="shared" si="0"/>
        <v>0</v>
      </c>
      <c r="L23" s="81">
        <f>+IF($A23="",IF($C23="",SUMIFS([1]全伝票!O:O,[1]全伝票!$B:$B,$B23),SUMIFS([1]全伝票!O:O,[1]全伝票!$C:$C,$C23)),IF($C23="",SUMIFS([1]全伝票!O:O,[1]全伝票!$A:$A,$A23,[1]全伝票!$B:$B,$B23),SUMIFS([1]全伝票!O:O,[1]全伝票!$A:$A,$A23,[1]全伝票!$C:$C,$C23)))</f>
        <v>0</v>
      </c>
      <c r="M23" s="81">
        <f>+IF($A23="",IF($C23="",SUMIFS([1]全伝票!P:P,[1]全伝票!$B:$B,$B23),SUMIFS([1]全伝票!P:P,[1]全伝票!$C:$C,$C23)),IF($C23="",SUMIFS([1]全伝票!P:P,[1]全伝票!$A:$A,$A23,[1]全伝票!$B:$B,$B23),SUMIFS([1]全伝票!P:P,[1]全伝票!$A:$A,$A23,[1]全伝票!$C:$C,$C23)))</f>
        <v>0</v>
      </c>
      <c r="N23" s="43">
        <f t="shared" si="1"/>
        <v>0</v>
      </c>
      <c r="O23" s="42">
        <f t="shared" si="2"/>
        <v>0</v>
      </c>
      <c r="P23" s="42">
        <f t="shared" si="3"/>
        <v>0</v>
      </c>
      <c r="Q23" s="42">
        <f t="shared" si="3"/>
        <v>0</v>
      </c>
      <c r="R23" s="46">
        <f t="shared" si="4"/>
        <v>0</v>
      </c>
      <c r="S23" s="45">
        <f t="shared" si="5"/>
        <v>0</v>
      </c>
      <c r="T23" s="44">
        <f t="shared" si="6"/>
        <v>0</v>
      </c>
      <c r="U23" s="31">
        <f t="shared" si="7"/>
        <v>0</v>
      </c>
      <c r="V23" s="31">
        <f t="shared" si="8"/>
        <v>0</v>
      </c>
      <c r="W23" s="31">
        <f t="shared" si="9"/>
        <v>0</v>
      </c>
      <c r="X23" s="31">
        <f t="shared" si="9"/>
        <v>0</v>
      </c>
      <c r="Y23" s="31">
        <f t="shared" si="10"/>
        <v>0</v>
      </c>
      <c r="Z23" s="30">
        <f t="shared" si="11"/>
        <v>0</v>
      </c>
      <c r="AA23" s="30">
        <f t="shared" si="12"/>
        <v>0</v>
      </c>
      <c r="AB23" s="30">
        <f t="shared" si="13"/>
        <v>0</v>
      </c>
      <c r="AC23" s="30">
        <f t="shared" si="13"/>
        <v>0</v>
      </c>
      <c r="AD23" s="30">
        <f t="shared" si="14"/>
        <v>0</v>
      </c>
      <c r="AE23" s="29"/>
      <c r="AF23" s="29"/>
      <c r="AG23" s="29"/>
      <c r="AH23" s="29"/>
      <c r="AI23" s="29"/>
    </row>
    <row r="24" spans="1:35" x14ac:dyDescent="0.15">
      <c r="A24" s="51">
        <v>1</v>
      </c>
      <c r="B24" s="50" t="s">
        <v>158</v>
      </c>
      <c r="C24" s="49"/>
      <c r="D24" s="48" t="s">
        <v>62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 t="shared" si="0"/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1"/>
        <v>0</v>
      </c>
      <c r="O24" s="42">
        <f t="shared" si="2"/>
        <v>0</v>
      </c>
      <c r="P24" s="42">
        <f t="shared" si="3"/>
        <v>0</v>
      </c>
      <c r="Q24" s="42">
        <f t="shared" si="3"/>
        <v>0</v>
      </c>
      <c r="R24" s="46">
        <f t="shared" si="4"/>
        <v>0</v>
      </c>
      <c r="S24" s="45">
        <f t="shared" si="5"/>
        <v>0</v>
      </c>
      <c r="T24" s="44">
        <f t="shared" si="6"/>
        <v>0</v>
      </c>
      <c r="U24" s="31">
        <f t="shared" si="7"/>
        <v>0</v>
      </c>
      <c r="V24" s="31">
        <f t="shared" si="8"/>
        <v>0</v>
      </c>
      <c r="W24" s="31">
        <f t="shared" si="9"/>
        <v>0</v>
      </c>
      <c r="X24" s="31">
        <f t="shared" si="9"/>
        <v>0</v>
      </c>
      <c r="Y24" s="31">
        <f t="shared" si="10"/>
        <v>0</v>
      </c>
      <c r="Z24" s="30">
        <f t="shared" si="11"/>
        <v>0</v>
      </c>
      <c r="AA24" s="30">
        <f t="shared" si="12"/>
        <v>0</v>
      </c>
      <c r="AB24" s="30">
        <f t="shared" si="13"/>
        <v>0</v>
      </c>
      <c r="AC24" s="30">
        <f t="shared" si="13"/>
        <v>0</v>
      </c>
      <c r="AD24" s="30">
        <f t="shared" si="14"/>
        <v>0</v>
      </c>
      <c r="AE24" s="29"/>
      <c r="AF24" s="29"/>
      <c r="AG24" s="29"/>
      <c r="AH24" s="29"/>
      <c r="AI24" s="29"/>
    </row>
    <row r="25" spans="1:35" x14ac:dyDescent="0.15">
      <c r="A25" s="51">
        <v>1</v>
      </c>
      <c r="B25" s="50" t="s">
        <v>157</v>
      </c>
      <c r="C25" s="49"/>
      <c r="D25" s="48" t="s">
        <v>60</v>
      </c>
      <c r="E25" s="81">
        <f>+IF($A25="",IF($C25="",SUMIFS([1]全伝票!I:I,[1]全伝票!$B:$B,$B25),SUMIFS([1]全伝票!I:I,[1]全伝票!$C:$C,$C25)),IF($C25="",SUMIFS([1]全伝票!I:I,[1]全伝票!$A:$A,$A25,[1]全伝票!$B:$B,$B25),SUMIFS([1]全伝票!I:I,[1]全伝票!$A:$A,$A25,[1]全伝票!$C:$C,$C25)))</f>
        <v>10540</v>
      </c>
      <c r="F25" s="84">
        <f>+IF($A25="",IF($C25="",SUMIFS([1]全伝票!J:J,[1]全伝票!$B:$B,$B25),SUMIFS([1]全伝票!J:J,[1]全伝票!$C:$C,$C25)),IF($C25="",SUMIFS([1]全伝票!J:J,[1]全伝票!$A:$A,$A25,[1]全伝票!$B:$B,$B25),SUMIFS([1]全伝票!J:J,[1]全伝票!$A:$A,$A25,[1]全伝票!$C:$C,$C25)))</f>
        <v>0</v>
      </c>
      <c r="G25" s="83">
        <f>+IF($A25="",IF($C25="",SUMIFS([1]全伝票!K:K,[1]全伝票!$B:$B,$B25),SUMIFS([1]全伝票!K:K,[1]全伝票!$C:$C,$C25)),IF($C25="",SUMIFS([1]全伝票!K:K,[1]全伝票!$A:$A,$A25,[1]全伝票!$B:$B,$B25),SUMIFS([1]全伝票!K:K,[1]全伝票!$A:$A,$A25,[1]全伝票!$C:$C,$C25)))</f>
        <v>0</v>
      </c>
      <c r="H25" s="83">
        <f>+IF($A25="",IF($C25="",SUMIFS([1]全伝票!L:L,[1]全伝票!$B:$B,$B25),SUMIFS([1]全伝票!L:L,[1]全伝票!$C:$C,$C25)),IF($C25="",SUMIFS([1]全伝票!L:L,[1]全伝票!$A:$A,$A25,[1]全伝票!$B:$B,$B25),SUMIFS([1]全伝票!L:L,[1]全伝票!$A:$A,$A25,[1]全伝票!$C:$C,$C25)))</f>
        <v>0</v>
      </c>
      <c r="I25" s="83">
        <f>+IF($A25="",IF($C25="",SUMIFS([1]全伝票!M:M,[1]全伝票!$B:$B,$B25),SUMIFS([1]全伝票!M:M,[1]全伝票!$C:$C,$C25)),IF($C25="",SUMIFS([1]全伝票!M:M,[1]全伝票!$A:$A,$A25,[1]全伝票!$B:$B,$B25),SUMIFS([1]全伝票!M:M,[1]全伝票!$A:$A,$A25,[1]全伝票!$C:$C,$C25)))</f>
        <v>0</v>
      </c>
      <c r="J25" s="82">
        <f>+IF($A25="",IF($C25="",SUMIFS([1]全伝票!N:N,[1]全伝票!$B:$B,$B25),SUMIFS([1]全伝票!N:N,[1]全伝票!$C:$C,$C25)),IF($C25="",SUMIFS([1]全伝票!N:N,[1]全伝票!$A:$A,$A25,[1]全伝票!$B:$B,$B25),SUMIFS([1]全伝票!N:N,[1]全伝票!$A:$A,$A25,[1]全伝票!$C:$C,$C25)))</f>
        <v>0</v>
      </c>
      <c r="K25" s="45">
        <f t="shared" si="0"/>
        <v>0</v>
      </c>
      <c r="L25" s="81">
        <f>+IF($A25="",IF($C25="",SUMIFS([1]全伝票!O:O,[1]全伝票!$B:$B,$B25),SUMIFS([1]全伝票!O:O,[1]全伝票!$C:$C,$C25)),IF($C25="",SUMIFS([1]全伝票!O:O,[1]全伝票!$A:$A,$A25,[1]全伝票!$B:$B,$B25),SUMIFS([1]全伝票!O:O,[1]全伝票!$A:$A,$A25,[1]全伝票!$C:$C,$C25)))</f>
        <v>10540</v>
      </c>
      <c r="M25" s="81">
        <f>+IF($A25="",IF($C25="",SUMIFS([1]全伝票!P:P,[1]全伝票!$B:$B,$B25),SUMIFS([1]全伝票!P:P,[1]全伝票!$C:$C,$C25)),IF($C25="",SUMIFS([1]全伝票!P:P,[1]全伝票!$A:$A,$A25,[1]全伝票!$B:$B,$B25),SUMIFS([1]全伝票!P:P,[1]全伝票!$A:$A,$A25,[1]全伝票!$C:$C,$C25)))</f>
        <v>0</v>
      </c>
      <c r="N25" s="43">
        <f t="shared" si="1"/>
        <v>0</v>
      </c>
      <c r="O25" s="42">
        <f t="shared" si="2"/>
        <v>0</v>
      </c>
      <c r="P25" s="42">
        <f t="shared" si="3"/>
        <v>0</v>
      </c>
      <c r="Q25" s="42">
        <f t="shared" si="3"/>
        <v>0</v>
      </c>
      <c r="R25" s="46">
        <f t="shared" si="4"/>
        <v>0</v>
      </c>
      <c r="S25" s="45">
        <f t="shared" si="5"/>
        <v>0</v>
      </c>
      <c r="T25" s="44">
        <f t="shared" si="6"/>
        <v>10540</v>
      </c>
      <c r="U25" s="31">
        <f t="shared" si="7"/>
        <v>0</v>
      </c>
      <c r="V25" s="31">
        <f t="shared" si="8"/>
        <v>0</v>
      </c>
      <c r="W25" s="31">
        <f t="shared" si="9"/>
        <v>0</v>
      </c>
      <c r="X25" s="31">
        <f t="shared" si="9"/>
        <v>0</v>
      </c>
      <c r="Y25" s="31">
        <f t="shared" si="10"/>
        <v>0</v>
      </c>
      <c r="Z25" s="30">
        <f t="shared" si="11"/>
        <v>0</v>
      </c>
      <c r="AA25" s="30">
        <f t="shared" si="12"/>
        <v>0</v>
      </c>
      <c r="AB25" s="30">
        <f t="shared" si="13"/>
        <v>0</v>
      </c>
      <c r="AC25" s="30">
        <f t="shared" si="13"/>
        <v>0</v>
      </c>
      <c r="AD25" s="30">
        <f t="shared" si="14"/>
        <v>0</v>
      </c>
      <c r="AE25" s="29"/>
      <c r="AF25" s="29"/>
      <c r="AG25" s="29"/>
      <c r="AH25" s="29"/>
      <c r="AI25" s="29"/>
    </row>
    <row r="26" spans="1:35" x14ac:dyDescent="0.15">
      <c r="A26" s="51">
        <v>1</v>
      </c>
      <c r="B26" s="50" t="s">
        <v>156</v>
      </c>
      <c r="C26" s="49"/>
      <c r="D26" s="48" t="s">
        <v>58</v>
      </c>
      <c r="E26" s="81">
        <f>+IF($A26="",IF($C26="",SUMIFS([1]全伝票!I:I,[1]全伝票!$B:$B,$B26),SUMIFS([1]全伝票!I:I,[1]全伝票!$C:$C,$C26)),IF($C26="",SUMIFS([1]全伝票!I:I,[1]全伝票!$A:$A,$A26,[1]全伝票!$B:$B,$B26),SUMIFS([1]全伝票!I:I,[1]全伝票!$A:$A,$A26,[1]全伝票!$C:$C,$C26)))</f>
        <v>0</v>
      </c>
      <c r="F26" s="84">
        <f>+IF($A26="",IF($C26="",SUMIFS([1]全伝票!J:J,[1]全伝票!$B:$B,$B26),SUMIFS([1]全伝票!J:J,[1]全伝票!$C:$C,$C26)),IF($C26="",SUMIFS([1]全伝票!J:J,[1]全伝票!$A:$A,$A26,[1]全伝票!$B:$B,$B26),SUMIFS([1]全伝票!J:J,[1]全伝票!$A:$A,$A26,[1]全伝票!$C:$C,$C26)))</f>
        <v>0</v>
      </c>
      <c r="G26" s="83">
        <f>+IF($A26="",IF($C26="",SUMIFS([1]全伝票!K:K,[1]全伝票!$B:$B,$B26),SUMIFS([1]全伝票!K:K,[1]全伝票!$C:$C,$C26)),IF($C26="",SUMIFS([1]全伝票!K:K,[1]全伝票!$A:$A,$A26,[1]全伝票!$B:$B,$B26),SUMIFS([1]全伝票!K:K,[1]全伝票!$A:$A,$A26,[1]全伝票!$C:$C,$C26)))</f>
        <v>0</v>
      </c>
      <c r="H26" s="83">
        <f>+IF($A26="",IF($C26="",SUMIFS([1]全伝票!L:L,[1]全伝票!$B:$B,$B26),SUMIFS([1]全伝票!L:L,[1]全伝票!$C:$C,$C26)),IF($C26="",SUMIFS([1]全伝票!L:L,[1]全伝票!$A:$A,$A26,[1]全伝票!$B:$B,$B26),SUMIFS([1]全伝票!L:L,[1]全伝票!$A:$A,$A26,[1]全伝票!$C:$C,$C26)))</f>
        <v>0</v>
      </c>
      <c r="I26" s="83">
        <f>+IF($A26="",IF($C26="",SUMIFS([1]全伝票!M:M,[1]全伝票!$B:$B,$B26),SUMIFS([1]全伝票!M:M,[1]全伝票!$C:$C,$C26)),IF($C26="",SUMIFS([1]全伝票!M:M,[1]全伝票!$A:$A,$A26,[1]全伝票!$B:$B,$B26),SUMIFS([1]全伝票!M:M,[1]全伝票!$A:$A,$A26,[1]全伝票!$C:$C,$C26)))</f>
        <v>0</v>
      </c>
      <c r="J26" s="82">
        <f>+IF($A26="",IF($C26="",SUMIFS([1]全伝票!N:N,[1]全伝票!$B:$B,$B26),SUMIFS([1]全伝票!N:N,[1]全伝票!$C:$C,$C26)),IF($C26="",SUMIFS([1]全伝票!N:N,[1]全伝票!$A:$A,$A26,[1]全伝票!$B:$B,$B26),SUMIFS([1]全伝票!N:N,[1]全伝票!$A:$A,$A26,[1]全伝票!$C:$C,$C26)))</f>
        <v>0</v>
      </c>
      <c r="K26" s="45">
        <f t="shared" si="0"/>
        <v>0</v>
      </c>
      <c r="L26" s="81">
        <f>+IF($A26="",IF($C26="",SUMIFS([1]全伝票!O:O,[1]全伝票!$B:$B,$B26),SUMIFS([1]全伝票!O:O,[1]全伝票!$C:$C,$C26)),IF($C26="",SUMIFS([1]全伝票!O:O,[1]全伝票!$A:$A,$A26,[1]全伝票!$B:$B,$B26),SUMIFS([1]全伝票!O:O,[1]全伝票!$A:$A,$A26,[1]全伝票!$C:$C,$C26)))</f>
        <v>0</v>
      </c>
      <c r="M26" s="81">
        <f>+IF($A26="",IF($C26="",SUMIFS([1]全伝票!P:P,[1]全伝票!$B:$B,$B26),SUMIFS([1]全伝票!P:P,[1]全伝票!$C:$C,$C26)),IF($C26="",SUMIFS([1]全伝票!P:P,[1]全伝票!$A:$A,$A26,[1]全伝票!$B:$B,$B26),SUMIFS([1]全伝票!P:P,[1]全伝票!$A:$A,$A26,[1]全伝票!$C:$C,$C26)))</f>
        <v>0</v>
      </c>
      <c r="N26" s="43">
        <f t="shared" si="1"/>
        <v>0</v>
      </c>
      <c r="O26" s="42">
        <f t="shared" si="2"/>
        <v>0</v>
      </c>
      <c r="P26" s="42">
        <f t="shared" si="3"/>
        <v>0</v>
      </c>
      <c r="Q26" s="42">
        <f t="shared" si="3"/>
        <v>0</v>
      </c>
      <c r="R26" s="46">
        <f t="shared" si="4"/>
        <v>0</v>
      </c>
      <c r="S26" s="45">
        <f t="shared" si="5"/>
        <v>0</v>
      </c>
      <c r="T26" s="44">
        <f t="shared" si="6"/>
        <v>0</v>
      </c>
      <c r="U26" s="31">
        <f t="shared" si="7"/>
        <v>0</v>
      </c>
      <c r="V26" s="31">
        <f t="shared" si="8"/>
        <v>0</v>
      </c>
      <c r="W26" s="31">
        <f t="shared" si="9"/>
        <v>0</v>
      </c>
      <c r="X26" s="31">
        <f t="shared" si="9"/>
        <v>0</v>
      </c>
      <c r="Y26" s="31">
        <f t="shared" si="10"/>
        <v>0</v>
      </c>
      <c r="Z26" s="30">
        <f t="shared" si="11"/>
        <v>0</v>
      </c>
      <c r="AA26" s="30">
        <f t="shared" si="12"/>
        <v>0</v>
      </c>
      <c r="AB26" s="30">
        <f t="shared" si="13"/>
        <v>0</v>
      </c>
      <c r="AC26" s="30">
        <f t="shared" si="13"/>
        <v>0</v>
      </c>
      <c r="AD26" s="30">
        <f t="shared" si="14"/>
        <v>0</v>
      </c>
      <c r="AE26" s="29"/>
      <c r="AF26" s="29"/>
      <c r="AG26" s="29"/>
      <c r="AH26" s="29"/>
      <c r="AI26" s="29"/>
    </row>
    <row r="27" spans="1:35" x14ac:dyDescent="0.15">
      <c r="A27" s="51">
        <v>1</v>
      </c>
      <c r="B27" s="50" t="s">
        <v>170</v>
      </c>
      <c r="C27" s="49">
        <v>615421003</v>
      </c>
      <c r="D27" s="48" t="s">
        <v>371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0</v>
      </c>
      <c r="K27" s="45">
        <f t="shared" si="0"/>
        <v>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1"/>
        <v>0</v>
      </c>
      <c r="O27" s="42">
        <f t="shared" si="2"/>
        <v>0</v>
      </c>
      <c r="P27" s="42">
        <f t="shared" si="3"/>
        <v>0</v>
      </c>
      <c r="Q27" s="42">
        <f t="shared" si="3"/>
        <v>0</v>
      </c>
      <c r="R27" s="46">
        <f t="shared" si="4"/>
        <v>0</v>
      </c>
      <c r="S27" s="45">
        <f t="shared" si="5"/>
        <v>0</v>
      </c>
      <c r="T27" s="44">
        <f t="shared" si="6"/>
        <v>0</v>
      </c>
      <c r="U27" s="31">
        <f t="shared" si="7"/>
        <v>0</v>
      </c>
      <c r="V27" s="31">
        <f t="shared" si="8"/>
        <v>0</v>
      </c>
      <c r="W27" s="31">
        <f t="shared" si="9"/>
        <v>0</v>
      </c>
      <c r="X27" s="31">
        <f t="shared" si="9"/>
        <v>0</v>
      </c>
      <c r="Y27" s="31">
        <f t="shared" si="10"/>
        <v>0</v>
      </c>
      <c r="Z27" s="30">
        <f t="shared" si="11"/>
        <v>0</v>
      </c>
      <c r="AA27" s="30">
        <f t="shared" si="12"/>
        <v>0</v>
      </c>
      <c r="AB27" s="30">
        <f t="shared" si="13"/>
        <v>0</v>
      </c>
      <c r="AC27" s="30">
        <f t="shared" si="13"/>
        <v>0</v>
      </c>
      <c r="AD27" s="30">
        <f t="shared" si="14"/>
        <v>0</v>
      </c>
      <c r="AE27" s="29"/>
      <c r="AF27" s="29"/>
      <c r="AG27" s="29"/>
      <c r="AH27" s="29"/>
      <c r="AI27" s="29"/>
    </row>
    <row r="28" spans="1:35" x14ac:dyDescent="0.15">
      <c r="A28" s="51">
        <v>1</v>
      </c>
      <c r="B28" s="50" t="s">
        <v>155</v>
      </c>
      <c r="C28" s="49"/>
      <c r="D28" s="48" t="s">
        <v>56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0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0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0</v>
      </c>
      <c r="N28" s="43">
        <f t="shared" si="1"/>
        <v>0</v>
      </c>
      <c r="O28" s="42">
        <f t="shared" si="2"/>
        <v>0</v>
      </c>
      <c r="P28" s="42">
        <f t="shared" si="3"/>
        <v>0</v>
      </c>
      <c r="Q28" s="42">
        <f t="shared" si="3"/>
        <v>0</v>
      </c>
      <c r="R28" s="46">
        <f t="shared" si="4"/>
        <v>0</v>
      </c>
      <c r="S28" s="45">
        <f t="shared" si="5"/>
        <v>0</v>
      </c>
      <c r="T28" s="44">
        <f t="shared" si="6"/>
        <v>0</v>
      </c>
      <c r="U28" s="31">
        <f t="shared" si="7"/>
        <v>0</v>
      </c>
      <c r="V28" s="31">
        <f t="shared" si="8"/>
        <v>0</v>
      </c>
      <c r="W28" s="31">
        <f t="shared" si="9"/>
        <v>0</v>
      </c>
      <c r="X28" s="31">
        <f t="shared" si="9"/>
        <v>0</v>
      </c>
      <c r="Y28" s="31">
        <f t="shared" si="10"/>
        <v>0</v>
      </c>
      <c r="Z28" s="30">
        <f t="shared" si="11"/>
        <v>0</v>
      </c>
      <c r="AA28" s="30">
        <f t="shared" si="12"/>
        <v>0</v>
      </c>
      <c r="AB28" s="30">
        <f t="shared" si="13"/>
        <v>0</v>
      </c>
      <c r="AC28" s="30">
        <f t="shared" si="13"/>
        <v>0</v>
      </c>
      <c r="AD28" s="30">
        <f t="shared" si="14"/>
        <v>0</v>
      </c>
      <c r="AE28" s="29"/>
      <c r="AF28" s="29"/>
      <c r="AG28" s="29"/>
      <c r="AH28" s="29"/>
      <c r="AI28" s="29"/>
    </row>
    <row r="29" spans="1:35" x14ac:dyDescent="0.15">
      <c r="A29" s="51">
        <v>1</v>
      </c>
      <c r="B29" s="50" t="s">
        <v>154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0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1"/>
        <v>0</v>
      </c>
      <c r="O29" s="42">
        <f t="shared" si="2"/>
        <v>0</v>
      </c>
      <c r="P29" s="42">
        <f t="shared" si="3"/>
        <v>0</v>
      </c>
      <c r="Q29" s="42">
        <f t="shared" si="3"/>
        <v>0</v>
      </c>
      <c r="R29" s="46">
        <f t="shared" si="4"/>
        <v>0</v>
      </c>
      <c r="S29" s="45">
        <f t="shared" si="5"/>
        <v>0</v>
      </c>
      <c r="T29" s="44">
        <f t="shared" si="6"/>
        <v>0</v>
      </c>
      <c r="U29" s="31">
        <f t="shared" si="7"/>
        <v>0</v>
      </c>
      <c r="V29" s="31">
        <f t="shared" si="8"/>
        <v>0</v>
      </c>
      <c r="W29" s="31">
        <f t="shared" si="9"/>
        <v>0</v>
      </c>
      <c r="X29" s="31">
        <f t="shared" si="9"/>
        <v>0</v>
      </c>
      <c r="Y29" s="31">
        <f t="shared" si="10"/>
        <v>0</v>
      </c>
      <c r="Z29" s="30">
        <f t="shared" si="11"/>
        <v>0</v>
      </c>
      <c r="AA29" s="30">
        <f t="shared" si="12"/>
        <v>0</v>
      </c>
      <c r="AB29" s="30">
        <f t="shared" si="13"/>
        <v>0</v>
      </c>
      <c r="AC29" s="30">
        <f t="shared" si="13"/>
        <v>0</v>
      </c>
      <c r="AD29" s="30">
        <f t="shared" si="14"/>
        <v>0</v>
      </c>
      <c r="AE29" s="29"/>
      <c r="AF29" s="29"/>
      <c r="AG29" s="29"/>
      <c r="AH29" s="29"/>
      <c r="AI29" s="29"/>
    </row>
    <row r="30" spans="1:35" x14ac:dyDescent="0.15">
      <c r="A30" s="51">
        <v>1</v>
      </c>
      <c r="B30" s="50" t="s">
        <v>153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1448370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1448370</v>
      </c>
      <c r="K30" s="45">
        <f t="shared" si="0"/>
        <v>1448370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1"/>
        <v>0</v>
      </c>
      <c r="O30" s="42">
        <f t="shared" si="2"/>
        <v>0</v>
      </c>
      <c r="P30" s="42">
        <f t="shared" si="3"/>
        <v>0</v>
      </c>
      <c r="Q30" s="42">
        <f t="shared" si="3"/>
        <v>0</v>
      </c>
      <c r="R30" s="46">
        <f t="shared" si="4"/>
        <v>131670</v>
      </c>
      <c r="S30" s="45">
        <f t="shared" si="5"/>
        <v>131670</v>
      </c>
      <c r="T30" s="44">
        <f t="shared" si="6"/>
        <v>1316700</v>
      </c>
      <c r="U30" s="31">
        <f t="shared" si="7"/>
        <v>0</v>
      </c>
      <c r="V30" s="31">
        <f t="shared" si="8"/>
        <v>0</v>
      </c>
      <c r="W30" s="31">
        <f t="shared" si="9"/>
        <v>0</v>
      </c>
      <c r="X30" s="31">
        <f t="shared" si="9"/>
        <v>0</v>
      </c>
      <c r="Y30" s="31">
        <f t="shared" si="10"/>
        <v>0</v>
      </c>
      <c r="Z30" s="30">
        <f t="shared" si="11"/>
        <v>0</v>
      </c>
      <c r="AA30" s="30">
        <f t="shared" si="12"/>
        <v>0</v>
      </c>
      <c r="AB30" s="30">
        <f t="shared" si="13"/>
        <v>0</v>
      </c>
      <c r="AC30" s="30">
        <f t="shared" si="13"/>
        <v>0</v>
      </c>
      <c r="AD30" s="30">
        <f t="shared" si="14"/>
        <v>0</v>
      </c>
      <c r="AE30" s="29"/>
      <c r="AF30" s="29"/>
      <c r="AG30" s="29"/>
      <c r="AH30" s="29"/>
      <c r="AI30" s="29"/>
    </row>
    <row r="31" spans="1:35" x14ac:dyDescent="0.15">
      <c r="A31" s="51">
        <v>1</v>
      </c>
      <c r="B31" s="50" t="s">
        <v>152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1"/>
        <v>0</v>
      </c>
      <c r="O31" s="42">
        <f t="shared" si="2"/>
        <v>0</v>
      </c>
      <c r="P31" s="42">
        <f t="shared" si="3"/>
        <v>0</v>
      </c>
      <c r="Q31" s="42">
        <f t="shared" si="3"/>
        <v>0</v>
      </c>
      <c r="R31" s="46">
        <f t="shared" si="4"/>
        <v>0</v>
      </c>
      <c r="S31" s="45">
        <f t="shared" si="5"/>
        <v>0</v>
      </c>
      <c r="T31" s="44">
        <f t="shared" si="6"/>
        <v>0</v>
      </c>
      <c r="U31" s="31">
        <f t="shared" si="7"/>
        <v>0</v>
      </c>
      <c r="V31" s="31">
        <f t="shared" si="8"/>
        <v>0</v>
      </c>
      <c r="W31" s="31">
        <f t="shared" si="9"/>
        <v>0</v>
      </c>
      <c r="X31" s="31">
        <f t="shared" si="9"/>
        <v>0</v>
      </c>
      <c r="Y31" s="31">
        <f t="shared" si="10"/>
        <v>0</v>
      </c>
      <c r="Z31" s="30">
        <f t="shared" si="11"/>
        <v>0</v>
      </c>
      <c r="AA31" s="30">
        <f t="shared" si="12"/>
        <v>0</v>
      </c>
      <c r="AB31" s="30">
        <f t="shared" si="13"/>
        <v>0</v>
      </c>
      <c r="AC31" s="30">
        <f t="shared" si="13"/>
        <v>0</v>
      </c>
      <c r="AD31" s="30">
        <f t="shared" si="14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151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1"/>
        <v>0</v>
      </c>
      <c r="O32" s="42">
        <f t="shared" si="2"/>
        <v>0</v>
      </c>
      <c r="P32" s="42">
        <f t="shared" si="3"/>
        <v>0</v>
      </c>
      <c r="Q32" s="42">
        <f t="shared" si="3"/>
        <v>0</v>
      </c>
      <c r="R32" s="46">
        <f t="shared" si="4"/>
        <v>0</v>
      </c>
      <c r="S32" s="45">
        <f t="shared" si="5"/>
        <v>0</v>
      </c>
      <c r="T32" s="44">
        <f t="shared" si="6"/>
        <v>0</v>
      </c>
      <c r="U32" s="31">
        <f t="shared" si="7"/>
        <v>0</v>
      </c>
      <c r="V32" s="31">
        <f t="shared" si="8"/>
        <v>0</v>
      </c>
      <c r="W32" s="31">
        <f t="shared" si="9"/>
        <v>0</v>
      </c>
      <c r="X32" s="31">
        <f t="shared" si="9"/>
        <v>0</v>
      </c>
      <c r="Y32" s="31">
        <f t="shared" si="10"/>
        <v>0</v>
      </c>
      <c r="Z32" s="30">
        <f t="shared" si="11"/>
        <v>0</v>
      </c>
      <c r="AA32" s="30">
        <f t="shared" si="12"/>
        <v>0</v>
      </c>
      <c r="AB32" s="30">
        <f t="shared" si="13"/>
        <v>0</v>
      </c>
      <c r="AC32" s="30">
        <f t="shared" si="13"/>
        <v>0</v>
      </c>
      <c r="AD32" s="30">
        <f t="shared" si="14"/>
        <v>0</v>
      </c>
      <c r="AE32" s="29"/>
      <c r="AF32" s="29"/>
      <c r="AG32" s="29"/>
      <c r="AH32" s="29"/>
      <c r="AI32" s="29"/>
    </row>
    <row r="33" spans="1:35" x14ac:dyDescent="0.15">
      <c r="A33" s="51">
        <v>1</v>
      </c>
      <c r="B33" s="50" t="s">
        <v>150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1"/>
        <v>0</v>
      </c>
      <c r="O33" s="42">
        <f t="shared" si="2"/>
        <v>0</v>
      </c>
      <c r="P33" s="42">
        <f t="shared" si="3"/>
        <v>0</v>
      </c>
      <c r="Q33" s="42">
        <f t="shared" si="3"/>
        <v>0</v>
      </c>
      <c r="R33" s="46">
        <f t="shared" si="4"/>
        <v>0</v>
      </c>
      <c r="S33" s="45">
        <f t="shared" si="5"/>
        <v>0</v>
      </c>
      <c r="T33" s="44">
        <f t="shared" si="6"/>
        <v>0</v>
      </c>
      <c r="U33" s="31">
        <f t="shared" si="7"/>
        <v>0</v>
      </c>
      <c r="V33" s="31">
        <f t="shared" si="8"/>
        <v>0</v>
      </c>
      <c r="W33" s="31">
        <f t="shared" si="9"/>
        <v>0</v>
      </c>
      <c r="X33" s="31">
        <f t="shared" si="9"/>
        <v>0</v>
      </c>
      <c r="Y33" s="31">
        <f t="shared" si="10"/>
        <v>0</v>
      </c>
      <c r="Z33" s="30">
        <f t="shared" si="11"/>
        <v>0</v>
      </c>
      <c r="AA33" s="30">
        <f t="shared" si="12"/>
        <v>0</v>
      </c>
      <c r="AB33" s="30">
        <f t="shared" si="13"/>
        <v>0</v>
      </c>
      <c r="AC33" s="30">
        <f t="shared" si="13"/>
        <v>0</v>
      </c>
      <c r="AD33" s="30">
        <f t="shared" si="14"/>
        <v>0</v>
      </c>
      <c r="AE33" s="29"/>
      <c r="AF33" s="29"/>
      <c r="AG33" s="29"/>
      <c r="AH33" s="29"/>
      <c r="AI33" s="29"/>
    </row>
    <row r="34" spans="1:35" x14ac:dyDescent="0.15">
      <c r="A34" s="51">
        <v>1</v>
      </c>
      <c r="B34" s="50" t="s">
        <v>149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1"/>
        <v>0</v>
      </c>
      <c r="O34" s="42">
        <f t="shared" si="2"/>
        <v>0</v>
      </c>
      <c r="P34" s="42">
        <f t="shared" si="3"/>
        <v>0</v>
      </c>
      <c r="Q34" s="42">
        <f t="shared" si="3"/>
        <v>0</v>
      </c>
      <c r="R34" s="46">
        <f t="shared" si="4"/>
        <v>0</v>
      </c>
      <c r="S34" s="45">
        <f t="shared" si="5"/>
        <v>0</v>
      </c>
      <c r="T34" s="44">
        <f t="shared" si="6"/>
        <v>0</v>
      </c>
      <c r="U34" s="31">
        <f t="shared" si="7"/>
        <v>0</v>
      </c>
      <c r="V34" s="31">
        <f t="shared" si="8"/>
        <v>0</v>
      </c>
      <c r="W34" s="31">
        <f t="shared" si="9"/>
        <v>0</v>
      </c>
      <c r="X34" s="31">
        <f t="shared" si="9"/>
        <v>0</v>
      </c>
      <c r="Y34" s="31">
        <f t="shared" si="10"/>
        <v>0</v>
      </c>
      <c r="Z34" s="30">
        <f t="shared" si="11"/>
        <v>0</v>
      </c>
      <c r="AA34" s="30">
        <f t="shared" si="12"/>
        <v>0</v>
      </c>
      <c r="AB34" s="30">
        <f t="shared" si="13"/>
        <v>0</v>
      </c>
      <c r="AC34" s="30">
        <f t="shared" si="13"/>
        <v>0</v>
      </c>
      <c r="AD34" s="30">
        <f t="shared" si="14"/>
        <v>0</v>
      </c>
      <c r="AE34" s="29"/>
      <c r="AF34" s="29"/>
      <c r="AG34" s="29"/>
      <c r="AH34" s="29"/>
      <c r="AI34" s="29"/>
    </row>
    <row r="35" spans="1:35" x14ac:dyDescent="0.15">
      <c r="A35" s="51">
        <v>1</v>
      </c>
      <c r="B35" s="50" t="s">
        <v>143</v>
      </c>
      <c r="C35" s="49" t="s">
        <v>148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473572660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473572660</v>
      </c>
      <c r="K35" s="45">
        <f t="shared" si="0"/>
        <v>473572660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1"/>
        <v>0</v>
      </c>
      <c r="O35" s="42">
        <f t="shared" si="2"/>
        <v>0</v>
      </c>
      <c r="P35" s="42">
        <f t="shared" si="3"/>
        <v>0</v>
      </c>
      <c r="Q35" s="42">
        <f t="shared" si="3"/>
        <v>0</v>
      </c>
      <c r="R35" s="46">
        <f t="shared" si="4"/>
        <v>43052060</v>
      </c>
      <c r="S35" s="45">
        <f t="shared" si="5"/>
        <v>43052060</v>
      </c>
      <c r="T35" s="44">
        <f t="shared" si="6"/>
        <v>430520600</v>
      </c>
      <c r="U35" s="31">
        <f t="shared" si="7"/>
        <v>0</v>
      </c>
      <c r="V35" s="31">
        <f t="shared" si="8"/>
        <v>0</v>
      </c>
      <c r="W35" s="31">
        <f t="shared" si="9"/>
        <v>0</v>
      </c>
      <c r="X35" s="31">
        <f t="shared" si="9"/>
        <v>0</v>
      </c>
      <c r="Y35" s="31">
        <f t="shared" si="10"/>
        <v>0</v>
      </c>
      <c r="Z35" s="30">
        <f t="shared" si="11"/>
        <v>0</v>
      </c>
      <c r="AA35" s="30">
        <f t="shared" si="12"/>
        <v>0</v>
      </c>
      <c r="AB35" s="30">
        <f t="shared" si="13"/>
        <v>0</v>
      </c>
      <c r="AC35" s="30">
        <f t="shared" si="13"/>
        <v>0</v>
      </c>
      <c r="AD35" s="30">
        <f t="shared" si="14"/>
        <v>0</v>
      </c>
      <c r="AE35" s="29"/>
      <c r="AF35" s="29"/>
      <c r="AG35" s="29"/>
      <c r="AH35" s="29"/>
      <c r="AI35" s="29"/>
    </row>
    <row r="36" spans="1:35" x14ac:dyDescent="0.15">
      <c r="A36" s="51">
        <v>1</v>
      </c>
      <c r="B36" s="50" t="s">
        <v>143</v>
      </c>
      <c r="C36" s="49" t="s">
        <v>147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1"/>
        <v>0</v>
      </c>
      <c r="O36" s="42">
        <f t="shared" si="2"/>
        <v>0</v>
      </c>
      <c r="P36" s="42">
        <f t="shared" si="3"/>
        <v>0</v>
      </c>
      <c r="Q36" s="42">
        <f t="shared" si="3"/>
        <v>0</v>
      </c>
      <c r="R36" s="46">
        <f t="shared" si="4"/>
        <v>0</v>
      </c>
      <c r="S36" s="45">
        <f t="shared" si="5"/>
        <v>0</v>
      </c>
      <c r="T36" s="44">
        <f t="shared" si="6"/>
        <v>0</v>
      </c>
      <c r="U36" s="31">
        <f t="shared" si="7"/>
        <v>0</v>
      </c>
      <c r="V36" s="31">
        <f t="shared" si="8"/>
        <v>0</v>
      </c>
      <c r="W36" s="31">
        <f t="shared" si="9"/>
        <v>0</v>
      </c>
      <c r="X36" s="31">
        <f t="shared" si="9"/>
        <v>0</v>
      </c>
      <c r="Y36" s="31">
        <f t="shared" si="10"/>
        <v>0</v>
      </c>
      <c r="Z36" s="30">
        <f t="shared" si="11"/>
        <v>0</v>
      </c>
      <c r="AA36" s="30">
        <f t="shared" si="12"/>
        <v>0</v>
      </c>
      <c r="AB36" s="30">
        <f t="shared" si="13"/>
        <v>0</v>
      </c>
      <c r="AC36" s="30">
        <f t="shared" si="13"/>
        <v>0</v>
      </c>
      <c r="AD36" s="30">
        <f t="shared" si="14"/>
        <v>0</v>
      </c>
      <c r="AE36" s="29"/>
      <c r="AF36" s="29"/>
      <c r="AG36" s="29"/>
      <c r="AH36" s="29"/>
      <c r="AI36" s="29"/>
    </row>
    <row r="37" spans="1:35" x14ac:dyDescent="0.15">
      <c r="A37" s="51">
        <v>1</v>
      </c>
      <c r="B37" s="50" t="s">
        <v>143</v>
      </c>
      <c r="C37" s="49" t="s">
        <v>146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28758400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28758400</v>
      </c>
      <c r="K37" s="45">
        <f t="shared" si="0"/>
        <v>28758400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1"/>
        <v>0</v>
      </c>
      <c r="O37" s="42">
        <f t="shared" si="2"/>
        <v>0</v>
      </c>
      <c r="P37" s="42">
        <f t="shared" si="3"/>
        <v>0</v>
      </c>
      <c r="Q37" s="42">
        <f t="shared" si="3"/>
        <v>0</v>
      </c>
      <c r="R37" s="46">
        <f t="shared" si="4"/>
        <v>2614400</v>
      </c>
      <c r="S37" s="45">
        <f t="shared" si="5"/>
        <v>2614400</v>
      </c>
      <c r="T37" s="44">
        <f t="shared" si="6"/>
        <v>26144000</v>
      </c>
      <c r="U37" s="31">
        <f t="shared" si="7"/>
        <v>0</v>
      </c>
      <c r="V37" s="31">
        <f t="shared" si="8"/>
        <v>0</v>
      </c>
      <c r="W37" s="31">
        <f t="shared" si="9"/>
        <v>0</v>
      </c>
      <c r="X37" s="31">
        <f t="shared" si="9"/>
        <v>0</v>
      </c>
      <c r="Y37" s="31">
        <f t="shared" si="10"/>
        <v>0</v>
      </c>
      <c r="Z37" s="30">
        <f t="shared" si="11"/>
        <v>0</v>
      </c>
      <c r="AA37" s="30">
        <f t="shared" si="12"/>
        <v>0</v>
      </c>
      <c r="AB37" s="30">
        <f t="shared" si="13"/>
        <v>0</v>
      </c>
      <c r="AC37" s="30">
        <f t="shared" si="13"/>
        <v>0</v>
      </c>
      <c r="AD37" s="30">
        <f t="shared" si="14"/>
        <v>0</v>
      </c>
      <c r="AE37" s="29"/>
      <c r="AF37" s="29"/>
      <c r="AG37" s="29"/>
      <c r="AH37" s="29"/>
      <c r="AI37" s="29"/>
    </row>
    <row r="38" spans="1:35" x14ac:dyDescent="0.15">
      <c r="A38" s="51">
        <v>1</v>
      </c>
      <c r="B38" s="50" t="s">
        <v>143</v>
      </c>
      <c r="C38" s="49" t="s">
        <v>145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10619400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10619400</v>
      </c>
      <c r="K38" s="45">
        <f t="shared" si="0"/>
        <v>10619400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1"/>
        <v>0</v>
      </c>
      <c r="O38" s="42">
        <f t="shared" si="2"/>
        <v>0</v>
      </c>
      <c r="P38" s="42">
        <f t="shared" si="3"/>
        <v>0</v>
      </c>
      <c r="Q38" s="42">
        <f t="shared" si="3"/>
        <v>0</v>
      </c>
      <c r="R38" s="46">
        <f t="shared" si="4"/>
        <v>965400</v>
      </c>
      <c r="S38" s="45">
        <f t="shared" si="5"/>
        <v>965400</v>
      </c>
      <c r="T38" s="44">
        <f t="shared" si="6"/>
        <v>9654000</v>
      </c>
      <c r="U38" s="31">
        <f t="shared" si="7"/>
        <v>0</v>
      </c>
      <c r="V38" s="31">
        <f t="shared" si="8"/>
        <v>0</v>
      </c>
      <c r="W38" s="31">
        <f t="shared" si="9"/>
        <v>0</v>
      </c>
      <c r="X38" s="31">
        <f t="shared" si="9"/>
        <v>0</v>
      </c>
      <c r="Y38" s="31">
        <f t="shared" si="10"/>
        <v>0</v>
      </c>
      <c r="Z38" s="30">
        <f t="shared" si="11"/>
        <v>0</v>
      </c>
      <c r="AA38" s="30">
        <f t="shared" si="12"/>
        <v>0</v>
      </c>
      <c r="AB38" s="30">
        <f t="shared" si="13"/>
        <v>0</v>
      </c>
      <c r="AC38" s="30">
        <f t="shared" si="13"/>
        <v>0</v>
      </c>
      <c r="AD38" s="30">
        <f t="shared" si="14"/>
        <v>0</v>
      </c>
      <c r="AE38" s="29"/>
      <c r="AF38" s="29"/>
      <c r="AG38" s="29"/>
      <c r="AH38" s="29"/>
      <c r="AI38" s="29"/>
    </row>
    <row r="39" spans="1:35" x14ac:dyDescent="0.15">
      <c r="A39" s="51">
        <v>1</v>
      </c>
      <c r="B39" s="50" t="s">
        <v>143</v>
      </c>
      <c r="C39" s="49" t="s">
        <v>144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1"/>
        <v>0</v>
      </c>
      <c r="O39" s="42">
        <f t="shared" si="2"/>
        <v>0</v>
      </c>
      <c r="P39" s="42">
        <f t="shared" si="3"/>
        <v>0</v>
      </c>
      <c r="Q39" s="42">
        <f t="shared" si="3"/>
        <v>0</v>
      </c>
      <c r="R39" s="46">
        <f t="shared" si="4"/>
        <v>0</v>
      </c>
      <c r="S39" s="45">
        <f t="shared" si="5"/>
        <v>0</v>
      </c>
      <c r="T39" s="44">
        <f t="shared" si="6"/>
        <v>0</v>
      </c>
      <c r="U39" s="31">
        <f t="shared" si="7"/>
        <v>0</v>
      </c>
      <c r="V39" s="31">
        <f t="shared" si="8"/>
        <v>0</v>
      </c>
      <c r="W39" s="31">
        <f t="shared" si="9"/>
        <v>0</v>
      </c>
      <c r="X39" s="31">
        <f t="shared" si="9"/>
        <v>0</v>
      </c>
      <c r="Y39" s="31">
        <f t="shared" si="10"/>
        <v>0</v>
      </c>
      <c r="Z39" s="30">
        <f t="shared" si="11"/>
        <v>0</v>
      </c>
      <c r="AA39" s="30">
        <f t="shared" si="12"/>
        <v>0</v>
      </c>
      <c r="AB39" s="30">
        <f t="shared" si="13"/>
        <v>0</v>
      </c>
      <c r="AC39" s="30">
        <f t="shared" si="13"/>
        <v>0</v>
      </c>
      <c r="AD39" s="30">
        <f t="shared" si="14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1</v>
      </c>
      <c r="B40" s="40" t="s">
        <v>143</v>
      </c>
      <c r="C40" s="39" t="s">
        <v>142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328230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328230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1"/>
        <v>0</v>
      </c>
      <c r="O40" s="32">
        <f t="shared" si="2"/>
        <v>0</v>
      </c>
      <c r="P40" s="32">
        <f t="shared" si="3"/>
        <v>0</v>
      </c>
      <c r="Q40" s="32">
        <f t="shared" si="3"/>
        <v>0</v>
      </c>
      <c r="R40" s="36">
        <f t="shared" si="4"/>
        <v>0</v>
      </c>
      <c r="S40" s="35">
        <f t="shared" si="5"/>
        <v>0</v>
      </c>
      <c r="T40" s="34">
        <f t="shared" si="6"/>
        <v>328230</v>
      </c>
      <c r="U40" s="31">
        <f t="shared" si="7"/>
        <v>0</v>
      </c>
      <c r="V40" s="31">
        <f t="shared" si="8"/>
        <v>0</v>
      </c>
      <c r="W40" s="31">
        <f t="shared" si="9"/>
        <v>0</v>
      </c>
      <c r="X40" s="31">
        <f t="shared" si="9"/>
        <v>0</v>
      </c>
      <c r="Y40" s="31">
        <f t="shared" si="10"/>
        <v>0</v>
      </c>
      <c r="Z40" s="30">
        <f t="shared" si="11"/>
        <v>0</v>
      </c>
      <c r="AA40" s="30">
        <f t="shared" si="12"/>
        <v>0</v>
      </c>
      <c r="AB40" s="30">
        <f t="shared" si="13"/>
        <v>0</v>
      </c>
      <c r="AC40" s="30">
        <f t="shared" si="13"/>
        <v>0</v>
      </c>
      <c r="AD40" s="30">
        <f t="shared" si="14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5">SUM(E5:E40)</f>
        <v>665100151</v>
      </c>
      <c r="F41" s="24">
        <f t="shared" si="15"/>
        <v>0</v>
      </c>
      <c r="G41" s="23">
        <f t="shared" si="15"/>
        <v>0</v>
      </c>
      <c r="H41" s="23">
        <f t="shared" si="15"/>
        <v>0</v>
      </c>
      <c r="I41" s="23">
        <f t="shared" ref="I41" si="16">SUM(I5:I40)</f>
        <v>0</v>
      </c>
      <c r="J41" s="22">
        <f t="shared" si="15"/>
        <v>518619849</v>
      </c>
      <c r="K41" s="15">
        <f t="shared" si="15"/>
        <v>518619849</v>
      </c>
      <c r="L41" s="20">
        <f t="shared" si="15"/>
        <v>24850691</v>
      </c>
      <c r="M41" s="20">
        <f t="shared" si="15"/>
        <v>121629611</v>
      </c>
      <c r="N41" s="17">
        <f t="shared" si="15"/>
        <v>0</v>
      </c>
      <c r="O41" s="16">
        <f t="shared" si="15"/>
        <v>0</v>
      </c>
      <c r="P41" s="16">
        <f t="shared" si="15"/>
        <v>0</v>
      </c>
      <c r="Q41" s="16">
        <f t="shared" ref="Q41" si="17">SUM(Q5:Q40)</f>
        <v>0</v>
      </c>
      <c r="R41" s="19">
        <f t="shared" si="15"/>
        <v>47147259</v>
      </c>
      <c r="S41" s="15">
        <f t="shared" si="15"/>
        <v>47147259</v>
      </c>
      <c r="T41" s="18">
        <f t="shared" si="15"/>
        <v>617952892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8">+E41</f>
        <v>665100151</v>
      </c>
      <c r="F42" s="10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8">
        <f t="shared" si="18"/>
        <v>518619849</v>
      </c>
      <c r="K42" s="4">
        <f>SUM(F42:J42)</f>
        <v>518619849</v>
      </c>
      <c r="L42" s="5">
        <f>+L41</f>
        <v>24850691</v>
      </c>
      <c r="M42" s="5">
        <f>+M41</f>
        <v>121629611</v>
      </c>
      <c r="N42" s="121">
        <f>+'4条支出'!N8</f>
        <v>0</v>
      </c>
      <c r="O42" s="122">
        <f>+'4条支出'!O8</f>
        <v>0</v>
      </c>
      <c r="P42" s="122">
        <f>+'4条支出'!P8</f>
        <v>0</v>
      </c>
      <c r="Q42" s="122">
        <f>+'4条支出'!Q8</f>
        <v>0</v>
      </c>
      <c r="R42" s="123">
        <f>+'4条支出'!R8</f>
        <v>47147259</v>
      </c>
      <c r="S42" s="124">
        <f>+'4条支出'!S8</f>
        <v>47147259</v>
      </c>
      <c r="T42" s="125">
        <f>+'4条支出'!T8</f>
        <v>617952892</v>
      </c>
    </row>
    <row r="43" spans="1:35" x14ac:dyDescent="0.15">
      <c r="E43" s="3">
        <f t="shared" ref="E43:T43" si="19">+E42-E41</f>
        <v>0</v>
      </c>
      <c r="F43" s="3">
        <f t="shared" si="19"/>
        <v>0</v>
      </c>
      <c r="G43" s="3">
        <f t="shared" si="19"/>
        <v>0</v>
      </c>
      <c r="H43" s="3">
        <f t="shared" si="19"/>
        <v>0</v>
      </c>
      <c r="I43" s="3">
        <f t="shared" ref="I43" si="20">+I42-I41</f>
        <v>0</v>
      </c>
      <c r="J43" s="3">
        <f t="shared" si="19"/>
        <v>0</v>
      </c>
      <c r="K43" s="3">
        <f t="shared" si="19"/>
        <v>0</v>
      </c>
      <c r="L43" s="3">
        <f t="shared" si="19"/>
        <v>0</v>
      </c>
      <c r="M43" s="3">
        <f t="shared" si="19"/>
        <v>0</v>
      </c>
      <c r="N43" s="3">
        <f t="shared" si="19"/>
        <v>0</v>
      </c>
      <c r="O43" s="3">
        <f t="shared" si="19"/>
        <v>0</v>
      </c>
      <c r="P43" s="3">
        <f t="shared" si="19"/>
        <v>0</v>
      </c>
      <c r="Q43" s="3">
        <f t="shared" ref="Q43" si="21">+Q42-Q41</f>
        <v>0</v>
      </c>
      <c r="R43" s="3">
        <f t="shared" si="19"/>
        <v>0</v>
      </c>
      <c r="S43" s="3">
        <f t="shared" si="19"/>
        <v>0</v>
      </c>
      <c r="T43" s="3">
        <f t="shared" si="19"/>
        <v>0</v>
      </c>
    </row>
    <row r="45" spans="1:35" x14ac:dyDescent="0.15">
      <c r="G45" s="133"/>
      <c r="H45" s="134"/>
      <c r="I45" s="134"/>
      <c r="J45" s="134"/>
    </row>
    <row r="46" spans="1:35" x14ac:dyDescent="0.15">
      <c r="G46" s="133"/>
      <c r="H46" s="134"/>
      <c r="I46" s="134"/>
      <c r="J46" s="134"/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113" priority="4">
      <formula>ABS(Z5)=1</formula>
    </cfRule>
  </conditionalFormatting>
  <conditionalFormatting sqref="AD5:AD40">
    <cfRule type="expression" dxfId="112" priority="3">
      <formula>ABS(AD5)=1</formula>
    </cfRule>
  </conditionalFormatting>
  <conditionalFormatting sqref="Z6:AC40">
    <cfRule type="expression" dxfId="111" priority="6">
      <formula>ABS(Z6)=1</formula>
    </cfRule>
  </conditionalFormatting>
  <conditionalFormatting sqref="AE6:AE14 AE16:AE40">
    <cfRule type="notContainsBlanks" dxfId="110" priority="9" stopIfTrue="1">
      <formula>LEN(TRIM(AE6))&gt;0</formula>
    </cfRule>
  </conditionalFormatting>
  <conditionalFormatting sqref="AE6:AI40">
    <cfRule type="notContainsBlanks" dxfId="109" priority="8" stopIfTrue="1">
      <formula>LEN(TRIM(AE6))&gt;0</formula>
    </cfRule>
  </conditionalFormatting>
  <conditionalFormatting sqref="AE5:AI5">
    <cfRule type="notContainsBlanks" dxfId="108" priority="7" stopIfTrue="1">
      <formula>LEN(TRIM(AE5))&gt;0</formula>
    </cfRule>
  </conditionalFormatting>
  <conditionalFormatting sqref="AA6:AC40">
    <cfRule type="expression" dxfId="107" priority="5">
      <formula>ABS(AA6)=1</formula>
    </cfRule>
  </conditionalFormatting>
  <conditionalFormatting sqref="E43:H43 J43:T43">
    <cfRule type="cellIs" dxfId="106" priority="2" operator="notEqual">
      <formula>0</formula>
    </cfRule>
  </conditionalFormatting>
  <conditionalFormatting sqref="I43">
    <cfRule type="cellIs" dxfId="105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topLeftCell="E1" zoomScale="80" zoomScaleNormal="80" zoomScaleSheetLayoutView="40" workbookViewId="0">
      <pane xSplit="1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217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1</v>
      </c>
      <c r="B5" s="65" t="s">
        <v>216</v>
      </c>
      <c r="C5" s="64"/>
      <c r="D5" s="63" t="s">
        <v>101</v>
      </c>
      <c r="E5" s="62"/>
      <c r="F5" s="100"/>
      <c r="G5" s="99"/>
      <c r="H5" s="99"/>
      <c r="I5" s="99"/>
      <c r="J5" s="98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97"/>
      <c r="L5" s="96"/>
      <c r="M5" s="96"/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30">
        <f t="shared" ref="Z5:Z40" si="10">+IF(N$43=0,0,IF(N$43&lt;0,-RANK(U5,U$5:U$40,0),RANK(U5,U$5:U$40,1)))</f>
        <v>0</v>
      </c>
      <c r="AA5" s="30">
        <f t="shared" ref="AA5:AA40" si="11">+IF(O$43=0,0,IF(O$43&lt;0,-RANK(V5,V$5:V$40,0),RANK(V5,V$5:V$40,1)))</f>
        <v>0</v>
      </c>
      <c r="AB5" s="30">
        <f t="shared" ref="AB5:AC40" si="12">+IF(P$43=0,0,IF(P$43&lt;0,-RANK(W5,W$5:W$40,0),RANK(W5,W$5:W$40,1)))</f>
        <v>0</v>
      </c>
      <c r="AC5" s="30">
        <f t="shared" si="12"/>
        <v>0</v>
      </c>
      <c r="AD5" s="30">
        <f t="shared" ref="AD5:AD40" si="13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1</v>
      </c>
      <c r="B6" s="50" t="s">
        <v>215</v>
      </c>
      <c r="C6" s="49"/>
      <c r="D6" s="48" t="s">
        <v>99</v>
      </c>
      <c r="E6" s="47"/>
      <c r="F6" s="56"/>
      <c r="G6" s="55"/>
      <c r="H6" s="55"/>
      <c r="I6" s="55"/>
      <c r="J6" s="54"/>
      <c r="K6" s="53"/>
      <c r="L6" s="95"/>
      <c r="M6" s="95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30">
        <f t="shared" si="10"/>
        <v>0</v>
      </c>
      <c r="AA6" s="30">
        <f t="shared" si="11"/>
        <v>0</v>
      </c>
      <c r="AB6" s="30">
        <f t="shared" si="12"/>
        <v>0</v>
      </c>
      <c r="AC6" s="30">
        <f t="shared" si="12"/>
        <v>0</v>
      </c>
      <c r="AD6" s="30">
        <f t="shared" si="13"/>
        <v>0</v>
      </c>
      <c r="AE6" s="29"/>
      <c r="AF6" s="29"/>
      <c r="AG6" s="29"/>
      <c r="AH6" s="29"/>
      <c r="AI6" s="29"/>
    </row>
    <row r="7" spans="1:35" x14ac:dyDescent="0.15">
      <c r="A7" s="51">
        <v>1</v>
      </c>
      <c r="B7" s="50" t="s">
        <v>214</v>
      </c>
      <c r="C7" s="49"/>
      <c r="D7" s="48" t="s">
        <v>97</v>
      </c>
      <c r="E7" s="47"/>
      <c r="F7" s="56"/>
      <c r="G7" s="55"/>
      <c r="H7" s="55"/>
      <c r="I7" s="55"/>
      <c r="J7" s="54"/>
      <c r="K7" s="53"/>
      <c r="L7" s="95"/>
      <c r="M7" s="95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30">
        <f t="shared" si="10"/>
        <v>0</v>
      </c>
      <c r="AA7" s="30">
        <f t="shared" si="11"/>
        <v>0</v>
      </c>
      <c r="AB7" s="30">
        <f t="shared" si="12"/>
        <v>0</v>
      </c>
      <c r="AC7" s="30">
        <f t="shared" si="12"/>
        <v>0</v>
      </c>
      <c r="AD7" s="30">
        <f t="shared" si="13"/>
        <v>0</v>
      </c>
      <c r="AE7" s="29"/>
      <c r="AF7" s="29"/>
      <c r="AG7" s="29"/>
      <c r="AH7" s="29"/>
      <c r="AI7" s="29"/>
    </row>
    <row r="8" spans="1:35" x14ac:dyDescent="0.15">
      <c r="A8" s="51">
        <v>1</v>
      </c>
      <c r="B8" s="50" t="s">
        <v>213</v>
      </c>
      <c r="C8" s="49"/>
      <c r="D8" s="48" t="s">
        <v>95</v>
      </c>
      <c r="E8" s="47"/>
      <c r="F8" s="56"/>
      <c r="G8" s="55"/>
      <c r="H8" s="55"/>
      <c r="I8" s="55"/>
      <c r="J8" s="54"/>
      <c r="K8" s="53"/>
      <c r="L8" s="95"/>
      <c r="M8" s="95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30">
        <f t="shared" si="10"/>
        <v>0</v>
      </c>
      <c r="AA8" s="30">
        <f t="shared" si="11"/>
        <v>0</v>
      </c>
      <c r="AB8" s="30">
        <f t="shared" si="12"/>
        <v>0</v>
      </c>
      <c r="AC8" s="30">
        <f t="shared" si="12"/>
        <v>0</v>
      </c>
      <c r="AD8" s="30">
        <f t="shared" si="13"/>
        <v>0</v>
      </c>
      <c r="AE8" s="29"/>
      <c r="AF8" s="29"/>
      <c r="AG8" s="29"/>
      <c r="AH8" s="29"/>
      <c r="AI8" s="29"/>
    </row>
    <row r="9" spans="1:35" x14ac:dyDescent="0.15">
      <c r="A9" s="51">
        <v>1</v>
      </c>
      <c r="B9" s="50" t="s">
        <v>212</v>
      </c>
      <c r="C9" s="49"/>
      <c r="D9" s="48" t="s">
        <v>93</v>
      </c>
      <c r="E9" s="47"/>
      <c r="F9" s="56"/>
      <c r="G9" s="55"/>
      <c r="H9" s="55"/>
      <c r="I9" s="55"/>
      <c r="J9" s="54"/>
      <c r="K9" s="53"/>
      <c r="L9" s="95"/>
      <c r="M9" s="95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30">
        <f t="shared" si="10"/>
        <v>0</v>
      </c>
      <c r="AA9" s="30">
        <f t="shared" si="11"/>
        <v>0</v>
      </c>
      <c r="AB9" s="30">
        <f t="shared" si="12"/>
        <v>0</v>
      </c>
      <c r="AC9" s="30">
        <f t="shared" si="12"/>
        <v>0</v>
      </c>
      <c r="AD9" s="30">
        <f t="shared" si="13"/>
        <v>0</v>
      </c>
      <c r="AE9" s="29"/>
      <c r="AF9" s="29"/>
      <c r="AG9" s="29"/>
      <c r="AH9" s="29"/>
      <c r="AI9" s="29"/>
    </row>
    <row r="10" spans="1:35" x14ac:dyDescent="0.15">
      <c r="A10" s="51">
        <v>1</v>
      </c>
      <c r="B10" s="50" t="s">
        <v>211</v>
      </c>
      <c r="C10" s="49"/>
      <c r="D10" s="48" t="s">
        <v>91</v>
      </c>
      <c r="E10" s="47"/>
      <c r="F10" s="56"/>
      <c r="G10" s="55"/>
      <c r="H10" s="55"/>
      <c r="I10" s="55"/>
      <c r="J10" s="54"/>
      <c r="K10" s="53"/>
      <c r="L10" s="95"/>
      <c r="M10" s="95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30">
        <f t="shared" si="10"/>
        <v>0</v>
      </c>
      <c r="AA10" s="30">
        <f t="shared" si="11"/>
        <v>0</v>
      </c>
      <c r="AB10" s="30">
        <f t="shared" si="12"/>
        <v>0</v>
      </c>
      <c r="AC10" s="30">
        <f t="shared" si="12"/>
        <v>0</v>
      </c>
      <c r="AD10" s="30">
        <f t="shared" si="13"/>
        <v>0</v>
      </c>
      <c r="AE10" s="29"/>
      <c r="AF10" s="29"/>
      <c r="AG10" s="29"/>
      <c r="AH10" s="29"/>
      <c r="AI10" s="29"/>
    </row>
    <row r="11" spans="1:35" x14ac:dyDescent="0.15">
      <c r="A11" s="51">
        <v>1</v>
      </c>
      <c r="B11" s="50" t="s">
        <v>210</v>
      </c>
      <c r="C11" s="49"/>
      <c r="D11" s="48" t="s">
        <v>89</v>
      </c>
      <c r="E11" s="47"/>
      <c r="F11" s="56"/>
      <c r="G11" s="55"/>
      <c r="H11" s="55"/>
      <c r="I11" s="55"/>
      <c r="J11" s="54"/>
      <c r="K11" s="53"/>
      <c r="L11" s="95"/>
      <c r="M11" s="95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30">
        <f t="shared" si="10"/>
        <v>0</v>
      </c>
      <c r="AA11" s="30">
        <f t="shared" si="11"/>
        <v>0</v>
      </c>
      <c r="AB11" s="30">
        <f t="shared" si="12"/>
        <v>0</v>
      </c>
      <c r="AC11" s="30">
        <f t="shared" si="12"/>
        <v>0</v>
      </c>
      <c r="AD11" s="30">
        <f t="shared" si="13"/>
        <v>0</v>
      </c>
      <c r="AE11" s="29"/>
      <c r="AF11" s="29"/>
      <c r="AG11" s="29"/>
      <c r="AH11" s="29"/>
      <c r="AI11" s="29"/>
    </row>
    <row r="12" spans="1:35" x14ac:dyDescent="0.15">
      <c r="A12" s="51">
        <v>1</v>
      </c>
      <c r="B12" s="50" t="s">
        <v>208</v>
      </c>
      <c r="C12" s="49" t="s">
        <v>209</v>
      </c>
      <c r="D12" s="48" t="s">
        <v>87</v>
      </c>
      <c r="E12" s="47"/>
      <c r="F12" s="56"/>
      <c r="G12" s="55"/>
      <c r="H12" s="55"/>
      <c r="I12" s="55"/>
      <c r="J12" s="54"/>
      <c r="K12" s="53"/>
      <c r="L12" s="95"/>
      <c r="M12" s="95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30">
        <f t="shared" si="10"/>
        <v>0</v>
      </c>
      <c r="AA12" s="30">
        <f t="shared" si="11"/>
        <v>0</v>
      </c>
      <c r="AB12" s="30">
        <f t="shared" si="12"/>
        <v>0</v>
      </c>
      <c r="AC12" s="30">
        <f t="shared" si="12"/>
        <v>0</v>
      </c>
      <c r="AD12" s="30">
        <f t="shared" si="13"/>
        <v>0</v>
      </c>
      <c r="AE12" s="29"/>
      <c r="AF12" s="29"/>
      <c r="AG12" s="29"/>
      <c r="AH12" s="29"/>
      <c r="AI12" s="29"/>
    </row>
    <row r="13" spans="1:35" x14ac:dyDescent="0.15">
      <c r="A13" s="51">
        <v>1</v>
      </c>
      <c r="B13" s="50" t="s">
        <v>208</v>
      </c>
      <c r="C13" s="49" t="s">
        <v>207</v>
      </c>
      <c r="D13" s="48" t="s">
        <v>84</v>
      </c>
      <c r="E13" s="47"/>
      <c r="F13" s="56"/>
      <c r="G13" s="55"/>
      <c r="H13" s="55"/>
      <c r="I13" s="55"/>
      <c r="J13" s="54"/>
      <c r="K13" s="53"/>
      <c r="L13" s="95"/>
      <c r="M13" s="95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30">
        <f t="shared" si="10"/>
        <v>0</v>
      </c>
      <c r="AA13" s="30">
        <f t="shared" si="11"/>
        <v>0</v>
      </c>
      <c r="AB13" s="30">
        <f t="shared" si="12"/>
        <v>0</v>
      </c>
      <c r="AC13" s="30">
        <f t="shared" si="12"/>
        <v>0</v>
      </c>
      <c r="AD13" s="30">
        <f t="shared" si="13"/>
        <v>0</v>
      </c>
      <c r="AE13" s="29"/>
      <c r="AF13" s="29"/>
      <c r="AG13" s="29"/>
      <c r="AH13" s="29"/>
      <c r="AI13" s="29"/>
    </row>
    <row r="14" spans="1:35" x14ac:dyDescent="0.15">
      <c r="A14" s="51">
        <v>1</v>
      </c>
      <c r="B14" s="50" t="s">
        <v>206</v>
      </c>
      <c r="C14" s="49"/>
      <c r="D14" s="48" t="s">
        <v>82</v>
      </c>
      <c r="E14" s="47"/>
      <c r="F14" s="56"/>
      <c r="G14" s="55"/>
      <c r="H14" s="55"/>
      <c r="I14" s="55"/>
      <c r="J14" s="54"/>
      <c r="K14" s="53"/>
      <c r="L14" s="95"/>
      <c r="M14" s="95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30">
        <f t="shared" si="10"/>
        <v>0</v>
      </c>
      <c r="AA14" s="30">
        <f t="shared" si="11"/>
        <v>0</v>
      </c>
      <c r="AB14" s="30">
        <f t="shared" si="12"/>
        <v>0</v>
      </c>
      <c r="AC14" s="30">
        <f t="shared" si="12"/>
        <v>0</v>
      </c>
      <c r="AD14" s="30">
        <f t="shared" si="13"/>
        <v>0</v>
      </c>
      <c r="AE14" s="29"/>
      <c r="AF14" s="29"/>
      <c r="AG14" s="29"/>
      <c r="AH14" s="29"/>
      <c r="AI14" s="29"/>
    </row>
    <row r="15" spans="1:35" x14ac:dyDescent="0.15">
      <c r="A15" s="51">
        <v>1</v>
      </c>
      <c r="B15" s="50" t="s">
        <v>205</v>
      </c>
      <c r="C15" s="49"/>
      <c r="D15" s="48" t="s">
        <v>80</v>
      </c>
      <c r="E15" s="47"/>
      <c r="F15" s="56"/>
      <c r="G15" s="55"/>
      <c r="H15" s="55"/>
      <c r="I15" s="55"/>
      <c r="J15" s="54"/>
      <c r="K15" s="53"/>
      <c r="L15" s="95"/>
      <c r="M15" s="95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30">
        <f t="shared" si="10"/>
        <v>0</v>
      </c>
      <c r="AA15" s="30">
        <f t="shared" si="11"/>
        <v>0</v>
      </c>
      <c r="AB15" s="30">
        <f t="shared" si="12"/>
        <v>0</v>
      </c>
      <c r="AC15" s="30">
        <f t="shared" si="12"/>
        <v>0</v>
      </c>
      <c r="AD15" s="30">
        <f t="shared" si="13"/>
        <v>0</v>
      </c>
      <c r="AE15" s="29"/>
      <c r="AF15" s="29"/>
      <c r="AG15" s="29"/>
      <c r="AH15" s="29"/>
      <c r="AI15" s="29"/>
    </row>
    <row r="16" spans="1:35" x14ac:dyDescent="0.15">
      <c r="A16" s="51">
        <v>1</v>
      </c>
      <c r="B16" s="50" t="s">
        <v>204</v>
      </c>
      <c r="C16" s="49"/>
      <c r="D16" s="48" t="s">
        <v>78</v>
      </c>
      <c r="E16" s="47"/>
      <c r="F16" s="56"/>
      <c r="G16" s="55"/>
      <c r="H16" s="55"/>
      <c r="I16" s="55"/>
      <c r="J16" s="54"/>
      <c r="K16" s="53"/>
      <c r="L16" s="95"/>
      <c r="M16" s="95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30">
        <f t="shared" si="10"/>
        <v>0</v>
      </c>
      <c r="AA16" s="30">
        <f t="shared" si="11"/>
        <v>0</v>
      </c>
      <c r="AB16" s="30">
        <f t="shared" si="12"/>
        <v>0</v>
      </c>
      <c r="AC16" s="30">
        <f t="shared" si="12"/>
        <v>0</v>
      </c>
      <c r="AD16" s="30">
        <f t="shared" si="13"/>
        <v>0</v>
      </c>
      <c r="AE16" s="29"/>
      <c r="AF16" s="29"/>
      <c r="AG16" s="29"/>
      <c r="AH16" s="29"/>
      <c r="AI16" s="29"/>
    </row>
    <row r="17" spans="1:35" x14ac:dyDescent="0.15">
      <c r="A17" s="51">
        <v>1</v>
      </c>
      <c r="B17" s="50" t="s">
        <v>203</v>
      </c>
      <c r="C17" s="49"/>
      <c r="D17" s="48" t="s">
        <v>76</v>
      </c>
      <c r="E17" s="47"/>
      <c r="F17" s="56"/>
      <c r="G17" s="55"/>
      <c r="H17" s="55"/>
      <c r="I17" s="55"/>
      <c r="J17" s="54"/>
      <c r="K17" s="53"/>
      <c r="L17" s="95"/>
      <c r="M17" s="95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30">
        <f t="shared" si="10"/>
        <v>0</v>
      </c>
      <c r="AA17" s="30">
        <f t="shared" si="11"/>
        <v>0</v>
      </c>
      <c r="AB17" s="30">
        <f t="shared" si="12"/>
        <v>0</v>
      </c>
      <c r="AC17" s="30">
        <f t="shared" si="12"/>
        <v>0</v>
      </c>
      <c r="AD17" s="30">
        <f t="shared" si="13"/>
        <v>0</v>
      </c>
      <c r="AE17" s="29"/>
      <c r="AF17" s="29"/>
      <c r="AG17" s="29"/>
      <c r="AH17" s="29"/>
      <c r="AI17" s="29"/>
    </row>
    <row r="18" spans="1:35" x14ac:dyDescent="0.15">
      <c r="A18" s="51">
        <v>1</v>
      </c>
      <c r="B18" s="50" t="s">
        <v>202</v>
      </c>
      <c r="C18" s="49"/>
      <c r="D18" s="48" t="s">
        <v>74</v>
      </c>
      <c r="E18" s="47"/>
      <c r="F18" s="56"/>
      <c r="G18" s="55"/>
      <c r="H18" s="55"/>
      <c r="I18" s="55"/>
      <c r="J18" s="54"/>
      <c r="K18" s="53"/>
      <c r="L18" s="95"/>
      <c r="M18" s="95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30">
        <f t="shared" si="10"/>
        <v>0</v>
      </c>
      <c r="AA18" s="30">
        <f t="shared" si="11"/>
        <v>0</v>
      </c>
      <c r="AB18" s="30">
        <f t="shared" si="12"/>
        <v>0</v>
      </c>
      <c r="AC18" s="30">
        <f t="shared" si="12"/>
        <v>0</v>
      </c>
      <c r="AD18" s="30">
        <f t="shared" si="13"/>
        <v>0</v>
      </c>
      <c r="AE18" s="29"/>
      <c r="AF18" s="29"/>
      <c r="AG18" s="29"/>
      <c r="AH18" s="29"/>
      <c r="AI18" s="29"/>
    </row>
    <row r="19" spans="1:35" x14ac:dyDescent="0.15">
      <c r="A19" s="51">
        <v>1</v>
      </c>
      <c r="B19" s="50" t="s">
        <v>201</v>
      </c>
      <c r="C19" s="49"/>
      <c r="D19" s="48" t="s">
        <v>72</v>
      </c>
      <c r="E19" s="47"/>
      <c r="F19" s="56"/>
      <c r="G19" s="55"/>
      <c r="H19" s="55"/>
      <c r="I19" s="55"/>
      <c r="J19" s="54"/>
      <c r="K19" s="53"/>
      <c r="L19" s="95"/>
      <c r="M19" s="95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30">
        <f t="shared" si="10"/>
        <v>0</v>
      </c>
      <c r="AA19" s="30">
        <f t="shared" si="11"/>
        <v>0</v>
      </c>
      <c r="AB19" s="30">
        <f t="shared" si="12"/>
        <v>0</v>
      </c>
      <c r="AC19" s="30">
        <f t="shared" si="12"/>
        <v>0</v>
      </c>
      <c r="AD19" s="30">
        <f t="shared" si="13"/>
        <v>0</v>
      </c>
      <c r="AE19" s="29"/>
      <c r="AF19" s="29"/>
      <c r="AG19" s="29"/>
      <c r="AH19" s="29"/>
      <c r="AI19" s="29"/>
    </row>
    <row r="20" spans="1:35" x14ac:dyDescent="0.15">
      <c r="A20" s="51">
        <v>1</v>
      </c>
      <c r="B20" s="50" t="s">
        <v>200</v>
      </c>
      <c r="C20" s="49"/>
      <c r="D20" s="48" t="s">
        <v>70</v>
      </c>
      <c r="E20" s="47"/>
      <c r="F20" s="56"/>
      <c r="G20" s="55"/>
      <c r="H20" s="55"/>
      <c r="I20" s="55"/>
      <c r="J20" s="54"/>
      <c r="K20" s="53"/>
      <c r="L20" s="95"/>
      <c r="M20" s="95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30">
        <f t="shared" si="10"/>
        <v>0</v>
      </c>
      <c r="AA20" s="30">
        <f t="shared" si="11"/>
        <v>0</v>
      </c>
      <c r="AB20" s="30">
        <f t="shared" si="12"/>
        <v>0</v>
      </c>
      <c r="AC20" s="30">
        <f t="shared" si="12"/>
        <v>0</v>
      </c>
      <c r="AD20" s="30">
        <f t="shared" si="13"/>
        <v>0</v>
      </c>
      <c r="AE20" s="29"/>
      <c r="AF20" s="29"/>
      <c r="AG20" s="29"/>
      <c r="AH20" s="29"/>
      <c r="AI20" s="29"/>
    </row>
    <row r="21" spans="1:35" x14ac:dyDescent="0.15">
      <c r="A21" s="51">
        <v>1</v>
      </c>
      <c r="B21" s="50" t="s">
        <v>199</v>
      </c>
      <c r="C21" s="49"/>
      <c r="D21" s="48" t="s">
        <v>68</v>
      </c>
      <c r="E21" s="47"/>
      <c r="F21" s="56"/>
      <c r="G21" s="55"/>
      <c r="H21" s="55"/>
      <c r="I21" s="55"/>
      <c r="J21" s="54"/>
      <c r="K21" s="53"/>
      <c r="L21" s="95"/>
      <c r="M21" s="95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30">
        <f t="shared" si="10"/>
        <v>0</v>
      </c>
      <c r="AA21" s="30">
        <f t="shared" si="11"/>
        <v>0</v>
      </c>
      <c r="AB21" s="30">
        <f t="shared" si="12"/>
        <v>0</v>
      </c>
      <c r="AC21" s="30">
        <f t="shared" si="12"/>
        <v>0</v>
      </c>
      <c r="AD21" s="30">
        <f t="shared" si="13"/>
        <v>0</v>
      </c>
      <c r="AE21" s="29"/>
      <c r="AF21" s="29"/>
      <c r="AG21" s="29"/>
      <c r="AH21" s="29"/>
      <c r="AI21" s="29"/>
    </row>
    <row r="22" spans="1:35" x14ac:dyDescent="0.15">
      <c r="A22" s="51">
        <v>1</v>
      </c>
      <c r="B22" s="50" t="s">
        <v>198</v>
      </c>
      <c r="C22" s="49"/>
      <c r="D22" s="48" t="s">
        <v>66</v>
      </c>
      <c r="E22" s="47"/>
      <c r="F22" s="56"/>
      <c r="G22" s="55"/>
      <c r="H22" s="55"/>
      <c r="I22" s="55"/>
      <c r="J22" s="54"/>
      <c r="K22" s="53"/>
      <c r="L22" s="95"/>
      <c r="M22" s="95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30">
        <f t="shared" si="10"/>
        <v>0</v>
      </c>
      <c r="AA22" s="30">
        <f t="shared" si="11"/>
        <v>0</v>
      </c>
      <c r="AB22" s="30">
        <f t="shared" si="12"/>
        <v>0</v>
      </c>
      <c r="AC22" s="30">
        <f t="shared" si="12"/>
        <v>0</v>
      </c>
      <c r="AD22" s="30">
        <f t="shared" si="13"/>
        <v>0</v>
      </c>
      <c r="AE22" s="29"/>
      <c r="AF22" s="29"/>
      <c r="AG22" s="29"/>
      <c r="AH22" s="29"/>
      <c r="AI22" s="29"/>
    </row>
    <row r="23" spans="1:35" x14ac:dyDescent="0.15">
      <c r="A23" s="51">
        <v>1</v>
      </c>
      <c r="B23" s="50" t="s">
        <v>197</v>
      </c>
      <c r="C23" s="49"/>
      <c r="D23" s="48" t="s">
        <v>64</v>
      </c>
      <c r="E23" s="47"/>
      <c r="F23" s="56"/>
      <c r="G23" s="55"/>
      <c r="H23" s="55"/>
      <c r="I23" s="55"/>
      <c r="J23" s="54"/>
      <c r="K23" s="53"/>
      <c r="L23" s="95"/>
      <c r="M23" s="95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30">
        <f t="shared" si="10"/>
        <v>0</v>
      </c>
      <c r="AA23" s="30">
        <f t="shared" si="11"/>
        <v>0</v>
      </c>
      <c r="AB23" s="30">
        <f t="shared" si="12"/>
        <v>0</v>
      </c>
      <c r="AC23" s="30">
        <f t="shared" si="12"/>
        <v>0</v>
      </c>
      <c r="AD23" s="30">
        <f t="shared" si="13"/>
        <v>0</v>
      </c>
      <c r="AE23" s="29"/>
      <c r="AF23" s="29"/>
      <c r="AG23" s="29"/>
      <c r="AH23" s="29"/>
      <c r="AI23" s="29"/>
    </row>
    <row r="24" spans="1:35" x14ac:dyDescent="0.15">
      <c r="A24" s="51">
        <v>1</v>
      </c>
      <c r="B24" s="50" t="s">
        <v>196</v>
      </c>
      <c r="C24" s="49"/>
      <c r="D24" s="48" t="s">
        <v>62</v>
      </c>
      <c r="E24" s="47"/>
      <c r="F24" s="56"/>
      <c r="G24" s="55"/>
      <c r="H24" s="55"/>
      <c r="I24" s="55"/>
      <c r="J24" s="54"/>
      <c r="K24" s="53"/>
      <c r="L24" s="95"/>
      <c r="M24" s="95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30">
        <f t="shared" si="10"/>
        <v>0</v>
      </c>
      <c r="AA24" s="30">
        <f t="shared" si="11"/>
        <v>0</v>
      </c>
      <c r="AB24" s="30">
        <f t="shared" si="12"/>
        <v>0</v>
      </c>
      <c r="AC24" s="30">
        <f t="shared" si="12"/>
        <v>0</v>
      </c>
      <c r="AD24" s="30">
        <f t="shared" si="13"/>
        <v>0</v>
      </c>
      <c r="AE24" s="29"/>
      <c r="AF24" s="29"/>
      <c r="AG24" s="29"/>
      <c r="AH24" s="29"/>
      <c r="AI24" s="29"/>
    </row>
    <row r="25" spans="1:35" x14ac:dyDescent="0.15">
      <c r="A25" s="51">
        <v>1</v>
      </c>
      <c r="B25" s="50" t="s">
        <v>195</v>
      </c>
      <c r="C25" s="49"/>
      <c r="D25" s="48" t="s">
        <v>60</v>
      </c>
      <c r="E25" s="47"/>
      <c r="F25" s="56"/>
      <c r="G25" s="55"/>
      <c r="H25" s="55"/>
      <c r="I25" s="55"/>
      <c r="J25" s="54"/>
      <c r="K25" s="53"/>
      <c r="L25" s="95"/>
      <c r="M25" s="95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30">
        <f t="shared" si="10"/>
        <v>0</v>
      </c>
      <c r="AA25" s="30">
        <f t="shared" si="11"/>
        <v>0</v>
      </c>
      <c r="AB25" s="30">
        <f t="shared" si="12"/>
        <v>0</v>
      </c>
      <c r="AC25" s="30">
        <f t="shared" si="12"/>
        <v>0</v>
      </c>
      <c r="AD25" s="30">
        <f t="shared" si="13"/>
        <v>0</v>
      </c>
      <c r="AE25" s="29"/>
      <c r="AF25" s="29"/>
      <c r="AG25" s="29"/>
      <c r="AH25" s="29"/>
      <c r="AI25" s="29"/>
    </row>
    <row r="26" spans="1:35" x14ac:dyDescent="0.15">
      <c r="A26" s="51">
        <v>1</v>
      </c>
      <c r="B26" s="50" t="s">
        <v>194</v>
      </c>
      <c r="C26" s="49"/>
      <c r="D26" s="48" t="s">
        <v>58</v>
      </c>
      <c r="E26" s="47"/>
      <c r="F26" s="56"/>
      <c r="G26" s="55"/>
      <c r="H26" s="55"/>
      <c r="I26" s="55"/>
      <c r="J26" s="54"/>
      <c r="K26" s="53"/>
      <c r="L26" s="95"/>
      <c r="M26" s="95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30">
        <f t="shared" si="10"/>
        <v>0</v>
      </c>
      <c r="AA26" s="30">
        <f t="shared" si="11"/>
        <v>0</v>
      </c>
      <c r="AB26" s="30">
        <f t="shared" si="12"/>
        <v>0</v>
      </c>
      <c r="AC26" s="30">
        <f t="shared" si="12"/>
        <v>0</v>
      </c>
      <c r="AD26" s="30">
        <f t="shared" si="13"/>
        <v>0</v>
      </c>
      <c r="AE26" s="29"/>
      <c r="AF26" s="29"/>
      <c r="AG26" s="29"/>
      <c r="AH26" s="29"/>
      <c r="AI26" s="29"/>
    </row>
    <row r="27" spans="1:35" x14ac:dyDescent="0.15">
      <c r="A27" s="51">
        <v>1</v>
      </c>
      <c r="B27" s="50" t="s">
        <v>208</v>
      </c>
      <c r="C27" s="49">
        <v>615461003</v>
      </c>
      <c r="D27" s="48" t="s">
        <v>370</v>
      </c>
      <c r="E27" s="47"/>
      <c r="F27" s="56"/>
      <c r="G27" s="55"/>
      <c r="H27" s="55"/>
      <c r="I27" s="55"/>
      <c r="J27" s="54"/>
      <c r="K27" s="53"/>
      <c r="L27" s="95"/>
      <c r="M27" s="95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30">
        <f t="shared" si="10"/>
        <v>0</v>
      </c>
      <c r="AA27" s="30">
        <f t="shared" si="11"/>
        <v>0</v>
      </c>
      <c r="AB27" s="30">
        <f t="shared" si="12"/>
        <v>0</v>
      </c>
      <c r="AC27" s="30">
        <f t="shared" si="12"/>
        <v>0</v>
      </c>
      <c r="AD27" s="30">
        <f t="shared" si="13"/>
        <v>0</v>
      </c>
      <c r="AE27" s="29"/>
      <c r="AF27" s="29"/>
      <c r="AG27" s="29"/>
      <c r="AH27" s="29"/>
      <c r="AI27" s="29"/>
    </row>
    <row r="28" spans="1:35" x14ac:dyDescent="0.15">
      <c r="A28" s="51">
        <v>1</v>
      </c>
      <c r="B28" s="50" t="s">
        <v>193</v>
      </c>
      <c r="C28" s="49"/>
      <c r="D28" s="48" t="s">
        <v>56</v>
      </c>
      <c r="E28" s="47"/>
      <c r="F28" s="56"/>
      <c r="G28" s="55"/>
      <c r="H28" s="55"/>
      <c r="I28" s="55"/>
      <c r="J28" s="54"/>
      <c r="K28" s="53"/>
      <c r="L28" s="95"/>
      <c r="M28" s="95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30">
        <f t="shared" si="10"/>
        <v>0</v>
      </c>
      <c r="AA28" s="30">
        <f t="shared" si="11"/>
        <v>0</v>
      </c>
      <c r="AB28" s="30">
        <f t="shared" si="12"/>
        <v>0</v>
      </c>
      <c r="AC28" s="30">
        <f t="shared" si="12"/>
        <v>0</v>
      </c>
      <c r="AD28" s="30">
        <f t="shared" si="13"/>
        <v>0</v>
      </c>
      <c r="AE28" s="29"/>
      <c r="AF28" s="29"/>
      <c r="AG28" s="29"/>
      <c r="AH28" s="29"/>
      <c r="AI28" s="29"/>
    </row>
    <row r="29" spans="1:35" x14ac:dyDescent="0.15">
      <c r="A29" s="51">
        <v>1</v>
      </c>
      <c r="B29" s="50" t="s">
        <v>192</v>
      </c>
      <c r="C29" s="49"/>
      <c r="D29" s="48" t="s">
        <v>54</v>
      </c>
      <c r="E29" s="47"/>
      <c r="F29" s="56"/>
      <c r="G29" s="55"/>
      <c r="H29" s="55"/>
      <c r="I29" s="55"/>
      <c r="J29" s="54"/>
      <c r="K29" s="53"/>
      <c r="L29" s="95"/>
      <c r="M29" s="95"/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30">
        <f t="shared" si="10"/>
        <v>0</v>
      </c>
      <c r="AA29" s="30">
        <f t="shared" si="11"/>
        <v>0</v>
      </c>
      <c r="AB29" s="30">
        <f t="shared" si="12"/>
        <v>0</v>
      </c>
      <c r="AC29" s="30">
        <f t="shared" si="12"/>
        <v>0</v>
      </c>
      <c r="AD29" s="30">
        <f t="shared" si="13"/>
        <v>0</v>
      </c>
      <c r="AE29" s="29"/>
      <c r="AF29" s="29"/>
      <c r="AG29" s="29"/>
      <c r="AH29" s="29"/>
      <c r="AI29" s="29"/>
    </row>
    <row r="30" spans="1:35" x14ac:dyDescent="0.15">
      <c r="A30" s="51">
        <v>1</v>
      </c>
      <c r="B30" s="50" t="s">
        <v>191</v>
      </c>
      <c r="C30" s="49"/>
      <c r="D30" s="48" t="s">
        <v>52</v>
      </c>
      <c r="E30" s="47"/>
      <c r="F30" s="56"/>
      <c r="G30" s="55"/>
      <c r="H30" s="55"/>
      <c r="I30" s="55"/>
      <c r="J30" s="54"/>
      <c r="K30" s="53"/>
      <c r="L30" s="95"/>
      <c r="M30" s="95"/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30">
        <f t="shared" si="10"/>
        <v>0</v>
      </c>
      <c r="AA30" s="30">
        <f t="shared" si="11"/>
        <v>0</v>
      </c>
      <c r="AB30" s="30">
        <f t="shared" si="12"/>
        <v>0</v>
      </c>
      <c r="AC30" s="30">
        <f t="shared" si="12"/>
        <v>0</v>
      </c>
      <c r="AD30" s="30">
        <f t="shared" si="13"/>
        <v>0</v>
      </c>
      <c r="AE30" s="29"/>
      <c r="AF30" s="29"/>
      <c r="AG30" s="29"/>
      <c r="AH30" s="29"/>
      <c r="AI30" s="29"/>
    </row>
    <row r="31" spans="1:35" x14ac:dyDescent="0.15">
      <c r="A31" s="51">
        <v>1</v>
      </c>
      <c r="B31" s="50" t="s">
        <v>190</v>
      </c>
      <c r="C31" s="49"/>
      <c r="D31" s="48" t="s">
        <v>50</v>
      </c>
      <c r="E31" s="47"/>
      <c r="F31" s="56"/>
      <c r="G31" s="55"/>
      <c r="H31" s="55"/>
      <c r="I31" s="55"/>
      <c r="J31" s="54"/>
      <c r="K31" s="53"/>
      <c r="L31" s="95"/>
      <c r="M31" s="95"/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30">
        <f t="shared" si="10"/>
        <v>0</v>
      </c>
      <c r="AA31" s="30">
        <f t="shared" si="11"/>
        <v>0</v>
      </c>
      <c r="AB31" s="30">
        <f t="shared" si="12"/>
        <v>0</v>
      </c>
      <c r="AC31" s="30">
        <f t="shared" si="12"/>
        <v>0</v>
      </c>
      <c r="AD31" s="30">
        <f t="shared" si="13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189</v>
      </c>
      <c r="C32" s="49"/>
      <c r="D32" s="48" t="s">
        <v>48</v>
      </c>
      <c r="E32" s="47"/>
      <c r="F32" s="56"/>
      <c r="G32" s="55"/>
      <c r="H32" s="55"/>
      <c r="I32" s="55"/>
      <c r="J32" s="54"/>
      <c r="K32" s="53"/>
      <c r="L32" s="95"/>
      <c r="M32" s="95"/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30">
        <f t="shared" si="10"/>
        <v>0</v>
      </c>
      <c r="AA32" s="30">
        <f t="shared" si="11"/>
        <v>0</v>
      </c>
      <c r="AB32" s="30">
        <f t="shared" si="12"/>
        <v>0</v>
      </c>
      <c r="AC32" s="30">
        <f t="shared" si="12"/>
        <v>0</v>
      </c>
      <c r="AD32" s="30">
        <f t="shared" si="13"/>
        <v>0</v>
      </c>
      <c r="AE32" s="29"/>
      <c r="AF32" s="29"/>
      <c r="AG32" s="29"/>
      <c r="AH32" s="29"/>
      <c r="AI32" s="29"/>
    </row>
    <row r="33" spans="1:35" x14ac:dyDescent="0.15">
      <c r="A33" s="51">
        <v>1</v>
      </c>
      <c r="B33" s="50" t="s">
        <v>188</v>
      </c>
      <c r="C33" s="49"/>
      <c r="D33" s="48" t="s">
        <v>46</v>
      </c>
      <c r="E33" s="47"/>
      <c r="F33" s="56"/>
      <c r="G33" s="55"/>
      <c r="H33" s="55"/>
      <c r="I33" s="55"/>
      <c r="J33" s="54"/>
      <c r="K33" s="53"/>
      <c r="L33" s="95"/>
      <c r="M33" s="95"/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30">
        <f t="shared" si="10"/>
        <v>0</v>
      </c>
      <c r="AA33" s="30">
        <f t="shared" si="11"/>
        <v>0</v>
      </c>
      <c r="AB33" s="30">
        <f t="shared" si="12"/>
        <v>0</v>
      </c>
      <c r="AC33" s="30">
        <f t="shared" si="12"/>
        <v>0</v>
      </c>
      <c r="AD33" s="30">
        <f t="shared" si="13"/>
        <v>0</v>
      </c>
      <c r="AE33" s="29"/>
      <c r="AF33" s="29"/>
      <c r="AG33" s="29"/>
      <c r="AH33" s="29"/>
      <c r="AI33" s="29"/>
    </row>
    <row r="34" spans="1:35" x14ac:dyDescent="0.15">
      <c r="A34" s="51">
        <v>1</v>
      </c>
      <c r="B34" s="50" t="s">
        <v>187</v>
      </c>
      <c r="C34" s="49"/>
      <c r="D34" s="48" t="s">
        <v>44</v>
      </c>
      <c r="E34" s="47"/>
      <c r="F34" s="56"/>
      <c r="G34" s="55"/>
      <c r="H34" s="55"/>
      <c r="I34" s="55"/>
      <c r="J34" s="54"/>
      <c r="K34" s="53"/>
      <c r="L34" s="95"/>
      <c r="M34" s="95"/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30">
        <f t="shared" si="10"/>
        <v>0</v>
      </c>
      <c r="AA34" s="30">
        <f t="shared" si="11"/>
        <v>0</v>
      </c>
      <c r="AB34" s="30">
        <f t="shared" si="12"/>
        <v>0</v>
      </c>
      <c r="AC34" s="30">
        <f t="shared" si="12"/>
        <v>0</v>
      </c>
      <c r="AD34" s="30">
        <f t="shared" si="13"/>
        <v>0</v>
      </c>
      <c r="AE34" s="29"/>
      <c r="AF34" s="29"/>
      <c r="AG34" s="29"/>
      <c r="AH34" s="29"/>
      <c r="AI34" s="29"/>
    </row>
    <row r="35" spans="1:35" x14ac:dyDescent="0.15">
      <c r="A35" s="51">
        <v>1</v>
      </c>
      <c r="B35" s="50" t="s">
        <v>181</v>
      </c>
      <c r="C35" s="49" t="s">
        <v>186</v>
      </c>
      <c r="D35" s="48" t="s">
        <v>42</v>
      </c>
      <c r="E35" s="47"/>
      <c r="F35" s="56"/>
      <c r="G35" s="55"/>
      <c r="H35" s="55"/>
      <c r="I35" s="55"/>
      <c r="J35" s="54"/>
      <c r="K35" s="53"/>
      <c r="L35" s="95"/>
      <c r="M35" s="95"/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30">
        <f t="shared" si="10"/>
        <v>0</v>
      </c>
      <c r="AA35" s="30">
        <f t="shared" si="11"/>
        <v>0</v>
      </c>
      <c r="AB35" s="30">
        <f t="shared" si="12"/>
        <v>0</v>
      </c>
      <c r="AC35" s="30">
        <f t="shared" si="12"/>
        <v>0</v>
      </c>
      <c r="AD35" s="30">
        <f t="shared" si="13"/>
        <v>0</v>
      </c>
      <c r="AE35" s="29"/>
      <c r="AF35" s="29"/>
      <c r="AG35" s="29"/>
      <c r="AH35" s="29"/>
      <c r="AI35" s="29"/>
    </row>
    <row r="36" spans="1:35" x14ac:dyDescent="0.15">
      <c r="A36" s="51">
        <v>1</v>
      </c>
      <c r="B36" s="50" t="s">
        <v>181</v>
      </c>
      <c r="C36" s="49" t="s">
        <v>185</v>
      </c>
      <c r="D36" s="48" t="s">
        <v>40</v>
      </c>
      <c r="E36" s="47"/>
      <c r="F36" s="56"/>
      <c r="G36" s="55"/>
      <c r="H36" s="55"/>
      <c r="I36" s="55"/>
      <c r="J36" s="54"/>
      <c r="K36" s="53"/>
      <c r="L36" s="95"/>
      <c r="M36" s="95"/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30">
        <f t="shared" si="10"/>
        <v>0</v>
      </c>
      <c r="AA36" s="30">
        <f t="shared" si="11"/>
        <v>0</v>
      </c>
      <c r="AB36" s="30">
        <f t="shared" si="12"/>
        <v>0</v>
      </c>
      <c r="AC36" s="30">
        <f t="shared" si="12"/>
        <v>0</v>
      </c>
      <c r="AD36" s="30">
        <f t="shared" si="13"/>
        <v>0</v>
      </c>
      <c r="AE36" s="29"/>
      <c r="AF36" s="29"/>
      <c r="AG36" s="29"/>
      <c r="AH36" s="29"/>
      <c r="AI36" s="29"/>
    </row>
    <row r="37" spans="1:35" x14ac:dyDescent="0.15">
      <c r="A37" s="51">
        <v>1</v>
      </c>
      <c r="B37" s="50" t="s">
        <v>181</v>
      </c>
      <c r="C37" s="49" t="s">
        <v>184</v>
      </c>
      <c r="D37" s="48" t="s">
        <v>38</v>
      </c>
      <c r="E37" s="47"/>
      <c r="F37" s="56"/>
      <c r="G37" s="55"/>
      <c r="H37" s="55"/>
      <c r="I37" s="55"/>
      <c r="J37" s="54"/>
      <c r="K37" s="53"/>
      <c r="L37" s="95"/>
      <c r="M37" s="95"/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30">
        <f t="shared" si="10"/>
        <v>0</v>
      </c>
      <c r="AA37" s="30">
        <f t="shared" si="11"/>
        <v>0</v>
      </c>
      <c r="AB37" s="30">
        <f t="shared" si="12"/>
        <v>0</v>
      </c>
      <c r="AC37" s="30">
        <f t="shared" si="12"/>
        <v>0</v>
      </c>
      <c r="AD37" s="30">
        <f t="shared" si="13"/>
        <v>0</v>
      </c>
      <c r="AE37" s="29"/>
      <c r="AF37" s="29"/>
      <c r="AG37" s="29"/>
      <c r="AH37" s="29"/>
      <c r="AI37" s="29"/>
    </row>
    <row r="38" spans="1:35" x14ac:dyDescent="0.15">
      <c r="A38" s="51">
        <v>1</v>
      </c>
      <c r="B38" s="50" t="s">
        <v>181</v>
      </c>
      <c r="C38" s="49" t="s">
        <v>183</v>
      </c>
      <c r="D38" s="48" t="s">
        <v>36</v>
      </c>
      <c r="E38" s="47"/>
      <c r="F38" s="56"/>
      <c r="G38" s="55"/>
      <c r="H38" s="55"/>
      <c r="I38" s="55"/>
      <c r="J38" s="54"/>
      <c r="K38" s="53"/>
      <c r="L38" s="95"/>
      <c r="M38" s="95"/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30">
        <f t="shared" si="10"/>
        <v>0</v>
      </c>
      <c r="AA38" s="30">
        <f t="shared" si="11"/>
        <v>0</v>
      </c>
      <c r="AB38" s="30">
        <f t="shared" si="12"/>
        <v>0</v>
      </c>
      <c r="AC38" s="30">
        <f t="shared" si="12"/>
        <v>0</v>
      </c>
      <c r="AD38" s="30">
        <f t="shared" si="13"/>
        <v>0</v>
      </c>
      <c r="AE38" s="29"/>
      <c r="AF38" s="29"/>
      <c r="AG38" s="29"/>
      <c r="AH38" s="29"/>
      <c r="AI38" s="29"/>
    </row>
    <row r="39" spans="1:35" x14ac:dyDescent="0.15">
      <c r="A39" s="51">
        <v>1</v>
      </c>
      <c r="B39" s="50" t="s">
        <v>181</v>
      </c>
      <c r="C39" s="49" t="s">
        <v>182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>SUM(F39:J39)</f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30">
        <f t="shared" si="10"/>
        <v>0</v>
      </c>
      <c r="AA39" s="30">
        <f t="shared" si="11"/>
        <v>0</v>
      </c>
      <c r="AB39" s="30">
        <f t="shared" si="12"/>
        <v>0</v>
      </c>
      <c r="AC39" s="30">
        <f t="shared" si="12"/>
        <v>0</v>
      </c>
      <c r="AD39" s="30">
        <f t="shared" si="13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1</v>
      </c>
      <c r="B40" s="40" t="s">
        <v>181</v>
      </c>
      <c r="C40" s="39" t="s">
        <v>180</v>
      </c>
      <c r="D40" s="38" t="s">
        <v>31</v>
      </c>
      <c r="E40" s="37"/>
      <c r="F40" s="94"/>
      <c r="G40" s="93"/>
      <c r="H40" s="93"/>
      <c r="I40" s="93"/>
      <c r="J40" s="92"/>
      <c r="K40" s="91"/>
      <c r="L40" s="90"/>
      <c r="M40" s="90"/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30">
        <f t="shared" si="10"/>
        <v>0</v>
      </c>
      <c r="AA40" s="30">
        <f t="shared" si="11"/>
        <v>0</v>
      </c>
      <c r="AB40" s="30">
        <f t="shared" si="12"/>
        <v>0</v>
      </c>
      <c r="AC40" s="30">
        <f t="shared" si="12"/>
        <v>0</v>
      </c>
      <c r="AD40" s="30">
        <f t="shared" si="13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4">SUM(E5:E40)</f>
        <v>0</v>
      </c>
      <c r="F41" s="24">
        <f t="shared" si="14"/>
        <v>0</v>
      </c>
      <c r="G41" s="23">
        <f t="shared" si="14"/>
        <v>0</v>
      </c>
      <c r="H41" s="23">
        <f t="shared" si="14"/>
        <v>0</v>
      </c>
      <c r="I41" s="23">
        <f t="shared" ref="I41" si="15">SUM(I5:I40)</f>
        <v>0</v>
      </c>
      <c r="J41" s="22">
        <f t="shared" si="14"/>
        <v>0</v>
      </c>
      <c r="K41" s="15">
        <f t="shared" si="14"/>
        <v>0</v>
      </c>
      <c r="L41" s="20">
        <f t="shared" si="14"/>
        <v>0</v>
      </c>
      <c r="M41" s="20">
        <f t="shared" si="14"/>
        <v>0</v>
      </c>
      <c r="N41" s="17">
        <f t="shared" si="14"/>
        <v>0</v>
      </c>
      <c r="O41" s="16">
        <f t="shared" si="14"/>
        <v>0</v>
      </c>
      <c r="P41" s="16">
        <f t="shared" si="14"/>
        <v>0</v>
      </c>
      <c r="Q41" s="16">
        <f t="shared" ref="Q41" si="16">SUM(Q5:Q40)</f>
        <v>0</v>
      </c>
      <c r="R41" s="19">
        <f t="shared" si="14"/>
        <v>0</v>
      </c>
      <c r="S41" s="15">
        <f t="shared" si="14"/>
        <v>0</v>
      </c>
      <c r="T41" s="18">
        <f t="shared" si="14"/>
        <v>0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7">+E41</f>
        <v>0</v>
      </c>
      <c r="F42" s="10">
        <f t="shared" si="17"/>
        <v>0</v>
      </c>
      <c r="G42" s="9">
        <f t="shared" si="17"/>
        <v>0</v>
      </c>
      <c r="H42" s="9">
        <f t="shared" si="17"/>
        <v>0</v>
      </c>
      <c r="I42" s="9">
        <f t="shared" si="17"/>
        <v>0</v>
      </c>
      <c r="J42" s="8">
        <f t="shared" si="17"/>
        <v>0</v>
      </c>
      <c r="K42" s="4">
        <f>SUM(F42:J42)</f>
        <v>0</v>
      </c>
      <c r="L42" s="5">
        <f>+L41</f>
        <v>0</v>
      </c>
      <c r="M42" s="5">
        <f>+M41</f>
        <v>0</v>
      </c>
      <c r="N42" s="121">
        <f>+'4条支出'!N9</f>
        <v>0</v>
      </c>
      <c r="O42" s="122">
        <f>+'4条支出'!O9</f>
        <v>0</v>
      </c>
      <c r="P42" s="122">
        <f>+'4条支出'!P9</f>
        <v>0</v>
      </c>
      <c r="Q42" s="122">
        <f>+'4条支出'!Q9</f>
        <v>0</v>
      </c>
      <c r="R42" s="123">
        <f>+'4条支出'!R9</f>
        <v>0</v>
      </c>
      <c r="S42" s="124">
        <f>+'4条支出'!S9</f>
        <v>0</v>
      </c>
      <c r="T42" s="125">
        <f>+'4条支出'!T9</f>
        <v>0</v>
      </c>
    </row>
    <row r="43" spans="1:35" x14ac:dyDescent="0.15">
      <c r="E43" s="3">
        <f t="shared" ref="E43:T43" si="18">+E42-E41</f>
        <v>0</v>
      </c>
      <c r="F43" s="3">
        <f t="shared" si="18"/>
        <v>0</v>
      </c>
      <c r="G43" s="3">
        <f t="shared" si="18"/>
        <v>0</v>
      </c>
      <c r="H43" s="3">
        <f t="shared" si="18"/>
        <v>0</v>
      </c>
      <c r="I43" s="3">
        <f t="shared" ref="I43" si="19">+I42-I41</f>
        <v>0</v>
      </c>
      <c r="J43" s="3">
        <f t="shared" si="18"/>
        <v>0</v>
      </c>
      <c r="K43" s="3">
        <f t="shared" si="18"/>
        <v>0</v>
      </c>
      <c r="L43" s="3">
        <f t="shared" si="18"/>
        <v>0</v>
      </c>
      <c r="M43" s="3">
        <f t="shared" si="18"/>
        <v>0</v>
      </c>
      <c r="N43" s="3">
        <f t="shared" si="18"/>
        <v>0</v>
      </c>
      <c r="O43" s="3">
        <f t="shared" si="18"/>
        <v>0</v>
      </c>
      <c r="P43" s="3">
        <f t="shared" si="18"/>
        <v>0</v>
      </c>
      <c r="Q43" s="3">
        <f t="shared" ref="Q43" si="20">+Q42-Q41</f>
        <v>0</v>
      </c>
      <c r="R43" s="3">
        <f t="shared" si="18"/>
        <v>0</v>
      </c>
      <c r="S43" s="3">
        <f t="shared" si="18"/>
        <v>0</v>
      </c>
      <c r="T43" s="3">
        <f t="shared" si="18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104" priority="4">
      <formula>ABS(Z5)=1</formula>
    </cfRule>
  </conditionalFormatting>
  <conditionalFormatting sqref="AD5:AD40">
    <cfRule type="expression" dxfId="103" priority="3">
      <formula>ABS(AD5)=1</formula>
    </cfRule>
  </conditionalFormatting>
  <conditionalFormatting sqref="Z6:AC40">
    <cfRule type="expression" dxfId="102" priority="6">
      <formula>ABS(Z6)=1</formula>
    </cfRule>
  </conditionalFormatting>
  <conditionalFormatting sqref="AE6:AE14 AE16:AE40">
    <cfRule type="notContainsBlanks" dxfId="101" priority="9" stopIfTrue="1">
      <formula>LEN(TRIM(AE6))&gt;0</formula>
    </cfRule>
  </conditionalFormatting>
  <conditionalFormatting sqref="AE6:AI40">
    <cfRule type="notContainsBlanks" dxfId="100" priority="8" stopIfTrue="1">
      <formula>LEN(TRIM(AE6))&gt;0</formula>
    </cfRule>
  </conditionalFormatting>
  <conditionalFormatting sqref="AE5:AI5">
    <cfRule type="notContainsBlanks" dxfId="99" priority="7" stopIfTrue="1">
      <formula>LEN(TRIM(AE5))&gt;0</formula>
    </cfRule>
  </conditionalFormatting>
  <conditionalFormatting sqref="AA6:AC40">
    <cfRule type="expression" dxfId="98" priority="5">
      <formula>ABS(AA6)=1</formula>
    </cfRule>
  </conditionalFormatting>
  <conditionalFormatting sqref="E43:H43 J43:T43">
    <cfRule type="cellIs" dxfId="97" priority="2" operator="notEqual">
      <formula>0</formula>
    </cfRule>
  </conditionalFormatting>
  <conditionalFormatting sqref="I43">
    <cfRule type="cellIs" dxfId="96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topLeftCell="E1" zoomScale="80" zoomScaleNormal="80" zoomScaleSheetLayoutView="40" workbookViewId="0">
      <pane xSplit="1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4" width="5.375" style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255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1</v>
      </c>
      <c r="B5" s="65" t="s">
        <v>254</v>
      </c>
      <c r="C5" s="64"/>
      <c r="D5" s="63" t="s">
        <v>101</v>
      </c>
      <c r="E5" s="62"/>
      <c r="F5" s="100"/>
      <c r="G5" s="99"/>
      <c r="H5" s="99"/>
      <c r="I5" s="99"/>
      <c r="J5" s="98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97"/>
      <c r="L5" s="96"/>
      <c r="M5" s="96"/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30">
        <f t="shared" ref="Z5:Z40" si="10">+IF(N$43=0,0,IF(N$43&lt;0,-RANK(U5,U$5:U$40,0),RANK(U5,U$5:U$40,1)))</f>
        <v>0</v>
      </c>
      <c r="AA5" s="30">
        <f t="shared" ref="AA5:AA40" si="11">+IF(O$43=0,0,IF(O$43&lt;0,-RANK(V5,V$5:V$40,0),RANK(V5,V$5:V$40,1)))</f>
        <v>0</v>
      </c>
      <c r="AB5" s="30">
        <f t="shared" ref="AB5:AC40" si="12">+IF(P$43=0,0,IF(P$43&lt;0,-RANK(W5,W$5:W$40,0),RANK(W5,W$5:W$40,1)))</f>
        <v>0</v>
      </c>
      <c r="AC5" s="30">
        <f t="shared" si="12"/>
        <v>0</v>
      </c>
      <c r="AD5" s="30">
        <f t="shared" ref="AD5:AD40" si="13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1</v>
      </c>
      <c r="B6" s="50" t="s">
        <v>253</v>
      </c>
      <c r="C6" s="49"/>
      <c r="D6" s="48" t="s">
        <v>99</v>
      </c>
      <c r="E6" s="47"/>
      <c r="F6" s="56"/>
      <c r="G6" s="55"/>
      <c r="H6" s="55"/>
      <c r="I6" s="55"/>
      <c r="J6" s="54"/>
      <c r="K6" s="53"/>
      <c r="L6" s="95"/>
      <c r="M6" s="95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30">
        <f t="shared" si="10"/>
        <v>0</v>
      </c>
      <c r="AA6" s="30">
        <f t="shared" si="11"/>
        <v>0</v>
      </c>
      <c r="AB6" s="30">
        <f t="shared" si="12"/>
        <v>0</v>
      </c>
      <c r="AC6" s="30">
        <f t="shared" si="12"/>
        <v>0</v>
      </c>
      <c r="AD6" s="30">
        <f t="shared" si="13"/>
        <v>0</v>
      </c>
      <c r="AE6" s="29"/>
      <c r="AF6" s="29"/>
      <c r="AG6" s="29"/>
      <c r="AH6" s="29"/>
      <c r="AI6" s="29"/>
    </row>
    <row r="7" spans="1:35" x14ac:dyDescent="0.15">
      <c r="A7" s="51">
        <v>1</v>
      </c>
      <c r="B7" s="50" t="s">
        <v>252</v>
      </c>
      <c r="C7" s="49"/>
      <c r="D7" s="48" t="s">
        <v>97</v>
      </c>
      <c r="E7" s="47"/>
      <c r="F7" s="56"/>
      <c r="G7" s="55"/>
      <c r="H7" s="55"/>
      <c r="I7" s="55"/>
      <c r="J7" s="54"/>
      <c r="K7" s="53"/>
      <c r="L7" s="95"/>
      <c r="M7" s="95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30">
        <f t="shared" si="10"/>
        <v>0</v>
      </c>
      <c r="AA7" s="30">
        <f t="shared" si="11"/>
        <v>0</v>
      </c>
      <c r="AB7" s="30">
        <f t="shared" si="12"/>
        <v>0</v>
      </c>
      <c r="AC7" s="30">
        <f t="shared" si="12"/>
        <v>0</v>
      </c>
      <c r="AD7" s="30">
        <f t="shared" si="13"/>
        <v>0</v>
      </c>
      <c r="AE7" s="29"/>
      <c r="AF7" s="29"/>
      <c r="AG7" s="29"/>
      <c r="AH7" s="29"/>
      <c r="AI7" s="29"/>
    </row>
    <row r="8" spans="1:35" x14ac:dyDescent="0.15">
      <c r="A8" s="51">
        <v>1</v>
      </c>
      <c r="B8" s="50" t="s">
        <v>251</v>
      </c>
      <c r="C8" s="49"/>
      <c r="D8" s="48" t="s">
        <v>95</v>
      </c>
      <c r="E8" s="47"/>
      <c r="F8" s="56"/>
      <c r="G8" s="55"/>
      <c r="H8" s="55"/>
      <c r="I8" s="55"/>
      <c r="J8" s="54"/>
      <c r="K8" s="53"/>
      <c r="L8" s="95"/>
      <c r="M8" s="95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30">
        <f t="shared" si="10"/>
        <v>0</v>
      </c>
      <c r="AA8" s="30">
        <f t="shared" si="11"/>
        <v>0</v>
      </c>
      <c r="AB8" s="30">
        <f t="shared" si="12"/>
        <v>0</v>
      </c>
      <c r="AC8" s="30">
        <f t="shared" si="12"/>
        <v>0</v>
      </c>
      <c r="AD8" s="30">
        <f t="shared" si="13"/>
        <v>0</v>
      </c>
      <c r="AE8" s="29"/>
      <c r="AF8" s="29"/>
      <c r="AG8" s="29"/>
      <c r="AH8" s="29"/>
      <c r="AI8" s="29"/>
    </row>
    <row r="9" spans="1:35" x14ac:dyDescent="0.15">
      <c r="A9" s="51">
        <v>1</v>
      </c>
      <c r="B9" s="50" t="s">
        <v>250</v>
      </c>
      <c r="C9" s="49"/>
      <c r="D9" s="48" t="s">
        <v>93</v>
      </c>
      <c r="E9" s="47"/>
      <c r="F9" s="56"/>
      <c r="G9" s="55"/>
      <c r="H9" s="55"/>
      <c r="I9" s="55"/>
      <c r="J9" s="54"/>
      <c r="K9" s="53"/>
      <c r="L9" s="95"/>
      <c r="M9" s="95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30">
        <f t="shared" si="10"/>
        <v>0</v>
      </c>
      <c r="AA9" s="30">
        <f t="shared" si="11"/>
        <v>0</v>
      </c>
      <c r="AB9" s="30">
        <f t="shared" si="12"/>
        <v>0</v>
      </c>
      <c r="AC9" s="30">
        <f t="shared" si="12"/>
        <v>0</v>
      </c>
      <c r="AD9" s="30">
        <f t="shared" si="13"/>
        <v>0</v>
      </c>
      <c r="AE9" s="29"/>
      <c r="AF9" s="29"/>
      <c r="AG9" s="29"/>
      <c r="AH9" s="29"/>
      <c r="AI9" s="29"/>
    </row>
    <row r="10" spans="1:35" x14ac:dyDescent="0.15">
      <c r="A10" s="51">
        <v>1</v>
      </c>
      <c r="B10" s="50" t="s">
        <v>249</v>
      </c>
      <c r="C10" s="49"/>
      <c r="D10" s="48" t="s">
        <v>91</v>
      </c>
      <c r="E10" s="47"/>
      <c r="F10" s="56"/>
      <c r="G10" s="55"/>
      <c r="H10" s="55"/>
      <c r="I10" s="55"/>
      <c r="J10" s="54"/>
      <c r="K10" s="53"/>
      <c r="L10" s="95"/>
      <c r="M10" s="95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30">
        <f t="shared" si="10"/>
        <v>0</v>
      </c>
      <c r="AA10" s="30">
        <f t="shared" si="11"/>
        <v>0</v>
      </c>
      <c r="AB10" s="30">
        <f t="shared" si="12"/>
        <v>0</v>
      </c>
      <c r="AC10" s="30">
        <f t="shared" si="12"/>
        <v>0</v>
      </c>
      <c r="AD10" s="30">
        <f t="shared" si="13"/>
        <v>0</v>
      </c>
      <c r="AE10" s="29"/>
      <c r="AF10" s="29"/>
      <c r="AG10" s="29"/>
      <c r="AH10" s="29"/>
      <c r="AI10" s="29"/>
    </row>
    <row r="11" spans="1:35" x14ac:dyDescent="0.15">
      <c r="A11" s="51">
        <v>1</v>
      </c>
      <c r="B11" s="50" t="s">
        <v>248</v>
      </c>
      <c r="C11" s="49"/>
      <c r="D11" s="48" t="s">
        <v>89</v>
      </c>
      <c r="E11" s="47"/>
      <c r="F11" s="56"/>
      <c r="G11" s="55"/>
      <c r="H11" s="55"/>
      <c r="I11" s="55"/>
      <c r="J11" s="54"/>
      <c r="K11" s="53"/>
      <c r="L11" s="95"/>
      <c r="M11" s="95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30">
        <f t="shared" si="10"/>
        <v>0</v>
      </c>
      <c r="AA11" s="30">
        <f t="shared" si="11"/>
        <v>0</v>
      </c>
      <c r="AB11" s="30">
        <f t="shared" si="12"/>
        <v>0</v>
      </c>
      <c r="AC11" s="30">
        <f t="shared" si="12"/>
        <v>0</v>
      </c>
      <c r="AD11" s="30">
        <f t="shared" si="13"/>
        <v>0</v>
      </c>
      <c r="AE11" s="29"/>
      <c r="AF11" s="29"/>
      <c r="AG11" s="29"/>
      <c r="AH11" s="29"/>
      <c r="AI11" s="29"/>
    </row>
    <row r="12" spans="1:35" x14ac:dyDescent="0.15">
      <c r="A12" s="51">
        <v>1</v>
      </c>
      <c r="B12" s="50" t="s">
        <v>246</v>
      </c>
      <c r="C12" s="49" t="s">
        <v>247</v>
      </c>
      <c r="D12" s="48" t="s">
        <v>87</v>
      </c>
      <c r="E12" s="47"/>
      <c r="F12" s="56"/>
      <c r="G12" s="55"/>
      <c r="H12" s="55"/>
      <c r="I12" s="55"/>
      <c r="J12" s="54"/>
      <c r="K12" s="53"/>
      <c r="L12" s="95"/>
      <c r="M12" s="95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30">
        <f t="shared" si="10"/>
        <v>0</v>
      </c>
      <c r="AA12" s="30">
        <f t="shared" si="11"/>
        <v>0</v>
      </c>
      <c r="AB12" s="30">
        <f t="shared" si="12"/>
        <v>0</v>
      </c>
      <c r="AC12" s="30">
        <f t="shared" si="12"/>
        <v>0</v>
      </c>
      <c r="AD12" s="30">
        <f t="shared" si="13"/>
        <v>0</v>
      </c>
      <c r="AE12" s="29"/>
      <c r="AF12" s="29"/>
      <c r="AG12" s="29"/>
      <c r="AH12" s="29"/>
      <c r="AI12" s="29"/>
    </row>
    <row r="13" spans="1:35" x14ac:dyDescent="0.15">
      <c r="A13" s="51">
        <v>1</v>
      </c>
      <c r="B13" s="50" t="s">
        <v>246</v>
      </c>
      <c r="C13" s="49" t="s">
        <v>245</v>
      </c>
      <c r="D13" s="48" t="s">
        <v>84</v>
      </c>
      <c r="E13" s="47"/>
      <c r="F13" s="56"/>
      <c r="G13" s="55"/>
      <c r="H13" s="55"/>
      <c r="I13" s="55"/>
      <c r="J13" s="54"/>
      <c r="K13" s="53"/>
      <c r="L13" s="95"/>
      <c r="M13" s="95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30">
        <f t="shared" si="10"/>
        <v>0</v>
      </c>
      <c r="AA13" s="30">
        <f t="shared" si="11"/>
        <v>0</v>
      </c>
      <c r="AB13" s="30">
        <f t="shared" si="12"/>
        <v>0</v>
      </c>
      <c r="AC13" s="30">
        <f t="shared" si="12"/>
        <v>0</v>
      </c>
      <c r="AD13" s="30">
        <f t="shared" si="13"/>
        <v>0</v>
      </c>
      <c r="AE13" s="29"/>
      <c r="AF13" s="29"/>
      <c r="AG13" s="29"/>
      <c r="AH13" s="29"/>
      <c r="AI13" s="29"/>
    </row>
    <row r="14" spans="1:35" x14ac:dyDescent="0.15">
      <c r="A14" s="51">
        <v>1</v>
      </c>
      <c r="B14" s="50" t="s">
        <v>244</v>
      </c>
      <c r="C14" s="49"/>
      <c r="D14" s="48" t="s">
        <v>82</v>
      </c>
      <c r="E14" s="47"/>
      <c r="F14" s="56"/>
      <c r="G14" s="55"/>
      <c r="H14" s="55"/>
      <c r="I14" s="55"/>
      <c r="J14" s="54"/>
      <c r="K14" s="53"/>
      <c r="L14" s="95"/>
      <c r="M14" s="95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30">
        <f t="shared" si="10"/>
        <v>0</v>
      </c>
      <c r="AA14" s="30">
        <f t="shared" si="11"/>
        <v>0</v>
      </c>
      <c r="AB14" s="30">
        <f t="shared" si="12"/>
        <v>0</v>
      </c>
      <c r="AC14" s="30">
        <f t="shared" si="12"/>
        <v>0</v>
      </c>
      <c r="AD14" s="30">
        <f t="shared" si="13"/>
        <v>0</v>
      </c>
      <c r="AE14" s="29"/>
      <c r="AF14" s="29"/>
      <c r="AG14" s="29"/>
      <c r="AH14" s="29"/>
      <c r="AI14" s="29"/>
    </row>
    <row r="15" spans="1:35" x14ac:dyDescent="0.15">
      <c r="A15" s="51">
        <v>1</v>
      </c>
      <c r="B15" s="50" t="s">
        <v>243</v>
      </c>
      <c r="C15" s="49"/>
      <c r="D15" s="48" t="s">
        <v>80</v>
      </c>
      <c r="E15" s="47"/>
      <c r="F15" s="56"/>
      <c r="G15" s="55"/>
      <c r="H15" s="55"/>
      <c r="I15" s="55"/>
      <c r="J15" s="54"/>
      <c r="K15" s="53"/>
      <c r="L15" s="95"/>
      <c r="M15" s="95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30">
        <f t="shared" si="10"/>
        <v>0</v>
      </c>
      <c r="AA15" s="30">
        <f t="shared" si="11"/>
        <v>0</v>
      </c>
      <c r="AB15" s="30">
        <f t="shared" si="12"/>
        <v>0</v>
      </c>
      <c r="AC15" s="30">
        <f t="shared" si="12"/>
        <v>0</v>
      </c>
      <c r="AD15" s="30">
        <f t="shared" si="13"/>
        <v>0</v>
      </c>
      <c r="AE15" s="29"/>
      <c r="AF15" s="29"/>
      <c r="AG15" s="29"/>
      <c r="AH15" s="29"/>
      <c r="AI15" s="29"/>
    </row>
    <row r="16" spans="1:35" x14ac:dyDescent="0.15">
      <c r="A16" s="51">
        <v>1</v>
      </c>
      <c r="B16" s="50" t="s">
        <v>242</v>
      </c>
      <c r="C16" s="49"/>
      <c r="D16" s="48" t="s">
        <v>78</v>
      </c>
      <c r="E16" s="47"/>
      <c r="F16" s="56"/>
      <c r="G16" s="55"/>
      <c r="H16" s="55"/>
      <c r="I16" s="55"/>
      <c r="J16" s="54"/>
      <c r="K16" s="53"/>
      <c r="L16" s="95"/>
      <c r="M16" s="95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30">
        <f t="shared" si="10"/>
        <v>0</v>
      </c>
      <c r="AA16" s="30">
        <f t="shared" si="11"/>
        <v>0</v>
      </c>
      <c r="AB16" s="30">
        <f t="shared" si="12"/>
        <v>0</v>
      </c>
      <c r="AC16" s="30">
        <f t="shared" si="12"/>
        <v>0</v>
      </c>
      <c r="AD16" s="30">
        <f t="shared" si="13"/>
        <v>0</v>
      </c>
      <c r="AE16" s="29"/>
      <c r="AF16" s="29"/>
      <c r="AG16" s="29"/>
      <c r="AH16" s="29"/>
      <c r="AI16" s="29"/>
    </row>
    <row r="17" spans="1:35" x14ac:dyDescent="0.15">
      <c r="A17" s="51">
        <v>1</v>
      </c>
      <c r="B17" s="50" t="s">
        <v>241</v>
      </c>
      <c r="C17" s="49"/>
      <c r="D17" s="48" t="s">
        <v>76</v>
      </c>
      <c r="E17" s="47"/>
      <c r="F17" s="56"/>
      <c r="G17" s="55"/>
      <c r="H17" s="55"/>
      <c r="I17" s="55"/>
      <c r="J17" s="54"/>
      <c r="K17" s="53"/>
      <c r="L17" s="95"/>
      <c r="M17" s="95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30">
        <f t="shared" si="10"/>
        <v>0</v>
      </c>
      <c r="AA17" s="30">
        <f t="shared" si="11"/>
        <v>0</v>
      </c>
      <c r="AB17" s="30">
        <f t="shared" si="12"/>
        <v>0</v>
      </c>
      <c r="AC17" s="30">
        <f t="shared" si="12"/>
        <v>0</v>
      </c>
      <c r="AD17" s="30">
        <f t="shared" si="13"/>
        <v>0</v>
      </c>
      <c r="AE17" s="29"/>
      <c r="AF17" s="29"/>
      <c r="AG17" s="29"/>
      <c r="AH17" s="29"/>
      <c r="AI17" s="29"/>
    </row>
    <row r="18" spans="1:35" x14ac:dyDescent="0.15">
      <c r="A18" s="51">
        <v>1</v>
      </c>
      <c r="B18" s="50" t="s">
        <v>240</v>
      </c>
      <c r="C18" s="49"/>
      <c r="D18" s="48" t="s">
        <v>74</v>
      </c>
      <c r="E18" s="47"/>
      <c r="F18" s="56"/>
      <c r="G18" s="55"/>
      <c r="H18" s="55"/>
      <c r="I18" s="55"/>
      <c r="J18" s="54"/>
      <c r="K18" s="53"/>
      <c r="L18" s="95"/>
      <c r="M18" s="95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30">
        <f t="shared" si="10"/>
        <v>0</v>
      </c>
      <c r="AA18" s="30">
        <f t="shared" si="11"/>
        <v>0</v>
      </c>
      <c r="AB18" s="30">
        <f t="shared" si="12"/>
        <v>0</v>
      </c>
      <c r="AC18" s="30">
        <f t="shared" si="12"/>
        <v>0</v>
      </c>
      <c r="AD18" s="30">
        <f t="shared" si="13"/>
        <v>0</v>
      </c>
      <c r="AE18" s="29"/>
      <c r="AF18" s="29"/>
      <c r="AG18" s="29"/>
      <c r="AH18" s="29"/>
      <c r="AI18" s="29"/>
    </row>
    <row r="19" spans="1:35" x14ac:dyDescent="0.15">
      <c r="A19" s="51">
        <v>1</v>
      </c>
      <c r="B19" s="50" t="s">
        <v>239</v>
      </c>
      <c r="C19" s="49"/>
      <c r="D19" s="48" t="s">
        <v>72</v>
      </c>
      <c r="E19" s="47"/>
      <c r="F19" s="56"/>
      <c r="G19" s="55"/>
      <c r="H19" s="55"/>
      <c r="I19" s="55"/>
      <c r="J19" s="54"/>
      <c r="K19" s="53"/>
      <c r="L19" s="95"/>
      <c r="M19" s="95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30">
        <f t="shared" si="10"/>
        <v>0</v>
      </c>
      <c r="AA19" s="30">
        <f t="shared" si="11"/>
        <v>0</v>
      </c>
      <c r="AB19" s="30">
        <f t="shared" si="12"/>
        <v>0</v>
      </c>
      <c r="AC19" s="30">
        <f t="shared" si="12"/>
        <v>0</v>
      </c>
      <c r="AD19" s="30">
        <f t="shared" si="13"/>
        <v>0</v>
      </c>
      <c r="AE19" s="29"/>
      <c r="AF19" s="29"/>
      <c r="AG19" s="29"/>
      <c r="AH19" s="29"/>
      <c r="AI19" s="29"/>
    </row>
    <row r="20" spans="1:35" x14ac:dyDescent="0.15">
      <c r="A20" s="51">
        <v>1</v>
      </c>
      <c r="B20" s="50" t="s">
        <v>238</v>
      </c>
      <c r="C20" s="49"/>
      <c r="D20" s="48" t="s">
        <v>70</v>
      </c>
      <c r="E20" s="47"/>
      <c r="F20" s="56"/>
      <c r="G20" s="55"/>
      <c r="H20" s="55"/>
      <c r="I20" s="55"/>
      <c r="J20" s="54"/>
      <c r="K20" s="53"/>
      <c r="L20" s="95"/>
      <c r="M20" s="95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30">
        <f t="shared" si="10"/>
        <v>0</v>
      </c>
      <c r="AA20" s="30">
        <f t="shared" si="11"/>
        <v>0</v>
      </c>
      <c r="AB20" s="30">
        <f t="shared" si="12"/>
        <v>0</v>
      </c>
      <c r="AC20" s="30">
        <f t="shared" si="12"/>
        <v>0</v>
      </c>
      <c r="AD20" s="30">
        <f t="shared" si="13"/>
        <v>0</v>
      </c>
      <c r="AE20" s="29"/>
      <c r="AF20" s="29"/>
      <c r="AG20" s="29"/>
      <c r="AH20" s="29"/>
      <c r="AI20" s="29"/>
    </row>
    <row r="21" spans="1:35" x14ac:dyDescent="0.15">
      <c r="A21" s="51">
        <v>1</v>
      </c>
      <c r="B21" s="50" t="s">
        <v>237</v>
      </c>
      <c r="C21" s="49"/>
      <c r="D21" s="48" t="s">
        <v>68</v>
      </c>
      <c r="E21" s="47"/>
      <c r="F21" s="56"/>
      <c r="G21" s="55"/>
      <c r="H21" s="55"/>
      <c r="I21" s="55"/>
      <c r="J21" s="54"/>
      <c r="K21" s="53"/>
      <c r="L21" s="95"/>
      <c r="M21" s="95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30">
        <f t="shared" si="10"/>
        <v>0</v>
      </c>
      <c r="AA21" s="30">
        <f t="shared" si="11"/>
        <v>0</v>
      </c>
      <c r="AB21" s="30">
        <f t="shared" si="12"/>
        <v>0</v>
      </c>
      <c r="AC21" s="30">
        <f t="shared" si="12"/>
        <v>0</v>
      </c>
      <c r="AD21" s="30">
        <f t="shared" si="13"/>
        <v>0</v>
      </c>
      <c r="AE21" s="29"/>
      <c r="AF21" s="29"/>
      <c r="AG21" s="29"/>
      <c r="AH21" s="29"/>
      <c r="AI21" s="29"/>
    </row>
    <row r="22" spans="1:35" x14ac:dyDescent="0.15">
      <c r="A22" s="51">
        <v>1</v>
      </c>
      <c r="B22" s="50" t="s">
        <v>236</v>
      </c>
      <c r="C22" s="49"/>
      <c r="D22" s="48" t="s">
        <v>66</v>
      </c>
      <c r="E22" s="47"/>
      <c r="F22" s="56"/>
      <c r="G22" s="55"/>
      <c r="H22" s="55"/>
      <c r="I22" s="55"/>
      <c r="J22" s="54"/>
      <c r="K22" s="53"/>
      <c r="L22" s="95"/>
      <c r="M22" s="95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30">
        <f t="shared" si="10"/>
        <v>0</v>
      </c>
      <c r="AA22" s="30">
        <f t="shared" si="11"/>
        <v>0</v>
      </c>
      <c r="AB22" s="30">
        <f t="shared" si="12"/>
        <v>0</v>
      </c>
      <c r="AC22" s="30">
        <f t="shared" si="12"/>
        <v>0</v>
      </c>
      <c r="AD22" s="30">
        <f t="shared" si="13"/>
        <v>0</v>
      </c>
      <c r="AE22" s="29"/>
      <c r="AF22" s="29"/>
      <c r="AG22" s="29"/>
      <c r="AH22" s="29"/>
      <c r="AI22" s="29"/>
    </row>
    <row r="23" spans="1:35" x14ac:dyDescent="0.15">
      <c r="A23" s="51">
        <v>1</v>
      </c>
      <c r="B23" s="50" t="s">
        <v>235</v>
      </c>
      <c r="C23" s="49"/>
      <c r="D23" s="48" t="s">
        <v>64</v>
      </c>
      <c r="E23" s="47"/>
      <c r="F23" s="56"/>
      <c r="G23" s="55"/>
      <c r="H23" s="55"/>
      <c r="I23" s="55"/>
      <c r="J23" s="54"/>
      <c r="K23" s="53"/>
      <c r="L23" s="95"/>
      <c r="M23" s="95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30">
        <f t="shared" si="10"/>
        <v>0</v>
      </c>
      <c r="AA23" s="30">
        <f t="shared" si="11"/>
        <v>0</v>
      </c>
      <c r="AB23" s="30">
        <f t="shared" si="12"/>
        <v>0</v>
      </c>
      <c r="AC23" s="30">
        <f t="shared" si="12"/>
        <v>0</v>
      </c>
      <c r="AD23" s="30">
        <f t="shared" si="13"/>
        <v>0</v>
      </c>
      <c r="AE23" s="29"/>
      <c r="AF23" s="29"/>
      <c r="AG23" s="29"/>
      <c r="AH23" s="29"/>
      <c r="AI23" s="29"/>
    </row>
    <row r="24" spans="1:35" x14ac:dyDescent="0.15">
      <c r="A24" s="51">
        <v>1</v>
      </c>
      <c r="B24" s="50" t="s">
        <v>234</v>
      </c>
      <c r="C24" s="49"/>
      <c r="D24" s="48" t="s">
        <v>62</v>
      </c>
      <c r="E24" s="47"/>
      <c r="F24" s="56"/>
      <c r="G24" s="55"/>
      <c r="H24" s="55"/>
      <c r="I24" s="55"/>
      <c r="J24" s="54"/>
      <c r="K24" s="53"/>
      <c r="L24" s="95"/>
      <c r="M24" s="95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30">
        <f t="shared" si="10"/>
        <v>0</v>
      </c>
      <c r="AA24" s="30">
        <f t="shared" si="11"/>
        <v>0</v>
      </c>
      <c r="AB24" s="30">
        <f t="shared" si="12"/>
        <v>0</v>
      </c>
      <c r="AC24" s="30">
        <f t="shared" si="12"/>
        <v>0</v>
      </c>
      <c r="AD24" s="30">
        <f t="shared" si="13"/>
        <v>0</v>
      </c>
      <c r="AE24" s="29"/>
      <c r="AF24" s="29"/>
      <c r="AG24" s="29"/>
      <c r="AH24" s="29"/>
      <c r="AI24" s="29"/>
    </row>
    <row r="25" spans="1:35" x14ac:dyDescent="0.15">
      <c r="A25" s="51">
        <v>1</v>
      </c>
      <c r="B25" s="50" t="s">
        <v>233</v>
      </c>
      <c r="C25" s="49"/>
      <c r="D25" s="48" t="s">
        <v>60</v>
      </c>
      <c r="E25" s="47"/>
      <c r="F25" s="56"/>
      <c r="G25" s="55"/>
      <c r="H25" s="55"/>
      <c r="I25" s="55"/>
      <c r="J25" s="54"/>
      <c r="K25" s="53"/>
      <c r="L25" s="95"/>
      <c r="M25" s="95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30">
        <f t="shared" si="10"/>
        <v>0</v>
      </c>
      <c r="AA25" s="30">
        <f t="shared" si="11"/>
        <v>0</v>
      </c>
      <c r="AB25" s="30">
        <f t="shared" si="12"/>
        <v>0</v>
      </c>
      <c r="AC25" s="30">
        <f t="shared" si="12"/>
        <v>0</v>
      </c>
      <c r="AD25" s="30">
        <f t="shared" si="13"/>
        <v>0</v>
      </c>
      <c r="AE25" s="29"/>
      <c r="AF25" s="29"/>
      <c r="AG25" s="29"/>
      <c r="AH25" s="29"/>
      <c r="AI25" s="29"/>
    </row>
    <row r="26" spans="1:35" x14ac:dyDescent="0.15">
      <c r="A26" s="51">
        <v>1</v>
      </c>
      <c r="B26" s="50" t="s">
        <v>232</v>
      </c>
      <c r="C26" s="49"/>
      <c r="D26" s="48" t="s">
        <v>58</v>
      </c>
      <c r="E26" s="47"/>
      <c r="F26" s="56"/>
      <c r="G26" s="55"/>
      <c r="H26" s="55"/>
      <c r="I26" s="55"/>
      <c r="J26" s="54"/>
      <c r="K26" s="53"/>
      <c r="L26" s="95"/>
      <c r="M26" s="95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30">
        <f t="shared" si="10"/>
        <v>0</v>
      </c>
      <c r="AA26" s="30">
        <f t="shared" si="11"/>
        <v>0</v>
      </c>
      <c r="AB26" s="30">
        <f t="shared" si="12"/>
        <v>0</v>
      </c>
      <c r="AC26" s="30">
        <f t="shared" si="12"/>
        <v>0</v>
      </c>
      <c r="AD26" s="30">
        <f t="shared" si="13"/>
        <v>0</v>
      </c>
      <c r="AE26" s="29"/>
      <c r="AF26" s="29"/>
      <c r="AG26" s="29"/>
      <c r="AH26" s="29"/>
      <c r="AI26" s="29"/>
    </row>
    <row r="27" spans="1:35" x14ac:dyDescent="0.15">
      <c r="A27" s="51">
        <v>1</v>
      </c>
      <c r="B27" s="50" t="s">
        <v>246</v>
      </c>
      <c r="C27" s="49">
        <v>615471003</v>
      </c>
      <c r="D27" s="48" t="s">
        <v>370</v>
      </c>
      <c r="E27" s="47"/>
      <c r="F27" s="56"/>
      <c r="G27" s="55"/>
      <c r="H27" s="55"/>
      <c r="I27" s="55"/>
      <c r="J27" s="54"/>
      <c r="K27" s="53"/>
      <c r="L27" s="95"/>
      <c r="M27" s="95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30">
        <f t="shared" si="10"/>
        <v>0</v>
      </c>
      <c r="AA27" s="30">
        <f t="shared" si="11"/>
        <v>0</v>
      </c>
      <c r="AB27" s="30">
        <f t="shared" si="12"/>
        <v>0</v>
      </c>
      <c r="AC27" s="30">
        <f t="shared" si="12"/>
        <v>0</v>
      </c>
      <c r="AD27" s="30">
        <f t="shared" si="13"/>
        <v>0</v>
      </c>
      <c r="AE27" s="29"/>
      <c r="AF27" s="29"/>
      <c r="AG27" s="29"/>
      <c r="AH27" s="29"/>
      <c r="AI27" s="29"/>
    </row>
    <row r="28" spans="1:35" x14ac:dyDescent="0.15">
      <c r="A28" s="51">
        <v>1</v>
      </c>
      <c r="B28" s="50" t="s">
        <v>231</v>
      </c>
      <c r="C28" s="49"/>
      <c r="D28" s="48" t="s">
        <v>56</v>
      </c>
      <c r="E28" s="47"/>
      <c r="F28" s="56"/>
      <c r="G28" s="55"/>
      <c r="H28" s="55"/>
      <c r="I28" s="55"/>
      <c r="J28" s="54"/>
      <c r="K28" s="53"/>
      <c r="L28" s="95"/>
      <c r="M28" s="95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30">
        <f t="shared" si="10"/>
        <v>0</v>
      </c>
      <c r="AA28" s="30">
        <f t="shared" si="11"/>
        <v>0</v>
      </c>
      <c r="AB28" s="30">
        <f t="shared" si="12"/>
        <v>0</v>
      </c>
      <c r="AC28" s="30">
        <f t="shared" si="12"/>
        <v>0</v>
      </c>
      <c r="AD28" s="30">
        <f t="shared" si="13"/>
        <v>0</v>
      </c>
      <c r="AE28" s="29"/>
      <c r="AF28" s="29"/>
      <c r="AG28" s="29"/>
      <c r="AH28" s="29"/>
      <c r="AI28" s="29"/>
    </row>
    <row r="29" spans="1:35" x14ac:dyDescent="0.15">
      <c r="A29" s="51">
        <v>1</v>
      </c>
      <c r="B29" s="50" t="s">
        <v>230</v>
      </c>
      <c r="C29" s="49"/>
      <c r="D29" s="48" t="s">
        <v>54</v>
      </c>
      <c r="E29" s="47"/>
      <c r="F29" s="56"/>
      <c r="G29" s="55"/>
      <c r="H29" s="55"/>
      <c r="I29" s="55"/>
      <c r="J29" s="54"/>
      <c r="K29" s="53"/>
      <c r="L29" s="95"/>
      <c r="M29" s="95"/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30">
        <f t="shared" si="10"/>
        <v>0</v>
      </c>
      <c r="AA29" s="30">
        <f t="shared" si="11"/>
        <v>0</v>
      </c>
      <c r="AB29" s="30">
        <f t="shared" si="12"/>
        <v>0</v>
      </c>
      <c r="AC29" s="30">
        <f t="shared" si="12"/>
        <v>0</v>
      </c>
      <c r="AD29" s="30">
        <f t="shared" si="13"/>
        <v>0</v>
      </c>
      <c r="AE29" s="29"/>
      <c r="AF29" s="29"/>
      <c r="AG29" s="29"/>
      <c r="AH29" s="29"/>
      <c r="AI29" s="29"/>
    </row>
    <row r="30" spans="1:35" x14ac:dyDescent="0.15">
      <c r="A30" s="51">
        <v>1</v>
      </c>
      <c r="B30" s="50" t="s">
        <v>229</v>
      </c>
      <c r="C30" s="49"/>
      <c r="D30" s="48" t="s">
        <v>52</v>
      </c>
      <c r="E30" s="47"/>
      <c r="F30" s="56"/>
      <c r="G30" s="55"/>
      <c r="H30" s="55"/>
      <c r="I30" s="55"/>
      <c r="J30" s="54"/>
      <c r="K30" s="53"/>
      <c r="L30" s="95"/>
      <c r="M30" s="95"/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30">
        <f t="shared" si="10"/>
        <v>0</v>
      </c>
      <c r="AA30" s="30">
        <f t="shared" si="11"/>
        <v>0</v>
      </c>
      <c r="AB30" s="30">
        <f t="shared" si="12"/>
        <v>0</v>
      </c>
      <c r="AC30" s="30">
        <f t="shared" si="12"/>
        <v>0</v>
      </c>
      <c r="AD30" s="30">
        <f t="shared" si="13"/>
        <v>0</v>
      </c>
      <c r="AE30" s="29"/>
      <c r="AF30" s="29"/>
      <c r="AG30" s="29"/>
      <c r="AH30" s="29"/>
      <c r="AI30" s="29"/>
    </row>
    <row r="31" spans="1:35" x14ac:dyDescent="0.15">
      <c r="A31" s="51">
        <v>1</v>
      </c>
      <c r="B31" s="50" t="s">
        <v>228</v>
      </c>
      <c r="C31" s="49"/>
      <c r="D31" s="48" t="s">
        <v>50</v>
      </c>
      <c r="E31" s="47"/>
      <c r="F31" s="56"/>
      <c r="G31" s="55"/>
      <c r="H31" s="55"/>
      <c r="I31" s="55"/>
      <c r="J31" s="54"/>
      <c r="K31" s="53"/>
      <c r="L31" s="95"/>
      <c r="M31" s="95"/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30">
        <f t="shared" si="10"/>
        <v>0</v>
      </c>
      <c r="AA31" s="30">
        <f t="shared" si="11"/>
        <v>0</v>
      </c>
      <c r="AB31" s="30">
        <f t="shared" si="12"/>
        <v>0</v>
      </c>
      <c r="AC31" s="30">
        <f t="shared" si="12"/>
        <v>0</v>
      </c>
      <c r="AD31" s="30">
        <f t="shared" si="13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227</v>
      </c>
      <c r="C32" s="49"/>
      <c r="D32" s="48" t="s">
        <v>48</v>
      </c>
      <c r="E32" s="47"/>
      <c r="F32" s="56"/>
      <c r="G32" s="55"/>
      <c r="H32" s="55"/>
      <c r="I32" s="55"/>
      <c r="J32" s="54"/>
      <c r="K32" s="53"/>
      <c r="L32" s="95"/>
      <c r="M32" s="95"/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30">
        <f t="shared" si="10"/>
        <v>0</v>
      </c>
      <c r="AA32" s="30">
        <f t="shared" si="11"/>
        <v>0</v>
      </c>
      <c r="AB32" s="30">
        <f t="shared" si="12"/>
        <v>0</v>
      </c>
      <c r="AC32" s="30">
        <f t="shared" si="12"/>
        <v>0</v>
      </c>
      <c r="AD32" s="30">
        <f t="shared" si="13"/>
        <v>0</v>
      </c>
      <c r="AE32" s="29"/>
      <c r="AF32" s="29"/>
      <c r="AG32" s="29"/>
      <c r="AH32" s="29"/>
      <c r="AI32" s="29"/>
    </row>
    <row r="33" spans="1:35" x14ac:dyDescent="0.15">
      <c r="A33" s="51">
        <v>1</v>
      </c>
      <c r="B33" s="50" t="s">
        <v>226</v>
      </c>
      <c r="C33" s="49"/>
      <c r="D33" s="48" t="s">
        <v>46</v>
      </c>
      <c r="E33" s="47"/>
      <c r="F33" s="56"/>
      <c r="G33" s="55"/>
      <c r="H33" s="55"/>
      <c r="I33" s="55"/>
      <c r="J33" s="54"/>
      <c r="K33" s="53"/>
      <c r="L33" s="95"/>
      <c r="M33" s="95"/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30">
        <f t="shared" si="10"/>
        <v>0</v>
      </c>
      <c r="AA33" s="30">
        <f t="shared" si="11"/>
        <v>0</v>
      </c>
      <c r="AB33" s="30">
        <f t="shared" si="12"/>
        <v>0</v>
      </c>
      <c r="AC33" s="30">
        <f t="shared" si="12"/>
        <v>0</v>
      </c>
      <c r="AD33" s="30">
        <f t="shared" si="13"/>
        <v>0</v>
      </c>
      <c r="AE33" s="29"/>
      <c r="AF33" s="29"/>
      <c r="AG33" s="29"/>
      <c r="AH33" s="29"/>
      <c r="AI33" s="29"/>
    </row>
    <row r="34" spans="1:35" x14ac:dyDescent="0.15">
      <c r="A34" s="51">
        <v>1</v>
      </c>
      <c r="B34" s="50" t="s">
        <v>225</v>
      </c>
      <c r="C34" s="49"/>
      <c r="D34" s="48" t="s">
        <v>44</v>
      </c>
      <c r="E34" s="47"/>
      <c r="F34" s="56"/>
      <c r="G34" s="55"/>
      <c r="H34" s="55"/>
      <c r="I34" s="55"/>
      <c r="J34" s="54"/>
      <c r="K34" s="53"/>
      <c r="L34" s="95"/>
      <c r="M34" s="95"/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30">
        <f t="shared" si="10"/>
        <v>0</v>
      </c>
      <c r="AA34" s="30">
        <f t="shared" si="11"/>
        <v>0</v>
      </c>
      <c r="AB34" s="30">
        <f t="shared" si="12"/>
        <v>0</v>
      </c>
      <c r="AC34" s="30">
        <f t="shared" si="12"/>
        <v>0</v>
      </c>
      <c r="AD34" s="30">
        <f t="shared" si="13"/>
        <v>0</v>
      </c>
      <c r="AE34" s="29"/>
      <c r="AF34" s="29"/>
      <c r="AG34" s="29"/>
      <c r="AH34" s="29"/>
      <c r="AI34" s="29"/>
    </row>
    <row r="35" spans="1:35" x14ac:dyDescent="0.15">
      <c r="A35" s="51">
        <v>1</v>
      </c>
      <c r="B35" s="50" t="s">
        <v>219</v>
      </c>
      <c r="C35" s="49" t="s">
        <v>224</v>
      </c>
      <c r="D35" s="48" t="s">
        <v>42</v>
      </c>
      <c r="E35" s="47"/>
      <c r="F35" s="56"/>
      <c r="G35" s="55"/>
      <c r="H35" s="55"/>
      <c r="I35" s="55"/>
      <c r="J35" s="54"/>
      <c r="K35" s="53"/>
      <c r="L35" s="95"/>
      <c r="M35" s="95"/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30">
        <f t="shared" si="10"/>
        <v>0</v>
      </c>
      <c r="AA35" s="30">
        <f t="shared" si="11"/>
        <v>0</v>
      </c>
      <c r="AB35" s="30">
        <f t="shared" si="12"/>
        <v>0</v>
      </c>
      <c r="AC35" s="30">
        <f t="shared" si="12"/>
        <v>0</v>
      </c>
      <c r="AD35" s="30">
        <f t="shared" si="13"/>
        <v>0</v>
      </c>
      <c r="AE35" s="29"/>
      <c r="AF35" s="29"/>
      <c r="AG35" s="29"/>
      <c r="AH35" s="29"/>
      <c r="AI35" s="29"/>
    </row>
    <row r="36" spans="1:35" x14ac:dyDescent="0.15">
      <c r="A36" s="51">
        <v>1</v>
      </c>
      <c r="B36" s="50" t="s">
        <v>219</v>
      </c>
      <c r="C36" s="49" t="s">
        <v>223</v>
      </c>
      <c r="D36" s="48" t="s">
        <v>40</v>
      </c>
      <c r="E36" s="47"/>
      <c r="F36" s="56"/>
      <c r="G36" s="55"/>
      <c r="H36" s="55"/>
      <c r="I36" s="55"/>
      <c r="J36" s="54"/>
      <c r="K36" s="53"/>
      <c r="L36" s="95"/>
      <c r="M36" s="95"/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30">
        <f t="shared" si="10"/>
        <v>0</v>
      </c>
      <c r="AA36" s="30">
        <f t="shared" si="11"/>
        <v>0</v>
      </c>
      <c r="AB36" s="30">
        <f t="shared" si="12"/>
        <v>0</v>
      </c>
      <c r="AC36" s="30">
        <f t="shared" si="12"/>
        <v>0</v>
      </c>
      <c r="AD36" s="30">
        <f t="shared" si="13"/>
        <v>0</v>
      </c>
      <c r="AE36" s="29"/>
      <c r="AF36" s="29"/>
      <c r="AG36" s="29"/>
      <c r="AH36" s="29"/>
      <c r="AI36" s="29"/>
    </row>
    <row r="37" spans="1:35" x14ac:dyDescent="0.15">
      <c r="A37" s="51">
        <v>1</v>
      </c>
      <c r="B37" s="50" t="s">
        <v>219</v>
      </c>
      <c r="C37" s="49" t="s">
        <v>222</v>
      </c>
      <c r="D37" s="48" t="s">
        <v>38</v>
      </c>
      <c r="E37" s="47"/>
      <c r="F37" s="56"/>
      <c r="G37" s="55"/>
      <c r="H37" s="55"/>
      <c r="I37" s="55"/>
      <c r="J37" s="54"/>
      <c r="K37" s="53"/>
      <c r="L37" s="95"/>
      <c r="M37" s="95"/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30">
        <f t="shared" si="10"/>
        <v>0</v>
      </c>
      <c r="AA37" s="30">
        <f t="shared" si="11"/>
        <v>0</v>
      </c>
      <c r="AB37" s="30">
        <f t="shared" si="12"/>
        <v>0</v>
      </c>
      <c r="AC37" s="30">
        <f t="shared" si="12"/>
        <v>0</v>
      </c>
      <c r="AD37" s="30">
        <f t="shared" si="13"/>
        <v>0</v>
      </c>
      <c r="AE37" s="29"/>
      <c r="AF37" s="29"/>
      <c r="AG37" s="29"/>
      <c r="AH37" s="29"/>
      <c r="AI37" s="29"/>
    </row>
    <row r="38" spans="1:35" x14ac:dyDescent="0.15">
      <c r="A38" s="51">
        <v>1</v>
      </c>
      <c r="B38" s="50" t="s">
        <v>219</v>
      </c>
      <c r="C38" s="49" t="s">
        <v>221</v>
      </c>
      <c r="D38" s="48" t="s">
        <v>36</v>
      </c>
      <c r="E38" s="47"/>
      <c r="F38" s="56"/>
      <c r="G38" s="55"/>
      <c r="H38" s="55"/>
      <c r="I38" s="55"/>
      <c r="J38" s="54"/>
      <c r="K38" s="53"/>
      <c r="L38" s="95"/>
      <c r="M38" s="95"/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30">
        <f t="shared" si="10"/>
        <v>0</v>
      </c>
      <c r="AA38" s="30">
        <f t="shared" si="11"/>
        <v>0</v>
      </c>
      <c r="AB38" s="30">
        <f t="shared" si="12"/>
        <v>0</v>
      </c>
      <c r="AC38" s="30">
        <f t="shared" si="12"/>
        <v>0</v>
      </c>
      <c r="AD38" s="30">
        <f t="shared" si="13"/>
        <v>0</v>
      </c>
      <c r="AE38" s="29"/>
      <c r="AF38" s="29"/>
      <c r="AG38" s="29"/>
      <c r="AH38" s="29"/>
      <c r="AI38" s="29"/>
    </row>
    <row r="39" spans="1:35" x14ac:dyDescent="0.15">
      <c r="A39" s="51">
        <v>1</v>
      </c>
      <c r="B39" s="50" t="s">
        <v>219</v>
      </c>
      <c r="C39" s="49" t="s">
        <v>220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131921564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121228564</v>
      </c>
      <c r="K39" s="45">
        <f>SUM(F39:J39)</f>
        <v>121228564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10693000</v>
      </c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11020779</v>
      </c>
      <c r="S39" s="45">
        <f t="shared" si="4"/>
        <v>11020779</v>
      </c>
      <c r="T39" s="44">
        <f t="shared" si="5"/>
        <v>120900785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0.45454545505344868</v>
      </c>
      <c r="Z39" s="30">
        <f t="shared" si="10"/>
        <v>0</v>
      </c>
      <c r="AA39" s="30">
        <f t="shared" si="11"/>
        <v>0</v>
      </c>
      <c r="AB39" s="30">
        <f t="shared" si="12"/>
        <v>0</v>
      </c>
      <c r="AC39" s="30">
        <f t="shared" si="12"/>
        <v>0</v>
      </c>
      <c r="AD39" s="30">
        <f t="shared" si="13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1</v>
      </c>
      <c r="B40" s="40" t="s">
        <v>219</v>
      </c>
      <c r="C40" s="39" t="s">
        <v>218</v>
      </c>
      <c r="D40" s="38" t="s">
        <v>31</v>
      </c>
      <c r="E40" s="37"/>
      <c r="F40" s="94"/>
      <c r="G40" s="93"/>
      <c r="H40" s="93"/>
      <c r="I40" s="93"/>
      <c r="J40" s="92"/>
      <c r="K40" s="91"/>
      <c r="L40" s="90"/>
      <c r="M40" s="90"/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30">
        <f t="shared" si="10"/>
        <v>0</v>
      </c>
      <c r="AA40" s="30">
        <f t="shared" si="11"/>
        <v>0</v>
      </c>
      <c r="AB40" s="30">
        <f t="shared" si="12"/>
        <v>0</v>
      </c>
      <c r="AC40" s="30">
        <f t="shared" si="12"/>
        <v>0</v>
      </c>
      <c r="AD40" s="30">
        <f t="shared" si="13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4">SUM(E5:E40)</f>
        <v>131921564</v>
      </c>
      <c r="F41" s="24">
        <f t="shared" si="14"/>
        <v>0</v>
      </c>
      <c r="G41" s="23">
        <f t="shared" si="14"/>
        <v>0</v>
      </c>
      <c r="H41" s="23">
        <f t="shared" si="14"/>
        <v>0</v>
      </c>
      <c r="I41" s="23">
        <f t="shared" ref="I41" si="15">SUM(I5:I40)</f>
        <v>0</v>
      </c>
      <c r="J41" s="22">
        <f t="shared" si="14"/>
        <v>121228564</v>
      </c>
      <c r="K41" s="15">
        <f t="shared" si="14"/>
        <v>121228564</v>
      </c>
      <c r="L41" s="20">
        <f t="shared" si="14"/>
        <v>0</v>
      </c>
      <c r="M41" s="20">
        <f t="shared" si="14"/>
        <v>10693000</v>
      </c>
      <c r="N41" s="17">
        <f t="shared" si="14"/>
        <v>0</v>
      </c>
      <c r="O41" s="16">
        <f t="shared" si="14"/>
        <v>0</v>
      </c>
      <c r="P41" s="16">
        <f t="shared" si="14"/>
        <v>0</v>
      </c>
      <c r="Q41" s="16">
        <f t="shared" ref="Q41" si="16">SUM(Q5:Q40)</f>
        <v>0</v>
      </c>
      <c r="R41" s="19">
        <f t="shared" si="14"/>
        <v>11020779</v>
      </c>
      <c r="S41" s="15">
        <f t="shared" si="14"/>
        <v>11020779</v>
      </c>
      <c r="T41" s="18">
        <f t="shared" si="14"/>
        <v>120900785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7">+E41</f>
        <v>131921564</v>
      </c>
      <c r="F42" s="10">
        <f t="shared" si="17"/>
        <v>0</v>
      </c>
      <c r="G42" s="9">
        <f t="shared" si="17"/>
        <v>0</v>
      </c>
      <c r="H42" s="9">
        <f t="shared" si="17"/>
        <v>0</v>
      </c>
      <c r="I42" s="9">
        <f t="shared" si="17"/>
        <v>0</v>
      </c>
      <c r="J42" s="8">
        <f t="shared" si="17"/>
        <v>121228564</v>
      </c>
      <c r="K42" s="4">
        <f>SUM(F42:J42)</f>
        <v>121228564</v>
      </c>
      <c r="L42" s="5">
        <f>+L41</f>
        <v>0</v>
      </c>
      <c r="M42" s="5">
        <f>+M41</f>
        <v>10693000</v>
      </c>
      <c r="N42" s="121">
        <f>+'4条支出'!N10</f>
        <v>0</v>
      </c>
      <c r="O42" s="122">
        <f>+'4条支出'!O10</f>
        <v>0</v>
      </c>
      <c r="P42" s="122">
        <f>+'4条支出'!P10</f>
        <v>0</v>
      </c>
      <c r="Q42" s="122">
        <f>+'4条支出'!Q10</f>
        <v>0</v>
      </c>
      <c r="R42" s="123">
        <f>+'4条支出'!R10</f>
        <v>11020779</v>
      </c>
      <c r="S42" s="124">
        <f>+'4条支出'!S10</f>
        <v>11020779</v>
      </c>
      <c r="T42" s="125">
        <f>+'4条支出'!T10</f>
        <v>120900785</v>
      </c>
    </row>
    <row r="43" spans="1:35" x14ac:dyDescent="0.15">
      <c r="E43" s="3">
        <f t="shared" ref="E43:T43" si="18">+E42-E41</f>
        <v>0</v>
      </c>
      <c r="F43" s="3">
        <f t="shared" si="18"/>
        <v>0</v>
      </c>
      <c r="G43" s="3">
        <f t="shared" si="18"/>
        <v>0</v>
      </c>
      <c r="H43" s="3">
        <f t="shared" si="18"/>
        <v>0</v>
      </c>
      <c r="I43" s="3">
        <f t="shared" ref="I43" si="19">+I42-I41</f>
        <v>0</v>
      </c>
      <c r="J43" s="3">
        <f t="shared" si="18"/>
        <v>0</v>
      </c>
      <c r="K43" s="3">
        <f t="shared" si="18"/>
        <v>0</v>
      </c>
      <c r="L43" s="3">
        <f t="shared" si="18"/>
        <v>0</v>
      </c>
      <c r="M43" s="3">
        <f t="shared" si="18"/>
        <v>0</v>
      </c>
      <c r="N43" s="3">
        <f t="shared" si="18"/>
        <v>0</v>
      </c>
      <c r="O43" s="3">
        <f t="shared" si="18"/>
        <v>0</v>
      </c>
      <c r="P43" s="3">
        <f t="shared" si="18"/>
        <v>0</v>
      </c>
      <c r="Q43" s="3">
        <f t="shared" ref="Q43" si="20">+Q42-Q41</f>
        <v>0</v>
      </c>
      <c r="R43" s="3">
        <f t="shared" si="18"/>
        <v>0</v>
      </c>
      <c r="S43" s="3">
        <f t="shared" si="18"/>
        <v>0</v>
      </c>
      <c r="T43" s="3">
        <f t="shared" si="18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95" priority="4">
      <formula>ABS(Z5)=1</formula>
    </cfRule>
  </conditionalFormatting>
  <conditionalFormatting sqref="AD5:AD40">
    <cfRule type="expression" dxfId="94" priority="3">
      <formula>ABS(AD5)=1</formula>
    </cfRule>
  </conditionalFormatting>
  <conditionalFormatting sqref="Z6:AC40">
    <cfRule type="expression" dxfId="93" priority="6">
      <formula>ABS(Z6)=1</formula>
    </cfRule>
  </conditionalFormatting>
  <conditionalFormatting sqref="AE6:AE14 AE16:AE40">
    <cfRule type="notContainsBlanks" dxfId="92" priority="9" stopIfTrue="1">
      <formula>LEN(TRIM(AE6))&gt;0</formula>
    </cfRule>
  </conditionalFormatting>
  <conditionalFormatting sqref="AE6:AI40">
    <cfRule type="notContainsBlanks" dxfId="91" priority="8" stopIfTrue="1">
      <formula>LEN(TRIM(AE6))&gt;0</formula>
    </cfRule>
  </conditionalFormatting>
  <conditionalFormatting sqref="AE5:AI5">
    <cfRule type="notContainsBlanks" dxfId="90" priority="7" stopIfTrue="1">
      <formula>LEN(TRIM(AE5))&gt;0</formula>
    </cfRule>
  </conditionalFormatting>
  <conditionalFormatting sqref="AA6:AC40">
    <cfRule type="expression" dxfId="89" priority="5">
      <formula>ABS(AA6)=1</formula>
    </cfRule>
  </conditionalFormatting>
  <conditionalFormatting sqref="E43:H43 J43:T43">
    <cfRule type="cellIs" dxfId="88" priority="2" operator="notEqual">
      <formula>0</formula>
    </cfRule>
  </conditionalFormatting>
  <conditionalFormatting sqref="I43">
    <cfRule type="cellIs" dxfId="87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zoomScale="80" zoomScaleNormal="80" zoomScaleSheetLayoutView="40" workbookViewId="0">
      <pane xSplit="4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4" width="5.375" style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293</v>
      </c>
      <c r="V2" s="67"/>
      <c r="W2" s="67"/>
      <c r="X2" s="67"/>
      <c r="Y2" s="67"/>
      <c r="Z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2" t="s">
        <v>17</v>
      </c>
      <c r="AA3" s="142"/>
      <c r="AB3" s="142"/>
      <c r="AC3" s="142"/>
      <c r="AD3" s="142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120">
        <v>3</v>
      </c>
      <c r="AA4" s="120">
        <v>5</v>
      </c>
      <c r="AB4" s="120">
        <v>8</v>
      </c>
      <c r="AC4" s="132">
        <v>8</v>
      </c>
      <c r="AD4" s="120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1</v>
      </c>
      <c r="B5" s="65" t="s">
        <v>292</v>
      </c>
      <c r="C5" s="64"/>
      <c r="D5" s="63" t="s">
        <v>101</v>
      </c>
      <c r="E5" s="62"/>
      <c r="F5" s="100"/>
      <c r="G5" s="99"/>
      <c r="H5" s="99"/>
      <c r="I5" s="99"/>
      <c r="J5" s="98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97"/>
      <c r="L5" s="96"/>
      <c r="M5" s="96"/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x14ac:dyDescent="0.15">
      <c r="A6" s="51">
        <v>1</v>
      </c>
      <c r="B6" s="50" t="s">
        <v>291</v>
      </c>
      <c r="C6" s="49"/>
      <c r="D6" s="48" t="s">
        <v>99</v>
      </c>
      <c r="E6" s="47"/>
      <c r="F6" s="56"/>
      <c r="G6" s="55"/>
      <c r="H6" s="55"/>
      <c r="I6" s="55"/>
      <c r="J6" s="54"/>
      <c r="K6" s="53"/>
      <c r="L6" s="95"/>
      <c r="M6" s="95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x14ac:dyDescent="0.15">
      <c r="A7" s="51">
        <v>1</v>
      </c>
      <c r="B7" s="50" t="s">
        <v>290</v>
      </c>
      <c r="C7" s="49"/>
      <c r="D7" s="48" t="s">
        <v>97</v>
      </c>
      <c r="E7" s="47"/>
      <c r="F7" s="56"/>
      <c r="G7" s="55"/>
      <c r="H7" s="55"/>
      <c r="I7" s="55"/>
      <c r="J7" s="54"/>
      <c r="K7" s="53"/>
      <c r="L7" s="95"/>
      <c r="M7" s="95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x14ac:dyDescent="0.15">
      <c r="A8" s="51">
        <v>1</v>
      </c>
      <c r="B8" s="50" t="s">
        <v>289</v>
      </c>
      <c r="C8" s="49"/>
      <c r="D8" s="48" t="s">
        <v>95</v>
      </c>
      <c r="E8" s="47"/>
      <c r="F8" s="56"/>
      <c r="G8" s="55"/>
      <c r="H8" s="55"/>
      <c r="I8" s="55"/>
      <c r="J8" s="54"/>
      <c r="K8" s="53"/>
      <c r="L8" s="95"/>
      <c r="M8" s="95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1:35" x14ac:dyDescent="0.15">
      <c r="A9" s="51">
        <v>1</v>
      </c>
      <c r="B9" s="50" t="s">
        <v>288</v>
      </c>
      <c r="C9" s="49"/>
      <c r="D9" s="48" t="s">
        <v>93</v>
      </c>
      <c r="E9" s="47"/>
      <c r="F9" s="56"/>
      <c r="G9" s="55"/>
      <c r="H9" s="55"/>
      <c r="I9" s="55"/>
      <c r="J9" s="54"/>
      <c r="K9" s="53"/>
      <c r="L9" s="95"/>
      <c r="M9" s="95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spans="1:35" x14ac:dyDescent="0.15">
      <c r="A10" s="51">
        <v>1</v>
      </c>
      <c r="B10" s="50" t="s">
        <v>287</v>
      </c>
      <c r="C10" s="49"/>
      <c r="D10" s="48" t="s">
        <v>91</v>
      </c>
      <c r="E10" s="47"/>
      <c r="F10" s="56"/>
      <c r="G10" s="55"/>
      <c r="H10" s="55"/>
      <c r="I10" s="55"/>
      <c r="J10" s="54"/>
      <c r="K10" s="53"/>
      <c r="L10" s="95"/>
      <c r="M10" s="95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spans="1:35" x14ac:dyDescent="0.15">
      <c r="A11" s="51">
        <v>1</v>
      </c>
      <c r="B11" s="50" t="s">
        <v>286</v>
      </c>
      <c r="C11" s="49"/>
      <c r="D11" s="48" t="s">
        <v>89</v>
      </c>
      <c r="E11" s="47"/>
      <c r="F11" s="56"/>
      <c r="G11" s="55"/>
      <c r="H11" s="55"/>
      <c r="I11" s="55"/>
      <c r="J11" s="54"/>
      <c r="K11" s="53"/>
      <c r="L11" s="95"/>
      <c r="M11" s="95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spans="1:35" x14ac:dyDescent="0.15">
      <c r="A12" s="51">
        <v>1</v>
      </c>
      <c r="B12" s="50" t="s">
        <v>284</v>
      </c>
      <c r="C12" s="49" t="s">
        <v>285</v>
      </c>
      <c r="D12" s="48" t="s">
        <v>87</v>
      </c>
      <c r="E12" s="47"/>
      <c r="F12" s="56"/>
      <c r="G12" s="55"/>
      <c r="H12" s="55"/>
      <c r="I12" s="55"/>
      <c r="J12" s="54"/>
      <c r="K12" s="53"/>
      <c r="L12" s="95"/>
      <c r="M12" s="95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5" x14ac:dyDescent="0.15">
      <c r="A13" s="51">
        <v>1</v>
      </c>
      <c r="B13" s="50" t="s">
        <v>284</v>
      </c>
      <c r="C13" s="49" t="s">
        <v>283</v>
      </c>
      <c r="D13" s="48" t="s">
        <v>84</v>
      </c>
      <c r="E13" s="47"/>
      <c r="F13" s="56"/>
      <c r="G13" s="55"/>
      <c r="H13" s="55"/>
      <c r="I13" s="55"/>
      <c r="J13" s="54"/>
      <c r="K13" s="53"/>
      <c r="L13" s="95"/>
      <c r="M13" s="95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5" x14ac:dyDescent="0.15">
      <c r="A14" s="51">
        <v>1</v>
      </c>
      <c r="B14" s="50" t="s">
        <v>282</v>
      </c>
      <c r="C14" s="49"/>
      <c r="D14" s="48" t="s">
        <v>82</v>
      </c>
      <c r="E14" s="47"/>
      <c r="F14" s="56"/>
      <c r="G14" s="55"/>
      <c r="H14" s="55"/>
      <c r="I14" s="55"/>
      <c r="J14" s="54"/>
      <c r="K14" s="53"/>
      <c r="L14" s="95"/>
      <c r="M14" s="95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5" x14ac:dyDescent="0.15">
      <c r="A15" s="51">
        <v>1</v>
      </c>
      <c r="B15" s="50" t="s">
        <v>281</v>
      </c>
      <c r="C15" s="49"/>
      <c r="D15" s="48" t="s">
        <v>80</v>
      </c>
      <c r="E15" s="47"/>
      <c r="F15" s="56"/>
      <c r="G15" s="55"/>
      <c r="H15" s="55"/>
      <c r="I15" s="55"/>
      <c r="J15" s="54"/>
      <c r="K15" s="53"/>
      <c r="L15" s="95"/>
      <c r="M15" s="95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5" x14ac:dyDescent="0.15">
      <c r="A16" s="51">
        <v>1</v>
      </c>
      <c r="B16" s="50" t="s">
        <v>280</v>
      </c>
      <c r="C16" s="49"/>
      <c r="D16" s="48" t="s">
        <v>78</v>
      </c>
      <c r="E16" s="47"/>
      <c r="F16" s="56"/>
      <c r="G16" s="55"/>
      <c r="H16" s="55"/>
      <c r="I16" s="55"/>
      <c r="J16" s="54"/>
      <c r="K16" s="53"/>
      <c r="L16" s="95"/>
      <c r="M16" s="95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x14ac:dyDescent="0.15">
      <c r="A17" s="51">
        <v>1</v>
      </c>
      <c r="B17" s="50" t="s">
        <v>279</v>
      </c>
      <c r="C17" s="49"/>
      <c r="D17" s="48" t="s">
        <v>76</v>
      </c>
      <c r="E17" s="47"/>
      <c r="F17" s="56"/>
      <c r="G17" s="55"/>
      <c r="H17" s="55"/>
      <c r="I17" s="55"/>
      <c r="J17" s="54"/>
      <c r="K17" s="53"/>
      <c r="L17" s="95"/>
      <c r="M17" s="95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x14ac:dyDescent="0.15">
      <c r="A18" s="51">
        <v>1</v>
      </c>
      <c r="B18" s="50" t="s">
        <v>278</v>
      </c>
      <c r="C18" s="49"/>
      <c r="D18" s="48" t="s">
        <v>74</v>
      </c>
      <c r="E18" s="47"/>
      <c r="F18" s="56"/>
      <c r="G18" s="55"/>
      <c r="H18" s="55"/>
      <c r="I18" s="55"/>
      <c r="J18" s="54"/>
      <c r="K18" s="53"/>
      <c r="L18" s="95"/>
      <c r="M18" s="95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15">
      <c r="A19" s="51">
        <v>1</v>
      </c>
      <c r="B19" s="50" t="s">
        <v>277</v>
      </c>
      <c r="C19" s="49"/>
      <c r="D19" s="48" t="s">
        <v>72</v>
      </c>
      <c r="E19" s="47"/>
      <c r="F19" s="56"/>
      <c r="G19" s="55"/>
      <c r="H19" s="55"/>
      <c r="I19" s="55"/>
      <c r="J19" s="54"/>
      <c r="K19" s="53"/>
      <c r="L19" s="95"/>
      <c r="M19" s="95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15">
      <c r="A20" s="51">
        <v>1</v>
      </c>
      <c r="B20" s="50" t="s">
        <v>276</v>
      </c>
      <c r="C20" s="49"/>
      <c r="D20" s="48" t="s">
        <v>70</v>
      </c>
      <c r="E20" s="47"/>
      <c r="F20" s="56"/>
      <c r="G20" s="55"/>
      <c r="H20" s="55"/>
      <c r="I20" s="55"/>
      <c r="J20" s="54"/>
      <c r="K20" s="53"/>
      <c r="L20" s="95"/>
      <c r="M20" s="95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spans="1:35" x14ac:dyDescent="0.15">
      <c r="A21" s="51">
        <v>1</v>
      </c>
      <c r="B21" s="50" t="s">
        <v>275</v>
      </c>
      <c r="C21" s="49"/>
      <c r="D21" s="48" t="s">
        <v>68</v>
      </c>
      <c r="E21" s="47"/>
      <c r="F21" s="56"/>
      <c r="G21" s="55"/>
      <c r="H21" s="55"/>
      <c r="I21" s="55"/>
      <c r="J21" s="54"/>
      <c r="K21" s="53"/>
      <c r="L21" s="95"/>
      <c r="M21" s="95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15">
      <c r="A22" s="51">
        <v>1</v>
      </c>
      <c r="B22" s="50" t="s">
        <v>274</v>
      </c>
      <c r="C22" s="49"/>
      <c r="D22" s="48" t="s">
        <v>66</v>
      </c>
      <c r="E22" s="47"/>
      <c r="F22" s="56"/>
      <c r="G22" s="55"/>
      <c r="H22" s="55"/>
      <c r="I22" s="55"/>
      <c r="J22" s="54"/>
      <c r="K22" s="53"/>
      <c r="L22" s="95"/>
      <c r="M22" s="95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spans="1:35" x14ac:dyDescent="0.15">
      <c r="A23" s="51">
        <v>1</v>
      </c>
      <c r="B23" s="50" t="s">
        <v>273</v>
      </c>
      <c r="C23" s="49"/>
      <c r="D23" s="48" t="s">
        <v>64</v>
      </c>
      <c r="E23" s="47"/>
      <c r="F23" s="56"/>
      <c r="G23" s="55"/>
      <c r="H23" s="55"/>
      <c r="I23" s="55"/>
      <c r="J23" s="54"/>
      <c r="K23" s="53"/>
      <c r="L23" s="95"/>
      <c r="M23" s="95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15">
      <c r="A24" s="51">
        <v>1</v>
      </c>
      <c r="B24" s="50" t="s">
        <v>272</v>
      </c>
      <c r="C24" s="49"/>
      <c r="D24" s="48" t="s">
        <v>62</v>
      </c>
      <c r="E24" s="47"/>
      <c r="F24" s="56"/>
      <c r="G24" s="55"/>
      <c r="H24" s="55"/>
      <c r="I24" s="55"/>
      <c r="J24" s="54"/>
      <c r="K24" s="53"/>
      <c r="L24" s="95"/>
      <c r="M24" s="95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x14ac:dyDescent="0.15">
      <c r="A25" s="51">
        <v>1</v>
      </c>
      <c r="B25" s="50" t="s">
        <v>271</v>
      </c>
      <c r="C25" s="49"/>
      <c r="D25" s="48" t="s">
        <v>60</v>
      </c>
      <c r="E25" s="47"/>
      <c r="F25" s="56"/>
      <c r="G25" s="55"/>
      <c r="H25" s="55"/>
      <c r="I25" s="55"/>
      <c r="J25" s="54"/>
      <c r="K25" s="53"/>
      <c r="L25" s="95"/>
      <c r="M25" s="95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15">
      <c r="A26" s="51">
        <v>1</v>
      </c>
      <c r="B26" s="50" t="s">
        <v>270</v>
      </c>
      <c r="C26" s="49"/>
      <c r="D26" s="48" t="s">
        <v>58</v>
      </c>
      <c r="E26" s="47"/>
      <c r="F26" s="56"/>
      <c r="G26" s="55"/>
      <c r="H26" s="55"/>
      <c r="I26" s="55"/>
      <c r="J26" s="54"/>
      <c r="K26" s="53"/>
      <c r="L26" s="95"/>
      <c r="M26" s="95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x14ac:dyDescent="0.15">
      <c r="A27" s="51">
        <v>1</v>
      </c>
      <c r="B27" s="50" t="s">
        <v>284</v>
      </c>
      <c r="C27" s="49">
        <v>615501003</v>
      </c>
      <c r="D27" s="48" t="s">
        <v>370</v>
      </c>
      <c r="E27" s="47"/>
      <c r="F27" s="56"/>
      <c r="G27" s="55"/>
      <c r="H27" s="55"/>
      <c r="I27" s="55"/>
      <c r="J27" s="54"/>
      <c r="K27" s="53"/>
      <c r="L27" s="95"/>
      <c r="M27" s="95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spans="1:35" x14ac:dyDescent="0.15">
      <c r="A28" s="51">
        <v>1</v>
      </c>
      <c r="B28" s="50" t="s">
        <v>269</v>
      </c>
      <c r="C28" s="49"/>
      <c r="D28" s="48" t="s">
        <v>56</v>
      </c>
      <c r="E28" s="47"/>
      <c r="F28" s="56"/>
      <c r="G28" s="55"/>
      <c r="H28" s="55"/>
      <c r="I28" s="55"/>
      <c r="J28" s="54"/>
      <c r="K28" s="53"/>
      <c r="L28" s="95"/>
      <c r="M28" s="95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35" x14ac:dyDescent="0.15">
      <c r="A29" s="51">
        <v>1</v>
      </c>
      <c r="B29" s="50" t="s">
        <v>268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3003980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3003980</v>
      </c>
      <c r="K29" s="45">
        <f t="shared" ref="K29:K40" si="10">SUM(F29:J29)</f>
        <v>3003980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273089</v>
      </c>
      <c r="S29" s="45">
        <f t="shared" si="4"/>
        <v>273089</v>
      </c>
      <c r="T29" s="44">
        <f t="shared" si="5"/>
        <v>2730891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-9.0909090882632881E-2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35" x14ac:dyDescent="0.15">
      <c r="A30" s="51">
        <v>1</v>
      </c>
      <c r="B30" s="50" t="s">
        <v>267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6518930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6518930</v>
      </c>
      <c r="K30" s="45">
        <f t="shared" si="10"/>
        <v>6518930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592630</v>
      </c>
      <c r="S30" s="45">
        <f t="shared" si="4"/>
        <v>592630</v>
      </c>
      <c r="T30" s="44">
        <f t="shared" si="5"/>
        <v>5926300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</row>
    <row r="31" spans="1:35" x14ac:dyDescent="0.15">
      <c r="A31" s="51">
        <v>1</v>
      </c>
      <c r="B31" s="50" t="s">
        <v>266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1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spans="1:35" x14ac:dyDescent="0.15">
      <c r="A32" s="51"/>
      <c r="B32" s="50" t="s">
        <v>265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1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spans="1:35" x14ac:dyDescent="0.15">
      <c r="A33" s="51">
        <v>1</v>
      </c>
      <c r="B33" s="50" t="s">
        <v>264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1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spans="1:35" x14ac:dyDescent="0.15">
      <c r="A34" s="51">
        <v>1</v>
      </c>
      <c r="B34" s="50" t="s">
        <v>263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1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spans="1:35" x14ac:dyDescent="0.15">
      <c r="A35" s="51">
        <v>1</v>
      </c>
      <c r="B35" s="50" t="s">
        <v>257</v>
      </c>
      <c r="C35" s="49" t="s">
        <v>262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48126100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48126100</v>
      </c>
      <c r="K35" s="45">
        <f t="shared" si="10"/>
        <v>48126100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4375100</v>
      </c>
      <c r="S35" s="45">
        <f t="shared" si="4"/>
        <v>4375100</v>
      </c>
      <c r="T35" s="44">
        <f t="shared" si="5"/>
        <v>43751000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:35" x14ac:dyDescent="0.15">
      <c r="A36" s="51">
        <v>1</v>
      </c>
      <c r="B36" s="50" t="s">
        <v>257</v>
      </c>
      <c r="C36" s="49" t="s">
        <v>261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1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spans="1:35" x14ac:dyDescent="0.15">
      <c r="A37" s="51">
        <v>1</v>
      </c>
      <c r="B37" s="50" t="s">
        <v>257</v>
      </c>
      <c r="C37" s="49" t="s">
        <v>260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1529000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1529000</v>
      </c>
      <c r="K37" s="45">
        <f t="shared" si="10"/>
        <v>1529000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139000</v>
      </c>
      <c r="S37" s="45">
        <f t="shared" si="4"/>
        <v>139000</v>
      </c>
      <c r="T37" s="44">
        <f t="shared" si="5"/>
        <v>1390000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spans="1:35" x14ac:dyDescent="0.15">
      <c r="A38" s="51">
        <v>1</v>
      </c>
      <c r="B38" s="50" t="s">
        <v>257</v>
      </c>
      <c r="C38" s="49" t="s">
        <v>259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0</v>
      </c>
      <c r="K38" s="45">
        <f t="shared" si="10"/>
        <v>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spans="1:35" x14ac:dyDescent="0.15">
      <c r="A39" s="51">
        <v>1</v>
      </c>
      <c r="B39" s="50" t="s">
        <v>257</v>
      </c>
      <c r="C39" s="49" t="s">
        <v>258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1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spans="1:35" ht="14.25" thickBot="1" x14ac:dyDescent="0.2">
      <c r="A40" s="41">
        <v>1</v>
      </c>
      <c r="B40" s="40" t="s">
        <v>257</v>
      </c>
      <c r="C40" s="39" t="s">
        <v>256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1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1">SUM(E5:E40)</f>
        <v>59178010</v>
      </c>
      <c r="F41" s="24">
        <f t="shared" si="11"/>
        <v>0</v>
      </c>
      <c r="G41" s="23">
        <f t="shared" si="11"/>
        <v>0</v>
      </c>
      <c r="H41" s="23">
        <f t="shared" si="11"/>
        <v>0</v>
      </c>
      <c r="I41" s="23">
        <f t="shared" ref="I41" si="12">SUM(I5:I40)</f>
        <v>0</v>
      </c>
      <c r="J41" s="22">
        <f t="shared" si="11"/>
        <v>59178010</v>
      </c>
      <c r="K41" s="15">
        <f t="shared" si="11"/>
        <v>59178010</v>
      </c>
      <c r="L41" s="20">
        <f t="shared" si="11"/>
        <v>0</v>
      </c>
      <c r="M41" s="20">
        <f t="shared" si="11"/>
        <v>0</v>
      </c>
      <c r="N41" s="17">
        <f t="shared" si="11"/>
        <v>0</v>
      </c>
      <c r="O41" s="16">
        <f t="shared" si="11"/>
        <v>0</v>
      </c>
      <c r="P41" s="16">
        <f t="shared" si="11"/>
        <v>0</v>
      </c>
      <c r="Q41" s="16">
        <f t="shared" ref="Q41" si="13">SUM(Q5:Q40)</f>
        <v>0</v>
      </c>
      <c r="R41" s="19">
        <f t="shared" si="11"/>
        <v>5379819</v>
      </c>
      <c r="S41" s="15">
        <f t="shared" si="11"/>
        <v>5379819</v>
      </c>
      <c r="T41" s="18">
        <f t="shared" si="11"/>
        <v>53798191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4">+E41</f>
        <v>59178010</v>
      </c>
      <c r="F42" s="10">
        <f t="shared" si="14"/>
        <v>0</v>
      </c>
      <c r="G42" s="9">
        <f t="shared" si="14"/>
        <v>0</v>
      </c>
      <c r="H42" s="9">
        <f t="shared" si="14"/>
        <v>0</v>
      </c>
      <c r="I42" s="9">
        <f t="shared" si="14"/>
        <v>0</v>
      </c>
      <c r="J42" s="8">
        <f t="shared" si="14"/>
        <v>59178010</v>
      </c>
      <c r="K42" s="4">
        <f>SUM(F42:J42)</f>
        <v>59178010</v>
      </c>
      <c r="L42" s="5">
        <f>+L41</f>
        <v>0</v>
      </c>
      <c r="M42" s="5">
        <f>+M41</f>
        <v>0</v>
      </c>
      <c r="N42" s="121">
        <f>+'4条支出'!N12</f>
        <v>0</v>
      </c>
      <c r="O42" s="122">
        <f>+'4条支出'!O12</f>
        <v>0</v>
      </c>
      <c r="P42" s="122">
        <f>+'4条支出'!P12</f>
        <v>0</v>
      </c>
      <c r="Q42" s="122">
        <f>+'4条支出'!Q12</f>
        <v>0</v>
      </c>
      <c r="R42" s="123">
        <f>+'4条支出'!R12</f>
        <v>5379819</v>
      </c>
      <c r="S42" s="124">
        <f>+'4条支出'!S12</f>
        <v>5379819</v>
      </c>
      <c r="T42" s="125">
        <f>+'4条支出'!T12</f>
        <v>53798191</v>
      </c>
    </row>
    <row r="43" spans="1:35" x14ac:dyDescent="0.15">
      <c r="E43" s="3">
        <f t="shared" ref="E43:T43" si="15">+E42-E41</f>
        <v>0</v>
      </c>
      <c r="F43" s="3">
        <f t="shared" si="15"/>
        <v>0</v>
      </c>
      <c r="G43" s="3">
        <f t="shared" si="15"/>
        <v>0</v>
      </c>
      <c r="H43" s="3">
        <f t="shared" si="15"/>
        <v>0</v>
      </c>
      <c r="I43" s="3">
        <f t="shared" ref="I43" si="16">+I42-I41</f>
        <v>0</v>
      </c>
      <c r="J43" s="3">
        <f t="shared" si="15"/>
        <v>0</v>
      </c>
      <c r="K43" s="3">
        <f t="shared" si="15"/>
        <v>0</v>
      </c>
      <c r="L43" s="3">
        <f t="shared" si="15"/>
        <v>0</v>
      </c>
      <c r="M43" s="3">
        <f t="shared" si="15"/>
        <v>0</v>
      </c>
      <c r="N43" s="3">
        <f t="shared" si="15"/>
        <v>0</v>
      </c>
      <c r="O43" s="3">
        <f t="shared" si="15"/>
        <v>0</v>
      </c>
      <c r="P43" s="3">
        <f t="shared" si="15"/>
        <v>0</v>
      </c>
      <c r="Q43" s="3">
        <f t="shared" ref="Q43" si="17">+Q42-Q41</f>
        <v>0</v>
      </c>
      <c r="R43" s="3">
        <f t="shared" si="15"/>
        <v>0</v>
      </c>
      <c r="S43" s="3">
        <f t="shared" si="15"/>
        <v>0</v>
      </c>
      <c r="T43" s="3">
        <f t="shared" si="15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AE6:AE14 AE16:AE40">
    <cfRule type="notContainsBlanks" dxfId="86" priority="20" stopIfTrue="1">
      <formula>LEN(TRIM(AE6))&gt;0</formula>
    </cfRule>
  </conditionalFormatting>
  <conditionalFormatting sqref="AE6:AI40">
    <cfRule type="notContainsBlanks" dxfId="85" priority="19" stopIfTrue="1">
      <formula>LEN(TRIM(AE6))&gt;0</formula>
    </cfRule>
  </conditionalFormatting>
  <conditionalFormatting sqref="AE5:AI5">
    <cfRule type="notContainsBlanks" dxfId="84" priority="18" stopIfTrue="1">
      <formula>LEN(TRIM(AE5))&gt;0</formula>
    </cfRule>
  </conditionalFormatting>
  <conditionalFormatting sqref="Z6:Z14 Z16:Z40">
    <cfRule type="notContainsBlanks" dxfId="83" priority="5" stopIfTrue="1">
      <formula>LEN(TRIM(Z6))&gt;0</formula>
    </cfRule>
  </conditionalFormatting>
  <conditionalFormatting sqref="Z6:AD40">
    <cfRule type="notContainsBlanks" dxfId="82" priority="4" stopIfTrue="1">
      <formula>LEN(TRIM(Z6))&gt;0</formula>
    </cfRule>
  </conditionalFormatting>
  <conditionalFormatting sqref="Z5:AD5">
    <cfRule type="notContainsBlanks" dxfId="81" priority="3" stopIfTrue="1">
      <formula>LEN(TRIM(Z5))&gt;0</formula>
    </cfRule>
  </conditionalFormatting>
  <conditionalFormatting sqref="E43:H43 J43:T43">
    <cfRule type="cellIs" dxfId="80" priority="2" operator="notEqual">
      <formula>0</formula>
    </cfRule>
  </conditionalFormatting>
  <conditionalFormatting sqref="I43">
    <cfRule type="cellIs" dxfId="79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zoomScale="80" zoomScaleNormal="80" zoomScaleSheetLayoutView="40" workbookViewId="0">
      <pane xSplit="4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294</v>
      </c>
      <c r="V2" s="67"/>
      <c r="W2" s="67"/>
      <c r="X2" s="67"/>
      <c r="Y2" s="67"/>
      <c r="Z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2" t="s">
        <v>17</v>
      </c>
      <c r="AA3" s="142"/>
      <c r="AB3" s="142"/>
      <c r="AC3" s="142"/>
      <c r="AD3" s="142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120">
        <v>3</v>
      </c>
      <c r="AA4" s="120">
        <v>5</v>
      </c>
      <c r="AB4" s="120">
        <v>8</v>
      </c>
      <c r="AC4" s="132">
        <v>8</v>
      </c>
      <c r="AD4" s="120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2</v>
      </c>
      <c r="B5" s="65" t="s">
        <v>292</v>
      </c>
      <c r="C5" s="64"/>
      <c r="D5" s="63" t="s">
        <v>101</v>
      </c>
      <c r="E5" s="62"/>
      <c r="F5" s="100"/>
      <c r="G5" s="99"/>
      <c r="H5" s="99"/>
      <c r="I5" s="99"/>
      <c r="J5" s="98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97"/>
      <c r="L5" s="96"/>
      <c r="M5" s="96"/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x14ac:dyDescent="0.15">
      <c r="A6" s="51">
        <v>2</v>
      </c>
      <c r="B6" s="50" t="s">
        <v>291</v>
      </c>
      <c r="C6" s="49"/>
      <c r="D6" s="48" t="s">
        <v>99</v>
      </c>
      <c r="E6" s="47"/>
      <c r="F6" s="56"/>
      <c r="G6" s="55"/>
      <c r="H6" s="55"/>
      <c r="I6" s="55"/>
      <c r="J6" s="54"/>
      <c r="K6" s="53"/>
      <c r="L6" s="95"/>
      <c r="M6" s="95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x14ac:dyDescent="0.15">
      <c r="A7" s="51">
        <v>2</v>
      </c>
      <c r="B7" s="50" t="s">
        <v>290</v>
      </c>
      <c r="C7" s="49"/>
      <c r="D7" s="48" t="s">
        <v>97</v>
      </c>
      <c r="E7" s="47"/>
      <c r="F7" s="56"/>
      <c r="G7" s="55"/>
      <c r="H7" s="55"/>
      <c r="I7" s="55"/>
      <c r="J7" s="54"/>
      <c r="K7" s="53"/>
      <c r="L7" s="95"/>
      <c r="M7" s="95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x14ac:dyDescent="0.15">
      <c r="A8" s="51">
        <v>2</v>
      </c>
      <c r="B8" s="50" t="s">
        <v>289</v>
      </c>
      <c r="C8" s="49"/>
      <c r="D8" s="48" t="s">
        <v>95</v>
      </c>
      <c r="E8" s="47"/>
      <c r="F8" s="56"/>
      <c r="G8" s="55"/>
      <c r="H8" s="55"/>
      <c r="I8" s="55"/>
      <c r="J8" s="54"/>
      <c r="K8" s="53"/>
      <c r="L8" s="95"/>
      <c r="M8" s="95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1:35" x14ac:dyDescent="0.15">
      <c r="A9" s="51">
        <v>2</v>
      </c>
      <c r="B9" s="50" t="s">
        <v>288</v>
      </c>
      <c r="C9" s="49"/>
      <c r="D9" s="48" t="s">
        <v>93</v>
      </c>
      <c r="E9" s="47"/>
      <c r="F9" s="56"/>
      <c r="G9" s="55"/>
      <c r="H9" s="55"/>
      <c r="I9" s="55"/>
      <c r="J9" s="54"/>
      <c r="K9" s="53"/>
      <c r="L9" s="95"/>
      <c r="M9" s="95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spans="1:35" x14ac:dyDescent="0.15">
      <c r="A10" s="51">
        <v>2</v>
      </c>
      <c r="B10" s="50" t="s">
        <v>287</v>
      </c>
      <c r="C10" s="49"/>
      <c r="D10" s="48" t="s">
        <v>91</v>
      </c>
      <c r="E10" s="47"/>
      <c r="F10" s="56"/>
      <c r="G10" s="55"/>
      <c r="H10" s="55"/>
      <c r="I10" s="55"/>
      <c r="J10" s="54"/>
      <c r="K10" s="53"/>
      <c r="L10" s="95"/>
      <c r="M10" s="95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spans="1:35" x14ac:dyDescent="0.15">
      <c r="A11" s="51">
        <v>2</v>
      </c>
      <c r="B11" s="50" t="s">
        <v>286</v>
      </c>
      <c r="C11" s="49"/>
      <c r="D11" s="48" t="s">
        <v>89</v>
      </c>
      <c r="E11" s="47"/>
      <c r="F11" s="56"/>
      <c r="G11" s="55"/>
      <c r="H11" s="55"/>
      <c r="I11" s="55"/>
      <c r="J11" s="54"/>
      <c r="K11" s="53"/>
      <c r="L11" s="95"/>
      <c r="M11" s="95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spans="1:35" x14ac:dyDescent="0.15">
      <c r="A12" s="51">
        <v>2</v>
      </c>
      <c r="B12" s="50" t="s">
        <v>284</v>
      </c>
      <c r="C12" s="49" t="s">
        <v>285</v>
      </c>
      <c r="D12" s="48" t="s">
        <v>87</v>
      </c>
      <c r="E12" s="47"/>
      <c r="F12" s="56"/>
      <c r="G12" s="55"/>
      <c r="H12" s="55"/>
      <c r="I12" s="55"/>
      <c r="J12" s="54"/>
      <c r="K12" s="53"/>
      <c r="L12" s="95"/>
      <c r="M12" s="95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5" x14ac:dyDescent="0.15">
      <c r="A13" s="51">
        <v>2</v>
      </c>
      <c r="B13" s="50" t="s">
        <v>284</v>
      </c>
      <c r="C13" s="49" t="s">
        <v>283</v>
      </c>
      <c r="D13" s="48" t="s">
        <v>84</v>
      </c>
      <c r="E13" s="47"/>
      <c r="F13" s="56"/>
      <c r="G13" s="55"/>
      <c r="H13" s="55"/>
      <c r="I13" s="55"/>
      <c r="J13" s="54"/>
      <c r="K13" s="53"/>
      <c r="L13" s="95"/>
      <c r="M13" s="95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5" x14ac:dyDescent="0.15">
      <c r="A14" s="51">
        <v>2</v>
      </c>
      <c r="B14" s="50" t="s">
        <v>282</v>
      </c>
      <c r="C14" s="49"/>
      <c r="D14" s="48" t="s">
        <v>82</v>
      </c>
      <c r="E14" s="47"/>
      <c r="F14" s="56"/>
      <c r="G14" s="55"/>
      <c r="H14" s="55"/>
      <c r="I14" s="55"/>
      <c r="J14" s="54"/>
      <c r="K14" s="53"/>
      <c r="L14" s="95"/>
      <c r="M14" s="95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5" x14ac:dyDescent="0.15">
      <c r="A15" s="51">
        <v>2</v>
      </c>
      <c r="B15" s="50" t="s">
        <v>281</v>
      </c>
      <c r="C15" s="49"/>
      <c r="D15" s="48" t="s">
        <v>80</v>
      </c>
      <c r="E15" s="47"/>
      <c r="F15" s="56"/>
      <c r="G15" s="55"/>
      <c r="H15" s="55"/>
      <c r="I15" s="55"/>
      <c r="J15" s="54"/>
      <c r="K15" s="53"/>
      <c r="L15" s="95"/>
      <c r="M15" s="95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5" x14ac:dyDescent="0.15">
      <c r="A16" s="51">
        <v>2</v>
      </c>
      <c r="B16" s="50" t="s">
        <v>280</v>
      </c>
      <c r="C16" s="49"/>
      <c r="D16" s="48" t="s">
        <v>78</v>
      </c>
      <c r="E16" s="47"/>
      <c r="F16" s="56"/>
      <c r="G16" s="55"/>
      <c r="H16" s="55"/>
      <c r="I16" s="55"/>
      <c r="J16" s="54"/>
      <c r="K16" s="53"/>
      <c r="L16" s="95"/>
      <c r="M16" s="95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x14ac:dyDescent="0.15">
      <c r="A17" s="51">
        <v>2</v>
      </c>
      <c r="B17" s="50" t="s">
        <v>279</v>
      </c>
      <c r="C17" s="49"/>
      <c r="D17" s="48" t="s">
        <v>76</v>
      </c>
      <c r="E17" s="47"/>
      <c r="F17" s="56"/>
      <c r="G17" s="55"/>
      <c r="H17" s="55"/>
      <c r="I17" s="55"/>
      <c r="J17" s="54"/>
      <c r="K17" s="53"/>
      <c r="L17" s="95"/>
      <c r="M17" s="95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x14ac:dyDescent="0.15">
      <c r="A18" s="51">
        <v>2</v>
      </c>
      <c r="B18" s="50" t="s">
        <v>278</v>
      </c>
      <c r="C18" s="49"/>
      <c r="D18" s="48" t="s">
        <v>74</v>
      </c>
      <c r="E18" s="47"/>
      <c r="F18" s="56"/>
      <c r="G18" s="55"/>
      <c r="H18" s="55"/>
      <c r="I18" s="55"/>
      <c r="J18" s="54"/>
      <c r="K18" s="53"/>
      <c r="L18" s="95"/>
      <c r="M18" s="95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15">
      <c r="A19" s="51">
        <v>2</v>
      </c>
      <c r="B19" s="50" t="s">
        <v>277</v>
      </c>
      <c r="C19" s="49"/>
      <c r="D19" s="48" t="s">
        <v>72</v>
      </c>
      <c r="E19" s="47"/>
      <c r="F19" s="56"/>
      <c r="G19" s="55"/>
      <c r="H19" s="55"/>
      <c r="I19" s="55"/>
      <c r="J19" s="54"/>
      <c r="K19" s="53"/>
      <c r="L19" s="95"/>
      <c r="M19" s="95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15">
      <c r="A20" s="51">
        <v>2</v>
      </c>
      <c r="B20" s="50" t="s">
        <v>276</v>
      </c>
      <c r="C20" s="49"/>
      <c r="D20" s="48" t="s">
        <v>70</v>
      </c>
      <c r="E20" s="47"/>
      <c r="F20" s="56"/>
      <c r="G20" s="55"/>
      <c r="H20" s="55"/>
      <c r="I20" s="55"/>
      <c r="J20" s="54"/>
      <c r="K20" s="53"/>
      <c r="L20" s="95"/>
      <c r="M20" s="95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spans="1:35" x14ac:dyDescent="0.15">
      <c r="A21" s="51">
        <v>2</v>
      </c>
      <c r="B21" s="50" t="s">
        <v>275</v>
      </c>
      <c r="C21" s="49"/>
      <c r="D21" s="48" t="s">
        <v>68</v>
      </c>
      <c r="E21" s="47"/>
      <c r="F21" s="56"/>
      <c r="G21" s="55"/>
      <c r="H21" s="55"/>
      <c r="I21" s="55"/>
      <c r="J21" s="54"/>
      <c r="K21" s="53"/>
      <c r="L21" s="95"/>
      <c r="M21" s="95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15">
      <c r="A22" s="51">
        <v>2</v>
      </c>
      <c r="B22" s="50" t="s">
        <v>274</v>
      </c>
      <c r="C22" s="49"/>
      <c r="D22" s="48" t="s">
        <v>66</v>
      </c>
      <c r="E22" s="47"/>
      <c r="F22" s="56"/>
      <c r="G22" s="55"/>
      <c r="H22" s="55"/>
      <c r="I22" s="55"/>
      <c r="J22" s="54"/>
      <c r="K22" s="53"/>
      <c r="L22" s="95"/>
      <c r="M22" s="95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spans="1:35" x14ac:dyDescent="0.15">
      <c r="A23" s="51">
        <v>2</v>
      </c>
      <c r="B23" s="50" t="s">
        <v>273</v>
      </c>
      <c r="C23" s="49"/>
      <c r="D23" s="48" t="s">
        <v>64</v>
      </c>
      <c r="E23" s="47"/>
      <c r="F23" s="56"/>
      <c r="G23" s="55"/>
      <c r="H23" s="55"/>
      <c r="I23" s="55"/>
      <c r="J23" s="54"/>
      <c r="K23" s="53"/>
      <c r="L23" s="95"/>
      <c r="M23" s="95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15">
      <c r="A24" s="51">
        <v>2</v>
      </c>
      <c r="B24" s="50" t="s">
        <v>272</v>
      </c>
      <c r="C24" s="49"/>
      <c r="D24" s="48" t="s">
        <v>62</v>
      </c>
      <c r="E24" s="47"/>
      <c r="F24" s="56"/>
      <c r="G24" s="55"/>
      <c r="H24" s="55"/>
      <c r="I24" s="55"/>
      <c r="J24" s="54"/>
      <c r="K24" s="53"/>
      <c r="L24" s="95"/>
      <c r="M24" s="95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x14ac:dyDescent="0.15">
      <c r="A25" s="51">
        <v>2</v>
      </c>
      <c r="B25" s="50" t="s">
        <v>271</v>
      </c>
      <c r="C25" s="49"/>
      <c r="D25" s="48" t="s">
        <v>60</v>
      </c>
      <c r="E25" s="47"/>
      <c r="F25" s="56"/>
      <c r="G25" s="55"/>
      <c r="H25" s="55"/>
      <c r="I25" s="55"/>
      <c r="J25" s="54"/>
      <c r="K25" s="53"/>
      <c r="L25" s="95"/>
      <c r="M25" s="95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15">
      <c r="A26" s="51">
        <v>2</v>
      </c>
      <c r="B26" s="50" t="s">
        <v>270</v>
      </c>
      <c r="C26" s="49"/>
      <c r="D26" s="48" t="s">
        <v>58</v>
      </c>
      <c r="E26" s="47"/>
      <c r="F26" s="56"/>
      <c r="G26" s="55"/>
      <c r="H26" s="55"/>
      <c r="I26" s="55"/>
      <c r="J26" s="54"/>
      <c r="K26" s="53"/>
      <c r="L26" s="95"/>
      <c r="M26" s="95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x14ac:dyDescent="0.15">
      <c r="A27" s="51">
        <v>2</v>
      </c>
      <c r="B27" s="50" t="s">
        <v>284</v>
      </c>
      <c r="C27" s="49">
        <v>615501003</v>
      </c>
      <c r="D27" s="48" t="s">
        <v>370</v>
      </c>
      <c r="E27" s="47"/>
      <c r="F27" s="56"/>
      <c r="G27" s="55"/>
      <c r="H27" s="55"/>
      <c r="I27" s="55"/>
      <c r="J27" s="54"/>
      <c r="K27" s="53"/>
      <c r="L27" s="95"/>
      <c r="M27" s="95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spans="1:35" x14ac:dyDescent="0.15">
      <c r="A28" s="51">
        <v>2</v>
      </c>
      <c r="B28" s="50" t="s">
        <v>269</v>
      </c>
      <c r="C28" s="49"/>
      <c r="D28" s="48" t="s">
        <v>56</v>
      </c>
      <c r="E28" s="47"/>
      <c r="F28" s="56"/>
      <c r="G28" s="55"/>
      <c r="H28" s="55"/>
      <c r="I28" s="55"/>
      <c r="J28" s="54"/>
      <c r="K28" s="53"/>
      <c r="L28" s="95"/>
      <c r="M28" s="95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35" x14ac:dyDescent="0.15">
      <c r="A29" s="51">
        <v>2</v>
      </c>
      <c r="B29" s="50" t="s">
        <v>268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ref="K29:K40" si="10">SUM(F29:J29)</f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35" x14ac:dyDescent="0.15">
      <c r="A30" s="51">
        <v>2</v>
      </c>
      <c r="B30" s="50" t="s">
        <v>267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10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</row>
    <row r="31" spans="1:35" x14ac:dyDescent="0.15">
      <c r="A31" s="51">
        <v>2</v>
      </c>
      <c r="B31" s="50" t="s">
        <v>266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1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spans="1:35" x14ac:dyDescent="0.15">
      <c r="A32" s="51"/>
      <c r="B32" s="50" t="s">
        <v>265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1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spans="1:35" x14ac:dyDescent="0.15">
      <c r="A33" s="51">
        <v>2</v>
      </c>
      <c r="B33" s="50" t="s">
        <v>264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1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spans="1:35" x14ac:dyDescent="0.15">
      <c r="A34" s="51">
        <v>2</v>
      </c>
      <c r="B34" s="50" t="s">
        <v>263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1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spans="1:35" x14ac:dyDescent="0.15">
      <c r="A35" s="51">
        <v>2</v>
      </c>
      <c r="B35" s="50" t="s">
        <v>257</v>
      </c>
      <c r="C35" s="49" t="s">
        <v>262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0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0</v>
      </c>
      <c r="K35" s="45">
        <f t="shared" si="10"/>
        <v>0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:35" x14ac:dyDescent="0.15">
      <c r="A36" s="51">
        <v>2</v>
      </c>
      <c r="B36" s="50" t="s">
        <v>257</v>
      </c>
      <c r="C36" s="49" t="s">
        <v>261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1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spans="1:35" x14ac:dyDescent="0.15">
      <c r="A37" s="51">
        <v>2</v>
      </c>
      <c r="B37" s="50" t="s">
        <v>257</v>
      </c>
      <c r="C37" s="49" t="s">
        <v>260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0</v>
      </c>
      <c r="K37" s="45">
        <f t="shared" si="10"/>
        <v>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spans="1:35" x14ac:dyDescent="0.15">
      <c r="A38" s="51">
        <v>2</v>
      </c>
      <c r="B38" s="50" t="s">
        <v>257</v>
      </c>
      <c r="C38" s="49" t="s">
        <v>259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0</v>
      </c>
      <c r="K38" s="45">
        <f t="shared" si="10"/>
        <v>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spans="1:35" x14ac:dyDescent="0.15">
      <c r="A39" s="51">
        <v>2</v>
      </c>
      <c r="B39" s="50" t="s">
        <v>257</v>
      </c>
      <c r="C39" s="49" t="s">
        <v>258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1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spans="1:35" ht="14.25" thickBot="1" x14ac:dyDescent="0.2">
      <c r="A40" s="41">
        <v>2</v>
      </c>
      <c r="B40" s="40" t="s">
        <v>257</v>
      </c>
      <c r="C40" s="39" t="s">
        <v>256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1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1">SUM(E5:E40)</f>
        <v>0</v>
      </c>
      <c r="F41" s="24">
        <f t="shared" si="11"/>
        <v>0</v>
      </c>
      <c r="G41" s="23">
        <f t="shared" si="11"/>
        <v>0</v>
      </c>
      <c r="H41" s="23">
        <f t="shared" si="11"/>
        <v>0</v>
      </c>
      <c r="I41" s="23">
        <f t="shared" ref="I41" si="12">SUM(I5:I40)</f>
        <v>0</v>
      </c>
      <c r="J41" s="22">
        <f t="shared" si="11"/>
        <v>0</v>
      </c>
      <c r="K41" s="15">
        <f t="shared" si="11"/>
        <v>0</v>
      </c>
      <c r="L41" s="20">
        <f t="shared" si="11"/>
        <v>0</v>
      </c>
      <c r="M41" s="20">
        <f t="shared" si="11"/>
        <v>0</v>
      </c>
      <c r="N41" s="17">
        <f t="shared" si="11"/>
        <v>0</v>
      </c>
      <c r="O41" s="16">
        <f t="shared" si="11"/>
        <v>0</v>
      </c>
      <c r="P41" s="16">
        <f t="shared" si="11"/>
        <v>0</v>
      </c>
      <c r="Q41" s="16">
        <f t="shared" ref="Q41" si="13">SUM(Q5:Q40)</f>
        <v>0</v>
      </c>
      <c r="R41" s="19">
        <f t="shared" si="11"/>
        <v>0</v>
      </c>
      <c r="S41" s="15">
        <f t="shared" si="11"/>
        <v>0</v>
      </c>
      <c r="T41" s="18">
        <f t="shared" si="11"/>
        <v>0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4">+E41</f>
        <v>0</v>
      </c>
      <c r="F42" s="10">
        <f t="shared" si="14"/>
        <v>0</v>
      </c>
      <c r="G42" s="9">
        <f t="shared" si="14"/>
        <v>0</v>
      </c>
      <c r="H42" s="9">
        <f t="shared" si="14"/>
        <v>0</v>
      </c>
      <c r="I42" s="9">
        <f t="shared" si="14"/>
        <v>0</v>
      </c>
      <c r="J42" s="8">
        <f t="shared" si="14"/>
        <v>0</v>
      </c>
      <c r="K42" s="4">
        <f>SUM(F42:J42)</f>
        <v>0</v>
      </c>
      <c r="L42" s="5">
        <f>+L41</f>
        <v>0</v>
      </c>
      <c r="M42" s="5">
        <f>+M41</f>
        <v>0</v>
      </c>
      <c r="N42" s="121">
        <f>+'4条支出'!N13</f>
        <v>0</v>
      </c>
      <c r="O42" s="122">
        <f>+'4条支出'!O13</f>
        <v>0</v>
      </c>
      <c r="P42" s="122">
        <f>+'4条支出'!P13</f>
        <v>0</v>
      </c>
      <c r="Q42" s="122">
        <f>+'4条支出'!Q13</f>
        <v>0</v>
      </c>
      <c r="R42" s="123">
        <f>+'4条支出'!R13</f>
        <v>0</v>
      </c>
      <c r="S42" s="124">
        <f>+'4条支出'!S13</f>
        <v>0</v>
      </c>
      <c r="T42" s="125">
        <f>+'4条支出'!T13</f>
        <v>0</v>
      </c>
    </row>
    <row r="43" spans="1:35" x14ac:dyDescent="0.15">
      <c r="E43" s="3">
        <f t="shared" ref="E43:T43" si="15">+E42-E41</f>
        <v>0</v>
      </c>
      <c r="F43" s="3">
        <f t="shared" si="15"/>
        <v>0</v>
      </c>
      <c r="G43" s="3">
        <f t="shared" si="15"/>
        <v>0</v>
      </c>
      <c r="H43" s="3">
        <f t="shared" si="15"/>
        <v>0</v>
      </c>
      <c r="I43" s="3">
        <f t="shared" ref="I43" si="16">+I42-I41</f>
        <v>0</v>
      </c>
      <c r="J43" s="3">
        <f t="shared" si="15"/>
        <v>0</v>
      </c>
      <c r="K43" s="3">
        <f t="shared" si="15"/>
        <v>0</v>
      </c>
      <c r="L43" s="3">
        <f t="shared" si="15"/>
        <v>0</v>
      </c>
      <c r="M43" s="3">
        <f t="shared" si="15"/>
        <v>0</v>
      </c>
      <c r="N43" s="3">
        <f t="shared" si="15"/>
        <v>0</v>
      </c>
      <c r="O43" s="3">
        <f t="shared" si="15"/>
        <v>0</v>
      </c>
      <c r="P43" s="3">
        <f t="shared" si="15"/>
        <v>0</v>
      </c>
      <c r="Q43" s="3">
        <f t="shared" ref="Q43" si="17">+Q42-Q41</f>
        <v>0</v>
      </c>
      <c r="R43" s="3">
        <f t="shared" si="15"/>
        <v>0</v>
      </c>
      <c r="S43" s="3">
        <f t="shared" si="15"/>
        <v>0</v>
      </c>
      <c r="T43" s="3">
        <f t="shared" si="15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AE6:AE14 AE16:AE40">
    <cfRule type="notContainsBlanks" dxfId="78" priority="20" stopIfTrue="1">
      <formula>LEN(TRIM(AE6))&gt;0</formula>
    </cfRule>
  </conditionalFormatting>
  <conditionalFormatting sqref="AE6:AI40">
    <cfRule type="notContainsBlanks" dxfId="77" priority="19" stopIfTrue="1">
      <formula>LEN(TRIM(AE6))&gt;0</formula>
    </cfRule>
  </conditionalFormatting>
  <conditionalFormatting sqref="AE5:AI5">
    <cfRule type="notContainsBlanks" dxfId="76" priority="18" stopIfTrue="1">
      <formula>LEN(TRIM(AE5))&gt;0</formula>
    </cfRule>
  </conditionalFormatting>
  <conditionalFormatting sqref="Z6:Z14 Z16:Z40">
    <cfRule type="notContainsBlanks" dxfId="75" priority="5" stopIfTrue="1">
      <formula>LEN(TRIM(Z6))&gt;0</formula>
    </cfRule>
  </conditionalFormatting>
  <conditionalFormatting sqref="Z6:AD40">
    <cfRule type="notContainsBlanks" dxfId="74" priority="4" stopIfTrue="1">
      <formula>LEN(TRIM(Z6))&gt;0</formula>
    </cfRule>
  </conditionalFormatting>
  <conditionalFormatting sqref="Z5:AD5">
    <cfRule type="notContainsBlanks" dxfId="73" priority="3" stopIfTrue="1">
      <formula>LEN(TRIM(Z5))&gt;0</formula>
    </cfRule>
  </conditionalFormatting>
  <conditionalFormatting sqref="E43:H43 J43:T43">
    <cfRule type="cellIs" dxfId="72" priority="2" operator="notEqual">
      <formula>0</formula>
    </cfRule>
  </conditionalFormatting>
  <conditionalFormatting sqref="I43">
    <cfRule type="cellIs" dxfId="71" priority="1" operator="notEqual">
      <formula>0</formula>
    </cfRule>
  </conditionalFormatting>
  <pageMargins left="0.39370078740157483" right="0.39370078740157483" top="0.59055118110236227" bottom="0.39370078740157483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zoomScale="80" zoomScaleNormal="80" zoomScaleSheetLayoutView="40" workbookViewId="0">
      <pane xSplit="4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295</v>
      </c>
      <c r="V2" s="67"/>
      <c r="W2" s="67"/>
      <c r="X2" s="67"/>
      <c r="Y2" s="67"/>
      <c r="Z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2" t="s">
        <v>17</v>
      </c>
      <c r="AA3" s="142"/>
      <c r="AB3" s="142"/>
      <c r="AC3" s="142"/>
      <c r="AD3" s="142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120">
        <v>3</v>
      </c>
      <c r="AA4" s="120">
        <v>5</v>
      </c>
      <c r="AB4" s="120">
        <v>8</v>
      </c>
      <c r="AC4" s="132">
        <v>8</v>
      </c>
      <c r="AD4" s="120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>
        <v>3</v>
      </c>
      <c r="B5" s="65" t="s">
        <v>292</v>
      </c>
      <c r="C5" s="64"/>
      <c r="D5" s="63" t="s">
        <v>101</v>
      </c>
      <c r="E5" s="62"/>
      <c r="F5" s="100"/>
      <c r="G5" s="99"/>
      <c r="H5" s="99"/>
      <c r="I5" s="99"/>
      <c r="J5" s="98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97"/>
      <c r="L5" s="96"/>
      <c r="M5" s="96"/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x14ac:dyDescent="0.15">
      <c r="A6" s="51">
        <v>3</v>
      </c>
      <c r="B6" s="50" t="s">
        <v>291</v>
      </c>
      <c r="C6" s="49"/>
      <c r="D6" s="48" t="s">
        <v>99</v>
      </c>
      <c r="E6" s="47"/>
      <c r="F6" s="56"/>
      <c r="G6" s="55"/>
      <c r="H6" s="55"/>
      <c r="I6" s="55"/>
      <c r="J6" s="54"/>
      <c r="K6" s="53"/>
      <c r="L6" s="95"/>
      <c r="M6" s="95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x14ac:dyDescent="0.15">
      <c r="A7" s="51">
        <v>3</v>
      </c>
      <c r="B7" s="50" t="s">
        <v>290</v>
      </c>
      <c r="C7" s="49"/>
      <c r="D7" s="48" t="s">
        <v>97</v>
      </c>
      <c r="E7" s="47"/>
      <c r="F7" s="56"/>
      <c r="G7" s="55"/>
      <c r="H7" s="55"/>
      <c r="I7" s="55"/>
      <c r="J7" s="54"/>
      <c r="K7" s="53"/>
      <c r="L7" s="95"/>
      <c r="M7" s="95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x14ac:dyDescent="0.15">
      <c r="A8" s="51">
        <v>3</v>
      </c>
      <c r="B8" s="50" t="s">
        <v>289</v>
      </c>
      <c r="C8" s="49"/>
      <c r="D8" s="48" t="s">
        <v>95</v>
      </c>
      <c r="E8" s="47"/>
      <c r="F8" s="56"/>
      <c r="G8" s="55"/>
      <c r="H8" s="55"/>
      <c r="I8" s="55"/>
      <c r="J8" s="54"/>
      <c r="K8" s="53"/>
      <c r="L8" s="95"/>
      <c r="M8" s="95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1:35" x14ac:dyDescent="0.15">
      <c r="A9" s="51">
        <v>3</v>
      </c>
      <c r="B9" s="50" t="s">
        <v>288</v>
      </c>
      <c r="C9" s="49"/>
      <c r="D9" s="48" t="s">
        <v>93</v>
      </c>
      <c r="E9" s="47"/>
      <c r="F9" s="56"/>
      <c r="G9" s="55"/>
      <c r="H9" s="55"/>
      <c r="I9" s="55"/>
      <c r="J9" s="54"/>
      <c r="K9" s="53"/>
      <c r="L9" s="95"/>
      <c r="M9" s="95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spans="1:35" x14ac:dyDescent="0.15">
      <c r="A10" s="51">
        <v>3</v>
      </c>
      <c r="B10" s="50" t="s">
        <v>287</v>
      </c>
      <c r="C10" s="49"/>
      <c r="D10" s="48" t="s">
        <v>91</v>
      </c>
      <c r="E10" s="47"/>
      <c r="F10" s="56"/>
      <c r="G10" s="55"/>
      <c r="H10" s="55"/>
      <c r="I10" s="55"/>
      <c r="J10" s="54"/>
      <c r="K10" s="53"/>
      <c r="L10" s="95"/>
      <c r="M10" s="95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spans="1:35" x14ac:dyDescent="0.15">
      <c r="A11" s="51">
        <v>3</v>
      </c>
      <c r="B11" s="50" t="s">
        <v>286</v>
      </c>
      <c r="C11" s="49"/>
      <c r="D11" s="48" t="s">
        <v>89</v>
      </c>
      <c r="E11" s="47"/>
      <c r="F11" s="56"/>
      <c r="G11" s="55"/>
      <c r="H11" s="55"/>
      <c r="I11" s="55"/>
      <c r="J11" s="54"/>
      <c r="K11" s="53"/>
      <c r="L11" s="95"/>
      <c r="M11" s="95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spans="1:35" x14ac:dyDescent="0.15">
      <c r="A12" s="51">
        <v>3</v>
      </c>
      <c r="B12" s="50" t="s">
        <v>284</v>
      </c>
      <c r="C12" s="49" t="s">
        <v>285</v>
      </c>
      <c r="D12" s="48" t="s">
        <v>87</v>
      </c>
      <c r="E12" s="47"/>
      <c r="F12" s="56"/>
      <c r="G12" s="55"/>
      <c r="H12" s="55"/>
      <c r="I12" s="55"/>
      <c r="J12" s="54"/>
      <c r="K12" s="53"/>
      <c r="L12" s="95"/>
      <c r="M12" s="95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5" x14ac:dyDescent="0.15">
      <c r="A13" s="51">
        <v>3</v>
      </c>
      <c r="B13" s="50" t="s">
        <v>284</v>
      </c>
      <c r="C13" s="49" t="s">
        <v>283</v>
      </c>
      <c r="D13" s="48" t="s">
        <v>84</v>
      </c>
      <c r="E13" s="47"/>
      <c r="F13" s="56"/>
      <c r="G13" s="55"/>
      <c r="H13" s="55"/>
      <c r="I13" s="55"/>
      <c r="J13" s="54"/>
      <c r="K13" s="53"/>
      <c r="L13" s="95"/>
      <c r="M13" s="95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5" x14ac:dyDescent="0.15">
      <c r="A14" s="51">
        <v>3</v>
      </c>
      <c r="B14" s="50" t="s">
        <v>282</v>
      </c>
      <c r="C14" s="49"/>
      <c r="D14" s="48" t="s">
        <v>82</v>
      </c>
      <c r="E14" s="47"/>
      <c r="F14" s="56"/>
      <c r="G14" s="55"/>
      <c r="H14" s="55"/>
      <c r="I14" s="55"/>
      <c r="J14" s="54"/>
      <c r="K14" s="53"/>
      <c r="L14" s="95"/>
      <c r="M14" s="95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5" x14ac:dyDescent="0.15">
      <c r="A15" s="51">
        <v>3</v>
      </c>
      <c r="B15" s="50" t="s">
        <v>281</v>
      </c>
      <c r="C15" s="49"/>
      <c r="D15" s="48" t="s">
        <v>80</v>
      </c>
      <c r="E15" s="47"/>
      <c r="F15" s="56"/>
      <c r="G15" s="55"/>
      <c r="H15" s="55"/>
      <c r="I15" s="55"/>
      <c r="J15" s="54"/>
      <c r="K15" s="53"/>
      <c r="L15" s="95"/>
      <c r="M15" s="95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5" x14ac:dyDescent="0.15">
      <c r="A16" s="51">
        <v>3</v>
      </c>
      <c r="B16" s="50" t="s">
        <v>280</v>
      </c>
      <c r="C16" s="49"/>
      <c r="D16" s="48" t="s">
        <v>78</v>
      </c>
      <c r="E16" s="47"/>
      <c r="F16" s="56"/>
      <c r="G16" s="55"/>
      <c r="H16" s="55"/>
      <c r="I16" s="55"/>
      <c r="J16" s="54"/>
      <c r="K16" s="53"/>
      <c r="L16" s="95"/>
      <c r="M16" s="95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x14ac:dyDescent="0.15">
      <c r="A17" s="51">
        <v>3</v>
      </c>
      <c r="B17" s="50" t="s">
        <v>279</v>
      </c>
      <c r="C17" s="49"/>
      <c r="D17" s="48" t="s">
        <v>76</v>
      </c>
      <c r="E17" s="47"/>
      <c r="F17" s="56"/>
      <c r="G17" s="55"/>
      <c r="H17" s="55"/>
      <c r="I17" s="55"/>
      <c r="J17" s="54"/>
      <c r="K17" s="53"/>
      <c r="L17" s="95"/>
      <c r="M17" s="95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x14ac:dyDescent="0.15">
      <c r="A18" s="51">
        <v>3</v>
      </c>
      <c r="B18" s="50" t="s">
        <v>278</v>
      </c>
      <c r="C18" s="49"/>
      <c r="D18" s="48" t="s">
        <v>74</v>
      </c>
      <c r="E18" s="47"/>
      <c r="F18" s="56"/>
      <c r="G18" s="55"/>
      <c r="H18" s="55"/>
      <c r="I18" s="55"/>
      <c r="J18" s="54"/>
      <c r="K18" s="53"/>
      <c r="L18" s="95"/>
      <c r="M18" s="95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15">
      <c r="A19" s="51">
        <v>3</v>
      </c>
      <c r="B19" s="50" t="s">
        <v>277</v>
      </c>
      <c r="C19" s="49"/>
      <c r="D19" s="48" t="s">
        <v>72</v>
      </c>
      <c r="E19" s="47"/>
      <c r="F19" s="56"/>
      <c r="G19" s="55"/>
      <c r="H19" s="55"/>
      <c r="I19" s="55"/>
      <c r="J19" s="54"/>
      <c r="K19" s="53"/>
      <c r="L19" s="95"/>
      <c r="M19" s="95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15">
      <c r="A20" s="51">
        <v>3</v>
      </c>
      <c r="B20" s="50" t="s">
        <v>276</v>
      </c>
      <c r="C20" s="49"/>
      <c r="D20" s="48" t="s">
        <v>70</v>
      </c>
      <c r="E20" s="47"/>
      <c r="F20" s="56"/>
      <c r="G20" s="55"/>
      <c r="H20" s="55"/>
      <c r="I20" s="55"/>
      <c r="J20" s="54"/>
      <c r="K20" s="53"/>
      <c r="L20" s="95"/>
      <c r="M20" s="95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spans="1:35" x14ac:dyDescent="0.15">
      <c r="A21" s="51">
        <v>3</v>
      </c>
      <c r="B21" s="50" t="s">
        <v>275</v>
      </c>
      <c r="C21" s="49"/>
      <c r="D21" s="48" t="s">
        <v>68</v>
      </c>
      <c r="E21" s="47"/>
      <c r="F21" s="56"/>
      <c r="G21" s="55"/>
      <c r="H21" s="55"/>
      <c r="I21" s="55"/>
      <c r="J21" s="54"/>
      <c r="K21" s="53"/>
      <c r="L21" s="95"/>
      <c r="M21" s="95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15">
      <c r="A22" s="51">
        <v>3</v>
      </c>
      <c r="B22" s="50" t="s">
        <v>274</v>
      </c>
      <c r="C22" s="49"/>
      <c r="D22" s="48" t="s">
        <v>66</v>
      </c>
      <c r="E22" s="47"/>
      <c r="F22" s="56"/>
      <c r="G22" s="55"/>
      <c r="H22" s="55"/>
      <c r="I22" s="55"/>
      <c r="J22" s="54"/>
      <c r="K22" s="53"/>
      <c r="L22" s="95"/>
      <c r="M22" s="95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spans="1:35" x14ac:dyDescent="0.15">
      <c r="A23" s="51">
        <v>3</v>
      </c>
      <c r="B23" s="50" t="s">
        <v>273</v>
      </c>
      <c r="C23" s="49"/>
      <c r="D23" s="48" t="s">
        <v>64</v>
      </c>
      <c r="E23" s="47"/>
      <c r="F23" s="56"/>
      <c r="G23" s="55"/>
      <c r="H23" s="55"/>
      <c r="I23" s="55"/>
      <c r="J23" s="54"/>
      <c r="K23" s="53"/>
      <c r="L23" s="95"/>
      <c r="M23" s="95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15">
      <c r="A24" s="51">
        <v>3</v>
      </c>
      <c r="B24" s="50" t="s">
        <v>272</v>
      </c>
      <c r="C24" s="49"/>
      <c r="D24" s="48" t="s">
        <v>62</v>
      </c>
      <c r="E24" s="47"/>
      <c r="F24" s="56"/>
      <c r="G24" s="55"/>
      <c r="H24" s="55"/>
      <c r="I24" s="55"/>
      <c r="J24" s="54"/>
      <c r="K24" s="53"/>
      <c r="L24" s="95"/>
      <c r="M24" s="95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x14ac:dyDescent="0.15">
      <c r="A25" s="51">
        <v>3</v>
      </c>
      <c r="B25" s="50" t="s">
        <v>271</v>
      </c>
      <c r="C25" s="49"/>
      <c r="D25" s="48" t="s">
        <v>60</v>
      </c>
      <c r="E25" s="47"/>
      <c r="F25" s="56"/>
      <c r="G25" s="55"/>
      <c r="H25" s="55"/>
      <c r="I25" s="55"/>
      <c r="J25" s="54"/>
      <c r="K25" s="53"/>
      <c r="L25" s="95"/>
      <c r="M25" s="95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15">
      <c r="A26" s="51">
        <v>3</v>
      </c>
      <c r="B26" s="50" t="s">
        <v>270</v>
      </c>
      <c r="C26" s="49"/>
      <c r="D26" s="48" t="s">
        <v>58</v>
      </c>
      <c r="E26" s="47"/>
      <c r="F26" s="56"/>
      <c r="G26" s="55"/>
      <c r="H26" s="55"/>
      <c r="I26" s="55"/>
      <c r="J26" s="54"/>
      <c r="K26" s="53"/>
      <c r="L26" s="95"/>
      <c r="M26" s="95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x14ac:dyDescent="0.15">
      <c r="A27" s="51">
        <v>3</v>
      </c>
      <c r="B27" s="50" t="s">
        <v>284</v>
      </c>
      <c r="C27" s="49">
        <v>615501003</v>
      </c>
      <c r="D27" s="48" t="s">
        <v>370</v>
      </c>
      <c r="E27" s="47"/>
      <c r="F27" s="56"/>
      <c r="G27" s="55"/>
      <c r="H27" s="55"/>
      <c r="I27" s="55"/>
      <c r="J27" s="54"/>
      <c r="K27" s="53"/>
      <c r="L27" s="95"/>
      <c r="M27" s="95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spans="1:35" x14ac:dyDescent="0.15">
      <c r="A28" s="51">
        <v>3</v>
      </c>
      <c r="B28" s="50" t="s">
        <v>269</v>
      </c>
      <c r="C28" s="49"/>
      <c r="D28" s="48" t="s">
        <v>56</v>
      </c>
      <c r="E28" s="47"/>
      <c r="F28" s="56"/>
      <c r="G28" s="55"/>
      <c r="H28" s="55"/>
      <c r="I28" s="55"/>
      <c r="J28" s="54"/>
      <c r="K28" s="53"/>
      <c r="L28" s="95"/>
      <c r="M28" s="95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35" x14ac:dyDescent="0.15">
      <c r="A29" s="51">
        <v>3</v>
      </c>
      <c r="B29" s="50" t="s">
        <v>268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ref="K29:K40" si="10">SUM(F29:J29)</f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35" x14ac:dyDescent="0.15">
      <c r="A30" s="51">
        <v>3</v>
      </c>
      <c r="B30" s="50" t="s">
        <v>267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10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</row>
    <row r="31" spans="1:35" x14ac:dyDescent="0.15">
      <c r="A31" s="51">
        <v>3</v>
      </c>
      <c r="B31" s="50" t="s">
        <v>266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1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spans="1:35" x14ac:dyDescent="0.15">
      <c r="A32" s="51"/>
      <c r="B32" s="50" t="s">
        <v>265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1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spans="1:35" x14ac:dyDescent="0.15">
      <c r="A33" s="51">
        <v>3</v>
      </c>
      <c r="B33" s="50" t="s">
        <v>264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1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spans="1:35" x14ac:dyDescent="0.15">
      <c r="A34" s="51">
        <v>3</v>
      </c>
      <c r="B34" s="50" t="s">
        <v>263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1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spans="1:35" x14ac:dyDescent="0.15">
      <c r="A35" s="51">
        <v>3</v>
      </c>
      <c r="B35" s="50" t="s">
        <v>257</v>
      </c>
      <c r="C35" s="49" t="s">
        <v>262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0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0</v>
      </c>
      <c r="K35" s="45">
        <f t="shared" si="10"/>
        <v>0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:35" x14ac:dyDescent="0.15">
      <c r="A36" s="51">
        <v>3</v>
      </c>
      <c r="B36" s="50" t="s">
        <v>257</v>
      </c>
      <c r="C36" s="49" t="s">
        <v>261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1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spans="1:35" x14ac:dyDescent="0.15">
      <c r="A37" s="51">
        <v>3</v>
      </c>
      <c r="B37" s="50" t="s">
        <v>257</v>
      </c>
      <c r="C37" s="49" t="s">
        <v>260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0</v>
      </c>
      <c r="K37" s="45">
        <f t="shared" si="10"/>
        <v>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spans="1:35" x14ac:dyDescent="0.15">
      <c r="A38" s="51">
        <v>3</v>
      </c>
      <c r="B38" s="50" t="s">
        <v>257</v>
      </c>
      <c r="C38" s="49" t="s">
        <v>259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0</v>
      </c>
      <c r="K38" s="45">
        <f t="shared" si="10"/>
        <v>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spans="1:35" x14ac:dyDescent="0.15">
      <c r="A39" s="51">
        <v>3</v>
      </c>
      <c r="B39" s="50" t="s">
        <v>257</v>
      </c>
      <c r="C39" s="49" t="s">
        <v>258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1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spans="1:35" ht="14.25" thickBot="1" x14ac:dyDescent="0.2">
      <c r="A40" s="41">
        <v>3</v>
      </c>
      <c r="B40" s="40" t="s">
        <v>257</v>
      </c>
      <c r="C40" s="39" t="s">
        <v>256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1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1">SUM(E5:E40)</f>
        <v>0</v>
      </c>
      <c r="F41" s="24">
        <f t="shared" si="11"/>
        <v>0</v>
      </c>
      <c r="G41" s="23">
        <f t="shared" si="11"/>
        <v>0</v>
      </c>
      <c r="H41" s="23">
        <f t="shared" si="11"/>
        <v>0</v>
      </c>
      <c r="I41" s="23">
        <f t="shared" ref="I41" si="12">SUM(I5:I40)</f>
        <v>0</v>
      </c>
      <c r="J41" s="22">
        <f t="shared" si="11"/>
        <v>0</v>
      </c>
      <c r="K41" s="15">
        <f t="shared" si="11"/>
        <v>0</v>
      </c>
      <c r="L41" s="20">
        <f t="shared" si="11"/>
        <v>0</v>
      </c>
      <c r="M41" s="20">
        <f t="shared" si="11"/>
        <v>0</v>
      </c>
      <c r="N41" s="17">
        <f t="shared" si="11"/>
        <v>0</v>
      </c>
      <c r="O41" s="16">
        <f t="shared" si="11"/>
        <v>0</v>
      </c>
      <c r="P41" s="16">
        <f t="shared" si="11"/>
        <v>0</v>
      </c>
      <c r="Q41" s="16">
        <f t="shared" ref="Q41" si="13">SUM(Q5:Q40)</f>
        <v>0</v>
      </c>
      <c r="R41" s="19">
        <f t="shared" si="11"/>
        <v>0</v>
      </c>
      <c r="S41" s="15">
        <f t="shared" si="11"/>
        <v>0</v>
      </c>
      <c r="T41" s="18">
        <f t="shared" si="11"/>
        <v>0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4">+E41</f>
        <v>0</v>
      </c>
      <c r="F42" s="10">
        <f t="shared" si="14"/>
        <v>0</v>
      </c>
      <c r="G42" s="9">
        <f t="shared" si="14"/>
        <v>0</v>
      </c>
      <c r="H42" s="9">
        <f t="shared" si="14"/>
        <v>0</v>
      </c>
      <c r="I42" s="9">
        <f t="shared" si="14"/>
        <v>0</v>
      </c>
      <c r="J42" s="8">
        <f t="shared" si="14"/>
        <v>0</v>
      </c>
      <c r="K42" s="4">
        <f>SUM(F42:J42)</f>
        <v>0</v>
      </c>
      <c r="L42" s="5">
        <f>+L41</f>
        <v>0</v>
      </c>
      <c r="M42" s="5">
        <f>+M41</f>
        <v>0</v>
      </c>
      <c r="N42" s="121">
        <f>+'4条支出'!N14</f>
        <v>0</v>
      </c>
      <c r="O42" s="122">
        <f>+'4条支出'!O14</f>
        <v>0</v>
      </c>
      <c r="P42" s="122">
        <f>+'4条支出'!P14</f>
        <v>0</v>
      </c>
      <c r="Q42" s="122">
        <f>+'4条支出'!Q14</f>
        <v>0</v>
      </c>
      <c r="R42" s="123">
        <f>+'4条支出'!R14</f>
        <v>0</v>
      </c>
      <c r="S42" s="124">
        <f>+'4条支出'!S14</f>
        <v>0</v>
      </c>
      <c r="T42" s="125">
        <f>+'4条支出'!T14</f>
        <v>0</v>
      </c>
    </row>
    <row r="43" spans="1:35" x14ac:dyDescent="0.15">
      <c r="E43" s="3">
        <f t="shared" ref="E43:T43" si="15">+E42-E41</f>
        <v>0</v>
      </c>
      <c r="F43" s="3">
        <f t="shared" si="15"/>
        <v>0</v>
      </c>
      <c r="G43" s="3">
        <f t="shared" si="15"/>
        <v>0</v>
      </c>
      <c r="H43" s="3">
        <f t="shared" si="15"/>
        <v>0</v>
      </c>
      <c r="I43" s="3">
        <f t="shared" ref="I43" si="16">+I42-I41</f>
        <v>0</v>
      </c>
      <c r="J43" s="3">
        <f t="shared" si="15"/>
        <v>0</v>
      </c>
      <c r="K43" s="3">
        <f t="shared" si="15"/>
        <v>0</v>
      </c>
      <c r="L43" s="3">
        <f t="shared" si="15"/>
        <v>0</v>
      </c>
      <c r="M43" s="3">
        <f t="shared" si="15"/>
        <v>0</v>
      </c>
      <c r="N43" s="3">
        <f t="shared" si="15"/>
        <v>0</v>
      </c>
      <c r="O43" s="3">
        <f t="shared" si="15"/>
        <v>0</v>
      </c>
      <c r="P43" s="3">
        <f t="shared" si="15"/>
        <v>0</v>
      </c>
      <c r="Q43" s="3">
        <f t="shared" ref="Q43" si="17">+Q42-Q41</f>
        <v>0</v>
      </c>
      <c r="R43" s="3">
        <f t="shared" si="15"/>
        <v>0</v>
      </c>
      <c r="S43" s="3">
        <f t="shared" si="15"/>
        <v>0</v>
      </c>
      <c r="T43" s="3">
        <f t="shared" si="15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AE6:AE14 AE16:AE40">
    <cfRule type="notContainsBlanks" dxfId="70" priority="20" stopIfTrue="1">
      <formula>LEN(TRIM(AE6))&gt;0</formula>
    </cfRule>
  </conditionalFormatting>
  <conditionalFormatting sqref="AE6:AI40">
    <cfRule type="notContainsBlanks" dxfId="69" priority="19" stopIfTrue="1">
      <formula>LEN(TRIM(AE6))&gt;0</formula>
    </cfRule>
  </conditionalFormatting>
  <conditionalFormatting sqref="AE5:AI5">
    <cfRule type="notContainsBlanks" dxfId="68" priority="18" stopIfTrue="1">
      <formula>LEN(TRIM(AE5))&gt;0</formula>
    </cfRule>
  </conditionalFormatting>
  <conditionalFormatting sqref="Z6:Z14 Z16:Z40">
    <cfRule type="notContainsBlanks" dxfId="67" priority="5" stopIfTrue="1">
      <formula>LEN(TRIM(Z6))&gt;0</formula>
    </cfRule>
  </conditionalFormatting>
  <conditionalFormatting sqref="Z6:AD40">
    <cfRule type="notContainsBlanks" dxfId="66" priority="4" stopIfTrue="1">
      <formula>LEN(TRIM(Z6))&gt;0</formula>
    </cfRule>
  </conditionalFormatting>
  <conditionalFormatting sqref="Z5:AD5">
    <cfRule type="notContainsBlanks" dxfId="65" priority="3" stopIfTrue="1">
      <formula>LEN(TRIM(Z5))&gt;0</formula>
    </cfRule>
  </conditionalFormatting>
  <conditionalFormatting sqref="E43:H43 J43:T43">
    <cfRule type="cellIs" dxfId="64" priority="2" operator="notEqual">
      <formula>0</formula>
    </cfRule>
  </conditionalFormatting>
  <conditionalFormatting sqref="I43">
    <cfRule type="cellIs" dxfId="63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topLeftCell="D1" zoomScale="80" zoomScaleNormal="80" zoomScaleSheetLayoutView="40" workbookViewId="0">
      <pane xSplit="2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298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/>
      <c r="B5" s="65" t="s">
        <v>297</v>
      </c>
      <c r="C5" s="64"/>
      <c r="D5" s="63" t="s">
        <v>296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12600000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12600000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0</v>
      </c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12600000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30">
        <f t="shared" ref="Z5:Z40" si="10">+IF(N$43=0,0,IF(N$43&lt;0,-RANK(U5,U$5:U$40,0),RANK(U5,U$5:U$40,1)))</f>
        <v>0</v>
      </c>
      <c r="AA5" s="30">
        <f t="shared" ref="AA5:AA40" si="11">+IF(O$43=0,0,IF(O$43&lt;0,-RANK(V5,V$5:V$40,0),RANK(V5,V$5:V$40,1)))</f>
        <v>0</v>
      </c>
      <c r="AB5" s="30">
        <f t="shared" ref="AB5:AC40" si="12">+IF(P$43=0,0,IF(P$43&lt;0,-RANK(W5,W$5:W$40,0),RANK(W5,W$5:W$40,1)))</f>
        <v>0</v>
      </c>
      <c r="AC5" s="30">
        <f t="shared" si="12"/>
        <v>0</v>
      </c>
      <c r="AD5" s="30">
        <f t="shared" ref="AD5:AD40" si="13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/>
      <c r="B6" s="50"/>
      <c r="C6" s="49"/>
      <c r="D6" s="48"/>
      <c r="E6" s="47"/>
      <c r="F6" s="43"/>
      <c r="G6" s="42"/>
      <c r="H6" s="42"/>
      <c r="I6" s="42"/>
      <c r="J6" s="46"/>
      <c r="K6" s="45"/>
      <c r="L6" s="47"/>
      <c r="M6" s="47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30">
        <f t="shared" si="10"/>
        <v>0</v>
      </c>
      <c r="AA6" s="30">
        <f t="shared" si="11"/>
        <v>0</v>
      </c>
      <c r="AB6" s="30">
        <f t="shared" si="12"/>
        <v>0</v>
      </c>
      <c r="AC6" s="30">
        <f t="shared" si="12"/>
        <v>0</v>
      </c>
      <c r="AD6" s="30">
        <f t="shared" si="13"/>
        <v>0</v>
      </c>
      <c r="AE6" s="29"/>
      <c r="AF6" s="29"/>
      <c r="AG6" s="29"/>
      <c r="AH6" s="29"/>
      <c r="AI6" s="29"/>
    </row>
    <row r="7" spans="1:35" x14ac:dyDescent="0.15">
      <c r="A7" s="51"/>
      <c r="B7" s="50"/>
      <c r="C7" s="49"/>
      <c r="D7" s="48"/>
      <c r="E7" s="47"/>
      <c r="F7" s="43"/>
      <c r="G7" s="42"/>
      <c r="H7" s="42"/>
      <c r="I7" s="42"/>
      <c r="J7" s="46"/>
      <c r="K7" s="45"/>
      <c r="L7" s="47"/>
      <c r="M7" s="47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30">
        <f t="shared" si="10"/>
        <v>0</v>
      </c>
      <c r="AA7" s="30">
        <f t="shared" si="11"/>
        <v>0</v>
      </c>
      <c r="AB7" s="30">
        <f t="shared" si="12"/>
        <v>0</v>
      </c>
      <c r="AC7" s="30">
        <f t="shared" si="12"/>
        <v>0</v>
      </c>
      <c r="AD7" s="30">
        <f t="shared" si="13"/>
        <v>0</v>
      </c>
      <c r="AE7" s="29"/>
      <c r="AF7" s="29"/>
      <c r="AG7" s="29"/>
      <c r="AH7" s="29"/>
      <c r="AI7" s="29"/>
    </row>
    <row r="8" spans="1:35" x14ac:dyDescent="0.15">
      <c r="A8" s="51"/>
      <c r="B8" s="50"/>
      <c r="C8" s="49"/>
      <c r="D8" s="48"/>
      <c r="E8" s="47"/>
      <c r="F8" s="43"/>
      <c r="G8" s="42"/>
      <c r="H8" s="42"/>
      <c r="I8" s="42"/>
      <c r="J8" s="46"/>
      <c r="K8" s="45"/>
      <c r="L8" s="47"/>
      <c r="M8" s="47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30">
        <f t="shared" si="10"/>
        <v>0</v>
      </c>
      <c r="AA8" s="30">
        <f t="shared" si="11"/>
        <v>0</v>
      </c>
      <c r="AB8" s="30">
        <f t="shared" si="12"/>
        <v>0</v>
      </c>
      <c r="AC8" s="30">
        <f t="shared" si="12"/>
        <v>0</v>
      </c>
      <c r="AD8" s="30">
        <f t="shared" si="13"/>
        <v>0</v>
      </c>
      <c r="AE8" s="29"/>
      <c r="AF8" s="29"/>
      <c r="AG8" s="29"/>
      <c r="AH8" s="29"/>
      <c r="AI8" s="29"/>
    </row>
    <row r="9" spans="1:35" x14ac:dyDescent="0.15">
      <c r="A9" s="51"/>
      <c r="B9" s="50"/>
      <c r="C9" s="49"/>
      <c r="D9" s="48"/>
      <c r="E9" s="47"/>
      <c r="F9" s="43"/>
      <c r="G9" s="42"/>
      <c r="H9" s="42"/>
      <c r="I9" s="42"/>
      <c r="J9" s="46"/>
      <c r="K9" s="45"/>
      <c r="L9" s="47"/>
      <c r="M9" s="47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30">
        <f t="shared" si="10"/>
        <v>0</v>
      </c>
      <c r="AA9" s="30">
        <f t="shared" si="11"/>
        <v>0</v>
      </c>
      <c r="AB9" s="30">
        <f t="shared" si="12"/>
        <v>0</v>
      </c>
      <c r="AC9" s="30">
        <f t="shared" si="12"/>
        <v>0</v>
      </c>
      <c r="AD9" s="30">
        <f t="shared" si="13"/>
        <v>0</v>
      </c>
      <c r="AE9" s="29"/>
      <c r="AF9" s="29"/>
      <c r="AG9" s="29"/>
      <c r="AH9" s="29"/>
      <c r="AI9" s="29"/>
    </row>
    <row r="10" spans="1:35" x14ac:dyDescent="0.15">
      <c r="A10" s="51"/>
      <c r="B10" s="50"/>
      <c r="C10" s="49"/>
      <c r="D10" s="48"/>
      <c r="E10" s="47"/>
      <c r="F10" s="43"/>
      <c r="G10" s="42"/>
      <c r="H10" s="42"/>
      <c r="I10" s="42"/>
      <c r="J10" s="46"/>
      <c r="K10" s="45"/>
      <c r="L10" s="47"/>
      <c r="M10" s="47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30">
        <f t="shared" si="10"/>
        <v>0</v>
      </c>
      <c r="AA10" s="30">
        <f t="shared" si="11"/>
        <v>0</v>
      </c>
      <c r="AB10" s="30">
        <f t="shared" si="12"/>
        <v>0</v>
      </c>
      <c r="AC10" s="30">
        <f t="shared" si="12"/>
        <v>0</v>
      </c>
      <c r="AD10" s="30">
        <f t="shared" si="13"/>
        <v>0</v>
      </c>
      <c r="AE10" s="29"/>
      <c r="AF10" s="29"/>
      <c r="AG10" s="29"/>
      <c r="AH10" s="29"/>
      <c r="AI10" s="29"/>
    </row>
    <row r="11" spans="1:35" x14ac:dyDescent="0.15">
      <c r="A11" s="51"/>
      <c r="B11" s="50"/>
      <c r="C11" s="49"/>
      <c r="D11" s="48"/>
      <c r="E11" s="47"/>
      <c r="F11" s="43"/>
      <c r="G11" s="42"/>
      <c r="H11" s="42"/>
      <c r="I11" s="42"/>
      <c r="J11" s="46"/>
      <c r="K11" s="45"/>
      <c r="L11" s="47"/>
      <c r="M11" s="47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30">
        <f t="shared" si="10"/>
        <v>0</v>
      </c>
      <c r="AA11" s="30">
        <f t="shared" si="11"/>
        <v>0</v>
      </c>
      <c r="AB11" s="30">
        <f t="shared" si="12"/>
        <v>0</v>
      </c>
      <c r="AC11" s="30">
        <f t="shared" si="12"/>
        <v>0</v>
      </c>
      <c r="AD11" s="30">
        <f t="shared" si="13"/>
        <v>0</v>
      </c>
      <c r="AE11" s="29"/>
      <c r="AF11" s="29"/>
      <c r="AG11" s="29"/>
      <c r="AH11" s="29"/>
      <c r="AI11" s="29"/>
    </row>
    <row r="12" spans="1:35" x14ac:dyDescent="0.15">
      <c r="A12" s="51"/>
      <c r="B12" s="50"/>
      <c r="C12" s="49"/>
      <c r="D12" s="48"/>
      <c r="E12" s="47"/>
      <c r="F12" s="43"/>
      <c r="G12" s="42"/>
      <c r="H12" s="42"/>
      <c r="I12" s="42"/>
      <c r="J12" s="46"/>
      <c r="K12" s="45"/>
      <c r="L12" s="47"/>
      <c r="M12" s="47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30">
        <f t="shared" si="10"/>
        <v>0</v>
      </c>
      <c r="AA12" s="30">
        <f t="shared" si="11"/>
        <v>0</v>
      </c>
      <c r="AB12" s="30">
        <f t="shared" si="12"/>
        <v>0</v>
      </c>
      <c r="AC12" s="30">
        <f t="shared" si="12"/>
        <v>0</v>
      </c>
      <c r="AD12" s="30">
        <f t="shared" si="13"/>
        <v>0</v>
      </c>
      <c r="AE12" s="29"/>
      <c r="AF12" s="29"/>
      <c r="AG12" s="29"/>
      <c r="AH12" s="29"/>
      <c r="AI12" s="29"/>
    </row>
    <row r="13" spans="1:35" x14ac:dyDescent="0.15">
      <c r="A13" s="51"/>
      <c r="B13" s="50"/>
      <c r="C13" s="49"/>
      <c r="D13" s="48"/>
      <c r="E13" s="47"/>
      <c r="F13" s="43"/>
      <c r="G13" s="42"/>
      <c r="H13" s="42"/>
      <c r="I13" s="42"/>
      <c r="J13" s="46"/>
      <c r="K13" s="45"/>
      <c r="L13" s="47"/>
      <c r="M13" s="47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30">
        <f t="shared" si="10"/>
        <v>0</v>
      </c>
      <c r="AA13" s="30">
        <f t="shared" si="11"/>
        <v>0</v>
      </c>
      <c r="AB13" s="30">
        <f t="shared" si="12"/>
        <v>0</v>
      </c>
      <c r="AC13" s="30">
        <f t="shared" si="12"/>
        <v>0</v>
      </c>
      <c r="AD13" s="30">
        <f t="shared" si="13"/>
        <v>0</v>
      </c>
      <c r="AE13" s="29"/>
      <c r="AF13" s="29"/>
      <c r="AG13" s="29"/>
      <c r="AH13" s="29"/>
      <c r="AI13" s="29"/>
    </row>
    <row r="14" spans="1:35" x14ac:dyDescent="0.15">
      <c r="A14" s="51"/>
      <c r="B14" s="50"/>
      <c r="C14" s="49"/>
      <c r="D14" s="48"/>
      <c r="E14" s="47"/>
      <c r="F14" s="43"/>
      <c r="G14" s="42"/>
      <c r="H14" s="42"/>
      <c r="I14" s="42"/>
      <c r="J14" s="46"/>
      <c r="K14" s="45"/>
      <c r="L14" s="47"/>
      <c r="M14" s="47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30">
        <f t="shared" si="10"/>
        <v>0</v>
      </c>
      <c r="AA14" s="30">
        <f t="shared" si="11"/>
        <v>0</v>
      </c>
      <c r="AB14" s="30">
        <f t="shared" si="12"/>
        <v>0</v>
      </c>
      <c r="AC14" s="30">
        <f t="shared" si="12"/>
        <v>0</v>
      </c>
      <c r="AD14" s="30">
        <f t="shared" si="13"/>
        <v>0</v>
      </c>
      <c r="AE14" s="29"/>
      <c r="AF14" s="29"/>
      <c r="AG14" s="29"/>
      <c r="AH14" s="29"/>
      <c r="AI14" s="29"/>
    </row>
    <row r="15" spans="1:35" x14ac:dyDescent="0.15">
      <c r="A15" s="51"/>
      <c r="B15" s="50"/>
      <c r="C15" s="49"/>
      <c r="D15" s="48"/>
      <c r="E15" s="47"/>
      <c r="F15" s="43"/>
      <c r="G15" s="42"/>
      <c r="H15" s="42"/>
      <c r="I15" s="42"/>
      <c r="J15" s="46"/>
      <c r="K15" s="45"/>
      <c r="L15" s="47"/>
      <c r="M15" s="47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30">
        <f t="shared" si="10"/>
        <v>0</v>
      </c>
      <c r="AA15" s="30">
        <f t="shared" si="11"/>
        <v>0</v>
      </c>
      <c r="AB15" s="30">
        <f t="shared" si="12"/>
        <v>0</v>
      </c>
      <c r="AC15" s="30">
        <f t="shared" si="12"/>
        <v>0</v>
      </c>
      <c r="AD15" s="30">
        <f t="shared" si="13"/>
        <v>0</v>
      </c>
      <c r="AE15" s="29"/>
      <c r="AF15" s="29"/>
      <c r="AG15" s="29"/>
      <c r="AH15" s="29"/>
      <c r="AI15" s="29"/>
    </row>
    <row r="16" spans="1:35" x14ac:dyDescent="0.15">
      <c r="A16" s="51"/>
      <c r="B16" s="50"/>
      <c r="C16" s="49"/>
      <c r="D16" s="48"/>
      <c r="E16" s="47"/>
      <c r="F16" s="43"/>
      <c r="G16" s="42"/>
      <c r="H16" s="42"/>
      <c r="I16" s="42"/>
      <c r="J16" s="46"/>
      <c r="K16" s="45"/>
      <c r="L16" s="47"/>
      <c r="M16" s="47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30">
        <f t="shared" si="10"/>
        <v>0</v>
      </c>
      <c r="AA16" s="30">
        <f t="shared" si="11"/>
        <v>0</v>
      </c>
      <c r="AB16" s="30">
        <f t="shared" si="12"/>
        <v>0</v>
      </c>
      <c r="AC16" s="30">
        <f t="shared" si="12"/>
        <v>0</v>
      </c>
      <c r="AD16" s="30">
        <f t="shared" si="13"/>
        <v>0</v>
      </c>
      <c r="AE16" s="29"/>
      <c r="AF16" s="29"/>
      <c r="AG16" s="29"/>
      <c r="AH16" s="29"/>
      <c r="AI16" s="29"/>
    </row>
    <row r="17" spans="1:35" x14ac:dyDescent="0.15">
      <c r="A17" s="51"/>
      <c r="B17" s="50"/>
      <c r="C17" s="49"/>
      <c r="D17" s="48"/>
      <c r="E17" s="47"/>
      <c r="F17" s="43"/>
      <c r="G17" s="42"/>
      <c r="H17" s="42"/>
      <c r="I17" s="42"/>
      <c r="J17" s="46"/>
      <c r="K17" s="45"/>
      <c r="L17" s="47"/>
      <c r="M17" s="47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30">
        <f t="shared" si="10"/>
        <v>0</v>
      </c>
      <c r="AA17" s="30">
        <f t="shared" si="11"/>
        <v>0</v>
      </c>
      <c r="AB17" s="30">
        <f t="shared" si="12"/>
        <v>0</v>
      </c>
      <c r="AC17" s="30">
        <f t="shared" si="12"/>
        <v>0</v>
      </c>
      <c r="AD17" s="30">
        <f t="shared" si="13"/>
        <v>0</v>
      </c>
      <c r="AE17" s="29"/>
      <c r="AF17" s="29"/>
      <c r="AG17" s="29"/>
      <c r="AH17" s="29"/>
      <c r="AI17" s="29"/>
    </row>
    <row r="18" spans="1:35" x14ac:dyDescent="0.15">
      <c r="A18" s="51"/>
      <c r="B18" s="50"/>
      <c r="C18" s="49"/>
      <c r="D18" s="48"/>
      <c r="E18" s="47"/>
      <c r="F18" s="43"/>
      <c r="G18" s="42"/>
      <c r="H18" s="42"/>
      <c r="I18" s="42"/>
      <c r="J18" s="46"/>
      <c r="K18" s="45"/>
      <c r="L18" s="47"/>
      <c r="M18" s="47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30">
        <f t="shared" si="10"/>
        <v>0</v>
      </c>
      <c r="AA18" s="30">
        <f t="shared" si="11"/>
        <v>0</v>
      </c>
      <c r="AB18" s="30">
        <f t="shared" si="12"/>
        <v>0</v>
      </c>
      <c r="AC18" s="30">
        <f t="shared" si="12"/>
        <v>0</v>
      </c>
      <c r="AD18" s="30">
        <f t="shared" si="13"/>
        <v>0</v>
      </c>
      <c r="AE18" s="29"/>
      <c r="AF18" s="29"/>
      <c r="AG18" s="29"/>
      <c r="AH18" s="29"/>
      <c r="AI18" s="29"/>
    </row>
    <row r="19" spans="1:35" x14ac:dyDescent="0.15">
      <c r="A19" s="51"/>
      <c r="B19" s="50"/>
      <c r="C19" s="49"/>
      <c r="D19" s="48"/>
      <c r="E19" s="47"/>
      <c r="F19" s="43"/>
      <c r="G19" s="42"/>
      <c r="H19" s="42"/>
      <c r="I19" s="42"/>
      <c r="J19" s="46"/>
      <c r="K19" s="45"/>
      <c r="L19" s="47"/>
      <c r="M19" s="47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30">
        <f t="shared" si="10"/>
        <v>0</v>
      </c>
      <c r="AA19" s="30">
        <f t="shared" si="11"/>
        <v>0</v>
      </c>
      <c r="AB19" s="30">
        <f t="shared" si="12"/>
        <v>0</v>
      </c>
      <c r="AC19" s="30">
        <f t="shared" si="12"/>
        <v>0</v>
      </c>
      <c r="AD19" s="30">
        <f t="shared" si="13"/>
        <v>0</v>
      </c>
      <c r="AE19" s="29"/>
      <c r="AF19" s="29"/>
      <c r="AG19" s="29"/>
      <c r="AH19" s="29"/>
      <c r="AI19" s="29"/>
    </row>
    <row r="20" spans="1:35" x14ac:dyDescent="0.15">
      <c r="A20" s="51"/>
      <c r="B20" s="50"/>
      <c r="C20" s="49"/>
      <c r="D20" s="48"/>
      <c r="E20" s="47"/>
      <c r="F20" s="43"/>
      <c r="G20" s="42"/>
      <c r="H20" s="42"/>
      <c r="I20" s="42"/>
      <c r="J20" s="46"/>
      <c r="K20" s="45"/>
      <c r="L20" s="47"/>
      <c r="M20" s="47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30">
        <f t="shared" si="10"/>
        <v>0</v>
      </c>
      <c r="AA20" s="30">
        <f t="shared" si="11"/>
        <v>0</v>
      </c>
      <c r="AB20" s="30">
        <f t="shared" si="12"/>
        <v>0</v>
      </c>
      <c r="AC20" s="30">
        <f t="shared" si="12"/>
        <v>0</v>
      </c>
      <c r="AD20" s="30">
        <f t="shared" si="13"/>
        <v>0</v>
      </c>
      <c r="AE20" s="29"/>
      <c r="AF20" s="29"/>
      <c r="AG20" s="29"/>
      <c r="AH20" s="29"/>
      <c r="AI20" s="29"/>
    </row>
    <row r="21" spans="1:35" x14ac:dyDescent="0.15">
      <c r="A21" s="51"/>
      <c r="B21" s="50"/>
      <c r="C21" s="49"/>
      <c r="D21" s="48"/>
      <c r="E21" s="47"/>
      <c r="F21" s="43"/>
      <c r="G21" s="42"/>
      <c r="H21" s="42"/>
      <c r="I21" s="42"/>
      <c r="J21" s="46"/>
      <c r="K21" s="45"/>
      <c r="L21" s="47"/>
      <c r="M21" s="47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30">
        <f t="shared" si="10"/>
        <v>0</v>
      </c>
      <c r="AA21" s="30">
        <f t="shared" si="11"/>
        <v>0</v>
      </c>
      <c r="AB21" s="30">
        <f t="shared" si="12"/>
        <v>0</v>
      </c>
      <c r="AC21" s="30">
        <f t="shared" si="12"/>
        <v>0</v>
      </c>
      <c r="AD21" s="30">
        <f t="shared" si="13"/>
        <v>0</v>
      </c>
      <c r="AE21" s="29"/>
      <c r="AF21" s="29"/>
      <c r="AG21" s="29"/>
      <c r="AH21" s="29"/>
      <c r="AI21" s="29"/>
    </row>
    <row r="22" spans="1:35" x14ac:dyDescent="0.15">
      <c r="A22" s="51"/>
      <c r="B22" s="50"/>
      <c r="C22" s="49"/>
      <c r="D22" s="48"/>
      <c r="E22" s="47"/>
      <c r="F22" s="43"/>
      <c r="G22" s="42"/>
      <c r="H22" s="42"/>
      <c r="I22" s="42"/>
      <c r="J22" s="46"/>
      <c r="K22" s="45"/>
      <c r="L22" s="47"/>
      <c r="M22" s="47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30">
        <f t="shared" si="10"/>
        <v>0</v>
      </c>
      <c r="AA22" s="30">
        <f t="shared" si="11"/>
        <v>0</v>
      </c>
      <c r="AB22" s="30">
        <f t="shared" si="12"/>
        <v>0</v>
      </c>
      <c r="AC22" s="30">
        <f t="shared" si="12"/>
        <v>0</v>
      </c>
      <c r="AD22" s="30">
        <f t="shared" si="13"/>
        <v>0</v>
      </c>
      <c r="AE22" s="29"/>
      <c r="AF22" s="29"/>
      <c r="AG22" s="29"/>
      <c r="AH22" s="29"/>
      <c r="AI22" s="29"/>
    </row>
    <row r="23" spans="1:35" x14ac:dyDescent="0.15">
      <c r="A23" s="51"/>
      <c r="B23" s="50"/>
      <c r="C23" s="49"/>
      <c r="D23" s="48"/>
      <c r="E23" s="47"/>
      <c r="F23" s="43"/>
      <c r="G23" s="42"/>
      <c r="H23" s="42"/>
      <c r="I23" s="42"/>
      <c r="J23" s="46"/>
      <c r="K23" s="45"/>
      <c r="L23" s="47"/>
      <c r="M23" s="47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30">
        <f t="shared" si="10"/>
        <v>0</v>
      </c>
      <c r="AA23" s="30">
        <f t="shared" si="11"/>
        <v>0</v>
      </c>
      <c r="AB23" s="30">
        <f t="shared" si="12"/>
        <v>0</v>
      </c>
      <c r="AC23" s="30">
        <f t="shared" si="12"/>
        <v>0</v>
      </c>
      <c r="AD23" s="30">
        <f t="shared" si="13"/>
        <v>0</v>
      </c>
      <c r="AE23" s="29"/>
      <c r="AF23" s="29"/>
      <c r="AG23" s="29"/>
      <c r="AH23" s="29"/>
      <c r="AI23" s="29"/>
    </row>
    <row r="24" spans="1:35" x14ac:dyDescent="0.15">
      <c r="A24" s="51"/>
      <c r="B24" s="50"/>
      <c r="C24" s="49"/>
      <c r="D24" s="48"/>
      <c r="E24" s="47"/>
      <c r="F24" s="43"/>
      <c r="G24" s="42"/>
      <c r="H24" s="42"/>
      <c r="I24" s="42"/>
      <c r="J24" s="46"/>
      <c r="K24" s="45"/>
      <c r="L24" s="47"/>
      <c r="M24" s="47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30">
        <f t="shared" si="10"/>
        <v>0</v>
      </c>
      <c r="AA24" s="30">
        <f t="shared" si="11"/>
        <v>0</v>
      </c>
      <c r="AB24" s="30">
        <f t="shared" si="12"/>
        <v>0</v>
      </c>
      <c r="AC24" s="30">
        <f t="shared" si="12"/>
        <v>0</v>
      </c>
      <c r="AD24" s="30">
        <f t="shared" si="13"/>
        <v>0</v>
      </c>
      <c r="AE24" s="29"/>
      <c r="AF24" s="29"/>
      <c r="AG24" s="29"/>
      <c r="AH24" s="29"/>
      <c r="AI24" s="29"/>
    </row>
    <row r="25" spans="1:35" x14ac:dyDescent="0.15">
      <c r="A25" s="51"/>
      <c r="B25" s="50"/>
      <c r="C25" s="49"/>
      <c r="D25" s="48"/>
      <c r="E25" s="47"/>
      <c r="F25" s="43"/>
      <c r="G25" s="42"/>
      <c r="H25" s="42"/>
      <c r="I25" s="42"/>
      <c r="J25" s="46"/>
      <c r="K25" s="45"/>
      <c r="L25" s="47"/>
      <c r="M25" s="47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30">
        <f t="shared" si="10"/>
        <v>0</v>
      </c>
      <c r="AA25" s="30">
        <f t="shared" si="11"/>
        <v>0</v>
      </c>
      <c r="AB25" s="30">
        <f t="shared" si="12"/>
        <v>0</v>
      </c>
      <c r="AC25" s="30">
        <f t="shared" si="12"/>
        <v>0</v>
      </c>
      <c r="AD25" s="30">
        <f t="shared" si="13"/>
        <v>0</v>
      </c>
      <c r="AE25" s="29"/>
      <c r="AF25" s="29"/>
      <c r="AG25" s="29"/>
      <c r="AH25" s="29"/>
      <c r="AI25" s="29"/>
    </row>
    <row r="26" spans="1:35" x14ac:dyDescent="0.15">
      <c r="A26" s="51"/>
      <c r="B26" s="50"/>
      <c r="C26" s="49"/>
      <c r="D26" s="48"/>
      <c r="E26" s="47"/>
      <c r="F26" s="43"/>
      <c r="G26" s="42"/>
      <c r="H26" s="42"/>
      <c r="I26" s="42"/>
      <c r="J26" s="46"/>
      <c r="K26" s="45"/>
      <c r="L26" s="47"/>
      <c r="M26" s="47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30">
        <f t="shared" si="10"/>
        <v>0</v>
      </c>
      <c r="AA26" s="30">
        <f t="shared" si="11"/>
        <v>0</v>
      </c>
      <c r="AB26" s="30">
        <f t="shared" si="12"/>
        <v>0</v>
      </c>
      <c r="AC26" s="30">
        <f t="shared" si="12"/>
        <v>0</v>
      </c>
      <c r="AD26" s="30">
        <f t="shared" si="13"/>
        <v>0</v>
      </c>
      <c r="AE26" s="29"/>
      <c r="AF26" s="29"/>
      <c r="AG26" s="29"/>
      <c r="AH26" s="29"/>
      <c r="AI26" s="29"/>
    </row>
    <row r="27" spans="1:35" x14ac:dyDescent="0.15">
      <c r="A27" s="51"/>
      <c r="B27" s="50"/>
      <c r="C27" s="49"/>
      <c r="D27" s="48"/>
      <c r="E27" s="47"/>
      <c r="F27" s="43"/>
      <c r="G27" s="42"/>
      <c r="H27" s="42"/>
      <c r="I27" s="42"/>
      <c r="J27" s="46"/>
      <c r="K27" s="45"/>
      <c r="L27" s="47"/>
      <c r="M27" s="47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30">
        <f t="shared" si="10"/>
        <v>0</v>
      </c>
      <c r="AA27" s="30">
        <f t="shared" si="11"/>
        <v>0</v>
      </c>
      <c r="AB27" s="30">
        <f t="shared" si="12"/>
        <v>0</v>
      </c>
      <c r="AC27" s="30">
        <f t="shared" si="12"/>
        <v>0</v>
      </c>
      <c r="AD27" s="30">
        <f t="shared" si="13"/>
        <v>0</v>
      </c>
      <c r="AE27" s="29"/>
      <c r="AF27" s="29"/>
      <c r="AG27" s="29"/>
      <c r="AH27" s="29"/>
      <c r="AI27" s="29"/>
    </row>
    <row r="28" spans="1:35" x14ac:dyDescent="0.15">
      <c r="A28" s="51"/>
      <c r="B28" s="50"/>
      <c r="C28" s="49"/>
      <c r="D28" s="48"/>
      <c r="E28" s="47"/>
      <c r="F28" s="43"/>
      <c r="G28" s="42"/>
      <c r="H28" s="42"/>
      <c r="I28" s="42"/>
      <c r="J28" s="46"/>
      <c r="K28" s="45"/>
      <c r="L28" s="47"/>
      <c r="M28" s="47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30">
        <f t="shared" si="10"/>
        <v>0</v>
      </c>
      <c r="AA28" s="30">
        <f t="shared" si="11"/>
        <v>0</v>
      </c>
      <c r="AB28" s="30">
        <f t="shared" si="12"/>
        <v>0</v>
      </c>
      <c r="AC28" s="30">
        <f t="shared" si="12"/>
        <v>0</v>
      </c>
      <c r="AD28" s="30">
        <f t="shared" si="13"/>
        <v>0</v>
      </c>
      <c r="AE28" s="29"/>
      <c r="AF28" s="29"/>
      <c r="AG28" s="29"/>
      <c r="AH28" s="29"/>
      <c r="AI28" s="29"/>
    </row>
    <row r="29" spans="1:35" x14ac:dyDescent="0.15">
      <c r="A29" s="51"/>
      <c r="B29" s="50"/>
      <c r="C29" s="49"/>
      <c r="D29" s="48"/>
      <c r="E29" s="47"/>
      <c r="F29" s="43"/>
      <c r="G29" s="42"/>
      <c r="H29" s="42"/>
      <c r="I29" s="42"/>
      <c r="J29" s="46"/>
      <c r="K29" s="45"/>
      <c r="L29" s="47"/>
      <c r="M29" s="47"/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30">
        <f t="shared" si="10"/>
        <v>0</v>
      </c>
      <c r="AA29" s="30">
        <f t="shared" si="11"/>
        <v>0</v>
      </c>
      <c r="AB29" s="30">
        <f t="shared" si="12"/>
        <v>0</v>
      </c>
      <c r="AC29" s="30">
        <f t="shared" si="12"/>
        <v>0</v>
      </c>
      <c r="AD29" s="30">
        <f t="shared" si="13"/>
        <v>0</v>
      </c>
      <c r="AE29" s="29"/>
      <c r="AF29" s="29"/>
      <c r="AG29" s="29"/>
      <c r="AH29" s="29"/>
      <c r="AI29" s="29"/>
    </row>
    <row r="30" spans="1:35" x14ac:dyDescent="0.15">
      <c r="A30" s="51"/>
      <c r="B30" s="50"/>
      <c r="C30" s="49"/>
      <c r="D30" s="48"/>
      <c r="E30" s="47"/>
      <c r="F30" s="43"/>
      <c r="G30" s="42"/>
      <c r="H30" s="42"/>
      <c r="I30" s="42"/>
      <c r="J30" s="46"/>
      <c r="K30" s="45"/>
      <c r="L30" s="47"/>
      <c r="M30" s="47"/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30">
        <f t="shared" si="10"/>
        <v>0</v>
      </c>
      <c r="AA30" s="30">
        <f t="shared" si="11"/>
        <v>0</v>
      </c>
      <c r="AB30" s="30">
        <f t="shared" si="12"/>
        <v>0</v>
      </c>
      <c r="AC30" s="30">
        <f t="shared" si="12"/>
        <v>0</v>
      </c>
      <c r="AD30" s="30">
        <f t="shared" si="13"/>
        <v>0</v>
      </c>
      <c r="AE30" s="29"/>
      <c r="AF30" s="29"/>
      <c r="AG30" s="29"/>
      <c r="AH30" s="29"/>
      <c r="AI30" s="29"/>
    </row>
    <row r="31" spans="1:35" x14ac:dyDescent="0.15">
      <c r="A31" s="51"/>
      <c r="B31" s="50"/>
      <c r="C31" s="49"/>
      <c r="D31" s="48"/>
      <c r="E31" s="47"/>
      <c r="F31" s="43"/>
      <c r="G31" s="42"/>
      <c r="H31" s="42"/>
      <c r="I31" s="42"/>
      <c r="J31" s="46"/>
      <c r="K31" s="45"/>
      <c r="L31" s="47"/>
      <c r="M31" s="47"/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30">
        <f t="shared" si="10"/>
        <v>0</v>
      </c>
      <c r="AA31" s="30">
        <f t="shared" si="11"/>
        <v>0</v>
      </c>
      <c r="AB31" s="30">
        <f t="shared" si="12"/>
        <v>0</v>
      </c>
      <c r="AC31" s="30">
        <f t="shared" si="12"/>
        <v>0</v>
      </c>
      <c r="AD31" s="30">
        <f t="shared" si="13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/>
      <c r="C32" s="49"/>
      <c r="D32" s="48"/>
      <c r="E32" s="47"/>
      <c r="F32" s="43"/>
      <c r="G32" s="42"/>
      <c r="H32" s="42"/>
      <c r="I32" s="42"/>
      <c r="J32" s="46"/>
      <c r="K32" s="45"/>
      <c r="L32" s="47"/>
      <c r="M32" s="47"/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30">
        <f t="shared" si="10"/>
        <v>0</v>
      </c>
      <c r="AA32" s="30">
        <f t="shared" si="11"/>
        <v>0</v>
      </c>
      <c r="AB32" s="30">
        <f t="shared" si="12"/>
        <v>0</v>
      </c>
      <c r="AC32" s="30">
        <f t="shared" si="12"/>
        <v>0</v>
      </c>
      <c r="AD32" s="30">
        <f t="shared" si="13"/>
        <v>0</v>
      </c>
      <c r="AE32" s="29"/>
      <c r="AF32" s="29"/>
      <c r="AG32" s="29"/>
      <c r="AH32" s="29"/>
      <c r="AI32" s="29"/>
    </row>
    <row r="33" spans="1:35" x14ac:dyDescent="0.15">
      <c r="A33" s="51"/>
      <c r="B33" s="50"/>
      <c r="C33" s="49"/>
      <c r="D33" s="48"/>
      <c r="E33" s="47"/>
      <c r="F33" s="43"/>
      <c r="G33" s="42"/>
      <c r="H33" s="42"/>
      <c r="I33" s="42"/>
      <c r="J33" s="46"/>
      <c r="K33" s="45"/>
      <c r="L33" s="47"/>
      <c r="M33" s="47"/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30">
        <f t="shared" si="10"/>
        <v>0</v>
      </c>
      <c r="AA33" s="30">
        <f t="shared" si="11"/>
        <v>0</v>
      </c>
      <c r="AB33" s="30">
        <f t="shared" si="12"/>
        <v>0</v>
      </c>
      <c r="AC33" s="30">
        <f t="shared" si="12"/>
        <v>0</v>
      </c>
      <c r="AD33" s="30">
        <f t="shared" si="13"/>
        <v>0</v>
      </c>
      <c r="AE33" s="29"/>
      <c r="AF33" s="29"/>
      <c r="AG33" s="29"/>
      <c r="AH33" s="29"/>
      <c r="AI33" s="29"/>
    </row>
    <row r="34" spans="1:35" x14ac:dyDescent="0.15">
      <c r="A34" s="51"/>
      <c r="B34" s="50"/>
      <c r="C34" s="49"/>
      <c r="D34" s="48"/>
      <c r="E34" s="47"/>
      <c r="F34" s="43"/>
      <c r="G34" s="42"/>
      <c r="H34" s="42"/>
      <c r="I34" s="42"/>
      <c r="J34" s="46"/>
      <c r="K34" s="45"/>
      <c r="L34" s="47"/>
      <c r="M34" s="47"/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30">
        <f t="shared" si="10"/>
        <v>0</v>
      </c>
      <c r="AA34" s="30">
        <f t="shared" si="11"/>
        <v>0</v>
      </c>
      <c r="AB34" s="30">
        <f t="shared" si="12"/>
        <v>0</v>
      </c>
      <c r="AC34" s="30">
        <f t="shared" si="12"/>
        <v>0</v>
      </c>
      <c r="AD34" s="30">
        <f t="shared" si="13"/>
        <v>0</v>
      </c>
      <c r="AE34" s="29"/>
      <c r="AF34" s="29"/>
      <c r="AG34" s="29"/>
      <c r="AH34" s="29"/>
      <c r="AI34" s="29"/>
    </row>
    <row r="35" spans="1:35" x14ac:dyDescent="0.15">
      <c r="A35" s="51"/>
      <c r="B35" s="50"/>
      <c r="C35" s="49"/>
      <c r="D35" s="48"/>
      <c r="E35" s="47"/>
      <c r="F35" s="43"/>
      <c r="G35" s="42"/>
      <c r="H35" s="42"/>
      <c r="I35" s="42"/>
      <c r="J35" s="46"/>
      <c r="K35" s="45"/>
      <c r="L35" s="47"/>
      <c r="M35" s="47"/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30">
        <f t="shared" si="10"/>
        <v>0</v>
      </c>
      <c r="AA35" s="30">
        <f t="shared" si="11"/>
        <v>0</v>
      </c>
      <c r="AB35" s="30">
        <f t="shared" si="12"/>
        <v>0</v>
      </c>
      <c r="AC35" s="30">
        <f t="shared" si="12"/>
        <v>0</v>
      </c>
      <c r="AD35" s="30">
        <f t="shared" si="13"/>
        <v>0</v>
      </c>
      <c r="AE35" s="29"/>
      <c r="AF35" s="29"/>
      <c r="AG35" s="29"/>
      <c r="AH35" s="29"/>
      <c r="AI35" s="29"/>
    </row>
    <row r="36" spans="1:35" x14ac:dyDescent="0.15">
      <c r="A36" s="51"/>
      <c r="B36" s="50"/>
      <c r="C36" s="49"/>
      <c r="D36" s="48"/>
      <c r="E36" s="47"/>
      <c r="F36" s="43"/>
      <c r="G36" s="42"/>
      <c r="H36" s="42"/>
      <c r="I36" s="42"/>
      <c r="J36" s="46"/>
      <c r="K36" s="45"/>
      <c r="L36" s="47"/>
      <c r="M36" s="47"/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30">
        <f t="shared" si="10"/>
        <v>0</v>
      </c>
      <c r="AA36" s="30">
        <f t="shared" si="11"/>
        <v>0</v>
      </c>
      <c r="AB36" s="30">
        <f t="shared" si="12"/>
        <v>0</v>
      </c>
      <c r="AC36" s="30">
        <f t="shared" si="12"/>
        <v>0</v>
      </c>
      <c r="AD36" s="30">
        <f t="shared" si="13"/>
        <v>0</v>
      </c>
      <c r="AE36" s="29"/>
      <c r="AF36" s="29"/>
      <c r="AG36" s="29"/>
      <c r="AH36" s="29"/>
      <c r="AI36" s="29"/>
    </row>
    <row r="37" spans="1:35" x14ac:dyDescent="0.15">
      <c r="A37" s="51"/>
      <c r="B37" s="50"/>
      <c r="C37" s="49"/>
      <c r="D37" s="48"/>
      <c r="E37" s="47"/>
      <c r="F37" s="43"/>
      <c r="G37" s="42"/>
      <c r="H37" s="42"/>
      <c r="I37" s="42"/>
      <c r="J37" s="46"/>
      <c r="K37" s="45"/>
      <c r="L37" s="47"/>
      <c r="M37" s="47"/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30">
        <f t="shared" si="10"/>
        <v>0</v>
      </c>
      <c r="AA37" s="30">
        <f t="shared" si="11"/>
        <v>0</v>
      </c>
      <c r="AB37" s="30">
        <f t="shared" si="12"/>
        <v>0</v>
      </c>
      <c r="AC37" s="30">
        <f t="shared" si="12"/>
        <v>0</v>
      </c>
      <c r="AD37" s="30">
        <f t="shared" si="13"/>
        <v>0</v>
      </c>
      <c r="AE37" s="29"/>
      <c r="AF37" s="29"/>
      <c r="AG37" s="29"/>
      <c r="AH37" s="29"/>
      <c r="AI37" s="29"/>
    </row>
    <row r="38" spans="1:35" x14ac:dyDescent="0.15">
      <c r="A38" s="51"/>
      <c r="B38" s="50"/>
      <c r="C38" s="49"/>
      <c r="D38" s="48"/>
      <c r="E38" s="47"/>
      <c r="F38" s="43"/>
      <c r="G38" s="42"/>
      <c r="H38" s="42"/>
      <c r="I38" s="42"/>
      <c r="J38" s="46"/>
      <c r="K38" s="45"/>
      <c r="L38" s="47"/>
      <c r="M38" s="47"/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30">
        <f t="shared" si="10"/>
        <v>0</v>
      </c>
      <c r="AA38" s="30">
        <f t="shared" si="11"/>
        <v>0</v>
      </c>
      <c r="AB38" s="30">
        <f t="shared" si="12"/>
        <v>0</v>
      </c>
      <c r="AC38" s="30">
        <f t="shared" si="12"/>
        <v>0</v>
      </c>
      <c r="AD38" s="30">
        <f t="shared" si="13"/>
        <v>0</v>
      </c>
      <c r="AE38" s="29"/>
      <c r="AF38" s="29"/>
      <c r="AG38" s="29"/>
      <c r="AH38" s="29"/>
      <c r="AI38" s="29"/>
    </row>
    <row r="39" spans="1:35" x14ac:dyDescent="0.15">
      <c r="A39" s="51"/>
      <c r="B39" s="50"/>
      <c r="C39" s="49"/>
      <c r="D39" s="48"/>
      <c r="E39" s="47"/>
      <c r="F39" s="43"/>
      <c r="G39" s="42"/>
      <c r="H39" s="42"/>
      <c r="I39" s="42"/>
      <c r="J39" s="46"/>
      <c r="K39" s="45"/>
      <c r="L39" s="47"/>
      <c r="M39" s="47"/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30">
        <f t="shared" si="10"/>
        <v>0</v>
      </c>
      <c r="AA39" s="30">
        <f t="shared" si="11"/>
        <v>0</v>
      </c>
      <c r="AB39" s="30">
        <f t="shared" si="12"/>
        <v>0</v>
      </c>
      <c r="AC39" s="30">
        <f t="shared" si="12"/>
        <v>0</v>
      </c>
      <c r="AD39" s="30">
        <f t="shared" si="13"/>
        <v>0</v>
      </c>
      <c r="AE39" s="29"/>
      <c r="AF39" s="29"/>
      <c r="AG39" s="29"/>
      <c r="AH39" s="29"/>
      <c r="AI39" s="29"/>
    </row>
    <row r="40" spans="1:35" ht="14.25" thickBot="1" x14ac:dyDescent="0.2">
      <c r="A40" s="41"/>
      <c r="B40" s="40"/>
      <c r="C40" s="39"/>
      <c r="D40" s="38"/>
      <c r="E40" s="37"/>
      <c r="F40" s="33"/>
      <c r="G40" s="32"/>
      <c r="H40" s="32"/>
      <c r="I40" s="32"/>
      <c r="J40" s="36"/>
      <c r="K40" s="35"/>
      <c r="L40" s="37"/>
      <c r="M40" s="37"/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30">
        <f t="shared" si="10"/>
        <v>0</v>
      </c>
      <c r="AA40" s="30">
        <f t="shared" si="11"/>
        <v>0</v>
      </c>
      <c r="AB40" s="30">
        <f t="shared" si="12"/>
        <v>0</v>
      </c>
      <c r="AC40" s="30">
        <f t="shared" si="12"/>
        <v>0</v>
      </c>
      <c r="AD40" s="30">
        <f t="shared" si="13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4">SUM(E5:E40)</f>
        <v>12600000</v>
      </c>
      <c r="F41" s="24">
        <f t="shared" si="14"/>
        <v>0</v>
      </c>
      <c r="G41" s="23">
        <f t="shared" si="14"/>
        <v>0</v>
      </c>
      <c r="H41" s="23">
        <f t="shared" si="14"/>
        <v>0</v>
      </c>
      <c r="I41" s="23">
        <f t="shared" ref="I41" si="15">SUM(I5:I40)</f>
        <v>0</v>
      </c>
      <c r="J41" s="22">
        <f t="shared" si="14"/>
        <v>0</v>
      </c>
      <c r="K41" s="15">
        <f t="shared" si="14"/>
        <v>0</v>
      </c>
      <c r="L41" s="20">
        <f t="shared" si="14"/>
        <v>12600000</v>
      </c>
      <c r="M41" s="20">
        <f t="shared" si="14"/>
        <v>0</v>
      </c>
      <c r="N41" s="17">
        <f t="shared" si="14"/>
        <v>0</v>
      </c>
      <c r="O41" s="16">
        <f t="shared" si="14"/>
        <v>0</v>
      </c>
      <c r="P41" s="16">
        <f t="shared" si="14"/>
        <v>0</v>
      </c>
      <c r="Q41" s="16">
        <f t="shared" ref="Q41" si="16">SUM(Q5:Q40)</f>
        <v>0</v>
      </c>
      <c r="R41" s="19">
        <f t="shared" si="14"/>
        <v>0</v>
      </c>
      <c r="S41" s="15">
        <f t="shared" si="14"/>
        <v>0</v>
      </c>
      <c r="T41" s="18">
        <f t="shared" si="14"/>
        <v>12600000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7">+E41</f>
        <v>12600000</v>
      </c>
      <c r="F42" s="10">
        <f t="shared" si="17"/>
        <v>0</v>
      </c>
      <c r="G42" s="9">
        <f t="shared" si="17"/>
        <v>0</v>
      </c>
      <c r="H42" s="9">
        <f t="shared" si="17"/>
        <v>0</v>
      </c>
      <c r="I42" s="9">
        <f t="shared" si="17"/>
        <v>0</v>
      </c>
      <c r="J42" s="8">
        <f t="shared" si="17"/>
        <v>0</v>
      </c>
      <c r="K42" s="4">
        <f>SUM(F42:J42)</f>
        <v>0</v>
      </c>
      <c r="L42" s="5">
        <f>+L41</f>
        <v>12600000</v>
      </c>
      <c r="M42" s="5">
        <f>+M41</f>
        <v>0</v>
      </c>
      <c r="N42" s="121">
        <f>+'4条支出'!N15</f>
        <v>0</v>
      </c>
      <c r="O42" s="122">
        <f>+'4条支出'!O15</f>
        <v>0</v>
      </c>
      <c r="P42" s="122">
        <f>+'4条支出'!P15</f>
        <v>0</v>
      </c>
      <c r="Q42" s="122">
        <f>+'4条支出'!Q15</f>
        <v>0</v>
      </c>
      <c r="R42" s="123">
        <f>+'4条支出'!R15</f>
        <v>0</v>
      </c>
      <c r="S42" s="124">
        <f>+'4条支出'!S15</f>
        <v>0</v>
      </c>
      <c r="T42" s="125">
        <f>+'4条支出'!T15</f>
        <v>12600000</v>
      </c>
    </row>
    <row r="43" spans="1:35" x14ac:dyDescent="0.15">
      <c r="E43" s="3">
        <f t="shared" ref="E43:T43" si="18">+E42-E41</f>
        <v>0</v>
      </c>
      <c r="F43" s="3">
        <f t="shared" si="18"/>
        <v>0</v>
      </c>
      <c r="G43" s="3">
        <f t="shared" si="18"/>
        <v>0</v>
      </c>
      <c r="H43" s="3">
        <f t="shared" si="18"/>
        <v>0</v>
      </c>
      <c r="I43" s="3">
        <f t="shared" ref="I43" si="19">+I42-I41</f>
        <v>0</v>
      </c>
      <c r="J43" s="3">
        <f t="shared" si="18"/>
        <v>0</v>
      </c>
      <c r="K43" s="3">
        <f t="shared" si="18"/>
        <v>0</v>
      </c>
      <c r="L43" s="3">
        <f t="shared" si="18"/>
        <v>0</v>
      </c>
      <c r="M43" s="3">
        <f t="shared" si="18"/>
        <v>0</v>
      </c>
      <c r="N43" s="3">
        <f t="shared" si="18"/>
        <v>0</v>
      </c>
      <c r="O43" s="3">
        <f t="shared" si="18"/>
        <v>0</v>
      </c>
      <c r="P43" s="3">
        <f t="shared" si="18"/>
        <v>0</v>
      </c>
      <c r="Q43" s="3">
        <f t="shared" ref="Q43" si="20">+Q42-Q41</f>
        <v>0</v>
      </c>
      <c r="R43" s="3">
        <f t="shared" si="18"/>
        <v>0</v>
      </c>
      <c r="S43" s="3">
        <f t="shared" si="18"/>
        <v>0</v>
      </c>
      <c r="T43" s="3">
        <f t="shared" si="18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62" priority="4">
      <formula>ABS(Z5)=1</formula>
    </cfRule>
  </conditionalFormatting>
  <conditionalFormatting sqref="AD5:AD40">
    <cfRule type="expression" dxfId="61" priority="3">
      <formula>ABS(AD5)=1</formula>
    </cfRule>
  </conditionalFormatting>
  <conditionalFormatting sqref="Z6:AC40">
    <cfRule type="expression" dxfId="60" priority="6">
      <formula>ABS(Z6)=1</formula>
    </cfRule>
  </conditionalFormatting>
  <conditionalFormatting sqref="AE6:AE14 AE16:AE40">
    <cfRule type="notContainsBlanks" dxfId="59" priority="9" stopIfTrue="1">
      <formula>LEN(TRIM(AE6))&gt;0</formula>
    </cfRule>
  </conditionalFormatting>
  <conditionalFormatting sqref="AE6:AI40">
    <cfRule type="notContainsBlanks" dxfId="58" priority="8" stopIfTrue="1">
      <formula>LEN(TRIM(AE6))&gt;0</formula>
    </cfRule>
  </conditionalFormatting>
  <conditionalFormatting sqref="AE5:AI5">
    <cfRule type="notContainsBlanks" dxfId="57" priority="7" stopIfTrue="1">
      <formula>LEN(TRIM(AE5))&gt;0</formula>
    </cfRule>
  </conditionalFormatting>
  <conditionalFormatting sqref="AA6:AC40">
    <cfRule type="expression" dxfId="56" priority="5">
      <formula>ABS(AA6)=1</formula>
    </cfRule>
  </conditionalFormatting>
  <conditionalFormatting sqref="E43:H43 J43:T43">
    <cfRule type="cellIs" dxfId="55" priority="2" operator="notEqual">
      <formula>0</formula>
    </cfRule>
  </conditionalFormatting>
  <conditionalFormatting sqref="I43">
    <cfRule type="cellIs" dxfId="54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7"/>
  <sheetViews>
    <sheetView zoomScale="80" zoomScaleNormal="80" zoomScaleSheetLayoutView="40" workbookViewId="0">
      <pane xSplit="5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4" width="5.375" style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336</v>
      </c>
      <c r="V2" s="67"/>
      <c r="W2" s="67"/>
      <c r="X2" s="67"/>
      <c r="Y2" s="67"/>
      <c r="Z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126">
        <v>3</v>
      </c>
      <c r="V4" s="126">
        <v>5</v>
      </c>
      <c r="W4" s="126">
        <v>8</v>
      </c>
      <c r="X4" s="132">
        <v>8</v>
      </c>
      <c r="Y4" s="126">
        <v>10</v>
      </c>
      <c r="Z4" s="126">
        <v>3</v>
      </c>
      <c r="AA4" s="126">
        <v>5</v>
      </c>
      <c r="AB4" s="126">
        <v>8</v>
      </c>
      <c r="AC4" s="132">
        <v>8</v>
      </c>
      <c r="AD4" s="126">
        <v>10</v>
      </c>
      <c r="AE4" s="126">
        <v>3</v>
      </c>
      <c r="AF4" s="126">
        <v>5</v>
      </c>
      <c r="AG4" s="126">
        <v>8</v>
      </c>
      <c r="AH4" s="132">
        <v>8</v>
      </c>
      <c r="AI4" s="126">
        <v>10</v>
      </c>
    </row>
    <row r="5" spans="1:35" x14ac:dyDescent="0.15">
      <c r="A5" s="66">
        <v>2</v>
      </c>
      <c r="B5" s="65" t="s">
        <v>335</v>
      </c>
      <c r="C5" s="64"/>
      <c r="D5" s="63" t="s">
        <v>101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ref="K5:K40" si="0"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0</v>
      </c>
      <c r="N5" s="61">
        <f t="shared" ref="N5:N40" si="1">+ROUND(F5*F$4/(100+F$4),0)+AE5</f>
        <v>0</v>
      </c>
      <c r="O5" s="60">
        <f t="shared" ref="O5:O40" si="2">+ROUND(G5*G$4/(100+G$4),0)+AF5</f>
        <v>0</v>
      </c>
      <c r="P5" s="60">
        <f t="shared" ref="P5:Q40" si="3">+ROUND(H5*H$4/(100+H$4),0)+AG5</f>
        <v>0</v>
      </c>
      <c r="Q5" s="60">
        <f t="shared" si="3"/>
        <v>0</v>
      </c>
      <c r="R5" s="59">
        <f t="shared" ref="R5:R40" si="4">+ROUND(J5*J$4/(100+J$4),0)+AI5</f>
        <v>0</v>
      </c>
      <c r="S5" s="58">
        <f t="shared" ref="S5:S40" si="5">SUM(N5:R5)</f>
        <v>0</v>
      </c>
      <c r="T5" s="85">
        <f t="shared" ref="T5:T40" si="6">+E5-S5</f>
        <v>0</v>
      </c>
      <c r="U5" s="31">
        <f t="shared" ref="U5:U40" si="7">N5-F5*F$4/(100+F$4)</f>
        <v>0</v>
      </c>
      <c r="V5" s="31">
        <f t="shared" ref="V5:V40" si="8">O5-G5*G$4/(100+G$4)</f>
        <v>0</v>
      </c>
      <c r="W5" s="31">
        <f t="shared" ref="W5:X40" si="9">P5-H5*H$4/(100+H$4)</f>
        <v>0</v>
      </c>
      <c r="X5" s="31">
        <f t="shared" si="9"/>
        <v>0</v>
      </c>
      <c r="Y5" s="31">
        <f t="shared" ref="Y5:Y40" si="10">R5-J5*J$4/(100+J$4)</f>
        <v>0</v>
      </c>
      <c r="Z5" s="30">
        <f t="shared" ref="Z5:Z40" si="11">+IF(N$43=0,0,IF(N$43&lt;0,-RANK(U5,U$5:U$40,0),RANK(U5,U$5:U$40,1)))</f>
        <v>0</v>
      </c>
      <c r="AA5" s="30">
        <f t="shared" ref="AA5:AA40" si="12">+IF(O$43=0,0,IF(O$43&lt;0,-RANK(V5,V$5:V$40,0),RANK(V5,V$5:V$40,1)))</f>
        <v>0</v>
      </c>
      <c r="AB5" s="30">
        <f t="shared" ref="AB5:AC40" si="13">+IF(P$43=0,0,IF(P$43&lt;0,-RANK(W5,W$5:W$40,0),RANK(W5,W$5:W$40,1)))</f>
        <v>0</v>
      </c>
      <c r="AC5" s="30">
        <f t="shared" si="13"/>
        <v>0</v>
      </c>
      <c r="AD5" s="30">
        <f t="shared" ref="AD5:AD40" si="14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2</v>
      </c>
      <c r="B6" s="50" t="s">
        <v>334</v>
      </c>
      <c r="C6" s="49"/>
      <c r="D6" s="48" t="s">
        <v>99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3280800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 t="shared" si="0"/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3280800</v>
      </c>
      <c r="N6" s="43">
        <f t="shared" si="1"/>
        <v>0</v>
      </c>
      <c r="O6" s="42">
        <f t="shared" si="2"/>
        <v>0</v>
      </c>
      <c r="P6" s="42">
        <f t="shared" si="3"/>
        <v>0</v>
      </c>
      <c r="Q6" s="42">
        <f t="shared" si="3"/>
        <v>0</v>
      </c>
      <c r="R6" s="46">
        <f t="shared" si="4"/>
        <v>0</v>
      </c>
      <c r="S6" s="45">
        <f t="shared" si="5"/>
        <v>0</v>
      </c>
      <c r="T6" s="44">
        <f t="shared" si="6"/>
        <v>3280800</v>
      </c>
      <c r="U6" s="31">
        <f t="shared" si="7"/>
        <v>0</v>
      </c>
      <c r="V6" s="31">
        <f t="shared" si="8"/>
        <v>0</v>
      </c>
      <c r="W6" s="31">
        <f t="shared" si="9"/>
        <v>0</v>
      </c>
      <c r="X6" s="31">
        <f t="shared" si="9"/>
        <v>0</v>
      </c>
      <c r="Y6" s="31">
        <f t="shared" si="10"/>
        <v>0</v>
      </c>
      <c r="Z6" s="30">
        <f t="shared" si="11"/>
        <v>0</v>
      </c>
      <c r="AA6" s="30">
        <f t="shared" si="12"/>
        <v>0</v>
      </c>
      <c r="AB6" s="30">
        <f t="shared" si="13"/>
        <v>0</v>
      </c>
      <c r="AC6" s="30">
        <f t="shared" si="13"/>
        <v>0</v>
      </c>
      <c r="AD6" s="30">
        <f t="shared" si="14"/>
        <v>0</v>
      </c>
      <c r="AE6" s="29"/>
      <c r="AF6" s="29"/>
      <c r="AG6" s="29"/>
      <c r="AH6" s="29"/>
      <c r="AI6" s="29"/>
    </row>
    <row r="7" spans="1:35" x14ac:dyDescent="0.15">
      <c r="A7" s="51">
        <v>2</v>
      </c>
      <c r="B7" s="50" t="s">
        <v>333</v>
      </c>
      <c r="C7" s="49"/>
      <c r="D7" s="48" t="s">
        <v>97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3103509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0</v>
      </c>
      <c r="K7" s="45">
        <f t="shared" si="0"/>
        <v>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3103509</v>
      </c>
      <c r="N7" s="43">
        <f t="shared" si="1"/>
        <v>0</v>
      </c>
      <c r="O7" s="42">
        <f t="shared" si="2"/>
        <v>0</v>
      </c>
      <c r="P7" s="42">
        <f t="shared" si="3"/>
        <v>0</v>
      </c>
      <c r="Q7" s="42">
        <f t="shared" si="3"/>
        <v>0</v>
      </c>
      <c r="R7" s="46">
        <f t="shared" si="4"/>
        <v>0</v>
      </c>
      <c r="S7" s="45">
        <f t="shared" si="5"/>
        <v>0</v>
      </c>
      <c r="T7" s="44">
        <f t="shared" si="6"/>
        <v>3103509</v>
      </c>
      <c r="U7" s="31">
        <f t="shared" si="7"/>
        <v>0</v>
      </c>
      <c r="V7" s="31">
        <f t="shared" si="8"/>
        <v>0</v>
      </c>
      <c r="W7" s="31">
        <f t="shared" si="9"/>
        <v>0</v>
      </c>
      <c r="X7" s="31">
        <f t="shared" si="9"/>
        <v>0</v>
      </c>
      <c r="Y7" s="31">
        <f t="shared" si="10"/>
        <v>0</v>
      </c>
      <c r="Z7" s="30">
        <f t="shared" si="11"/>
        <v>0</v>
      </c>
      <c r="AA7" s="30">
        <f t="shared" si="12"/>
        <v>0</v>
      </c>
      <c r="AB7" s="30">
        <f t="shared" si="13"/>
        <v>0</v>
      </c>
      <c r="AC7" s="30">
        <f t="shared" si="13"/>
        <v>0</v>
      </c>
      <c r="AD7" s="30">
        <f t="shared" si="14"/>
        <v>0</v>
      </c>
      <c r="AE7" s="29"/>
      <c r="AF7" s="29"/>
      <c r="AG7" s="29"/>
      <c r="AH7" s="29"/>
      <c r="AI7" s="29"/>
    </row>
    <row r="8" spans="1:35" x14ac:dyDescent="0.15">
      <c r="A8" s="51">
        <v>2</v>
      </c>
      <c r="B8" s="50" t="s">
        <v>332</v>
      </c>
      <c r="C8" s="49"/>
      <c r="D8" s="48" t="s">
        <v>95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1162587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 t="shared" si="0"/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1157667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4920</v>
      </c>
      <c r="N8" s="43">
        <f t="shared" si="1"/>
        <v>0</v>
      </c>
      <c r="O8" s="42">
        <f t="shared" si="2"/>
        <v>0</v>
      </c>
      <c r="P8" s="42">
        <f t="shared" si="3"/>
        <v>0</v>
      </c>
      <c r="Q8" s="42">
        <f t="shared" si="3"/>
        <v>0</v>
      </c>
      <c r="R8" s="46">
        <f t="shared" si="4"/>
        <v>0</v>
      </c>
      <c r="S8" s="45">
        <f t="shared" si="5"/>
        <v>0</v>
      </c>
      <c r="T8" s="44">
        <f t="shared" si="6"/>
        <v>1162587</v>
      </c>
      <c r="U8" s="31">
        <f t="shared" si="7"/>
        <v>0</v>
      </c>
      <c r="V8" s="31">
        <f t="shared" si="8"/>
        <v>0</v>
      </c>
      <c r="W8" s="31">
        <f t="shared" si="9"/>
        <v>0</v>
      </c>
      <c r="X8" s="31">
        <f t="shared" si="9"/>
        <v>0</v>
      </c>
      <c r="Y8" s="31">
        <f t="shared" si="10"/>
        <v>0</v>
      </c>
      <c r="Z8" s="30">
        <f t="shared" si="11"/>
        <v>0</v>
      </c>
      <c r="AA8" s="30">
        <f t="shared" si="12"/>
        <v>0</v>
      </c>
      <c r="AB8" s="30">
        <f t="shared" si="13"/>
        <v>0</v>
      </c>
      <c r="AC8" s="30">
        <f t="shared" si="13"/>
        <v>0</v>
      </c>
      <c r="AD8" s="30">
        <f t="shared" si="14"/>
        <v>0</v>
      </c>
      <c r="AE8" s="29"/>
      <c r="AF8" s="29"/>
      <c r="AG8" s="29"/>
      <c r="AH8" s="29"/>
      <c r="AI8" s="29"/>
    </row>
    <row r="9" spans="1:35" x14ac:dyDescent="0.15">
      <c r="A9" s="51">
        <v>2</v>
      </c>
      <c r="B9" s="50" t="s">
        <v>331</v>
      </c>
      <c r="C9" s="49"/>
      <c r="D9" s="48" t="s">
        <v>93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 t="shared" si="0"/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1"/>
        <v>0</v>
      </c>
      <c r="O9" s="42">
        <f t="shared" si="2"/>
        <v>0</v>
      </c>
      <c r="P9" s="42">
        <f t="shared" si="3"/>
        <v>0</v>
      </c>
      <c r="Q9" s="42">
        <f t="shared" si="3"/>
        <v>0</v>
      </c>
      <c r="R9" s="46">
        <f t="shared" si="4"/>
        <v>0</v>
      </c>
      <c r="S9" s="45">
        <f t="shared" si="5"/>
        <v>0</v>
      </c>
      <c r="T9" s="44">
        <f t="shared" si="6"/>
        <v>0</v>
      </c>
      <c r="U9" s="31">
        <f t="shared" si="7"/>
        <v>0</v>
      </c>
      <c r="V9" s="31">
        <f t="shared" si="8"/>
        <v>0</v>
      </c>
      <c r="W9" s="31">
        <f t="shared" si="9"/>
        <v>0</v>
      </c>
      <c r="X9" s="31">
        <f t="shared" si="9"/>
        <v>0</v>
      </c>
      <c r="Y9" s="31">
        <f t="shared" si="10"/>
        <v>0</v>
      </c>
      <c r="Z9" s="30">
        <f t="shared" si="11"/>
        <v>0</v>
      </c>
      <c r="AA9" s="30">
        <f t="shared" si="12"/>
        <v>0</v>
      </c>
      <c r="AB9" s="30">
        <f t="shared" si="13"/>
        <v>0</v>
      </c>
      <c r="AC9" s="30">
        <f t="shared" si="13"/>
        <v>0</v>
      </c>
      <c r="AD9" s="30">
        <f t="shared" si="14"/>
        <v>0</v>
      </c>
      <c r="AE9" s="29"/>
      <c r="AF9" s="29"/>
      <c r="AG9" s="29"/>
      <c r="AH9" s="29"/>
      <c r="AI9" s="29"/>
    </row>
    <row r="10" spans="1:35" x14ac:dyDescent="0.15">
      <c r="A10" s="51">
        <v>2</v>
      </c>
      <c r="B10" s="50" t="s">
        <v>330</v>
      </c>
      <c r="C10" s="49"/>
      <c r="D10" s="48" t="s">
        <v>91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 t="shared" si="0"/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0</v>
      </c>
      <c r="N10" s="43">
        <f t="shared" si="1"/>
        <v>0</v>
      </c>
      <c r="O10" s="42">
        <f t="shared" si="2"/>
        <v>0</v>
      </c>
      <c r="P10" s="42">
        <f t="shared" si="3"/>
        <v>0</v>
      </c>
      <c r="Q10" s="42">
        <f t="shared" si="3"/>
        <v>0</v>
      </c>
      <c r="R10" s="46">
        <f t="shared" si="4"/>
        <v>0</v>
      </c>
      <c r="S10" s="45">
        <f t="shared" si="5"/>
        <v>0</v>
      </c>
      <c r="T10" s="44">
        <f t="shared" si="6"/>
        <v>0</v>
      </c>
      <c r="U10" s="31">
        <f t="shared" si="7"/>
        <v>0</v>
      </c>
      <c r="V10" s="31">
        <f t="shared" si="8"/>
        <v>0</v>
      </c>
      <c r="W10" s="31">
        <f t="shared" si="9"/>
        <v>0</v>
      </c>
      <c r="X10" s="31">
        <f t="shared" si="9"/>
        <v>0</v>
      </c>
      <c r="Y10" s="31">
        <f t="shared" si="10"/>
        <v>0</v>
      </c>
      <c r="Z10" s="30">
        <f t="shared" si="11"/>
        <v>0</v>
      </c>
      <c r="AA10" s="30">
        <f t="shared" si="12"/>
        <v>0</v>
      </c>
      <c r="AB10" s="30">
        <f t="shared" si="13"/>
        <v>0</v>
      </c>
      <c r="AC10" s="30">
        <f t="shared" si="13"/>
        <v>0</v>
      </c>
      <c r="AD10" s="30">
        <f t="shared" si="14"/>
        <v>0</v>
      </c>
      <c r="AE10" s="29"/>
      <c r="AF10" s="29"/>
      <c r="AG10" s="29"/>
      <c r="AH10" s="29"/>
      <c r="AI10" s="29"/>
    </row>
    <row r="11" spans="1:35" x14ac:dyDescent="0.15">
      <c r="A11" s="51">
        <v>2</v>
      </c>
      <c r="B11" s="50" t="s">
        <v>329</v>
      </c>
      <c r="C11" s="49"/>
      <c r="D11" s="48" t="s">
        <v>89</v>
      </c>
      <c r="E11" s="81">
        <f>+IF($A11="",IF($C11="",SUMIFS([1]全伝票!I:I,[1]全伝票!$B:$B,$B11),SUMIFS([1]全伝票!I:I,[1]全伝票!$C:$C,$C11)),IF($C11="",SUMIFS([1]全伝票!I:I,[1]全伝票!$A:$A,$A11,[1]全伝票!$B:$B,$B11),SUMIFS([1]全伝票!I:I,[1]全伝票!$A:$A,$A11,[1]全伝票!$C:$C,$C11)))</f>
        <v>918000</v>
      </c>
      <c r="F11" s="84">
        <f>+IF($A11="",IF($C11="",SUMIFS([1]全伝票!J:J,[1]全伝票!$B:$B,$B11),SUMIFS([1]全伝票!J:J,[1]全伝票!$C:$C,$C11)),IF($C11="",SUMIFS([1]全伝票!J:J,[1]全伝票!$A:$A,$A11,[1]全伝票!$B:$B,$B11),SUMIFS([1]全伝票!J:J,[1]全伝票!$A:$A,$A11,[1]全伝票!$C:$C,$C11)))</f>
        <v>0</v>
      </c>
      <c r="G11" s="83">
        <f>+IF($A11="",IF($C11="",SUMIFS([1]全伝票!K:K,[1]全伝票!$B:$B,$B11),SUMIFS([1]全伝票!K:K,[1]全伝票!$C:$C,$C11)),IF($C11="",SUMIFS([1]全伝票!K:K,[1]全伝票!$A:$A,$A11,[1]全伝票!$B:$B,$B11),SUMIFS([1]全伝票!K:K,[1]全伝票!$A:$A,$A11,[1]全伝票!$C:$C,$C11)))</f>
        <v>0</v>
      </c>
      <c r="H11" s="83">
        <f>+IF($A11="",IF($C11="",SUMIFS([1]全伝票!L:L,[1]全伝票!$B:$B,$B11),SUMIFS([1]全伝票!L:L,[1]全伝票!$C:$C,$C11)),IF($C11="",SUMIFS([1]全伝票!L:L,[1]全伝票!$A:$A,$A11,[1]全伝票!$B:$B,$B11),SUMIFS([1]全伝票!L:L,[1]全伝票!$A:$A,$A11,[1]全伝票!$C:$C,$C11)))</f>
        <v>0</v>
      </c>
      <c r="I11" s="83">
        <f>+IF($A11="",IF($C11="",SUMIFS([1]全伝票!M:M,[1]全伝票!$B:$B,$B11),SUMIFS([1]全伝票!M:M,[1]全伝票!$C:$C,$C11)),IF($C11="",SUMIFS([1]全伝票!M:M,[1]全伝票!$A:$A,$A11,[1]全伝票!$B:$B,$B11),SUMIFS([1]全伝票!M:M,[1]全伝票!$A:$A,$A11,[1]全伝票!$C:$C,$C11)))</f>
        <v>0</v>
      </c>
      <c r="J11" s="82">
        <f>+IF($A11="",IF($C11="",SUMIFS([1]全伝票!N:N,[1]全伝票!$B:$B,$B11),SUMIFS([1]全伝票!N:N,[1]全伝票!$C:$C,$C11)),IF($C11="",SUMIFS([1]全伝票!N:N,[1]全伝票!$A:$A,$A11,[1]全伝票!$B:$B,$B11),SUMIFS([1]全伝票!N:N,[1]全伝票!$A:$A,$A11,[1]全伝票!$C:$C,$C11)))</f>
        <v>0</v>
      </c>
      <c r="K11" s="45">
        <f t="shared" si="0"/>
        <v>0</v>
      </c>
      <c r="L11" s="81">
        <f>+IF($A11="",IF($C11="",SUMIFS([1]全伝票!O:O,[1]全伝票!$B:$B,$B11),SUMIFS([1]全伝票!O:O,[1]全伝票!$C:$C,$C11)),IF($C11="",SUMIFS([1]全伝票!O:O,[1]全伝票!$A:$A,$A11,[1]全伝票!$B:$B,$B11),SUMIFS([1]全伝票!O:O,[1]全伝票!$A:$A,$A11,[1]全伝票!$C:$C,$C11)))</f>
        <v>0</v>
      </c>
      <c r="M11" s="81">
        <f>+IF($A11="",IF($C11="",SUMIFS([1]全伝票!P:P,[1]全伝票!$B:$B,$B11),SUMIFS([1]全伝票!P:P,[1]全伝票!$C:$C,$C11)),IF($C11="",SUMIFS([1]全伝票!P:P,[1]全伝票!$A:$A,$A11,[1]全伝票!$B:$B,$B11),SUMIFS([1]全伝票!P:P,[1]全伝票!$A:$A,$A11,[1]全伝票!$C:$C,$C11)))</f>
        <v>918000</v>
      </c>
      <c r="N11" s="43">
        <f t="shared" si="1"/>
        <v>0</v>
      </c>
      <c r="O11" s="42">
        <f t="shared" si="2"/>
        <v>0</v>
      </c>
      <c r="P11" s="42">
        <f t="shared" si="3"/>
        <v>0</v>
      </c>
      <c r="Q11" s="42">
        <f t="shared" si="3"/>
        <v>0</v>
      </c>
      <c r="R11" s="46">
        <f t="shared" si="4"/>
        <v>0</v>
      </c>
      <c r="S11" s="45">
        <f t="shared" si="5"/>
        <v>0</v>
      </c>
      <c r="T11" s="44">
        <f t="shared" si="6"/>
        <v>918000</v>
      </c>
      <c r="U11" s="31">
        <f t="shared" si="7"/>
        <v>0</v>
      </c>
      <c r="V11" s="31">
        <f t="shared" si="8"/>
        <v>0</v>
      </c>
      <c r="W11" s="31">
        <f t="shared" si="9"/>
        <v>0</v>
      </c>
      <c r="X11" s="31">
        <f t="shared" si="9"/>
        <v>0</v>
      </c>
      <c r="Y11" s="31">
        <f t="shared" si="10"/>
        <v>0</v>
      </c>
      <c r="Z11" s="30">
        <f t="shared" si="11"/>
        <v>0</v>
      </c>
      <c r="AA11" s="30">
        <f t="shared" si="12"/>
        <v>0</v>
      </c>
      <c r="AB11" s="30">
        <f t="shared" si="13"/>
        <v>0</v>
      </c>
      <c r="AC11" s="30">
        <f t="shared" si="13"/>
        <v>0</v>
      </c>
      <c r="AD11" s="30">
        <f t="shared" si="14"/>
        <v>0</v>
      </c>
      <c r="AE11" s="29"/>
      <c r="AF11" s="29"/>
      <c r="AG11" s="29"/>
      <c r="AH11" s="29"/>
      <c r="AI11" s="29"/>
    </row>
    <row r="12" spans="1:35" x14ac:dyDescent="0.15">
      <c r="A12" s="51">
        <v>2</v>
      </c>
      <c r="B12" s="50" t="s">
        <v>327</v>
      </c>
      <c r="C12" s="49" t="s">
        <v>328</v>
      </c>
      <c r="D12" s="48" t="s">
        <v>87</v>
      </c>
      <c r="E12" s="81">
        <f>+IF($A12="",IF($C12="",SUMIFS([1]全伝票!I:I,[1]全伝票!$B:$B,$B12),SUMIFS([1]全伝票!I:I,[1]全伝票!$C:$C,$C12)),IF($C12="",SUMIFS([1]全伝票!I:I,[1]全伝票!$A:$A,$A12,[1]全伝票!$B:$B,$B12),SUMIFS([1]全伝票!I:I,[1]全伝票!$A:$A,$A12,[1]全伝票!$C:$C,$C12)))</f>
        <v>0</v>
      </c>
      <c r="F12" s="84">
        <f>+IF($A12="",IF($C12="",SUMIFS([1]全伝票!J:J,[1]全伝票!$B:$B,$B12),SUMIFS([1]全伝票!J:J,[1]全伝票!$C:$C,$C12)),IF($C12="",SUMIFS([1]全伝票!J:J,[1]全伝票!$A:$A,$A12,[1]全伝票!$B:$B,$B12),SUMIFS([1]全伝票!J:J,[1]全伝票!$A:$A,$A12,[1]全伝票!$C:$C,$C12)))</f>
        <v>0</v>
      </c>
      <c r="G12" s="83">
        <f>+IF($A12="",IF($C12="",SUMIFS([1]全伝票!K:K,[1]全伝票!$B:$B,$B12),SUMIFS([1]全伝票!K:K,[1]全伝票!$C:$C,$C12)),IF($C12="",SUMIFS([1]全伝票!K:K,[1]全伝票!$A:$A,$A12,[1]全伝票!$B:$B,$B12),SUMIFS([1]全伝票!K:K,[1]全伝票!$A:$A,$A12,[1]全伝票!$C:$C,$C12)))</f>
        <v>0</v>
      </c>
      <c r="H12" s="83">
        <f>+IF($A12="",IF($C12="",SUMIFS([1]全伝票!L:L,[1]全伝票!$B:$B,$B12),SUMIFS([1]全伝票!L:L,[1]全伝票!$C:$C,$C12)),IF($C12="",SUMIFS([1]全伝票!L:L,[1]全伝票!$A:$A,$A12,[1]全伝票!$B:$B,$B12),SUMIFS([1]全伝票!L:L,[1]全伝票!$A:$A,$A12,[1]全伝票!$C:$C,$C12)))</f>
        <v>0</v>
      </c>
      <c r="I12" s="83">
        <f>+IF($A12="",IF($C12="",SUMIFS([1]全伝票!M:M,[1]全伝票!$B:$B,$B12),SUMIFS([1]全伝票!M:M,[1]全伝票!$C:$C,$C12)),IF($C12="",SUMIFS([1]全伝票!M:M,[1]全伝票!$A:$A,$A12,[1]全伝票!$B:$B,$B12),SUMIFS([1]全伝票!M:M,[1]全伝票!$A:$A,$A12,[1]全伝票!$C:$C,$C12)))</f>
        <v>0</v>
      </c>
      <c r="J12" s="82">
        <f>+IF($A12="",IF($C12="",SUMIFS([1]全伝票!N:N,[1]全伝票!$B:$B,$B12),SUMIFS([1]全伝票!N:N,[1]全伝票!$C:$C,$C12)),IF($C12="",SUMIFS([1]全伝票!N:N,[1]全伝票!$A:$A,$A12,[1]全伝票!$B:$B,$B12),SUMIFS([1]全伝票!N:N,[1]全伝票!$A:$A,$A12,[1]全伝票!$C:$C,$C12)))</f>
        <v>0</v>
      </c>
      <c r="K12" s="45">
        <f t="shared" si="0"/>
        <v>0</v>
      </c>
      <c r="L12" s="81">
        <f>+IF($A12="",IF($C12="",SUMIFS([1]全伝票!O:O,[1]全伝票!$B:$B,$B12),SUMIFS([1]全伝票!O:O,[1]全伝票!$C:$C,$C12)),IF($C12="",SUMIFS([1]全伝票!O:O,[1]全伝票!$A:$A,$A12,[1]全伝票!$B:$B,$B12),SUMIFS([1]全伝票!O:O,[1]全伝票!$A:$A,$A12,[1]全伝票!$C:$C,$C12)))</f>
        <v>0</v>
      </c>
      <c r="M12" s="81">
        <f>+IF($A12="",IF($C12="",SUMIFS([1]全伝票!P:P,[1]全伝票!$B:$B,$B12),SUMIFS([1]全伝票!P:P,[1]全伝票!$C:$C,$C12)),IF($C12="",SUMIFS([1]全伝票!P:P,[1]全伝票!$A:$A,$A12,[1]全伝票!$B:$B,$B12),SUMIFS([1]全伝票!P:P,[1]全伝票!$A:$A,$A12,[1]全伝票!$C:$C,$C12)))</f>
        <v>0</v>
      </c>
      <c r="N12" s="43">
        <f t="shared" si="1"/>
        <v>0</v>
      </c>
      <c r="O12" s="42">
        <f t="shared" si="2"/>
        <v>0</v>
      </c>
      <c r="P12" s="42">
        <f t="shared" si="3"/>
        <v>0</v>
      </c>
      <c r="Q12" s="42">
        <f t="shared" si="3"/>
        <v>0</v>
      </c>
      <c r="R12" s="46">
        <f t="shared" si="4"/>
        <v>0</v>
      </c>
      <c r="S12" s="45">
        <f t="shared" si="5"/>
        <v>0</v>
      </c>
      <c r="T12" s="44">
        <f t="shared" si="6"/>
        <v>0</v>
      </c>
      <c r="U12" s="31">
        <f t="shared" si="7"/>
        <v>0</v>
      </c>
      <c r="V12" s="31">
        <f t="shared" si="8"/>
        <v>0</v>
      </c>
      <c r="W12" s="31">
        <f t="shared" si="9"/>
        <v>0</v>
      </c>
      <c r="X12" s="31">
        <f t="shared" si="9"/>
        <v>0</v>
      </c>
      <c r="Y12" s="31">
        <f t="shared" si="10"/>
        <v>0</v>
      </c>
      <c r="Z12" s="30">
        <f t="shared" si="11"/>
        <v>0</v>
      </c>
      <c r="AA12" s="30">
        <f t="shared" si="12"/>
        <v>0</v>
      </c>
      <c r="AB12" s="30">
        <f t="shared" si="13"/>
        <v>0</v>
      </c>
      <c r="AC12" s="30">
        <f t="shared" si="13"/>
        <v>0</v>
      </c>
      <c r="AD12" s="30">
        <f t="shared" si="14"/>
        <v>0</v>
      </c>
      <c r="AE12" s="29"/>
      <c r="AF12" s="29"/>
      <c r="AG12" s="29"/>
      <c r="AH12" s="29"/>
      <c r="AI12" s="29"/>
    </row>
    <row r="13" spans="1:35" x14ac:dyDescent="0.15">
      <c r="A13" s="51">
        <v>2</v>
      </c>
      <c r="B13" s="50" t="s">
        <v>327</v>
      </c>
      <c r="C13" s="49" t="s">
        <v>326</v>
      </c>
      <c r="D13" s="48" t="s">
        <v>84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 t="shared" si="0"/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0</v>
      </c>
      <c r="N13" s="43">
        <f t="shared" si="1"/>
        <v>0</v>
      </c>
      <c r="O13" s="42">
        <f t="shared" si="2"/>
        <v>0</v>
      </c>
      <c r="P13" s="42">
        <f t="shared" si="3"/>
        <v>0</v>
      </c>
      <c r="Q13" s="42">
        <f t="shared" si="3"/>
        <v>0</v>
      </c>
      <c r="R13" s="46">
        <f t="shared" si="4"/>
        <v>0</v>
      </c>
      <c r="S13" s="45">
        <f t="shared" si="5"/>
        <v>0</v>
      </c>
      <c r="T13" s="44">
        <f t="shared" si="6"/>
        <v>0</v>
      </c>
      <c r="U13" s="31">
        <f t="shared" si="7"/>
        <v>0</v>
      </c>
      <c r="V13" s="31">
        <f t="shared" si="8"/>
        <v>0</v>
      </c>
      <c r="W13" s="31">
        <f t="shared" si="9"/>
        <v>0</v>
      </c>
      <c r="X13" s="31">
        <f t="shared" si="9"/>
        <v>0</v>
      </c>
      <c r="Y13" s="31">
        <f t="shared" si="10"/>
        <v>0</v>
      </c>
      <c r="Z13" s="30">
        <f t="shared" si="11"/>
        <v>0</v>
      </c>
      <c r="AA13" s="30">
        <f t="shared" si="12"/>
        <v>0</v>
      </c>
      <c r="AB13" s="30">
        <f t="shared" si="13"/>
        <v>0</v>
      </c>
      <c r="AC13" s="30">
        <f t="shared" si="13"/>
        <v>0</v>
      </c>
      <c r="AD13" s="30">
        <f t="shared" si="14"/>
        <v>0</v>
      </c>
      <c r="AE13" s="29"/>
      <c r="AF13" s="29"/>
      <c r="AG13" s="29"/>
      <c r="AH13" s="29"/>
      <c r="AI13" s="29"/>
    </row>
    <row r="14" spans="1:35" x14ac:dyDescent="0.15">
      <c r="A14" s="51">
        <v>2</v>
      </c>
      <c r="B14" s="50" t="s">
        <v>325</v>
      </c>
      <c r="C14" s="49"/>
      <c r="D14" s="48" t="s">
        <v>82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766743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766743</v>
      </c>
      <c r="K14" s="45">
        <f t="shared" si="0"/>
        <v>766743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1"/>
        <v>0</v>
      </c>
      <c r="O14" s="42">
        <f t="shared" si="2"/>
        <v>0</v>
      </c>
      <c r="P14" s="42">
        <f t="shared" si="3"/>
        <v>0</v>
      </c>
      <c r="Q14" s="42">
        <f t="shared" si="3"/>
        <v>0</v>
      </c>
      <c r="R14" s="46">
        <f t="shared" si="4"/>
        <v>69704</v>
      </c>
      <c r="S14" s="45">
        <f t="shared" si="5"/>
        <v>69704</v>
      </c>
      <c r="T14" s="44">
        <f t="shared" si="6"/>
        <v>697039</v>
      </c>
      <c r="U14" s="31">
        <f t="shared" si="7"/>
        <v>0</v>
      </c>
      <c r="V14" s="31">
        <f t="shared" si="8"/>
        <v>0</v>
      </c>
      <c r="W14" s="31">
        <f t="shared" si="9"/>
        <v>0</v>
      </c>
      <c r="X14" s="31">
        <f t="shared" si="9"/>
        <v>0</v>
      </c>
      <c r="Y14" s="31">
        <f t="shared" si="10"/>
        <v>9.0909090911736712E-2</v>
      </c>
      <c r="Z14" s="30">
        <f t="shared" si="11"/>
        <v>0</v>
      </c>
      <c r="AA14" s="30">
        <f t="shared" si="12"/>
        <v>0</v>
      </c>
      <c r="AB14" s="30">
        <f t="shared" si="13"/>
        <v>0</v>
      </c>
      <c r="AC14" s="30">
        <f t="shared" si="13"/>
        <v>0</v>
      </c>
      <c r="AD14" s="30">
        <f t="shared" si="14"/>
        <v>0</v>
      </c>
      <c r="AE14" s="29"/>
      <c r="AF14" s="29"/>
      <c r="AG14" s="29"/>
      <c r="AH14" s="29"/>
      <c r="AI14" s="29"/>
    </row>
    <row r="15" spans="1:35" x14ac:dyDescent="0.15">
      <c r="A15" s="51">
        <v>2</v>
      </c>
      <c r="B15" s="50" t="s">
        <v>324</v>
      </c>
      <c r="C15" s="49"/>
      <c r="D15" s="48" t="s">
        <v>80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71900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71900</v>
      </c>
      <c r="K15" s="45">
        <f t="shared" si="0"/>
        <v>71900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0</v>
      </c>
      <c r="N15" s="43">
        <f t="shared" si="1"/>
        <v>0</v>
      </c>
      <c r="O15" s="42">
        <f t="shared" si="2"/>
        <v>0</v>
      </c>
      <c r="P15" s="42">
        <f t="shared" si="3"/>
        <v>0</v>
      </c>
      <c r="Q15" s="42">
        <f t="shared" si="3"/>
        <v>0</v>
      </c>
      <c r="R15" s="46">
        <f t="shared" si="4"/>
        <v>6536</v>
      </c>
      <c r="S15" s="45">
        <f t="shared" si="5"/>
        <v>6536</v>
      </c>
      <c r="T15" s="44">
        <f t="shared" si="6"/>
        <v>65364</v>
      </c>
      <c r="U15" s="31">
        <f t="shared" si="7"/>
        <v>0</v>
      </c>
      <c r="V15" s="31">
        <f t="shared" si="8"/>
        <v>0</v>
      </c>
      <c r="W15" s="31">
        <f t="shared" si="9"/>
        <v>0</v>
      </c>
      <c r="X15" s="31">
        <f t="shared" si="9"/>
        <v>0</v>
      </c>
      <c r="Y15" s="31">
        <f t="shared" si="10"/>
        <v>-0.36363636363603291</v>
      </c>
      <c r="Z15" s="30">
        <f t="shared" si="11"/>
        <v>0</v>
      </c>
      <c r="AA15" s="30">
        <f t="shared" si="12"/>
        <v>0</v>
      </c>
      <c r="AB15" s="30">
        <f t="shared" si="13"/>
        <v>0</v>
      </c>
      <c r="AC15" s="30">
        <f t="shared" si="13"/>
        <v>0</v>
      </c>
      <c r="AD15" s="30">
        <f t="shared" si="14"/>
        <v>0</v>
      </c>
      <c r="AE15" s="29"/>
      <c r="AF15" s="29"/>
      <c r="AG15" s="29"/>
      <c r="AH15" s="29"/>
      <c r="AI15" s="29"/>
    </row>
    <row r="16" spans="1:35" x14ac:dyDescent="0.15">
      <c r="A16" s="51">
        <v>2</v>
      </c>
      <c r="B16" s="50" t="s">
        <v>323</v>
      </c>
      <c r="C16" s="49"/>
      <c r="D16" s="48" t="s">
        <v>78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 t="shared" si="0"/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1"/>
        <v>0</v>
      </c>
      <c r="O16" s="42">
        <f t="shared" si="2"/>
        <v>0</v>
      </c>
      <c r="P16" s="42">
        <f t="shared" si="3"/>
        <v>0</v>
      </c>
      <c r="Q16" s="42">
        <f t="shared" si="3"/>
        <v>0</v>
      </c>
      <c r="R16" s="46">
        <f t="shared" si="4"/>
        <v>0</v>
      </c>
      <c r="S16" s="45">
        <f t="shared" si="5"/>
        <v>0</v>
      </c>
      <c r="T16" s="44">
        <f t="shared" si="6"/>
        <v>0</v>
      </c>
      <c r="U16" s="31">
        <f t="shared" si="7"/>
        <v>0</v>
      </c>
      <c r="V16" s="31">
        <f t="shared" si="8"/>
        <v>0</v>
      </c>
      <c r="W16" s="31">
        <f t="shared" si="9"/>
        <v>0</v>
      </c>
      <c r="X16" s="31">
        <f t="shared" si="9"/>
        <v>0</v>
      </c>
      <c r="Y16" s="31">
        <f t="shared" si="10"/>
        <v>0</v>
      </c>
      <c r="Z16" s="30">
        <f t="shared" si="11"/>
        <v>0</v>
      </c>
      <c r="AA16" s="30">
        <f t="shared" si="12"/>
        <v>0</v>
      </c>
      <c r="AB16" s="30">
        <f t="shared" si="13"/>
        <v>0</v>
      </c>
      <c r="AC16" s="30">
        <f t="shared" si="13"/>
        <v>0</v>
      </c>
      <c r="AD16" s="30">
        <f t="shared" si="14"/>
        <v>0</v>
      </c>
      <c r="AE16" s="29"/>
      <c r="AF16" s="29"/>
      <c r="AG16" s="29"/>
      <c r="AH16" s="29"/>
      <c r="AI16" s="29"/>
    </row>
    <row r="17" spans="1:35" x14ac:dyDescent="0.15">
      <c r="A17" s="51">
        <v>2</v>
      </c>
      <c r="B17" s="50" t="s">
        <v>322</v>
      </c>
      <c r="C17" s="49"/>
      <c r="D17" s="48" t="s">
        <v>76</v>
      </c>
      <c r="E17" s="81">
        <f>+IF($A17="",IF($C17="",SUMIFS([1]全伝票!I:I,[1]全伝票!$B:$B,$B17),SUMIFS([1]全伝票!I:I,[1]全伝票!$C:$C,$C17)),IF($C17="",SUMIFS([1]全伝票!I:I,[1]全伝票!$A:$A,$A17,[1]全伝票!$B:$B,$B17),SUMIFS([1]全伝票!I:I,[1]全伝票!$A:$A,$A17,[1]全伝票!$C:$C,$C17)))</f>
        <v>35232</v>
      </c>
      <c r="F17" s="84">
        <f>+IF($A17="",IF($C17="",SUMIFS([1]全伝票!J:J,[1]全伝票!$B:$B,$B17),SUMIFS([1]全伝票!J:J,[1]全伝票!$C:$C,$C17)),IF($C17="",SUMIFS([1]全伝票!J:J,[1]全伝票!$A:$A,$A17,[1]全伝票!$B:$B,$B17),SUMIFS([1]全伝票!J:J,[1]全伝票!$A:$A,$A17,[1]全伝票!$C:$C,$C17)))</f>
        <v>0</v>
      </c>
      <c r="G17" s="83">
        <f>+IF($A17="",IF($C17="",SUMIFS([1]全伝票!K:K,[1]全伝票!$B:$B,$B17),SUMIFS([1]全伝票!K:K,[1]全伝票!$C:$C,$C17)),IF($C17="",SUMIFS([1]全伝票!K:K,[1]全伝票!$A:$A,$A17,[1]全伝票!$B:$B,$B17),SUMIFS([1]全伝票!K:K,[1]全伝票!$A:$A,$A17,[1]全伝票!$C:$C,$C17)))</f>
        <v>0</v>
      </c>
      <c r="H17" s="83">
        <f>+IF($A17="",IF($C17="",SUMIFS([1]全伝票!L:L,[1]全伝票!$B:$B,$B17),SUMIFS([1]全伝票!L:L,[1]全伝票!$C:$C,$C17)),IF($C17="",SUMIFS([1]全伝票!L:L,[1]全伝票!$A:$A,$A17,[1]全伝票!$B:$B,$B17),SUMIFS([1]全伝票!L:L,[1]全伝票!$A:$A,$A17,[1]全伝票!$C:$C,$C17)))</f>
        <v>0</v>
      </c>
      <c r="I17" s="83">
        <f>+IF($A17="",IF($C17="",SUMIFS([1]全伝票!M:M,[1]全伝票!$B:$B,$B17),SUMIFS([1]全伝票!M:M,[1]全伝票!$C:$C,$C17)),IF($C17="",SUMIFS([1]全伝票!M:M,[1]全伝票!$A:$A,$A17,[1]全伝票!$B:$B,$B17),SUMIFS([1]全伝票!M:M,[1]全伝票!$A:$A,$A17,[1]全伝票!$C:$C,$C17)))</f>
        <v>0</v>
      </c>
      <c r="J17" s="82">
        <f>+IF($A17="",IF($C17="",SUMIFS([1]全伝票!N:N,[1]全伝票!$B:$B,$B17),SUMIFS([1]全伝票!N:N,[1]全伝票!$C:$C,$C17)),IF($C17="",SUMIFS([1]全伝票!N:N,[1]全伝票!$A:$A,$A17,[1]全伝票!$B:$B,$B17),SUMIFS([1]全伝票!N:N,[1]全伝票!$A:$A,$A17,[1]全伝票!$C:$C,$C17)))</f>
        <v>35232</v>
      </c>
      <c r="K17" s="45">
        <f t="shared" si="0"/>
        <v>35232</v>
      </c>
      <c r="L17" s="81">
        <f>+IF($A17="",IF($C17="",SUMIFS([1]全伝票!O:O,[1]全伝票!$B:$B,$B17),SUMIFS([1]全伝票!O:O,[1]全伝票!$C:$C,$C17)),IF($C17="",SUMIFS([1]全伝票!O:O,[1]全伝票!$A:$A,$A17,[1]全伝票!$B:$B,$B17),SUMIFS([1]全伝票!O:O,[1]全伝票!$A:$A,$A17,[1]全伝票!$C:$C,$C17)))</f>
        <v>0</v>
      </c>
      <c r="M17" s="81">
        <f>+IF($A17="",IF($C17="",SUMIFS([1]全伝票!P:P,[1]全伝票!$B:$B,$B17),SUMIFS([1]全伝票!P:P,[1]全伝票!$C:$C,$C17)),IF($C17="",SUMIFS([1]全伝票!P:P,[1]全伝票!$A:$A,$A17,[1]全伝票!$B:$B,$B17),SUMIFS([1]全伝票!P:P,[1]全伝票!$A:$A,$A17,[1]全伝票!$C:$C,$C17)))</f>
        <v>0</v>
      </c>
      <c r="N17" s="43">
        <f t="shared" si="1"/>
        <v>0</v>
      </c>
      <c r="O17" s="42">
        <f t="shared" si="2"/>
        <v>0</v>
      </c>
      <c r="P17" s="42">
        <f t="shared" si="3"/>
        <v>0</v>
      </c>
      <c r="Q17" s="42">
        <f t="shared" si="3"/>
        <v>0</v>
      </c>
      <c r="R17" s="46">
        <f t="shared" si="4"/>
        <v>3203</v>
      </c>
      <c r="S17" s="45">
        <f t="shared" si="5"/>
        <v>3203</v>
      </c>
      <c r="T17" s="44">
        <f t="shared" si="6"/>
        <v>32029</v>
      </c>
      <c r="U17" s="31">
        <f t="shared" si="7"/>
        <v>0</v>
      </c>
      <c r="V17" s="31">
        <f t="shared" si="8"/>
        <v>0</v>
      </c>
      <c r="W17" s="31">
        <f t="shared" si="9"/>
        <v>0</v>
      </c>
      <c r="X17" s="31">
        <f t="shared" si="9"/>
        <v>0</v>
      </c>
      <c r="Y17" s="31">
        <f t="shared" si="10"/>
        <v>9.0909090909008228E-2</v>
      </c>
      <c r="Z17" s="30">
        <f t="shared" si="11"/>
        <v>0</v>
      </c>
      <c r="AA17" s="30">
        <f t="shared" si="12"/>
        <v>0</v>
      </c>
      <c r="AB17" s="30">
        <f t="shared" si="13"/>
        <v>0</v>
      </c>
      <c r="AC17" s="30">
        <f t="shared" si="13"/>
        <v>0</v>
      </c>
      <c r="AD17" s="30">
        <f t="shared" si="14"/>
        <v>0</v>
      </c>
      <c r="AE17" s="29"/>
      <c r="AF17" s="29"/>
      <c r="AG17" s="29"/>
      <c r="AH17" s="29"/>
      <c r="AI17" s="29"/>
    </row>
    <row r="18" spans="1:35" x14ac:dyDescent="0.15">
      <c r="A18" s="51">
        <v>2</v>
      </c>
      <c r="B18" s="50" t="s">
        <v>321</v>
      </c>
      <c r="C18" s="49"/>
      <c r="D18" s="48" t="s">
        <v>74</v>
      </c>
      <c r="E18" s="81">
        <f>+IF($A18="",IF($C18="",SUMIFS([1]全伝票!I:I,[1]全伝票!$B:$B,$B18),SUMIFS([1]全伝票!I:I,[1]全伝票!$C:$C,$C18)),IF($C18="",SUMIFS([1]全伝票!I:I,[1]全伝票!$A:$A,$A18,[1]全伝票!$B:$B,$B18),SUMIFS([1]全伝票!I:I,[1]全伝票!$A:$A,$A18,[1]全伝票!$C:$C,$C18)))</f>
        <v>2241</v>
      </c>
      <c r="F18" s="84">
        <f>+IF($A18="",IF($C18="",SUMIFS([1]全伝票!J:J,[1]全伝票!$B:$B,$B18),SUMIFS([1]全伝票!J:J,[1]全伝票!$C:$C,$C18)),IF($C18="",SUMIFS([1]全伝票!J:J,[1]全伝票!$A:$A,$A18,[1]全伝票!$B:$B,$B18),SUMIFS([1]全伝票!J:J,[1]全伝票!$A:$A,$A18,[1]全伝票!$C:$C,$C18)))</f>
        <v>0</v>
      </c>
      <c r="G18" s="83">
        <f>+IF($A18="",IF($C18="",SUMIFS([1]全伝票!K:K,[1]全伝票!$B:$B,$B18),SUMIFS([1]全伝票!K:K,[1]全伝票!$C:$C,$C18)),IF($C18="",SUMIFS([1]全伝票!K:K,[1]全伝票!$A:$A,$A18,[1]全伝票!$B:$B,$B18),SUMIFS([1]全伝票!K:K,[1]全伝票!$A:$A,$A18,[1]全伝票!$C:$C,$C18)))</f>
        <v>0</v>
      </c>
      <c r="H18" s="83">
        <f>+IF($A18="",IF($C18="",SUMIFS([1]全伝票!L:L,[1]全伝票!$B:$B,$B18),SUMIFS([1]全伝票!L:L,[1]全伝票!$C:$C,$C18)),IF($C18="",SUMIFS([1]全伝票!L:L,[1]全伝票!$A:$A,$A18,[1]全伝票!$B:$B,$B18),SUMIFS([1]全伝票!L:L,[1]全伝票!$A:$A,$A18,[1]全伝票!$C:$C,$C18)))</f>
        <v>0</v>
      </c>
      <c r="I18" s="83">
        <f>+IF($A18="",IF($C18="",SUMIFS([1]全伝票!M:M,[1]全伝票!$B:$B,$B18),SUMIFS([1]全伝票!M:M,[1]全伝票!$C:$C,$C18)),IF($C18="",SUMIFS([1]全伝票!M:M,[1]全伝票!$A:$A,$A18,[1]全伝票!$B:$B,$B18),SUMIFS([1]全伝票!M:M,[1]全伝票!$A:$A,$A18,[1]全伝票!$C:$C,$C18)))</f>
        <v>0</v>
      </c>
      <c r="J18" s="82">
        <f>+IF($A18="",IF($C18="",SUMIFS([1]全伝票!N:N,[1]全伝票!$B:$B,$B18),SUMIFS([1]全伝票!N:N,[1]全伝票!$C:$C,$C18)),IF($C18="",SUMIFS([1]全伝票!N:N,[1]全伝票!$A:$A,$A18,[1]全伝票!$B:$B,$B18),SUMIFS([1]全伝票!N:N,[1]全伝票!$A:$A,$A18,[1]全伝票!$C:$C,$C18)))</f>
        <v>441</v>
      </c>
      <c r="K18" s="45">
        <f t="shared" si="0"/>
        <v>441</v>
      </c>
      <c r="L18" s="81">
        <f>+IF($A18="",IF($C18="",SUMIFS([1]全伝票!O:O,[1]全伝票!$B:$B,$B18),SUMIFS([1]全伝票!O:O,[1]全伝票!$C:$C,$C18)),IF($C18="",SUMIFS([1]全伝票!O:O,[1]全伝票!$A:$A,$A18,[1]全伝票!$B:$B,$B18),SUMIFS([1]全伝票!O:O,[1]全伝票!$A:$A,$A18,[1]全伝票!$C:$C,$C18)))</f>
        <v>1800</v>
      </c>
      <c r="M18" s="81">
        <f>+IF($A18="",IF($C18="",SUMIFS([1]全伝票!P:P,[1]全伝票!$B:$B,$B18),SUMIFS([1]全伝票!P:P,[1]全伝票!$C:$C,$C18)),IF($C18="",SUMIFS([1]全伝票!P:P,[1]全伝票!$A:$A,$A18,[1]全伝票!$B:$B,$B18),SUMIFS([1]全伝票!P:P,[1]全伝票!$A:$A,$A18,[1]全伝票!$C:$C,$C18)))</f>
        <v>0</v>
      </c>
      <c r="N18" s="43">
        <f t="shared" si="1"/>
        <v>0</v>
      </c>
      <c r="O18" s="42">
        <f t="shared" si="2"/>
        <v>0</v>
      </c>
      <c r="P18" s="42">
        <f t="shared" si="3"/>
        <v>0</v>
      </c>
      <c r="Q18" s="42">
        <f t="shared" si="3"/>
        <v>0</v>
      </c>
      <c r="R18" s="46">
        <f t="shared" si="4"/>
        <v>40</v>
      </c>
      <c r="S18" s="45">
        <f t="shared" si="5"/>
        <v>40</v>
      </c>
      <c r="T18" s="44">
        <f t="shared" si="6"/>
        <v>2201</v>
      </c>
      <c r="U18" s="31">
        <f t="shared" si="7"/>
        <v>0</v>
      </c>
      <c r="V18" s="31">
        <f t="shared" si="8"/>
        <v>0</v>
      </c>
      <c r="W18" s="31">
        <f t="shared" si="9"/>
        <v>0</v>
      </c>
      <c r="X18" s="31">
        <f t="shared" si="9"/>
        <v>0</v>
      </c>
      <c r="Y18" s="31">
        <f t="shared" si="10"/>
        <v>-9.0909090909093493E-2</v>
      </c>
      <c r="Z18" s="30">
        <f t="shared" si="11"/>
        <v>0</v>
      </c>
      <c r="AA18" s="30">
        <f t="shared" si="12"/>
        <v>0</v>
      </c>
      <c r="AB18" s="30">
        <f t="shared" si="13"/>
        <v>0</v>
      </c>
      <c r="AC18" s="30">
        <f t="shared" si="13"/>
        <v>0</v>
      </c>
      <c r="AD18" s="30">
        <f t="shared" si="14"/>
        <v>0</v>
      </c>
      <c r="AE18" s="29"/>
      <c r="AF18" s="29"/>
      <c r="AG18" s="29"/>
      <c r="AH18" s="29"/>
      <c r="AI18" s="29"/>
    </row>
    <row r="19" spans="1:35" x14ac:dyDescent="0.15">
      <c r="A19" s="51">
        <v>2</v>
      </c>
      <c r="B19" s="50" t="s">
        <v>320</v>
      </c>
      <c r="C19" s="49"/>
      <c r="D19" s="48" t="s">
        <v>72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0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0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0</v>
      </c>
      <c r="K19" s="45">
        <f t="shared" si="0"/>
        <v>0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0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1"/>
        <v>0</v>
      </c>
      <c r="O19" s="42">
        <f t="shared" si="2"/>
        <v>0</v>
      </c>
      <c r="P19" s="42">
        <f t="shared" si="3"/>
        <v>0</v>
      </c>
      <c r="Q19" s="42">
        <f t="shared" si="3"/>
        <v>0</v>
      </c>
      <c r="R19" s="46">
        <f t="shared" si="4"/>
        <v>0</v>
      </c>
      <c r="S19" s="45">
        <f t="shared" si="5"/>
        <v>0</v>
      </c>
      <c r="T19" s="44">
        <f t="shared" si="6"/>
        <v>0</v>
      </c>
      <c r="U19" s="31">
        <f t="shared" si="7"/>
        <v>0</v>
      </c>
      <c r="V19" s="31">
        <f t="shared" si="8"/>
        <v>0</v>
      </c>
      <c r="W19" s="31">
        <f t="shared" si="9"/>
        <v>0</v>
      </c>
      <c r="X19" s="31">
        <f t="shared" si="9"/>
        <v>0</v>
      </c>
      <c r="Y19" s="31">
        <f t="shared" si="10"/>
        <v>0</v>
      </c>
      <c r="Z19" s="30">
        <f t="shared" si="11"/>
        <v>0</v>
      </c>
      <c r="AA19" s="30">
        <f t="shared" si="12"/>
        <v>0</v>
      </c>
      <c r="AB19" s="30">
        <f t="shared" si="13"/>
        <v>0</v>
      </c>
      <c r="AC19" s="30">
        <f t="shared" si="13"/>
        <v>0</v>
      </c>
      <c r="AD19" s="30">
        <f t="shared" si="14"/>
        <v>0</v>
      </c>
      <c r="AE19" s="29"/>
      <c r="AF19" s="29"/>
      <c r="AG19" s="29"/>
      <c r="AH19" s="29"/>
      <c r="AI19" s="29"/>
    </row>
    <row r="20" spans="1:35" x14ac:dyDescent="0.15">
      <c r="A20" s="51">
        <v>2</v>
      </c>
      <c r="B20" s="50" t="s">
        <v>319</v>
      </c>
      <c r="C20" s="49"/>
      <c r="D20" s="48" t="s">
        <v>70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9051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9051</v>
      </c>
      <c r="K20" s="45">
        <f t="shared" si="0"/>
        <v>9051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1"/>
        <v>0</v>
      </c>
      <c r="O20" s="42">
        <f t="shared" si="2"/>
        <v>0</v>
      </c>
      <c r="P20" s="42">
        <f t="shared" si="3"/>
        <v>0</v>
      </c>
      <c r="Q20" s="42">
        <f t="shared" si="3"/>
        <v>0</v>
      </c>
      <c r="R20" s="46">
        <f t="shared" si="4"/>
        <v>823</v>
      </c>
      <c r="S20" s="45">
        <f t="shared" si="5"/>
        <v>823</v>
      </c>
      <c r="T20" s="44">
        <f t="shared" si="6"/>
        <v>8228</v>
      </c>
      <c r="U20" s="31">
        <f t="shared" si="7"/>
        <v>0</v>
      </c>
      <c r="V20" s="31">
        <f t="shared" si="8"/>
        <v>0</v>
      </c>
      <c r="W20" s="31">
        <f t="shared" si="9"/>
        <v>0</v>
      </c>
      <c r="X20" s="31">
        <f t="shared" si="9"/>
        <v>0</v>
      </c>
      <c r="Y20" s="31">
        <f t="shared" si="10"/>
        <v>0.18181818181813014</v>
      </c>
      <c r="Z20" s="30">
        <f t="shared" si="11"/>
        <v>0</v>
      </c>
      <c r="AA20" s="30">
        <f t="shared" si="12"/>
        <v>0</v>
      </c>
      <c r="AB20" s="30">
        <f t="shared" si="13"/>
        <v>0</v>
      </c>
      <c r="AC20" s="30">
        <f t="shared" si="13"/>
        <v>0</v>
      </c>
      <c r="AD20" s="30">
        <f t="shared" si="14"/>
        <v>0</v>
      </c>
      <c r="AE20" s="29"/>
      <c r="AF20" s="29"/>
      <c r="AG20" s="29"/>
      <c r="AH20" s="29"/>
      <c r="AI20" s="29"/>
    </row>
    <row r="21" spans="1:35" x14ac:dyDescent="0.15">
      <c r="A21" s="51">
        <v>2</v>
      </c>
      <c r="B21" s="50" t="s">
        <v>318</v>
      </c>
      <c r="C21" s="49"/>
      <c r="D21" s="48" t="s">
        <v>68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166925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166925</v>
      </c>
      <c r="K21" s="45">
        <f t="shared" si="0"/>
        <v>166925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1"/>
        <v>0</v>
      </c>
      <c r="O21" s="42">
        <f t="shared" si="2"/>
        <v>0</v>
      </c>
      <c r="P21" s="42">
        <f t="shared" si="3"/>
        <v>0</v>
      </c>
      <c r="Q21" s="42">
        <f t="shared" si="3"/>
        <v>0</v>
      </c>
      <c r="R21" s="46">
        <f t="shared" si="4"/>
        <v>15175</v>
      </c>
      <c r="S21" s="45">
        <f t="shared" si="5"/>
        <v>15175</v>
      </c>
      <c r="T21" s="44">
        <f t="shared" si="6"/>
        <v>151750</v>
      </c>
      <c r="U21" s="31">
        <f t="shared" si="7"/>
        <v>0</v>
      </c>
      <c r="V21" s="31">
        <f t="shared" si="8"/>
        <v>0</v>
      </c>
      <c r="W21" s="31">
        <f t="shared" si="9"/>
        <v>0</v>
      </c>
      <c r="X21" s="31">
        <f t="shared" si="9"/>
        <v>0</v>
      </c>
      <c r="Y21" s="31">
        <f t="shared" si="10"/>
        <v>0</v>
      </c>
      <c r="Z21" s="30">
        <f t="shared" si="11"/>
        <v>0</v>
      </c>
      <c r="AA21" s="30">
        <f t="shared" si="12"/>
        <v>0</v>
      </c>
      <c r="AB21" s="30">
        <f t="shared" si="13"/>
        <v>0</v>
      </c>
      <c r="AC21" s="30">
        <f t="shared" si="13"/>
        <v>0</v>
      </c>
      <c r="AD21" s="30">
        <f t="shared" si="14"/>
        <v>0</v>
      </c>
      <c r="AE21" s="29"/>
      <c r="AF21" s="29"/>
      <c r="AG21" s="29"/>
      <c r="AH21" s="29"/>
      <c r="AI21" s="29"/>
    </row>
    <row r="22" spans="1:35" x14ac:dyDescent="0.15">
      <c r="A22" s="51">
        <v>2</v>
      </c>
      <c r="B22" s="50" t="s">
        <v>317</v>
      </c>
      <c r="C22" s="49"/>
      <c r="D22" s="48" t="s">
        <v>66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 t="shared" si="0"/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1"/>
        <v>0</v>
      </c>
      <c r="O22" s="42">
        <f t="shared" si="2"/>
        <v>0</v>
      </c>
      <c r="P22" s="42">
        <f t="shared" si="3"/>
        <v>0</v>
      </c>
      <c r="Q22" s="42">
        <f t="shared" si="3"/>
        <v>0</v>
      </c>
      <c r="R22" s="46">
        <f t="shared" si="4"/>
        <v>0</v>
      </c>
      <c r="S22" s="45">
        <f t="shared" si="5"/>
        <v>0</v>
      </c>
      <c r="T22" s="44">
        <f t="shared" si="6"/>
        <v>0</v>
      </c>
      <c r="U22" s="31">
        <f t="shared" si="7"/>
        <v>0</v>
      </c>
      <c r="V22" s="31">
        <f t="shared" si="8"/>
        <v>0</v>
      </c>
      <c r="W22" s="31">
        <f t="shared" si="9"/>
        <v>0</v>
      </c>
      <c r="X22" s="31">
        <f t="shared" si="9"/>
        <v>0</v>
      </c>
      <c r="Y22" s="31">
        <f t="shared" si="10"/>
        <v>0</v>
      </c>
      <c r="Z22" s="30">
        <f t="shared" si="11"/>
        <v>0</v>
      </c>
      <c r="AA22" s="30">
        <f t="shared" si="12"/>
        <v>0</v>
      </c>
      <c r="AB22" s="30">
        <f t="shared" si="13"/>
        <v>0</v>
      </c>
      <c r="AC22" s="30">
        <f t="shared" si="13"/>
        <v>0</v>
      </c>
      <c r="AD22" s="30">
        <f t="shared" si="14"/>
        <v>0</v>
      </c>
      <c r="AE22" s="29"/>
      <c r="AF22" s="29"/>
      <c r="AG22" s="29"/>
      <c r="AH22" s="29"/>
      <c r="AI22" s="29"/>
    </row>
    <row r="23" spans="1:35" x14ac:dyDescent="0.15">
      <c r="A23" s="51">
        <v>2</v>
      </c>
      <c r="B23" s="50" t="s">
        <v>316</v>
      </c>
      <c r="C23" s="49"/>
      <c r="D23" s="48" t="s">
        <v>64</v>
      </c>
      <c r="E23" s="81">
        <f>+IF($A23="",IF($C23="",SUMIFS([1]全伝票!I:I,[1]全伝票!$B:$B,$B23),SUMIFS([1]全伝票!I:I,[1]全伝票!$C:$C,$C23)),IF($C23="",SUMIFS([1]全伝票!I:I,[1]全伝票!$A:$A,$A23,[1]全伝票!$B:$B,$B23),SUMIFS([1]全伝票!I:I,[1]全伝票!$A:$A,$A23,[1]全伝票!$C:$C,$C23)))</f>
        <v>0</v>
      </c>
      <c r="F23" s="84">
        <f>+IF($A23="",IF($C23="",SUMIFS([1]全伝票!J:J,[1]全伝票!$B:$B,$B23),SUMIFS([1]全伝票!J:J,[1]全伝票!$C:$C,$C23)),IF($C23="",SUMIFS([1]全伝票!J:J,[1]全伝票!$A:$A,$A23,[1]全伝票!$B:$B,$B23),SUMIFS([1]全伝票!J:J,[1]全伝票!$A:$A,$A23,[1]全伝票!$C:$C,$C23)))</f>
        <v>0</v>
      </c>
      <c r="G23" s="83">
        <f>+IF($A23="",IF($C23="",SUMIFS([1]全伝票!K:K,[1]全伝票!$B:$B,$B23),SUMIFS([1]全伝票!K:K,[1]全伝票!$C:$C,$C23)),IF($C23="",SUMIFS([1]全伝票!K:K,[1]全伝票!$A:$A,$A23,[1]全伝票!$B:$B,$B23),SUMIFS([1]全伝票!K:K,[1]全伝票!$A:$A,$A23,[1]全伝票!$C:$C,$C23)))</f>
        <v>0</v>
      </c>
      <c r="H23" s="83">
        <f>+IF($A23="",IF($C23="",SUMIFS([1]全伝票!L:L,[1]全伝票!$B:$B,$B23),SUMIFS([1]全伝票!L:L,[1]全伝票!$C:$C,$C23)),IF($C23="",SUMIFS([1]全伝票!L:L,[1]全伝票!$A:$A,$A23,[1]全伝票!$B:$B,$B23),SUMIFS([1]全伝票!L:L,[1]全伝票!$A:$A,$A23,[1]全伝票!$C:$C,$C23)))</f>
        <v>0</v>
      </c>
      <c r="I23" s="83">
        <f>+IF($A23="",IF($C23="",SUMIFS([1]全伝票!M:M,[1]全伝票!$B:$B,$B23),SUMIFS([1]全伝票!M:M,[1]全伝票!$C:$C,$C23)),IF($C23="",SUMIFS([1]全伝票!M:M,[1]全伝票!$A:$A,$A23,[1]全伝票!$B:$B,$B23),SUMIFS([1]全伝票!M:M,[1]全伝票!$A:$A,$A23,[1]全伝票!$C:$C,$C23)))</f>
        <v>0</v>
      </c>
      <c r="J23" s="82">
        <f>+IF($A23="",IF($C23="",SUMIFS([1]全伝票!N:N,[1]全伝票!$B:$B,$B23),SUMIFS([1]全伝票!N:N,[1]全伝票!$C:$C,$C23)),IF($C23="",SUMIFS([1]全伝票!N:N,[1]全伝票!$A:$A,$A23,[1]全伝票!$B:$B,$B23),SUMIFS([1]全伝票!N:N,[1]全伝票!$A:$A,$A23,[1]全伝票!$C:$C,$C23)))</f>
        <v>0</v>
      </c>
      <c r="K23" s="45">
        <f t="shared" si="0"/>
        <v>0</v>
      </c>
      <c r="L23" s="81">
        <f>+IF($A23="",IF($C23="",SUMIFS([1]全伝票!O:O,[1]全伝票!$B:$B,$B23),SUMIFS([1]全伝票!O:O,[1]全伝票!$C:$C,$C23)),IF($C23="",SUMIFS([1]全伝票!O:O,[1]全伝票!$A:$A,$A23,[1]全伝票!$B:$B,$B23),SUMIFS([1]全伝票!O:O,[1]全伝票!$A:$A,$A23,[1]全伝票!$C:$C,$C23)))</f>
        <v>0</v>
      </c>
      <c r="M23" s="81">
        <f>+IF($A23="",IF($C23="",SUMIFS([1]全伝票!P:P,[1]全伝票!$B:$B,$B23),SUMIFS([1]全伝票!P:P,[1]全伝票!$C:$C,$C23)),IF($C23="",SUMIFS([1]全伝票!P:P,[1]全伝票!$A:$A,$A23,[1]全伝票!$B:$B,$B23),SUMIFS([1]全伝票!P:P,[1]全伝票!$A:$A,$A23,[1]全伝票!$C:$C,$C23)))</f>
        <v>0</v>
      </c>
      <c r="N23" s="43">
        <f t="shared" si="1"/>
        <v>0</v>
      </c>
      <c r="O23" s="42">
        <f t="shared" si="2"/>
        <v>0</v>
      </c>
      <c r="P23" s="42">
        <f t="shared" si="3"/>
        <v>0</v>
      </c>
      <c r="Q23" s="42">
        <f t="shared" si="3"/>
        <v>0</v>
      </c>
      <c r="R23" s="46">
        <f t="shared" si="4"/>
        <v>0</v>
      </c>
      <c r="S23" s="45">
        <f t="shared" si="5"/>
        <v>0</v>
      </c>
      <c r="T23" s="44">
        <f t="shared" si="6"/>
        <v>0</v>
      </c>
      <c r="U23" s="31">
        <f t="shared" si="7"/>
        <v>0</v>
      </c>
      <c r="V23" s="31">
        <f t="shared" si="8"/>
        <v>0</v>
      </c>
      <c r="W23" s="31">
        <f t="shared" si="9"/>
        <v>0</v>
      </c>
      <c r="X23" s="31">
        <f t="shared" si="9"/>
        <v>0</v>
      </c>
      <c r="Y23" s="31">
        <f t="shared" si="10"/>
        <v>0</v>
      </c>
      <c r="Z23" s="30">
        <f t="shared" si="11"/>
        <v>0</v>
      </c>
      <c r="AA23" s="30">
        <f t="shared" si="12"/>
        <v>0</v>
      </c>
      <c r="AB23" s="30">
        <f t="shared" si="13"/>
        <v>0</v>
      </c>
      <c r="AC23" s="30">
        <f t="shared" si="13"/>
        <v>0</v>
      </c>
      <c r="AD23" s="30">
        <f t="shared" si="14"/>
        <v>0</v>
      </c>
      <c r="AE23" s="29"/>
      <c r="AF23" s="29"/>
      <c r="AG23" s="29"/>
      <c r="AH23" s="29"/>
      <c r="AI23" s="29"/>
    </row>
    <row r="24" spans="1:35" x14ac:dyDescent="0.15">
      <c r="A24" s="51">
        <v>2</v>
      </c>
      <c r="B24" s="50" t="s">
        <v>315</v>
      </c>
      <c r="C24" s="49"/>
      <c r="D24" s="48" t="s">
        <v>62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 t="shared" si="0"/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1"/>
        <v>0</v>
      </c>
      <c r="O24" s="42">
        <f t="shared" si="2"/>
        <v>0</v>
      </c>
      <c r="P24" s="42">
        <f t="shared" si="3"/>
        <v>0</v>
      </c>
      <c r="Q24" s="42">
        <f t="shared" si="3"/>
        <v>0</v>
      </c>
      <c r="R24" s="46">
        <f t="shared" si="4"/>
        <v>0</v>
      </c>
      <c r="S24" s="45">
        <f t="shared" si="5"/>
        <v>0</v>
      </c>
      <c r="T24" s="44">
        <f t="shared" si="6"/>
        <v>0</v>
      </c>
      <c r="U24" s="31">
        <f t="shared" si="7"/>
        <v>0</v>
      </c>
      <c r="V24" s="31">
        <f t="shared" si="8"/>
        <v>0</v>
      </c>
      <c r="W24" s="31">
        <f t="shared" si="9"/>
        <v>0</v>
      </c>
      <c r="X24" s="31">
        <f t="shared" si="9"/>
        <v>0</v>
      </c>
      <c r="Y24" s="31">
        <f t="shared" si="10"/>
        <v>0</v>
      </c>
      <c r="Z24" s="30">
        <f t="shared" si="11"/>
        <v>0</v>
      </c>
      <c r="AA24" s="30">
        <f t="shared" si="12"/>
        <v>0</v>
      </c>
      <c r="AB24" s="30">
        <f t="shared" si="13"/>
        <v>0</v>
      </c>
      <c r="AC24" s="30">
        <f t="shared" si="13"/>
        <v>0</v>
      </c>
      <c r="AD24" s="30">
        <f t="shared" si="14"/>
        <v>0</v>
      </c>
      <c r="AE24" s="29"/>
      <c r="AF24" s="29"/>
      <c r="AG24" s="29"/>
      <c r="AH24" s="29"/>
      <c r="AI24" s="29"/>
    </row>
    <row r="25" spans="1:35" x14ac:dyDescent="0.15">
      <c r="A25" s="51">
        <v>2</v>
      </c>
      <c r="B25" s="50" t="s">
        <v>314</v>
      </c>
      <c r="C25" s="49"/>
      <c r="D25" s="48" t="s">
        <v>60</v>
      </c>
      <c r="E25" s="81">
        <f>+IF($A25="",IF($C25="",SUMIFS([1]全伝票!I:I,[1]全伝票!$B:$B,$B25),SUMIFS([1]全伝票!I:I,[1]全伝票!$C:$C,$C25)),IF($C25="",SUMIFS([1]全伝票!I:I,[1]全伝票!$A:$A,$A25,[1]全伝票!$B:$B,$B25),SUMIFS([1]全伝票!I:I,[1]全伝票!$A:$A,$A25,[1]全伝票!$C:$C,$C25)))</f>
        <v>28080</v>
      </c>
      <c r="F25" s="84">
        <f>+IF($A25="",IF($C25="",SUMIFS([1]全伝票!J:J,[1]全伝票!$B:$B,$B25),SUMIFS([1]全伝票!J:J,[1]全伝票!$C:$C,$C25)),IF($C25="",SUMIFS([1]全伝票!J:J,[1]全伝票!$A:$A,$A25,[1]全伝票!$B:$B,$B25),SUMIFS([1]全伝票!J:J,[1]全伝票!$A:$A,$A25,[1]全伝票!$C:$C,$C25)))</f>
        <v>0</v>
      </c>
      <c r="G25" s="83">
        <f>+IF($A25="",IF($C25="",SUMIFS([1]全伝票!K:K,[1]全伝票!$B:$B,$B25),SUMIFS([1]全伝票!K:K,[1]全伝票!$C:$C,$C25)),IF($C25="",SUMIFS([1]全伝票!K:K,[1]全伝票!$A:$A,$A25,[1]全伝票!$B:$B,$B25),SUMIFS([1]全伝票!K:K,[1]全伝票!$A:$A,$A25,[1]全伝票!$C:$C,$C25)))</f>
        <v>0</v>
      </c>
      <c r="H25" s="83">
        <f>+IF($A25="",IF($C25="",SUMIFS([1]全伝票!L:L,[1]全伝票!$B:$B,$B25),SUMIFS([1]全伝票!L:L,[1]全伝票!$C:$C,$C25)),IF($C25="",SUMIFS([1]全伝票!L:L,[1]全伝票!$A:$A,$A25,[1]全伝票!$B:$B,$B25),SUMIFS([1]全伝票!L:L,[1]全伝票!$A:$A,$A25,[1]全伝票!$C:$C,$C25)))</f>
        <v>0</v>
      </c>
      <c r="I25" s="83">
        <f>+IF($A25="",IF($C25="",SUMIFS([1]全伝票!M:M,[1]全伝票!$B:$B,$B25),SUMIFS([1]全伝票!M:M,[1]全伝票!$C:$C,$C25)),IF($C25="",SUMIFS([1]全伝票!M:M,[1]全伝票!$A:$A,$A25,[1]全伝票!$B:$B,$B25),SUMIFS([1]全伝票!M:M,[1]全伝票!$A:$A,$A25,[1]全伝票!$C:$C,$C25)))</f>
        <v>0</v>
      </c>
      <c r="J25" s="82">
        <f>+IF($A25="",IF($C25="",SUMIFS([1]全伝票!N:N,[1]全伝票!$B:$B,$B25),SUMIFS([1]全伝票!N:N,[1]全伝票!$C:$C,$C25)),IF($C25="",SUMIFS([1]全伝票!N:N,[1]全伝票!$A:$A,$A25,[1]全伝票!$B:$B,$B25),SUMIFS([1]全伝票!N:N,[1]全伝票!$A:$A,$A25,[1]全伝票!$C:$C,$C25)))</f>
        <v>0</v>
      </c>
      <c r="K25" s="45">
        <f t="shared" si="0"/>
        <v>0</v>
      </c>
      <c r="L25" s="81">
        <f>+IF($A25="",IF($C25="",SUMIFS([1]全伝票!O:O,[1]全伝票!$B:$B,$B25),SUMIFS([1]全伝票!O:O,[1]全伝票!$C:$C,$C25)),IF($C25="",SUMIFS([1]全伝票!O:O,[1]全伝票!$A:$A,$A25,[1]全伝票!$B:$B,$B25),SUMIFS([1]全伝票!O:O,[1]全伝票!$A:$A,$A25,[1]全伝票!$C:$C,$C25)))</f>
        <v>28080</v>
      </c>
      <c r="M25" s="81">
        <f>+IF($A25="",IF($C25="",SUMIFS([1]全伝票!P:P,[1]全伝票!$B:$B,$B25),SUMIFS([1]全伝票!P:P,[1]全伝票!$C:$C,$C25)),IF($C25="",SUMIFS([1]全伝票!P:P,[1]全伝票!$A:$A,$A25,[1]全伝票!$B:$B,$B25),SUMIFS([1]全伝票!P:P,[1]全伝票!$A:$A,$A25,[1]全伝票!$C:$C,$C25)))</f>
        <v>0</v>
      </c>
      <c r="N25" s="43">
        <f t="shared" si="1"/>
        <v>0</v>
      </c>
      <c r="O25" s="42">
        <f t="shared" si="2"/>
        <v>0</v>
      </c>
      <c r="P25" s="42">
        <f t="shared" si="3"/>
        <v>0</v>
      </c>
      <c r="Q25" s="42">
        <f t="shared" si="3"/>
        <v>0</v>
      </c>
      <c r="R25" s="46">
        <f t="shared" si="4"/>
        <v>0</v>
      </c>
      <c r="S25" s="45">
        <f t="shared" si="5"/>
        <v>0</v>
      </c>
      <c r="T25" s="44">
        <f t="shared" si="6"/>
        <v>28080</v>
      </c>
      <c r="U25" s="31">
        <f t="shared" si="7"/>
        <v>0</v>
      </c>
      <c r="V25" s="31">
        <f t="shared" si="8"/>
        <v>0</v>
      </c>
      <c r="W25" s="31">
        <f t="shared" si="9"/>
        <v>0</v>
      </c>
      <c r="X25" s="31">
        <f t="shared" si="9"/>
        <v>0</v>
      </c>
      <c r="Y25" s="31">
        <f t="shared" si="10"/>
        <v>0</v>
      </c>
      <c r="Z25" s="30">
        <f t="shared" si="11"/>
        <v>0</v>
      </c>
      <c r="AA25" s="30">
        <f t="shared" si="12"/>
        <v>0</v>
      </c>
      <c r="AB25" s="30">
        <f t="shared" si="13"/>
        <v>0</v>
      </c>
      <c r="AC25" s="30">
        <f t="shared" si="13"/>
        <v>0</v>
      </c>
      <c r="AD25" s="30">
        <f t="shared" si="14"/>
        <v>0</v>
      </c>
      <c r="AE25" s="29"/>
      <c r="AF25" s="29"/>
      <c r="AG25" s="29"/>
      <c r="AH25" s="29"/>
      <c r="AI25" s="29"/>
    </row>
    <row r="26" spans="1:35" x14ac:dyDescent="0.15">
      <c r="A26" s="51">
        <v>2</v>
      </c>
      <c r="B26" s="50" t="s">
        <v>313</v>
      </c>
      <c r="C26" s="49"/>
      <c r="D26" s="48" t="s">
        <v>58</v>
      </c>
      <c r="E26" s="81">
        <f>+IF($A26="",IF($C26="",SUMIFS([1]全伝票!I:I,[1]全伝票!$B:$B,$B26),SUMIFS([1]全伝票!I:I,[1]全伝票!$C:$C,$C26)),IF($C26="",SUMIFS([1]全伝票!I:I,[1]全伝票!$A:$A,$A26,[1]全伝票!$B:$B,$B26),SUMIFS([1]全伝票!I:I,[1]全伝票!$A:$A,$A26,[1]全伝票!$C:$C,$C26)))</f>
        <v>8200</v>
      </c>
      <c r="F26" s="84">
        <f>+IF($A26="",IF($C26="",SUMIFS([1]全伝票!J:J,[1]全伝票!$B:$B,$B26),SUMIFS([1]全伝票!J:J,[1]全伝票!$C:$C,$C26)),IF($C26="",SUMIFS([1]全伝票!J:J,[1]全伝票!$A:$A,$A26,[1]全伝票!$B:$B,$B26),SUMIFS([1]全伝票!J:J,[1]全伝票!$A:$A,$A26,[1]全伝票!$C:$C,$C26)))</f>
        <v>0</v>
      </c>
      <c r="G26" s="83">
        <f>+IF($A26="",IF($C26="",SUMIFS([1]全伝票!K:K,[1]全伝票!$B:$B,$B26),SUMIFS([1]全伝票!K:K,[1]全伝票!$C:$C,$C26)),IF($C26="",SUMIFS([1]全伝票!K:K,[1]全伝票!$A:$A,$A26,[1]全伝票!$B:$B,$B26),SUMIFS([1]全伝票!K:K,[1]全伝票!$A:$A,$A26,[1]全伝票!$C:$C,$C26)))</f>
        <v>0</v>
      </c>
      <c r="H26" s="83">
        <f>+IF($A26="",IF($C26="",SUMIFS([1]全伝票!L:L,[1]全伝票!$B:$B,$B26),SUMIFS([1]全伝票!L:L,[1]全伝票!$C:$C,$C26)),IF($C26="",SUMIFS([1]全伝票!L:L,[1]全伝票!$A:$A,$A26,[1]全伝票!$B:$B,$B26),SUMIFS([1]全伝票!L:L,[1]全伝票!$A:$A,$A26,[1]全伝票!$C:$C,$C26)))</f>
        <v>0</v>
      </c>
      <c r="I26" s="83">
        <f>+IF($A26="",IF($C26="",SUMIFS([1]全伝票!M:M,[1]全伝票!$B:$B,$B26),SUMIFS([1]全伝票!M:M,[1]全伝票!$C:$C,$C26)),IF($C26="",SUMIFS([1]全伝票!M:M,[1]全伝票!$A:$A,$A26,[1]全伝票!$B:$B,$B26),SUMIFS([1]全伝票!M:M,[1]全伝票!$A:$A,$A26,[1]全伝票!$C:$C,$C26)))</f>
        <v>0</v>
      </c>
      <c r="J26" s="82">
        <f>+IF($A26="",IF($C26="",SUMIFS([1]全伝票!N:N,[1]全伝票!$B:$B,$B26),SUMIFS([1]全伝票!N:N,[1]全伝票!$C:$C,$C26)),IF($C26="",SUMIFS([1]全伝票!N:N,[1]全伝票!$A:$A,$A26,[1]全伝票!$B:$B,$B26),SUMIFS([1]全伝票!N:N,[1]全伝票!$A:$A,$A26,[1]全伝票!$C:$C,$C26)))</f>
        <v>0</v>
      </c>
      <c r="K26" s="45">
        <f t="shared" si="0"/>
        <v>0</v>
      </c>
      <c r="L26" s="81">
        <f>+IF($A26="",IF($C26="",SUMIFS([1]全伝票!O:O,[1]全伝票!$B:$B,$B26),SUMIFS([1]全伝票!O:O,[1]全伝票!$C:$C,$C26)),IF($C26="",SUMIFS([1]全伝票!O:O,[1]全伝票!$A:$A,$A26,[1]全伝票!$B:$B,$B26),SUMIFS([1]全伝票!O:O,[1]全伝票!$A:$A,$A26,[1]全伝票!$C:$C,$C26)))</f>
        <v>0</v>
      </c>
      <c r="M26" s="81">
        <f>+IF($A26="",IF($C26="",SUMIFS([1]全伝票!P:P,[1]全伝票!$B:$B,$B26),SUMIFS([1]全伝票!P:P,[1]全伝票!$C:$C,$C26)),IF($C26="",SUMIFS([1]全伝票!P:P,[1]全伝票!$A:$A,$A26,[1]全伝票!$B:$B,$B26),SUMIFS([1]全伝票!P:P,[1]全伝票!$A:$A,$A26,[1]全伝票!$C:$C,$C26)))</f>
        <v>8200</v>
      </c>
      <c r="N26" s="43">
        <f t="shared" si="1"/>
        <v>0</v>
      </c>
      <c r="O26" s="42">
        <f t="shared" si="2"/>
        <v>0</v>
      </c>
      <c r="P26" s="42">
        <f t="shared" si="3"/>
        <v>0</v>
      </c>
      <c r="Q26" s="42">
        <f t="shared" si="3"/>
        <v>0</v>
      </c>
      <c r="R26" s="46">
        <f t="shared" si="4"/>
        <v>0</v>
      </c>
      <c r="S26" s="45">
        <f t="shared" si="5"/>
        <v>0</v>
      </c>
      <c r="T26" s="44">
        <f t="shared" si="6"/>
        <v>8200</v>
      </c>
      <c r="U26" s="31">
        <f t="shared" si="7"/>
        <v>0</v>
      </c>
      <c r="V26" s="31">
        <f t="shared" si="8"/>
        <v>0</v>
      </c>
      <c r="W26" s="31">
        <f t="shared" si="9"/>
        <v>0</v>
      </c>
      <c r="X26" s="31">
        <f t="shared" si="9"/>
        <v>0</v>
      </c>
      <c r="Y26" s="31">
        <f t="shared" si="10"/>
        <v>0</v>
      </c>
      <c r="Z26" s="30">
        <f t="shared" si="11"/>
        <v>0</v>
      </c>
      <c r="AA26" s="30">
        <f t="shared" si="12"/>
        <v>0</v>
      </c>
      <c r="AB26" s="30">
        <f t="shared" si="13"/>
        <v>0</v>
      </c>
      <c r="AC26" s="30">
        <f t="shared" si="13"/>
        <v>0</v>
      </c>
      <c r="AD26" s="30">
        <f t="shared" si="14"/>
        <v>0</v>
      </c>
      <c r="AE26" s="29"/>
      <c r="AF26" s="29"/>
      <c r="AG26" s="29"/>
      <c r="AH26" s="29"/>
      <c r="AI26" s="29"/>
    </row>
    <row r="27" spans="1:35" x14ac:dyDescent="0.15">
      <c r="A27" s="51">
        <v>2</v>
      </c>
      <c r="B27" s="50" t="s">
        <v>327</v>
      </c>
      <c r="C27" s="49">
        <v>615531003</v>
      </c>
      <c r="D27" s="48" t="s">
        <v>370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0</v>
      </c>
      <c r="K27" s="45">
        <f t="shared" si="0"/>
        <v>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1"/>
        <v>0</v>
      </c>
      <c r="O27" s="42">
        <f t="shared" si="2"/>
        <v>0</v>
      </c>
      <c r="P27" s="42">
        <f t="shared" si="3"/>
        <v>0</v>
      </c>
      <c r="Q27" s="42">
        <f t="shared" si="3"/>
        <v>0</v>
      </c>
      <c r="R27" s="46">
        <f t="shared" si="4"/>
        <v>0</v>
      </c>
      <c r="S27" s="45">
        <f t="shared" si="5"/>
        <v>0</v>
      </c>
      <c r="T27" s="44">
        <f t="shared" si="6"/>
        <v>0</v>
      </c>
      <c r="U27" s="31">
        <f t="shared" si="7"/>
        <v>0</v>
      </c>
      <c r="V27" s="31">
        <f t="shared" si="8"/>
        <v>0</v>
      </c>
      <c r="W27" s="31">
        <f t="shared" si="9"/>
        <v>0</v>
      </c>
      <c r="X27" s="31">
        <f t="shared" si="9"/>
        <v>0</v>
      </c>
      <c r="Y27" s="31">
        <f t="shared" si="10"/>
        <v>0</v>
      </c>
      <c r="Z27" s="30">
        <f t="shared" si="11"/>
        <v>0</v>
      </c>
      <c r="AA27" s="30">
        <f t="shared" si="12"/>
        <v>0</v>
      </c>
      <c r="AB27" s="30">
        <f t="shared" si="13"/>
        <v>0</v>
      </c>
      <c r="AC27" s="30">
        <f t="shared" si="13"/>
        <v>0</v>
      </c>
      <c r="AD27" s="30">
        <f t="shared" si="14"/>
        <v>0</v>
      </c>
      <c r="AE27" s="29"/>
      <c r="AF27" s="29"/>
      <c r="AG27" s="29"/>
      <c r="AH27" s="29"/>
      <c r="AI27" s="29"/>
    </row>
    <row r="28" spans="1:35" x14ac:dyDescent="0.15">
      <c r="A28" s="51">
        <v>2</v>
      </c>
      <c r="B28" s="50" t="s">
        <v>312</v>
      </c>
      <c r="C28" s="49"/>
      <c r="D28" s="48" t="s">
        <v>56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0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0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0</v>
      </c>
      <c r="N28" s="43">
        <f t="shared" si="1"/>
        <v>0</v>
      </c>
      <c r="O28" s="42">
        <f t="shared" si="2"/>
        <v>0</v>
      </c>
      <c r="P28" s="42">
        <f t="shared" si="3"/>
        <v>0</v>
      </c>
      <c r="Q28" s="42">
        <f t="shared" si="3"/>
        <v>0</v>
      </c>
      <c r="R28" s="46">
        <f t="shared" si="4"/>
        <v>0</v>
      </c>
      <c r="S28" s="45">
        <f t="shared" si="5"/>
        <v>0</v>
      </c>
      <c r="T28" s="44">
        <f t="shared" si="6"/>
        <v>0</v>
      </c>
      <c r="U28" s="31">
        <f t="shared" si="7"/>
        <v>0</v>
      </c>
      <c r="V28" s="31">
        <f t="shared" si="8"/>
        <v>0</v>
      </c>
      <c r="W28" s="31">
        <f t="shared" si="9"/>
        <v>0</v>
      </c>
      <c r="X28" s="31">
        <f t="shared" si="9"/>
        <v>0</v>
      </c>
      <c r="Y28" s="31">
        <f t="shared" si="10"/>
        <v>0</v>
      </c>
      <c r="Z28" s="30">
        <f t="shared" si="11"/>
        <v>0</v>
      </c>
      <c r="AA28" s="30">
        <f t="shared" si="12"/>
        <v>0</v>
      </c>
      <c r="AB28" s="30">
        <f t="shared" si="13"/>
        <v>0</v>
      </c>
      <c r="AC28" s="30">
        <f t="shared" si="13"/>
        <v>0</v>
      </c>
      <c r="AD28" s="30">
        <f t="shared" si="14"/>
        <v>0</v>
      </c>
      <c r="AE28" s="29"/>
      <c r="AF28" s="29"/>
      <c r="AG28" s="29"/>
      <c r="AH28" s="29"/>
      <c r="AI28" s="29"/>
    </row>
    <row r="29" spans="1:35" x14ac:dyDescent="0.15">
      <c r="A29" s="51">
        <v>2</v>
      </c>
      <c r="B29" s="50" t="s">
        <v>311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0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1"/>
        <v>0</v>
      </c>
      <c r="O29" s="42">
        <f t="shared" si="2"/>
        <v>0</v>
      </c>
      <c r="P29" s="42">
        <f t="shared" si="3"/>
        <v>0</v>
      </c>
      <c r="Q29" s="42">
        <f t="shared" si="3"/>
        <v>0</v>
      </c>
      <c r="R29" s="46">
        <f t="shared" si="4"/>
        <v>0</v>
      </c>
      <c r="S29" s="45">
        <f t="shared" si="5"/>
        <v>0</v>
      </c>
      <c r="T29" s="44">
        <f t="shared" si="6"/>
        <v>0</v>
      </c>
      <c r="U29" s="31">
        <f t="shared" si="7"/>
        <v>0</v>
      </c>
      <c r="V29" s="31">
        <f t="shared" si="8"/>
        <v>0</v>
      </c>
      <c r="W29" s="31">
        <f t="shared" si="9"/>
        <v>0</v>
      </c>
      <c r="X29" s="31">
        <f t="shared" si="9"/>
        <v>0</v>
      </c>
      <c r="Y29" s="31">
        <f t="shared" si="10"/>
        <v>0</v>
      </c>
      <c r="Z29" s="30">
        <f t="shared" si="11"/>
        <v>0</v>
      </c>
      <c r="AA29" s="30">
        <f t="shared" si="12"/>
        <v>0</v>
      </c>
      <c r="AB29" s="30">
        <f t="shared" si="13"/>
        <v>0</v>
      </c>
      <c r="AC29" s="30">
        <f t="shared" si="13"/>
        <v>0</v>
      </c>
      <c r="AD29" s="30">
        <f t="shared" si="14"/>
        <v>0</v>
      </c>
      <c r="AE29" s="29"/>
      <c r="AF29" s="29"/>
      <c r="AG29" s="29"/>
      <c r="AH29" s="29"/>
      <c r="AI29" s="29"/>
    </row>
    <row r="30" spans="1:35" x14ac:dyDescent="0.15">
      <c r="A30" s="51">
        <v>2</v>
      </c>
      <c r="B30" s="50" t="s">
        <v>310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0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1"/>
        <v>0</v>
      </c>
      <c r="O30" s="42">
        <f t="shared" si="2"/>
        <v>0</v>
      </c>
      <c r="P30" s="42">
        <f t="shared" si="3"/>
        <v>0</v>
      </c>
      <c r="Q30" s="42">
        <f t="shared" si="3"/>
        <v>0</v>
      </c>
      <c r="R30" s="46">
        <f t="shared" si="4"/>
        <v>0</v>
      </c>
      <c r="S30" s="45">
        <f t="shared" si="5"/>
        <v>0</v>
      </c>
      <c r="T30" s="44">
        <f t="shared" si="6"/>
        <v>0</v>
      </c>
      <c r="U30" s="31">
        <f t="shared" si="7"/>
        <v>0</v>
      </c>
      <c r="V30" s="31">
        <f t="shared" si="8"/>
        <v>0</v>
      </c>
      <c r="W30" s="31">
        <f t="shared" si="9"/>
        <v>0</v>
      </c>
      <c r="X30" s="31">
        <f t="shared" si="9"/>
        <v>0</v>
      </c>
      <c r="Y30" s="31">
        <f t="shared" si="10"/>
        <v>0</v>
      </c>
      <c r="Z30" s="30">
        <f t="shared" si="11"/>
        <v>0</v>
      </c>
      <c r="AA30" s="30">
        <f t="shared" si="12"/>
        <v>0</v>
      </c>
      <c r="AB30" s="30">
        <f t="shared" si="13"/>
        <v>0</v>
      </c>
      <c r="AC30" s="30">
        <f t="shared" si="13"/>
        <v>0</v>
      </c>
      <c r="AD30" s="30">
        <f t="shared" si="14"/>
        <v>0</v>
      </c>
      <c r="AE30" s="29"/>
      <c r="AF30" s="29"/>
      <c r="AG30" s="29"/>
      <c r="AH30" s="29"/>
      <c r="AI30" s="29"/>
    </row>
    <row r="31" spans="1:35" x14ac:dyDescent="0.15">
      <c r="A31" s="51">
        <v>2</v>
      </c>
      <c r="B31" s="50" t="s">
        <v>309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1"/>
        <v>0</v>
      </c>
      <c r="O31" s="42">
        <f t="shared" si="2"/>
        <v>0</v>
      </c>
      <c r="P31" s="42">
        <f t="shared" si="3"/>
        <v>0</v>
      </c>
      <c r="Q31" s="42">
        <f t="shared" si="3"/>
        <v>0</v>
      </c>
      <c r="R31" s="46">
        <f t="shared" si="4"/>
        <v>0</v>
      </c>
      <c r="S31" s="45">
        <f t="shared" si="5"/>
        <v>0</v>
      </c>
      <c r="T31" s="44">
        <f t="shared" si="6"/>
        <v>0</v>
      </c>
      <c r="U31" s="31">
        <f t="shared" si="7"/>
        <v>0</v>
      </c>
      <c r="V31" s="31">
        <f t="shared" si="8"/>
        <v>0</v>
      </c>
      <c r="W31" s="31">
        <f t="shared" si="9"/>
        <v>0</v>
      </c>
      <c r="X31" s="31">
        <f t="shared" si="9"/>
        <v>0</v>
      </c>
      <c r="Y31" s="31">
        <f t="shared" si="10"/>
        <v>0</v>
      </c>
      <c r="Z31" s="30">
        <f t="shared" si="11"/>
        <v>0</v>
      </c>
      <c r="AA31" s="30">
        <f t="shared" si="12"/>
        <v>0</v>
      </c>
      <c r="AB31" s="30">
        <f t="shared" si="13"/>
        <v>0</v>
      </c>
      <c r="AC31" s="30">
        <f t="shared" si="13"/>
        <v>0</v>
      </c>
      <c r="AD31" s="30">
        <f t="shared" si="14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308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1"/>
        <v>0</v>
      </c>
      <c r="O32" s="42">
        <f t="shared" si="2"/>
        <v>0</v>
      </c>
      <c r="P32" s="42">
        <f t="shared" si="3"/>
        <v>0</v>
      </c>
      <c r="Q32" s="42">
        <f t="shared" si="3"/>
        <v>0</v>
      </c>
      <c r="R32" s="46">
        <f t="shared" si="4"/>
        <v>0</v>
      </c>
      <c r="S32" s="45">
        <f t="shared" si="5"/>
        <v>0</v>
      </c>
      <c r="T32" s="44">
        <f t="shared" si="6"/>
        <v>0</v>
      </c>
      <c r="U32" s="31">
        <f t="shared" si="7"/>
        <v>0</v>
      </c>
      <c r="V32" s="31">
        <f t="shared" si="8"/>
        <v>0</v>
      </c>
      <c r="W32" s="31">
        <f t="shared" si="9"/>
        <v>0</v>
      </c>
      <c r="X32" s="31">
        <f t="shared" si="9"/>
        <v>0</v>
      </c>
      <c r="Y32" s="31">
        <f t="shared" si="10"/>
        <v>0</v>
      </c>
      <c r="Z32" s="30">
        <f t="shared" si="11"/>
        <v>0</v>
      </c>
      <c r="AA32" s="30">
        <f t="shared" si="12"/>
        <v>0</v>
      </c>
      <c r="AB32" s="30">
        <f t="shared" si="13"/>
        <v>0</v>
      </c>
      <c r="AC32" s="30">
        <f t="shared" si="13"/>
        <v>0</v>
      </c>
      <c r="AD32" s="30">
        <f t="shared" si="14"/>
        <v>0</v>
      </c>
      <c r="AE32" s="29"/>
      <c r="AF32" s="29"/>
      <c r="AG32" s="29"/>
      <c r="AH32" s="29"/>
      <c r="AI32" s="29"/>
    </row>
    <row r="33" spans="1:35" x14ac:dyDescent="0.15">
      <c r="A33" s="51">
        <v>2</v>
      </c>
      <c r="B33" s="50" t="s">
        <v>307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1"/>
        <v>0</v>
      </c>
      <c r="O33" s="42">
        <f t="shared" si="2"/>
        <v>0</v>
      </c>
      <c r="P33" s="42">
        <f t="shared" si="3"/>
        <v>0</v>
      </c>
      <c r="Q33" s="42">
        <f t="shared" si="3"/>
        <v>0</v>
      </c>
      <c r="R33" s="46">
        <f t="shared" si="4"/>
        <v>0</v>
      </c>
      <c r="S33" s="45">
        <f t="shared" si="5"/>
        <v>0</v>
      </c>
      <c r="T33" s="44">
        <f t="shared" si="6"/>
        <v>0</v>
      </c>
      <c r="U33" s="31">
        <f t="shared" si="7"/>
        <v>0</v>
      </c>
      <c r="V33" s="31">
        <f t="shared" si="8"/>
        <v>0</v>
      </c>
      <c r="W33" s="31">
        <f t="shared" si="9"/>
        <v>0</v>
      </c>
      <c r="X33" s="31">
        <f t="shared" si="9"/>
        <v>0</v>
      </c>
      <c r="Y33" s="31">
        <f t="shared" si="10"/>
        <v>0</v>
      </c>
      <c r="Z33" s="30">
        <f t="shared" si="11"/>
        <v>0</v>
      </c>
      <c r="AA33" s="30">
        <f t="shared" si="12"/>
        <v>0</v>
      </c>
      <c r="AB33" s="30">
        <f t="shared" si="13"/>
        <v>0</v>
      </c>
      <c r="AC33" s="30">
        <f t="shared" si="13"/>
        <v>0</v>
      </c>
      <c r="AD33" s="30">
        <f t="shared" si="14"/>
        <v>0</v>
      </c>
      <c r="AE33" s="29"/>
      <c r="AF33" s="29"/>
      <c r="AG33" s="29"/>
      <c r="AH33" s="29"/>
      <c r="AI33" s="29"/>
    </row>
    <row r="34" spans="1:35" x14ac:dyDescent="0.15">
      <c r="A34" s="51">
        <v>2</v>
      </c>
      <c r="B34" s="50" t="s">
        <v>306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1"/>
        <v>0</v>
      </c>
      <c r="O34" s="42">
        <f t="shared" si="2"/>
        <v>0</v>
      </c>
      <c r="P34" s="42">
        <f t="shared" si="3"/>
        <v>0</v>
      </c>
      <c r="Q34" s="42">
        <f t="shared" si="3"/>
        <v>0</v>
      </c>
      <c r="R34" s="46">
        <f t="shared" si="4"/>
        <v>0</v>
      </c>
      <c r="S34" s="45">
        <f t="shared" si="5"/>
        <v>0</v>
      </c>
      <c r="T34" s="44">
        <f t="shared" si="6"/>
        <v>0</v>
      </c>
      <c r="U34" s="31">
        <f t="shared" si="7"/>
        <v>0</v>
      </c>
      <c r="V34" s="31">
        <f t="shared" si="8"/>
        <v>0</v>
      </c>
      <c r="W34" s="31">
        <f t="shared" si="9"/>
        <v>0</v>
      </c>
      <c r="X34" s="31">
        <f t="shared" si="9"/>
        <v>0</v>
      </c>
      <c r="Y34" s="31">
        <f t="shared" si="10"/>
        <v>0</v>
      </c>
      <c r="Z34" s="30">
        <f t="shared" si="11"/>
        <v>0</v>
      </c>
      <c r="AA34" s="30">
        <f t="shared" si="12"/>
        <v>0</v>
      </c>
      <c r="AB34" s="30">
        <f t="shared" si="13"/>
        <v>0</v>
      </c>
      <c r="AC34" s="30">
        <f t="shared" si="13"/>
        <v>0</v>
      </c>
      <c r="AD34" s="30">
        <f t="shared" si="14"/>
        <v>0</v>
      </c>
      <c r="AE34" s="29"/>
      <c r="AF34" s="29"/>
      <c r="AG34" s="29"/>
      <c r="AH34" s="29"/>
      <c r="AI34" s="29"/>
    </row>
    <row r="35" spans="1:35" x14ac:dyDescent="0.15">
      <c r="A35" s="51">
        <v>2</v>
      </c>
      <c r="B35" s="50" t="s">
        <v>300</v>
      </c>
      <c r="C35" s="49" t="s">
        <v>305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419535338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419535338</v>
      </c>
      <c r="K35" s="45">
        <f t="shared" si="0"/>
        <v>419535338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1"/>
        <v>0</v>
      </c>
      <c r="O35" s="42">
        <f t="shared" si="2"/>
        <v>0</v>
      </c>
      <c r="P35" s="42">
        <f t="shared" si="3"/>
        <v>0</v>
      </c>
      <c r="Q35" s="42">
        <f t="shared" si="3"/>
        <v>0</v>
      </c>
      <c r="R35" s="46">
        <f t="shared" si="4"/>
        <v>38139576</v>
      </c>
      <c r="S35" s="45">
        <f t="shared" si="5"/>
        <v>38139576</v>
      </c>
      <c r="T35" s="44">
        <f t="shared" si="6"/>
        <v>381395762</v>
      </c>
      <c r="U35" s="31">
        <f t="shared" si="7"/>
        <v>0</v>
      </c>
      <c r="V35" s="31">
        <f t="shared" si="8"/>
        <v>0</v>
      </c>
      <c r="W35" s="31">
        <f t="shared" si="9"/>
        <v>0</v>
      </c>
      <c r="X35" s="31">
        <f t="shared" si="9"/>
        <v>0</v>
      </c>
      <c r="Y35" s="31">
        <f t="shared" si="10"/>
        <v>-0.18181817978620529</v>
      </c>
      <c r="Z35" s="30">
        <f t="shared" si="11"/>
        <v>0</v>
      </c>
      <c r="AA35" s="30">
        <f t="shared" si="12"/>
        <v>0</v>
      </c>
      <c r="AB35" s="30">
        <f t="shared" si="13"/>
        <v>0</v>
      </c>
      <c r="AC35" s="30">
        <f t="shared" si="13"/>
        <v>0</v>
      </c>
      <c r="AD35" s="30">
        <f t="shared" si="14"/>
        <v>0</v>
      </c>
      <c r="AE35" s="29"/>
      <c r="AF35" s="29"/>
      <c r="AG35" s="29"/>
      <c r="AH35" s="29"/>
      <c r="AI35" s="29"/>
    </row>
    <row r="36" spans="1:35" x14ac:dyDescent="0.15">
      <c r="A36" s="51">
        <v>2</v>
      </c>
      <c r="B36" s="50" t="s">
        <v>300</v>
      </c>
      <c r="C36" s="49" t="s">
        <v>304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4022728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4022728</v>
      </c>
      <c r="N36" s="43">
        <f t="shared" si="1"/>
        <v>0</v>
      </c>
      <c r="O36" s="42">
        <f t="shared" si="2"/>
        <v>0</v>
      </c>
      <c r="P36" s="42">
        <f t="shared" si="3"/>
        <v>0</v>
      </c>
      <c r="Q36" s="42">
        <f t="shared" si="3"/>
        <v>0</v>
      </c>
      <c r="R36" s="46">
        <f t="shared" si="4"/>
        <v>0</v>
      </c>
      <c r="S36" s="45">
        <f t="shared" si="5"/>
        <v>0</v>
      </c>
      <c r="T36" s="44">
        <f t="shared" si="6"/>
        <v>4022728</v>
      </c>
      <c r="U36" s="31">
        <f t="shared" si="7"/>
        <v>0</v>
      </c>
      <c r="V36" s="31">
        <f t="shared" si="8"/>
        <v>0</v>
      </c>
      <c r="W36" s="31">
        <f t="shared" si="9"/>
        <v>0</v>
      </c>
      <c r="X36" s="31">
        <f t="shared" si="9"/>
        <v>0</v>
      </c>
      <c r="Y36" s="31">
        <f t="shared" si="10"/>
        <v>0</v>
      </c>
      <c r="Z36" s="30">
        <f t="shared" si="11"/>
        <v>0</v>
      </c>
      <c r="AA36" s="30">
        <f t="shared" si="12"/>
        <v>0</v>
      </c>
      <c r="AB36" s="30">
        <f t="shared" si="13"/>
        <v>0</v>
      </c>
      <c r="AC36" s="30">
        <f t="shared" si="13"/>
        <v>0</v>
      </c>
      <c r="AD36" s="30">
        <f t="shared" si="14"/>
        <v>0</v>
      </c>
      <c r="AE36" s="29"/>
      <c r="AF36" s="29"/>
      <c r="AG36" s="29"/>
      <c r="AH36" s="29"/>
      <c r="AI36" s="29"/>
    </row>
    <row r="37" spans="1:35" x14ac:dyDescent="0.15">
      <c r="A37" s="51">
        <v>2</v>
      </c>
      <c r="B37" s="50" t="s">
        <v>300</v>
      </c>
      <c r="C37" s="49" t="s">
        <v>303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12423600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12423600</v>
      </c>
      <c r="K37" s="45">
        <f t="shared" si="0"/>
        <v>12423600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1"/>
        <v>0</v>
      </c>
      <c r="O37" s="42">
        <f t="shared" si="2"/>
        <v>0</v>
      </c>
      <c r="P37" s="42">
        <f t="shared" si="3"/>
        <v>0</v>
      </c>
      <c r="Q37" s="42">
        <f t="shared" si="3"/>
        <v>0</v>
      </c>
      <c r="R37" s="46">
        <f t="shared" si="4"/>
        <v>1129418</v>
      </c>
      <c r="S37" s="45">
        <f t="shared" si="5"/>
        <v>1129418</v>
      </c>
      <c r="T37" s="44">
        <f t="shared" si="6"/>
        <v>11294182</v>
      </c>
      <c r="U37" s="31">
        <f t="shared" si="7"/>
        <v>0</v>
      </c>
      <c r="V37" s="31">
        <f t="shared" si="8"/>
        <v>0</v>
      </c>
      <c r="W37" s="31">
        <f t="shared" si="9"/>
        <v>0</v>
      </c>
      <c r="X37" s="31">
        <f t="shared" si="9"/>
        <v>0</v>
      </c>
      <c r="Y37" s="31">
        <f t="shared" si="10"/>
        <v>-0.18181818188168108</v>
      </c>
      <c r="Z37" s="30">
        <f t="shared" si="11"/>
        <v>0</v>
      </c>
      <c r="AA37" s="30">
        <f t="shared" si="12"/>
        <v>0</v>
      </c>
      <c r="AB37" s="30">
        <f t="shared" si="13"/>
        <v>0</v>
      </c>
      <c r="AC37" s="30">
        <f t="shared" si="13"/>
        <v>0</v>
      </c>
      <c r="AD37" s="30">
        <f t="shared" si="14"/>
        <v>0</v>
      </c>
      <c r="AE37" s="29"/>
      <c r="AF37" s="29"/>
      <c r="AG37" s="29"/>
      <c r="AH37" s="29"/>
      <c r="AI37" s="29"/>
    </row>
    <row r="38" spans="1:35" x14ac:dyDescent="0.15">
      <c r="A38" s="51">
        <v>2</v>
      </c>
      <c r="B38" s="50" t="s">
        <v>300</v>
      </c>
      <c r="C38" s="49" t="s">
        <v>302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7632900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7632900</v>
      </c>
      <c r="K38" s="45">
        <f t="shared" si="0"/>
        <v>7632900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1"/>
        <v>0</v>
      </c>
      <c r="O38" s="42">
        <f t="shared" si="2"/>
        <v>0</v>
      </c>
      <c r="P38" s="42">
        <f t="shared" si="3"/>
        <v>0</v>
      </c>
      <c r="Q38" s="42">
        <f t="shared" si="3"/>
        <v>0</v>
      </c>
      <c r="R38" s="46">
        <f t="shared" si="4"/>
        <v>693900</v>
      </c>
      <c r="S38" s="45">
        <f t="shared" si="5"/>
        <v>693900</v>
      </c>
      <c r="T38" s="44">
        <f t="shared" si="6"/>
        <v>6939000</v>
      </c>
      <c r="U38" s="31">
        <f t="shared" si="7"/>
        <v>0</v>
      </c>
      <c r="V38" s="31">
        <f t="shared" si="8"/>
        <v>0</v>
      </c>
      <c r="W38" s="31">
        <f t="shared" si="9"/>
        <v>0</v>
      </c>
      <c r="X38" s="31">
        <f t="shared" si="9"/>
        <v>0</v>
      </c>
      <c r="Y38" s="31">
        <f t="shared" si="10"/>
        <v>0</v>
      </c>
      <c r="Z38" s="30">
        <f t="shared" si="11"/>
        <v>0</v>
      </c>
      <c r="AA38" s="30">
        <f t="shared" si="12"/>
        <v>0</v>
      </c>
      <c r="AB38" s="30">
        <f t="shared" si="13"/>
        <v>0</v>
      </c>
      <c r="AC38" s="30">
        <f t="shared" si="13"/>
        <v>0</v>
      </c>
      <c r="AD38" s="30">
        <f t="shared" si="14"/>
        <v>0</v>
      </c>
      <c r="AE38" s="29"/>
      <c r="AF38" s="29"/>
      <c r="AG38" s="29"/>
      <c r="AH38" s="29"/>
      <c r="AI38" s="29"/>
    </row>
    <row r="39" spans="1:35" x14ac:dyDescent="0.15">
      <c r="A39" s="51">
        <v>2</v>
      </c>
      <c r="B39" s="50" t="s">
        <v>300</v>
      </c>
      <c r="C39" s="49" t="s">
        <v>301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45870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45870</v>
      </c>
      <c r="K39" s="45">
        <f t="shared" si="0"/>
        <v>45870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1"/>
        <v>0</v>
      </c>
      <c r="O39" s="42">
        <f t="shared" si="2"/>
        <v>0</v>
      </c>
      <c r="P39" s="42">
        <f t="shared" si="3"/>
        <v>0</v>
      </c>
      <c r="Q39" s="42">
        <f t="shared" si="3"/>
        <v>0</v>
      </c>
      <c r="R39" s="46">
        <f t="shared" si="4"/>
        <v>4170</v>
      </c>
      <c r="S39" s="45">
        <f t="shared" si="5"/>
        <v>4170</v>
      </c>
      <c r="T39" s="44">
        <f t="shared" si="6"/>
        <v>41700</v>
      </c>
      <c r="U39" s="31">
        <f t="shared" si="7"/>
        <v>0</v>
      </c>
      <c r="V39" s="31">
        <f t="shared" si="8"/>
        <v>0</v>
      </c>
      <c r="W39" s="31">
        <f t="shared" si="9"/>
        <v>0</v>
      </c>
      <c r="X39" s="31">
        <f t="shared" si="9"/>
        <v>0</v>
      </c>
      <c r="Y39" s="31">
        <f t="shared" si="10"/>
        <v>0</v>
      </c>
      <c r="Z39" s="30">
        <f t="shared" si="11"/>
        <v>0</v>
      </c>
      <c r="AA39" s="30">
        <f t="shared" si="12"/>
        <v>0</v>
      </c>
      <c r="AB39" s="30">
        <f t="shared" si="13"/>
        <v>0</v>
      </c>
      <c r="AC39" s="30">
        <f t="shared" si="13"/>
        <v>0</v>
      </c>
      <c r="AD39" s="30">
        <f t="shared" si="14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2</v>
      </c>
      <c r="B40" s="40" t="s">
        <v>300</v>
      </c>
      <c r="C40" s="39" t="s">
        <v>299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525070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525070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1"/>
        <v>0</v>
      </c>
      <c r="O40" s="32">
        <f t="shared" si="2"/>
        <v>0</v>
      </c>
      <c r="P40" s="32">
        <f t="shared" si="3"/>
        <v>0</v>
      </c>
      <c r="Q40" s="32">
        <f t="shared" si="3"/>
        <v>0</v>
      </c>
      <c r="R40" s="36">
        <f t="shared" si="4"/>
        <v>0</v>
      </c>
      <c r="S40" s="35">
        <f t="shared" si="5"/>
        <v>0</v>
      </c>
      <c r="T40" s="34">
        <f t="shared" si="6"/>
        <v>525070</v>
      </c>
      <c r="U40" s="31">
        <f t="shared" si="7"/>
        <v>0</v>
      </c>
      <c r="V40" s="31">
        <f t="shared" si="8"/>
        <v>0</v>
      </c>
      <c r="W40" s="31">
        <f t="shared" si="9"/>
        <v>0</v>
      </c>
      <c r="X40" s="31">
        <f t="shared" si="9"/>
        <v>0</v>
      </c>
      <c r="Y40" s="31">
        <f t="shared" si="10"/>
        <v>0</v>
      </c>
      <c r="Z40" s="30">
        <f t="shared" si="11"/>
        <v>0</v>
      </c>
      <c r="AA40" s="30">
        <f t="shared" si="12"/>
        <v>0</v>
      </c>
      <c r="AB40" s="30">
        <f t="shared" si="13"/>
        <v>0</v>
      </c>
      <c r="AC40" s="30">
        <f t="shared" si="13"/>
        <v>0</v>
      </c>
      <c r="AD40" s="30">
        <f t="shared" si="14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5">SUM(E5:E40)</f>
        <v>453738774</v>
      </c>
      <c r="F41" s="24">
        <f t="shared" si="15"/>
        <v>0</v>
      </c>
      <c r="G41" s="23">
        <f t="shared" si="15"/>
        <v>0</v>
      </c>
      <c r="H41" s="23">
        <f t="shared" si="15"/>
        <v>0</v>
      </c>
      <c r="I41" s="23">
        <f t="shared" ref="I41" si="16">SUM(I5:I40)</f>
        <v>0</v>
      </c>
      <c r="J41" s="22">
        <f t="shared" si="15"/>
        <v>440688000</v>
      </c>
      <c r="K41" s="15">
        <f t="shared" si="15"/>
        <v>440688000</v>
      </c>
      <c r="L41" s="20">
        <f t="shared" si="15"/>
        <v>1712617</v>
      </c>
      <c r="M41" s="20">
        <f t="shared" si="15"/>
        <v>11338157</v>
      </c>
      <c r="N41" s="17">
        <f t="shared" si="15"/>
        <v>0</v>
      </c>
      <c r="O41" s="16">
        <f t="shared" si="15"/>
        <v>0</v>
      </c>
      <c r="P41" s="16">
        <f t="shared" si="15"/>
        <v>0</v>
      </c>
      <c r="Q41" s="16">
        <f t="shared" ref="Q41" si="17">SUM(Q5:Q40)</f>
        <v>0</v>
      </c>
      <c r="R41" s="19">
        <f t="shared" si="15"/>
        <v>40062545</v>
      </c>
      <c r="S41" s="15">
        <f t="shared" si="15"/>
        <v>40062545</v>
      </c>
      <c r="T41" s="18">
        <f t="shared" si="15"/>
        <v>413676229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8">+E41</f>
        <v>453738774</v>
      </c>
      <c r="F42" s="10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8">
        <f t="shared" si="18"/>
        <v>440688000</v>
      </c>
      <c r="K42" s="4">
        <f>SUM(F42:J42)</f>
        <v>440688000</v>
      </c>
      <c r="L42" s="5">
        <f>+L41</f>
        <v>1712617</v>
      </c>
      <c r="M42" s="5">
        <f>+M41</f>
        <v>11338157</v>
      </c>
      <c r="N42" s="121">
        <f>+'4条支出'!N117</f>
        <v>0</v>
      </c>
      <c r="O42" s="122">
        <f>+'4条支出'!O17</f>
        <v>0</v>
      </c>
      <c r="P42" s="122">
        <f>+'4条支出'!P17</f>
        <v>0</v>
      </c>
      <c r="Q42" s="122">
        <f>+'4条支出'!Q17</f>
        <v>0</v>
      </c>
      <c r="R42" s="123">
        <f>+'4条支出'!R17</f>
        <v>40062545</v>
      </c>
      <c r="S42" s="124">
        <f>+'4条支出'!S17</f>
        <v>40062545</v>
      </c>
      <c r="T42" s="125">
        <f>+'4条支出'!T17</f>
        <v>413676229</v>
      </c>
    </row>
    <row r="43" spans="1:35" x14ac:dyDescent="0.15">
      <c r="E43" s="3">
        <f t="shared" ref="E43:T43" si="19">+E42-E41</f>
        <v>0</v>
      </c>
      <c r="F43" s="3">
        <f t="shared" si="19"/>
        <v>0</v>
      </c>
      <c r="G43" s="3">
        <f t="shared" si="19"/>
        <v>0</v>
      </c>
      <c r="H43" s="3">
        <f t="shared" si="19"/>
        <v>0</v>
      </c>
      <c r="I43" s="3">
        <f t="shared" ref="I43" si="20">+I42-I41</f>
        <v>0</v>
      </c>
      <c r="J43" s="3">
        <f t="shared" si="19"/>
        <v>0</v>
      </c>
      <c r="K43" s="3">
        <f t="shared" si="19"/>
        <v>0</v>
      </c>
      <c r="L43" s="3">
        <f t="shared" si="19"/>
        <v>0</v>
      </c>
      <c r="M43" s="3">
        <f t="shared" si="19"/>
        <v>0</v>
      </c>
      <c r="N43" s="3">
        <f t="shared" si="19"/>
        <v>0</v>
      </c>
      <c r="O43" s="3">
        <f t="shared" si="19"/>
        <v>0</v>
      </c>
      <c r="P43" s="3">
        <f t="shared" si="19"/>
        <v>0</v>
      </c>
      <c r="Q43" s="3">
        <f t="shared" ref="Q43" si="21">+Q42-Q41</f>
        <v>0</v>
      </c>
      <c r="R43" s="3">
        <f t="shared" si="19"/>
        <v>0</v>
      </c>
      <c r="S43" s="3">
        <f t="shared" si="19"/>
        <v>0</v>
      </c>
      <c r="T43" s="3">
        <f t="shared" si="19"/>
        <v>0</v>
      </c>
    </row>
    <row r="45" spans="1:35" x14ac:dyDescent="0.15">
      <c r="G45" s="133"/>
      <c r="H45" s="134"/>
      <c r="I45" s="134"/>
      <c r="J45" s="134"/>
    </row>
    <row r="46" spans="1:35" x14ac:dyDescent="0.15">
      <c r="G46" s="133"/>
      <c r="H46" s="134"/>
      <c r="I46" s="134"/>
      <c r="J46" s="134"/>
    </row>
    <row r="47" spans="1:35" x14ac:dyDescent="0.15">
      <c r="G47" s="134"/>
      <c r="H47" s="134"/>
      <c r="I47" s="134"/>
      <c r="J47" s="134"/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53" priority="4">
      <formula>ABS(Z5)=1</formula>
    </cfRule>
  </conditionalFormatting>
  <conditionalFormatting sqref="AD5:AD40">
    <cfRule type="expression" dxfId="52" priority="3">
      <formula>ABS(AD5)=1</formula>
    </cfRule>
  </conditionalFormatting>
  <conditionalFormatting sqref="Z6:AC40">
    <cfRule type="expression" dxfId="51" priority="6">
      <formula>ABS(Z6)=1</formula>
    </cfRule>
  </conditionalFormatting>
  <conditionalFormatting sqref="AE6:AE14 AE16:AE40">
    <cfRule type="notContainsBlanks" dxfId="50" priority="9" stopIfTrue="1">
      <formula>LEN(TRIM(AE6))&gt;0</formula>
    </cfRule>
  </conditionalFormatting>
  <conditionalFormatting sqref="AE6:AI40">
    <cfRule type="notContainsBlanks" dxfId="49" priority="8" stopIfTrue="1">
      <formula>LEN(TRIM(AE6))&gt;0</formula>
    </cfRule>
  </conditionalFormatting>
  <conditionalFormatting sqref="AE5:AI5">
    <cfRule type="notContainsBlanks" dxfId="48" priority="7" stopIfTrue="1">
      <formula>LEN(TRIM(AE5))&gt;0</formula>
    </cfRule>
  </conditionalFormatting>
  <conditionalFormatting sqref="AA6:AC40">
    <cfRule type="expression" dxfId="47" priority="5">
      <formula>ABS(AA6)=1</formula>
    </cfRule>
  </conditionalFormatting>
  <conditionalFormatting sqref="E43:H43 J43:T43">
    <cfRule type="cellIs" dxfId="46" priority="2" operator="notEqual">
      <formula>0</formula>
    </cfRule>
  </conditionalFormatting>
  <conditionalFormatting sqref="I43">
    <cfRule type="cellIs" dxfId="45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6"/>
  <sheetViews>
    <sheetView zoomScale="80" zoomScaleNormal="80" zoomScaleSheetLayoutView="40" workbookViewId="0">
      <pane xSplit="5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2" width="5.375" style="1" customWidth="1"/>
    <col min="23" max="23" width="6.875" style="1" bestFit="1" customWidth="1"/>
    <col min="24" max="24" width="5.375" style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337</v>
      </c>
      <c r="V2" s="67"/>
      <c r="W2" s="67"/>
      <c r="X2" s="67"/>
      <c r="Y2" s="67"/>
      <c r="Z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126">
        <v>3</v>
      </c>
      <c r="V4" s="126">
        <v>5</v>
      </c>
      <c r="W4" s="126">
        <v>8</v>
      </c>
      <c r="X4" s="132">
        <v>8</v>
      </c>
      <c r="Y4" s="126">
        <v>10</v>
      </c>
      <c r="Z4" s="126">
        <v>3</v>
      </c>
      <c r="AA4" s="126">
        <v>5</v>
      </c>
      <c r="AB4" s="126">
        <v>8</v>
      </c>
      <c r="AC4" s="132">
        <v>8</v>
      </c>
      <c r="AD4" s="126">
        <v>10</v>
      </c>
      <c r="AE4" s="126">
        <v>3</v>
      </c>
      <c r="AF4" s="126">
        <v>5</v>
      </c>
      <c r="AG4" s="126">
        <v>8</v>
      </c>
      <c r="AH4" s="132">
        <v>8</v>
      </c>
      <c r="AI4" s="126">
        <v>10</v>
      </c>
    </row>
    <row r="5" spans="1:35" x14ac:dyDescent="0.15">
      <c r="A5" s="66">
        <v>3</v>
      </c>
      <c r="B5" s="65" t="s">
        <v>335</v>
      </c>
      <c r="C5" s="64"/>
      <c r="D5" s="63" t="s">
        <v>101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ref="K5:K40" si="0"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0</v>
      </c>
      <c r="N5" s="61">
        <f t="shared" ref="N5:N40" si="1">+ROUND(F5*F$4/(100+F$4),0)+AE5</f>
        <v>0</v>
      </c>
      <c r="O5" s="60">
        <f t="shared" ref="O5:O40" si="2">+ROUND(G5*G$4/(100+G$4),0)+AF5</f>
        <v>0</v>
      </c>
      <c r="P5" s="60">
        <f t="shared" ref="P5:Q40" si="3">+ROUND(H5*H$4/(100+H$4),0)+AG5</f>
        <v>0</v>
      </c>
      <c r="Q5" s="60">
        <f t="shared" si="3"/>
        <v>0</v>
      </c>
      <c r="R5" s="59">
        <f t="shared" ref="R5:R40" si="4">+ROUND(J5*J$4/(100+J$4),0)+AI5</f>
        <v>0</v>
      </c>
      <c r="S5" s="58">
        <f t="shared" ref="S5:S40" si="5">SUM(N5:R5)</f>
        <v>0</v>
      </c>
      <c r="T5" s="85">
        <f t="shared" ref="T5:T40" si="6">+E5-S5</f>
        <v>0</v>
      </c>
      <c r="U5" s="31">
        <f t="shared" ref="U5:U40" si="7">N5-F5*F$4/(100+F$4)</f>
        <v>0</v>
      </c>
      <c r="V5" s="31">
        <f t="shared" ref="V5:V40" si="8">O5-G5*G$4/(100+G$4)</f>
        <v>0</v>
      </c>
      <c r="W5" s="31">
        <f t="shared" ref="W5:X40" si="9">P5-H5*H$4/(100+H$4)</f>
        <v>0</v>
      </c>
      <c r="X5" s="31">
        <f t="shared" si="9"/>
        <v>0</v>
      </c>
      <c r="Y5" s="31">
        <f t="shared" ref="Y5:Y40" si="10">R5-J5*J$4/(100+J$4)</f>
        <v>0</v>
      </c>
      <c r="Z5" s="30">
        <f t="shared" ref="Z5:Z40" si="11">+IF(N$43=0,0,IF(N$43&lt;0,-RANK(U5,U$5:U$40,0),RANK(U5,U$5:U$40,1)))</f>
        <v>0</v>
      </c>
      <c r="AA5" s="30">
        <f t="shared" ref="AA5:AA40" si="12">+IF(O$43=0,0,IF(O$43&lt;0,-RANK(V5,V$5:V$40,0),RANK(V5,V$5:V$40,1)))</f>
        <v>0</v>
      </c>
      <c r="AB5" s="30">
        <f t="shared" ref="AB5:AC40" si="13">+IF(P$43=0,0,IF(P$43&lt;0,-RANK(W5,W$5:W$40,0),RANK(W5,W$5:W$40,1)))</f>
        <v>0</v>
      </c>
      <c r="AC5" s="30">
        <f t="shared" si="13"/>
        <v>0</v>
      </c>
      <c r="AD5" s="30">
        <f t="shared" ref="AD5:AD40" si="14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3</v>
      </c>
      <c r="B6" s="50" t="s">
        <v>334</v>
      </c>
      <c r="C6" s="49"/>
      <c r="D6" s="48" t="s">
        <v>99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3978000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 t="shared" si="0"/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3978000</v>
      </c>
      <c r="N6" s="43">
        <f t="shared" si="1"/>
        <v>0</v>
      </c>
      <c r="O6" s="42">
        <f t="shared" si="2"/>
        <v>0</v>
      </c>
      <c r="P6" s="42">
        <f t="shared" si="3"/>
        <v>0</v>
      </c>
      <c r="Q6" s="42">
        <f t="shared" si="3"/>
        <v>0</v>
      </c>
      <c r="R6" s="46">
        <f t="shared" si="4"/>
        <v>0</v>
      </c>
      <c r="S6" s="45">
        <f t="shared" si="5"/>
        <v>0</v>
      </c>
      <c r="T6" s="44">
        <f t="shared" si="6"/>
        <v>3978000</v>
      </c>
      <c r="U6" s="31">
        <f t="shared" si="7"/>
        <v>0</v>
      </c>
      <c r="V6" s="31">
        <f t="shared" si="8"/>
        <v>0</v>
      </c>
      <c r="W6" s="31">
        <f t="shared" si="9"/>
        <v>0</v>
      </c>
      <c r="X6" s="31">
        <f t="shared" si="9"/>
        <v>0</v>
      </c>
      <c r="Y6" s="31">
        <f t="shared" si="10"/>
        <v>0</v>
      </c>
      <c r="Z6" s="30">
        <f t="shared" si="11"/>
        <v>0</v>
      </c>
      <c r="AA6" s="30">
        <f t="shared" si="12"/>
        <v>0</v>
      </c>
      <c r="AB6" s="30">
        <f t="shared" si="13"/>
        <v>0</v>
      </c>
      <c r="AC6" s="30">
        <f t="shared" si="13"/>
        <v>0</v>
      </c>
      <c r="AD6" s="30">
        <f t="shared" si="14"/>
        <v>0</v>
      </c>
      <c r="AE6" s="29"/>
      <c r="AF6" s="29"/>
      <c r="AG6" s="29"/>
      <c r="AH6" s="29"/>
      <c r="AI6" s="29"/>
    </row>
    <row r="7" spans="1:35" x14ac:dyDescent="0.15">
      <c r="A7" s="51">
        <v>3</v>
      </c>
      <c r="B7" s="50" t="s">
        <v>333</v>
      </c>
      <c r="C7" s="49"/>
      <c r="D7" s="48" t="s">
        <v>97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2994384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242040</v>
      </c>
      <c r="K7" s="45">
        <f t="shared" si="0"/>
        <v>242040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2752344</v>
      </c>
      <c r="N7" s="43">
        <f t="shared" si="1"/>
        <v>0</v>
      </c>
      <c r="O7" s="42">
        <f t="shared" si="2"/>
        <v>0</v>
      </c>
      <c r="P7" s="42">
        <f t="shared" si="3"/>
        <v>0</v>
      </c>
      <c r="Q7" s="42">
        <f t="shared" si="3"/>
        <v>0</v>
      </c>
      <c r="R7" s="46">
        <f t="shared" si="4"/>
        <v>22004</v>
      </c>
      <c r="S7" s="45">
        <f t="shared" si="5"/>
        <v>22004</v>
      </c>
      <c r="T7" s="44">
        <f t="shared" si="6"/>
        <v>2972380</v>
      </c>
      <c r="U7" s="31">
        <f t="shared" si="7"/>
        <v>0</v>
      </c>
      <c r="V7" s="31">
        <f t="shared" si="8"/>
        <v>0</v>
      </c>
      <c r="W7" s="31">
        <f t="shared" si="9"/>
        <v>0</v>
      </c>
      <c r="X7" s="31">
        <f t="shared" si="9"/>
        <v>0</v>
      </c>
      <c r="Y7" s="31">
        <f t="shared" si="10"/>
        <v>0.36363636363603291</v>
      </c>
      <c r="Z7" s="30">
        <f t="shared" si="11"/>
        <v>0</v>
      </c>
      <c r="AA7" s="30">
        <f t="shared" si="12"/>
        <v>0</v>
      </c>
      <c r="AB7" s="30">
        <f t="shared" si="13"/>
        <v>0</v>
      </c>
      <c r="AC7" s="30">
        <f t="shared" si="13"/>
        <v>0</v>
      </c>
      <c r="AD7" s="30">
        <f t="shared" si="14"/>
        <v>0</v>
      </c>
      <c r="AE7" s="29"/>
      <c r="AF7" s="29"/>
      <c r="AG7" s="29"/>
      <c r="AH7" s="29"/>
      <c r="AI7" s="29"/>
    </row>
    <row r="8" spans="1:35" x14ac:dyDescent="0.15">
      <c r="A8" s="51">
        <v>3</v>
      </c>
      <c r="B8" s="50" t="s">
        <v>332</v>
      </c>
      <c r="C8" s="49"/>
      <c r="D8" s="48" t="s">
        <v>95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1441863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 t="shared" si="0"/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1435899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5964</v>
      </c>
      <c r="N8" s="43">
        <f t="shared" si="1"/>
        <v>0</v>
      </c>
      <c r="O8" s="42">
        <f t="shared" si="2"/>
        <v>0</v>
      </c>
      <c r="P8" s="42">
        <f t="shared" si="3"/>
        <v>0</v>
      </c>
      <c r="Q8" s="42">
        <f t="shared" si="3"/>
        <v>0</v>
      </c>
      <c r="R8" s="46">
        <f t="shared" si="4"/>
        <v>0</v>
      </c>
      <c r="S8" s="45">
        <f t="shared" si="5"/>
        <v>0</v>
      </c>
      <c r="T8" s="44">
        <f t="shared" si="6"/>
        <v>1441863</v>
      </c>
      <c r="U8" s="31">
        <f t="shared" si="7"/>
        <v>0</v>
      </c>
      <c r="V8" s="31">
        <f t="shared" si="8"/>
        <v>0</v>
      </c>
      <c r="W8" s="31">
        <f t="shared" si="9"/>
        <v>0</v>
      </c>
      <c r="X8" s="31">
        <f t="shared" si="9"/>
        <v>0</v>
      </c>
      <c r="Y8" s="31">
        <f t="shared" si="10"/>
        <v>0</v>
      </c>
      <c r="Z8" s="30">
        <f t="shared" si="11"/>
        <v>0</v>
      </c>
      <c r="AA8" s="30">
        <f t="shared" si="12"/>
        <v>0</v>
      </c>
      <c r="AB8" s="30">
        <f t="shared" si="13"/>
        <v>0</v>
      </c>
      <c r="AC8" s="30">
        <f t="shared" si="13"/>
        <v>0</v>
      </c>
      <c r="AD8" s="30">
        <f t="shared" si="14"/>
        <v>0</v>
      </c>
      <c r="AE8" s="29"/>
      <c r="AF8" s="29"/>
      <c r="AG8" s="29"/>
      <c r="AH8" s="29"/>
      <c r="AI8" s="29"/>
    </row>
    <row r="9" spans="1:35" x14ac:dyDescent="0.15">
      <c r="A9" s="51">
        <v>3</v>
      </c>
      <c r="B9" s="50" t="s">
        <v>331</v>
      </c>
      <c r="C9" s="49"/>
      <c r="D9" s="48" t="s">
        <v>93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 t="shared" si="0"/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1"/>
        <v>0</v>
      </c>
      <c r="O9" s="42">
        <f t="shared" si="2"/>
        <v>0</v>
      </c>
      <c r="P9" s="42">
        <f t="shared" si="3"/>
        <v>0</v>
      </c>
      <c r="Q9" s="42">
        <f t="shared" si="3"/>
        <v>0</v>
      </c>
      <c r="R9" s="46">
        <f t="shared" si="4"/>
        <v>0</v>
      </c>
      <c r="S9" s="45">
        <f t="shared" si="5"/>
        <v>0</v>
      </c>
      <c r="T9" s="44">
        <f t="shared" si="6"/>
        <v>0</v>
      </c>
      <c r="U9" s="31">
        <f t="shared" si="7"/>
        <v>0</v>
      </c>
      <c r="V9" s="31">
        <f t="shared" si="8"/>
        <v>0</v>
      </c>
      <c r="W9" s="31">
        <f t="shared" si="9"/>
        <v>0</v>
      </c>
      <c r="X9" s="31">
        <f t="shared" si="9"/>
        <v>0</v>
      </c>
      <c r="Y9" s="31">
        <f t="shared" si="10"/>
        <v>0</v>
      </c>
      <c r="Z9" s="30">
        <f t="shared" si="11"/>
        <v>0</v>
      </c>
      <c r="AA9" s="30">
        <f t="shared" si="12"/>
        <v>0</v>
      </c>
      <c r="AB9" s="30">
        <f t="shared" si="13"/>
        <v>0</v>
      </c>
      <c r="AC9" s="30">
        <f t="shared" si="13"/>
        <v>0</v>
      </c>
      <c r="AD9" s="30">
        <f t="shared" si="14"/>
        <v>0</v>
      </c>
      <c r="AE9" s="29"/>
      <c r="AF9" s="29"/>
      <c r="AG9" s="29"/>
      <c r="AH9" s="29"/>
      <c r="AI9" s="29"/>
    </row>
    <row r="10" spans="1:35" x14ac:dyDescent="0.15">
      <c r="A10" s="51">
        <v>3</v>
      </c>
      <c r="B10" s="50" t="s">
        <v>330</v>
      </c>
      <c r="C10" s="49"/>
      <c r="D10" s="48" t="s">
        <v>91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 t="shared" si="0"/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0</v>
      </c>
      <c r="N10" s="43">
        <f t="shared" si="1"/>
        <v>0</v>
      </c>
      <c r="O10" s="42">
        <f t="shared" si="2"/>
        <v>0</v>
      </c>
      <c r="P10" s="42">
        <f t="shared" si="3"/>
        <v>0</v>
      </c>
      <c r="Q10" s="42">
        <f t="shared" si="3"/>
        <v>0</v>
      </c>
      <c r="R10" s="46">
        <f t="shared" si="4"/>
        <v>0</v>
      </c>
      <c r="S10" s="45">
        <f t="shared" si="5"/>
        <v>0</v>
      </c>
      <c r="T10" s="44">
        <f t="shared" si="6"/>
        <v>0</v>
      </c>
      <c r="U10" s="31">
        <f t="shared" si="7"/>
        <v>0</v>
      </c>
      <c r="V10" s="31">
        <f t="shared" si="8"/>
        <v>0</v>
      </c>
      <c r="W10" s="31">
        <f t="shared" si="9"/>
        <v>0</v>
      </c>
      <c r="X10" s="31">
        <f t="shared" si="9"/>
        <v>0</v>
      </c>
      <c r="Y10" s="31">
        <f t="shared" si="10"/>
        <v>0</v>
      </c>
      <c r="Z10" s="30">
        <f t="shared" si="11"/>
        <v>0</v>
      </c>
      <c r="AA10" s="30">
        <f t="shared" si="12"/>
        <v>0</v>
      </c>
      <c r="AB10" s="30">
        <f t="shared" si="13"/>
        <v>0</v>
      </c>
      <c r="AC10" s="30">
        <f t="shared" si="13"/>
        <v>0</v>
      </c>
      <c r="AD10" s="30">
        <f t="shared" si="14"/>
        <v>0</v>
      </c>
      <c r="AE10" s="29"/>
      <c r="AF10" s="29"/>
      <c r="AG10" s="29"/>
      <c r="AH10" s="29"/>
      <c r="AI10" s="29"/>
    </row>
    <row r="11" spans="1:35" x14ac:dyDescent="0.15">
      <c r="A11" s="51">
        <v>3</v>
      </c>
      <c r="B11" s="50" t="s">
        <v>329</v>
      </c>
      <c r="C11" s="49"/>
      <c r="D11" s="48" t="s">
        <v>89</v>
      </c>
      <c r="E11" s="81">
        <f>+IF($A11="",IF($C11="",SUMIFS([1]全伝票!I:I,[1]全伝票!$B:$B,$B11),SUMIFS([1]全伝票!I:I,[1]全伝票!$C:$C,$C11)),IF($C11="",SUMIFS([1]全伝票!I:I,[1]全伝票!$A:$A,$A11,[1]全伝票!$B:$B,$B11),SUMIFS([1]全伝票!I:I,[1]全伝票!$A:$A,$A11,[1]全伝票!$C:$C,$C11)))</f>
        <v>798400</v>
      </c>
      <c r="F11" s="84">
        <f>+IF($A11="",IF($C11="",SUMIFS([1]全伝票!J:J,[1]全伝票!$B:$B,$B11),SUMIFS([1]全伝票!J:J,[1]全伝票!$C:$C,$C11)),IF($C11="",SUMIFS([1]全伝票!J:J,[1]全伝票!$A:$A,$A11,[1]全伝票!$B:$B,$B11),SUMIFS([1]全伝票!J:J,[1]全伝票!$A:$A,$A11,[1]全伝票!$C:$C,$C11)))</f>
        <v>0</v>
      </c>
      <c r="G11" s="83">
        <f>+IF($A11="",IF($C11="",SUMIFS([1]全伝票!K:K,[1]全伝票!$B:$B,$B11),SUMIFS([1]全伝票!K:K,[1]全伝票!$C:$C,$C11)),IF($C11="",SUMIFS([1]全伝票!K:K,[1]全伝票!$A:$A,$A11,[1]全伝票!$B:$B,$B11),SUMIFS([1]全伝票!K:K,[1]全伝票!$A:$A,$A11,[1]全伝票!$C:$C,$C11)))</f>
        <v>0</v>
      </c>
      <c r="H11" s="83">
        <f>+IF($A11="",IF($C11="",SUMIFS([1]全伝票!L:L,[1]全伝票!$B:$B,$B11),SUMIFS([1]全伝票!L:L,[1]全伝票!$C:$C,$C11)),IF($C11="",SUMIFS([1]全伝票!L:L,[1]全伝票!$A:$A,$A11,[1]全伝票!$B:$B,$B11),SUMIFS([1]全伝票!L:L,[1]全伝票!$A:$A,$A11,[1]全伝票!$C:$C,$C11)))</f>
        <v>0</v>
      </c>
      <c r="I11" s="83">
        <f>+IF($A11="",IF($C11="",SUMIFS([1]全伝票!M:M,[1]全伝票!$B:$B,$B11),SUMIFS([1]全伝票!M:M,[1]全伝票!$C:$C,$C11)),IF($C11="",SUMIFS([1]全伝票!M:M,[1]全伝票!$A:$A,$A11,[1]全伝票!$B:$B,$B11),SUMIFS([1]全伝票!M:M,[1]全伝票!$A:$A,$A11,[1]全伝票!$C:$C,$C11)))</f>
        <v>0</v>
      </c>
      <c r="J11" s="82">
        <f>+IF($A11="",IF($C11="",SUMIFS([1]全伝票!N:N,[1]全伝票!$B:$B,$B11),SUMIFS([1]全伝票!N:N,[1]全伝票!$C:$C,$C11)),IF($C11="",SUMIFS([1]全伝票!N:N,[1]全伝票!$A:$A,$A11,[1]全伝票!$B:$B,$B11),SUMIFS([1]全伝票!N:N,[1]全伝票!$A:$A,$A11,[1]全伝票!$C:$C,$C11)))</f>
        <v>0</v>
      </c>
      <c r="K11" s="45">
        <f t="shared" si="0"/>
        <v>0</v>
      </c>
      <c r="L11" s="81">
        <f>+IF($A11="",IF($C11="",SUMIFS([1]全伝票!O:O,[1]全伝票!$B:$B,$B11),SUMIFS([1]全伝票!O:O,[1]全伝票!$C:$C,$C11)),IF($C11="",SUMIFS([1]全伝票!O:O,[1]全伝票!$A:$A,$A11,[1]全伝票!$B:$B,$B11),SUMIFS([1]全伝票!O:O,[1]全伝票!$A:$A,$A11,[1]全伝票!$C:$C,$C11)))</f>
        <v>0</v>
      </c>
      <c r="M11" s="81">
        <f>+IF($A11="",IF($C11="",SUMIFS([1]全伝票!P:P,[1]全伝票!$B:$B,$B11),SUMIFS([1]全伝票!P:P,[1]全伝票!$C:$C,$C11)),IF($C11="",SUMIFS([1]全伝票!P:P,[1]全伝票!$A:$A,$A11,[1]全伝票!$B:$B,$B11),SUMIFS([1]全伝票!P:P,[1]全伝票!$A:$A,$A11,[1]全伝票!$C:$C,$C11)))</f>
        <v>798400</v>
      </c>
      <c r="N11" s="43">
        <f t="shared" si="1"/>
        <v>0</v>
      </c>
      <c r="O11" s="42">
        <f t="shared" si="2"/>
        <v>0</v>
      </c>
      <c r="P11" s="42">
        <f t="shared" si="3"/>
        <v>0</v>
      </c>
      <c r="Q11" s="42">
        <f t="shared" si="3"/>
        <v>0</v>
      </c>
      <c r="R11" s="46">
        <f t="shared" si="4"/>
        <v>0</v>
      </c>
      <c r="S11" s="45">
        <f t="shared" si="5"/>
        <v>0</v>
      </c>
      <c r="T11" s="44">
        <f t="shared" si="6"/>
        <v>798400</v>
      </c>
      <c r="U11" s="31">
        <f t="shared" si="7"/>
        <v>0</v>
      </c>
      <c r="V11" s="31">
        <f t="shared" si="8"/>
        <v>0</v>
      </c>
      <c r="W11" s="31">
        <f t="shared" si="9"/>
        <v>0</v>
      </c>
      <c r="X11" s="31">
        <f t="shared" si="9"/>
        <v>0</v>
      </c>
      <c r="Y11" s="31">
        <f t="shared" si="10"/>
        <v>0</v>
      </c>
      <c r="Z11" s="30">
        <f t="shared" si="11"/>
        <v>0</v>
      </c>
      <c r="AA11" s="30">
        <f t="shared" si="12"/>
        <v>0</v>
      </c>
      <c r="AB11" s="30">
        <f t="shared" si="13"/>
        <v>0</v>
      </c>
      <c r="AC11" s="30">
        <f t="shared" si="13"/>
        <v>0</v>
      </c>
      <c r="AD11" s="30">
        <f t="shared" si="14"/>
        <v>0</v>
      </c>
      <c r="AE11" s="29"/>
      <c r="AF11" s="29"/>
      <c r="AG11" s="29"/>
      <c r="AH11" s="29"/>
      <c r="AI11" s="29"/>
    </row>
    <row r="12" spans="1:35" x14ac:dyDescent="0.15">
      <c r="A12" s="51">
        <v>3</v>
      </c>
      <c r="B12" s="50" t="s">
        <v>327</v>
      </c>
      <c r="C12" s="49" t="s">
        <v>328</v>
      </c>
      <c r="D12" s="48" t="s">
        <v>87</v>
      </c>
      <c r="E12" s="81">
        <f>+IF($A12="",IF($C12="",SUMIFS([1]全伝票!I:I,[1]全伝票!$B:$B,$B12),SUMIFS([1]全伝票!I:I,[1]全伝票!$C:$C,$C12)),IF($C12="",SUMIFS([1]全伝票!I:I,[1]全伝票!$A:$A,$A12,[1]全伝票!$B:$B,$B12),SUMIFS([1]全伝票!I:I,[1]全伝票!$A:$A,$A12,[1]全伝票!$C:$C,$C12)))</f>
        <v>0</v>
      </c>
      <c r="F12" s="84">
        <f>+IF($A12="",IF($C12="",SUMIFS([1]全伝票!J:J,[1]全伝票!$B:$B,$B12),SUMIFS([1]全伝票!J:J,[1]全伝票!$C:$C,$C12)),IF($C12="",SUMIFS([1]全伝票!J:J,[1]全伝票!$A:$A,$A12,[1]全伝票!$B:$B,$B12),SUMIFS([1]全伝票!J:J,[1]全伝票!$A:$A,$A12,[1]全伝票!$C:$C,$C12)))</f>
        <v>0</v>
      </c>
      <c r="G12" s="83">
        <f>+IF($A12="",IF($C12="",SUMIFS([1]全伝票!K:K,[1]全伝票!$B:$B,$B12),SUMIFS([1]全伝票!K:K,[1]全伝票!$C:$C,$C12)),IF($C12="",SUMIFS([1]全伝票!K:K,[1]全伝票!$A:$A,$A12,[1]全伝票!$B:$B,$B12),SUMIFS([1]全伝票!K:K,[1]全伝票!$A:$A,$A12,[1]全伝票!$C:$C,$C12)))</f>
        <v>0</v>
      </c>
      <c r="H12" s="83">
        <f>+IF($A12="",IF($C12="",SUMIFS([1]全伝票!L:L,[1]全伝票!$B:$B,$B12),SUMIFS([1]全伝票!L:L,[1]全伝票!$C:$C,$C12)),IF($C12="",SUMIFS([1]全伝票!L:L,[1]全伝票!$A:$A,$A12,[1]全伝票!$B:$B,$B12),SUMIFS([1]全伝票!L:L,[1]全伝票!$A:$A,$A12,[1]全伝票!$C:$C,$C12)))</f>
        <v>0</v>
      </c>
      <c r="I12" s="83">
        <f>+IF($A12="",IF($C12="",SUMIFS([1]全伝票!M:M,[1]全伝票!$B:$B,$B12),SUMIFS([1]全伝票!M:M,[1]全伝票!$C:$C,$C12)),IF($C12="",SUMIFS([1]全伝票!M:M,[1]全伝票!$A:$A,$A12,[1]全伝票!$B:$B,$B12),SUMIFS([1]全伝票!M:M,[1]全伝票!$A:$A,$A12,[1]全伝票!$C:$C,$C12)))</f>
        <v>0</v>
      </c>
      <c r="J12" s="82">
        <f>+IF($A12="",IF($C12="",SUMIFS([1]全伝票!N:N,[1]全伝票!$B:$B,$B12),SUMIFS([1]全伝票!N:N,[1]全伝票!$C:$C,$C12)),IF($C12="",SUMIFS([1]全伝票!N:N,[1]全伝票!$A:$A,$A12,[1]全伝票!$B:$B,$B12),SUMIFS([1]全伝票!N:N,[1]全伝票!$A:$A,$A12,[1]全伝票!$C:$C,$C12)))</f>
        <v>0</v>
      </c>
      <c r="K12" s="45">
        <f t="shared" si="0"/>
        <v>0</v>
      </c>
      <c r="L12" s="81">
        <f>+IF($A12="",IF($C12="",SUMIFS([1]全伝票!O:O,[1]全伝票!$B:$B,$B12),SUMIFS([1]全伝票!O:O,[1]全伝票!$C:$C,$C12)),IF($C12="",SUMIFS([1]全伝票!O:O,[1]全伝票!$A:$A,$A12,[1]全伝票!$B:$B,$B12),SUMIFS([1]全伝票!O:O,[1]全伝票!$A:$A,$A12,[1]全伝票!$C:$C,$C12)))</f>
        <v>0</v>
      </c>
      <c r="M12" s="81">
        <f>+IF($A12="",IF($C12="",SUMIFS([1]全伝票!P:P,[1]全伝票!$B:$B,$B12),SUMIFS([1]全伝票!P:P,[1]全伝票!$C:$C,$C12)),IF($C12="",SUMIFS([1]全伝票!P:P,[1]全伝票!$A:$A,$A12,[1]全伝票!$B:$B,$B12),SUMIFS([1]全伝票!P:P,[1]全伝票!$A:$A,$A12,[1]全伝票!$C:$C,$C12)))</f>
        <v>0</v>
      </c>
      <c r="N12" s="43">
        <f t="shared" si="1"/>
        <v>0</v>
      </c>
      <c r="O12" s="42">
        <f t="shared" si="2"/>
        <v>0</v>
      </c>
      <c r="P12" s="42">
        <f t="shared" si="3"/>
        <v>0</v>
      </c>
      <c r="Q12" s="42">
        <f t="shared" si="3"/>
        <v>0</v>
      </c>
      <c r="R12" s="46">
        <f t="shared" si="4"/>
        <v>0</v>
      </c>
      <c r="S12" s="45">
        <f t="shared" si="5"/>
        <v>0</v>
      </c>
      <c r="T12" s="44">
        <f t="shared" si="6"/>
        <v>0</v>
      </c>
      <c r="U12" s="31">
        <f t="shared" si="7"/>
        <v>0</v>
      </c>
      <c r="V12" s="31">
        <f t="shared" si="8"/>
        <v>0</v>
      </c>
      <c r="W12" s="31">
        <f t="shared" si="9"/>
        <v>0</v>
      </c>
      <c r="X12" s="31">
        <f t="shared" si="9"/>
        <v>0</v>
      </c>
      <c r="Y12" s="31">
        <f t="shared" si="10"/>
        <v>0</v>
      </c>
      <c r="Z12" s="30">
        <f t="shared" si="11"/>
        <v>0</v>
      </c>
      <c r="AA12" s="30">
        <f t="shared" si="12"/>
        <v>0</v>
      </c>
      <c r="AB12" s="30">
        <f t="shared" si="13"/>
        <v>0</v>
      </c>
      <c r="AC12" s="30">
        <f t="shared" si="13"/>
        <v>0</v>
      </c>
      <c r="AD12" s="30">
        <f t="shared" si="14"/>
        <v>0</v>
      </c>
      <c r="AE12" s="29"/>
      <c r="AF12" s="29"/>
      <c r="AG12" s="29"/>
      <c r="AH12" s="29"/>
      <c r="AI12" s="29"/>
    </row>
    <row r="13" spans="1:35" x14ac:dyDescent="0.15">
      <c r="A13" s="51">
        <v>3</v>
      </c>
      <c r="B13" s="50" t="s">
        <v>327</v>
      </c>
      <c r="C13" s="49" t="s">
        <v>326</v>
      </c>
      <c r="D13" s="48" t="s">
        <v>84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 t="shared" si="0"/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0</v>
      </c>
      <c r="N13" s="43">
        <f t="shared" si="1"/>
        <v>0</v>
      </c>
      <c r="O13" s="42">
        <f t="shared" si="2"/>
        <v>0</v>
      </c>
      <c r="P13" s="42">
        <f t="shared" si="3"/>
        <v>0</v>
      </c>
      <c r="Q13" s="42">
        <f t="shared" si="3"/>
        <v>0</v>
      </c>
      <c r="R13" s="46">
        <f t="shared" si="4"/>
        <v>0</v>
      </c>
      <c r="S13" s="45">
        <f t="shared" si="5"/>
        <v>0</v>
      </c>
      <c r="T13" s="44">
        <f t="shared" si="6"/>
        <v>0</v>
      </c>
      <c r="U13" s="31">
        <f t="shared" si="7"/>
        <v>0</v>
      </c>
      <c r="V13" s="31">
        <f t="shared" si="8"/>
        <v>0</v>
      </c>
      <c r="W13" s="31">
        <f t="shared" si="9"/>
        <v>0</v>
      </c>
      <c r="X13" s="31">
        <f t="shared" si="9"/>
        <v>0</v>
      </c>
      <c r="Y13" s="31">
        <f t="shared" si="10"/>
        <v>0</v>
      </c>
      <c r="Z13" s="30">
        <f t="shared" si="11"/>
        <v>0</v>
      </c>
      <c r="AA13" s="30">
        <f t="shared" si="12"/>
        <v>0</v>
      </c>
      <c r="AB13" s="30">
        <f t="shared" si="13"/>
        <v>0</v>
      </c>
      <c r="AC13" s="30">
        <f t="shared" si="13"/>
        <v>0</v>
      </c>
      <c r="AD13" s="30">
        <f t="shared" si="14"/>
        <v>0</v>
      </c>
      <c r="AE13" s="29"/>
      <c r="AF13" s="29"/>
      <c r="AG13" s="29"/>
      <c r="AH13" s="29"/>
      <c r="AI13" s="29"/>
    </row>
    <row r="14" spans="1:35" x14ac:dyDescent="0.15">
      <c r="A14" s="51">
        <v>3</v>
      </c>
      <c r="B14" s="50" t="s">
        <v>325</v>
      </c>
      <c r="C14" s="49"/>
      <c r="D14" s="48" t="s">
        <v>82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276770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276770</v>
      </c>
      <c r="K14" s="45">
        <f t="shared" si="0"/>
        <v>276770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1"/>
        <v>0</v>
      </c>
      <c r="O14" s="42">
        <f t="shared" si="2"/>
        <v>0</v>
      </c>
      <c r="P14" s="42">
        <f t="shared" si="3"/>
        <v>0</v>
      </c>
      <c r="Q14" s="42">
        <f t="shared" si="3"/>
        <v>0</v>
      </c>
      <c r="R14" s="46">
        <f t="shared" si="4"/>
        <v>25161</v>
      </c>
      <c r="S14" s="45">
        <f t="shared" si="5"/>
        <v>25161</v>
      </c>
      <c r="T14" s="44">
        <f t="shared" si="6"/>
        <v>251609</v>
      </c>
      <c r="U14" s="31">
        <f t="shared" si="7"/>
        <v>0</v>
      </c>
      <c r="V14" s="31">
        <f t="shared" si="8"/>
        <v>0</v>
      </c>
      <c r="W14" s="31">
        <f t="shared" si="9"/>
        <v>0</v>
      </c>
      <c r="X14" s="31">
        <f t="shared" si="9"/>
        <v>0</v>
      </c>
      <c r="Y14" s="31">
        <f t="shared" si="10"/>
        <v>9.0909090908098733E-2</v>
      </c>
      <c r="Z14" s="30">
        <f t="shared" si="11"/>
        <v>0</v>
      </c>
      <c r="AA14" s="30">
        <f t="shared" si="12"/>
        <v>0</v>
      </c>
      <c r="AB14" s="30">
        <f t="shared" si="13"/>
        <v>0</v>
      </c>
      <c r="AC14" s="30">
        <f t="shared" si="13"/>
        <v>0</v>
      </c>
      <c r="AD14" s="30">
        <f t="shared" si="14"/>
        <v>0</v>
      </c>
      <c r="AE14" s="29"/>
      <c r="AF14" s="29"/>
      <c r="AG14" s="29"/>
      <c r="AH14" s="29"/>
      <c r="AI14" s="29"/>
    </row>
    <row r="15" spans="1:35" x14ac:dyDescent="0.15">
      <c r="A15" s="51">
        <v>3</v>
      </c>
      <c r="B15" s="50" t="s">
        <v>324</v>
      </c>
      <c r="C15" s="49"/>
      <c r="D15" s="48" t="s">
        <v>80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134790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134790</v>
      </c>
      <c r="K15" s="45">
        <f t="shared" si="0"/>
        <v>134790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0</v>
      </c>
      <c r="N15" s="43">
        <f t="shared" si="1"/>
        <v>0</v>
      </c>
      <c r="O15" s="42">
        <f t="shared" si="2"/>
        <v>0</v>
      </c>
      <c r="P15" s="42">
        <f t="shared" si="3"/>
        <v>0</v>
      </c>
      <c r="Q15" s="42">
        <f t="shared" si="3"/>
        <v>0</v>
      </c>
      <c r="R15" s="46">
        <f t="shared" si="4"/>
        <v>12254</v>
      </c>
      <c r="S15" s="45">
        <f t="shared" si="5"/>
        <v>12254</v>
      </c>
      <c r="T15" s="44">
        <f t="shared" si="6"/>
        <v>122536</v>
      </c>
      <c r="U15" s="31">
        <f t="shared" si="7"/>
        <v>0</v>
      </c>
      <c r="V15" s="31">
        <f t="shared" si="8"/>
        <v>0</v>
      </c>
      <c r="W15" s="31">
        <f t="shared" si="9"/>
        <v>0</v>
      </c>
      <c r="X15" s="31">
        <f t="shared" si="9"/>
        <v>0</v>
      </c>
      <c r="Y15" s="31">
        <f t="shared" si="10"/>
        <v>0.36363636363603291</v>
      </c>
      <c r="Z15" s="30">
        <f t="shared" si="11"/>
        <v>0</v>
      </c>
      <c r="AA15" s="30">
        <f t="shared" si="12"/>
        <v>0</v>
      </c>
      <c r="AB15" s="30">
        <f t="shared" si="13"/>
        <v>0</v>
      </c>
      <c r="AC15" s="30">
        <f t="shared" si="13"/>
        <v>0</v>
      </c>
      <c r="AD15" s="30">
        <f t="shared" si="14"/>
        <v>0</v>
      </c>
      <c r="AE15" s="29"/>
      <c r="AF15" s="29"/>
      <c r="AG15" s="29"/>
      <c r="AH15" s="29"/>
      <c r="AI15" s="29"/>
    </row>
    <row r="16" spans="1:35" x14ac:dyDescent="0.15">
      <c r="A16" s="51">
        <v>3</v>
      </c>
      <c r="B16" s="50" t="s">
        <v>323</v>
      </c>
      <c r="C16" s="49"/>
      <c r="D16" s="48" t="s">
        <v>78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 t="shared" si="0"/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1"/>
        <v>0</v>
      </c>
      <c r="O16" s="42">
        <f t="shared" si="2"/>
        <v>0</v>
      </c>
      <c r="P16" s="42">
        <f t="shared" si="3"/>
        <v>0</v>
      </c>
      <c r="Q16" s="42">
        <f t="shared" si="3"/>
        <v>0</v>
      </c>
      <c r="R16" s="46">
        <f t="shared" si="4"/>
        <v>0</v>
      </c>
      <c r="S16" s="45">
        <f t="shared" si="5"/>
        <v>0</v>
      </c>
      <c r="T16" s="44">
        <f t="shared" si="6"/>
        <v>0</v>
      </c>
      <c r="U16" s="31">
        <f t="shared" si="7"/>
        <v>0</v>
      </c>
      <c r="V16" s="31">
        <f t="shared" si="8"/>
        <v>0</v>
      </c>
      <c r="W16" s="31">
        <f t="shared" si="9"/>
        <v>0</v>
      </c>
      <c r="X16" s="31">
        <f t="shared" si="9"/>
        <v>0</v>
      </c>
      <c r="Y16" s="31">
        <f t="shared" si="10"/>
        <v>0</v>
      </c>
      <c r="Z16" s="30">
        <f t="shared" si="11"/>
        <v>0</v>
      </c>
      <c r="AA16" s="30">
        <f t="shared" si="12"/>
        <v>0</v>
      </c>
      <c r="AB16" s="30">
        <f t="shared" si="13"/>
        <v>0</v>
      </c>
      <c r="AC16" s="30">
        <f t="shared" si="13"/>
        <v>0</v>
      </c>
      <c r="AD16" s="30">
        <f t="shared" si="14"/>
        <v>0</v>
      </c>
      <c r="AE16" s="29"/>
      <c r="AF16" s="29"/>
      <c r="AG16" s="29"/>
      <c r="AH16" s="29"/>
      <c r="AI16" s="29"/>
    </row>
    <row r="17" spans="1:35" x14ac:dyDescent="0.15">
      <c r="A17" s="51">
        <v>3</v>
      </c>
      <c r="B17" s="50" t="s">
        <v>322</v>
      </c>
      <c r="C17" s="49"/>
      <c r="D17" s="48" t="s">
        <v>76</v>
      </c>
      <c r="E17" s="81">
        <f>+IF($A17="",IF($C17="",SUMIFS([1]全伝票!I:I,[1]全伝票!$B:$B,$B17),SUMIFS([1]全伝票!I:I,[1]全伝票!$C:$C,$C17)),IF($C17="",SUMIFS([1]全伝票!I:I,[1]全伝票!$A:$A,$A17,[1]全伝票!$B:$B,$B17),SUMIFS([1]全伝票!I:I,[1]全伝票!$A:$A,$A17,[1]全伝票!$C:$C,$C17)))</f>
        <v>33182</v>
      </c>
      <c r="F17" s="84">
        <f>+IF($A17="",IF($C17="",SUMIFS([1]全伝票!J:J,[1]全伝票!$B:$B,$B17),SUMIFS([1]全伝票!J:J,[1]全伝票!$C:$C,$C17)),IF($C17="",SUMIFS([1]全伝票!J:J,[1]全伝票!$A:$A,$A17,[1]全伝票!$B:$B,$B17),SUMIFS([1]全伝票!J:J,[1]全伝票!$A:$A,$A17,[1]全伝票!$C:$C,$C17)))</f>
        <v>0</v>
      </c>
      <c r="G17" s="83">
        <f>+IF($A17="",IF($C17="",SUMIFS([1]全伝票!K:K,[1]全伝票!$B:$B,$B17),SUMIFS([1]全伝票!K:K,[1]全伝票!$C:$C,$C17)),IF($C17="",SUMIFS([1]全伝票!K:K,[1]全伝票!$A:$A,$A17,[1]全伝票!$B:$B,$B17),SUMIFS([1]全伝票!K:K,[1]全伝票!$A:$A,$A17,[1]全伝票!$C:$C,$C17)))</f>
        <v>0</v>
      </c>
      <c r="H17" s="83">
        <f>+IF($A17="",IF($C17="",SUMIFS([1]全伝票!L:L,[1]全伝票!$B:$B,$B17),SUMIFS([1]全伝票!L:L,[1]全伝票!$C:$C,$C17)),IF($C17="",SUMIFS([1]全伝票!L:L,[1]全伝票!$A:$A,$A17,[1]全伝票!$B:$B,$B17),SUMIFS([1]全伝票!L:L,[1]全伝票!$A:$A,$A17,[1]全伝票!$C:$C,$C17)))</f>
        <v>0</v>
      </c>
      <c r="I17" s="83">
        <f>+IF($A17="",IF($C17="",SUMIFS([1]全伝票!M:M,[1]全伝票!$B:$B,$B17),SUMIFS([1]全伝票!M:M,[1]全伝票!$C:$C,$C17)),IF($C17="",SUMIFS([1]全伝票!M:M,[1]全伝票!$A:$A,$A17,[1]全伝票!$B:$B,$B17),SUMIFS([1]全伝票!M:M,[1]全伝票!$A:$A,$A17,[1]全伝票!$C:$C,$C17)))</f>
        <v>0</v>
      </c>
      <c r="J17" s="82">
        <f>+IF($A17="",IF($C17="",SUMIFS([1]全伝票!N:N,[1]全伝票!$B:$B,$B17),SUMIFS([1]全伝票!N:N,[1]全伝票!$C:$C,$C17)),IF($C17="",SUMIFS([1]全伝票!N:N,[1]全伝票!$A:$A,$A17,[1]全伝票!$B:$B,$B17),SUMIFS([1]全伝票!N:N,[1]全伝票!$A:$A,$A17,[1]全伝票!$C:$C,$C17)))</f>
        <v>33182</v>
      </c>
      <c r="K17" s="45">
        <f t="shared" si="0"/>
        <v>33182</v>
      </c>
      <c r="L17" s="81">
        <f>+IF($A17="",IF($C17="",SUMIFS([1]全伝票!O:O,[1]全伝票!$B:$B,$B17),SUMIFS([1]全伝票!O:O,[1]全伝票!$C:$C,$C17)),IF($C17="",SUMIFS([1]全伝票!O:O,[1]全伝票!$A:$A,$A17,[1]全伝票!$B:$B,$B17),SUMIFS([1]全伝票!O:O,[1]全伝票!$A:$A,$A17,[1]全伝票!$C:$C,$C17)))</f>
        <v>0</v>
      </c>
      <c r="M17" s="81">
        <f>+IF($A17="",IF($C17="",SUMIFS([1]全伝票!P:P,[1]全伝票!$B:$B,$B17),SUMIFS([1]全伝票!P:P,[1]全伝票!$C:$C,$C17)),IF($C17="",SUMIFS([1]全伝票!P:P,[1]全伝票!$A:$A,$A17,[1]全伝票!$B:$B,$B17),SUMIFS([1]全伝票!P:P,[1]全伝票!$A:$A,$A17,[1]全伝票!$C:$C,$C17)))</f>
        <v>0</v>
      </c>
      <c r="N17" s="43">
        <f t="shared" si="1"/>
        <v>0</v>
      </c>
      <c r="O17" s="42">
        <f t="shared" si="2"/>
        <v>0</v>
      </c>
      <c r="P17" s="42">
        <f t="shared" si="3"/>
        <v>0</v>
      </c>
      <c r="Q17" s="42">
        <f t="shared" si="3"/>
        <v>0</v>
      </c>
      <c r="R17" s="46">
        <f t="shared" si="4"/>
        <v>3016</v>
      </c>
      <c r="S17" s="45">
        <f t="shared" si="5"/>
        <v>3016</v>
      </c>
      <c r="T17" s="44">
        <f t="shared" si="6"/>
        <v>30166</v>
      </c>
      <c r="U17" s="31">
        <f t="shared" si="7"/>
        <v>0</v>
      </c>
      <c r="V17" s="31">
        <f t="shared" si="8"/>
        <v>0</v>
      </c>
      <c r="W17" s="31">
        <f t="shared" si="9"/>
        <v>0</v>
      </c>
      <c r="X17" s="31">
        <f t="shared" si="9"/>
        <v>0</v>
      </c>
      <c r="Y17" s="31">
        <f t="shared" si="10"/>
        <v>-0.54545454545450411</v>
      </c>
      <c r="Z17" s="30">
        <f t="shared" si="11"/>
        <v>0</v>
      </c>
      <c r="AA17" s="30">
        <f t="shared" si="12"/>
        <v>0</v>
      </c>
      <c r="AB17" s="30">
        <f t="shared" si="13"/>
        <v>0</v>
      </c>
      <c r="AC17" s="30">
        <f t="shared" si="13"/>
        <v>0</v>
      </c>
      <c r="AD17" s="30">
        <f t="shared" si="14"/>
        <v>0</v>
      </c>
      <c r="AE17" s="29"/>
      <c r="AF17" s="29"/>
      <c r="AG17" s="29"/>
      <c r="AH17" s="29"/>
      <c r="AI17" s="29">
        <v>-1</v>
      </c>
    </row>
    <row r="18" spans="1:35" x14ac:dyDescent="0.15">
      <c r="A18" s="51">
        <v>3</v>
      </c>
      <c r="B18" s="50" t="s">
        <v>321</v>
      </c>
      <c r="C18" s="49"/>
      <c r="D18" s="48" t="s">
        <v>74</v>
      </c>
      <c r="E18" s="81">
        <f>+IF($A18="",IF($C18="",SUMIFS([1]全伝票!I:I,[1]全伝票!$B:$B,$B18),SUMIFS([1]全伝票!I:I,[1]全伝票!$C:$C,$C18)),IF($C18="",SUMIFS([1]全伝票!I:I,[1]全伝票!$A:$A,$A18,[1]全伝票!$B:$B,$B18),SUMIFS([1]全伝票!I:I,[1]全伝票!$A:$A,$A18,[1]全伝票!$C:$C,$C18)))</f>
        <v>4061</v>
      </c>
      <c r="F18" s="84">
        <f>+IF($A18="",IF($C18="",SUMIFS([1]全伝票!J:J,[1]全伝票!$B:$B,$B18),SUMIFS([1]全伝票!J:J,[1]全伝票!$C:$C,$C18)),IF($C18="",SUMIFS([1]全伝票!J:J,[1]全伝票!$A:$A,$A18,[1]全伝票!$B:$B,$B18),SUMIFS([1]全伝票!J:J,[1]全伝票!$A:$A,$A18,[1]全伝票!$C:$C,$C18)))</f>
        <v>0</v>
      </c>
      <c r="G18" s="83">
        <f>+IF($A18="",IF($C18="",SUMIFS([1]全伝票!K:K,[1]全伝票!$B:$B,$B18),SUMIFS([1]全伝票!K:K,[1]全伝票!$C:$C,$C18)),IF($C18="",SUMIFS([1]全伝票!K:K,[1]全伝票!$A:$A,$A18,[1]全伝票!$B:$B,$B18),SUMIFS([1]全伝票!K:K,[1]全伝票!$A:$A,$A18,[1]全伝票!$C:$C,$C18)))</f>
        <v>0</v>
      </c>
      <c r="H18" s="83">
        <f>+IF($A18="",IF($C18="",SUMIFS([1]全伝票!L:L,[1]全伝票!$B:$B,$B18),SUMIFS([1]全伝票!L:L,[1]全伝票!$C:$C,$C18)),IF($C18="",SUMIFS([1]全伝票!L:L,[1]全伝票!$A:$A,$A18,[1]全伝票!$B:$B,$B18),SUMIFS([1]全伝票!L:L,[1]全伝票!$A:$A,$A18,[1]全伝票!$C:$C,$C18)))</f>
        <v>0</v>
      </c>
      <c r="I18" s="83">
        <f>+IF($A18="",IF($C18="",SUMIFS([1]全伝票!M:M,[1]全伝票!$B:$B,$B18),SUMIFS([1]全伝票!M:M,[1]全伝票!$C:$C,$C18)),IF($C18="",SUMIFS([1]全伝票!M:M,[1]全伝票!$A:$A,$A18,[1]全伝票!$B:$B,$B18),SUMIFS([1]全伝票!M:M,[1]全伝票!$A:$A,$A18,[1]全伝票!$C:$C,$C18)))</f>
        <v>0</v>
      </c>
      <c r="J18" s="82">
        <f>+IF($A18="",IF($C18="",SUMIFS([1]全伝票!N:N,[1]全伝票!$B:$B,$B18),SUMIFS([1]全伝票!N:N,[1]全伝票!$C:$C,$C18)),IF($C18="",SUMIFS([1]全伝票!N:N,[1]全伝票!$A:$A,$A18,[1]全伝票!$B:$B,$B18),SUMIFS([1]全伝票!N:N,[1]全伝票!$A:$A,$A18,[1]全伝票!$C:$C,$C18)))</f>
        <v>461</v>
      </c>
      <c r="K18" s="45">
        <f t="shared" si="0"/>
        <v>461</v>
      </c>
      <c r="L18" s="81">
        <f>+IF($A18="",IF($C18="",SUMIFS([1]全伝票!O:O,[1]全伝票!$B:$B,$B18),SUMIFS([1]全伝票!O:O,[1]全伝票!$C:$C,$C18)),IF($C18="",SUMIFS([1]全伝票!O:O,[1]全伝票!$A:$A,$A18,[1]全伝票!$B:$B,$B18),SUMIFS([1]全伝票!O:O,[1]全伝票!$A:$A,$A18,[1]全伝票!$C:$C,$C18)))</f>
        <v>3600</v>
      </c>
      <c r="M18" s="81">
        <f>+IF($A18="",IF($C18="",SUMIFS([1]全伝票!P:P,[1]全伝票!$B:$B,$B18),SUMIFS([1]全伝票!P:P,[1]全伝票!$C:$C,$C18)),IF($C18="",SUMIFS([1]全伝票!P:P,[1]全伝票!$A:$A,$A18,[1]全伝票!$B:$B,$B18),SUMIFS([1]全伝票!P:P,[1]全伝票!$A:$A,$A18,[1]全伝票!$C:$C,$C18)))</f>
        <v>0</v>
      </c>
      <c r="N18" s="43">
        <f t="shared" si="1"/>
        <v>0</v>
      </c>
      <c r="O18" s="42">
        <f t="shared" si="2"/>
        <v>0</v>
      </c>
      <c r="P18" s="42">
        <f t="shared" si="3"/>
        <v>0</v>
      </c>
      <c r="Q18" s="42">
        <f t="shared" si="3"/>
        <v>0</v>
      </c>
      <c r="R18" s="46">
        <f t="shared" si="4"/>
        <v>42</v>
      </c>
      <c r="S18" s="45">
        <f t="shared" si="5"/>
        <v>42</v>
      </c>
      <c r="T18" s="44">
        <f t="shared" si="6"/>
        <v>4019</v>
      </c>
      <c r="U18" s="31">
        <f t="shared" si="7"/>
        <v>0</v>
      </c>
      <c r="V18" s="31">
        <f t="shared" si="8"/>
        <v>0</v>
      </c>
      <c r="W18" s="31">
        <f t="shared" si="9"/>
        <v>0</v>
      </c>
      <c r="X18" s="31">
        <f t="shared" si="9"/>
        <v>0</v>
      </c>
      <c r="Y18" s="31">
        <f t="shared" si="10"/>
        <v>9.0909090909093493E-2</v>
      </c>
      <c r="Z18" s="30">
        <f t="shared" si="11"/>
        <v>0</v>
      </c>
      <c r="AA18" s="30">
        <f t="shared" si="12"/>
        <v>0</v>
      </c>
      <c r="AB18" s="30">
        <f t="shared" si="13"/>
        <v>0</v>
      </c>
      <c r="AC18" s="30">
        <f t="shared" si="13"/>
        <v>0</v>
      </c>
      <c r="AD18" s="30">
        <f t="shared" si="14"/>
        <v>0</v>
      </c>
      <c r="AE18" s="29"/>
      <c r="AF18" s="29"/>
      <c r="AG18" s="29"/>
      <c r="AH18" s="29"/>
      <c r="AI18" s="29"/>
    </row>
    <row r="19" spans="1:35" x14ac:dyDescent="0.15">
      <c r="A19" s="51">
        <v>3</v>
      </c>
      <c r="B19" s="50" t="s">
        <v>320</v>
      </c>
      <c r="C19" s="49"/>
      <c r="D19" s="48" t="s">
        <v>72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0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0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0</v>
      </c>
      <c r="K19" s="45">
        <f t="shared" si="0"/>
        <v>0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0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1"/>
        <v>0</v>
      </c>
      <c r="O19" s="42">
        <f t="shared" si="2"/>
        <v>0</v>
      </c>
      <c r="P19" s="42">
        <f t="shared" si="3"/>
        <v>0</v>
      </c>
      <c r="Q19" s="42">
        <f t="shared" si="3"/>
        <v>0</v>
      </c>
      <c r="R19" s="46">
        <f t="shared" si="4"/>
        <v>0</v>
      </c>
      <c r="S19" s="45">
        <f t="shared" si="5"/>
        <v>0</v>
      </c>
      <c r="T19" s="44">
        <f t="shared" si="6"/>
        <v>0</v>
      </c>
      <c r="U19" s="31">
        <f t="shared" si="7"/>
        <v>0</v>
      </c>
      <c r="V19" s="31">
        <f t="shared" si="8"/>
        <v>0</v>
      </c>
      <c r="W19" s="31">
        <f t="shared" si="9"/>
        <v>0</v>
      </c>
      <c r="X19" s="31">
        <f t="shared" si="9"/>
        <v>0</v>
      </c>
      <c r="Y19" s="31">
        <f t="shared" si="10"/>
        <v>0</v>
      </c>
      <c r="Z19" s="30">
        <f t="shared" si="11"/>
        <v>0</v>
      </c>
      <c r="AA19" s="30">
        <f t="shared" si="12"/>
        <v>0</v>
      </c>
      <c r="AB19" s="30">
        <f t="shared" si="13"/>
        <v>0</v>
      </c>
      <c r="AC19" s="30">
        <f t="shared" si="13"/>
        <v>0</v>
      </c>
      <c r="AD19" s="30">
        <f t="shared" si="14"/>
        <v>0</v>
      </c>
      <c r="AE19" s="29"/>
      <c r="AF19" s="29"/>
      <c r="AG19" s="29"/>
      <c r="AH19" s="29"/>
      <c r="AI19" s="29"/>
    </row>
    <row r="20" spans="1:35" x14ac:dyDescent="0.15">
      <c r="A20" s="51">
        <v>3</v>
      </c>
      <c r="B20" s="50" t="s">
        <v>319</v>
      </c>
      <c r="C20" s="49"/>
      <c r="D20" s="48" t="s">
        <v>70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7072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7072</v>
      </c>
      <c r="K20" s="45">
        <f t="shared" si="0"/>
        <v>7072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1"/>
        <v>0</v>
      </c>
      <c r="O20" s="42">
        <f t="shared" si="2"/>
        <v>0</v>
      </c>
      <c r="P20" s="42">
        <f t="shared" si="3"/>
        <v>0</v>
      </c>
      <c r="Q20" s="42">
        <f t="shared" si="3"/>
        <v>0</v>
      </c>
      <c r="R20" s="46">
        <f t="shared" si="4"/>
        <v>643</v>
      </c>
      <c r="S20" s="45">
        <f t="shared" si="5"/>
        <v>643</v>
      </c>
      <c r="T20" s="44">
        <f t="shared" si="6"/>
        <v>6429</v>
      </c>
      <c r="U20" s="31">
        <f t="shared" si="7"/>
        <v>0</v>
      </c>
      <c r="V20" s="31">
        <f t="shared" si="8"/>
        <v>0</v>
      </c>
      <c r="W20" s="31">
        <f t="shared" si="9"/>
        <v>0</v>
      </c>
      <c r="X20" s="31">
        <f t="shared" si="9"/>
        <v>0</v>
      </c>
      <c r="Y20" s="31">
        <f t="shared" si="10"/>
        <v>9.0909090909121915E-2</v>
      </c>
      <c r="Z20" s="30">
        <f t="shared" si="11"/>
        <v>0</v>
      </c>
      <c r="AA20" s="30">
        <f t="shared" si="12"/>
        <v>0</v>
      </c>
      <c r="AB20" s="30">
        <f t="shared" si="13"/>
        <v>0</v>
      </c>
      <c r="AC20" s="30">
        <f t="shared" si="13"/>
        <v>0</v>
      </c>
      <c r="AD20" s="30">
        <f t="shared" si="14"/>
        <v>0</v>
      </c>
      <c r="AE20" s="29"/>
      <c r="AF20" s="29"/>
      <c r="AG20" s="29"/>
      <c r="AH20" s="29"/>
      <c r="AI20" s="29"/>
    </row>
    <row r="21" spans="1:35" x14ac:dyDescent="0.15">
      <c r="A21" s="51">
        <v>3</v>
      </c>
      <c r="B21" s="50" t="s">
        <v>318</v>
      </c>
      <c r="C21" s="49"/>
      <c r="D21" s="48" t="s">
        <v>68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131873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131873</v>
      </c>
      <c r="K21" s="45">
        <f t="shared" si="0"/>
        <v>131873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1"/>
        <v>0</v>
      </c>
      <c r="O21" s="42">
        <f t="shared" si="2"/>
        <v>0</v>
      </c>
      <c r="P21" s="42">
        <f t="shared" si="3"/>
        <v>0</v>
      </c>
      <c r="Q21" s="42">
        <f t="shared" si="3"/>
        <v>0</v>
      </c>
      <c r="R21" s="46">
        <f t="shared" si="4"/>
        <v>11988</v>
      </c>
      <c r="S21" s="45">
        <f t="shared" si="5"/>
        <v>11988</v>
      </c>
      <c r="T21" s="44">
        <f t="shared" si="6"/>
        <v>119885</v>
      </c>
      <c r="U21" s="31">
        <f t="shared" si="7"/>
        <v>0</v>
      </c>
      <c r="V21" s="31">
        <f t="shared" si="8"/>
        <v>0</v>
      </c>
      <c r="W21" s="31">
        <f t="shared" si="9"/>
        <v>0</v>
      </c>
      <c r="X21" s="31">
        <f t="shared" si="9"/>
        <v>0</v>
      </c>
      <c r="Y21" s="31">
        <f t="shared" si="10"/>
        <v>-0.45454545454595063</v>
      </c>
      <c r="Z21" s="30">
        <f t="shared" si="11"/>
        <v>0</v>
      </c>
      <c r="AA21" s="30">
        <f t="shared" si="12"/>
        <v>0</v>
      </c>
      <c r="AB21" s="30">
        <f t="shared" si="13"/>
        <v>0</v>
      </c>
      <c r="AC21" s="30">
        <f t="shared" si="13"/>
        <v>0</v>
      </c>
      <c r="AD21" s="30">
        <f t="shared" si="14"/>
        <v>0</v>
      </c>
      <c r="AE21" s="29"/>
      <c r="AF21" s="29"/>
      <c r="AG21" s="29"/>
      <c r="AH21" s="29"/>
      <c r="AI21" s="29"/>
    </row>
    <row r="22" spans="1:35" x14ac:dyDescent="0.15">
      <c r="A22" s="51">
        <v>3</v>
      </c>
      <c r="B22" s="50" t="s">
        <v>317</v>
      </c>
      <c r="C22" s="49"/>
      <c r="D22" s="48" t="s">
        <v>66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 t="shared" si="0"/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1"/>
        <v>0</v>
      </c>
      <c r="O22" s="42">
        <f t="shared" si="2"/>
        <v>0</v>
      </c>
      <c r="P22" s="42">
        <f t="shared" si="3"/>
        <v>0</v>
      </c>
      <c r="Q22" s="42">
        <f t="shared" si="3"/>
        <v>0</v>
      </c>
      <c r="R22" s="46">
        <f t="shared" si="4"/>
        <v>0</v>
      </c>
      <c r="S22" s="45">
        <f t="shared" si="5"/>
        <v>0</v>
      </c>
      <c r="T22" s="44">
        <f t="shared" si="6"/>
        <v>0</v>
      </c>
      <c r="U22" s="31">
        <f t="shared" si="7"/>
        <v>0</v>
      </c>
      <c r="V22" s="31">
        <f t="shared" si="8"/>
        <v>0</v>
      </c>
      <c r="W22" s="31">
        <f t="shared" si="9"/>
        <v>0</v>
      </c>
      <c r="X22" s="31">
        <f t="shared" si="9"/>
        <v>0</v>
      </c>
      <c r="Y22" s="31">
        <f t="shared" si="10"/>
        <v>0</v>
      </c>
      <c r="Z22" s="30">
        <f t="shared" si="11"/>
        <v>0</v>
      </c>
      <c r="AA22" s="30">
        <f t="shared" si="12"/>
        <v>0</v>
      </c>
      <c r="AB22" s="30">
        <f t="shared" si="13"/>
        <v>0</v>
      </c>
      <c r="AC22" s="30">
        <f t="shared" si="13"/>
        <v>0</v>
      </c>
      <c r="AD22" s="30">
        <f t="shared" si="14"/>
        <v>0</v>
      </c>
      <c r="AE22" s="29"/>
      <c r="AF22" s="29"/>
      <c r="AG22" s="29"/>
      <c r="AH22" s="29"/>
      <c r="AI22" s="29"/>
    </row>
    <row r="23" spans="1:35" x14ac:dyDescent="0.15">
      <c r="A23" s="51">
        <v>3</v>
      </c>
      <c r="B23" s="50" t="s">
        <v>316</v>
      </c>
      <c r="C23" s="49"/>
      <c r="D23" s="48" t="s">
        <v>64</v>
      </c>
      <c r="E23" s="81">
        <f>+IF($A23="",IF($C23="",SUMIFS([1]全伝票!I:I,[1]全伝票!$B:$B,$B23),SUMIFS([1]全伝票!I:I,[1]全伝票!$C:$C,$C23)),IF($C23="",SUMIFS([1]全伝票!I:I,[1]全伝票!$A:$A,$A23,[1]全伝票!$B:$B,$B23),SUMIFS([1]全伝票!I:I,[1]全伝票!$A:$A,$A23,[1]全伝票!$C:$C,$C23)))</f>
        <v>0</v>
      </c>
      <c r="F23" s="84">
        <f>+IF($A23="",IF($C23="",SUMIFS([1]全伝票!J:J,[1]全伝票!$B:$B,$B23),SUMIFS([1]全伝票!J:J,[1]全伝票!$C:$C,$C23)),IF($C23="",SUMIFS([1]全伝票!J:J,[1]全伝票!$A:$A,$A23,[1]全伝票!$B:$B,$B23),SUMIFS([1]全伝票!J:J,[1]全伝票!$A:$A,$A23,[1]全伝票!$C:$C,$C23)))</f>
        <v>0</v>
      </c>
      <c r="G23" s="83">
        <f>+IF($A23="",IF($C23="",SUMIFS([1]全伝票!K:K,[1]全伝票!$B:$B,$B23),SUMIFS([1]全伝票!K:K,[1]全伝票!$C:$C,$C23)),IF($C23="",SUMIFS([1]全伝票!K:K,[1]全伝票!$A:$A,$A23,[1]全伝票!$B:$B,$B23),SUMIFS([1]全伝票!K:K,[1]全伝票!$A:$A,$A23,[1]全伝票!$C:$C,$C23)))</f>
        <v>0</v>
      </c>
      <c r="H23" s="83">
        <f>+IF($A23="",IF($C23="",SUMIFS([1]全伝票!L:L,[1]全伝票!$B:$B,$B23),SUMIFS([1]全伝票!L:L,[1]全伝票!$C:$C,$C23)),IF($C23="",SUMIFS([1]全伝票!L:L,[1]全伝票!$A:$A,$A23,[1]全伝票!$B:$B,$B23),SUMIFS([1]全伝票!L:L,[1]全伝票!$A:$A,$A23,[1]全伝票!$C:$C,$C23)))</f>
        <v>0</v>
      </c>
      <c r="I23" s="83">
        <f>+IF($A23="",IF($C23="",SUMIFS([1]全伝票!M:M,[1]全伝票!$B:$B,$B23),SUMIFS([1]全伝票!M:M,[1]全伝票!$C:$C,$C23)),IF($C23="",SUMIFS([1]全伝票!M:M,[1]全伝票!$A:$A,$A23,[1]全伝票!$B:$B,$B23),SUMIFS([1]全伝票!M:M,[1]全伝票!$A:$A,$A23,[1]全伝票!$C:$C,$C23)))</f>
        <v>0</v>
      </c>
      <c r="J23" s="82">
        <f>+IF($A23="",IF($C23="",SUMIFS([1]全伝票!N:N,[1]全伝票!$B:$B,$B23),SUMIFS([1]全伝票!N:N,[1]全伝票!$C:$C,$C23)),IF($C23="",SUMIFS([1]全伝票!N:N,[1]全伝票!$A:$A,$A23,[1]全伝票!$B:$B,$B23),SUMIFS([1]全伝票!N:N,[1]全伝票!$A:$A,$A23,[1]全伝票!$C:$C,$C23)))</f>
        <v>0</v>
      </c>
      <c r="K23" s="45">
        <f t="shared" si="0"/>
        <v>0</v>
      </c>
      <c r="L23" s="81">
        <f>+IF($A23="",IF($C23="",SUMIFS([1]全伝票!O:O,[1]全伝票!$B:$B,$B23),SUMIFS([1]全伝票!O:O,[1]全伝票!$C:$C,$C23)),IF($C23="",SUMIFS([1]全伝票!O:O,[1]全伝票!$A:$A,$A23,[1]全伝票!$B:$B,$B23),SUMIFS([1]全伝票!O:O,[1]全伝票!$A:$A,$A23,[1]全伝票!$C:$C,$C23)))</f>
        <v>0</v>
      </c>
      <c r="M23" s="81">
        <f>+IF($A23="",IF($C23="",SUMIFS([1]全伝票!P:P,[1]全伝票!$B:$B,$B23),SUMIFS([1]全伝票!P:P,[1]全伝票!$C:$C,$C23)),IF($C23="",SUMIFS([1]全伝票!P:P,[1]全伝票!$A:$A,$A23,[1]全伝票!$B:$B,$B23),SUMIFS([1]全伝票!P:P,[1]全伝票!$A:$A,$A23,[1]全伝票!$C:$C,$C23)))</f>
        <v>0</v>
      </c>
      <c r="N23" s="43">
        <f t="shared" si="1"/>
        <v>0</v>
      </c>
      <c r="O23" s="42">
        <f t="shared" si="2"/>
        <v>0</v>
      </c>
      <c r="P23" s="42">
        <f t="shared" si="3"/>
        <v>0</v>
      </c>
      <c r="Q23" s="42">
        <f t="shared" si="3"/>
        <v>0</v>
      </c>
      <c r="R23" s="46">
        <f t="shared" si="4"/>
        <v>0</v>
      </c>
      <c r="S23" s="45">
        <f t="shared" si="5"/>
        <v>0</v>
      </c>
      <c r="T23" s="44">
        <f t="shared" si="6"/>
        <v>0</v>
      </c>
      <c r="U23" s="31">
        <f t="shared" si="7"/>
        <v>0</v>
      </c>
      <c r="V23" s="31">
        <f t="shared" si="8"/>
        <v>0</v>
      </c>
      <c r="W23" s="31">
        <f t="shared" si="9"/>
        <v>0</v>
      </c>
      <c r="X23" s="31">
        <f t="shared" si="9"/>
        <v>0</v>
      </c>
      <c r="Y23" s="31">
        <f t="shared" si="10"/>
        <v>0</v>
      </c>
      <c r="Z23" s="30">
        <f t="shared" si="11"/>
        <v>0</v>
      </c>
      <c r="AA23" s="30">
        <f t="shared" si="12"/>
        <v>0</v>
      </c>
      <c r="AB23" s="30">
        <f t="shared" si="13"/>
        <v>0</v>
      </c>
      <c r="AC23" s="30">
        <f t="shared" si="13"/>
        <v>0</v>
      </c>
      <c r="AD23" s="30">
        <f t="shared" si="14"/>
        <v>0</v>
      </c>
      <c r="AE23" s="29"/>
      <c r="AF23" s="29"/>
      <c r="AG23" s="29"/>
      <c r="AH23" s="29"/>
      <c r="AI23" s="29"/>
    </row>
    <row r="24" spans="1:35" x14ac:dyDescent="0.15">
      <c r="A24" s="51">
        <v>3</v>
      </c>
      <c r="B24" s="50" t="s">
        <v>315</v>
      </c>
      <c r="C24" s="49"/>
      <c r="D24" s="48" t="s">
        <v>62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 t="shared" si="0"/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1"/>
        <v>0</v>
      </c>
      <c r="O24" s="42">
        <f t="shared" si="2"/>
        <v>0</v>
      </c>
      <c r="P24" s="42">
        <f t="shared" si="3"/>
        <v>0</v>
      </c>
      <c r="Q24" s="42">
        <f t="shared" si="3"/>
        <v>0</v>
      </c>
      <c r="R24" s="46">
        <f t="shared" si="4"/>
        <v>0</v>
      </c>
      <c r="S24" s="45">
        <f t="shared" si="5"/>
        <v>0</v>
      </c>
      <c r="T24" s="44">
        <f t="shared" si="6"/>
        <v>0</v>
      </c>
      <c r="U24" s="31">
        <f t="shared" si="7"/>
        <v>0</v>
      </c>
      <c r="V24" s="31">
        <f t="shared" si="8"/>
        <v>0</v>
      </c>
      <c r="W24" s="31">
        <f t="shared" si="9"/>
        <v>0</v>
      </c>
      <c r="X24" s="31">
        <f t="shared" si="9"/>
        <v>0</v>
      </c>
      <c r="Y24" s="31">
        <f t="shared" si="10"/>
        <v>0</v>
      </c>
      <c r="Z24" s="30">
        <f t="shared" si="11"/>
        <v>0</v>
      </c>
      <c r="AA24" s="30">
        <f t="shared" si="12"/>
        <v>0</v>
      </c>
      <c r="AB24" s="30">
        <f t="shared" si="13"/>
        <v>0</v>
      </c>
      <c r="AC24" s="30">
        <f t="shared" si="13"/>
        <v>0</v>
      </c>
      <c r="AD24" s="30">
        <f t="shared" si="14"/>
        <v>0</v>
      </c>
      <c r="AE24" s="29"/>
      <c r="AF24" s="29"/>
      <c r="AG24" s="29"/>
      <c r="AH24" s="29"/>
      <c r="AI24" s="29"/>
    </row>
    <row r="25" spans="1:35" x14ac:dyDescent="0.15">
      <c r="A25" s="51">
        <v>3</v>
      </c>
      <c r="B25" s="50" t="s">
        <v>314</v>
      </c>
      <c r="C25" s="49"/>
      <c r="D25" s="48" t="s">
        <v>60</v>
      </c>
      <c r="E25" s="81">
        <f>+IF($A25="",IF($C25="",SUMIFS([1]全伝票!I:I,[1]全伝票!$B:$B,$B25),SUMIFS([1]全伝票!I:I,[1]全伝票!$C:$C,$C25)),IF($C25="",SUMIFS([1]全伝票!I:I,[1]全伝票!$A:$A,$A25,[1]全伝票!$B:$B,$B25),SUMIFS([1]全伝票!I:I,[1]全伝票!$A:$A,$A25,[1]全伝票!$C:$C,$C25)))</f>
        <v>76260</v>
      </c>
      <c r="F25" s="84">
        <f>+IF($A25="",IF($C25="",SUMIFS([1]全伝票!J:J,[1]全伝票!$B:$B,$B25),SUMIFS([1]全伝票!J:J,[1]全伝票!$C:$C,$C25)),IF($C25="",SUMIFS([1]全伝票!J:J,[1]全伝票!$A:$A,$A25,[1]全伝票!$B:$B,$B25),SUMIFS([1]全伝票!J:J,[1]全伝票!$A:$A,$A25,[1]全伝票!$C:$C,$C25)))</f>
        <v>0</v>
      </c>
      <c r="G25" s="83">
        <f>+IF($A25="",IF($C25="",SUMIFS([1]全伝票!K:K,[1]全伝票!$B:$B,$B25),SUMIFS([1]全伝票!K:K,[1]全伝票!$C:$C,$C25)),IF($C25="",SUMIFS([1]全伝票!K:K,[1]全伝票!$A:$A,$A25,[1]全伝票!$B:$B,$B25),SUMIFS([1]全伝票!K:K,[1]全伝票!$A:$A,$A25,[1]全伝票!$C:$C,$C25)))</f>
        <v>0</v>
      </c>
      <c r="H25" s="83">
        <f>+IF($A25="",IF($C25="",SUMIFS([1]全伝票!L:L,[1]全伝票!$B:$B,$B25),SUMIFS([1]全伝票!L:L,[1]全伝票!$C:$C,$C25)),IF($C25="",SUMIFS([1]全伝票!L:L,[1]全伝票!$A:$A,$A25,[1]全伝票!$B:$B,$B25),SUMIFS([1]全伝票!L:L,[1]全伝票!$A:$A,$A25,[1]全伝票!$C:$C,$C25)))</f>
        <v>0</v>
      </c>
      <c r="I25" s="83">
        <f>+IF($A25="",IF($C25="",SUMIFS([1]全伝票!M:M,[1]全伝票!$B:$B,$B25),SUMIFS([1]全伝票!M:M,[1]全伝票!$C:$C,$C25)),IF($C25="",SUMIFS([1]全伝票!M:M,[1]全伝票!$A:$A,$A25,[1]全伝票!$B:$B,$B25),SUMIFS([1]全伝票!M:M,[1]全伝票!$A:$A,$A25,[1]全伝票!$C:$C,$C25)))</f>
        <v>0</v>
      </c>
      <c r="J25" s="82">
        <f>+IF($A25="",IF($C25="",SUMIFS([1]全伝票!N:N,[1]全伝票!$B:$B,$B25),SUMIFS([1]全伝票!N:N,[1]全伝票!$C:$C,$C25)),IF($C25="",SUMIFS([1]全伝票!N:N,[1]全伝票!$A:$A,$A25,[1]全伝票!$B:$B,$B25),SUMIFS([1]全伝票!N:N,[1]全伝票!$A:$A,$A25,[1]全伝票!$C:$C,$C25)))</f>
        <v>0</v>
      </c>
      <c r="K25" s="45">
        <f t="shared" si="0"/>
        <v>0</v>
      </c>
      <c r="L25" s="81">
        <f>+IF($A25="",IF($C25="",SUMIFS([1]全伝票!O:O,[1]全伝票!$B:$B,$B25),SUMIFS([1]全伝票!O:O,[1]全伝票!$C:$C,$C25)),IF($C25="",SUMIFS([1]全伝票!O:O,[1]全伝票!$A:$A,$A25,[1]全伝票!$B:$B,$B25),SUMIFS([1]全伝票!O:O,[1]全伝票!$A:$A,$A25,[1]全伝票!$C:$C,$C25)))</f>
        <v>76260</v>
      </c>
      <c r="M25" s="81">
        <f>+IF($A25="",IF($C25="",SUMIFS([1]全伝票!P:P,[1]全伝票!$B:$B,$B25),SUMIFS([1]全伝票!P:P,[1]全伝票!$C:$C,$C25)),IF($C25="",SUMIFS([1]全伝票!P:P,[1]全伝票!$A:$A,$A25,[1]全伝票!$B:$B,$B25),SUMIFS([1]全伝票!P:P,[1]全伝票!$A:$A,$A25,[1]全伝票!$C:$C,$C25)))</f>
        <v>0</v>
      </c>
      <c r="N25" s="43">
        <f t="shared" si="1"/>
        <v>0</v>
      </c>
      <c r="O25" s="42">
        <f t="shared" si="2"/>
        <v>0</v>
      </c>
      <c r="P25" s="42">
        <f t="shared" si="3"/>
        <v>0</v>
      </c>
      <c r="Q25" s="42">
        <f t="shared" si="3"/>
        <v>0</v>
      </c>
      <c r="R25" s="46">
        <f t="shared" si="4"/>
        <v>0</v>
      </c>
      <c r="S25" s="45">
        <f t="shared" si="5"/>
        <v>0</v>
      </c>
      <c r="T25" s="44">
        <f t="shared" si="6"/>
        <v>76260</v>
      </c>
      <c r="U25" s="31">
        <f t="shared" si="7"/>
        <v>0</v>
      </c>
      <c r="V25" s="31">
        <f t="shared" si="8"/>
        <v>0</v>
      </c>
      <c r="W25" s="31">
        <f t="shared" si="9"/>
        <v>0</v>
      </c>
      <c r="X25" s="31">
        <f t="shared" si="9"/>
        <v>0</v>
      </c>
      <c r="Y25" s="31">
        <f t="shared" si="10"/>
        <v>0</v>
      </c>
      <c r="Z25" s="30">
        <f t="shared" si="11"/>
        <v>0</v>
      </c>
      <c r="AA25" s="30">
        <f t="shared" si="12"/>
        <v>0</v>
      </c>
      <c r="AB25" s="30">
        <f t="shared" si="13"/>
        <v>0</v>
      </c>
      <c r="AC25" s="30">
        <f t="shared" si="13"/>
        <v>0</v>
      </c>
      <c r="AD25" s="30">
        <f t="shared" si="14"/>
        <v>0</v>
      </c>
      <c r="AE25" s="29"/>
      <c r="AF25" s="29"/>
      <c r="AG25" s="29"/>
      <c r="AH25" s="29"/>
      <c r="AI25" s="29"/>
    </row>
    <row r="26" spans="1:35" x14ac:dyDescent="0.15">
      <c r="A26" s="51">
        <v>3</v>
      </c>
      <c r="B26" s="50" t="s">
        <v>313</v>
      </c>
      <c r="C26" s="49"/>
      <c r="D26" s="48" t="s">
        <v>58</v>
      </c>
      <c r="E26" s="81">
        <f>+IF($A26="",IF($C26="",SUMIFS([1]全伝票!I:I,[1]全伝票!$B:$B,$B26),SUMIFS([1]全伝票!I:I,[1]全伝票!$C:$C,$C26)),IF($C26="",SUMIFS([1]全伝票!I:I,[1]全伝票!$A:$A,$A26,[1]全伝票!$B:$B,$B26),SUMIFS([1]全伝票!I:I,[1]全伝票!$A:$A,$A26,[1]全伝票!$C:$C,$C26)))</f>
        <v>49407</v>
      </c>
      <c r="F26" s="84">
        <f>+IF($A26="",IF($C26="",SUMIFS([1]全伝票!J:J,[1]全伝票!$B:$B,$B26),SUMIFS([1]全伝票!J:J,[1]全伝票!$C:$C,$C26)),IF($C26="",SUMIFS([1]全伝票!J:J,[1]全伝票!$A:$A,$A26,[1]全伝票!$B:$B,$B26),SUMIFS([1]全伝票!J:J,[1]全伝票!$A:$A,$A26,[1]全伝票!$C:$C,$C26)))</f>
        <v>0</v>
      </c>
      <c r="G26" s="83">
        <f>+IF($A26="",IF($C26="",SUMIFS([1]全伝票!K:K,[1]全伝票!$B:$B,$B26),SUMIFS([1]全伝票!K:K,[1]全伝票!$C:$C,$C26)),IF($C26="",SUMIFS([1]全伝票!K:K,[1]全伝票!$A:$A,$A26,[1]全伝票!$B:$B,$B26),SUMIFS([1]全伝票!K:K,[1]全伝票!$A:$A,$A26,[1]全伝票!$C:$C,$C26)))</f>
        <v>0</v>
      </c>
      <c r="H26" s="83">
        <f>+IF($A26="",IF($C26="",SUMIFS([1]全伝票!L:L,[1]全伝票!$B:$B,$B26),SUMIFS([1]全伝票!L:L,[1]全伝票!$C:$C,$C26)),IF($C26="",SUMIFS([1]全伝票!L:L,[1]全伝票!$A:$A,$A26,[1]全伝票!$B:$B,$B26),SUMIFS([1]全伝票!L:L,[1]全伝票!$A:$A,$A26,[1]全伝票!$C:$C,$C26)))</f>
        <v>0</v>
      </c>
      <c r="I26" s="83">
        <f>+IF($A26="",IF($C26="",SUMIFS([1]全伝票!M:M,[1]全伝票!$B:$B,$B26),SUMIFS([1]全伝票!M:M,[1]全伝票!$C:$C,$C26)),IF($C26="",SUMIFS([1]全伝票!M:M,[1]全伝票!$A:$A,$A26,[1]全伝票!$B:$B,$B26),SUMIFS([1]全伝票!M:M,[1]全伝票!$A:$A,$A26,[1]全伝票!$C:$C,$C26)))</f>
        <v>0</v>
      </c>
      <c r="J26" s="82">
        <f>+IF($A26="",IF($C26="",SUMIFS([1]全伝票!N:N,[1]全伝票!$B:$B,$B26),SUMIFS([1]全伝票!N:N,[1]全伝票!$C:$C,$C26)),IF($C26="",SUMIFS([1]全伝票!N:N,[1]全伝票!$A:$A,$A26,[1]全伝票!$B:$B,$B26),SUMIFS([1]全伝票!N:N,[1]全伝票!$A:$A,$A26,[1]全伝票!$C:$C,$C26)))</f>
        <v>0</v>
      </c>
      <c r="K26" s="45">
        <f t="shared" si="0"/>
        <v>0</v>
      </c>
      <c r="L26" s="81">
        <f>+IF($A26="",IF($C26="",SUMIFS([1]全伝票!O:O,[1]全伝票!$B:$B,$B26),SUMIFS([1]全伝票!O:O,[1]全伝票!$C:$C,$C26)),IF($C26="",SUMIFS([1]全伝票!O:O,[1]全伝票!$A:$A,$A26,[1]全伝票!$B:$B,$B26),SUMIFS([1]全伝票!O:O,[1]全伝票!$A:$A,$A26,[1]全伝票!$C:$C,$C26)))</f>
        <v>0</v>
      </c>
      <c r="M26" s="81">
        <f>+IF($A26="",IF($C26="",SUMIFS([1]全伝票!P:P,[1]全伝票!$B:$B,$B26),SUMIFS([1]全伝票!P:P,[1]全伝票!$C:$C,$C26)),IF($C26="",SUMIFS([1]全伝票!P:P,[1]全伝票!$A:$A,$A26,[1]全伝票!$B:$B,$B26),SUMIFS([1]全伝票!P:P,[1]全伝票!$A:$A,$A26,[1]全伝票!$C:$C,$C26)))</f>
        <v>49407</v>
      </c>
      <c r="N26" s="43">
        <f t="shared" si="1"/>
        <v>0</v>
      </c>
      <c r="O26" s="42">
        <f t="shared" si="2"/>
        <v>0</v>
      </c>
      <c r="P26" s="42">
        <f t="shared" si="3"/>
        <v>0</v>
      </c>
      <c r="Q26" s="42">
        <f t="shared" si="3"/>
        <v>0</v>
      </c>
      <c r="R26" s="46">
        <f t="shared" si="4"/>
        <v>0</v>
      </c>
      <c r="S26" s="45">
        <f t="shared" si="5"/>
        <v>0</v>
      </c>
      <c r="T26" s="44">
        <f t="shared" si="6"/>
        <v>49407</v>
      </c>
      <c r="U26" s="31">
        <f t="shared" si="7"/>
        <v>0</v>
      </c>
      <c r="V26" s="31">
        <f t="shared" si="8"/>
        <v>0</v>
      </c>
      <c r="W26" s="31">
        <f t="shared" si="9"/>
        <v>0</v>
      </c>
      <c r="X26" s="31">
        <f t="shared" si="9"/>
        <v>0</v>
      </c>
      <c r="Y26" s="31">
        <f t="shared" si="10"/>
        <v>0</v>
      </c>
      <c r="Z26" s="30">
        <f t="shared" si="11"/>
        <v>0</v>
      </c>
      <c r="AA26" s="30">
        <f t="shared" si="12"/>
        <v>0</v>
      </c>
      <c r="AB26" s="30">
        <f t="shared" si="13"/>
        <v>0</v>
      </c>
      <c r="AC26" s="30">
        <f t="shared" si="13"/>
        <v>0</v>
      </c>
      <c r="AD26" s="30">
        <f t="shared" si="14"/>
        <v>0</v>
      </c>
      <c r="AE26" s="29"/>
      <c r="AF26" s="29"/>
      <c r="AG26" s="29"/>
      <c r="AH26" s="29"/>
      <c r="AI26" s="29"/>
    </row>
    <row r="27" spans="1:35" x14ac:dyDescent="0.15">
      <c r="A27" s="51">
        <v>3</v>
      </c>
      <c r="B27" s="50" t="s">
        <v>327</v>
      </c>
      <c r="C27" s="49">
        <v>615531003</v>
      </c>
      <c r="D27" s="48" t="s">
        <v>371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0</v>
      </c>
      <c r="K27" s="45">
        <f t="shared" si="0"/>
        <v>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1"/>
        <v>0</v>
      </c>
      <c r="O27" s="42">
        <f t="shared" si="2"/>
        <v>0</v>
      </c>
      <c r="P27" s="42">
        <f t="shared" si="3"/>
        <v>0</v>
      </c>
      <c r="Q27" s="42">
        <f t="shared" si="3"/>
        <v>0</v>
      </c>
      <c r="R27" s="46">
        <f t="shared" si="4"/>
        <v>0</v>
      </c>
      <c r="S27" s="45">
        <f t="shared" si="5"/>
        <v>0</v>
      </c>
      <c r="T27" s="44">
        <f t="shared" si="6"/>
        <v>0</v>
      </c>
      <c r="U27" s="31">
        <f t="shared" si="7"/>
        <v>0</v>
      </c>
      <c r="V27" s="31">
        <f t="shared" si="8"/>
        <v>0</v>
      </c>
      <c r="W27" s="31">
        <f t="shared" si="9"/>
        <v>0</v>
      </c>
      <c r="X27" s="31">
        <f t="shared" si="9"/>
        <v>0</v>
      </c>
      <c r="Y27" s="31">
        <f t="shared" si="10"/>
        <v>0</v>
      </c>
      <c r="Z27" s="30">
        <f t="shared" si="11"/>
        <v>0</v>
      </c>
      <c r="AA27" s="30">
        <f t="shared" si="12"/>
        <v>0</v>
      </c>
      <c r="AB27" s="30">
        <f t="shared" si="13"/>
        <v>0</v>
      </c>
      <c r="AC27" s="30">
        <f t="shared" si="13"/>
        <v>0</v>
      </c>
      <c r="AD27" s="30">
        <f t="shared" si="14"/>
        <v>0</v>
      </c>
      <c r="AE27" s="29"/>
      <c r="AF27" s="29"/>
      <c r="AG27" s="29"/>
      <c r="AH27" s="29"/>
      <c r="AI27" s="29"/>
    </row>
    <row r="28" spans="1:35" x14ac:dyDescent="0.15">
      <c r="A28" s="51">
        <v>3</v>
      </c>
      <c r="B28" s="50" t="s">
        <v>312</v>
      </c>
      <c r="C28" s="49"/>
      <c r="D28" s="48" t="s">
        <v>56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0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0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0</v>
      </c>
      <c r="N28" s="43">
        <f t="shared" si="1"/>
        <v>0</v>
      </c>
      <c r="O28" s="42">
        <f t="shared" si="2"/>
        <v>0</v>
      </c>
      <c r="P28" s="42">
        <f t="shared" si="3"/>
        <v>0</v>
      </c>
      <c r="Q28" s="42">
        <f t="shared" si="3"/>
        <v>0</v>
      </c>
      <c r="R28" s="46">
        <f t="shared" si="4"/>
        <v>0</v>
      </c>
      <c r="S28" s="45">
        <f t="shared" si="5"/>
        <v>0</v>
      </c>
      <c r="T28" s="44">
        <f t="shared" si="6"/>
        <v>0</v>
      </c>
      <c r="U28" s="31">
        <f t="shared" si="7"/>
        <v>0</v>
      </c>
      <c r="V28" s="31">
        <f t="shared" si="8"/>
        <v>0</v>
      </c>
      <c r="W28" s="31">
        <f t="shared" si="9"/>
        <v>0</v>
      </c>
      <c r="X28" s="31">
        <f t="shared" si="9"/>
        <v>0</v>
      </c>
      <c r="Y28" s="31">
        <f t="shared" si="10"/>
        <v>0</v>
      </c>
      <c r="Z28" s="30">
        <f t="shared" si="11"/>
        <v>0</v>
      </c>
      <c r="AA28" s="30">
        <f t="shared" si="12"/>
        <v>0</v>
      </c>
      <c r="AB28" s="30">
        <f t="shared" si="13"/>
        <v>0</v>
      </c>
      <c r="AC28" s="30">
        <f t="shared" si="13"/>
        <v>0</v>
      </c>
      <c r="AD28" s="30">
        <f t="shared" si="14"/>
        <v>0</v>
      </c>
      <c r="AE28" s="29"/>
      <c r="AF28" s="29"/>
      <c r="AG28" s="29"/>
      <c r="AH28" s="29"/>
      <c r="AI28" s="29"/>
    </row>
    <row r="29" spans="1:35" x14ac:dyDescent="0.15">
      <c r="A29" s="51">
        <v>3</v>
      </c>
      <c r="B29" s="50" t="s">
        <v>311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0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1"/>
        <v>0</v>
      </c>
      <c r="O29" s="42">
        <f t="shared" si="2"/>
        <v>0</v>
      </c>
      <c r="P29" s="42">
        <f t="shared" si="3"/>
        <v>0</v>
      </c>
      <c r="Q29" s="42">
        <f t="shared" si="3"/>
        <v>0</v>
      </c>
      <c r="R29" s="46">
        <f t="shared" si="4"/>
        <v>0</v>
      </c>
      <c r="S29" s="45">
        <f t="shared" si="5"/>
        <v>0</v>
      </c>
      <c r="T29" s="44">
        <f t="shared" si="6"/>
        <v>0</v>
      </c>
      <c r="U29" s="31">
        <f t="shared" si="7"/>
        <v>0</v>
      </c>
      <c r="V29" s="31">
        <f t="shared" si="8"/>
        <v>0</v>
      </c>
      <c r="W29" s="31">
        <f t="shared" si="9"/>
        <v>0</v>
      </c>
      <c r="X29" s="31">
        <f t="shared" si="9"/>
        <v>0</v>
      </c>
      <c r="Y29" s="31">
        <f t="shared" si="10"/>
        <v>0</v>
      </c>
      <c r="Z29" s="30">
        <f t="shared" si="11"/>
        <v>0</v>
      </c>
      <c r="AA29" s="30">
        <f t="shared" si="12"/>
        <v>0</v>
      </c>
      <c r="AB29" s="30">
        <f t="shared" si="13"/>
        <v>0</v>
      </c>
      <c r="AC29" s="30">
        <f t="shared" si="13"/>
        <v>0</v>
      </c>
      <c r="AD29" s="30">
        <f t="shared" si="14"/>
        <v>0</v>
      </c>
      <c r="AE29" s="29"/>
      <c r="AF29" s="29"/>
      <c r="AG29" s="29"/>
      <c r="AH29" s="29"/>
      <c r="AI29" s="29"/>
    </row>
    <row r="30" spans="1:35" x14ac:dyDescent="0.15">
      <c r="A30" s="51">
        <v>3</v>
      </c>
      <c r="B30" s="50" t="s">
        <v>310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0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1"/>
        <v>0</v>
      </c>
      <c r="O30" s="42">
        <f t="shared" si="2"/>
        <v>0</v>
      </c>
      <c r="P30" s="42">
        <f t="shared" si="3"/>
        <v>0</v>
      </c>
      <c r="Q30" s="42">
        <f t="shared" si="3"/>
        <v>0</v>
      </c>
      <c r="R30" s="46">
        <f t="shared" si="4"/>
        <v>0</v>
      </c>
      <c r="S30" s="45">
        <f t="shared" si="5"/>
        <v>0</v>
      </c>
      <c r="T30" s="44">
        <f t="shared" si="6"/>
        <v>0</v>
      </c>
      <c r="U30" s="31">
        <f t="shared" si="7"/>
        <v>0</v>
      </c>
      <c r="V30" s="31">
        <f t="shared" si="8"/>
        <v>0</v>
      </c>
      <c r="W30" s="31">
        <f t="shared" si="9"/>
        <v>0</v>
      </c>
      <c r="X30" s="31">
        <f t="shared" si="9"/>
        <v>0</v>
      </c>
      <c r="Y30" s="31">
        <f t="shared" si="10"/>
        <v>0</v>
      </c>
      <c r="Z30" s="30">
        <f t="shared" si="11"/>
        <v>0</v>
      </c>
      <c r="AA30" s="30">
        <f t="shared" si="12"/>
        <v>0</v>
      </c>
      <c r="AB30" s="30">
        <f t="shared" si="13"/>
        <v>0</v>
      </c>
      <c r="AC30" s="30">
        <f t="shared" si="13"/>
        <v>0</v>
      </c>
      <c r="AD30" s="30">
        <f t="shared" si="14"/>
        <v>0</v>
      </c>
      <c r="AE30" s="29"/>
      <c r="AF30" s="29"/>
      <c r="AG30" s="29"/>
      <c r="AH30" s="29"/>
      <c r="AI30" s="29"/>
    </row>
    <row r="31" spans="1:35" x14ac:dyDescent="0.15">
      <c r="A31" s="51">
        <v>3</v>
      </c>
      <c r="B31" s="50" t="s">
        <v>309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1"/>
        <v>0</v>
      </c>
      <c r="O31" s="42">
        <f t="shared" si="2"/>
        <v>0</v>
      </c>
      <c r="P31" s="42">
        <f t="shared" si="3"/>
        <v>0</v>
      </c>
      <c r="Q31" s="42">
        <f t="shared" si="3"/>
        <v>0</v>
      </c>
      <c r="R31" s="46">
        <f t="shared" si="4"/>
        <v>0</v>
      </c>
      <c r="S31" s="45">
        <f t="shared" si="5"/>
        <v>0</v>
      </c>
      <c r="T31" s="44">
        <f t="shared" si="6"/>
        <v>0</v>
      </c>
      <c r="U31" s="31">
        <f t="shared" si="7"/>
        <v>0</v>
      </c>
      <c r="V31" s="31">
        <f t="shared" si="8"/>
        <v>0</v>
      </c>
      <c r="W31" s="31">
        <f t="shared" si="9"/>
        <v>0</v>
      </c>
      <c r="X31" s="31">
        <f t="shared" si="9"/>
        <v>0</v>
      </c>
      <c r="Y31" s="31">
        <f t="shared" si="10"/>
        <v>0</v>
      </c>
      <c r="Z31" s="30">
        <f t="shared" si="11"/>
        <v>0</v>
      </c>
      <c r="AA31" s="30">
        <f t="shared" si="12"/>
        <v>0</v>
      </c>
      <c r="AB31" s="30">
        <f t="shared" si="13"/>
        <v>0</v>
      </c>
      <c r="AC31" s="30">
        <f t="shared" si="13"/>
        <v>0</v>
      </c>
      <c r="AD31" s="30">
        <f t="shared" si="14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308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1"/>
        <v>0</v>
      </c>
      <c r="O32" s="42">
        <f t="shared" si="2"/>
        <v>0</v>
      </c>
      <c r="P32" s="42">
        <f t="shared" si="3"/>
        <v>0</v>
      </c>
      <c r="Q32" s="42">
        <f t="shared" si="3"/>
        <v>0</v>
      </c>
      <c r="R32" s="46">
        <f t="shared" si="4"/>
        <v>0</v>
      </c>
      <c r="S32" s="45">
        <f t="shared" si="5"/>
        <v>0</v>
      </c>
      <c r="T32" s="44">
        <f t="shared" si="6"/>
        <v>0</v>
      </c>
      <c r="U32" s="31">
        <f t="shared" si="7"/>
        <v>0</v>
      </c>
      <c r="V32" s="31">
        <f t="shared" si="8"/>
        <v>0</v>
      </c>
      <c r="W32" s="31">
        <f t="shared" si="9"/>
        <v>0</v>
      </c>
      <c r="X32" s="31">
        <f t="shared" si="9"/>
        <v>0</v>
      </c>
      <c r="Y32" s="31">
        <f t="shared" si="10"/>
        <v>0</v>
      </c>
      <c r="Z32" s="30">
        <f t="shared" si="11"/>
        <v>0</v>
      </c>
      <c r="AA32" s="30">
        <f t="shared" si="12"/>
        <v>0</v>
      </c>
      <c r="AB32" s="30">
        <f t="shared" si="13"/>
        <v>0</v>
      </c>
      <c r="AC32" s="30">
        <f t="shared" si="13"/>
        <v>0</v>
      </c>
      <c r="AD32" s="30">
        <f t="shared" si="14"/>
        <v>0</v>
      </c>
      <c r="AE32" s="29"/>
      <c r="AF32" s="29"/>
      <c r="AG32" s="29"/>
      <c r="AH32" s="29"/>
      <c r="AI32" s="29"/>
    </row>
    <row r="33" spans="1:35" x14ac:dyDescent="0.15">
      <c r="A33" s="51">
        <v>3</v>
      </c>
      <c r="B33" s="50" t="s">
        <v>307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1"/>
        <v>0</v>
      </c>
      <c r="O33" s="42">
        <f t="shared" si="2"/>
        <v>0</v>
      </c>
      <c r="P33" s="42">
        <f t="shared" si="3"/>
        <v>0</v>
      </c>
      <c r="Q33" s="42">
        <f t="shared" si="3"/>
        <v>0</v>
      </c>
      <c r="R33" s="46">
        <f t="shared" si="4"/>
        <v>0</v>
      </c>
      <c r="S33" s="45">
        <f t="shared" si="5"/>
        <v>0</v>
      </c>
      <c r="T33" s="44">
        <f t="shared" si="6"/>
        <v>0</v>
      </c>
      <c r="U33" s="31">
        <f t="shared" si="7"/>
        <v>0</v>
      </c>
      <c r="V33" s="31">
        <f t="shared" si="8"/>
        <v>0</v>
      </c>
      <c r="W33" s="31">
        <f t="shared" si="9"/>
        <v>0</v>
      </c>
      <c r="X33" s="31">
        <f t="shared" si="9"/>
        <v>0</v>
      </c>
      <c r="Y33" s="31">
        <f t="shared" si="10"/>
        <v>0</v>
      </c>
      <c r="Z33" s="30">
        <f t="shared" si="11"/>
        <v>0</v>
      </c>
      <c r="AA33" s="30">
        <f t="shared" si="12"/>
        <v>0</v>
      </c>
      <c r="AB33" s="30">
        <f t="shared" si="13"/>
        <v>0</v>
      </c>
      <c r="AC33" s="30">
        <f t="shared" si="13"/>
        <v>0</v>
      </c>
      <c r="AD33" s="30">
        <f t="shared" si="14"/>
        <v>0</v>
      </c>
      <c r="AE33" s="29"/>
      <c r="AF33" s="29"/>
      <c r="AG33" s="29"/>
      <c r="AH33" s="29"/>
      <c r="AI33" s="29"/>
    </row>
    <row r="34" spans="1:35" x14ac:dyDescent="0.15">
      <c r="A34" s="51">
        <v>3</v>
      </c>
      <c r="B34" s="50" t="s">
        <v>306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1"/>
        <v>0</v>
      </c>
      <c r="O34" s="42">
        <f t="shared" si="2"/>
        <v>0</v>
      </c>
      <c r="P34" s="42">
        <f t="shared" si="3"/>
        <v>0</v>
      </c>
      <c r="Q34" s="42">
        <f t="shared" si="3"/>
        <v>0</v>
      </c>
      <c r="R34" s="46">
        <f t="shared" si="4"/>
        <v>0</v>
      </c>
      <c r="S34" s="45">
        <f t="shared" si="5"/>
        <v>0</v>
      </c>
      <c r="T34" s="44">
        <f t="shared" si="6"/>
        <v>0</v>
      </c>
      <c r="U34" s="31">
        <f t="shared" si="7"/>
        <v>0</v>
      </c>
      <c r="V34" s="31">
        <f t="shared" si="8"/>
        <v>0</v>
      </c>
      <c r="W34" s="31">
        <f t="shared" si="9"/>
        <v>0</v>
      </c>
      <c r="X34" s="31">
        <f t="shared" si="9"/>
        <v>0</v>
      </c>
      <c r="Y34" s="31">
        <f t="shared" si="10"/>
        <v>0</v>
      </c>
      <c r="Z34" s="30">
        <f t="shared" si="11"/>
        <v>0</v>
      </c>
      <c r="AA34" s="30">
        <f t="shared" si="12"/>
        <v>0</v>
      </c>
      <c r="AB34" s="30">
        <f t="shared" si="13"/>
        <v>0</v>
      </c>
      <c r="AC34" s="30">
        <f t="shared" si="13"/>
        <v>0</v>
      </c>
      <c r="AD34" s="30">
        <f t="shared" si="14"/>
        <v>0</v>
      </c>
      <c r="AE34" s="29"/>
      <c r="AF34" s="29"/>
      <c r="AG34" s="29"/>
      <c r="AH34" s="29"/>
      <c r="AI34" s="29"/>
    </row>
    <row r="35" spans="1:35" x14ac:dyDescent="0.15">
      <c r="A35" s="51">
        <v>3</v>
      </c>
      <c r="B35" s="50" t="s">
        <v>300</v>
      </c>
      <c r="C35" s="49" t="s">
        <v>305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122037821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122037821</v>
      </c>
      <c r="K35" s="45">
        <f t="shared" si="0"/>
        <v>122037821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1"/>
        <v>0</v>
      </c>
      <c r="O35" s="42">
        <f t="shared" si="2"/>
        <v>0</v>
      </c>
      <c r="P35" s="42">
        <f t="shared" si="3"/>
        <v>0</v>
      </c>
      <c r="Q35" s="42">
        <f t="shared" si="3"/>
        <v>0</v>
      </c>
      <c r="R35" s="46">
        <f t="shared" si="4"/>
        <v>11094347</v>
      </c>
      <c r="S35" s="45">
        <f t="shared" si="5"/>
        <v>11094347</v>
      </c>
      <c r="T35" s="44">
        <f t="shared" si="6"/>
        <v>110943474</v>
      </c>
      <c r="U35" s="31">
        <f t="shared" si="7"/>
        <v>0</v>
      </c>
      <c r="V35" s="31">
        <f t="shared" si="8"/>
        <v>0</v>
      </c>
      <c r="W35" s="31">
        <f t="shared" si="9"/>
        <v>0</v>
      </c>
      <c r="X35" s="31">
        <f t="shared" si="9"/>
        <v>0</v>
      </c>
      <c r="Y35" s="31">
        <f t="shared" si="10"/>
        <v>-0.36363636329770088</v>
      </c>
      <c r="Z35" s="30">
        <f t="shared" si="11"/>
        <v>0</v>
      </c>
      <c r="AA35" s="30">
        <f t="shared" si="12"/>
        <v>0</v>
      </c>
      <c r="AB35" s="30">
        <f t="shared" si="13"/>
        <v>0</v>
      </c>
      <c r="AC35" s="30">
        <f t="shared" si="13"/>
        <v>0</v>
      </c>
      <c r="AD35" s="30">
        <f t="shared" si="14"/>
        <v>0</v>
      </c>
      <c r="AE35" s="29"/>
      <c r="AF35" s="29"/>
      <c r="AG35" s="29"/>
      <c r="AH35" s="29"/>
      <c r="AI35" s="29"/>
    </row>
    <row r="36" spans="1:35" x14ac:dyDescent="0.15">
      <c r="A36" s="51">
        <v>3</v>
      </c>
      <c r="B36" s="50" t="s">
        <v>300</v>
      </c>
      <c r="C36" s="49" t="s">
        <v>304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1"/>
        <v>0</v>
      </c>
      <c r="O36" s="42">
        <f t="shared" si="2"/>
        <v>0</v>
      </c>
      <c r="P36" s="42">
        <f t="shared" si="3"/>
        <v>0</v>
      </c>
      <c r="Q36" s="42">
        <f t="shared" si="3"/>
        <v>0</v>
      </c>
      <c r="R36" s="46">
        <f t="shared" si="4"/>
        <v>0</v>
      </c>
      <c r="S36" s="45">
        <f t="shared" si="5"/>
        <v>0</v>
      </c>
      <c r="T36" s="44">
        <f t="shared" si="6"/>
        <v>0</v>
      </c>
      <c r="U36" s="31">
        <f t="shared" si="7"/>
        <v>0</v>
      </c>
      <c r="V36" s="31">
        <f t="shared" si="8"/>
        <v>0</v>
      </c>
      <c r="W36" s="31">
        <f t="shared" si="9"/>
        <v>0</v>
      </c>
      <c r="X36" s="31">
        <f t="shared" si="9"/>
        <v>0</v>
      </c>
      <c r="Y36" s="31">
        <f t="shared" si="10"/>
        <v>0</v>
      </c>
      <c r="Z36" s="30">
        <f t="shared" si="11"/>
        <v>0</v>
      </c>
      <c r="AA36" s="30">
        <f t="shared" si="12"/>
        <v>0</v>
      </c>
      <c r="AB36" s="30">
        <f t="shared" si="13"/>
        <v>0</v>
      </c>
      <c r="AC36" s="30">
        <f t="shared" si="13"/>
        <v>0</v>
      </c>
      <c r="AD36" s="30">
        <f t="shared" si="14"/>
        <v>0</v>
      </c>
      <c r="AE36" s="29"/>
      <c r="AF36" s="29"/>
      <c r="AG36" s="29"/>
      <c r="AH36" s="29"/>
      <c r="AI36" s="29"/>
    </row>
    <row r="37" spans="1:35" x14ac:dyDescent="0.15">
      <c r="A37" s="51">
        <v>3</v>
      </c>
      <c r="B37" s="50" t="s">
        <v>300</v>
      </c>
      <c r="C37" s="49" t="s">
        <v>303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10447900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10447900</v>
      </c>
      <c r="K37" s="45">
        <f t="shared" si="0"/>
        <v>10447900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1"/>
        <v>0</v>
      </c>
      <c r="O37" s="42">
        <f t="shared" si="2"/>
        <v>0</v>
      </c>
      <c r="P37" s="42">
        <f t="shared" si="3"/>
        <v>0</v>
      </c>
      <c r="Q37" s="42">
        <f t="shared" si="3"/>
        <v>0</v>
      </c>
      <c r="R37" s="46">
        <f t="shared" si="4"/>
        <v>949809</v>
      </c>
      <c r="S37" s="45">
        <f t="shared" si="5"/>
        <v>949809</v>
      </c>
      <c r="T37" s="44">
        <f t="shared" si="6"/>
        <v>9498091</v>
      </c>
      <c r="U37" s="31">
        <f t="shared" si="7"/>
        <v>0</v>
      </c>
      <c r="V37" s="31">
        <f t="shared" si="8"/>
        <v>0</v>
      </c>
      <c r="W37" s="31">
        <f t="shared" si="9"/>
        <v>0</v>
      </c>
      <c r="X37" s="31">
        <f t="shared" si="9"/>
        <v>0</v>
      </c>
      <c r="Y37" s="31">
        <f t="shared" si="10"/>
        <v>-9.0909090940840542E-2</v>
      </c>
      <c r="Z37" s="30">
        <f t="shared" si="11"/>
        <v>0</v>
      </c>
      <c r="AA37" s="30">
        <f t="shared" si="12"/>
        <v>0</v>
      </c>
      <c r="AB37" s="30">
        <f t="shared" si="13"/>
        <v>0</v>
      </c>
      <c r="AC37" s="30">
        <f t="shared" si="13"/>
        <v>0</v>
      </c>
      <c r="AD37" s="30">
        <f t="shared" si="14"/>
        <v>0</v>
      </c>
      <c r="AE37" s="29"/>
      <c r="AF37" s="29"/>
      <c r="AG37" s="29"/>
      <c r="AH37" s="29"/>
      <c r="AI37" s="29"/>
    </row>
    <row r="38" spans="1:35" x14ac:dyDescent="0.15">
      <c r="A38" s="51">
        <v>3</v>
      </c>
      <c r="B38" s="50" t="s">
        <v>300</v>
      </c>
      <c r="C38" s="49" t="s">
        <v>302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3268100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3268100</v>
      </c>
      <c r="K38" s="45">
        <f t="shared" si="0"/>
        <v>3268100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1"/>
        <v>0</v>
      </c>
      <c r="O38" s="42">
        <f t="shared" si="2"/>
        <v>0</v>
      </c>
      <c r="P38" s="42">
        <f t="shared" si="3"/>
        <v>0</v>
      </c>
      <c r="Q38" s="42">
        <f t="shared" si="3"/>
        <v>0</v>
      </c>
      <c r="R38" s="46">
        <f t="shared" si="4"/>
        <v>297100</v>
      </c>
      <c r="S38" s="45">
        <f t="shared" si="5"/>
        <v>297100</v>
      </c>
      <c r="T38" s="44">
        <f t="shared" si="6"/>
        <v>2971000</v>
      </c>
      <c r="U38" s="31">
        <f t="shared" si="7"/>
        <v>0</v>
      </c>
      <c r="V38" s="31">
        <f t="shared" si="8"/>
        <v>0</v>
      </c>
      <c r="W38" s="31">
        <f t="shared" si="9"/>
        <v>0</v>
      </c>
      <c r="X38" s="31">
        <f t="shared" si="9"/>
        <v>0</v>
      </c>
      <c r="Y38" s="31">
        <f t="shared" si="10"/>
        <v>0</v>
      </c>
      <c r="Z38" s="30">
        <f t="shared" si="11"/>
        <v>0</v>
      </c>
      <c r="AA38" s="30">
        <f t="shared" si="12"/>
        <v>0</v>
      </c>
      <c r="AB38" s="30">
        <f t="shared" si="13"/>
        <v>0</v>
      </c>
      <c r="AC38" s="30">
        <f t="shared" si="13"/>
        <v>0</v>
      </c>
      <c r="AD38" s="30">
        <f t="shared" si="14"/>
        <v>0</v>
      </c>
      <c r="AE38" s="29"/>
      <c r="AF38" s="29"/>
      <c r="AG38" s="29"/>
      <c r="AH38" s="29"/>
      <c r="AI38" s="29"/>
    </row>
    <row r="39" spans="1:35" x14ac:dyDescent="0.15">
      <c r="A39" s="51">
        <v>3</v>
      </c>
      <c r="B39" s="50" t="s">
        <v>300</v>
      </c>
      <c r="C39" s="49" t="s">
        <v>301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1"/>
        <v>0</v>
      </c>
      <c r="O39" s="42">
        <f t="shared" si="2"/>
        <v>0</v>
      </c>
      <c r="P39" s="42">
        <f t="shared" si="3"/>
        <v>0</v>
      </c>
      <c r="Q39" s="42">
        <f t="shared" si="3"/>
        <v>0</v>
      </c>
      <c r="R39" s="46">
        <f t="shared" si="4"/>
        <v>0</v>
      </c>
      <c r="S39" s="45">
        <f t="shared" si="5"/>
        <v>0</v>
      </c>
      <c r="T39" s="44">
        <f t="shared" si="6"/>
        <v>0</v>
      </c>
      <c r="U39" s="31">
        <f t="shared" si="7"/>
        <v>0</v>
      </c>
      <c r="V39" s="31">
        <f t="shared" si="8"/>
        <v>0</v>
      </c>
      <c r="W39" s="31">
        <f t="shared" si="9"/>
        <v>0</v>
      </c>
      <c r="X39" s="31">
        <f t="shared" si="9"/>
        <v>0</v>
      </c>
      <c r="Y39" s="31">
        <f t="shared" si="10"/>
        <v>0</v>
      </c>
      <c r="Z39" s="30">
        <f t="shared" si="11"/>
        <v>0</v>
      </c>
      <c r="AA39" s="30">
        <f t="shared" si="12"/>
        <v>0</v>
      </c>
      <c r="AB39" s="30">
        <f t="shared" si="13"/>
        <v>0</v>
      </c>
      <c r="AC39" s="30">
        <f t="shared" si="13"/>
        <v>0</v>
      </c>
      <c r="AD39" s="30">
        <f t="shared" si="14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3</v>
      </c>
      <c r="B40" s="40" t="s">
        <v>300</v>
      </c>
      <c r="C40" s="39" t="s">
        <v>299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426920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426920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1"/>
        <v>0</v>
      </c>
      <c r="O40" s="32">
        <f t="shared" si="2"/>
        <v>0</v>
      </c>
      <c r="P40" s="32">
        <f t="shared" si="3"/>
        <v>0</v>
      </c>
      <c r="Q40" s="32">
        <f t="shared" si="3"/>
        <v>0</v>
      </c>
      <c r="R40" s="36">
        <f t="shared" si="4"/>
        <v>0</v>
      </c>
      <c r="S40" s="35">
        <f t="shared" si="5"/>
        <v>0</v>
      </c>
      <c r="T40" s="34">
        <f t="shared" si="6"/>
        <v>426920</v>
      </c>
      <c r="U40" s="31">
        <f t="shared" si="7"/>
        <v>0</v>
      </c>
      <c r="V40" s="31">
        <f t="shared" si="8"/>
        <v>0</v>
      </c>
      <c r="W40" s="31">
        <f t="shared" si="9"/>
        <v>0</v>
      </c>
      <c r="X40" s="31">
        <f t="shared" si="9"/>
        <v>0</v>
      </c>
      <c r="Y40" s="31">
        <f t="shared" si="10"/>
        <v>0</v>
      </c>
      <c r="Z40" s="30">
        <f t="shared" si="11"/>
        <v>0</v>
      </c>
      <c r="AA40" s="30">
        <f t="shared" si="12"/>
        <v>0</v>
      </c>
      <c r="AB40" s="30">
        <f t="shared" si="13"/>
        <v>0</v>
      </c>
      <c r="AC40" s="30">
        <f t="shared" si="13"/>
        <v>0</v>
      </c>
      <c r="AD40" s="30">
        <f t="shared" si="14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5">SUM(E5:E40)</f>
        <v>146106803</v>
      </c>
      <c r="F41" s="24">
        <f t="shared" si="15"/>
        <v>0</v>
      </c>
      <c r="G41" s="23">
        <f t="shared" si="15"/>
        <v>0</v>
      </c>
      <c r="H41" s="23">
        <f t="shared" si="15"/>
        <v>0</v>
      </c>
      <c r="I41" s="23">
        <f t="shared" ref="I41" si="16">SUM(I5:I40)</f>
        <v>0</v>
      </c>
      <c r="J41" s="22">
        <f t="shared" si="15"/>
        <v>136580009</v>
      </c>
      <c r="K41" s="15">
        <f t="shared" si="15"/>
        <v>136580009</v>
      </c>
      <c r="L41" s="20">
        <f t="shared" si="15"/>
        <v>1942679</v>
      </c>
      <c r="M41" s="20">
        <f t="shared" si="15"/>
        <v>7584115</v>
      </c>
      <c r="N41" s="17">
        <f t="shared" si="15"/>
        <v>0</v>
      </c>
      <c r="O41" s="16">
        <f t="shared" si="15"/>
        <v>0</v>
      </c>
      <c r="P41" s="16">
        <f t="shared" si="15"/>
        <v>0</v>
      </c>
      <c r="Q41" s="16">
        <f t="shared" ref="Q41" si="17">SUM(Q5:Q40)</f>
        <v>0</v>
      </c>
      <c r="R41" s="19">
        <f t="shared" si="15"/>
        <v>12416364</v>
      </c>
      <c r="S41" s="15">
        <f t="shared" si="15"/>
        <v>12416364</v>
      </c>
      <c r="T41" s="18">
        <f t="shared" si="15"/>
        <v>133690439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8">+E41</f>
        <v>146106803</v>
      </c>
      <c r="F42" s="10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8">
        <f t="shared" si="18"/>
        <v>136580009</v>
      </c>
      <c r="K42" s="4">
        <f>SUM(F42:J42)</f>
        <v>136580009</v>
      </c>
      <c r="L42" s="5">
        <f>+L41</f>
        <v>1942679</v>
      </c>
      <c r="M42" s="5">
        <f>+M41</f>
        <v>7584115</v>
      </c>
      <c r="N42" s="121">
        <f>+'4条支出'!N18</f>
        <v>0</v>
      </c>
      <c r="O42" s="122">
        <f>+'4条支出'!O18</f>
        <v>0</v>
      </c>
      <c r="P42" s="122">
        <f>+'4条支出'!P18</f>
        <v>0</v>
      </c>
      <c r="Q42" s="122">
        <f>+'4条支出'!Q18</f>
        <v>0</v>
      </c>
      <c r="R42" s="123">
        <f>+'4条支出'!R18</f>
        <v>12416364</v>
      </c>
      <c r="S42" s="124">
        <f>+'4条支出'!S18</f>
        <v>12416364</v>
      </c>
      <c r="T42" s="125">
        <f>+'4条支出'!T18</f>
        <v>133690439</v>
      </c>
    </row>
    <row r="43" spans="1:35" x14ac:dyDescent="0.15">
      <c r="E43" s="3">
        <f t="shared" ref="E43:T43" si="19">+E42-E41</f>
        <v>0</v>
      </c>
      <c r="F43" s="3">
        <f t="shared" si="19"/>
        <v>0</v>
      </c>
      <c r="G43" s="3">
        <f t="shared" si="19"/>
        <v>0</v>
      </c>
      <c r="H43" s="3">
        <f t="shared" si="19"/>
        <v>0</v>
      </c>
      <c r="I43" s="3">
        <f t="shared" ref="I43" si="20">+I42-I41</f>
        <v>0</v>
      </c>
      <c r="J43" s="3">
        <f t="shared" si="19"/>
        <v>0</v>
      </c>
      <c r="K43" s="3">
        <f t="shared" si="19"/>
        <v>0</v>
      </c>
      <c r="L43" s="3">
        <f t="shared" si="19"/>
        <v>0</v>
      </c>
      <c r="M43" s="3">
        <f t="shared" si="19"/>
        <v>0</v>
      </c>
      <c r="N43" s="3">
        <f t="shared" si="19"/>
        <v>0</v>
      </c>
      <c r="O43" s="3">
        <f t="shared" si="19"/>
        <v>0</v>
      </c>
      <c r="P43" s="3">
        <f t="shared" si="19"/>
        <v>0</v>
      </c>
      <c r="Q43" s="3">
        <f t="shared" ref="Q43" si="21">+Q42-Q41</f>
        <v>0</v>
      </c>
      <c r="R43" s="3">
        <f t="shared" si="19"/>
        <v>0</v>
      </c>
      <c r="S43" s="3">
        <f t="shared" si="19"/>
        <v>0</v>
      </c>
      <c r="T43" s="3">
        <f t="shared" si="19"/>
        <v>0</v>
      </c>
    </row>
    <row r="45" spans="1:35" x14ac:dyDescent="0.15">
      <c r="G45" s="133"/>
      <c r="H45" s="134"/>
      <c r="I45" s="134"/>
      <c r="J45" s="134"/>
    </row>
    <row r="46" spans="1:35" x14ac:dyDescent="0.15">
      <c r="G46" s="133"/>
      <c r="H46" s="134"/>
      <c r="I46" s="134"/>
      <c r="J46" s="134"/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44" priority="4">
      <formula>ABS(Z5)=1</formula>
    </cfRule>
  </conditionalFormatting>
  <conditionalFormatting sqref="AD5:AD40">
    <cfRule type="expression" dxfId="43" priority="3">
      <formula>ABS(AD5)=1</formula>
    </cfRule>
  </conditionalFormatting>
  <conditionalFormatting sqref="Z6:AC40">
    <cfRule type="expression" dxfId="42" priority="6">
      <formula>ABS(Z6)=1</formula>
    </cfRule>
  </conditionalFormatting>
  <conditionalFormatting sqref="AE6:AE14 AE16:AE40">
    <cfRule type="notContainsBlanks" dxfId="41" priority="9" stopIfTrue="1">
      <formula>LEN(TRIM(AE6))&gt;0</formula>
    </cfRule>
  </conditionalFormatting>
  <conditionalFormatting sqref="AE6:AI40">
    <cfRule type="notContainsBlanks" dxfId="40" priority="8" stopIfTrue="1">
      <formula>LEN(TRIM(AE6))&gt;0</formula>
    </cfRule>
  </conditionalFormatting>
  <conditionalFormatting sqref="AE5:AI5">
    <cfRule type="notContainsBlanks" dxfId="39" priority="7" stopIfTrue="1">
      <formula>LEN(TRIM(AE5))&gt;0</formula>
    </cfRule>
  </conditionalFormatting>
  <conditionalFormatting sqref="AA6:AC40">
    <cfRule type="expression" dxfId="38" priority="5">
      <formula>ABS(AA6)=1</formula>
    </cfRule>
  </conditionalFormatting>
  <conditionalFormatting sqref="E43:H43 J43:T43">
    <cfRule type="cellIs" dxfId="37" priority="2" operator="notEqual">
      <formula>0</formula>
    </cfRule>
  </conditionalFormatting>
  <conditionalFormatting sqref="I43">
    <cfRule type="cellIs" dxfId="36" priority="1" operator="notEqual">
      <formula>0</formula>
    </cfRule>
  </conditionalFormatting>
  <pageMargins left="0.39370078740157483" right="0.39370078740157483" top="0.78740157480314965" bottom="0.39370078740157483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6"/>
  <sheetViews>
    <sheetView zoomScale="80" zoomScaleNormal="80" zoomScaleSheetLayoutView="40" workbookViewId="0">
      <pane xSplit="5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24" width="5.375" style="1" customWidth="1"/>
    <col min="25" max="25" width="6.875" style="1" bestFit="1" customWidth="1"/>
    <col min="26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338</v>
      </c>
      <c r="V2" s="67"/>
      <c r="W2" s="67"/>
      <c r="X2" s="67"/>
      <c r="Y2" s="67"/>
      <c r="Z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126">
        <v>3</v>
      </c>
      <c r="V4" s="126">
        <v>5</v>
      </c>
      <c r="W4" s="126">
        <v>8</v>
      </c>
      <c r="X4" s="132">
        <v>8</v>
      </c>
      <c r="Y4" s="126">
        <v>10</v>
      </c>
      <c r="Z4" s="126">
        <v>3</v>
      </c>
      <c r="AA4" s="126">
        <v>5</v>
      </c>
      <c r="AB4" s="126">
        <v>8</v>
      </c>
      <c r="AC4" s="132">
        <v>8</v>
      </c>
      <c r="AD4" s="126">
        <v>10</v>
      </c>
      <c r="AE4" s="126">
        <v>3</v>
      </c>
      <c r="AF4" s="126">
        <v>5</v>
      </c>
      <c r="AG4" s="126">
        <v>8</v>
      </c>
      <c r="AH4" s="132">
        <v>8</v>
      </c>
      <c r="AI4" s="126">
        <v>10</v>
      </c>
    </row>
    <row r="5" spans="1:35" x14ac:dyDescent="0.15">
      <c r="A5" s="66">
        <v>4</v>
      </c>
      <c r="B5" s="65" t="s">
        <v>335</v>
      </c>
      <c r="C5" s="64"/>
      <c r="D5" s="63" t="s">
        <v>101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2110500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ref="K5:K40" si="0"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2110500</v>
      </c>
      <c r="N5" s="61">
        <f t="shared" ref="N5:N40" si="1">+ROUND(F5*F$4/(100+F$4),0)+AE5</f>
        <v>0</v>
      </c>
      <c r="O5" s="60">
        <f t="shared" ref="O5:O40" si="2">+ROUND(G5*G$4/(100+G$4),0)+AF5</f>
        <v>0</v>
      </c>
      <c r="P5" s="60">
        <f t="shared" ref="P5:Q40" si="3">+ROUND(H5*H$4/(100+H$4),0)+AG5</f>
        <v>0</v>
      </c>
      <c r="Q5" s="60">
        <f t="shared" si="3"/>
        <v>0</v>
      </c>
      <c r="R5" s="59">
        <f t="shared" ref="R5:R40" si="4">+ROUND(J5*J$4/(100+J$4),0)+AI5</f>
        <v>0</v>
      </c>
      <c r="S5" s="58">
        <f t="shared" ref="S5:S40" si="5">SUM(N5:R5)</f>
        <v>0</v>
      </c>
      <c r="T5" s="85">
        <f t="shared" ref="T5:T40" si="6">+E5-S5</f>
        <v>2110500</v>
      </c>
      <c r="U5" s="31">
        <f t="shared" ref="U5:U40" si="7">N5-F5*F$4/(100+F$4)</f>
        <v>0</v>
      </c>
      <c r="V5" s="31">
        <f t="shared" ref="V5:V40" si="8">O5-G5*G$4/(100+G$4)</f>
        <v>0</v>
      </c>
      <c r="W5" s="31">
        <f t="shared" ref="W5:X40" si="9">P5-H5*H$4/(100+H$4)</f>
        <v>0</v>
      </c>
      <c r="X5" s="31">
        <f t="shared" si="9"/>
        <v>0</v>
      </c>
      <c r="Y5" s="31">
        <f t="shared" ref="Y5:Y40" si="10">R5-J5*J$4/(100+J$4)</f>
        <v>0</v>
      </c>
      <c r="Z5" s="30">
        <f t="shared" ref="Z5:Z40" si="11">+IF(N$43=0,0,IF(N$43&lt;0,-RANK(U5,U$5:U$40,0),RANK(U5,U$5:U$40,1)))</f>
        <v>0</v>
      </c>
      <c r="AA5" s="30">
        <f t="shared" ref="AA5:AA40" si="12">+IF(O$43=0,0,IF(O$43&lt;0,-RANK(V5,V$5:V$40,0),RANK(V5,V$5:V$40,1)))</f>
        <v>0</v>
      </c>
      <c r="AB5" s="30">
        <f t="shared" ref="AB5:AC40" si="13">+IF(P$43=0,0,IF(P$43&lt;0,-RANK(W5,W$5:W$40,0),RANK(W5,W$5:W$40,1)))</f>
        <v>0</v>
      </c>
      <c r="AC5" s="30">
        <f t="shared" si="13"/>
        <v>0</v>
      </c>
      <c r="AD5" s="30">
        <f t="shared" ref="AD5:AD40" si="14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>
        <v>4</v>
      </c>
      <c r="B6" s="50" t="s">
        <v>334</v>
      </c>
      <c r="C6" s="49"/>
      <c r="D6" s="48" t="s">
        <v>99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2474400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 t="shared" si="0"/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2474400</v>
      </c>
      <c r="N6" s="43">
        <f t="shared" si="1"/>
        <v>0</v>
      </c>
      <c r="O6" s="42">
        <f t="shared" si="2"/>
        <v>0</v>
      </c>
      <c r="P6" s="42">
        <f t="shared" si="3"/>
        <v>0</v>
      </c>
      <c r="Q6" s="42">
        <f t="shared" si="3"/>
        <v>0</v>
      </c>
      <c r="R6" s="46">
        <f t="shared" si="4"/>
        <v>0</v>
      </c>
      <c r="S6" s="45">
        <f t="shared" si="5"/>
        <v>0</v>
      </c>
      <c r="T6" s="44">
        <f t="shared" si="6"/>
        <v>2474400</v>
      </c>
      <c r="U6" s="31">
        <f t="shared" si="7"/>
        <v>0</v>
      </c>
      <c r="V6" s="31">
        <f t="shared" si="8"/>
        <v>0</v>
      </c>
      <c r="W6" s="31">
        <f t="shared" si="9"/>
        <v>0</v>
      </c>
      <c r="X6" s="31">
        <f t="shared" si="9"/>
        <v>0</v>
      </c>
      <c r="Y6" s="31">
        <f t="shared" si="10"/>
        <v>0</v>
      </c>
      <c r="Z6" s="30">
        <f t="shared" si="11"/>
        <v>0</v>
      </c>
      <c r="AA6" s="30">
        <f t="shared" si="12"/>
        <v>0</v>
      </c>
      <c r="AB6" s="30">
        <f t="shared" si="13"/>
        <v>0</v>
      </c>
      <c r="AC6" s="30">
        <f t="shared" si="13"/>
        <v>0</v>
      </c>
      <c r="AD6" s="30">
        <f t="shared" si="14"/>
        <v>0</v>
      </c>
      <c r="AE6" s="29"/>
      <c r="AF6" s="29"/>
      <c r="AG6" s="29"/>
      <c r="AH6" s="29"/>
      <c r="AI6" s="29"/>
    </row>
    <row r="7" spans="1:35" x14ac:dyDescent="0.15">
      <c r="A7" s="51">
        <v>4</v>
      </c>
      <c r="B7" s="50" t="s">
        <v>333</v>
      </c>
      <c r="C7" s="49"/>
      <c r="D7" s="48" t="s">
        <v>97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3010754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194020</v>
      </c>
      <c r="K7" s="45">
        <f t="shared" si="0"/>
        <v>194020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2816734</v>
      </c>
      <c r="N7" s="43">
        <f t="shared" si="1"/>
        <v>0</v>
      </c>
      <c r="O7" s="42">
        <f t="shared" si="2"/>
        <v>0</v>
      </c>
      <c r="P7" s="42">
        <f t="shared" si="3"/>
        <v>0</v>
      </c>
      <c r="Q7" s="42">
        <f t="shared" si="3"/>
        <v>0</v>
      </c>
      <c r="R7" s="46">
        <f t="shared" si="4"/>
        <v>17638</v>
      </c>
      <c r="S7" s="45">
        <f t="shared" si="5"/>
        <v>17638</v>
      </c>
      <c r="T7" s="44">
        <f t="shared" si="6"/>
        <v>2993116</v>
      </c>
      <c r="U7" s="31">
        <f t="shared" si="7"/>
        <v>0</v>
      </c>
      <c r="V7" s="31">
        <f t="shared" si="8"/>
        <v>0</v>
      </c>
      <c r="W7" s="31">
        <f t="shared" si="9"/>
        <v>0</v>
      </c>
      <c r="X7" s="31">
        <f t="shared" si="9"/>
        <v>0</v>
      </c>
      <c r="Y7" s="31">
        <f t="shared" si="10"/>
        <v>-0.18181818181983544</v>
      </c>
      <c r="Z7" s="30">
        <f t="shared" si="11"/>
        <v>0</v>
      </c>
      <c r="AA7" s="30">
        <f t="shared" si="12"/>
        <v>0</v>
      </c>
      <c r="AB7" s="30">
        <f t="shared" si="13"/>
        <v>0</v>
      </c>
      <c r="AC7" s="30">
        <f t="shared" si="13"/>
        <v>0</v>
      </c>
      <c r="AD7" s="30">
        <f t="shared" si="14"/>
        <v>0</v>
      </c>
      <c r="AE7" s="29"/>
      <c r="AF7" s="29"/>
      <c r="AG7" s="29"/>
      <c r="AH7" s="29"/>
      <c r="AI7" s="29"/>
    </row>
    <row r="8" spans="1:35" x14ac:dyDescent="0.15">
      <c r="A8" s="51">
        <v>4</v>
      </c>
      <c r="B8" s="50" t="s">
        <v>332</v>
      </c>
      <c r="C8" s="49"/>
      <c r="D8" s="48" t="s">
        <v>95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1354980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 t="shared" si="0"/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1348404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6576</v>
      </c>
      <c r="N8" s="43">
        <f t="shared" si="1"/>
        <v>0</v>
      </c>
      <c r="O8" s="42">
        <f t="shared" si="2"/>
        <v>0</v>
      </c>
      <c r="P8" s="42">
        <f t="shared" si="3"/>
        <v>0</v>
      </c>
      <c r="Q8" s="42">
        <f t="shared" si="3"/>
        <v>0</v>
      </c>
      <c r="R8" s="46">
        <f t="shared" si="4"/>
        <v>0</v>
      </c>
      <c r="S8" s="45">
        <f t="shared" si="5"/>
        <v>0</v>
      </c>
      <c r="T8" s="44">
        <f t="shared" si="6"/>
        <v>1354980</v>
      </c>
      <c r="U8" s="31">
        <f t="shared" si="7"/>
        <v>0</v>
      </c>
      <c r="V8" s="31">
        <f t="shared" si="8"/>
        <v>0</v>
      </c>
      <c r="W8" s="31">
        <f t="shared" si="9"/>
        <v>0</v>
      </c>
      <c r="X8" s="31">
        <f t="shared" si="9"/>
        <v>0</v>
      </c>
      <c r="Y8" s="31">
        <f t="shared" si="10"/>
        <v>0</v>
      </c>
      <c r="Z8" s="30">
        <f t="shared" si="11"/>
        <v>0</v>
      </c>
      <c r="AA8" s="30">
        <f t="shared" si="12"/>
        <v>0</v>
      </c>
      <c r="AB8" s="30">
        <f t="shared" si="13"/>
        <v>0</v>
      </c>
      <c r="AC8" s="30">
        <f t="shared" si="13"/>
        <v>0</v>
      </c>
      <c r="AD8" s="30">
        <f t="shared" si="14"/>
        <v>0</v>
      </c>
      <c r="AE8" s="29"/>
      <c r="AF8" s="29"/>
      <c r="AG8" s="29"/>
      <c r="AH8" s="29"/>
      <c r="AI8" s="29"/>
    </row>
    <row r="9" spans="1:35" x14ac:dyDescent="0.15">
      <c r="A9" s="51">
        <v>4</v>
      </c>
      <c r="B9" s="50" t="s">
        <v>331</v>
      </c>
      <c r="C9" s="49"/>
      <c r="D9" s="48" t="s">
        <v>93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 t="shared" si="0"/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1"/>
        <v>0</v>
      </c>
      <c r="O9" s="42">
        <f t="shared" si="2"/>
        <v>0</v>
      </c>
      <c r="P9" s="42">
        <f t="shared" si="3"/>
        <v>0</v>
      </c>
      <c r="Q9" s="42">
        <f t="shared" si="3"/>
        <v>0</v>
      </c>
      <c r="R9" s="46">
        <f t="shared" si="4"/>
        <v>0</v>
      </c>
      <c r="S9" s="45">
        <f t="shared" si="5"/>
        <v>0</v>
      </c>
      <c r="T9" s="44">
        <f t="shared" si="6"/>
        <v>0</v>
      </c>
      <c r="U9" s="31">
        <f t="shared" si="7"/>
        <v>0</v>
      </c>
      <c r="V9" s="31">
        <f t="shared" si="8"/>
        <v>0</v>
      </c>
      <c r="W9" s="31">
        <f t="shared" si="9"/>
        <v>0</v>
      </c>
      <c r="X9" s="31">
        <f t="shared" si="9"/>
        <v>0</v>
      </c>
      <c r="Y9" s="31">
        <f t="shared" si="10"/>
        <v>0</v>
      </c>
      <c r="Z9" s="30">
        <f t="shared" si="11"/>
        <v>0</v>
      </c>
      <c r="AA9" s="30">
        <f t="shared" si="12"/>
        <v>0</v>
      </c>
      <c r="AB9" s="30">
        <f t="shared" si="13"/>
        <v>0</v>
      </c>
      <c r="AC9" s="30">
        <f t="shared" si="13"/>
        <v>0</v>
      </c>
      <c r="AD9" s="30">
        <f t="shared" si="14"/>
        <v>0</v>
      </c>
      <c r="AE9" s="29"/>
      <c r="AF9" s="29"/>
      <c r="AG9" s="29"/>
      <c r="AH9" s="29"/>
      <c r="AI9" s="29"/>
    </row>
    <row r="10" spans="1:35" x14ac:dyDescent="0.15">
      <c r="A10" s="51">
        <v>4</v>
      </c>
      <c r="B10" s="50" t="s">
        <v>330</v>
      </c>
      <c r="C10" s="49"/>
      <c r="D10" s="48" t="s">
        <v>91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 t="shared" si="0"/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0</v>
      </c>
      <c r="N10" s="43">
        <f t="shared" si="1"/>
        <v>0</v>
      </c>
      <c r="O10" s="42">
        <f t="shared" si="2"/>
        <v>0</v>
      </c>
      <c r="P10" s="42">
        <f t="shared" si="3"/>
        <v>0</v>
      </c>
      <c r="Q10" s="42">
        <f t="shared" si="3"/>
        <v>0</v>
      </c>
      <c r="R10" s="46">
        <f t="shared" si="4"/>
        <v>0</v>
      </c>
      <c r="S10" s="45">
        <f t="shared" si="5"/>
        <v>0</v>
      </c>
      <c r="T10" s="44">
        <f t="shared" si="6"/>
        <v>0</v>
      </c>
      <c r="U10" s="31">
        <f t="shared" si="7"/>
        <v>0</v>
      </c>
      <c r="V10" s="31">
        <f t="shared" si="8"/>
        <v>0</v>
      </c>
      <c r="W10" s="31">
        <f t="shared" si="9"/>
        <v>0</v>
      </c>
      <c r="X10" s="31">
        <f t="shared" si="9"/>
        <v>0</v>
      </c>
      <c r="Y10" s="31">
        <f t="shared" si="10"/>
        <v>0</v>
      </c>
      <c r="Z10" s="30">
        <f t="shared" si="11"/>
        <v>0</v>
      </c>
      <c r="AA10" s="30">
        <f t="shared" si="12"/>
        <v>0</v>
      </c>
      <c r="AB10" s="30">
        <f t="shared" si="13"/>
        <v>0</v>
      </c>
      <c r="AC10" s="30">
        <f t="shared" si="13"/>
        <v>0</v>
      </c>
      <c r="AD10" s="30">
        <f t="shared" si="14"/>
        <v>0</v>
      </c>
      <c r="AE10" s="29"/>
      <c r="AF10" s="29"/>
      <c r="AG10" s="29"/>
      <c r="AH10" s="29"/>
      <c r="AI10" s="29"/>
    </row>
    <row r="11" spans="1:35" x14ac:dyDescent="0.15">
      <c r="A11" s="51">
        <v>4</v>
      </c>
      <c r="B11" s="50" t="s">
        <v>329</v>
      </c>
      <c r="C11" s="49"/>
      <c r="D11" s="48" t="s">
        <v>89</v>
      </c>
      <c r="E11" s="81">
        <f>+IF($A11="",IF($C11="",SUMIFS([1]全伝票!I:I,[1]全伝票!$B:$B,$B11),SUMIFS([1]全伝票!I:I,[1]全伝票!$C:$C,$C11)),IF($C11="",SUMIFS([1]全伝票!I:I,[1]全伝票!$A:$A,$A11,[1]全伝票!$B:$B,$B11),SUMIFS([1]全伝票!I:I,[1]全伝票!$A:$A,$A11,[1]全伝票!$C:$C,$C11)))</f>
        <v>240000</v>
      </c>
      <c r="F11" s="84">
        <f>+IF($A11="",IF($C11="",SUMIFS([1]全伝票!J:J,[1]全伝票!$B:$B,$B11),SUMIFS([1]全伝票!J:J,[1]全伝票!$C:$C,$C11)),IF($C11="",SUMIFS([1]全伝票!J:J,[1]全伝票!$A:$A,$A11,[1]全伝票!$B:$B,$B11),SUMIFS([1]全伝票!J:J,[1]全伝票!$A:$A,$A11,[1]全伝票!$C:$C,$C11)))</f>
        <v>0</v>
      </c>
      <c r="G11" s="83">
        <f>+IF($A11="",IF($C11="",SUMIFS([1]全伝票!K:K,[1]全伝票!$B:$B,$B11),SUMIFS([1]全伝票!K:K,[1]全伝票!$C:$C,$C11)),IF($C11="",SUMIFS([1]全伝票!K:K,[1]全伝票!$A:$A,$A11,[1]全伝票!$B:$B,$B11),SUMIFS([1]全伝票!K:K,[1]全伝票!$A:$A,$A11,[1]全伝票!$C:$C,$C11)))</f>
        <v>0</v>
      </c>
      <c r="H11" s="83">
        <f>+IF($A11="",IF($C11="",SUMIFS([1]全伝票!L:L,[1]全伝票!$B:$B,$B11),SUMIFS([1]全伝票!L:L,[1]全伝票!$C:$C,$C11)),IF($C11="",SUMIFS([1]全伝票!L:L,[1]全伝票!$A:$A,$A11,[1]全伝票!$B:$B,$B11),SUMIFS([1]全伝票!L:L,[1]全伝票!$A:$A,$A11,[1]全伝票!$C:$C,$C11)))</f>
        <v>0</v>
      </c>
      <c r="I11" s="83">
        <f>+IF($A11="",IF($C11="",SUMIFS([1]全伝票!M:M,[1]全伝票!$B:$B,$B11),SUMIFS([1]全伝票!M:M,[1]全伝票!$C:$C,$C11)),IF($C11="",SUMIFS([1]全伝票!M:M,[1]全伝票!$A:$A,$A11,[1]全伝票!$B:$B,$B11),SUMIFS([1]全伝票!M:M,[1]全伝票!$A:$A,$A11,[1]全伝票!$C:$C,$C11)))</f>
        <v>0</v>
      </c>
      <c r="J11" s="82">
        <f>+IF($A11="",IF($C11="",SUMIFS([1]全伝票!N:N,[1]全伝票!$B:$B,$B11),SUMIFS([1]全伝票!N:N,[1]全伝票!$C:$C,$C11)),IF($C11="",SUMIFS([1]全伝票!N:N,[1]全伝票!$A:$A,$A11,[1]全伝票!$B:$B,$B11),SUMIFS([1]全伝票!N:N,[1]全伝票!$A:$A,$A11,[1]全伝票!$C:$C,$C11)))</f>
        <v>0</v>
      </c>
      <c r="K11" s="45">
        <f t="shared" si="0"/>
        <v>0</v>
      </c>
      <c r="L11" s="81">
        <f>+IF($A11="",IF($C11="",SUMIFS([1]全伝票!O:O,[1]全伝票!$B:$B,$B11),SUMIFS([1]全伝票!O:O,[1]全伝票!$C:$C,$C11)),IF($C11="",SUMIFS([1]全伝票!O:O,[1]全伝票!$A:$A,$A11,[1]全伝票!$B:$B,$B11),SUMIFS([1]全伝票!O:O,[1]全伝票!$A:$A,$A11,[1]全伝票!$C:$C,$C11)))</f>
        <v>0</v>
      </c>
      <c r="M11" s="81">
        <f>+IF($A11="",IF($C11="",SUMIFS([1]全伝票!P:P,[1]全伝票!$B:$B,$B11),SUMIFS([1]全伝票!P:P,[1]全伝票!$C:$C,$C11)),IF($C11="",SUMIFS([1]全伝票!P:P,[1]全伝票!$A:$A,$A11,[1]全伝票!$B:$B,$B11),SUMIFS([1]全伝票!P:P,[1]全伝票!$A:$A,$A11,[1]全伝票!$C:$C,$C11)))</f>
        <v>240000</v>
      </c>
      <c r="N11" s="43">
        <f t="shared" si="1"/>
        <v>0</v>
      </c>
      <c r="O11" s="42">
        <f t="shared" si="2"/>
        <v>0</v>
      </c>
      <c r="P11" s="42">
        <f t="shared" si="3"/>
        <v>0</v>
      </c>
      <c r="Q11" s="42">
        <f t="shared" si="3"/>
        <v>0</v>
      </c>
      <c r="R11" s="46">
        <f t="shared" si="4"/>
        <v>0</v>
      </c>
      <c r="S11" s="45">
        <f t="shared" si="5"/>
        <v>0</v>
      </c>
      <c r="T11" s="44">
        <f t="shared" si="6"/>
        <v>240000</v>
      </c>
      <c r="U11" s="31">
        <f t="shared" si="7"/>
        <v>0</v>
      </c>
      <c r="V11" s="31">
        <f t="shared" si="8"/>
        <v>0</v>
      </c>
      <c r="W11" s="31">
        <f t="shared" si="9"/>
        <v>0</v>
      </c>
      <c r="X11" s="31">
        <f t="shared" si="9"/>
        <v>0</v>
      </c>
      <c r="Y11" s="31">
        <f t="shared" si="10"/>
        <v>0</v>
      </c>
      <c r="Z11" s="30">
        <f t="shared" si="11"/>
        <v>0</v>
      </c>
      <c r="AA11" s="30">
        <f t="shared" si="12"/>
        <v>0</v>
      </c>
      <c r="AB11" s="30">
        <f t="shared" si="13"/>
        <v>0</v>
      </c>
      <c r="AC11" s="30">
        <f t="shared" si="13"/>
        <v>0</v>
      </c>
      <c r="AD11" s="30">
        <f t="shared" si="14"/>
        <v>0</v>
      </c>
      <c r="AE11" s="29"/>
      <c r="AF11" s="29"/>
      <c r="AG11" s="29"/>
      <c r="AH11" s="29"/>
      <c r="AI11" s="29"/>
    </row>
    <row r="12" spans="1:35" x14ac:dyDescent="0.15">
      <c r="A12" s="51">
        <v>4</v>
      </c>
      <c r="B12" s="50" t="s">
        <v>327</v>
      </c>
      <c r="C12" s="49" t="s">
        <v>328</v>
      </c>
      <c r="D12" s="48" t="s">
        <v>87</v>
      </c>
      <c r="E12" s="81">
        <f>+IF($A12="",IF($C12="",SUMIFS([1]全伝票!I:I,[1]全伝票!$B:$B,$B12),SUMIFS([1]全伝票!I:I,[1]全伝票!$C:$C,$C12)),IF($C12="",SUMIFS([1]全伝票!I:I,[1]全伝票!$A:$A,$A12,[1]全伝票!$B:$B,$B12),SUMIFS([1]全伝票!I:I,[1]全伝票!$A:$A,$A12,[1]全伝票!$C:$C,$C12)))</f>
        <v>0</v>
      </c>
      <c r="F12" s="84">
        <f>+IF($A12="",IF($C12="",SUMIFS([1]全伝票!J:J,[1]全伝票!$B:$B,$B12),SUMIFS([1]全伝票!J:J,[1]全伝票!$C:$C,$C12)),IF($C12="",SUMIFS([1]全伝票!J:J,[1]全伝票!$A:$A,$A12,[1]全伝票!$B:$B,$B12),SUMIFS([1]全伝票!J:J,[1]全伝票!$A:$A,$A12,[1]全伝票!$C:$C,$C12)))</f>
        <v>0</v>
      </c>
      <c r="G12" s="83">
        <f>+IF($A12="",IF($C12="",SUMIFS([1]全伝票!K:K,[1]全伝票!$B:$B,$B12),SUMIFS([1]全伝票!K:K,[1]全伝票!$C:$C,$C12)),IF($C12="",SUMIFS([1]全伝票!K:K,[1]全伝票!$A:$A,$A12,[1]全伝票!$B:$B,$B12),SUMIFS([1]全伝票!K:K,[1]全伝票!$A:$A,$A12,[1]全伝票!$C:$C,$C12)))</f>
        <v>0</v>
      </c>
      <c r="H12" s="83">
        <f>+IF($A12="",IF($C12="",SUMIFS([1]全伝票!L:L,[1]全伝票!$B:$B,$B12),SUMIFS([1]全伝票!L:L,[1]全伝票!$C:$C,$C12)),IF($C12="",SUMIFS([1]全伝票!L:L,[1]全伝票!$A:$A,$A12,[1]全伝票!$B:$B,$B12),SUMIFS([1]全伝票!L:L,[1]全伝票!$A:$A,$A12,[1]全伝票!$C:$C,$C12)))</f>
        <v>0</v>
      </c>
      <c r="I12" s="83">
        <f>+IF($A12="",IF($C12="",SUMIFS([1]全伝票!M:M,[1]全伝票!$B:$B,$B12),SUMIFS([1]全伝票!M:M,[1]全伝票!$C:$C,$C12)),IF($C12="",SUMIFS([1]全伝票!M:M,[1]全伝票!$A:$A,$A12,[1]全伝票!$B:$B,$B12),SUMIFS([1]全伝票!M:M,[1]全伝票!$A:$A,$A12,[1]全伝票!$C:$C,$C12)))</f>
        <v>0</v>
      </c>
      <c r="J12" s="82">
        <f>+IF($A12="",IF($C12="",SUMIFS([1]全伝票!N:N,[1]全伝票!$B:$B,$B12),SUMIFS([1]全伝票!N:N,[1]全伝票!$C:$C,$C12)),IF($C12="",SUMIFS([1]全伝票!N:N,[1]全伝票!$A:$A,$A12,[1]全伝票!$B:$B,$B12),SUMIFS([1]全伝票!N:N,[1]全伝票!$A:$A,$A12,[1]全伝票!$C:$C,$C12)))</f>
        <v>0</v>
      </c>
      <c r="K12" s="45">
        <f t="shared" si="0"/>
        <v>0</v>
      </c>
      <c r="L12" s="81">
        <f>+IF($A12="",IF($C12="",SUMIFS([1]全伝票!O:O,[1]全伝票!$B:$B,$B12),SUMIFS([1]全伝票!O:O,[1]全伝票!$C:$C,$C12)),IF($C12="",SUMIFS([1]全伝票!O:O,[1]全伝票!$A:$A,$A12,[1]全伝票!$B:$B,$B12),SUMIFS([1]全伝票!O:O,[1]全伝票!$A:$A,$A12,[1]全伝票!$C:$C,$C12)))</f>
        <v>0</v>
      </c>
      <c r="M12" s="81">
        <f>+IF($A12="",IF($C12="",SUMIFS([1]全伝票!P:P,[1]全伝票!$B:$B,$B12),SUMIFS([1]全伝票!P:P,[1]全伝票!$C:$C,$C12)),IF($C12="",SUMIFS([1]全伝票!P:P,[1]全伝票!$A:$A,$A12,[1]全伝票!$B:$B,$B12),SUMIFS([1]全伝票!P:P,[1]全伝票!$A:$A,$A12,[1]全伝票!$C:$C,$C12)))</f>
        <v>0</v>
      </c>
      <c r="N12" s="43">
        <f t="shared" si="1"/>
        <v>0</v>
      </c>
      <c r="O12" s="42">
        <f t="shared" si="2"/>
        <v>0</v>
      </c>
      <c r="P12" s="42">
        <f t="shared" si="3"/>
        <v>0</v>
      </c>
      <c r="Q12" s="42">
        <f t="shared" si="3"/>
        <v>0</v>
      </c>
      <c r="R12" s="46">
        <f t="shared" si="4"/>
        <v>0</v>
      </c>
      <c r="S12" s="45">
        <f t="shared" si="5"/>
        <v>0</v>
      </c>
      <c r="T12" s="44">
        <f t="shared" si="6"/>
        <v>0</v>
      </c>
      <c r="U12" s="31">
        <f t="shared" si="7"/>
        <v>0</v>
      </c>
      <c r="V12" s="31">
        <f t="shared" si="8"/>
        <v>0</v>
      </c>
      <c r="W12" s="31">
        <f t="shared" si="9"/>
        <v>0</v>
      </c>
      <c r="X12" s="31">
        <f t="shared" si="9"/>
        <v>0</v>
      </c>
      <c r="Y12" s="31">
        <f t="shared" si="10"/>
        <v>0</v>
      </c>
      <c r="Z12" s="30">
        <f t="shared" si="11"/>
        <v>0</v>
      </c>
      <c r="AA12" s="30">
        <f t="shared" si="12"/>
        <v>0</v>
      </c>
      <c r="AB12" s="30">
        <f t="shared" si="13"/>
        <v>0</v>
      </c>
      <c r="AC12" s="30">
        <f t="shared" si="13"/>
        <v>0</v>
      </c>
      <c r="AD12" s="30">
        <f t="shared" si="14"/>
        <v>0</v>
      </c>
      <c r="AE12" s="29"/>
      <c r="AF12" s="29"/>
      <c r="AG12" s="29"/>
      <c r="AH12" s="29"/>
      <c r="AI12" s="29"/>
    </row>
    <row r="13" spans="1:35" x14ac:dyDescent="0.15">
      <c r="A13" s="51">
        <v>4</v>
      </c>
      <c r="B13" s="50" t="s">
        <v>327</v>
      </c>
      <c r="C13" s="49" t="s">
        <v>326</v>
      </c>
      <c r="D13" s="48" t="s">
        <v>84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 t="shared" si="0"/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0</v>
      </c>
      <c r="N13" s="43">
        <f t="shared" si="1"/>
        <v>0</v>
      </c>
      <c r="O13" s="42">
        <f t="shared" si="2"/>
        <v>0</v>
      </c>
      <c r="P13" s="42">
        <f t="shared" si="3"/>
        <v>0</v>
      </c>
      <c r="Q13" s="42">
        <f t="shared" si="3"/>
        <v>0</v>
      </c>
      <c r="R13" s="46">
        <f t="shared" si="4"/>
        <v>0</v>
      </c>
      <c r="S13" s="45">
        <f t="shared" si="5"/>
        <v>0</v>
      </c>
      <c r="T13" s="44">
        <f t="shared" si="6"/>
        <v>0</v>
      </c>
      <c r="U13" s="31">
        <f t="shared" si="7"/>
        <v>0</v>
      </c>
      <c r="V13" s="31">
        <f t="shared" si="8"/>
        <v>0</v>
      </c>
      <c r="W13" s="31">
        <f t="shared" si="9"/>
        <v>0</v>
      </c>
      <c r="X13" s="31">
        <f t="shared" si="9"/>
        <v>0</v>
      </c>
      <c r="Y13" s="31">
        <f t="shared" si="10"/>
        <v>0</v>
      </c>
      <c r="Z13" s="30">
        <f t="shared" si="11"/>
        <v>0</v>
      </c>
      <c r="AA13" s="30">
        <f t="shared" si="12"/>
        <v>0</v>
      </c>
      <c r="AB13" s="30">
        <f t="shared" si="13"/>
        <v>0</v>
      </c>
      <c r="AC13" s="30">
        <f t="shared" si="13"/>
        <v>0</v>
      </c>
      <c r="AD13" s="30">
        <f t="shared" si="14"/>
        <v>0</v>
      </c>
      <c r="AE13" s="29"/>
      <c r="AF13" s="29"/>
      <c r="AG13" s="29"/>
      <c r="AH13" s="29"/>
      <c r="AI13" s="29"/>
    </row>
    <row r="14" spans="1:35" x14ac:dyDescent="0.15">
      <c r="A14" s="51">
        <v>4</v>
      </c>
      <c r="B14" s="50" t="s">
        <v>325</v>
      </c>
      <c r="C14" s="49"/>
      <c r="D14" s="48" t="s">
        <v>82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232236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232236</v>
      </c>
      <c r="K14" s="45">
        <f t="shared" si="0"/>
        <v>232236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1"/>
        <v>0</v>
      </c>
      <c r="O14" s="42">
        <f t="shared" si="2"/>
        <v>0</v>
      </c>
      <c r="P14" s="42">
        <f t="shared" si="3"/>
        <v>0</v>
      </c>
      <c r="Q14" s="42">
        <f t="shared" si="3"/>
        <v>0</v>
      </c>
      <c r="R14" s="46">
        <f t="shared" si="4"/>
        <v>21112</v>
      </c>
      <c r="S14" s="45">
        <f t="shared" si="5"/>
        <v>21112</v>
      </c>
      <c r="T14" s="44">
        <f t="shared" si="6"/>
        <v>211124</v>
      </c>
      <c r="U14" s="31">
        <f t="shared" si="7"/>
        <v>0</v>
      </c>
      <c r="V14" s="31">
        <f t="shared" si="8"/>
        <v>0</v>
      </c>
      <c r="W14" s="31">
        <f t="shared" si="9"/>
        <v>0</v>
      </c>
      <c r="X14" s="31">
        <f t="shared" si="9"/>
        <v>0</v>
      </c>
      <c r="Y14" s="31">
        <f t="shared" si="10"/>
        <v>-0.36363636363603291</v>
      </c>
      <c r="Z14" s="30">
        <f t="shared" si="11"/>
        <v>0</v>
      </c>
      <c r="AA14" s="30">
        <f t="shared" si="12"/>
        <v>0</v>
      </c>
      <c r="AB14" s="30">
        <f t="shared" si="13"/>
        <v>0</v>
      </c>
      <c r="AC14" s="30">
        <f t="shared" si="13"/>
        <v>0</v>
      </c>
      <c r="AD14" s="30">
        <f t="shared" si="14"/>
        <v>0</v>
      </c>
      <c r="AE14" s="29"/>
      <c r="AF14" s="29"/>
      <c r="AG14" s="29"/>
      <c r="AH14" s="29"/>
      <c r="AI14" s="29"/>
    </row>
    <row r="15" spans="1:35" x14ac:dyDescent="0.15">
      <c r="A15" s="51">
        <v>4</v>
      </c>
      <c r="B15" s="50" t="s">
        <v>324</v>
      </c>
      <c r="C15" s="49"/>
      <c r="D15" s="48" t="s">
        <v>80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0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0</v>
      </c>
      <c r="K15" s="45">
        <f t="shared" si="0"/>
        <v>0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0</v>
      </c>
      <c r="N15" s="43">
        <f t="shared" si="1"/>
        <v>0</v>
      </c>
      <c r="O15" s="42">
        <f t="shared" si="2"/>
        <v>0</v>
      </c>
      <c r="P15" s="42">
        <f t="shared" si="3"/>
        <v>0</v>
      </c>
      <c r="Q15" s="42">
        <f t="shared" si="3"/>
        <v>0</v>
      </c>
      <c r="R15" s="46">
        <f t="shared" si="4"/>
        <v>0</v>
      </c>
      <c r="S15" s="45">
        <f t="shared" si="5"/>
        <v>0</v>
      </c>
      <c r="T15" s="44">
        <f t="shared" si="6"/>
        <v>0</v>
      </c>
      <c r="U15" s="31">
        <f t="shared" si="7"/>
        <v>0</v>
      </c>
      <c r="V15" s="31">
        <f t="shared" si="8"/>
        <v>0</v>
      </c>
      <c r="W15" s="31">
        <f t="shared" si="9"/>
        <v>0</v>
      </c>
      <c r="X15" s="31">
        <f t="shared" si="9"/>
        <v>0</v>
      </c>
      <c r="Y15" s="31">
        <f t="shared" si="10"/>
        <v>0</v>
      </c>
      <c r="Z15" s="30">
        <f t="shared" si="11"/>
        <v>0</v>
      </c>
      <c r="AA15" s="30">
        <f t="shared" si="12"/>
        <v>0</v>
      </c>
      <c r="AB15" s="30">
        <f t="shared" si="13"/>
        <v>0</v>
      </c>
      <c r="AC15" s="30">
        <f t="shared" si="13"/>
        <v>0</v>
      </c>
      <c r="AD15" s="30">
        <f t="shared" si="14"/>
        <v>0</v>
      </c>
      <c r="AE15" s="29"/>
      <c r="AF15" s="29"/>
      <c r="AG15" s="29"/>
      <c r="AH15" s="29"/>
      <c r="AI15" s="29"/>
    </row>
    <row r="16" spans="1:35" x14ac:dyDescent="0.15">
      <c r="A16" s="51">
        <v>4</v>
      </c>
      <c r="B16" s="50" t="s">
        <v>323</v>
      </c>
      <c r="C16" s="49"/>
      <c r="D16" s="48" t="s">
        <v>78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 t="shared" si="0"/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1"/>
        <v>0</v>
      </c>
      <c r="O16" s="42">
        <f t="shared" si="2"/>
        <v>0</v>
      </c>
      <c r="P16" s="42">
        <f t="shared" si="3"/>
        <v>0</v>
      </c>
      <c r="Q16" s="42">
        <f t="shared" si="3"/>
        <v>0</v>
      </c>
      <c r="R16" s="46">
        <f t="shared" si="4"/>
        <v>0</v>
      </c>
      <c r="S16" s="45">
        <f t="shared" si="5"/>
        <v>0</v>
      </c>
      <c r="T16" s="44">
        <f t="shared" si="6"/>
        <v>0</v>
      </c>
      <c r="U16" s="31">
        <f t="shared" si="7"/>
        <v>0</v>
      </c>
      <c r="V16" s="31">
        <f t="shared" si="8"/>
        <v>0</v>
      </c>
      <c r="W16" s="31">
        <f t="shared" si="9"/>
        <v>0</v>
      </c>
      <c r="X16" s="31">
        <f t="shared" si="9"/>
        <v>0</v>
      </c>
      <c r="Y16" s="31">
        <f t="shared" si="10"/>
        <v>0</v>
      </c>
      <c r="Z16" s="30">
        <f t="shared" si="11"/>
        <v>0</v>
      </c>
      <c r="AA16" s="30">
        <f t="shared" si="12"/>
        <v>0</v>
      </c>
      <c r="AB16" s="30">
        <f t="shared" si="13"/>
        <v>0</v>
      </c>
      <c r="AC16" s="30">
        <f t="shared" si="13"/>
        <v>0</v>
      </c>
      <c r="AD16" s="30">
        <f t="shared" si="14"/>
        <v>0</v>
      </c>
      <c r="AE16" s="29"/>
      <c r="AF16" s="29"/>
      <c r="AG16" s="29"/>
      <c r="AH16" s="29"/>
      <c r="AI16" s="29"/>
    </row>
    <row r="17" spans="1:35" x14ac:dyDescent="0.15">
      <c r="A17" s="51">
        <v>4</v>
      </c>
      <c r="B17" s="50" t="s">
        <v>322</v>
      </c>
      <c r="C17" s="49"/>
      <c r="D17" s="48" t="s">
        <v>76</v>
      </c>
      <c r="E17" s="81">
        <f>+IF($A17="",IF($C17="",SUMIFS([1]全伝票!I:I,[1]全伝票!$B:$B,$B17),SUMIFS([1]全伝票!I:I,[1]全伝票!$C:$C,$C17)),IF($C17="",SUMIFS([1]全伝票!I:I,[1]全伝票!$A:$A,$A17,[1]全伝票!$B:$B,$B17),SUMIFS([1]全伝票!I:I,[1]全伝票!$A:$A,$A17,[1]全伝票!$C:$C,$C17)))</f>
        <v>7600</v>
      </c>
      <c r="F17" s="84">
        <f>+IF($A17="",IF($C17="",SUMIFS([1]全伝票!J:J,[1]全伝票!$B:$B,$B17),SUMIFS([1]全伝票!J:J,[1]全伝票!$C:$C,$C17)),IF($C17="",SUMIFS([1]全伝票!J:J,[1]全伝票!$A:$A,$A17,[1]全伝票!$B:$B,$B17),SUMIFS([1]全伝票!J:J,[1]全伝票!$A:$A,$A17,[1]全伝票!$C:$C,$C17)))</f>
        <v>0</v>
      </c>
      <c r="G17" s="83">
        <f>+IF($A17="",IF($C17="",SUMIFS([1]全伝票!K:K,[1]全伝票!$B:$B,$B17),SUMIFS([1]全伝票!K:K,[1]全伝票!$C:$C,$C17)),IF($C17="",SUMIFS([1]全伝票!K:K,[1]全伝票!$A:$A,$A17,[1]全伝票!$B:$B,$B17),SUMIFS([1]全伝票!K:K,[1]全伝票!$A:$A,$A17,[1]全伝票!$C:$C,$C17)))</f>
        <v>0</v>
      </c>
      <c r="H17" s="83">
        <f>+IF($A17="",IF($C17="",SUMIFS([1]全伝票!L:L,[1]全伝票!$B:$B,$B17),SUMIFS([1]全伝票!L:L,[1]全伝票!$C:$C,$C17)),IF($C17="",SUMIFS([1]全伝票!L:L,[1]全伝票!$A:$A,$A17,[1]全伝票!$B:$B,$B17),SUMIFS([1]全伝票!L:L,[1]全伝票!$A:$A,$A17,[1]全伝票!$C:$C,$C17)))</f>
        <v>0</v>
      </c>
      <c r="I17" s="83">
        <f>+IF($A17="",IF($C17="",SUMIFS([1]全伝票!M:M,[1]全伝票!$B:$B,$B17),SUMIFS([1]全伝票!M:M,[1]全伝票!$C:$C,$C17)),IF($C17="",SUMIFS([1]全伝票!M:M,[1]全伝票!$A:$A,$A17,[1]全伝票!$B:$B,$B17),SUMIFS([1]全伝票!M:M,[1]全伝票!$A:$A,$A17,[1]全伝票!$C:$C,$C17)))</f>
        <v>0</v>
      </c>
      <c r="J17" s="82">
        <f>+IF($A17="",IF($C17="",SUMIFS([1]全伝票!N:N,[1]全伝票!$B:$B,$B17),SUMIFS([1]全伝票!N:N,[1]全伝票!$C:$C,$C17)),IF($C17="",SUMIFS([1]全伝票!N:N,[1]全伝票!$A:$A,$A17,[1]全伝票!$B:$B,$B17),SUMIFS([1]全伝票!N:N,[1]全伝票!$A:$A,$A17,[1]全伝票!$C:$C,$C17)))</f>
        <v>7600</v>
      </c>
      <c r="K17" s="45">
        <f t="shared" si="0"/>
        <v>7600</v>
      </c>
      <c r="L17" s="81">
        <f>+IF($A17="",IF($C17="",SUMIFS([1]全伝票!O:O,[1]全伝票!$B:$B,$B17),SUMIFS([1]全伝票!O:O,[1]全伝票!$C:$C,$C17)),IF($C17="",SUMIFS([1]全伝票!O:O,[1]全伝票!$A:$A,$A17,[1]全伝票!$B:$B,$B17),SUMIFS([1]全伝票!O:O,[1]全伝票!$A:$A,$A17,[1]全伝票!$C:$C,$C17)))</f>
        <v>0</v>
      </c>
      <c r="M17" s="81">
        <f>+IF($A17="",IF($C17="",SUMIFS([1]全伝票!P:P,[1]全伝票!$B:$B,$B17),SUMIFS([1]全伝票!P:P,[1]全伝票!$C:$C,$C17)),IF($C17="",SUMIFS([1]全伝票!P:P,[1]全伝票!$A:$A,$A17,[1]全伝票!$B:$B,$B17),SUMIFS([1]全伝票!P:P,[1]全伝票!$A:$A,$A17,[1]全伝票!$C:$C,$C17)))</f>
        <v>0</v>
      </c>
      <c r="N17" s="43">
        <f t="shared" si="1"/>
        <v>0</v>
      </c>
      <c r="O17" s="42">
        <f t="shared" si="2"/>
        <v>0</v>
      </c>
      <c r="P17" s="42">
        <f t="shared" si="3"/>
        <v>0</v>
      </c>
      <c r="Q17" s="42">
        <f t="shared" si="3"/>
        <v>0</v>
      </c>
      <c r="R17" s="46">
        <f t="shared" si="4"/>
        <v>691</v>
      </c>
      <c r="S17" s="45">
        <f t="shared" si="5"/>
        <v>691</v>
      </c>
      <c r="T17" s="44">
        <f t="shared" si="6"/>
        <v>6909</v>
      </c>
      <c r="U17" s="31">
        <f t="shared" si="7"/>
        <v>0</v>
      </c>
      <c r="V17" s="31">
        <f t="shared" si="8"/>
        <v>0</v>
      </c>
      <c r="W17" s="31">
        <f t="shared" si="9"/>
        <v>0</v>
      </c>
      <c r="X17" s="31">
        <f t="shared" si="9"/>
        <v>0</v>
      </c>
      <c r="Y17" s="31">
        <f t="shared" si="10"/>
        <v>9.0909090909121915E-2</v>
      </c>
      <c r="Z17" s="30">
        <f t="shared" si="11"/>
        <v>0</v>
      </c>
      <c r="AA17" s="30">
        <f t="shared" si="12"/>
        <v>0</v>
      </c>
      <c r="AB17" s="30">
        <f t="shared" si="13"/>
        <v>0</v>
      </c>
      <c r="AC17" s="30">
        <f t="shared" si="13"/>
        <v>0</v>
      </c>
      <c r="AD17" s="30">
        <f t="shared" si="14"/>
        <v>0</v>
      </c>
      <c r="AE17" s="29"/>
      <c r="AF17" s="29"/>
      <c r="AG17" s="29"/>
      <c r="AH17" s="29"/>
      <c r="AI17" s="29"/>
    </row>
    <row r="18" spans="1:35" x14ac:dyDescent="0.15">
      <c r="A18" s="51">
        <v>4</v>
      </c>
      <c r="B18" s="50" t="s">
        <v>321</v>
      </c>
      <c r="C18" s="49"/>
      <c r="D18" s="48" t="s">
        <v>74</v>
      </c>
      <c r="E18" s="81">
        <f>+IF($A18="",IF($C18="",SUMIFS([1]全伝票!I:I,[1]全伝票!$B:$B,$B18),SUMIFS([1]全伝票!I:I,[1]全伝票!$C:$C,$C18)),IF($C18="",SUMIFS([1]全伝票!I:I,[1]全伝票!$A:$A,$A18,[1]全伝票!$B:$B,$B18),SUMIFS([1]全伝票!I:I,[1]全伝票!$A:$A,$A18,[1]全伝票!$C:$C,$C18)))</f>
        <v>283</v>
      </c>
      <c r="F18" s="84">
        <f>+IF($A18="",IF($C18="",SUMIFS([1]全伝票!J:J,[1]全伝票!$B:$B,$B18),SUMIFS([1]全伝票!J:J,[1]全伝票!$C:$C,$C18)),IF($C18="",SUMIFS([1]全伝票!J:J,[1]全伝票!$A:$A,$A18,[1]全伝票!$B:$B,$B18),SUMIFS([1]全伝票!J:J,[1]全伝票!$A:$A,$A18,[1]全伝票!$C:$C,$C18)))</f>
        <v>0</v>
      </c>
      <c r="G18" s="83">
        <f>+IF($A18="",IF($C18="",SUMIFS([1]全伝票!K:K,[1]全伝票!$B:$B,$B18),SUMIFS([1]全伝票!K:K,[1]全伝票!$C:$C,$C18)),IF($C18="",SUMIFS([1]全伝票!K:K,[1]全伝票!$A:$A,$A18,[1]全伝票!$B:$B,$B18),SUMIFS([1]全伝票!K:K,[1]全伝票!$A:$A,$A18,[1]全伝票!$C:$C,$C18)))</f>
        <v>0</v>
      </c>
      <c r="H18" s="83">
        <f>+IF($A18="",IF($C18="",SUMIFS([1]全伝票!L:L,[1]全伝票!$B:$B,$B18),SUMIFS([1]全伝票!L:L,[1]全伝票!$C:$C,$C18)),IF($C18="",SUMIFS([1]全伝票!L:L,[1]全伝票!$A:$A,$A18,[1]全伝票!$B:$B,$B18),SUMIFS([1]全伝票!L:L,[1]全伝票!$A:$A,$A18,[1]全伝票!$C:$C,$C18)))</f>
        <v>0</v>
      </c>
      <c r="I18" s="83">
        <f>+IF($A18="",IF($C18="",SUMIFS([1]全伝票!M:M,[1]全伝票!$B:$B,$B18),SUMIFS([1]全伝票!M:M,[1]全伝票!$C:$C,$C18)),IF($C18="",SUMIFS([1]全伝票!M:M,[1]全伝票!$A:$A,$A18,[1]全伝票!$B:$B,$B18),SUMIFS([1]全伝票!M:M,[1]全伝票!$A:$A,$A18,[1]全伝票!$C:$C,$C18)))</f>
        <v>0</v>
      </c>
      <c r="J18" s="82">
        <f>+IF($A18="",IF($C18="",SUMIFS([1]全伝票!N:N,[1]全伝票!$B:$B,$B18),SUMIFS([1]全伝票!N:N,[1]全伝票!$C:$C,$C18)),IF($C18="",SUMIFS([1]全伝票!N:N,[1]全伝票!$A:$A,$A18,[1]全伝票!$B:$B,$B18),SUMIFS([1]全伝票!N:N,[1]全伝票!$A:$A,$A18,[1]全伝票!$C:$C,$C18)))</f>
        <v>283</v>
      </c>
      <c r="K18" s="45">
        <f t="shared" si="0"/>
        <v>283</v>
      </c>
      <c r="L18" s="81">
        <f>+IF($A18="",IF($C18="",SUMIFS([1]全伝票!O:O,[1]全伝票!$B:$B,$B18),SUMIFS([1]全伝票!O:O,[1]全伝票!$C:$C,$C18)),IF($C18="",SUMIFS([1]全伝票!O:O,[1]全伝票!$A:$A,$A18,[1]全伝票!$B:$B,$B18),SUMIFS([1]全伝票!O:O,[1]全伝票!$A:$A,$A18,[1]全伝票!$C:$C,$C18)))</f>
        <v>0</v>
      </c>
      <c r="M18" s="81">
        <f>+IF($A18="",IF($C18="",SUMIFS([1]全伝票!P:P,[1]全伝票!$B:$B,$B18),SUMIFS([1]全伝票!P:P,[1]全伝票!$C:$C,$C18)),IF($C18="",SUMIFS([1]全伝票!P:P,[1]全伝票!$A:$A,$A18,[1]全伝票!$B:$B,$B18),SUMIFS([1]全伝票!P:P,[1]全伝票!$A:$A,$A18,[1]全伝票!$C:$C,$C18)))</f>
        <v>0</v>
      </c>
      <c r="N18" s="43">
        <f t="shared" si="1"/>
        <v>0</v>
      </c>
      <c r="O18" s="42">
        <f t="shared" si="2"/>
        <v>0</v>
      </c>
      <c r="P18" s="42">
        <f t="shared" si="3"/>
        <v>0</v>
      </c>
      <c r="Q18" s="42">
        <f t="shared" si="3"/>
        <v>0</v>
      </c>
      <c r="R18" s="46">
        <f t="shared" si="4"/>
        <v>26</v>
      </c>
      <c r="S18" s="45">
        <f t="shared" si="5"/>
        <v>26</v>
      </c>
      <c r="T18" s="44">
        <f t="shared" si="6"/>
        <v>257</v>
      </c>
      <c r="U18" s="31">
        <f t="shared" si="7"/>
        <v>0</v>
      </c>
      <c r="V18" s="31">
        <f t="shared" si="8"/>
        <v>0</v>
      </c>
      <c r="W18" s="31">
        <f t="shared" si="9"/>
        <v>0</v>
      </c>
      <c r="X18" s="31">
        <f t="shared" si="9"/>
        <v>0</v>
      </c>
      <c r="Y18" s="31">
        <f t="shared" si="10"/>
        <v>0.27272727272727337</v>
      </c>
      <c r="Z18" s="30">
        <f t="shared" si="11"/>
        <v>0</v>
      </c>
      <c r="AA18" s="30">
        <f t="shared" si="12"/>
        <v>0</v>
      </c>
      <c r="AB18" s="30">
        <f t="shared" si="13"/>
        <v>0</v>
      </c>
      <c r="AC18" s="30">
        <f t="shared" si="13"/>
        <v>0</v>
      </c>
      <c r="AD18" s="30">
        <f t="shared" si="14"/>
        <v>0</v>
      </c>
      <c r="AE18" s="29"/>
      <c r="AF18" s="29"/>
      <c r="AG18" s="29"/>
      <c r="AH18" s="29"/>
      <c r="AI18" s="29"/>
    </row>
    <row r="19" spans="1:35" x14ac:dyDescent="0.15">
      <c r="A19" s="51">
        <v>4</v>
      </c>
      <c r="B19" s="50" t="s">
        <v>320</v>
      </c>
      <c r="C19" s="49"/>
      <c r="D19" s="48" t="s">
        <v>72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0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0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0</v>
      </c>
      <c r="K19" s="45">
        <f t="shared" si="0"/>
        <v>0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0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1"/>
        <v>0</v>
      </c>
      <c r="O19" s="42">
        <f t="shared" si="2"/>
        <v>0</v>
      </c>
      <c r="P19" s="42">
        <f t="shared" si="3"/>
        <v>0</v>
      </c>
      <c r="Q19" s="42">
        <f t="shared" si="3"/>
        <v>0</v>
      </c>
      <c r="R19" s="46">
        <f t="shared" si="4"/>
        <v>0</v>
      </c>
      <c r="S19" s="45">
        <f t="shared" si="5"/>
        <v>0</v>
      </c>
      <c r="T19" s="44">
        <f t="shared" si="6"/>
        <v>0</v>
      </c>
      <c r="U19" s="31">
        <f t="shared" si="7"/>
        <v>0</v>
      </c>
      <c r="V19" s="31">
        <f t="shared" si="8"/>
        <v>0</v>
      </c>
      <c r="W19" s="31">
        <f t="shared" si="9"/>
        <v>0</v>
      </c>
      <c r="X19" s="31">
        <f t="shared" si="9"/>
        <v>0</v>
      </c>
      <c r="Y19" s="31">
        <f t="shared" si="10"/>
        <v>0</v>
      </c>
      <c r="Z19" s="30">
        <f t="shared" si="11"/>
        <v>0</v>
      </c>
      <c r="AA19" s="30">
        <f t="shared" si="12"/>
        <v>0</v>
      </c>
      <c r="AB19" s="30">
        <f t="shared" si="13"/>
        <v>0</v>
      </c>
      <c r="AC19" s="30">
        <f t="shared" si="13"/>
        <v>0</v>
      </c>
      <c r="AD19" s="30">
        <f t="shared" si="14"/>
        <v>0</v>
      </c>
      <c r="AE19" s="29"/>
      <c r="AF19" s="29"/>
      <c r="AG19" s="29"/>
      <c r="AH19" s="29"/>
      <c r="AI19" s="29"/>
    </row>
    <row r="20" spans="1:35" x14ac:dyDescent="0.15">
      <c r="A20" s="51">
        <v>4</v>
      </c>
      <c r="B20" s="50" t="s">
        <v>319</v>
      </c>
      <c r="C20" s="49"/>
      <c r="D20" s="48" t="s">
        <v>70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2041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2041</v>
      </c>
      <c r="K20" s="45">
        <f t="shared" si="0"/>
        <v>2041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1"/>
        <v>0</v>
      </c>
      <c r="O20" s="42">
        <f t="shared" si="2"/>
        <v>0</v>
      </c>
      <c r="P20" s="42">
        <f t="shared" si="3"/>
        <v>0</v>
      </c>
      <c r="Q20" s="42">
        <f t="shared" si="3"/>
        <v>0</v>
      </c>
      <c r="R20" s="46">
        <f t="shared" si="4"/>
        <v>185</v>
      </c>
      <c r="S20" s="45">
        <f t="shared" si="5"/>
        <v>185</v>
      </c>
      <c r="T20" s="44">
        <f t="shared" si="6"/>
        <v>1856</v>
      </c>
      <c r="U20" s="31">
        <f t="shared" si="7"/>
        <v>0</v>
      </c>
      <c r="V20" s="31">
        <f t="shared" si="8"/>
        <v>0</v>
      </c>
      <c r="W20" s="31">
        <f t="shared" si="9"/>
        <v>0</v>
      </c>
      <c r="X20" s="31">
        <f t="shared" si="9"/>
        <v>0</v>
      </c>
      <c r="Y20" s="31">
        <f t="shared" si="10"/>
        <v>-0.54545454545453254</v>
      </c>
      <c r="Z20" s="30">
        <f t="shared" si="11"/>
        <v>0</v>
      </c>
      <c r="AA20" s="30">
        <f t="shared" si="12"/>
        <v>0</v>
      </c>
      <c r="AB20" s="30">
        <f t="shared" si="13"/>
        <v>0</v>
      </c>
      <c r="AC20" s="30">
        <f t="shared" si="13"/>
        <v>0</v>
      </c>
      <c r="AD20" s="30">
        <f t="shared" si="14"/>
        <v>0</v>
      </c>
      <c r="AE20" s="29"/>
      <c r="AF20" s="29"/>
      <c r="AG20" s="29"/>
      <c r="AH20" s="29"/>
      <c r="AI20" s="29">
        <v>-1</v>
      </c>
    </row>
    <row r="21" spans="1:35" x14ac:dyDescent="0.15">
      <c r="A21" s="51">
        <v>4</v>
      </c>
      <c r="B21" s="50" t="s">
        <v>318</v>
      </c>
      <c r="C21" s="49"/>
      <c r="D21" s="48" t="s">
        <v>68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0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0</v>
      </c>
      <c r="K21" s="45">
        <f t="shared" si="0"/>
        <v>0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1"/>
        <v>0</v>
      </c>
      <c r="O21" s="42">
        <f t="shared" si="2"/>
        <v>0</v>
      </c>
      <c r="P21" s="42">
        <f t="shared" si="3"/>
        <v>0</v>
      </c>
      <c r="Q21" s="42">
        <f t="shared" si="3"/>
        <v>0</v>
      </c>
      <c r="R21" s="46">
        <f t="shared" si="4"/>
        <v>0</v>
      </c>
      <c r="S21" s="45">
        <f t="shared" si="5"/>
        <v>0</v>
      </c>
      <c r="T21" s="44">
        <f t="shared" si="6"/>
        <v>0</v>
      </c>
      <c r="U21" s="31">
        <f t="shared" si="7"/>
        <v>0</v>
      </c>
      <c r="V21" s="31">
        <f t="shared" si="8"/>
        <v>0</v>
      </c>
      <c r="W21" s="31">
        <f t="shared" si="9"/>
        <v>0</v>
      </c>
      <c r="X21" s="31">
        <f t="shared" si="9"/>
        <v>0</v>
      </c>
      <c r="Y21" s="31">
        <f t="shared" si="10"/>
        <v>0</v>
      </c>
      <c r="Z21" s="30">
        <f t="shared" si="11"/>
        <v>0</v>
      </c>
      <c r="AA21" s="30">
        <f t="shared" si="12"/>
        <v>0</v>
      </c>
      <c r="AB21" s="30">
        <f t="shared" si="13"/>
        <v>0</v>
      </c>
      <c r="AC21" s="30">
        <f t="shared" si="13"/>
        <v>0</v>
      </c>
      <c r="AD21" s="30">
        <f t="shared" si="14"/>
        <v>0</v>
      </c>
      <c r="AE21" s="29"/>
      <c r="AF21" s="29"/>
      <c r="AG21" s="29"/>
      <c r="AH21" s="29"/>
      <c r="AI21" s="29"/>
    </row>
    <row r="22" spans="1:35" x14ac:dyDescent="0.15">
      <c r="A22" s="51">
        <v>4</v>
      </c>
      <c r="B22" s="50" t="s">
        <v>317</v>
      </c>
      <c r="C22" s="49"/>
      <c r="D22" s="48" t="s">
        <v>66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 t="shared" si="0"/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1"/>
        <v>0</v>
      </c>
      <c r="O22" s="42">
        <f t="shared" si="2"/>
        <v>0</v>
      </c>
      <c r="P22" s="42">
        <f t="shared" si="3"/>
        <v>0</v>
      </c>
      <c r="Q22" s="42">
        <f t="shared" si="3"/>
        <v>0</v>
      </c>
      <c r="R22" s="46">
        <f t="shared" si="4"/>
        <v>0</v>
      </c>
      <c r="S22" s="45">
        <f t="shared" si="5"/>
        <v>0</v>
      </c>
      <c r="T22" s="44">
        <f t="shared" si="6"/>
        <v>0</v>
      </c>
      <c r="U22" s="31">
        <f t="shared" si="7"/>
        <v>0</v>
      </c>
      <c r="V22" s="31">
        <f t="shared" si="8"/>
        <v>0</v>
      </c>
      <c r="W22" s="31">
        <f t="shared" si="9"/>
        <v>0</v>
      </c>
      <c r="X22" s="31">
        <f t="shared" si="9"/>
        <v>0</v>
      </c>
      <c r="Y22" s="31">
        <f t="shared" si="10"/>
        <v>0</v>
      </c>
      <c r="Z22" s="30">
        <f t="shared" si="11"/>
        <v>0</v>
      </c>
      <c r="AA22" s="30">
        <f t="shared" si="12"/>
        <v>0</v>
      </c>
      <c r="AB22" s="30">
        <f t="shared" si="13"/>
        <v>0</v>
      </c>
      <c r="AC22" s="30">
        <f t="shared" si="13"/>
        <v>0</v>
      </c>
      <c r="AD22" s="30">
        <f t="shared" si="14"/>
        <v>0</v>
      </c>
      <c r="AE22" s="29"/>
      <c r="AF22" s="29"/>
      <c r="AG22" s="29"/>
      <c r="AH22" s="29"/>
      <c r="AI22" s="29"/>
    </row>
    <row r="23" spans="1:35" x14ac:dyDescent="0.15">
      <c r="A23" s="51">
        <v>4</v>
      </c>
      <c r="B23" s="50" t="s">
        <v>316</v>
      </c>
      <c r="C23" s="49"/>
      <c r="D23" s="48" t="s">
        <v>64</v>
      </c>
      <c r="E23" s="81">
        <f>+IF($A23="",IF($C23="",SUMIFS([1]全伝票!I:I,[1]全伝票!$B:$B,$B23),SUMIFS([1]全伝票!I:I,[1]全伝票!$C:$C,$C23)),IF($C23="",SUMIFS([1]全伝票!I:I,[1]全伝票!$A:$A,$A23,[1]全伝票!$B:$B,$B23),SUMIFS([1]全伝票!I:I,[1]全伝票!$A:$A,$A23,[1]全伝票!$C:$C,$C23)))</f>
        <v>0</v>
      </c>
      <c r="F23" s="84">
        <f>+IF($A23="",IF($C23="",SUMIFS([1]全伝票!J:J,[1]全伝票!$B:$B,$B23),SUMIFS([1]全伝票!J:J,[1]全伝票!$C:$C,$C23)),IF($C23="",SUMIFS([1]全伝票!J:J,[1]全伝票!$A:$A,$A23,[1]全伝票!$B:$B,$B23),SUMIFS([1]全伝票!J:J,[1]全伝票!$A:$A,$A23,[1]全伝票!$C:$C,$C23)))</f>
        <v>0</v>
      </c>
      <c r="G23" s="83">
        <f>+IF($A23="",IF($C23="",SUMIFS([1]全伝票!K:K,[1]全伝票!$B:$B,$B23),SUMIFS([1]全伝票!K:K,[1]全伝票!$C:$C,$C23)),IF($C23="",SUMIFS([1]全伝票!K:K,[1]全伝票!$A:$A,$A23,[1]全伝票!$B:$B,$B23),SUMIFS([1]全伝票!K:K,[1]全伝票!$A:$A,$A23,[1]全伝票!$C:$C,$C23)))</f>
        <v>0</v>
      </c>
      <c r="H23" s="83">
        <f>+IF($A23="",IF($C23="",SUMIFS([1]全伝票!L:L,[1]全伝票!$B:$B,$B23),SUMIFS([1]全伝票!L:L,[1]全伝票!$C:$C,$C23)),IF($C23="",SUMIFS([1]全伝票!L:L,[1]全伝票!$A:$A,$A23,[1]全伝票!$B:$B,$B23),SUMIFS([1]全伝票!L:L,[1]全伝票!$A:$A,$A23,[1]全伝票!$C:$C,$C23)))</f>
        <v>0</v>
      </c>
      <c r="I23" s="83">
        <f>+IF($A23="",IF($C23="",SUMIFS([1]全伝票!M:M,[1]全伝票!$B:$B,$B23),SUMIFS([1]全伝票!M:M,[1]全伝票!$C:$C,$C23)),IF($C23="",SUMIFS([1]全伝票!M:M,[1]全伝票!$A:$A,$A23,[1]全伝票!$B:$B,$B23),SUMIFS([1]全伝票!M:M,[1]全伝票!$A:$A,$A23,[1]全伝票!$C:$C,$C23)))</f>
        <v>0</v>
      </c>
      <c r="J23" s="82">
        <f>+IF($A23="",IF($C23="",SUMIFS([1]全伝票!N:N,[1]全伝票!$B:$B,$B23),SUMIFS([1]全伝票!N:N,[1]全伝票!$C:$C,$C23)),IF($C23="",SUMIFS([1]全伝票!N:N,[1]全伝票!$A:$A,$A23,[1]全伝票!$B:$B,$B23),SUMIFS([1]全伝票!N:N,[1]全伝票!$A:$A,$A23,[1]全伝票!$C:$C,$C23)))</f>
        <v>0</v>
      </c>
      <c r="K23" s="45">
        <f t="shared" si="0"/>
        <v>0</v>
      </c>
      <c r="L23" s="81">
        <f>+IF($A23="",IF($C23="",SUMIFS([1]全伝票!O:O,[1]全伝票!$B:$B,$B23),SUMIFS([1]全伝票!O:O,[1]全伝票!$C:$C,$C23)),IF($C23="",SUMIFS([1]全伝票!O:O,[1]全伝票!$A:$A,$A23,[1]全伝票!$B:$B,$B23),SUMIFS([1]全伝票!O:O,[1]全伝票!$A:$A,$A23,[1]全伝票!$C:$C,$C23)))</f>
        <v>0</v>
      </c>
      <c r="M23" s="81">
        <f>+IF($A23="",IF($C23="",SUMIFS([1]全伝票!P:P,[1]全伝票!$B:$B,$B23),SUMIFS([1]全伝票!P:P,[1]全伝票!$C:$C,$C23)),IF($C23="",SUMIFS([1]全伝票!P:P,[1]全伝票!$A:$A,$A23,[1]全伝票!$B:$B,$B23),SUMIFS([1]全伝票!P:P,[1]全伝票!$A:$A,$A23,[1]全伝票!$C:$C,$C23)))</f>
        <v>0</v>
      </c>
      <c r="N23" s="43">
        <f t="shared" si="1"/>
        <v>0</v>
      </c>
      <c r="O23" s="42">
        <f t="shared" si="2"/>
        <v>0</v>
      </c>
      <c r="P23" s="42">
        <f t="shared" si="3"/>
        <v>0</v>
      </c>
      <c r="Q23" s="42">
        <f t="shared" si="3"/>
        <v>0</v>
      </c>
      <c r="R23" s="46">
        <f t="shared" si="4"/>
        <v>0</v>
      </c>
      <c r="S23" s="45">
        <f t="shared" si="5"/>
        <v>0</v>
      </c>
      <c r="T23" s="44">
        <f t="shared" si="6"/>
        <v>0</v>
      </c>
      <c r="U23" s="31">
        <f t="shared" si="7"/>
        <v>0</v>
      </c>
      <c r="V23" s="31">
        <f t="shared" si="8"/>
        <v>0</v>
      </c>
      <c r="W23" s="31">
        <f t="shared" si="9"/>
        <v>0</v>
      </c>
      <c r="X23" s="31">
        <f t="shared" si="9"/>
        <v>0</v>
      </c>
      <c r="Y23" s="31">
        <f t="shared" si="10"/>
        <v>0</v>
      </c>
      <c r="Z23" s="30">
        <f t="shared" si="11"/>
        <v>0</v>
      </c>
      <c r="AA23" s="30">
        <f t="shared" si="12"/>
        <v>0</v>
      </c>
      <c r="AB23" s="30">
        <f t="shared" si="13"/>
        <v>0</v>
      </c>
      <c r="AC23" s="30">
        <f t="shared" si="13"/>
        <v>0</v>
      </c>
      <c r="AD23" s="30">
        <f t="shared" si="14"/>
        <v>0</v>
      </c>
      <c r="AE23" s="29"/>
      <c r="AF23" s="29"/>
      <c r="AG23" s="29"/>
      <c r="AH23" s="29"/>
      <c r="AI23" s="29"/>
    </row>
    <row r="24" spans="1:35" x14ac:dyDescent="0.15">
      <c r="A24" s="51">
        <v>4</v>
      </c>
      <c r="B24" s="50" t="s">
        <v>315</v>
      </c>
      <c r="C24" s="49"/>
      <c r="D24" s="48" t="s">
        <v>62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 t="shared" si="0"/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1"/>
        <v>0</v>
      </c>
      <c r="O24" s="42">
        <f t="shared" si="2"/>
        <v>0</v>
      </c>
      <c r="P24" s="42">
        <f t="shared" si="3"/>
        <v>0</v>
      </c>
      <c r="Q24" s="42">
        <f t="shared" si="3"/>
        <v>0</v>
      </c>
      <c r="R24" s="46">
        <f t="shared" si="4"/>
        <v>0</v>
      </c>
      <c r="S24" s="45">
        <f t="shared" si="5"/>
        <v>0</v>
      </c>
      <c r="T24" s="44">
        <f t="shared" si="6"/>
        <v>0</v>
      </c>
      <c r="U24" s="31">
        <f t="shared" si="7"/>
        <v>0</v>
      </c>
      <c r="V24" s="31">
        <f t="shared" si="8"/>
        <v>0</v>
      </c>
      <c r="W24" s="31">
        <f t="shared" si="9"/>
        <v>0</v>
      </c>
      <c r="X24" s="31">
        <f t="shared" si="9"/>
        <v>0</v>
      </c>
      <c r="Y24" s="31">
        <f t="shared" si="10"/>
        <v>0</v>
      </c>
      <c r="Z24" s="30">
        <f t="shared" si="11"/>
        <v>0</v>
      </c>
      <c r="AA24" s="30">
        <f t="shared" si="12"/>
        <v>0</v>
      </c>
      <c r="AB24" s="30">
        <f t="shared" si="13"/>
        <v>0</v>
      </c>
      <c r="AC24" s="30">
        <f t="shared" si="13"/>
        <v>0</v>
      </c>
      <c r="AD24" s="30">
        <f t="shared" si="14"/>
        <v>0</v>
      </c>
      <c r="AE24" s="29"/>
      <c r="AF24" s="29"/>
      <c r="AG24" s="29"/>
      <c r="AH24" s="29"/>
      <c r="AI24" s="29"/>
    </row>
    <row r="25" spans="1:35" x14ac:dyDescent="0.15">
      <c r="A25" s="51">
        <v>4</v>
      </c>
      <c r="B25" s="50" t="s">
        <v>314</v>
      </c>
      <c r="C25" s="49"/>
      <c r="D25" s="48" t="s">
        <v>60</v>
      </c>
      <c r="E25" s="81">
        <f>+IF($A25="",IF($C25="",SUMIFS([1]全伝票!I:I,[1]全伝票!$B:$B,$B25),SUMIFS([1]全伝票!I:I,[1]全伝票!$C:$C,$C25)),IF($C25="",SUMIFS([1]全伝票!I:I,[1]全伝票!$A:$A,$A25,[1]全伝票!$B:$B,$B25),SUMIFS([1]全伝票!I:I,[1]全伝票!$A:$A,$A25,[1]全伝票!$C:$C,$C25)))</f>
        <v>0</v>
      </c>
      <c r="F25" s="84">
        <f>+IF($A25="",IF($C25="",SUMIFS([1]全伝票!J:J,[1]全伝票!$B:$B,$B25),SUMIFS([1]全伝票!J:J,[1]全伝票!$C:$C,$C25)),IF($C25="",SUMIFS([1]全伝票!J:J,[1]全伝票!$A:$A,$A25,[1]全伝票!$B:$B,$B25),SUMIFS([1]全伝票!J:J,[1]全伝票!$A:$A,$A25,[1]全伝票!$C:$C,$C25)))</f>
        <v>0</v>
      </c>
      <c r="G25" s="83">
        <f>+IF($A25="",IF($C25="",SUMIFS([1]全伝票!K:K,[1]全伝票!$B:$B,$B25),SUMIFS([1]全伝票!K:K,[1]全伝票!$C:$C,$C25)),IF($C25="",SUMIFS([1]全伝票!K:K,[1]全伝票!$A:$A,$A25,[1]全伝票!$B:$B,$B25),SUMIFS([1]全伝票!K:K,[1]全伝票!$A:$A,$A25,[1]全伝票!$C:$C,$C25)))</f>
        <v>0</v>
      </c>
      <c r="H25" s="83">
        <f>+IF($A25="",IF($C25="",SUMIFS([1]全伝票!L:L,[1]全伝票!$B:$B,$B25),SUMIFS([1]全伝票!L:L,[1]全伝票!$C:$C,$C25)),IF($C25="",SUMIFS([1]全伝票!L:L,[1]全伝票!$A:$A,$A25,[1]全伝票!$B:$B,$B25),SUMIFS([1]全伝票!L:L,[1]全伝票!$A:$A,$A25,[1]全伝票!$C:$C,$C25)))</f>
        <v>0</v>
      </c>
      <c r="I25" s="83">
        <f>+IF($A25="",IF($C25="",SUMIFS([1]全伝票!M:M,[1]全伝票!$B:$B,$B25),SUMIFS([1]全伝票!M:M,[1]全伝票!$C:$C,$C25)),IF($C25="",SUMIFS([1]全伝票!M:M,[1]全伝票!$A:$A,$A25,[1]全伝票!$B:$B,$B25),SUMIFS([1]全伝票!M:M,[1]全伝票!$A:$A,$A25,[1]全伝票!$C:$C,$C25)))</f>
        <v>0</v>
      </c>
      <c r="J25" s="82">
        <f>+IF($A25="",IF($C25="",SUMIFS([1]全伝票!N:N,[1]全伝票!$B:$B,$B25),SUMIFS([1]全伝票!N:N,[1]全伝票!$C:$C,$C25)),IF($C25="",SUMIFS([1]全伝票!N:N,[1]全伝票!$A:$A,$A25,[1]全伝票!$B:$B,$B25),SUMIFS([1]全伝票!N:N,[1]全伝票!$A:$A,$A25,[1]全伝票!$C:$C,$C25)))</f>
        <v>0</v>
      </c>
      <c r="K25" s="45">
        <f t="shared" si="0"/>
        <v>0</v>
      </c>
      <c r="L25" s="81">
        <f>+IF($A25="",IF($C25="",SUMIFS([1]全伝票!O:O,[1]全伝票!$B:$B,$B25),SUMIFS([1]全伝票!O:O,[1]全伝票!$C:$C,$C25)),IF($C25="",SUMIFS([1]全伝票!O:O,[1]全伝票!$A:$A,$A25,[1]全伝票!$B:$B,$B25),SUMIFS([1]全伝票!O:O,[1]全伝票!$A:$A,$A25,[1]全伝票!$C:$C,$C25)))</f>
        <v>0</v>
      </c>
      <c r="M25" s="81">
        <f>+IF($A25="",IF($C25="",SUMIFS([1]全伝票!P:P,[1]全伝票!$B:$B,$B25),SUMIFS([1]全伝票!P:P,[1]全伝票!$C:$C,$C25)),IF($C25="",SUMIFS([1]全伝票!P:P,[1]全伝票!$A:$A,$A25,[1]全伝票!$B:$B,$B25),SUMIFS([1]全伝票!P:P,[1]全伝票!$A:$A,$A25,[1]全伝票!$C:$C,$C25)))</f>
        <v>0</v>
      </c>
      <c r="N25" s="43">
        <f t="shared" si="1"/>
        <v>0</v>
      </c>
      <c r="O25" s="42">
        <f t="shared" si="2"/>
        <v>0</v>
      </c>
      <c r="P25" s="42">
        <f t="shared" si="3"/>
        <v>0</v>
      </c>
      <c r="Q25" s="42">
        <f t="shared" si="3"/>
        <v>0</v>
      </c>
      <c r="R25" s="46">
        <f t="shared" si="4"/>
        <v>0</v>
      </c>
      <c r="S25" s="45">
        <f t="shared" si="5"/>
        <v>0</v>
      </c>
      <c r="T25" s="44">
        <f t="shared" si="6"/>
        <v>0</v>
      </c>
      <c r="U25" s="31">
        <f t="shared" si="7"/>
        <v>0</v>
      </c>
      <c r="V25" s="31">
        <f t="shared" si="8"/>
        <v>0</v>
      </c>
      <c r="W25" s="31">
        <f t="shared" si="9"/>
        <v>0</v>
      </c>
      <c r="X25" s="31">
        <f t="shared" si="9"/>
        <v>0</v>
      </c>
      <c r="Y25" s="31">
        <f t="shared" si="10"/>
        <v>0</v>
      </c>
      <c r="Z25" s="30">
        <f t="shared" si="11"/>
        <v>0</v>
      </c>
      <c r="AA25" s="30">
        <f t="shared" si="12"/>
        <v>0</v>
      </c>
      <c r="AB25" s="30">
        <f t="shared" si="13"/>
        <v>0</v>
      </c>
      <c r="AC25" s="30">
        <f t="shared" si="13"/>
        <v>0</v>
      </c>
      <c r="AD25" s="30">
        <f t="shared" si="14"/>
        <v>0</v>
      </c>
      <c r="AE25" s="29"/>
      <c r="AF25" s="29"/>
      <c r="AG25" s="29"/>
      <c r="AH25" s="29"/>
      <c r="AI25" s="29"/>
    </row>
    <row r="26" spans="1:35" x14ac:dyDescent="0.15">
      <c r="A26" s="51">
        <v>4</v>
      </c>
      <c r="B26" s="50" t="s">
        <v>313</v>
      </c>
      <c r="C26" s="49"/>
      <c r="D26" s="48" t="s">
        <v>58</v>
      </c>
      <c r="E26" s="81">
        <f>+IF($A26="",IF($C26="",SUMIFS([1]全伝票!I:I,[1]全伝票!$B:$B,$B26),SUMIFS([1]全伝票!I:I,[1]全伝票!$C:$C,$C26)),IF($C26="",SUMIFS([1]全伝票!I:I,[1]全伝票!$A:$A,$A26,[1]全伝票!$B:$B,$B26),SUMIFS([1]全伝票!I:I,[1]全伝票!$A:$A,$A26,[1]全伝票!$C:$C,$C26)))</f>
        <v>0</v>
      </c>
      <c r="F26" s="84">
        <f>+IF($A26="",IF($C26="",SUMIFS([1]全伝票!J:J,[1]全伝票!$B:$B,$B26),SUMIFS([1]全伝票!J:J,[1]全伝票!$C:$C,$C26)),IF($C26="",SUMIFS([1]全伝票!J:J,[1]全伝票!$A:$A,$A26,[1]全伝票!$B:$B,$B26),SUMIFS([1]全伝票!J:J,[1]全伝票!$A:$A,$A26,[1]全伝票!$C:$C,$C26)))</f>
        <v>0</v>
      </c>
      <c r="G26" s="83">
        <f>+IF($A26="",IF($C26="",SUMIFS([1]全伝票!K:K,[1]全伝票!$B:$B,$B26),SUMIFS([1]全伝票!K:K,[1]全伝票!$C:$C,$C26)),IF($C26="",SUMIFS([1]全伝票!K:K,[1]全伝票!$A:$A,$A26,[1]全伝票!$B:$B,$B26),SUMIFS([1]全伝票!K:K,[1]全伝票!$A:$A,$A26,[1]全伝票!$C:$C,$C26)))</f>
        <v>0</v>
      </c>
      <c r="H26" s="83">
        <f>+IF($A26="",IF($C26="",SUMIFS([1]全伝票!L:L,[1]全伝票!$B:$B,$B26),SUMIFS([1]全伝票!L:L,[1]全伝票!$C:$C,$C26)),IF($C26="",SUMIFS([1]全伝票!L:L,[1]全伝票!$A:$A,$A26,[1]全伝票!$B:$B,$B26),SUMIFS([1]全伝票!L:L,[1]全伝票!$A:$A,$A26,[1]全伝票!$C:$C,$C26)))</f>
        <v>0</v>
      </c>
      <c r="I26" s="83">
        <f>+IF($A26="",IF($C26="",SUMIFS([1]全伝票!M:M,[1]全伝票!$B:$B,$B26),SUMIFS([1]全伝票!M:M,[1]全伝票!$C:$C,$C26)),IF($C26="",SUMIFS([1]全伝票!M:M,[1]全伝票!$A:$A,$A26,[1]全伝票!$B:$B,$B26),SUMIFS([1]全伝票!M:M,[1]全伝票!$A:$A,$A26,[1]全伝票!$C:$C,$C26)))</f>
        <v>0</v>
      </c>
      <c r="J26" s="82">
        <f>+IF($A26="",IF($C26="",SUMIFS([1]全伝票!N:N,[1]全伝票!$B:$B,$B26),SUMIFS([1]全伝票!N:N,[1]全伝票!$C:$C,$C26)),IF($C26="",SUMIFS([1]全伝票!N:N,[1]全伝票!$A:$A,$A26,[1]全伝票!$B:$B,$B26),SUMIFS([1]全伝票!N:N,[1]全伝票!$A:$A,$A26,[1]全伝票!$C:$C,$C26)))</f>
        <v>0</v>
      </c>
      <c r="K26" s="45">
        <f t="shared" si="0"/>
        <v>0</v>
      </c>
      <c r="L26" s="81">
        <f>+IF($A26="",IF($C26="",SUMIFS([1]全伝票!O:O,[1]全伝票!$B:$B,$B26),SUMIFS([1]全伝票!O:O,[1]全伝票!$C:$C,$C26)),IF($C26="",SUMIFS([1]全伝票!O:O,[1]全伝票!$A:$A,$A26,[1]全伝票!$B:$B,$B26),SUMIFS([1]全伝票!O:O,[1]全伝票!$A:$A,$A26,[1]全伝票!$C:$C,$C26)))</f>
        <v>0</v>
      </c>
      <c r="M26" s="81">
        <f>+IF($A26="",IF($C26="",SUMIFS([1]全伝票!P:P,[1]全伝票!$B:$B,$B26),SUMIFS([1]全伝票!P:P,[1]全伝票!$C:$C,$C26)),IF($C26="",SUMIFS([1]全伝票!P:P,[1]全伝票!$A:$A,$A26,[1]全伝票!$B:$B,$B26),SUMIFS([1]全伝票!P:P,[1]全伝票!$A:$A,$A26,[1]全伝票!$C:$C,$C26)))</f>
        <v>0</v>
      </c>
      <c r="N26" s="43">
        <f t="shared" si="1"/>
        <v>0</v>
      </c>
      <c r="O26" s="42">
        <f t="shared" si="2"/>
        <v>0</v>
      </c>
      <c r="P26" s="42">
        <f t="shared" si="3"/>
        <v>0</v>
      </c>
      <c r="Q26" s="42">
        <f t="shared" si="3"/>
        <v>0</v>
      </c>
      <c r="R26" s="46">
        <f t="shared" si="4"/>
        <v>0</v>
      </c>
      <c r="S26" s="45">
        <f t="shared" si="5"/>
        <v>0</v>
      </c>
      <c r="T26" s="44">
        <f t="shared" si="6"/>
        <v>0</v>
      </c>
      <c r="U26" s="31">
        <f t="shared" si="7"/>
        <v>0</v>
      </c>
      <c r="V26" s="31">
        <f t="shared" si="8"/>
        <v>0</v>
      </c>
      <c r="W26" s="31">
        <f t="shared" si="9"/>
        <v>0</v>
      </c>
      <c r="X26" s="31">
        <f t="shared" si="9"/>
        <v>0</v>
      </c>
      <c r="Y26" s="31">
        <f t="shared" si="10"/>
        <v>0</v>
      </c>
      <c r="Z26" s="30">
        <f t="shared" si="11"/>
        <v>0</v>
      </c>
      <c r="AA26" s="30">
        <f t="shared" si="12"/>
        <v>0</v>
      </c>
      <c r="AB26" s="30">
        <f t="shared" si="13"/>
        <v>0</v>
      </c>
      <c r="AC26" s="30">
        <f t="shared" si="13"/>
        <v>0</v>
      </c>
      <c r="AD26" s="30">
        <f t="shared" si="14"/>
        <v>0</v>
      </c>
      <c r="AE26" s="29"/>
      <c r="AF26" s="29"/>
      <c r="AG26" s="29"/>
      <c r="AH26" s="29"/>
      <c r="AI26" s="29"/>
    </row>
    <row r="27" spans="1:35" x14ac:dyDescent="0.15">
      <c r="A27" s="51">
        <v>4</v>
      </c>
      <c r="B27" s="50" t="s">
        <v>327</v>
      </c>
      <c r="C27" s="49">
        <v>615531003</v>
      </c>
      <c r="D27" s="48" t="s">
        <v>371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208660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208660</v>
      </c>
      <c r="K27" s="45">
        <f t="shared" si="0"/>
        <v>208660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1"/>
        <v>0</v>
      </c>
      <c r="O27" s="42">
        <f t="shared" si="2"/>
        <v>0</v>
      </c>
      <c r="P27" s="42">
        <f t="shared" si="3"/>
        <v>0</v>
      </c>
      <c r="Q27" s="42">
        <f t="shared" si="3"/>
        <v>0</v>
      </c>
      <c r="R27" s="46">
        <f t="shared" si="4"/>
        <v>18969</v>
      </c>
      <c r="S27" s="45">
        <f t="shared" si="5"/>
        <v>18969</v>
      </c>
      <c r="T27" s="44">
        <f t="shared" si="6"/>
        <v>189691</v>
      </c>
      <c r="U27" s="31">
        <f t="shared" si="7"/>
        <v>0</v>
      </c>
      <c r="V27" s="31">
        <f t="shared" si="8"/>
        <v>0</v>
      </c>
      <c r="W27" s="31">
        <f t="shared" si="9"/>
        <v>0</v>
      </c>
      <c r="X27" s="31">
        <f t="shared" si="9"/>
        <v>0</v>
      </c>
      <c r="Y27" s="31">
        <f t="shared" si="10"/>
        <v>-9.0909090908098733E-2</v>
      </c>
      <c r="Z27" s="30">
        <f t="shared" si="11"/>
        <v>0</v>
      </c>
      <c r="AA27" s="30">
        <f t="shared" si="12"/>
        <v>0</v>
      </c>
      <c r="AB27" s="30">
        <f t="shared" si="13"/>
        <v>0</v>
      </c>
      <c r="AC27" s="30">
        <f t="shared" si="13"/>
        <v>0</v>
      </c>
      <c r="AD27" s="30">
        <f t="shared" si="14"/>
        <v>0</v>
      </c>
      <c r="AE27" s="29"/>
      <c r="AF27" s="29"/>
      <c r="AG27" s="29"/>
      <c r="AH27" s="29"/>
      <c r="AI27" s="29"/>
    </row>
    <row r="28" spans="1:35" x14ac:dyDescent="0.15">
      <c r="A28" s="51">
        <v>4</v>
      </c>
      <c r="B28" s="50" t="s">
        <v>312</v>
      </c>
      <c r="C28" s="49"/>
      <c r="D28" s="48" t="s">
        <v>56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0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0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0</v>
      </c>
      <c r="N28" s="43">
        <f t="shared" si="1"/>
        <v>0</v>
      </c>
      <c r="O28" s="42">
        <f t="shared" si="2"/>
        <v>0</v>
      </c>
      <c r="P28" s="42">
        <f t="shared" si="3"/>
        <v>0</v>
      </c>
      <c r="Q28" s="42">
        <f t="shared" si="3"/>
        <v>0</v>
      </c>
      <c r="R28" s="46">
        <f t="shared" si="4"/>
        <v>0</v>
      </c>
      <c r="S28" s="45">
        <f t="shared" si="5"/>
        <v>0</v>
      </c>
      <c r="T28" s="44">
        <f t="shared" si="6"/>
        <v>0</v>
      </c>
      <c r="U28" s="31">
        <f t="shared" si="7"/>
        <v>0</v>
      </c>
      <c r="V28" s="31">
        <f t="shared" si="8"/>
        <v>0</v>
      </c>
      <c r="W28" s="31">
        <f t="shared" si="9"/>
        <v>0</v>
      </c>
      <c r="X28" s="31">
        <f t="shared" si="9"/>
        <v>0</v>
      </c>
      <c r="Y28" s="31">
        <f t="shared" si="10"/>
        <v>0</v>
      </c>
      <c r="Z28" s="30">
        <f t="shared" si="11"/>
        <v>0</v>
      </c>
      <c r="AA28" s="30">
        <f t="shared" si="12"/>
        <v>0</v>
      </c>
      <c r="AB28" s="30">
        <f t="shared" si="13"/>
        <v>0</v>
      </c>
      <c r="AC28" s="30">
        <f t="shared" si="13"/>
        <v>0</v>
      </c>
      <c r="AD28" s="30">
        <f t="shared" si="14"/>
        <v>0</v>
      </c>
      <c r="AE28" s="29"/>
      <c r="AF28" s="29"/>
      <c r="AG28" s="29"/>
      <c r="AH28" s="29"/>
      <c r="AI28" s="29"/>
    </row>
    <row r="29" spans="1:35" x14ac:dyDescent="0.15">
      <c r="A29" s="51">
        <v>4</v>
      </c>
      <c r="B29" s="50" t="s">
        <v>311</v>
      </c>
      <c r="C29" s="49"/>
      <c r="D29" s="48" t="s">
        <v>54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0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1"/>
        <v>0</v>
      </c>
      <c r="O29" s="42">
        <f t="shared" si="2"/>
        <v>0</v>
      </c>
      <c r="P29" s="42">
        <f t="shared" si="3"/>
        <v>0</v>
      </c>
      <c r="Q29" s="42">
        <f t="shared" si="3"/>
        <v>0</v>
      </c>
      <c r="R29" s="46">
        <f t="shared" si="4"/>
        <v>0</v>
      </c>
      <c r="S29" s="45">
        <f t="shared" si="5"/>
        <v>0</v>
      </c>
      <c r="T29" s="44">
        <f t="shared" si="6"/>
        <v>0</v>
      </c>
      <c r="U29" s="31">
        <f t="shared" si="7"/>
        <v>0</v>
      </c>
      <c r="V29" s="31">
        <f t="shared" si="8"/>
        <v>0</v>
      </c>
      <c r="W29" s="31">
        <f t="shared" si="9"/>
        <v>0</v>
      </c>
      <c r="X29" s="31">
        <f t="shared" si="9"/>
        <v>0</v>
      </c>
      <c r="Y29" s="31">
        <f t="shared" si="10"/>
        <v>0</v>
      </c>
      <c r="Z29" s="30">
        <f t="shared" si="11"/>
        <v>0</v>
      </c>
      <c r="AA29" s="30">
        <f t="shared" si="12"/>
        <v>0</v>
      </c>
      <c r="AB29" s="30">
        <f t="shared" si="13"/>
        <v>0</v>
      </c>
      <c r="AC29" s="30">
        <f t="shared" si="13"/>
        <v>0</v>
      </c>
      <c r="AD29" s="30">
        <f t="shared" si="14"/>
        <v>0</v>
      </c>
      <c r="AE29" s="29"/>
      <c r="AF29" s="29"/>
      <c r="AG29" s="29"/>
      <c r="AH29" s="29"/>
      <c r="AI29" s="29"/>
    </row>
    <row r="30" spans="1:35" x14ac:dyDescent="0.15">
      <c r="A30" s="51">
        <v>4</v>
      </c>
      <c r="B30" s="50" t="s">
        <v>310</v>
      </c>
      <c r="C30" s="49"/>
      <c r="D30" s="48" t="s">
        <v>52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0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0</v>
      </c>
      <c r="N30" s="43">
        <f t="shared" si="1"/>
        <v>0</v>
      </c>
      <c r="O30" s="42">
        <f t="shared" si="2"/>
        <v>0</v>
      </c>
      <c r="P30" s="42">
        <f t="shared" si="3"/>
        <v>0</v>
      </c>
      <c r="Q30" s="42">
        <f t="shared" si="3"/>
        <v>0</v>
      </c>
      <c r="R30" s="46">
        <f t="shared" si="4"/>
        <v>0</v>
      </c>
      <c r="S30" s="45">
        <f t="shared" si="5"/>
        <v>0</v>
      </c>
      <c r="T30" s="44">
        <f t="shared" si="6"/>
        <v>0</v>
      </c>
      <c r="U30" s="31">
        <f t="shared" si="7"/>
        <v>0</v>
      </c>
      <c r="V30" s="31">
        <f t="shared" si="8"/>
        <v>0</v>
      </c>
      <c r="W30" s="31">
        <f t="shared" si="9"/>
        <v>0</v>
      </c>
      <c r="X30" s="31">
        <f t="shared" si="9"/>
        <v>0</v>
      </c>
      <c r="Y30" s="31">
        <f t="shared" si="10"/>
        <v>0</v>
      </c>
      <c r="Z30" s="30">
        <f t="shared" si="11"/>
        <v>0</v>
      </c>
      <c r="AA30" s="30">
        <f t="shared" si="12"/>
        <v>0</v>
      </c>
      <c r="AB30" s="30">
        <f t="shared" si="13"/>
        <v>0</v>
      </c>
      <c r="AC30" s="30">
        <f t="shared" si="13"/>
        <v>0</v>
      </c>
      <c r="AD30" s="30">
        <f t="shared" si="14"/>
        <v>0</v>
      </c>
      <c r="AE30" s="29"/>
      <c r="AF30" s="29"/>
      <c r="AG30" s="29"/>
      <c r="AH30" s="29"/>
      <c r="AI30" s="29"/>
    </row>
    <row r="31" spans="1:35" x14ac:dyDescent="0.15">
      <c r="A31" s="51">
        <v>4</v>
      </c>
      <c r="B31" s="50" t="s">
        <v>309</v>
      </c>
      <c r="C31" s="49"/>
      <c r="D31" s="48" t="s">
        <v>50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0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0</v>
      </c>
      <c r="N31" s="43">
        <f t="shared" si="1"/>
        <v>0</v>
      </c>
      <c r="O31" s="42">
        <f t="shared" si="2"/>
        <v>0</v>
      </c>
      <c r="P31" s="42">
        <f t="shared" si="3"/>
        <v>0</v>
      </c>
      <c r="Q31" s="42">
        <f t="shared" si="3"/>
        <v>0</v>
      </c>
      <c r="R31" s="46">
        <f t="shared" si="4"/>
        <v>0</v>
      </c>
      <c r="S31" s="45">
        <f t="shared" si="5"/>
        <v>0</v>
      </c>
      <c r="T31" s="44">
        <f t="shared" si="6"/>
        <v>0</v>
      </c>
      <c r="U31" s="31">
        <f t="shared" si="7"/>
        <v>0</v>
      </c>
      <c r="V31" s="31">
        <f t="shared" si="8"/>
        <v>0</v>
      </c>
      <c r="W31" s="31">
        <f t="shared" si="9"/>
        <v>0</v>
      </c>
      <c r="X31" s="31">
        <f t="shared" si="9"/>
        <v>0</v>
      </c>
      <c r="Y31" s="31">
        <f t="shared" si="10"/>
        <v>0</v>
      </c>
      <c r="Z31" s="30">
        <f t="shared" si="11"/>
        <v>0</v>
      </c>
      <c r="AA31" s="30">
        <f t="shared" si="12"/>
        <v>0</v>
      </c>
      <c r="AB31" s="30">
        <f t="shared" si="13"/>
        <v>0</v>
      </c>
      <c r="AC31" s="30">
        <f t="shared" si="13"/>
        <v>0</v>
      </c>
      <c r="AD31" s="30">
        <f t="shared" si="14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 t="s">
        <v>308</v>
      </c>
      <c r="C32" s="49"/>
      <c r="D32" s="48" t="s">
        <v>48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0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1"/>
        <v>0</v>
      </c>
      <c r="O32" s="42">
        <f t="shared" si="2"/>
        <v>0</v>
      </c>
      <c r="P32" s="42">
        <f t="shared" si="3"/>
        <v>0</v>
      </c>
      <c r="Q32" s="42">
        <f t="shared" si="3"/>
        <v>0</v>
      </c>
      <c r="R32" s="46">
        <f t="shared" si="4"/>
        <v>0</v>
      </c>
      <c r="S32" s="45">
        <f t="shared" si="5"/>
        <v>0</v>
      </c>
      <c r="T32" s="44">
        <f t="shared" si="6"/>
        <v>0</v>
      </c>
      <c r="U32" s="31">
        <f t="shared" si="7"/>
        <v>0</v>
      </c>
      <c r="V32" s="31">
        <f t="shared" si="8"/>
        <v>0</v>
      </c>
      <c r="W32" s="31">
        <f t="shared" si="9"/>
        <v>0</v>
      </c>
      <c r="X32" s="31">
        <f t="shared" si="9"/>
        <v>0</v>
      </c>
      <c r="Y32" s="31">
        <f t="shared" si="10"/>
        <v>0</v>
      </c>
      <c r="Z32" s="30">
        <f t="shared" si="11"/>
        <v>0</v>
      </c>
      <c r="AA32" s="30">
        <f t="shared" si="12"/>
        <v>0</v>
      </c>
      <c r="AB32" s="30">
        <f t="shared" si="13"/>
        <v>0</v>
      </c>
      <c r="AC32" s="30">
        <f t="shared" si="13"/>
        <v>0</v>
      </c>
      <c r="AD32" s="30">
        <f t="shared" si="14"/>
        <v>0</v>
      </c>
      <c r="AE32" s="29"/>
      <c r="AF32" s="29"/>
      <c r="AG32" s="29"/>
      <c r="AH32" s="29"/>
      <c r="AI32" s="29"/>
    </row>
    <row r="33" spans="1:35" x14ac:dyDescent="0.15">
      <c r="A33" s="51">
        <v>4</v>
      </c>
      <c r="B33" s="50" t="s">
        <v>307</v>
      </c>
      <c r="C33" s="49"/>
      <c r="D33" s="48" t="s">
        <v>46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0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1"/>
        <v>0</v>
      </c>
      <c r="O33" s="42">
        <f t="shared" si="2"/>
        <v>0</v>
      </c>
      <c r="P33" s="42">
        <f t="shared" si="3"/>
        <v>0</v>
      </c>
      <c r="Q33" s="42">
        <f t="shared" si="3"/>
        <v>0</v>
      </c>
      <c r="R33" s="46">
        <f t="shared" si="4"/>
        <v>0</v>
      </c>
      <c r="S33" s="45">
        <f t="shared" si="5"/>
        <v>0</v>
      </c>
      <c r="T33" s="44">
        <f t="shared" si="6"/>
        <v>0</v>
      </c>
      <c r="U33" s="31">
        <f t="shared" si="7"/>
        <v>0</v>
      </c>
      <c r="V33" s="31">
        <f t="shared" si="8"/>
        <v>0</v>
      </c>
      <c r="W33" s="31">
        <f t="shared" si="9"/>
        <v>0</v>
      </c>
      <c r="X33" s="31">
        <f t="shared" si="9"/>
        <v>0</v>
      </c>
      <c r="Y33" s="31">
        <f t="shared" si="10"/>
        <v>0</v>
      </c>
      <c r="Z33" s="30">
        <f t="shared" si="11"/>
        <v>0</v>
      </c>
      <c r="AA33" s="30">
        <f t="shared" si="12"/>
        <v>0</v>
      </c>
      <c r="AB33" s="30">
        <f t="shared" si="13"/>
        <v>0</v>
      </c>
      <c r="AC33" s="30">
        <f t="shared" si="13"/>
        <v>0</v>
      </c>
      <c r="AD33" s="30">
        <f t="shared" si="14"/>
        <v>0</v>
      </c>
      <c r="AE33" s="29"/>
      <c r="AF33" s="29"/>
      <c r="AG33" s="29"/>
      <c r="AH33" s="29"/>
      <c r="AI33" s="29"/>
    </row>
    <row r="34" spans="1:35" x14ac:dyDescent="0.15">
      <c r="A34" s="51">
        <v>4</v>
      </c>
      <c r="B34" s="50" t="s">
        <v>306</v>
      </c>
      <c r="C34" s="49"/>
      <c r="D34" s="48" t="s">
        <v>44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0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1"/>
        <v>0</v>
      </c>
      <c r="O34" s="42">
        <f t="shared" si="2"/>
        <v>0</v>
      </c>
      <c r="P34" s="42">
        <f t="shared" si="3"/>
        <v>0</v>
      </c>
      <c r="Q34" s="42">
        <f t="shared" si="3"/>
        <v>0</v>
      </c>
      <c r="R34" s="46">
        <f t="shared" si="4"/>
        <v>0</v>
      </c>
      <c r="S34" s="45">
        <f t="shared" si="5"/>
        <v>0</v>
      </c>
      <c r="T34" s="44">
        <f t="shared" si="6"/>
        <v>0</v>
      </c>
      <c r="U34" s="31">
        <f t="shared" si="7"/>
        <v>0</v>
      </c>
      <c r="V34" s="31">
        <f t="shared" si="8"/>
        <v>0</v>
      </c>
      <c r="W34" s="31">
        <f t="shared" si="9"/>
        <v>0</v>
      </c>
      <c r="X34" s="31">
        <f t="shared" si="9"/>
        <v>0</v>
      </c>
      <c r="Y34" s="31">
        <f t="shared" si="10"/>
        <v>0</v>
      </c>
      <c r="Z34" s="30">
        <f t="shared" si="11"/>
        <v>0</v>
      </c>
      <c r="AA34" s="30">
        <f t="shared" si="12"/>
        <v>0</v>
      </c>
      <c r="AB34" s="30">
        <f t="shared" si="13"/>
        <v>0</v>
      </c>
      <c r="AC34" s="30">
        <f t="shared" si="13"/>
        <v>0</v>
      </c>
      <c r="AD34" s="30">
        <f t="shared" si="14"/>
        <v>0</v>
      </c>
      <c r="AE34" s="29"/>
      <c r="AF34" s="29"/>
      <c r="AG34" s="29"/>
      <c r="AH34" s="29"/>
      <c r="AI34" s="29"/>
    </row>
    <row r="35" spans="1:35" x14ac:dyDescent="0.15">
      <c r="A35" s="51">
        <v>4</v>
      </c>
      <c r="B35" s="50" t="s">
        <v>300</v>
      </c>
      <c r="C35" s="49" t="s">
        <v>305</v>
      </c>
      <c r="D35" s="48" t="s">
        <v>42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59382913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59382913</v>
      </c>
      <c r="K35" s="45">
        <f t="shared" si="0"/>
        <v>59382913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1"/>
        <v>0</v>
      </c>
      <c r="O35" s="42">
        <f t="shared" si="2"/>
        <v>0</v>
      </c>
      <c r="P35" s="42">
        <f t="shared" si="3"/>
        <v>0</v>
      </c>
      <c r="Q35" s="42">
        <f t="shared" si="3"/>
        <v>0</v>
      </c>
      <c r="R35" s="46">
        <f t="shared" si="4"/>
        <v>5398447</v>
      </c>
      <c r="S35" s="45">
        <f t="shared" si="5"/>
        <v>5398447</v>
      </c>
      <c r="T35" s="44">
        <f t="shared" si="6"/>
        <v>53984466</v>
      </c>
      <c r="U35" s="31">
        <f t="shared" si="7"/>
        <v>0</v>
      </c>
      <c r="V35" s="31">
        <f t="shared" si="8"/>
        <v>0</v>
      </c>
      <c r="W35" s="31">
        <f t="shared" si="9"/>
        <v>0</v>
      </c>
      <c r="X35" s="31">
        <f t="shared" si="9"/>
        <v>0</v>
      </c>
      <c r="Y35" s="31">
        <f t="shared" si="10"/>
        <v>0.36363636329770088</v>
      </c>
      <c r="Z35" s="30">
        <f t="shared" si="11"/>
        <v>0</v>
      </c>
      <c r="AA35" s="30">
        <f t="shared" si="12"/>
        <v>0</v>
      </c>
      <c r="AB35" s="30">
        <f t="shared" si="13"/>
        <v>0</v>
      </c>
      <c r="AC35" s="30">
        <f t="shared" si="13"/>
        <v>0</v>
      </c>
      <c r="AD35" s="30">
        <f t="shared" si="14"/>
        <v>0</v>
      </c>
      <c r="AE35" s="29"/>
      <c r="AF35" s="29"/>
      <c r="AG35" s="29"/>
      <c r="AH35" s="29"/>
      <c r="AI35" s="29"/>
    </row>
    <row r="36" spans="1:35" x14ac:dyDescent="0.15">
      <c r="A36" s="51">
        <v>4</v>
      </c>
      <c r="B36" s="50" t="s">
        <v>300</v>
      </c>
      <c r="C36" s="49" t="s">
        <v>304</v>
      </c>
      <c r="D36" s="48" t="s">
        <v>40</v>
      </c>
      <c r="E36" s="81">
        <f>+IF($A36="",IF($C36="",SUMIFS([1]全伝票!I:I,[1]全伝票!$B:$B,$B36),SUMIFS([1]全伝票!I:I,[1]全伝票!$C:$C,$C36)),IF($C36="",SUMIFS([1]全伝票!I:I,[1]全伝票!$A:$A,$A36,[1]全伝票!$B:$B,$B36),SUMIFS([1]全伝票!I:I,[1]全伝票!$A:$A,$A36,[1]全伝票!$C:$C,$C36)))</f>
        <v>0</v>
      </c>
      <c r="F36" s="84">
        <f>+IF($A36="",IF($C36="",SUMIFS([1]全伝票!J:J,[1]全伝票!$B:$B,$B36),SUMIFS([1]全伝票!J:J,[1]全伝票!$C:$C,$C36)),IF($C36="",SUMIFS([1]全伝票!J:J,[1]全伝票!$A:$A,$A36,[1]全伝票!$B:$B,$B36),SUMIFS([1]全伝票!J:J,[1]全伝票!$A:$A,$A36,[1]全伝票!$C:$C,$C36)))</f>
        <v>0</v>
      </c>
      <c r="G36" s="83">
        <f>+IF($A36="",IF($C36="",SUMIFS([1]全伝票!K:K,[1]全伝票!$B:$B,$B36),SUMIFS([1]全伝票!K:K,[1]全伝票!$C:$C,$C36)),IF($C36="",SUMIFS([1]全伝票!K:K,[1]全伝票!$A:$A,$A36,[1]全伝票!$B:$B,$B36),SUMIFS([1]全伝票!K:K,[1]全伝票!$A:$A,$A36,[1]全伝票!$C:$C,$C36)))</f>
        <v>0</v>
      </c>
      <c r="H36" s="83">
        <f>+IF($A36="",IF($C36="",SUMIFS([1]全伝票!L:L,[1]全伝票!$B:$B,$B36),SUMIFS([1]全伝票!L:L,[1]全伝票!$C:$C,$C36)),IF($C36="",SUMIFS([1]全伝票!L:L,[1]全伝票!$A:$A,$A36,[1]全伝票!$B:$B,$B36),SUMIFS([1]全伝票!L:L,[1]全伝票!$A:$A,$A36,[1]全伝票!$C:$C,$C36)))</f>
        <v>0</v>
      </c>
      <c r="I36" s="83">
        <f>+IF($A36="",IF($C36="",SUMIFS([1]全伝票!M:M,[1]全伝票!$B:$B,$B36),SUMIFS([1]全伝票!M:M,[1]全伝票!$C:$C,$C36)),IF($C36="",SUMIFS([1]全伝票!M:M,[1]全伝票!$A:$A,$A36,[1]全伝票!$B:$B,$B36),SUMIFS([1]全伝票!M:M,[1]全伝票!$A:$A,$A36,[1]全伝票!$C:$C,$C36)))</f>
        <v>0</v>
      </c>
      <c r="J36" s="82">
        <f>+IF($A36="",IF($C36="",SUMIFS([1]全伝票!N:N,[1]全伝票!$B:$B,$B36),SUMIFS([1]全伝票!N:N,[1]全伝票!$C:$C,$C36)),IF($C36="",SUMIFS([1]全伝票!N:N,[1]全伝票!$A:$A,$A36,[1]全伝票!$B:$B,$B36),SUMIFS([1]全伝票!N:N,[1]全伝票!$A:$A,$A36,[1]全伝票!$C:$C,$C36)))</f>
        <v>0</v>
      </c>
      <c r="K36" s="45">
        <f t="shared" si="0"/>
        <v>0</v>
      </c>
      <c r="L36" s="81">
        <f>+IF($A36="",IF($C36="",SUMIFS([1]全伝票!O:O,[1]全伝票!$B:$B,$B36),SUMIFS([1]全伝票!O:O,[1]全伝票!$C:$C,$C36)),IF($C36="",SUMIFS([1]全伝票!O:O,[1]全伝票!$A:$A,$A36,[1]全伝票!$B:$B,$B36),SUMIFS([1]全伝票!O:O,[1]全伝票!$A:$A,$A36,[1]全伝票!$C:$C,$C36)))</f>
        <v>0</v>
      </c>
      <c r="M36" s="81">
        <f>+IF($A36="",IF($C36="",SUMIFS([1]全伝票!P:P,[1]全伝票!$B:$B,$B36),SUMIFS([1]全伝票!P:P,[1]全伝票!$C:$C,$C36)),IF($C36="",SUMIFS([1]全伝票!P:P,[1]全伝票!$A:$A,$A36,[1]全伝票!$B:$B,$B36),SUMIFS([1]全伝票!P:P,[1]全伝票!$A:$A,$A36,[1]全伝票!$C:$C,$C36)))</f>
        <v>0</v>
      </c>
      <c r="N36" s="43">
        <f t="shared" si="1"/>
        <v>0</v>
      </c>
      <c r="O36" s="42">
        <f t="shared" si="2"/>
        <v>0</v>
      </c>
      <c r="P36" s="42">
        <f t="shared" si="3"/>
        <v>0</v>
      </c>
      <c r="Q36" s="42">
        <f t="shared" si="3"/>
        <v>0</v>
      </c>
      <c r="R36" s="46">
        <f t="shared" si="4"/>
        <v>0</v>
      </c>
      <c r="S36" s="45">
        <f t="shared" si="5"/>
        <v>0</v>
      </c>
      <c r="T36" s="44">
        <f t="shared" si="6"/>
        <v>0</v>
      </c>
      <c r="U36" s="31">
        <f t="shared" si="7"/>
        <v>0</v>
      </c>
      <c r="V36" s="31">
        <f t="shared" si="8"/>
        <v>0</v>
      </c>
      <c r="W36" s="31">
        <f t="shared" si="9"/>
        <v>0</v>
      </c>
      <c r="X36" s="31">
        <f t="shared" si="9"/>
        <v>0</v>
      </c>
      <c r="Y36" s="31">
        <f t="shared" si="10"/>
        <v>0</v>
      </c>
      <c r="Z36" s="30">
        <f t="shared" si="11"/>
        <v>0</v>
      </c>
      <c r="AA36" s="30">
        <f t="shared" si="12"/>
        <v>0</v>
      </c>
      <c r="AB36" s="30">
        <f t="shared" si="13"/>
        <v>0</v>
      </c>
      <c r="AC36" s="30">
        <f t="shared" si="13"/>
        <v>0</v>
      </c>
      <c r="AD36" s="30">
        <f t="shared" si="14"/>
        <v>0</v>
      </c>
      <c r="AE36" s="29"/>
      <c r="AF36" s="29"/>
      <c r="AG36" s="29"/>
      <c r="AH36" s="29"/>
      <c r="AI36" s="29"/>
    </row>
    <row r="37" spans="1:35" x14ac:dyDescent="0.15">
      <c r="A37" s="51">
        <v>4</v>
      </c>
      <c r="B37" s="50" t="s">
        <v>300</v>
      </c>
      <c r="C37" s="49" t="s">
        <v>303</v>
      </c>
      <c r="D37" s="48" t="s">
        <v>38</v>
      </c>
      <c r="E37" s="81">
        <f>+IF($A37="",IF($C37="",SUMIFS([1]全伝票!I:I,[1]全伝票!$B:$B,$B37),SUMIFS([1]全伝票!I:I,[1]全伝票!$C:$C,$C37)),IF($C37="",SUMIFS([1]全伝票!I:I,[1]全伝票!$A:$A,$A37,[1]全伝票!$B:$B,$B37),SUMIFS([1]全伝票!I:I,[1]全伝票!$A:$A,$A37,[1]全伝票!$C:$C,$C37)))</f>
        <v>16918900</v>
      </c>
      <c r="F37" s="84">
        <f>+IF($A37="",IF($C37="",SUMIFS([1]全伝票!J:J,[1]全伝票!$B:$B,$B37),SUMIFS([1]全伝票!J:J,[1]全伝票!$C:$C,$C37)),IF($C37="",SUMIFS([1]全伝票!J:J,[1]全伝票!$A:$A,$A37,[1]全伝票!$B:$B,$B37),SUMIFS([1]全伝票!J:J,[1]全伝票!$A:$A,$A37,[1]全伝票!$C:$C,$C37)))</f>
        <v>0</v>
      </c>
      <c r="G37" s="83">
        <f>+IF($A37="",IF($C37="",SUMIFS([1]全伝票!K:K,[1]全伝票!$B:$B,$B37),SUMIFS([1]全伝票!K:K,[1]全伝票!$C:$C,$C37)),IF($C37="",SUMIFS([1]全伝票!K:K,[1]全伝票!$A:$A,$A37,[1]全伝票!$B:$B,$B37),SUMIFS([1]全伝票!K:K,[1]全伝票!$A:$A,$A37,[1]全伝票!$C:$C,$C37)))</f>
        <v>0</v>
      </c>
      <c r="H37" s="83">
        <f>+IF($A37="",IF($C37="",SUMIFS([1]全伝票!L:L,[1]全伝票!$B:$B,$B37),SUMIFS([1]全伝票!L:L,[1]全伝票!$C:$C,$C37)),IF($C37="",SUMIFS([1]全伝票!L:L,[1]全伝票!$A:$A,$A37,[1]全伝票!$B:$B,$B37),SUMIFS([1]全伝票!L:L,[1]全伝票!$A:$A,$A37,[1]全伝票!$C:$C,$C37)))</f>
        <v>0</v>
      </c>
      <c r="I37" s="83">
        <f>+IF($A37="",IF($C37="",SUMIFS([1]全伝票!M:M,[1]全伝票!$B:$B,$B37),SUMIFS([1]全伝票!M:M,[1]全伝票!$C:$C,$C37)),IF($C37="",SUMIFS([1]全伝票!M:M,[1]全伝票!$A:$A,$A37,[1]全伝票!$B:$B,$B37),SUMIFS([1]全伝票!M:M,[1]全伝票!$A:$A,$A37,[1]全伝票!$C:$C,$C37)))</f>
        <v>0</v>
      </c>
      <c r="J37" s="82">
        <f>+IF($A37="",IF($C37="",SUMIFS([1]全伝票!N:N,[1]全伝票!$B:$B,$B37),SUMIFS([1]全伝票!N:N,[1]全伝票!$C:$C,$C37)),IF($C37="",SUMIFS([1]全伝票!N:N,[1]全伝票!$A:$A,$A37,[1]全伝票!$B:$B,$B37),SUMIFS([1]全伝票!N:N,[1]全伝票!$A:$A,$A37,[1]全伝票!$C:$C,$C37)))</f>
        <v>16918900</v>
      </c>
      <c r="K37" s="45">
        <f t="shared" si="0"/>
        <v>16918900</v>
      </c>
      <c r="L37" s="81">
        <f>+IF($A37="",IF($C37="",SUMIFS([1]全伝票!O:O,[1]全伝票!$B:$B,$B37),SUMIFS([1]全伝票!O:O,[1]全伝票!$C:$C,$C37)),IF($C37="",SUMIFS([1]全伝票!O:O,[1]全伝票!$A:$A,$A37,[1]全伝票!$B:$B,$B37),SUMIFS([1]全伝票!O:O,[1]全伝票!$A:$A,$A37,[1]全伝票!$C:$C,$C37)))</f>
        <v>0</v>
      </c>
      <c r="M37" s="81">
        <f>+IF($A37="",IF($C37="",SUMIFS([1]全伝票!P:P,[1]全伝票!$B:$B,$B37),SUMIFS([1]全伝票!P:P,[1]全伝票!$C:$C,$C37)),IF($C37="",SUMIFS([1]全伝票!P:P,[1]全伝票!$A:$A,$A37,[1]全伝票!$B:$B,$B37),SUMIFS([1]全伝票!P:P,[1]全伝票!$A:$A,$A37,[1]全伝票!$C:$C,$C37)))</f>
        <v>0</v>
      </c>
      <c r="N37" s="43">
        <f t="shared" si="1"/>
        <v>0</v>
      </c>
      <c r="O37" s="42">
        <f t="shared" si="2"/>
        <v>0</v>
      </c>
      <c r="P37" s="42">
        <f t="shared" si="3"/>
        <v>0</v>
      </c>
      <c r="Q37" s="42">
        <f t="shared" si="3"/>
        <v>0</v>
      </c>
      <c r="R37" s="46">
        <f t="shared" si="4"/>
        <v>1538082</v>
      </c>
      <c r="S37" s="45">
        <f t="shared" si="5"/>
        <v>1538082</v>
      </c>
      <c r="T37" s="44">
        <f t="shared" si="6"/>
        <v>15380818</v>
      </c>
      <c r="U37" s="31">
        <f t="shared" si="7"/>
        <v>0</v>
      </c>
      <c r="V37" s="31">
        <f t="shared" si="8"/>
        <v>0</v>
      </c>
      <c r="W37" s="31">
        <f t="shared" si="9"/>
        <v>0</v>
      </c>
      <c r="X37" s="31">
        <f t="shared" si="9"/>
        <v>0</v>
      </c>
      <c r="Y37" s="31">
        <f t="shared" si="10"/>
        <v>0.18181818188168108</v>
      </c>
      <c r="Z37" s="30">
        <f t="shared" si="11"/>
        <v>0</v>
      </c>
      <c r="AA37" s="30">
        <f t="shared" si="12"/>
        <v>0</v>
      </c>
      <c r="AB37" s="30">
        <f t="shared" si="13"/>
        <v>0</v>
      </c>
      <c r="AC37" s="30">
        <f t="shared" si="13"/>
        <v>0</v>
      </c>
      <c r="AD37" s="30">
        <f t="shared" si="14"/>
        <v>0</v>
      </c>
      <c r="AE37" s="29"/>
      <c r="AF37" s="29"/>
      <c r="AG37" s="29"/>
      <c r="AH37" s="29"/>
      <c r="AI37" s="29"/>
    </row>
    <row r="38" spans="1:35" x14ac:dyDescent="0.15">
      <c r="A38" s="51">
        <v>4</v>
      </c>
      <c r="B38" s="50" t="s">
        <v>300</v>
      </c>
      <c r="C38" s="49" t="s">
        <v>302</v>
      </c>
      <c r="D38" s="48" t="s">
        <v>36</v>
      </c>
      <c r="E38" s="81">
        <f>+IF($A38="",IF($C38="",SUMIFS([1]全伝票!I:I,[1]全伝票!$B:$B,$B38),SUMIFS([1]全伝票!I:I,[1]全伝票!$C:$C,$C38)),IF($C38="",SUMIFS([1]全伝票!I:I,[1]全伝票!$A:$A,$A38,[1]全伝票!$B:$B,$B38),SUMIFS([1]全伝票!I:I,[1]全伝票!$A:$A,$A38,[1]全伝票!$C:$C,$C38)))</f>
        <v>2450800</v>
      </c>
      <c r="F38" s="84">
        <f>+IF($A38="",IF($C38="",SUMIFS([1]全伝票!J:J,[1]全伝票!$B:$B,$B38),SUMIFS([1]全伝票!J:J,[1]全伝票!$C:$C,$C38)),IF($C38="",SUMIFS([1]全伝票!J:J,[1]全伝票!$A:$A,$A38,[1]全伝票!$B:$B,$B38),SUMIFS([1]全伝票!J:J,[1]全伝票!$A:$A,$A38,[1]全伝票!$C:$C,$C38)))</f>
        <v>0</v>
      </c>
      <c r="G38" s="83">
        <f>+IF($A38="",IF($C38="",SUMIFS([1]全伝票!K:K,[1]全伝票!$B:$B,$B38),SUMIFS([1]全伝票!K:K,[1]全伝票!$C:$C,$C38)),IF($C38="",SUMIFS([1]全伝票!K:K,[1]全伝票!$A:$A,$A38,[1]全伝票!$B:$B,$B38),SUMIFS([1]全伝票!K:K,[1]全伝票!$A:$A,$A38,[1]全伝票!$C:$C,$C38)))</f>
        <v>0</v>
      </c>
      <c r="H38" s="83">
        <f>+IF($A38="",IF($C38="",SUMIFS([1]全伝票!L:L,[1]全伝票!$B:$B,$B38),SUMIFS([1]全伝票!L:L,[1]全伝票!$C:$C,$C38)),IF($C38="",SUMIFS([1]全伝票!L:L,[1]全伝票!$A:$A,$A38,[1]全伝票!$B:$B,$B38),SUMIFS([1]全伝票!L:L,[1]全伝票!$A:$A,$A38,[1]全伝票!$C:$C,$C38)))</f>
        <v>0</v>
      </c>
      <c r="I38" s="83">
        <f>+IF($A38="",IF($C38="",SUMIFS([1]全伝票!M:M,[1]全伝票!$B:$B,$B38),SUMIFS([1]全伝票!M:M,[1]全伝票!$C:$C,$C38)),IF($C38="",SUMIFS([1]全伝票!M:M,[1]全伝票!$A:$A,$A38,[1]全伝票!$B:$B,$B38),SUMIFS([1]全伝票!M:M,[1]全伝票!$A:$A,$A38,[1]全伝票!$C:$C,$C38)))</f>
        <v>0</v>
      </c>
      <c r="J38" s="82">
        <f>+IF($A38="",IF($C38="",SUMIFS([1]全伝票!N:N,[1]全伝票!$B:$B,$B38),SUMIFS([1]全伝票!N:N,[1]全伝票!$C:$C,$C38)),IF($C38="",SUMIFS([1]全伝票!N:N,[1]全伝票!$A:$A,$A38,[1]全伝票!$B:$B,$B38),SUMIFS([1]全伝票!N:N,[1]全伝票!$A:$A,$A38,[1]全伝票!$C:$C,$C38)))</f>
        <v>2450800</v>
      </c>
      <c r="K38" s="45">
        <f t="shared" si="0"/>
        <v>2450800</v>
      </c>
      <c r="L38" s="81">
        <f>+IF($A38="",IF($C38="",SUMIFS([1]全伝票!O:O,[1]全伝票!$B:$B,$B38),SUMIFS([1]全伝票!O:O,[1]全伝票!$C:$C,$C38)),IF($C38="",SUMIFS([1]全伝票!O:O,[1]全伝票!$A:$A,$A38,[1]全伝票!$B:$B,$B38),SUMIFS([1]全伝票!O:O,[1]全伝票!$A:$A,$A38,[1]全伝票!$C:$C,$C38)))</f>
        <v>0</v>
      </c>
      <c r="M38" s="81">
        <f>+IF($A38="",IF($C38="",SUMIFS([1]全伝票!P:P,[1]全伝票!$B:$B,$B38),SUMIFS([1]全伝票!P:P,[1]全伝票!$C:$C,$C38)),IF($C38="",SUMIFS([1]全伝票!P:P,[1]全伝票!$A:$A,$A38,[1]全伝票!$B:$B,$B38),SUMIFS([1]全伝票!P:P,[1]全伝票!$A:$A,$A38,[1]全伝票!$C:$C,$C38)))</f>
        <v>0</v>
      </c>
      <c r="N38" s="43">
        <f t="shared" si="1"/>
        <v>0</v>
      </c>
      <c r="O38" s="42">
        <f t="shared" si="2"/>
        <v>0</v>
      </c>
      <c r="P38" s="42">
        <f t="shared" si="3"/>
        <v>0</v>
      </c>
      <c r="Q38" s="42">
        <f t="shared" si="3"/>
        <v>0</v>
      </c>
      <c r="R38" s="46">
        <f t="shared" si="4"/>
        <v>222800</v>
      </c>
      <c r="S38" s="45">
        <f t="shared" si="5"/>
        <v>222800</v>
      </c>
      <c r="T38" s="44">
        <f t="shared" si="6"/>
        <v>2228000</v>
      </c>
      <c r="U38" s="31">
        <f t="shared" si="7"/>
        <v>0</v>
      </c>
      <c r="V38" s="31">
        <f t="shared" si="8"/>
        <v>0</v>
      </c>
      <c r="W38" s="31">
        <f t="shared" si="9"/>
        <v>0</v>
      </c>
      <c r="X38" s="31">
        <f t="shared" si="9"/>
        <v>0</v>
      </c>
      <c r="Y38" s="31">
        <f t="shared" si="10"/>
        <v>0</v>
      </c>
      <c r="Z38" s="30">
        <f t="shared" si="11"/>
        <v>0</v>
      </c>
      <c r="AA38" s="30">
        <f t="shared" si="12"/>
        <v>0</v>
      </c>
      <c r="AB38" s="30">
        <f t="shared" si="13"/>
        <v>0</v>
      </c>
      <c r="AC38" s="30">
        <f t="shared" si="13"/>
        <v>0</v>
      </c>
      <c r="AD38" s="30">
        <f t="shared" si="14"/>
        <v>0</v>
      </c>
      <c r="AE38" s="29"/>
      <c r="AF38" s="29"/>
      <c r="AG38" s="29"/>
      <c r="AH38" s="29"/>
      <c r="AI38" s="29"/>
    </row>
    <row r="39" spans="1:35" x14ac:dyDescent="0.15">
      <c r="A39" s="51">
        <v>4</v>
      </c>
      <c r="B39" s="50" t="s">
        <v>300</v>
      </c>
      <c r="C39" s="49" t="s">
        <v>301</v>
      </c>
      <c r="D39" s="48" t="s">
        <v>34</v>
      </c>
      <c r="E39" s="81">
        <f>+IF($A39="",IF($C39="",SUMIFS([1]全伝票!I:I,[1]全伝票!$B:$B,$B39),SUMIFS([1]全伝票!I:I,[1]全伝票!$C:$C,$C39)),IF($C39="",SUMIFS([1]全伝票!I:I,[1]全伝票!$A:$A,$A39,[1]全伝票!$B:$B,$B39),SUMIFS([1]全伝票!I:I,[1]全伝票!$A:$A,$A39,[1]全伝票!$C:$C,$C39)))</f>
        <v>0</v>
      </c>
      <c r="F39" s="84">
        <f>+IF($A39="",IF($C39="",SUMIFS([1]全伝票!J:J,[1]全伝票!$B:$B,$B39),SUMIFS([1]全伝票!J:J,[1]全伝票!$C:$C,$C39)),IF($C39="",SUMIFS([1]全伝票!J:J,[1]全伝票!$A:$A,$A39,[1]全伝票!$B:$B,$B39),SUMIFS([1]全伝票!J:J,[1]全伝票!$A:$A,$A39,[1]全伝票!$C:$C,$C39)))</f>
        <v>0</v>
      </c>
      <c r="G39" s="83">
        <f>+IF($A39="",IF($C39="",SUMIFS([1]全伝票!K:K,[1]全伝票!$B:$B,$B39),SUMIFS([1]全伝票!K:K,[1]全伝票!$C:$C,$C39)),IF($C39="",SUMIFS([1]全伝票!K:K,[1]全伝票!$A:$A,$A39,[1]全伝票!$B:$B,$B39),SUMIFS([1]全伝票!K:K,[1]全伝票!$A:$A,$A39,[1]全伝票!$C:$C,$C39)))</f>
        <v>0</v>
      </c>
      <c r="H39" s="83">
        <f>+IF($A39="",IF($C39="",SUMIFS([1]全伝票!L:L,[1]全伝票!$B:$B,$B39),SUMIFS([1]全伝票!L:L,[1]全伝票!$C:$C,$C39)),IF($C39="",SUMIFS([1]全伝票!L:L,[1]全伝票!$A:$A,$A39,[1]全伝票!$B:$B,$B39),SUMIFS([1]全伝票!L:L,[1]全伝票!$A:$A,$A39,[1]全伝票!$C:$C,$C39)))</f>
        <v>0</v>
      </c>
      <c r="I39" s="83">
        <f>+IF($A39="",IF($C39="",SUMIFS([1]全伝票!M:M,[1]全伝票!$B:$B,$B39),SUMIFS([1]全伝票!M:M,[1]全伝票!$C:$C,$C39)),IF($C39="",SUMIFS([1]全伝票!M:M,[1]全伝票!$A:$A,$A39,[1]全伝票!$B:$B,$B39),SUMIFS([1]全伝票!M:M,[1]全伝票!$A:$A,$A39,[1]全伝票!$C:$C,$C39)))</f>
        <v>0</v>
      </c>
      <c r="J39" s="82">
        <f>+IF($A39="",IF($C39="",SUMIFS([1]全伝票!N:N,[1]全伝票!$B:$B,$B39),SUMIFS([1]全伝票!N:N,[1]全伝票!$C:$C,$C39)),IF($C39="",SUMIFS([1]全伝票!N:N,[1]全伝票!$A:$A,$A39,[1]全伝票!$B:$B,$B39),SUMIFS([1]全伝票!N:N,[1]全伝票!$A:$A,$A39,[1]全伝票!$C:$C,$C39)))</f>
        <v>0</v>
      </c>
      <c r="K39" s="45">
        <f t="shared" si="0"/>
        <v>0</v>
      </c>
      <c r="L39" s="81">
        <f>+IF($A39="",IF($C39="",SUMIFS([1]全伝票!O:O,[1]全伝票!$B:$B,$B39),SUMIFS([1]全伝票!O:O,[1]全伝票!$C:$C,$C39)),IF($C39="",SUMIFS([1]全伝票!O:O,[1]全伝票!$A:$A,$A39,[1]全伝票!$B:$B,$B39),SUMIFS([1]全伝票!O:O,[1]全伝票!$A:$A,$A39,[1]全伝票!$C:$C,$C39)))</f>
        <v>0</v>
      </c>
      <c r="M39" s="81">
        <f>+IF($A39="",IF($C39="",SUMIFS([1]全伝票!P:P,[1]全伝票!$B:$B,$B39),SUMIFS([1]全伝票!P:P,[1]全伝票!$C:$C,$C39)),IF($C39="",SUMIFS([1]全伝票!P:P,[1]全伝票!$A:$A,$A39,[1]全伝票!$B:$B,$B39),SUMIFS([1]全伝票!P:P,[1]全伝票!$A:$A,$A39,[1]全伝票!$C:$C,$C39)))</f>
        <v>0</v>
      </c>
      <c r="N39" s="43">
        <f t="shared" si="1"/>
        <v>0</v>
      </c>
      <c r="O39" s="42">
        <f t="shared" si="2"/>
        <v>0</v>
      </c>
      <c r="P39" s="42">
        <f t="shared" si="3"/>
        <v>0</v>
      </c>
      <c r="Q39" s="42">
        <f t="shared" si="3"/>
        <v>0</v>
      </c>
      <c r="R39" s="46">
        <f t="shared" si="4"/>
        <v>0</v>
      </c>
      <c r="S39" s="45">
        <f t="shared" si="5"/>
        <v>0</v>
      </c>
      <c r="T39" s="44">
        <f t="shared" si="6"/>
        <v>0</v>
      </c>
      <c r="U39" s="31">
        <f t="shared" si="7"/>
        <v>0</v>
      </c>
      <c r="V39" s="31">
        <f t="shared" si="8"/>
        <v>0</v>
      </c>
      <c r="W39" s="31">
        <f t="shared" si="9"/>
        <v>0</v>
      </c>
      <c r="X39" s="31">
        <f t="shared" si="9"/>
        <v>0</v>
      </c>
      <c r="Y39" s="31">
        <f t="shared" si="10"/>
        <v>0</v>
      </c>
      <c r="Z39" s="30">
        <f t="shared" si="11"/>
        <v>0</v>
      </c>
      <c r="AA39" s="30">
        <f t="shared" si="12"/>
        <v>0</v>
      </c>
      <c r="AB39" s="30">
        <f t="shared" si="13"/>
        <v>0</v>
      </c>
      <c r="AC39" s="30">
        <f t="shared" si="13"/>
        <v>0</v>
      </c>
      <c r="AD39" s="30">
        <f t="shared" si="14"/>
        <v>0</v>
      </c>
      <c r="AE39" s="29"/>
      <c r="AF39" s="29"/>
      <c r="AG39" s="29"/>
      <c r="AH39" s="29"/>
      <c r="AI39" s="29"/>
    </row>
    <row r="40" spans="1:35" ht="14.25" thickBot="1" x14ac:dyDescent="0.2">
      <c r="A40" s="41">
        <v>4</v>
      </c>
      <c r="B40" s="40" t="s">
        <v>300</v>
      </c>
      <c r="C40" s="39" t="s">
        <v>299</v>
      </c>
      <c r="D40" s="38" t="s">
        <v>31</v>
      </c>
      <c r="E40" s="77">
        <f>+IF($A40="",IF($C40="",SUMIFS([1]全伝票!I:I,[1]全伝票!$B:$B,$B40),SUMIFS([1]全伝票!I:I,[1]全伝票!$C:$C,$C40)),IF($C40="",SUMIFS([1]全伝票!I:I,[1]全伝票!$A:$A,$A40,[1]全伝票!$B:$B,$B40),SUMIFS([1]全伝票!I:I,[1]全伝票!$A:$A,$A40,[1]全伝票!$C:$C,$C40)))</f>
        <v>5780</v>
      </c>
      <c r="F40" s="80">
        <f>+IF($A40="",IF($C40="",SUMIFS([1]全伝票!J:J,[1]全伝票!$B:$B,$B40),SUMIFS([1]全伝票!J:J,[1]全伝票!$C:$C,$C40)),IF($C40="",SUMIFS([1]全伝票!J:J,[1]全伝票!$A:$A,$A40,[1]全伝票!$B:$B,$B40),SUMIFS([1]全伝票!J:J,[1]全伝票!$A:$A,$A40,[1]全伝票!$C:$C,$C40)))</f>
        <v>0</v>
      </c>
      <c r="G40" s="79">
        <f>+IF($A40="",IF($C40="",SUMIFS([1]全伝票!K:K,[1]全伝票!$B:$B,$B40),SUMIFS([1]全伝票!K:K,[1]全伝票!$C:$C,$C40)),IF($C40="",SUMIFS([1]全伝票!K:K,[1]全伝票!$A:$A,$A40,[1]全伝票!$B:$B,$B40),SUMIFS([1]全伝票!K:K,[1]全伝票!$A:$A,$A40,[1]全伝票!$C:$C,$C40)))</f>
        <v>0</v>
      </c>
      <c r="H40" s="79">
        <f>+IF($A40="",IF($C40="",SUMIFS([1]全伝票!L:L,[1]全伝票!$B:$B,$B40),SUMIFS([1]全伝票!L:L,[1]全伝票!$C:$C,$C40)),IF($C40="",SUMIFS([1]全伝票!L:L,[1]全伝票!$A:$A,$A40,[1]全伝票!$B:$B,$B40),SUMIFS([1]全伝票!L:L,[1]全伝票!$A:$A,$A40,[1]全伝票!$C:$C,$C40)))</f>
        <v>0</v>
      </c>
      <c r="I40" s="79">
        <f>+IF($A40="",IF($C40="",SUMIFS([1]全伝票!M:M,[1]全伝票!$B:$B,$B40),SUMIFS([1]全伝票!M:M,[1]全伝票!$C:$C,$C40)),IF($C40="",SUMIFS([1]全伝票!M:M,[1]全伝票!$A:$A,$A40,[1]全伝票!$B:$B,$B40),SUMIFS([1]全伝票!M:M,[1]全伝票!$A:$A,$A40,[1]全伝票!$C:$C,$C40)))</f>
        <v>0</v>
      </c>
      <c r="J40" s="78">
        <f>+IF($A40="",IF($C40="",SUMIFS([1]全伝票!N:N,[1]全伝票!$B:$B,$B40),SUMIFS([1]全伝票!N:N,[1]全伝票!$C:$C,$C40)),IF($C40="",SUMIFS([1]全伝票!N:N,[1]全伝票!$A:$A,$A40,[1]全伝票!$B:$B,$B40),SUMIFS([1]全伝票!N:N,[1]全伝票!$A:$A,$A40,[1]全伝票!$C:$C,$C40)))</f>
        <v>0</v>
      </c>
      <c r="K40" s="35">
        <f t="shared" si="0"/>
        <v>0</v>
      </c>
      <c r="L40" s="77">
        <f>+IF($A40="",IF($C40="",SUMIFS([1]全伝票!O:O,[1]全伝票!$B:$B,$B40),SUMIFS([1]全伝票!O:O,[1]全伝票!$C:$C,$C40)),IF($C40="",SUMIFS([1]全伝票!O:O,[1]全伝票!$A:$A,$A40,[1]全伝票!$B:$B,$B40),SUMIFS([1]全伝票!O:O,[1]全伝票!$A:$A,$A40,[1]全伝票!$C:$C,$C40)))</f>
        <v>5780</v>
      </c>
      <c r="M40" s="77">
        <f>+IF($A40="",IF($C40="",SUMIFS([1]全伝票!P:P,[1]全伝票!$B:$B,$B40),SUMIFS([1]全伝票!P:P,[1]全伝票!$C:$C,$C40)),IF($C40="",SUMIFS([1]全伝票!P:P,[1]全伝票!$A:$A,$A40,[1]全伝票!$B:$B,$B40),SUMIFS([1]全伝票!P:P,[1]全伝票!$A:$A,$A40,[1]全伝票!$C:$C,$C40)))</f>
        <v>0</v>
      </c>
      <c r="N40" s="33">
        <f t="shared" si="1"/>
        <v>0</v>
      </c>
      <c r="O40" s="32">
        <f t="shared" si="2"/>
        <v>0</v>
      </c>
      <c r="P40" s="32">
        <f t="shared" si="3"/>
        <v>0</v>
      </c>
      <c r="Q40" s="32">
        <f t="shared" si="3"/>
        <v>0</v>
      </c>
      <c r="R40" s="36">
        <f t="shared" si="4"/>
        <v>0</v>
      </c>
      <c r="S40" s="35">
        <f t="shared" si="5"/>
        <v>0</v>
      </c>
      <c r="T40" s="34">
        <f t="shared" si="6"/>
        <v>5780</v>
      </c>
      <c r="U40" s="31">
        <f t="shared" si="7"/>
        <v>0</v>
      </c>
      <c r="V40" s="31">
        <f t="shared" si="8"/>
        <v>0</v>
      </c>
      <c r="W40" s="31">
        <f t="shared" si="9"/>
        <v>0</v>
      </c>
      <c r="X40" s="31">
        <f t="shared" si="9"/>
        <v>0</v>
      </c>
      <c r="Y40" s="31">
        <f t="shared" si="10"/>
        <v>0</v>
      </c>
      <c r="Z40" s="30">
        <f t="shared" si="11"/>
        <v>0</v>
      </c>
      <c r="AA40" s="30">
        <f t="shared" si="12"/>
        <v>0</v>
      </c>
      <c r="AB40" s="30">
        <f t="shared" si="13"/>
        <v>0</v>
      </c>
      <c r="AC40" s="30">
        <f t="shared" si="13"/>
        <v>0</v>
      </c>
      <c r="AD40" s="30">
        <f t="shared" si="14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5">SUM(E5:E40)</f>
        <v>88399847</v>
      </c>
      <c r="F41" s="24">
        <f t="shared" si="15"/>
        <v>0</v>
      </c>
      <c r="G41" s="23">
        <f t="shared" si="15"/>
        <v>0</v>
      </c>
      <c r="H41" s="23">
        <f t="shared" si="15"/>
        <v>0</v>
      </c>
      <c r="I41" s="23">
        <f t="shared" ref="I41" si="16">SUM(I5:I40)</f>
        <v>0</v>
      </c>
      <c r="J41" s="22">
        <f t="shared" si="15"/>
        <v>79397453</v>
      </c>
      <c r="K41" s="15">
        <f t="shared" si="15"/>
        <v>79397453</v>
      </c>
      <c r="L41" s="20">
        <f t="shared" si="15"/>
        <v>1354184</v>
      </c>
      <c r="M41" s="20">
        <f t="shared" si="15"/>
        <v>7648210</v>
      </c>
      <c r="N41" s="17">
        <f t="shared" si="15"/>
        <v>0</v>
      </c>
      <c r="O41" s="16">
        <f t="shared" si="15"/>
        <v>0</v>
      </c>
      <c r="P41" s="16">
        <f t="shared" si="15"/>
        <v>0</v>
      </c>
      <c r="Q41" s="16">
        <f t="shared" ref="Q41" si="17">SUM(Q5:Q40)</f>
        <v>0</v>
      </c>
      <c r="R41" s="19">
        <f t="shared" si="15"/>
        <v>7217950</v>
      </c>
      <c r="S41" s="15">
        <f t="shared" si="15"/>
        <v>7217950</v>
      </c>
      <c r="T41" s="18">
        <f t="shared" si="15"/>
        <v>81181897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8">+E41</f>
        <v>88399847</v>
      </c>
      <c r="F42" s="10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8">
        <f t="shared" si="18"/>
        <v>79397453</v>
      </c>
      <c r="K42" s="4">
        <f>SUM(F42:J42)</f>
        <v>79397453</v>
      </c>
      <c r="L42" s="5">
        <f>+L41</f>
        <v>1354184</v>
      </c>
      <c r="M42" s="5">
        <f>+M41</f>
        <v>7648210</v>
      </c>
      <c r="N42" s="121">
        <f>+'4条支出'!N19</f>
        <v>0</v>
      </c>
      <c r="O42" s="122">
        <f>+'4条支出'!O19</f>
        <v>0</v>
      </c>
      <c r="P42" s="122">
        <f>+'4条支出'!P19</f>
        <v>0</v>
      </c>
      <c r="Q42" s="122">
        <f>+'4条支出'!Q19</f>
        <v>0</v>
      </c>
      <c r="R42" s="123">
        <f>+'4条支出'!R19</f>
        <v>7217950</v>
      </c>
      <c r="S42" s="124">
        <f>+'4条支出'!S19</f>
        <v>7217950</v>
      </c>
      <c r="T42" s="125">
        <f>+'4条支出'!T19</f>
        <v>81181897</v>
      </c>
    </row>
    <row r="43" spans="1:35" x14ac:dyDescent="0.15">
      <c r="E43" s="3">
        <f t="shared" ref="E43:T43" si="19">+E42-E41</f>
        <v>0</v>
      </c>
      <c r="F43" s="3">
        <f t="shared" si="19"/>
        <v>0</v>
      </c>
      <c r="G43" s="3">
        <f t="shared" si="19"/>
        <v>0</v>
      </c>
      <c r="H43" s="3">
        <f t="shared" si="19"/>
        <v>0</v>
      </c>
      <c r="I43" s="3">
        <f t="shared" ref="I43" si="20">+I42-I41</f>
        <v>0</v>
      </c>
      <c r="J43" s="3">
        <f t="shared" si="19"/>
        <v>0</v>
      </c>
      <c r="K43" s="3">
        <f t="shared" si="19"/>
        <v>0</v>
      </c>
      <c r="L43" s="3">
        <f t="shared" si="19"/>
        <v>0</v>
      </c>
      <c r="M43" s="3">
        <f t="shared" si="19"/>
        <v>0</v>
      </c>
      <c r="N43" s="3">
        <f t="shared" si="19"/>
        <v>0</v>
      </c>
      <c r="O43" s="3">
        <f t="shared" si="19"/>
        <v>0</v>
      </c>
      <c r="P43" s="3">
        <f t="shared" si="19"/>
        <v>0</v>
      </c>
      <c r="Q43" s="3">
        <f t="shared" ref="Q43" si="21">+Q42-Q41</f>
        <v>0</v>
      </c>
      <c r="R43" s="3">
        <f t="shared" si="19"/>
        <v>0</v>
      </c>
      <c r="S43" s="3">
        <f t="shared" si="19"/>
        <v>0</v>
      </c>
      <c r="T43" s="3">
        <f t="shared" si="19"/>
        <v>0</v>
      </c>
    </row>
    <row r="45" spans="1:35" x14ac:dyDescent="0.15">
      <c r="G45" s="133"/>
      <c r="H45" s="134"/>
      <c r="I45" s="134"/>
      <c r="J45" s="134"/>
    </row>
    <row r="46" spans="1:35" x14ac:dyDescent="0.15">
      <c r="G46" s="133"/>
      <c r="H46" s="134"/>
      <c r="I46" s="134"/>
      <c r="J46" s="134"/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35" priority="4">
      <formula>ABS(Z5)=1</formula>
    </cfRule>
  </conditionalFormatting>
  <conditionalFormatting sqref="AD5:AD40">
    <cfRule type="expression" dxfId="34" priority="3">
      <formula>ABS(AD5)=1</formula>
    </cfRule>
  </conditionalFormatting>
  <conditionalFormatting sqref="Z6:AC40">
    <cfRule type="expression" dxfId="33" priority="6">
      <formula>ABS(Z6)=1</formula>
    </cfRule>
  </conditionalFormatting>
  <conditionalFormatting sqref="AE6:AE14 AE16:AE40">
    <cfRule type="notContainsBlanks" dxfId="32" priority="9" stopIfTrue="1">
      <formula>LEN(TRIM(AE6))&gt;0</formula>
    </cfRule>
  </conditionalFormatting>
  <conditionalFormatting sqref="AE6:AI40">
    <cfRule type="notContainsBlanks" dxfId="31" priority="8" stopIfTrue="1">
      <formula>LEN(TRIM(AE6))&gt;0</formula>
    </cfRule>
  </conditionalFormatting>
  <conditionalFormatting sqref="AE5:AI5">
    <cfRule type="notContainsBlanks" dxfId="30" priority="7" stopIfTrue="1">
      <formula>LEN(TRIM(AE5))&gt;0</formula>
    </cfRule>
  </conditionalFormatting>
  <conditionalFormatting sqref="AA6:AC40">
    <cfRule type="expression" dxfId="29" priority="5">
      <formula>ABS(AA6)=1</formula>
    </cfRule>
  </conditionalFormatting>
  <conditionalFormatting sqref="E43:H43 J43:T43">
    <cfRule type="cellIs" dxfId="28" priority="2" operator="notEqual">
      <formula>0</formula>
    </cfRule>
  </conditionalFormatting>
  <conditionalFormatting sqref="I43">
    <cfRule type="cellIs" dxfId="27" priority="1" operator="notEqual">
      <formula>0</formula>
    </cfRule>
  </conditionalFormatting>
  <pageMargins left="0.39370078740157483" right="0.39370078740157483" top="0.78740157480314965" bottom="0.39370078740157483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zoomScale="80" zoomScaleNormal="80" zoomScaleSheetLayoutView="40" workbookViewId="0">
      <pane xSplit="5" ySplit="4" topLeftCell="F5" activePane="bottomRight" state="frozen"/>
      <selection activeCell="E5" sqref="E5"/>
      <selection pane="topRight" activeCell="E5" sqref="E5"/>
      <selection pane="bottomLeft" activeCell="E5" sqref="E5"/>
      <selection pane="bottomRight" activeCell="G5" sqref="G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hidden="1" customWidth="1" outlineLevel="1"/>
    <col min="7" max="7" width="12.625" style="1" customWidth="1" collapsed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hidden="1" customWidth="1" outlineLevel="1"/>
    <col min="15" max="15" width="12.625" style="2" customWidth="1" collapsed="1"/>
    <col min="16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342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105"/>
      <c r="B5" s="104" t="s">
        <v>341</v>
      </c>
      <c r="C5" s="103"/>
      <c r="D5" s="102" t="s">
        <v>7</v>
      </c>
      <c r="E5" s="101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44590502042</v>
      </c>
      <c r="F5" s="127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12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12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12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129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130">
        <f>SUM(F5:J5)</f>
        <v>0</v>
      </c>
      <c r="L5" s="101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101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44590502042</v>
      </c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44590502042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30">
        <f t="shared" ref="Z5:Z40" si="10">+IF(N$43=0,0,IF(N$43&lt;0,-RANK(U5,U$5:U$40,0),RANK(U5,U$5:U$40,1)))</f>
        <v>0</v>
      </c>
      <c r="AA5" s="30">
        <f t="shared" ref="AA5:AA40" si="11">+IF(O$43=0,0,IF(O$43&lt;0,-RANK(V5,V$5:V$40,0),RANK(V5,V$5:V$40,1)))</f>
        <v>0</v>
      </c>
      <c r="AB5" s="30">
        <f t="shared" ref="AB5:AC40" si="12">+IF(P$43=0,0,IF(P$43&lt;0,-RANK(W5,W$5:W$40,0),RANK(W5,W$5:W$40,1)))</f>
        <v>0</v>
      </c>
      <c r="AC5" s="30">
        <f t="shared" si="12"/>
        <v>0</v>
      </c>
      <c r="AD5" s="30">
        <f t="shared" ref="AD5:AD40" si="13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/>
      <c r="B6" s="50">
        <v>6160102</v>
      </c>
      <c r="C6" s="49"/>
      <c r="D6" s="48" t="s">
        <v>369</v>
      </c>
      <c r="E6" s="81">
        <f>+IF($A6="",IF($C6="",SUMIFS([1]全伝票!I:I,[1]全伝票!$B:$B,$B6),SUMIFS([1]全伝票!I:I,[1]全伝票!$C:$C,$C6)),IF($C6="",SUMIFS([1]全伝票!I:I,[1]全伝票!$A:$A,$A6,[1]全伝票!$B:$B,$B6),SUMIFS([1]全伝票!I:I,[1]全伝票!$A:$A,$A6,[1]全伝票!$C:$C,$C6)))</f>
        <v>30738425</v>
      </c>
      <c r="F6" s="84">
        <f>+IF($A6="",IF($C6="",SUMIFS([1]全伝票!J:J,[1]全伝票!$B:$B,$B6),SUMIFS([1]全伝票!J:J,[1]全伝票!$C:$C,$C6)),IF($C6="",SUMIFS([1]全伝票!J:J,[1]全伝票!$A:$A,$A6,[1]全伝票!$B:$B,$B6),SUMIFS([1]全伝票!J:J,[1]全伝票!$A:$A,$A6,[1]全伝票!$C:$C,$C6)))</f>
        <v>0</v>
      </c>
      <c r="G6" s="83">
        <f>+IF($A6="",IF($C6="",SUMIFS([1]全伝票!K:K,[1]全伝票!$B:$B,$B6),SUMIFS([1]全伝票!K:K,[1]全伝票!$C:$C,$C6)),IF($C6="",SUMIFS([1]全伝票!K:K,[1]全伝票!$A:$A,$A6,[1]全伝票!$B:$B,$B6),SUMIFS([1]全伝票!K:K,[1]全伝票!$A:$A,$A6,[1]全伝票!$C:$C,$C6)))</f>
        <v>0</v>
      </c>
      <c r="H6" s="83">
        <f>+IF($A6="",IF($C6="",SUMIFS([1]全伝票!L:L,[1]全伝票!$B:$B,$B6),SUMIFS([1]全伝票!L:L,[1]全伝票!$C:$C,$C6)),IF($C6="",SUMIFS([1]全伝票!L:L,[1]全伝票!$A:$A,$A6,[1]全伝票!$B:$B,$B6),SUMIFS([1]全伝票!L:L,[1]全伝票!$A:$A,$A6,[1]全伝票!$C:$C,$C6)))</f>
        <v>0</v>
      </c>
      <c r="I6" s="83">
        <f>+IF($A6="",IF($C6="",SUMIFS([1]全伝票!M:M,[1]全伝票!$B:$B,$B6),SUMIFS([1]全伝票!M:M,[1]全伝票!$C:$C,$C6)),IF($C6="",SUMIFS([1]全伝票!M:M,[1]全伝票!$A:$A,$A6,[1]全伝票!$B:$B,$B6),SUMIFS([1]全伝票!M:M,[1]全伝票!$A:$A,$A6,[1]全伝票!$C:$C,$C6)))</f>
        <v>0</v>
      </c>
      <c r="J6" s="82">
        <f>+IF($A6="",IF($C6="",SUMIFS([1]全伝票!N:N,[1]全伝票!$B:$B,$B6),SUMIFS([1]全伝票!N:N,[1]全伝票!$C:$C,$C6)),IF($C6="",SUMIFS([1]全伝票!N:N,[1]全伝票!$A:$A,$A6,[1]全伝票!$B:$B,$B6),SUMIFS([1]全伝票!N:N,[1]全伝票!$A:$A,$A6,[1]全伝票!$C:$C,$C6)))</f>
        <v>0</v>
      </c>
      <c r="K6" s="45">
        <f>SUM(F6:J6)</f>
        <v>0</v>
      </c>
      <c r="L6" s="81">
        <f>+IF($A6="",IF($C6="",SUMIFS([1]全伝票!O:O,[1]全伝票!$B:$B,$B6),SUMIFS([1]全伝票!O:O,[1]全伝票!$C:$C,$C6)),IF($C6="",SUMIFS([1]全伝票!O:O,[1]全伝票!$A:$A,$A6,[1]全伝票!$B:$B,$B6),SUMIFS([1]全伝票!O:O,[1]全伝票!$A:$A,$A6,[1]全伝票!$C:$C,$C6)))</f>
        <v>0</v>
      </c>
      <c r="M6" s="81">
        <f>+IF($A6="",IF($C6="",SUMIFS([1]全伝票!P:P,[1]全伝票!$B:$B,$B6),SUMIFS([1]全伝票!P:P,[1]全伝票!$C:$C,$C6)),IF($C6="",SUMIFS([1]全伝票!P:P,[1]全伝票!$A:$A,$A6,[1]全伝票!$B:$B,$B6),SUMIFS([1]全伝票!P:P,[1]全伝票!$A:$A,$A6,[1]全伝票!$C:$C,$C6)))</f>
        <v>30738425</v>
      </c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30738425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30">
        <f t="shared" si="10"/>
        <v>0</v>
      </c>
      <c r="AA6" s="30">
        <f t="shared" si="11"/>
        <v>0</v>
      </c>
      <c r="AB6" s="30">
        <f t="shared" si="12"/>
        <v>0</v>
      </c>
      <c r="AC6" s="30">
        <f t="shared" si="12"/>
        <v>0</v>
      </c>
      <c r="AD6" s="30">
        <f t="shared" si="13"/>
        <v>0</v>
      </c>
      <c r="AE6" s="29"/>
      <c r="AF6" s="29"/>
      <c r="AG6" s="29"/>
      <c r="AH6" s="29"/>
      <c r="AI6" s="29"/>
    </row>
    <row r="7" spans="1:35" x14ac:dyDescent="0.15">
      <c r="A7" s="51"/>
      <c r="B7" s="50" t="s">
        <v>340</v>
      </c>
      <c r="C7" s="49"/>
      <c r="D7" s="48" t="s">
        <v>339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0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0</v>
      </c>
      <c r="K7" s="45">
        <f>SUM(F7:J7)</f>
        <v>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0</v>
      </c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30">
        <f t="shared" si="10"/>
        <v>0</v>
      </c>
      <c r="AA7" s="30">
        <f t="shared" si="11"/>
        <v>0</v>
      </c>
      <c r="AB7" s="30">
        <f t="shared" si="12"/>
        <v>0</v>
      </c>
      <c r="AC7" s="30">
        <f t="shared" si="12"/>
        <v>0</v>
      </c>
      <c r="AD7" s="30">
        <f t="shared" si="13"/>
        <v>0</v>
      </c>
      <c r="AE7" s="29"/>
      <c r="AF7" s="29"/>
      <c r="AG7" s="29"/>
      <c r="AH7" s="29"/>
      <c r="AI7" s="29"/>
    </row>
    <row r="8" spans="1:35" x14ac:dyDescent="0.15">
      <c r="A8" s="51"/>
      <c r="B8" s="50"/>
      <c r="C8" s="49"/>
      <c r="D8" s="48"/>
      <c r="E8" s="47"/>
      <c r="F8" s="43"/>
      <c r="G8" s="42"/>
      <c r="H8" s="42"/>
      <c r="I8" s="42"/>
      <c r="J8" s="46"/>
      <c r="K8" s="45"/>
      <c r="L8" s="47"/>
      <c r="M8" s="47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30">
        <f t="shared" si="10"/>
        <v>0</v>
      </c>
      <c r="AA8" s="30">
        <f t="shared" si="11"/>
        <v>0</v>
      </c>
      <c r="AB8" s="30">
        <f t="shared" si="12"/>
        <v>0</v>
      </c>
      <c r="AC8" s="30">
        <f t="shared" si="12"/>
        <v>0</v>
      </c>
      <c r="AD8" s="30">
        <f t="shared" si="13"/>
        <v>0</v>
      </c>
      <c r="AE8" s="29"/>
      <c r="AF8" s="29"/>
      <c r="AG8" s="29"/>
      <c r="AH8" s="29"/>
      <c r="AI8" s="29"/>
    </row>
    <row r="9" spans="1:35" x14ac:dyDescent="0.15">
      <c r="A9" s="51"/>
      <c r="B9" s="50"/>
      <c r="C9" s="49"/>
      <c r="D9" s="48"/>
      <c r="E9" s="47"/>
      <c r="F9" s="43"/>
      <c r="G9" s="42"/>
      <c r="H9" s="42"/>
      <c r="I9" s="42"/>
      <c r="J9" s="46"/>
      <c r="K9" s="45"/>
      <c r="L9" s="47"/>
      <c r="M9" s="47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30">
        <f t="shared" si="10"/>
        <v>0</v>
      </c>
      <c r="AA9" s="30">
        <f t="shared" si="11"/>
        <v>0</v>
      </c>
      <c r="AB9" s="30">
        <f t="shared" si="12"/>
        <v>0</v>
      </c>
      <c r="AC9" s="30">
        <f t="shared" si="12"/>
        <v>0</v>
      </c>
      <c r="AD9" s="30">
        <f t="shared" si="13"/>
        <v>0</v>
      </c>
      <c r="AE9" s="29"/>
      <c r="AF9" s="29"/>
      <c r="AG9" s="29"/>
      <c r="AH9" s="29"/>
      <c r="AI9" s="29"/>
    </row>
    <row r="10" spans="1:35" x14ac:dyDescent="0.15">
      <c r="A10" s="51"/>
      <c r="B10" s="50"/>
      <c r="C10" s="49"/>
      <c r="D10" s="48"/>
      <c r="E10" s="47"/>
      <c r="F10" s="43"/>
      <c r="G10" s="42"/>
      <c r="H10" s="42"/>
      <c r="I10" s="42"/>
      <c r="J10" s="46"/>
      <c r="K10" s="45"/>
      <c r="L10" s="47"/>
      <c r="M10" s="47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30">
        <f t="shared" si="10"/>
        <v>0</v>
      </c>
      <c r="AA10" s="30">
        <f t="shared" si="11"/>
        <v>0</v>
      </c>
      <c r="AB10" s="30">
        <f t="shared" si="12"/>
        <v>0</v>
      </c>
      <c r="AC10" s="30">
        <f t="shared" si="12"/>
        <v>0</v>
      </c>
      <c r="AD10" s="30">
        <f t="shared" si="13"/>
        <v>0</v>
      </c>
      <c r="AE10" s="29"/>
      <c r="AF10" s="29"/>
      <c r="AG10" s="29"/>
      <c r="AH10" s="29"/>
      <c r="AI10" s="29"/>
    </row>
    <row r="11" spans="1:35" x14ac:dyDescent="0.15">
      <c r="A11" s="51"/>
      <c r="B11" s="50"/>
      <c r="C11" s="49"/>
      <c r="D11" s="48"/>
      <c r="E11" s="47"/>
      <c r="F11" s="43"/>
      <c r="G11" s="42"/>
      <c r="H11" s="42"/>
      <c r="I11" s="42"/>
      <c r="J11" s="46"/>
      <c r="K11" s="45"/>
      <c r="L11" s="47"/>
      <c r="M11" s="47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30">
        <f t="shared" si="10"/>
        <v>0</v>
      </c>
      <c r="AA11" s="30">
        <f t="shared" si="11"/>
        <v>0</v>
      </c>
      <c r="AB11" s="30">
        <f t="shared" si="12"/>
        <v>0</v>
      </c>
      <c r="AC11" s="30">
        <f t="shared" si="12"/>
        <v>0</v>
      </c>
      <c r="AD11" s="30">
        <f t="shared" si="13"/>
        <v>0</v>
      </c>
      <c r="AE11" s="29"/>
      <c r="AF11" s="29"/>
      <c r="AG11" s="29"/>
      <c r="AH11" s="29"/>
      <c r="AI11" s="29"/>
    </row>
    <row r="12" spans="1:35" x14ac:dyDescent="0.15">
      <c r="A12" s="51"/>
      <c r="B12" s="50"/>
      <c r="C12" s="49"/>
      <c r="D12" s="48"/>
      <c r="E12" s="47"/>
      <c r="F12" s="43"/>
      <c r="G12" s="42"/>
      <c r="H12" s="42"/>
      <c r="I12" s="42"/>
      <c r="J12" s="46"/>
      <c r="K12" s="45"/>
      <c r="L12" s="47"/>
      <c r="M12" s="47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30">
        <f t="shared" si="10"/>
        <v>0</v>
      </c>
      <c r="AA12" s="30">
        <f t="shared" si="11"/>
        <v>0</v>
      </c>
      <c r="AB12" s="30">
        <f t="shared" si="12"/>
        <v>0</v>
      </c>
      <c r="AC12" s="30">
        <f t="shared" si="12"/>
        <v>0</v>
      </c>
      <c r="AD12" s="30">
        <f t="shared" si="13"/>
        <v>0</v>
      </c>
      <c r="AE12" s="29"/>
      <c r="AF12" s="29"/>
      <c r="AG12" s="29"/>
      <c r="AH12" s="29"/>
      <c r="AI12" s="29"/>
    </row>
    <row r="13" spans="1:35" x14ac:dyDescent="0.15">
      <c r="A13" s="51"/>
      <c r="B13" s="50"/>
      <c r="C13" s="49"/>
      <c r="D13" s="48"/>
      <c r="E13" s="47"/>
      <c r="F13" s="43"/>
      <c r="G13" s="42"/>
      <c r="H13" s="42"/>
      <c r="I13" s="42"/>
      <c r="J13" s="46"/>
      <c r="K13" s="45"/>
      <c r="L13" s="47"/>
      <c r="M13" s="47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30">
        <f t="shared" si="10"/>
        <v>0</v>
      </c>
      <c r="AA13" s="30">
        <f t="shared" si="11"/>
        <v>0</v>
      </c>
      <c r="AB13" s="30">
        <f t="shared" si="12"/>
        <v>0</v>
      </c>
      <c r="AC13" s="30">
        <f t="shared" si="12"/>
        <v>0</v>
      </c>
      <c r="AD13" s="30">
        <f t="shared" si="13"/>
        <v>0</v>
      </c>
      <c r="AE13" s="29"/>
      <c r="AF13" s="29"/>
      <c r="AG13" s="29"/>
      <c r="AH13" s="29"/>
      <c r="AI13" s="29"/>
    </row>
    <row r="14" spans="1:35" x14ac:dyDescent="0.15">
      <c r="A14" s="51"/>
      <c r="B14" s="50"/>
      <c r="C14" s="49"/>
      <c r="D14" s="48"/>
      <c r="E14" s="47"/>
      <c r="F14" s="43"/>
      <c r="G14" s="42"/>
      <c r="H14" s="42"/>
      <c r="I14" s="42"/>
      <c r="J14" s="46"/>
      <c r="K14" s="45"/>
      <c r="L14" s="47"/>
      <c r="M14" s="47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30">
        <f t="shared" si="10"/>
        <v>0</v>
      </c>
      <c r="AA14" s="30">
        <f t="shared" si="11"/>
        <v>0</v>
      </c>
      <c r="AB14" s="30">
        <f t="shared" si="12"/>
        <v>0</v>
      </c>
      <c r="AC14" s="30">
        <f t="shared" si="12"/>
        <v>0</v>
      </c>
      <c r="AD14" s="30">
        <f t="shared" si="13"/>
        <v>0</v>
      </c>
      <c r="AE14" s="29"/>
      <c r="AF14" s="29"/>
      <c r="AG14" s="29"/>
      <c r="AH14" s="29"/>
      <c r="AI14" s="29"/>
    </row>
    <row r="15" spans="1:35" x14ac:dyDescent="0.15">
      <c r="A15" s="51"/>
      <c r="B15" s="50"/>
      <c r="C15" s="49"/>
      <c r="D15" s="48"/>
      <c r="E15" s="47"/>
      <c r="F15" s="43"/>
      <c r="G15" s="42"/>
      <c r="H15" s="42"/>
      <c r="I15" s="42"/>
      <c r="J15" s="46"/>
      <c r="K15" s="45"/>
      <c r="L15" s="47"/>
      <c r="M15" s="47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30">
        <f t="shared" si="10"/>
        <v>0</v>
      </c>
      <c r="AA15" s="30">
        <f t="shared" si="11"/>
        <v>0</v>
      </c>
      <c r="AB15" s="30">
        <f t="shared" si="12"/>
        <v>0</v>
      </c>
      <c r="AC15" s="30">
        <f t="shared" si="12"/>
        <v>0</v>
      </c>
      <c r="AD15" s="30">
        <f t="shared" si="13"/>
        <v>0</v>
      </c>
      <c r="AE15" s="29"/>
      <c r="AF15" s="29"/>
      <c r="AG15" s="29"/>
      <c r="AH15" s="29"/>
      <c r="AI15" s="29"/>
    </row>
    <row r="16" spans="1:35" x14ac:dyDescent="0.15">
      <c r="A16" s="51"/>
      <c r="B16" s="50"/>
      <c r="C16" s="49"/>
      <c r="D16" s="48"/>
      <c r="E16" s="47"/>
      <c r="F16" s="43"/>
      <c r="G16" s="42"/>
      <c r="H16" s="42"/>
      <c r="I16" s="42"/>
      <c r="J16" s="46"/>
      <c r="K16" s="45"/>
      <c r="L16" s="47"/>
      <c r="M16" s="47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30">
        <f t="shared" si="10"/>
        <v>0</v>
      </c>
      <c r="AA16" s="30">
        <f t="shared" si="11"/>
        <v>0</v>
      </c>
      <c r="AB16" s="30">
        <f t="shared" si="12"/>
        <v>0</v>
      </c>
      <c r="AC16" s="30">
        <f t="shared" si="12"/>
        <v>0</v>
      </c>
      <c r="AD16" s="30">
        <f t="shared" si="13"/>
        <v>0</v>
      </c>
      <c r="AE16" s="29"/>
      <c r="AF16" s="29"/>
      <c r="AG16" s="29"/>
      <c r="AH16" s="29"/>
      <c r="AI16" s="29"/>
    </row>
    <row r="17" spans="1:35" x14ac:dyDescent="0.15">
      <c r="A17" s="51"/>
      <c r="B17" s="50"/>
      <c r="C17" s="49"/>
      <c r="D17" s="48"/>
      <c r="E17" s="47"/>
      <c r="F17" s="43"/>
      <c r="G17" s="42"/>
      <c r="H17" s="42"/>
      <c r="I17" s="42"/>
      <c r="J17" s="46"/>
      <c r="K17" s="45"/>
      <c r="L17" s="47"/>
      <c r="M17" s="47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30">
        <f t="shared" si="10"/>
        <v>0</v>
      </c>
      <c r="AA17" s="30">
        <f t="shared" si="11"/>
        <v>0</v>
      </c>
      <c r="AB17" s="30">
        <f t="shared" si="12"/>
        <v>0</v>
      </c>
      <c r="AC17" s="30">
        <f t="shared" si="12"/>
        <v>0</v>
      </c>
      <c r="AD17" s="30">
        <f t="shared" si="13"/>
        <v>0</v>
      </c>
      <c r="AE17" s="29"/>
      <c r="AF17" s="29"/>
      <c r="AG17" s="29"/>
      <c r="AH17" s="29"/>
      <c r="AI17" s="29"/>
    </row>
    <row r="18" spans="1:35" x14ac:dyDescent="0.15">
      <c r="A18" s="51"/>
      <c r="B18" s="50"/>
      <c r="C18" s="49"/>
      <c r="D18" s="48"/>
      <c r="E18" s="47"/>
      <c r="F18" s="43"/>
      <c r="G18" s="42"/>
      <c r="H18" s="42"/>
      <c r="I18" s="42"/>
      <c r="J18" s="46"/>
      <c r="K18" s="45"/>
      <c r="L18" s="47"/>
      <c r="M18" s="47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30">
        <f t="shared" si="10"/>
        <v>0</v>
      </c>
      <c r="AA18" s="30">
        <f t="shared" si="11"/>
        <v>0</v>
      </c>
      <c r="AB18" s="30">
        <f t="shared" si="12"/>
        <v>0</v>
      </c>
      <c r="AC18" s="30">
        <f t="shared" si="12"/>
        <v>0</v>
      </c>
      <c r="AD18" s="30">
        <f t="shared" si="13"/>
        <v>0</v>
      </c>
      <c r="AE18" s="29"/>
      <c r="AF18" s="29"/>
      <c r="AG18" s="29"/>
      <c r="AH18" s="29"/>
      <c r="AI18" s="29"/>
    </row>
    <row r="19" spans="1:35" x14ac:dyDescent="0.15">
      <c r="A19" s="51"/>
      <c r="B19" s="50"/>
      <c r="C19" s="49"/>
      <c r="D19" s="48"/>
      <c r="E19" s="47"/>
      <c r="F19" s="43"/>
      <c r="G19" s="42"/>
      <c r="H19" s="42"/>
      <c r="I19" s="42"/>
      <c r="J19" s="46"/>
      <c r="K19" s="45"/>
      <c r="L19" s="47"/>
      <c r="M19" s="47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30">
        <f t="shared" si="10"/>
        <v>0</v>
      </c>
      <c r="AA19" s="30">
        <f t="shared" si="11"/>
        <v>0</v>
      </c>
      <c r="AB19" s="30">
        <f t="shared" si="12"/>
        <v>0</v>
      </c>
      <c r="AC19" s="30">
        <f t="shared" si="12"/>
        <v>0</v>
      </c>
      <c r="AD19" s="30">
        <f t="shared" si="13"/>
        <v>0</v>
      </c>
      <c r="AE19" s="29"/>
      <c r="AF19" s="29"/>
      <c r="AG19" s="29"/>
      <c r="AH19" s="29"/>
      <c r="AI19" s="29"/>
    </row>
    <row r="20" spans="1:35" x14ac:dyDescent="0.15">
      <c r="A20" s="51"/>
      <c r="B20" s="50"/>
      <c r="C20" s="49"/>
      <c r="D20" s="48"/>
      <c r="E20" s="47"/>
      <c r="F20" s="43"/>
      <c r="G20" s="42"/>
      <c r="H20" s="42"/>
      <c r="I20" s="42"/>
      <c r="J20" s="46"/>
      <c r="K20" s="45"/>
      <c r="L20" s="47"/>
      <c r="M20" s="47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30">
        <f t="shared" si="10"/>
        <v>0</v>
      </c>
      <c r="AA20" s="30">
        <f t="shared" si="11"/>
        <v>0</v>
      </c>
      <c r="AB20" s="30">
        <f t="shared" si="12"/>
        <v>0</v>
      </c>
      <c r="AC20" s="30">
        <f t="shared" si="12"/>
        <v>0</v>
      </c>
      <c r="AD20" s="30">
        <f t="shared" si="13"/>
        <v>0</v>
      </c>
      <c r="AE20" s="29"/>
      <c r="AF20" s="29"/>
      <c r="AG20" s="29"/>
      <c r="AH20" s="29"/>
      <c r="AI20" s="29"/>
    </row>
    <row r="21" spans="1:35" x14ac:dyDescent="0.15">
      <c r="A21" s="51"/>
      <c r="B21" s="50"/>
      <c r="C21" s="49"/>
      <c r="D21" s="48"/>
      <c r="E21" s="47"/>
      <c r="F21" s="43"/>
      <c r="G21" s="42"/>
      <c r="H21" s="42"/>
      <c r="I21" s="42"/>
      <c r="J21" s="46"/>
      <c r="K21" s="45"/>
      <c r="L21" s="47"/>
      <c r="M21" s="47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30">
        <f t="shared" si="10"/>
        <v>0</v>
      </c>
      <c r="AA21" s="30">
        <f t="shared" si="11"/>
        <v>0</v>
      </c>
      <c r="AB21" s="30">
        <f t="shared" si="12"/>
        <v>0</v>
      </c>
      <c r="AC21" s="30">
        <f t="shared" si="12"/>
        <v>0</v>
      </c>
      <c r="AD21" s="30">
        <f t="shared" si="13"/>
        <v>0</v>
      </c>
      <c r="AE21" s="29"/>
      <c r="AF21" s="29"/>
      <c r="AG21" s="29"/>
      <c r="AH21" s="29"/>
      <c r="AI21" s="29"/>
    </row>
    <row r="22" spans="1:35" x14ac:dyDescent="0.15">
      <c r="A22" s="51"/>
      <c r="B22" s="50"/>
      <c r="C22" s="49"/>
      <c r="D22" s="48"/>
      <c r="E22" s="47"/>
      <c r="F22" s="43"/>
      <c r="G22" s="42"/>
      <c r="H22" s="42"/>
      <c r="I22" s="42"/>
      <c r="J22" s="46"/>
      <c r="K22" s="45"/>
      <c r="L22" s="47"/>
      <c r="M22" s="47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30">
        <f t="shared" si="10"/>
        <v>0</v>
      </c>
      <c r="AA22" s="30">
        <f t="shared" si="11"/>
        <v>0</v>
      </c>
      <c r="AB22" s="30">
        <f t="shared" si="12"/>
        <v>0</v>
      </c>
      <c r="AC22" s="30">
        <f t="shared" si="12"/>
        <v>0</v>
      </c>
      <c r="AD22" s="30">
        <f t="shared" si="13"/>
        <v>0</v>
      </c>
      <c r="AE22" s="29"/>
      <c r="AF22" s="29"/>
      <c r="AG22" s="29"/>
      <c r="AH22" s="29"/>
      <c r="AI22" s="29"/>
    </row>
    <row r="23" spans="1:35" x14ac:dyDescent="0.15">
      <c r="A23" s="51"/>
      <c r="B23" s="50"/>
      <c r="C23" s="49"/>
      <c r="D23" s="48"/>
      <c r="E23" s="47"/>
      <c r="F23" s="43"/>
      <c r="G23" s="42"/>
      <c r="H23" s="42"/>
      <c r="I23" s="42"/>
      <c r="J23" s="46"/>
      <c r="K23" s="45"/>
      <c r="L23" s="47"/>
      <c r="M23" s="47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30">
        <f t="shared" si="10"/>
        <v>0</v>
      </c>
      <c r="AA23" s="30">
        <f t="shared" si="11"/>
        <v>0</v>
      </c>
      <c r="AB23" s="30">
        <f t="shared" si="12"/>
        <v>0</v>
      </c>
      <c r="AC23" s="30">
        <f t="shared" si="12"/>
        <v>0</v>
      </c>
      <c r="AD23" s="30">
        <f t="shared" si="13"/>
        <v>0</v>
      </c>
      <c r="AE23" s="29"/>
      <c r="AF23" s="29"/>
      <c r="AG23" s="29"/>
      <c r="AH23" s="29"/>
      <c r="AI23" s="29"/>
    </row>
    <row r="24" spans="1:35" x14ac:dyDescent="0.15">
      <c r="A24" s="51"/>
      <c r="B24" s="50"/>
      <c r="C24" s="49"/>
      <c r="D24" s="48"/>
      <c r="E24" s="47"/>
      <c r="F24" s="43"/>
      <c r="G24" s="42"/>
      <c r="H24" s="42"/>
      <c r="I24" s="42"/>
      <c r="J24" s="46"/>
      <c r="K24" s="45"/>
      <c r="L24" s="47"/>
      <c r="M24" s="47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30">
        <f t="shared" si="10"/>
        <v>0</v>
      </c>
      <c r="AA24" s="30">
        <f t="shared" si="11"/>
        <v>0</v>
      </c>
      <c r="AB24" s="30">
        <f t="shared" si="12"/>
        <v>0</v>
      </c>
      <c r="AC24" s="30">
        <f t="shared" si="12"/>
        <v>0</v>
      </c>
      <c r="AD24" s="30">
        <f t="shared" si="13"/>
        <v>0</v>
      </c>
      <c r="AE24" s="29"/>
      <c r="AF24" s="29"/>
      <c r="AG24" s="29"/>
      <c r="AH24" s="29"/>
      <c r="AI24" s="29"/>
    </row>
    <row r="25" spans="1:35" x14ac:dyDescent="0.15">
      <c r="A25" s="51"/>
      <c r="B25" s="50"/>
      <c r="C25" s="49"/>
      <c r="D25" s="48"/>
      <c r="E25" s="47"/>
      <c r="F25" s="43"/>
      <c r="G25" s="42"/>
      <c r="H25" s="42"/>
      <c r="I25" s="42"/>
      <c r="J25" s="46"/>
      <c r="K25" s="45"/>
      <c r="L25" s="47"/>
      <c r="M25" s="47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30">
        <f t="shared" si="10"/>
        <v>0</v>
      </c>
      <c r="AA25" s="30">
        <f t="shared" si="11"/>
        <v>0</v>
      </c>
      <c r="AB25" s="30">
        <f t="shared" si="12"/>
        <v>0</v>
      </c>
      <c r="AC25" s="30">
        <f t="shared" si="12"/>
        <v>0</v>
      </c>
      <c r="AD25" s="30">
        <f t="shared" si="13"/>
        <v>0</v>
      </c>
      <c r="AE25" s="29"/>
      <c r="AF25" s="29"/>
      <c r="AG25" s="29"/>
      <c r="AH25" s="29"/>
      <c r="AI25" s="29"/>
    </row>
    <row r="26" spans="1:35" x14ac:dyDescent="0.15">
      <c r="A26" s="51"/>
      <c r="B26" s="50"/>
      <c r="C26" s="49"/>
      <c r="D26" s="48"/>
      <c r="E26" s="47"/>
      <c r="F26" s="43"/>
      <c r="G26" s="42"/>
      <c r="H26" s="42"/>
      <c r="I26" s="42"/>
      <c r="J26" s="46"/>
      <c r="K26" s="45"/>
      <c r="L26" s="47"/>
      <c r="M26" s="47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30">
        <f t="shared" si="10"/>
        <v>0</v>
      </c>
      <c r="AA26" s="30">
        <f t="shared" si="11"/>
        <v>0</v>
      </c>
      <c r="AB26" s="30">
        <f t="shared" si="12"/>
        <v>0</v>
      </c>
      <c r="AC26" s="30">
        <f t="shared" si="12"/>
        <v>0</v>
      </c>
      <c r="AD26" s="30">
        <f t="shared" si="13"/>
        <v>0</v>
      </c>
      <c r="AE26" s="29"/>
      <c r="AF26" s="29"/>
      <c r="AG26" s="29"/>
      <c r="AH26" s="29"/>
      <c r="AI26" s="29"/>
    </row>
    <row r="27" spans="1:35" x14ac:dyDescent="0.15">
      <c r="A27" s="51"/>
      <c r="B27" s="50"/>
      <c r="C27" s="49"/>
      <c r="D27" s="48"/>
      <c r="E27" s="47"/>
      <c r="F27" s="43"/>
      <c r="G27" s="42"/>
      <c r="H27" s="42"/>
      <c r="I27" s="42"/>
      <c r="J27" s="46"/>
      <c r="K27" s="45"/>
      <c r="L27" s="47"/>
      <c r="M27" s="47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30">
        <f t="shared" si="10"/>
        <v>0</v>
      </c>
      <c r="AA27" s="30">
        <f t="shared" si="11"/>
        <v>0</v>
      </c>
      <c r="AB27" s="30">
        <f t="shared" si="12"/>
        <v>0</v>
      </c>
      <c r="AC27" s="30">
        <f t="shared" si="12"/>
        <v>0</v>
      </c>
      <c r="AD27" s="30">
        <f t="shared" si="13"/>
        <v>0</v>
      </c>
      <c r="AE27" s="29"/>
      <c r="AF27" s="29"/>
      <c r="AG27" s="29"/>
      <c r="AH27" s="29"/>
      <c r="AI27" s="29"/>
    </row>
    <row r="28" spans="1:35" x14ac:dyDescent="0.15">
      <c r="A28" s="51"/>
      <c r="B28" s="50"/>
      <c r="C28" s="49"/>
      <c r="D28" s="48"/>
      <c r="E28" s="47"/>
      <c r="F28" s="43"/>
      <c r="G28" s="42"/>
      <c r="H28" s="42"/>
      <c r="I28" s="42"/>
      <c r="J28" s="46"/>
      <c r="K28" s="45"/>
      <c r="L28" s="47"/>
      <c r="M28" s="47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30">
        <f t="shared" si="10"/>
        <v>0</v>
      </c>
      <c r="AA28" s="30">
        <f t="shared" si="11"/>
        <v>0</v>
      </c>
      <c r="AB28" s="30">
        <f t="shared" si="12"/>
        <v>0</v>
      </c>
      <c r="AC28" s="30">
        <f t="shared" si="12"/>
        <v>0</v>
      </c>
      <c r="AD28" s="30">
        <f t="shared" si="13"/>
        <v>0</v>
      </c>
      <c r="AE28" s="29"/>
      <c r="AF28" s="29"/>
      <c r="AG28" s="29"/>
      <c r="AH28" s="29"/>
      <c r="AI28" s="29"/>
    </row>
    <row r="29" spans="1:35" x14ac:dyDescent="0.15">
      <c r="A29" s="51"/>
      <c r="B29" s="50"/>
      <c r="C29" s="49"/>
      <c r="D29" s="48"/>
      <c r="E29" s="47"/>
      <c r="F29" s="43"/>
      <c r="G29" s="42"/>
      <c r="H29" s="42"/>
      <c r="I29" s="42"/>
      <c r="J29" s="46"/>
      <c r="K29" s="45"/>
      <c r="L29" s="47"/>
      <c r="M29" s="47"/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30">
        <f t="shared" si="10"/>
        <v>0</v>
      </c>
      <c r="AA29" s="30">
        <f t="shared" si="11"/>
        <v>0</v>
      </c>
      <c r="AB29" s="30">
        <f t="shared" si="12"/>
        <v>0</v>
      </c>
      <c r="AC29" s="30">
        <f t="shared" si="12"/>
        <v>0</v>
      </c>
      <c r="AD29" s="30">
        <f t="shared" si="13"/>
        <v>0</v>
      </c>
      <c r="AE29" s="29"/>
      <c r="AF29" s="29"/>
      <c r="AG29" s="29"/>
      <c r="AH29" s="29"/>
      <c r="AI29" s="29"/>
    </row>
    <row r="30" spans="1:35" x14ac:dyDescent="0.15">
      <c r="A30" s="51"/>
      <c r="B30" s="50"/>
      <c r="C30" s="49"/>
      <c r="D30" s="48"/>
      <c r="E30" s="47"/>
      <c r="F30" s="43"/>
      <c r="G30" s="42"/>
      <c r="H30" s="42"/>
      <c r="I30" s="42"/>
      <c r="J30" s="46"/>
      <c r="K30" s="45"/>
      <c r="L30" s="47"/>
      <c r="M30" s="47"/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30">
        <f t="shared" si="10"/>
        <v>0</v>
      </c>
      <c r="AA30" s="30">
        <f t="shared" si="11"/>
        <v>0</v>
      </c>
      <c r="AB30" s="30">
        <f t="shared" si="12"/>
        <v>0</v>
      </c>
      <c r="AC30" s="30">
        <f t="shared" si="12"/>
        <v>0</v>
      </c>
      <c r="AD30" s="30">
        <f t="shared" si="13"/>
        <v>0</v>
      </c>
      <c r="AE30" s="29"/>
      <c r="AF30" s="29"/>
      <c r="AG30" s="29"/>
      <c r="AH30" s="29"/>
      <c r="AI30" s="29"/>
    </row>
    <row r="31" spans="1:35" x14ac:dyDescent="0.15">
      <c r="A31" s="51"/>
      <c r="B31" s="50"/>
      <c r="C31" s="49"/>
      <c r="D31" s="48"/>
      <c r="E31" s="47"/>
      <c r="F31" s="43"/>
      <c r="G31" s="42"/>
      <c r="H31" s="42"/>
      <c r="I31" s="42"/>
      <c r="J31" s="46"/>
      <c r="K31" s="45"/>
      <c r="L31" s="47"/>
      <c r="M31" s="47"/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30">
        <f t="shared" si="10"/>
        <v>0</v>
      </c>
      <c r="AA31" s="30">
        <f t="shared" si="11"/>
        <v>0</v>
      </c>
      <c r="AB31" s="30">
        <f t="shared" si="12"/>
        <v>0</v>
      </c>
      <c r="AC31" s="30">
        <f t="shared" si="12"/>
        <v>0</v>
      </c>
      <c r="AD31" s="30">
        <f t="shared" si="13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/>
      <c r="C32" s="49"/>
      <c r="D32" s="48"/>
      <c r="E32" s="47"/>
      <c r="F32" s="43"/>
      <c r="G32" s="42"/>
      <c r="H32" s="42"/>
      <c r="I32" s="42"/>
      <c r="J32" s="46"/>
      <c r="K32" s="45"/>
      <c r="L32" s="47"/>
      <c r="M32" s="47"/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30">
        <f t="shared" si="10"/>
        <v>0</v>
      </c>
      <c r="AA32" s="30">
        <f t="shared" si="11"/>
        <v>0</v>
      </c>
      <c r="AB32" s="30">
        <f t="shared" si="12"/>
        <v>0</v>
      </c>
      <c r="AC32" s="30">
        <f t="shared" si="12"/>
        <v>0</v>
      </c>
      <c r="AD32" s="30">
        <f t="shared" si="13"/>
        <v>0</v>
      </c>
      <c r="AE32" s="29"/>
      <c r="AF32" s="29"/>
      <c r="AG32" s="29"/>
      <c r="AH32" s="29"/>
      <c r="AI32" s="29"/>
    </row>
    <row r="33" spans="1:35" x14ac:dyDescent="0.15">
      <c r="A33" s="51"/>
      <c r="B33" s="50"/>
      <c r="C33" s="49"/>
      <c r="D33" s="48"/>
      <c r="E33" s="47"/>
      <c r="F33" s="43"/>
      <c r="G33" s="42"/>
      <c r="H33" s="42"/>
      <c r="I33" s="42"/>
      <c r="J33" s="46"/>
      <c r="K33" s="45"/>
      <c r="L33" s="47"/>
      <c r="M33" s="47"/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30">
        <f t="shared" si="10"/>
        <v>0</v>
      </c>
      <c r="AA33" s="30">
        <f t="shared" si="11"/>
        <v>0</v>
      </c>
      <c r="AB33" s="30">
        <f t="shared" si="12"/>
        <v>0</v>
      </c>
      <c r="AC33" s="30">
        <f t="shared" si="12"/>
        <v>0</v>
      </c>
      <c r="AD33" s="30">
        <f t="shared" si="13"/>
        <v>0</v>
      </c>
      <c r="AE33" s="29"/>
      <c r="AF33" s="29"/>
      <c r="AG33" s="29"/>
      <c r="AH33" s="29"/>
      <c r="AI33" s="29"/>
    </row>
    <row r="34" spans="1:35" x14ac:dyDescent="0.15">
      <c r="A34" s="51"/>
      <c r="B34" s="50"/>
      <c r="C34" s="49"/>
      <c r="D34" s="48"/>
      <c r="E34" s="47"/>
      <c r="F34" s="43"/>
      <c r="G34" s="42"/>
      <c r="H34" s="42"/>
      <c r="I34" s="42"/>
      <c r="J34" s="46"/>
      <c r="K34" s="45"/>
      <c r="L34" s="47"/>
      <c r="M34" s="47"/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30">
        <f t="shared" si="10"/>
        <v>0</v>
      </c>
      <c r="AA34" s="30">
        <f t="shared" si="11"/>
        <v>0</v>
      </c>
      <c r="AB34" s="30">
        <f t="shared" si="12"/>
        <v>0</v>
      </c>
      <c r="AC34" s="30">
        <f t="shared" si="12"/>
        <v>0</v>
      </c>
      <c r="AD34" s="30">
        <f t="shared" si="13"/>
        <v>0</v>
      </c>
      <c r="AE34" s="29"/>
      <c r="AF34" s="29"/>
      <c r="AG34" s="29"/>
      <c r="AH34" s="29"/>
      <c r="AI34" s="29"/>
    </row>
    <row r="35" spans="1:35" x14ac:dyDescent="0.15">
      <c r="A35" s="51"/>
      <c r="B35" s="50"/>
      <c r="C35" s="49"/>
      <c r="D35" s="48"/>
      <c r="E35" s="47"/>
      <c r="F35" s="43"/>
      <c r="G35" s="42"/>
      <c r="H35" s="42"/>
      <c r="I35" s="42"/>
      <c r="J35" s="46"/>
      <c r="K35" s="45"/>
      <c r="L35" s="47"/>
      <c r="M35" s="47"/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30">
        <f t="shared" si="10"/>
        <v>0</v>
      </c>
      <c r="AA35" s="30">
        <f t="shared" si="11"/>
        <v>0</v>
      </c>
      <c r="AB35" s="30">
        <f t="shared" si="12"/>
        <v>0</v>
      </c>
      <c r="AC35" s="30">
        <f t="shared" si="12"/>
        <v>0</v>
      </c>
      <c r="AD35" s="30">
        <f t="shared" si="13"/>
        <v>0</v>
      </c>
      <c r="AE35" s="29"/>
      <c r="AF35" s="29"/>
      <c r="AG35" s="29"/>
      <c r="AH35" s="29"/>
      <c r="AI35" s="29"/>
    </row>
    <row r="36" spans="1:35" x14ac:dyDescent="0.15">
      <c r="A36" s="51"/>
      <c r="B36" s="50"/>
      <c r="C36" s="49"/>
      <c r="D36" s="48"/>
      <c r="E36" s="47"/>
      <c r="F36" s="43"/>
      <c r="G36" s="42"/>
      <c r="H36" s="42"/>
      <c r="I36" s="42"/>
      <c r="J36" s="46"/>
      <c r="K36" s="45"/>
      <c r="L36" s="47"/>
      <c r="M36" s="47"/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30">
        <f t="shared" si="10"/>
        <v>0</v>
      </c>
      <c r="AA36" s="30">
        <f t="shared" si="11"/>
        <v>0</v>
      </c>
      <c r="AB36" s="30">
        <f t="shared" si="12"/>
        <v>0</v>
      </c>
      <c r="AC36" s="30">
        <f t="shared" si="12"/>
        <v>0</v>
      </c>
      <c r="AD36" s="30">
        <f t="shared" si="13"/>
        <v>0</v>
      </c>
      <c r="AE36" s="29"/>
      <c r="AF36" s="29"/>
      <c r="AG36" s="29"/>
      <c r="AH36" s="29"/>
      <c r="AI36" s="29"/>
    </row>
    <row r="37" spans="1:35" x14ac:dyDescent="0.15">
      <c r="A37" s="51"/>
      <c r="B37" s="50"/>
      <c r="C37" s="49"/>
      <c r="D37" s="48"/>
      <c r="E37" s="47"/>
      <c r="F37" s="43"/>
      <c r="G37" s="42"/>
      <c r="H37" s="42"/>
      <c r="I37" s="42"/>
      <c r="J37" s="46"/>
      <c r="K37" s="45"/>
      <c r="L37" s="47"/>
      <c r="M37" s="47"/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30">
        <f t="shared" si="10"/>
        <v>0</v>
      </c>
      <c r="AA37" s="30">
        <f t="shared" si="11"/>
        <v>0</v>
      </c>
      <c r="AB37" s="30">
        <f t="shared" si="12"/>
        <v>0</v>
      </c>
      <c r="AC37" s="30">
        <f t="shared" si="12"/>
        <v>0</v>
      </c>
      <c r="AD37" s="30">
        <f t="shared" si="13"/>
        <v>0</v>
      </c>
      <c r="AE37" s="29"/>
      <c r="AF37" s="29"/>
      <c r="AG37" s="29"/>
      <c r="AH37" s="29"/>
      <c r="AI37" s="29"/>
    </row>
    <row r="38" spans="1:35" x14ac:dyDescent="0.15">
      <c r="A38" s="51"/>
      <c r="B38" s="50"/>
      <c r="C38" s="49"/>
      <c r="D38" s="48"/>
      <c r="E38" s="47"/>
      <c r="F38" s="43"/>
      <c r="G38" s="42"/>
      <c r="H38" s="42"/>
      <c r="I38" s="42"/>
      <c r="J38" s="46"/>
      <c r="K38" s="45"/>
      <c r="L38" s="47"/>
      <c r="M38" s="47"/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30">
        <f t="shared" si="10"/>
        <v>0</v>
      </c>
      <c r="AA38" s="30">
        <f t="shared" si="11"/>
        <v>0</v>
      </c>
      <c r="AB38" s="30">
        <f t="shared" si="12"/>
        <v>0</v>
      </c>
      <c r="AC38" s="30">
        <f t="shared" si="12"/>
        <v>0</v>
      </c>
      <c r="AD38" s="30">
        <f t="shared" si="13"/>
        <v>0</v>
      </c>
      <c r="AE38" s="29"/>
      <c r="AF38" s="29"/>
      <c r="AG38" s="29"/>
      <c r="AH38" s="29"/>
      <c r="AI38" s="29"/>
    </row>
    <row r="39" spans="1:35" x14ac:dyDescent="0.15">
      <c r="A39" s="51"/>
      <c r="B39" s="50"/>
      <c r="C39" s="49"/>
      <c r="D39" s="48"/>
      <c r="E39" s="47"/>
      <c r="F39" s="43"/>
      <c r="G39" s="42"/>
      <c r="H39" s="42"/>
      <c r="I39" s="42"/>
      <c r="J39" s="46"/>
      <c r="K39" s="45"/>
      <c r="L39" s="47"/>
      <c r="M39" s="47"/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30">
        <f t="shared" si="10"/>
        <v>0</v>
      </c>
      <c r="AA39" s="30">
        <f t="shared" si="11"/>
        <v>0</v>
      </c>
      <c r="AB39" s="30">
        <f t="shared" si="12"/>
        <v>0</v>
      </c>
      <c r="AC39" s="30">
        <f t="shared" si="12"/>
        <v>0</v>
      </c>
      <c r="AD39" s="30">
        <f t="shared" si="13"/>
        <v>0</v>
      </c>
      <c r="AE39" s="29"/>
      <c r="AF39" s="29"/>
      <c r="AG39" s="29"/>
      <c r="AH39" s="29"/>
      <c r="AI39" s="29"/>
    </row>
    <row r="40" spans="1:35" ht="14.25" thickBot="1" x14ac:dyDescent="0.2">
      <c r="A40" s="41"/>
      <c r="B40" s="40"/>
      <c r="C40" s="39"/>
      <c r="D40" s="38"/>
      <c r="E40" s="37"/>
      <c r="F40" s="33"/>
      <c r="G40" s="32"/>
      <c r="H40" s="32"/>
      <c r="I40" s="32"/>
      <c r="J40" s="36"/>
      <c r="K40" s="35"/>
      <c r="L40" s="37"/>
      <c r="M40" s="37"/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30">
        <f t="shared" si="10"/>
        <v>0</v>
      </c>
      <c r="AA40" s="30">
        <f t="shared" si="11"/>
        <v>0</v>
      </c>
      <c r="AB40" s="30">
        <f t="shared" si="12"/>
        <v>0</v>
      </c>
      <c r="AC40" s="30">
        <f t="shared" si="12"/>
        <v>0</v>
      </c>
      <c r="AD40" s="30">
        <f t="shared" si="13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4">SUM(E5:E40)</f>
        <v>44621240467</v>
      </c>
      <c r="F41" s="24">
        <f t="shared" si="14"/>
        <v>0</v>
      </c>
      <c r="G41" s="23">
        <f t="shared" si="14"/>
        <v>0</v>
      </c>
      <c r="H41" s="23">
        <f t="shared" si="14"/>
        <v>0</v>
      </c>
      <c r="I41" s="23">
        <f t="shared" ref="I41" si="15">SUM(I5:I40)</f>
        <v>0</v>
      </c>
      <c r="J41" s="22">
        <f t="shared" si="14"/>
        <v>0</v>
      </c>
      <c r="K41" s="15">
        <f t="shared" si="14"/>
        <v>0</v>
      </c>
      <c r="L41" s="20">
        <f t="shared" si="14"/>
        <v>0</v>
      </c>
      <c r="M41" s="20">
        <f t="shared" si="14"/>
        <v>44621240467</v>
      </c>
      <c r="N41" s="17">
        <f t="shared" si="14"/>
        <v>0</v>
      </c>
      <c r="O41" s="16">
        <f t="shared" si="14"/>
        <v>0</v>
      </c>
      <c r="P41" s="16">
        <f t="shared" si="14"/>
        <v>0</v>
      </c>
      <c r="Q41" s="16">
        <f t="shared" ref="Q41" si="16">SUM(Q5:Q40)</f>
        <v>0</v>
      </c>
      <c r="R41" s="19">
        <f t="shared" si="14"/>
        <v>0</v>
      </c>
      <c r="S41" s="15">
        <f t="shared" si="14"/>
        <v>0</v>
      </c>
      <c r="T41" s="18">
        <f t="shared" si="14"/>
        <v>44621240467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7">+E41</f>
        <v>44621240467</v>
      </c>
      <c r="F42" s="10">
        <f t="shared" si="17"/>
        <v>0</v>
      </c>
      <c r="G42" s="9">
        <f t="shared" si="17"/>
        <v>0</v>
      </c>
      <c r="H42" s="9">
        <f t="shared" si="17"/>
        <v>0</v>
      </c>
      <c r="I42" s="9">
        <f t="shared" si="17"/>
        <v>0</v>
      </c>
      <c r="J42" s="8">
        <f t="shared" si="17"/>
        <v>0</v>
      </c>
      <c r="K42" s="4">
        <f>SUM(F42:J42)</f>
        <v>0</v>
      </c>
      <c r="L42" s="5">
        <f>+L41</f>
        <v>0</v>
      </c>
      <c r="M42" s="5">
        <f>+M41</f>
        <v>44621240467</v>
      </c>
      <c r="N42" s="121">
        <f>+'4条支出'!N21</f>
        <v>0</v>
      </c>
      <c r="O42" s="122">
        <f>+'4条支出'!O21</f>
        <v>0</v>
      </c>
      <c r="P42" s="122">
        <f>+'4条支出'!P21</f>
        <v>0</v>
      </c>
      <c r="Q42" s="122">
        <f>+'4条支出'!Q21</f>
        <v>0</v>
      </c>
      <c r="R42" s="123">
        <f>+'4条支出'!R21</f>
        <v>0</v>
      </c>
      <c r="S42" s="124">
        <f>+'4条支出'!S21</f>
        <v>0</v>
      </c>
      <c r="T42" s="125">
        <f>+'4条支出'!T21</f>
        <v>44621240467</v>
      </c>
    </row>
    <row r="43" spans="1:35" x14ac:dyDescent="0.15">
      <c r="E43" s="3">
        <f t="shared" ref="E43:T43" si="18">+E42-E41</f>
        <v>0</v>
      </c>
      <c r="F43" s="3">
        <f t="shared" si="18"/>
        <v>0</v>
      </c>
      <c r="G43" s="3">
        <f t="shared" si="18"/>
        <v>0</v>
      </c>
      <c r="H43" s="3">
        <f t="shared" si="18"/>
        <v>0</v>
      </c>
      <c r="I43" s="3">
        <f t="shared" ref="I43" si="19">+I42-I41</f>
        <v>0</v>
      </c>
      <c r="J43" s="3">
        <f t="shared" si="18"/>
        <v>0</v>
      </c>
      <c r="K43" s="3">
        <f t="shared" si="18"/>
        <v>0</v>
      </c>
      <c r="L43" s="3">
        <f t="shared" si="18"/>
        <v>0</v>
      </c>
      <c r="M43" s="3">
        <f t="shared" si="18"/>
        <v>0</v>
      </c>
      <c r="N43" s="3">
        <f t="shared" si="18"/>
        <v>0</v>
      </c>
      <c r="O43" s="3">
        <f t="shared" si="18"/>
        <v>0</v>
      </c>
      <c r="P43" s="3">
        <f t="shared" si="18"/>
        <v>0</v>
      </c>
      <c r="Q43" s="3">
        <f t="shared" ref="Q43" si="20">+Q42-Q41</f>
        <v>0</v>
      </c>
      <c r="R43" s="3">
        <f t="shared" si="18"/>
        <v>0</v>
      </c>
      <c r="S43" s="3">
        <f t="shared" si="18"/>
        <v>0</v>
      </c>
      <c r="T43" s="3">
        <f t="shared" si="18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26" priority="4">
      <formula>ABS(Z5)=1</formula>
    </cfRule>
  </conditionalFormatting>
  <conditionalFormatting sqref="AD5:AD40">
    <cfRule type="expression" dxfId="25" priority="3">
      <formula>ABS(AD5)=1</formula>
    </cfRule>
  </conditionalFormatting>
  <conditionalFormatting sqref="Z6:AC40">
    <cfRule type="expression" dxfId="24" priority="6">
      <formula>ABS(Z6)=1</formula>
    </cfRule>
  </conditionalFormatting>
  <conditionalFormatting sqref="AE6:AE14 AE16:AE40">
    <cfRule type="notContainsBlanks" dxfId="23" priority="9" stopIfTrue="1">
      <formula>LEN(TRIM(AE6))&gt;0</formula>
    </cfRule>
  </conditionalFormatting>
  <conditionalFormatting sqref="AE6:AI40">
    <cfRule type="notContainsBlanks" dxfId="22" priority="8" stopIfTrue="1">
      <formula>LEN(TRIM(AE6))&gt;0</formula>
    </cfRule>
  </conditionalFormatting>
  <conditionalFormatting sqref="AE5:AI5">
    <cfRule type="notContainsBlanks" dxfId="21" priority="7" stopIfTrue="1">
      <formula>LEN(TRIM(AE5))&gt;0</formula>
    </cfRule>
  </conditionalFormatting>
  <conditionalFormatting sqref="AA6:AC40">
    <cfRule type="expression" dxfId="20" priority="5">
      <formula>ABS(AA6)=1</formula>
    </cfRule>
  </conditionalFormatting>
  <conditionalFormatting sqref="E43:H43 J43:T43">
    <cfRule type="cellIs" dxfId="19" priority="2" operator="notEqual">
      <formula>0</formula>
    </cfRule>
  </conditionalFormatting>
  <conditionalFormatting sqref="I43">
    <cfRule type="cellIs" dxfId="18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71" fitToHeight="2" orientation="landscape" blackAndWhite="1" r:id="rId1"/>
  <headerFooter>
    <oddFooter>&amp;L&amp;8&amp;Z&amp;F&amp;A&amp;R&amp;8&amp;D&amp;T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topLeftCell="D1" zoomScale="80" zoomScaleNormal="80" zoomScaleSheetLayoutView="40" workbookViewId="0">
      <pane xSplit="1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22.625" style="1" customWidth="1"/>
    <col min="5" max="5" width="13.625" style="1" customWidth="1"/>
    <col min="6" max="6" width="11.625" style="1" customWidth="1" outlineLevel="1"/>
    <col min="7" max="10" width="11.625" style="1" customWidth="1"/>
    <col min="11" max="11" width="11.625" style="2" customWidth="1"/>
    <col min="12" max="13" width="13.625" style="1" customWidth="1"/>
    <col min="14" max="14" width="10.625" style="2" customWidth="1" outlineLevel="1"/>
    <col min="15" max="17" width="11.625" style="2" customWidth="1"/>
    <col min="18" max="18" width="10.625" style="2" customWidth="1"/>
    <col min="19" max="19" width="11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353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s="67" customFormat="1" x14ac:dyDescent="0.15">
      <c r="A5" s="119"/>
      <c r="B5" s="118"/>
      <c r="C5" s="117"/>
      <c r="D5" s="116" t="s">
        <v>352</v>
      </c>
      <c r="E5" s="62">
        <f t="shared" ref="E5:M5" si="0">+SUM(E6,E12,E18)</f>
        <v>3759000</v>
      </c>
      <c r="F5" s="61">
        <f t="shared" si="0"/>
        <v>0</v>
      </c>
      <c r="G5" s="60">
        <f t="shared" si="0"/>
        <v>0</v>
      </c>
      <c r="H5" s="60">
        <f t="shared" si="0"/>
        <v>0</v>
      </c>
      <c r="I5" s="60">
        <f t="shared" ref="I5" si="1">+SUM(I6,I12,I18)</f>
        <v>0</v>
      </c>
      <c r="J5" s="59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 t="shared" si="0"/>
        <v>0</v>
      </c>
      <c r="L5" s="62">
        <f t="shared" si="0"/>
        <v>0</v>
      </c>
      <c r="M5" s="62">
        <f t="shared" si="0"/>
        <v>3759000</v>
      </c>
      <c r="N5" s="61">
        <f t="shared" ref="N5:N40" si="2">+ROUND(F5*F$4/(100+F$4),0)+AE5</f>
        <v>0</v>
      </c>
      <c r="O5" s="60">
        <f t="shared" ref="O5:O40" si="3">+ROUND(G5*G$4/(100+G$4),0)+AF5</f>
        <v>0</v>
      </c>
      <c r="P5" s="60">
        <f t="shared" ref="P5:Q40" si="4">+ROUND(H5*H$4/(100+H$4),0)+AG5</f>
        <v>0</v>
      </c>
      <c r="Q5" s="60">
        <f t="shared" si="4"/>
        <v>0</v>
      </c>
      <c r="R5" s="59">
        <f t="shared" ref="R5:R40" si="5">+ROUND(J5*J$4/(100+J$4),0)+AI5</f>
        <v>0</v>
      </c>
      <c r="S5" s="58">
        <f t="shared" ref="S5:S40" si="6">SUM(N5:R5)</f>
        <v>0</v>
      </c>
      <c r="T5" s="85">
        <f t="shared" ref="T5:T40" si="7">+E5-S5</f>
        <v>3759000</v>
      </c>
      <c r="U5" s="31">
        <f t="shared" ref="U5:U40" si="8">N5-F5*F$4/(100+F$4)</f>
        <v>0</v>
      </c>
      <c r="V5" s="31">
        <f t="shared" ref="V5:V40" si="9">O5-G5*G$4/(100+G$4)</f>
        <v>0</v>
      </c>
      <c r="W5" s="31">
        <f t="shared" ref="W5:X40" si="10">P5-H5*H$4/(100+H$4)</f>
        <v>0</v>
      </c>
      <c r="X5" s="31">
        <f t="shared" si="10"/>
        <v>0</v>
      </c>
      <c r="Y5" s="31">
        <f t="shared" ref="Y5:Y40" si="11">R5-J5*J$4/(100+J$4)</f>
        <v>0</v>
      </c>
      <c r="Z5" s="30">
        <f t="shared" ref="Z5:Z40" si="12">+IF(N$43=0,0,IF(N$43&lt;0,-RANK(U5,U$5:U$40,0),RANK(U5,U$5:U$40,1)))</f>
        <v>0</v>
      </c>
      <c r="AA5" s="30">
        <f t="shared" ref="AA5:AA40" si="13">+IF(O$43=0,0,IF(O$43&lt;0,-RANK(V5,V$5:V$40,0),RANK(V5,V$5:V$40,1)))</f>
        <v>0</v>
      </c>
      <c r="AB5" s="30">
        <f t="shared" ref="AB5:AC40" si="14">+IF(P$43=0,0,IF(P$43&lt;0,-RANK(W5,W$5:W$40,0),RANK(W5,W$5:W$40,1)))</f>
        <v>0</v>
      </c>
      <c r="AC5" s="30">
        <f t="shared" si="14"/>
        <v>0</v>
      </c>
      <c r="AD5" s="30">
        <f t="shared" ref="AD5:AD40" si="15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115"/>
      <c r="B6" s="114"/>
      <c r="C6" s="113"/>
      <c r="D6" s="112" t="s">
        <v>351</v>
      </c>
      <c r="E6" s="107">
        <f t="shared" ref="E6:M6" si="16">+SUM(E7:E10)</f>
        <v>2600000</v>
      </c>
      <c r="F6" s="111">
        <f t="shared" si="16"/>
        <v>0</v>
      </c>
      <c r="G6" s="110">
        <f t="shared" si="16"/>
        <v>0</v>
      </c>
      <c r="H6" s="110">
        <f t="shared" si="16"/>
        <v>0</v>
      </c>
      <c r="I6" s="110">
        <f t="shared" ref="I6" si="17">+SUM(I7:I10)</f>
        <v>0</v>
      </c>
      <c r="J6" s="109">
        <f t="shared" si="16"/>
        <v>0</v>
      </c>
      <c r="K6" s="108">
        <f t="shared" si="16"/>
        <v>0</v>
      </c>
      <c r="L6" s="107">
        <f t="shared" si="16"/>
        <v>0</v>
      </c>
      <c r="M6" s="107">
        <f t="shared" si="16"/>
        <v>2600000</v>
      </c>
      <c r="N6" s="43">
        <f t="shared" si="2"/>
        <v>0</v>
      </c>
      <c r="O6" s="42">
        <f t="shared" si="3"/>
        <v>0</v>
      </c>
      <c r="P6" s="42">
        <f t="shared" si="4"/>
        <v>0</v>
      </c>
      <c r="Q6" s="42">
        <f t="shared" si="4"/>
        <v>0</v>
      </c>
      <c r="R6" s="46">
        <f t="shared" si="5"/>
        <v>0</v>
      </c>
      <c r="S6" s="45">
        <f t="shared" si="6"/>
        <v>0</v>
      </c>
      <c r="T6" s="44">
        <f t="shared" si="7"/>
        <v>2600000</v>
      </c>
      <c r="U6" s="31">
        <f t="shared" si="8"/>
        <v>0</v>
      </c>
      <c r="V6" s="31">
        <f t="shared" si="9"/>
        <v>0</v>
      </c>
      <c r="W6" s="31">
        <f t="shared" si="10"/>
        <v>0</v>
      </c>
      <c r="X6" s="31">
        <f t="shared" si="10"/>
        <v>0</v>
      </c>
      <c r="Y6" s="31">
        <f t="shared" si="11"/>
        <v>0</v>
      </c>
      <c r="Z6" s="30">
        <f t="shared" si="12"/>
        <v>0</v>
      </c>
      <c r="AA6" s="30">
        <f t="shared" si="13"/>
        <v>0</v>
      </c>
      <c r="AB6" s="30">
        <f t="shared" si="14"/>
        <v>0</v>
      </c>
      <c r="AC6" s="30">
        <f t="shared" si="14"/>
        <v>0</v>
      </c>
      <c r="AD6" s="30">
        <f t="shared" si="15"/>
        <v>0</v>
      </c>
      <c r="AE6" s="29"/>
      <c r="AF6" s="29"/>
      <c r="AG6" s="29"/>
      <c r="AH6" s="29"/>
      <c r="AI6" s="29"/>
    </row>
    <row r="7" spans="1:35" x14ac:dyDescent="0.15">
      <c r="A7" s="51">
        <v>1</v>
      </c>
      <c r="B7" s="50">
        <v>6170202</v>
      </c>
      <c r="C7" s="49"/>
      <c r="D7" s="106" t="s">
        <v>348</v>
      </c>
      <c r="E7" s="81">
        <f>+IF($A7="",IF($C7="",SUMIFS([1]全伝票!I:I,[1]全伝票!$B:$B,$B7),SUMIFS([1]全伝票!I:I,[1]全伝票!$C:$C,$C7)),IF($C7="",SUMIFS([1]全伝票!I:I,[1]全伝票!$A:$A,$A7,[1]全伝票!$B:$B,$B7),SUMIFS([1]全伝票!I:I,[1]全伝票!$A:$A,$A7,[1]全伝票!$C:$C,$C7)))</f>
        <v>1040000</v>
      </c>
      <c r="F7" s="84">
        <f>+IF($A7="",IF($C7="",SUMIFS([1]全伝票!J:J,[1]全伝票!$B:$B,$B7),SUMIFS([1]全伝票!J:J,[1]全伝票!$C:$C,$C7)),IF($C7="",SUMIFS([1]全伝票!J:J,[1]全伝票!$A:$A,$A7,[1]全伝票!$B:$B,$B7),SUMIFS([1]全伝票!J:J,[1]全伝票!$A:$A,$A7,[1]全伝票!$C:$C,$C7)))</f>
        <v>0</v>
      </c>
      <c r="G7" s="83">
        <f>+IF($A7="",IF($C7="",SUMIFS([1]全伝票!K:K,[1]全伝票!$B:$B,$B7),SUMIFS([1]全伝票!K:K,[1]全伝票!$C:$C,$C7)),IF($C7="",SUMIFS([1]全伝票!K:K,[1]全伝票!$A:$A,$A7,[1]全伝票!$B:$B,$B7),SUMIFS([1]全伝票!K:K,[1]全伝票!$A:$A,$A7,[1]全伝票!$C:$C,$C7)))</f>
        <v>0</v>
      </c>
      <c r="H7" s="83">
        <f>+IF($A7="",IF($C7="",SUMIFS([1]全伝票!L:L,[1]全伝票!$B:$B,$B7),SUMIFS([1]全伝票!L:L,[1]全伝票!$C:$C,$C7)),IF($C7="",SUMIFS([1]全伝票!L:L,[1]全伝票!$A:$A,$A7,[1]全伝票!$B:$B,$B7),SUMIFS([1]全伝票!L:L,[1]全伝票!$A:$A,$A7,[1]全伝票!$C:$C,$C7)))</f>
        <v>0</v>
      </c>
      <c r="I7" s="83">
        <f>+IF($A7="",IF($C7="",SUMIFS([1]全伝票!M:M,[1]全伝票!$B:$B,$B7),SUMIFS([1]全伝票!M:M,[1]全伝票!$C:$C,$C7)),IF($C7="",SUMIFS([1]全伝票!M:M,[1]全伝票!$A:$A,$A7,[1]全伝票!$B:$B,$B7),SUMIFS([1]全伝票!M:M,[1]全伝票!$A:$A,$A7,[1]全伝票!$C:$C,$C7)))</f>
        <v>0</v>
      </c>
      <c r="J7" s="82">
        <f>+IF($A7="",IF($C7="",SUMIFS([1]全伝票!N:N,[1]全伝票!$B:$B,$B7),SUMIFS([1]全伝票!N:N,[1]全伝票!$C:$C,$C7)),IF($C7="",SUMIFS([1]全伝票!N:N,[1]全伝票!$A:$A,$A7,[1]全伝票!$B:$B,$B7),SUMIFS([1]全伝票!N:N,[1]全伝票!$A:$A,$A7,[1]全伝票!$C:$C,$C7)))</f>
        <v>0</v>
      </c>
      <c r="K7" s="45">
        <f>SUM(F7:J7)</f>
        <v>0</v>
      </c>
      <c r="L7" s="81">
        <f>+IF($A7="",IF($C7="",SUMIFS([1]全伝票!O:O,[1]全伝票!$B:$B,$B7),SUMIFS([1]全伝票!O:O,[1]全伝票!$C:$C,$C7)),IF($C7="",SUMIFS([1]全伝票!O:O,[1]全伝票!$A:$A,$A7,[1]全伝票!$B:$B,$B7),SUMIFS([1]全伝票!O:O,[1]全伝票!$A:$A,$A7,[1]全伝票!$C:$C,$C7)))</f>
        <v>0</v>
      </c>
      <c r="M7" s="81">
        <f>+IF($A7="",IF($C7="",SUMIFS([1]全伝票!P:P,[1]全伝票!$B:$B,$B7),SUMIFS([1]全伝票!P:P,[1]全伝票!$C:$C,$C7)),IF($C7="",SUMIFS([1]全伝票!P:P,[1]全伝票!$A:$A,$A7,[1]全伝票!$B:$B,$B7),SUMIFS([1]全伝票!P:P,[1]全伝票!$A:$A,$A7,[1]全伝票!$C:$C,$C7)))</f>
        <v>1040000</v>
      </c>
      <c r="N7" s="43">
        <f t="shared" si="2"/>
        <v>0</v>
      </c>
      <c r="O7" s="42">
        <f t="shared" si="3"/>
        <v>0</v>
      </c>
      <c r="P7" s="42">
        <f t="shared" si="4"/>
        <v>0</v>
      </c>
      <c r="Q7" s="42">
        <f t="shared" si="4"/>
        <v>0</v>
      </c>
      <c r="R7" s="46">
        <f t="shared" si="5"/>
        <v>0</v>
      </c>
      <c r="S7" s="45">
        <f t="shared" si="6"/>
        <v>0</v>
      </c>
      <c r="T7" s="44">
        <f t="shared" si="7"/>
        <v>1040000</v>
      </c>
      <c r="U7" s="31">
        <f t="shared" si="8"/>
        <v>0</v>
      </c>
      <c r="V7" s="31">
        <f t="shared" si="9"/>
        <v>0</v>
      </c>
      <c r="W7" s="31">
        <f t="shared" si="10"/>
        <v>0</v>
      </c>
      <c r="X7" s="31">
        <f t="shared" si="10"/>
        <v>0</v>
      </c>
      <c r="Y7" s="31">
        <f t="shared" si="11"/>
        <v>0</v>
      </c>
      <c r="Z7" s="30">
        <f t="shared" si="12"/>
        <v>0</v>
      </c>
      <c r="AA7" s="30">
        <f t="shared" si="13"/>
        <v>0</v>
      </c>
      <c r="AB7" s="30">
        <f t="shared" si="14"/>
        <v>0</v>
      </c>
      <c r="AC7" s="30">
        <f t="shared" si="14"/>
        <v>0</v>
      </c>
      <c r="AD7" s="30">
        <f t="shared" si="15"/>
        <v>0</v>
      </c>
      <c r="AE7" s="29"/>
      <c r="AF7" s="29"/>
      <c r="AG7" s="29"/>
      <c r="AH7" s="29"/>
      <c r="AI7" s="29"/>
    </row>
    <row r="8" spans="1:35" x14ac:dyDescent="0.15">
      <c r="A8" s="51">
        <v>2</v>
      </c>
      <c r="B8" s="50">
        <v>6170208</v>
      </c>
      <c r="C8" s="49"/>
      <c r="D8" s="106" t="s">
        <v>347</v>
      </c>
      <c r="E8" s="81">
        <f>+IF($A8="",IF($C8="",SUMIFS([1]全伝票!I:I,[1]全伝票!$B:$B,$B8),SUMIFS([1]全伝票!I:I,[1]全伝票!$C:$C,$C8)),IF($C8="",SUMIFS([1]全伝票!I:I,[1]全伝票!$A:$A,$A8,[1]全伝票!$B:$B,$B8),SUMIFS([1]全伝票!I:I,[1]全伝票!$A:$A,$A8,[1]全伝票!$C:$C,$C8)))</f>
        <v>1040000</v>
      </c>
      <c r="F8" s="84">
        <f>+IF($A8="",IF($C8="",SUMIFS([1]全伝票!J:J,[1]全伝票!$B:$B,$B8),SUMIFS([1]全伝票!J:J,[1]全伝票!$C:$C,$C8)),IF($C8="",SUMIFS([1]全伝票!J:J,[1]全伝票!$A:$A,$A8,[1]全伝票!$B:$B,$B8),SUMIFS([1]全伝票!J:J,[1]全伝票!$A:$A,$A8,[1]全伝票!$C:$C,$C8)))</f>
        <v>0</v>
      </c>
      <c r="G8" s="83">
        <f>+IF($A8="",IF($C8="",SUMIFS([1]全伝票!K:K,[1]全伝票!$B:$B,$B8),SUMIFS([1]全伝票!K:K,[1]全伝票!$C:$C,$C8)),IF($C8="",SUMIFS([1]全伝票!K:K,[1]全伝票!$A:$A,$A8,[1]全伝票!$B:$B,$B8),SUMIFS([1]全伝票!K:K,[1]全伝票!$A:$A,$A8,[1]全伝票!$C:$C,$C8)))</f>
        <v>0</v>
      </c>
      <c r="H8" s="83">
        <f>+IF($A8="",IF($C8="",SUMIFS([1]全伝票!L:L,[1]全伝票!$B:$B,$B8),SUMIFS([1]全伝票!L:L,[1]全伝票!$C:$C,$C8)),IF($C8="",SUMIFS([1]全伝票!L:L,[1]全伝票!$A:$A,$A8,[1]全伝票!$B:$B,$B8),SUMIFS([1]全伝票!L:L,[1]全伝票!$A:$A,$A8,[1]全伝票!$C:$C,$C8)))</f>
        <v>0</v>
      </c>
      <c r="I8" s="83">
        <f>+IF($A8="",IF($C8="",SUMIFS([1]全伝票!M:M,[1]全伝票!$B:$B,$B8),SUMIFS([1]全伝票!M:M,[1]全伝票!$C:$C,$C8)),IF($C8="",SUMIFS([1]全伝票!M:M,[1]全伝票!$A:$A,$A8,[1]全伝票!$B:$B,$B8),SUMIFS([1]全伝票!M:M,[1]全伝票!$A:$A,$A8,[1]全伝票!$C:$C,$C8)))</f>
        <v>0</v>
      </c>
      <c r="J8" s="82">
        <f>+IF($A8="",IF($C8="",SUMIFS([1]全伝票!N:N,[1]全伝票!$B:$B,$B8),SUMIFS([1]全伝票!N:N,[1]全伝票!$C:$C,$C8)),IF($C8="",SUMIFS([1]全伝票!N:N,[1]全伝票!$A:$A,$A8,[1]全伝票!$B:$B,$B8),SUMIFS([1]全伝票!N:N,[1]全伝票!$A:$A,$A8,[1]全伝票!$C:$C,$C8)))</f>
        <v>0</v>
      </c>
      <c r="K8" s="45">
        <f>SUM(F8:J8)</f>
        <v>0</v>
      </c>
      <c r="L8" s="81">
        <f>+IF($A8="",IF($C8="",SUMIFS([1]全伝票!O:O,[1]全伝票!$B:$B,$B8),SUMIFS([1]全伝票!O:O,[1]全伝票!$C:$C,$C8)),IF($C8="",SUMIFS([1]全伝票!O:O,[1]全伝票!$A:$A,$A8,[1]全伝票!$B:$B,$B8),SUMIFS([1]全伝票!O:O,[1]全伝票!$A:$A,$A8,[1]全伝票!$C:$C,$C8)))</f>
        <v>0</v>
      </c>
      <c r="M8" s="81">
        <f>+IF($A8="",IF($C8="",SUMIFS([1]全伝票!P:P,[1]全伝票!$B:$B,$B8),SUMIFS([1]全伝票!P:P,[1]全伝票!$C:$C,$C8)),IF($C8="",SUMIFS([1]全伝票!P:P,[1]全伝票!$A:$A,$A8,[1]全伝票!$B:$B,$B8),SUMIFS([1]全伝票!P:P,[1]全伝票!$A:$A,$A8,[1]全伝票!$C:$C,$C8)))</f>
        <v>1040000</v>
      </c>
      <c r="N8" s="43">
        <f t="shared" si="2"/>
        <v>0</v>
      </c>
      <c r="O8" s="42">
        <f t="shared" si="3"/>
        <v>0</v>
      </c>
      <c r="P8" s="42">
        <f t="shared" si="4"/>
        <v>0</v>
      </c>
      <c r="Q8" s="42">
        <f t="shared" si="4"/>
        <v>0</v>
      </c>
      <c r="R8" s="46">
        <f t="shared" si="5"/>
        <v>0</v>
      </c>
      <c r="S8" s="45">
        <f t="shared" si="6"/>
        <v>0</v>
      </c>
      <c r="T8" s="44">
        <f t="shared" si="7"/>
        <v>1040000</v>
      </c>
      <c r="U8" s="31">
        <f t="shared" si="8"/>
        <v>0</v>
      </c>
      <c r="V8" s="31">
        <f t="shared" si="9"/>
        <v>0</v>
      </c>
      <c r="W8" s="31">
        <f t="shared" si="10"/>
        <v>0</v>
      </c>
      <c r="X8" s="31">
        <f t="shared" si="10"/>
        <v>0</v>
      </c>
      <c r="Y8" s="31">
        <f t="shared" si="11"/>
        <v>0</v>
      </c>
      <c r="Z8" s="30">
        <f t="shared" si="12"/>
        <v>0</v>
      </c>
      <c r="AA8" s="30">
        <f t="shared" si="13"/>
        <v>0</v>
      </c>
      <c r="AB8" s="30">
        <f t="shared" si="14"/>
        <v>0</v>
      </c>
      <c r="AC8" s="30">
        <f t="shared" si="14"/>
        <v>0</v>
      </c>
      <c r="AD8" s="30">
        <f t="shared" si="15"/>
        <v>0</v>
      </c>
      <c r="AE8" s="29"/>
      <c r="AF8" s="29"/>
      <c r="AG8" s="29"/>
      <c r="AH8" s="29"/>
      <c r="AI8" s="29"/>
    </row>
    <row r="9" spans="1:35" x14ac:dyDescent="0.15">
      <c r="A9" s="51">
        <v>3</v>
      </c>
      <c r="B9" s="50">
        <v>6170214</v>
      </c>
      <c r="C9" s="49"/>
      <c r="D9" s="106" t="s">
        <v>346</v>
      </c>
      <c r="E9" s="81">
        <f>+IF($A9="",IF($C9="",SUMIFS([1]全伝票!I:I,[1]全伝票!$B:$B,$B9),SUMIFS([1]全伝票!I:I,[1]全伝票!$C:$C,$C9)),IF($C9="",SUMIFS([1]全伝票!I:I,[1]全伝票!$A:$A,$A9,[1]全伝票!$B:$B,$B9),SUMIFS([1]全伝票!I:I,[1]全伝票!$A:$A,$A9,[1]全伝票!$C:$C,$C9)))</f>
        <v>0</v>
      </c>
      <c r="F9" s="84">
        <f>+IF($A9="",IF($C9="",SUMIFS([1]全伝票!J:J,[1]全伝票!$B:$B,$B9),SUMIFS([1]全伝票!J:J,[1]全伝票!$C:$C,$C9)),IF($C9="",SUMIFS([1]全伝票!J:J,[1]全伝票!$A:$A,$A9,[1]全伝票!$B:$B,$B9),SUMIFS([1]全伝票!J:J,[1]全伝票!$A:$A,$A9,[1]全伝票!$C:$C,$C9)))</f>
        <v>0</v>
      </c>
      <c r="G9" s="83">
        <f>+IF($A9="",IF($C9="",SUMIFS([1]全伝票!K:K,[1]全伝票!$B:$B,$B9),SUMIFS([1]全伝票!K:K,[1]全伝票!$C:$C,$C9)),IF($C9="",SUMIFS([1]全伝票!K:K,[1]全伝票!$A:$A,$A9,[1]全伝票!$B:$B,$B9),SUMIFS([1]全伝票!K:K,[1]全伝票!$A:$A,$A9,[1]全伝票!$C:$C,$C9)))</f>
        <v>0</v>
      </c>
      <c r="H9" s="83">
        <f>+IF($A9="",IF($C9="",SUMIFS([1]全伝票!L:L,[1]全伝票!$B:$B,$B9),SUMIFS([1]全伝票!L:L,[1]全伝票!$C:$C,$C9)),IF($C9="",SUMIFS([1]全伝票!L:L,[1]全伝票!$A:$A,$A9,[1]全伝票!$B:$B,$B9),SUMIFS([1]全伝票!L:L,[1]全伝票!$A:$A,$A9,[1]全伝票!$C:$C,$C9)))</f>
        <v>0</v>
      </c>
      <c r="I9" s="83">
        <f>+IF($A9="",IF($C9="",SUMIFS([1]全伝票!M:M,[1]全伝票!$B:$B,$B9),SUMIFS([1]全伝票!M:M,[1]全伝票!$C:$C,$C9)),IF($C9="",SUMIFS([1]全伝票!M:M,[1]全伝票!$A:$A,$A9,[1]全伝票!$B:$B,$B9),SUMIFS([1]全伝票!M:M,[1]全伝票!$A:$A,$A9,[1]全伝票!$C:$C,$C9)))</f>
        <v>0</v>
      </c>
      <c r="J9" s="82">
        <f>+IF($A9="",IF($C9="",SUMIFS([1]全伝票!N:N,[1]全伝票!$B:$B,$B9),SUMIFS([1]全伝票!N:N,[1]全伝票!$C:$C,$C9)),IF($C9="",SUMIFS([1]全伝票!N:N,[1]全伝票!$A:$A,$A9,[1]全伝票!$B:$B,$B9),SUMIFS([1]全伝票!N:N,[1]全伝票!$A:$A,$A9,[1]全伝票!$C:$C,$C9)))</f>
        <v>0</v>
      </c>
      <c r="K9" s="45">
        <f>SUM(F9:J9)</f>
        <v>0</v>
      </c>
      <c r="L9" s="81">
        <f>+IF($A9="",IF($C9="",SUMIFS([1]全伝票!O:O,[1]全伝票!$B:$B,$B9),SUMIFS([1]全伝票!O:O,[1]全伝票!$C:$C,$C9)),IF($C9="",SUMIFS([1]全伝票!O:O,[1]全伝票!$A:$A,$A9,[1]全伝票!$B:$B,$B9),SUMIFS([1]全伝票!O:O,[1]全伝票!$A:$A,$A9,[1]全伝票!$C:$C,$C9)))</f>
        <v>0</v>
      </c>
      <c r="M9" s="81">
        <f>+IF($A9="",IF($C9="",SUMIFS([1]全伝票!P:P,[1]全伝票!$B:$B,$B9),SUMIFS([1]全伝票!P:P,[1]全伝票!$C:$C,$C9)),IF($C9="",SUMIFS([1]全伝票!P:P,[1]全伝票!$A:$A,$A9,[1]全伝票!$B:$B,$B9),SUMIFS([1]全伝票!P:P,[1]全伝票!$A:$A,$A9,[1]全伝票!$C:$C,$C9)))</f>
        <v>0</v>
      </c>
      <c r="N9" s="43">
        <f t="shared" si="2"/>
        <v>0</v>
      </c>
      <c r="O9" s="42">
        <f t="shared" si="3"/>
        <v>0</v>
      </c>
      <c r="P9" s="42">
        <f t="shared" si="4"/>
        <v>0</v>
      </c>
      <c r="Q9" s="42">
        <f t="shared" si="4"/>
        <v>0</v>
      </c>
      <c r="R9" s="46">
        <f t="shared" si="5"/>
        <v>0</v>
      </c>
      <c r="S9" s="45">
        <f t="shared" si="6"/>
        <v>0</v>
      </c>
      <c r="T9" s="44">
        <f t="shared" si="7"/>
        <v>0</v>
      </c>
      <c r="U9" s="31">
        <f t="shared" si="8"/>
        <v>0</v>
      </c>
      <c r="V9" s="31">
        <f t="shared" si="9"/>
        <v>0</v>
      </c>
      <c r="W9" s="31">
        <f t="shared" si="10"/>
        <v>0</v>
      </c>
      <c r="X9" s="31">
        <f t="shared" si="10"/>
        <v>0</v>
      </c>
      <c r="Y9" s="31">
        <f t="shared" si="11"/>
        <v>0</v>
      </c>
      <c r="Z9" s="30">
        <f t="shared" si="12"/>
        <v>0</v>
      </c>
      <c r="AA9" s="30">
        <f t="shared" si="13"/>
        <v>0</v>
      </c>
      <c r="AB9" s="30">
        <f t="shared" si="14"/>
        <v>0</v>
      </c>
      <c r="AC9" s="30">
        <f t="shared" si="14"/>
        <v>0</v>
      </c>
      <c r="AD9" s="30">
        <f t="shared" si="15"/>
        <v>0</v>
      </c>
      <c r="AE9" s="29"/>
      <c r="AF9" s="29"/>
      <c r="AG9" s="29"/>
      <c r="AH9" s="29"/>
      <c r="AI9" s="29"/>
    </row>
    <row r="10" spans="1:35" x14ac:dyDescent="0.15">
      <c r="A10" s="51">
        <v>4</v>
      </c>
      <c r="B10" s="50">
        <v>6170220</v>
      </c>
      <c r="C10" s="49"/>
      <c r="D10" s="106" t="s">
        <v>345</v>
      </c>
      <c r="E10" s="81">
        <f>+IF($A10="",IF($C10="",SUMIFS([1]全伝票!I:I,[1]全伝票!$B:$B,$B10),SUMIFS([1]全伝票!I:I,[1]全伝票!$C:$C,$C10)),IF($C10="",SUMIFS([1]全伝票!I:I,[1]全伝票!$A:$A,$A10,[1]全伝票!$B:$B,$B10),SUMIFS([1]全伝票!I:I,[1]全伝票!$A:$A,$A10,[1]全伝票!$C:$C,$C10)))</f>
        <v>520000</v>
      </c>
      <c r="F10" s="84">
        <f>+IF($A10="",IF($C10="",SUMIFS([1]全伝票!J:J,[1]全伝票!$B:$B,$B10),SUMIFS([1]全伝票!J:J,[1]全伝票!$C:$C,$C10)),IF($C10="",SUMIFS([1]全伝票!J:J,[1]全伝票!$A:$A,$A10,[1]全伝票!$B:$B,$B10),SUMIFS([1]全伝票!J:J,[1]全伝票!$A:$A,$A10,[1]全伝票!$C:$C,$C10)))</f>
        <v>0</v>
      </c>
      <c r="G10" s="83">
        <f>+IF($A10="",IF($C10="",SUMIFS([1]全伝票!K:K,[1]全伝票!$B:$B,$B10),SUMIFS([1]全伝票!K:K,[1]全伝票!$C:$C,$C10)),IF($C10="",SUMIFS([1]全伝票!K:K,[1]全伝票!$A:$A,$A10,[1]全伝票!$B:$B,$B10),SUMIFS([1]全伝票!K:K,[1]全伝票!$A:$A,$A10,[1]全伝票!$C:$C,$C10)))</f>
        <v>0</v>
      </c>
      <c r="H10" s="83">
        <f>+IF($A10="",IF($C10="",SUMIFS([1]全伝票!L:L,[1]全伝票!$B:$B,$B10),SUMIFS([1]全伝票!L:L,[1]全伝票!$C:$C,$C10)),IF($C10="",SUMIFS([1]全伝票!L:L,[1]全伝票!$A:$A,$A10,[1]全伝票!$B:$B,$B10),SUMIFS([1]全伝票!L:L,[1]全伝票!$A:$A,$A10,[1]全伝票!$C:$C,$C10)))</f>
        <v>0</v>
      </c>
      <c r="I10" s="83">
        <f>+IF($A10="",IF($C10="",SUMIFS([1]全伝票!M:M,[1]全伝票!$B:$B,$B10),SUMIFS([1]全伝票!M:M,[1]全伝票!$C:$C,$C10)),IF($C10="",SUMIFS([1]全伝票!M:M,[1]全伝票!$A:$A,$A10,[1]全伝票!$B:$B,$B10),SUMIFS([1]全伝票!M:M,[1]全伝票!$A:$A,$A10,[1]全伝票!$C:$C,$C10)))</f>
        <v>0</v>
      </c>
      <c r="J10" s="82">
        <f>+IF($A10="",IF($C10="",SUMIFS([1]全伝票!N:N,[1]全伝票!$B:$B,$B10),SUMIFS([1]全伝票!N:N,[1]全伝票!$C:$C,$C10)),IF($C10="",SUMIFS([1]全伝票!N:N,[1]全伝票!$A:$A,$A10,[1]全伝票!$B:$B,$B10),SUMIFS([1]全伝票!N:N,[1]全伝票!$A:$A,$A10,[1]全伝票!$C:$C,$C10)))</f>
        <v>0</v>
      </c>
      <c r="K10" s="45">
        <f>SUM(F10:J10)</f>
        <v>0</v>
      </c>
      <c r="L10" s="81">
        <f>+IF($A10="",IF($C10="",SUMIFS([1]全伝票!O:O,[1]全伝票!$B:$B,$B10),SUMIFS([1]全伝票!O:O,[1]全伝票!$C:$C,$C10)),IF($C10="",SUMIFS([1]全伝票!O:O,[1]全伝票!$A:$A,$A10,[1]全伝票!$B:$B,$B10),SUMIFS([1]全伝票!O:O,[1]全伝票!$A:$A,$A10,[1]全伝票!$C:$C,$C10)))</f>
        <v>0</v>
      </c>
      <c r="M10" s="81">
        <f>+IF($A10="",IF($C10="",SUMIFS([1]全伝票!P:P,[1]全伝票!$B:$B,$B10),SUMIFS([1]全伝票!P:P,[1]全伝票!$C:$C,$C10)),IF($C10="",SUMIFS([1]全伝票!P:P,[1]全伝票!$A:$A,$A10,[1]全伝票!$B:$B,$B10),SUMIFS([1]全伝票!P:P,[1]全伝票!$A:$A,$A10,[1]全伝票!$C:$C,$C10)))</f>
        <v>520000</v>
      </c>
      <c r="N10" s="43">
        <f t="shared" si="2"/>
        <v>0</v>
      </c>
      <c r="O10" s="42">
        <f t="shared" si="3"/>
        <v>0</v>
      </c>
      <c r="P10" s="42">
        <f t="shared" si="4"/>
        <v>0</v>
      </c>
      <c r="Q10" s="42">
        <f t="shared" si="4"/>
        <v>0</v>
      </c>
      <c r="R10" s="46">
        <f t="shared" si="5"/>
        <v>0</v>
      </c>
      <c r="S10" s="45">
        <f t="shared" si="6"/>
        <v>0</v>
      </c>
      <c r="T10" s="44">
        <f t="shared" si="7"/>
        <v>520000</v>
      </c>
      <c r="U10" s="31">
        <f t="shared" si="8"/>
        <v>0</v>
      </c>
      <c r="V10" s="31">
        <f t="shared" si="9"/>
        <v>0</v>
      </c>
      <c r="W10" s="31">
        <f t="shared" si="10"/>
        <v>0</v>
      </c>
      <c r="X10" s="31">
        <f t="shared" si="10"/>
        <v>0</v>
      </c>
      <c r="Y10" s="31">
        <f t="shared" si="11"/>
        <v>0</v>
      </c>
      <c r="Z10" s="30">
        <f t="shared" si="12"/>
        <v>0</v>
      </c>
      <c r="AA10" s="30">
        <f t="shared" si="13"/>
        <v>0</v>
      </c>
      <c r="AB10" s="30">
        <f t="shared" si="14"/>
        <v>0</v>
      </c>
      <c r="AC10" s="30">
        <f t="shared" si="14"/>
        <v>0</v>
      </c>
      <c r="AD10" s="30">
        <f t="shared" si="15"/>
        <v>0</v>
      </c>
      <c r="AE10" s="29"/>
      <c r="AF10" s="29"/>
      <c r="AG10" s="29"/>
      <c r="AH10" s="29"/>
      <c r="AI10" s="29"/>
    </row>
    <row r="11" spans="1:35" x14ac:dyDescent="0.15">
      <c r="A11" s="51"/>
      <c r="B11" s="50"/>
      <c r="C11" s="49"/>
      <c r="D11" s="106"/>
      <c r="E11" s="47"/>
      <c r="F11" s="43"/>
      <c r="G11" s="42"/>
      <c r="H11" s="42"/>
      <c r="I11" s="42"/>
      <c r="J11" s="46"/>
      <c r="K11" s="45"/>
      <c r="L11" s="47"/>
      <c r="M11" s="47"/>
      <c r="N11" s="43">
        <f t="shared" si="2"/>
        <v>0</v>
      </c>
      <c r="O11" s="42">
        <f t="shared" si="3"/>
        <v>0</v>
      </c>
      <c r="P11" s="42">
        <f t="shared" si="4"/>
        <v>0</v>
      </c>
      <c r="Q11" s="42">
        <f t="shared" si="4"/>
        <v>0</v>
      </c>
      <c r="R11" s="46">
        <f t="shared" si="5"/>
        <v>0</v>
      </c>
      <c r="S11" s="45">
        <f t="shared" si="6"/>
        <v>0</v>
      </c>
      <c r="T11" s="44">
        <f t="shared" si="7"/>
        <v>0</v>
      </c>
      <c r="U11" s="31">
        <f t="shared" si="8"/>
        <v>0</v>
      </c>
      <c r="V11" s="31">
        <f t="shared" si="9"/>
        <v>0</v>
      </c>
      <c r="W11" s="31">
        <f t="shared" si="10"/>
        <v>0</v>
      </c>
      <c r="X11" s="31">
        <f t="shared" si="10"/>
        <v>0</v>
      </c>
      <c r="Y11" s="31">
        <f t="shared" si="11"/>
        <v>0</v>
      </c>
      <c r="Z11" s="30">
        <f t="shared" si="12"/>
        <v>0</v>
      </c>
      <c r="AA11" s="30">
        <f t="shared" si="13"/>
        <v>0</v>
      </c>
      <c r="AB11" s="30">
        <f t="shared" si="14"/>
        <v>0</v>
      </c>
      <c r="AC11" s="30">
        <f t="shared" si="14"/>
        <v>0</v>
      </c>
      <c r="AD11" s="30">
        <f t="shared" si="15"/>
        <v>0</v>
      </c>
      <c r="AE11" s="29"/>
      <c r="AF11" s="29"/>
      <c r="AG11" s="29"/>
      <c r="AH11" s="29"/>
      <c r="AI11" s="29"/>
    </row>
    <row r="12" spans="1:35" x14ac:dyDescent="0.15">
      <c r="A12" s="51"/>
      <c r="B12" s="50"/>
      <c r="C12" s="49"/>
      <c r="D12" s="106" t="s">
        <v>350</v>
      </c>
      <c r="E12" s="47">
        <f t="shared" ref="E12:M12" si="18">+SUM(E13:E16)</f>
        <v>1159000</v>
      </c>
      <c r="F12" s="43">
        <f t="shared" si="18"/>
        <v>0</v>
      </c>
      <c r="G12" s="42">
        <f t="shared" si="18"/>
        <v>0</v>
      </c>
      <c r="H12" s="42">
        <f t="shared" si="18"/>
        <v>0</v>
      </c>
      <c r="I12" s="42">
        <f t="shared" ref="I12" si="19">+SUM(I13:I16)</f>
        <v>0</v>
      </c>
      <c r="J12" s="46">
        <f t="shared" si="18"/>
        <v>0</v>
      </c>
      <c r="K12" s="45">
        <f t="shared" si="18"/>
        <v>0</v>
      </c>
      <c r="L12" s="47">
        <f t="shared" si="18"/>
        <v>0</v>
      </c>
      <c r="M12" s="47">
        <f t="shared" si="18"/>
        <v>1159000</v>
      </c>
      <c r="N12" s="43">
        <f t="shared" si="2"/>
        <v>0</v>
      </c>
      <c r="O12" s="42">
        <f t="shared" si="3"/>
        <v>0</v>
      </c>
      <c r="P12" s="42">
        <f t="shared" si="4"/>
        <v>0</v>
      </c>
      <c r="Q12" s="42">
        <f t="shared" si="4"/>
        <v>0</v>
      </c>
      <c r="R12" s="46">
        <f t="shared" si="5"/>
        <v>0</v>
      </c>
      <c r="S12" s="45">
        <f t="shared" si="6"/>
        <v>0</v>
      </c>
      <c r="T12" s="44">
        <f t="shared" si="7"/>
        <v>1159000</v>
      </c>
      <c r="U12" s="31">
        <f t="shared" si="8"/>
        <v>0</v>
      </c>
      <c r="V12" s="31">
        <f t="shared" si="9"/>
        <v>0</v>
      </c>
      <c r="W12" s="31">
        <f t="shared" si="10"/>
        <v>0</v>
      </c>
      <c r="X12" s="31">
        <f t="shared" si="10"/>
        <v>0</v>
      </c>
      <c r="Y12" s="31">
        <f t="shared" si="11"/>
        <v>0</v>
      </c>
      <c r="Z12" s="30">
        <f t="shared" si="12"/>
        <v>0</v>
      </c>
      <c r="AA12" s="30">
        <f t="shared" si="13"/>
        <v>0</v>
      </c>
      <c r="AB12" s="30">
        <f t="shared" si="14"/>
        <v>0</v>
      </c>
      <c r="AC12" s="30">
        <f t="shared" si="14"/>
        <v>0</v>
      </c>
      <c r="AD12" s="30">
        <f t="shared" si="15"/>
        <v>0</v>
      </c>
      <c r="AE12" s="29"/>
      <c r="AF12" s="29"/>
      <c r="AG12" s="29"/>
      <c r="AH12" s="29"/>
      <c r="AI12" s="29"/>
    </row>
    <row r="13" spans="1:35" x14ac:dyDescent="0.15">
      <c r="A13" s="51">
        <v>1</v>
      </c>
      <c r="B13" s="50">
        <v>6170204</v>
      </c>
      <c r="C13" s="49"/>
      <c r="D13" s="106" t="s">
        <v>348</v>
      </c>
      <c r="E13" s="81">
        <f>+IF($A13="",IF($C13="",SUMIFS([1]全伝票!I:I,[1]全伝票!$B:$B,$B13),SUMIFS([1]全伝票!I:I,[1]全伝票!$C:$C,$C13)),IF($C13="",SUMIFS([1]全伝票!I:I,[1]全伝票!$A:$A,$A13,[1]全伝票!$B:$B,$B13),SUMIFS([1]全伝票!I:I,[1]全伝票!$A:$A,$A13,[1]全伝票!$C:$C,$C13)))</f>
        <v>874000</v>
      </c>
      <c r="F13" s="84">
        <f>+IF($A13="",IF($C13="",SUMIFS([1]全伝票!J:J,[1]全伝票!$B:$B,$B13),SUMIFS([1]全伝票!J:J,[1]全伝票!$C:$C,$C13)),IF($C13="",SUMIFS([1]全伝票!J:J,[1]全伝票!$A:$A,$A13,[1]全伝票!$B:$B,$B13),SUMIFS([1]全伝票!J:J,[1]全伝票!$A:$A,$A13,[1]全伝票!$C:$C,$C13)))</f>
        <v>0</v>
      </c>
      <c r="G13" s="83">
        <f>+IF($A13="",IF($C13="",SUMIFS([1]全伝票!K:K,[1]全伝票!$B:$B,$B13),SUMIFS([1]全伝票!K:K,[1]全伝票!$C:$C,$C13)),IF($C13="",SUMIFS([1]全伝票!K:K,[1]全伝票!$A:$A,$A13,[1]全伝票!$B:$B,$B13),SUMIFS([1]全伝票!K:K,[1]全伝票!$A:$A,$A13,[1]全伝票!$C:$C,$C13)))</f>
        <v>0</v>
      </c>
      <c r="H13" s="83">
        <f>+IF($A13="",IF($C13="",SUMIFS([1]全伝票!L:L,[1]全伝票!$B:$B,$B13),SUMIFS([1]全伝票!L:L,[1]全伝票!$C:$C,$C13)),IF($C13="",SUMIFS([1]全伝票!L:L,[1]全伝票!$A:$A,$A13,[1]全伝票!$B:$B,$B13),SUMIFS([1]全伝票!L:L,[1]全伝票!$A:$A,$A13,[1]全伝票!$C:$C,$C13)))</f>
        <v>0</v>
      </c>
      <c r="I13" s="83">
        <f>+IF($A13="",IF($C13="",SUMIFS([1]全伝票!M:M,[1]全伝票!$B:$B,$B13),SUMIFS([1]全伝票!M:M,[1]全伝票!$C:$C,$C13)),IF($C13="",SUMIFS([1]全伝票!M:M,[1]全伝票!$A:$A,$A13,[1]全伝票!$B:$B,$B13),SUMIFS([1]全伝票!M:M,[1]全伝票!$A:$A,$A13,[1]全伝票!$C:$C,$C13)))</f>
        <v>0</v>
      </c>
      <c r="J13" s="82">
        <f>+IF($A13="",IF($C13="",SUMIFS([1]全伝票!N:N,[1]全伝票!$B:$B,$B13),SUMIFS([1]全伝票!N:N,[1]全伝票!$C:$C,$C13)),IF($C13="",SUMIFS([1]全伝票!N:N,[1]全伝票!$A:$A,$A13,[1]全伝票!$B:$B,$B13),SUMIFS([1]全伝票!N:N,[1]全伝票!$A:$A,$A13,[1]全伝票!$C:$C,$C13)))</f>
        <v>0</v>
      </c>
      <c r="K13" s="45">
        <f>SUM(F13:J13)</f>
        <v>0</v>
      </c>
      <c r="L13" s="81">
        <f>+IF($A13="",IF($C13="",SUMIFS([1]全伝票!O:O,[1]全伝票!$B:$B,$B13),SUMIFS([1]全伝票!O:O,[1]全伝票!$C:$C,$C13)),IF($C13="",SUMIFS([1]全伝票!O:O,[1]全伝票!$A:$A,$A13,[1]全伝票!$B:$B,$B13),SUMIFS([1]全伝票!O:O,[1]全伝票!$A:$A,$A13,[1]全伝票!$C:$C,$C13)))</f>
        <v>0</v>
      </c>
      <c r="M13" s="81">
        <f>+IF($A13="",IF($C13="",SUMIFS([1]全伝票!P:P,[1]全伝票!$B:$B,$B13),SUMIFS([1]全伝票!P:P,[1]全伝票!$C:$C,$C13)),IF($C13="",SUMIFS([1]全伝票!P:P,[1]全伝票!$A:$A,$A13,[1]全伝票!$B:$B,$B13),SUMIFS([1]全伝票!P:P,[1]全伝票!$A:$A,$A13,[1]全伝票!$C:$C,$C13)))</f>
        <v>874000</v>
      </c>
      <c r="N13" s="43">
        <f t="shared" si="2"/>
        <v>0</v>
      </c>
      <c r="O13" s="42">
        <f t="shared" si="3"/>
        <v>0</v>
      </c>
      <c r="P13" s="42">
        <f t="shared" si="4"/>
        <v>0</v>
      </c>
      <c r="Q13" s="42">
        <f t="shared" si="4"/>
        <v>0</v>
      </c>
      <c r="R13" s="46">
        <f t="shared" si="5"/>
        <v>0</v>
      </c>
      <c r="S13" s="45">
        <f t="shared" si="6"/>
        <v>0</v>
      </c>
      <c r="T13" s="44">
        <f t="shared" si="7"/>
        <v>874000</v>
      </c>
      <c r="U13" s="31">
        <f t="shared" si="8"/>
        <v>0</v>
      </c>
      <c r="V13" s="31">
        <f t="shared" si="9"/>
        <v>0</v>
      </c>
      <c r="W13" s="31">
        <f t="shared" si="10"/>
        <v>0</v>
      </c>
      <c r="X13" s="31">
        <f t="shared" si="10"/>
        <v>0</v>
      </c>
      <c r="Y13" s="31">
        <f t="shared" si="11"/>
        <v>0</v>
      </c>
      <c r="Z13" s="30">
        <f t="shared" si="12"/>
        <v>0</v>
      </c>
      <c r="AA13" s="30">
        <f t="shared" si="13"/>
        <v>0</v>
      </c>
      <c r="AB13" s="30">
        <f t="shared" si="14"/>
        <v>0</v>
      </c>
      <c r="AC13" s="30">
        <f t="shared" si="14"/>
        <v>0</v>
      </c>
      <c r="AD13" s="30">
        <f t="shared" si="15"/>
        <v>0</v>
      </c>
      <c r="AE13" s="29"/>
      <c r="AF13" s="29"/>
      <c r="AG13" s="29"/>
      <c r="AH13" s="29"/>
      <c r="AI13" s="29"/>
    </row>
    <row r="14" spans="1:35" x14ac:dyDescent="0.15">
      <c r="A14" s="51">
        <v>2</v>
      </c>
      <c r="B14" s="50">
        <v>6170210</v>
      </c>
      <c r="C14" s="49"/>
      <c r="D14" s="106" t="s">
        <v>347</v>
      </c>
      <c r="E14" s="81">
        <f>+IF($A14="",IF($C14="",SUMIFS([1]全伝票!I:I,[1]全伝票!$B:$B,$B14),SUMIFS([1]全伝票!I:I,[1]全伝票!$C:$C,$C14)),IF($C14="",SUMIFS([1]全伝票!I:I,[1]全伝票!$A:$A,$A14,[1]全伝票!$B:$B,$B14),SUMIFS([1]全伝票!I:I,[1]全伝票!$A:$A,$A14,[1]全伝票!$C:$C,$C14)))</f>
        <v>0</v>
      </c>
      <c r="F14" s="84">
        <f>+IF($A14="",IF($C14="",SUMIFS([1]全伝票!J:J,[1]全伝票!$B:$B,$B14),SUMIFS([1]全伝票!J:J,[1]全伝票!$C:$C,$C14)),IF($C14="",SUMIFS([1]全伝票!J:J,[1]全伝票!$A:$A,$A14,[1]全伝票!$B:$B,$B14),SUMIFS([1]全伝票!J:J,[1]全伝票!$A:$A,$A14,[1]全伝票!$C:$C,$C14)))</f>
        <v>0</v>
      </c>
      <c r="G14" s="83">
        <f>+IF($A14="",IF($C14="",SUMIFS([1]全伝票!K:K,[1]全伝票!$B:$B,$B14),SUMIFS([1]全伝票!K:K,[1]全伝票!$C:$C,$C14)),IF($C14="",SUMIFS([1]全伝票!K:K,[1]全伝票!$A:$A,$A14,[1]全伝票!$B:$B,$B14),SUMIFS([1]全伝票!K:K,[1]全伝票!$A:$A,$A14,[1]全伝票!$C:$C,$C14)))</f>
        <v>0</v>
      </c>
      <c r="H14" s="83">
        <f>+IF($A14="",IF($C14="",SUMIFS([1]全伝票!L:L,[1]全伝票!$B:$B,$B14),SUMIFS([1]全伝票!L:L,[1]全伝票!$C:$C,$C14)),IF($C14="",SUMIFS([1]全伝票!L:L,[1]全伝票!$A:$A,$A14,[1]全伝票!$B:$B,$B14),SUMIFS([1]全伝票!L:L,[1]全伝票!$A:$A,$A14,[1]全伝票!$C:$C,$C14)))</f>
        <v>0</v>
      </c>
      <c r="I14" s="83">
        <f>+IF($A14="",IF($C14="",SUMIFS([1]全伝票!M:M,[1]全伝票!$B:$B,$B14),SUMIFS([1]全伝票!M:M,[1]全伝票!$C:$C,$C14)),IF($C14="",SUMIFS([1]全伝票!M:M,[1]全伝票!$A:$A,$A14,[1]全伝票!$B:$B,$B14),SUMIFS([1]全伝票!M:M,[1]全伝票!$A:$A,$A14,[1]全伝票!$C:$C,$C14)))</f>
        <v>0</v>
      </c>
      <c r="J14" s="82">
        <f>+IF($A14="",IF($C14="",SUMIFS([1]全伝票!N:N,[1]全伝票!$B:$B,$B14),SUMIFS([1]全伝票!N:N,[1]全伝票!$C:$C,$C14)),IF($C14="",SUMIFS([1]全伝票!N:N,[1]全伝票!$A:$A,$A14,[1]全伝票!$B:$B,$B14),SUMIFS([1]全伝票!N:N,[1]全伝票!$A:$A,$A14,[1]全伝票!$C:$C,$C14)))</f>
        <v>0</v>
      </c>
      <c r="K14" s="45">
        <f>SUM(F14:J14)</f>
        <v>0</v>
      </c>
      <c r="L14" s="81">
        <f>+IF($A14="",IF($C14="",SUMIFS([1]全伝票!O:O,[1]全伝票!$B:$B,$B14),SUMIFS([1]全伝票!O:O,[1]全伝票!$C:$C,$C14)),IF($C14="",SUMIFS([1]全伝票!O:O,[1]全伝票!$A:$A,$A14,[1]全伝票!$B:$B,$B14),SUMIFS([1]全伝票!O:O,[1]全伝票!$A:$A,$A14,[1]全伝票!$C:$C,$C14)))</f>
        <v>0</v>
      </c>
      <c r="M14" s="81">
        <f>+IF($A14="",IF($C14="",SUMIFS([1]全伝票!P:P,[1]全伝票!$B:$B,$B14),SUMIFS([1]全伝票!P:P,[1]全伝票!$C:$C,$C14)),IF($C14="",SUMIFS([1]全伝票!P:P,[1]全伝票!$A:$A,$A14,[1]全伝票!$B:$B,$B14),SUMIFS([1]全伝票!P:P,[1]全伝票!$A:$A,$A14,[1]全伝票!$C:$C,$C14)))</f>
        <v>0</v>
      </c>
      <c r="N14" s="43">
        <f t="shared" si="2"/>
        <v>0</v>
      </c>
      <c r="O14" s="42">
        <f t="shared" si="3"/>
        <v>0</v>
      </c>
      <c r="P14" s="42">
        <f t="shared" si="4"/>
        <v>0</v>
      </c>
      <c r="Q14" s="42">
        <f t="shared" si="4"/>
        <v>0</v>
      </c>
      <c r="R14" s="46">
        <f t="shared" si="5"/>
        <v>0</v>
      </c>
      <c r="S14" s="45">
        <f t="shared" si="6"/>
        <v>0</v>
      </c>
      <c r="T14" s="44">
        <f t="shared" si="7"/>
        <v>0</v>
      </c>
      <c r="U14" s="31">
        <f t="shared" si="8"/>
        <v>0</v>
      </c>
      <c r="V14" s="31">
        <f t="shared" si="9"/>
        <v>0</v>
      </c>
      <c r="W14" s="31">
        <f t="shared" si="10"/>
        <v>0</v>
      </c>
      <c r="X14" s="31">
        <f t="shared" si="10"/>
        <v>0</v>
      </c>
      <c r="Y14" s="31">
        <f t="shared" si="11"/>
        <v>0</v>
      </c>
      <c r="Z14" s="30">
        <f t="shared" si="12"/>
        <v>0</v>
      </c>
      <c r="AA14" s="30">
        <f t="shared" si="13"/>
        <v>0</v>
      </c>
      <c r="AB14" s="30">
        <f t="shared" si="14"/>
        <v>0</v>
      </c>
      <c r="AC14" s="30">
        <f t="shared" si="14"/>
        <v>0</v>
      </c>
      <c r="AD14" s="30">
        <f t="shared" si="15"/>
        <v>0</v>
      </c>
      <c r="AE14" s="29"/>
      <c r="AF14" s="29"/>
      <c r="AG14" s="29"/>
      <c r="AH14" s="29"/>
      <c r="AI14" s="29"/>
    </row>
    <row r="15" spans="1:35" x14ac:dyDescent="0.15">
      <c r="A15" s="51">
        <v>3</v>
      </c>
      <c r="B15" s="50">
        <v>6170216</v>
      </c>
      <c r="C15" s="49"/>
      <c r="D15" s="106" t="s">
        <v>346</v>
      </c>
      <c r="E15" s="81">
        <f>+IF($A15="",IF($C15="",SUMIFS([1]全伝票!I:I,[1]全伝票!$B:$B,$B15),SUMIFS([1]全伝票!I:I,[1]全伝票!$C:$C,$C15)),IF($C15="",SUMIFS([1]全伝票!I:I,[1]全伝票!$A:$A,$A15,[1]全伝票!$B:$B,$B15),SUMIFS([1]全伝票!I:I,[1]全伝票!$A:$A,$A15,[1]全伝票!$C:$C,$C15)))</f>
        <v>285000</v>
      </c>
      <c r="F15" s="84">
        <f>+IF($A15="",IF($C15="",SUMIFS([1]全伝票!J:J,[1]全伝票!$B:$B,$B15),SUMIFS([1]全伝票!J:J,[1]全伝票!$C:$C,$C15)),IF($C15="",SUMIFS([1]全伝票!J:J,[1]全伝票!$A:$A,$A15,[1]全伝票!$B:$B,$B15),SUMIFS([1]全伝票!J:J,[1]全伝票!$A:$A,$A15,[1]全伝票!$C:$C,$C15)))</f>
        <v>0</v>
      </c>
      <c r="G15" s="83">
        <f>+IF($A15="",IF($C15="",SUMIFS([1]全伝票!K:K,[1]全伝票!$B:$B,$B15),SUMIFS([1]全伝票!K:K,[1]全伝票!$C:$C,$C15)),IF($C15="",SUMIFS([1]全伝票!K:K,[1]全伝票!$A:$A,$A15,[1]全伝票!$B:$B,$B15),SUMIFS([1]全伝票!K:K,[1]全伝票!$A:$A,$A15,[1]全伝票!$C:$C,$C15)))</f>
        <v>0</v>
      </c>
      <c r="H15" s="83">
        <f>+IF($A15="",IF($C15="",SUMIFS([1]全伝票!L:L,[1]全伝票!$B:$B,$B15),SUMIFS([1]全伝票!L:L,[1]全伝票!$C:$C,$C15)),IF($C15="",SUMIFS([1]全伝票!L:L,[1]全伝票!$A:$A,$A15,[1]全伝票!$B:$B,$B15),SUMIFS([1]全伝票!L:L,[1]全伝票!$A:$A,$A15,[1]全伝票!$C:$C,$C15)))</f>
        <v>0</v>
      </c>
      <c r="I15" s="83">
        <f>+IF($A15="",IF($C15="",SUMIFS([1]全伝票!M:M,[1]全伝票!$B:$B,$B15),SUMIFS([1]全伝票!M:M,[1]全伝票!$C:$C,$C15)),IF($C15="",SUMIFS([1]全伝票!M:M,[1]全伝票!$A:$A,$A15,[1]全伝票!$B:$B,$B15),SUMIFS([1]全伝票!M:M,[1]全伝票!$A:$A,$A15,[1]全伝票!$C:$C,$C15)))</f>
        <v>0</v>
      </c>
      <c r="J15" s="82">
        <f>+IF($A15="",IF($C15="",SUMIFS([1]全伝票!N:N,[1]全伝票!$B:$B,$B15),SUMIFS([1]全伝票!N:N,[1]全伝票!$C:$C,$C15)),IF($C15="",SUMIFS([1]全伝票!N:N,[1]全伝票!$A:$A,$A15,[1]全伝票!$B:$B,$B15),SUMIFS([1]全伝票!N:N,[1]全伝票!$A:$A,$A15,[1]全伝票!$C:$C,$C15)))</f>
        <v>0</v>
      </c>
      <c r="K15" s="45">
        <f>SUM(F15:J15)</f>
        <v>0</v>
      </c>
      <c r="L15" s="81">
        <f>+IF($A15="",IF($C15="",SUMIFS([1]全伝票!O:O,[1]全伝票!$B:$B,$B15),SUMIFS([1]全伝票!O:O,[1]全伝票!$C:$C,$C15)),IF($C15="",SUMIFS([1]全伝票!O:O,[1]全伝票!$A:$A,$A15,[1]全伝票!$B:$B,$B15),SUMIFS([1]全伝票!O:O,[1]全伝票!$A:$A,$A15,[1]全伝票!$C:$C,$C15)))</f>
        <v>0</v>
      </c>
      <c r="M15" s="81">
        <f>+IF($A15="",IF($C15="",SUMIFS([1]全伝票!P:P,[1]全伝票!$B:$B,$B15),SUMIFS([1]全伝票!P:P,[1]全伝票!$C:$C,$C15)),IF($C15="",SUMIFS([1]全伝票!P:P,[1]全伝票!$A:$A,$A15,[1]全伝票!$B:$B,$B15),SUMIFS([1]全伝票!P:P,[1]全伝票!$A:$A,$A15,[1]全伝票!$C:$C,$C15)))</f>
        <v>285000</v>
      </c>
      <c r="N15" s="43">
        <f t="shared" si="2"/>
        <v>0</v>
      </c>
      <c r="O15" s="42">
        <f t="shared" si="3"/>
        <v>0</v>
      </c>
      <c r="P15" s="42">
        <f t="shared" si="4"/>
        <v>0</v>
      </c>
      <c r="Q15" s="42">
        <f t="shared" si="4"/>
        <v>0</v>
      </c>
      <c r="R15" s="46">
        <f t="shared" si="5"/>
        <v>0</v>
      </c>
      <c r="S15" s="45">
        <f t="shared" si="6"/>
        <v>0</v>
      </c>
      <c r="T15" s="44">
        <f t="shared" si="7"/>
        <v>285000</v>
      </c>
      <c r="U15" s="31">
        <f t="shared" si="8"/>
        <v>0</v>
      </c>
      <c r="V15" s="31">
        <f t="shared" si="9"/>
        <v>0</v>
      </c>
      <c r="W15" s="31">
        <f t="shared" si="10"/>
        <v>0</v>
      </c>
      <c r="X15" s="31">
        <f t="shared" si="10"/>
        <v>0</v>
      </c>
      <c r="Y15" s="31">
        <f t="shared" si="11"/>
        <v>0</v>
      </c>
      <c r="Z15" s="30">
        <f t="shared" si="12"/>
        <v>0</v>
      </c>
      <c r="AA15" s="30">
        <f t="shared" si="13"/>
        <v>0</v>
      </c>
      <c r="AB15" s="30">
        <f t="shared" si="14"/>
        <v>0</v>
      </c>
      <c r="AC15" s="30">
        <f t="shared" si="14"/>
        <v>0</v>
      </c>
      <c r="AD15" s="30">
        <f t="shared" si="15"/>
        <v>0</v>
      </c>
      <c r="AE15" s="29"/>
      <c r="AF15" s="29"/>
      <c r="AG15" s="29"/>
      <c r="AH15" s="29"/>
      <c r="AI15" s="29"/>
    </row>
    <row r="16" spans="1:35" x14ac:dyDescent="0.15">
      <c r="A16" s="51">
        <v>4</v>
      </c>
      <c r="B16" s="50">
        <v>6170222</v>
      </c>
      <c r="C16" s="49"/>
      <c r="D16" s="106" t="s">
        <v>345</v>
      </c>
      <c r="E16" s="81">
        <f>+IF($A16="",IF($C16="",SUMIFS([1]全伝票!I:I,[1]全伝票!$B:$B,$B16),SUMIFS([1]全伝票!I:I,[1]全伝票!$C:$C,$C16)),IF($C16="",SUMIFS([1]全伝票!I:I,[1]全伝票!$A:$A,$A16,[1]全伝票!$B:$B,$B16),SUMIFS([1]全伝票!I:I,[1]全伝票!$A:$A,$A16,[1]全伝票!$C:$C,$C16)))</f>
        <v>0</v>
      </c>
      <c r="F16" s="84">
        <f>+IF($A16="",IF($C16="",SUMIFS([1]全伝票!J:J,[1]全伝票!$B:$B,$B16),SUMIFS([1]全伝票!J:J,[1]全伝票!$C:$C,$C16)),IF($C16="",SUMIFS([1]全伝票!J:J,[1]全伝票!$A:$A,$A16,[1]全伝票!$B:$B,$B16),SUMIFS([1]全伝票!J:J,[1]全伝票!$A:$A,$A16,[1]全伝票!$C:$C,$C16)))</f>
        <v>0</v>
      </c>
      <c r="G16" s="83">
        <f>+IF($A16="",IF($C16="",SUMIFS([1]全伝票!K:K,[1]全伝票!$B:$B,$B16),SUMIFS([1]全伝票!K:K,[1]全伝票!$C:$C,$C16)),IF($C16="",SUMIFS([1]全伝票!K:K,[1]全伝票!$A:$A,$A16,[1]全伝票!$B:$B,$B16),SUMIFS([1]全伝票!K:K,[1]全伝票!$A:$A,$A16,[1]全伝票!$C:$C,$C16)))</f>
        <v>0</v>
      </c>
      <c r="H16" s="83">
        <f>+IF($A16="",IF($C16="",SUMIFS([1]全伝票!L:L,[1]全伝票!$B:$B,$B16),SUMIFS([1]全伝票!L:L,[1]全伝票!$C:$C,$C16)),IF($C16="",SUMIFS([1]全伝票!L:L,[1]全伝票!$A:$A,$A16,[1]全伝票!$B:$B,$B16),SUMIFS([1]全伝票!L:L,[1]全伝票!$A:$A,$A16,[1]全伝票!$C:$C,$C16)))</f>
        <v>0</v>
      </c>
      <c r="I16" s="83">
        <f>+IF($A16="",IF($C16="",SUMIFS([1]全伝票!M:M,[1]全伝票!$B:$B,$B16),SUMIFS([1]全伝票!M:M,[1]全伝票!$C:$C,$C16)),IF($C16="",SUMIFS([1]全伝票!M:M,[1]全伝票!$A:$A,$A16,[1]全伝票!$B:$B,$B16),SUMIFS([1]全伝票!M:M,[1]全伝票!$A:$A,$A16,[1]全伝票!$C:$C,$C16)))</f>
        <v>0</v>
      </c>
      <c r="J16" s="82">
        <f>+IF($A16="",IF($C16="",SUMIFS([1]全伝票!N:N,[1]全伝票!$B:$B,$B16),SUMIFS([1]全伝票!N:N,[1]全伝票!$C:$C,$C16)),IF($C16="",SUMIFS([1]全伝票!N:N,[1]全伝票!$A:$A,$A16,[1]全伝票!$B:$B,$B16),SUMIFS([1]全伝票!N:N,[1]全伝票!$A:$A,$A16,[1]全伝票!$C:$C,$C16)))</f>
        <v>0</v>
      </c>
      <c r="K16" s="45">
        <f>SUM(F16:J16)</f>
        <v>0</v>
      </c>
      <c r="L16" s="81">
        <f>+IF($A16="",IF($C16="",SUMIFS([1]全伝票!O:O,[1]全伝票!$B:$B,$B16),SUMIFS([1]全伝票!O:O,[1]全伝票!$C:$C,$C16)),IF($C16="",SUMIFS([1]全伝票!O:O,[1]全伝票!$A:$A,$A16,[1]全伝票!$B:$B,$B16),SUMIFS([1]全伝票!O:O,[1]全伝票!$A:$A,$A16,[1]全伝票!$C:$C,$C16)))</f>
        <v>0</v>
      </c>
      <c r="M16" s="81">
        <f>+IF($A16="",IF($C16="",SUMIFS([1]全伝票!P:P,[1]全伝票!$B:$B,$B16),SUMIFS([1]全伝票!P:P,[1]全伝票!$C:$C,$C16)),IF($C16="",SUMIFS([1]全伝票!P:P,[1]全伝票!$A:$A,$A16,[1]全伝票!$B:$B,$B16),SUMIFS([1]全伝票!P:P,[1]全伝票!$A:$A,$A16,[1]全伝票!$C:$C,$C16)))</f>
        <v>0</v>
      </c>
      <c r="N16" s="43">
        <f t="shared" si="2"/>
        <v>0</v>
      </c>
      <c r="O16" s="42">
        <f t="shared" si="3"/>
        <v>0</v>
      </c>
      <c r="P16" s="42">
        <f t="shared" si="4"/>
        <v>0</v>
      </c>
      <c r="Q16" s="42">
        <f t="shared" si="4"/>
        <v>0</v>
      </c>
      <c r="R16" s="46">
        <f t="shared" si="5"/>
        <v>0</v>
      </c>
      <c r="S16" s="45">
        <f t="shared" si="6"/>
        <v>0</v>
      </c>
      <c r="T16" s="44">
        <f t="shared" si="7"/>
        <v>0</v>
      </c>
      <c r="U16" s="31">
        <f t="shared" si="8"/>
        <v>0</v>
      </c>
      <c r="V16" s="31">
        <f t="shared" si="9"/>
        <v>0</v>
      </c>
      <c r="W16" s="31">
        <f t="shared" si="10"/>
        <v>0</v>
      </c>
      <c r="X16" s="31">
        <f t="shared" si="10"/>
        <v>0</v>
      </c>
      <c r="Y16" s="31">
        <f t="shared" si="11"/>
        <v>0</v>
      </c>
      <c r="Z16" s="30">
        <f t="shared" si="12"/>
        <v>0</v>
      </c>
      <c r="AA16" s="30">
        <f t="shared" si="13"/>
        <v>0</v>
      </c>
      <c r="AB16" s="30">
        <f t="shared" si="14"/>
        <v>0</v>
      </c>
      <c r="AC16" s="30">
        <f t="shared" si="14"/>
        <v>0</v>
      </c>
      <c r="AD16" s="30">
        <f t="shared" si="15"/>
        <v>0</v>
      </c>
      <c r="AE16" s="29"/>
      <c r="AF16" s="29"/>
      <c r="AG16" s="29"/>
      <c r="AH16" s="29"/>
      <c r="AI16" s="29"/>
    </row>
    <row r="17" spans="1:35" x14ac:dyDescent="0.15">
      <c r="A17" s="51"/>
      <c r="B17" s="50"/>
      <c r="C17" s="49"/>
      <c r="D17" s="106"/>
      <c r="E17" s="47"/>
      <c r="F17" s="43"/>
      <c r="G17" s="42"/>
      <c r="H17" s="42"/>
      <c r="I17" s="42"/>
      <c r="J17" s="46"/>
      <c r="K17" s="45"/>
      <c r="L17" s="47"/>
      <c r="M17" s="47"/>
      <c r="N17" s="43">
        <f t="shared" si="2"/>
        <v>0</v>
      </c>
      <c r="O17" s="42">
        <f t="shared" si="3"/>
        <v>0</v>
      </c>
      <c r="P17" s="42">
        <f t="shared" si="4"/>
        <v>0</v>
      </c>
      <c r="Q17" s="42">
        <f t="shared" si="4"/>
        <v>0</v>
      </c>
      <c r="R17" s="46">
        <f t="shared" si="5"/>
        <v>0</v>
      </c>
      <c r="S17" s="45">
        <f t="shared" si="6"/>
        <v>0</v>
      </c>
      <c r="T17" s="44">
        <f t="shared" si="7"/>
        <v>0</v>
      </c>
      <c r="U17" s="31">
        <f t="shared" si="8"/>
        <v>0</v>
      </c>
      <c r="V17" s="31">
        <f t="shared" si="9"/>
        <v>0</v>
      </c>
      <c r="W17" s="31">
        <f t="shared" si="10"/>
        <v>0</v>
      </c>
      <c r="X17" s="31">
        <f t="shared" si="10"/>
        <v>0</v>
      </c>
      <c r="Y17" s="31">
        <f t="shared" si="11"/>
        <v>0</v>
      </c>
      <c r="Z17" s="30">
        <f t="shared" si="12"/>
        <v>0</v>
      </c>
      <c r="AA17" s="30">
        <f t="shared" si="13"/>
        <v>0</v>
      </c>
      <c r="AB17" s="30">
        <f t="shared" si="14"/>
        <v>0</v>
      </c>
      <c r="AC17" s="30">
        <f t="shared" si="14"/>
        <v>0</v>
      </c>
      <c r="AD17" s="30">
        <f t="shared" si="15"/>
        <v>0</v>
      </c>
      <c r="AE17" s="29"/>
      <c r="AF17" s="29"/>
      <c r="AG17" s="29"/>
      <c r="AH17" s="29"/>
      <c r="AI17" s="29"/>
    </row>
    <row r="18" spans="1:35" x14ac:dyDescent="0.15">
      <c r="A18" s="51"/>
      <c r="B18" s="50"/>
      <c r="C18" s="49"/>
      <c r="D18" s="106" t="s">
        <v>349</v>
      </c>
      <c r="E18" s="47">
        <f t="shared" ref="E18:M18" si="20">+SUM(E19:E22)</f>
        <v>0</v>
      </c>
      <c r="F18" s="43">
        <f t="shared" si="20"/>
        <v>0</v>
      </c>
      <c r="G18" s="42">
        <f t="shared" si="20"/>
        <v>0</v>
      </c>
      <c r="H18" s="42">
        <f t="shared" si="20"/>
        <v>0</v>
      </c>
      <c r="I18" s="42">
        <f t="shared" ref="I18" si="21">+SUM(I19:I22)</f>
        <v>0</v>
      </c>
      <c r="J18" s="46">
        <f t="shared" si="20"/>
        <v>0</v>
      </c>
      <c r="K18" s="45">
        <f t="shared" si="20"/>
        <v>0</v>
      </c>
      <c r="L18" s="47">
        <f t="shared" si="20"/>
        <v>0</v>
      </c>
      <c r="M18" s="47">
        <f t="shared" si="20"/>
        <v>0</v>
      </c>
      <c r="N18" s="43">
        <f t="shared" si="2"/>
        <v>0</v>
      </c>
      <c r="O18" s="42">
        <f t="shared" si="3"/>
        <v>0</v>
      </c>
      <c r="P18" s="42">
        <f t="shared" si="4"/>
        <v>0</v>
      </c>
      <c r="Q18" s="42">
        <f t="shared" si="4"/>
        <v>0</v>
      </c>
      <c r="R18" s="46">
        <f t="shared" si="5"/>
        <v>0</v>
      </c>
      <c r="S18" s="45">
        <f t="shared" si="6"/>
        <v>0</v>
      </c>
      <c r="T18" s="44">
        <f t="shared" si="7"/>
        <v>0</v>
      </c>
      <c r="U18" s="31">
        <f t="shared" si="8"/>
        <v>0</v>
      </c>
      <c r="V18" s="31">
        <f t="shared" si="9"/>
        <v>0</v>
      </c>
      <c r="W18" s="31">
        <f t="shared" si="10"/>
        <v>0</v>
      </c>
      <c r="X18" s="31">
        <f t="shared" si="10"/>
        <v>0</v>
      </c>
      <c r="Y18" s="31">
        <f t="shared" si="11"/>
        <v>0</v>
      </c>
      <c r="Z18" s="30">
        <f t="shared" si="12"/>
        <v>0</v>
      </c>
      <c r="AA18" s="30">
        <f t="shared" si="13"/>
        <v>0</v>
      </c>
      <c r="AB18" s="30">
        <f t="shared" si="14"/>
        <v>0</v>
      </c>
      <c r="AC18" s="30">
        <f t="shared" si="14"/>
        <v>0</v>
      </c>
      <c r="AD18" s="30">
        <f t="shared" si="15"/>
        <v>0</v>
      </c>
      <c r="AE18" s="29"/>
      <c r="AF18" s="29"/>
      <c r="AG18" s="29"/>
      <c r="AH18" s="29"/>
      <c r="AI18" s="29"/>
    </row>
    <row r="19" spans="1:35" x14ac:dyDescent="0.15">
      <c r="A19" s="51">
        <v>1</v>
      </c>
      <c r="B19" s="50">
        <v>6170206</v>
      </c>
      <c r="C19" s="49"/>
      <c r="D19" s="106" t="s">
        <v>348</v>
      </c>
      <c r="E19" s="81">
        <f>+IF($A19="",IF($C19="",SUMIFS([1]全伝票!I:I,[1]全伝票!$B:$B,$B19),SUMIFS([1]全伝票!I:I,[1]全伝票!$C:$C,$C19)),IF($C19="",SUMIFS([1]全伝票!I:I,[1]全伝票!$A:$A,$A19,[1]全伝票!$B:$B,$B19),SUMIFS([1]全伝票!I:I,[1]全伝票!$A:$A,$A19,[1]全伝票!$C:$C,$C19)))</f>
        <v>0</v>
      </c>
      <c r="F19" s="84">
        <f>+IF($A19="",IF($C19="",SUMIFS([1]全伝票!J:J,[1]全伝票!$B:$B,$B19),SUMIFS([1]全伝票!J:J,[1]全伝票!$C:$C,$C19)),IF($C19="",SUMIFS([1]全伝票!J:J,[1]全伝票!$A:$A,$A19,[1]全伝票!$B:$B,$B19),SUMIFS([1]全伝票!J:J,[1]全伝票!$A:$A,$A19,[1]全伝票!$C:$C,$C19)))</f>
        <v>0</v>
      </c>
      <c r="G19" s="83">
        <f>+IF($A19="",IF($C19="",SUMIFS([1]全伝票!K:K,[1]全伝票!$B:$B,$B19),SUMIFS([1]全伝票!K:K,[1]全伝票!$C:$C,$C19)),IF($C19="",SUMIFS([1]全伝票!K:K,[1]全伝票!$A:$A,$A19,[1]全伝票!$B:$B,$B19),SUMIFS([1]全伝票!K:K,[1]全伝票!$A:$A,$A19,[1]全伝票!$C:$C,$C19)))</f>
        <v>0</v>
      </c>
      <c r="H19" s="83">
        <f>+IF($A19="",IF($C19="",SUMIFS([1]全伝票!L:L,[1]全伝票!$B:$B,$B19),SUMIFS([1]全伝票!L:L,[1]全伝票!$C:$C,$C19)),IF($C19="",SUMIFS([1]全伝票!L:L,[1]全伝票!$A:$A,$A19,[1]全伝票!$B:$B,$B19),SUMIFS([1]全伝票!L:L,[1]全伝票!$A:$A,$A19,[1]全伝票!$C:$C,$C19)))</f>
        <v>0</v>
      </c>
      <c r="I19" s="83">
        <f>+IF($A19="",IF($C19="",SUMIFS([1]全伝票!M:M,[1]全伝票!$B:$B,$B19),SUMIFS([1]全伝票!M:M,[1]全伝票!$C:$C,$C19)),IF($C19="",SUMIFS([1]全伝票!M:M,[1]全伝票!$A:$A,$A19,[1]全伝票!$B:$B,$B19),SUMIFS([1]全伝票!M:M,[1]全伝票!$A:$A,$A19,[1]全伝票!$C:$C,$C19)))</f>
        <v>0</v>
      </c>
      <c r="J19" s="82">
        <f>+IF($A19="",IF($C19="",SUMIFS([1]全伝票!N:N,[1]全伝票!$B:$B,$B19),SUMIFS([1]全伝票!N:N,[1]全伝票!$C:$C,$C19)),IF($C19="",SUMIFS([1]全伝票!N:N,[1]全伝票!$A:$A,$A19,[1]全伝票!$B:$B,$B19),SUMIFS([1]全伝票!N:N,[1]全伝票!$A:$A,$A19,[1]全伝票!$C:$C,$C19)))</f>
        <v>0</v>
      </c>
      <c r="K19" s="45">
        <f>SUM(F19:J19)</f>
        <v>0</v>
      </c>
      <c r="L19" s="81">
        <f>+IF($A19="",IF($C19="",SUMIFS([1]全伝票!O:O,[1]全伝票!$B:$B,$B19),SUMIFS([1]全伝票!O:O,[1]全伝票!$C:$C,$C19)),IF($C19="",SUMIFS([1]全伝票!O:O,[1]全伝票!$A:$A,$A19,[1]全伝票!$B:$B,$B19),SUMIFS([1]全伝票!O:O,[1]全伝票!$A:$A,$A19,[1]全伝票!$C:$C,$C19)))</f>
        <v>0</v>
      </c>
      <c r="M19" s="81">
        <f>+IF($A19="",IF($C19="",SUMIFS([1]全伝票!P:P,[1]全伝票!$B:$B,$B19),SUMIFS([1]全伝票!P:P,[1]全伝票!$C:$C,$C19)),IF($C19="",SUMIFS([1]全伝票!P:P,[1]全伝票!$A:$A,$A19,[1]全伝票!$B:$B,$B19),SUMIFS([1]全伝票!P:P,[1]全伝票!$A:$A,$A19,[1]全伝票!$C:$C,$C19)))</f>
        <v>0</v>
      </c>
      <c r="N19" s="43">
        <f t="shared" si="2"/>
        <v>0</v>
      </c>
      <c r="O19" s="42">
        <f t="shared" si="3"/>
        <v>0</v>
      </c>
      <c r="P19" s="42">
        <f t="shared" si="4"/>
        <v>0</v>
      </c>
      <c r="Q19" s="42">
        <f t="shared" si="4"/>
        <v>0</v>
      </c>
      <c r="R19" s="46">
        <f t="shared" si="5"/>
        <v>0</v>
      </c>
      <c r="S19" s="45">
        <f t="shared" si="6"/>
        <v>0</v>
      </c>
      <c r="T19" s="44">
        <f t="shared" si="7"/>
        <v>0</v>
      </c>
      <c r="U19" s="31">
        <f t="shared" si="8"/>
        <v>0</v>
      </c>
      <c r="V19" s="31">
        <f t="shared" si="9"/>
        <v>0</v>
      </c>
      <c r="W19" s="31">
        <f t="shared" si="10"/>
        <v>0</v>
      </c>
      <c r="X19" s="31">
        <f t="shared" si="10"/>
        <v>0</v>
      </c>
      <c r="Y19" s="31">
        <f t="shared" si="11"/>
        <v>0</v>
      </c>
      <c r="Z19" s="30">
        <f t="shared" si="12"/>
        <v>0</v>
      </c>
      <c r="AA19" s="30">
        <f t="shared" si="13"/>
        <v>0</v>
      </c>
      <c r="AB19" s="30">
        <f t="shared" si="14"/>
        <v>0</v>
      </c>
      <c r="AC19" s="30">
        <f t="shared" si="14"/>
        <v>0</v>
      </c>
      <c r="AD19" s="30">
        <f t="shared" si="15"/>
        <v>0</v>
      </c>
      <c r="AE19" s="29"/>
      <c r="AF19" s="29"/>
      <c r="AG19" s="29"/>
      <c r="AH19" s="29"/>
      <c r="AI19" s="29"/>
    </row>
    <row r="20" spans="1:35" x14ac:dyDescent="0.15">
      <c r="A20" s="51">
        <v>2</v>
      </c>
      <c r="B20" s="50">
        <v>6170212</v>
      </c>
      <c r="C20" s="49"/>
      <c r="D20" s="106" t="s">
        <v>347</v>
      </c>
      <c r="E20" s="81">
        <f>+IF($A20="",IF($C20="",SUMIFS([1]全伝票!I:I,[1]全伝票!$B:$B,$B20),SUMIFS([1]全伝票!I:I,[1]全伝票!$C:$C,$C20)),IF($C20="",SUMIFS([1]全伝票!I:I,[1]全伝票!$A:$A,$A20,[1]全伝票!$B:$B,$B20),SUMIFS([1]全伝票!I:I,[1]全伝票!$A:$A,$A20,[1]全伝票!$C:$C,$C20)))</f>
        <v>0</v>
      </c>
      <c r="F20" s="84">
        <f>+IF($A20="",IF($C20="",SUMIFS([1]全伝票!J:J,[1]全伝票!$B:$B,$B20),SUMIFS([1]全伝票!J:J,[1]全伝票!$C:$C,$C20)),IF($C20="",SUMIFS([1]全伝票!J:J,[1]全伝票!$A:$A,$A20,[1]全伝票!$B:$B,$B20),SUMIFS([1]全伝票!J:J,[1]全伝票!$A:$A,$A20,[1]全伝票!$C:$C,$C20)))</f>
        <v>0</v>
      </c>
      <c r="G20" s="83">
        <f>+IF($A20="",IF($C20="",SUMIFS([1]全伝票!K:K,[1]全伝票!$B:$B,$B20),SUMIFS([1]全伝票!K:K,[1]全伝票!$C:$C,$C20)),IF($C20="",SUMIFS([1]全伝票!K:K,[1]全伝票!$A:$A,$A20,[1]全伝票!$B:$B,$B20),SUMIFS([1]全伝票!K:K,[1]全伝票!$A:$A,$A20,[1]全伝票!$C:$C,$C20)))</f>
        <v>0</v>
      </c>
      <c r="H20" s="83">
        <f>+IF($A20="",IF($C20="",SUMIFS([1]全伝票!L:L,[1]全伝票!$B:$B,$B20),SUMIFS([1]全伝票!L:L,[1]全伝票!$C:$C,$C20)),IF($C20="",SUMIFS([1]全伝票!L:L,[1]全伝票!$A:$A,$A20,[1]全伝票!$B:$B,$B20),SUMIFS([1]全伝票!L:L,[1]全伝票!$A:$A,$A20,[1]全伝票!$C:$C,$C20)))</f>
        <v>0</v>
      </c>
      <c r="I20" s="83">
        <f>+IF($A20="",IF($C20="",SUMIFS([1]全伝票!M:M,[1]全伝票!$B:$B,$B20),SUMIFS([1]全伝票!M:M,[1]全伝票!$C:$C,$C20)),IF($C20="",SUMIFS([1]全伝票!M:M,[1]全伝票!$A:$A,$A20,[1]全伝票!$B:$B,$B20),SUMIFS([1]全伝票!M:M,[1]全伝票!$A:$A,$A20,[1]全伝票!$C:$C,$C20)))</f>
        <v>0</v>
      </c>
      <c r="J20" s="82">
        <f>+IF($A20="",IF($C20="",SUMIFS([1]全伝票!N:N,[1]全伝票!$B:$B,$B20),SUMIFS([1]全伝票!N:N,[1]全伝票!$C:$C,$C20)),IF($C20="",SUMIFS([1]全伝票!N:N,[1]全伝票!$A:$A,$A20,[1]全伝票!$B:$B,$B20),SUMIFS([1]全伝票!N:N,[1]全伝票!$A:$A,$A20,[1]全伝票!$C:$C,$C20)))</f>
        <v>0</v>
      </c>
      <c r="K20" s="45">
        <f>SUM(F20:J20)</f>
        <v>0</v>
      </c>
      <c r="L20" s="81">
        <f>+IF($A20="",IF($C20="",SUMIFS([1]全伝票!O:O,[1]全伝票!$B:$B,$B20),SUMIFS([1]全伝票!O:O,[1]全伝票!$C:$C,$C20)),IF($C20="",SUMIFS([1]全伝票!O:O,[1]全伝票!$A:$A,$A20,[1]全伝票!$B:$B,$B20),SUMIFS([1]全伝票!O:O,[1]全伝票!$A:$A,$A20,[1]全伝票!$C:$C,$C20)))</f>
        <v>0</v>
      </c>
      <c r="M20" s="81">
        <f>+IF($A20="",IF($C20="",SUMIFS([1]全伝票!P:P,[1]全伝票!$B:$B,$B20),SUMIFS([1]全伝票!P:P,[1]全伝票!$C:$C,$C20)),IF($C20="",SUMIFS([1]全伝票!P:P,[1]全伝票!$A:$A,$A20,[1]全伝票!$B:$B,$B20),SUMIFS([1]全伝票!P:P,[1]全伝票!$A:$A,$A20,[1]全伝票!$C:$C,$C20)))</f>
        <v>0</v>
      </c>
      <c r="N20" s="43">
        <f t="shared" si="2"/>
        <v>0</v>
      </c>
      <c r="O20" s="42">
        <f t="shared" si="3"/>
        <v>0</v>
      </c>
      <c r="P20" s="42">
        <f t="shared" si="4"/>
        <v>0</v>
      </c>
      <c r="Q20" s="42">
        <f t="shared" si="4"/>
        <v>0</v>
      </c>
      <c r="R20" s="46">
        <f t="shared" si="5"/>
        <v>0</v>
      </c>
      <c r="S20" s="45">
        <f t="shared" si="6"/>
        <v>0</v>
      </c>
      <c r="T20" s="44">
        <f t="shared" si="7"/>
        <v>0</v>
      </c>
      <c r="U20" s="31">
        <f t="shared" si="8"/>
        <v>0</v>
      </c>
      <c r="V20" s="31">
        <f t="shared" si="9"/>
        <v>0</v>
      </c>
      <c r="W20" s="31">
        <f t="shared" si="10"/>
        <v>0</v>
      </c>
      <c r="X20" s="31">
        <f t="shared" si="10"/>
        <v>0</v>
      </c>
      <c r="Y20" s="31">
        <f t="shared" si="11"/>
        <v>0</v>
      </c>
      <c r="Z20" s="30">
        <f t="shared" si="12"/>
        <v>0</v>
      </c>
      <c r="AA20" s="30">
        <f t="shared" si="13"/>
        <v>0</v>
      </c>
      <c r="AB20" s="30">
        <f t="shared" si="14"/>
        <v>0</v>
      </c>
      <c r="AC20" s="30">
        <f t="shared" si="14"/>
        <v>0</v>
      </c>
      <c r="AD20" s="30">
        <f t="shared" si="15"/>
        <v>0</v>
      </c>
      <c r="AE20" s="29"/>
      <c r="AF20" s="29"/>
      <c r="AG20" s="29"/>
      <c r="AH20" s="29"/>
      <c r="AI20" s="29"/>
    </row>
    <row r="21" spans="1:35" x14ac:dyDescent="0.15">
      <c r="A21" s="51">
        <v>3</v>
      </c>
      <c r="B21" s="50">
        <v>6170218</v>
      </c>
      <c r="C21" s="49"/>
      <c r="D21" s="106" t="s">
        <v>346</v>
      </c>
      <c r="E21" s="81">
        <f>+IF($A21="",IF($C21="",SUMIFS([1]全伝票!I:I,[1]全伝票!$B:$B,$B21),SUMIFS([1]全伝票!I:I,[1]全伝票!$C:$C,$C21)),IF($C21="",SUMIFS([1]全伝票!I:I,[1]全伝票!$A:$A,$A21,[1]全伝票!$B:$B,$B21),SUMIFS([1]全伝票!I:I,[1]全伝票!$A:$A,$A21,[1]全伝票!$C:$C,$C21)))</f>
        <v>0</v>
      </c>
      <c r="F21" s="84">
        <f>+IF($A21="",IF($C21="",SUMIFS([1]全伝票!J:J,[1]全伝票!$B:$B,$B21),SUMIFS([1]全伝票!J:J,[1]全伝票!$C:$C,$C21)),IF($C21="",SUMIFS([1]全伝票!J:J,[1]全伝票!$A:$A,$A21,[1]全伝票!$B:$B,$B21),SUMIFS([1]全伝票!J:J,[1]全伝票!$A:$A,$A21,[1]全伝票!$C:$C,$C21)))</f>
        <v>0</v>
      </c>
      <c r="G21" s="83">
        <f>+IF($A21="",IF($C21="",SUMIFS([1]全伝票!K:K,[1]全伝票!$B:$B,$B21),SUMIFS([1]全伝票!K:K,[1]全伝票!$C:$C,$C21)),IF($C21="",SUMIFS([1]全伝票!K:K,[1]全伝票!$A:$A,$A21,[1]全伝票!$B:$B,$B21),SUMIFS([1]全伝票!K:K,[1]全伝票!$A:$A,$A21,[1]全伝票!$C:$C,$C21)))</f>
        <v>0</v>
      </c>
      <c r="H21" s="83">
        <f>+IF($A21="",IF($C21="",SUMIFS([1]全伝票!L:L,[1]全伝票!$B:$B,$B21),SUMIFS([1]全伝票!L:L,[1]全伝票!$C:$C,$C21)),IF($C21="",SUMIFS([1]全伝票!L:L,[1]全伝票!$A:$A,$A21,[1]全伝票!$B:$B,$B21),SUMIFS([1]全伝票!L:L,[1]全伝票!$A:$A,$A21,[1]全伝票!$C:$C,$C21)))</f>
        <v>0</v>
      </c>
      <c r="I21" s="83">
        <f>+IF($A21="",IF($C21="",SUMIFS([1]全伝票!M:M,[1]全伝票!$B:$B,$B21),SUMIFS([1]全伝票!M:M,[1]全伝票!$C:$C,$C21)),IF($C21="",SUMIFS([1]全伝票!M:M,[1]全伝票!$A:$A,$A21,[1]全伝票!$B:$B,$B21),SUMIFS([1]全伝票!M:M,[1]全伝票!$A:$A,$A21,[1]全伝票!$C:$C,$C21)))</f>
        <v>0</v>
      </c>
      <c r="J21" s="82">
        <f>+IF($A21="",IF($C21="",SUMIFS([1]全伝票!N:N,[1]全伝票!$B:$B,$B21),SUMIFS([1]全伝票!N:N,[1]全伝票!$C:$C,$C21)),IF($C21="",SUMIFS([1]全伝票!N:N,[1]全伝票!$A:$A,$A21,[1]全伝票!$B:$B,$B21),SUMIFS([1]全伝票!N:N,[1]全伝票!$A:$A,$A21,[1]全伝票!$C:$C,$C21)))</f>
        <v>0</v>
      </c>
      <c r="K21" s="45">
        <f>SUM(F21:J21)</f>
        <v>0</v>
      </c>
      <c r="L21" s="81">
        <f>+IF($A21="",IF($C21="",SUMIFS([1]全伝票!O:O,[1]全伝票!$B:$B,$B21),SUMIFS([1]全伝票!O:O,[1]全伝票!$C:$C,$C21)),IF($C21="",SUMIFS([1]全伝票!O:O,[1]全伝票!$A:$A,$A21,[1]全伝票!$B:$B,$B21),SUMIFS([1]全伝票!O:O,[1]全伝票!$A:$A,$A21,[1]全伝票!$C:$C,$C21)))</f>
        <v>0</v>
      </c>
      <c r="M21" s="81">
        <f>+IF($A21="",IF($C21="",SUMIFS([1]全伝票!P:P,[1]全伝票!$B:$B,$B21),SUMIFS([1]全伝票!P:P,[1]全伝票!$C:$C,$C21)),IF($C21="",SUMIFS([1]全伝票!P:P,[1]全伝票!$A:$A,$A21,[1]全伝票!$B:$B,$B21),SUMIFS([1]全伝票!P:P,[1]全伝票!$A:$A,$A21,[1]全伝票!$C:$C,$C21)))</f>
        <v>0</v>
      </c>
      <c r="N21" s="43">
        <f t="shared" si="2"/>
        <v>0</v>
      </c>
      <c r="O21" s="42">
        <f t="shared" si="3"/>
        <v>0</v>
      </c>
      <c r="P21" s="42">
        <f t="shared" si="4"/>
        <v>0</v>
      </c>
      <c r="Q21" s="42">
        <f t="shared" si="4"/>
        <v>0</v>
      </c>
      <c r="R21" s="46">
        <f t="shared" si="5"/>
        <v>0</v>
      </c>
      <c r="S21" s="45">
        <f t="shared" si="6"/>
        <v>0</v>
      </c>
      <c r="T21" s="44">
        <f t="shared" si="7"/>
        <v>0</v>
      </c>
      <c r="U21" s="31">
        <f t="shared" si="8"/>
        <v>0</v>
      </c>
      <c r="V21" s="31">
        <f t="shared" si="9"/>
        <v>0</v>
      </c>
      <c r="W21" s="31">
        <f t="shared" si="10"/>
        <v>0</v>
      </c>
      <c r="X21" s="31">
        <f t="shared" si="10"/>
        <v>0</v>
      </c>
      <c r="Y21" s="31">
        <f t="shared" si="11"/>
        <v>0</v>
      </c>
      <c r="Z21" s="30">
        <f t="shared" si="12"/>
        <v>0</v>
      </c>
      <c r="AA21" s="30">
        <f t="shared" si="13"/>
        <v>0</v>
      </c>
      <c r="AB21" s="30">
        <f t="shared" si="14"/>
        <v>0</v>
      </c>
      <c r="AC21" s="30">
        <f t="shared" si="14"/>
        <v>0</v>
      </c>
      <c r="AD21" s="30">
        <f t="shared" si="15"/>
        <v>0</v>
      </c>
      <c r="AE21" s="29"/>
      <c r="AF21" s="29"/>
      <c r="AG21" s="29"/>
      <c r="AH21" s="29"/>
      <c r="AI21" s="29"/>
    </row>
    <row r="22" spans="1:35" x14ac:dyDescent="0.15">
      <c r="A22" s="51">
        <v>4</v>
      </c>
      <c r="B22" s="50">
        <v>6170224</v>
      </c>
      <c r="C22" s="49"/>
      <c r="D22" s="106" t="s">
        <v>345</v>
      </c>
      <c r="E22" s="81">
        <f>+IF($A22="",IF($C22="",SUMIFS([1]全伝票!I:I,[1]全伝票!$B:$B,$B22),SUMIFS([1]全伝票!I:I,[1]全伝票!$C:$C,$C22)),IF($C22="",SUMIFS([1]全伝票!I:I,[1]全伝票!$A:$A,$A22,[1]全伝票!$B:$B,$B22),SUMIFS([1]全伝票!I:I,[1]全伝票!$A:$A,$A22,[1]全伝票!$C:$C,$C22)))</f>
        <v>0</v>
      </c>
      <c r="F22" s="84">
        <f>+IF($A22="",IF($C22="",SUMIFS([1]全伝票!J:J,[1]全伝票!$B:$B,$B22),SUMIFS([1]全伝票!J:J,[1]全伝票!$C:$C,$C22)),IF($C22="",SUMIFS([1]全伝票!J:J,[1]全伝票!$A:$A,$A22,[1]全伝票!$B:$B,$B22),SUMIFS([1]全伝票!J:J,[1]全伝票!$A:$A,$A22,[1]全伝票!$C:$C,$C22)))</f>
        <v>0</v>
      </c>
      <c r="G22" s="83">
        <f>+IF($A22="",IF($C22="",SUMIFS([1]全伝票!K:K,[1]全伝票!$B:$B,$B22),SUMIFS([1]全伝票!K:K,[1]全伝票!$C:$C,$C22)),IF($C22="",SUMIFS([1]全伝票!K:K,[1]全伝票!$A:$A,$A22,[1]全伝票!$B:$B,$B22),SUMIFS([1]全伝票!K:K,[1]全伝票!$A:$A,$A22,[1]全伝票!$C:$C,$C22)))</f>
        <v>0</v>
      </c>
      <c r="H22" s="83">
        <f>+IF($A22="",IF($C22="",SUMIFS([1]全伝票!L:L,[1]全伝票!$B:$B,$B22),SUMIFS([1]全伝票!L:L,[1]全伝票!$C:$C,$C22)),IF($C22="",SUMIFS([1]全伝票!L:L,[1]全伝票!$A:$A,$A22,[1]全伝票!$B:$B,$B22),SUMIFS([1]全伝票!L:L,[1]全伝票!$A:$A,$A22,[1]全伝票!$C:$C,$C22)))</f>
        <v>0</v>
      </c>
      <c r="I22" s="83">
        <f>+IF($A22="",IF($C22="",SUMIFS([1]全伝票!M:M,[1]全伝票!$B:$B,$B22),SUMIFS([1]全伝票!M:M,[1]全伝票!$C:$C,$C22)),IF($C22="",SUMIFS([1]全伝票!M:M,[1]全伝票!$A:$A,$A22,[1]全伝票!$B:$B,$B22),SUMIFS([1]全伝票!M:M,[1]全伝票!$A:$A,$A22,[1]全伝票!$C:$C,$C22)))</f>
        <v>0</v>
      </c>
      <c r="J22" s="82">
        <f>+IF($A22="",IF($C22="",SUMIFS([1]全伝票!N:N,[1]全伝票!$B:$B,$B22),SUMIFS([1]全伝票!N:N,[1]全伝票!$C:$C,$C22)),IF($C22="",SUMIFS([1]全伝票!N:N,[1]全伝票!$A:$A,$A22,[1]全伝票!$B:$B,$B22),SUMIFS([1]全伝票!N:N,[1]全伝票!$A:$A,$A22,[1]全伝票!$C:$C,$C22)))</f>
        <v>0</v>
      </c>
      <c r="K22" s="45">
        <f>SUM(F22:J22)</f>
        <v>0</v>
      </c>
      <c r="L22" s="81">
        <f>+IF($A22="",IF($C22="",SUMIFS([1]全伝票!O:O,[1]全伝票!$B:$B,$B22),SUMIFS([1]全伝票!O:O,[1]全伝票!$C:$C,$C22)),IF($C22="",SUMIFS([1]全伝票!O:O,[1]全伝票!$A:$A,$A22,[1]全伝票!$B:$B,$B22),SUMIFS([1]全伝票!O:O,[1]全伝票!$A:$A,$A22,[1]全伝票!$C:$C,$C22)))</f>
        <v>0</v>
      </c>
      <c r="M22" s="81">
        <f>+IF($A22="",IF($C22="",SUMIFS([1]全伝票!P:P,[1]全伝票!$B:$B,$B22),SUMIFS([1]全伝票!P:P,[1]全伝票!$C:$C,$C22)),IF($C22="",SUMIFS([1]全伝票!P:P,[1]全伝票!$A:$A,$A22,[1]全伝票!$B:$B,$B22),SUMIFS([1]全伝票!P:P,[1]全伝票!$A:$A,$A22,[1]全伝票!$C:$C,$C22)))</f>
        <v>0</v>
      </c>
      <c r="N22" s="43">
        <f t="shared" si="2"/>
        <v>0</v>
      </c>
      <c r="O22" s="42">
        <f t="shared" si="3"/>
        <v>0</v>
      </c>
      <c r="P22" s="42">
        <f t="shared" si="4"/>
        <v>0</v>
      </c>
      <c r="Q22" s="42">
        <f t="shared" si="4"/>
        <v>0</v>
      </c>
      <c r="R22" s="46">
        <f t="shared" si="5"/>
        <v>0</v>
      </c>
      <c r="S22" s="45">
        <f t="shared" si="6"/>
        <v>0</v>
      </c>
      <c r="T22" s="44">
        <f t="shared" si="7"/>
        <v>0</v>
      </c>
      <c r="U22" s="31">
        <f t="shared" si="8"/>
        <v>0</v>
      </c>
      <c r="V22" s="31">
        <f t="shared" si="9"/>
        <v>0</v>
      </c>
      <c r="W22" s="31">
        <f t="shared" si="10"/>
        <v>0</v>
      </c>
      <c r="X22" s="31">
        <f t="shared" si="10"/>
        <v>0</v>
      </c>
      <c r="Y22" s="31">
        <f t="shared" si="11"/>
        <v>0</v>
      </c>
      <c r="Z22" s="30">
        <f t="shared" si="12"/>
        <v>0</v>
      </c>
      <c r="AA22" s="30">
        <f t="shared" si="13"/>
        <v>0</v>
      </c>
      <c r="AB22" s="30">
        <f t="shared" si="14"/>
        <v>0</v>
      </c>
      <c r="AC22" s="30">
        <f t="shared" si="14"/>
        <v>0</v>
      </c>
      <c r="AD22" s="30">
        <f t="shared" si="15"/>
        <v>0</v>
      </c>
      <c r="AE22" s="29"/>
      <c r="AF22" s="29"/>
      <c r="AG22" s="29"/>
      <c r="AH22" s="29"/>
      <c r="AI22" s="29"/>
    </row>
    <row r="23" spans="1:35" x14ac:dyDescent="0.15">
      <c r="A23" s="51"/>
      <c r="B23" s="50"/>
      <c r="C23" s="49"/>
      <c r="D23" s="48"/>
      <c r="E23" s="47"/>
      <c r="F23" s="43"/>
      <c r="G23" s="42"/>
      <c r="H23" s="42"/>
      <c r="I23" s="42"/>
      <c r="J23" s="46"/>
      <c r="K23" s="45"/>
      <c r="L23" s="47"/>
      <c r="M23" s="47"/>
      <c r="N23" s="43">
        <f t="shared" si="2"/>
        <v>0</v>
      </c>
      <c r="O23" s="42">
        <f t="shared" si="3"/>
        <v>0</v>
      </c>
      <c r="P23" s="42">
        <f t="shared" si="4"/>
        <v>0</v>
      </c>
      <c r="Q23" s="42">
        <f t="shared" si="4"/>
        <v>0</v>
      </c>
      <c r="R23" s="46">
        <f t="shared" si="5"/>
        <v>0</v>
      </c>
      <c r="S23" s="45">
        <f t="shared" si="6"/>
        <v>0</v>
      </c>
      <c r="T23" s="44">
        <f t="shared" si="7"/>
        <v>0</v>
      </c>
      <c r="U23" s="31">
        <f t="shared" si="8"/>
        <v>0</v>
      </c>
      <c r="V23" s="31">
        <f t="shared" si="9"/>
        <v>0</v>
      </c>
      <c r="W23" s="31">
        <f t="shared" si="10"/>
        <v>0</v>
      </c>
      <c r="X23" s="31">
        <f t="shared" si="10"/>
        <v>0</v>
      </c>
      <c r="Y23" s="31">
        <f t="shared" si="11"/>
        <v>0</v>
      </c>
      <c r="Z23" s="30">
        <f t="shared" si="12"/>
        <v>0</v>
      </c>
      <c r="AA23" s="30">
        <f t="shared" si="13"/>
        <v>0</v>
      </c>
      <c r="AB23" s="30">
        <f t="shared" si="14"/>
        <v>0</v>
      </c>
      <c r="AC23" s="30">
        <f t="shared" si="14"/>
        <v>0</v>
      </c>
      <c r="AD23" s="30">
        <f t="shared" si="15"/>
        <v>0</v>
      </c>
      <c r="AE23" s="29"/>
      <c r="AF23" s="29"/>
      <c r="AG23" s="29"/>
      <c r="AH23" s="29"/>
      <c r="AI23" s="29"/>
    </row>
    <row r="24" spans="1:35" x14ac:dyDescent="0.15">
      <c r="A24" s="51"/>
      <c r="B24" s="50">
        <v>6170303</v>
      </c>
      <c r="C24" s="49"/>
      <c r="D24" s="48" t="s">
        <v>344</v>
      </c>
      <c r="E24" s="81">
        <f>+IF($A24="",IF($C24="",SUMIFS([1]全伝票!I:I,[1]全伝票!$B:$B,$B24),SUMIFS([1]全伝票!I:I,[1]全伝票!$C:$C,$C24)),IF($C24="",SUMIFS([1]全伝票!I:I,[1]全伝票!$A:$A,$A24,[1]全伝票!$B:$B,$B24),SUMIFS([1]全伝票!I:I,[1]全伝票!$A:$A,$A24,[1]全伝票!$C:$C,$C24)))</f>
        <v>0</v>
      </c>
      <c r="F24" s="84">
        <f>+IF($A24="",IF($C24="",SUMIFS([1]全伝票!J:J,[1]全伝票!$B:$B,$B24),SUMIFS([1]全伝票!J:J,[1]全伝票!$C:$C,$C24)),IF($C24="",SUMIFS([1]全伝票!J:J,[1]全伝票!$A:$A,$A24,[1]全伝票!$B:$B,$B24),SUMIFS([1]全伝票!J:J,[1]全伝票!$A:$A,$A24,[1]全伝票!$C:$C,$C24)))</f>
        <v>0</v>
      </c>
      <c r="G24" s="83">
        <f>+IF($A24="",IF($C24="",SUMIFS([1]全伝票!K:K,[1]全伝票!$B:$B,$B24),SUMIFS([1]全伝票!K:K,[1]全伝票!$C:$C,$C24)),IF($C24="",SUMIFS([1]全伝票!K:K,[1]全伝票!$A:$A,$A24,[1]全伝票!$B:$B,$B24),SUMIFS([1]全伝票!K:K,[1]全伝票!$A:$A,$A24,[1]全伝票!$C:$C,$C24)))</f>
        <v>0</v>
      </c>
      <c r="H24" s="83">
        <f>+IF($A24="",IF($C24="",SUMIFS([1]全伝票!L:L,[1]全伝票!$B:$B,$B24),SUMIFS([1]全伝票!L:L,[1]全伝票!$C:$C,$C24)),IF($C24="",SUMIFS([1]全伝票!L:L,[1]全伝票!$A:$A,$A24,[1]全伝票!$B:$B,$B24),SUMIFS([1]全伝票!L:L,[1]全伝票!$A:$A,$A24,[1]全伝票!$C:$C,$C24)))</f>
        <v>0</v>
      </c>
      <c r="I24" s="83">
        <f>+IF($A24="",IF($C24="",SUMIFS([1]全伝票!M:M,[1]全伝票!$B:$B,$B24),SUMIFS([1]全伝票!M:M,[1]全伝票!$C:$C,$C24)),IF($C24="",SUMIFS([1]全伝票!M:M,[1]全伝票!$A:$A,$A24,[1]全伝票!$B:$B,$B24),SUMIFS([1]全伝票!M:M,[1]全伝票!$A:$A,$A24,[1]全伝票!$C:$C,$C24)))</f>
        <v>0</v>
      </c>
      <c r="J24" s="82">
        <f>+IF($A24="",IF($C24="",SUMIFS([1]全伝票!N:N,[1]全伝票!$B:$B,$B24),SUMIFS([1]全伝票!N:N,[1]全伝票!$C:$C,$C24)),IF($C24="",SUMIFS([1]全伝票!N:N,[1]全伝票!$A:$A,$A24,[1]全伝票!$B:$B,$B24),SUMIFS([1]全伝票!N:N,[1]全伝票!$A:$A,$A24,[1]全伝票!$C:$C,$C24)))</f>
        <v>0</v>
      </c>
      <c r="K24" s="45">
        <f>SUM(F24:J24)</f>
        <v>0</v>
      </c>
      <c r="L24" s="81">
        <f>+IF($A24="",IF($C24="",SUMIFS([1]全伝票!O:O,[1]全伝票!$B:$B,$B24),SUMIFS([1]全伝票!O:O,[1]全伝票!$C:$C,$C24)),IF($C24="",SUMIFS([1]全伝票!O:O,[1]全伝票!$A:$A,$A24,[1]全伝票!$B:$B,$B24),SUMIFS([1]全伝票!O:O,[1]全伝票!$A:$A,$A24,[1]全伝票!$C:$C,$C24)))</f>
        <v>0</v>
      </c>
      <c r="M24" s="81">
        <f>+IF($A24="",IF($C24="",SUMIFS([1]全伝票!P:P,[1]全伝票!$B:$B,$B24),SUMIFS([1]全伝票!P:P,[1]全伝票!$C:$C,$C24)),IF($C24="",SUMIFS([1]全伝票!P:P,[1]全伝票!$A:$A,$A24,[1]全伝票!$B:$B,$B24),SUMIFS([1]全伝票!P:P,[1]全伝票!$A:$A,$A24,[1]全伝票!$C:$C,$C24)))</f>
        <v>0</v>
      </c>
      <c r="N24" s="43">
        <f t="shared" si="2"/>
        <v>0</v>
      </c>
      <c r="O24" s="42">
        <f t="shared" si="3"/>
        <v>0</v>
      </c>
      <c r="P24" s="42">
        <f t="shared" si="4"/>
        <v>0</v>
      </c>
      <c r="Q24" s="42">
        <f t="shared" si="4"/>
        <v>0</v>
      </c>
      <c r="R24" s="46">
        <f t="shared" si="5"/>
        <v>0</v>
      </c>
      <c r="S24" s="45">
        <f t="shared" si="6"/>
        <v>0</v>
      </c>
      <c r="T24" s="44">
        <f t="shared" si="7"/>
        <v>0</v>
      </c>
      <c r="U24" s="31">
        <f t="shared" si="8"/>
        <v>0</v>
      </c>
      <c r="V24" s="31">
        <f t="shared" si="9"/>
        <v>0</v>
      </c>
      <c r="W24" s="31">
        <f t="shared" si="10"/>
        <v>0</v>
      </c>
      <c r="X24" s="31">
        <f t="shared" si="10"/>
        <v>0</v>
      </c>
      <c r="Y24" s="31">
        <f t="shared" si="11"/>
        <v>0</v>
      </c>
      <c r="Z24" s="30">
        <f t="shared" si="12"/>
        <v>0</v>
      </c>
      <c r="AA24" s="30">
        <f t="shared" si="13"/>
        <v>0</v>
      </c>
      <c r="AB24" s="30">
        <f t="shared" si="14"/>
        <v>0</v>
      </c>
      <c r="AC24" s="30">
        <f t="shared" si="14"/>
        <v>0</v>
      </c>
      <c r="AD24" s="30">
        <f t="shared" si="15"/>
        <v>0</v>
      </c>
      <c r="AE24" s="29"/>
      <c r="AF24" s="29"/>
      <c r="AG24" s="29"/>
      <c r="AH24" s="29"/>
      <c r="AI24" s="29"/>
    </row>
    <row r="25" spans="1:35" x14ac:dyDescent="0.15">
      <c r="A25" s="51"/>
      <c r="B25" s="50"/>
      <c r="C25" s="49"/>
      <c r="D25" s="48"/>
      <c r="E25" s="47"/>
      <c r="F25" s="43"/>
      <c r="G25" s="42"/>
      <c r="H25" s="42"/>
      <c r="I25" s="42"/>
      <c r="J25" s="46"/>
      <c r="K25" s="45"/>
      <c r="L25" s="47"/>
      <c r="M25" s="47"/>
      <c r="N25" s="43">
        <f t="shared" si="2"/>
        <v>0</v>
      </c>
      <c r="O25" s="42">
        <f t="shared" si="3"/>
        <v>0</v>
      </c>
      <c r="P25" s="42">
        <f t="shared" si="4"/>
        <v>0</v>
      </c>
      <c r="Q25" s="42">
        <f t="shared" si="4"/>
        <v>0</v>
      </c>
      <c r="R25" s="46">
        <f t="shared" si="5"/>
        <v>0</v>
      </c>
      <c r="S25" s="45">
        <f t="shared" si="6"/>
        <v>0</v>
      </c>
      <c r="T25" s="44">
        <f t="shared" si="7"/>
        <v>0</v>
      </c>
      <c r="U25" s="31">
        <f t="shared" si="8"/>
        <v>0</v>
      </c>
      <c r="V25" s="31">
        <f t="shared" si="9"/>
        <v>0</v>
      </c>
      <c r="W25" s="31">
        <f t="shared" si="10"/>
        <v>0</v>
      </c>
      <c r="X25" s="31">
        <f t="shared" si="10"/>
        <v>0</v>
      </c>
      <c r="Y25" s="31">
        <f t="shared" si="11"/>
        <v>0</v>
      </c>
      <c r="Z25" s="30">
        <f t="shared" si="12"/>
        <v>0</v>
      </c>
      <c r="AA25" s="30">
        <f t="shared" si="13"/>
        <v>0</v>
      </c>
      <c r="AB25" s="30">
        <f t="shared" si="14"/>
        <v>0</v>
      </c>
      <c r="AC25" s="30">
        <f t="shared" si="14"/>
        <v>0</v>
      </c>
      <c r="AD25" s="30">
        <f t="shared" si="15"/>
        <v>0</v>
      </c>
      <c r="AE25" s="29"/>
      <c r="AF25" s="29"/>
      <c r="AG25" s="29"/>
      <c r="AH25" s="29"/>
      <c r="AI25" s="29"/>
    </row>
    <row r="26" spans="1:35" x14ac:dyDescent="0.15">
      <c r="A26" s="51"/>
      <c r="B26" s="50">
        <v>6160303</v>
      </c>
      <c r="C26" s="49"/>
      <c r="D26" s="48" t="s">
        <v>343</v>
      </c>
      <c r="E26" s="47">
        <f>+SUM(E27:E35)</f>
        <v>423000</v>
      </c>
      <c r="F26" s="47">
        <f t="shared" ref="F26" si="22">+SUM(F27:F35)</f>
        <v>0</v>
      </c>
      <c r="G26" s="47">
        <f t="shared" ref="G26:I26" si="23">+SUM(G27:G35)</f>
        <v>0</v>
      </c>
      <c r="H26" s="47">
        <f t="shared" ref="H26" si="24">+SUM(H27:H35)</f>
        <v>0</v>
      </c>
      <c r="I26" s="47">
        <f t="shared" si="23"/>
        <v>0</v>
      </c>
      <c r="J26" s="47">
        <f t="shared" ref="J26" si="25">+SUM(J27:J35)</f>
        <v>0</v>
      </c>
      <c r="K26" s="47">
        <f t="shared" ref="K26" si="26">+SUM(K27:K35)</f>
        <v>0</v>
      </c>
      <c r="L26" s="47">
        <f t="shared" ref="L26" si="27">+SUM(L27:L35)</f>
        <v>0</v>
      </c>
      <c r="M26" s="47">
        <f t="shared" ref="M26" si="28">+SUM(M27:M35)</f>
        <v>423000</v>
      </c>
      <c r="N26" s="43">
        <f t="shared" ref="N26" si="29">+ROUND(F26*F$4/(100+F$4),0)+AE26</f>
        <v>0</v>
      </c>
      <c r="O26" s="42">
        <f t="shared" ref="O26" si="30">+ROUND(G26*G$4/(100+G$4),0)+AF26</f>
        <v>0</v>
      </c>
      <c r="P26" s="42">
        <f t="shared" ref="P26:Q26" si="31">+ROUND(H26*H$4/(100+H$4),0)+AG26</f>
        <v>0</v>
      </c>
      <c r="Q26" s="42">
        <f t="shared" si="31"/>
        <v>0</v>
      </c>
      <c r="R26" s="46">
        <f t="shared" ref="R26" si="32">+ROUND(J26*J$4/(100+J$4),0)+AI26</f>
        <v>0</v>
      </c>
      <c r="S26" s="45">
        <f t="shared" ref="S26" si="33">SUM(N26:R26)</f>
        <v>0</v>
      </c>
      <c r="T26" s="44">
        <f t="shared" ref="T26" si="34">+E26-S26</f>
        <v>423000</v>
      </c>
      <c r="U26" s="31">
        <f t="shared" si="8"/>
        <v>0</v>
      </c>
      <c r="V26" s="31">
        <f t="shared" si="9"/>
        <v>0</v>
      </c>
      <c r="W26" s="31">
        <f t="shared" si="10"/>
        <v>0</v>
      </c>
      <c r="X26" s="31">
        <f t="shared" si="10"/>
        <v>0</v>
      </c>
      <c r="Y26" s="31">
        <f t="shared" si="11"/>
        <v>0</v>
      </c>
      <c r="Z26" s="30">
        <f t="shared" si="12"/>
        <v>0</v>
      </c>
      <c r="AA26" s="30">
        <f t="shared" si="13"/>
        <v>0</v>
      </c>
      <c r="AB26" s="30">
        <f t="shared" si="14"/>
        <v>0</v>
      </c>
      <c r="AC26" s="30">
        <f t="shared" si="14"/>
        <v>0</v>
      </c>
      <c r="AD26" s="30">
        <f t="shared" si="15"/>
        <v>0</v>
      </c>
      <c r="AE26" s="29"/>
      <c r="AF26" s="29"/>
      <c r="AG26" s="29"/>
      <c r="AH26" s="29"/>
      <c r="AI26" s="29"/>
    </row>
    <row r="27" spans="1:35" x14ac:dyDescent="0.15">
      <c r="A27" s="51">
        <v>2</v>
      </c>
      <c r="B27" s="50">
        <v>6170401</v>
      </c>
      <c r="C27" s="49"/>
      <c r="D27" s="48" t="s">
        <v>356</v>
      </c>
      <c r="E27" s="81">
        <f>+IF($A27="",IF($C27="",SUMIFS([1]全伝票!I:I,[1]全伝票!$B:$B,$B27),SUMIFS([1]全伝票!I:I,[1]全伝票!$C:$C,$C27)),IF($C27="",SUMIFS([1]全伝票!I:I,[1]全伝票!$A:$A,$A27,[1]全伝票!$B:$B,$B27),SUMIFS([1]全伝票!I:I,[1]全伝票!$A:$A,$A27,[1]全伝票!$C:$C,$C27)))</f>
        <v>0</v>
      </c>
      <c r="F27" s="84">
        <f>+IF($A27="",IF($C27="",SUMIFS([1]全伝票!J:J,[1]全伝票!$B:$B,$B27),SUMIFS([1]全伝票!J:J,[1]全伝票!$C:$C,$C27)),IF($C27="",SUMIFS([1]全伝票!J:J,[1]全伝票!$A:$A,$A27,[1]全伝票!$B:$B,$B27),SUMIFS([1]全伝票!J:J,[1]全伝票!$A:$A,$A27,[1]全伝票!$C:$C,$C27)))</f>
        <v>0</v>
      </c>
      <c r="G27" s="83">
        <f>+IF($A27="",IF($C27="",SUMIFS([1]全伝票!K:K,[1]全伝票!$B:$B,$B27),SUMIFS([1]全伝票!K:K,[1]全伝票!$C:$C,$C27)),IF($C27="",SUMIFS([1]全伝票!K:K,[1]全伝票!$A:$A,$A27,[1]全伝票!$B:$B,$B27),SUMIFS([1]全伝票!K:K,[1]全伝票!$A:$A,$A27,[1]全伝票!$C:$C,$C27)))</f>
        <v>0</v>
      </c>
      <c r="H27" s="83">
        <f>+IF($A27="",IF($C27="",SUMIFS([1]全伝票!L:L,[1]全伝票!$B:$B,$B27),SUMIFS([1]全伝票!L:L,[1]全伝票!$C:$C,$C27)),IF($C27="",SUMIFS([1]全伝票!L:L,[1]全伝票!$A:$A,$A27,[1]全伝票!$B:$B,$B27),SUMIFS([1]全伝票!L:L,[1]全伝票!$A:$A,$A27,[1]全伝票!$C:$C,$C27)))</f>
        <v>0</v>
      </c>
      <c r="I27" s="83">
        <f>+IF($A27="",IF($C27="",SUMIFS([1]全伝票!M:M,[1]全伝票!$B:$B,$B27),SUMIFS([1]全伝票!M:M,[1]全伝票!$C:$C,$C27)),IF($C27="",SUMIFS([1]全伝票!M:M,[1]全伝票!$A:$A,$A27,[1]全伝票!$B:$B,$B27),SUMIFS([1]全伝票!M:M,[1]全伝票!$A:$A,$A27,[1]全伝票!$C:$C,$C27)))</f>
        <v>0</v>
      </c>
      <c r="J27" s="82">
        <f>+IF($A27="",IF($C27="",SUMIFS([1]全伝票!N:N,[1]全伝票!$B:$B,$B27),SUMIFS([1]全伝票!N:N,[1]全伝票!$C:$C,$C27)),IF($C27="",SUMIFS([1]全伝票!N:N,[1]全伝票!$A:$A,$A27,[1]全伝票!$B:$B,$B27),SUMIFS([1]全伝票!N:N,[1]全伝票!$A:$A,$A27,[1]全伝票!$C:$C,$C27)))</f>
        <v>0</v>
      </c>
      <c r="K27" s="45">
        <f t="shared" ref="K27:K35" si="35">SUM(F27:J27)</f>
        <v>0</v>
      </c>
      <c r="L27" s="81">
        <f>+IF($A27="",IF($C27="",SUMIFS([1]全伝票!O:O,[1]全伝票!$B:$B,$B27),SUMIFS([1]全伝票!O:O,[1]全伝票!$C:$C,$C27)),IF($C27="",SUMIFS([1]全伝票!O:O,[1]全伝票!$A:$A,$A27,[1]全伝票!$B:$B,$B27),SUMIFS([1]全伝票!O:O,[1]全伝票!$A:$A,$A27,[1]全伝票!$C:$C,$C27)))</f>
        <v>0</v>
      </c>
      <c r="M27" s="81">
        <f>+IF($A27="",IF($C27="",SUMIFS([1]全伝票!P:P,[1]全伝票!$B:$B,$B27),SUMIFS([1]全伝票!P:P,[1]全伝票!$C:$C,$C27)),IF($C27="",SUMIFS([1]全伝票!P:P,[1]全伝票!$A:$A,$A27,[1]全伝票!$B:$B,$B27),SUMIFS([1]全伝票!P:P,[1]全伝票!$A:$A,$A27,[1]全伝票!$C:$C,$C27)))</f>
        <v>0</v>
      </c>
      <c r="N27" s="43">
        <f t="shared" si="2"/>
        <v>0</v>
      </c>
      <c r="O27" s="42">
        <f t="shared" si="3"/>
        <v>0</v>
      </c>
      <c r="P27" s="42">
        <f t="shared" si="4"/>
        <v>0</v>
      </c>
      <c r="Q27" s="42">
        <f t="shared" si="4"/>
        <v>0</v>
      </c>
      <c r="R27" s="46">
        <f t="shared" si="5"/>
        <v>0</v>
      </c>
      <c r="S27" s="45">
        <f t="shared" si="6"/>
        <v>0</v>
      </c>
      <c r="T27" s="44">
        <f t="shared" si="7"/>
        <v>0</v>
      </c>
      <c r="U27" s="31">
        <f t="shared" si="8"/>
        <v>0</v>
      </c>
      <c r="V27" s="31">
        <f t="shared" si="9"/>
        <v>0</v>
      </c>
      <c r="W27" s="31">
        <f t="shared" si="10"/>
        <v>0</v>
      </c>
      <c r="X27" s="31">
        <f t="shared" si="10"/>
        <v>0</v>
      </c>
      <c r="Y27" s="31">
        <f t="shared" si="11"/>
        <v>0</v>
      </c>
      <c r="Z27" s="30">
        <f t="shared" si="12"/>
        <v>0</v>
      </c>
      <c r="AA27" s="30">
        <f t="shared" si="13"/>
        <v>0</v>
      </c>
      <c r="AB27" s="30">
        <f t="shared" si="14"/>
        <v>0</v>
      </c>
      <c r="AC27" s="30">
        <f t="shared" si="14"/>
        <v>0</v>
      </c>
      <c r="AD27" s="30">
        <f t="shared" si="15"/>
        <v>0</v>
      </c>
      <c r="AE27" s="29"/>
      <c r="AF27" s="29"/>
      <c r="AG27" s="29"/>
      <c r="AH27" s="29"/>
      <c r="AI27" s="29"/>
    </row>
    <row r="28" spans="1:35" x14ac:dyDescent="0.15">
      <c r="A28" s="51">
        <v>2</v>
      </c>
      <c r="B28" s="50">
        <v>6170402</v>
      </c>
      <c r="C28" s="49"/>
      <c r="D28" s="48" t="s">
        <v>357</v>
      </c>
      <c r="E28" s="81">
        <f>+IF($A28="",IF($C28="",SUMIFS([1]全伝票!I:I,[1]全伝票!$B:$B,$B28),SUMIFS([1]全伝票!I:I,[1]全伝票!$C:$C,$C28)),IF($C28="",SUMIFS([1]全伝票!I:I,[1]全伝票!$A:$A,$A28,[1]全伝票!$B:$B,$B28),SUMIFS([1]全伝票!I:I,[1]全伝票!$A:$A,$A28,[1]全伝票!$C:$C,$C28)))</f>
        <v>0</v>
      </c>
      <c r="F28" s="84">
        <f>+IF($A28="",IF($C28="",SUMIFS([1]全伝票!J:J,[1]全伝票!$B:$B,$B28),SUMIFS([1]全伝票!J:J,[1]全伝票!$C:$C,$C28)),IF($C28="",SUMIFS([1]全伝票!J:J,[1]全伝票!$A:$A,$A28,[1]全伝票!$B:$B,$B28),SUMIFS([1]全伝票!J:J,[1]全伝票!$A:$A,$A28,[1]全伝票!$C:$C,$C28)))</f>
        <v>0</v>
      </c>
      <c r="G28" s="83">
        <f>+IF($A28="",IF($C28="",SUMIFS([1]全伝票!K:K,[1]全伝票!$B:$B,$B28),SUMIFS([1]全伝票!K:K,[1]全伝票!$C:$C,$C28)),IF($C28="",SUMIFS([1]全伝票!K:K,[1]全伝票!$A:$A,$A28,[1]全伝票!$B:$B,$B28),SUMIFS([1]全伝票!K:K,[1]全伝票!$A:$A,$A28,[1]全伝票!$C:$C,$C28)))</f>
        <v>0</v>
      </c>
      <c r="H28" s="83">
        <f>+IF($A28="",IF($C28="",SUMIFS([1]全伝票!L:L,[1]全伝票!$B:$B,$B28),SUMIFS([1]全伝票!L:L,[1]全伝票!$C:$C,$C28)),IF($C28="",SUMIFS([1]全伝票!L:L,[1]全伝票!$A:$A,$A28,[1]全伝票!$B:$B,$B28),SUMIFS([1]全伝票!L:L,[1]全伝票!$A:$A,$A28,[1]全伝票!$C:$C,$C28)))</f>
        <v>0</v>
      </c>
      <c r="I28" s="83">
        <f>+IF($A28="",IF($C28="",SUMIFS([1]全伝票!M:M,[1]全伝票!$B:$B,$B28),SUMIFS([1]全伝票!M:M,[1]全伝票!$C:$C,$C28)),IF($C28="",SUMIFS([1]全伝票!M:M,[1]全伝票!$A:$A,$A28,[1]全伝票!$B:$B,$B28),SUMIFS([1]全伝票!M:M,[1]全伝票!$A:$A,$A28,[1]全伝票!$C:$C,$C28)))</f>
        <v>0</v>
      </c>
      <c r="J28" s="82">
        <f>+IF($A28="",IF($C28="",SUMIFS([1]全伝票!N:N,[1]全伝票!$B:$B,$B28),SUMIFS([1]全伝票!N:N,[1]全伝票!$C:$C,$C28)),IF($C28="",SUMIFS([1]全伝票!N:N,[1]全伝票!$A:$A,$A28,[1]全伝票!$B:$B,$B28),SUMIFS([1]全伝票!N:N,[1]全伝票!$A:$A,$A28,[1]全伝票!$C:$C,$C28)))</f>
        <v>0</v>
      </c>
      <c r="K28" s="45">
        <f t="shared" si="35"/>
        <v>0</v>
      </c>
      <c r="L28" s="81">
        <f>+IF($A28="",IF($C28="",SUMIFS([1]全伝票!O:O,[1]全伝票!$B:$B,$B28),SUMIFS([1]全伝票!O:O,[1]全伝票!$C:$C,$C28)),IF($C28="",SUMIFS([1]全伝票!O:O,[1]全伝票!$A:$A,$A28,[1]全伝票!$B:$B,$B28),SUMIFS([1]全伝票!O:O,[1]全伝票!$A:$A,$A28,[1]全伝票!$C:$C,$C28)))</f>
        <v>0</v>
      </c>
      <c r="M28" s="81">
        <f>+IF($A28="",IF($C28="",SUMIFS([1]全伝票!P:P,[1]全伝票!$B:$B,$B28),SUMIFS([1]全伝票!P:P,[1]全伝票!$C:$C,$C28)),IF($C28="",SUMIFS([1]全伝票!P:P,[1]全伝票!$A:$A,$A28,[1]全伝票!$B:$B,$B28),SUMIFS([1]全伝票!P:P,[1]全伝票!$A:$A,$A28,[1]全伝票!$C:$C,$C28)))</f>
        <v>0</v>
      </c>
      <c r="N28" s="43">
        <f t="shared" si="2"/>
        <v>0</v>
      </c>
      <c r="O28" s="42">
        <f t="shared" si="3"/>
        <v>0</v>
      </c>
      <c r="P28" s="42">
        <f t="shared" si="4"/>
        <v>0</v>
      </c>
      <c r="Q28" s="42">
        <f t="shared" si="4"/>
        <v>0</v>
      </c>
      <c r="R28" s="46">
        <f t="shared" si="5"/>
        <v>0</v>
      </c>
      <c r="S28" s="45">
        <f t="shared" si="6"/>
        <v>0</v>
      </c>
      <c r="T28" s="44">
        <f t="shared" si="7"/>
        <v>0</v>
      </c>
      <c r="U28" s="31">
        <f t="shared" si="8"/>
        <v>0</v>
      </c>
      <c r="V28" s="31">
        <f t="shared" si="9"/>
        <v>0</v>
      </c>
      <c r="W28" s="31">
        <f t="shared" si="10"/>
        <v>0</v>
      </c>
      <c r="X28" s="31">
        <f t="shared" si="10"/>
        <v>0</v>
      </c>
      <c r="Y28" s="31">
        <f t="shared" si="11"/>
        <v>0</v>
      </c>
      <c r="Z28" s="30">
        <f t="shared" si="12"/>
        <v>0</v>
      </c>
      <c r="AA28" s="30">
        <f t="shared" si="13"/>
        <v>0</v>
      </c>
      <c r="AB28" s="30">
        <f t="shared" si="14"/>
        <v>0</v>
      </c>
      <c r="AC28" s="30">
        <f t="shared" si="14"/>
        <v>0</v>
      </c>
      <c r="AD28" s="30">
        <f t="shared" si="15"/>
        <v>0</v>
      </c>
      <c r="AE28" s="29"/>
      <c r="AF28" s="29"/>
      <c r="AG28" s="29"/>
      <c r="AH28" s="29"/>
      <c r="AI28" s="29"/>
    </row>
    <row r="29" spans="1:35" x14ac:dyDescent="0.15">
      <c r="A29" s="51">
        <v>2</v>
      </c>
      <c r="B29" s="50">
        <v>6170403</v>
      </c>
      <c r="C29" s="49"/>
      <c r="D29" s="48" t="s">
        <v>358</v>
      </c>
      <c r="E29" s="81">
        <f>+IF($A29="",IF($C29="",SUMIFS([1]全伝票!I:I,[1]全伝票!$B:$B,$B29),SUMIFS([1]全伝票!I:I,[1]全伝票!$C:$C,$C29)),IF($C29="",SUMIFS([1]全伝票!I:I,[1]全伝票!$A:$A,$A29,[1]全伝票!$B:$B,$B29),SUMIFS([1]全伝票!I:I,[1]全伝票!$A:$A,$A29,[1]全伝票!$C:$C,$C29)))</f>
        <v>0</v>
      </c>
      <c r="F29" s="84">
        <f>+IF($A29="",IF($C29="",SUMIFS([1]全伝票!J:J,[1]全伝票!$B:$B,$B29),SUMIFS([1]全伝票!J:J,[1]全伝票!$C:$C,$C29)),IF($C29="",SUMIFS([1]全伝票!J:J,[1]全伝票!$A:$A,$A29,[1]全伝票!$B:$B,$B29),SUMIFS([1]全伝票!J:J,[1]全伝票!$A:$A,$A29,[1]全伝票!$C:$C,$C29)))</f>
        <v>0</v>
      </c>
      <c r="G29" s="83">
        <f>+IF($A29="",IF($C29="",SUMIFS([1]全伝票!K:K,[1]全伝票!$B:$B,$B29),SUMIFS([1]全伝票!K:K,[1]全伝票!$C:$C,$C29)),IF($C29="",SUMIFS([1]全伝票!K:K,[1]全伝票!$A:$A,$A29,[1]全伝票!$B:$B,$B29),SUMIFS([1]全伝票!K:K,[1]全伝票!$A:$A,$A29,[1]全伝票!$C:$C,$C29)))</f>
        <v>0</v>
      </c>
      <c r="H29" s="83">
        <f>+IF($A29="",IF($C29="",SUMIFS([1]全伝票!L:L,[1]全伝票!$B:$B,$B29),SUMIFS([1]全伝票!L:L,[1]全伝票!$C:$C,$C29)),IF($C29="",SUMIFS([1]全伝票!L:L,[1]全伝票!$A:$A,$A29,[1]全伝票!$B:$B,$B29),SUMIFS([1]全伝票!L:L,[1]全伝票!$A:$A,$A29,[1]全伝票!$C:$C,$C29)))</f>
        <v>0</v>
      </c>
      <c r="I29" s="83">
        <f>+IF($A29="",IF($C29="",SUMIFS([1]全伝票!M:M,[1]全伝票!$B:$B,$B29),SUMIFS([1]全伝票!M:M,[1]全伝票!$C:$C,$C29)),IF($C29="",SUMIFS([1]全伝票!M:M,[1]全伝票!$A:$A,$A29,[1]全伝票!$B:$B,$B29),SUMIFS([1]全伝票!M:M,[1]全伝票!$A:$A,$A29,[1]全伝票!$C:$C,$C29)))</f>
        <v>0</v>
      </c>
      <c r="J29" s="82">
        <f>+IF($A29="",IF($C29="",SUMIFS([1]全伝票!N:N,[1]全伝票!$B:$B,$B29),SUMIFS([1]全伝票!N:N,[1]全伝票!$C:$C,$C29)),IF($C29="",SUMIFS([1]全伝票!N:N,[1]全伝票!$A:$A,$A29,[1]全伝票!$B:$B,$B29),SUMIFS([1]全伝票!N:N,[1]全伝票!$A:$A,$A29,[1]全伝票!$C:$C,$C29)))</f>
        <v>0</v>
      </c>
      <c r="K29" s="45">
        <f t="shared" si="35"/>
        <v>0</v>
      </c>
      <c r="L29" s="81">
        <f>+IF($A29="",IF($C29="",SUMIFS([1]全伝票!O:O,[1]全伝票!$B:$B,$B29),SUMIFS([1]全伝票!O:O,[1]全伝票!$C:$C,$C29)),IF($C29="",SUMIFS([1]全伝票!O:O,[1]全伝票!$A:$A,$A29,[1]全伝票!$B:$B,$B29),SUMIFS([1]全伝票!O:O,[1]全伝票!$A:$A,$A29,[1]全伝票!$C:$C,$C29)))</f>
        <v>0</v>
      </c>
      <c r="M29" s="81">
        <f>+IF($A29="",IF($C29="",SUMIFS([1]全伝票!P:P,[1]全伝票!$B:$B,$B29),SUMIFS([1]全伝票!P:P,[1]全伝票!$C:$C,$C29)),IF($C29="",SUMIFS([1]全伝票!P:P,[1]全伝票!$A:$A,$A29,[1]全伝票!$B:$B,$B29),SUMIFS([1]全伝票!P:P,[1]全伝票!$A:$A,$A29,[1]全伝票!$C:$C,$C29)))</f>
        <v>0</v>
      </c>
      <c r="N29" s="43">
        <f t="shared" si="2"/>
        <v>0</v>
      </c>
      <c r="O29" s="42">
        <f t="shared" si="3"/>
        <v>0</v>
      </c>
      <c r="P29" s="42">
        <f t="shared" si="4"/>
        <v>0</v>
      </c>
      <c r="Q29" s="42">
        <f t="shared" si="4"/>
        <v>0</v>
      </c>
      <c r="R29" s="46">
        <f t="shared" si="5"/>
        <v>0</v>
      </c>
      <c r="S29" s="45">
        <f t="shared" si="6"/>
        <v>0</v>
      </c>
      <c r="T29" s="44">
        <f t="shared" si="7"/>
        <v>0</v>
      </c>
      <c r="U29" s="31">
        <f t="shared" si="8"/>
        <v>0</v>
      </c>
      <c r="V29" s="31">
        <f t="shared" si="9"/>
        <v>0</v>
      </c>
      <c r="W29" s="31">
        <f t="shared" si="10"/>
        <v>0</v>
      </c>
      <c r="X29" s="31">
        <f t="shared" si="10"/>
        <v>0</v>
      </c>
      <c r="Y29" s="31">
        <f t="shared" si="11"/>
        <v>0</v>
      </c>
      <c r="Z29" s="30">
        <f t="shared" si="12"/>
        <v>0</v>
      </c>
      <c r="AA29" s="30">
        <f t="shared" si="13"/>
        <v>0</v>
      </c>
      <c r="AB29" s="30">
        <f t="shared" si="14"/>
        <v>0</v>
      </c>
      <c r="AC29" s="30">
        <f t="shared" si="14"/>
        <v>0</v>
      </c>
      <c r="AD29" s="30">
        <f t="shared" si="15"/>
        <v>0</v>
      </c>
      <c r="AE29" s="29"/>
      <c r="AF29" s="29"/>
      <c r="AG29" s="29"/>
      <c r="AH29" s="29"/>
      <c r="AI29" s="29"/>
    </row>
    <row r="30" spans="1:35" x14ac:dyDescent="0.15">
      <c r="A30" s="51">
        <v>3</v>
      </c>
      <c r="B30" s="50">
        <v>6170401</v>
      </c>
      <c r="C30" s="49"/>
      <c r="D30" s="48" t="s">
        <v>359</v>
      </c>
      <c r="E30" s="81">
        <f>+IF($A30="",IF($C30="",SUMIFS([1]全伝票!I:I,[1]全伝票!$B:$B,$B30),SUMIFS([1]全伝票!I:I,[1]全伝票!$C:$C,$C30)),IF($C30="",SUMIFS([1]全伝票!I:I,[1]全伝票!$A:$A,$A30,[1]全伝票!$B:$B,$B30),SUMIFS([1]全伝票!I:I,[1]全伝票!$A:$A,$A30,[1]全伝票!$C:$C,$C30)))</f>
        <v>358000</v>
      </c>
      <c r="F30" s="84">
        <f>+IF($A30="",IF($C30="",SUMIFS([1]全伝票!J:J,[1]全伝票!$B:$B,$B30),SUMIFS([1]全伝票!J:J,[1]全伝票!$C:$C,$C30)),IF($C30="",SUMIFS([1]全伝票!J:J,[1]全伝票!$A:$A,$A30,[1]全伝票!$B:$B,$B30),SUMIFS([1]全伝票!J:J,[1]全伝票!$A:$A,$A30,[1]全伝票!$C:$C,$C30)))</f>
        <v>0</v>
      </c>
      <c r="G30" s="83">
        <f>+IF($A30="",IF($C30="",SUMIFS([1]全伝票!K:K,[1]全伝票!$B:$B,$B30),SUMIFS([1]全伝票!K:K,[1]全伝票!$C:$C,$C30)),IF($C30="",SUMIFS([1]全伝票!K:K,[1]全伝票!$A:$A,$A30,[1]全伝票!$B:$B,$B30),SUMIFS([1]全伝票!K:K,[1]全伝票!$A:$A,$A30,[1]全伝票!$C:$C,$C30)))</f>
        <v>0</v>
      </c>
      <c r="H30" s="83">
        <f>+IF($A30="",IF($C30="",SUMIFS([1]全伝票!L:L,[1]全伝票!$B:$B,$B30),SUMIFS([1]全伝票!L:L,[1]全伝票!$C:$C,$C30)),IF($C30="",SUMIFS([1]全伝票!L:L,[1]全伝票!$A:$A,$A30,[1]全伝票!$B:$B,$B30),SUMIFS([1]全伝票!L:L,[1]全伝票!$A:$A,$A30,[1]全伝票!$C:$C,$C30)))</f>
        <v>0</v>
      </c>
      <c r="I30" s="83">
        <f>+IF($A30="",IF($C30="",SUMIFS([1]全伝票!M:M,[1]全伝票!$B:$B,$B30),SUMIFS([1]全伝票!M:M,[1]全伝票!$C:$C,$C30)),IF($C30="",SUMIFS([1]全伝票!M:M,[1]全伝票!$A:$A,$A30,[1]全伝票!$B:$B,$B30),SUMIFS([1]全伝票!M:M,[1]全伝票!$A:$A,$A30,[1]全伝票!$C:$C,$C30)))</f>
        <v>0</v>
      </c>
      <c r="J30" s="82">
        <f>+IF($A30="",IF($C30="",SUMIFS([1]全伝票!N:N,[1]全伝票!$B:$B,$B30),SUMIFS([1]全伝票!N:N,[1]全伝票!$C:$C,$C30)),IF($C30="",SUMIFS([1]全伝票!N:N,[1]全伝票!$A:$A,$A30,[1]全伝票!$B:$B,$B30),SUMIFS([1]全伝票!N:N,[1]全伝票!$A:$A,$A30,[1]全伝票!$C:$C,$C30)))</f>
        <v>0</v>
      </c>
      <c r="K30" s="45">
        <f t="shared" si="35"/>
        <v>0</v>
      </c>
      <c r="L30" s="81">
        <f>+IF($A30="",IF($C30="",SUMIFS([1]全伝票!O:O,[1]全伝票!$B:$B,$B30),SUMIFS([1]全伝票!O:O,[1]全伝票!$C:$C,$C30)),IF($C30="",SUMIFS([1]全伝票!O:O,[1]全伝票!$A:$A,$A30,[1]全伝票!$B:$B,$B30),SUMIFS([1]全伝票!O:O,[1]全伝票!$A:$A,$A30,[1]全伝票!$C:$C,$C30)))</f>
        <v>0</v>
      </c>
      <c r="M30" s="81">
        <f>+IF($A30="",IF($C30="",SUMIFS([1]全伝票!P:P,[1]全伝票!$B:$B,$B30),SUMIFS([1]全伝票!P:P,[1]全伝票!$C:$C,$C30)),IF($C30="",SUMIFS([1]全伝票!P:P,[1]全伝票!$A:$A,$A30,[1]全伝票!$B:$B,$B30),SUMIFS([1]全伝票!P:P,[1]全伝票!$A:$A,$A30,[1]全伝票!$C:$C,$C30)))</f>
        <v>358000</v>
      </c>
      <c r="N30" s="43">
        <f t="shared" si="2"/>
        <v>0</v>
      </c>
      <c r="O30" s="42">
        <f t="shared" si="3"/>
        <v>0</v>
      </c>
      <c r="P30" s="42">
        <f t="shared" si="4"/>
        <v>0</v>
      </c>
      <c r="Q30" s="42">
        <f t="shared" si="4"/>
        <v>0</v>
      </c>
      <c r="R30" s="46">
        <f t="shared" si="5"/>
        <v>0</v>
      </c>
      <c r="S30" s="45">
        <f t="shared" si="6"/>
        <v>0</v>
      </c>
      <c r="T30" s="44">
        <f t="shared" si="7"/>
        <v>358000</v>
      </c>
      <c r="U30" s="31">
        <f t="shared" si="8"/>
        <v>0</v>
      </c>
      <c r="V30" s="31">
        <f t="shared" si="9"/>
        <v>0</v>
      </c>
      <c r="W30" s="31">
        <f t="shared" si="10"/>
        <v>0</v>
      </c>
      <c r="X30" s="31">
        <f t="shared" si="10"/>
        <v>0</v>
      </c>
      <c r="Y30" s="31">
        <f t="shared" si="11"/>
        <v>0</v>
      </c>
      <c r="Z30" s="30">
        <f t="shared" si="12"/>
        <v>0</v>
      </c>
      <c r="AA30" s="30">
        <f t="shared" si="13"/>
        <v>0</v>
      </c>
      <c r="AB30" s="30">
        <f t="shared" si="14"/>
        <v>0</v>
      </c>
      <c r="AC30" s="30">
        <f t="shared" si="14"/>
        <v>0</v>
      </c>
      <c r="AD30" s="30">
        <f t="shared" si="15"/>
        <v>0</v>
      </c>
      <c r="AE30" s="29"/>
      <c r="AF30" s="29"/>
      <c r="AG30" s="29"/>
      <c r="AH30" s="29"/>
      <c r="AI30" s="29"/>
    </row>
    <row r="31" spans="1:35" x14ac:dyDescent="0.15">
      <c r="A31" s="51">
        <v>3</v>
      </c>
      <c r="B31" s="50">
        <v>6170402</v>
      </c>
      <c r="C31" s="49"/>
      <c r="D31" s="48" t="s">
        <v>360</v>
      </c>
      <c r="E31" s="81">
        <f>+IF($A31="",IF($C31="",SUMIFS([1]全伝票!I:I,[1]全伝票!$B:$B,$B31),SUMIFS([1]全伝票!I:I,[1]全伝票!$C:$C,$C31)),IF($C31="",SUMIFS([1]全伝票!I:I,[1]全伝票!$A:$A,$A31,[1]全伝票!$B:$B,$B31),SUMIFS([1]全伝票!I:I,[1]全伝票!$A:$A,$A31,[1]全伝票!$C:$C,$C31)))</f>
        <v>65000</v>
      </c>
      <c r="F31" s="84">
        <f>+IF($A31="",IF($C31="",SUMIFS([1]全伝票!J:J,[1]全伝票!$B:$B,$B31),SUMIFS([1]全伝票!J:J,[1]全伝票!$C:$C,$C31)),IF($C31="",SUMIFS([1]全伝票!J:J,[1]全伝票!$A:$A,$A31,[1]全伝票!$B:$B,$B31),SUMIFS([1]全伝票!J:J,[1]全伝票!$A:$A,$A31,[1]全伝票!$C:$C,$C31)))</f>
        <v>0</v>
      </c>
      <c r="G31" s="83">
        <f>+IF($A31="",IF($C31="",SUMIFS([1]全伝票!K:K,[1]全伝票!$B:$B,$B31),SUMIFS([1]全伝票!K:K,[1]全伝票!$C:$C,$C31)),IF($C31="",SUMIFS([1]全伝票!K:K,[1]全伝票!$A:$A,$A31,[1]全伝票!$B:$B,$B31),SUMIFS([1]全伝票!K:K,[1]全伝票!$A:$A,$A31,[1]全伝票!$C:$C,$C31)))</f>
        <v>0</v>
      </c>
      <c r="H31" s="83">
        <f>+IF($A31="",IF($C31="",SUMIFS([1]全伝票!L:L,[1]全伝票!$B:$B,$B31),SUMIFS([1]全伝票!L:L,[1]全伝票!$C:$C,$C31)),IF($C31="",SUMIFS([1]全伝票!L:L,[1]全伝票!$A:$A,$A31,[1]全伝票!$B:$B,$B31),SUMIFS([1]全伝票!L:L,[1]全伝票!$A:$A,$A31,[1]全伝票!$C:$C,$C31)))</f>
        <v>0</v>
      </c>
      <c r="I31" s="83">
        <f>+IF($A31="",IF($C31="",SUMIFS([1]全伝票!M:M,[1]全伝票!$B:$B,$B31),SUMIFS([1]全伝票!M:M,[1]全伝票!$C:$C,$C31)),IF($C31="",SUMIFS([1]全伝票!M:M,[1]全伝票!$A:$A,$A31,[1]全伝票!$B:$B,$B31),SUMIFS([1]全伝票!M:M,[1]全伝票!$A:$A,$A31,[1]全伝票!$C:$C,$C31)))</f>
        <v>0</v>
      </c>
      <c r="J31" s="82">
        <f>+IF($A31="",IF($C31="",SUMIFS([1]全伝票!N:N,[1]全伝票!$B:$B,$B31),SUMIFS([1]全伝票!N:N,[1]全伝票!$C:$C,$C31)),IF($C31="",SUMIFS([1]全伝票!N:N,[1]全伝票!$A:$A,$A31,[1]全伝票!$B:$B,$B31),SUMIFS([1]全伝票!N:N,[1]全伝票!$A:$A,$A31,[1]全伝票!$C:$C,$C31)))</f>
        <v>0</v>
      </c>
      <c r="K31" s="45">
        <f t="shared" si="35"/>
        <v>0</v>
      </c>
      <c r="L31" s="81">
        <f>+IF($A31="",IF($C31="",SUMIFS([1]全伝票!O:O,[1]全伝票!$B:$B,$B31),SUMIFS([1]全伝票!O:O,[1]全伝票!$C:$C,$C31)),IF($C31="",SUMIFS([1]全伝票!O:O,[1]全伝票!$A:$A,$A31,[1]全伝票!$B:$B,$B31),SUMIFS([1]全伝票!O:O,[1]全伝票!$A:$A,$A31,[1]全伝票!$C:$C,$C31)))</f>
        <v>0</v>
      </c>
      <c r="M31" s="81">
        <f>+IF($A31="",IF($C31="",SUMIFS([1]全伝票!P:P,[1]全伝票!$B:$B,$B31),SUMIFS([1]全伝票!P:P,[1]全伝票!$C:$C,$C31)),IF($C31="",SUMIFS([1]全伝票!P:P,[1]全伝票!$A:$A,$A31,[1]全伝票!$B:$B,$B31),SUMIFS([1]全伝票!P:P,[1]全伝票!$A:$A,$A31,[1]全伝票!$C:$C,$C31)))</f>
        <v>65000</v>
      </c>
      <c r="N31" s="43">
        <f t="shared" si="2"/>
        <v>0</v>
      </c>
      <c r="O31" s="42">
        <f t="shared" si="3"/>
        <v>0</v>
      </c>
      <c r="P31" s="42">
        <f t="shared" si="4"/>
        <v>0</v>
      </c>
      <c r="Q31" s="42">
        <f t="shared" si="4"/>
        <v>0</v>
      </c>
      <c r="R31" s="46">
        <f t="shared" si="5"/>
        <v>0</v>
      </c>
      <c r="S31" s="45">
        <f t="shared" si="6"/>
        <v>0</v>
      </c>
      <c r="T31" s="44">
        <f t="shared" si="7"/>
        <v>65000</v>
      </c>
      <c r="U31" s="31">
        <f t="shared" si="8"/>
        <v>0</v>
      </c>
      <c r="V31" s="31">
        <f t="shared" si="9"/>
        <v>0</v>
      </c>
      <c r="W31" s="31">
        <f t="shared" si="10"/>
        <v>0</v>
      </c>
      <c r="X31" s="31">
        <f t="shared" si="10"/>
        <v>0</v>
      </c>
      <c r="Y31" s="31">
        <f t="shared" si="11"/>
        <v>0</v>
      </c>
      <c r="Z31" s="30">
        <f t="shared" si="12"/>
        <v>0</v>
      </c>
      <c r="AA31" s="30">
        <f t="shared" si="13"/>
        <v>0</v>
      </c>
      <c r="AB31" s="30">
        <f t="shared" si="14"/>
        <v>0</v>
      </c>
      <c r="AC31" s="30">
        <f t="shared" si="14"/>
        <v>0</v>
      </c>
      <c r="AD31" s="30">
        <f t="shared" si="15"/>
        <v>0</v>
      </c>
      <c r="AE31" s="29"/>
      <c r="AF31" s="29"/>
      <c r="AG31" s="29"/>
      <c r="AH31" s="29"/>
      <c r="AI31" s="29"/>
    </row>
    <row r="32" spans="1:35" x14ac:dyDescent="0.15">
      <c r="A32" s="51">
        <v>3</v>
      </c>
      <c r="B32" s="50">
        <v>6170403</v>
      </c>
      <c r="C32" s="49"/>
      <c r="D32" s="48" t="s">
        <v>361</v>
      </c>
      <c r="E32" s="81">
        <f>+IF($A32="",IF($C32="",SUMIFS([1]全伝票!I:I,[1]全伝票!$B:$B,$B32),SUMIFS([1]全伝票!I:I,[1]全伝票!$C:$C,$C32)),IF($C32="",SUMIFS([1]全伝票!I:I,[1]全伝票!$A:$A,$A32,[1]全伝票!$B:$B,$B32),SUMIFS([1]全伝票!I:I,[1]全伝票!$A:$A,$A32,[1]全伝票!$C:$C,$C32)))</f>
        <v>0</v>
      </c>
      <c r="F32" s="84">
        <f>+IF($A32="",IF($C32="",SUMIFS([1]全伝票!J:J,[1]全伝票!$B:$B,$B32),SUMIFS([1]全伝票!J:J,[1]全伝票!$C:$C,$C32)),IF($C32="",SUMIFS([1]全伝票!J:J,[1]全伝票!$A:$A,$A32,[1]全伝票!$B:$B,$B32),SUMIFS([1]全伝票!J:J,[1]全伝票!$A:$A,$A32,[1]全伝票!$C:$C,$C32)))</f>
        <v>0</v>
      </c>
      <c r="G32" s="83">
        <f>+IF($A32="",IF($C32="",SUMIFS([1]全伝票!K:K,[1]全伝票!$B:$B,$B32),SUMIFS([1]全伝票!K:K,[1]全伝票!$C:$C,$C32)),IF($C32="",SUMIFS([1]全伝票!K:K,[1]全伝票!$A:$A,$A32,[1]全伝票!$B:$B,$B32),SUMIFS([1]全伝票!K:K,[1]全伝票!$A:$A,$A32,[1]全伝票!$C:$C,$C32)))</f>
        <v>0</v>
      </c>
      <c r="H32" s="83">
        <f>+IF($A32="",IF($C32="",SUMIFS([1]全伝票!L:L,[1]全伝票!$B:$B,$B32),SUMIFS([1]全伝票!L:L,[1]全伝票!$C:$C,$C32)),IF($C32="",SUMIFS([1]全伝票!L:L,[1]全伝票!$A:$A,$A32,[1]全伝票!$B:$B,$B32),SUMIFS([1]全伝票!L:L,[1]全伝票!$A:$A,$A32,[1]全伝票!$C:$C,$C32)))</f>
        <v>0</v>
      </c>
      <c r="I32" s="83">
        <f>+IF($A32="",IF($C32="",SUMIFS([1]全伝票!M:M,[1]全伝票!$B:$B,$B32),SUMIFS([1]全伝票!M:M,[1]全伝票!$C:$C,$C32)),IF($C32="",SUMIFS([1]全伝票!M:M,[1]全伝票!$A:$A,$A32,[1]全伝票!$B:$B,$B32),SUMIFS([1]全伝票!M:M,[1]全伝票!$A:$A,$A32,[1]全伝票!$C:$C,$C32)))</f>
        <v>0</v>
      </c>
      <c r="J32" s="82">
        <f>+IF($A32="",IF($C32="",SUMIFS([1]全伝票!N:N,[1]全伝票!$B:$B,$B32),SUMIFS([1]全伝票!N:N,[1]全伝票!$C:$C,$C32)),IF($C32="",SUMIFS([1]全伝票!N:N,[1]全伝票!$A:$A,$A32,[1]全伝票!$B:$B,$B32),SUMIFS([1]全伝票!N:N,[1]全伝票!$A:$A,$A32,[1]全伝票!$C:$C,$C32)))</f>
        <v>0</v>
      </c>
      <c r="K32" s="45">
        <f t="shared" si="35"/>
        <v>0</v>
      </c>
      <c r="L32" s="81">
        <f>+IF($A32="",IF($C32="",SUMIFS([1]全伝票!O:O,[1]全伝票!$B:$B,$B32),SUMIFS([1]全伝票!O:O,[1]全伝票!$C:$C,$C32)),IF($C32="",SUMIFS([1]全伝票!O:O,[1]全伝票!$A:$A,$A32,[1]全伝票!$B:$B,$B32),SUMIFS([1]全伝票!O:O,[1]全伝票!$A:$A,$A32,[1]全伝票!$C:$C,$C32)))</f>
        <v>0</v>
      </c>
      <c r="M32" s="81">
        <f>+IF($A32="",IF($C32="",SUMIFS([1]全伝票!P:P,[1]全伝票!$B:$B,$B32),SUMIFS([1]全伝票!P:P,[1]全伝票!$C:$C,$C32)),IF($C32="",SUMIFS([1]全伝票!P:P,[1]全伝票!$A:$A,$A32,[1]全伝票!$B:$B,$B32),SUMIFS([1]全伝票!P:P,[1]全伝票!$A:$A,$A32,[1]全伝票!$C:$C,$C32)))</f>
        <v>0</v>
      </c>
      <c r="N32" s="43">
        <f t="shared" si="2"/>
        <v>0</v>
      </c>
      <c r="O32" s="42">
        <f t="shared" si="3"/>
        <v>0</v>
      </c>
      <c r="P32" s="42">
        <f t="shared" si="4"/>
        <v>0</v>
      </c>
      <c r="Q32" s="42">
        <f t="shared" si="4"/>
        <v>0</v>
      </c>
      <c r="R32" s="46">
        <f t="shared" si="5"/>
        <v>0</v>
      </c>
      <c r="S32" s="45">
        <f t="shared" si="6"/>
        <v>0</v>
      </c>
      <c r="T32" s="44">
        <f t="shared" si="7"/>
        <v>0</v>
      </c>
      <c r="U32" s="31">
        <f t="shared" si="8"/>
        <v>0</v>
      </c>
      <c r="V32" s="31">
        <f t="shared" si="9"/>
        <v>0</v>
      </c>
      <c r="W32" s="31">
        <f t="shared" si="10"/>
        <v>0</v>
      </c>
      <c r="X32" s="31">
        <f t="shared" si="10"/>
        <v>0</v>
      </c>
      <c r="Y32" s="31">
        <f t="shared" si="11"/>
        <v>0</v>
      </c>
      <c r="Z32" s="30">
        <f t="shared" si="12"/>
        <v>0</v>
      </c>
      <c r="AA32" s="30">
        <f t="shared" si="13"/>
        <v>0</v>
      </c>
      <c r="AB32" s="30">
        <f t="shared" si="14"/>
        <v>0</v>
      </c>
      <c r="AC32" s="30">
        <f t="shared" si="14"/>
        <v>0</v>
      </c>
      <c r="AD32" s="30">
        <f t="shared" si="15"/>
        <v>0</v>
      </c>
      <c r="AE32" s="29"/>
      <c r="AF32" s="29"/>
      <c r="AG32" s="29"/>
      <c r="AH32" s="29"/>
      <c r="AI32" s="29"/>
    </row>
    <row r="33" spans="1:35" x14ac:dyDescent="0.15">
      <c r="A33" s="51">
        <v>4</v>
      </c>
      <c r="B33" s="50">
        <v>6170401</v>
      </c>
      <c r="C33" s="49"/>
      <c r="D33" s="48" t="s">
        <v>362</v>
      </c>
      <c r="E33" s="81">
        <f>+IF($A33="",IF($C33="",SUMIFS([1]全伝票!I:I,[1]全伝票!$B:$B,$B33),SUMIFS([1]全伝票!I:I,[1]全伝票!$C:$C,$C33)),IF($C33="",SUMIFS([1]全伝票!I:I,[1]全伝票!$A:$A,$A33,[1]全伝票!$B:$B,$B33),SUMIFS([1]全伝票!I:I,[1]全伝票!$A:$A,$A33,[1]全伝票!$C:$C,$C33)))</f>
        <v>0</v>
      </c>
      <c r="F33" s="84">
        <f>+IF($A33="",IF($C33="",SUMIFS([1]全伝票!J:J,[1]全伝票!$B:$B,$B33),SUMIFS([1]全伝票!J:J,[1]全伝票!$C:$C,$C33)),IF($C33="",SUMIFS([1]全伝票!J:J,[1]全伝票!$A:$A,$A33,[1]全伝票!$B:$B,$B33),SUMIFS([1]全伝票!J:J,[1]全伝票!$A:$A,$A33,[1]全伝票!$C:$C,$C33)))</f>
        <v>0</v>
      </c>
      <c r="G33" s="83">
        <f>+IF($A33="",IF($C33="",SUMIFS([1]全伝票!K:K,[1]全伝票!$B:$B,$B33),SUMIFS([1]全伝票!K:K,[1]全伝票!$C:$C,$C33)),IF($C33="",SUMIFS([1]全伝票!K:K,[1]全伝票!$A:$A,$A33,[1]全伝票!$B:$B,$B33),SUMIFS([1]全伝票!K:K,[1]全伝票!$A:$A,$A33,[1]全伝票!$C:$C,$C33)))</f>
        <v>0</v>
      </c>
      <c r="H33" s="83">
        <f>+IF($A33="",IF($C33="",SUMIFS([1]全伝票!L:L,[1]全伝票!$B:$B,$B33),SUMIFS([1]全伝票!L:L,[1]全伝票!$C:$C,$C33)),IF($C33="",SUMIFS([1]全伝票!L:L,[1]全伝票!$A:$A,$A33,[1]全伝票!$B:$B,$B33),SUMIFS([1]全伝票!L:L,[1]全伝票!$A:$A,$A33,[1]全伝票!$C:$C,$C33)))</f>
        <v>0</v>
      </c>
      <c r="I33" s="83">
        <f>+IF($A33="",IF($C33="",SUMIFS([1]全伝票!M:M,[1]全伝票!$B:$B,$B33),SUMIFS([1]全伝票!M:M,[1]全伝票!$C:$C,$C33)),IF($C33="",SUMIFS([1]全伝票!M:M,[1]全伝票!$A:$A,$A33,[1]全伝票!$B:$B,$B33),SUMIFS([1]全伝票!M:M,[1]全伝票!$A:$A,$A33,[1]全伝票!$C:$C,$C33)))</f>
        <v>0</v>
      </c>
      <c r="J33" s="82">
        <f>+IF($A33="",IF($C33="",SUMIFS([1]全伝票!N:N,[1]全伝票!$B:$B,$B33),SUMIFS([1]全伝票!N:N,[1]全伝票!$C:$C,$C33)),IF($C33="",SUMIFS([1]全伝票!N:N,[1]全伝票!$A:$A,$A33,[1]全伝票!$B:$B,$B33),SUMIFS([1]全伝票!N:N,[1]全伝票!$A:$A,$A33,[1]全伝票!$C:$C,$C33)))</f>
        <v>0</v>
      </c>
      <c r="K33" s="45">
        <f t="shared" si="35"/>
        <v>0</v>
      </c>
      <c r="L33" s="81">
        <f>+IF($A33="",IF($C33="",SUMIFS([1]全伝票!O:O,[1]全伝票!$B:$B,$B33),SUMIFS([1]全伝票!O:O,[1]全伝票!$C:$C,$C33)),IF($C33="",SUMIFS([1]全伝票!O:O,[1]全伝票!$A:$A,$A33,[1]全伝票!$B:$B,$B33),SUMIFS([1]全伝票!O:O,[1]全伝票!$A:$A,$A33,[1]全伝票!$C:$C,$C33)))</f>
        <v>0</v>
      </c>
      <c r="M33" s="81">
        <f>+IF($A33="",IF($C33="",SUMIFS([1]全伝票!P:P,[1]全伝票!$B:$B,$B33),SUMIFS([1]全伝票!P:P,[1]全伝票!$C:$C,$C33)),IF($C33="",SUMIFS([1]全伝票!P:P,[1]全伝票!$A:$A,$A33,[1]全伝票!$B:$B,$B33),SUMIFS([1]全伝票!P:P,[1]全伝票!$A:$A,$A33,[1]全伝票!$C:$C,$C33)))</f>
        <v>0</v>
      </c>
      <c r="N33" s="43">
        <f t="shared" si="2"/>
        <v>0</v>
      </c>
      <c r="O33" s="42">
        <f t="shared" si="3"/>
        <v>0</v>
      </c>
      <c r="P33" s="42">
        <f t="shared" si="4"/>
        <v>0</v>
      </c>
      <c r="Q33" s="42">
        <f t="shared" si="4"/>
        <v>0</v>
      </c>
      <c r="R33" s="46">
        <f t="shared" si="5"/>
        <v>0</v>
      </c>
      <c r="S33" s="45">
        <f t="shared" si="6"/>
        <v>0</v>
      </c>
      <c r="T33" s="44">
        <f t="shared" si="7"/>
        <v>0</v>
      </c>
      <c r="U33" s="31">
        <f t="shared" si="8"/>
        <v>0</v>
      </c>
      <c r="V33" s="31">
        <f t="shared" si="9"/>
        <v>0</v>
      </c>
      <c r="W33" s="31">
        <f t="shared" si="10"/>
        <v>0</v>
      </c>
      <c r="X33" s="31">
        <f t="shared" si="10"/>
        <v>0</v>
      </c>
      <c r="Y33" s="31">
        <f t="shared" si="11"/>
        <v>0</v>
      </c>
      <c r="Z33" s="30">
        <f t="shared" si="12"/>
        <v>0</v>
      </c>
      <c r="AA33" s="30">
        <f t="shared" si="13"/>
        <v>0</v>
      </c>
      <c r="AB33" s="30">
        <f t="shared" si="14"/>
        <v>0</v>
      </c>
      <c r="AC33" s="30">
        <f t="shared" si="14"/>
        <v>0</v>
      </c>
      <c r="AD33" s="30">
        <f t="shared" si="15"/>
        <v>0</v>
      </c>
      <c r="AE33" s="29"/>
      <c r="AF33" s="29"/>
      <c r="AG33" s="29"/>
      <c r="AH33" s="29"/>
      <c r="AI33" s="29"/>
    </row>
    <row r="34" spans="1:35" x14ac:dyDescent="0.15">
      <c r="A34" s="51">
        <v>4</v>
      </c>
      <c r="B34" s="50">
        <v>6170402</v>
      </c>
      <c r="C34" s="49"/>
      <c r="D34" s="48" t="s">
        <v>363</v>
      </c>
      <c r="E34" s="81">
        <f>+IF($A34="",IF($C34="",SUMIFS([1]全伝票!I:I,[1]全伝票!$B:$B,$B34),SUMIFS([1]全伝票!I:I,[1]全伝票!$C:$C,$C34)),IF($C34="",SUMIFS([1]全伝票!I:I,[1]全伝票!$A:$A,$A34,[1]全伝票!$B:$B,$B34),SUMIFS([1]全伝票!I:I,[1]全伝票!$A:$A,$A34,[1]全伝票!$C:$C,$C34)))</f>
        <v>0</v>
      </c>
      <c r="F34" s="84">
        <f>+IF($A34="",IF($C34="",SUMIFS([1]全伝票!J:J,[1]全伝票!$B:$B,$B34),SUMIFS([1]全伝票!J:J,[1]全伝票!$C:$C,$C34)),IF($C34="",SUMIFS([1]全伝票!J:J,[1]全伝票!$A:$A,$A34,[1]全伝票!$B:$B,$B34),SUMIFS([1]全伝票!J:J,[1]全伝票!$A:$A,$A34,[1]全伝票!$C:$C,$C34)))</f>
        <v>0</v>
      </c>
      <c r="G34" s="83">
        <f>+IF($A34="",IF($C34="",SUMIFS([1]全伝票!K:K,[1]全伝票!$B:$B,$B34),SUMIFS([1]全伝票!K:K,[1]全伝票!$C:$C,$C34)),IF($C34="",SUMIFS([1]全伝票!K:K,[1]全伝票!$A:$A,$A34,[1]全伝票!$B:$B,$B34),SUMIFS([1]全伝票!K:K,[1]全伝票!$A:$A,$A34,[1]全伝票!$C:$C,$C34)))</f>
        <v>0</v>
      </c>
      <c r="H34" s="83">
        <f>+IF($A34="",IF($C34="",SUMIFS([1]全伝票!L:L,[1]全伝票!$B:$B,$B34),SUMIFS([1]全伝票!L:L,[1]全伝票!$C:$C,$C34)),IF($C34="",SUMIFS([1]全伝票!L:L,[1]全伝票!$A:$A,$A34,[1]全伝票!$B:$B,$B34),SUMIFS([1]全伝票!L:L,[1]全伝票!$A:$A,$A34,[1]全伝票!$C:$C,$C34)))</f>
        <v>0</v>
      </c>
      <c r="I34" s="83">
        <f>+IF($A34="",IF($C34="",SUMIFS([1]全伝票!M:M,[1]全伝票!$B:$B,$B34),SUMIFS([1]全伝票!M:M,[1]全伝票!$C:$C,$C34)),IF($C34="",SUMIFS([1]全伝票!M:M,[1]全伝票!$A:$A,$A34,[1]全伝票!$B:$B,$B34),SUMIFS([1]全伝票!M:M,[1]全伝票!$A:$A,$A34,[1]全伝票!$C:$C,$C34)))</f>
        <v>0</v>
      </c>
      <c r="J34" s="82">
        <f>+IF($A34="",IF($C34="",SUMIFS([1]全伝票!N:N,[1]全伝票!$B:$B,$B34),SUMIFS([1]全伝票!N:N,[1]全伝票!$C:$C,$C34)),IF($C34="",SUMIFS([1]全伝票!N:N,[1]全伝票!$A:$A,$A34,[1]全伝票!$B:$B,$B34),SUMIFS([1]全伝票!N:N,[1]全伝票!$A:$A,$A34,[1]全伝票!$C:$C,$C34)))</f>
        <v>0</v>
      </c>
      <c r="K34" s="45">
        <f t="shared" si="35"/>
        <v>0</v>
      </c>
      <c r="L34" s="81">
        <f>+IF($A34="",IF($C34="",SUMIFS([1]全伝票!O:O,[1]全伝票!$B:$B,$B34),SUMIFS([1]全伝票!O:O,[1]全伝票!$C:$C,$C34)),IF($C34="",SUMIFS([1]全伝票!O:O,[1]全伝票!$A:$A,$A34,[1]全伝票!$B:$B,$B34),SUMIFS([1]全伝票!O:O,[1]全伝票!$A:$A,$A34,[1]全伝票!$C:$C,$C34)))</f>
        <v>0</v>
      </c>
      <c r="M34" s="81">
        <f>+IF($A34="",IF($C34="",SUMIFS([1]全伝票!P:P,[1]全伝票!$B:$B,$B34),SUMIFS([1]全伝票!P:P,[1]全伝票!$C:$C,$C34)),IF($C34="",SUMIFS([1]全伝票!P:P,[1]全伝票!$A:$A,$A34,[1]全伝票!$B:$B,$B34),SUMIFS([1]全伝票!P:P,[1]全伝票!$A:$A,$A34,[1]全伝票!$C:$C,$C34)))</f>
        <v>0</v>
      </c>
      <c r="N34" s="43">
        <f t="shared" si="2"/>
        <v>0</v>
      </c>
      <c r="O34" s="42">
        <f t="shared" si="3"/>
        <v>0</v>
      </c>
      <c r="P34" s="42">
        <f t="shared" si="4"/>
        <v>0</v>
      </c>
      <c r="Q34" s="42">
        <f t="shared" si="4"/>
        <v>0</v>
      </c>
      <c r="R34" s="46">
        <f t="shared" si="5"/>
        <v>0</v>
      </c>
      <c r="S34" s="45">
        <f t="shared" si="6"/>
        <v>0</v>
      </c>
      <c r="T34" s="44">
        <f t="shared" si="7"/>
        <v>0</v>
      </c>
      <c r="U34" s="31">
        <f t="shared" si="8"/>
        <v>0</v>
      </c>
      <c r="V34" s="31">
        <f t="shared" si="9"/>
        <v>0</v>
      </c>
      <c r="W34" s="31">
        <f t="shared" si="10"/>
        <v>0</v>
      </c>
      <c r="X34" s="31">
        <f t="shared" si="10"/>
        <v>0</v>
      </c>
      <c r="Y34" s="31">
        <f t="shared" si="11"/>
        <v>0</v>
      </c>
      <c r="Z34" s="30">
        <f t="shared" si="12"/>
        <v>0</v>
      </c>
      <c r="AA34" s="30">
        <f t="shared" si="13"/>
        <v>0</v>
      </c>
      <c r="AB34" s="30">
        <f t="shared" si="14"/>
        <v>0</v>
      </c>
      <c r="AC34" s="30">
        <f t="shared" si="14"/>
        <v>0</v>
      </c>
      <c r="AD34" s="30">
        <f t="shared" si="15"/>
        <v>0</v>
      </c>
      <c r="AE34" s="29"/>
      <c r="AF34" s="29"/>
      <c r="AG34" s="29"/>
      <c r="AH34" s="29"/>
      <c r="AI34" s="29"/>
    </row>
    <row r="35" spans="1:35" x14ac:dyDescent="0.15">
      <c r="A35" s="51">
        <v>4</v>
      </c>
      <c r="B35" s="50">
        <v>6170403</v>
      </c>
      <c r="C35" s="49"/>
      <c r="D35" s="48" t="s">
        <v>364</v>
      </c>
      <c r="E35" s="81">
        <f>+IF($A35="",IF($C35="",SUMIFS([1]全伝票!I:I,[1]全伝票!$B:$B,$B35),SUMIFS([1]全伝票!I:I,[1]全伝票!$C:$C,$C35)),IF($C35="",SUMIFS([1]全伝票!I:I,[1]全伝票!$A:$A,$A35,[1]全伝票!$B:$B,$B35),SUMIFS([1]全伝票!I:I,[1]全伝票!$A:$A,$A35,[1]全伝票!$C:$C,$C35)))</f>
        <v>0</v>
      </c>
      <c r="F35" s="84">
        <f>+IF($A35="",IF($C35="",SUMIFS([1]全伝票!J:J,[1]全伝票!$B:$B,$B35),SUMIFS([1]全伝票!J:J,[1]全伝票!$C:$C,$C35)),IF($C35="",SUMIFS([1]全伝票!J:J,[1]全伝票!$A:$A,$A35,[1]全伝票!$B:$B,$B35),SUMIFS([1]全伝票!J:J,[1]全伝票!$A:$A,$A35,[1]全伝票!$C:$C,$C35)))</f>
        <v>0</v>
      </c>
      <c r="G35" s="83">
        <f>+IF($A35="",IF($C35="",SUMIFS([1]全伝票!K:K,[1]全伝票!$B:$B,$B35),SUMIFS([1]全伝票!K:K,[1]全伝票!$C:$C,$C35)),IF($C35="",SUMIFS([1]全伝票!K:K,[1]全伝票!$A:$A,$A35,[1]全伝票!$B:$B,$B35),SUMIFS([1]全伝票!K:K,[1]全伝票!$A:$A,$A35,[1]全伝票!$C:$C,$C35)))</f>
        <v>0</v>
      </c>
      <c r="H35" s="83">
        <f>+IF($A35="",IF($C35="",SUMIFS([1]全伝票!L:L,[1]全伝票!$B:$B,$B35),SUMIFS([1]全伝票!L:L,[1]全伝票!$C:$C,$C35)),IF($C35="",SUMIFS([1]全伝票!L:L,[1]全伝票!$A:$A,$A35,[1]全伝票!$B:$B,$B35),SUMIFS([1]全伝票!L:L,[1]全伝票!$A:$A,$A35,[1]全伝票!$C:$C,$C35)))</f>
        <v>0</v>
      </c>
      <c r="I35" s="83">
        <f>+IF($A35="",IF($C35="",SUMIFS([1]全伝票!M:M,[1]全伝票!$B:$B,$B35),SUMIFS([1]全伝票!M:M,[1]全伝票!$C:$C,$C35)),IF($C35="",SUMIFS([1]全伝票!M:M,[1]全伝票!$A:$A,$A35,[1]全伝票!$B:$B,$B35),SUMIFS([1]全伝票!M:M,[1]全伝票!$A:$A,$A35,[1]全伝票!$C:$C,$C35)))</f>
        <v>0</v>
      </c>
      <c r="J35" s="82">
        <f>+IF($A35="",IF($C35="",SUMIFS([1]全伝票!N:N,[1]全伝票!$B:$B,$B35),SUMIFS([1]全伝票!N:N,[1]全伝票!$C:$C,$C35)),IF($C35="",SUMIFS([1]全伝票!N:N,[1]全伝票!$A:$A,$A35,[1]全伝票!$B:$B,$B35),SUMIFS([1]全伝票!N:N,[1]全伝票!$A:$A,$A35,[1]全伝票!$C:$C,$C35)))</f>
        <v>0</v>
      </c>
      <c r="K35" s="45">
        <f t="shared" si="35"/>
        <v>0</v>
      </c>
      <c r="L35" s="81">
        <f>+IF($A35="",IF($C35="",SUMIFS([1]全伝票!O:O,[1]全伝票!$B:$B,$B35),SUMIFS([1]全伝票!O:O,[1]全伝票!$C:$C,$C35)),IF($C35="",SUMIFS([1]全伝票!O:O,[1]全伝票!$A:$A,$A35,[1]全伝票!$B:$B,$B35),SUMIFS([1]全伝票!O:O,[1]全伝票!$A:$A,$A35,[1]全伝票!$C:$C,$C35)))</f>
        <v>0</v>
      </c>
      <c r="M35" s="81">
        <f>+IF($A35="",IF($C35="",SUMIFS([1]全伝票!P:P,[1]全伝票!$B:$B,$B35),SUMIFS([1]全伝票!P:P,[1]全伝票!$C:$C,$C35)),IF($C35="",SUMIFS([1]全伝票!P:P,[1]全伝票!$A:$A,$A35,[1]全伝票!$B:$B,$B35),SUMIFS([1]全伝票!P:P,[1]全伝票!$A:$A,$A35,[1]全伝票!$C:$C,$C35)))</f>
        <v>0</v>
      </c>
      <c r="N35" s="43">
        <f t="shared" si="2"/>
        <v>0</v>
      </c>
      <c r="O35" s="42">
        <f t="shared" si="3"/>
        <v>0</v>
      </c>
      <c r="P35" s="42">
        <f t="shared" si="4"/>
        <v>0</v>
      </c>
      <c r="Q35" s="42">
        <f t="shared" si="4"/>
        <v>0</v>
      </c>
      <c r="R35" s="46">
        <f t="shared" si="5"/>
        <v>0</v>
      </c>
      <c r="S35" s="45">
        <f t="shared" si="6"/>
        <v>0</v>
      </c>
      <c r="T35" s="44">
        <f t="shared" si="7"/>
        <v>0</v>
      </c>
      <c r="U35" s="31">
        <f t="shared" si="8"/>
        <v>0</v>
      </c>
      <c r="V35" s="31">
        <f t="shared" si="9"/>
        <v>0</v>
      </c>
      <c r="W35" s="31">
        <f t="shared" si="10"/>
        <v>0</v>
      </c>
      <c r="X35" s="31">
        <f t="shared" si="10"/>
        <v>0</v>
      </c>
      <c r="Y35" s="31">
        <f t="shared" si="11"/>
        <v>0</v>
      </c>
      <c r="Z35" s="30">
        <f t="shared" si="12"/>
        <v>0</v>
      </c>
      <c r="AA35" s="30">
        <f t="shared" si="13"/>
        <v>0</v>
      </c>
      <c r="AB35" s="30">
        <f t="shared" si="14"/>
        <v>0</v>
      </c>
      <c r="AC35" s="30">
        <f t="shared" si="14"/>
        <v>0</v>
      </c>
      <c r="AD35" s="30">
        <f t="shared" si="15"/>
        <v>0</v>
      </c>
      <c r="AE35" s="29"/>
      <c r="AF35" s="29"/>
      <c r="AG35" s="29"/>
      <c r="AH35" s="29"/>
      <c r="AI35" s="29"/>
    </row>
    <row r="36" spans="1:35" x14ac:dyDescent="0.15">
      <c r="A36" s="51"/>
      <c r="B36" s="50"/>
      <c r="C36" s="49"/>
      <c r="D36" s="48"/>
      <c r="E36" s="47"/>
      <c r="F36" s="43"/>
      <c r="G36" s="42"/>
      <c r="H36" s="42"/>
      <c r="I36" s="42"/>
      <c r="J36" s="46"/>
      <c r="K36" s="45"/>
      <c r="L36" s="47"/>
      <c r="M36" s="47"/>
      <c r="N36" s="43">
        <f t="shared" si="2"/>
        <v>0</v>
      </c>
      <c r="O36" s="42">
        <f t="shared" si="3"/>
        <v>0</v>
      </c>
      <c r="P36" s="42">
        <f t="shared" si="4"/>
        <v>0</v>
      </c>
      <c r="Q36" s="42">
        <f t="shared" si="4"/>
        <v>0</v>
      </c>
      <c r="R36" s="46">
        <f t="shared" si="5"/>
        <v>0</v>
      </c>
      <c r="S36" s="45">
        <f t="shared" si="6"/>
        <v>0</v>
      </c>
      <c r="T36" s="44">
        <f t="shared" si="7"/>
        <v>0</v>
      </c>
      <c r="U36" s="31">
        <f t="shared" si="8"/>
        <v>0</v>
      </c>
      <c r="V36" s="31">
        <f t="shared" si="9"/>
        <v>0</v>
      </c>
      <c r="W36" s="31">
        <f t="shared" si="10"/>
        <v>0</v>
      </c>
      <c r="X36" s="31">
        <f t="shared" si="10"/>
        <v>0</v>
      </c>
      <c r="Y36" s="31">
        <f t="shared" si="11"/>
        <v>0</v>
      </c>
      <c r="Z36" s="30">
        <f t="shared" si="12"/>
        <v>0</v>
      </c>
      <c r="AA36" s="30">
        <f t="shared" si="13"/>
        <v>0</v>
      </c>
      <c r="AB36" s="30">
        <f t="shared" si="14"/>
        <v>0</v>
      </c>
      <c r="AC36" s="30">
        <f t="shared" si="14"/>
        <v>0</v>
      </c>
      <c r="AD36" s="30">
        <f t="shared" si="15"/>
        <v>0</v>
      </c>
      <c r="AE36" s="29"/>
      <c r="AF36" s="29"/>
      <c r="AG36" s="29"/>
      <c r="AH36" s="29"/>
      <c r="AI36" s="29"/>
    </row>
    <row r="37" spans="1:35" x14ac:dyDescent="0.15">
      <c r="A37" s="51"/>
      <c r="B37" s="50"/>
      <c r="C37" s="49"/>
      <c r="D37" s="48"/>
      <c r="E37" s="47"/>
      <c r="F37" s="43"/>
      <c r="G37" s="42"/>
      <c r="H37" s="42"/>
      <c r="I37" s="42"/>
      <c r="J37" s="46"/>
      <c r="K37" s="45"/>
      <c r="L37" s="47"/>
      <c r="M37" s="47"/>
      <c r="N37" s="43">
        <f t="shared" si="2"/>
        <v>0</v>
      </c>
      <c r="O37" s="42">
        <f t="shared" si="3"/>
        <v>0</v>
      </c>
      <c r="P37" s="42">
        <f t="shared" si="4"/>
        <v>0</v>
      </c>
      <c r="Q37" s="42">
        <f t="shared" si="4"/>
        <v>0</v>
      </c>
      <c r="R37" s="46">
        <f t="shared" si="5"/>
        <v>0</v>
      </c>
      <c r="S37" s="45">
        <f t="shared" si="6"/>
        <v>0</v>
      </c>
      <c r="T37" s="44">
        <f t="shared" si="7"/>
        <v>0</v>
      </c>
      <c r="U37" s="31">
        <f t="shared" si="8"/>
        <v>0</v>
      </c>
      <c r="V37" s="31">
        <f t="shared" si="9"/>
        <v>0</v>
      </c>
      <c r="W37" s="31">
        <f t="shared" si="10"/>
        <v>0</v>
      </c>
      <c r="X37" s="31">
        <f t="shared" si="10"/>
        <v>0</v>
      </c>
      <c r="Y37" s="31">
        <f t="shared" si="11"/>
        <v>0</v>
      </c>
      <c r="Z37" s="30">
        <f t="shared" si="12"/>
        <v>0</v>
      </c>
      <c r="AA37" s="30">
        <f t="shared" si="13"/>
        <v>0</v>
      </c>
      <c r="AB37" s="30">
        <f t="shared" si="14"/>
        <v>0</v>
      </c>
      <c r="AC37" s="30">
        <f t="shared" si="14"/>
        <v>0</v>
      </c>
      <c r="AD37" s="30">
        <f t="shared" si="15"/>
        <v>0</v>
      </c>
      <c r="AE37" s="29"/>
      <c r="AF37" s="29"/>
      <c r="AG37" s="29"/>
      <c r="AH37" s="29"/>
      <c r="AI37" s="29"/>
    </row>
    <row r="38" spans="1:35" x14ac:dyDescent="0.15">
      <c r="A38" s="51"/>
      <c r="B38" s="50"/>
      <c r="C38" s="49"/>
      <c r="D38" s="48"/>
      <c r="E38" s="47"/>
      <c r="F38" s="43"/>
      <c r="G38" s="42"/>
      <c r="H38" s="42"/>
      <c r="I38" s="42"/>
      <c r="J38" s="46"/>
      <c r="K38" s="45"/>
      <c r="L38" s="47"/>
      <c r="M38" s="47"/>
      <c r="N38" s="43">
        <f t="shared" si="2"/>
        <v>0</v>
      </c>
      <c r="O38" s="42">
        <f t="shared" si="3"/>
        <v>0</v>
      </c>
      <c r="P38" s="42">
        <f t="shared" si="4"/>
        <v>0</v>
      </c>
      <c r="Q38" s="42">
        <f t="shared" si="4"/>
        <v>0</v>
      </c>
      <c r="R38" s="46">
        <f t="shared" si="5"/>
        <v>0</v>
      </c>
      <c r="S38" s="45">
        <f t="shared" si="6"/>
        <v>0</v>
      </c>
      <c r="T38" s="44">
        <f t="shared" si="7"/>
        <v>0</v>
      </c>
      <c r="U38" s="31">
        <f t="shared" si="8"/>
        <v>0</v>
      </c>
      <c r="V38" s="31">
        <f t="shared" si="9"/>
        <v>0</v>
      </c>
      <c r="W38" s="31">
        <f t="shared" si="10"/>
        <v>0</v>
      </c>
      <c r="X38" s="31">
        <f t="shared" si="10"/>
        <v>0</v>
      </c>
      <c r="Y38" s="31">
        <f t="shared" si="11"/>
        <v>0</v>
      </c>
      <c r="Z38" s="30">
        <f t="shared" si="12"/>
        <v>0</v>
      </c>
      <c r="AA38" s="30">
        <f t="shared" si="13"/>
        <v>0</v>
      </c>
      <c r="AB38" s="30">
        <f t="shared" si="14"/>
        <v>0</v>
      </c>
      <c r="AC38" s="30">
        <f t="shared" si="14"/>
        <v>0</v>
      </c>
      <c r="AD38" s="30">
        <f t="shared" si="15"/>
        <v>0</v>
      </c>
      <c r="AE38" s="29"/>
      <c r="AF38" s="29"/>
      <c r="AG38" s="29"/>
      <c r="AH38" s="29"/>
      <c r="AI38" s="29"/>
    </row>
    <row r="39" spans="1:35" x14ac:dyDescent="0.15">
      <c r="A39" s="51"/>
      <c r="B39" s="50"/>
      <c r="C39" s="49"/>
      <c r="D39" s="48"/>
      <c r="E39" s="47"/>
      <c r="F39" s="43"/>
      <c r="G39" s="42"/>
      <c r="H39" s="42"/>
      <c r="I39" s="42"/>
      <c r="J39" s="46"/>
      <c r="K39" s="45"/>
      <c r="L39" s="47"/>
      <c r="M39" s="47"/>
      <c r="N39" s="43">
        <f t="shared" si="2"/>
        <v>0</v>
      </c>
      <c r="O39" s="42">
        <f t="shared" si="3"/>
        <v>0</v>
      </c>
      <c r="P39" s="42">
        <f t="shared" si="4"/>
        <v>0</v>
      </c>
      <c r="Q39" s="42">
        <f t="shared" si="4"/>
        <v>0</v>
      </c>
      <c r="R39" s="46">
        <f t="shared" si="5"/>
        <v>0</v>
      </c>
      <c r="S39" s="45">
        <f t="shared" si="6"/>
        <v>0</v>
      </c>
      <c r="T39" s="44">
        <f t="shared" si="7"/>
        <v>0</v>
      </c>
      <c r="U39" s="31">
        <f t="shared" si="8"/>
        <v>0</v>
      </c>
      <c r="V39" s="31">
        <f t="shared" si="9"/>
        <v>0</v>
      </c>
      <c r="W39" s="31">
        <f t="shared" si="10"/>
        <v>0</v>
      </c>
      <c r="X39" s="31">
        <f t="shared" si="10"/>
        <v>0</v>
      </c>
      <c r="Y39" s="31">
        <f t="shared" si="11"/>
        <v>0</v>
      </c>
      <c r="Z39" s="30">
        <f t="shared" si="12"/>
        <v>0</v>
      </c>
      <c r="AA39" s="30">
        <f t="shared" si="13"/>
        <v>0</v>
      </c>
      <c r="AB39" s="30">
        <f t="shared" si="14"/>
        <v>0</v>
      </c>
      <c r="AC39" s="30">
        <f t="shared" si="14"/>
        <v>0</v>
      </c>
      <c r="AD39" s="30">
        <f t="shared" si="15"/>
        <v>0</v>
      </c>
      <c r="AE39" s="29"/>
      <c r="AF39" s="29"/>
      <c r="AG39" s="29"/>
      <c r="AH39" s="29"/>
      <c r="AI39" s="29"/>
    </row>
    <row r="40" spans="1:35" ht="14.25" thickBot="1" x14ac:dyDescent="0.2">
      <c r="A40" s="41"/>
      <c r="B40" s="40"/>
      <c r="C40" s="39"/>
      <c r="D40" s="38"/>
      <c r="E40" s="37"/>
      <c r="F40" s="33"/>
      <c r="G40" s="32"/>
      <c r="H40" s="32"/>
      <c r="I40" s="32"/>
      <c r="J40" s="36"/>
      <c r="K40" s="35"/>
      <c r="L40" s="37"/>
      <c r="M40" s="37"/>
      <c r="N40" s="33">
        <f t="shared" si="2"/>
        <v>0</v>
      </c>
      <c r="O40" s="32">
        <f t="shared" si="3"/>
        <v>0</v>
      </c>
      <c r="P40" s="32">
        <f t="shared" si="4"/>
        <v>0</v>
      </c>
      <c r="Q40" s="32">
        <f t="shared" si="4"/>
        <v>0</v>
      </c>
      <c r="R40" s="36">
        <f t="shared" si="5"/>
        <v>0</v>
      </c>
      <c r="S40" s="35">
        <f t="shared" si="6"/>
        <v>0</v>
      </c>
      <c r="T40" s="34">
        <f t="shared" si="7"/>
        <v>0</v>
      </c>
      <c r="U40" s="31">
        <f t="shared" si="8"/>
        <v>0</v>
      </c>
      <c r="V40" s="31">
        <f t="shared" si="9"/>
        <v>0</v>
      </c>
      <c r="W40" s="31">
        <f t="shared" si="10"/>
        <v>0</v>
      </c>
      <c r="X40" s="31">
        <f t="shared" si="10"/>
        <v>0</v>
      </c>
      <c r="Y40" s="31">
        <f t="shared" si="11"/>
        <v>0</v>
      </c>
      <c r="Z40" s="30">
        <f t="shared" si="12"/>
        <v>0</v>
      </c>
      <c r="AA40" s="30">
        <f t="shared" si="13"/>
        <v>0</v>
      </c>
      <c r="AB40" s="30">
        <f t="shared" si="14"/>
        <v>0</v>
      </c>
      <c r="AC40" s="30">
        <f t="shared" si="14"/>
        <v>0</v>
      </c>
      <c r="AD40" s="30">
        <f t="shared" si="15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>SUM(E5,E24,E26)</f>
        <v>4182000</v>
      </c>
      <c r="F41" s="24">
        <f t="shared" ref="F41:S41" si="36">SUM(F6,F12,F18,F24,F26)</f>
        <v>0</v>
      </c>
      <c r="G41" s="23">
        <f t="shared" si="36"/>
        <v>0</v>
      </c>
      <c r="H41" s="23">
        <f t="shared" si="36"/>
        <v>0</v>
      </c>
      <c r="I41" s="23">
        <f t="shared" ref="I41" si="37">SUM(I6,I12,I18,I24,I26)</f>
        <v>0</v>
      </c>
      <c r="J41" s="22">
        <f t="shared" si="36"/>
        <v>0</v>
      </c>
      <c r="K41" s="15">
        <f t="shared" si="36"/>
        <v>0</v>
      </c>
      <c r="L41" s="20">
        <f t="shared" si="36"/>
        <v>0</v>
      </c>
      <c r="M41" s="20">
        <f t="shared" si="36"/>
        <v>4182000</v>
      </c>
      <c r="N41" s="17">
        <f t="shared" si="36"/>
        <v>0</v>
      </c>
      <c r="O41" s="16">
        <f t="shared" si="36"/>
        <v>0</v>
      </c>
      <c r="P41" s="16">
        <f t="shared" si="36"/>
        <v>0</v>
      </c>
      <c r="Q41" s="16">
        <f t="shared" ref="Q41" si="38">SUM(Q6,Q12,Q18,Q24,Q26)</f>
        <v>0</v>
      </c>
      <c r="R41" s="19">
        <f t="shared" si="36"/>
        <v>0</v>
      </c>
      <c r="S41" s="15">
        <f t="shared" si="36"/>
        <v>0</v>
      </c>
      <c r="T41" s="20">
        <f t="shared" ref="T41" si="39">SUM(T6,T12,T18,T24,T26)</f>
        <v>4182000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40">+E41</f>
        <v>4182000</v>
      </c>
      <c r="F42" s="10">
        <f t="shared" si="40"/>
        <v>0</v>
      </c>
      <c r="G42" s="9">
        <f t="shared" si="40"/>
        <v>0</v>
      </c>
      <c r="H42" s="9">
        <f t="shared" si="40"/>
        <v>0</v>
      </c>
      <c r="I42" s="9">
        <f t="shared" si="40"/>
        <v>0</v>
      </c>
      <c r="J42" s="8">
        <f t="shared" si="40"/>
        <v>0</v>
      </c>
      <c r="K42" s="4">
        <f>SUM(F42:J42)</f>
        <v>0</v>
      </c>
      <c r="L42" s="5">
        <f>+L41</f>
        <v>0</v>
      </c>
      <c r="M42" s="5">
        <f>+M41</f>
        <v>4182000</v>
      </c>
      <c r="N42" s="121">
        <f>+'4条支出'!N23</f>
        <v>0</v>
      </c>
      <c r="O42" s="122">
        <f>+'4条支出'!O23</f>
        <v>0</v>
      </c>
      <c r="P42" s="122">
        <f>+'4条支出'!P23</f>
        <v>0</v>
      </c>
      <c r="Q42" s="122">
        <f>+'4条支出'!Q23</f>
        <v>0</v>
      </c>
      <c r="R42" s="123">
        <f>+'4条支出'!R23</f>
        <v>0</v>
      </c>
      <c r="S42" s="124">
        <f>+'4条支出'!S23</f>
        <v>0</v>
      </c>
      <c r="T42" s="125">
        <f>+'4条支出'!T23</f>
        <v>4182000</v>
      </c>
    </row>
    <row r="43" spans="1:35" x14ac:dyDescent="0.15">
      <c r="E43" s="3">
        <f t="shared" ref="E43:T43" si="41">+E42-E41</f>
        <v>0</v>
      </c>
      <c r="F43" s="3">
        <f t="shared" si="41"/>
        <v>0</v>
      </c>
      <c r="G43" s="3">
        <f t="shared" si="41"/>
        <v>0</v>
      </c>
      <c r="H43" s="3">
        <f t="shared" si="41"/>
        <v>0</v>
      </c>
      <c r="I43" s="3">
        <f t="shared" ref="I43" si="42">+I42-I41</f>
        <v>0</v>
      </c>
      <c r="J43" s="3">
        <f t="shared" si="41"/>
        <v>0</v>
      </c>
      <c r="K43" s="3">
        <f t="shared" si="41"/>
        <v>0</v>
      </c>
      <c r="L43" s="3">
        <f t="shared" si="41"/>
        <v>0</v>
      </c>
      <c r="M43" s="3">
        <f t="shared" si="41"/>
        <v>0</v>
      </c>
      <c r="N43" s="3">
        <f t="shared" si="41"/>
        <v>0</v>
      </c>
      <c r="O43" s="3">
        <f t="shared" si="41"/>
        <v>0</v>
      </c>
      <c r="P43" s="3">
        <f t="shared" si="41"/>
        <v>0</v>
      </c>
      <c r="Q43" s="3">
        <f t="shared" ref="Q43" si="43">+Q42-Q41</f>
        <v>0</v>
      </c>
      <c r="R43" s="3">
        <f t="shared" si="41"/>
        <v>0</v>
      </c>
      <c r="S43" s="3">
        <f t="shared" si="41"/>
        <v>0</v>
      </c>
      <c r="T43" s="3">
        <f t="shared" si="41"/>
        <v>0</v>
      </c>
    </row>
  </sheetData>
  <mergeCells count="13">
    <mergeCell ref="U3:Y3"/>
    <mergeCell ref="Z3:AD3"/>
    <mergeCell ref="AE3:AI3"/>
    <mergeCell ref="A3:A4"/>
    <mergeCell ref="B3:B4"/>
    <mergeCell ref="C3:C4"/>
    <mergeCell ref="D3:D4"/>
    <mergeCell ref="E3:E4"/>
    <mergeCell ref="F3:K3"/>
    <mergeCell ref="L3:L4"/>
    <mergeCell ref="M3:M4"/>
    <mergeCell ref="N3:S3"/>
    <mergeCell ref="T3:T4"/>
  </mergeCells>
  <phoneticPr fontId="2"/>
  <conditionalFormatting sqref="Z5:AD40">
    <cfRule type="expression" dxfId="17" priority="4">
      <formula>ABS(Z5)=1</formula>
    </cfRule>
  </conditionalFormatting>
  <conditionalFormatting sqref="AD5:AD40">
    <cfRule type="expression" dxfId="16" priority="3">
      <formula>ABS(AD5)=1</formula>
    </cfRule>
  </conditionalFormatting>
  <conditionalFormatting sqref="Z6:AC40">
    <cfRule type="expression" dxfId="15" priority="6">
      <formula>ABS(Z6)=1</formula>
    </cfRule>
  </conditionalFormatting>
  <conditionalFormatting sqref="AE6:AE14 AE16:AE40">
    <cfRule type="notContainsBlanks" dxfId="14" priority="9" stopIfTrue="1">
      <formula>LEN(TRIM(AE6))&gt;0</formula>
    </cfRule>
  </conditionalFormatting>
  <conditionalFormatting sqref="AE6:AI40">
    <cfRule type="notContainsBlanks" dxfId="13" priority="8" stopIfTrue="1">
      <formula>LEN(TRIM(AE6))&gt;0</formula>
    </cfRule>
  </conditionalFormatting>
  <conditionalFormatting sqref="AE5:AI5">
    <cfRule type="notContainsBlanks" dxfId="12" priority="7" stopIfTrue="1">
      <formula>LEN(TRIM(AE5))&gt;0</formula>
    </cfRule>
  </conditionalFormatting>
  <conditionalFormatting sqref="AA6:AC40">
    <cfRule type="expression" dxfId="11" priority="5">
      <formula>ABS(AA6)=1</formula>
    </cfRule>
  </conditionalFormatting>
  <conditionalFormatting sqref="E43:H43 J43:T43">
    <cfRule type="cellIs" dxfId="10" priority="2" operator="notEqual">
      <formula>0</formula>
    </cfRule>
  </conditionalFormatting>
  <conditionalFormatting sqref="I43">
    <cfRule type="cellIs" dxfId="9" priority="1" operator="notEqual">
      <formula>0</formula>
    </cfRule>
  </conditionalFormatting>
  <pageMargins left="0.39370078740157483" right="0.39370078740157483" top="0.78740157480314965" bottom="0.19685039370078741" header="0.39370078740157483" footer="0.19685039370078741"/>
  <pageSetup paperSize="9" scale="66" fitToHeight="2" orientation="landscape" blackAndWhite="1" r:id="rId1"/>
  <headerFooter>
    <oddFooter>&amp;L&amp;8&amp;Z&amp;F&amp;A&amp;R&amp;8&amp;D&amp;T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99FF"/>
    <pageSetUpPr fitToPage="1"/>
  </sheetPr>
  <dimension ref="A1:AI43"/>
  <sheetViews>
    <sheetView topLeftCell="D1" zoomScale="80" zoomScaleNormal="80" zoomScaleSheetLayoutView="40" workbookViewId="0">
      <pane xSplit="1" ySplit="4" topLeftCell="E5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9" defaultRowHeight="13.5" outlineLevelCol="1" x14ac:dyDescent="0.15"/>
  <cols>
    <col min="1" max="1" width="4.375" style="1" customWidth="1"/>
    <col min="2" max="3" width="6.25" style="1" customWidth="1"/>
    <col min="4" max="4" width="17.625" style="1" customWidth="1"/>
    <col min="5" max="5" width="13.625" style="1" customWidth="1"/>
    <col min="6" max="6" width="11.625" style="1" customWidth="1" outlineLevel="1"/>
    <col min="7" max="7" width="12.625" style="1" customWidth="1"/>
    <col min="8" max="9" width="13.625" style="1" customWidth="1"/>
    <col min="10" max="10" width="11.625" style="1" customWidth="1"/>
    <col min="11" max="11" width="13.625" style="2" customWidth="1"/>
    <col min="12" max="13" width="13.625" style="1" customWidth="1"/>
    <col min="14" max="14" width="10.625" style="2" customWidth="1" outlineLevel="1"/>
    <col min="15" max="17" width="12.625" style="2" customWidth="1"/>
    <col min="18" max="18" width="10.625" style="2" customWidth="1"/>
    <col min="19" max="19" width="12.625" style="2" customWidth="1"/>
    <col min="20" max="20" width="13.625" style="1" customWidth="1"/>
    <col min="21" max="35" width="5.375" style="1" customWidth="1"/>
    <col min="36" max="16384" width="9" style="1"/>
  </cols>
  <sheetData>
    <row r="1" spans="1:35" x14ac:dyDescent="0.15">
      <c r="D1" s="1" t="str">
        <f>+'4条支出'!D1</f>
        <v>令和５年度決算　消費税算出資料</v>
      </c>
    </row>
    <row r="2" spans="1:35" x14ac:dyDescent="0.15">
      <c r="D2" s="1" t="s">
        <v>355</v>
      </c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5" x14ac:dyDescent="0.15">
      <c r="A3" s="143" t="s">
        <v>29</v>
      </c>
      <c r="B3" s="145" t="s">
        <v>28</v>
      </c>
      <c r="C3" s="147" t="s">
        <v>27</v>
      </c>
      <c r="D3" s="149" t="s">
        <v>26</v>
      </c>
      <c r="E3" s="149" t="s">
        <v>25</v>
      </c>
      <c r="F3" s="151" t="s">
        <v>24</v>
      </c>
      <c r="G3" s="152"/>
      <c r="H3" s="152"/>
      <c r="I3" s="152"/>
      <c r="J3" s="152"/>
      <c r="K3" s="153"/>
      <c r="L3" s="149" t="s">
        <v>23</v>
      </c>
      <c r="M3" s="149" t="s">
        <v>22</v>
      </c>
      <c r="N3" s="154" t="s">
        <v>20</v>
      </c>
      <c r="O3" s="155"/>
      <c r="P3" s="155"/>
      <c r="Q3" s="155"/>
      <c r="R3" s="155"/>
      <c r="S3" s="156"/>
      <c r="T3" s="149" t="s">
        <v>21</v>
      </c>
      <c r="U3" s="140" t="s">
        <v>19</v>
      </c>
      <c r="V3" s="141"/>
      <c r="W3" s="141"/>
      <c r="X3" s="141"/>
      <c r="Y3" s="141"/>
      <c r="Z3" s="141" t="s">
        <v>18</v>
      </c>
      <c r="AA3" s="141"/>
      <c r="AB3" s="141"/>
      <c r="AC3" s="141"/>
      <c r="AD3" s="141"/>
      <c r="AE3" s="142" t="s">
        <v>17</v>
      </c>
      <c r="AF3" s="142"/>
      <c r="AG3" s="142"/>
      <c r="AH3" s="142"/>
      <c r="AI3" s="142"/>
    </row>
    <row r="4" spans="1:35" s="67" customFormat="1" x14ac:dyDescent="0.15">
      <c r="A4" s="144"/>
      <c r="B4" s="146"/>
      <c r="C4" s="148"/>
      <c r="D4" s="150"/>
      <c r="E4" s="150"/>
      <c r="F4" s="76">
        <v>3</v>
      </c>
      <c r="G4" s="75">
        <v>5</v>
      </c>
      <c r="H4" s="75">
        <v>8</v>
      </c>
      <c r="I4" s="131">
        <v>8</v>
      </c>
      <c r="J4" s="74">
        <v>10</v>
      </c>
      <c r="K4" s="69" t="s">
        <v>1</v>
      </c>
      <c r="L4" s="150"/>
      <c r="M4" s="150"/>
      <c r="N4" s="72">
        <v>3</v>
      </c>
      <c r="O4" s="71">
        <v>5</v>
      </c>
      <c r="P4" s="71">
        <v>8</v>
      </c>
      <c r="Q4" s="131">
        <v>8</v>
      </c>
      <c r="R4" s="70">
        <v>10</v>
      </c>
      <c r="S4" s="69" t="s">
        <v>1</v>
      </c>
      <c r="T4" s="150"/>
      <c r="U4" s="68">
        <v>3</v>
      </c>
      <c r="V4" s="68">
        <v>5</v>
      </c>
      <c r="W4" s="68">
        <v>8</v>
      </c>
      <c r="X4" s="132">
        <v>8</v>
      </c>
      <c r="Y4" s="68">
        <v>10</v>
      </c>
      <c r="Z4" s="68">
        <v>3</v>
      </c>
      <c r="AA4" s="68">
        <v>5</v>
      </c>
      <c r="AB4" s="68">
        <v>8</v>
      </c>
      <c r="AC4" s="132">
        <v>8</v>
      </c>
      <c r="AD4" s="68">
        <v>10</v>
      </c>
      <c r="AE4" s="68">
        <v>3</v>
      </c>
      <c r="AF4" s="68">
        <v>5</v>
      </c>
      <c r="AG4" s="68">
        <v>8</v>
      </c>
      <c r="AH4" s="132">
        <v>8</v>
      </c>
      <c r="AI4" s="68">
        <v>10</v>
      </c>
    </row>
    <row r="5" spans="1:35" x14ac:dyDescent="0.15">
      <c r="A5" s="66"/>
      <c r="B5" s="65">
        <v>6210101</v>
      </c>
      <c r="C5" s="64"/>
      <c r="D5" s="63" t="s">
        <v>354</v>
      </c>
      <c r="E5" s="86">
        <f>+IF($A5="",IF($C5="",SUMIFS([1]全伝票!I:I,[1]全伝票!$B:$B,$B5),SUMIFS([1]全伝票!I:I,[1]全伝票!$C:$C,$C5)),IF($C5="",SUMIFS([1]全伝票!I:I,[1]全伝票!$A:$A,$A5,[1]全伝票!$B:$B,$B5),SUMIFS([1]全伝票!I:I,[1]全伝票!$A:$A,$A5,[1]全伝票!$C:$C,$C5)))</f>
        <v>0</v>
      </c>
      <c r="F5" s="89">
        <f>+IF($A5="",IF($C5="",SUMIFS([1]全伝票!J:J,[1]全伝票!$B:$B,$B5),SUMIFS([1]全伝票!J:J,[1]全伝票!$C:$C,$C5)),IF($C5="",SUMIFS([1]全伝票!J:J,[1]全伝票!$A:$A,$A5,[1]全伝票!$B:$B,$B5),SUMIFS([1]全伝票!J:J,[1]全伝票!$A:$A,$A5,[1]全伝票!$C:$C,$C5)))</f>
        <v>0</v>
      </c>
      <c r="G5" s="88">
        <f>+IF($A5="",IF($C5="",SUMIFS([1]全伝票!K:K,[1]全伝票!$B:$B,$B5),SUMIFS([1]全伝票!K:K,[1]全伝票!$C:$C,$C5)),IF($C5="",SUMIFS([1]全伝票!K:K,[1]全伝票!$A:$A,$A5,[1]全伝票!$B:$B,$B5),SUMIFS([1]全伝票!K:K,[1]全伝票!$A:$A,$A5,[1]全伝票!$C:$C,$C5)))</f>
        <v>0</v>
      </c>
      <c r="H5" s="88">
        <f>+IF($A5="",IF($C5="",SUMIFS([1]全伝票!L:L,[1]全伝票!$B:$B,$B5),SUMIFS([1]全伝票!L:L,[1]全伝票!$C:$C,$C5)),IF($C5="",SUMIFS([1]全伝票!L:L,[1]全伝票!$A:$A,$A5,[1]全伝票!$B:$B,$B5),SUMIFS([1]全伝票!L:L,[1]全伝票!$A:$A,$A5,[1]全伝票!$C:$C,$C5)))</f>
        <v>0</v>
      </c>
      <c r="I5" s="88">
        <f>+IF($A5="",IF($C5="",SUMIFS([1]全伝票!M:M,[1]全伝票!$B:$B,$B5),SUMIFS([1]全伝票!M:M,[1]全伝票!$C:$C,$C5)),IF($C5="",SUMIFS([1]全伝票!M:M,[1]全伝票!$A:$A,$A5,[1]全伝票!$B:$B,$B5),SUMIFS([1]全伝票!M:M,[1]全伝票!$A:$A,$A5,[1]全伝票!$C:$C,$C5)))</f>
        <v>0</v>
      </c>
      <c r="J5" s="87">
        <f>+IF($A5="",IF($C5="",SUMIFS([1]全伝票!N:N,[1]全伝票!$B:$B,$B5),SUMIFS([1]全伝票!N:N,[1]全伝票!$C:$C,$C5)),IF($C5="",SUMIFS([1]全伝票!N:N,[1]全伝票!$A:$A,$A5,[1]全伝票!$B:$B,$B5),SUMIFS([1]全伝票!N:N,[1]全伝票!$A:$A,$A5,[1]全伝票!$C:$C,$C5)))</f>
        <v>0</v>
      </c>
      <c r="K5" s="58">
        <f>SUM(F5:J5)</f>
        <v>0</v>
      </c>
      <c r="L5" s="86">
        <f>+IF($A5="",IF($C5="",SUMIFS([1]全伝票!O:O,[1]全伝票!$B:$B,$B5),SUMIFS([1]全伝票!O:O,[1]全伝票!$C:$C,$C5)),IF($C5="",SUMIFS([1]全伝票!O:O,[1]全伝票!$A:$A,$A5,[1]全伝票!$B:$B,$B5),SUMIFS([1]全伝票!O:O,[1]全伝票!$A:$A,$A5,[1]全伝票!$C:$C,$C5)))</f>
        <v>0</v>
      </c>
      <c r="M5" s="86">
        <f>+IF($A5="",IF($C5="",SUMIFS([1]全伝票!P:P,[1]全伝票!$B:$B,$B5),SUMIFS([1]全伝票!P:P,[1]全伝票!$C:$C,$C5)),IF($C5="",SUMIFS([1]全伝票!P:P,[1]全伝票!$A:$A,$A5,[1]全伝票!$B:$B,$B5),SUMIFS([1]全伝票!P:P,[1]全伝票!$A:$A,$A5,[1]全伝票!$C:$C,$C5)))</f>
        <v>0</v>
      </c>
      <c r="N5" s="61">
        <f t="shared" ref="N5:N40" si="0">+ROUND(F5*F$4/(100+F$4),0)+AE5</f>
        <v>0</v>
      </c>
      <c r="O5" s="60">
        <f t="shared" ref="O5:O40" si="1">+ROUND(G5*G$4/(100+G$4),0)+AF5</f>
        <v>0</v>
      </c>
      <c r="P5" s="60">
        <f t="shared" ref="P5:Q40" si="2">+ROUND(H5*H$4/(100+H$4),0)+AG5</f>
        <v>0</v>
      </c>
      <c r="Q5" s="60">
        <f t="shared" si="2"/>
        <v>0</v>
      </c>
      <c r="R5" s="59">
        <f t="shared" ref="R5:R40" si="3">+ROUND(J5*J$4/(100+J$4),0)+AI5</f>
        <v>0</v>
      </c>
      <c r="S5" s="58">
        <f t="shared" ref="S5:S40" si="4">SUM(N5:R5)</f>
        <v>0</v>
      </c>
      <c r="T5" s="85">
        <f t="shared" ref="T5:T40" si="5">+E5-S5</f>
        <v>0</v>
      </c>
      <c r="U5" s="31">
        <f t="shared" ref="U5:U40" si="6">N5-F5*F$4/(100+F$4)</f>
        <v>0</v>
      </c>
      <c r="V5" s="31">
        <f t="shared" ref="V5:V40" si="7">O5-G5*G$4/(100+G$4)</f>
        <v>0</v>
      </c>
      <c r="W5" s="31">
        <f t="shared" ref="W5:X40" si="8">P5-H5*H$4/(100+H$4)</f>
        <v>0</v>
      </c>
      <c r="X5" s="31">
        <f t="shared" si="8"/>
        <v>0</v>
      </c>
      <c r="Y5" s="31">
        <f t="shared" ref="Y5:Y40" si="9">R5-J5*J$4/(100+J$4)</f>
        <v>0</v>
      </c>
      <c r="Z5" s="30">
        <f t="shared" ref="Z5:Z40" si="10">+IF(N$43=0,0,IF(N$43&lt;0,-RANK(U5,U$5:U$40,0),RANK(U5,U$5:U$40,1)))</f>
        <v>0</v>
      </c>
      <c r="AA5" s="30">
        <f t="shared" ref="AA5:AA40" si="11">+IF(O$43=0,0,IF(O$43&lt;0,-RANK(V5,V$5:V$40,0),RANK(V5,V$5:V$40,1)))</f>
        <v>0</v>
      </c>
      <c r="AB5" s="30">
        <f t="shared" ref="AB5:AC40" si="12">+IF(P$43=0,0,IF(P$43&lt;0,-RANK(W5,W$5:W$40,0),RANK(W5,W$5:W$40,1)))</f>
        <v>0</v>
      </c>
      <c r="AC5" s="30">
        <f t="shared" si="12"/>
        <v>0</v>
      </c>
      <c r="AD5" s="30">
        <f t="shared" ref="AD5:AD40" si="13">+IF(R$43=0,0,IF(R$43&lt;0,-RANK(Y5,Y$5:Y$40,0),RANK(Y5,Y$5:Y$40,1)))</f>
        <v>0</v>
      </c>
      <c r="AE5" s="29"/>
      <c r="AF5" s="29"/>
      <c r="AG5" s="29"/>
      <c r="AH5" s="29"/>
      <c r="AI5" s="29"/>
    </row>
    <row r="6" spans="1:35" x14ac:dyDescent="0.15">
      <c r="A6" s="51"/>
      <c r="B6" s="50"/>
      <c r="C6" s="49"/>
      <c r="D6" s="48"/>
      <c r="E6" s="47"/>
      <c r="F6" s="43"/>
      <c r="G6" s="42"/>
      <c r="H6" s="42"/>
      <c r="I6" s="42"/>
      <c r="J6" s="46"/>
      <c r="K6" s="45"/>
      <c r="L6" s="47"/>
      <c r="M6" s="47"/>
      <c r="N6" s="43">
        <f t="shared" si="0"/>
        <v>0</v>
      </c>
      <c r="O6" s="42">
        <f t="shared" si="1"/>
        <v>0</v>
      </c>
      <c r="P6" s="42">
        <f t="shared" si="2"/>
        <v>0</v>
      </c>
      <c r="Q6" s="42">
        <f t="shared" si="2"/>
        <v>0</v>
      </c>
      <c r="R6" s="46">
        <f t="shared" si="3"/>
        <v>0</v>
      </c>
      <c r="S6" s="45">
        <f t="shared" si="4"/>
        <v>0</v>
      </c>
      <c r="T6" s="44">
        <f t="shared" si="5"/>
        <v>0</v>
      </c>
      <c r="U6" s="31">
        <f t="shared" si="6"/>
        <v>0</v>
      </c>
      <c r="V6" s="31">
        <f t="shared" si="7"/>
        <v>0</v>
      </c>
      <c r="W6" s="31">
        <f t="shared" si="8"/>
        <v>0</v>
      </c>
      <c r="X6" s="31">
        <f t="shared" si="8"/>
        <v>0</v>
      </c>
      <c r="Y6" s="31">
        <f t="shared" si="9"/>
        <v>0</v>
      </c>
      <c r="Z6" s="30">
        <f t="shared" si="10"/>
        <v>0</v>
      </c>
      <c r="AA6" s="30">
        <f t="shared" si="11"/>
        <v>0</v>
      </c>
      <c r="AB6" s="30">
        <f t="shared" si="12"/>
        <v>0</v>
      </c>
      <c r="AC6" s="30">
        <f t="shared" si="12"/>
        <v>0</v>
      </c>
      <c r="AD6" s="30">
        <f t="shared" si="13"/>
        <v>0</v>
      </c>
      <c r="AE6" s="29"/>
      <c r="AF6" s="29"/>
      <c r="AG6" s="29"/>
      <c r="AH6" s="29"/>
      <c r="AI6" s="29"/>
    </row>
    <row r="7" spans="1:35" x14ac:dyDescent="0.15">
      <c r="A7" s="51"/>
      <c r="B7" s="50"/>
      <c r="C7" s="49"/>
      <c r="D7" s="48"/>
      <c r="E7" s="47"/>
      <c r="F7" s="43"/>
      <c r="G7" s="42"/>
      <c r="H7" s="42"/>
      <c r="I7" s="42"/>
      <c r="J7" s="46"/>
      <c r="K7" s="45"/>
      <c r="L7" s="47"/>
      <c r="M7" s="47"/>
      <c r="N7" s="43">
        <f t="shared" si="0"/>
        <v>0</v>
      </c>
      <c r="O7" s="42">
        <f t="shared" si="1"/>
        <v>0</v>
      </c>
      <c r="P7" s="42">
        <f t="shared" si="2"/>
        <v>0</v>
      </c>
      <c r="Q7" s="42">
        <f t="shared" si="2"/>
        <v>0</v>
      </c>
      <c r="R7" s="46">
        <f t="shared" si="3"/>
        <v>0</v>
      </c>
      <c r="S7" s="45">
        <f t="shared" si="4"/>
        <v>0</v>
      </c>
      <c r="T7" s="44">
        <f t="shared" si="5"/>
        <v>0</v>
      </c>
      <c r="U7" s="31">
        <f t="shared" si="6"/>
        <v>0</v>
      </c>
      <c r="V7" s="31">
        <f t="shared" si="7"/>
        <v>0</v>
      </c>
      <c r="W7" s="31">
        <f t="shared" si="8"/>
        <v>0</v>
      </c>
      <c r="X7" s="31">
        <f t="shared" si="8"/>
        <v>0</v>
      </c>
      <c r="Y7" s="31">
        <f t="shared" si="9"/>
        <v>0</v>
      </c>
      <c r="Z7" s="30">
        <f t="shared" si="10"/>
        <v>0</v>
      </c>
      <c r="AA7" s="30">
        <f t="shared" si="11"/>
        <v>0</v>
      </c>
      <c r="AB7" s="30">
        <f t="shared" si="12"/>
        <v>0</v>
      </c>
      <c r="AC7" s="30">
        <f t="shared" si="12"/>
        <v>0</v>
      </c>
      <c r="AD7" s="30">
        <f t="shared" si="13"/>
        <v>0</v>
      </c>
      <c r="AE7" s="29"/>
      <c r="AF7" s="29"/>
      <c r="AG7" s="29"/>
      <c r="AH7" s="29"/>
      <c r="AI7" s="29"/>
    </row>
    <row r="8" spans="1:35" x14ac:dyDescent="0.15">
      <c r="A8" s="51"/>
      <c r="B8" s="50"/>
      <c r="C8" s="49"/>
      <c r="D8" s="48"/>
      <c r="E8" s="47"/>
      <c r="F8" s="43"/>
      <c r="G8" s="42"/>
      <c r="H8" s="42"/>
      <c r="I8" s="42"/>
      <c r="J8" s="46"/>
      <c r="K8" s="45"/>
      <c r="L8" s="47"/>
      <c r="M8" s="47"/>
      <c r="N8" s="43">
        <f t="shared" si="0"/>
        <v>0</v>
      </c>
      <c r="O8" s="42">
        <f t="shared" si="1"/>
        <v>0</v>
      </c>
      <c r="P8" s="42">
        <f t="shared" si="2"/>
        <v>0</v>
      </c>
      <c r="Q8" s="42">
        <f t="shared" si="2"/>
        <v>0</v>
      </c>
      <c r="R8" s="46">
        <f t="shared" si="3"/>
        <v>0</v>
      </c>
      <c r="S8" s="45">
        <f t="shared" si="4"/>
        <v>0</v>
      </c>
      <c r="T8" s="44">
        <f t="shared" si="5"/>
        <v>0</v>
      </c>
      <c r="U8" s="31">
        <f t="shared" si="6"/>
        <v>0</v>
      </c>
      <c r="V8" s="31">
        <f t="shared" si="7"/>
        <v>0</v>
      </c>
      <c r="W8" s="31">
        <f t="shared" si="8"/>
        <v>0</v>
      </c>
      <c r="X8" s="31">
        <f t="shared" si="8"/>
        <v>0</v>
      </c>
      <c r="Y8" s="31">
        <f t="shared" si="9"/>
        <v>0</v>
      </c>
      <c r="Z8" s="30">
        <f t="shared" si="10"/>
        <v>0</v>
      </c>
      <c r="AA8" s="30">
        <f t="shared" si="11"/>
        <v>0</v>
      </c>
      <c r="AB8" s="30">
        <f t="shared" si="12"/>
        <v>0</v>
      </c>
      <c r="AC8" s="30">
        <f t="shared" si="12"/>
        <v>0</v>
      </c>
      <c r="AD8" s="30">
        <f t="shared" si="13"/>
        <v>0</v>
      </c>
      <c r="AE8" s="29"/>
      <c r="AF8" s="29"/>
      <c r="AG8" s="29"/>
      <c r="AH8" s="29"/>
      <c r="AI8" s="29"/>
    </row>
    <row r="9" spans="1:35" x14ac:dyDescent="0.15">
      <c r="A9" s="51"/>
      <c r="B9" s="50"/>
      <c r="C9" s="49"/>
      <c r="D9" s="48"/>
      <c r="E9" s="47"/>
      <c r="F9" s="43"/>
      <c r="G9" s="42"/>
      <c r="H9" s="42"/>
      <c r="I9" s="42"/>
      <c r="J9" s="46"/>
      <c r="K9" s="45"/>
      <c r="L9" s="47"/>
      <c r="M9" s="47"/>
      <c r="N9" s="43">
        <f t="shared" si="0"/>
        <v>0</v>
      </c>
      <c r="O9" s="42">
        <f t="shared" si="1"/>
        <v>0</v>
      </c>
      <c r="P9" s="42">
        <f t="shared" si="2"/>
        <v>0</v>
      </c>
      <c r="Q9" s="42">
        <f t="shared" si="2"/>
        <v>0</v>
      </c>
      <c r="R9" s="46">
        <f t="shared" si="3"/>
        <v>0</v>
      </c>
      <c r="S9" s="45">
        <f t="shared" si="4"/>
        <v>0</v>
      </c>
      <c r="T9" s="44">
        <f t="shared" si="5"/>
        <v>0</v>
      </c>
      <c r="U9" s="31">
        <f t="shared" si="6"/>
        <v>0</v>
      </c>
      <c r="V9" s="31">
        <f t="shared" si="7"/>
        <v>0</v>
      </c>
      <c r="W9" s="31">
        <f t="shared" si="8"/>
        <v>0</v>
      </c>
      <c r="X9" s="31">
        <f t="shared" si="8"/>
        <v>0</v>
      </c>
      <c r="Y9" s="31">
        <f t="shared" si="9"/>
        <v>0</v>
      </c>
      <c r="Z9" s="30">
        <f t="shared" si="10"/>
        <v>0</v>
      </c>
      <c r="AA9" s="30">
        <f t="shared" si="11"/>
        <v>0</v>
      </c>
      <c r="AB9" s="30">
        <f t="shared" si="12"/>
        <v>0</v>
      </c>
      <c r="AC9" s="30">
        <f t="shared" si="12"/>
        <v>0</v>
      </c>
      <c r="AD9" s="30">
        <f t="shared" si="13"/>
        <v>0</v>
      </c>
      <c r="AE9" s="29"/>
      <c r="AF9" s="29"/>
      <c r="AG9" s="29"/>
      <c r="AH9" s="29"/>
      <c r="AI9" s="29"/>
    </row>
    <row r="10" spans="1:35" x14ac:dyDescent="0.15">
      <c r="A10" s="51"/>
      <c r="B10" s="50"/>
      <c r="C10" s="49"/>
      <c r="D10" s="48"/>
      <c r="E10" s="47"/>
      <c r="F10" s="43"/>
      <c r="G10" s="42"/>
      <c r="H10" s="42"/>
      <c r="I10" s="42"/>
      <c r="J10" s="46"/>
      <c r="K10" s="45"/>
      <c r="L10" s="47"/>
      <c r="M10" s="47"/>
      <c r="N10" s="43">
        <f t="shared" si="0"/>
        <v>0</v>
      </c>
      <c r="O10" s="42">
        <f t="shared" si="1"/>
        <v>0</v>
      </c>
      <c r="P10" s="42">
        <f t="shared" si="2"/>
        <v>0</v>
      </c>
      <c r="Q10" s="42">
        <f t="shared" si="2"/>
        <v>0</v>
      </c>
      <c r="R10" s="46">
        <f t="shared" si="3"/>
        <v>0</v>
      </c>
      <c r="S10" s="45">
        <f t="shared" si="4"/>
        <v>0</v>
      </c>
      <c r="T10" s="44">
        <f t="shared" si="5"/>
        <v>0</v>
      </c>
      <c r="U10" s="31">
        <f t="shared" si="6"/>
        <v>0</v>
      </c>
      <c r="V10" s="31">
        <f t="shared" si="7"/>
        <v>0</v>
      </c>
      <c r="W10" s="31">
        <f t="shared" si="8"/>
        <v>0</v>
      </c>
      <c r="X10" s="31">
        <f t="shared" si="8"/>
        <v>0</v>
      </c>
      <c r="Y10" s="31">
        <f t="shared" si="9"/>
        <v>0</v>
      </c>
      <c r="Z10" s="30">
        <f t="shared" si="10"/>
        <v>0</v>
      </c>
      <c r="AA10" s="30">
        <f t="shared" si="11"/>
        <v>0</v>
      </c>
      <c r="AB10" s="30">
        <f t="shared" si="12"/>
        <v>0</v>
      </c>
      <c r="AC10" s="30">
        <f t="shared" si="12"/>
        <v>0</v>
      </c>
      <c r="AD10" s="30">
        <f t="shared" si="13"/>
        <v>0</v>
      </c>
      <c r="AE10" s="29"/>
      <c r="AF10" s="29"/>
      <c r="AG10" s="29"/>
      <c r="AH10" s="29"/>
      <c r="AI10" s="29"/>
    </row>
    <row r="11" spans="1:35" x14ac:dyDescent="0.15">
      <c r="A11" s="51"/>
      <c r="B11" s="50"/>
      <c r="C11" s="49"/>
      <c r="D11" s="48"/>
      <c r="E11" s="47"/>
      <c r="F11" s="43"/>
      <c r="G11" s="42"/>
      <c r="H11" s="42"/>
      <c r="I11" s="42"/>
      <c r="J11" s="46"/>
      <c r="K11" s="45"/>
      <c r="L11" s="47"/>
      <c r="M11" s="47"/>
      <c r="N11" s="43">
        <f t="shared" si="0"/>
        <v>0</v>
      </c>
      <c r="O11" s="42">
        <f t="shared" si="1"/>
        <v>0</v>
      </c>
      <c r="P11" s="42">
        <f t="shared" si="2"/>
        <v>0</v>
      </c>
      <c r="Q11" s="42">
        <f t="shared" si="2"/>
        <v>0</v>
      </c>
      <c r="R11" s="46">
        <f t="shared" si="3"/>
        <v>0</v>
      </c>
      <c r="S11" s="45">
        <f t="shared" si="4"/>
        <v>0</v>
      </c>
      <c r="T11" s="44">
        <f t="shared" si="5"/>
        <v>0</v>
      </c>
      <c r="U11" s="31">
        <f t="shared" si="6"/>
        <v>0</v>
      </c>
      <c r="V11" s="31">
        <f t="shared" si="7"/>
        <v>0</v>
      </c>
      <c r="W11" s="31">
        <f t="shared" si="8"/>
        <v>0</v>
      </c>
      <c r="X11" s="31">
        <f t="shared" si="8"/>
        <v>0</v>
      </c>
      <c r="Y11" s="31">
        <f t="shared" si="9"/>
        <v>0</v>
      </c>
      <c r="Z11" s="30">
        <f t="shared" si="10"/>
        <v>0</v>
      </c>
      <c r="AA11" s="30">
        <f t="shared" si="11"/>
        <v>0</v>
      </c>
      <c r="AB11" s="30">
        <f t="shared" si="12"/>
        <v>0</v>
      </c>
      <c r="AC11" s="30">
        <f t="shared" si="12"/>
        <v>0</v>
      </c>
      <c r="AD11" s="30">
        <f t="shared" si="13"/>
        <v>0</v>
      </c>
      <c r="AE11" s="29"/>
      <c r="AF11" s="29"/>
      <c r="AG11" s="29"/>
      <c r="AH11" s="29"/>
      <c r="AI11" s="29"/>
    </row>
    <row r="12" spans="1:35" x14ac:dyDescent="0.15">
      <c r="A12" s="51"/>
      <c r="B12" s="50"/>
      <c r="C12" s="49"/>
      <c r="D12" s="48"/>
      <c r="E12" s="47"/>
      <c r="F12" s="43"/>
      <c r="G12" s="42"/>
      <c r="H12" s="42"/>
      <c r="I12" s="42"/>
      <c r="J12" s="46"/>
      <c r="K12" s="45"/>
      <c r="L12" s="47"/>
      <c r="M12" s="47"/>
      <c r="N12" s="43">
        <f t="shared" si="0"/>
        <v>0</v>
      </c>
      <c r="O12" s="42">
        <f t="shared" si="1"/>
        <v>0</v>
      </c>
      <c r="P12" s="42">
        <f t="shared" si="2"/>
        <v>0</v>
      </c>
      <c r="Q12" s="42">
        <f t="shared" si="2"/>
        <v>0</v>
      </c>
      <c r="R12" s="46">
        <f t="shared" si="3"/>
        <v>0</v>
      </c>
      <c r="S12" s="45">
        <f t="shared" si="4"/>
        <v>0</v>
      </c>
      <c r="T12" s="44">
        <f t="shared" si="5"/>
        <v>0</v>
      </c>
      <c r="U12" s="31">
        <f t="shared" si="6"/>
        <v>0</v>
      </c>
      <c r="V12" s="31">
        <f t="shared" si="7"/>
        <v>0</v>
      </c>
      <c r="W12" s="31">
        <f t="shared" si="8"/>
        <v>0</v>
      </c>
      <c r="X12" s="31">
        <f t="shared" si="8"/>
        <v>0</v>
      </c>
      <c r="Y12" s="31">
        <f t="shared" si="9"/>
        <v>0</v>
      </c>
      <c r="Z12" s="30">
        <f t="shared" si="10"/>
        <v>0</v>
      </c>
      <c r="AA12" s="30">
        <f t="shared" si="11"/>
        <v>0</v>
      </c>
      <c r="AB12" s="30">
        <f t="shared" si="12"/>
        <v>0</v>
      </c>
      <c r="AC12" s="30">
        <f t="shared" si="12"/>
        <v>0</v>
      </c>
      <c r="AD12" s="30">
        <f t="shared" si="13"/>
        <v>0</v>
      </c>
      <c r="AE12" s="29"/>
      <c r="AF12" s="29"/>
      <c r="AG12" s="29"/>
      <c r="AH12" s="29"/>
      <c r="AI12" s="29"/>
    </row>
    <row r="13" spans="1:35" x14ac:dyDescent="0.15">
      <c r="A13" s="51"/>
      <c r="B13" s="50"/>
      <c r="C13" s="49"/>
      <c r="D13" s="48"/>
      <c r="E13" s="47"/>
      <c r="F13" s="43"/>
      <c r="G13" s="42"/>
      <c r="H13" s="42"/>
      <c r="I13" s="42"/>
      <c r="J13" s="46"/>
      <c r="K13" s="45"/>
      <c r="L13" s="47"/>
      <c r="M13" s="47"/>
      <c r="N13" s="43">
        <f t="shared" si="0"/>
        <v>0</v>
      </c>
      <c r="O13" s="42">
        <f t="shared" si="1"/>
        <v>0</v>
      </c>
      <c r="P13" s="42">
        <f t="shared" si="2"/>
        <v>0</v>
      </c>
      <c r="Q13" s="42">
        <f t="shared" si="2"/>
        <v>0</v>
      </c>
      <c r="R13" s="46">
        <f t="shared" si="3"/>
        <v>0</v>
      </c>
      <c r="S13" s="45">
        <f t="shared" si="4"/>
        <v>0</v>
      </c>
      <c r="T13" s="44">
        <f t="shared" si="5"/>
        <v>0</v>
      </c>
      <c r="U13" s="31">
        <f t="shared" si="6"/>
        <v>0</v>
      </c>
      <c r="V13" s="31">
        <f t="shared" si="7"/>
        <v>0</v>
      </c>
      <c r="W13" s="31">
        <f t="shared" si="8"/>
        <v>0</v>
      </c>
      <c r="X13" s="31">
        <f t="shared" si="8"/>
        <v>0</v>
      </c>
      <c r="Y13" s="31">
        <f t="shared" si="9"/>
        <v>0</v>
      </c>
      <c r="Z13" s="30">
        <f t="shared" si="10"/>
        <v>0</v>
      </c>
      <c r="AA13" s="30">
        <f t="shared" si="11"/>
        <v>0</v>
      </c>
      <c r="AB13" s="30">
        <f t="shared" si="12"/>
        <v>0</v>
      </c>
      <c r="AC13" s="30">
        <f t="shared" si="12"/>
        <v>0</v>
      </c>
      <c r="AD13" s="30">
        <f t="shared" si="13"/>
        <v>0</v>
      </c>
      <c r="AE13" s="29"/>
      <c r="AF13" s="29"/>
      <c r="AG13" s="29"/>
      <c r="AH13" s="29"/>
      <c r="AI13" s="29"/>
    </row>
    <row r="14" spans="1:35" x14ac:dyDescent="0.15">
      <c r="A14" s="51"/>
      <c r="B14" s="50"/>
      <c r="C14" s="49"/>
      <c r="D14" s="48"/>
      <c r="E14" s="47"/>
      <c r="F14" s="43"/>
      <c r="G14" s="42"/>
      <c r="H14" s="42"/>
      <c r="I14" s="42"/>
      <c r="J14" s="46"/>
      <c r="K14" s="45"/>
      <c r="L14" s="47"/>
      <c r="M14" s="47"/>
      <c r="N14" s="43">
        <f t="shared" si="0"/>
        <v>0</v>
      </c>
      <c r="O14" s="42">
        <f t="shared" si="1"/>
        <v>0</v>
      </c>
      <c r="P14" s="42">
        <f t="shared" si="2"/>
        <v>0</v>
      </c>
      <c r="Q14" s="42">
        <f t="shared" si="2"/>
        <v>0</v>
      </c>
      <c r="R14" s="46">
        <f t="shared" si="3"/>
        <v>0</v>
      </c>
      <c r="S14" s="45">
        <f t="shared" si="4"/>
        <v>0</v>
      </c>
      <c r="T14" s="44">
        <f t="shared" si="5"/>
        <v>0</v>
      </c>
      <c r="U14" s="31">
        <f t="shared" si="6"/>
        <v>0</v>
      </c>
      <c r="V14" s="31">
        <f t="shared" si="7"/>
        <v>0</v>
      </c>
      <c r="W14" s="31">
        <f t="shared" si="8"/>
        <v>0</v>
      </c>
      <c r="X14" s="31">
        <f t="shared" si="8"/>
        <v>0</v>
      </c>
      <c r="Y14" s="31">
        <f t="shared" si="9"/>
        <v>0</v>
      </c>
      <c r="Z14" s="30">
        <f t="shared" si="10"/>
        <v>0</v>
      </c>
      <c r="AA14" s="30">
        <f t="shared" si="11"/>
        <v>0</v>
      </c>
      <c r="AB14" s="30">
        <f t="shared" si="12"/>
        <v>0</v>
      </c>
      <c r="AC14" s="30">
        <f t="shared" si="12"/>
        <v>0</v>
      </c>
      <c r="AD14" s="30">
        <f t="shared" si="13"/>
        <v>0</v>
      </c>
      <c r="AE14" s="29"/>
      <c r="AF14" s="29"/>
      <c r="AG14" s="29"/>
      <c r="AH14" s="29"/>
      <c r="AI14" s="29"/>
    </row>
    <row r="15" spans="1:35" x14ac:dyDescent="0.15">
      <c r="A15" s="51"/>
      <c r="B15" s="50"/>
      <c r="C15" s="49"/>
      <c r="D15" s="48"/>
      <c r="E15" s="47"/>
      <c r="F15" s="43"/>
      <c r="G15" s="42"/>
      <c r="H15" s="42"/>
      <c r="I15" s="42"/>
      <c r="J15" s="46"/>
      <c r="K15" s="45"/>
      <c r="L15" s="47"/>
      <c r="M15" s="47"/>
      <c r="N15" s="43">
        <f t="shared" si="0"/>
        <v>0</v>
      </c>
      <c r="O15" s="42">
        <f t="shared" si="1"/>
        <v>0</v>
      </c>
      <c r="P15" s="42">
        <f t="shared" si="2"/>
        <v>0</v>
      </c>
      <c r="Q15" s="42">
        <f t="shared" si="2"/>
        <v>0</v>
      </c>
      <c r="R15" s="46">
        <f t="shared" si="3"/>
        <v>0</v>
      </c>
      <c r="S15" s="45">
        <f t="shared" si="4"/>
        <v>0</v>
      </c>
      <c r="T15" s="44">
        <f t="shared" si="5"/>
        <v>0</v>
      </c>
      <c r="U15" s="31">
        <f t="shared" si="6"/>
        <v>0</v>
      </c>
      <c r="V15" s="31">
        <f t="shared" si="7"/>
        <v>0</v>
      </c>
      <c r="W15" s="31">
        <f t="shared" si="8"/>
        <v>0</v>
      </c>
      <c r="X15" s="31">
        <f t="shared" si="8"/>
        <v>0</v>
      </c>
      <c r="Y15" s="31">
        <f t="shared" si="9"/>
        <v>0</v>
      </c>
      <c r="Z15" s="30">
        <f t="shared" si="10"/>
        <v>0</v>
      </c>
      <c r="AA15" s="30">
        <f t="shared" si="11"/>
        <v>0</v>
      </c>
      <c r="AB15" s="30">
        <f t="shared" si="12"/>
        <v>0</v>
      </c>
      <c r="AC15" s="30">
        <f t="shared" si="12"/>
        <v>0</v>
      </c>
      <c r="AD15" s="30">
        <f t="shared" si="13"/>
        <v>0</v>
      </c>
      <c r="AE15" s="29"/>
      <c r="AF15" s="29"/>
      <c r="AG15" s="29"/>
      <c r="AH15" s="29"/>
      <c r="AI15" s="29"/>
    </row>
    <row r="16" spans="1:35" x14ac:dyDescent="0.15">
      <c r="A16" s="51"/>
      <c r="B16" s="50"/>
      <c r="C16" s="49"/>
      <c r="D16" s="48"/>
      <c r="E16" s="47"/>
      <c r="F16" s="43"/>
      <c r="G16" s="42"/>
      <c r="H16" s="42"/>
      <c r="I16" s="42"/>
      <c r="J16" s="46"/>
      <c r="K16" s="45"/>
      <c r="L16" s="47"/>
      <c r="M16" s="47"/>
      <c r="N16" s="43">
        <f t="shared" si="0"/>
        <v>0</v>
      </c>
      <c r="O16" s="42">
        <f t="shared" si="1"/>
        <v>0</v>
      </c>
      <c r="P16" s="42">
        <f t="shared" si="2"/>
        <v>0</v>
      </c>
      <c r="Q16" s="42">
        <f t="shared" si="2"/>
        <v>0</v>
      </c>
      <c r="R16" s="46">
        <f t="shared" si="3"/>
        <v>0</v>
      </c>
      <c r="S16" s="45">
        <f t="shared" si="4"/>
        <v>0</v>
      </c>
      <c r="T16" s="44">
        <f t="shared" si="5"/>
        <v>0</v>
      </c>
      <c r="U16" s="31">
        <f t="shared" si="6"/>
        <v>0</v>
      </c>
      <c r="V16" s="31">
        <f t="shared" si="7"/>
        <v>0</v>
      </c>
      <c r="W16" s="31">
        <f t="shared" si="8"/>
        <v>0</v>
      </c>
      <c r="X16" s="31">
        <f t="shared" si="8"/>
        <v>0</v>
      </c>
      <c r="Y16" s="31">
        <f t="shared" si="9"/>
        <v>0</v>
      </c>
      <c r="Z16" s="30">
        <f t="shared" si="10"/>
        <v>0</v>
      </c>
      <c r="AA16" s="30">
        <f t="shared" si="11"/>
        <v>0</v>
      </c>
      <c r="AB16" s="30">
        <f t="shared" si="12"/>
        <v>0</v>
      </c>
      <c r="AC16" s="30">
        <f t="shared" si="12"/>
        <v>0</v>
      </c>
      <c r="AD16" s="30">
        <f t="shared" si="13"/>
        <v>0</v>
      </c>
      <c r="AE16" s="29"/>
      <c r="AF16" s="29"/>
      <c r="AG16" s="29"/>
      <c r="AH16" s="29"/>
      <c r="AI16" s="29"/>
    </row>
    <row r="17" spans="1:35" x14ac:dyDescent="0.15">
      <c r="A17" s="51"/>
      <c r="B17" s="50"/>
      <c r="C17" s="49"/>
      <c r="D17" s="48"/>
      <c r="E17" s="47"/>
      <c r="F17" s="43"/>
      <c r="G17" s="42"/>
      <c r="H17" s="42"/>
      <c r="I17" s="42"/>
      <c r="J17" s="46"/>
      <c r="K17" s="45"/>
      <c r="L17" s="47"/>
      <c r="M17" s="47"/>
      <c r="N17" s="43">
        <f t="shared" si="0"/>
        <v>0</v>
      </c>
      <c r="O17" s="42">
        <f t="shared" si="1"/>
        <v>0</v>
      </c>
      <c r="P17" s="42">
        <f t="shared" si="2"/>
        <v>0</v>
      </c>
      <c r="Q17" s="42">
        <f t="shared" si="2"/>
        <v>0</v>
      </c>
      <c r="R17" s="46">
        <f t="shared" si="3"/>
        <v>0</v>
      </c>
      <c r="S17" s="45">
        <f t="shared" si="4"/>
        <v>0</v>
      </c>
      <c r="T17" s="44">
        <f t="shared" si="5"/>
        <v>0</v>
      </c>
      <c r="U17" s="31">
        <f t="shared" si="6"/>
        <v>0</v>
      </c>
      <c r="V17" s="31">
        <f t="shared" si="7"/>
        <v>0</v>
      </c>
      <c r="W17" s="31">
        <f t="shared" si="8"/>
        <v>0</v>
      </c>
      <c r="X17" s="31">
        <f t="shared" si="8"/>
        <v>0</v>
      </c>
      <c r="Y17" s="31">
        <f t="shared" si="9"/>
        <v>0</v>
      </c>
      <c r="Z17" s="30">
        <f t="shared" si="10"/>
        <v>0</v>
      </c>
      <c r="AA17" s="30">
        <f t="shared" si="11"/>
        <v>0</v>
      </c>
      <c r="AB17" s="30">
        <f t="shared" si="12"/>
        <v>0</v>
      </c>
      <c r="AC17" s="30">
        <f t="shared" si="12"/>
        <v>0</v>
      </c>
      <c r="AD17" s="30">
        <f t="shared" si="13"/>
        <v>0</v>
      </c>
      <c r="AE17" s="29"/>
      <c r="AF17" s="29"/>
      <c r="AG17" s="29"/>
      <c r="AH17" s="29"/>
      <c r="AI17" s="29"/>
    </row>
    <row r="18" spans="1:35" x14ac:dyDescent="0.15">
      <c r="A18" s="51"/>
      <c r="B18" s="50"/>
      <c r="C18" s="49"/>
      <c r="D18" s="48"/>
      <c r="E18" s="47"/>
      <c r="F18" s="43"/>
      <c r="G18" s="42"/>
      <c r="H18" s="42"/>
      <c r="I18" s="42"/>
      <c r="J18" s="46"/>
      <c r="K18" s="45"/>
      <c r="L18" s="47"/>
      <c r="M18" s="47"/>
      <c r="N18" s="43">
        <f t="shared" si="0"/>
        <v>0</v>
      </c>
      <c r="O18" s="42">
        <f t="shared" si="1"/>
        <v>0</v>
      </c>
      <c r="P18" s="42">
        <f t="shared" si="2"/>
        <v>0</v>
      </c>
      <c r="Q18" s="42">
        <f t="shared" si="2"/>
        <v>0</v>
      </c>
      <c r="R18" s="46">
        <f t="shared" si="3"/>
        <v>0</v>
      </c>
      <c r="S18" s="45">
        <f t="shared" si="4"/>
        <v>0</v>
      </c>
      <c r="T18" s="44">
        <f t="shared" si="5"/>
        <v>0</v>
      </c>
      <c r="U18" s="31">
        <f t="shared" si="6"/>
        <v>0</v>
      </c>
      <c r="V18" s="31">
        <f t="shared" si="7"/>
        <v>0</v>
      </c>
      <c r="W18" s="31">
        <f t="shared" si="8"/>
        <v>0</v>
      </c>
      <c r="X18" s="31">
        <f t="shared" si="8"/>
        <v>0</v>
      </c>
      <c r="Y18" s="31">
        <f t="shared" si="9"/>
        <v>0</v>
      </c>
      <c r="Z18" s="30">
        <f t="shared" si="10"/>
        <v>0</v>
      </c>
      <c r="AA18" s="30">
        <f t="shared" si="11"/>
        <v>0</v>
      </c>
      <c r="AB18" s="30">
        <f t="shared" si="12"/>
        <v>0</v>
      </c>
      <c r="AC18" s="30">
        <f t="shared" si="12"/>
        <v>0</v>
      </c>
      <c r="AD18" s="30">
        <f t="shared" si="13"/>
        <v>0</v>
      </c>
      <c r="AE18" s="29"/>
      <c r="AF18" s="29"/>
      <c r="AG18" s="29"/>
      <c r="AH18" s="29"/>
      <c r="AI18" s="29"/>
    </row>
    <row r="19" spans="1:35" x14ac:dyDescent="0.15">
      <c r="A19" s="51"/>
      <c r="B19" s="50"/>
      <c r="C19" s="49"/>
      <c r="D19" s="48"/>
      <c r="E19" s="47"/>
      <c r="F19" s="43"/>
      <c r="G19" s="42"/>
      <c r="H19" s="42"/>
      <c r="I19" s="42"/>
      <c r="J19" s="46"/>
      <c r="K19" s="45"/>
      <c r="L19" s="47"/>
      <c r="M19" s="47"/>
      <c r="N19" s="43">
        <f t="shared" si="0"/>
        <v>0</v>
      </c>
      <c r="O19" s="42">
        <f t="shared" si="1"/>
        <v>0</v>
      </c>
      <c r="P19" s="42">
        <f t="shared" si="2"/>
        <v>0</v>
      </c>
      <c r="Q19" s="42">
        <f t="shared" si="2"/>
        <v>0</v>
      </c>
      <c r="R19" s="46">
        <f t="shared" si="3"/>
        <v>0</v>
      </c>
      <c r="S19" s="45">
        <f t="shared" si="4"/>
        <v>0</v>
      </c>
      <c r="T19" s="44">
        <f t="shared" si="5"/>
        <v>0</v>
      </c>
      <c r="U19" s="31">
        <f t="shared" si="6"/>
        <v>0</v>
      </c>
      <c r="V19" s="31">
        <f t="shared" si="7"/>
        <v>0</v>
      </c>
      <c r="W19" s="31">
        <f t="shared" si="8"/>
        <v>0</v>
      </c>
      <c r="X19" s="31">
        <f t="shared" si="8"/>
        <v>0</v>
      </c>
      <c r="Y19" s="31">
        <f t="shared" si="9"/>
        <v>0</v>
      </c>
      <c r="Z19" s="30">
        <f t="shared" si="10"/>
        <v>0</v>
      </c>
      <c r="AA19" s="30">
        <f t="shared" si="11"/>
        <v>0</v>
      </c>
      <c r="AB19" s="30">
        <f t="shared" si="12"/>
        <v>0</v>
      </c>
      <c r="AC19" s="30">
        <f t="shared" si="12"/>
        <v>0</v>
      </c>
      <c r="AD19" s="30">
        <f t="shared" si="13"/>
        <v>0</v>
      </c>
      <c r="AE19" s="29"/>
      <c r="AF19" s="29"/>
      <c r="AG19" s="29"/>
      <c r="AH19" s="29"/>
      <c r="AI19" s="29"/>
    </row>
    <row r="20" spans="1:35" x14ac:dyDescent="0.15">
      <c r="A20" s="51"/>
      <c r="B20" s="50"/>
      <c r="C20" s="49"/>
      <c r="D20" s="48"/>
      <c r="E20" s="47"/>
      <c r="F20" s="43"/>
      <c r="G20" s="42"/>
      <c r="H20" s="42"/>
      <c r="I20" s="42"/>
      <c r="J20" s="46"/>
      <c r="K20" s="45"/>
      <c r="L20" s="47"/>
      <c r="M20" s="47"/>
      <c r="N20" s="43">
        <f t="shared" si="0"/>
        <v>0</v>
      </c>
      <c r="O20" s="42">
        <f t="shared" si="1"/>
        <v>0</v>
      </c>
      <c r="P20" s="42">
        <f t="shared" si="2"/>
        <v>0</v>
      </c>
      <c r="Q20" s="42">
        <f t="shared" si="2"/>
        <v>0</v>
      </c>
      <c r="R20" s="46">
        <f t="shared" si="3"/>
        <v>0</v>
      </c>
      <c r="S20" s="45">
        <f t="shared" si="4"/>
        <v>0</v>
      </c>
      <c r="T20" s="44">
        <f t="shared" si="5"/>
        <v>0</v>
      </c>
      <c r="U20" s="31">
        <f t="shared" si="6"/>
        <v>0</v>
      </c>
      <c r="V20" s="31">
        <f t="shared" si="7"/>
        <v>0</v>
      </c>
      <c r="W20" s="31">
        <f t="shared" si="8"/>
        <v>0</v>
      </c>
      <c r="X20" s="31">
        <f t="shared" si="8"/>
        <v>0</v>
      </c>
      <c r="Y20" s="31">
        <f t="shared" si="9"/>
        <v>0</v>
      </c>
      <c r="Z20" s="30">
        <f t="shared" si="10"/>
        <v>0</v>
      </c>
      <c r="AA20" s="30">
        <f t="shared" si="11"/>
        <v>0</v>
      </c>
      <c r="AB20" s="30">
        <f t="shared" si="12"/>
        <v>0</v>
      </c>
      <c r="AC20" s="30">
        <f t="shared" si="12"/>
        <v>0</v>
      </c>
      <c r="AD20" s="30">
        <f t="shared" si="13"/>
        <v>0</v>
      </c>
      <c r="AE20" s="29"/>
      <c r="AF20" s="29"/>
      <c r="AG20" s="29"/>
      <c r="AH20" s="29"/>
      <c r="AI20" s="29"/>
    </row>
    <row r="21" spans="1:35" x14ac:dyDescent="0.15">
      <c r="A21" s="51"/>
      <c r="B21" s="50"/>
      <c r="C21" s="49"/>
      <c r="D21" s="48"/>
      <c r="E21" s="47"/>
      <c r="F21" s="43"/>
      <c r="G21" s="42"/>
      <c r="H21" s="42"/>
      <c r="I21" s="42"/>
      <c r="J21" s="46"/>
      <c r="K21" s="45"/>
      <c r="L21" s="47"/>
      <c r="M21" s="47"/>
      <c r="N21" s="43">
        <f t="shared" si="0"/>
        <v>0</v>
      </c>
      <c r="O21" s="42">
        <f t="shared" si="1"/>
        <v>0</v>
      </c>
      <c r="P21" s="42">
        <f t="shared" si="2"/>
        <v>0</v>
      </c>
      <c r="Q21" s="42">
        <f t="shared" si="2"/>
        <v>0</v>
      </c>
      <c r="R21" s="46">
        <f t="shared" si="3"/>
        <v>0</v>
      </c>
      <c r="S21" s="45">
        <f t="shared" si="4"/>
        <v>0</v>
      </c>
      <c r="T21" s="44">
        <f t="shared" si="5"/>
        <v>0</v>
      </c>
      <c r="U21" s="31">
        <f t="shared" si="6"/>
        <v>0</v>
      </c>
      <c r="V21" s="31">
        <f t="shared" si="7"/>
        <v>0</v>
      </c>
      <c r="W21" s="31">
        <f t="shared" si="8"/>
        <v>0</v>
      </c>
      <c r="X21" s="31">
        <f t="shared" si="8"/>
        <v>0</v>
      </c>
      <c r="Y21" s="31">
        <f t="shared" si="9"/>
        <v>0</v>
      </c>
      <c r="Z21" s="30">
        <f t="shared" si="10"/>
        <v>0</v>
      </c>
      <c r="AA21" s="30">
        <f t="shared" si="11"/>
        <v>0</v>
      </c>
      <c r="AB21" s="30">
        <f t="shared" si="12"/>
        <v>0</v>
      </c>
      <c r="AC21" s="30">
        <f t="shared" si="12"/>
        <v>0</v>
      </c>
      <c r="AD21" s="30">
        <f t="shared" si="13"/>
        <v>0</v>
      </c>
      <c r="AE21" s="29"/>
      <c r="AF21" s="29"/>
      <c r="AG21" s="29"/>
      <c r="AH21" s="29"/>
      <c r="AI21" s="29"/>
    </row>
    <row r="22" spans="1:35" x14ac:dyDescent="0.15">
      <c r="A22" s="51"/>
      <c r="B22" s="50"/>
      <c r="C22" s="49"/>
      <c r="D22" s="48"/>
      <c r="E22" s="47"/>
      <c r="F22" s="43"/>
      <c r="G22" s="42"/>
      <c r="H22" s="42"/>
      <c r="I22" s="42"/>
      <c r="J22" s="46"/>
      <c r="K22" s="45"/>
      <c r="L22" s="47"/>
      <c r="M22" s="47"/>
      <c r="N22" s="43">
        <f t="shared" si="0"/>
        <v>0</v>
      </c>
      <c r="O22" s="42">
        <f t="shared" si="1"/>
        <v>0</v>
      </c>
      <c r="P22" s="42">
        <f t="shared" si="2"/>
        <v>0</v>
      </c>
      <c r="Q22" s="42">
        <f t="shared" si="2"/>
        <v>0</v>
      </c>
      <c r="R22" s="46">
        <f t="shared" si="3"/>
        <v>0</v>
      </c>
      <c r="S22" s="45">
        <f t="shared" si="4"/>
        <v>0</v>
      </c>
      <c r="T22" s="44">
        <f t="shared" si="5"/>
        <v>0</v>
      </c>
      <c r="U22" s="31">
        <f t="shared" si="6"/>
        <v>0</v>
      </c>
      <c r="V22" s="31">
        <f t="shared" si="7"/>
        <v>0</v>
      </c>
      <c r="W22" s="31">
        <f t="shared" si="8"/>
        <v>0</v>
      </c>
      <c r="X22" s="31">
        <f t="shared" si="8"/>
        <v>0</v>
      </c>
      <c r="Y22" s="31">
        <f t="shared" si="9"/>
        <v>0</v>
      </c>
      <c r="Z22" s="30">
        <f t="shared" si="10"/>
        <v>0</v>
      </c>
      <c r="AA22" s="30">
        <f t="shared" si="11"/>
        <v>0</v>
      </c>
      <c r="AB22" s="30">
        <f t="shared" si="12"/>
        <v>0</v>
      </c>
      <c r="AC22" s="30">
        <f t="shared" si="12"/>
        <v>0</v>
      </c>
      <c r="AD22" s="30">
        <f t="shared" si="13"/>
        <v>0</v>
      </c>
      <c r="AE22" s="29"/>
      <c r="AF22" s="29"/>
      <c r="AG22" s="29"/>
      <c r="AH22" s="29"/>
      <c r="AI22" s="29"/>
    </row>
    <row r="23" spans="1:35" x14ac:dyDescent="0.15">
      <c r="A23" s="51"/>
      <c r="B23" s="50"/>
      <c r="C23" s="49"/>
      <c r="D23" s="48"/>
      <c r="E23" s="47"/>
      <c r="F23" s="43"/>
      <c r="G23" s="42"/>
      <c r="H23" s="42"/>
      <c r="I23" s="42"/>
      <c r="J23" s="46"/>
      <c r="K23" s="45"/>
      <c r="L23" s="47"/>
      <c r="M23" s="47"/>
      <c r="N23" s="43">
        <f t="shared" si="0"/>
        <v>0</v>
      </c>
      <c r="O23" s="42">
        <f t="shared" si="1"/>
        <v>0</v>
      </c>
      <c r="P23" s="42">
        <f t="shared" si="2"/>
        <v>0</v>
      </c>
      <c r="Q23" s="42">
        <f t="shared" si="2"/>
        <v>0</v>
      </c>
      <c r="R23" s="46">
        <f t="shared" si="3"/>
        <v>0</v>
      </c>
      <c r="S23" s="45">
        <f t="shared" si="4"/>
        <v>0</v>
      </c>
      <c r="T23" s="44">
        <f t="shared" si="5"/>
        <v>0</v>
      </c>
      <c r="U23" s="31">
        <f t="shared" si="6"/>
        <v>0</v>
      </c>
      <c r="V23" s="31">
        <f t="shared" si="7"/>
        <v>0</v>
      </c>
      <c r="W23" s="31">
        <f t="shared" si="8"/>
        <v>0</v>
      </c>
      <c r="X23" s="31">
        <f t="shared" si="8"/>
        <v>0</v>
      </c>
      <c r="Y23" s="31">
        <f t="shared" si="9"/>
        <v>0</v>
      </c>
      <c r="Z23" s="30">
        <f t="shared" si="10"/>
        <v>0</v>
      </c>
      <c r="AA23" s="30">
        <f t="shared" si="11"/>
        <v>0</v>
      </c>
      <c r="AB23" s="30">
        <f t="shared" si="12"/>
        <v>0</v>
      </c>
      <c r="AC23" s="30">
        <f t="shared" si="12"/>
        <v>0</v>
      </c>
      <c r="AD23" s="30">
        <f t="shared" si="13"/>
        <v>0</v>
      </c>
      <c r="AE23" s="29"/>
      <c r="AF23" s="29"/>
      <c r="AG23" s="29"/>
      <c r="AH23" s="29"/>
      <c r="AI23" s="29"/>
    </row>
    <row r="24" spans="1:35" x14ac:dyDescent="0.15">
      <c r="A24" s="51"/>
      <c r="B24" s="50"/>
      <c r="C24" s="49"/>
      <c r="D24" s="48"/>
      <c r="E24" s="47"/>
      <c r="F24" s="43"/>
      <c r="G24" s="42"/>
      <c r="H24" s="42"/>
      <c r="I24" s="42"/>
      <c r="J24" s="46"/>
      <c r="K24" s="45"/>
      <c r="L24" s="47"/>
      <c r="M24" s="47"/>
      <c r="N24" s="43">
        <f t="shared" si="0"/>
        <v>0</v>
      </c>
      <c r="O24" s="42">
        <f t="shared" si="1"/>
        <v>0</v>
      </c>
      <c r="P24" s="42">
        <f t="shared" si="2"/>
        <v>0</v>
      </c>
      <c r="Q24" s="42">
        <f t="shared" si="2"/>
        <v>0</v>
      </c>
      <c r="R24" s="46">
        <f t="shared" si="3"/>
        <v>0</v>
      </c>
      <c r="S24" s="45">
        <f t="shared" si="4"/>
        <v>0</v>
      </c>
      <c r="T24" s="44">
        <f t="shared" si="5"/>
        <v>0</v>
      </c>
      <c r="U24" s="31">
        <f t="shared" si="6"/>
        <v>0</v>
      </c>
      <c r="V24" s="31">
        <f t="shared" si="7"/>
        <v>0</v>
      </c>
      <c r="W24" s="31">
        <f t="shared" si="8"/>
        <v>0</v>
      </c>
      <c r="X24" s="31">
        <f t="shared" si="8"/>
        <v>0</v>
      </c>
      <c r="Y24" s="31">
        <f t="shared" si="9"/>
        <v>0</v>
      </c>
      <c r="Z24" s="30">
        <f t="shared" si="10"/>
        <v>0</v>
      </c>
      <c r="AA24" s="30">
        <f t="shared" si="11"/>
        <v>0</v>
      </c>
      <c r="AB24" s="30">
        <f t="shared" si="12"/>
        <v>0</v>
      </c>
      <c r="AC24" s="30">
        <f t="shared" si="12"/>
        <v>0</v>
      </c>
      <c r="AD24" s="30">
        <f t="shared" si="13"/>
        <v>0</v>
      </c>
      <c r="AE24" s="29"/>
      <c r="AF24" s="29"/>
      <c r="AG24" s="29"/>
      <c r="AH24" s="29"/>
      <c r="AI24" s="29"/>
    </row>
    <row r="25" spans="1:35" x14ac:dyDescent="0.15">
      <c r="A25" s="51"/>
      <c r="B25" s="50"/>
      <c r="C25" s="49"/>
      <c r="D25" s="48"/>
      <c r="E25" s="47"/>
      <c r="F25" s="43"/>
      <c r="G25" s="42"/>
      <c r="H25" s="42"/>
      <c r="I25" s="42"/>
      <c r="J25" s="46"/>
      <c r="K25" s="45"/>
      <c r="L25" s="47"/>
      <c r="M25" s="47"/>
      <c r="N25" s="43">
        <f t="shared" si="0"/>
        <v>0</v>
      </c>
      <c r="O25" s="42">
        <f t="shared" si="1"/>
        <v>0</v>
      </c>
      <c r="P25" s="42">
        <f t="shared" si="2"/>
        <v>0</v>
      </c>
      <c r="Q25" s="42">
        <f t="shared" si="2"/>
        <v>0</v>
      </c>
      <c r="R25" s="46">
        <f t="shared" si="3"/>
        <v>0</v>
      </c>
      <c r="S25" s="45">
        <f t="shared" si="4"/>
        <v>0</v>
      </c>
      <c r="T25" s="44">
        <f t="shared" si="5"/>
        <v>0</v>
      </c>
      <c r="U25" s="31">
        <f t="shared" si="6"/>
        <v>0</v>
      </c>
      <c r="V25" s="31">
        <f t="shared" si="7"/>
        <v>0</v>
      </c>
      <c r="W25" s="31">
        <f t="shared" si="8"/>
        <v>0</v>
      </c>
      <c r="X25" s="31">
        <f t="shared" si="8"/>
        <v>0</v>
      </c>
      <c r="Y25" s="31">
        <f t="shared" si="9"/>
        <v>0</v>
      </c>
      <c r="Z25" s="30">
        <f t="shared" si="10"/>
        <v>0</v>
      </c>
      <c r="AA25" s="30">
        <f t="shared" si="11"/>
        <v>0</v>
      </c>
      <c r="AB25" s="30">
        <f t="shared" si="12"/>
        <v>0</v>
      </c>
      <c r="AC25" s="30">
        <f t="shared" si="12"/>
        <v>0</v>
      </c>
      <c r="AD25" s="30">
        <f t="shared" si="13"/>
        <v>0</v>
      </c>
      <c r="AE25" s="29"/>
      <c r="AF25" s="29"/>
      <c r="AG25" s="29"/>
      <c r="AH25" s="29"/>
      <c r="AI25" s="29"/>
    </row>
    <row r="26" spans="1:35" x14ac:dyDescent="0.15">
      <c r="A26" s="51"/>
      <c r="B26" s="50"/>
      <c r="C26" s="49"/>
      <c r="D26" s="48"/>
      <c r="E26" s="47"/>
      <c r="F26" s="43"/>
      <c r="G26" s="42"/>
      <c r="H26" s="42"/>
      <c r="I26" s="42"/>
      <c r="J26" s="46"/>
      <c r="K26" s="45"/>
      <c r="L26" s="47"/>
      <c r="M26" s="47"/>
      <c r="N26" s="43">
        <f t="shared" si="0"/>
        <v>0</v>
      </c>
      <c r="O26" s="42">
        <f t="shared" si="1"/>
        <v>0</v>
      </c>
      <c r="P26" s="42">
        <f t="shared" si="2"/>
        <v>0</v>
      </c>
      <c r="Q26" s="42">
        <f t="shared" si="2"/>
        <v>0</v>
      </c>
      <c r="R26" s="46">
        <f t="shared" si="3"/>
        <v>0</v>
      </c>
      <c r="S26" s="45">
        <f t="shared" si="4"/>
        <v>0</v>
      </c>
      <c r="T26" s="44">
        <f t="shared" si="5"/>
        <v>0</v>
      </c>
      <c r="U26" s="31">
        <f t="shared" si="6"/>
        <v>0</v>
      </c>
      <c r="V26" s="31">
        <f t="shared" si="7"/>
        <v>0</v>
      </c>
      <c r="W26" s="31">
        <f t="shared" si="8"/>
        <v>0</v>
      </c>
      <c r="X26" s="31">
        <f t="shared" si="8"/>
        <v>0</v>
      </c>
      <c r="Y26" s="31">
        <f t="shared" si="9"/>
        <v>0</v>
      </c>
      <c r="Z26" s="30">
        <f t="shared" si="10"/>
        <v>0</v>
      </c>
      <c r="AA26" s="30">
        <f t="shared" si="11"/>
        <v>0</v>
      </c>
      <c r="AB26" s="30">
        <f t="shared" si="12"/>
        <v>0</v>
      </c>
      <c r="AC26" s="30">
        <f t="shared" si="12"/>
        <v>0</v>
      </c>
      <c r="AD26" s="30">
        <f t="shared" si="13"/>
        <v>0</v>
      </c>
      <c r="AE26" s="29"/>
      <c r="AF26" s="29"/>
      <c r="AG26" s="29"/>
      <c r="AH26" s="29"/>
      <c r="AI26" s="29"/>
    </row>
    <row r="27" spans="1:35" x14ac:dyDescent="0.15">
      <c r="A27" s="51"/>
      <c r="B27" s="50"/>
      <c r="C27" s="49"/>
      <c r="D27" s="48"/>
      <c r="E27" s="47"/>
      <c r="F27" s="43"/>
      <c r="G27" s="42"/>
      <c r="H27" s="42"/>
      <c r="I27" s="42"/>
      <c r="J27" s="46"/>
      <c r="K27" s="45"/>
      <c r="L27" s="47"/>
      <c r="M27" s="47"/>
      <c r="N27" s="43">
        <f t="shared" si="0"/>
        <v>0</v>
      </c>
      <c r="O27" s="42">
        <f t="shared" si="1"/>
        <v>0</v>
      </c>
      <c r="P27" s="42">
        <f t="shared" si="2"/>
        <v>0</v>
      </c>
      <c r="Q27" s="42">
        <f t="shared" si="2"/>
        <v>0</v>
      </c>
      <c r="R27" s="46">
        <f t="shared" si="3"/>
        <v>0</v>
      </c>
      <c r="S27" s="45">
        <f t="shared" si="4"/>
        <v>0</v>
      </c>
      <c r="T27" s="44">
        <f t="shared" si="5"/>
        <v>0</v>
      </c>
      <c r="U27" s="31">
        <f t="shared" si="6"/>
        <v>0</v>
      </c>
      <c r="V27" s="31">
        <f t="shared" si="7"/>
        <v>0</v>
      </c>
      <c r="W27" s="31">
        <f t="shared" si="8"/>
        <v>0</v>
      </c>
      <c r="X27" s="31">
        <f t="shared" si="8"/>
        <v>0</v>
      </c>
      <c r="Y27" s="31">
        <f t="shared" si="9"/>
        <v>0</v>
      </c>
      <c r="Z27" s="30">
        <f t="shared" si="10"/>
        <v>0</v>
      </c>
      <c r="AA27" s="30">
        <f t="shared" si="11"/>
        <v>0</v>
      </c>
      <c r="AB27" s="30">
        <f t="shared" si="12"/>
        <v>0</v>
      </c>
      <c r="AC27" s="30">
        <f t="shared" si="12"/>
        <v>0</v>
      </c>
      <c r="AD27" s="30">
        <f t="shared" si="13"/>
        <v>0</v>
      </c>
      <c r="AE27" s="29"/>
      <c r="AF27" s="29"/>
      <c r="AG27" s="29"/>
      <c r="AH27" s="29"/>
      <c r="AI27" s="29"/>
    </row>
    <row r="28" spans="1:35" x14ac:dyDescent="0.15">
      <c r="A28" s="51"/>
      <c r="B28" s="50"/>
      <c r="C28" s="49"/>
      <c r="D28" s="48"/>
      <c r="E28" s="47"/>
      <c r="F28" s="43"/>
      <c r="G28" s="42"/>
      <c r="H28" s="42"/>
      <c r="I28" s="42"/>
      <c r="J28" s="46"/>
      <c r="K28" s="45"/>
      <c r="L28" s="47"/>
      <c r="M28" s="47"/>
      <c r="N28" s="43">
        <f t="shared" si="0"/>
        <v>0</v>
      </c>
      <c r="O28" s="42">
        <f t="shared" si="1"/>
        <v>0</v>
      </c>
      <c r="P28" s="42">
        <f t="shared" si="2"/>
        <v>0</v>
      </c>
      <c r="Q28" s="42">
        <f t="shared" si="2"/>
        <v>0</v>
      </c>
      <c r="R28" s="46">
        <f t="shared" si="3"/>
        <v>0</v>
      </c>
      <c r="S28" s="45">
        <f t="shared" si="4"/>
        <v>0</v>
      </c>
      <c r="T28" s="44">
        <f t="shared" si="5"/>
        <v>0</v>
      </c>
      <c r="U28" s="31">
        <f t="shared" si="6"/>
        <v>0</v>
      </c>
      <c r="V28" s="31">
        <f t="shared" si="7"/>
        <v>0</v>
      </c>
      <c r="W28" s="31">
        <f t="shared" si="8"/>
        <v>0</v>
      </c>
      <c r="X28" s="31">
        <f t="shared" si="8"/>
        <v>0</v>
      </c>
      <c r="Y28" s="31">
        <f t="shared" si="9"/>
        <v>0</v>
      </c>
      <c r="Z28" s="30">
        <f t="shared" si="10"/>
        <v>0</v>
      </c>
      <c r="AA28" s="30">
        <f t="shared" si="11"/>
        <v>0</v>
      </c>
      <c r="AB28" s="30">
        <f t="shared" si="12"/>
        <v>0</v>
      </c>
      <c r="AC28" s="30">
        <f t="shared" si="12"/>
        <v>0</v>
      </c>
      <c r="AD28" s="30">
        <f t="shared" si="13"/>
        <v>0</v>
      </c>
      <c r="AE28" s="29"/>
      <c r="AF28" s="29"/>
      <c r="AG28" s="29"/>
      <c r="AH28" s="29"/>
      <c r="AI28" s="29"/>
    </row>
    <row r="29" spans="1:35" x14ac:dyDescent="0.15">
      <c r="A29" s="51"/>
      <c r="B29" s="50"/>
      <c r="C29" s="49"/>
      <c r="D29" s="48"/>
      <c r="E29" s="47"/>
      <c r="F29" s="43"/>
      <c r="G29" s="42"/>
      <c r="H29" s="42"/>
      <c r="I29" s="42"/>
      <c r="J29" s="46"/>
      <c r="K29" s="45"/>
      <c r="L29" s="47"/>
      <c r="M29" s="47"/>
      <c r="N29" s="43">
        <f t="shared" si="0"/>
        <v>0</v>
      </c>
      <c r="O29" s="42">
        <f t="shared" si="1"/>
        <v>0</v>
      </c>
      <c r="P29" s="42">
        <f t="shared" si="2"/>
        <v>0</v>
      </c>
      <c r="Q29" s="42">
        <f t="shared" si="2"/>
        <v>0</v>
      </c>
      <c r="R29" s="46">
        <f t="shared" si="3"/>
        <v>0</v>
      </c>
      <c r="S29" s="45">
        <f t="shared" si="4"/>
        <v>0</v>
      </c>
      <c r="T29" s="44">
        <f t="shared" si="5"/>
        <v>0</v>
      </c>
      <c r="U29" s="31">
        <f t="shared" si="6"/>
        <v>0</v>
      </c>
      <c r="V29" s="31">
        <f t="shared" si="7"/>
        <v>0</v>
      </c>
      <c r="W29" s="31">
        <f t="shared" si="8"/>
        <v>0</v>
      </c>
      <c r="X29" s="31">
        <f t="shared" si="8"/>
        <v>0</v>
      </c>
      <c r="Y29" s="31">
        <f t="shared" si="9"/>
        <v>0</v>
      </c>
      <c r="Z29" s="30">
        <f t="shared" si="10"/>
        <v>0</v>
      </c>
      <c r="AA29" s="30">
        <f t="shared" si="11"/>
        <v>0</v>
      </c>
      <c r="AB29" s="30">
        <f t="shared" si="12"/>
        <v>0</v>
      </c>
      <c r="AC29" s="30">
        <f t="shared" si="12"/>
        <v>0</v>
      </c>
      <c r="AD29" s="30">
        <f t="shared" si="13"/>
        <v>0</v>
      </c>
      <c r="AE29" s="29"/>
      <c r="AF29" s="29"/>
      <c r="AG29" s="29"/>
      <c r="AH29" s="29"/>
      <c r="AI29" s="29"/>
    </row>
    <row r="30" spans="1:35" x14ac:dyDescent="0.15">
      <c r="A30" s="51"/>
      <c r="B30" s="50"/>
      <c r="C30" s="49"/>
      <c r="D30" s="48"/>
      <c r="E30" s="47"/>
      <c r="F30" s="43"/>
      <c r="G30" s="42"/>
      <c r="H30" s="42"/>
      <c r="I30" s="42"/>
      <c r="J30" s="46"/>
      <c r="K30" s="45"/>
      <c r="L30" s="47"/>
      <c r="M30" s="47"/>
      <c r="N30" s="43">
        <f t="shared" si="0"/>
        <v>0</v>
      </c>
      <c r="O30" s="42">
        <f t="shared" si="1"/>
        <v>0</v>
      </c>
      <c r="P30" s="42">
        <f t="shared" si="2"/>
        <v>0</v>
      </c>
      <c r="Q30" s="42">
        <f t="shared" si="2"/>
        <v>0</v>
      </c>
      <c r="R30" s="46">
        <f t="shared" si="3"/>
        <v>0</v>
      </c>
      <c r="S30" s="45">
        <f t="shared" si="4"/>
        <v>0</v>
      </c>
      <c r="T30" s="44">
        <f t="shared" si="5"/>
        <v>0</v>
      </c>
      <c r="U30" s="31">
        <f t="shared" si="6"/>
        <v>0</v>
      </c>
      <c r="V30" s="31">
        <f t="shared" si="7"/>
        <v>0</v>
      </c>
      <c r="W30" s="31">
        <f t="shared" si="8"/>
        <v>0</v>
      </c>
      <c r="X30" s="31">
        <f t="shared" si="8"/>
        <v>0</v>
      </c>
      <c r="Y30" s="31">
        <f t="shared" si="9"/>
        <v>0</v>
      </c>
      <c r="Z30" s="30">
        <f t="shared" si="10"/>
        <v>0</v>
      </c>
      <c r="AA30" s="30">
        <f t="shared" si="11"/>
        <v>0</v>
      </c>
      <c r="AB30" s="30">
        <f t="shared" si="12"/>
        <v>0</v>
      </c>
      <c r="AC30" s="30">
        <f t="shared" si="12"/>
        <v>0</v>
      </c>
      <c r="AD30" s="30">
        <f t="shared" si="13"/>
        <v>0</v>
      </c>
      <c r="AE30" s="29"/>
      <c r="AF30" s="29"/>
      <c r="AG30" s="29"/>
      <c r="AH30" s="29"/>
      <c r="AI30" s="29"/>
    </row>
    <row r="31" spans="1:35" x14ac:dyDescent="0.15">
      <c r="A31" s="51"/>
      <c r="B31" s="50"/>
      <c r="C31" s="49"/>
      <c r="D31" s="48"/>
      <c r="E31" s="47"/>
      <c r="F31" s="43"/>
      <c r="G31" s="42"/>
      <c r="H31" s="42"/>
      <c r="I31" s="42"/>
      <c r="J31" s="46"/>
      <c r="K31" s="45"/>
      <c r="L31" s="47"/>
      <c r="M31" s="47"/>
      <c r="N31" s="43">
        <f t="shared" si="0"/>
        <v>0</v>
      </c>
      <c r="O31" s="42">
        <f t="shared" si="1"/>
        <v>0</v>
      </c>
      <c r="P31" s="42">
        <f t="shared" si="2"/>
        <v>0</v>
      </c>
      <c r="Q31" s="42">
        <f t="shared" si="2"/>
        <v>0</v>
      </c>
      <c r="R31" s="46">
        <f t="shared" si="3"/>
        <v>0</v>
      </c>
      <c r="S31" s="45">
        <f t="shared" si="4"/>
        <v>0</v>
      </c>
      <c r="T31" s="44">
        <f t="shared" si="5"/>
        <v>0</v>
      </c>
      <c r="U31" s="31">
        <f t="shared" si="6"/>
        <v>0</v>
      </c>
      <c r="V31" s="31">
        <f t="shared" si="7"/>
        <v>0</v>
      </c>
      <c r="W31" s="31">
        <f t="shared" si="8"/>
        <v>0</v>
      </c>
      <c r="X31" s="31">
        <f t="shared" si="8"/>
        <v>0</v>
      </c>
      <c r="Y31" s="31">
        <f t="shared" si="9"/>
        <v>0</v>
      </c>
      <c r="Z31" s="30">
        <f t="shared" si="10"/>
        <v>0</v>
      </c>
      <c r="AA31" s="30">
        <f t="shared" si="11"/>
        <v>0</v>
      </c>
      <c r="AB31" s="30">
        <f t="shared" si="12"/>
        <v>0</v>
      </c>
      <c r="AC31" s="30">
        <f t="shared" si="12"/>
        <v>0</v>
      </c>
      <c r="AD31" s="30">
        <f t="shared" si="13"/>
        <v>0</v>
      </c>
      <c r="AE31" s="29"/>
      <c r="AF31" s="29"/>
      <c r="AG31" s="29"/>
      <c r="AH31" s="29"/>
      <c r="AI31" s="29"/>
    </row>
    <row r="32" spans="1:35" x14ac:dyDescent="0.15">
      <c r="A32" s="51"/>
      <c r="B32" s="50"/>
      <c r="C32" s="49"/>
      <c r="D32" s="48"/>
      <c r="E32" s="47"/>
      <c r="F32" s="43"/>
      <c r="G32" s="42"/>
      <c r="H32" s="42"/>
      <c r="I32" s="42"/>
      <c r="J32" s="46"/>
      <c r="K32" s="45"/>
      <c r="L32" s="47"/>
      <c r="M32" s="47"/>
      <c r="N32" s="43">
        <f t="shared" si="0"/>
        <v>0</v>
      </c>
      <c r="O32" s="42">
        <f t="shared" si="1"/>
        <v>0</v>
      </c>
      <c r="P32" s="42">
        <f t="shared" si="2"/>
        <v>0</v>
      </c>
      <c r="Q32" s="42">
        <f t="shared" si="2"/>
        <v>0</v>
      </c>
      <c r="R32" s="46">
        <f t="shared" si="3"/>
        <v>0</v>
      </c>
      <c r="S32" s="45">
        <f t="shared" si="4"/>
        <v>0</v>
      </c>
      <c r="T32" s="44">
        <f t="shared" si="5"/>
        <v>0</v>
      </c>
      <c r="U32" s="31">
        <f t="shared" si="6"/>
        <v>0</v>
      </c>
      <c r="V32" s="31">
        <f t="shared" si="7"/>
        <v>0</v>
      </c>
      <c r="W32" s="31">
        <f t="shared" si="8"/>
        <v>0</v>
      </c>
      <c r="X32" s="31">
        <f t="shared" si="8"/>
        <v>0</v>
      </c>
      <c r="Y32" s="31">
        <f t="shared" si="9"/>
        <v>0</v>
      </c>
      <c r="Z32" s="30">
        <f t="shared" si="10"/>
        <v>0</v>
      </c>
      <c r="AA32" s="30">
        <f t="shared" si="11"/>
        <v>0</v>
      </c>
      <c r="AB32" s="30">
        <f t="shared" si="12"/>
        <v>0</v>
      </c>
      <c r="AC32" s="30">
        <f t="shared" si="12"/>
        <v>0</v>
      </c>
      <c r="AD32" s="30">
        <f t="shared" si="13"/>
        <v>0</v>
      </c>
      <c r="AE32" s="29"/>
      <c r="AF32" s="29"/>
      <c r="AG32" s="29"/>
      <c r="AH32" s="29"/>
      <c r="AI32" s="29"/>
    </row>
    <row r="33" spans="1:35" x14ac:dyDescent="0.15">
      <c r="A33" s="51"/>
      <c r="B33" s="50"/>
      <c r="C33" s="49"/>
      <c r="D33" s="48"/>
      <c r="E33" s="47"/>
      <c r="F33" s="43"/>
      <c r="G33" s="42"/>
      <c r="H33" s="42"/>
      <c r="I33" s="42"/>
      <c r="J33" s="46"/>
      <c r="K33" s="45"/>
      <c r="L33" s="47"/>
      <c r="M33" s="47"/>
      <c r="N33" s="43">
        <f t="shared" si="0"/>
        <v>0</v>
      </c>
      <c r="O33" s="42">
        <f t="shared" si="1"/>
        <v>0</v>
      </c>
      <c r="P33" s="42">
        <f t="shared" si="2"/>
        <v>0</v>
      </c>
      <c r="Q33" s="42">
        <f t="shared" si="2"/>
        <v>0</v>
      </c>
      <c r="R33" s="46">
        <f t="shared" si="3"/>
        <v>0</v>
      </c>
      <c r="S33" s="45">
        <f t="shared" si="4"/>
        <v>0</v>
      </c>
      <c r="T33" s="44">
        <f t="shared" si="5"/>
        <v>0</v>
      </c>
      <c r="U33" s="31">
        <f t="shared" si="6"/>
        <v>0</v>
      </c>
      <c r="V33" s="31">
        <f t="shared" si="7"/>
        <v>0</v>
      </c>
      <c r="W33" s="31">
        <f t="shared" si="8"/>
        <v>0</v>
      </c>
      <c r="X33" s="31">
        <f t="shared" si="8"/>
        <v>0</v>
      </c>
      <c r="Y33" s="31">
        <f t="shared" si="9"/>
        <v>0</v>
      </c>
      <c r="Z33" s="30">
        <f t="shared" si="10"/>
        <v>0</v>
      </c>
      <c r="AA33" s="30">
        <f t="shared" si="11"/>
        <v>0</v>
      </c>
      <c r="AB33" s="30">
        <f t="shared" si="12"/>
        <v>0</v>
      </c>
      <c r="AC33" s="30">
        <f t="shared" si="12"/>
        <v>0</v>
      </c>
      <c r="AD33" s="30">
        <f t="shared" si="13"/>
        <v>0</v>
      </c>
      <c r="AE33" s="29"/>
      <c r="AF33" s="29"/>
      <c r="AG33" s="29"/>
      <c r="AH33" s="29"/>
      <c r="AI33" s="29"/>
    </row>
    <row r="34" spans="1:35" x14ac:dyDescent="0.15">
      <c r="A34" s="51"/>
      <c r="B34" s="50"/>
      <c r="C34" s="49"/>
      <c r="D34" s="48"/>
      <c r="E34" s="47"/>
      <c r="F34" s="43"/>
      <c r="G34" s="42"/>
      <c r="H34" s="42"/>
      <c r="I34" s="42"/>
      <c r="J34" s="46"/>
      <c r="K34" s="45"/>
      <c r="L34" s="47"/>
      <c r="M34" s="47"/>
      <c r="N34" s="43">
        <f t="shared" si="0"/>
        <v>0</v>
      </c>
      <c r="O34" s="42">
        <f t="shared" si="1"/>
        <v>0</v>
      </c>
      <c r="P34" s="42">
        <f t="shared" si="2"/>
        <v>0</v>
      </c>
      <c r="Q34" s="42">
        <f t="shared" si="2"/>
        <v>0</v>
      </c>
      <c r="R34" s="46">
        <f t="shared" si="3"/>
        <v>0</v>
      </c>
      <c r="S34" s="45">
        <f t="shared" si="4"/>
        <v>0</v>
      </c>
      <c r="T34" s="44">
        <f t="shared" si="5"/>
        <v>0</v>
      </c>
      <c r="U34" s="31">
        <f t="shared" si="6"/>
        <v>0</v>
      </c>
      <c r="V34" s="31">
        <f t="shared" si="7"/>
        <v>0</v>
      </c>
      <c r="W34" s="31">
        <f t="shared" si="8"/>
        <v>0</v>
      </c>
      <c r="X34" s="31">
        <f t="shared" si="8"/>
        <v>0</v>
      </c>
      <c r="Y34" s="31">
        <f t="shared" si="9"/>
        <v>0</v>
      </c>
      <c r="Z34" s="30">
        <f t="shared" si="10"/>
        <v>0</v>
      </c>
      <c r="AA34" s="30">
        <f t="shared" si="11"/>
        <v>0</v>
      </c>
      <c r="AB34" s="30">
        <f t="shared" si="12"/>
        <v>0</v>
      </c>
      <c r="AC34" s="30">
        <f t="shared" si="12"/>
        <v>0</v>
      </c>
      <c r="AD34" s="30">
        <f t="shared" si="13"/>
        <v>0</v>
      </c>
      <c r="AE34" s="29"/>
      <c r="AF34" s="29"/>
      <c r="AG34" s="29"/>
      <c r="AH34" s="29"/>
      <c r="AI34" s="29"/>
    </row>
    <row r="35" spans="1:35" x14ac:dyDescent="0.15">
      <c r="A35" s="51"/>
      <c r="B35" s="50"/>
      <c r="C35" s="49"/>
      <c r="D35" s="48"/>
      <c r="E35" s="47"/>
      <c r="F35" s="43"/>
      <c r="G35" s="42"/>
      <c r="H35" s="42"/>
      <c r="I35" s="42"/>
      <c r="J35" s="46"/>
      <c r="K35" s="45"/>
      <c r="L35" s="47"/>
      <c r="M35" s="47"/>
      <c r="N35" s="43">
        <f t="shared" si="0"/>
        <v>0</v>
      </c>
      <c r="O35" s="42">
        <f t="shared" si="1"/>
        <v>0</v>
      </c>
      <c r="P35" s="42">
        <f t="shared" si="2"/>
        <v>0</v>
      </c>
      <c r="Q35" s="42">
        <f t="shared" si="2"/>
        <v>0</v>
      </c>
      <c r="R35" s="46">
        <f t="shared" si="3"/>
        <v>0</v>
      </c>
      <c r="S35" s="45">
        <f t="shared" si="4"/>
        <v>0</v>
      </c>
      <c r="T35" s="44">
        <f t="shared" si="5"/>
        <v>0</v>
      </c>
      <c r="U35" s="31">
        <f t="shared" si="6"/>
        <v>0</v>
      </c>
      <c r="V35" s="31">
        <f t="shared" si="7"/>
        <v>0</v>
      </c>
      <c r="W35" s="31">
        <f t="shared" si="8"/>
        <v>0</v>
      </c>
      <c r="X35" s="31">
        <f t="shared" si="8"/>
        <v>0</v>
      </c>
      <c r="Y35" s="31">
        <f t="shared" si="9"/>
        <v>0</v>
      </c>
      <c r="Z35" s="30">
        <f t="shared" si="10"/>
        <v>0</v>
      </c>
      <c r="AA35" s="30">
        <f t="shared" si="11"/>
        <v>0</v>
      </c>
      <c r="AB35" s="30">
        <f t="shared" si="12"/>
        <v>0</v>
      </c>
      <c r="AC35" s="30">
        <f t="shared" si="12"/>
        <v>0</v>
      </c>
      <c r="AD35" s="30">
        <f t="shared" si="13"/>
        <v>0</v>
      </c>
      <c r="AE35" s="29"/>
      <c r="AF35" s="29"/>
      <c r="AG35" s="29"/>
      <c r="AH35" s="29"/>
      <c r="AI35" s="29"/>
    </row>
    <row r="36" spans="1:35" x14ac:dyDescent="0.15">
      <c r="A36" s="51"/>
      <c r="B36" s="50"/>
      <c r="C36" s="49"/>
      <c r="D36" s="48"/>
      <c r="E36" s="47"/>
      <c r="F36" s="43"/>
      <c r="G36" s="42"/>
      <c r="H36" s="42"/>
      <c r="I36" s="42"/>
      <c r="J36" s="46"/>
      <c r="K36" s="45"/>
      <c r="L36" s="47"/>
      <c r="M36" s="47"/>
      <c r="N36" s="43">
        <f t="shared" si="0"/>
        <v>0</v>
      </c>
      <c r="O36" s="42">
        <f t="shared" si="1"/>
        <v>0</v>
      </c>
      <c r="P36" s="42">
        <f t="shared" si="2"/>
        <v>0</v>
      </c>
      <c r="Q36" s="42">
        <f t="shared" si="2"/>
        <v>0</v>
      </c>
      <c r="R36" s="46">
        <f t="shared" si="3"/>
        <v>0</v>
      </c>
      <c r="S36" s="45">
        <f t="shared" si="4"/>
        <v>0</v>
      </c>
      <c r="T36" s="44">
        <f t="shared" si="5"/>
        <v>0</v>
      </c>
      <c r="U36" s="31">
        <f t="shared" si="6"/>
        <v>0</v>
      </c>
      <c r="V36" s="31">
        <f t="shared" si="7"/>
        <v>0</v>
      </c>
      <c r="W36" s="31">
        <f t="shared" si="8"/>
        <v>0</v>
      </c>
      <c r="X36" s="31">
        <f t="shared" si="8"/>
        <v>0</v>
      </c>
      <c r="Y36" s="31">
        <f t="shared" si="9"/>
        <v>0</v>
      </c>
      <c r="Z36" s="30">
        <f t="shared" si="10"/>
        <v>0</v>
      </c>
      <c r="AA36" s="30">
        <f t="shared" si="11"/>
        <v>0</v>
      </c>
      <c r="AB36" s="30">
        <f t="shared" si="12"/>
        <v>0</v>
      </c>
      <c r="AC36" s="30">
        <f t="shared" si="12"/>
        <v>0</v>
      </c>
      <c r="AD36" s="30">
        <f t="shared" si="13"/>
        <v>0</v>
      </c>
      <c r="AE36" s="29"/>
      <c r="AF36" s="29"/>
      <c r="AG36" s="29"/>
      <c r="AH36" s="29"/>
      <c r="AI36" s="29"/>
    </row>
    <row r="37" spans="1:35" x14ac:dyDescent="0.15">
      <c r="A37" s="51"/>
      <c r="B37" s="50"/>
      <c r="C37" s="49"/>
      <c r="D37" s="48"/>
      <c r="E37" s="47"/>
      <c r="F37" s="43"/>
      <c r="G37" s="42"/>
      <c r="H37" s="42"/>
      <c r="I37" s="42"/>
      <c r="J37" s="46"/>
      <c r="K37" s="45"/>
      <c r="L37" s="47"/>
      <c r="M37" s="47"/>
      <c r="N37" s="43">
        <f t="shared" si="0"/>
        <v>0</v>
      </c>
      <c r="O37" s="42">
        <f t="shared" si="1"/>
        <v>0</v>
      </c>
      <c r="P37" s="42">
        <f t="shared" si="2"/>
        <v>0</v>
      </c>
      <c r="Q37" s="42">
        <f t="shared" si="2"/>
        <v>0</v>
      </c>
      <c r="R37" s="46">
        <f t="shared" si="3"/>
        <v>0</v>
      </c>
      <c r="S37" s="45">
        <f t="shared" si="4"/>
        <v>0</v>
      </c>
      <c r="T37" s="44">
        <f t="shared" si="5"/>
        <v>0</v>
      </c>
      <c r="U37" s="31">
        <f t="shared" si="6"/>
        <v>0</v>
      </c>
      <c r="V37" s="31">
        <f t="shared" si="7"/>
        <v>0</v>
      </c>
      <c r="W37" s="31">
        <f t="shared" si="8"/>
        <v>0</v>
      </c>
      <c r="X37" s="31">
        <f t="shared" si="8"/>
        <v>0</v>
      </c>
      <c r="Y37" s="31">
        <f t="shared" si="9"/>
        <v>0</v>
      </c>
      <c r="Z37" s="30">
        <f t="shared" si="10"/>
        <v>0</v>
      </c>
      <c r="AA37" s="30">
        <f t="shared" si="11"/>
        <v>0</v>
      </c>
      <c r="AB37" s="30">
        <f t="shared" si="12"/>
        <v>0</v>
      </c>
      <c r="AC37" s="30">
        <f t="shared" si="12"/>
        <v>0</v>
      </c>
      <c r="AD37" s="30">
        <f t="shared" si="13"/>
        <v>0</v>
      </c>
      <c r="AE37" s="29"/>
      <c r="AF37" s="29"/>
      <c r="AG37" s="29"/>
      <c r="AH37" s="29"/>
      <c r="AI37" s="29"/>
    </row>
    <row r="38" spans="1:35" x14ac:dyDescent="0.15">
      <c r="A38" s="51"/>
      <c r="B38" s="50"/>
      <c r="C38" s="49"/>
      <c r="D38" s="48"/>
      <c r="E38" s="47"/>
      <c r="F38" s="43"/>
      <c r="G38" s="42"/>
      <c r="H38" s="42"/>
      <c r="I38" s="42"/>
      <c r="J38" s="46"/>
      <c r="K38" s="45"/>
      <c r="L38" s="47"/>
      <c r="M38" s="47"/>
      <c r="N38" s="43">
        <f t="shared" si="0"/>
        <v>0</v>
      </c>
      <c r="O38" s="42">
        <f t="shared" si="1"/>
        <v>0</v>
      </c>
      <c r="P38" s="42">
        <f t="shared" si="2"/>
        <v>0</v>
      </c>
      <c r="Q38" s="42">
        <f t="shared" si="2"/>
        <v>0</v>
      </c>
      <c r="R38" s="46">
        <f t="shared" si="3"/>
        <v>0</v>
      </c>
      <c r="S38" s="45">
        <f t="shared" si="4"/>
        <v>0</v>
      </c>
      <c r="T38" s="44">
        <f t="shared" si="5"/>
        <v>0</v>
      </c>
      <c r="U38" s="31">
        <f t="shared" si="6"/>
        <v>0</v>
      </c>
      <c r="V38" s="31">
        <f t="shared" si="7"/>
        <v>0</v>
      </c>
      <c r="W38" s="31">
        <f t="shared" si="8"/>
        <v>0</v>
      </c>
      <c r="X38" s="31">
        <f t="shared" si="8"/>
        <v>0</v>
      </c>
      <c r="Y38" s="31">
        <f t="shared" si="9"/>
        <v>0</v>
      </c>
      <c r="Z38" s="30">
        <f t="shared" si="10"/>
        <v>0</v>
      </c>
      <c r="AA38" s="30">
        <f t="shared" si="11"/>
        <v>0</v>
      </c>
      <c r="AB38" s="30">
        <f t="shared" si="12"/>
        <v>0</v>
      </c>
      <c r="AC38" s="30">
        <f t="shared" si="12"/>
        <v>0</v>
      </c>
      <c r="AD38" s="30">
        <f t="shared" si="13"/>
        <v>0</v>
      </c>
      <c r="AE38" s="29"/>
      <c r="AF38" s="29"/>
      <c r="AG38" s="29"/>
      <c r="AH38" s="29"/>
      <c r="AI38" s="29"/>
    </row>
    <row r="39" spans="1:35" x14ac:dyDescent="0.15">
      <c r="A39" s="51"/>
      <c r="B39" s="50"/>
      <c r="C39" s="49"/>
      <c r="D39" s="48"/>
      <c r="E39" s="47"/>
      <c r="F39" s="43"/>
      <c r="G39" s="42"/>
      <c r="H39" s="42"/>
      <c r="I39" s="42"/>
      <c r="J39" s="46"/>
      <c r="K39" s="45"/>
      <c r="L39" s="47"/>
      <c r="M39" s="47"/>
      <c r="N39" s="43">
        <f t="shared" si="0"/>
        <v>0</v>
      </c>
      <c r="O39" s="42">
        <f t="shared" si="1"/>
        <v>0</v>
      </c>
      <c r="P39" s="42">
        <f t="shared" si="2"/>
        <v>0</v>
      </c>
      <c r="Q39" s="42">
        <f t="shared" si="2"/>
        <v>0</v>
      </c>
      <c r="R39" s="46">
        <f t="shared" si="3"/>
        <v>0</v>
      </c>
      <c r="S39" s="45">
        <f t="shared" si="4"/>
        <v>0</v>
      </c>
      <c r="T39" s="44">
        <f t="shared" si="5"/>
        <v>0</v>
      </c>
      <c r="U39" s="31">
        <f t="shared" si="6"/>
        <v>0</v>
      </c>
      <c r="V39" s="31">
        <f t="shared" si="7"/>
        <v>0</v>
      </c>
      <c r="W39" s="31">
        <f t="shared" si="8"/>
        <v>0</v>
      </c>
      <c r="X39" s="31">
        <f t="shared" si="8"/>
        <v>0</v>
      </c>
      <c r="Y39" s="31">
        <f t="shared" si="9"/>
        <v>0</v>
      </c>
      <c r="Z39" s="30">
        <f t="shared" si="10"/>
        <v>0</v>
      </c>
      <c r="AA39" s="30">
        <f t="shared" si="11"/>
        <v>0</v>
      </c>
      <c r="AB39" s="30">
        <f t="shared" si="12"/>
        <v>0</v>
      </c>
      <c r="AC39" s="30">
        <f t="shared" si="12"/>
        <v>0</v>
      </c>
      <c r="AD39" s="30">
        <f t="shared" si="13"/>
        <v>0</v>
      </c>
      <c r="AE39" s="29"/>
      <c r="AF39" s="29"/>
      <c r="AG39" s="29"/>
      <c r="AH39" s="29"/>
      <c r="AI39" s="29"/>
    </row>
    <row r="40" spans="1:35" ht="14.25" thickBot="1" x14ac:dyDescent="0.2">
      <c r="A40" s="41"/>
      <c r="B40" s="40"/>
      <c r="C40" s="39"/>
      <c r="D40" s="38"/>
      <c r="E40" s="37"/>
      <c r="F40" s="33"/>
      <c r="G40" s="32"/>
      <c r="H40" s="32"/>
      <c r="I40" s="32"/>
      <c r="J40" s="36"/>
      <c r="K40" s="35"/>
      <c r="L40" s="37"/>
      <c r="M40" s="37"/>
      <c r="N40" s="33">
        <f t="shared" si="0"/>
        <v>0</v>
      </c>
      <c r="O40" s="32">
        <f t="shared" si="1"/>
        <v>0</v>
      </c>
      <c r="P40" s="32">
        <f t="shared" si="2"/>
        <v>0</v>
      </c>
      <c r="Q40" s="32">
        <f t="shared" si="2"/>
        <v>0</v>
      </c>
      <c r="R40" s="36">
        <f t="shared" si="3"/>
        <v>0</v>
      </c>
      <c r="S40" s="35">
        <f t="shared" si="4"/>
        <v>0</v>
      </c>
      <c r="T40" s="34">
        <f t="shared" si="5"/>
        <v>0</v>
      </c>
      <c r="U40" s="31">
        <f t="shared" si="6"/>
        <v>0</v>
      </c>
      <c r="V40" s="31">
        <f t="shared" si="7"/>
        <v>0</v>
      </c>
      <c r="W40" s="31">
        <f t="shared" si="8"/>
        <v>0</v>
      </c>
      <c r="X40" s="31">
        <f t="shared" si="8"/>
        <v>0</v>
      </c>
      <c r="Y40" s="31">
        <f t="shared" si="9"/>
        <v>0</v>
      </c>
      <c r="Z40" s="30">
        <f t="shared" si="10"/>
        <v>0</v>
      </c>
      <c r="AA40" s="30">
        <f t="shared" si="11"/>
        <v>0</v>
      </c>
      <c r="AB40" s="30">
        <f t="shared" si="12"/>
        <v>0</v>
      </c>
      <c r="AC40" s="30">
        <f t="shared" si="12"/>
        <v>0</v>
      </c>
      <c r="AD40" s="30">
        <f t="shared" si="13"/>
        <v>0</v>
      </c>
      <c r="AE40" s="29"/>
      <c r="AF40" s="29"/>
      <c r="AG40" s="29"/>
      <c r="AH40" s="29"/>
      <c r="AI40" s="29"/>
    </row>
    <row r="41" spans="1:35" ht="14.25" thickTop="1" x14ac:dyDescent="0.15">
      <c r="A41" s="28"/>
      <c r="B41" s="27"/>
      <c r="C41" s="26"/>
      <c r="D41" s="25" t="s">
        <v>1</v>
      </c>
      <c r="E41" s="20">
        <f t="shared" ref="E41:T41" si="14">SUM(E5:E40)</f>
        <v>0</v>
      </c>
      <c r="F41" s="24">
        <f t="shared" si="14"/>
        <v>0</v>
      </c>
      <c r="G41" s="23">
        <f t="shared" si="14"/>
        <v>0</v>
      </c>
      <c r="H41" s="23">
        <f t="shared" si="14"/>
        <v>0</v>
      </c>
      <c r="I41" s="23">
        <f t="shared" ref="I41" si="15">SUM(I5:I40)</f>
        <v>0</v>
      </c>
      <c r="J41" s="22">
        <f t="shared" si="14"/>
        <v>0</v>
      </c>
      <c r="K41" s="15">
        <f t="shared" si="14"/>
        <v>0</v>
      </c>
      <c r="L41" s="20">
        <f t="shared" si="14"/>
        <v>0</v>
      </c>
      <c r="M41" s="20">
        <f t="shared" si="14"/>
        <v>0</v>
      </c>
      <c r="N41" s="17">
        <f t="shared" si="14"/>
        <v>0</v>
      </c>
      <c r="O41" s="16">
        <f t="shared" si="14"/>
        <v>0</v>
      </c>
      <c r="P41" s="16">
        <f t="shared" si="14"/>
        <v>0</v>
      </c>
      <c r="Q41" s="16">
        <f t="shared" ref="Q41" si="16">SUM(Q5:Q40)</f>
        <v>0</v>
      </c>
      <c r="R41" s="19">
        <f t="shared" si="14"/>
        <v>0</v>
      </c>
      <c r="S41" s="15">
        <f t="shared" si="14"/>
        <v>0</v>
      </c>
      <c r="T41" s="18">
        <f t="shared" si="14"/>
        <v>0</v>
      </c>
    </row>
    <row r="42" spans="1:35" x14ac:dyDescent="0.15">
      <c r="A42" s="14"/>
      <c r="B42" s="13"/>
      <c r="C42" s="12"/>
      <c r="D42" s="11" t="s">
        <v>0</v>
      </c>
      <c r="E42" s="5">
        <f t="shared" ref="E42:J42" si="17">+E41</f>
        <v>0</v>
      </c>
      <c r="F42" s="10">
        <f t="shared" si="17"/>
        <v>0</v>
      </c>
      <c r="G42" s="9">
        <f t="shared" si="17"/>
        <v>0</v>
      </c>
      <c r="H42" s="9">
        <f t="shared" si="17"/>
        <v>0</v>
      </c>
      <c r="I42" s="9">
        <f t="shared" si="17"/>
        <v>0</v>
      </c>
      <c r="J42" s="8">
        <f t="shared" si="17"/>
        <v>0</v>
      </c>
      <c r="K42" s="4">
        <f>SUM(F42:J42)</f>
        <v>0</v>
      </c>
      <c r="L42" s="5">
        <f>+L41</f>
        <v>0</v>
      </c>
      <c r="M42" s="5">
        <f>+M41</f>
        <v>0</v>
      </c>
      <c r="N42" s="121">
        <f>+'4条支出'!N28</f>
        <v>0</v>
      </c>
      <c r="O42" s="122">
        <f>+'4条支出'!O28</f>
        <v>0</v>
      </c>
      <c r="P42" s="122">
        <f>+'4条支出'!P28</f>
        <v>0</v>
      </c>
      <c r="Q42" s="122">
        <f>+'4条支出'!Q28</f>
        <v>0</v>
      </c>
      <c r="R42" s="123">
        <f>+'4条支出'!R28</f>
        <v>0</v>
      </c>
      <c r="S42" s="124">
        <f>+'4条支出'!S28</f>
        <v>0</v>
      </c>
      <c r="T42" s="125">
        <f>+'4条支出'!T28</f>
        <v>0</v>
      </c>
    </row>
    <row r="43" spans="1:35" x14ac:dyDescent="0.15">
      <c r="E43" s="3">
        <f t="shared" ref="E43:T43" si="18">+E42-E41</f>
        <v>0</v>
      </c>
      <c r="F43" s="3">
        <f t="shared" si="18"/>
        <v>0</v>
      </c>
      <c r="G43" s="3">
        <f t="shared" si="18"/>
        <v>0</v>
      </c>
      <c r="H43" s="3">
        <f t="shared" si="18"/>
        <v>0</v>
      </c>
      <c r="I43" s="3">
        <f t="shared" ref="I43" si="19">+I42-I41</f>
        <v>0</v>
      </c>
      <c r="J43" s="3">
        <f t="shared" si="18"/>
        <v>0</v>
      </c>
      <c r="K43" s="3">
        <f t="shared" si="18"/>
        <v>0</v>
      </c>
      <c r="L43" s="3">
        <f t="shared" si="18"/>
        <v>0</v>
      </c>
      <c r="M43" s="3">
        <f t="shared" si="18"/>
        <v>0</v>
      </c>
      <c r="N43" s="3">
        <f t="shared" si="18"/>
        <v>0</v>
      </c>
      <c r="O43" s="3">
        <f t="shared" si="18"/>
        <v>0</v>
      </c>
      <c r="P43" s="3">
        <f t="shared" si="18"/>
        <v>0</v>
      </c>
      <c r="Q43" s="3">
        <f t="shared" ref="Q43" si="20">+Q42-Q41</f>
        <v>0</v>
      </c>
      <c r="R43" s="3">
        <f t="shared" si="18"/>
        <v>0</v>
      </c>
      <c r="S43" s="3">
        <f t="shared" si="18"/>
        <v>0</v>
      </c>
      <c r="T43" s="3">
        <f t="shared" si="18"/>
        <v>0</v>
      </c>
    </row>
  </sheetData>
  <mergeCells count="13">
    <mergeCell ref="F3:K3"/>
    <mergeCell ref="A3:A4"/>
    <mergeCell ref="B3:B4"/>
    <mergeCell ref="C3:C4"/>
    <mergeCell ref="D3:D4"/>
    <mergeCell ref="E3:E4"/>
    <mergeCell ref="U3:Y3"/>
    <mergeCell ref="Z3:AD3"/>
    <mergeCell ref="AE3:AI3"/>
    <mergeCell ref="L3:L4"/>
    <mergeCell ref="M3:M4"/>
    <mergeCell ref="N3:S3"/>
    <mergeCell ref="T3:T4"/>
  </mergeCells>
  <phoneticPr fontId="2"/>
  <conditionalFormatting sqref="Z5:AD40">
    <cfRule type="expression" dxfId="8" priority="4">
      <formula>ABS(Z5)=1</formula>
    </cfRule>
  </conditionalFormatting>
  <conditionalFormatting sqref="AD5:AD40">
    <cfRule type="expression" dxfId="7" priority="3">
      <formula>ABS(AD5)=1</formula>
    </cfRule>
  </conditionalFormatting>
  <conditionalFormatting sqref="Z6:AC40">
    <cfRule type="expression" dxfId="6" priority="6">
      <formula>ABS(Z6)=1</formula>
    </cfRule>
  </conditionalFormatting>
  <conditionalFormatting sqref="AE6:AE14 AE16:AE40">
    <cfRule type="notContainsBlanks" dxfId="5" priority="9" stopIfTrue="1">
      <formula>LEN(TRIM(AE6))&gt;0</formula>
    </cfRule>
  </conditionalFormatting>
  <conditionalFormatting sqref="AE6:AI40">
    <cfRule type="notContainsBlanks" dxfId="4" priority="8" stopIfTrue="1">
      <formula>LEN(TRIM(AE6))&gt;0</formula>
    </cfRule>
  </conditionalFormatting>
  <conditionalFormatting sqref="AE5:AI5">
    <cfRule type="notContainsBlanks" dxfId="3" priority="7" stopIfTrue="1">
      <formula>LEN(TRIM(AE5))&gt;0</formula>
    </cfRule>
  </conditionalFormatting>
  <conditionalFormatting sqref="AA6:AC40">
    <cfRule type="expression" dxfId="2" priority="5">
      <formula>ABS(AA6)=1</formula>
    </cfRule>
  </conditionalFormatting>
  <conditionalFormatting sqref="E43:H43 J43:T43">
    <cfRule type="cellIs" dxfId="1" priority="2" operator="notEqual">
      <formula>0</formula>
    </cfRule>
  </conditionalFormatting>
  <conditionalFormatting sqref="I43">
    <cfRule type="cellIs" dxfId="0" priority="1" operator="notEqual">
      <formula>0</formula>
    </cfRule>
  </conditionalFormatting>
  <pageMargins left="0.39370078740157483" right="0.39370078740157483" top="0.59055118110236227" bottom="0.39370078740157483" header="0.39370078740157483" footer="0.19685039370078741"/>
  <pageSetup paperSize="9" scale="64" fitToHeight="2" orientation="landscape" blackAndWhite="1" r:id="rId1"/>
  <headerFooter>
    <oddFooter>&amp;L&amp;8&amp;Z&amp;F&amp;A&amp;R&amp;8&amp;D&amp;T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4条支出</vt:lpstr>
      <vt:lpstr>公整</vt:lpstr>
      <vt:lpstr>受益</vt:lpstr>
      <vt:lpstr>排水</vt:lpstr>
      <vt:lpstr>都下</vt:lpstr>
      <vt:lpstr>流下</vt:lpstr>
      <vt:lpstr>諸公</vt:lpstr>
      <vt:lpstr>諸特</vt:lpstr>
      <vt:lpstr>諸農</vt:lpstr>
      <vt:lpstr>建利</vt:lpstr>
      <vt:lpstr>特整</vt:lpstr>
      <vt:lpstr>農整</vt:lpstr>
      <vt:lpstr>浄整</vt:lpstr>
      <vt:lpstr>償還</vt:lpstr>
      <vt:lpstr>水洗</vt:lpstr>
      <vt:lpstr>返還</vt:lpstr>
      <vt:lpstr>'4条支出'!Print_Area</vt:lpstr>
      <vt:lpstr>建利!Print_Area</vt:lpstr>
      <vt:lpstr>公整!Print_Area</vt:lpstr>
      <vt:lpstr>受益!Print_Area</vt:lpstr>
      <vt:lpstr>諸公!Print_Area</vt:lpstr>
      <vt:lpstr>諸特!Print_Area</vt:lpstr>
      <vt:lpstr>諸農!Print_Area</vt:lpstr>
      <vt:lpstr>償還!Print_Area</vt:lpstr>
      <vt:lpstr>浄整!Print_Area</vt:lpstr>
      <vt:lpstr>水洗!Print_Area</vt:lpstr>
      <vt:lpstr>都下!Print_Area</vt:lpstr>
      <vt:lpstr>特整!Print_Area</vt:lpstr>
      <vt:lpstr>農整!Print_Area</vt:lpstr>
      <vt:lpstr>排水!Print_Area</vt:lpstr>
      <vt:lpstr>返還!Print_Area</vt:lpstr>
      <vt:lpstr>流下!Print_Area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広島市</dc:creator>
  <cp:lastModifiedBy>安達 謙介</cp:lastModifiedBy>
  <cp:lastPrinted>2024-05-18T08:47:29Z</cp:lastPrinted>
  <dcterms:created xsi:type="dcterms:W3CDTF">2018-01-18T00:00:00Z</dcterms:created>
  <dcterms:modified xsi:type="dcterms:W3CDTF">2024-06-13T02:44:09Z</dcterms:modified>
</cp:coreProperties>
</file>