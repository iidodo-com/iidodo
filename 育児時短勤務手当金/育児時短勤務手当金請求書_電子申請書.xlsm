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給与明細" sheetId="3" state="visible" r:id="rId3"/>
    <sheet xmlns:r="http://schemas.openxmlformats.org/officeDocument/2006/relationships" name="請求書(表)" sheetId="4" state="visible" r:id="rId4"/>
    <sheet xmlns:r="http://schemas.openxmlformats.org/officeDocument/2006/relationships" name="請求書(裏)" sheetId="5" state="visible" r:id="rId5"/>
    <sheet xmlns:r="http://schemas.openxmlformats.org/officeDocument/2006/relationships" name="共済組合提出データ" sheetId="6" state="visible" r:id="rId6"/>
  </sheets>
  <definedNames>
    <definedName name="_xlnm.Print_Area" localSheetId="2">'給与明細'!$A$1:$I$54</definedName>
    <definedName name="_xlnm.Print_Area" localSheetId="3">'請求書(表)'!$A$1:$AM$51</definedName>
    <definedName name="_Hlk192790333" localSheetId="4">'原本 (裏)'!$B$23</definedName>
    <definedName name="_xlnm.Print_Area" localSheetId="4">'請求書(裏)'!$A$1:$AJ$37</definedName>
  </definedNames>
  <calcPr calcId="191028" fullCalcOnLoad="1"/>
</workbook>
</file>

<file path=xl/styles.xml><?xml version="1.0" encoding="utf-8"?>
<styleSheet xmlns="http://schemas.openxmlformats.org/spreadsheetml/2006/main">
  <numFmts count="6">
    <numFmt numFmtId="164" formatCode="&quot;¥&quot;#,##0;&quot;¥&quot;\-#,##0"/>
    <numFmt numFmtId="165" formatCode="#,##0&quot;円&quot;"/>
    <numFmt numFmtId="166" formatCode="#,##0;-#,##0"/>
    <numFmt numFmtId="167" formatCode="0&quot;か月&quot;"/>
    <numFmt numFmtId="168" formatCode="0&quot;か月目&quot;"/>
    <numFmt numFmtId="169" formatCode="yyyy/m/d"/>
  </numFmts>
  <fonts count="63">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sz val="15"/>
    </font>
    <font>
      <name val="Meiryo UI"/>
      <color rgb="00595959"/>
      <sz val="9"/>
    </font>
    <font>
      <name val="ＭＳ 明朝"/>
      <color rgb="00000000"/>
      <sz val="9"/>
    </font>
    <font>
      <name val="ＭＳ 明朝"/>
      <color rgb="00000000"/>
      <sz val="10"/>
    </font>
    <font>
      <name val="ＭＳ 明朝"/>
      <color rgb="00000000"/>
      <sz val="16"/>
    </font>
    <font>
      <name val="ＭＳ 明朝"/>
      <color rgb="00000000"/>
      <sz val="8"/>
    </font>
    <font>
      <name val="ＭＳ 明朝"/>
      <color rgb="00000000"/>
      <sz val="11"/>
    </font>
    <font>
      <name val="ＭＳ 明朝"/>
      <color rgb="007F7F7F"/>
      <sz val="8"/>
    </font>
    <font>
      <name val="ＭＳ 明朝"/>
      <color rgb="00C00000"/>
      <sz val="9"/>
    </font>
    <font>
      <name val="ＭＳ 明朝"/>
      <b val="1"/>
      <color rgb="00000000"/>
      <sz val="10"/>
    </font>
    <font>
      <name val="ＭＳ 明朝"/>
      <b val="1"/>
      <color rgb="00000000"/>
      <sz val="11"/>
    </font>
    <font>
      <name val="ＭＳ 明朝"/>
      <b val="1"/>
      <color rgb="00000000"/>
      <sz val="12"/>
    </font>
    <font>
      <name val="ＭＳ 明朝"/>
      <color rgb="00404040"/>
      <sz val="9"/>
    </font>
    <font>
      <name val="Meiryo UI"/>
      <b val="1"/>
      <color rgb="00FF0000"/>
      <sz val="12"/>
    </font>
    <font>
      <name val="Meiryo UI"/>
      <b val="1"/>
      <color rgb="00FFFFFF"/>
    </font>
    <font>
      <name val="Meiryo UI"/>
      <color rgb="00C00000"/>
      <sz val="10"/>
    </font>
  </fonts>
  <fills count="38">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
      <patternFill patternType="solid">
        <fgColor rgb="00F2F2F2"/>
      </patternFill>
    </fill>
    <fill>
      <patternFill patternType="solid">
        <fgColor rgb="00DDEBF7"/>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
      <left style="thin">
        <color rgb="00000000"/>
      </left>
      <right style="thin">
        <color rgb="00000000"/>
      </right>
      <top style="thin">
        <color rgb="00000000"/>
      </top>
      <bottom style="thin">
        <color rgb="00000000"/>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328">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4" borderId="0" applyAlignment="1" pivotButton="0" quotePrefix="0" xfId="0">
      <alignment horizontal="right" vertical="center"/>
    </xf>
    <xf numFmtId="0" fontId="44" fillId="34" borderId="0" applyAlignment="1" pivotButton="0" quotePrefix="0" xfId="0">
      <alignment horizontal="left" vertical="center"/>
    </xf>
    <xf numFmtId="0" fontId="44" fillId="34" borderId="0" applyAlignment="1" pivotButton="0" quotePrefix="0" xfId="0">
      <alignment horizontal="center" vertical="center"/>
    </xf>
    <xf numFmtId="165" fontId="44" fillId="34" borderId="0" applyAlignment="1" pivotButton="0" quotePrefix="0" xfId="0">
      <alignment horizontal="right" vertical="center"/>
    </xf>
    <xf numFmtId="3" fontId="44" fillId="35" borderId="35" applyAlignment="1" applyProtection="1" pivotButton="0" quotePrefix="0" xfId="0">
      <alignment horizontal="left" vertical="center"/>
      <protection locked="0" hidden="0"/>
    </xf>
    <xf numFmtId="0" fontId="44" fillId="34" borderId="0" applyAlignment="1" pivotButton="0" quotePrefix="0" xfId="0">
      <alignment horizontal="right"/>
    </xf>
    <xf numFmtId="165" fontId="44" fillId="34" borderId="0" applyAlignment="1" pivotButton="0" quotePrefix="0" xfId="0">
      <alignment horizontal="right"/>
    </xf>
    <xf numFmtId="0" fontId="47" fillId="0" borderId="0" pivotButton="0" quotePrefix="0" xfId="0"/>
    <xf numFmtId="0" fontId="48" fillId="0" borderId="0" applyAlignment="1" pivotButton="0" quotePrefix="0" xfId="0">
      <alignment vertical="top" wrapText="1"/>
    </xf>
    <xf numFmtId="0" fontId="49" fillId="36" borderId="36" applyAlignment="1" pivotButton="0" quotePrefix="0" xfId="0">
      <alignment horizontal="center" vertical="center"/>
    </xf>
    <xf numFmtId="0" fontId="50" fillId="0" borderId="36" applyAlignment="1" pivotButton="0" quotePrefix="0" xfId="0">
      <alignment horizontal="left" vertical="center"/>
    </xf>
    <xf numFmtId="0" fontId="0" fillId="0" borderId="36" pivotButton="0" quotePrefix="0" xfId="0"/>
    <xf numFmtId="0" fontId="51" fillId="0" borderId="0" applyAlignment="1" pivotButton="0" quotePrefix="0" xfId="0">
      <alignment horizontal="center" vertical="center"/>
    </xf>
    <xf numFmtId="0" fontId="52" fillId="36" borderId="36" applyAlignment="1" pivotButton="0" quotePrefix="0" xfId="0">
      <alignment horizontal="center" vertical="center" wrapText="1"/>
    </xf>
    <xf numFmtId="0" fontId="52" fillId="36" borderId="36" applyAlignment="1" pivotButton="0" quotePrefix="0" xfId="0">
      <alignment horizontal="left" vertical="top"/>
    </xf>
    <xf numFmtId="166" fontId="53" fillId="0" borderId="36" applyAlignment="1" pivotButton="0" quotePrefix="0" xfId="0">
      <alignment horizontal="right" vertical="bottom"/>
    </xf>
    <xf numFmtId="166" fontId="53" fillId="35" borderId="36" applyAlignment="1" pivotButton="0" quotePrefix="0" xfId="0">
      <alignment horizontal="right" vertical="bottom"/>
    </xf>
    <xf numFmtId="0" fontId="49" fillId="36" borderId="36" applyAlignment="1" pivotButton="0" quotePrefix="0" xfId="0">
      <alignment horizontal="center" vertical="center" wrapText="1"/>
    </xf>
    <xf numFmtId="0" fontId="52" fillId="35" borderId="36" applyAlignment="1" pivotButton="0" quotePrefix="0" xfId="0">
      <alignment horizontal="left" vertical="top"/>
    </xf>
    <xf numFmtId="0" fontId="52" fillId="0" borderId="0" applyAlignment="1" pivotButton="0" quotePrefix="0" xfId="0">
      <alignment horizontal="center" vertical="center"/>
    </xf>
    <xf numFmtId="0" fontId="54" fillId="0" borderId="0" applyAlignment="1" pivotButton="0" quotePrefix="0" xfId="0">
      <alignment horizontal="left" vertical="center"/>
    </xf>
    <xf numFmtId="0" fontId="49" fillId="35" borderId="36" applyAlignment="1" pivotButton="0" quotePrefix="0" xfId="0">
      <alignment horizontal="center" vertical="center"/>
    </xf>
    <xf numFmtId="0" fontId="43" fillId="33" borderId="36" applyAlignment="1" pivotButton="0" quotePrefix="0" xfId="0">
      <alignment horizontal="left" vertical="center"/>
    </xf>
    <xf numFmtId="0" fontId="49" fillId="36" borderId="36" applyAlignment="1" pivotButton="0" quotePrefix="0" xfId="0">
      <alignment horizontal="left" vertical="center"/>
    </xf>
    <xf numFmtId="0" fontId="50" fillId="35" borderId="36" applyAlignment="1" pivotButton="0" quotePrefix="0" xfId="0">
      <alignment horizontal="left" vertical="center"/>
    </xf>
    <xf numFmtId="0" fontId="49" fillId="0" borderId="36" applyAlignment="1" pivotButton="0" quotePrefix="0" xfId="0">
      <alignment horizontal="center" vertical="center"/>
    </xf>
    <xf numFmtId="0" fontId="53" fillId="35" borderId="36" applyAlignment="1" pivotButton="0" quotePrefix="0" xfId="0">
      <alignment horizontal="center" vertical="center"/>
    </xf>
    <xf numFmtId="0" fontId="49" fillId="0" borderId="0" applyAlignment="1" pivotButton="0" quotePrefix="0" xfId="0">
      <alignment horizontal="left" vertical="center"/>
    </xf>
    <xf numFmtId="3" fontId="53" fillId="35" borderId="36" applyAlignment="1" pivotButton="0" quotePrefix="0" xfId="0">
      <alignment horizontal="right" vertical="center"/>
    </xf>
    <xf numFmtId="167" fontId="53" fillId="0" borderId="36" applyAlignment="1" pivotButton="0" quotePrefix="0" xfId="0">
      <alignment horizontal="center" vertical="center"/>
    </xf>
    <xf numFmtId="168" fontId="53" fillId="0" borderId="36" applyAlignment="1" pivotButton="0" quotePrefix="0" xfId="0">
      <alignment horizontal="center" vertical="center"/>
    </xf>
    <xf numFmtId="3" fontId="53" fillId="0" borderId="36" applyAlignment="1" pivotButton="0" quotePrefix="0" xfId="0">
      <alignment horizontal="right" vertical="center"/>
    </xf>
    <xf numFmtId="0" fontId="55" fillId="0" borderId="0" applyAlignment="1" pivotButton="0" quotePrefix="0" xfId="0">
      <alignment horizontal="left" vertical="center"/>
    </xf>
    <xf numFmtId="0" fontId="56" fillId="0" borderId="36" applyAlignment="1" pivotButton="0" quotePrefix="0" xfId="0">
      <alignment horizontal="left" vertical="center"/>
    </xf>
    <xf numFmtId="166" fontId="53" fillId="0" borderId="36" applyAlignment="1" pivotButton="0" quotePrefix="0" xfId="0">
      <alignment horizontal="right" vertical="center"/>
    </xf>
    <xf numFmtId="166" fontId="57" fillId="0" borderId="36" applyAlignment="1" pivotButton="0" quotePrefix="0" xfId="0">
      <alignment horizontal="right" vertical="center"/>
    </xf>
    <xf numFmtId="0" fontId="57" fillId="37" borderId="36" applyAlignment="1" pivotButton="0" quotePrefix="0" xfId="0">
      <alignment horizontal="left" vertical="center"/>
    </xf>
    <xf numFmtId="3" fontId="58" fillId="37" borderId="36" applyAlignment="1" pivotButton="0" quotePrefix="0" xfId="0">
      <alignment horizontal="right" vertical="center"/>
    </xf>
    <xf numFmtId="0" fontId="59" fillId="0" borderId="0" applyAlignment="1" pivotButton="0" quotePrefix="0" xfId="0">
      <alignment horizontal="left" vertical="top" wrapText="1"/>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60" fillId="0" borderId="0" applyAlignment="1" pivotButton="0" quotePrefix="0" xfId="0">
      <alignment horizontal="center"/>
    </xf>
    <xf numFmtId="0" fontId="61" fillId="33" borderId="0" pivotButton="0" quotePrefix="0" xfId="0"/>
    <xf numFmtId="169" fontId="0" fillId="0" borderId="0" pivotButton="0" quotePrefix="0" xfId="0"/>
    <xf numFmtId="0" fontId="62"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9"/>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 xml:space="preserve">　 報酬額は「給与明細」シートに支給明細書の金額を転記すると自動計算されます（期末勤勉手当・給与改定差額を除外／通勤手当は明細の額を控除して月割を加算）。</t>
        </is>
      </c>
    </row>
    <row r="9">
      <c r="B9" s="229" t="inlineStr">
        <is>
          <t>3. 日付は「令和」の年・月・日を数字で入力します（例：令和8年4月 → 年に8、月に4）。請求期間は自動で計算されます。請求日は［請求日を今日に］ボタンで入ります。</t>
        </is>
      </c>
    </row>
    <row r="10">
      <c r="B10" s="229" t="inlineStr">
        <is>
          <t>4. 最上段が緑色（✓）になったら提出します。提出方法は次の2通りです。</t>
        </is>
      </c>
    </row>
    <row r="11">
      <c r="B11" s="229" t="inlineStr">
        <is>
          <t xml:space="preserve">　(A) 紙で提出：［請求書を印刷］→ 所属機関の長の確認欄に記入・押印 → 添付書類の写しを添えて庶務担当経由で提出</t>
        </is>
      </c>
    </row>
    <row r="12">
      <c r="B12" s="229" t="inlineStr">
        <is>
          <t xml:space="preserve">　(B) メールで提出：［共済組合へメール送信］→ Outlookの下書きが開きます（宛先 fukuri@city.hiroshima.lg.jp／請求書データ(Excel)と請求書PDFが添付済み）</t>
        </is>
      </c>
    </row>
    <row r="13">
      <c r="B13" s="229" t="inlineStr">
        <is>
          <t xml:space="preserve">　　→ 承認書・出勤簿・支給明細書などの写し（スキャン等）を追加し、内容を確認して［送信］。</t>
        </is>
      </c>
    </row>
    <row r="14">
      <c r="B14" s="229" t="inlineStr">
        <is>
          <t xml:space="preserve">　　※Outlookが使えない場合は、保存先フォルダが開くので、2ファイルをメールに添付して送ってください。</t>
        </is>
      </c>
    </row>
    <row r="15">
      <c r="B15" s="227" t="inlineStr"/>
    </row>
    <row r="16">
      <c r="B16" s="228" t="inlineStr">
        <is>
          <t>■ ボタン一覧（「入力」シート上部）</t>
        </is>
      </c>
    </row>
    <row r="17">
      <c r="B17" s="229" t="inlineStr">
        <is>
          <t>［請求書を印刷］入力エラーがなければ「請求書(表)」「請求書(裏)」を続けて印刷。エラーがあるときは印刷せず、直す項目を表示します。</t>
        </is>
      </c>
    </row>
    <row r="18">
      <c r="B18" s="229" t="inlineStr">
        <is>
          <t>［翌月分用にクリア］対象月・報酬額・通勤手当（月額）・請求日・添付書類のチェックだけを消します（氏名・所属・子の情報などは残ります）。毎月、このファイルを使い回せます。</t>
        </is>
      </c>
    </row>
    <row r="19">
      <c r="B19" s="229" t="inlineStr">
        <is>
          <t>［請求日を今日に］請求日に今日の日付を入れます。</t>
        </is>
      </c>
    </row>
    <row r="20">
      <c r="B20" s="229" t="inlineStr">
        <is>
          <t>［共済組合へメール送信］上記(B)のとおり。エラーが残っている間は送信できません。送信は自動ではなく、必ず内容を確認してから［送信］を押す仕組みです。</t>
        </is>
      </c>
    </row>
    <row r="21">
      <c r="B21" s="229" t="inlineStr">
        <is>
          <t>※［ファイル→印刷］で請求書シートを印刷した場合も、エラーが残っていれば印刷を止めます。</t>
        </is>
      </c>
    </row>
    <row r="22">
      <c r="B22" s="229" t="inlineStr">
        <is>
          <t>※標準報酬月額（等級・月額）は「入力」シートの⑧に入力します。☆の個人番号・決定額と、所属機関の長の氏名等は入力不要です。</t>
        </is>
      </c>
    </row>
    <row r="23">
      <c r="B23" s="227" t="inlineStr"/>
    </row>
    <row r="24">
      <c r="B24" s="228" t="inlineStr">
        <is>
          <t>■ 共済組合の方</t>
        </is>
      </c>
    </row>
    <row r="25">
      <c r="B25" s="229" t="inlineStr">
        <is>
          <t>・メールで届いた申請書(Excel)を1つのフォルダに保存し、管理台帳の［フォルダ内の申請書を一括取込］を押すと請求記録に取り込めます。</t>
        </is>
      </c>
    </row>
    <row r="26">
      <c r="B26" s="229" t="inlineStr">
        <is>
          <t>・請求期間の始期は『勤務開始日が月の途中ならその日から』で自動計算しています（運用が異なる場合は計算式の変更が必要です）。</t>
        </is>
      </c>
    </row>
    <row r="27">
      <c r="B27" s="227" t="inlineStr"/>
    </row>
    <row r="28">
      <c r="B28" s="228" t="inlineStr">
        <is>
          <t>■ 動作環境</t>
        </is>
      </c>
    </row>
    <row r="29">
      <c r="B29" s="229" t="inlineStr">
        <is>
          <t>Excel 2013以降（Windows）。「入力」シートは保護（パスワードなし）されており、黄色いセル以外は書き換えできません。請求書シートは保護していません（自動転記されるので直接は書き換えないでください）。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7"/>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IF(COUNTIF(K6:K57,"✕*")&gt;0,"✕ 入力エラーが "&amp;COUNTIF(K6:K57,"✕*")&amp;" 件あります。赤い項目を直してください。",IF(COUNTIF(K6:K57,"△*")&gt;0,"△ エラーはありません。注意が "&amp;COUNTIF(K6:K57,"△*")&amp;"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✓（緑）になれば正しく入力できています。✕（赤）は必ず直してください。標準報酬月額は「⑧」に入力してください（☆の決定額・個人番号は共済組合が記入するので入力不要です）。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IF(N23="","",IF(AND(N24&lt;&gt;"",N24&lt;N23),IF(OR(O7&lt;N20,N7&gt;N21),"✕ 請求対象月が、勤務期間（開始日〜終了日）の外です。対象月か勤務期間を確認してください","✕ 請求期間がありません。子が2歳に達している、または特別事由の開始日を確認してください"),"✓"))</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上の「請求期間（開始）」のエラーを直してください","✓"))</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支給対象月に支払われた報酬の額（円）【自動：給与明細シート】</t>
        </is>
      </c>
      <c r="C28" s="244">
        <f>給与明細!C50</f>
        <v/>
      </c>
      <c r="I28" s="239" t="inlineStr">
        <is>
          <t>円</t>
        </is>
      </c>
      <c r="K28" s="235">
        <f>IF(C28="","✕ 未入力です。「給与明細」シートに入力してください",IF(NOT(ISNUMBER(C28)),"✕ 数字で入力してください",IF(C28=0,"△ 0円です。給与明細シートを確認してください",IF(C28&gt;1000000,"△ 金額が大きすぎます。桁を確認してください","✓"))))</f>
        <v/>
      </c>
      <c r="L28" s="238" t="inlineStr">
        <is>
          <t>「給与明細」シートに支給明細書の金額を転記すると自動計算されます（期末・勤勉手当・給与改定差額は除外、通勤手当は月割に置換）</t>
        </is>
      </c>
    </row>
    <row r="29" ht="24" customHeight="1" s="225">
      <c r="B29" s="235" t="inlineStr">
        <is>
          <t>通勤手当の有無</t>
        </is>
      </c>
      <c r="C29" s="242" t="n"/>
      <c r="D29" s="237" t="n"/>
      <c r="K29" s="235">
        <f>IF(C29="","✕ 未入力です（選択してください）","✓")</f>
        <v/>
      </c>
      <c r="L29" s="238" t="inlineStr">
        <is>
          <t>通勤手当の詳細（複数月分の支給など）は「給与明細」シートに入力します</t>
        </is>
      </c>
    </row>
    <row r="30" ht="30" customHeight="1" s="225">
      <c r="B30" s="235" t="inlineStr">
        <is>
          <t>1月当たりの通勤手当の額（円）【自動：給与明細シート】</t>
        </is>
      </c>
      <c r="C30" s="244">
        <f>IF(C29&lt;&gt;"有","",IF(給与明細!H37="","",給与明細!H37))</f>
        <v/>
      </c>
      <c r="I30" s="239" t="inlineStr">
        <is>
          <t>円</t>
        </is>
      </c>
      <c r="K30" s="235">
        <f>IF(C29="","",IF(C29="無",IF(N(給与明細!F15)&gt;0,"△ 明細に通勤手当がありますが「無」になっています","✓"),IF(給与明細!A38&lt;&gt;"",給与明細!A38,IF(N(C30)=0,"✕ 通勤手当が「有」ですが額が0円です。給与明細シートを確認してください",IF(AND(ISNUMBER(C28),N(C30)&gt;C28),"✕ 通勤手当が報酬の額より大きくなっています",IF(N(C30)&gt;150000,"△ 通勤手当が月15万円を超えています。確認してください","✓"))))))</f>
        <v/>
      </c>
      <c r="L30" s="238" t="inlineStr">
        <is>
          <t>給与明細シートの通勤手当から自動計算（複数月分の一括支給は月割、端数は最終月に加算）</t>
        </is>
      </c>
    </row>
    <row r="31" ht="30" customHeight="1" s="225">
      <c r="B31" s="235" t="inlineStr">
        <is>
          <t>通勤手当の支給方法【自動：給与明細シート】</t>
        </is>
      </c>
      <c r="C31" s="245">
        <f>IF(C29&lt;&gt;"有","",IF(給与明細!C32="数か月分一括支給","数か月分一括支給","毎月支給"))</f>
        <v/>
      </c>
      <c r="K31" s="235" t="n"/>
    </row>
    <row r="32" ht="30" customHeight="1" s="225">
      <c r="B32" s="235" t="inlineStr">
        <is>
          <t>【一括】支給された通勤手当の総額（円）【自動】</t>
        </is>
      </c>
      <c r="C32" s="244">
        <f>IF(AND(C31="数か月分一括支給",ISNUMBER(給与明細!C34)),給与明細!C34,"")</f>
        <v/>
      </c>
      <c r="I32" s="239" t="inlineStr">
        <is>
          <t>円</t>
        </is>
      </c>
      <c r="K32" s="235" t="n"/>
      <c r="L32" s="238" t="inlineStr">
        <is>
          <t>給与明細シートの「通勤手当（複数月分）」欄に入力します（一括支給のときだけ表示）</t>
        </is>
      </c>
    </row>
    <row r="33" ht="24" customHeight="1" s="225">
      <c r="B33" s="235" t="inlineStr">
        <is>
          <t>【一括】支給月数（か月分）【自動】</t>
        </is>
      </c>
      <c r="C33" s="246">
        <f>IF(AND(C31="数か月分一括支給",ISNUMBER(給与明細!K37)),給与明細!K37,"")</f>
        <v/>
      </c>
      <c r="E33" s="239" t="inlineStr">
        <is>
          <t>か月</t>
        </is>
      </c>
      <c r="K33" s="235" t="n"/>
    </row>
    <row r="34" ht="24" customHeight="1" s="225">
      <c r="B34" s="235" t="inlineStr">
        <is>
          <t>【一括】請求月は何か月目か【自動】</t>
        </is>
      </c>
      <c r="C34" s="246">
        <f>IF(AND(C31="数か月分一括支給",ISNUMBER(給与明細!K38)),給与明細!K38,"")</f>
        <v/>
      </c>
      <c r="E34" s="239" t="inlineStr">
        <is>
          <t>か月目</t>
        </is>
      </c>
      <c r="K34" s="235" t="n"/>
    </row>
    <row r="35" ht="24" customHeight="1" s="225">
      <c r="B35" s="235" t="inlineStr">
        <is>
          <t>【一括】1月当たりの通勤手当の額（自動）</t>
        </is>
      </c>
      <c r="C35" s="247">
        <f>IF(N35="","",N35)</f>
        <v/>
      </c>
      <c r="K35" s="235" t="n"/>
      <c r="N35">
        <f>IF(AND(C31="数か月分一括支給",ISNUMBER(給与明細!K39)),給与明細!K39,"")</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row r="53" ht="20" customHeight="1" s="225">
      <c r="B53" s="234" t="inlineStr">
        <is>
          <t>⑧ 標準報酬月額（育児時短勤務開始時）</t>
        </is>
      </c>
    </row>
    <row r="54" ht="24" customHeight="1" s="225">
      <c r="B54" s="235" t="inlineStr">
        <is>
          <t>標準報酬月額の等級（第　級）</t>
        </is>
      </c>
      <c r="C54" s="242" t="n"/>
      <c r="D54" s="237" t="n"/>
      <c r="E54" s="239" t="inlineStr">
        <is>
          <t>級</t>
        </is>
      </c>
      <c r="K54" s="235">
        <f>IF(C54="","✕ 未入力です",IF(NOT(ISNUMBER(C54)),"✕ 数字で入力してください","✓"))</f>
        <v/>
      </c>
      <c r="L54" s="238" t="inlineStr">
        <is>
          <t>育児時短勤務を始めた時点の等級（令和7年4月以前から継続の場合は令和7年4月時点）</t>
        </is>
      </c>
    </row>
    <row r="55" ht="24" customHeight="1" s="225">
      <c r="B55" s="235" t="inlineStr">
        <is>
          <t>標準報酬月額（円）</t>
        </is>
      </c>
      <c r="C55" s="248" t="n"/>
      <c r="D55" s="237" t="n"/>
      <c r="E55" s="237" t="n"/>
      <c r="F55" s="237" t="n"/>
      <c r="G55" s="237" t="n"/>
      <c r="H55" s="237" t="n"/>
      <c r="I55" s="239" t="inlineStr">
        <is>
          <t>円</t>
        </is>
      </c>
      <c r="K55" s="235">
        <f>IF(C55="","✕ 未入力です",IF(NOT(ISNUMBER(C55)),"✕ 数字で入力してください",IF(MOD(N(C55),1000)&lt;&gt;0,"△ 標準報酬月額は通常1,000円単位です。確認してください",IF(AND(ISNUMBER(C28),ISNUMBER(C55),C28&gt;=C55),"△ 報酬額が標準報酬月額以上のため、手当金は支給されません（参考判定：×）","✓"))))</f>
        <v/>
      </c>
      <c r="L55" s="238" t="inlineStr">
        <is>
          <t>例：300,000。給与明細・共済組合の通知等で確認</t>
        </is>
      </c>
    </row>
    <row r="56" ht="24" customHeight="1" s="225">
      <c r="B56" s="235" t="inlineStr">
        <is>
          <t>【参考】判定（自動）</t>
        </is>
      </c>
      <c r="C56" s="249">
        <f>IF(OR(NOT(ISNUMBER(C28)),NOT(ISNUMBER(C55))),"",IF(C28&gt;=C55,"× 支給なし",IF(C28&gt;=C55*0.9,"△ 逓減","○ 報酬額×10%")))</f>
        <v/>
      </c>
      <c r="K56" s="235" t="n"/>
      <c r="L56" s="238" t="inlineStr">
        <is>
          <t>参考表示です（請求書には印字されません）。標準報酬月額の90%未満→○、90〜100%→△、100%以上→×</t>
        </is>
      </c>
    </row>
    <row r="57" ht="24" customHeight="1" s="225">
      <c r="B57" s="235" t="inlineStr">
        <is>
          <t>【参考】決定額の目安（円）（自動）</t>
        </is>
      </c>
      <c r="C57" s="250">
        <f>IF(N57="","",N57)</f>
        <v/>
      </c>
      <c r="K57" s="235" t="n"/>
      <c r="L57" s="238" t="inlineStr">
        <is>
          <t>参考表示です。最低限度額2,411円以下は0円。支給額は共済組合が確定します</t>
        </is>
      </c>
      <c r="N57">
        <f>IF(OR(NOT(ISNUMBER(C28)),NOT(ISNUMBER(C55))),"",IF(C28&gt;=C55,0,IF(C28&gt;=C55*0.9,IF(ROUNDDOWN(C28*ROUND((9*C55-9*C28)/(10*C28),4),0)&lt;=2411,0,ROUNDDOWN(C28*ROUND((9*C55-9*C28)/(10*C28),4),0)),IF(ROUNDDOWN(C28*0.1,0)&lt;=2411,0,ROUNDDOWN(C28*0.1,0)))))</f>
        <v/>
      </c>
    </row>
  </sheetData>
  <sheetProtection selectLockedCells="0" selectUnlockedCells="0" sheet="1" objects="0" insertRows="1" insertHyperlinks="1" autoFilter="1" scenarios="0" formatColumns="0" deleteColumns="1" insertColumns="1" pivotTables="1" deleteRows="1" formatCells="1" formatRows="1" sort="1"/>
  <mergeCells count="47">
    <mergeCell ref="C34:D34"/>
    <mergeCell ref="C55:H55"/>
    <mergeCell ref="F9:I9"/>
    <mergeCell ref="C33:D33"/>
    <mergeCell ref="C39:I39"/>
    <mergeCell ref="B3:L3"/>
    <mergeCell ref="C45:D45"/>
    <mergeCell ref="C38:I38"/>
    <mergeCell ref="C56:H56"/>
    <mergeCell ref="B27:L27"/>
    <mergeCell ref="C19:I19"/>
    <mergeCell ref="C29:D29"/>
    <mergeCell ref="C18:I18"/>
    <mergeCell ref="C47:D47"/>
    <mergeCell ref="C54:D54"/>
    <mergeCell ref="B2:L2"/>
    <mergeCell ref="C50:D50"/>
    <mergeCell ref="C44:D44"/>
    <mergeCell ref="C6:I6"/>
    <mergeCell ref="B42:L42"/>
    <mergeCell ref="C9:D9"/>
    <mergeCell ref="C15:I15"/>
    <mergeCell ref="B14:L14"/>
    <mergeCell ref="B17:L17"/>
    <mergeCell ref="B8:L8"/>
    <mergeCell ref="C43:D43"/>
    <mergeCell ref="C12:D12"/>
    <mergeCell ref="C32:H32"/>
    <mergeCell ref="B53:L53"/>
    <mergeCell ref="C46:D46"/>
    <mergeCell ref="C57:H57"/>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7">
    <cfRule type="expression" priority="1" dxfId="0">
      <formula>LEFT($K6,1)="✕"</formula>
    </cfRule>
  </conditionalFormatting>
  <conditionalFormatting sqref="K6:K57">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38">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9" showDropDown="0" showInputMessage="0" showErrorMessage="1" allowBlank="0" errorTitle="入力エラー" error="「有」か「無」を選んでください。" type="list" errorStyle="stop">
      <formula1>"有,無"</formula1>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 sqref="C54" showDropDown="0" showInputMessage="0" showErrorMessage="1" allowBlank="0" errorTitle="入力エラー" error="等級は数字（整数）で入力してください。" type="whole" errorStyle="stop" operator="between">
      <formula1>1</formula1>
      <formula2>99</formula2>
    </dataValidation>
    <dataValidation sqref="C55" showDropDown="0" showInputMessage="0" showErrorMessage="1" allowBlank="0" errorTitle="入力エラー" error="円の数字（整数）で入力してください。" type="whole" errorStyle="stop" operator="between">
      <formula1>1</formula1>
      <formula2>99999999</formula2>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K54"/>
  <sheetViews>
    <sheetView showGridLines="0" workbookViewId="0">
      <selection activeCell="A1" sqref="A1"/>
    </sheetView>
  </sheetViews>
  <sheetFormatPr baseColWidth="8" defaultRowHeight="15"/>
  <cols>
    <col width="12" customWidth="1" style="225" min="1" max="1"/>
    <col width="15" customWidth="1" style="225" min="2" max="2"/>
    <col width="15" customWidth="1" style="225" min="3" max="3"/>
    <col width="15" customWidth="1" style="225" min="4" max="4"/>
    <col width="15" customWidth="1" style="225" min="5" max="5"/>
    <col width="15" customWidth="1" style="225" min="6" max="6"/>
    <col width="15" customWidth="1" style="225" min="7" max="7"/>
    <col width="15" customWidth="1" style="225" min="8" max="8"/>
    <col width="15" customWidth="1" style="225" min="9" max="9"/>
    <col hidden="1" width="13" customWidth="1" style="225" min="11" max="11"/>
  </cols>
  <sheetData>
    <row r="1">
      <c r="A1" s="251" t="inlineStr">
        <is>
          <t>給与明細（支給対象月に支払われた報酬の額の計算）</t>
        </is>
      </c>
    </row>
    <row r="2" ht="28" customHeight="1" s="225">
      <c r="A2" s="252" t="inlineStr">
        <is>
          <t>支給明細書の金額を黄色いセルへ転記してください。下の「報酬額の計算」で、期末手当・勤勉手当・給与改定差額を除き、通勤手当は明細の額を控除して1か月当たりの額（複数月分の場合は月割）を加えた額が、「入力」シートの報酬額に自動で入ります。</t>
        </is>
      </c>
    </row>
    <row r="4">
      <c r="A4" s="253" t="inlineStr">
        <is>
          <t>支給年月</t>
        </is>
      </c>
      <c r="B4" s="254">
        <f>IF(入力!D7="","","令和 "&amp;入力!D7&amp;" 年 "&amp;入力!F7&amp;" 月")</f>
        <v/>
      </c>
      <c r="C4" s="255" t="n"/>
      <c r="D4" s="255" t="n"/>
    </row>
    <row r="5">
      <c r="A5" s="253" t="inlineStr">
        <is>
          <t>所属</t>
        </is>
      </c>
      <c r="B5" s="254">
        <f>IF(入力!C15="","",入力!C15)</f>
        <v/>
      </c>
      <c r="C5" s="255" t="n"/>
      <c r="D5" s="255" t="n"/>
      <c r="F5" s="256" t="inlineStr">
        <is>
          <t>支給明細書</t>
        </is>
      </c>
    </row>
    <row r="6">
      <c r="A6" s="253" t="inlineStr">
        <is>
          <t>氏名</t>
        </is>
      </c>
      <c r="B6" s="254">
        <f>IF(入力!C11="","",TEXT(入力!C6,"0")&amp;"　　"&amp;入力!C11)</f>
        <v/>
      </c>
      <c r="C6" s="255" t="n"/>
      <c r="D6" s="255" t="n"/>
    </row>
    <row r="8" ht="15" customHeight="1" s="225">
      <c r="A8" s="257" t="inlineStr">
        <is>
          <t>差引支給額の内訳</t>
        </is>
      </c>
      <c r="B8" s="258" t="inlineStr">
        <is>
          <t>第一口座振込額</t>
        </is>
      </c>
      <c r="C8" s="258" t="inlineStr">
        <is>
          <t>第二口座振込額</t>
        </is>
      </c>
      <c r="D8" s="258" t="inlineStr">
        <is>
          <t>現金支給額</t>
        </is>
      </c>
      <c r="E8" s="258" t="inlineStr">
        <is>
          <t>第三口座振込額</t>
        </is>
      </c>
      <c r="F8" s="258" t="inlineStr">
        <is>
          <t>差引現金支給額</t>
        </is>
      </c>
    </row>
    <row r="9" ht="24" customHeight="1" s="225">
      <c r="A9" s="255" t="n"/>
      <c r="B9" s="259">
        <f>IF(B12=0,"",D12-N(C9)-N(D9)-N(E9))</f>
        <v/>
      </c>
      <c r="C9" s="260" t="n"/>
      <c r="D9" s="260" t="n"/>
      <c r="E9" s="259">
        <f>IF(SUM(B29:I29)=0,"",SUM(B29:I29))</f>
        <v/>
      </c>
      <c r="F9" s="259" t="n"/>
    </row>
    <row r="11" ht="15" customHeight="1" s="225">
      <c r="B11" s="258" t="inlineStr">
        <is>
          <t>総支給額</t>
        </is>
      </c>
      <c r="C11" s="258" t="inlineStr">
        <is>
          <t>法定控除金合計</t>
        </is>
      </c>
      <c r="D11" s="258" t="inlineStr">
        <is>
          <t>差引支給額</t>
        </is>
      </c>
      <c r="E11" s="258" t="inlineStr">
        <is>
          <t>給与計（非課税）</t>
        </is>
      </c>
      <c r="F11" s="258" t="inlineStr">
        <is>
          <t>給与計（課税）</t>
        </is>
      </c>
      <c r="G11" s="258" t="inlineStr">
        <is>
          <t>社会保険料計</t>
        </is>
      </c>
      <c r="H11" s="258" t="inlineStr">
        <is>
          <t>課税対象額</t>
        </is>
      </c>
    </row>
    <row r="12" ht="24" customHeight="1" s="225">
      <c r="B12" s="259">
        <f>SUM(B15:I15,B17:I17,B19:I19)</f>
        <v/>
      </c>
      <c r="C12" s="259">
        <f>SUM(B23:I23,B25:I25)</f>
        <v/>
      </c>
      <c r="D12" s="259">
        <f>B12-C12</f>
        <v/>
      </c>
      <c r="E12" s="259">
        <f>N(F15)</f>
        <v/>
      </c>
      <c r="F12" s="259">
        <f>B12-E12</f>
        <v/>
      </c>
      <c r="G12" s="259">
        <f>SUM(D23:H23)</f>
        <v/>
      </c>
      <c r="H12" s="259">
        <f>F12-G12</f>
        <v/>
      </c>
    </row>
    <row r="14" ht="15" customHeight="1" s="225">
      <c r="A14" s="261" t="inlineStr">
        <is>
          <t>総支給額の内訳</t>
        </is>
      </c>
      <c r="B14" s="258" t="inlineStr">
        <is>
          <t>給料</t>
        </is>
      </c>
      <c r="C14" s="258" t="inlineStr">
        <is>
          <t>地域手当</t>
        </is>
      </c>
      <c r="D14" s="258" t="inlineStr">
        <is>
          <t>扶養手当</t>
        </is>
      </c>
      <c r="E14" s="258" t="inlineStr">
        <is>
          <t>住居手当</t>
        </is>
      </c>
      <c r="F14" s="258" t="inlineStr">
        <is>
          <t>通勤手当（非）</t>
        </is>
      </c>
      <c r="G14" s="258" t="inlineStr">
        <is>
          <t>単身赴任手当</t>
        </is>
      </c>
      <c r="H14" s="258" t="inlineStr">
        <is>
          <t>管理職手当</t>
        </is>
      </c>
      <c r="I14" s="258" t="inlineStr">
        <is>
          <t>初任給調整手当</t>
        </is>
      </c>
    </row>
    <row r="15" ht="24" customHeight="1" s="225">
      <c r="A15" s="255" t="n"/>
      <c r="B15" s="260" t="n"/>
      <c r="C15" s="260" t="n"/>
      <c r="D15" s="260" t="n"/>
      <c r="E15" s="260" t="n"/>
      <c r="F15" s="260" t="n"/>
      <c r="G15" s="260" t="n"/>
      <c r="H15" s="260" t="n"/>
      <c r="I15" s="260" t="n"/>
    </row>
    <row r="16" ht="15" customHeight="1" s="225">
      <c r="A16" s="255" t="n"/>
      <c r="B16" s="258" t="inlineStr">
        <is>
          <t>特殊勤務手当</t>
        </is>
      </c>
      <c r="C16" s="258" t="inlineStr">
        <is>
          <t>時間外勤務手当</t>
        </is>
      </c>
      <c r="D16" s="258" t="inlineStr">
        <is>
          <t>休日勤務手当</t>
        </is>
      </c>
      <c r="E16" s="258" t="inlineStr">
        <is>
          <t>夜間勤務手当</t>
        </is>
      </c>
      <c r="F16" s="258" t="inlineStr">
        <is>
          <t>宿日直手当</t>
        </is>
      </c>
      <c r="G16" s="258" t="inlineStr">
        <is>
          <t>管理職員特別勤務手当</t>
        </is>
      </c>
      <c r="H16" s="258" t="inlineStr">
        <is>
          <t>へき地手当</t>
        </is>
      </c>
      <c r="I16" s="258" t="inlineStr">
        <is>
          <t>産業教育手当</t>
        </is>
      </c>
    </row>
    <row r="17" ht="24" customHeight="1" s="225">
      <c r="A17" s="255" t="n"/>
      <c r="B17" s="260" t="n"/>
      <c r="C17" s="260" t="n"/>
      <c r="D17" s="260" t="n"/>
      <c r="E17" s="260" t="n"/>
      <c r="F17" s="260" t="n"/>
      <c r="G17" s="260" t="n"/>
      <c r="H17" s="260" t="n"/>
      <c r="I17" s="260" t="n"/>
    </row>
    <row r="18" ht="15" customHeight="1" s="225">
      <c r="A18" s="255" t="n"/>
      <c r="B18" s="258" t="inlineStr">
        <is>
          <t>定時制通信教育手当</t>
        </is>
      </c>
      <c r="C18" s="258" t="inlineStr">
        <is>
          <t>義務教育等教員特別手当</t>
        </is>
      </c>
      <c r="D18" s="258" t="inlineStr">
        <is>
          <t>期末手当</t>
        </is>
      </c>
      <c r="E18" s="258" t="inlineStr">
        <is>
          <t>勤勉手当</t>
        </is>
      </c>
      <c r="F18" s="258" t="inlineStr">
        <is>
          <t>給与改定差額</t>
        </is>
      </c>
      <c r="G18" s="262" t="inlineStr">
        <is>
          <t>その他（手当名を入力）</t>
        </is>
      </c>
      <c r="H18" s="262" t="inlineStr">
        <is>
          <t>その他（手当名を入力）</t>
        </is>
      </c>
      <c r="I18" s="262" t="inlineStr">
        <is>
          <t>その他（手当名を入力）</t>
        </is>
      </c>
    </row>
    <row r="19" ht="24" customHeight="1" s="225">
      <c r="A19" s="255" t="n"/>
      <c r="B19" s="260" t="n"/>
      <c r="C19" s="260" t="n"/>
      <c r="D19" s="260" t="n"/>
      <c r="E19" s="260" t="n"/>
      <c r="F19" s="260" t="n"/>
      <c r="G19" s="260" t="n"/>
      <c r="H19" s="260" t="n"/>
      <c r="I19" s="260" t="n"/>
    </row>
    <row r="20">
      <c r="A20" s="263" t="inlineStr">
        <is>
          <t>↑その他の扱い</t>
        </is>
      </c>
      <c r="B20" s="264" t="inlineStr">
        <is>
          <t>※期末手当・勤勉手当・給与改定差額は自動で報酬額から除きます。その他の手当は「含める」「含めない」を選びます（空欄＝含める）。</t>
        </is>
      </c>
      <c r="G20" s="265" t="n"/>
      <c r="H20" s="265" t="n"/>
      <c r="I20" s="265" t="n"/>
    </row>
    <row r="22" ht="15" customHeight="1" s="225">
      <c r="A22" s="261" t="inlineStr">
        <is>
          <t>法定控除金の内訳</t>
        </is>
      </c>
      <c r="B22" s="258" t="inlineStr">
        <is>
          <t>所得税</t>
        </is>
      </c>
      <c r="C22" s="258" t="inlineStr">
        <is>
          <t>住民税</t>
        </is>
      </c>
      <c r="D22" s="258" t="inlineStr">
        <is>
          <t>共済短期掛金</t>
        </is>
      </c>
      <c r="E22" s="258" t="inlineStr">
        <is>
          <t>共済子ども支援</t>
        </is>
      </c>
      <c r="F22" s="258" t="inlineStr">
        <is>
          <t>共済厚生年金掛金</t>
        </is>
      </c>
      <c r="G22" s="258" t="inlineStr">
        <is>
          <t>共済退職等年金</t>
        </is>
      </c>
      <c r="H22" s="258" t="inlineStr">
        <is>
          <t>共済介護</t>
        </is>
      </c>
      <c r="I22" s="258" t="inlineStr">
        <is>
          <t>互助会掛金</t>
        </is>
      </c>
    </row>
    <row r="23" ht="24" customHeight="1" s="225">
      <c r="A23" s="255" t="n"/>
      <c r="B23" s="260" t="n"/>
      <c r="C23" s="260" t="n"/>
      <c r="D23" s="260" t="n"/>
      <c r="E23" s="260" t="n"/>
      <c r="F23" s="260" t="n"/>
      <c r="G23" s="260" t="n"/>
      <c r="H23" s="260" t="n"/>
      <c r="I23" s="260" t="n"/>
    </row>
    <row r="24" ht="15" customHeight="1" s="225">
      <c r="A24" s="255" t="n"/>
      <c r="B24" s="262" t="inlineStr">
        <is>
          <t>（控除名）</t>
        </is>
      </c>
      <c r="C24" s="262" t="inlineStr">
        <is>
          <t>（控除名）</t>
        </is>
      </c>
      <c r="D24" s="262" t="inlineStr">
        <is>
          <t>（控除名）</t>
        </is>
      </c>
      <c r="E24" s="262" t="inlineStr">
        <is>
          <t>（控除名）</t>
        </is>
      </c>
      <c r="F24" s="262" t="inlineStr">
        <is>
          <t>（控除名）</t>
        </is>
      </c>
      <c r="G24" s="262" t="inlineStr">
        <is>
          <t>（控除名）</t>
        </is>
      </c>
      <c r="H24" s="262" t="inlineStr">
        <is>
          <t>（控除名）</t>
        </is>
      </c>
      <c r="I24" s="262" t="inlineStr">
        <is>
          <t>（控除名）</t>
        </is>
      </c>
    </row>
    <row r="25" ht="24" customHeight="1" s="225">
      <c r="A25" s="255" t="n"/>
      <c r="B25" s="260" t="n"/>
      <c r="C25" s="260" t="n"/>
      <c r="D25" s="260" t="n"/>
      <c r="E25" s="260" t="n"/>
      <c r="F25" s="260" t="n"/>
      <c r="G25" s="260" t="n"/>
      <c r="H25" s="260" t="n"/>
      <c r="I25" s="260" t="n"/>
    </row>
    <row r="27" ht="6" customHeight="1" s="225">
      <c r="A27" s="261" t="inlineStr">
        <is>
          <t>第三口座の内訳</t>
        </is>
      </c>
    </row>
    <row r="28" ht="15" customHeight="1" s="225">
      <c r="A28" s="255" t="n"/>
      <c r="B28" s="258" t="inlineStr">
        <is>
          <t>親睦会</t>
        </is>
      </c>
      <c r="C28" s="258" t="inlineStr">
        <is>
          <t>所属控除金手数料</t>
        </is>
      </c>
      <c r="D28" s="262" t="inlineStr">
        <is>
          <t>（項目名）</t>
        </is>
      </c>
      <c r="E28" s="262" t="inlineStr">
        <is>
          <t>（項目名）</t>
        </is>
      </c>
      <c r="F28" s="262" t="inlineStr">
        <is>
          <t>（項目名）</t>
        </is>
      </c>
      <c r="G28" s="262" t="inlineStr">
        <is>
          <t>（項目名）</t>
        </is>
      </c>
      <c r="H28" s="262" t="inlineStr">
        <is>
          <t>（項目名）</t>
        </is>
      </c>
      <c r="I28" s="262" t="inlineStr">
        <is>
          <t>（項目名）</t>
        </is>
      </c>
    </row>
    <row r="29" ht="24" customHeight="1" s="225">
      <c r="A29" s="255" t="n"/>
      <c r="B29" s="260" t="n"/>
      <c r="C29" s="260" t="n"/>
      <c r="D29" s="260" t="n"/>
      <c r="E29" s="260" t="n"/>
      <c r="F29" s="260" t="n"/>
      <c r="G29" s="260" t="n"/>
      <c r="H29" s="260" t="n"/>
      <c r="I29" s="260" t="n"/>
    </row>
    <row r="31">
      <c r="A31" s="266" t="inlineStr">
        <is>
          <t>通勤手当（複数月分をまとめて支給されている場合のみ入力）</t>
        </is>
      </c>
    </row>
    <row r="32" ht="21" customHeight="1" s="225">
      <c r="A32" s="267" t="inlineStr">
        <is>
          <t>通勤手当の支給方法</t>
        </is>
      </c>
      <c r="B32" s="255" t="n"/>
      <c r="C32" s="268" t="n"/>
      <c r="D32" s="255" t="n"/>
      <c r="E32" s="255" t="n"/>
      <c r="F32" s="264" t="inlineStr">
        <is>
          <t>「毎月支給」（空欄も同じ）なら、以下は入力不要です。明細の通勤手当を1か月分とみなします。</t>
        </is>
      </c>
    </row>
    <row r="33" ht="21" customHeight="1" s="225">
      <c r="A33" s="267" t="inlineStr">
        <is>
          <t>いつ支払われたか（明細の月）</t>
        </is>
      </c>
      <c r="B33" s="255" t="n"/>
      <c r="C33" s="269" t="inlineStr">
        <is>
          <t>令和</t>
        </is>
      </c>
      <c r="D33" s="270" t="n"/>
      <c r="E33" s="269" t="inlineStr">
        <is>
          <t>年</t>
        </is>
      </c>
      <c r="F33" s="270" t="n"/>
      <c r="G33" s="271" t="inlineStr">
        <is>
          <t>月に支給された</t>
        </is>
      </c>
      <c r="K33">
        <f>IF(COUNT(D33,F33)=2,DATE(D33+2018,F33,1),"")</f>
        <v/>
      </c>
    </row>
    <row r="34" ht="21" customHeight="1" s="225">
      <c r="A34" s="267" t="inlineStr">
        <is>
          <t>支給された額（円）</t>
        </is>
      </c>
      <c r="B34" s="255" t="n"/>
      <c r="C34" s="272" t="n"/>
      <c r="D34" s="255" t="n"/>
      <c r="E34" s="255" t="n"/>
      <c r="F34" s="271" t="inlineStr">
        <is>
          <t>円</t>
        </is>
      </c>
      <c r="G34" s="264" t="inlineStr">
        <is>
          <t>支払われた月の明細に載っている通勤手当（非）の額</t>
        </is>
      </c>
    </row>
    <row r="35" ht="21" customHeight="1" s="225">
      <c r="A35" s="267" t="inlineStr">
        <is>
          <t>何月分から（対象期間の始め）</t>
        </is>
      </c>
      <c r="B35" s="255" t="n"/>
      <c r="C35" s="269" t="inlineStr">
        <is>
          <t>令和</t>
        </is>
      </c>
      <c r="D35" s="270" t="n"/>
      <c r="E35" s="269" t="inlineStr">
        <is>
          <t>年</t>
        </is>
      </c>
      <c r="F35" s="270" t="n"/>
      <c r="G35" s="271" t="inlineStr">
        <is>
          <t>月分から</t>
        </is>
      </c>
      <c r="K35">
        <f>IF(COUNT(D35,F35)=2,DATE(D35+2018,F35,1),"")</f>
        <v/>
      </c>
    </row>
    <row r="36" ht="21" customHeight="1" s="225">
      <c r="A36" s="267" t="inlineStr">
        <is>
          <t>何月分まで（対象期間の終わり）</t>
        </is>
      </c>
      <c r="B36" s="255" t="n"/>
      <c r="C36" s="269" t="inlineStr">
        <is>
          <t>令和</t>
        </is>
      </c>
      <c r="D36" s="270" t="n"/>
      <c r="E36" s="269" t="inlineStr">
        <is>
          <t>年</t>
        </is>
      </c>
      <c r="F36" s="270" t="n"/>
      <c r="G36" s="271" t="inlineStr">
        <is>
          <t>月分まで</t>
        </is>
      </c>
      <c r="K36">
        <f>IF(COUNT(D36,F36)=2,DATE(D36+2018,F36,1),"")</f>
        <v/>
      </c>
    </row>
    <row r="37" ht="21" customHeight="1" s="225">
      <c r="A37" s="267" t="inlineStr">
        <is>
          <t>自動計算</t>
        </is>
      </c>
      <c r="B37" s="255" t="n"/>
      <c r="C37" s="253" t="inlineStr">
        <is>
          <t>月数</t>
        </is>
      </c>
      <c r="D37" s="273">
        <f>IF(C32="数か月分一括支給",K37,"")</f>
        <v/>
      </c>
      <c r="E37" s="253" t="inlineStr">
        <is>
          <t>何か月目</t>
        </is>
      </c>
      <c r="F37" s="274">
        <f>IF(C32="数か月分一括支給",K38,"")</f>
        <v/>
      </c>
      <c r="G37" s="253" t="inlineStr">
        <is>
          <t>1か月当たり</t>
        </is>
      </c>
      <c r="H37" s="275">
        <f>IF(入力!C29&lt;&gt;"有",0,IF(C32="数か月分一括支給",IF(K39="","",K39),N(F15)))</f>
        <v/>
      </c>
      <c r="I37" s="271" t="inlineStr">
        <is>
          <t>円</t>
        </is>
      </c>
      <c r="K37">
        <f>IF(OR(K35="",K36=""),"",IF(K36&lt;K35,"",(YEAR(K36)-YEAR(K35))*12+MONTH(K36)-MONTH(K35)+1))</f>
        <v/>
      </c>
    </row>
    <row r="38">
      <c r="A38" s="276">
        <f>IF(入力!C29&lt;&gt;"有","",IF(C32&lt;&gt;"数か月分一括支給",IF(N(F15)=0,"✕ 通勤手当が「有」ですが、明細に通勤手当の額がありません。複数月分の場合は支給方法を選んでください",""),IF(COUNT(D33,F33,D35,F35,D36,F36)&lt;6,"✕ いつ支払われたか・対象期間（何月分から何月分まで）をすべて入力してください",IF(NOT(ISNUMBER(C34)),"✕ 支給された額を入力してください",IF(K36&lt;K35,"✕ 対象期間の終わりが、始めより前になっています",IF(OR(K38&lt;1,K38&gt;K37),"✕ 請求対象月が、通勤手当の対象期間の外です。対象期間を確認してください",IF(K37&lt;2,"△ 対象期間が1か月分です。「毎月支給」を選んでください",IF(K37&gt;6,"△ 対象期間が6か月を超えています（支給単位期間は最長6か月）",IF(K33&lt;&gt;K35,"△ 支払われた月が、対象期間の最初の月と異なります",IF(AND(K38=1,N(F15)&lt;&gt;C34),"△ 1か月目の明細の通勤手当（"&amp;TEXT(N(F15),"#,##0")&amp;"円）が、支給された額と異なります",IF(AND(K38&gt;1,N(F15)&gt;0),"△ 2か月目以降なのに、明細に通勤手当が載っています","")))))))))))</f>
        <v/>
      </c>
      <c r="K38">
        <f>IF(OR(K35="",入力!N7=""),"",(YEAR(入力!N7)-YEAR(K35))*12+MONTH(入力!N7)-MONTH(K35)+1)</f>
        <v/>
      </c>
    </row>
    <row r="39">
      <c r="K39">
        <f>IF(OR(K37="",K38="",NOT(ISNUMBER(C34))),"",IF(OR(K38&lt;1,K38&gt;K37),"",IF(K38=K37,C34-INT(C34/K37)*(K37-1),INT(C34/K37))))</f>
        <v/>
      </c>
    </row>
    <row r="40">
      <c r="A40" s="266" t="inlineStr">
        <is>
          <t>報酬額の計算（請求書の「支給対象月に支払われた報酬の額」）</t>
        </is>
      </c>
    </row>
    <row r="41">
      <c r="A41" s="277" t="inlineStr">
        <is>
          <t>① 総支給額（明細）</t>
        </is>
      </c>
      <c r="B41" s="255" t="n"/>
      <c r="C41" s="278">
        <f>B12</f>
        <v/>
      </c>
      <c r="D41" s="264" t="inlineStr"/>
    </row>
    <row r="42">
      <c r="A42" s="254" t="inlineStr">
        <is>
          <t>② − 期末手当</t>
        </is>
      </c>
      <c r="B42" s="255" t="n"/>
      <c r="C42" s="278">
        <f>-N(D19)</f>
        <v/>
      </c>
      <c r="D42" s="264" t="inlineStr">
        <is>
          <t>請求の報酬から除外</t>
        </is>
      </c>
    </row>
    <row r="43">
      <c r="A43" s="254" t="inlineStr">
        <is>
          <t>③ − 勤勉手当</t>
        </is>
      </c>
      <c r="B43" s="255" t="n"/>
      <c r="C43" s="278">
        <f>-N(E19)</f>
        <v/>
      </c>
      <c r="D43" s="264" t="inlineStr">
        <is>
          <t>請求の報酬から除外</t>
        </is>
      </c>
    </row>
    <row r="44">
      <c r="A44" s="254" t="inlineStr">
        <is>
          <t>④ − 給与改定差額</t>
        </is>
      </c>
      <c r="B44" s="255" t="n"/>
      <c r="C44" s="278">
        <f>-N(F19)</f>
        <v/>
      </c>
      <c r="D44" s="264" t="inlineStr">
        <is>
          <t>請求の報酬から除外</t>
        </is>
      </c>
    </row>
    <row r="45">
      <c r="A45" s="254" t="inlineStr">
        <is>
          <t>⑤ − 通勤手当（この明細に載っている額）</t>
        </is>
      </c>
      <c r="B45" s="255" t="n"/>
      <c r="C45" s="278">
        <f>-N(F15)</f>
        <v/>
      </c>
      <c r="D45" s="264" t="inlineStr">
        <is>
          <t>複数月分を一括で支給された月は、その全額をいったん控除</t>
        </is>
      </c>
    </row>
    <row r="46">
      <c r="A46" s="254" t="inlineStr">
        <is>
          <t>⑥ − 「含めない」にしたその他の手当</t>
        </is>
      </c>
      <c r="B46" s="255" t="n"/>
      <c r="C46" s="278">
        <f>-(IF(G20="含めない",N(G19),0)+IF(H20="含めない",N(H19),0)+IF(I20="含めない",N(I19),0))</f>
        <v/>
      </c>
      <c r="D46" s="264" t="inlineStr"/>
    </row>
    <row r="47">
      <c r="A47" s="254" t="inlineStr">
        <is>
          <t>⑦ ＋ 1か月当たりの通勤手当</t>
        </is>
      </c>
      <c r="B47" s="255" t="n"/>
      <c r="C47" s="278">
        <f>N(H37)</f>
        <v/>
      </c>
      <c r="D47" s="264" t="inlineStr">
        <is>
          <t>上の通勤手当欄から自動（一括支給は月割、端数は最終月に加算）</t>
        </is>
      </c>
    </row>
    <row r="48">
      <c r="A48" s="277" t="inlineStr">
        <is>
          <t>⑧ ＝ 報酬額（計算結果）</t>
        </is>
      </c>
      <c r="B48" s="255" t="n"/>
      <c r="C48" s="279">
        <f>SUM(C41:C47)</f>
        <v/>
      </c>
      <c r="D48" s="264" t="inlineStr"/>
    </row>
    <row r="49">
      <c r="A49" s="254" t="inlineStr">
        <is>
          <t>直接入力（明細を使わない場合のみ）</t>
        </is>
      </c>
      <c r="B49" s="255" t="n"/>
      <c r="C49" s="272" t="n"/>
      <c r="D49" s="264" t="inlineStr">
        <is>
          <t>入力すると、上の計算よりこちらが優先されます（月額が明細と別にわかっている場合など）</t>
        </is>
      </c>
    </row>
    <row r="50">
      <c r="A50" s="280" t="inlineStr">
        <is>
          <t>★ 入力シートへ渡す報酬額</t>
        </is>
      </c>
      <c r="B50" s="255" t="n"/>
      <c r="C50" s="281">
        <f>IF(C49&lt;&gt;"",C49,IF(B12=0,"",C48))</f>
        <v/>
      </c>
      <c r="D50" s="276">
        <f>IF(C50="","← 未入力です",IF(C50&lt;0,"✕ 報酬額がマイナスです。入力を確認してください",""))</f>
        <v/>
      </c>
    </row>
    <row r="52">
      <c r="A52" s="282" t="inlineStr">
        <is>
          <t>【例】3か月に1回(4・5・6月分)支給される通勤手当 6,300円。4月に支給されたら「いつ支払われたか＝令和8年4月」「支給された額＝6,300円」「何月分から＝4月分／何月分まで＝6月分」と入力します。すると4月は明細の6,300円を控除して2,100円を加算、5月・6月は明細に通勤手当が載っていなくても2,100円を加算します（端数は最終月）。翌月分を作るときは、この欄はそのままで、請求対象月だけ変えれば自動で「何か月目」が変わります。</t>
        </is>
      </c>
    </row>
    <row r="53"/>
    <row r="54"/>
  </sheetData>
  <mergeCells count="46">
    <mergeCell ref="A48:B48"/>
    <mergeCell ref="D49:I49"/>
    <mergeCell ref="A49:B49"/>
    <mergeCell ref="D41:I41"/>
    <mergeCell ref="A45:B45"/>
    <mergeCell ref="A36:B36"/>
    <mergeCell ref="G34:I34"/>
    <mergeCell ref="D48:I48"/>
    <mergeCell ref="G33:I33"/>
    <mergeCell ref="D47:I47"/>
    <mergeCell ref="D43:I43"/>
    <mergeCell ref="A2:I2"/>
    <mergeCell ref="A41:B41"/>
    <mergeCell ref="F5:G5"/>
    <mergeCell ref="A37:B37"/>
    <mergeCell ref="A46:B46"/>
    <mergeCell ref="G35:I35"/>
    <mergeCell ref="B6:D6"/>
    <mergeCell ref="A38:I38"/>
    <mergeCell ref="C32:E32"/>
    <mergeCell ref="A34:B34"/>
    <mergeCell ref="A50:B50"/>
    <mergeCell ref="B5:D5"/>
    <mergeCell ref="A8:A9"/>
    <mergeCell ref="D42:I42"/>
    <mergeCell ref="A33:B33"/>
    <mergeCell ref="B4:D4"/>
    <mergeCell ref="A42:B42"/>
    <mergeCell ref="A47:B47"/>
    <mergeCell ref="A32:B32"/>
    <mergeCell ref="A40:I40"/>
    <mergeCell ref="A31:I31"/>
    <mergeCell ref="D50:I50"/>
    <mergeCell ref="D44:I44"/>
    <mergeCell ref="A14:A19"/>
    <mergeCell ref="C34:E34"/>
    <mergeCell ref="A22:A25"/>
    <mergeCell ref="A35:B35"/>
    <mergeCell ref="A52:I54"/>
    <mergeCell ref="F32:I32"/>
    <mergeCell ref="G36:I36"/>
    <mergeCell ref="A43:B43"/>
    <mergeCell ref="D46:I46"/>
    <mergeCell ref="D45:I45"/>
    <mergeCell ref="A44:B44"/>
    <mergeCell ref="A27:A29"/>
  </mergeCells>
  <dataValidations count="7">
    <dataValidation sqref="G20:I20" showDropDown="0" showInputMessage="0" showErrorMessage="1" allowBlank="1" errorTitle="入力エラー" error="「含める」か「含めない」を選んでください。" type="list">
      <formula1>"含める,含めない"</formula1>
    </dataValidation>
    <dataValidation sqref="C32" showDropDown="0" showInputMessage="0" showErrorMessage="1" allowBlank="1" errorTitle="入力エラー" error="一覧から選んでください。" type="list">
      <formula1>"毎月支給,数か月分一括支給"</formula1>
    </dataValidation>
    <dataValidation sqref="D33 D35 D36" showDropDown="0" showInputMessage="0" showErrorMessage="1" allowBlank="1" errorTitle="入力エラー" error="令和の年を数字（7〜30）で入力してください。" type="whole" operator="between">
      <formula1>7</formula1>
      <formula2>30</formula2>
    </dataValidation>
    <dataValidation sqref="F33 F35 F36" showDropDown="0" showInputMessage="0" showErrorMessage="1" allowBlank="1" errorTitle="入力エラー" error="月は1〜12の数字で入力してください。" type="whole" operator="between">
      <formula1>1</formula1>
      <formula2>12</formula2>
    </dataValidation>
    <dataValidation sqref="C34" showDropDown="0" showInputMessage="0" showErrorMessage="1" allowBlank="1" errorTitle="入力エラー" error="円の数字（整数）で入力してください。" type="whole" operator="between">
      <formula1>0</formula1>
      <formula2>9999999</formula2>
    </dataValidation>
    <dataValidation sqref="C49" showDropDown="0" showInputMessage="0" showErrorMessage="1" allowBlank="1" errorTitle="入力エラー" error="円の数字（整数）で入力してください。" type="whole" operator="between">
      <formula1>0</formula1>
      <formula2>99999999</formula2>
    </dataValidation>
    <dataValidation sqref="B15:I15 B17:I17 B19:I19 B23:I23 B25:I25 B29:I29 C9:D9" showDropDown="0" showInputMessage="0" showErrorMessage="1" allowBlank="1" errorTitle="入力エラー" error="円の数字（整数）で入力してください。" type="whole" operator="between">
      <formula1>-9999999</formula1>
      <formula2>9999999</formula2>
    </dataValidation>
  </dataValidations>
  <pageMargins left="0.75" right="0.75" top="1" bottom="1" header="0.5" footer="0.5"/>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83" t="n"/>
      <c r="AJ1" s="283" t="n"/>
      <c r="AK1" s="283" t="n"/>
      <c r="AL1" s="283" t="n"/>
      <c r="AM1" s="283" t="n"/>
    </row>
    <row r="2" ht="15" customHeight="1" s="225">
      <c r="V2" s="284" t="inlineStr">
        <is>
          <t>令和</t>
        </is>
      </c>
      <c r="W2" s="285" t="n"/>
      <c r="X2" s="286">
        <f>IF(入力!D7="","",入力!D7)</f>
        <v/>
      </c>
      <c r="Y2" s="285" t="n"/>
      <c r="Z2" s="285" t="n"/>
      <c r="AA2" s="287" t="inlineStr">
        <is>
          <t>年</t>
        </is>
      </c>
      <c r="AB2" s="285" t="n"/>
      <c r="AC2" s="286">
        <f>IF(入力!F7="","",入力!F7)</f>
        <v/>
      </c>
      <c r="AD2" s="285" t="n"/>
      <c r="AE2" s="285" t="n"/>
      <c r="AF2" s="288" t="inlineStr">
        <is>
          <t>月分</t>
        </is>
      </c>
      <c r="AG2" s="289" t="n"/>
      <c r="AH2" s="179" t="inlineStr">
        <is>
          <t>共済組合記入欄</t>
        </is>
      </c>
      <c r="AI2" s="290" t="n"/>
      <c r="AJ2" s="290" t="n"/>
      <c r="AK2" s="290" t="n"/>
      <c r="AL2" s="290" t="n"/>
      <c r="AM2" s="291" t="n"/>
    </row>
    <row r="3" ht="15" customHeight="1" s="225">
      <c r="V3" s="292" t="n"/>
      <c r="AG3" s="293" t="n"/>
      <c r="AH3" s="2" t="inlineStr">
        <is>
          <t>基幹</t>
        </is>
      </c>
      <c r="AI3" s="2" t="n"/>
      <c r="AJ3" s="3" t="n"/>
      <c r="AK3" s="3" t="n"/>
      <c r="AL3" s="3" t="n"/>
      <c r="AM3" s="4" t="n"/>
    </row>
    <row r="4" ht="15" customHeight="1" s="225">
      <c r="A4" s="294" t="n"/>
      <c r="B4" s="294" t="n"/>
      <c r="C4" s="294" t="n"/>
      <c r="D4" s="294" t="n"/>
      <c r="E4" s="294" t="n"/>
      <c r="F4" s="294" t="n"/>
      <c r="G4" s="294" t="n"/>
      <c r="H4" s="294" t="n"/>
      <c r="I4" s="294" t="n"/>
      <c r="J4" s="294" t="n"/>
      <c r="K4" s="294" t="n"/>
      <c r="L4" s="294" t="n"/>
      <c r="M4" s="294" t="n"/>
      <c r="N4" s="294" t="n"/>
      <c r="O4" s="294" t="n"/>
      <c r="P4" s="294" t="n"/>
      <c r="Q4" s="294" t="n"/>
      <c r="R4" s="294" t="n"/>
      <c r="S4" s="294" t="n"/>
      <c r="T4" s="294" t="n"/>
      <c r="U4" s="294" t="n"/>
      <c r="V4" s="295" t="n"/>
      <c r="W4" s="294" t="n"/>
      <c r="X4" s="294" t="n"/>
      <c r="Y4" s="294" t="n"/>
      <c r="Z4" s="294" t="n"/>
      <c r="AA4" s="294" t="n"/>
      <c r="AB4" s="294" t="n"/>
      <c r="AC4" s="294" t="n"/>
      <c r="AD4" s="294" t="n"/>
      <c r="AE4" s="294" t="n"/>
      <c r="AF4" s="294" t="n"/>
      <c r="AG4" s="296"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85" t="n"/>
      <c r="Y5" s="285" t="n"/>
      <c r="Z5" s="285" t="n"/>
      <c r="AA5" s="289"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93" t="n"/>
      <c r="AB6" s="297">
        <f>IF(入力!C9="","",入力!C9)</f>
        <v/>
      </c>
      <c r="AE6" s="148" t="inlineStr">
        <is>
          <t>―</t>
        </is>
      </c>
      <c r="AF6" s="298">
        <f>IF(入力!F9="","",入力!F9)</f>
        <v/>
      </c>
      <c r="AM6" s="293" t="n"/>
    </row>
    <row r="7" ht="18.75" customHeight="1" s="225">
      <c r="A7" s="185" t="inlineStr">
        <is>
          <t>組合員氏名</t>
        </is>
      </c>
      <c r="H7" s="11" t="n"/>
      <c r="I7" s="208">
        <f>IF(入力!C11="","",入力!C11)</f>
        <v/>
      </c>
      <c r="R7" s="71" t="n"/>
      <c r="S7" s="71" t="n"/>
      <c r="T7" s="71" t="n"/>
      <c r="U7" s="71" t="n"/>
      <c r="V7" s="48" t="n"/>
      <c r="AA7" s="293" t="n"/>
      <c r="AB7" s="292" t="n"/>
      <c r="AM7" s="293" t="n"/>
    </row>
    <row r="8" ht="18.75" customHeight="1" s="225">
      <c r="A8" s="292" t="n"/>
      <c r="H8" s="11" t="n"/>
      <c r="I8" s="294" t="n"/>
      <c r="J8" s="294" t="n"/>
      <c r="K8" s="294" t="n"/>
      <c r="L8" s="294" t="n"/>
      <c r="M8" s="294" t="n"/>
      <c r="N8" s="294" t="n"/>
      <c r="O8" s="294" t="n"/>
      <c r="P8" s="294" t="n"/>
      <c r="Q8" s="294" t="n"/>
      <c r="R8" s="299">
        <f>IF(入力!C12="女","（女）・ 男",IF(入力!C12="男","女 ・（男）","女 ・ 男"))</f>
        <v/>
      </c>
      <c r="V8" s="48" t="n"/>
      <c r="AA8" s="293" t="n"/>
      <c r="AB8" s="295" t="n"/>
      <c r="AC8" s="294" t="n"/>
      <c r="AD8" s="294" t="n"/>
      <c r="AE8" s="294" t="n"/>
      <c r="AF8" s="294" t="n"/>
      <c r="AG8" s="294" t="n"/>
      <c r="AH8" s="294" t="n"/>
      <c r="AI8" s="294" t="n"/>
      <c r="AJ8" s="294" t="n"/>
      <c r="AK8" s="294" t="n"/>
      <c r="AL8" s="294" t="n"/>
      <c r="AM8" s="296" t="n"/>
    </row>
    <row r="9" ht="18.75" customHeight="1" s="225">
      <c r="A9" s="154" t="inlineStr">
        <is>
          <t>生 年 月 日</t>
        </is>
      </c>
      <c r="B9" s="285" t="n"/>
      <c r="C9" s="285" t="n"/>
      <c r="D9" s="285" t="n"/>
      <c r="E9" s="285" t="n"/>
      <c r="F9" s="285" t="n"/>
      <c r="G9" s="289" t="n"/>
      <c r="H9" s="300">
        <f>IF(入力!C13="昭和","（Ｓ）・ Ｈ",IF(入力!C13="平成","Ｓ ・（Ｈ）","Ｓ ・ Ｈ"))</f>
        <v/>
      </c>
      <c r="I9" s="285" t="n"/>
      <c r="J9" s="285" t="n"/>
      <c r="K9" s="285" t="n"/>
      <c r="L9" s="301">
        <f>IF(入力!D13="","",入力!D13)</f>
        <v/>
      </c>
      <c r="M9" s="285" t="n"/>
      <c r="N9" s="140" t="inlineStr">
        <is>
          <t>年</t>
        </is>
      </c>
      <c r="O9" s="301">
        <f>IF(入力!F13="","",入力!F13)</f>
        <v/>
      </c>
      <c r="P9" s="285" t="n"/>
      <c r="Q9" s="302" t="inlineStr">
        <is>
          <t>月</t>
        </is>
      </c>
      <c r="R9" s="301">
        <f>IF(入力!H13="","",入力!H13)</f>
        <v/>
      </c>
      <c r="S9" s="285" t="n"/>
      <c r="T9" s="302" t="inlineStr">
        <is>
          <t>日</t>
        </is>
      </c>
      <c r="U9" s="9" t="n"/>
      <c r="V9" s="12" t="n"/>
      <c r="W9" s="303" t="inlineStr">
        <is>
          <t>☆個人番号</t>
        </is>
      </c>
      <c r="X9" s="285" t="n"/>
      <c r="Y9" s="285" t="n"/>
      <c r="Z9" s="285" t="n"/>
      <c r="AA9" s="289" t="n"/>
      <c r="AB9" s="13" t="n"/>
      <c r="AC9" s="14" t="n"/>
      <c r="AD9" s="14" t="n"/>
      <c r="AE9" s="14" t="n"/>
      <c r="AF9" s="14" t="n"/>
      <c r="AG9" s="14" t="n"/>
      <c r="AH9" s="14" t="n"/>
      <c r="AI9" s="14" t="n"/>
      <c r="AJ9" s="14" t="n"/>
      <c r="AK9" s="14" t="n"/>
      <c r="AL9" s="14" t="n"/>
      <c r="AM9" s="15" t="n"/>
    </row>
    <row r="10" ht="18.75" customHeight="1" s="225">
      <c r="A10" s="295" t="n"/>
      <c r="B10" s="294" t="n"/>
      <c r="C10" s="294" t="n"/>
      <c r="D10" s="294" t="n"/>
      <c r="E10" s="294" t="n"/>
      <c r="F10" s="294" t="n"/>
      <c r="G10" s="296" t="n"/>
      <c r="H10" s="295" t="n"/>
      <c r="I10" s="294" t="n"/>
      <c r="J10" s="294" t="n"/>
      <c r="K10" s="294" t="n"/>
      <c r="L10" s="294" t="n"/>
      <c r="M10" s="294" t="n"/>
      <c r="N10" s="294" t="n"/>
      <c r="O10" s="294" t="n"/>
      <c r="P10" s="294" t="n"/>
      <c r="Q10" s="294" t="n"/>
      <c r="R10" s="294" t="n"/>
      <c r="S10" s="294" t="n"/>
      <c r="T10" s="294" t="n"/>
      <c r="U10" s="16" t="n"/>
      <c r="V10" s="17" t="n"/>
      <c r="W10" s="304" t="inlineStr">
        <is>
          <t>（ﾏｲﾅﾝﾊﾞｰ）</t>
        </is>
      </c>
      <c r="X10" s="294" t="n"/>
      <c r="Y10" s="294" t="n"/>
      <c r="Z10" s="294" t="n"/>
      <c r="AA10" s="296" t="n"/>
      <c r="AB10" s="18" t="n"/>
      <c r="AC10" s="19" t="n"/>
      <c r="AD10" s="19" t="n"/>
      <c r="AE10" s="19" t="n"/>
      <c r="AF10" s="19" t="n"/>
      <c r="AG10" s="19" t="n"/>
      <c r="AH10" s="19" t="n"/>
      <c r="AI10" s="19" t="n"/>
      <c r="AJ10" s="19" t="n"/>
      <c r="AK10" s="19" t="n"/>
      <c r="AL10" s="19" t="n"/>
      <c r="AM10" s="20" t="n"/>
    </row>
    <row r="11" ht="15.75" customHeight="1" s="225">
      <c r="A11" s="153" t="inlineStr">
        <is>
          <t>所属機関</t>
        </is>
      </c>
      <c r="G11" s="293" t="n"/>
      <c r="H11" s="155" t="inlineStr">
        <is>
          <t>名　称</t>
        </is>
      </c>
      <c r="J11" s="293" t="n"/>
      <c r="K11" s="305">
        <f>IF(入力!C15="","",入力!C15)</f>
        <v/>
      </c>
      <c r="AM11" s="293" t="n"/>
    </row>
    <row r="12" ht="15.75" customHeight="1" s="225">
      <c r="A12" s="292" t="n"/>
      <c r="G12" s="293" t="n"/>
      <c r="H12" s="295" t="n"/>
      <c r="I12" s="294" t="n"/>
      <c r="J12" s="296" t="n"/>
      <c r="K12" s="295" t="n"/>
      <c r="L12" s="294" t="n"/>
      <c r="M12" s="294" t="n"/>
      <c r="N12" s="294" t="n"/>
      <c r="O12" s="294" t="n"/>
      <c r="P12" s="294" t="n"/>
      <c r="Q12" s="294" t="n"/>
      <c r="R12" s="294" t="n"/>
      <c r="S12" s="294" t="n"/>
      <c r="T12" s="294" t="n"/>
      <c r="U12" s="294" t="n"/>
      <c r="V12" s="294" t="n"/>
      <c r="W12" s="294" t="n"/>
      <c r="X12" s="294" t="n"/>
      <c r="Y12" s="294" t="n"/>
      <c r="Z12" s="294" t="n"/>
      <c r="AA12" s="294" t="n"/>
      <c r="AB12" s="294" t="n"/>
      <c r="AC12" s="294" t="n"/>
      <c r="AD12" s="294" t="n"/>
      <c r="AE12" s="294" t="n"/>
      <c r="AF12" s="294" t="n"/>
      <c r="AG12" s="294" t="n"/>
      <c r="AH12" s="294" t="n"/>
      <c r="AI12" s="294" t="n"/>
      <c r="AJ12" s="294" t="n"/>
      <c r="AK12" s="294" t="n"/>
      <c r="AL12" s="294" t="n"/>
      <c r="AM12" s="296" t="n"/>
    </row>
    <row r="13" ht="15.75" customHeight="1" s="225">
      <c r="A13" s="292" t="n"/>
      <c r="G13" s="293" t="n"/>
      <c r="H13" s="156" t="inlineStr">
        <is>
          <t>所在地</t>
        </is>
      </c>
      <c r="I13" s="285" t="n"/>
      <c r="J13" s="289" t="n"/>
      <c r="K13" s="306">
        <f>IF(入力!C16="","",入力!C16)</f>
        <v/>
      </c>
      <c r="L13" s="285" t="n"/>
      <c r="M13" s="285" t="n"/>
      <c r="N13" s="285" t="n"/>
      <c r="O13" s="285" t="n"/>
      <c r="P13" s="285" t="n"/>
      <c r="Q13" s="285" t="n"/>
      <c r="R13" s="285" t="n"/>
      <c r="S13" s="285" t="n"/>
      <c r="T13" s="285" t="n"/>
      <c r="U13" s="285" t="n"/>
      <c r="V13" s="285" t="n"/>
      <c r="W13" s="285" t="n"/>
      <c r="X13" s="285" t="n"/>
      <c r="Y13" s="285" t="n"/>
      <c r="Z13" s="285" t="n"/>
      <c r="AA13" s="285" t="n"/>
      <c r="AB13" s="285" t="n"/>
      <c r="AC13" s="285" t="n"/>
      <c r="AD13" s="285" t="n"/>
      <c r="AE13" s="285" t="n"/>
      <c r="AF13" s="285" t="n"/>
      <c r="AG13" s="285" t="n"/>
      <c r="AH13" s="285" t="n"/>
      <c r="AI13" s="285" t="n"/>
      <c r="AJ13" s="285" t="n"/>
      <c r="AK13" s="285" t="n"/>
      <c r="AL13" s="285" t="n"/>
      <c r="AM13" s="289" t="n"/>
    </row>
    <row r="14" ht="15.75" customHeight="1" s="225">
      <c r="A14" s="295" t="n"/>
      <c r="B14" s="294" t="n"/>
      <c r="C14" s="294" t="n"/>
      <c r="D14" s="294" t="n"/>
      <c r="E14" s="294" t="n"/>
      <c r="F14" s="294" t="n"/>
      <c r="G14" s="296" t="n"/>
      <c r="H14" s="295" t="n"/>
      <c r="I14" s="294" t="n"/>
      <c r="J14" s="296" t="n"/>
      <c r="K14" s="294" t="n"/>
      <c r="L14" s="294" t="n"/>
      <c r="M14" s="294" t="n"/>
      <c r="N14" s="294" t="n"/>
      <c r="O14" s="294" t="n"/>
      <c r="P14" s="294" t="n"/>
      <c r="Q14" s="294" t="n"/>
      <c r="R14" s="294" t="n"/>
      <c r="S14" s="294" t="n"/>
      <c r="T14" s="294" t="n"/>
      <c r="U14" s="294" t="n"/>
      <c r="V14" s="294" t="n"/>
      <c r="W14" s="294" t="n"/>
      <c r="X14" s="294" t="n"/>
      <c r="Y14" s="294" t="n"/>
      <c r="Z14" s="294" t="n"/>
      <c r="AA14" s="294" t="n"/>
      <c r="AB14" s="294" t="n"/>
      <c r="AC14" s="294" t="n"/>
      <c r="AD14" s="294" t="n"/>
      <c r="AE14" s="294" t="n"/>
      <c r="AF14" s="294" t="n"/>
      <c r="AG14" s="294" t="n"/>
      <c r="AH14" s="294" t="n"/>
      <c r="AI14" s="294" t="n"/>
      <c r="AJ14" s="294" t="n"/>
      <c r="AK14" s="294" t="n"/>
      <c r="AL14" s="294" t="n"/>
      <c r="AM14" s="296" t="n"/>
    </row>
    <row r="15" ht="36" customHeight="1" s="225">
      <c r="A15" s="154" t="inlineStr">
        <is>
          <t>育児短時間勤務
又は部分休業期間</t>
        </is>
      </c>
      <c r="B15" s="307" t="n"/>
      <c r="C15" s="307" t="n"/>
      <c r="D15" s="307" t="n"/>
      <c r="E15" s="307" t="n"/>
      <c r="F15" s="307" t="n"/>
      <c r="G15" s="307" t="n"/>
      <c r="H15" s="307" t="n"/>
      <c r="I15" s="307" t="n"/>
      <c r="J15" s="308" t="n"/>
      <c r="K15" s="137" t="inlineStr">
        <is>
          <t>令和</t>
        </is>
      </c>
      <c r="L15" s="307" t="n"/>
      <c r="M15" s="309">
        <f>IF(入力!D20="","",入力!D20)</f>
        <v/>
      </c>
      <c r="N15" s="307" t="n"/>
      <c r="O15" s="139" t="inlineStr">
        <is>
          <t>年</t>
        </is>
      </c>
      <c r="P15" s="307" t="n"/>
      <c r="Q15" s="309">
        <f>IF(入力!F20="","",入力!F20)</f>
        <v/>
      </c>
      <c r="R15" s="307" t="n"/>
      <c r="S15" s="139" t="inlineStr">
        <is>
          <t>月</t>
        </is>
      </c>
      <c r="T15" s="307" t="n"/>
      <c r="U15" s="309">
        <f>IF(入力!H20="","",入力!H20)</f>
        <v/>
      </c>
      <c r="V15" s="307" t="n"/>
      <c r="W15" s="140" t="inlineStr">
        <is>
          <t>日</t>
        </is>
      </c>
      <c r="X15" s="307" t="n"/>
      <c r="Y15" s="53" t="inlineStr">
        <is>
          <t>～</t>
        </is>
      </c>
      <c r="Z15" s="138" t="inlineStr">
        <is>
          <t>令和</t>
        </is>
      </c>
      <c r="AA15" s="307" t="n"/>
      <c r="AB15" s="309">
        <f>IF(入力!D21="","",入力!D21)</f>
        <v/>
      </c>
      <c r="AC15" s="307" t="n"/>
      <c r="AD15" s="139" t="inlineStr">
        <is>
          <t>年</t>
        </is>
      </c>
      <c r="AE15" s="307" t="n"/>
      <c r="AF15" s="309">
        <f>IF(入力!F21="","",入力!F21)</f>
        <v/>
      </c>
      <c r="AG15" s="307" t="n"/>
      <c r="AH15" s="139" t="inlineStr">
        <is>
          <t>月</t>
        </is>
      </c>
      <c r="AI15" s="307" t="n"/>
      <c r="AJ15" s="309">
        <f>IF(入力!H21="","",入力!H21)</f>
        <v/>
      </c>
      <c r="AK15" s="307" t="n"/>
      <c r="AL15" s="141" t="inlineStr">
        <is>
          <t>日</t>
        </is>
      </c>
      <c r="AM15" s="308" t="n"/>
    </row>
    <row r="16" ht="36" customHeight="1" s="225">
      <c r="A16" s="154" t="inlineStr">
        <is>
          <t>育児時短勤務手当金
請求期間</t>
        </is>
      </c>
      <c r="B16" s="307" t="n"/>
      <c r="C16" s="307" t="n"/>
      <c r="D16" s="307" t="n"/>
      <c r="E16" s="307" t="n"/>
      <c r="F16" s="307" t="n"/>
      <c r="G16" s="307" t="n"/>
      <c r="H16" s="307" t="n"/>
      <c r="I16" s="307" t="n"/>
      <c r="J16" s="308" t="n"/>
      <c r="K16" s="137" t="inlineStr">
        <is>
          <t>令和</t>
        </is>
      </c>
      <c r="L16" s="307" t="n"/>
      <c r="M16" s="309">
        <f>IF(入力!D23="","",入力!D23)</f>
        <v/>
      </c>
      <c r="N16" s="307" t="n"/>
      <c r="O16" s="139" t="inlineStr">
        <is>
          <t>年</t>
        </is>
      </c>
      <c r="P16" s="307" t="n"/>
      <c r="Q16" s="309">
        <f>IF(入力!F23="","",入力!F23)</f>
        <v/>
      </c>
      <c r="R16" s="307" t="n"/>
      <c r="S16" s="139" t="inlineStr">
        <is>
          <t>月</t>
        </is>
      </c>
      <c r="T16" s="307" t="n"/>
      <c r="U16" s="309">
        <f>IF(入力!H23="","",入力!H23)</f>
        <v/>
      </c>
      <c r="V16" s="307" t="n"/>
      <c r="W16" s="140" t="inlineStr">
        <is>
          <t>日</t>
        </is>
      </c>
      <c r="X16" s="307" t="n"/>
      <c r="Y16" s="53" t="inlineStr">
        <is>
          <t>～</t>
        </is>
      </c>
      <c r="Z16" s="138" t="inlineStr">
        <is>
          <t>令和</t>
        </is>
      </c>
      <c r="AA16" s="307" t="n"/>
      <c r="AB16" s="309">
        <f>IF(入力!D24="","",入力!D24)</f>
        <v/>
      </c>
      <c r="AC16" s="307" t="n"/>
      <c r="AD16" s="139" t="inlineStr">
        <is>
          <t>年</t>
        </is>
      </c>
      <c r="AE16" s="307" t="n"/>
      <c r="AF16" s="309">
        <f>IF(入力!F24="","",入力!F24)</f>
        <v/>
      </c>
      <c r="AG16" s="307" t="n"/>
      <c r="AH16" s="139" t="inlineStr">
        <is>
          <t>月</t>
        </is>
      </c>
      <c r="AI16" s="307" t="n"/>
      <c r="AJ16" s="309">
        <f>IF(入力!H24="","",入力!H24)</f>
        <v/>
      </c>
      <c r="AK16" s="307" t="n"/>
      <c r="AL16" s="141" t="inlineStr">
        <is>
          <t>日</t>
        </is>
      </c>
      <c r="AM16" s="308" t="n"/>
    </row>
    <row r="17" ht="36" customHeight="1" s="225">
      <c r="A17" s="154" t="inlineStr">
        <is>
          <t>育児時短勤務に係る子の
名前・生年月日</t>
        </is>
      </c>
      <c r="B17" s="307" t="n"/>
      <c r="C17" s="307" t="n"/>
      <c r="D17" s="307" t="n"/>
      <c r="E17" s="307" t="n"/>
      <c r="F17" s="307" t="n"/>
      <c r="G17" s="307" t="n"/>
      <c r="H17" s="307" t="n"/>
      <c r="I17" s="307" t="n"/>
      <c r="J17" s="308" t="n"/>
      <c r="K17" s="310">
        <f>IF(入力!C25="","",入力!C25)</f>
        <v/>
      </c>
      <c r="L17" s="307" t="n"/>
      <c r="M17" s="307" t="n"/>
      <c r="N17" s="307" t="n"/>
      <c r="O17" s="307" t="n"/>
      <c r="P17" s="307" t="n"/>
      <c r="Q17" s="307" t="n"/>
      <c r="R17" s="307" t="n"/>
      <c r="S17" s="307" t="n"/>
      <c r="T17" s="308" t="n"/>
      <c r="U17" s="53" t="n"/>
      <c r="V17" s="205" t="inlineStr">
        <is>
          <t>令和</t>
        </is>
      </c>
      <c r="W17" s="307" t="n"/>
      <c r="X17" s="309">
        <f>IF(入力!D26="","",入力!D26)</f>
        <v/>
      </c>
      <c r="Y17" s="307" t="n"/>
      <c r="Z17" s="307" t="n"/>
      <c r="AA17" s="140" t="inlineStr">
        <is>
          <t>年</t>
        </is>
      </c>
      <c r="AB17" s="307" t="n"/>
      <c r="AC17" s="309">
        <f>IF(入力!F26="","",入力!F26)</f>
        <v/>
      </c>
      <c r="AD17" s="307" t="n"/>
      <c r="AE17" s="307" t="n"/>
      <c r="AF17" s="140" t="inlineStr">
        <is>
          <t>月</t>
        </is>
      </c>
      <c r="AG17" s="307" t="n"/>
      <c r="AH17" s="309">
        <f>IF(入力!H26="","",入力!H26)</f>
        <v/>
      </c>
      <c r="AI17" s="307" t="n"/>
      <c r="AJ17" s="307" t="n"/>
      <c r="AK17" s="140" t="inlineStr">
        <is>
          <t>日</t>
        </is>
      </c>
      <c r="AL17" s="307" t="n"/>
      <c r="AM17" s="55" t="n"/>
    </row>
    <row r="18" ht="36" customHeight="1" s="225">
      <c r="A18" s="311" t="inlineStr">
        <is>
          <t xml:space="preserve">☆育児時短勤務開始時の
標準報酬月額　　　　　　　　</t>
        </is>
      </c>
      <c r="B18" s="285" t="n"/>
      <c r="C18" s="285" t="n"/>
      <c r="D18" s="285" t="n"/>
      <c r="E18" s="285" t="n"/>
      <c r="F18" s="285" t="n"/>
      <c r="G18" s="285" t="n"/>
      <c r="H18" s="285" t="n"/>
      <c r="I18" s="285" t="n"/>
      <c r="J18" s="289" t="n"/>
      <c r="K18" s="312">
        <f>IF(OR(入力!C54="",入力!C55=""),"　第　　　　 級　　　　　　　　円","　第　"&amp;入力!C54&amp;"　級　　　"&amp;TEXT(入力!C55,"#,##0")&amp;"　円")</f>
        <v/>
      </c>
      <c r="L18" s="285" t="n"/>
      <c r="M18" s="285" t="n"/>
      <c r="N18" s="285" t="n"/>
      <c r="O18" s="285" t="n"/>
      <c r="P18" s="285" t="n"/>
      <c r="Q18" s="285" t="n"/>
      <c r="R18" s="285" t="n"/>
      <c r="S18" s="285" t="n"/>
      <c r="T18" s="285" t="n"/>
      <c r="U18" s="285" t="n"/>
      <c r="V18" s="285" t="n"/>
      <c r="W18" s="285" t="n"/>
      <c r="X18" s="285" t="n"/>
      <c r="Y18" s="285" t="n"/>
      <c r="Z18" s="289" t="n"/>
      <c r="AA18" s="312" t="inlineStr">
        <is>
          <t xml:space="preserve">　☆決定額　　　　　　　　円</t>
        </is>
      </c>
      <c r="AB18" s="285" t="n"/>
      <c r="AC18" s="285" t="n"/>
      <c r="AD18" s="285" t="n"/>
      <c r="AE18" s="285" t="n"/>
      <c r="AF18" s="285" t="n"/>
      <c r="AG18" s="285" t="n"/>
      <c r="AH18" s="285" t="n"/>
      <c r="AI18" s="285" t="n"/>
      <c r="AJ18" s="285" t="n"/>
      <c r="AK18" s="285" t="n"/>
      <c r="AL18" s="285" t="n"/>
      <c r="AM18" s="289" t="n"/>
    </row>
    <row r="19" ht="51" customHeight="1" s="225">
      <c r="A19" s="154" t="inlineStr">
        <is>
          <t>支給対象月に支払われた
報酬の額</t>
        </is>
      </c>
      <c r="B19" s="307" t="n"/>
      <c r="C19" s="307" t="n"/>
      <c r="D19" s="307" t="n"/>
      <c r="E19" s="307" t="n"/>
      <c r="F19" s="307" t="n"/>
      <c r="G19" s="307" t="n"/>
      <c r="H19" s="307" t="n"/>
      <c r="I19" s="307" t="n"/>
      <c r="J19" s="308" t="n"/>
      <c r="K19" s="54" t="n"/>
      <c r="L19" s="53" t="n"/>
      <c r="M19" s="53" t="n"/>
      <c r="N19" s="313">
        <f>IF(入力!C28="","",入力!C28)</f>
        <v/>
      </c>
      <c r="O19" s="307" t="n"/>
      <c r="P19" s="307" t="n"/>
      <c r="Q19" s="307" t="n"/>
      <c r="R19" s="307" t="n"/>
      <c r="S19" s="307" t="n"/>
      <c r="T19" s="307" t="n"/>
      <c r="U19" s="307" t="n"/>
      <c r="V19" s="307" t="n"/>
      <c r="W19" s="307" t="n"/>
      <c r="X19" s="307" t="n"/>
      <c r="Y19" s="202" t="inlineStr">
        <is>
          <t>円（１月当たりの通勤手当の額を含む。）</t>
        </is>
      </c>
      <c r="Z19" s="307" t="n"/>
      <c r="AA19" s="307" t="n"/>
      <c r="AB19" s="307" t="n"/>
      <c r="AC19" s="307" t="n"/>
      <c r="AD19" s="307" t="n"/>
      <c r="AE19" s="307" t="n"/>
      <c r="AF19" s="307" t="n"/>
      <c r="AG19" s="307" t="n"/>
      <c r="AH19" s="307" t="n"/>
      <c r="AI19" s="307" t="n"/>
      <c r="AJ19" s="307" t="n"/>
      <c r="AK19" s="307" t="n"/>
      <c r="AL19" s="307" t="n"/>
      <c r="AM19" s="308" t="n"/>
    </row>
    <row r="20" ht="3.75" customFormat="1" customHeight="1" s="73">
      <c r="A20" s="314" t="inlineStr">
        <is>
          <t>通勤手当に対する
特記事項</t>
        </is>
      </c>
      <c r="B20" s="285" t="n"/>
      <c r="C20" s="285" t="n"/>
      <c r="D20" s="285" t="n"/>
      <c r="E20" s="285" t="n"/>
      <c r="F20" s="285" t="n"/>
      <c r="G20" s="285" t="n"/>
      <c r="H20" s="285" t="n"/>
      <c r="I20" s="285" t="n"/>
      <c r="J20" s="289" t="n"/>
      <c r="K20" s="72" t="n"/>
      <c r="L20" s="72" t="n"/>
      <c r="M20" s="72" t="n"/>
      <c r="N20" s="72" t="n"/>
      <c r="O20" s="72" t="n"/>
      <c r="AM20" s="74" t="n"/>
    </row>
    <row r="21" ht="25.5" customFormat="1" customHeight="1" s="73">
      <c r="A21" s="292" t="n"/>
      <c r="J21" s="293" t="n"/>
      <c r="K21" s="315">
        <f>"通勤手当：" &amp; IF(入力!C29="有","（有）・ 無",IF(入力!C29="無","有 ・（無）","有 ・ 無")) &amp; "　（該当するものに〇で囲んでください。）"</f>
        <v/>
      </c>
      <c r="AM21" s="293" t="n"/>
    </row>
    <row r="22" ht="25.5" customFormat="1" customHeight="1" s="73">
      <c r="A22" s="292" t="n"/>
      <c r="J22" s="293" t="n"/>
      <c r="K22" s="75" t="inlineStr">
        <is>
          <t xml:space="preserve">１月当たりの通勤手当の額：　　　</t>
        </is>
      </c>
      <c r="L22" s="75" t="n"/>
      <c r="M22" s="75" t="n"/>
      <c r="N22" s="75" t="n"/>
      <c r="O22" s="75" t="n"/>
      <c r="P22" s="75" t="n"/>
      <c r="Q22" s="75" t="n"/>
      <c r="R22" s="75" t="n"/>
      <c r="S22" s="75" t="n"/>
      <c r="T22" s="75" t="n"/>
      <c r="U22" s="75" t="n"/>
      <c r="V22" s="75" t="n"/>
      <c r="W22" s="75" t="n"/>
      <c r="X22" s="316">
        <f>IF(入力!C30="","",入力!C30)</f>
        <v/>
      </c>
      <c r="AC22" s="75" t="inlineStr">
        <is>
          <t>円</t>
        </is>
      </c>
      <c r="AD22" s="75" t="n"/>
      <c r="AE22" s="75" t="n"/>
      <c r="AF22" s="75" t="n"/>
      <c r="AG22" s="75" t="n"/>
      <c r="AH22" s="75" t="n"/>
      <c r="AI22" s="75" t="n"/>
      <c r="AJ22" s="75" t="n"/>
      <c r="AK22" s="75" t="n"/>
      <c r="AL22" s="75" t="n"/>
      <c r="AM22" s="76" t="n"/>
    </row>
    <row r="23" ht="3" customFormat="1" customHeight="1" s="73">
      <c r="A23" s="295" t="n"/>
      <c r="B23" s="294" t="n"/>
      <c r="C23" s="294" t="n"/>
      <c r="D23" s="294" t="n"/>
      <c r="E23" s="294" t="n"/>
      <c r="F23" s="294" t="n"/>
      <c r="G23" s="294" t="n"/>
      <c r="H23" s="294" t="n"/>
      <c r="I23" s="294" t="n"/>
      <c r="J23" s="296" t="n"/>
      <c r="K23" s="317" t="n"/>
      <c r="L23" s="294" t="n"/>
      <c r="M23" s="294" t="n"/>
      <c r="N23" s="294" t="n"/>
      <c r="O23" s="294" t="n"/>
      <c r="P23" s="294" t="n"/>
      <c r="Q23" s="294" t="n"/>
      <c r="R23" s="294" t="n"/>
      <c r="S23" s="294" t="n"/>
      <c r="T23" s="294" t="n"/>
      <c r="U23" s="294" t="n"/>
      <c r="V23" s="294" t="n"/>
      <c r="W23" s="294" t="n"/>
      <c r="X23" s="294" t="n"/>
      <c r="Y23" s="294" t="n"/>
      <c r="Z23" s="294" t="n"/>
      <c r="AA23" s="294" t="n"/>
      <c r="AB23" s="294" t="n"/>
      <c r="AC23" s="294" t="n"/>
      <c r="AD23" s="294" t="n"/>
      <c r="AE23" s="294" t="n"/>
      <c r="AF23" s="294" t="n"/>
      <c r="AG23" s="294" t="n"/>
      <c r="AH23" s="294" t="n"/>
      <c r="AI23" s="294" t="n"/>
      <c r="AJ23" s="294" t="n"/>
      <c r="AK23" s="294" t="n"/>
      <c r="AL23" s="294" t="n"/>
      <c r="AM23" s="296"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93"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318">
        <f>IF(入力!D37="","",入力!D37)</f>
        <v/>
      </c>
      <c r="I27" s="56" t="inlineStr">
        <is>
          <t>年</t>
        </is>
      </c>
      <c r="J27" s="318">
        <f>IF(入力!F37="","",入力!F37)</f>
        <v/>
      </c>
      <c r="L27" s="56" t="inlineStr">
        <is>
          <t>月</t>
        </is>
      </c>
      <c r="M27" s="318">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318">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319" t="inlineStr">
        <is>
          <t>添付書類
(添付し請求者がチェック（✓）
してください。）</t>
        </is>
      </c>
      <c r="B42" s="285" t="n"/>
      <c r="C42" s="285" t="n"/>
      <c r="D42" s="285" t="n"/>
      <c r="E42" s="285" t="n"/>
      <c r="F42" s="285" t="n"/>
      <c r="G42" s="285" t="n"/>
      <c r="H42" s="285" t="n"/>
      <c r="I42" s="285" t="n"/>
      <c r="J42" s="289"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92" t="n"/>
      <c r="J43" s="293" t="n"/>
      <c r="K43" s="320">
        <f>IF(入力!C43="✓","☑","□")</f>
        <v/>
      </c>
      <c r="L43" s="88" t="inlineStr">
        <is>
          <t>育児短時間勤務承認書（写）</t>
        </is>
      </c>
      <c r="M43" s="90" t="n"/>
      <c r="N43" s="90" t="n"/>
      <c r="O43" s="90" t="n"/>
      <c r="P43" s="89" t="n"/>
      <c r="Q43" s="88" t="n"/>
      <c r="R43" s="90" t="n"/>
      <c r="S43" s="89" t="n"/>
      <c r="T43" s="88" t="n"/>
      <c r="U43" s="89" t="n"/>
      <c r="V43" s="89" t="n"/>
      <c r="W43" s="89" t="n"/>
      <c r="X43" s="59" t="n"/>
      <c r="Y43" s="321">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92" t="n"/>
      <c r="J44" s="293" t="n"/>
      <c r="K44" s="320">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92" t="n"/>
      <c r="J45" s="293" t="n"/>
      <c r="K45" s="320">
        <f>IF(入力!C45="✓","☑","□")</f>
        <v/>
      </c>
      <c r="L45" s="88" t="inlineStr">
        <is>
          <t>支給明細書（写）</t>
        </is>
      </c>
      <c r="M45" s="90" t="n"/>
      <c r="N45" s="90" t="n"/>
      <c r="O45" s="90" t="n"/>
      <c r="P45" s="89" t="n"/>
      <c r="Q45" s="88" t="n"/>
      <c r="R45" s="90" t="n"/>
      <c r="S45" s="89" t="n"/>
      <c r="T45" s="88" t="n"/>
      <c r="U45" s="89" t="n"/>
      <c r="V45" s="89" t="n"/>
      <c r="W45" s="89" t="n"/>
      <c r="X45" s="59" t="n"/>
      <c r="Y45" s="322">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92" t="n"/>
      <c r="J46" s="293" t="n"/>
      <c r="K46" s="320">
        <f>IF(入力!C46="✓","☑","□")</f>
        <v/>
      </c>
      <c r="L46" s="108" t="inlineStr">
        <is>
          <t>通勤手当が数か月分一括支給された場合、
その額のわかる支給明細書（写）</t>
        </is>
      </c>
      <c r="X46" s="62" t="n"/>
      <c r="Y46" s="322">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92" t="n"/>
      <c r="J47" s="293" t="n"/>
      <c r="K47" s="89" t="n"/>
      <c r="X47" s="62" t="n"/>
      <c r="Y47" s="322">
        <f>IF(入力!C51="✓","☑","□")</f>
        <v/>
      </c>
      <c r="Z47" s="108" t="inlineStr">
        <is>
          <t>通勤手当が数か月分一括支給された場合、
その額のわかる支給明細書（写）</t>
        </is>
      </c>
      <c r="AL47" s="108" t="n"/>
      <c r="AM47" s="62" t="n"/>
    </row>
    <row r="48" ht="11.25" customFormat="1" customHeight="1" s="29">
      <c r="A48" s="292" t="n"/>
      <c r="J48" s="293" t="n"/>
      <c r="K48" s="320">
        <f>IF(入力!C47="✓","☑","□")</f>
        <v/>
      </c>
      <c r="L48" s="107" t="inlineStr">
        <is>
          <t>母子手帳等（写）（※初回請求時のみ）</t>
        </is>
      </c>
      <c r="X48" s="68" t="n"/>
      <c r="Y48" s="87" t="n"/>
      <c r="AL48" s="107" t="n"/>
      <c r="AM48" s="68" t="n"/>
    </row>
    <row r="49" ht="11.25" customFormat="1" customHeight="1" s="29">
      <c r="A49" s="295" t="n"/>
      <c r="B49" s="294" t="n"/>
      <c r="C49" s="294" t="n"/>
      <c r="D49" s="294" t="n"/>
      <c r="E49" s="294" t="n"/>
      <c r="F49" s="294" t="n"/>
      <c r="G49" s="294" t="n"/>
      <c r="H49" s="294" t="n"/>
      <c r="I49" s="294" t="n"/>
      <c r="J49" s="296" t="n"/>
      <c r="K49" s="95" t="n"/>
      <c r="L49" s="16" t="n"/>
      <c r="M49" s="16" t="n"/>
      <c r="N49" s="16" t="n"/>
      <c r="O49" s="16" t="n"/>
      <c r="P49" s="49" t="n"/>
      <c r="Q49" s="49" t="n"/>
      <c r="R49" s="49" t="n"/>
      <c r="S49" s="49" t="n"/>
      <c r="T49" s="49" t="n"/>
      <c r="U49" s="49" t="n"/>
      <c r="V49" s="49" t="n"/>
      <c r="W49" s="49" t="n"/>
      <c r="X49" s="50" t="n"/>
      <c r="Y49" s="323">
        <f>IF(入力!C52="✓","☑","□")</f>
        <v/>
      </c>
      <c r="Z49" s="109" t="inlineStr">
        <is>
          <t>母子手帳等（写）（※初回請求時のみ）</t>
        </is>
      </c>
      <c r="AA49" s="294" t="n"/>
      <c r="AB49" s="294" t="n"/>
      <c r="AC49" s="294" t="n"/>
      <c r="AD49" s="294" t="n"/>
      <c r="AE49" s="294" t="n"/>
      <c r="AF49" s="294" t="n"/>
      <c r="AG49" s="294" t="n"/>
      <c r="AH49" s="294" t="n"/>
      <c r="AI49" s="294" t="n"/>
      <c r="AJ49" s="294" t="n"/>
      <c r="AK49" s="294"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324">
        <f>IF(COUNTIF(入力!K6:K57,"✕*")&gt;0,"※入力エラーがあります。入力シートを直してから印刷してください（このまま提出しないでください）","")</f>
        <v/>
      </c>
    </row>
  </sheetData>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6.xml><?xml version="1.0" encoding="utf-8"?>
<worksheet xmlns="http://schemas.openxmlformats.org/spreadsheetml/2006/main">
  <sheetPr>
    <outlinePr summaryBelow="1" summaryRight="1"/>
    <pageSetUpPr/>
  </sheetPr>
  <dimension ref="A1:V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 width="14" customWidth="1" style="225" min="21" max="21"/>
    <col width="14" customWidth="1" style="225" min="22" max="22"/>
  </cols>
  <sheetData>
    <row r="1">
      <c r="A1" s="325" t="inlineStr">
        <is>
          <t>職員番号</t>
        </is>
      </c>
      <c r="B1" s="325" t="inlineStr">
        <is>
          <t>対象年(令和)</t>
        </is>
      </c>
      <c r="C1" s="325" t="inlineStr">
        <is>
          <t>対象月</t>
        </is>
      </c>
      <c r="D1" s="325" t="inlineStr">
        <is>
          <t>報酬額</t>
        </is>
      </c>
      <c r="E1" s="325" t="inlineStr">
        <is>
          <t>通勤手当有無</t>
        </is>
      </c>
      <c r="F1" s="325" t="inlineStr">
        <is>
          <t>通勤手当月額</t>
        </is>
      </c>
      <c r="G1" s="325" t="inlineStr">
        <is>
          <t>氏名</t>
        </is>
      </c>
      <c r="H1" s="325" t="inlineStr">
        <is>
          <t>組合員記号</t>
        </is>
      </c>
      <c r="I1" s="325" t="inlineStr">
        <is>
          <t>組合員番号</t>
        </is>
      </c>
      <c r="J1" s="325" t="inlineStr">
        <is>
          <t>勤務区分</t>
        </is>
      </c>
      <c r="K1" s="325" t="inlineStr">
        <is>
          <t>時短開始日</t>
        </is>
      </c>
      <c r="L1" s="325" t="inlineStr">
        <is>
          <t>時短終了日</t>
        </is>
      </c>
      <c r="M1" s="325" t="inlineStr">
        <is>
          <t>請求期間開始</t>
        </is>
      </c>
      <c r="N1" s="325" t="inlineStr">
        <is>
          <t>請求期間終了</t>
        </is>
      </c>
      <c r="O1" s="325" t="inlineStr">
        <is>
          <t>子の氏名</t>
        </is>
      </c>
      <c r="P1" s="325" t="inlineStr">
        <is>
          <t>子の生年月日</t>
        </is>
      </c>
      <c r="Q1" s="325" t="inlineStr">
        <is>
          <t>所属名称</t>
        </is>
      </c>
      <c r="R1" s="325" t="inlineStr">
        <is>
          <t>請求日</t>
        </is>
      </c>
      <c r="S1" s="325" t="inlineStr">
        <is>
          <t>初回請求</t>
        </is>
      </c>
      <c r="T1" s="325" t="inlineStr">
        <is>
          <t>入力エラー件数</t>
        </is>
      </c>
      <c r="U1" s="325" t="inlineStr">
        <is>
          <t>標準報酬等級</t>
        </is>
      </c>
      <c r="V1" s="325" t="inlineStr">
        <is>
          <t>標準報酬月額</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326">
        <f>IF(入力!N20="","",入力!N20)</f>
        <v/>
      </c>
      <c r="L2" s="326">
        <f>IF(入力!N21="","",入力!N21)</f>
        <v/>
      </c>
      <c r="M2" s="326">
        <f>IF(入力!N23="","",入力!N23)</f>
        <v/>
      </c>
      <c r="N2" s="326">
        <f>IF(入力!N24="","",入力!N24)</f>
        <v/>
      </c>
      <c r="O2">
        <f>IF(入力!C25="","",入力!C25)</f>
        <v/>
      </c>
      <c r="P2" s="326">
        <f>IF(入力!N26="","",入力!N26)</f>
        <v/>
      </c>
      <c r="Q2">
        <f>IF(入力!C15="","",入力!C15)</f>
        <v/>
      </c>
      <c r="R2" s="326">
        <f>IF(入力!N37="","",入力!N37)</f>
        <v/>
      </c>
      <c r="S2">
        <f>IF(入力!C19="","",入力!C19)</f>
        <v/>
      </c>
      <c r="T2">
        <f>COUNTIF(入力!K6:K57,"✕*")</f>
        <v/>
      </c>
      <c r="U2">
        <f>IF(入力!C54="","",入力!C54)</f>
        <v/>
      </c>
      <c r="V2">
        <f>IF(入力!C55="","",入力!C55)</f>
        <v/>
      </c>
    </row>
    <row r="4">
      <c r="A4" s="327" t="inlineStr">
        <is>
          <t>【共済組合の方へ】2行目（A2:V2）をコピーし、管理台帳の「請求記録」へ『値のみ貼り付け』してください（職員の方は触らないでください）。</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2026-10-23T02:46:27Z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