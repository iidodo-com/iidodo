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1">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8"/>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3. 日付は「令和」の年・月・日を数字で入力します（例：令和8年4月 → 年に8、月に4）。請求期間は自動で計算されます。請求日は［請求日を今日に］ボタンで入ります。</t>
        </is>
      </c>
    </row>
    <row r="9">
      <c r="B9" s="229" t="inlineStr">
        <is>
          <t>4. 最上段が緑色（✓）になったら提出します。提出方法は次の2通りです。</t>
        </is>
      </c>
    </row>
    <row r="10">
      <c r="B10" s="229" t="inlineStr">
        <is>
          <t xml:space="preserve">　(A) 紙で提出：［請求書を印刷］→ 所属機関の長の確認欄に記入・押印 → 添付書類の写しを添えて庶務担当経由で提出</t>
        </is>
      </c>
    </row>
    <row r="11">
      <c r="B11" s="229" t="inlineStr">
        <is>
          <t xml:space="preserve">　(B) メールで提出：［共済組合へメール送信］→ Outlookの下書きが開きます（宛先 fukuri@city.hiroshima.lg.jp／請求書データ(Excel)と請求書PDFが添付済み）</t>
        </is>
      </c>
    </row>
    <row r="12">
      <c r="B12" s="229" t="inlineStr">
        <is>
          <t xml:space="preserve">　　→ 承認書・出勤簿・支給明細書などの写し（スキャン等）を追加し、内容を確認して［送信］。</t>
        </is>
      </c>
    </row>
    <row r="13">
      <c r="B13" s="229" t="inlineStr">
        <is>
          <t xml:space="preserve">　　※Outlookが使えない場合は、保存先フォルダが開くので、2ファイルをメールに添付して送ってください。</t>
        </is>
      </c>
    </row>
    <row r="14">
      <c r="B14" s="227" t="inlineStr"/>
    </row>
    <row r="15">
      <c r="B15" s="228" t="inlineStr">
        <is>
          <t>■ ボタン一覧（「入力」シート上部）</t>
        </is>
      </c>
    </row>
    <row r="16">
      <c r="B16" s="229" t="inlineStr">
        <is>
          <t>［請求書を印刷］入力エラーがなければ「請求書(表)」「請求書(裏)」を続けて印刷。エラーがあるときは印刷せず、直す項目を表示します。</t>
        </is>
      </c>
    </row>
    <row r="17">
      <c r="B17" s="229" t="inlineStr">
        <is>
          <t>［翌月分用にクリア］対象月・報酬額・通勤手当（月額）・請求日・添付書類のチェックだけを消します（氏名・所属・子の情報などは残ります）。毎月、このファイルを使い回せます。</t>
        </is>
      </c>
    </row>
    <row r="18">
      <c r="B18" s="229" t="inlineStr">
        <is>
          <t>［請求日を今日に］請求日に今日の日付を入れます。</t>
        </is>
      </c>
    </row>
    <row r="19">
      <c r="B19" s="229" t="inlineStr">
        <is>
          <t>［共済組合へメール送信］上記(B)のとおり。エラーが残っている間は送信できません。送信は自動ではなく、必ず内容を確認してから［送信］を押す仕組みです。</t>
        </is>
      </c>
    </row>
    <row r="20">
      <c r="B20" s="229" t="inlineStr">
        <is>
          <t>※［ファイル→印刷］で請求書シートを印刷した場合も、エラーが残っていれば印刷を止めます。</t>
        </is>
      </c>
    </row>
    <row r="21">
      <c r="B21" s="229" t="inlineStr">
        <is>
          <t>※☆の項目（個人番号・標準報酬月額・決定額）と所属機関の長の氏名等は入力不要です。</t>
        </is>
      </c>
    </row>
    <row r="22">
      <c r="B22" s="227" t="inlineStr"/>
    </row>
    <row r="23">
      <c r="B23" s="228" t="inlineStr">
        <is>
          <t>■ 共済組合の方</t>
        </is>
      </c>
    </row>
    <row r="24">
      <c r="B24" s="229" t="inlineStr">
        <is>
          <t>・メールで届いた申請書(Excel)を1つのフォルダに保存し、管理台帳の［フォルダ内の申請書を一括取込］を押すと請求記録に取り込めます。</t>
        </is>
      </c>
    </row>
    <row r="25">
      <c r="B25" s="229" t="inlineStr">
        <is>
          <t>・請求期間の始期は『勤務開始日が月の途中ならその日から』で自動計算しています（運用が異なる場合は計算式の変更が必要です）。</t>
        </is>
      </c>
    </row>
    <row r="26">
      <c r="B26" s="227" t="inlineStr"/>
    </row>
    <row r="27">
      <c r="B27" s="228" t="inlineStr">
        <is>
          <t>■ 動作環境</t>
        </is>
      </c>
    </row>
    <row r="28">
      <c r="B28"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2"/>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IF(COUNTIF(K6:K52,"✕*")&gt;0,"✕ 入力エラーが "&amp;COUNTIF(K6:K52,"✕*")&amp;" 件あります。赤い項目を直してください。",IF(COUNTIF(K6:K52,"△*")&gt;0,"△ エラーはありません。注意が "&amp;COUNTIF(K6:K52,"△*")&amp;"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✓（緑）になれば正しく入力できています。✕（赤）は必ず直してください。☆の項目（標準報酬月額・決定額・個人番号）は共済組合が記入するので入力不要です。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IF(N23="","",IF(AND(N24&lt;&gt;"",N24&lt;N23),IF(OR(O7&lt;N20,N7&gt;N21),"✕ 請求対象月が、勤務期間（開始日〜終了日）の外です。対象月か勤務期間を確認してください","✕ 請求期間がありません。子が2歳に達している、または特別事由の開始日を確認してください"),"✓"))</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上の「請求期間（開始）」のエラーを直してください","✓"))</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sheetData>
  <sheetProtection selectLockedCells="0" selectUnlockedCells="0" sheet="1" objects="0" insertRows="1" insertHyperlinks="1" autoFilter="1" scenarios="0" formatColumns="0" deleteColumns="1" insertColumns="1" pivotTables="1" deleteRows="1" formatCells="1" formatRows="1" sort="1"/>
  <mergeCells count="42">
    <mergeCell ref="C34:D34"/>
    <mergeCell ref="F9:I9"/>
    <mergeCell ref="C33:D33"/>
    <mergeCell ref="C39:I39"/>
    <mergeCell ref="B3:L3"/>
    <mergeCell ref="C45:D45"/>
    <mergeCell ref="C38:I38"/>
    <mergeCell ref="B27:L27"/>
    <mergeCell ref="C19:I19"/>
    <mergeCell ref="C29:D29"/>
    <mergeCell ref="C18:I18"/>
    <mergeCell ref="C47:D47"/>
    <mergeCell ref="B2:L2"/>
    <mergeCell ref="C50:D50"/>
    <mergeCell ref="C44:D44"/>
    <mergeCell ref="C6:I6"/>
    <mergeCell ref="B42:L42"/>
    <mergeCell ref="C9:D9"/>
    <mergeCell ref="C15:I15"/>
    <mergeCell ref="B14:L14"/>
    <mergeCell ref="B17:L17"/>
    <mergeCell ref="B8:L8"/>
    <mergeCell ref="C43:D43"/>
    <mergeCell ref="C12:D12"/>
    <mergeCell ref="C32:H32"/>
    <mergeCell ref="C46:D46"/>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2">
    <cfRule type="expression" priority="1" dxfId="0">
      <formula>LEFT($K6,1)="✕"</formula>
    </cfRule>
  </conditionalFormatting>
  <conditionalFormatting sqref="K6:K52">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2">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6" t="n"/>
      <c r="AJ1" s="246" t="n"/>
      <c r="AK1" s="246" t="n"/>
      <c r="AL1" s="246" t="n"/>
      <c r="AM1" s="246" t="n"/>
    </row>
    <row r="2" ht="15" customHeight="1" s="225">
      <c r="V2" s="247" t="inlineStr">
        <is>
          <t>令和</t>
        </is>
      </c>
      <c r="W2" s="248" t="n"/>
      <c r="X2" s="249">
        <f>IF(入力!D7="","",入力!D7)</f>
        <v/>
      </c>
      <c r="Y2" s="248" t="n"/>
      <c r="Z2" s="248" t="n"/>
      <c r="AA2" s="250" t="inlineStr">
        <is>
          <t>年</t>
        </is>
      </c>
      <c r="AB2" s="248" t="n"/>
      <c r="AC2" s="249">
        <f>IF(入力!F7="","",入力!F7)</f>
        <v/>
      </c>
      <c r="AD2" s="248" t="n"/>
      <c r="AE2" s="248" t="n"/>
      <c r="AF2" s="251" t="inlineStr">
        <is>
          <t>月分</t>
        </is>
      </c>
      <c r="AG2" s="252" t="n"/>
      <c r="AH2" s="179" t="inlineStr">
        <is>
          <t>共済組合記入欄</t>
        </is>
      </c>
      <c r="AI2" s="253" t="n"/>
      <c r="AJ2" s="253" t="n"/>
      <c r="AK2" s="253" t="n"/>
      <c r="AL2" s="253" t="n"/>
      <c r="AM2" s="254" t="n"/>
    </row>
    <row r="3" ht="15" customHeight="1" s="225">
      <c r="V3" s="255" t="n"/>
      <c r="AG3" s="256" t="n"/>
      <c r="AH3" s="2" t="inlineStr">
        <is>
          <t>基幹</t>
        </is>
      </c>
      <c r="AI3" s="2" t="n"/>
      <c r="AJ3" s="3" t="n"/>
      <c r="AK3" s="3" t="n"/>
      <c r="AL3" s="3" t="n"/>
      <c r="AM3" s="4" t="n"/>
    </row>
    <row r="4" ht="15" customHeight="1" s="225">
      <c r="A4" s="257" t="n"/>
      <c r="B4" s="257" t="n"/>
      <c r="C4" s="257" t="n"/>
      <c r="D4" s="257" t="n"/>
      <c r="E4" s="257" t="n"/>
      <c r="F4" s="257" t="n"/>
      <c r="G4" s="257" t="n"/>
      <c r="H4" s="257" t="n"/>
      <c r="I4" s="257" t="n"/>
      <c r="J4" s="257" t="n"/>
      <c r="K4" s="257" t="n"/>
      <c r="L4" s="257" t="n"/>
      <c r="M4" s="257" t="n"/>
      <c r="N4" s="257" t="n"/>
      <c r="O4" s="257" t="n"/>
      <c r="P4" s="257" t="n"/>
      <c r="Q4" s="257" t="n"/>
      <c r="R4" s="257" t="n"/>
      <c r="S4" s="257" t="n"/>
      <c r="T4" s="257" t="n"/>
      <c r="U4" s="257" t="n"/>
      <c r="V4" s="258" t="n"/>
      <c r="W4" s="257" t="n"/>
      <c r="X4" s="257" t="n"/>
      <c r="Y4" s="257" t="n"/>
      <c r="Z4" s="257" t="n"/>
      <c r="AA4" s="257" t="n"/>
      <c r="AB4" s="257" t="n"/>
      <c r="AC4" s="257" t="n"/>
      <c r="AD4" s="257" t="n"/>
      <c r="AE4" s="257" t="n"/>
      <c r="AF4" s="257" t="n"/>
      <c r="AG4" s="259"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48" t="n"/>
      <c r="Y5" s="248" t="n"/>
      <c r="Z5" s="248" t="n"/>
      <c r="AA5" s="252"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6" t="n"/>
      <c r="AB6" s="260">
        <f>IF(入力!C9="","",入力!C9)</f>
        <v/>
      </c>
      <c r="AE6" s="148" t="inlineStr">
        <is>
          <t>―</t>
        </is>
      </c>
      <c r="AF6" s="261">
        <f>IF(入力!F9="","",入力!F9)</f>
        <v/>
      </c>
      <c r="AM6" s="256" t="n"/>
    </row>
    <row r="7" ht="18.75" customHeight="1" s="225">
      <c r="A7" s="185" t="inlineStr">
        <is>
          <t>組合員氏名</t>
        </is>
      </c>
      <c r="H7" s="11" t="n"/>
      <c r="I7" s="208">
        <f>IF(入力!C11="","",入力!C11)</f>
        <v/>
      </c>
      <c r="R7" s="71" t="n"/>
      <c r="S7" s="71" t="n"/>
      <c r="T7" s="71" t="n"/>
      <c r="U7" s="71" t="n"/>
      <c r="V7" s="48" t="n"/>
      <c r="AA7" s="256" t="n"/>
      <c r="AB7" s="255" t="n"/>
      <c r="AM7" s="256" t="n"/>
    </row>
    <row r="8" ht="18.75" customHeight="1" s="225">
      <c r="A8" s="255" t="n"/>
      <c r="H8" s="11" t="n"/>
      <c r="I8" s="257" t="n"/>
      <c r="J8" s="257" t="n"/>
      <c r="K8" s="257" t="n"/>
      <c r="L8" s="257" t="n"/>
      <c r="M8" s="257" t="n"/>
      <c r="N8" s="257" t="n"/>
      <c r="O8" s="257" t="n"/>
      <c r="P8" s="257" t="n"/>
      <c r="Q8" s="257" t="n"/>
      <c r="R8" s="262">
        <f>IF(入力!C12="女","（女）・ 男",IF(入力!C12="男","女 ・（男）","女 ・ 男"))</f>
        <v/>
      </c>
      <c r="V8" s="48" t="n"/>
      <c r="AA8" s="256" t="n"/>
      <c r="AB8" s="258" t="n"/>
      <c r="AC8" s="257" t="n"/>
      <c r="AD8" s="257" t="n"/>
      <c r="AE8" s="257" t="n"/>
      <c r="AF8" s="257" t="n"/>
      <c r="AG8" s="257" t="n"/>
      <c r="AH8" s="257" t="n"/>
      <c r="AI8" s="257" t="n"/>
      <c r="AJ8" s="257" t="n"/>
      <c r="AK8" s="257" t="n"/>
      <c r="AL8" s="257" t="n"/>
      <c r="AM8" s="259" t="n"/>
    </row>
    <row r="9" ht="18.75" customHeight="1" s="225">
      <c r="A9" s="154" t="inlineStr">
        <is>
          <t>生 年 月 日</t>
        </is>
      </c>
      <c r="B9" s="248" t="n"/>
      <c r="C9" s="248" t="n"/>
      <c r="D9" s="248" t="n"/>
      <c r="E9" s="248" t="n"/>
      <c r="F9" s="248" t="n"/>
      <c r="G9" s="252" t="n"/>
      <c r="H9" s="263">
        <f>IF(入力!C13="昭和","（Ｓ）・ Ｈ",IF(入力!C13="平成","Ｓ ・（Ｈ）","Ｓ ・ Ｈ"))</f>
        <v/>
      </c>
      <c r="I9" s="248" t="n"/>
      <c r="J9" s="248" t="n"/>
      <c r="K9" s="248" t="n"/>
      <c r="L9" s="264">
        <f>IF(入力!D13="","",入力!D13)</f>
        <v/>
      </c>
      <c r="M9" s="248" t="n"/>
      <c r="N9" s="140" t="inlineStr">
        <is>
          <t>年</t>
        </is>
      </c>
      <c r="O9" s="264">
        <f>IF(入力!F13="","",入力!F13)</f>
        <v/>
      </c>
      <c r="P9" s="248" t="n"/>
      <c r="Q9" s="265" t="inlineStr">
        <is>
          <t>月</t>
        </is>
      </c>
      <c r="R9" s="264">
        <f>IF(入力!H13="","",入力!H13)</f>
        <v/>
      </c>
      <c r="S9" s="248" t="n"/>
      <c r="T9" s="265" t="inlineStr">
        <is>
          <t>日</t>
        </is>
      </c>
      <c r="U9" s="9" t="n"/>
      <c r="V9" s="12" t="n"/>
      <c r="W9" s="266" t="inlineStr">
        <is>
          <t>☆個人番号</t>
        </is>
      </c>
      <c r="X9" s="248" t="n"/>
      <c r="Y9" s="248" t="n"/>
      <c r="Z9" s="248" t="n"/>
      <c r="AA9" s="252" t="n"/>
      <c r="AB9" s="13" t="n"/>
      <c r="AC9" s="14" t="n"/>
      <c r="AD9" s="14" t="n"/>
      <c r="AE9" s="14" t="n"/>
      <c r="AF9" s="14" t="n"/>
      <c r="AG9" s="14" t="n"/>
      <c r="AH9" s="14" t="n"/>
      <c r="AI9" s="14" t="n"/>
      <c r="AJ9" s="14" t="n"/>
      <c r="AK9" s="14" t="n"/>
      <c r="AL9" s="14" t="n"/>
      <c r="AM9" s="15" t="n"/>
    </row>
    <row r="10" ht="18.75" customHeight="1" s="225">
      <c r="A10" s="258" t="n"/>
      <c r="B10" s="257" t="n"/>
      <c r="C10" s="257" t="n"/>
      <c r="D10" s="257" t="n"/>
      <c r="E10" s="257" t="n"/>
      <c r="F10" s="257" t="n"/>
      <c r="G10" s="259" t="n"/>
      <c r="H10" s="258" t="n"/>
      <c r="I10" s="257" t="n"/>
      <c r="J10" s="257" t="n"/>
      <c r="K10" s="257" t="n"/>
      <c r="L10" s="257" t="n"/>
      <c r="M10" s="257" t="n"/>
      <c r="N10" s="257" t="n"/>
      <c r="O10" s="257" t="n"/>
      <c r="P10" s="257" t="n"/>
      <c r="Q10" s="257" t="n"/>
      <c r="R10" s="257" t="n"/>
      <c r="S10" s="257" t="n"/>
      <c r="T10" s="257" t="n"/>
      <c r="U10" s="16" t="n"/>
      <c r="V10" s="17" t="n"/>
      <c r="W10" s="267" t="inlineStr">
        <is>
          <t>（ﾏｲﾅﾝﾊﾞｰ）</t>
        </is>
      </c>
      <c r="X10" s="257" t="n"/>
      <c r="Y10" s="257" t="n"/>
      <c r="Z10" s="257" t="n"/>
      <c r="AA10" s="259" t="n"/>
      <c r="AB10" s="18" t="n"/>
      <c r="AC10" s="19" t="n"/>
      <c r="AD10" s="19" t="n"/>
      <c r="AE10" s="19" t="n"/>
      <c r="AF10" s="19" t="n"/>
      <c r="AG10" s="19" t="n"/>
      <c r="AH10" s="19" t="n"/>
      <c r="AI10" s="19" t="n"/>
      <c r="AJ10" s="19" t="n"/>
      <c r="AK10" s="19" t="n"/>
      <c r="AL10" s="19" t="n"/>
      <c r="AM10" s="20" t="n"/>
    </row>
    <row r="11" ht="15.75" customHeight="1" s="225">
      <c r="A11" s="153" t="inlineStr">
        <is>
          <t>所属機関</t>
        </is>
      </c>
      <c r="G11" s="256" t="n"/>
      <c r="H11" s="155" t="inlineStr">
        <is>
          <t>名　称</t>
        </is>
      </c>
      <c r="J11" s="256" t="n"/>
      <c r="K11" s="268">
        <f>IF(入力!C15="","",入力!C15)</f>
        <v/>
      </c>
      <c r="AM11" s="256" t="n"/>
    </row>
    <row r="12" ht="15.75" customHeight="1" s="225">
      <c r="A12" s="255" t="n"/>
      <c r="G12" s="256" t="n"/>
      <c r="H12" s="258" t="n"/>
      <c r="I12" s="257" t="n"/>
      <c r="J12" s="259" t="n"/>
      <c r="K12" s="258" t="n"/>
      <c r="L12" s="257" t="n"/>
      <c r="M12" s="257" t="n"/>
      <c r="N12" s="257" t="n"/>
      <c r="O12" s="257" t="n"/>
      <c r="P12" s="257" t="n"/>
      <c r="Q12" s="257" t="n"/>
      <c r="R12" s="257" t="n"/>
      <c r="S12" s="257" t="n"/>
      <c r="T12" s="257" t="n"/>
      <c r="U12" s="257" t="n"/>
      <c r="V12" s="257" t="n"/>
      <c r="W12" s="257" t="n"/>
      <c r="X12" s="257" t="n"/>
      <c r="Y12" s="257" t="n"/>
      <c r="Z12" s="257" t="n"/>
      <c r="AA12" s="257" t="n"/>
      <c r="AB12" s="257" t="n"/>
      <c r="AC12" s="257" t="n"/>
      <c r="AD12" s="257" t="n"/>
      <c r="AE12" s="257" t="n"/>
      <c r="AF12" s="257" t="n"/>
      <c r="AG12" s="257" t="n"/>
      <c r="AH12" s="257" t="n"/>
      <c r="AI12" s="257" t="n"/>
      <c r="AJ12" s="257" t="n"/>
      <c r="AK12" s="257" t="n"/>
      <c r="AL12" s="257" t="n"/>
      <c r="AM12" s="259" t="n"/>
    </row>
    <row r="13" ht="15.75" customHeight="1" s="225">
      <c r="A13" s="255" t="n"/>
      <c r="G13" s="256" t="n"/>
      <c r="H13" s="156" t="inlineStr">
        <is>
          <t>所在地</t>
        </is>
      </c>
      <c r="I13" s="248" t="n"/>
      <c r="J13" s="252" t="n"/>
      <c r="K13" s="269">
        <f>IF(入力!C16="","",入力!C16)</f>
        <v/>
      </c>
      <c r="L13" s="248" t="n"/>
      <c r="M13" s="248" t="n"/>
      <c r="N13" s="248" t="n"/>
      <c r="O13" s="248" t="n"/>
      <c r="P13" s="248" t="n"/>
      <c r="Q13" s="248" t="n"/>
      <c r="R13" s="248" t="n"/>
      <c r="S13" s="248" t="n"/>
      <c r="T13" s="248" t="n"/>
      <c r="U13" s="248" t="n"/>
      <c r="V13" s="248" t="n"/>
      <c r="W13" s="248" t="n"/>
      <c r="X13" s="248" t="n"/>
      <c r="Y13" s="248" t="n"/>
      <c r="Z13" s="248" t="n"/>
      <c r="AA13" s="248" t="n"/>
      <c r="AB13" s="248" t="n"/>
      <c r="AC13" s="248" t="n"/>
      <c r="AD13" s="248" t="n"/>
      <c r="AE13" s="248" t="n"/>
      <c r="AF13" s="248" t="n"/>
      <c r="AG13" s="248" t="n"/>
      <c r="AH13" s="248" t="n"/>
      <c r="AI13" s="248" t="n"/>
      <c r="AJ13" s="248" t="n"/>
      <c r="AK13" s="248" t="n"/>
      <c r="AL13" s="248" t="n"/>
      <c r="AM13" s="252" t="n"/>
    </row>
    <row r="14" ht="15.75" customHeight="1" s="225">
      <c r="A14" s="258" t="n"/>
      <c r="B14" s="257" t="n"/>
      <c r="C14" s="257" t="n"/>
      <c r="D14" s="257" t="n"/>
      <c r="E14" s="257" t="n"/>
      <c r="F14" s="257" t="n"/>
      <c r="G14" s="259" t="n"/>
      <c r="H14" s="258" t="n"/>
      <c r="I14" s="257" t="n"/>
      <c r="J14" s="259" t="n"/>
      <c r="K14" s="257" t="n"/>
      <c r="L14" s="257" t="n"/>
      <c r="M14" s="257" t="n"/>
      <c r="N14" s="257" t="n"/>
      <c r="O14" s="257" t="n"/>
      <c r="P14" s="257" t="n"/>
      <c r="Q14" s="257" t="n"/>
      <c r="R14" s="257" t="n"/>
      <c r="S14" s="257" t="n"/>
      <c r="T14" s="257" t="n"/>
      <c r="U14" s="257" t="n"/>
      <c r="V14" s="257" t="n"/>
      <c r="W14" s="257" t="n"/>
      <c r="X14" s="257" t="n"/>
      <c r="Y14" s="257" t="n"/>
      <c r="Z14" s="257" t="n"/>
      <c r="AA14" s="257" t="n"/>
      <c r="AB14" s="257" t="n"/>
      <c r="AC14" s="257" t="n"/>
      <c r="AD14" s="257" t="n"/>
      <c r="AE14" s="257" t="n"/>
      <c r="AF14" s="257" t="n"/>
      <c r="AG14" s="257" t="n"/>
      <c r="AH14" s="257" t="n"/>
      <c r="AI14" s="257" t="n"/>
      <c r="AJ14" s="257" t="n"/>
      <c r="AK14" s="257" t="n"/>
      <c r="AL14" s="257" t="n"/>
      <c r="AM14" s="259" t="n"/>
    </row>
    <row r="15" ht="36" customHeight="1" s="225">
      <c r="A15" s="154" t="inlineStr">
        <is>
          <t>育児短時間勤務
又は部分休業期間</t>
        </is>
      </c>
      <c r="B15" s="270" t="n"/>
      <c r="C15" s="270" t="n"/>
      <c r="D15" s="270" t="n"/>
      <c r="E15" s="270" t="n"/>
      <c r="F15" s="270" t="n"/>
      <c r="G15" s="270" t="n"/>
      <c r="H15" s="270" t="n"/>
      <c r="I15" s="270" t="n"/>
      <c r="J15" s="271" t="n"/>
      <c r="K15" s="137" t="inlineStr">
        <is>
          <t>令和</t>
        </is>
      </c>
      <c r="L15" s="270" t="n"/>
      <c r="M15" s="272">
        <f>IF(入力!D20="","",入力!D20)</f>
        <v/>
      </c>
      <c r="N15" s="270" t="n"/>
      <c r="O15" s="139" t="inlineStr">
        <is>
          <t>年</t>
        </is>
      </c>
      <c r="P15" s="270" t="n"/>
      <c r="Q15" s="272">
        <f>IF(入力!F20="","",入力!F20)</f>
        <v/>
      </c>
      <c r="R15" s="270" t="n"/>
      <c r="S15" s="139" t="inlineStr">
        <is>
          <t>月</t>
        </is>
      </c>
      <c r="T15" s="270" t="n"/>
      <c r="U15" s="272">
        <f>IF(入力!H20="","",入力!H20)</f>
        <v/>
      </c>
      <c r="V15" s="270" t="n"/>
      <c r="W15" s="140" t="inlineStr">
        <is>
          <t>日</t>
        </is>
      </c>
      <c r="X15" s="270" t="n"/>
      <c r="Y15" s="53" t="inlineStr">
        <is>
          <t>～</t>
        </is>
      </c>
      <c r="Z15" s="138" t="inlineStr">
        <is>
          <t>令和</t>
        </is>
      </c>
      <c r="AA15" s="270" t="n"/>
      <c r="AB15" s="272">
        <f>IF(入力!D21="","",入力!D21)</f>
        <v/>
      </c>
      <c r="AC15" s="270" t="n"/>
      <c r="AD15" s="139" t="inlineStr">
        <is>
          <t>年</t>
        </is>
      </c>
      <c r="AE15" s="270" t="n"/>
      <c r="AF15" s="272">
        <f>IF(入力!F21="","",入力!F21)</f>
        <v/>
      </c>
      <c r="AG15" s="270" t="n"/>
      <c r="AH15" s="139" t="inlineStr">
        <is>
          <t>月</t>
        </is>
      </c>
      <c r="AI15" s="270" t="n"/>
      <c r="AJ15" s="272">
        <f>IF(入力!H21="","",入力!H21)</f>
        <v/>
      </c>
      <c r="AK15" s="270" t="n"/>
      <c r="AL15" s="141" t="inlineStr">
        <is>
          <t>日</t>
        </is>
      </c>
      <c r="AM15" s="271" t="n"/>
    </row>
    <row r="16" ht="36" customHeight="1" s="225">
      <c r="A16" s="154" t="inlineStr">
        <is>
          <t>育児時短勤務手当金
請求期間</t>
        </is>
      </c>
      <c r="B16" s="270" t="n"/>
      <c r="C16" s="270" t="n"/>
      <c r="D16" s="270" t="n"/>
      <c r="E16" s="270" t="n"/>
      <c r="F16" s="270" t="n"/>
      <c r="G16" s="270" t="n"/>
      <c r="H16" s="270" t="n"/>
      <c r="I16" s="270" t="n"/>
      <c r="J16" s="271" t="n"/>
      <c r="K16" s="137" t="inlineStr">
        <is>
          <t>令和</t>
        </is>
      </c>
      <c r="L16" s="270" t="n"/>
      <c r="M16" s="272">
        <f>IF(入力!D23="","",入力!D23)</f>
        <v/>
      </c>
      <c r="N16" s="270" t="n"/>
      <c r="O16" s="139" t="inlineStr">
        <is>
          <t>年</t>
        </is>
      </c>
      <c r="P16" s="270" t="n"/>
      <c r="Q16" s="272">
        <f>IF(入力!F23="","",入力!F23)</f>
        <v/>
      </c>
      <c r="R16" s="270" t="n"/>
      <c r="S16" s="139" t="inlineStr">
        <is>
          <t>月</t>
        </is>
      </c>
      <c r="T16" s="270" t="n"/>
      <c r="U16" s="272">
        <f>IF(入力!H23="","",入力!H23)</f>
        <v/>
      </c>
      <c r="V16" s="270" t="n"/>
      <c r="W16" s="140" t="inlineStr">
        <is>
          <t>日</t>
        </is>
      </c>
      <c r="X16" s="270" t="n"/>
      <c r="Y16" s="53" t="inlineStr">
        <is>
          <t>～</t>
        </is>
      </c>
      <c r="Z16" s="138" t="inlineStr">
        <is>
          <t>令和</t>
        </is>
      </c>
      <c r="AA16" s="270" t="n"/>
      <c r="AB16" s="272">
        <f>IF(入力!D24="","",入力!D24)</f>
        <v/>
      </c>
      <c r="AC16" s="270" t="n"/>
      <c r="AD16" s="139" t="inlineStr">
        <is>
          <t>年</t>
        </is>
      </c>
      <c r="AE16" s="270" t="n"/>
      <c r="AF16" s="272">
        <f>IF(入力!F24="","",入力!F24)</f>
        <v/>
      </c>
      <c r="AG16" s="270" t="n"/>
      <c r="AH16" s="139" t="inlineStr">
        <is>
          <t>月</t>
        </is>
      </c>
      <c r="AI16" s="270" t="n"/>
      <c r="AJ16" s="272">
        <f>IF(入力!H24="","",入力!H24)</f>
        <v/>
      </c>
      <c r="AK16" s="270" t="n"/>
      <c r="AL16" s="141" t="inlineStr">
        <is>
          <t>日</t>
        </is>
      </c>
      <c r="AM16" s="271" t="n"/>
    </row>
    <row r="17" ht="36" customHeight="1" s="225">
      <c r="A17" s="154" t="inlineStr">
        <is>
          <t>育児時短勤務に係る子の
名前・生年月日</t>
        </is>
      </c>
      <c r="B17" s="270" t="n"/>
      <c r="C17" s="270" t="n"/>
      <c r="D17" s="270" t="n"/>
      <c r="E17" s="270" t="n"/>
      <c r="F17" s="270" t="n"/>
      <c r="G17" s="270" t="n"/>
      <c r="H17" s="270" t="n"/>
      <c r="I17" s="270" t="n"/>
      <c r="J17" s="271" t="n"/>
      <c r="K17" s="273">
        <f>IF(入力!C25="","",入力!C25)</f>
        <v/>
      </c>
      <c r="L17" s="270" t="n"/>
      <c r="M17" s="270" t="n"/>
      <c r="N17" s="270" t="n"/>
      <c r="O17" s="270" t="n"/>
      <c r="P17" s="270" t="n"/>
      <c r="Q17" s="270" t="n"/>
      <c r="R17" s="270" t="n"/>
      <c r="S17" s="270" t="n"/>
      <c r="T17" s="271" t="n"/>
      <c r="U17" s="53" t="n"/>
      <c r="V17" s="205" t="inlineStr">
        <is>
          <t>令和</t>
        </is>
      </c>
      <c r="W17" s="270" t="n"/>
      <c r="X17" s="272">
        <f>IF(入力!D26="","",入力!D26)</f>
        <v/>
      </c>
      <c r="Y17" s="270" t="n"/>
      <c r="Z17" s="270" t="n"/>
      <c r="AA17" s="140" t="inlineStr">
        <is>
          <t>年</t>
        </is>
      </c>
      <c r="AB17" s="270" t="n"/>
      <c r="AC17" s="272">
        <f>IF(入力!F26="","",入力!F26)</f>
        <v/>
      </c>
      <c r="AD17" s="270" t="n"/>
      <c r="AE17" s="270" t="n"/>
      <c r="AF17" s="140" t="inlineStr">
        <is>
          <t>月</t>
        </is>
      </c>
      <c r="AG17" s="270" t="n"/>
      <c r="AH17" s="272">
        <f>IF(入力!H26="","",入力!H26)</f>
        <v/>
      </c>
      <c r="AI17" s="270" t="n"/>
      <c r="AJ17" s="270" t="n"/>
      <c r="AK17" s="140" t="inlineStr">
        <is>
          <t>日</t>
        </is>
      </c>
      <c r="AL17" s="270" t="n"/>
      <c r="AM17" s="55" t="n"/>
    </row>
    <row r="18" ht="36" customHeight="1" s="225">
      <c r="A18" s="274" t="inlineStr">
        <is>
          <t xml:space="preserve">☆育児時短勤務開始時の
標準報酬月額　　　　　　　　</t>
        </is>
      </c>
      <c r="B18" s="248" t="n"/>
      <c r="C18" s="248" t="n"/>
      <c r="D18" s="248" t="n"/>
      <c r="E18" s="248" t="n"/>
      <c r="F18" s="248" t="n"/>
      <c r="G18" s="248" t="n"/>
      <c r="H18" s="248" t="n"/>
      <c r="I18" s="248" t="n"/>
      <c r="J18" s="252" t="n"/>
      <c r="K18" s="275" t="inlineStr">
        <is>
          <t xml:space="preserve">　第　　　　 級　　　　　　　　円</t>
        </is>
      </c>
      <c r="L18" s="248" t="n"/>
      <c r="M18" s="248" t="n"/>
      <c r="N18" s="248" t="n"/>
      <c r="O18" s="248" t="n"/>
      <c r="P18" s="248" t="n"/>
      <c r="Q18" s="248" t="n"/>
      <c r="R18" s="248" t="n"/>
      <c r="S18" s="248" t="n"/>
      <c r="T18" s="248" t="n"/>
      <c r="U18" s="248" t="n"/>
      <c r="V18" s="248" t="n"/>
      <c r="W18" s="248" t="n"/>
      <c r="X18" s="248" t="n"/>
      <c r="Y18" s="248" t="n"/>
      <c r="Z18" s="252" t="n"/>
      <c r="AA18" s="275" t="inlineStr">
        <is>
          <t xml:space="preserve">　☆決定額　　　　　　　　円</t>
        </is>
      </c>
      <c r="AB18" s="248" t="n"/>
      <c r="AC18" s="248" t="n"/>
      <c r="AD18" s="248" t="n"/>
      <c r="AE18" s="248" t="n"/>
      <c r="AF18" s="248" t="n"/>
      <c r="AG18" s="248" t="n"/>
      <c r="AH18" s="248" t="n"/>
      <c r="AI18" s="248" t="n"/>
      <c r="AJ18" s="248" t="n"/>
      <c r="AK18" s="248" t="n"/>
      <c r="AL18" s="248" t="n"/>
      <c r="AM18" s="252" t="n"/>
    </row>
    <row r="19" ht="51" customHeight="1" s="225">
      <c r="A19" s="154" t="inlineStr">
        <is>
          <t>支給対象月に支払われた
報酬の額</t>
        </is>
      </c>
      <c r="B19" s="270" t="n"/>
      <c r="C19" s="270" t="n"/>
      <c r="D19" s="270" t="n"/>
      <c r="E19" s="270" t="n"/>
      <c r="F19" s="270" t="n"/>
      <c r="G19" s="270" t="n"/>
      <c r="H19" s="270" t="n"/>
      <c r="I19" s="270" t="n"/>
      <c r="J19" s="271" t="n"/>
      <c r="K19" s="54" t="n"/>
      <c r="L19" s="53" t="n"/>
      <c r="M19" s="53" t="n"/>
      <c r="N19" s="276">
        <f>IF(入力!C28="","",入力!C28)</f>
        <v/>
      </c>
      <c r="O19" s="270" t="n"/>
      <c r="P19" s="270" t="n"/>
      <c r="Q19" s="270" t="n"/>
      <c r="R19" s="270" t="n"/>
      <c r="S19" s="270" t="n"/>
      <c r="T19" s="270" t="n"/>
      <c r="U19" s="270" t="n"/>
      <c r="V19" s="270" t="n"/>
      <c r="W19" s="270" t="n"/>
      <c r="X19" s="270" t="n"/>
      <c r="Y19" s="202" t="inlineStr">
        <is>
          <t>円（１月当たりの通勤手当の額を含む。）</t>
        </is>
      </c>
      <c r="Z19" s="270" t="n"/>
      <c r="AA19" s="270" t="n"/>
      <c r="AB19" s="270" t="n"/>
      <c r="AC19" s="270" t="n"/>
      <c r="AD19" s="270" t="n"/>
      <c r="AE19" s="270" t="n"/>
      <c r="AF19" s="270" t="n"/>
      <c r="AG19" s="270" t="n"/>
      <c r="AH19" s="270" t="n"/>
      <c r="AI19" s="270" t="n"/>
      <c r="AJ19" s="270" t="n"/>
      <c r="AK19" s="270" t="n"/>
      <c r="AL19" s="270" t="n"/>
      <c r="AM19" s="271" t="n"/>
    </row>
    <row r="20" ht="3.75" customFormat="1" customHeight="1" s="73">
      <c r="A20" s="277" t="inlineStr">
        <is>
          <t>通勤手当に対する
特記事項</t>
        </is>
      </c>
      <c r="B20" s="248" t="n"/>
      <c r="C20" s="248" t="n"/>
      <c r="D20" s="248" t="n"/>
      <c r="E20" s="248" t="n"/>
      <c r="F20" s="248" t="n"/>
      <c r="G20" s="248" t="n"/>
      <c r="H20" s="248" t="n"/>
      <c r="I20" s="248" t="n"/>
      <c r="J20" s="252" t="n"/>
      <c r="K20" s="72" t="n"/>
      <c r="L20" s="72" t="n"/>
      <c r="M20" s="72" t="n"/>
      <c r="N20" s="72" t="n"/>
      <c r="O20" s="72" t="n"/>
      <c r="AM20" s="74" t="n"/>
    </row>
    <row r="21" ht="25.5" customFormat="1" customHeight="1" s="73">
      <c r="A21" s="255" t="n"/>
      <c r="J21" s="256" t="n"/>
      <c r="K21" s="278">
        <f>"通勤手当：" &amp; IF(入力!C29="有","（有）・ 無",IF(入力!C29="無","有 ・（無）","有 ・ 無")) &amp; "　（該当するものに〇で囲んでください。）"</f>
        <v/>
      </c>
      <c r="AM21" s="256" t="n"/>
    </row>
    <row r="22" ht="25.5" customFormat="1" customHeight="1" s="73">
      <c r="A22" s="255" t="n"/>
      <c r="J22" s="256" t="n"/>
      <c r="K22" s="75" t="inlineStr">
        <is>
          <t xml:space="preserve">１月当たりの通勤手当の額：　　　</t>
        </is>
      </c>
      <c r="L22" s="75" t="n"/>
      <c r="M22" s="75" t="n"/>
      <c r="N22" s="75" t="n"/>
      <c r="O22" s="75" t="n"/>
      <c r="P22" s="75" t="n"/>
      <c r="Q22" s="75" t="n"/>
      <c r="R22" s="75" t="n"/>
      <c r="S22" s="75" t="n"/>
      <c r="T22" s="75" t="n"/>
      <c r="U22" s="75" t="n"/>
      <c r="V22" s="75" t="n"/>
      <c r="W22" s="75" t="n"/>
      <c r="X22" s="279">
        <f>IF(入力!C30="","",入力!C30)</f>
        <v/>
      </c>
      <c r="AC22" s="75" t="inlineStr">
        <is>
          <t>円</t>
        </is>
      </c>
      <c r="AD22" s="75" t="n"/>
      <c r="AE22" s="75" t="n"/>
      <c r="AF22" s="75" t="n"/>
      <c r="AG22" s="75" t="n"/>
      <c r="AH22" s="75" t="n"/>
      <c r="AI22" s="75" t="n"/>
      <c r="AJ22" s="75" t="n"/>
      <c r="AK22" s="75" t="n"/>
      <c r="AL22" s="75" t="n"/>
      <c r="AM22" s="76" t="n"/>
    </row>
    <row r="23" ht="3" customFormat="1" customHeight="1" s="73">
      <c r="A23" s="258" t="n"/>
      <c r="B23" s="257" t="n"/>
      <c r="C23" s="257" t="n"/>
      <c r="D23" s="257" t="n"/>
      <c r="E23" s="257" t="n"/>
      <c r="F23" s="257" t="n"/>
      <c r="G23" s="257" t="n"/>
      <c r="H23" s="257" t="n"/>
      <c r="I23" s="257" t="n"/>
      <c r="J23" s="259" t="n"/>
      <c r="K23" s="280" t="n"/>
      <c r="L23" s="257" t="n"/>
      <c r="M23" s="257" t="n"/>
      <c r="N23" s="257" t="n"/>
      <c r="O23" s="257" t="n"/>
      <c r="P23" s="257" t="n"/>
      <c r="Q23" s="257" t="n"/>
      <c r="R23" s="257" t="n"/>
      <c r="S23" s="257" t="n"/>
      <c r="T23" s="257" t="n"/>
      <c r="U23" s="257" t="n"/>
      <c r="V23" s="257" t="n"/>
      <c r="W23" s="257" t="n"/>
      <c r="X23" s="257" t="n"/>
      <c r="Y23" s="257" t="n"/>
      <c r="Z23" s="257" t="n"/>
      <c r="AA23" s="257" t="n"/>
      <c r="AB23" s="257" t="n"/>
      <c r="AC23" s="257" t="n"/>
      <c r="AD23" s="257" t="n"/>
      <c r="AE23" s="257" t="n"/>
      <c r="AF23" s="257" t="n"/>
      <c r="AG23" s="257" t="n"/>
      <c r="AH23" s="257" t="n"/>
      <c r="AI23" s="257" t="n"/>
      <c r="AJ23" s="257" t="n"/>
      <c r="AK23" s="257" t="n"/>
      <c r="AL23" s="257" t="n"/>
      <c r="AM23" s="259"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6"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1">
        <f>IF(入力!D37="","",入力!D37)</f>
        <v/>
      </c>
      <c r="I27" s="56" t="inlineStr">
        <is>
          <t>年</t>
        </is>
      </c>
      <c r="J27" s="281">
        <f>IF(入力!F37="","",入力!F37)</f>
        <v/>
      </c>
      <c r="L27" s="56" t="inlineStr">
        <is>
          <t>月</t>
        </is>
      </c>
      <c r="M27" s="281">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1">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2" t="inlineStr">
        <is>
          <t>添付書類
(添付し請求者がチェック（✓）
してください。）</t>
        </is>
      </c>
      <c r="B42" s="248" t="n"/>
      <c r="C42" s="248" t="n"/>
      <c r="D42" s="248" t="n"/>
      <c r="E42" s="248" t="n"/>
      <c r="F42" s="248" t="n"/>
      <c r="G42" s="248" t="n"/>
      <c r="H42" s="248" t="n"/>
      <c r="I42" s="248" t="n"/>
      <c r="J42" s="252"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5" t="n"/>
      <c r="J43" s="256" t="n"/>
      <c r="K43" s="283">
        <f>IF(入力!C43="✓","☑","□")</f>
        <v/>
      </c>
      <c r="L43" s="88" t="inlineStr">
        <is>
          <t>育児短時間勤務承認書（写）</t>
        </is>
      </c>
      <c r="M43" s="90" t="n"/>
      <c r="N43" s="90" t="n"/>
      <c r="O43" s="90" t="n"/>
      <c r="P43" s="89" t="n"/>
      <c r="Q43" s="88" t="n"/>
      <c r="R43" s="90" t="n"/>
      <c r="S43" s="89" t="n"/>
      <c r="T43" s="88" t="n"/>
      <c r="U43" s="89" t="n"/>
      <c r="V43" s="89" t="n"/>
      <c r="W43" s="89" t="n"/>
      <c r="X43" s="59" t="n"/>
      <c r="Y43" s="284">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5" t="n"/>
      <c r="J44" s="256" t="n"/>
      <c r="K44" s="283">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5" t="n"/>
      <c r="J45" s="256" t="n"/>
      <c r="K45" s="283">
        <f>IF(入力!C45="✓","☑","□")</f>
        <v/>
      </c>
      <c r="L45" s="88" t="inlineStr">
        <is>
          <t>支給明細書（写）</t>
        </is>
      </c>
      <c r="M45" s="90" t="n"/>
      <c r="N45" s="90" t="n"/>
      <c r="O45" s="90" t="n"/>
      <c r="P45" s="89" t="n"/>
      <c r="Q45" s="88" t="n"/>
      <c r="R45" s="90" t="n"/>
      <c r="S45" s="89" t="n"/>
      <c r="T45" s="88" t="n"/>
      <c r="U45" s="89" t="n"/>
      <c r="V45" s="89" t="n"/>
      <c r="W45" s="89" t="n"/>
      <c r="X45" s="59" t="n"/>
      <c r="Y45" s="285">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5" t="n"/>
      <c r="J46" s="256" t="n"/>
      <c r="K46" s="283">
        <f>IF(入力!C46="✓","☑","□")</f>
        <v/>
      </c>
      <c r="L46" s="108" t="inlineStr">
        <is>
          <t>通勤手当が数か月分一括支給された場合、
その額のわかる支給明細書（写）</t>
        </is>
      </c>
      <c r="X46" s="62" t="n"/>
      <c r="Y46" s="285">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5" t="n"/>
      <c r="J47" s="256" t="n"/>
      <c r="K47" s="89" t="n"/>
      <c r="X47" s="62" t="n"/>
      <c r="Y47" s="285">
        <f>IF(入力!C51="✓","☑","□")</f>
        <v/>
      </c>
      <c r="Z47" s="108" t="inlineStr">
        <is>
          <t>通勤手当が数か月分一括支給された場合、
その額のわかる支給明細書（写）</t>
        </is>
      </c>
      <c r="AL47" s="108" t="n"/>
      <c r="AM47" s="62" t="n"/>
    </row>
    <row r="48" ht="11.25" customFormat="1" customHeight="1" s="29">
      <c r="A48" s="255" t="n"/>
      <c r="J48" s="256" t="n"/>
      <c r="K48" s="283">
        <f>IF(入力!C47="✓","☑","□")</f>
        <v/>
      </c>
      <c r="L48" s="107" t="inlineStr">
        <is>
          <t>母子手帳等（写）（※初回請求時のみ）</t>
        </is>
      </c>
      <c r="X48" s="68" t="n"/>
      <c r="Y48" s="87" t="n"/>
      <c r="AL48" s="107" t="n"/>
      <c r="AM48" s="68" t="n"/>
    </row>
    <row r="49" ht="11.25" customFormat="1" customHeight="1" s="29">
      <c r="A49" s="258" t="n"/>
      <c r="B49" s="257" t="n"/>
      <c r="C49" s="257" t="n"/>
      <c r="D49" s="257" t="n"/>
      <c r="E49" s="257" t="n"/>
      <c r="F49" s="257" t="n"/>
      <c r="G49" s="257" t="n"/>
      <c r="H49" s="257" t="n"/>
      <c r="I49" s="257" t="n"/>
      <c r="J49" s="259" t="n"/>
      <c r="K49" s="95" t="n"/>
      <c r="L49" s="16" t="n"/>
      <c r="M49" s="16" t="n"/>
      <c r="N49" s="16" t="n"/>
      <c r="O49" s="16" t="n"/>
      <c r="P49" s="49" t="n"/>
      <c r="Q49" s="49" t="n"/>
      <c r="R49" s="49" t="n"/>
      <c r="S49" s="49" t="n"/>
      <c r="T49" s="49" t="n"/>
      <c r="U49" s="49" t="n"/>
      <c r="V49" s="49" t="n"/>
      <c r="W49" s="49" t="n"/>
      <c r="X49" s="50" t="n"/>
      <c r="Y49" s="286">
        <f>IF(入力!C52="✓","☑","□")</f>
        <v/>
      </c>
      <c r="Z49" s="109" t="inlineStr">
        <is>
          <t>母子手帳等（写）（※初回請求時のみ）</t>
        </is>
      </c>
      <c r="AA49" s="257" t="n"/>
      <c r="AB49" s="257" t="n"/>
      <c r="AC49" s="257" t="n"/>
      <c r="AD49" s="257" t="n"/>
      <c r="AE49" s="257" t="n"/>
      <c r="AF49" s="257" t="n"/>
      <c r="AG49" s="257" t="n"/>
      <c r="AH49" s="257" t="n"/>
      <c r="AI49" s="257" t="n"/>
      <c r="AJ49" s="257" t="n"/>
      <c r="AK49" s="257"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7">
        <f>IF(COUNTIF(入力!K6:K52,"✕*")&gt;0,"※入力エラーがあります。入力シートを直してから印刷してください（このまま提出しないでください）","")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T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s>
  <sheetData>
    <row r="1">
      <c r="A1" s="288" t="inlineStr">
        <is>
          <t>職員番号</t>
        </is>
      </c>
      <c r="B1" s="288" t="inlineStr">
        <is>
          <t>対象年(令和)</t>
        </is>
      </c>
      <c r="C1" s="288" t="inlineStr">
        <is>
          <t>対象月</t>
        </is>
      </c>
      <c r="D1" s="288" t="inlineStr">
        <is>
          <t>報酬額</t>
        </is>
      </c>
      <c r="E1" s="288" t="inlineStr">
        <is>
          <t>通勤手当有無</t>
        </is>
      </c>
      <c r="F1" s="288" t="inlineStr">
        <is>
          <t>通勤手当月額</t>
        </is>
      </c>
      <c r="G1" s="288" t="inlineStr">
        <is>
          <t>氏名</t>
        </is>
      </c>
      <c r="H1" s="288" t="inlineStr">
        <is>
          <t>組合員記号</t>
        </is>
      </c>
      <c r="I1" s="288" t="inlineStr">
        <is>
          <t>組合員番号</t>
        </is>
      </c>
      <c r="J1" s="288" t="inlineStr">
        <is>
          <t>勤務区分</t>
        </is>
      </c>
      <c r="K1" s="288" t="inlineStr">
        <is>
          <t>時短開始日</t>
        </is>
      </c>
      <c r="L1" s="288" t="inlineStr">
        <is>
          <t>時短終了日</t>
        </is>
      </c>
      <c r="M1" s="288" t="inlineStr">
        <is>
          <t>請求期間開始</t>
        </is>
      </c>
      <c r="N1" s="288" t="inlineStr">
        <is>
          <t>請求期間終了</t>
        </is>
      </c>
      <c r="O1" s="288" t="inlineStr">
        <is>
          <t>子の氏名</t>
        </is>
      </c>
      <c r="P1" s="288" t="inlineStr">
        <is>
          <t>子の生年月日</t>
        </is>
      </c>
      <c r="Q1" s="288" t="inlineStr">
        <is>
          <t>所属名称</t>
        </is>
      </c>
      <c r="R1" s="288" t="inlineStr">
        <is>
          <t>請求日</t>
        </is>
      </c>
      <c r="S1" s="288" t="inlineStr">
        <is>
          <t>初回請求</t>
        </is>
      </c>
      <c r="T1" s="288" t="inlineStr">
        <is>
          <t>入力エラー件数</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89">
        <f>IF(入力!N20="","",入力!N20)</f>
        <v/>
      </c>
      <c r="L2" s="289">
        <f>IF(入力!N21="","",入力!N21)</f>
        <v/>
      </c>
      <c r="M2" s="289">
        <f>IF(入力!N23="","",入力!N23)</f>
        <v/>
      </c>
      <c r="N2" s="289">
        <f>IF(入力!N24="","",入力!N24)</f>
        <v/>
      </c>
      <c r="O2">
        <f>IF(入力!C25="","",入力!C25)</f>
        <v/>
      </c>
      <c r="P2" s="289">
        <f>IF(入力!N26="","",入力!N26)</f>
        <v/>
      </c>
      <c r="Q2">
        <f>IF(入力!C15="","",入力!C15)</f>
        <v/>
      </c>
      <c r="R2" s="289">
        <f>IF(入力!N37="","",入力!N37)</f>
        <v/>
      </c>
      <c r="S2">
        <f>IF(入力!C19="","",入力!C19)</f>
        <v/>
      </c>
      <c r="T2">
        <f>COUNTIF(入力!K6:K52,"✕*")</f>
        <v/>
      </c>
    </row>
    <row r="4">
      <c r="A4" s="290" t="inlineStr">
        <is>
          <t>【共済組合の方へ】2行目（A2:T2）をコピーし、管理台帳の「請求記録」へ『値のみ貼り付け』してください（職員の方は触らないでください）。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2026-10-21T04:15:15Z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