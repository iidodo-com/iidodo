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xmlns:r="http://schemas.openxmlformats.org/officeDocument/2006/relationships" name="使い方" sheetId="1" state="visible" r:id="rId1"/>
    <sheet xmlns:r="http://schemas.openxmlformats.org/officeDocument/2006/relationships" name="入力" sheetId="2" state="visible" r:id="rId2"/>
    <sheet xmlns:r="http://schemas.openxmlformats.org/officeDocument/2006/relationships" name="請求書(表)" sheetId="3" state="visible" r:id="rId3"/>
    <sheet xmlns:r="http://schemas.openxmlformats.org/officeDocument/2006/relationships" name="請求書(裏)" sheetId="4" state="visible" r:id="rId4"/>
    <sheet xmlns:r="http://schemas.openxmlformats.org/officeDocument/2006/relationships" name="共済組合提出データ" sheetId="5" state="visible" r:id="rId5"/>
  </sheets>
  <definedNames>
    <definedName name="_xlnm.Print_Area" localSheetId="2">'請求書(表)'!$A$1:$AM$51</definedName>
    <definedName name="_Hlk192790333" localSheetId="3">'原本 (裏)'!$B$23</definedName>
    <definedName name="_xlnm.Print_Area" localSheetId="3">'請求書(裏)'!$A$1:$AJ$37</definedName>
  </definedNames>
  <calcPr calcId="191028" fullCalcOnLoad="1"/>
</workbook>
</file>

<file path=xl/styles.xml><?xml version="1.0" encoding="utf-8"?>
<styleSheet xmlns="http://schemas.openxmlformats.org/spreadsheetml/2006/main">
  <numFmts count="3">
    <numFmt numFmtId="164" formatCode="&quot;¥&quot;#,##0;&quot;¥&quot;\-#,##0"/>
    <numFmt numFmtId="165" formatCode="#,##0&quot;円&quot;"/>
    <numFmt numFmtId="166" formatCode="yyyy/m/d"/>
  </numFmts>
  <fonts count="50">
    <font>
      <name val="游ゴシック"/>
      <charset val="128"/>
      <family val="3"/>
      <color rgb="FF000000"/>
      <sz val="11"/>
      <scheme val="minor"/>
    </font>
    <font>
      <name val="游ゴシック"/>
      <charset val="128"/>
      <family val="2"/>
      <color theme="1"/>
      <sz val="11"/>
      <scheme val="minor"/>
    </font>
    <font>
      <name val="游ゴシック"/>
      <charset val="128"/>
      <family val="2"/>
      <color theme="1"/>
      <sz val="11"/>
      <scheme val="minor"/>
    </font>
    <font>
      <name val="游ゴシック Light"/>
      <charset val="128"/>
      <family val="2"/>
      <color theme="3"/>
      <sz val="18"/>
      <scheme val="major"/>
    </font>
    <font>
      <name val="游ゴシック"/>
      <charset val="128"/>
      <family val="2"/>
      <b val="1"/>
      <color theme="3"/>
      <sz val="15"/>
      <scheme val="minor"/>
    </font>
    <font>
      <name val="游ゴシック"/>
      <charset val="128"/>
      <family val="2"/>
      <b val="1"/>
      <color theme="3"/>
      <sz val="13"/>
      <scheme val="minor"/>
    </font>
    <font>
      <name val="游ゴシック"/>
      <charset val="128"/>
      <family val="2"/>
      <b val="1"/>
      <color theme="3"/>
      <sz val="11"/>
      <scheme val="minor"/>
    </font>
    <font>
      <name val="游ゴシック"/>
      <charset val="128"/>
      <family val="2"/>
      <color rgb="FF006100"/>
      <sz val="11"/>
      <scheme val="minor"/>
    </font>
    <font>
      <name val="游ゴシック"/>
      <charset val="128"/>
      <family val="2"/>
      <color rgb="FF9C0006"/>
      <sz val="11"/>
      <scheme val="minor"/>
    </font>
    <font>
      <name val="游ゴシック"/>
      <charset val="128"/>
      <family val="2"/>
      <color rgb="FF9C5700"/>
      <sz val="11"/>
      <scheme val="minor"/>
    </font>
    <font>
      <name val="游ゴシック"/>
      <charset val="128"/>
      <family val="2"/>
      <color rgb="FF3F3F76"/>
      <sz val="11"/>
      <scheme val="minor"/>
    </font>
    <font>
      <name val="游ゴシック"/>
      <charset val="128"/>
      <family val="2"/>
      <b val="1"/>
      <color rgb="FF3F3F3F"/>
      <sz val="11"/>
      <scheme val="minor"/>
    </font>
    <font>
      <name val="游ゴシック"/>
      <charset val="128"/>
      <family val="2"/>
      <b val="1"/>
      <color rgb="FFFA7D00"/>
      <sz val="11"/>
      <scheme val="minor"/>
    </font>
    <font>
      <name val="游ゴシック"/>
      <charset val="128"/>
      <family val="2"/>
      <color rgb="FFFA7D00"/>
      <sz val="11"/>
      <scheme val="minor"/>
    </font>
    <font>
      <name val="游ゴシック"/>
      <charset val="128"/>
      <family val="2"/>
      <b val="1"/>
      <color theme="0"/>
      <sz val="11"/>
      <scheme val="minor"/>
    </font>
    <font>
      <name val="游ゴシック"/>
      <charset val="128"/>
      <family val="2"/>
      <color rgb="FFFF0000"/>
      <sz val="11"/>
      <scheme val="minor"/>
    </font>
    <font>
      <name val="游ゴシック"/>
      <charset val="128"/>
      <family val="2"/>
      <i val="1"/>
      <color rgb="FF7F7F7F"/>
      <sz val="11"/>
      <scheme val="minor"/>
    </font>
    <font>
      <name val="游ゴシック"/>
      <charset val="128"/>
      <family val="2"/>
      <b val="1"/>
      <color theme="1"/>
      <sz val="11"/>
      <scheme val="minor"/>
    </font>
    <font>
      <name val="游ゴシック"/>
      <charset val="128"/>
      <family val="2"/>
      <color theme="0"/>
      <sz val="11"/>
      <scheme val="minor"/>
    </font>
    <font>
      <name val="游ゴシック"/>
      <charset val="128"/>
      <family val="3"/>
      <sz val="6"/>
    </font>
    <font>
      <name val="ＭＳ 明朝"/>
      <charset val="128"/>
      <family val="1"/>
      <sz val="11"/>
    </font>
    <font>
      <name val="ＭＳ 明朝"/>
      <charset val="128"/>
      <family val="1"/>
      <sz val="18"/>
    </font>
    <font>
      <name val="游ゴシック"/>
      <charset val="128"/>
      <family val="3"/>
      <sz val="6"/>
      <scheme val="minor"/>
    </font>
    <font>
      <name val="游ゴシック"/>
      <charset val="128"/>
      <family val="2"/>
      <sz val="6"/>
      <scheme val="minor"/>
    </font>
    <font>
      <name val="ＭＳ 明朝"/>
      <charset val="128"/>
      <family val="1"/>
      <sz val="9"/>
    </font>
    <font>
      <name val="ＭＳ 明朝"/>
      <charset val="128"/>
      <family val="1"/>
      <sz val="12"/>
    </font>
    <font>
      <name val="ＭＳ 明朝"/>
      <charset val="128"/>
      <family val="1"/>
      <sz val="8"/>
    </font>
    <font>
      <name val="ＭＳ 明朝"/>
      <charset val="128"/>
      <family val="1"/>
      <sz val="13"/>
    </font>
    <font>
      <name val="ＭＳ 明朝"/>
      <charset val="128"/>
      <family val="1"/>
      <sz val="10"/>
    </font>
    <font>
      <name val="ＭＳ 明朝"/>
      <charset val="128"/>
      <family val="1"/>
      <sz val="10.5"/>
    </font>
    <font>
      <name val="ＭＳ 明朝"/>
      <charset val="128"/>
      <family val="1"/>
      <sz val="14"/>
    </font>
    <font>
      <name val="ＭＳ 明朝"/>
      <charset val="128"/>
      <family val="1"/>
      <sz val="7"/>
    </font>
    <font>
      <name val="ＭＳ 明朝"/>
      <charset val="128"/>
      <family val="1"/>
      <sz val="6"/>
    </font>
    <font>
      <name val="ＭＳ ゴシック"/>
      <charset val="128"/>
      <family val="3"/>
      <b val="1"/>
      <sz val="10"/>
    </font>
    <font>
      <name val="ＭＳ ゴシック"/>
      <charset val="128"/>
      <family val="3"/>
      <b val="1"/>
      <sz val="14"/>
    </font>
    <font>
      <name val="ＭＳ ゴシック"/>
      <charset val="128"/>
      <family val="3"/>
      <b val="1"/>
      <sz val="12"/>
    </font>
    <font>
      <name val="ＭＳ ゴシック"/>
      <charset val="128"/>
      <family val="3"/>
      <b val="1"/>
      <sz val="11"/>
    </font>
    <font>
      <name val="MS UI Gothic"/>
      <charset val="128"/>
      <family val="3"/>
      <b val="1"/>
      <sz val="12"/>
    </font>
    <font>
      <name val="Century"/>
      <family val="1"/>
      <sz val="5"/>
    </font>
    <font>
      <name val="游ゴシック"/>
      <charset val="128"/>
      <family val="3"/>
      <sz val="11"/>
      <scheme val="minor"/>
    </font>
    <font>
      <name val="Meiryo UI"/>
      <b val="1"/>
      <sz val="16"/>
    </font>
    <font>
      <name val="Meiryo UI"/>
      <sz val="10"/>
    </font>
    <font>
      <name val="Meiryo UI"/>
      <b val="1"/>
      <color rgb="00FFFFFF"/>
      <sz val="10"/>
    </font>
    <font>
      <name val="Meiryo UI"/>
      <b val="1"/>
      <color rgb="00FFFFFF"/>
      <sz val="11"/>
    </font>
    <font>
      <name val="Meiryo UI"/>
      <sz val="11"/>
    </font>
    <font>
      <name val="Meiryo UI"/>
      <color rgb="007F7F7F"/>
      <sz val="9"/>
    </font>
    <font>
      <name val="Meiryo UI"/>
      <b val="1"/>
      <sz val="12"/>
    </font>
    <font>
      <name val="Meiryo UI"/>
      <b val="1"/>
      <color rgb="00FF0000"/>
      <sz val="12"/>
    </font>
    <font>
      <name val="Meiryo UI"/>
      <b val="1"/>
      <color rgb="00FFFFFF"/>
    </font>
    <font>
      <name val="Meiryo UI"/>
      <color rgb="00C00000"/>
      <sz val="10"/>
    </font>
  </fonts>
  <fills count="3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1F4E78"/>
      </patternFill>
    </fill>
    <fill>
      <patternFill patternType="solid">
        <fgColor rgb="00E7E6E6"/>
      </patternFill>
    </fill>
    <fill>
      <patternFill patternType="solid">
        <fgColor rgb="00FFF9C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00999999"/>
      </left>
      <right style="thin">
        <color rgb="00999999"/>
      </right>
      <top style="thin">
        <color rgb="00999999"/>
      </top>
      <bottom style="thin">
        <color rgb="00999999"/>
      </bottom>
    </border>
  </borders>
  <cellStyleXfs count="43">
    <xf numFmtId="0" fontId="0" fillId="0" borderId="0" applyAlignment="1">
      <alignment vertical="center"/>
    </xf>
    <xf numFmtId="0" fontId="3" fillId="0" borderId="0" applyAlignment="1">
      <alignment vertical="center"/>
    </xf>
    <xf numFmtId="0" fontId="4" fillId="0" borderId="1" applyAlignment="1">
      <alignment vertical="center"/>
    </xf>
    <xf numFmtId="0" fontId="5" fillId="0" borderId="2" applyAlignment="1">
      <alignment vertical="center"/>
    </xf>
    <xf numFmtId="0" fontId="6" fillId="0" borderId="3" applyAlignment="1">
      <alignment vertical="center"/>
    </xf>
    <xf numFmtId="0" fontId="6" fillId="0" borderId="0" applyAlignment="1">
      <alignment vertical="center"/>
    </xf>
    <xf numFmtId="0" fontId="7" fillId="2" borderId="0" applyAlignment="1">
      <alignment vertical="center"/>
    </xf>
    <xf numFmtId="0" fontId="8" fillId="3" borderId="0" applyAlignment="1">
      <alignment vertical="center"/>
    </xf>
    <xf numFmtId="0" fontId="9" fillId="4" borderId="0" applyAlignment="1">
      <alignment vertical="center"/>
    </xf>
    <xf numFmtId="0" fontId="10" fillId="5" borderId="4" applyAlignment="1">
      <alignment vertical="center"/>
    </xf>
    <xf numFmtId="0" fontId="11" fillId="6" borderId="5" applyAlignment="1">
      <alignment vertical="center"/>
    </xf>
    <xf numFmtId="0" fontId="12" fillId="6" borderId="4" applyAlignment="1">
      <alignment vertical="center"/>
    </xf>
    <xf numFmtId="0" fontId="13" fillId="0" borderId="6" applyAlignment="1">
      <alignment vertical="center"/>
    </xf>
    <xf numFmtId="0" fontId="14" fillId="7" borderId="7" applyAlignment="1">
      <alignment vertical="center"/>
    </xf>
    <xf numFmtId="0" fontId="15" fillId="0" borderId="0" applyAlignment="1">
      <alignment vertical="center"/>
    </xf>
    <xf numFmtId="0" fontId="2" fillId="8" borderId="8" applyAlignment="1">
      <alignment vertical="center"/>
    </xf>
    <xf numFmtId="0" fontId="16" fillId="0" borderId="0" applyAlignment="1">
      <alignment vertical="center"/>
    </xf>
    <xf numFmtId="0" fontId="17" fillId="0" borderId="9" applyAlignment="1">
      <alignment vertical="center"/>
    </xf>
    <xf numFmtId="0" fontId="18" fillId="9" borderId="0" applyAlignment="1">
      <alignment vertical="center"/>
    </xf>
    <xf numFmtId="0" fontId="2" fillId="10" borderId="0" applyAlignment="1">
      <alignment vertical="center"/>
    </xf>
    <xf numFmtId="0" fontId="2" fillId="11" borderId="0" applyAlignment="1">
      <alignment vertical="center"/>
    </xf>
    <xf numFmtId="0" fontId="2" fillId="12" borderId="0" applyAlignment="1">
      <alignment vertical="center"/>
    </xf>
    <xf numFmtId="0" fontId="18" fillId="13" borderId="0" applyAlignment="1">
      <alignment vertical="center"/>
    </xf>
    <xf numFmtId="0" fontId="2" fillId="14" borderId="0" applyAlignment="1">
      <alignment vertical="center"/>
    </xf>
    <xf numFmtId="0" fontId="2" fillId="15" borderId="0" applyAlignment="1">
      <alignment vertical="center"/>
    </xf>
    <xf numFmtId="0" fontId="2" fillId="16" borderId="0" applyAlignment="1">
      <alignment vertical="center"/>
    </xf>
    <xf numFmtId="0" fontId="18" fillId="17" borderId="0" applyAlignment="1">
      <alignment vertical="center"/>
    </xf>
    <xf numFmtId="0" fontId="2" fillId="18" borderId="0" applyAlignment="1">
      <alignment vertical="center"/>
    </xf>
    <xf numFmtId="0" fontId="2" fillId="19" borderId="0" applyAlignment="1">
      <alignment vertical="center"/>
    </xf>
    <xf numFmtId="0" fontId="2" fillId="20" borderId="0" applyAlignment="1">
      <alignment vertical="center"/>
    </xf>
    <xf numFmtId="0" fontId="18" fillId="21" borderId="0" applyAlignment="1">
      <alignment vertical="center"/>
    </xf>
    <xf numFmtId="0" fontId="2" fillId="22" borderId="0" applyAlignment="1">
      <alignment vertical="center"/>
    </xf>
    <xf numFmtId="0" fontId="2" fillId="23" borderId="0" applyAlignment="1">
      <alignment vertical="center"/>
    </xf>
    <xf numFmtId="0" fontId="2" fillId="24" borderId="0" applyAlignment="1">
      <alignment vertical="center"/>
    </xf>
    <xf numFmtId="0" fontId="18" fillId="25" borderId="0" applyAlignment="1">
      <alignment vertical="center"/>
    </xf>
    <xf numFmtId="0" fontId="2" fillId="26" borderId="0" applyAlignment="1">
      <alignment vertical="center"/>
    </xf>
    <xf numFmtId="0" fontId="2" fillId="27" borderId="0" applyAlignment="1">
      <alignment vertical="center"/>
    </xf>
    <xf numFmtId="0" fontId="2" fillId="28" borderId="0" applyAlignment="1">
      <alignment vertical="center"/>
    </xf>
    <xf numFmtId="0" fontId="18" fillId="29" borderId="0" applyAlignment="1">
      <alignment vertical="center"/>
    </xf>
    <xf numFmtId="0" fontId="2" fillId="30" borderId="0" applyAlignment="1">
      <alignment vertical="center"/>
    </xf>
    <xf numFmtId="0" fontId="2" fillId="31" borderId="0" applyAlignment="1">
      <alignment vertical="center"/>
    </xf>
    <xf numFmtId="0" fontId="2" fillId="32" borderId="0" applyAlignment="1">
      <alignment vertical="center"/>
    </xf>
    <xf numFmtId="0" fontId="2" fillId="0" borderId="0" applyAlignment="1">
      <alignment vertical="center"/>
    </xf>
  </cellStyleXfs>
  <cellXfs count="291">
    <xf numFmtId="0" fontId="0" fillId="0" borderId="0" applyAlignment="1" pivotButton="0" quotePrefix="0" xfId="0">
      <alignment vertical="center"/>
    </xf>
    <xf numFmtId="0" fontId="20" fillId="0" borderId="0" applyAlignment="1" pivotButton="0" quotePrefix="0" xfId="42">
      <alignment vertical="center"/>
    </xf>
    <xf numFmtId="0" fontId="24" fillId="0" borderId="11" applyAlignment="1" pivotButton="0" quotePrefix="0" xfId="42">
      <alignment vertical="center"/>
    </xf>
    <xf numFmtId="0" fontId="20" fillId="0" borderId="11" applyAlignment="1" pivotButton="0" quotePrefix="0" xfId="42">
      <alignment vertical="center"/>
    </xf>
    <xf numFmtId="0" fontId="20" fillId="0" borderId="12" applyAlignment="1" pivotButton="0" quotePrefix="0" xfId="42">
      <alignment vertical="center"/>
    </xf>
    <xf numFmtId="0" fontId="24" fillId="0" borderId="13" applyAlignment="1" pivotButton="0" quotePrefix="0" xfId="42">
      <alignment vertical="center"/>
    </xf>
    <xf numFmtId="0" fontId="20" fillId="0" borderId="13" applyAlignment="1" pivotButton="0" quotePrefix="0" xfId="42">
      <alignment vertical="center"/>
    </xf>
    <xf numFmtId="0" fontId="20" fillId="0" borderId="14" applyAlignment="1" pivotButton="0" quotePrefix="0" xfId="42">
      <alignment vertical="center"/>
    </xf>
    <xf numFmtId="0" fontId="20" fillId="0" borderId="15" applyAlignment="1" pivotButton="0" quotePrefix="0" xfId="42">
      <alignment vertical="center"/>
    </xf>
    <xf numFmtId="0" fontId="20" fillId="0" borderId="16" applyAlignment="1" pivotButton="0" quotePrefix="0" xfId="42">
      <alignment vertical="center"/>
    </xf>
    <xf numFmtId="0" fontId="20" fillId="0" borderId="15" applyAlignment="1" pivotButton="0" quotePrefix="0" xfId="42">
      <alignment vertical="center" wrapText="1"/>
    </xf>
    <xf numFmtId="0" fontId="20" fillId="0" borderId="18" applyAlignment="1" pivotButton="0" quotePrefix="0" xfId="42">
      <alignment vertical="center"/>
    </xf>
    <xf numFmtId="0" fontId="20" fillId="0" borderId="17" applyAlignment="1" pivotButton="0" quotePrefix="0" xfId="42">
      <alignment vertical="center"/>
    </xf>
    <xf numFmtId="0" fontId="20" fillId="0" borderId="20" applyAlignment="1" pivotButton="0" quotePrefix="0" xfId="42">
      <alignment vertical="center"/>
    </xf>
    <xf numFmtId="0" fontId="20" fillId="0" borderId="21" applyAlignment="1" pivotButton="0" quotePrefix="0" xfId="42">
      <alignment vertical="center"/>
    </xf>
    <xf numFmtId="0" fontId="20" fillId="0" borderId="22" applyAlignment="1" pivotButton="0" quotePrefix="0" xfId="42">
      <alignment vertical="center"/>
    </xf>
    <xf numFmtId="0" fontId="20" fillId="0" borderId="24" applyAlignment="1" pivotButton="0" quotePrefix="0" xfId="42">
      <alignment vertical="center"/>
    </xf>
    <xf numFmtId="0" fontId="20" fillId="0" borderId="25" applyAlignment="1" pivotButton="0" quotePrefix="0" xfId="42">
      <alignment vertical="center"/>
    </xf>
    <xf numFmtId="0" fontId="20" fillId="0" borderId="26" applyAlignment="1" pivotButton="0" quotePrefix="0" xfId="42">
      <alignment vertical="center"/>
    </xf>
    <xf numFmtId="0" fontId="20" fillId="0" borderId="27" applyAlignment="1" pivotButton="0" quotePrefix="0" xfId="42">
      <alignment vertical="center"/>
    </xf>
    <xf numFmtId="0" fontId="20" fillId="0" borderId="28" applyAlignment="1" pivotButton="0" quotePrefix="0" xfId="42">
      <alignment vertical="center"/>
    </xf>
    <xf numFmtId="0" fontId="28" fillId="0" borderId="0" applyAlignment="1" pivotButton="0" quotePrefix="0" xfId="42">
      <alignment vertical="center"/>
    </xf>
    <xf numFmtId="0" fontId="28" fillId="0" borderId="0" applyAlignment="1" pivotButton="0" quotePrefix="0" xfId="42">
      <alignment horizontal="justify" vertical="center" wrapText="1"/>
    </xf>
    <xf numFmtId="0" fontId="24" fillId="0" borderId="0" applyAlignment="1" pivotButton="0" quotePrefix="0" xfId="42">
      <alignment vertical="center"/>
    </xf>
    <xf numFmtId="0" fontId="28" fillId="0" borderId="0" applyAlignment="1" pivotButton="0" quotePrefix="0" xfId="42">
      <alignment vertical="center" wrapText="1"/>
    </xf>
    <xf numFmtId="0" fontId="28" fillId="0" borderId="19" applyAlignment="1" pivotButton="0" quotePrefix="0" xfId="42">
      <alignment vertical="center" wrapText="1"/>
    </xf>
    <xf numFmtId="0" fontId="28" fillId="0" borderId="24" applyAlignment="1" pivotButton="0" quotePrefix="0" xfId="42">
      <alignment vertical="center"/>
    </xf>
    <xf numFmtId="0" fontId="28" fillId="0" borderId="24" applyAlignment="1" pivotButton="0" quotePrefix="0" xfId="42">
      <alignment horizontal="justify" vertical="center" wrapText="1"/>
    </xf>
    <xf numFmtId="0" fontId="28" fillId="0" borderId="18" applyAlignment="1" pivotButton="0" quotePrefix="0" xfId="42">
      <alignment vertical="center"/>
    </xf>
    <xf numFmtId="0" fontId="26" fillId="0" borderId="0" applyAlignment="1" pivotButton="0" quotePrefix="0" xfId="42">
      <alignment vertical="center"/>
    </xf>
    <xf numFmtId="0" fontId="28" fillId="0" borderId="19" applyAlignment="1" pivotButton="0" quotePrefix="0" xfId="42">
      <alignment vertical="center"/>
    </xf>
    <xf numFmtId="0" fontId="28" fillId="0" borderId="18" applyAlignment="1" pivotButton="0" quotePrefix="0" xfId="42">
      <alignment vertical="center" wrapText="1"/>
    </xf>
    <xf numFmtId="0" fontId="28" fillId="0" borderId="23" applyAlignment="1" pivotButton="0" quotePrefix="0" xfId="42">
      <alignment horizontal="justify" vertical="center" wrapText="1"/>
    </xf>
    <xf numFmtId="0" fontId="28" fillId="0" borderId="24" applyAlignment="1" pivotButton="0" quotePrefix="0" xfId="42">
      <alignment vertical="center" wrapText="1"/>
    </xf>
    <xf numFmtId="0" fontId="28" fillId="0" borderId="25" applyAlignment="1" pivotButton="0" quotePrefix="0" xfId="42">
      <alignment vertical="center"/>
    </xf>
    <xf numFmtId="0" fontId="28" fillId="0" borderId="15" applyAlignment="1" pivotButton="0" quotePrefix="0" xfId="42">
      <alignment horizontal="justify" vertical="center" wrapText="1"/>
    </xf>
    <xf numFmtId="0" fontId="28" fillId="0" borderId="16" applyAlignment="1" pivotButton="0" quotePrefix="0" xfId="42">
      <alignment horizontal="justify" vertical="center" wrapText="1"/>
    </xf>
    <xf numFmtId="0" fontId="28" fillId="0" borderId="17" applyAlignment="1" pivotButton="0" quotePrefix="0" xfId="42">
      <alignment horizontal="justify" vertical="center" wrapText="1"/>
    </xf>
    <xf numFmtId="0" fontId="28" fillId="0" borderId="23" applyAlignment="1" pivotButton="0" quotePrefix="0" xfId="42">
      <alignment vertical="center" wrapText="1"/>
    </xf>
    <xf numFmtId="0" fontId="26" fillId="0" borderId="0" applyAlignment="1" pivotButton="0" quotePrefix="0" xfId="42">
      <alignment vertical="center" wrapText="1"/>
    </xf>
    <xf numFmtId="0" fontId="27" fillId="0" borderId="0" applyAlignment="1" pivotButton="0" quotePrefix="0" xfId="42">
      <alignment vertical="center" wrapText="1"/>
    </xf>
    <xf numFmtId="0" fontId="29" fillId="0" borderId="0" applyAlignment="1" pivotButton="0" quotePrefix="0" xfId="42">
      <alignment vertical="center" wrapText="1"/>
    </xf>
    <xf numFmtId="0" fontId="24" fillId="0" borderId="0" applyAlignment="1" pivotButton="0" quotePrefix="0" xfId="42">
      <alignment vertical="center" wrapText="1"/>
    </xf>
    <xf numFmtId="0" fontId="20" fillId="0" borderId="0" applyAlignment="1" pivotButton="0" quotePrefix="0" xfId="42">
      <alignment horizontal="left" vertical="center"/>
    </xf>
    <xf numFmtId="0" fontId="21" fillId="0" borderId="0" applyAlignment="1" pivotButton="0" quotePrefix="0" xfId="42">
      <alignment vertical="center"/>
    </xf>
    <xf numFmtId="0" fontId="29" fillId="0" borderId="0" applyAlignment="1" pivotButton="0" quotePrefix="0" xfId="42">
      <alignment horizontal="left" vertical="center" wrapText="1"/>
    </xf>
    <xf numFmtId="0" fontId="28" fillId="0" borderId="0" applyAlignment="1" pivotButton="0" quotePrefix="0" xfId="42">
      <alignment horizontal="left" vertical="center"/>
    </xf>
    <xf numFmtId="0" fontId="20" fillId="0" borderId="0" applyAlignment="1" pivotButton="0" quotePrefix="0" xfId="42">
      <alignment vertical="center" wrapText="1"/>
    </xf>
    <xf numFmtId="0" fontId="20" fillId="0" borderId="19" applyAlignment="1" pivotButton="0" quotePrefix="0" xfId="42">
      <alignment vertical="center" wrapText="1"/>
    </xf>
    <xf numFmtId="0" fontId="20" fillId="0" borderId="24" applyAlignment="1" pivotButton="0" quotePrefix="0" xfId="42">
      <alignment vertical="center" wrapText="1"/>
    </xf>
    <xf numFmtId="0" fontId="20" fillId="0" borderId="25" applyAlignment="1" pivotButton="0" quotePrefix="0" xfId="42">
      <alignment vertical="center" wrapText="1"/>
    </xf>
    <xf numFmtId="0" fontId="20" fillId="0" borderId="16" applyAlignment="1" pivotButton="0" quotePrefix="0" xfId="42">
      <alignment vertical="center" wrapText="1"/>
    </xf>
    <xf numFmtId="0" fontId="20" fillId="0" borderId="17" applyAlignment="1" pivotButton="0" quotePrefix="0" xfId="42">
      <alignment vertical="center" wrapText="1"/>
    </xf>
    <xf numFmtId="0" fontId="20" fillId="0" borderId="31" applyAlignment="1" pivotButton="0" quotePrefix="0" xfId="42">
      <alignment vertical="center"/>
    </xf>
    <xf numFmtId="3" fontId="20" fillId="0" borderId="33" applyAlignment="1" pivotButton="0" quotePrefix="0" xfId="42">
      <alignment vertical="center"/>
    </xf>
    <xf numFmtId="0" fontId="20" fillId="0" borderId="32" applyAlignment="1" pivotButton="0" quotePrefix="0" xfId="42">
      <alignment vertical="center"/>
    </xf>
    <xf numFmtId="0" fontId="28" fillId="0" borderId="0" applyAlignment="1" pivotButton="0" quotePrefix="0" xfId="0">
      <alignment vertical="center"/>
    </xf>
    <xf numFmtId="0" fontId="26" fillId="0" borderId="16" applyAlignment="1" pivotButton="0" quotePrefix="0" xfId="0">
      <alignment vertical="center"/>
    </xf>
    <xf numFmtId="0" fontId="26" fillId="0" borderId="0" applyAlignment="1" pivotButton="0" quotePrefix="0" xfId="42">
      <alignment horizontal="center" vertical="center"/>
    </xf>
    <xf numFmtId="0" fontId="26" fillId="0" borderId="19" applyAlignment="1" pivotButton="0" quotePrefix="0" xfId="42">
      <alignment horizontal="center" vertical="center"/>
    </xf>
    <xf numFmtId="0" fontId="20" fillId="0" borderId="0" applyAlignment="1" pivotButton="0" quotePrefix="0" xfId="42">
      <alignment vertical="center" shrinkToFit="1"/>
    </xf>
    <xf numFmtId="0" fontId="26" fillId="0" borderId="0" applyAlignment="1" pivotButton="0" quotePrefix="0" xfId="42">
      <alignment horizontal="left" vertical="center"/>
    </xf>
    <xf numFmtId="0" fontId="31" fillId="0" borderId="19" applyAlignment="1" pivotButton="0" quotePrefix="0" xfId="42">
      <alignment vertical="center" wrapText="1" shrinkToFit="1"/>
    </xf>
    <xf numFmtId="0" fontId="26" fillId="0" borderId="25" applyAlignment="1" pivotButton="0" quotePrefix="0" xfId="42">
      <alignment vertical="center" shrinkToFit="1"/>
    </xf>
    <xf numFmtId="0" fontId="26" fillId="0" borderId="31" applyAlignment="1" pivotButton="0" quotePrefix="0" xfId="42">
      <alignment horizontal="left" vertical="center"/>
    </xf>
    <xf numFmtId="0" fontId="26" fillId="0" borderId="31" applyAlignment="1" pivotButton="0" quotePrefix="0" xfId="42">
      <alignment vertical="center"/>
    </xf>
    <xf numFmtId="0" fontId="26" fillId="0" borderId="32" applyAlignment="1" pivotButton="0" quotePrefix="0" xfId="42">
      <alignment vertical="center"/>
    </xf>
    <xf numFmtId="0" fontId="26" fillId="0" borderId="32" applyAlignment="1" pivotButton="0" quotePrefix="0" xfId="42">
      <alignment horizontal="left" vertical="center"/>
    </xf>
    <xf numFmtId="0" fontId="26" fillId="0" borderId="19" applyAlignment="1" pivotButton="0" quotePrefix="0" xfId="42">
      <alignment vertical="center" shrinkToFit="1"/>
    </xf>
    <xf numFmtId="0" fontId="33" fillId="0" borderId="0" applyAlignment="1" pivotButton="0" quotePrefix="0" xfId="42">
      <alignment vertical="center" shrinkToFit="1"/>
    </xf>
    <xf numFmtId="0" fontId="28" fillId="0" borderId="0" applyAlignment="1" pivotButton="0" quotePrefix="0" xfId="42">
      <alignment horizontal="left" vertical="center" wrapText="1"/>
    </xf>
    <xf numFmtId="0" fontId="34" fillId="0" borderId="0" applyAlignment="1" pivotButton="0" quotePrefix="0" xfId="42">
      <alignment vertical="center"/>
    </xf>
    <xf numFmtId="0" fontId="38" fillId="0" borderId="0" applyAlignment="1" pivotButton="0" quotePrefix="0" xfId="0">
      <alignment vertical="center" wrapText="1"/>
    </xf>
    <xf numFmtId="0" fontId="39" fillId="0" borderId="0" applyAlignment="1" pivotButton="0" quotePrefix="0" xfId="0">
      <alignment vertical="center"/>
    </xf>
    <xf numFmtId="0" fontId="39" fillId="0" borderId="19" applyAlignment="1" pivotButton="0" quotePrefix="0" xfId="0">
      <alignment vertical="center"/>
    </xf>
    <xf numFmtId="0" fontId="20" fillId="0" borderId="0" applyAlignment="1" pivotButton="0" quotePrefix="0" xfId="0">
      <alignment vertical="center"/>
    </xf>
    <xf numFmtId="0" fontId="20" fillId="0" borderId="19" applyAlignment="1" pivotButton="0" quotePrefix="0" xfId="0">
      <alignment vertical="center"/>
    </xf>
    <xf numFmtId="0" fontId="29" fillId="0" borderId="0" applyAlignment="1" pivotButton="0" quotePrefix="0" xfId="0">
      <alignment vertical="center" wrapText="1"/>
    </xf>
    <xf numFmtId="0" fontId="29" fillId="0" borderId="0" applyAlignment="1" pivotButton="0" quotePrefix="0" xfId="0">
      <alignment horizontal="left" vertical="center" wrapText="1"/>
    </xf>
    <xf numFmtId="0" fontId="39" fillId="0" borderId="0" applyAlignment="1" pivotButton="0" quotePrefix="0" xfId="0">
      <alignment vertical="center" wrapText="1"/>
    </xf>
    <xf numFmtId="0" fontId="39" fillId="0" borderId="0" applyAlignment="1" pivotButton="0" quotePrefix="0" xfId="0">
      <alignment horizontal="left" vertical="center" wrapText="1"/>
    </xf>
    <xf numFmtId="0" fontId="26" fillId="0" borderId="24" applyAlignment="1" pivotButton="0" quotePrefix="0" xfId="42">
      <alignment horizontal="left" vertical="center" shrinkToFit="1"/>
    </xf>
    <xf numFmtId="0" fontId="26" fillId="0" borderId="15" applyAlignment="1" pivotButton="0" quotePrefix="0" xfId="42">
      <alignment horizontal="center" vertical="center"/>
    </xf>
    <xf numFmtId="0" fontId="26" fillId="0" borderId="16" applyAlignment="1" pivotButton="0" quotePrefix="0" xfId="42">
      <alignment horizontal="left" vertical="center"/>
    </xf>
    <xf numFmtId="0" fontId="26" fillId="0" borderId="16" applyAlignment="1" pivotButton="0" quotePrefix="0" xfId="42">
      <alignment horizontal="center" vertical="center"/>
    </xf>
    <xf numFmtId="0" fontId="26" fillId="0" borderId="16" applyAlignment="1" pivotButton="0" quotePrefix="0" xfId="42">
      <alignment vertical="center" wrapText="1"/>
    </xf>
    <xf numFmtId="0" fontId="26" fillId="0" borderId="17" applyAlignment="1" pivotButton="0" quotePrefix="0" xfId="42">
      <alignment horizontal="center" vertical="center"/>
    </xf>
    <xf numFmtId="0" fontId="26" fillId="0" borderId="18" applyAlignment="1" pivotButton="0" quotePrefix="0" xfId="42">
      <alignment horizontal="center" vertical="center"/>
    </xf>
    <xf numFmtId="0" fontId="26" fillId="0" borderId="0" applyAlignment="1" pivotButton="0" quotePrefix="0" xfId="42">
      <alignment horizontal="left" vertical="center"/>
    </xf>
    <xf numFmtId="0" fontId="26" fillId="0" borderId="0" applyAlignment="1" pivotButton="0" quotePrefix="0" xfId="42">
      <alignment horizontal="center" vertical="center"/>
    </xf>
    <xf numFmtId="0" fontId="26" fillId="0" borderId="0" applyAlignment="1" pivotButton="0" quotePrefix="0" xfId="42">
      <alignment vertical="center" wrapText="1"/>
    </xf>
    <xf numFmtId="0" fontId="31" fillId="0" borderId="0" applyAlignment="1" pivotButton="0" quotePrefix="0" xfId="42">
      <alignment horizontal="left" vertical="center" wrapText="1" shrinkToFit="1"/>
    </xf>
    <xf numFmtId="0" fontId="26" fillId="0" borderId="0" applyAlignment="1" pivotButton="0" quotePrefix="0" xfId="42">
      <alignment horizontal="left" vertical="center" shrinkToFit="1"/>
    </xf>
    <xf numFmtId="0" fontId="26" fillId="0" borderId="23" applyAlignment="1" pivotButton="0" quotePrefix="0" xfId="42">
      <alignment horizontal="center" vertical="center"/>
    </xf>
    <xf numFmtId="0" fontId="29" fillId="0" borderId="0" applyAlignment="1" pivotButton="0" quotePrefix="0" xfId="0">
      <alignment vertical="center" wrapText="1"/>
    </xf>
    <xf numFmtId="0" fontId="20" fillId="0" borderId="23" applyAlignment="1" pivotButton="0" quotePrefix="0" xfId="42">
      <alignment vertical="center"/>
    </xf>
    <xf numFmtId="0" fontId="31" fillId="0" borderId="0" applyAlignment="1" pivotButton="0" quotePrefix="0" xfId="42">
      <alignment horizontal="left" vertical="center"/>
    </xf>
    <xf numFmtId="0" fontId="26" fillId="0" borderId="15" applyAlignment="1" pivotButton="0" quotePrefix="0" xfId="0">
      <alignment horizontal="center" vertical="center" wrapText="1"/>
    </xf>
    <xf numFmtId="0" fontId="26" fillId="0" borderId="16" applyAlignment="1" pivotButton="0" quotePrefix="0" xfId="0">
      <alignment horizontal="center" vertical="center" wrapText="1"/>
    </xf>
    <xf numFmtId="0" fontId="26" fillId="0" borderId="17" applyAlignment="1" pivotButton="0" quotePrefix="0" xfId="0">
      <alignment horizontal="center" vertical="center" wrapText="1"/>
    </xf>
    <xf numFmtId="0" fontId="26" fillId="0" borderId="18" applyAlignment="1" pivotButton="0" quotePrefix="0" xfId="0">
      <alignment horizontal="center" vertical="center" wrapText="1"/>
    </xf>
    <xf numFmtId="0" fontId="26" fillId="0" borderId="0" applyAlignment="1" pivotButton="0" quotePrefix="0" xfId="0">
      <alignment horizontal="center" vertical="center" wrapText="1"/>
    </xf>
    <xf numFmtId="0" fontId="26" fillId="0" borderId="19" applyAlignment="1" pivotButton="0" quotePrefix="0" xfId="0">
      <alignment horizontal="center" vertical="center" wrapText="1"/>
    </xf>
    <xf numFmtId="0" fontId="26" fillId="0" borderId="23" applyAlignment="1" pivotButton="0" quotePrefix="0" xfId="0">
      <alignment horizontal="center" vertical="center" wrapText="1"/>
    </xf>
    <xf numFmtId="0" fontId="26" fillId="0" borderId="24" applyAlignment="1" pivotButton="0" quotePrefix="0" xfId="0">
      <alignment horizontal="center" vertical="center" wrapText="1"/>
    </xf>
    <xf numFmtId="0" fontId="26" fillId="0" borderId="25" applyAlignment="1" pivotButton="0" quotePrefix="0" xfId="0">
      <alignment horizontal="center" vertical="center" wrapText="1"/>
    </xf>
    <xf numFmtId="0" fontId="31" fillId="0" borderId="0" applyAlignment="1" pivotButton="0" quotePrefix="0" xfId="42">
      <alignment horizontal="left" vertical="center" wrapText="1" shrinkToFit="1"/>
    </xf>
    <xf numFmtId="0" fontId="26" fillId="0" borderId="0" applyAlignment="1" pivotButton="0" quotePrefix="0" xfId="42">
      <alignment horizontal="left" vertical="center" shrinkToFit="1"/>
    </xf>
    <xf numFmtId="0" fontId="31" fillId="0" borderId="0" applyAlignment="1" pivotButton="0" quotePrefix="0" xfId="42">
      <alignment horizontal="left" vertical="center" wrapText="1" shrinkToFit="1"/>
    </xf>
    <xf numFmtId="0" fontId="26" fillId="0" borderId="24" applyAlignment="1" pivotButton="0" quotePrefix="0" xfId="42">
      <alignment horizontal="left" vertical="center" shrinkToFit="1"/>
    </xf>
    <xf numFmtId="0" fontId="0" fillId="0" borderId="24" applyAlignment="1" pivotButton="0" quotePrefix="0" xfId="0">
      <alignment horizontal="left" vertical="center" shrinkToFit="1"/>
    </xf>
    <xf numFmtId="0" fontId="35" fillId="0" borderId="31" applyAlignment="1" pivotButton="0" quotePrefix="0" xfId="0">
      <alignment horizontal="center" vertical="center" wrapText="1"/>
    </xf>
    <xf numFmtId="0" fontId="28" fillId="0" borderId="0" applyAlignment="1" pivotButton="0" quotePrefix="0" xfId="0">
      <alignment horizontal="center" vertical="center"/>
    </xf>
    <xf numFmtId="0" fontId="33" fillId="0" borderId="0" applyAlignment="1" pivotButton="0" quotePrefix="0" xfId="0">
      <alignment horizontal="center" vertical="center"/>
    </xf>
    <xf numFmtId="0" fontId="29" fillId="0" borderId="33" applyAlignment="1" pivotButton="0" quotePrefix="0" xfId="42">
      <alignment horizontal="center" vertical="center" wrapText="1"/>
    </xf>
    <xf numFmtId="0" fontId="29" fillId="0" borderId="31" applyAlignment="1" pivotButton="0" quotePrefix="0" xfId="42">
      <alignment horizontal="center" vertical="center" wrapText="1"/>
    </xf>
    <xf numFmtId="0" fontId="29" fillId="0" borderId="32" applyAlignment="1" pivotButton="0" quotePrefix="0" xfId="42">
      <alignment horizontal="center" vertical="center" wrapText="1"/>
    </xf>
    <xf numFmtId="0" fontId="36" fillId="0" borderId="33" applyAlignment="1" pivotButton="0" quotePrefix="0" xfId="42">
      <alignment horizontal="center" vertical="center"/>
    </xf>
    <xf numFmtId="0" fontId="36" fillId="0" borderId="31" applyAlignment="1" pivotButton="0" quotePrefix="0" xfId="42">
      <alignment horizontal="center" vertical="center"/>
    </xf>
    <xf numFmtId="0" fontId="36" fillId="0" borderId="32" applyAlignment="1" pivotButton="0" quotePrefix="0" xfId="42">
      <alignment horizontal="center" vertical="center"/>
    </xf>
    <xf numFmtId="0" fontId="29" fillId="0" borderId="15" applyAlignment="1" pivotButton="0" quotePrefix="0" xfId="42">
      <alignment horizontal="center" vertical="center" wrapText="1"/>
    </xf>
    <xf numFmtId="0" fontId="29" fillId="0" borderId="16" applyAlignment="1" pivotButton="0" quotePrefix="0" xfId="42">
      <alignment horizontal="center" vertical="center" wrapText="1"/>
    </xf>
    <xf numFmtId="0" fontId="29" fillId="0" borderId="17" applyAlignment="1" pivotButton="0" quotePrefix="0" xfId="42">
      <alignment horizontal="center" vertical="center" wrapText="1"/>
    </xf>
    <xf numFmtId="0" fontId="20" fillId="0" borderId="15" applyAlignment="1" pivotButton="0" quotePrefix="0" xfId="42">
      <alignment horizontal="left" vertical="center" wrapText="1"/>
    </xf>
    <xf numFmtId="0" fontId="20" fillId="0" borderId="16" applyAlignment="1" pivotButton="0" quotePrefix="0" xfId="42">
      <alignment horizontal="left" vertical="center" wrapText="1"/>
    </xf>
    <xf numFmtId="0" fontId="20" fillId="0" borderId="17" applyAlignment="1" pivotButton="0" quotePrefix="0" xfId="42">
      <alignment horizontal="left" vertical="center" wrapText="1"/>
    </xf>
    <xf numFmtId="0" fontId="20" fillId="0" borderId="0" applyAlignment="1" pivotButton="0" quotePrefix="0" xfId="0">
      <alignment horizontal="left" vertical="center"/>
    </xf>
    <xf numFmtId="0" fontId="20" fillId="0" borderId="19" applyAlignment="1" pivotButton="0" quotePrefix="0" xfId="0">
      <alignment horizontal="left" vertical="center"/>
    </xf>
    <xf numFmtId="164" fontId="24" fillId="0" borderId="23" applyAlignment="1" pivotButton="0" quotePrefix="0" xfId="0">
      <alignment horizontal="left" vertical="center" shrinkToFit="1"/>
    </xf>
    <xf numFmtId="164" fontId="24" fillId="0" borderId="24" applyAlignment="1" pivotButton="0" quotePrefix="0" xfId="0">
      <alignment horizontal="left" vertical="center" shrinkToFit="1"/>
    </xf>
    <xf numFmtId="164" fontId="24" fillId="0" borderId="25" applyAlignment="1" pivotButton="0" quotePrefix="0" xfId="0">
      <alignment horizontal="left" vertical="center" shrinkToFit="1"/>
    </xf>
    <xf numFmtId="0" fontId="33" fillId="0" borderId="0" applyAlignment="1" pivotButton="0" quotePrefix="0" xfId="42">
      <alignment horizontal="center" vertical="center" shrinkToFit="1"/>
    </xf>
    <xf numFmtId="0" fontId="33" fillId="0" borderId="19" applyAlignment="1" pivotButton="0" quotePrefix="0" xfId="42">
      <alignment horizontal="center" vertical="center" shrinkToFit="1"/>
    </xf>
    <xf numFmtId="0" fontId="33" fillId="0" borderId="0" applyAlignment="1" pivotButton="0" quotePrefix="0" xfId="42">
      <alignment horizontal="right" vertical="center" shrinkToFit="1"/>
    </xf>
    <xf numFmtId="0" fontId="28" fillId="0" borderId="15" applyAlignment="1" pivotButton="0" quotePrefix="0" xfId="42">
      <alignment horizontal="center" vertical="center"/>
    </xf>
    <xf numFmtId="0" fontId="28" fillId="0" borderId="16" applyAlignment="1" pivotButton="0" quotePrefix="0" xfId="42">
      <alignment horizontal="center" vertical="center"/>
    </xf>
    <xf numFmtId="0" fontId="28" fillId="0" borderId="17" applyAlignment="1" pivotButton="0" quotePrefix="0" xfId="42">
      <alignment horizontal="center" vertical="center"/>
    </xf>
    <xf numFmtId="0" fontId="28" fillId="0" borderId="33" applyAlignment="1" pivotButton="0" quotePrefix="0" xfId="0">
      <alignment horizontal="center" vertical="center" wrapText="1"/>
    </xf>
    <xf numFmtId="0" fontId="28" fillId="0" borderId="31" applyAlignment="1" pivotButton="0" quotePrefix="0" xfId="0">
      <alignment horizontal="center" vertical="center" wrapText="1"/>
    </xf>
    <xf numFmtId="0" fontId="20" fillId="0" borderId="31" applyAlignment="1" pivotButton="0" quotePrefix="0" xfId="0">
      <alignment horizontal="center" vertical="center" wrapText="1"/>
    </xf>
    <xf numFmtId="0" fontId="20" fillId="0" borderId="31" applyAlignment="1" pivotButton="0" quotePrefix="0" xfId="42">
      <alignment horizontal="center" vertical="center"/>
    </xf>
    <xf numFmtId="0" fontId="20" fillId="0" borderId="32" applyAlignment="1" pivotButton="0" quotePrefix="0" xfId="42">
      <alignment horizontal="center" vertical="center"/>
    </xf>
    <xf numFmtId="0" fontId="29" fillId="0" borderId="23" applyAlignment="1" pivotButton="0" quotePrefix="0" xfId="42">
      <alignment horizontal="center" vertical="center" wrapText="1"/>
    </xf>
    <xf numFmtId="0" fontId="29" fillId="0" borderId="24" applyAlignment="1" pivotButton="0" quotePrefix="0" xfId="42">
      <alignment horizontal="center" vertical="center" wrapText="1"/>
    </xf>
    <xf numFmtId="0" fontId="29" fillId="0" borderId="25" applyAlignment="1" pivotButton="0" quotePrefix="0" xfId="42">
      <alignment horizontal="center" vertical="center" wrapText="1"/>
    </xf>
    <xf numFmtId="0" fontId="20" fillId="0" borderId="15" applyAlignment="1" pivotButton="0" quotePrefix="0" xfId="42">
      <alignment horizontal="center" vertical="center"/>
    </xf>
    <xf numFmtId="0" fontId="20" fillId="0" borderId="16" applyAlignment="1" pivotButton="0" quotePrefix="0" xfId="42">
      <alignment horizontal="center" vertical="center"/>
    </xf>
    <xf numFmtId="0" fontId="20" fillId="0" borderId="23" applyAlignment="1" pivotButton="0" quotePrefix="0" xfId="42">
      <alignment horizontal="center" vertical="center"/>
    </xf>
    <xf numFmtId="0" fontId="20" fillId="0" borderId="24" applyAlignment="1" pivotButton="0" quotePrefix="0" xfId="42">
      <alignment horizontal="center" vertical="center"/>
    </xf>
    <xf numFmtId="0" fontId="20" fillId="0" borderId="16" applyAlignment="1" pivotButton="0" quotePrefix="0" xfId="42">
      <alignment horizontal="left" vertical="center"/>
    </xf>
    <xf numFmtId="0" fontId="20" fillId="0" borderId="24" applyAlignment="1" pivotButton="0" quotePrefix="0" xfId="42">
      <alignment horizontal="left" vertical="center"/>
    </xf>
    <xf numFmtId="0" fontId="35" fillId="0" borderId="16" applyAlignment="1" pivotButton="0" quotePrefix="0" xfId="42">
      <alignment horizontal="center" vertical="center"/>
    </xf>
    <xf numFmtId="0" fontId="35" fillId="0" borderId="24" applyAlignment="1" pivotButton="0" quotePrefix="0" xfId="42">
      <alignment horizontal="center" vertical="center"/>
    </xf>
    <xf numFmtId="0" fontId="29" fillId="0" borderId="29" applyAlignment="1" pivotButton="0" quotePrefix="0" xfId="42">
      <alignment horizontal="center" vertical="center" wrapText="1"/>
    </xf>
    <xf numFmtId="0" fontId="29" fillId="0" borderId="30" applyAlignment="1" pivotButton="0" quotePrefix="0" xfId="42">
      <alignment horizontal="center" vertical="center" wrapText="1"/>
    </xf>
    <xf numFmtId="0" fontId="28" fillId="0" borderId="29" applyAlignment="1" pivotButton="0" quotePrefix="0" xfId="42">
      <alignment horizontal="center" vertical="center" wrapText="1"/>
    </xf>
    <xf numFmtId="0" fontId="28" fillId="0" borderId="30" applyAlignment="1" pivotButton="0" quotePrefix="0" xfId="42">
      <alignment horizontal="center" vertical="center" wrapText="1"/>
    </xf>
    <xf numFmtId="0" fontId="36" fillId="0" borderId="18" applyAlignment="1" pivotButton="0" quotePrefix="0" xfId="0">
      <alignment vertical="center" wrapText="1"/>
    </xf>
    <xf numFmtId="0" fontId="36" fillId="0" borderId="0" applyAlignment="1" pivotButton="0" quotePrefix="0" xfId="0">
      <alignment vertical="center" wrapText="1"/>
    </xf>
    <xf numFmtId="0" fontId="36" fillId="0" borderId="19" applyAlignment="1" pivotButton="0" quotePrefix="0" xfId="0">
      <alignment vertical="center" wrapText="1"/>
    </xf>
    <xf numFmtId="0" fontId="36" fillId="0" borderId="23" applyAlignment="1" pivotButton="0" quotePrefix="0" xfId="0">
      <alignment vertical="center" wrapText="1"/>
    </xf>
    <xf numFmtId="0" fontId="36" fillId="0" borderId="24" applyAlignment="1" pivotButton="0" quotePrefix="0" xfId="0">
      <alignment vertical="center" wrapText="1"/>
    </xf>
    <xf numFmtId="0" fontId="36" fillId="0" borderId="25" applyAlignment="1" pivotButton="0" quotePrefix="0" xfId="0">
      <alignment vertical="center" wrapText="1"/>
    </xf>
    <xf numFmtId="0" fontId="36" fillId="0" borderId="16" applyAlignment="1" pivotButton="0" quotePrefix="0" xfId="0">
      <alignment vertical="center" wrapText="1"/>
    </xf>
    <xf numFmtId="0" fontId="36" fillId="0" borderId="17" applyAlignment="1" pivotButton="0" quotePrefix="0" xfId="0">
      <alignment vertical="center" wrapText="1"/>
    </xf>
    <xf numFmtId="0" fontId="34" fillId="0" borderId="0" applyAlignment="1" pivotButton="0" quotePrefix="0" xfId="42">
      <alignment horizontal="center"/>
    </xf>
    <xf numFmtId="0" fontId="21" fillId="0" borderId="0" applyAlignment="1" pivotButton="0" quotePrefix="0" xfId="42">
      <alignment horizontal="center" vertical="center" wrapText="1"/>
    </xf>
    <xf numFmtId="0" fontId="21" fillId="0" borderId="24" applyAlignment="1" pivotButton="0" quotePrefix="0" xfId="42">
      <alignment horizontal="center" vertical="center" wrapText="1"/>
    </xf>
    <xf numFmtId="0" fontId="24" fillId="0" borderId="10" applyAlignment="1" pivotButton="0" quotePrefix="0" xfId="42">
      <alignment horizontal="center" vertical="center"/>
    </xf>
    <xf numFmtId="0" fontId="25" fillId="0" borderId="15" applyAlignment="1" pivotButton="0" quotePrefix="0" xfId="42">
      <alignment horizontal="center" vertical="center" shrinkToFit="1"/>
    </xf>
    <xf numFmtId="0" fontId="25" fillId="0" borderId="16" applyAlignment="1" pivotButton="0" quotePrefix="0" xfId="42">
      <alignment horizontal="center" vertical="center" shrinkToFit="1"/>
    </xf>
    <xf numFmtId="0" fontId="25" fillId="0" borderId="18" applyAlignment="1" pivotButton="0" quotePrefix="0" xfId="42">
      <alignment horizontal="center" vertical="center" shrinkToFit="1"/>
    </xf>
    <xf numFmtId="0" fontId="25" fillId="0" borderId="0" applyAlignment="1" pivotButton="0" quotePrefix="0" xfId="42">
      <alignment horizontal="center" vertical="center" shrinkToFit="1"/>
    </xf>
    <xf numFmtId="0" fontId="25" fillId="0" borderId="23" applyAlignment="1" pivotButton="0" quotePrefix="0" xfId="42">
      <alignment horizontal="center" vertical="center" shrinkToFit="1"/>
    </xf>
    <xf numFmtId="0" fontId="25" fillId="0" borderId="24" applyAlignment="1" pivotButton="0" quotePrefix="0" xfId="42">
      <alignment horizontal="center" vertical="center" shrinkToFit="1"/>
    </xf>
    <xf numFmtId="0" fontId="25" fillId="0" borderId="17" applyAlignment="1" pivotButton="0" quotePrefix="0" xfId="42">
      <alignment horizontal="center" vertical="center" shrinkToFit="1"/>
    </xf>
    <xf numFmtId="0" fontId="25" fillId="0" borderId="19" applyAlignment="1" pivotButton="0" quotePrefix="0" xfId="42">
      <alignment horizontal="center" vertical="center" shrinkToFit="1"/>
    </xf>
    <xf numFmtId="0" fontId="25" fillId="0" borderId="25" applyAlignment="1" pivotButton="0" quotePrefix="0" xfId="42">
      <alignment horizontal="center" vertical="center" shrinkToFit="1"/>
    </xf>
    <xf numFmtId="0" fontId="24" fillId="0" borderId="11" applyAlignment="1" pivotButton="0" quotePrefix="0" xfId="42">
      <alignment horizontal="center" vertical="center"/>
    </xf>
    <xf numFmtId="0" fontId="24" fillId="0" borderId="12" applyAlignment="1" pivotButton="0" quotePrefix="0" xfId="42">
      <alignment horizontal="center" vertical="center"/>
    </xf>
    <xf numFmtId="0" fontId="34" fillId="0" borderId="16" applyAlignment="1" pivotButton="0" quotePrefix="0" xfId="42">
      <alignment horizontal="center" vertical="center" shrinkToFit="1"/>
    </xf>
    <xf numFmtId="0" fontId="34" fillId="0" borderId="0" applyAlignment="1" pivotButton="0" quotePrefix="0" xfId="42">
      <alignment horizontal="center" vertical="center" shrinkToFit="1"/>
    </xf>
    <xf numFmtId="0" fontId="34" fillId="0" borderId="24" applyAlignment="1" pivotButton="0" quotePrefix="0" xfId="42">
      <alignment horizontal="center" vertical="center" shrinkToFit="1"/>
    </xf>
    <xf numFmtId="0" fontId="26" fillId="0" borderId="18" applyAlignment="1" pivotButton="0" quotePrefix="0" xfId="42">
      <alignment horizontal="center" vertical="center" wrapText="1"/>
    </xf>
    <xf numFmtId="0" fontId="26" fillId="0" borderId="0" applyAlignment="1" pivotButton="0" quotePrefix="0" xfId="42">
      <alignment horizontal="center" vertical="center" wrapText="1"/>
    </xf>
    <xf numFmtId="0" fontId="27" fillId="0" borderId="18" applyAlignment="1" pivotButton="0" quotePrefix="0" xfId="42">
      <alignment horizontal="center" vertical="center" wrapText="1"/>
    </xf>
    <xf numFmtId="0" fontId="27" fillId="0" borderId="0" applyAlignment="1" pivotButton="0" quotePrefix="0" xfId="42">
      <alignment horizontal="center" vertical="center" wrapText="1"/>
    </xf>
    <xf numFmtId="0" fontId="20" fillId="0" borderId="0" applyAlignment="1" pivotButton="0" quotePrefix="0" xfId="42">
      <alignment horizontal="center" vertical="center"/>
    </xf>
    <xf numFmtId="0" fontId="34" fillId="0" borderId="0" applyAlignment="1" pivotButton="0" quotePrefix="0" xfId="42">
      <alignment horizontal="center" vertical="center"/>
    </xf>
    <xf numFmtId="0" fontId="34" fillId="0" borderId="19" applyAlignment="1" pivotButton="0" quotePrefix="0" xfId="42">
      <alignment horizontal="center" vertical="center"/>
    </xf>
    <xf numFmtId="0" fontId="34" fillId="0" borderId="24" applyAlignment="1" pivotButton="0" quotePrefix="0" xfId="42">
      <alignment horizontal="center" vertical="center"/>
    </xf>
    <xf numFmtId="0" fontId="34" fillId="0" borderId="25" applyAlignment="1" pivotButton="0" quotePrefix="0" xfId="42">
      <alignment horizontal="center" vertical="center"/>
    </xf>
    <xf numFmtId="0" fontId="25" fillId="0" borderId="16" applyAlignment="1" pivotButton="0" quotePrefix="0" xfId="42">
      <alignment horizontal="center" vertical="center" wrapText="1"/>
    </xf>
    <xf numFmtId="0" fontId="25" fillId="0" borderId="17" applyAlignment="1" pivotButton="0" quotePrefix="0" xfId="42">
      <alignment horizontal="center" vertical="center" wrapText="1"/>
    </xf>
    <xf numFmtId="0" fontId="25" fillId="0" borderId="0" applyAlignment="1" pivotButton="0" quotePrefix="0" xfId="42">
      <alignment horizontal="center" vertical="center" wrapText="1"/>
    </xf>
    <xf numFmtId="0" fontId="25" fillId="0" borderId="19" applyAlignment="1" pivotButton="0" quotePrefix="0" xfId="42">
      <alignment horizontal="center" vertical="center" wrapText="1"/>
    </xf>
    <xf numFmtId="0" fontId="20" fillId="0" borderId="25" applyAlignment="1" pivotButton="0" quotePrefix="0" xfId="42">
      <alignment horizontal="center" vertical="center"/>
    </xf>
    <xf numFmtId="0" fontId="34" fillId="0" borderId="18" applyAlignment="1" pivotButton="0" quotePrefix="0" xfId="42">
      <alignment horizontal="center" vertical="center"/>
    </xf>
    <xf numFmtId="0" fontId="34" fillId="0" borderId="23" applyAlignment="1" pivotButton="0" quotePrefix="0" xfId="42">
      <alignment horizontal="center" vertical="center"/>
    </xf>
    <xf numFmtId="3" fontId="36" fillId="0" borderId="0" applyAlignment="1" pivotButton="0" quotePrefix="0" xfId="0">
      <alignment horizontal="center" vertical="center"/>
    </xf>
    <xf numFmtId="0" fontId="36" fillId="0" borderId="0" applyAlignment="1" pivotButton="0" quotePrefix="0" xfId="0">
      <alignment horizontal="center" vertical="center"/>
    </xf>
    <xf numFmtId="0" fontId="28" fillId="0" borderId="31" applyAlignment="1" pivotButton="0" quotePrefix="0" xfId="42">
      <alignment horizontal="left" vertical="center"/>
    </xf>
    <xf numFmtId="0" fontId="28" fillId="0" borderId="32" applyAlignment="1" pivotButton="0" quotePrefix="0" xfId="42">
      <alignment horizontal="left" vertical="center"/>
    </xf>
    <xf numFmtId="3" fontId="37" fillId="0" borderId="31" applyAlignment="1" pivotButton="0" quotePrefix="0" xfId="42">
      <alignment horizontal="center" vertical="center"/>
    </xf>
    <xf numFmtId="0" fontId="37" fillId="0" borderId="31" applyAlignment="1" pivotButton="0" quotePrefix="0" xfId="42">
      <alignment horizontal="center" vertical="center"/>
    </xf>
    <xf numFmtId="0" fontId="28" fillId="0" borderId="31" applyAlignment="1" pivotButton="0" quotePrefix="0" xfId="42">
      <alignment horizontal="center" vertical="center"/>
    </xf>
    <xf numFmtId="3" fontId="33" fillId="0" borderId="0" applyAlignment="1" pivotButton="0" quotePrefix="0" xfId="0">
      <alignment horizontal="center" vertical="center" shrinkToFit="1"/>
    </xf>
    <xf numFmtId="3" fontId="34" fillId="0" borderId="0" applyAlignment="1" pivotButton="0" quotePrefix="0" xfId="0">
      <alignment horizontal="center" vertical="center" shrinkToFit="1"/>
    </xf>
    <xf numFmtId="3" fontId="34" fillId="0" borderId="24" applyAlignment="1" pivotButton="0" quotePrefix="0" xfId="0">
      <alignment horizontal="center" vertical="center" shrinkToFit="1"/>
    </xf>
    <xf numFmtId="0" fontId="28" fillId="0" borderId="0" applyAlignment="1" pivotButton="0" quotePrefix="0" xfId="42">
      <alignment horizontal="left" vertical="center" wrapText="1"/>
    </xf>
    <xf numFmtId="0" fontId="29" fillId="0" borderId="15" applyAlignment="1" pivotButton="0" quotePrefix="0" xfId="0">
      <alignment horizontal="center" vertical="center" wrapText="1"/>
    </xf>
    <xf numFmtId="0" fontId="29" fillId="0" borderId="16" applyAlignment="1" pivotButton="0" quotePrefix="0" xfId="0">
      <alignment horizontal="center" vertical="center" wrapText="1"/>
    </xf>
    <xf numFmtId="0" fontId="29" fillId="0" borderId="17" applyAlignment="1" pivotButton="0" quotePrefix="0" xfId="0">
      <alignment horizontal="center" vertical="center" wrapText="1"/>
    </xf>
    <xf numFmtId="0" fontId="29" fillId="0" borderId="18" applyAlignment="1" pivotButton="0" quotePrefix="0" xfId="0">
      <alignment horizontal="center" vertical="center" wrapText="1"/>
    </xf>
    <xf numFmtId="0" fontId="29" fillId="0" borderId="0" applyAlignment="1" pivotButton="0" quotePrefix="0" xfId="0">
      <alignment horizontal="center" vertical="center" wrapText="1"/>
    </xf>
    <xf numFmtId="0" fontId="29" fillId="0" borderId="19" applyAlignment="1" pivotButton="0" quotePrefix="0" xfId="0">
      <alignment horizontal="center" vertical="center" wrapText="1"/>
    </xf>
    <xf numFmtId="0" fontId="29" fillId="0" borderId="23" applyAlignment="1" pivotButton="0" quotePrefix="0" xfId="0">
      <alignment horizontal="center" vertical="center" wrapText="1"/>
    </xf>
    <xf numFmtId="0" fontId="29" fillId="0" borderId="24" applyAlignment="1" pivotButton="0" quotePrefix="0" xfId="0">
      <alignment horizontal="center" vertical="center" wrapText="1"/>
    </xf>
    <xf numFmtId="0" fontId="29" fillId="0" borderId="25" applyAlignment="1" pivotButton="0" quotePrefix="0" xfId="0">
      <alignment horizontal="center" vertical="center" wrapText="1"/>
    </xf>
    <xf numFmtId="0" fontId="29" fillId="0" borderId="0" applyAlignment="1" pivotButton="0" quotePrefix="0" xfId="42">
      <alignment vertical="center" wrapText="1"/>
    </xf>
    <xf numFmtId="0" fontId="29" fillId="0" borderId="0" applyAlignment="1" pivotButton="0" quotePrefix="0" xfId="0">
      <alignment vertical="center" wrapText="1"/>
    </xf>
    <xf numFmtId="0" fontId="29"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29" fillId="0" borderId="0" applyAlignment="1" pivotButton="0" quotePrefix="0" xfId="42">
      <alignment horizontal="center" vertical="center" wrapText="1"/>
    </xf>
    <xf numFmtId="0" fontId="29" fillId="0" borderId="0" applyAlignment="1" pivotButton="0" quotePrefix="0" xfId="42">
      <alignment horizontal="left" vertical="center" wrapText="1"/>
    </xf>
    <xf numFmtId="0" fontId="0" fillId="0" borderId="0" pivotButton="0" quotePrefix="0" xfId="0"/>
    <xf numFmtId="0" fontId="40" fillId="0" borderId="0" applyAlignment="1" pivotButton="0" quotePrefix="0" xfId="0">
      <alignment wrapText="1"/>
    </xf>
    <xf numFmtId="0" fontId="41" fillId="0" borderId="0" applyAlignment="1" pivotButton="0" quotePrefix="0" xfId="0">
      <alignment wrapText="1"/>
    </xf>
    <xf numFmtId="0" fontId="46" fillId="0" borderId="0" applyAlignment="1" pivotButton="0" quotePrefix="0" xfId="0">
      <alignment wrapText="1"/>
    </xf>
    <xf numFmtId="0" fontId="44" fillId="0" borderId="0" applyAlignment="1" pivotButton="0" quotePrefix="0" xfId="0">
      <alignment wrapText="1"/>
    </xf>
    <xf numFmtId="0" fontId="40" fillId="0" borderId="0" pivotButton="0" quotePrefix="0" xfId="0"/>
    <xf numFmtId="0" fontId="46" fillId="0" borderId="0" applyAlignment="1" pivotButton="0" quotePrefix="0" xfId="0">
      <alignment vertical="center" wrapText="1"/>
    </xf>
    <xf numFmtId="0" fontId="41" fillId="0" borderId="0" applyAlignment="1" pivotButton="0" quotePrefix="0" xfId="0">
      <alignment vertical="top" wrapText="1"/>
    </xf>
    <xf numFmtId="0" fontId="42" fillId="33" borderId="0" pivotButton="0" quotePrefix="0" xfId="0"/>
    <xf numFmtId="0" fontId="43" fillId="33" borderId="0" pivotButton="0" quotePrefix="0" xfId="0"/>
    <xf numFmtId="0" fontId="41" fillId="0" borderId="0" applyAlignment="1" pivotButton="0" quotePrefix="0" xfId="0">
      <alignment vertical="center" wrapText="1"/>
    </xf>
    <xf numFmtId="1" fontId="44" fillId="35" borderId="35" applyAlignment="1" applyProtection="1" pivotButton="0" quotePrefix="0" xfId="0">
      <alignment horizontal="left" vertical="center"/>
      <protection locked="0" hidden="0"/>
    </xf>
    <xf numFmtId="0" fontId="0" fillId="35" borderId="35" applyProtection="1" pivotButton="0" quotePrefix="0" xfId="0">
      <protection locked="0" hidden="0"/>
    </xf>
    <xf numFmtId="0" fontId="45" fillId="0" borderId="0" applyAlignment="1" pivotButton="0" quotePrefix="0" xfId="0">
      <alignment vertical="center" wrapText="1"/>
    </xf>
    <xf numFmtId="0" fontId="41" fillId="0" borderId="0" applyAlignment="1" pivotButton="0" quotePrefix="0" xfId="0">
      <alignment horizontal="center" vertical="center"/>
    </xf>
    <xf numFmtId="0" fontId="44" fillId="35" borderId="35" applyAlignment="1" applyProtection="1" pivotButton="0" quotePrefix="0" xfId="0">
      <alignment horizontal="center" vertical="center"/>
      <protection locked="0" hidden="0"/>
    </xf>
    <xf numFmtId="49" fontId="44" fillId="35" borderId="35" applyAlignment="1" applyProtection="1" pivotButton="0" quotePrefix="0" xfId="0">
      <alignment horizontal="left" vertical="center"/>
      <protection locked="0" hidden="0"/>
    </xf>
    <xf numFmtId="0" fontId="44" fillId="35" borderId="35" applyAlignment="1" applyProtection="1" pivotButton="0" quotePrefix="0" xfId="0">
      <alignment horizontal="left" vertical="center"/>
      <protection locked="0" hidden="0"/>
    </xf>
    <xf numFmtId="0" fontId="0" fillId="34" borderId="0" applyAlignment="1" pivotButton="0" quotePrefix="0" xfId="0">
      <alignment horizontal="center"/>
    </xf>
    <xf numFmtId="3" fontId="44" fillId="35" borderId="35" applyAlignment="1" applyProtection="1" pivotButton="0" quotePrefix="0" xfId="0">
      <alignment horizontal="left" vertical="center"/>
      <protection locked="0" hidden="0"/>
    </xf>
    <xf numFmtId="165" fontId="0" fillId="34" borderId="0" applyAlignment="1" pivotButton="0" quotePrefix="0" xfId="0">
      <alignment horizontal="right"/>
    </xf>
    <xf numFmtId="0" fontId="0" fillId="0" borderId="10" pivotButton="0" quotePrefix="0" xfId="0"/>
    <xf numFmtId="0" fontId="25" fillId="0" borderId="33" applyAlignment="1" pivotButton="0" quotePrefix="0" xfId="42">
      <alignment horizontal="center" vertical="center" shrinkToFit="1"/>
    </xf>
    <xf numFmtId="0" fontId="0" fillId="0" borderId="16" pivotButton="0" quotePrefix="0" xfId="0"/>
    <xf numFmtId="0" fontId="34" fillId="0" borderId="31" applyAlignment="1" pivotButton="0" quotePrefix="0" xfId="42">
      <alignment horizontal="center" vertical="center" shrinkToFit="1"/>
    </xf>
    <xf numFmtId="0" fontId="25" fillId="0" borderId="31" applyAlignment="1" pivotButton="0" quotePrefix="0" xfId="42">
      <alignment horizontal="center" vertical="center" shrinkToFit="1"/>
    </xf>
    <xf numFmtId="0" fontId="25" fillId="0" borderId="32" applyAlignment="1" pivotButton="0" quotePrefix="0" xfId="42">
      <alignment horizontal="center" vertical="center" shrinkToFit="1"/>
    </xf>
    <xf numFmtId="0" fontId="0" fillId="0" borderId="17" pivotButton="0" quotePrefix="0" xfId="0"/>
    <xf numFmtId="0" fontId="0" fillId="0" borderId="11" pivotButton="0" quotePrefix="0" xfId="0"/>
    <xf numFmtId="0" fontId="0" fillId="0" borderId="12" pivotButton="0" quotePrefix="0" xfId="0"/>
    <xf numFmtId="0" fontId="0" fillId="0" borderId="18" pivotButton="0" quotePrefix="0" xfId="0"/>
    <xf numFmtId="0" fontId="0" fillId="0" borderId="19" pivotButton="0" quotePrefix="0" xfId="0"/>
    <xf numFmtId="0" fontId="0" fillId="0" borderId="24" pivotButton="0" quotePrefix="0" xfId="0"/>
    <xf numFmtId="0" fontId="0" fillId="0" borderId="23" pivotButton="0" quotePrefix="0" xfId="0"/>
    <xf numFmtId="0" fontId="0" fillId="0" borderId="25" pivotButton="0" quotePrefix="0" xfId="0"/>
    <xf numFmtId="0" fontId="34" fillId="0" borderId="23" applyAlignment="1" pivotButton="0" quotePrefix="0" xfId="42">
      <alignment horizontal="center" vertical="center" shrinkToFit="1"/>
    </xf>
    <xf numFmtId="0" fontId="34" fillId="0" borderId="25" applyAlignment="1" pivotButton="0" quotePrefix="0" xfId="42">
      <alignment horizontal="center" vertical="center" shrinkToFit="1"/>
    </xf>
    <xf numFmtId="0" fontId="20" fillId="0" borderId="0" applyAlignment="1" pivotButton="0" quotePrefix="0" xfId="42">
      <alignment horizontal="center" vertical="center" shrinkToFit="1"/>
    </xf>
    <xf numFmtId="0" fontId="20" fillId="0" borderId="33" applyAlignment="1" pivotButton="0" quotePrefix="0" xfId="42">
      <alignment horizontal="center" vertical="center" shrinkToFit="1"/>
    </xf>
    <xf numFmtId="0" fontId="35" fillId="0" borderId="31" applyAlignment="1" pivotButton="0" quotePrefix="0" xfId="42">
      <alignment horizontal="center" vertical="center" shrinkToFit="1"/>
    </xf>
    <xf numFmtId="0" fontId="20" fillId="0" borderId="31" applyAlignment="1" pivotButton="0" quotePrefix="0" xfId="42">
      <alignment horizontal="left" vertical="center"/>
    </xf>
    <xf numFmtId="0" fontId="28" fillId="0" borderId="34" applyAlignment="1" pivotButton="0" quotePrefix="0" xfId="42">
      <alignment horizontal="center" vertical="center"/>
    </xf>
    <xf numFmtId="0" fontId="20" fillId="0" borderId="29" applyAlignment="1" pivotButton="0" quotePrefix="0" xfId="42">
      <alignment horizontal="center" vertical="center"/>
    </xf>
    <xf numFmtId="0" fontId="36" fillId="0" borderId="29" applyAlignment="1" pivotButton="0" quotePrefix="0" xfId="0">
      <alignment vertical="center" wrapText="1" shrinkToFit="1"/>
    </xf>
    <xf numFmtId="0" fontId="36" fillId="0" borderId="32" applyAlignment="1" pivotButton="0" quotePrefix="0" xfId="0">
      <alignment vertical="center" wrapText="1" shrinkToFit="1"/>
    </xf>
    <xf numFmtId="0" fontId="0" fillId="0" borderId="31" pivotButton="0" quotePrefix="0" xfId="0"/>
    <xf numFmtId="0" fontId="0" fillId="0" borderId="32" pivotButton="0" quotePrefix="0" xfId="0"/>
    <xf numFmtId="0" fontId="35" fillId="0" borderId="31" applyAlignment="1" pivotButton="0" quotePrefix="0" xfId="0">
      <alignment horizontal="center" vertical="center" wrapText="1" shrinkToFit="1"/>
    </xf>
    <xf numFmtId="0" fontId="36" fillId="0" borderId="30" applyAlignment="1" pivotButton="0" quotePrefix="0" xfId="42">
      <alignment horizontal="center" vertical="center" shrinkToFit="1"/>
    </xf>
    <xf numFmtId="0" fontId="29" fillId="0" borderId="34" applyAlignment="1" pivotButton="0" quotePrefix="0" xfId="42">
      <alignment horizontal="center" vertical="center" wrapText="1"/>
    </xf>
    <xf numFmtId="0" fontId="20" fillId="0" borderId="34" applyAlignment="1" pivotButton="0" quotePrefix="0" xfId="42">
      <alignment horizontal="left" vertical="center" wrapText="1"/>
    </xf>
    <xf numFmtId="3" fontId="37" fillId="0" borderId="31" applyAlignment="1" pivotButton="0" quotePrefix="0" xfId="42">
      <alignment horizontal="center" vertical="center" shrinkToFit="1"/>
    </xf>
    <xf numFmtId="0" fontId="29" fillId="0" borderId="30" applyAlignment="1" pivotButton="0" quotePrefix="0" xfId="0">
      <alignment horizontal="center" vertical="center" wrapText="1"/>
    </xf>
    <xf numFmtId="0" fontId="20" fillId="0" borderId="19" applyAlignment="1" pivotButton="0" quotePrefix="0" xfId="0">
      <alignment horizontal="left" vertical="center" shrinkToFit="1"/>
    </xf>
    <xf numFmtId="3" fontId="36" fillId="0" borderId="0" applyAlignment="1" pivotButton="0" quotePrefix="0" xfId="0">
      <alignment horizontal="center" vertical="center" shrinkToFit="1"/>
    </xf>
    <xf numFmtId="164" fontId="24" fillId="0" borderId="29" applyAlignment="1" pivotButton="0" quotePrefix="0" xfId="0">
      <alignment horizontal="left" vertical="center" shrinkToFit="1"/>
    </xf>
    <xf numFmtId="0" fontId="33" fillId="0" borderId="0" applyAlignment="1" pivotButton="0" quotePrefix="0" xfId="0">
      <alignment horizontal="center" vertical="center" shrinkToFit="1"/>
    </xf>
    <xf numFmtId="0" fontId="26" fillId="0" borderId="30" applyAlignment="1" pivotButton="0" quotePrefix="0" xfId="0">
      <alignment horizontal="center" vertical="center" wrapText="1"/>
    </xf>
    <xf numFmtId="0" fontId="26" fillId="0" borderId="0" applyAlignment="1" pivotButton="0" quotePrefix="0" xfId="42">
      <alignment horizontal="center" vertical="center" shrinkToFit="1"/>
    </xf>
    <xf numFmtId="0" fontId="26" fillId="0" borderId="15" applyAlignment="1" pivotButton="0" quotePrefix="0" xfId="42">
      <alignment horizontal="center" vertical="center" shrinkToFit="1"/>
    </xf>
    <xf numFmtId="0" fontId="26" fillId="0" borderId="18" applyAlignment="1" pivotButton="0" quotePrefix="0" xfId="42">
      <alignment horizontal="center" vertical="center" shrinkToFit="1"/>
    </xf>
    <xf numFmtId="0" fontId="26" fillId="0" borderId="23" applyAlignment="1" pivotButton="0" quotePrefix="0" xfId="42">
      <alignment horizontal="center" vertical="center" shrinkToFit="1"/>
    </xf>
    <xf numFmtId="0" fontId="47" fillId="0" borderId="0" applyAlignment="1" pivotButton="0" quotePrefix="0" xfId="0">
      <alignment horizontal="center"/>
    </xf>
    <xf numFmtId="0" fontId="48" fillId="33" borderId="0" pivotButton="0" quotePrefix="0" xfId="0"/>
    <xf numFmtId="166" fontId="0" fillId="0" borderId="0" pivotButton="0" quotePrefix="0" xfId="0"/>
    <xf numFmtId="0" fontId="49" fillId="0" borderId="0" pivotButton="0" quotePrefix="0" xfId="0"/>
  </cellXfs>
  <cellStyles count="43">
    <cellStyle name="標準" xfId="0" builtinId="0"/>
    <cellStyle name="タイトル" xfId="1" builtinId="15"/>
    <cellStyle name="見出し 1" xfId="2" builtinId="16"/>
    <cellStyle name="見出し 2" xfId="3" builtinId="17"/>
    <cellStyle name="見出し 3" xfId="4" builtinId="18"/>
    <cellStyle name="見出し 4" xfId="5" builtinId="19"/>
    <cellStyle name="良い" xfId="6" builtinId="26"/>
    <cellStyle name="悪い" xfId="7" builtinId="27"/>
    <cellStyle name="どちらでもない" xfId="8" builtinId="28"/>
    <cellStyle name="入力" xfId="9" builtinId="20"/>
    <cellStyle name="出力" xfId="10" builtinId="21"/>
    <cellStyle name="計算" xfId="11" builtinId="22"/>
    <cellStyle name="リンク セル" xfId="12" builtinId="24"/>
    <cellStyle name="チェック セル" xfId="13" builtinId="23"/>
    <cellStyle name="警告文" xfId="14" builtinId="11"/>
    <cellStyle name="メモ" xfId="15" builtinId="10"/>
    <cellStyle name="説明文" xfId="16" builtinId="53"/>
    <cellStyle name="集計" xfId="17" builtinId="25"/>
    <cellStyle name="アクセント 1" xfId="18" builtinId="29"/>
    <cellStyle name="20% - アクセント 1" xfId="19" builtinId="30"/>
    <cellStyle name="40% - アクセント 1" xfId="20" builtinId="31"/>
    <cellStyle name="60% - アクセント 1" xfId="21" builtinId="32"/>
    <cellStyle name="アクセント 2" xfId="22" builtinId="33"/>
    <cellStyle name="20% - アクセント 2" xfId="23" builtinId="34"/>
    <cellStyle name="40% - アクセント 2" xfId="24" builtinId="35"/>
    <cellStyle name="60% - アクセント 2" xfId="25" builtinId="36"/>
    <cellStyle name="アクセント 3" xfId="26" builtinId="37"/>
    <cellStyle name="20% - アクセント 3" xfId="27" builtinId="38"/>
    <cellStyle name="40% - アクセント 3" xfId="28" builtinId="39"/>
    <cellStyle name="60% - アクセント 3" xfId="29" builtinId="40"/>
    <cellStyle name="アクセント 4" xfId="30" builtinId="41"/>
    <cellStyle name="20% - アクセント 4" xfId="31" builtinId="42"/>
    <cellStyle name="40% - アクセント 4" xfId="32" builtinId="43"/>
    <cellStyle name="60% - アクセント 4" xfId="33" builtinId="44"/>
    <cellStyle name="アクセント 5" xfId="34" builtinId="45"/>
    <cellStyle name="20% - アクセント 5" xfId="35" builtinId="46"/>
    <cellStyle name="40% - アクセント 5" xfId="36" builtinId="47"/>
    <cellStyle name="60% - アクセント 5" xfId="37" builtinId="48"/>
    <cellStyle name="アクセント 6" xfId="38" builtinId="49"/>
    <cellStyle name="20% - アクセント 6" xfId="39" builtinId="50"/>
    <cellStyle name="40% - アクセント 6" xfId="40" builtinId="51"/>
    <cellStyle name="60% - アクセント 6" xfId="41" builtinId="52"/>
    <cellStyle name="標準 2" xfId="42"/>
  </cellStyles>
  <dxfs count="8">
    <dxf>
      <fill>
        <patternFill patternType="solid">
          <fgColor rgb="00FFC7CE"/>
          <bgColor rgb="00FFC7CE"/>
        </patternFill>
      </fill>
    </dxf>
    <dxf>
      <font>
        <b val="1"/>
        <color rgb="00C00000"/>
      </font>
    </dxf>
    <dxf>
      <font>
        <b val="1"/>
        <color rgb="00B45F06"/>
      </font>
    </dxf>
    <dxf>
      <font>
        <color rgb="002E7D32"/>
      </font>
    </dxf>
    <dxf>
      <font>
        <color rgb="00A6A6A6"/>
      </font>
      <fill>
        <patternFill patternType="solid">
          <fgColor rgb="00D9D9D9"/>
          <bgColor rgb="00D9D9D9"/>
        </patternFill>
      </fill>
    </dxf>
    <dxf>
      <font>
        <b val="1"/>
        <color rgb="009C0006"/>
      </font>
      <fill>
        <patternFill patternType="solid">
          <fgColor rgb="00FFC7CE"/>
          <bgColor rgb="00FFC7CE"/>
        </patternFill>
      </fill>
    </dxf>
    <dxf>
      <font>
        <b val="1"/>
        <color rgb="007F60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style="225" min="1" max="1"/>
    <col width="110" customWidth="1" style="225" min="2" max="2"/>
  </cols>
  <sheetData>
    <row r="2">
      <c r="B2" s="226" t="inlineStr">
        <is>
          <t>育児時短勤務手当金請求書（電子申請書）　使い方</t>
        </is>
      </c>
    </row>
    <row r="3">
      <c r="B3" s="227" t="inlineStr"/>
    </row>
    <row r="4">
      <c r="B4" s="228" t="inlineStr">
        <is>
          <t>■ 職員・庶務担当の方</t>
        </is>
      </c>
    </row>
    <row r="5">
      <c r="B5" s="229" t="inlineStr">
        <is>
          <t>1. このファイルを開き、「入力」シートの黄色いセルに入力します（インストール不要・Excelだけで動きます）。</t>
        </is>
      </c>
    </row>
    <row r="6">
      <c r="B6" s="229" t="inlineStr">
        <is>
          <t>2. 入力すると、右側の「チェック」欄が自動で ✓（OK）／✕（エラー）／△（要確認）になります。✕ は必ず直してください。</t>
        </is>
      </c>
    </row>
    <row r="7">
      <c r="B7" s="229" t="inlineStr">
        <is>
          <t>3. 日付は「令和」の年・月・日を数字で入力します（例：令和8年4月 → 年に8、月に4）。請求期間は自動で計算されます。</t>
        </is>
      </c>
    </row>
    <row r="8">
      <c r="B8" s="229" t="inlineStr">
        <is>
          <t>4. 「入力」シート最上段が緑色（✓）になったら、「請求書(表)」「請求書(裏)」を印刷し、所属機関の長の確認欄に記入・押印します。</t>
        </is>
      </c>
    </row>
    <row r="9">
      <c r="B9" s="229" t="inlineStr">
        <is>
          <t>5. 添付書類（承認書・出勤簿・支給明細書の写し等）を添えて、庶務担当を通じて共済組合へ提出します。</t>
        </is>
      </c>
    </row>
    <row r="10">
      <c r="B10" s="229" t="inlineStr">
        <is>
          <t>※入力エラーが残ったまま印刷すると、請求書の下に赤字で警告が印字されます。</t>
        </is>
      </c>
    </row>
    <row r="11">
      <c r="B11" s="229" t="inlineStr">
        <is>
          <t>※1か月分ごとに1回請求します。翌月分は、このファイルを「名前を付けて保存」し、対象月と報酬額などを書き換えて使えます。</t>
        </is>
      </c>
    </row>
    <row r="12">
      <c r="B12" s="229" t="inlineStr">
        <is>
          <t>※☆の項目（個人番号・標準報酬月額・決定額）と所属機関の長の氏名等は入力不要です。</t>
        </is>
      </c>
    </row>
    <row r="13">
      <c r="B13" s="227" t="inlineStr"/>
    </row>
    <row r="14">
      <c r="B14" s="228" t="inlineStr">
        <is>
          <t>■ 共済組合の方</t>
        </is>
      </c>
    </row>
    <row r="15">
      <c r="B15" s="229" t="inlineStr">
        <is>
          <t>・受け取ったファイルの「共済組合提出データ」シートの2行目をコピーし、管理台帳「請求記録」に値のみ貼り付けます。</t>
        </is>
      </c>
    </row>
    <row r="16">
      <c r="B16" s="229" t="inlineStr">
        <is>
          <t>・請求期間の始期は『勤務開始日が月の途中ならその日から』で自動計算しています（運用が異なる場合はお知らせください）。</t>
        </is>
      </c>
    </row>
    <row r="17">
      <c r="B17" s="227" t="inlineStr"/>
    </row>
    <row r="18">
      <c r="B18" s="228" t="inlineStr">
        <is>
          <t>■ 動作環境</t>
        </is>
      </c>
    </row>
    <row r="19">
      <c r="B19" s="229" t="inlineStr">
        <is>
          <t>Excel 2013以降（マクロ不使用）。シートは保護（パスワードなし）されており、黄色いセル以外は書き換えできません。</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1:O52"/>
  <sheetViews>
    <sheetView showGridLines="0" zoomScale="100" workbookViewId="0">
      <pane ySplit="4" topLeftCell="A5" activePane="bottomLeft" state="frozen"/>
      <selection pane="bottomLeft" activeCell="A1" sqref="A1"/>
    </sheetView>
  </sheetViews>
  <sheetFormatPr baseColWidth="8" defaultRowHeight="15"/>
  <cols>
    <col width="1.5" customWidth="1" style="225" min="1" max="1"/>
    <col width="34" customWidth="1" style="225" min="2" max="2"/>
    <col width="8" customWidth="1" style="225" min="3" max="3"/>
    <col width="7" customWidth="1" style="225" min="4" max="4"/>
    <col width="3.5" customWidth="1" style="225" min="5" max="5"/>
    <col width="7" customWidth="1" style="225" min="6" max="6"/>
    <col width="3.5" customWidth="1" style="225" min="7" max="7"/>
    <col width="7" customWidth="1" style="225" min="8" max="8"/>
    <col width="4" customWidth="1" style="225" min="9" max="9"/>
    <col width="2" customWidth="1" style="225" min="10" max="10"/>
    <col width="62" customWidth="1" style="225" min="11" max="11"/>
    <col width="46" customWidth="1" style="225" min="12" max="12"/>
    <col hidden="1" width="13" customWidth="1" style="225" min="14" max="14"/>
    <col hidden="1" width="13" customWidth="1" style="225" min="15" max="15"/>
  </cols>
  <sheetData>
    <row r="1">
      <c r="B1" s="230" t="inlineStr">
        <is>
          <t>育児時短勤務手当金請求書　入力シート</t>
        </is>
      </c>
    </row>
    <row r="2" ht="30" customHeight="1" s="225">
      <c r="B2" s="231">
        <f>IF(COUNTIF(K6:K52,"✕*")&gt;0,"✕ 入力エラーが "&amp;COUNTIF(K6:K52,"✕*")&amp;" 件あります。赤い項目を直してください。",IF(COUNTIF(K6:K52,"△*")&gt;0,"△ エラーはありません。注意が "&amp;COUNTIF(K6:K52,"△*")&amp;" 件あります。内容を確認してください。（印刷できます）","✓ すべて正しく入力されています。「請求書(表)」「請求書(裏)」を印刷し、添付書類をそろえて提出してください。"))</f>
        <v/>
      </c>
    </row>
    <row r="3" ht="30" customHeight="1" s="225">
      <c r="B3" s="232" t="inlineStr">
        <is>
          <t>黄色いセルに入力してください。右の「チェック」欄が ✓（緑）になれば正しく入力できています。✕（赤）は必ず直してください。☆の項目（標準報酬月額・決定額・個人番号）は共済組合が記入するので入力不要です。</t>
        </is>
      </c>
    </row>
    <row r="4">
      <c r="K4" s="233" t="inlineStr">
        <is>
          <t>チェック（自動）</t>
        </is>
      </c>
      <c r="L4" s="233" t="inlineStr">
        <is>
          <t>記入例・説明</t>
        </is>
      </c>
    </row>
    <row r="5" ht="20" customHeight="1" s="225">
      <c r="B5" s="234" t="inlineStr">
        <is>
          <t>① 請求する月</t>
        </is>
      </c>
    </row>
    <row r="6" ht="24" customHeight="1" s="225">
      <c r="B6" s="235" t="inlineStr">
        <is>
          <t>職員番号（7桁）</t>
        </is>
      </c>
      <c r="C6" s="236" t="n"/>
      <c r="D6" s="237" t="n"/>
      <c r="E6" s="237" t="n"/>
      <c r="F6" s="237" t="n"/>
      <c r="G6" s="237" t="n"/>
      <c r="H6" s="237" t="n"/>
      <c r="I6" s="237" t="n"/>
      <c r="K6" s="235">
        <f>IF(C6="","✕ 未入力です",IF(NOT(ISNUMBER(C6)),"✕ 数字で入力してください",IF(LEN(C6)&lt;&gt;7,"△ 職員番号は通常7桁です。確認してください","✓")))</f>
        <v/>
      </c>
      <c r="L6" s="238" t="inlineStr">
        <is>
          <t>共済組合への提出データ用です（請求書には印字されません）</t>
        </is>
      </c>
    </row>
    <row r="7" ht="30" customHeight="1" s="225">
      <c r="B7" s="235" t="inlineStr">
        <is>
          <t>請求対象月（令和　年　月分）</t>
        </is>
      </c>
      <c r="C7" s="239" t="inlineStr">
        <is>
          <t>令和</t>
        </is>
      </c>
      <c r="D7" s="240" t="n"/>
      <c r="E7" s="239" t="inlineStr">
        <is>
          <t>年</t>
        </is>
      </c>
      <c r="F7" s="240" t="n"/>
      <c r="G7" s="239" t="inlineStr">
        <is>
          <t>月分</t>
        </is>
      </c>
      <c r="K7" s="235">
        <f>IF(COUNTA(D7,F7)=0,"✕ 未入力です",IF(N7="","✕ 年と月を入力してください",IF(N7&lt;DATE(2025,4,1),"✕ 令和7年4月分以降が対象です",IF(N7&gt;=DATE(YEAR(TODAY()),MONTH(TODAY()),1),"✕ まだ月が終わっていません。勤務した月の翌月以降に請求してください","✓"))))</f>
        <v/>
      </c>
      <c r="L7" s="238" t="inlineStr">
        <is>
          <t>育児時短勤務をした月。令和7年4月分以降が対象。月が終わってから請求します</t>
        </is>
      </c>
      <c r="N7">
        <f>IF(AND(ISNUMBER(D7),ISNUMBER(F7)),IFERROR(DATE(D7+2018,F7,1),""),"")</f>
        <v/>
      </c>
      <c r="O7">
        <f>IF(N7="","",EOMONTH(N7,0))</f>
        <v/>
      </c>
    </row>
    <row r="8" ht="20" customHeight="1" s="225">
      <c r="B8" s="234" t="inlineStr">
        <is>
          <t>② 組合員</t>
        </is>
      </c>
    </row>
    <row r="9" ht="24" customHeight="1" s="225">
      <c r="B9" s="235" t="inlineStr">
        <is>
          <t>組合員等記号番号</t>
        </is>
      </c>
      <c r="C9" s="241" t="n"/>
      <c r="D9" s="237" t="n"/>
      <c r="E9" s="239" t="inlineStr">
        <is>
          <t>―</t>
        </is>
      </c>
      <c r="F9" s="241" t="n"/>
      <c r="G9" s="237" t="n"/>
      <c r="H9" s="237" t="n"/>
      <c r="I9" s="237" t="n"/>
      <c r="K9" s="235">
        <f>IF(AND(C9="",F9=""),"✕ 未入力です",IF(C9="","✕ 記号が未入力です",IF(F9="","✕ 番号が未入力です","✓")))</f>
        <v/>
      </c>
      <c r="L9" s="238" t="inlineStr">
        <is>
          <t>組合員証・資格情報通知書の記号と番号（半角）</t>
        </is>
      </c>
    </row>
    <row r="10" ht="24" customHeight="1" s="225">
      <c r="B10" s="235" t="inlineStr">
        <is>
          <t>フリガナ</t>
        </is>
      </c>
      <c r="C10" s="241" t="n"/>
      <c r="D10" s="237" t="n"/>
      <c r="E10" s="237" t="n"/>
      <c r="F10" s="237" t="n"/>
      <c r="G10" s="237" t="n"/>
      <c r="H10" s="237" t="n"/>
      <c r="I10" s="237" t="n"/>
      <c r="K10" s="235">
        <f>IF(C10="","✕ 未入力です",IF(SUMPRODUCT((_xlfn.UNICODE(MID(C10&amp;REPT(" ",60),ROW($1:$60),1))&lt;&gt;32)*(_xlfn.UNICODE(MID(C10&amp;REPT(" ",60),ROW($1:$60),1))&lt;&gt;12288)*(((_xlfn.UNICODE(MID(C10&amp;REPT(" ",60),ROW($1:$60),1))&lt;12449)+(_xlfn.UNICODE(MID(C10&amp;REPT(" ",60),ROW($1:$60),1))&gt;12540))&gt;0))&gt;0,"✕ 全角カタカナで入力してください（半角カナ・ひらがな・漢字は不可）",IF(AND(ISERROR(FIND(" ",C10)),ISERROR(FIND("　",C10))),"△ 姓と名の間に空白を入れてください","✓")))</f>
        <v/>
      </c>
      <c r="L10" s="238" t="inlineStr">
        <is>
          <t>全角カタカナ　例：ヒロシマ　ハナコ（姓と名の間は空白）</t>
        </is>
      </c>
    </row>
    <row r="11" ht="24" customHeight="1" s="225">
      <c r="B11" s="235" t="inlineStr">
        <is>
          <t>組合員氏名</t>
        </is>
      </c>
      <c r="C11" s="241" t="n"/>
      <c r="D11" s="237" t="n"/>
      <c r="E11" s="237" t="n"/>
      <c r="F11" s="237" t="n"/>
      <c r="G11" s="237" t="n"/>
      <c r="H11" s="237" t="n"/>
      <c r="I11" s="237" t="n"/>
      <c r="K11" s="235">
        <f>IF(C11="","✕ 未入力です","✓")</f>
        <v/>
      </c>
      <c r="L11" s="238" t="inlineStr">
        <is>
          <t>例：広島　花子</t>
        </is>
      </c>
    </row>
    <row r="12" ht="24" customHeight="1" s="225">
      <c r="B12" s="235" t="inlineStr">
        <is>
          <t>性別</t>
        </is>
      </c>
      <c r="C12" s="242" t="n"/>
      <c r="D12" s="237" t="n"/>
      <c r="K12" s="235">
        <f>IF(C12="","✕ 未入力です（選択してください）","✓")</f>
        <v/>
      </c>
    </row>
    <row r="13" ht="24" customHeight="1" s="225">
      <c r="B13" s="235" t="inlineStr">
        <is>
          <t>生年月日</t>
        </is>
      </c>
      <c r="C13" s="240" t="n"/>
      <c r="D13" s="240" t="n"/>
      <c r="E13" s="239" t="inlineStr">
        <is>
          <t>年</t>
        </is>
      </c>
      <c r="F13" s="240" t="n"/>
      <c r="G13" s="239" t="inlineStr">
        <is>
          <t>月</t>
        </is>
      </c>
      <c r="H13" s="240" t="n"/>
      <c r="I13" s="239" t="inlineStr">
        <is>
          <t>日</t>
        </is>
      </c>
      <c r="K13" s="235">
        <f>IF(AND(C13="",COUNTA(D13,F13,H13)=0),"✕ 未入力です",IF(C13="","✕ 昭和・平成を選んでください",IF(COUNT(D13,F13,H13)&lt;3,"✕ 年・月・日をすべて入力してください",IF(AND(C13="昭和",D13&gt;64),"✕ 昭和は64年までです",IF(AND(C13="平成",D13&gt;31),"✕ 平成は31年までです",IF(N13="","✕ 存在しない日付です",IF(AND(N7&lt;&gt;"",OR(N7-N13&lt;18*365,N7-N13&gt;70*365)),"△ 年齢が18〜70歳の範囲外です。生年月日を確認してください","✓")))))))</f>
        <v/>
      </c>
      <c r="L13" s="238" t="inlineStr">
        <is>
          <t>昭和・平成を選び、年月日を数字で入力</t>
        </is>
      </c>
      <c r="N13">
        <f>IF(COUNT(D13,F13,H13)&lt;3,"",IFERROR(IF(AND(D13&gt;=1,F13&gt;=1,F13&lt;=12,H13&gt;=1,DAY(DATE(D13+IF(C13="昭和",1925,1988),F13,H13))=H13),DATE(D13+IF(C13="昭和",1925,1988),F13,H13),""),""))</f>
        <v/>
      </c>
    </row>
    <row r="14" ht="20" customHeight="1" s="225">
      <c r="B14" s="234" t="inlineStr">
        <is>
          <t>③ 所属機関</t>
        </is>
      </c>
    </row>
    <row r="15" ht="24" customHeight="1" s="225">
      <c r="B15" s="235" t="inlineStr">
        <is>
          <t>名称</t>
        </is>
      </c>
      <c r="C15" s="241" t="n"/>
      <c r="D15" s="237" t="n"/>
      <c r="E15" s="237" t="n"/>
      <c r="F15" s="237" t="n"/>
      <c r="G15" s="237" t="n"/>
      <c r="H15" s="237" t="n"/>
      <c r="I15" s="237" t="n"/>
      <c r="K15" s="235">
        <f>IF(C15="","✕ 未入力です","✓")</f>
        <v/>
      </c>
      <c r="L15" s="238" t="inlineStr">
        <is>
          <t>例：環境局環境保全課／○○保育園</t>
        </is>
      </c>
    </row>
    <row r="16" ht="24" customHeight="1" s="225">
      <c r="B16" s="235" t="inlineStr">
        <is>
          <t>所在地</t>
        </is>
      </c>
      <c r="C16" s="241" t="n"/>
      <c r="D16" s="237" t="n"/>
      <c r="E16" s="237" t="n"/>
      <c r="F16" s="237" t="n"/>
      <c r="G16" s="237" t="n"/>
      <c r="H16" s="237" t="n"/>
      <c r="I16" s="237" t="n"/>
      <c r="K16" s="235">
        <f>IF(C16="","✕ 未入力です","✓")</f>
        <v/>
      </c>
      <c r="L16" s="238" t="inlineStr">
        <is>
          <t>例：広島市中区国泰寺町1-6-34</t>
        </is>
      </c>
    </row>
    <row r="17" ht="20" customHeight="1" s="225">
      <c r="B17" s="234" t="inlineStr">
        <is>
          <t>④ 育児時短勤務（部分休業）の内容</t>
        </is>
      </c>
    </row>
    <row r="18" ht="24" customHeight="1" s="225">
      <c r="B18" s="235" t="inlineStr">
        <is>
          <t>勤務区分</t>
        </is>
      </c>
      <c r="C18" s="242" t="n"/>
      <c r="D18" s="237" t="n"/>
      <c r="E18" s="237" t="n"/>
      <c r="F18" s="237" t="n"/>
      <c r="G18" s="237" t="n"/>
      <c r="H18" s="237" t="n"/>
      <c r="I18" s="237" t="n"/>
      <c r="K18" s="235">
        <f>IF(C18="","✕ 未入力です（選択してください）","✓")</f>
        <v/>
      </c>
      <c r="L18" s="238" t="inlineStr">
        <is>
          <t>承認書の区分（育児短時間勤務／部分休業）</t>
        </is>
      </c>
    </row>
    <row r="19" ht="24" customHeight="1" s="225">
      <c r="B19" s="235" t="inlineStr">
        <is>
          <t>初回の請求ですか</t>
        </is>
      </c>
      <c r="C19" s="242" t="n"/>
      <c r="D19" s="237" t="n"/>
      <c r="E19" s="237" t="n"/>
      <c r="F19" s="237" t="n"/>
      <c r="G19" s="237" t="n"/>
      <c r="H19" s="237" t="n"/>
      <c r="I19" s="237" t="n"/>
      <c r="K19" s="235">
        <f>IF(C19="","✕ 未入力です（選択してください）","✓")</f>
        <v/>
      </c>
      <c r="L19" s="238" t="inlineStr">
        <is>
          <t>初回請求のときは母子手帳等の写しが必要です</t>
        </is>
      </c>
    </row>
    <row r="20" ht="30" customHeight="1" s="225">
      <c r="B20" s="235" t="inlineStr">
        <is>
          <t>育児短時間勤務又は部分休業期間（開始）</t>
        </is>
      </c>
      <c r="C20" s="239" t="inlineStr">
        <is>
          <t>令和</t>
        </is>
      </c>
      <c r="D20" s="240" t="n"/>
      <c r="E20" s="239" t="inlineStr">
        <is>
          <t>年</t>
        </is>
      </c>
      <c r="F20" s="240" t="n"/>
      <c r="G20" s="239" t="inlineStr">
        <is>
          <t>月</t>
        </is>
      </c>
      <c r="H20" s="240" t="n"/>
      <c r="I20" s="239" t="inlineStr">
        <is>
          <t>日</t>
        </is>
      </c>
      <c r="K20" s="235">
        <f>IF(COUNTA(D20,F20,H20)=0,"✕ 未入力です",IF(N20="","✕ 年月日が正しくありません（存在しない日付など）","✓"))</f>
        <v/>
      </c>
      <c r="L20" s="238" t="inlineStr">
        <is>
          <t>承認書に記載された期間の開始日</t>
        </is>
      </c>
      <c r="N20">
        <f>IF(COUNT(D20,F20,H20)&lt;3,"",IFERROR(IF(AND(D20&gt;=1,F20&gt;=1,F20&lt;=12,H20&gt;=1,DAY(DATE(D20+2018,F20,H20))=H20),DATE(D20+2018,F20,H20),""),""))</f>
        <v/>
      </c>
    </row>
    <row r="21" ht="30" customHeight="1" s="225">
      <c r="B21" s="235" t="inlineStr">
        <is>
          <t>育児短時間勤務又は部分休業期間（終了）</t>
        </is>
      </c>
      <c r="C21" s="239" t="inlineStr">
        <is>
          <t>令和</t>
        </is>
      </c>
      <c r="D21" s="240" t="n"/>
      <c r="E21" s="239" t="inlineStr">
        <is>
          <t>年</t>
        </is>
      </c>
      <c r="F21" s="240" t="n"/>
      <c r="G21" s="239" t="inlineStr">
        <is>
          <t>月</t>
        </is>
      </c>
      <c r="H21" s="240" t="n"/>
      <c r="I21" s="239" t="inlineStr">
        <is>
          <t>日</t>
        </is>
      </c>
      <c r="K21" s="235">
        <f>IF(COUNTA(D21,F21,H21)=0,"✕ 未入力です",IF(N21="","✕ 年月日が正しくありません（存在しない日付など）",IF(AND(N20&lt;&gt;"",N21&lt;N20),"✕ 終了日が開始日より前です","✓")))</f>
        <v/>
      </c>
      <c r="L21" s="238" t="inlineStr">
        <is>
          <t>承認書に記載された期間の終了日</t>
        </is>
      </c>
      <c r="N21">
        <f>IF(COUNT(D21,F21,H21)&lt;3,"",IFERROR(IF(AND(D21&gt;=1,F21&gt;=1,F21&lt;=12,H21&gt;=1,DAY(DATE(D21+2018,F21,H21))=H21),DATE(D21+2018,F21,H21),""),""))</f>
        <v/>
      </c>
    </row>
    <row r="22" ht="30" customHeight="1" s="225">
      <c r="B22" s="235" t="inlineStr">
        <is>
          <t>支給終了の特別事由の開始日（該当時のみ）</t>
        </is>
      </c>
      <c r="C22" s="239" t="inlineStr">
        <is>
          <t>令和</t>
        </is>
      </c>
      <c r="D22" s="240" t="n"/>
      <c r="E22" s="239" t="inlineStr">
        <is>
          <t>年</t>
        </is>
      </c>
      <c r="F22" s="240" t="n"/>
      <c r="G22" s="239" t="inlineStr">
        <is>
          <t>月</t>
        </is>
      </c>
      <c r="H22" s="240" t="n"/>
      <c r="I22" s="239" t="inlineStr">
        <is>
          <t>日</t>
        </is>
      </c>
      <c r="K22" s="235">
        <f>IF(COUNTA(D22,F22,H22)=0,"",IF(N22="","✕ 年月日が正しくありません","✓"))</f>
        <v/>
      </c>
      <c r="L22" s="238" t="inlineStr">
        <is>
          <t>産前産後休業・介護休業・育児休業を新たに始める場合のみ。その前日が請求期間の終了日になります</t>
        </is>
      </c>
      <c r="N22">
        <f>IF(COUNT(D22,F22,H22)&lt;3,"",IFERROR(IF(AND(D22&gt;=1,F22&gt;=1,F22&lt;=12,H22&gt;=1,DAY(DATE(D22+2018,F22,H22))=H22),DATE(D22+2018,F22,H22),""),""))</f>
        <v/>
      </c>
    </row>
    <row r="23" ht="24" customHeight="1" s="225">
      <c r="B23" s="235" t="inlineStr">
        <is>
          <t>育児時短勤務手当金請求期間（開始）【自動】</t>
        </is>
      </c>
      <c r="C23" s="239" t="inlineStr">
        <is>
          <t>令和</t>
        </is>
      </c>
      <c r="D23" s="243">
        <f>IF(N23="","",YEAR(N23)-2018)</f>
        <v/>
      </c>
      <c r="E23" s="239" t="inlineStr">
        <is>
          <t>年</t>
        </is>
      </c>
      <c r="F23" s="243">
        <f>IF(N23="","",MONTH(N23))</f>
        <v/>
      </c>
      <c r="G23" s="239" t="inlineStr">
        <is>
          <t>月</t>
        </is>
      </c>
      <c r="H23" s="243">
        <f>IF(N23="","",DAY(N23))</f>
        <v/>
      </c>
      <c r="I23" s="239" t="inlineStr">
        <is>
          <t>日</t>
        </is>
      </c>
      <c r="K23" s="235">
        <f>IF(N23="","",IF(AND(N24&lt;&gt;"",N24&lt;N23),"✕ 請求期間がありません。対象月が勤務期間外か、子が2歳に達しています","✓"))</f>
        <v/>
      </c>
      <c r="L23" s="238" t="inlineStr">
        <is>
          <t>対象月・勤務期間・子の2歳到達日から自動計算（入力不要）</t>
        </is>
      </c>
      <c r="N23">
        <f>IF(OR(N7="",N20="",N21=""),"",MAX(N7,N20))</f>
        <v/>
      </c>
    </row>
    <row r="24" ht="24" customHeight="1" s="225">
      <c r="B24" s="235" t="inlineStr">
        <is>
          <t>育児時短勤務手当金請求期間（終了）【自動】</t>
        </is>
      </c>
      <c r="C24" s="239" t="inlineStr">
        <is>
          <t>令和</t>
        </is>
      </c>
      <c r="D24" s="243">
        <f>IF(N24="","",YEAR(N24)-2018)</f>
        <v/>
      </c>
      <c r="E24" s="239" t="inlineStr">
        <is>
          <t>年</t>
        </is>
      </c>
      <c r="F24" s="243">
        <f>IF(N24="","",MONTH(N24))</f>
        <v/>
      </c>
      <c r="G24" s="239" t="inlineStr">
        <is>
          <t>月</t>
        </is>
      </c>
      <c r="H24" s="243">
        <f>IF(N24="","",DAY(N24))</f>
        <v/>
      </c>
      <c r="I24" s="239" t="inlineStr">
        <is>
          <t>日</t>
        </is>
      </c>
      <c r="K24" s="235">
        <f>IF(N24="","",IF(N24&lt;N23,"✕ 請求期間がありません（上の入力を確認）","✓"))</f>
        <v/>
      </c>
      <c r="L24" s="238" t="inlineStr">
        <is>
          <t>子が2歳になる月は「2歳の誕生日の前々日」まで</t>
        </is>
      </c>
      <c r="N24">
        <f>IF(OR(N7="",N20="",N21="",N26=""),"",MIN(O7,N21,O26,IF(N22="",O7,N22-1)))</f>
        <v/>
      </c>
    </row>
    <row r="25" ht="24" customHeight="1" s="225">
      <c r="B25" s="235" t="inlineStr">
        <is>
          <t>育児時短勤務に係る子の名前</t>
        </is>
      </c>
      <c r="C25" s="241" t="n"/>
      <c r="D25" s="237" t="n"/>
      <c r="E25" s="237" t="n"/>
      <c r="F25" s="237" t="n"/>
      <c r="G25" s="237" t="n"/>
      <c r="H25" s="237" t="n"/>
      <c r="I25" s="237" t="n"/>
      <c r="K25" s="235">
        <f>IF(C25="","✕ 未入力です","✓")</f>
        <v/>
      </c>
      <c r="L25" s="238" t="inlineStr">
        <is>
          <t>例：広島　太郎</t>
        </is>
      </c>
    </row>
    <row r="26" ht="24" customHeight="1" s="225">
      <c r="B26" s="235" t="inlineStr">
        <is>
          <t>子の生年月日</t>
        </is>
      </c>
      <c r="C26" s="239" t="inlineStr">
        <is>
          <t>令和</t>
        </is>
      </c>
      <c r="D26" s="240" t="n"/>
      <c r="E26" s="239" t="inlineStr">
        <is>
          <t>年</t>
        </is>
      </c>
      <c r="F26" s="240" t="n"/>
      <c r="G26" s="239" t="inlineStr">
        <is>
          <t>月</t>
        </is>
      </c>
      <c r="H26" s="240" t="n"/>
      <c r="I26" s="239" t="inlineStr">
        <is>
          <t>日</t>
        </is>
      </c>
      <c r="K26" s="235">
        <f>IF(COUNTA(D26,F26,H26)=0,"✕ 未入力です",IF(N26="","✕ 年月日が正しくありません（存在しない日付など）",IF(AND(N20&lt;&gt;"",N26&gt;N20),"✕ 子の生年月日が勤務開始日より後になっています",IF(AND(N7&lt;&gt;"",O26&lt;N7),"✕ 対象月には子が2歳に達しています（2歳の誕生日の前々日までが対象）","✓"))))</f>
        <v/>
      </c>
      <c r="L26" s="238" t="inlineStr">
        <is>
          <t>令和の年月日（母子手帳等で確認）</t>
        </is>
      </c>
      <c r="N26">
        <f>IF(COUNT(D26,F26,H26)&lt;3,"",IFERROR(IF(AND(D26&gt;=1,F26&gt;=1,F26&lt;=12,H26&gt;=1,DAY(DATE(D26+2018,F26,H26))=H26),DATE(D26+2018,F26,H26),""),""))</f>
        <v/>
      </c>
      <c r="O26">
        <f>IF(N26="","",DATE(YEAR(N26)+2,MONTH(N26),DAY(N26)-2))</f>
        <v/>
      </c>
    </row>
    <row r="27" ht="20" customHeight="1" s="225">
      <c r="B27" s="234" t="inlineStr">
        <is>
          <t>⑤ 報酬・通勤手当</t>
        </is>
      </c>
    </row>
    <row r="28" ht="30" customHeight="1" s="225">
      <c r="B28" s="235" t="inlineStr">
        <is>
          <t>支給対象月に支払われた報酬の額（円）</t>
        </is>
      </c>
      <c r="C28" s="244" t="n"/>
      <c r="D28" s="237" t="n"/>
      <c r="E28" s="237" t="n"/>
      <c r="F28" s="237" t="n"/>
      <c r="G28" s="237" t="n"/>
      <c r="H28" s="237" t="n"/>
      <c r="I28" s="239" t="inlineStr">
        <is>
          <t>円</t>
        </is>
      </c>
      <c r="K28" s="235">
        <f>IF(C28="","✕ 未入力です",IF(NOT(ISNUMBER(C28)),"✕ 数字で入力してください",IF(C28=0,"△ 0円です。支給明細書を確認してください",IF(C28&gt;1000000,"△ 金額が大きすぎます。桁を確認してください","✓"))))</f>
        <v/>
      </c>
      <c r="L28" s="238" t="inlineStr">
        <is>
          <t>支給明細書の額（期末勤勉手当・給与改定差額を除く）。1月当たりの通勤手当を含む</t>
        </is>
      </c>
    </row>
    <row r="29" ht="24" customHeight="1" s="225">
      <c r="B29" s="235" t="inlineStr">
        <is>
          <t>通勤手当の有無</t>
        </is>
      </c>
      <c r="C29" s="242" t="n"/>
      <c r="D29" s="237" t="n"/>
      <c r="K29" s="235">
        <f>IF(C29="","✕ 未入力です（選択してください）","✓")</f>
        <v/>
      </c>
    </row>
    <row r="30" ht="30" customHeight="1" s="225">
      <c r="B30" s="235" t="inlineStr">
        <is>
          <t>1月当たりの通勤手当の額（円）</t>
        </is>
      </c>
      <c r="C30" s="244" t="n"/>
      <c r="D30" s="237" t="n"/>
      <c r="E30" s="237" t="n"/>
      <c r="F30" s="237" t="n"/>
      <c r="G30" s="237" t="n"/>
      <c r="H30" s="237" t="n"/>
      <c r="I30" s="239" t="inlineStr">
        <is>
          <t>円</t>
        </is>
      </c>
      <c r="K30" s="235">
        <f>IF(AND(C29="",C30=""),"",IF(AND(C29="有",OR(C30="",N(C30)=0)),"✕ 通勤手当が「有」の場合は金額を入力してください",IF(AND(C29="無",N(C30)&gt;0),"✕ 通勤手当が「無」なのに金額が入力されています",IF(AND(ISNUMBER(C30),ISNUMBER(C28),C30&gt;C28),"✕ 通勤手当が報酬の額より大きくなっています",IF(N(C30)&gt;150000,"△ 通勤手当が月15万円を超えています。確認してください",IF(AND(C31="数か月分一括支給",N35&lt;&gt;"",C30&lt;&gt;N35),"△ 一括支給の計算補助（下欄）の額と異なります","✓"))))))</f>
        <v/>
      </c>
      <c r="L30" s="238" t="inlineStr">
        <is>
          <t>「無」の場合は空欄。報酬の額に含めた通勤手当の額</t>
        </is>
      </c>
    </row>
    <row r="31" ht="30" customHeight="1" s="225">
      <c r="B31" s="235" t="inlineStr">
        <is>
          <t>通勤手当の支給方法（「有」の場合）</t>
        </is>
      </c>
      <c r="C31" s="242" t="n"/>
      <c r="D31" s="237" t="n"/>
      <c r="E31" s="237" t="n"/>
      <c r="F31" s="237" t="n"/>
      <c r="G31" s="237" t="n"/>
      <c r="H31" s="237" t="n"/>
      <c r="I31" s="237" t="n"/>
      <c r="K31" s="235">
        <f>IF(AND(C29="有",C31=""),"✕ 未入力です（選択してください）","✓")</f>
        <v/>
      </c>
      <c r="L31" s="238" t="inlineStr">
        <is>
          <t>数か月分をまとめて支給された場合は下の計算補助を使います</t>
        </is>
      </c>
    </row>
    <row r="32" ht="30" customHeight="1" s="225">
      <c r="B32" s="235" t="inlineStr">
        <is>
          <t>【計算補助】一括支給された通勤手当の総額（円）</t>
        </is>
      </c>
      <c r="C32" s="244" t="n"/>
      <c r="D32" s="237" t="n"/>
      <c r="E32" s="237" t="n"/>
      <c r="F32" s="237" t="n"/>
      <c r="G32" s="237" t="n"/>
      <c r="H32" s="237" t="n"/>
      <c r="I32" s="239" t="inlineStr">
        <is>
          <t>円</t>
        </is>
      </c>
      <c r="K32" s="235">
        <f>IF(C31&lt;&gt;"数か月分一括支給","",IF(AND(C31="数か月分一括支給",OR(C32="",C33="",C34="")),"✕ 総額・月数・何か月目を入力してください",IF(AND(C31="数か月分一括支給",C34&gt;C33),"✕ 請求月が月数より大きくなっています","✓")))</f>
        <v/>
      </c>
      <c r="L32" s="238" t="inlineStr">
        <is>
          <t>一括支給のときだけ入力。1月当たり＝総額÷月数（端数は最終月に加算）</t>
        </is>
      </c>
    </row>
    <row r="33" ht="24" customHeight="1" s="225">
      <c r="B33" s="235" t="inlineStr">
        <is>
          <t>【計算補助】支給月数（か月分）</t>
        </is>
      </c>
      <c r="C33" s="242" t="n"/>
      <c r="D33" s="237" t="n"/>
      <c r="E33" s="239" t="inlineStr">
        <is>
          <t>か月</t>
        </is>
      </c>
      <c r="K33" s="235" t="n"/>
    </row>
    <row r="34" ht="24" customHeight="1" s="225">
      <c r="B34" s="235" t="inlineStr">
        <is>
          <t>【計算補助】請求月は何か月目か</t>
        </is>
      </c>
      <c r="C34" s="242" t="n"/>
      <c r="D34" s="237" t="n"/>
      <c r="E34" s="239" t="inlineStr">
        <is>
          <t>か月目</t>
        </is>
      </c>
      <c r="K34" s="235" t="n"/>
    </row>
    <row r="35" ht="24" customHeight="1" s="225">
      <c r="B35" s="235" t="inlineStr">
        <is>
          <t>【計算補助】1月当たりの通勤手当の額（自動）</t>
        </is>
      </c>
      <c r="C35" s="245">
        <f>IF(N35="","",N35)</f>
        <v/>
      </c>
      <c r="K35" s="235" t="n"/>
      <c r="N35">
        <f>IF(AND(C31="数か月分一括支給",ISNUMBER(C32),ISNUMBER(C33),ISNUMBER(C34),N(C33)&gt;0,N(C34)&lt;=N(C33)),IF(C34=C33,C32-INT(C32/C33)*(C33-1),INT(C32/C33)),"")</f>
        <v/>
      </c>
    </row>
    <row r="36" ht="20" customHeight="1" s="225">
      <c r="B36" s="234" t="inlineStr">
        <is>
          <t>⑥ 請求日・請求者</t>
        </is>
      </c>
    </row>
    <row r="37" ht="30" customHeight="1" s="225">
      <c r="B37" s="235" t="inlineStr">
        <is>
          <t>請求日</t>
        </is>
      </c>
      <c r="C37" s="239" t="inlineStr">
        <is>
          <t>令和</t>
        </is>
      </c>
      <c r="D37" s="240" t="n"/>
      <c r="E37" s="239" t="inlineStr">
        <is>
          <t>年</t>
        </is>
      </c>
      <c r="F37" s="240" t="n"/>
      <c r="G37" s="239" t="inlineStr">
        <is>
          <t>月</t>
        </is>
      </c>
      <c r="H37" s="240" t="n"/>
      <c r="I37" s="239" t="inlineStr">
        <is>
          <t>日</t>
        </is>
      </c>
      <c r="K37" s="235">
        <f>IF(COUNTA(D37,F37,H37)=0,"✕ 未入力です",IF(N37="","✕ 年月日が正しくありません（存在しない日付など）",IF(AND(O7&lt;&gt;"",N37&lt;=O7),"✕ 請求日が対象月の末日以前です",IF(N37&gt;TODAY()+1,"△ 請求日が未来の日付です","✓"))))</f>
        <v/>
      </c>
      <c r="L37" s="238" t="inlineStr">
        <is>
          <t>提出する日（対象月の末日より後）</t>
        </is>
      </c>
      <c r="N37">
        <f>IF(COUNT(D37,F37,H37)&lt;3,"",IFERROR(IF(AND(D37&gt;=1,F37&gt;=1,F37&lt;=12,H37&gt;=1,DAY(DATE(D37+2018,F37,H37))=H37),DATE(D37+2018,F37,H37),""),""))</f>
        <v/>
      </c>
    </row>
    <row r="38" ht="24" customHeight="1" s="225">
      <c r="B38" s="235" t="inlineStr">
        <is>
          <t>請求者　氏名</t>
        </is>
      </c>
      <c r="C38" s="241" t="n"/>
      <c r="D38" s="237" t="n"/>
      <c r="E38" s="237" t="n"/>
      <c r="F38" s="237" t="n"/>
      <c r="G38" s="237" t="n"/>
      <c r="H38" s="237" t="n"/>
      <c r="I38" s="237" t="n"/>
      <c r="K38" s="235">
        <f>IF(C38="","✕ 未入力です",IF(SUBSTITUTE(SUBSTITUTE(C38," ","")," ","")&lt;&gt;SUBSTITUTE(SUBSTITUTE(C11," ","")," ",""),"△ 組合員氏名と異なります","✓"))</f>
        <v/>
      </c>
      <c r="L38" s="238" t="inlineStr">
        <is>
          <t>組合員本人の氏名</t>
        </is>
      </c>
    </row>
    <row r="39" ht="24" customHeight="1" s="225">
      <c r="B39" s="235" t="inlineStr">
        <is>
          <t>請求者　℡（連絡先）</t>
        </is>
      </c>
      <c r="C39" s="241" t="n"/>
      <c r="D39" s="237" t="n"/>
      <c r="E39" s="237" t="n"/>
      <c r="F39" s="237" t="n"/>
      <c r="G39" s="237" t="n"/>
      <c r="H39" s="237" t="n"/>
      <c r="I39" s="237" t="n"/>
      <c r="K39" s="235">
        <f>IF(C39="","✕ 未入力です",IF(SUMPRODUCT((ROW($1:$15)&lt;=LEN(SUBSTITUTE(C39,"-","")))*(((MID(SUBSTITUTE(C39,"-",""),ROW($1:$15),1)&lt;"0")+(MID(SUBSTITUTE(C39,"-",""),ROW($1:$15),1)&gt;"9"))&gt;0))&gt;0,"✕ 半角の数字とハイフンで入力してください",IF(LEN(SUBSTITUTE(C39,"-",""))&lt;4,"✕ 桁数が足りません","✓")))</f>
        <v/>
      </c>
      <c r="L39" s="238" t="inlineStr">
        <is>
          <t>半角数字とハイフン　例：090-1234-5678</t>
        </is>
      </c>
    </row>
    <row r="40" ht="24" customHeight="1" s="225">
      <c r="B40" s="235" t="inlineStr">
        <is>
          <t>庶務担当　氏名</t>
        </is>
      </c>
      <c r="C40" s="241" t="n"/>
      <c r="D40" s="237" t="n"/>
      <c r="E40" s="237" t="n"/>
      <c r="F40" s="237" t="n"/>
      <c r="G40" s="237" t="n"/>
      <c r="H40" s="237" t="n"/>
      <c r="I40" s="237" t="n"/>
      <c r="K40" s="235">
        <f>IF(C40="","✕ 未入力です","✓")</f>
        <v/>
      </c>
      <c r="L40" s="238" t="inlineStr">
        <is>
          <t>所属の庶務担当者</t>
        </is>
      </c>
    </row>
    <row r="41" ht="24" customHeight="1" s="225">
      <c r="B41" s="235" t="inlineStr">
        <is>
          <t>庶務担当　℡</t>
        </is>
      </c>
      <c r="C41" s="241" t="n"/>
      <c r="D41" s="237" t="n"/>
      <c r="E41" s="237" t="n"/>
      <c r="F41" s="237" t="n"/>
      <c r="G41" s="237" t="n"/>
      <c r="H41" s="237" t="n"/>
      <c r="I41" s="237" t="n"/>
      <c r="K41" s="235">
        <f>IF(C41="","✕ 未入力です",IF(SUMPRODUCT((ROW($1:$15)&lt;=LEN(SUBSTITUTE(C41,"-","")))*(((MID(SUBSTITUTE(C41,"-",""),ROW($1:$15),1)&lt;"0")+(MID(SUBSTITUTE(C41,"-",""),ROW($1:$15),1)&gt;"9"))&gt;0))&gt;0,"✕ 半角の数字とハイフンで入力してください","✓"))</f>
        <v/>
      </c>
      <c r="L41" s="238" t="inlineStr">
        <is>
          <t>内線可　例：81-2345</t>
        </is>
      </c>
    </row>
    <row r="42" ht="20" customHeight="1" s="225">
      <c r="B42" s="234" t="inlineStr">
        <is>
          <t>⑦ 添付書類（用意した書類は ✓ を選んでください）</t>
        </is>
      </c>
    </row>
    <row r="43" ht="30" customHeight="1" s="225">
      <c r="B43" s="235" t="inlineStr">
        <is>
          <t>【育児短時間勤務】育児短時間勤務承認書（写）</t>
        </is>
      </c>
      <c r="C43" s="242" t="n"/>
      <c r="D43" s="237" t="n"/>
      <c r="K43" s="235">
        <f>IF(C18="","",IF(AND(C18="育児短時間勤務",TRUE,C43&lt;&gt;"✓"),"✕ 必要な書類です。用意して ✓ を選んでください",IF(AND(C18&lt;&gt;"育児短時間勤務",C43="✓"),"△ 選んだ勤務区分と異なる書類にチェックがあります",IF(AND(C18="育児短時間勤務",TRUE),"✓",""))))</f>
        <v/>
      </c>
    </row>
    <row r="44" ht="24" customHeight="1" s="225">
      <c r="B44" s="235" t="inlineStr">
        <is>
          <t>【育児短時間勤務】出勤簿（写）</t>
        </is>
      </c>
      <c r="C44" s="242" t="n"/>
      <c r="D44" s="237" t="n"/>
      <c r="K44" s="235">
        <f>IF(C18="","",IF(AND(C18="育児短時間勤務",TRUE,C44&lt;&gt;"✓"),"✕ 必要な書類です。用意して ✓ を選んでください",IF(AND(C18&lt;&gt;"育児短時間勤務",C44="✓"),"△ 選んだ勤務区分と異なる書類にチェックがあります",IF(AND(C18="育児短時間勤務",TRUE),"✓",""))))</f>
        <v/>
      </c>
    </row>
    <row r="45" ht="24" customHeight="1" s="225">
      <c r="B45" s="235" t="inlineStr">
        <is>
          <t>【育児短時間勤務】支給明細書（写）</t>
        </is>
      </c>
      <c r="C45" s="242" t="n"/>
      <c r="D45" s="237" t="n"/>
      <c r="K45" s="235">
        <f>IF(C18="","",IF(AND(C18="育児短時間勤務",TRUE,C45&lt;&gt;"✓"),"✕ 必要な書類です。用意して ✓ を選んでください",IF(AND(C18&lt;&gt;"育児短時間勤務",C45="✓"),"△ 選んだ勤務区分と異なる書類にチェックがあります",IF(AND(C18="育児短時間勤務",TRUE),"✓",""))))</f>
        <v/>
      </c>
    </row>
    <row r="46" ht="30" customHeight="1" s="225">
      <c r="B46" s="235" t="inlineStr">
        <is>
          <t>【育児短時間勤務】通勤手当一括支給の額がわかる支給明細書（写）</t>
        </is>
      </c>
      <c r="C46" s="242" t="n"/>
      <c r="D46" s="237" t="n"/>
      <c r="K46" s="235">
        <f>IF(C18="","",IF(AND(C18="育児短時間勤務",C31="数か月分一括支給",C46&lt;&gt;"✓"),"✕ 必要な書類です。用意して ✓ を選んでください",IF(AND(C18&lt;&gt;"育児短時間勤務",C46="✓"),"△ 選んだ勤務区分と異なる書類にチェックがあります",IF(AND(C18="育児短時間勤務",C31="数か月分一括支給"),"✓",""))))</f>
        <v/>
      </c>
    </row>
    <row r="47" ht="24" customHeight="1" s="225">
      <c r="B47" s="235" t="inlineStr">
        <is>
          <t>【育児短時間勤務】母子手帳等（写）（初回のみ）</t>
        </is>
      </c>
      <c r="C47" s="242" t="n"/>
      <c r="D47" s="237" t="n"/>
      <c r="K47" s="235">
        <f>IF(C18="","",IF(AND(C18="育児短時間勤務",C19="初回請求",C47&lt;&gt;"✓"),"✕ 必要な書類です。用意して ✓ を選んでください",IF(AND(C18&lt;&gt;"育児短時間勤務",C47="✓"),"△ 選んだ勤務区分と異なる書類にチェックがあります",IF(AND(C18="育児短時間勤務",C19="初回請求"),"✓",""))))</f>
        <v/>
      </c>
    </row>
    <row r="48" ht="30" customHeight="1" s="225">
      <c r="B48" s="235" t="inlineStr">
        <is>
          <t>【部分休業】部分休業承認請求書兼承認書（写）又は庶務事務システム承認画面</t>
        </is>
      </c>
      <c r="C48" s="242" t="n"/>
      <c r="D48" s="237" t="n"/>
      <c r="K48" s="235">
        <f>IF(C18="","",IF(AND(C18="部分休業",TRUE,C48&lt;&gt;"✓"),"✕ 必要な書類です。用意して ✓ を選んでください",IF(AND(C18&lt;&gt;"部分休業",C48="✓"),"△ 選んだ勤務区分と異なる書類にチェックがあります",IF(AND(C18="部分休業",TRUE),"✓",""))))</f>
        <v/>
      </c>
    </row>
    <row r="49" ht="24" customHeight="1" s="225">
      <c r="B49" s="235" t="inlineStr">
        <is>
          <t>【部分休業】出勤簿（写）</t>
        </is>
      </c>
      <c r="C49" s="242" t="n"/>
      <c r="D49" s="237" t="n"/>
      <c r="K49" s="235">
        <f>IF(C18="","",IF(AND(C18="部分休業",TRUE,C49&lt;&gt;"✓"),"✕ 必要な書類です。用意して ✓ を選んでください",IF(AND(C18&lt;&gt;"部分休業",C49="✓"),"△ 選んだ勤務区分と異なる書類にチェックがあります",IF(AND(C18="部分休業",TRUE),"✓",""))))</f>
        <v/>
      </c>
    </row>
    <row r="50" ht="24" customHeight="1" s="225">
      <c r="B50" s="235" t="inlineStr">
        <is>
          <t>【部分休業】支給明細書（写）</t>
        </is>
      </c>
      <c r="C50" s="242" t="n"/>
      <c r="D50" s="237" t="n"/>
      <c r="K50" s="235">
        <f>IF(C18="","",IF(AND(C18="部分休業",TRUE,C50&lt;&gt;"✓"),"✕ 必要な書類です。用意して ✓ を選んでください",IF(AND(C18&lt;&gt;"部分休業",C50="✓"),"△ 選んだ勤務区分と異なる書類にチェックがあります",IF(AND(C18="部分休業",TRUE),"✓",""))))</f>
        <v/>
      </c>
    </row>
    <row r="51" ht="30" customHeight="1" s="225">
      <c r="B51" s="235" t="inlineStr">
        <is>
          <t>【部分休業】通勤手当一括支給の額がわかる支給明細書（写）</t>
        </is>
      </c>
      <c r="C51" s="242" t="n"/>
      <c r="D51" s="237" t="n"/>
      <c r="K51" s="235">
        <f>IF(C18="","",IF(AND(C18="部分休業",C31="数か月分一括支給",C51&lt;&gt;"✓"),"✕ 必要な書類です。用意して ✓ を選んでください",IF(AND(C18&lt;&gt;"部分休業",C51="✓"),"△ 選んだ勤務区分と異なる書類にチェックがあります",IF(AND(C18="部分休業",C31="数か月分一括支給"),"✓",""))))</f>
        <v/>
      </c>
    </row>
    <row r="52" ht="24" customHeight="1" s="225">
      <c r="B52" s="235" t="inlineStr">
        <is>
          <t>【部分休業】母子手帳等（写）（初回のみ）</t>
        </is>
      </c>
      <c r="C52" s="242" t="n"/>
      <c r="D52" s="237" t="n"/>
      <c r="K52" s="235">
        <f>IF(C18="","",IF(AND(C18="部分休業",C19="初回請求",C52&lt;&gt;"✓"),"✕ 必要な書類です。用意して ✓ を選んでください",IF(AND(C18&lt;&gt;"部分休業",C52="✓"),"△ 選んだ勤務区分と異なる書類にチェックがあります",IF(AND(C18="部分休業",C19="初回請求"),"✓",""))))</f>
        <v/>
      </c>
    </row>
  </sheetData>
  <sheetProtection selectLockedCells="0" selectUnlockedCells="0" sheet="1" objects="0" insertRows="1" insertHyperlinks="1" autoFilter="1" scenarios="0" formatColumns="0" deleteColumns="1" insertColumns="1" pivotTables="1" deleteRows="1" formatCells="1" formatRows="1" sort="1"/>
  <mergeCells count="42">
    <mergeCell ref="C34:D34"/>
    <mergeCell ref="F9:I9"/>
    <mergeCell ref="C33:D33"/>
    <mergeCell ref="C39:I39"/>
    <mergeCell ref="B3:L3"/>
    <mergeCell ref="C45:D45"/>
    <mergeCell ref="C38:I38"/>
    <mergeCell ref="B27:L27"/>
    <mergeCell ref="C19:I19"/>
    <mergeCell ref="C29:D29"/>
    <mergeCell ref="C18:I18"/>
    <mergeCell ref="C47:D47"/>
    <mergeCell ref="B2:L2"/>
    <mergeCell ref="C50:D50"/>
    <mergeCell ref="C44:D44"/>
    <mergeCell ref="C6:I6"/>
    <mergeCell ref="B42:L42"/>
    <mergeCell ref="C9:D9"/>
    <mergeCell ref="C15:I15"/>
    <mergeCell ref="B14:L14"/>
    <mergeCell ref="B17:L17"/>
    <mergeCell ref="B8:L8"/>
    <mergeCell ref="C43:D43"/>
    <mergeCell ref="C12:D12"/>
    <mergeCell ref="C32:H32"/>
    <mergeCell ref="C46:D46"/>
    <mergeCell ref="C28:H28"/>
    <mergeCell ref="C51:D51"/>
    <mergeCell ref="C10:I10"/>
    <mergeCell ref="C16:I16"/>
    <mergeCell ref="C52:D52"/>
    <mergeCell ref="C48:D48"/>
    <mergeCell ref="C25:I25"/>
    <mergeCell ref="C30:H30"/>
    <mergeCell ref="C41:I41"/>
    <mergeCell ref="C31:I31"/>
    <mergeCell ref="C40:I40"/>
    <mergeCell ref="B5:L5"/>
    <mergeCell ref="C35:H35"/>
    <mergeCell ref="B36:L36"/>
    <mergeCell ref="C11:I11"/>
    <mergeCell ref="C49:D49"/>
  </mergeCells>
  <conditionalFormatting sqref="C6:I52">
    <cfRule type="expression" priority="1" dxfId="0">
      <formula>LEFT($K6,1)="✕"</formula>
    </cfRule>
  </conditionalFormatting>
  <conditionalFormatting sqref="K6:K52">
    <cfRule type="expression" priority="2" dxfId="1">
      <formula>LEFT($K6,1)="✕"</formula>
    </cfRule>
    <cfRule type="expression" priority="3" dxfId="2">
      <formula>LEFT($K6,1)="△"</formula>
    </cfRule>
    <cfRule type="expression" priority="4" dxfId="3">
      <formula>LEFT($K6,1)="✓"</formula>
    </cfRule>
  </conditionalFormatting>
  <conditionalFormatting sqref="B43:I47">
    <cfRule type="expression" priority="5" dxfId="4">
      <formula>$C$18="部分休業"</formula>
    </cfRule>
  </conditionalFormatting>
  <conditionalFormatting sqref="B48:I52">
    <cfRule type="expression" priority="6" dxfId="4">
      <formula>$C$18="育児短時間勤務"</formula>
    </cfRule>
  </conditionalFormatting>
  <conditionalFormatting sqref="B2:L2">
    <cfRule type="expression" priority="7" dxfId="5">
      <formula>LEFT($B$2,1)="✕"</formula>
    </cfRule>
    <cfRule type="expression" priority="8" dxfId="6">
      <formula>LEFT($B$2,1)="△"</formula>
    </cfRule>
    <cfRule type="expression" priority="9" dxfId="7">
      <formula>LEFT($B$2,1)="✓"</formula>
    </cfRule>
  </conditionalFormatting>
  <dataValidations count="42">
    <dataValidation sqref="C6" showDropDown="0" showInputMessage="0" showErrorMessage="1" allowBlank="0" errorTitle="入力エラー" error="職員番号は数字だけで入力してください。" type="whole" errorStyle="stop" operator="between">
      <formula1>1</formula1>
      <formula2>99999999</formula2>
    </dataValidation>
    <dataValidation sqref="D7" showDropDown="0" showInputMessage="0" showErrorMessage="1" allowBlank="0" errorTitle="入力エラー" error="令和7〜30の数字で入力してください。" type="whole" errorStyle="stop" operator="between">
      <formula1>7</formula1>
      <formula2>30</formula2>
    </dataValidation>
    <dataValidation sqref="F7" showDropDown="0" showInputMessage="0" showErrorMessage="1" allowBlank="0" errorTitle="入力エラー" error="月は1〜12の数字で入力してください。" type="whole" errorStyle="stop" operator="between">
      <formula1>1</formula1>
      <formula2>12</formula2>
    </dataValidation>
    <dataValidation sqref="C12" showDropDown="0" showInputMessage="0" showErrorMessage="1" allowBlank="0" errorTitle="入力エラー" error="「女」か「男」を選んでください。" type="list" errorStyle="stop">
      <formula1>"女,男"</formula1>
    </dataValidation>
    <dataValidation sqref="C13" showDropDown="0" showInputMessage="0" showErrorMessage="1" allowBlank="0" errorTitle="入力エラー" error="「昭和」か「平成」を選んでください。" type="list" errorStyle="stop">
      <formula1>"昭和,平成"</formula1>
    </dataValidation>
    <dataValidation sqref="D13" showDropDown="0" showInputMessage="0" showErrorMessage="1" allowBlank="0" errorTitle="入力エラー" error="年は1〜64の数字で入力してください。" type="whole" errorStyle="stop" operator="between">
      <formula1>1</formula1>
      <formula2>64</formula2>
    </dataValidation>
    <dataValidation sqref="F13" showDropDown="0" showInputMessage="0" showErrorMessage="1" allowBlank="0" errorTitle="入力エラー" error="月は1〜12の数字で入力してください。" type="whole" errorStyle="stop" operator="between">
      <formula1>1</formula1>
      <formula2>12</formula2>
    </dataValidation>
    <dataValidation sqref="H13" showDropDown="0" showInputMessage="0" showErrorMessage="1" allowBlank="0" errorTitle="入力エラー" error="日は1〜31の数字で入力してください。" type="whole" errorStyle="stop" operator="between">
      <formula1>1</formula1>
      <formula2>31</formula2>
    </dataValidation>
    <dataValidation sqref="C18" showDropDown="0" showInputMessage="0" showErrorMessage="1" allowBlank="0" errorTitle="入力エラー" error="一覧から選んでください。" type="list" errorStyle="stop">
      <formula1>"育児短時間勤務,部分休業"</formula1>
    </dataValidation>
    <dataValidation sqref="C19" showDropDown="0" showInputMessage="0" showErrorMessage="1" allowBlank="0" errorTitle="入力エラー" error="一覧から選んでください。" type="list" errorStyle="stop">
      <formula1>"初回請求,2回目以降"</formula1>
    </dataValidation>
    <dataValidation sqref="D20" showDropDown="0" showInputMessage="0" showErrorMessage="1" allowBlank="0" errorTitle="入力エラー" error="年は1〜30の数字で入力してください。" type="whole" errorStyle="stop" operator="between">
      <formula1>1</formula1>
      <formula2>30</formula2>
    </dataValidation>
    <dataValidation sqref="F20" showDropDown="0" showInputMessage="0" showErrorMessage="1" allowBlank="0" errorTitle="入力エラー" error="月は1〜12の数字で入力してください。" type="whole" errorStyle="stop" operator="between">
      <formula1>1</formula1>
      <formula2>12</formula2>
    </dataValidation>
    <dataValidation sqref="H20" showDropDown="0" showInputMessage="0" showErrorMessage="1" allowBlank="0" errorTitle="入力エラー" error="日は1〜31の数字で入力してください。" type="whole" errorStyle="stop" operator="between">
      <formula1>1</formula1>
      <formula2>31</formula2>
    </dataValidation>
    <dataValidation sqref="D21" showDropDown="0" showInputMessage="0" showErrorMessage="1" allowBlank="0" errorTitle="入力エラー" error="年は1〜30の数字で入力してください。" type="whole" errorStyle="stop" operator="between">
      <formula1>1</formula1>
      <formula2>30</formula2>
    </dataValidation>
    <dataValidation sqref="F21" showDropDown="0" showInputMessage="0" showErrorMessage="1" allowBlank="0" errorTitle="入力エラー" error="月は1〜12の数字で入力してください。" type="whole" errorStyle="stop" operator="between">
      <formula1>1</formula1>
      <formula2>12</formula2>
    </dataValidation>
    <dataValidation sqref="H21" showDropDown="0" showInputMessage="0" showErrorMessage="1" allowBlank="0" errorTitle="入力エラー" error="日は1〜31の数字で入力してください。" type="whole" errorStyle="stop" operator="between">
      <formula1>1</formula1>
      <formula2>31</formula2>
    </dataValidation>
    <dataValidation sqref="D22" showDropDown="0" showInputMessage="0" showErrorMessage="1" allowBlank="0" errorTitle="入力エラー" error="年は1〜30の数字で入力してください。" type="whole" errorStyle="stop" operator="between">
      <formula1>1</formula1>
      <formula2>30</formula2>
    </dataValidation>
    <dataValidation sqref="F22" showDropDown="0" showInputMessage="0" showErrorMessage="1" allowBlank="0" errorTitle="入力エラー" error="月は1〜12の数字で入力してください。" type="whole" errorStyle="stop" operator="between">
      <formula1>1</formula1>
      <formula2>12</formula2>
    </dataValidation>
    <dataValidation sqref="H22" showDropDown="0" showInputMessage="0" showErrorMessage="1" allowBlank="0" errorTitle="入力エラー" error="日は1〜31の数字で入力してください。" type="whole" errorStyle="stop" operator="between">
      <formula1>1</formula1>
      <formula2>31</formula2>
    </dataValidation>
    <dataValidation sqref="D26" showDropDown="0" showInputMessage="0" showErrorMessage="1" allowBlank="0" errorTitle="入力エラー" error="年は1〜30の数字で入力してください。" type="whole" errorStyle="stop" operator="between">
      <formula1>1</formula1>
      <formula2>30</formula2>
    </dataValidation>
    <dataValidation sqref="F26" showDropDown="0" showInputMessage="0" showErrorMessage="1" allowBlank="0" errorTitle="入力エラー" error="月は1〜12の数字で入力してください。" type="whole" errorStyle="stop" operator="between">
      <formula1>1</formula1>
      <formula2>12</formula2>
    </dataValidation>
    <dataValidation sqref="H26" showDropDown="0" showInputMessage="0" showErrorMessage="1" allowBlank="0" errorTitle="入力エラー" error="日は1〜31の数字で入力してください。" type="whole" errorStyle="stop" operator="between">
      <formula1>1</formula1>
      <formula2>31</formula2>
    </dataValidation>
    <dataValidation sqref="C28" showDropDown="0" showInputMessage="0" showErrorMessage="1" allowBlank="0" errorTitle="入力エラー" error="円の数字（整数）で入力してください。" type="whole" errorStyle="stop" operator="between">
      <formula1>0</formula1>
      <formula2>99999999</formula2>
    </dataValidation>
    <dataValidation sqref="C29" showDropDown="0" showInputMessage="0" showErrorMessage="1" allowBlank="0" errorTitle="入力エラー" error="「有」か「無」を選んでください。" type="list" errorStyle="stop">
      <formula1>"有,無"</formula1>
    </dataValidation>
    <dataValidation sqref="C30" showDropDown="0" showInputMessage="0" showErrorMessage="1" allowBlank="0" errorTitle="入力エラー" error="円の数字（整数）で入力してください。" type="whole" errorStyle="stop" operator="between">
      <formula1>0</formula1>
      <formula2>9999999</formula2>
    </dataValidation>
    <dataValidation sqref="C31" showDropDown="0" showInputMessage="0" showErrorMessage="1" allowBlank="0" errorTitle="入力エラー" error="一覧から選んでください。" type="list" errorStyle="stop">
      <formula1>"毎月支給,数か月分一括支給"</formula1>
    </dataValidation>
    <dataValidation sqref="C32" showDropDown="0" showInputMessage="0" showErrorMessage="1" allowBlank="0" errorTitle="入力エラー" error="数字（整数）で入力してください。" type="whole" errorStyle="stop" operator="between">
      <formula1>1</formula1>
      <formula2>99999999</formula2>
    </dataValidation>
    <dataValidation sqref="C33" showDropDown="0" showInputMessage="0" showErrorMessage="1" allowBlank="0" errorTitle="入力エラー" error="数字（整数）で入力してください。" type="whole" errorStyle="stop" operator="between">
      <formula1>1</formula1>
      <formula2>12</formula2>
    </dataValidation>
    <dataValidation sqref="C34" showDropDown="0" showInputMessage="0" showErrorMessage="1" allowBlank="0" errorTitle="入力エラー" error="数字（整数）で入力してください。" type="whole" errorStyle="stop" operator="between">
      <formula1>1</formula1>
      <formula2>12</formula2>
    </dataValidation>
    <dataValidation sqref="D37" showDropDown="0" showInputMessage="0" showErrorMessage="1" allowBlank="0" errorTitle="入力エラー" error="年は1〜30の数字で入力してください。" type="whole" errorStyle="stop" operator="between">
      <formula1>1</formula1>
      <formula2>30</formula2>
    </dataValidation>
    <dataValidation sqref="F37" showDropDown="0" showInputMessage="0" showErrorMessage="1" allowBlank="0" errorTitle="入力エラー" error="月は1〜12の数字で入力してください。" type="whole" errorStyle="stop" operator="between">
      <formula1>1</formula1>
      <formula2>12</formula2>
    </dataValidation>
    <dataValidation sqref="H37" showDropDown="0" showInputMessage="0" showErrorMessage="1" allowBlank="0" errorTitle="入力エラー" error="日は1〜31の数字で入力してください。" type="whole" errorStyle="stop" operator="between">
      <formula1>1</formula1>
      <formula2>31</formula2>
    </dataValidation>
    <dataValidation sqref="C43" showDropDown="0" showInputMessage="0" showErrorMessage="1" allowBlank="0" errorTitle="入力エラー" error="✓ を選ぶか、空欄にしてください。" type="list" errorStyle="stop">
      <formula1>"✓"</formula1>
    </dataValidation>
    <dataValidation sqref="C44" showDropDown="0" showInputMessage="0" showErrorMessage="1" allowBlank="0" errorTitle="入力エラー" error="✓ を選ぶか、空欄にしてください。" type="list" errorStyle="stop">
      <formula1>"✓"</formula1>
    </dataValidation>
    <dataValidation sqref="C45" showDropDown="0" showInputMessage="0" showErrorMessage="1" allowBlank="0" errorTitle="入力エラー" error="✓ を選ぶか、空欄にしてください。" type="list" errorStyle="stop">
      <formula1>"✓"</formula1>
    </dataValidation>
    <dataValidation sqref="C46" showDropDown="0" showInputMessage="0" showErrorMessage="1" allowBlank="0" errorTitle="入力エラー" error="✓ を選ぶか、空欄にしてください。" type="list" errorStyle="stop">
      <formula1>"✓"</formula1>
    </dataValidation>
    <dataValidation sqref="C47" showDropDown="0" showInputMessage="0" showErrorMessage="1" allowBlank="0" errorTitle="入力エラー" error="✓ を選ぶか、空欄にしてください。" type="list" errorStyle="stop">
      <formula1>"✓"</formula1>
    </dataValidation>
    <dataValidation sqref="C48" showDropDown="0" showInputMessage="0" showErrorMessage="1" allowBlank="0" errorTitle="入力エラー" error="✓ を選ぶか、空欄にしてください。" type="list" errorStyle="stop">
      <formula1>"✓"</formula1>
    </dataValidation>
    <dataValidation sqref="C49" showDropDown="0" showInputMessage="0" showErrorMessage="1" allowBlank="0" errorTitle="入力エラー" error="✓ を選ぶか、空欄にしてください。" type="list" errorStyle="stop">
      <formula1>"✓"</formula1>
    </dataValidation>
    <dataValidation sqref="C50" showDropDown="0" showInputMessage="0" showErrorMessage="1" allowBlank="0" errorTitle="入力エラー" error="✓ を選ぶか、空欄にしてください。" type="list" errorStyle="stop">
      <formula1>"✓"</formula1>
    </dataValidation>
    <dataValidation sqref="C51" showDropDown="0" showInputMessage="0" showErrorMessage="1" allowBlank="0" errorTitle="入力エラー" error="✓ を選ぶか、空欄にしてください。" type="list" errorStyle="stop">
      <formula1>"✓"</formula1>
    </dataValidation>
    <dataValidation sqref="C52" showDropDown="0" showInputMessage="0" showErrorMessage="1" allowBlank="0" errorTitle="入力エラー" error="✓ を選ぶか、空欄にしてください。" type="list" errorStyle="stop">
      <formula1>"✓"</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AM51"/>
  <sheetViews>
    <sheetView tabSelected="1" view="pageBreakPreview" zoomScale="130" zoomScaleNormal="100" zoomScaleSheetLayoutView="130" workbookViewId="0">
      <selection activeCell="Z44" sqref="Z44"/>
    </sheetView>
  </sheetViews>
  <sheetFormatPr baseColWidth="8" defaultColWidth="2.25" defaultRowHeight="15" customHeight="1"/>
  <cols>
    <col width="2.125" customWidth="1" style="1" min="1" max="39"/>
    <col width="2.25" customWidth="1" style="1" min="40" max="40"/>
    <col width="2.25" customWidth="1" style="1" min="41" max="16384"/>
  </cols>
  <sheetData>
    <row r="1" ht="10.9" customHeight="1" s="225">
      <c r="A1" s="167" t="inlineStr">
        <is>
          <t xml:space="preserve">育児時短勤務手当金請求書
（育児短時間勤務・部分休業） </t>
        </is>
      </c>
      <c r="V1" s="44" t="n"/>
      <c r="W1" s="44" t="n"/>
      <c r="X1" s="44" t="n"/>
      <c r="Y1" s="44" t="n"/>
      <c r="Z1" s="44" t="n"/>
      <c r="AA1" s="44" t="n"/>
      <c r="AB1" s="44" t="n"/>
      <c r="AC1" s="44" t="n"/>
      <c r="AD1" s="44" t="n"/>
      <c r="AE1" s="44" t="n"/>
      <c r="AF1" s="44" t="n"/>
      <c r="AG1" s="44" t="n"/>
      <c r="AH1" s="168" t="n"/>
      <c r="AI1" s="246" t="n"/>
      <c r="AJ1" s="246" t="n"/>
      <c r="AK1" s="246" t="n"/>
      <c r="AL1" s="246" t="n"/>
      <c r="AM1" s="246" t="n"/>
    </row>
    <row r="2" ht="15" customHeight="1" s="225">
      <c r="V2" s="247" t="inlineStr">
        <is>
          <t>令和</t>
        </is>
      </c>
      <c r="W2" s="248" t="n"/>
      <c r="X2" s="249">
        <f>IF(入力!D7="","",入力!D7)</f>
        <v/>
      </c>
      <c r="Y2" s="248" t="n"/>
      <c r="Z2" s="248" t="n"/>
      <c r="AA2" s="250" t="inlineStr">
        <is>
          <t>年</t>
        </is>
      </c>
      <c r="AB2" s="248" t="n"/>
      <c r="AC2" s="249">
        <f>IF(入力!F7="","",入力!F7)</f>
        <v/>
      </c>
      <c r="AD2" s="248" t="n"/>
      <c r="AE2" s="248" t="n"/>
      <c r="AF2" s="251" t="inlineStr">
        <is>
          <t>月分</t>
        </is>
      </c>
      <c r="AG2" s="252" t="n"/>
      <c r="AH2" s="179" t="inlineStr">
        <is>
          <t>共済組合記入欄</t>
        </is>
      </c>
      <c r="AI2" s="253" t="n"/>
      <c r="AJ2" s="253" t="n"/>
      <c r="AK2" s="253" t="n"/>
      <c r="AL2" s="253" t="n"/>
      <c r="AM2" s="254" t="n"/>
    </row>
    <row r="3" ht="15" customHeight="1" s="225">
      <c r="V3" s="255" t="n"/>
      <c r="AG3" s="256" t="n"/>
      <c r="AH3" s="2" t="inlineStr">
        <is>
          <t>基幹</t>
        </is>
      </c>
      <c r="AI3" s="2" t="n"/>
      <c r="AJ3" s="3" t="n"/>
      <c r="AK3" s="3" t="n"/>
      <c r="AL3" s="3" t="n"/>
      <c r="AM3" s="4" t="n"/>
    </row>
    <row r="4" ht="15" customHeight="1" s="225">
      <c r="A4" s="257" t="n"/>
      <c r="B4" s="257" t="n"/>
      <c r="C4" s="257" t="n"/>
      <c r="D4" s="257" t="n"/>
      <c r="E4" s="257" t="n"/>
      <c r="F4" s="257" t="n"/>
      <c r="G4" s="257" t="n"/>
      <c r="H4" s="257" t="n"/>
      <c r="I4" s="257" t="n"/>
      <c r="J4" s="257" t="n"/>
      <c r="K4" s="257" t="n"/>
      <c r="L4" s="257" t="n"/>
      <c r="M4" s="257" t="n"/>
      <c r="N4" s="257" t="n"/>
      <c r="O4" s="257" t="n"/>
      <c r="P4" s="257" t="n"/>
      <c r="Q4" s="257" t="n"/>
      <c r="R4" s="257" t="n"/>
      <c r="S4" s="257" t="n"/>
      <c r="T4" s="257" t="n"/>
      <c r="U4" s="257" t="n"/>
      <c r="V4" s="258" t="n"/>
      <c r="W4" s="257" t="n"/>
      <c r="X4" s="257" t="n"/>
      <c r="Y4" s="257" t="n"/>
      <c r="Z4" s="257" t="n"/>
      <c r="AA4" s="257" t="n"/>
      <c r="AB4" s="257" t="n"/>
      <c r="AC4" s="257" t="n"/>
      <c r="AD4" s="257" t="n"/>
      <c r="AE4" s="257" t="n"/>
      <c r="AF4" s="257" t="n"/>
      <c r="AG4" s="259" t="n"/>
      <c r="AH4" s="5" t="inlineStr">
        <is>
          <t>ﾃﾞｰﾀ</t>
        </is>
      </c>
      <c r="AI4" s="5" t="n"/>
      <c r="AJ4" s="6" t="n"/>
      <c r="AK4" s="6" t="n"/>
      <c r="AL4" s="6" t="n"/>
      <c r="AM4" s="7" t="n"/>
    </row>
    <row r="5" ht="2.25" customHeight="1" s="225">
      <c r="A5" s="8" t="n"/>
      <c r="B5" s="9" t="n"/>
      <c r="C5" s="9" t="n"/>
      <c r="D5" s="9" t="n"/>
      <c r="E5" s="9" t="n"/>
      <c r="F5" s="9" t="n"/>
      <c r="G5" s="9" t="n"/>
      <c r="H5" s="10" t="n"/>
      <c r="I5" s="51" t="n"/>
      <c r="J5" s="51" t="n"/>
      <c r="K5" s="51" t="n"/>
      <c r="L5" s="51" t="n"/>
      <c r="M5" s="51" t="n"/>
      <c r="N5" s="51" t="n"/>
      <c r="O5" s="51" t="n"/>
      <c r="P5" s="9" t="n"/>
      <c r="Q5" s="9" t="n"/>
      <c r="R5" s="9" t="n"/>
      <c r="S5" s="9" t="n"/>
      <c r="T5" s="9" t="n"/>
      <c r="U5" s="51" t="n"/>
      <c r="V5" s="52" t="n"/>
      <c r="W5" s="193" t="inlineStr">
        <is>
          <t>組合員等
記号番号</t>
        </is>
      </c>
      <c r="X5" s="248" t="n"/>
      <c r="Y5" s="248" t="n"/>
      <c r="Z5" s="248" t="n"/>
      <c r="AA5" s="252" t="n"/>
      <c r="AB5" s="8" t="n"/>
      <c r="AC5" s="9" t="n"/>
      <c r="AD5" s="9" t="n"/>
      <c r="AE5" s="9" t="n"/>
      <c r="AF5" s="9" t="n"/>
      <c r="AG5" s="9" t="n"/>
      <c r="AH5" s="9" t="n"/>
      <c r="AI5" s="9" t="n"/>
      <c r="AJ5" s="9" t="n"/>
      <c r="AK5" s="9" t="n"/>
      <c r="AL5" s="9" t="n"/>
      <c r="AM5" s="12" t="n"/>
    </row>
    <row r="6" ht="12" customHeight="1" s="225">
      <c r="A6" s="183" t="inlineStr">
        <is>
          <t>フ リ ガ ナ</t>
        </is>
      </c>
      <c r="H6" s="11" t="n"/>
      <c r="I6" s="206">
        <f>IF(入力!C10="","",入力!C10)</f>
        <v/>
      </c>
      <c r="R6" s="71" t="n"/>
      <c r="S6" s="71" t="n"/>
      <c r="T6" s="71" t="n"/>
      <c r="U6" s="71" t="n"/>
      <c r="V6" s="48" t="n"/>
      <c r="AA6" s="256" t="n"/>
      <c r="AB6" s="260">
        <f>IF(入力!C9="","",入力!C9)</f>
        <v/>
      </c>
      <c r="AE6" s="148" t="inlineStr">
        <is>
          <t>―</t>
        </is>
      </c>
      <c r="AF6" s="261">
        <f>IF(入力!F9="","",入力!F9)</f>
        <v/>
      </c>
      <c r="AM6" s="256" t="n"/>
    </row>
    <row r="7" ht="18.75" customHeight="1" s="225">
      <c r="A7" s="185" t="inlineStr">
        <is>
          <t>組合員氏名</t>
        </is>
      </c>
      <c r="H7" s="11" t="n"/>
      <c r="I7" s="208">
        <f>IF(入力!C11="","",入力!C11)</f>
        <v/>
      </c>
      <c r="R7" s="71" t="n"/>
      <c r="S7" s="71" t="n"/>
      <c r="T7" s="71" t="n"/>
      <c r="U7" s="71" t="n"/>
      <c r="V7" s="48" t="n"/>
      <c r="AA7" s="256" t="n"/>
      <c r="AB7" s="255" t="n"/>
      <c r="AM7" s="256" t="n"/>
    </row>
    <row r="8" ht="18.75" customHeight="1" s="225">
      <c r="A8" s="255" t="n"/>
      <c r="H8" s="11" t="n"/>
      <c r="I8" s="257" t="n"/>
      <c r="J8" s="257" t="n"/>
      <c r="K8" s="257" t="n"/>
      <c r="L8" s="257" t="n"/>
      <c r="M8" s="257" t="n"/>
      <c r="N8" s="257" t="n"/>
      <c r="O8" s="257" t="n"/>
      <c r="P8" s="257" t="n"/>
      <c r="Q8" s="257" t="n"/>
      <c r="R8" s="262">
        <f>IF(入力!C12="女","（女）・ 男",IF(入力!C12="男","女 ・（男）","女 ・ 男"))</f>
        <v/>
      </c>
      <c r="V8" s="48" t="n"/>
      <c r="AA8" s="256" t="n"/>
      <c r="AB8" s="258" t="n"/>
      <c r="AC8" s="257" t="n"/>
      <c r="AD8" s="257" t="n"/>
      <c r="AE8" s="257" t="n"/>
      <c r="AF8" s="257" t="n"/>
      <c r="AG8" s="257" t="n"/>
      <c r="AH8" s="257" t="n"/>
      <c r="AI8" s="257" t="n"/>
      <c r="AJ8" s="257" t="n"/>
      <c r="AK8" s="257" t="n"/>
      <c r="AL8" s="257" t="n"/>
      <c r="AM8" s="259" t="n"/>
    </row>
    <row r="9" ht="18.75" customHeight="1" s="225">
      <c r="A9" s="154" t="inlineStr">
        <is>
          <t>生 年 月 日</t>
        </is>
      </c>
      <c r="B9" s="248" t="n"/>
      <c r="C9" s="248" t="n"/>
      <c r="D9" s="248" t="n"/>
      <c r="E9" s="248" t="n"/>
      <c r="F9" s="248" t="n"/>
      <c r="G9" s="252" t="n"/>
      <c r="H9" s="263">
        <f>IF(入力!C13="昭和","（Ｓ）・ Ｈ",IF(入力!C13="平成","Ｓ ・（Ｈ）","Ｓ ・ Ｈ"))</f>
        <v/>
      </c>
      <c r="I9" s="248" t="n"/>
      <c r="J9" s="248" t="n"/>
      <c r="K9" s="248" t="n"/>
      <c r="L9" s="264">
        <f>IF(入力!D13="","",入力!D13)</f>
        <v/>
      </c>
      <c r="M9" s="248" t="n"/>
      <c r="N9" s="140" t="inlineStr">
        <is>
          <t>年</t>
        </is>
      </c>
      <c r="O9" s="264">
        <f>IF(入力!F13="","",入力!F13)</f>
        <v/>
      </c>
      <c r="P9" s="248" t="n"/>
      <c r="Q9" s="265" t="inlineStr">
        <is>
          <t>月</t>
        </is>
      </c>
      <c r="R9" s="264">
        <f>IF(入力!H13="","",入力!H13)</f>
        <v/>
      </c>
      <c r="S9" s="248" t="n"/>
      <c r="T9" s="265" t="inlineStr">
        <is>
          <t>日</t>
        </is>
      </c>
      <c r="U9" s="9" t="n"/>
      <c r="V9" s="12" t="n"/>
      <c r="W9" s="266" t="inlineStr">
        <is>
          <t>☆個人番号</t>
        </is>
      </c>
      <c r="X9" s="248" t="n"/>
      <c r="Y9" s="248" t="n"/>
      <c r="Z9" s="248" t="n"/>
      <c r="AA9" s="252" t="n"/>
      <c r="AB9" s="13" t="n"/>
      <c r="AC9" s="14" t="n"/>
      <c r="AD9" s="14" t="n"/>
      <c r="AE9" s="14" t="n"/>
      <c r="AF9" s="14" t="n"/>
      <c r="AG9" s="14" t="n"/>
      <c r="AH9" s="14" t="n"/>
      <c r="AI9" s="14" t="n"/>
      <c r="AJ9" s="14" t="n"/>
      <c r="AK9" s="14" t="n"/>
      <c r="AL9" s="14" t="n"/>
      <c r="AM9" s="15" t="n"/>
    </row>
    <row r="10" ht="18.75" customHeight="1" s="225">
      <c r="A10" s="258" t="n"/>
      <c r="B10" s="257" t="n"/>
      <c r="C10" s="257" t="n"/>
      <c r="D10" s="257" t="n"/>
      <c r="E10" s="257" t="n"/>
      <c r="F10" s="257" t="n"/>
      <c r="G10" s="259" t="n"/>
      <c r="H10" s="258" t="n"/>
      <c r="I10" s="257" t="n"/>
      <c r="J10" s="257" t="n"/>
      <c r="K10" s="257" t="n"/>
      <c r="L10" s="257" t="n"/>
      <c r="M10" s="257" t="n"/>
      <c r="N10" s="257" t="n"/>
      <c r="O10" s="257" t="n"/>
      <c r="P10" s="257" t="n"/>
      <c r="Q10" s="257" t="n"/>
      <c r="R10" s="257" t="n"/>
      <c r="S10" s="257" t="n"/>
      <c r="T10" s="257" t="n"/>
      <c r="U10" s="16" t="n"/>
      <c r="V10" s="17" t="n"/>
      <c r="W10" s="267" t="inlineStr">
        <is>
          <t>（ﾏｲﾅﾝﾊﾞｰ）</t>
        </is>
      </c>
      <c r="X10" s="257" t="n"/>
      <c r="Y10" s="257" t="n"/>
      <c r="Z10" s="257" t="n"/>
      <c r="AA10" s="259" t="n"/>
      <c r="AB10" s="18" t="n"/>
      <c r="AC10" s="19" t="n"/>
      <c r="AD10" s="19" t="n"/>
      <c r="AE10" s="19" t="n"/>
      <c r="AF10" s="19" t="n"/>
      <c r="AG10" s="19" t="n"/>
      <c r="AH10" s="19" t="n"/>
      <c r="AI10" s="19" t="n"/>
      <c r="AJ10" s="19" t="n"/>
      <c r="AK10" s="19" t="n"/>
      <c r="AL10" s="19" t="n"/>
      <c r="AM10" s="20" t="n"/>
    </row>
    <row r="11" ht="15.75" customHeight="1" s="225">
      <c r="A11" s="153" t="inlineStr">
        <is>
          <t>所属機関</t>
        </is>
      </c>
      <c r="G11" s="256" t="n"/>
      <c r="H11" s="155" t="inlineStr">
        <is>
          <t>名　称</t>
        </is>
      </c>
      <c r="J11" s="256" t="n"/>
      <c r="K11" s="268">
        <f>IF(入力!C15="","",入力!C15)</f>
        <v/>
      </c>
      <c r="AM11" s="256" t="n"/>
    </row>
    <row r="12" ht="15.75" customHeight="1" s="225">
      <c r="A12" s="255" t="n"/>
      <c r="G12" s="256" t="n"/>
      <c r="H12" s="258" t="n"/>
      <c r="I12" s="257" t="n"/>
      <c r="J12" s="259" t="n"/>
      <c r="K12" s="258" t="n"/>
      <c r="L12" s="257" t="n"/>
      <c r="M12" s="257" t="n"/>
      <c r="N12" s="257" t="n"/>
      <c r="O12" s="257" t="n"/>
      <c r="P12" s="257" t="n"/>
      <c r="Q12" s="257" t="n"/>
      <c r="R12" s="257" t="n"/>
      <c r="S12" s="257" t="n"/>
      <c r="T12" s="257" t="n"/>
      <c r="U12" s="257" t="n"/>
      <c r="V12" s="257" t="n"/>
      <c r="W12" s="257" t="n"/>
      <c r="X12" s="257" t="n"/>
      <c r="Y12" s="257" t="n"/>
      <c r="Z12" s="257" t="n"/>
      <c r="AA12" s="257" t="n"/>
      <c r="AB12" s="257" t="n"/>
      <c r="AC12" s="257" t="n"/>
      <c r="AD12" s="257" t="n"/>
      <c r="AE12" s="257" t="n"/>
      <c r="AF12" s="257" t="n"/>
      <c r="AG12" s="257" t="n"/>
      <c r="AH12" s="257" t="n"/>
      <c r="AI12" s="257" t="n"/>
      <c r="AJ12" s="257" t="n"/>
      <c r="AK12" s="257" t="n"/>
      <c r="AL12" s="257" t="n"/>
      <c r="AM12" s="259" t="n"/>
    </row>
    <row r="13" ht="15.75" customHeight="1" s="225">
      <c r="A13" s="255" t="n"/>
      <c r="G13" s="256" t="n"/>
      <c r="H13" s="156" t="inlineStr">
        <is>
          <t>所在地</t>
        </is>
      </c>
      <c r="I13" s="248" t="n"/>
      <c r="J13" s="252" t="n"/>
      <c r="K13" s="269">
        <f>IF(入力!C16="","",入力!C16)</f>
        <v/>
      </c>
      <c r="L13" s="248" t="n"/>
      <c r="M13" s="248" t="n"/>
      <c r="N13" s="248" t="n"/>
      <c r="O13" s="248" t="n"/>
      <c r="P13" s="248" t="n"/>
      <c r="Q13" s="248" t="n"/>
      <c r="R13" s="248" t="n"/>
      <c r="S13" s="248" t="n"/>
      <c r="T13" s="248" t="n"/>
      <c r="U13" s="248" t="n"/>
      <c r="V13" s="248" t="n"/>
      <c r="W13" s="248" t="n"/>
      <c r="X13" s="248" t="n"/>
      <c r="Y13" s="248" t="n"/>
      <c r="Z13" s="248" t="n"/>
      <c r="AA13" s="248" t="n"/>
      <c r="AB13" s="248" t="n"/>
      <c r="AC13" s="248" t="n"/>
      <c r="AD13" s="248" t="n"/>
      <c r="AE13" s="248" t="n"/>
      <c r="AF13" s="248" t="n"/>
      <c r="AG13" s="248" t="n"/>
      <c r="AH13" s="248" t="n"/>
      <c r="AI13" s="248" t="n"/>
      <c r="AJ13" s="248" t="n"/>
      <c r="AK13" s="248" t="n"/>
      <c r="AL13" s="248" t="n"/>
      <c r="AM13" s="252" t="n"/>
    </row>
    <row r="14" ht="15.75" customHeight="1" s="225">
      <c r="A14" s="258" t="n"/>
      <c r="B14" s="257" t="n"/>
      <c r="C14" s="257" t="n"/>
      <c r="D14" s="257" t="n"/>
      <c r="E14" s="257" t="n"/>
      <c r="F14" s="257" t="n"/>
      <c r="G14" s="259" t="n"/>
      <c r="H14" s="258" t="n"/>
      <c r="I14" s="257" t="n"/>
      <c r="J14" s="259" t="n"/>
      <c r="K14" s="257" t="n"/>
      <c r="L14" s="257" t="n"/>
      <c r="M14" s="257" t="n"/>
      <c r="N14" s="257" t="n"/>
      <c r="O14" s="257" t="n"/>
      <c r="P14" s="257" t="n"/>
      <c r="Q14" s="257" t="n"/>
      <c r="R14" s="257" t="n"/>
      <c r="S14" s="257" t="n"/>
      <c r="T14" s="257" t="n"/>
      <c r="U14" s="257" t="n"/>
      <c r="V14" s="257" t="n"/>
      <c r="W14" s="257" t="n"/>
      <c r="X14" s="257" t="n"/>
      <c r="Y14" s="257" t="n"/>
      <c r="Z14" s="257" t="n"/>
      <c r="AA14" s="257" t="n"/>
      <c r="AB14" s="257" t="n"/>
      <c r="AC14" s="257" t="n"/>
      <c r="AD14" s="257" t="n"/>
      <c r="AE14" s="257" t="n"/>
      <c r="AF14" s="257" t="n"/>
      <c r="AG14" s="257" t="n"/>
      <c r="AH14" s="257" t="n"/>
      <c r="AI14" s="257" t="n"/>
      <c r="AJ14" s="257" t="n"/>
      <c r="AK14" s="257" t="n"/>
      <c r="AL14" s="257" t="n"/>
      <c r="AM14" s="259" t="n"/>
    </row>
    <row r="15" ht="36" customHeight="1" s="225">
      <c r="A15" s="154" t="inlineStr">
        <is>
          <t>育児短時間勤務
又は部分休業期間</t>
        </is>
      </c>
      <c r="B15" s="270" t="n"/>
      <c r="C15" s="270" t="n"/>
      <c r="D15" s="270" t="n"/>
      <c r="E15" s="270" t="n"/>
      <c r="F15" s="270" t="n"/>
      <c r="G15" s="270" t="n"/>
      <c r="H15" s="270" t="n"/>
      <c r="I15" s="270" t="n"/>
      <c r="J15" s="271" t="n"/>
      <c r="K15" s="137" t="inlineStr">
        <is>
          <t>令和</t>
        </is>
      </c>
      <c r="L15" s="270" t="n"/>
      <c r="M15" s="272">
        <f>IF(入力!D20="","",入力!D20)</f>
        <v/>
      </c>
      <c r="N15" s="270" t="n"/>
      <c r="O15" s="139" t="inlineStr">
        <is>
          <t>年</t>
        </is>
      </c>
      <c r="P15" s="270" t="n"/>
      <c r="Q15" s="272">
        <f>IF(入力!F20="","",入力!F20)</f>
        <v/>
      </c>
      <c r="R15" s="270" t="n"/>
      <c r="S15" s="139" t="inlineStr">
        <is>
          <t>月</t>
        </is>
      </c>
      <c r="T15" s="270" t="n"/>
      <c r="U15" s="272">
        <f>IF(入力!H20="","",入力!H20)</f>
        <v/>
      </c>
      <c r="V15" s="270" t="n"/>
      <c r="W15" s="140" t="inlineStr">
        <is>
          <t>日</t>
        </is>
      </c>
      <c r="X15" s="270" t="n"/>
      <c r="Y15" s="53" t="inlineStr">
        <is>
          <t>～</t>
        </is>
      </c>
      <c r="Z15" s="138" t="inlineStr">
        <is>
          <t>令和</t>
        </is>
      </c>
      <c r="AA15" s="270" t="n"/>
      <c r="AB15" s="272">
        <f>IF(入力!D21="","",入力!D21)</f>
        <v/>
      </c>
      <c r="AC15" s="270" t="n"/>
      <c r="AD15" s="139" t="inlineStr">
        <is>
          <t>年</t>
        </is>
      </c>
      <c r="AE15" s="270" t="n"/>
      <c r="AF15" s="272">
        <f>IF(入力!F21="","",入力!F21)</f>
        <v/>
      </c>
      <c r="AG15" s="270" t="n"/>
      <c r="AH15" s="139" t="inlineStr">
        <is>
          <t>月</t>
        </is>
      </c>
      <c r="AI15" s="270" t="n"/>
      <c r="AJ15" s="272">
        <f>IF(入力!H21="","",入力!H21)</f>
        <v/>
      </c>
      <c r="AK15" s="270" t="n"/>
      <c r="AL15" s="141" t="inlineStr">
        <is>
          <t>日</t>
        </is>
      </c>
      <c r="AM15" s="271" t="n"/>
    </row>
    <row r="16" ht="36" customHeight="1" s="225">
      <c r="A16" s="154" t="inlineStr">
        <is>
          <t>育児時短勤務手当金
請求期間</t>
        </is>
      </c>
      <c r="B16" s="270" t="n"/>
      <c r="C16" s="270" t="n"/>
      <c r="D16" s="270" t="n"/>
      <c r="E16" s="270" t="n"/>
      <c r="F16" s="270" t="n"/>
      <c r="G16" s="270" t="n"/>
      <c r="H16" s="270" t="n"/>
      <c r="I16" s="270" t="n"/>
      <c r="J16" s="271" t="n"/>
      <c r="K16" s="137" t="inlineStr">
        <is>
          <t>令和</t>
        </is>
      </c>
      <c r="L16" s="270" t="n"/>
      <c r="M16" s="272">
        <f>IF(入力!D23="","",入力!D23)</f>
        <v/>
      </c>
      <c r="N16" s="270" t="n"/>
      <c r="O16" s="139" t="inlineStr">
        <is>
          <t>年</t>
        </is>
      </c>
      <c r="P16" s="270" t="n"/>
      <c r="Q16" s="272">
        <f>IF(入力!F23="","",入力!F23)</f>
        <v/>
      </c>
      <c r="R16" s="270" t="n"/>
      <c r="S16" s="139" t="inlineStr">
        <is>
          <t>月</t>
        </is>
      </c>
      <c r="T16" s="270" t="n"/>
      <c r="U16" s="272">
        <f>IF(入力!H23="","",入力!H23)</f>
        <v/>
      </c>
      <c r="V16" s="270" t="n"/>
      <c r="W16" s="140" t="inlineStr">
        <is>
          <t>日</t>
        </is>
      </c>
      <c r="X16" s="270" t="n"/>
      <c r="Y16" s="53" t="inlineStr">
        <is>
          <t>～</t>
        </is>
      </c>
      <c r="Z16" s="138" t="inlineStr">
        <is>
          <t>令和</t>
        </is>
      </c>
      <c r="AA16" s="270" t="n"/>
      <c r="AB16" s="272">
        <f>IF(入力!D24="","",入力!D24)</f>
        <v/>
      </c>
      <c r="AC16" s="270" t="n"/>
      <c r="AD16" s="139" t="inlineStr">
        <is>
          <t>年</t>
        </is>
      </c>
      <c r="AE16" s="270" t="n"/>
      <c r="AF16" s="272">
        <f>IF(入力!F24="","",入力!F24)</f>
        <v/>
      </c>
      <c r="AG16" s="270" t="n"/>
      <c r="AH16" s="139" t="inlineStr">
        <is>
          <t>月</t>
        </is>
      </c>
      <c r="AI16" s="270" t="n"/>
      <c r="AJ16" s="272">
        <f>IF(入力!H24="","",入力!H24)</f>
        <v/>
      </c>
      <c r="AK16" s="270" t="n"/>
      <c r="AL16" s="141" t="inlineStr">
        <is>
          <t>日</t>
        </is>
      </c>
      <c r="AM16" s="271" t="n"/>
    </row>
    <row r="17" ht="36" customHeight="1" s="225">
      <c r="A17" s="154" t="inlineStr">
        <is>
          <t>育児時短勤務に係る子の
名前・生年月日</t>
        </is>
      </c>
      <c r="B17" s="270" t="n"/>
      <c r="C17" s="270" t="n"/>
      <c r="D17" s="270" t="n"/>
      <c r="E17" s="270" t="n"/>
      <c r="F17" s="270" t="n"/>
      <c r="G17" s="270" t="n"/>
      <c r="H17" s="270" t="n"/>
      <c r="I17" s="270" t="n"/>
      <c r="J17" s="271" t="n"/>
      <c r="K17" s="273">
        <f>IF(入力!C25="","",入力!C25)</f>
        <v/>
      </c>
      <c r="L17" s="270" t="n"/>
      <c r="M17" s="270" t="n"/>
      <c r="N17" s="270" t="n"/>
      <c r="O17" s="270" t="n"/>
      <c r="P17" s="270" t="n"/>
      <c r="Q17" s="270" t="n"/>
      <c r="R17" s="270" t="n"/>
      <c r="S17" s="270" t="n"/>
      <c r="T17" s="271" t="n"/>
      <c r="U17" s="53" t="n"/>
      <c r="V17" s="205" t="inlineStr">
        <is>
          <t>令和</t>
        </is>
      </c>
      <c r="W17" s="270" t="n"/>
      <c r="X17" s="272">
        <f>IF(入力!D26="","",入力!D26)</f>
        <v/>
      </c>
      <c r="Y17" s="270" t="n"/>
      <c r="Z17" s="270" t="n"/>
      <c r="AA17" s="140" t="inlineStr">
        <is>
          <t>年</t>
        </is>
      </c>
      <c r="AB17" s="270" t="n"/>
      <c r="AC17" s="272">
        <f>IF(入力!F26="","",入力!F26)</f>
        <v/>
      </c>
      <c r="AD17" s="270" t="n"/>
      <c r="AE17" s="270" t="n"/>
      <c r="AF17" s="140" t="inlineStr">
        <is>
          <t>月</t>
        </is>
      </c>
      <c r="AG17" s="270" t="n"/>
      <c r="AH17" s="272">
        <f>IF(入力!H26="","",入力!H26)</f>
        <v/>
      </c>
      <c r="AI17" s="270" t="n"/>
      <c r="AJ17" s="270" t="n"/>
      <c r="AK17" s="140" t="inlineStr">
        <is>
          <t>日</t>
        </is>
      </c>
      <c r="AL17" s="270" t="n"/>
      <c r="AM17" s="55" t="n"/>
    </row>
    <row r="18" ht="36" customHeight="1" s="225">
      <c r="A18" s="274" t="inlineStr">
        <is>
          <t xml:space="preserve">☆育児時短勤務開始時の
標準報酬月額　　　　　　　　</t>
        </is>
      </c>
      <c r="B18" s="248" t="n"/>
      <c r="C18" s="248" t="n"/>
      <c r="D18" s="248" t="n"/>
      <c r="E18" s="248" t="n"/>
      <c r="F18" s="248" t="n"/>
      <c r="G18" s="248" t="n"/>
      <c r="H18" s="248" t="n"/>
      <c r="I18" s="248" t="n"/>
      <c r="J18" s="252" t="n"/>
      <c r="K18" s="275" t="inlineStr">
        <is>
          <t xml:space="preserve">　第　　　　 級　　　　　　　　円</t>
        </is>
      </c>
      <c r="L18" s="248" t="n"/>
      <c r="M18" s="248" t="n"/>
      <c r="N18" s="248" t="n"/>
      <c r="O18" s="248" t="n"/>
      <c r="P18" s="248" t="n"/>
      <c r="Q18" s="248" t="n"/>
      <c r="R18" s="248" t="n"/>
      <c r="S18" s="248" t="n"/>
      <c r="T18" s="248" t="n"/>
      <c r="U18" s="248" t="n"/>
      <c r="V18" s="248" t="n"/>
      <c r="W18" s="248" t="n"/>
      <c r="X18" s="248" t="n"/>
      <c r="Y18" s="248" t="n"/>
      <c r="Z18" s="252" t="n"/>
      <c r="AA18" s="275" t="inlineStr">
        <is>
          <t xml:space="preserve">　☆決定額　　　　　　　　円</t>
        </is>
      </c>
      <c r="AB18" s="248" t="n"/>
      <c r="AC18" s="248" t="n"/>
      <c r="AD18" s="248" t="n"/>
      <c r="AE18" s="248" t="n"/>
      <c r="AF18" s="248" t="n"/>
      <c r="AG18" s="248" t="n"/>
      <c r="AH18" s="248" t="n"/>
      <c r="AI18" s="248" t="n"/>
      <c r="AJ18" s="248" t="n"/>
      <c r="AK18" s="248" t="n"/>
      <c r="AL18" s="248" t="n"/>
      <c r="AM18" s="252" t="n"/>
    </row>
    <row r="19" ht="51" customHeight="1" s="225">
      <c r="A19" s="154" t="inlineStr">
        <is>
          <t>支給対象月に支払われた
報酬の額</t>
        </is>
      </c>
      <c r="B19" s="270" t="n"/>
      <c r="C19" s="270" t="n"/>
      <c r="D19" s="270" t="n"/>
      <c r="E19" s="270" t="n"/>
      <c r="F19" s="270" t="n"/>
      <c r="G19" s="270" t="n"/>
      <c r="H19" s="270" t="n"/>
      <c r="I19" s="270" t="n"/>
      <c r="J19" s="271" t="n"/>
      <c r="K19" s="54" t="n"/>
      <c r="L19" s="53" t="n"/>
      <c r="M19" s="53" t="n"/>
      <c r="N19" s="276">
        <f>IF(入力!C28="","",入力!C28)</f>
        <v/>
      </c>
      <c r="O19" s="270" t="n"/>
      <c r="P19" s="270" t="n"/>
      <c r="Q19" s="270" t="n"/>
      <c r="R19" s="270" t="n"/>
      <c r="S19" s="270" t="n"/>
      <c r="T19" s="270" t="n"/>
      <c r="U19" s="270" t="n"/>
      <c r="V19" s="270" t="n"/>
      <c r="W19" s="270" t="n"/>
      <c r="X19" s="270" t="n"/>
      <c r="Y19" s="202" t="inlineStr">
        <is>
          <t>円（１月当たりの通勤手当の額を含む。）</t>
        </is>
      </c>
      <c r="Z19" s="270" t="n"/>
      <c r="AA19" s="270" t="n"/>
      <c r="AB19" s="270" t="n"/>
      <c r="AC19" s="270" t="n"/>
      <c r="AD19" s="270" t="n"/>
      <c r="AE19" s="270" t="n"/>
      <c r="AF19" s="270" t="n"/>
      <c r="AG19" s="270" t="n"/>
      <c r="AH19" s="270" t="n"/>
      <c r="AI19" s="270" t="n"/>
      <c r="AJ19" s="270" t="n"/>
      <c r="AK19" s="270" t="n"/>
      <c r="AL19" s="270" t="n"/>
      <c r="AM19" s="271" t="n"/>
    </row>
    <row r="20" ht="3.75" customFormat="1" customHeight="1" s="73">
      <c r="A20" s="277" t="inlineStr">
        <is>
          <t>通勤手当に対する
特記事項</t>
        </is>
      </c>
      <c r="B20" s="248" t="n"/>
      <c r="C20" s="248" t="n"/>
      <c r="D20" s="248" t="n"/>
      <c r="E20" s="248" t="n"/>
      <c r="F20" s="248" t="n"/>
      <c r="G20" s="248" t="n"/>
      <c r="H20" s="248" t="n"/>
      <c r="I20" s="248" t="n"/>
      <c r="J20" s="252" t="n"/>
      <c r="K20" s="72" t="n"/>
      <c r="L20" s="72" t="n"/>
      <c r="M20" s="72" t="n"/>
      <c r="N20" s="72" t="n"/>
      <c r="O20" s="72" t="n"/>
      <c r="AM20" s="74" t="n"/>
    </row>
    <row r="21" ht="25.5" customFormat="1" customHeight="1" s="73">
      <c r="A21" s="255" t="n"/>
      <c r="J21" s="256" t="n"/>
      <c r="K21" s="278">
        <f>"通勤手当：" &amp; IF(入力!C29="有","（有）・ 無",IF(入力!C29="無","有 ・（無）","有 ・ 無")) &amp; "　（該当するものに〇で囲んでください。）"</f>
        <v/>
      </c>
      <c r="AM21" s="256" t="n"/>
    </row>
    <row r="22" ht="25.5" customFormat="1" customHeight="1" s="73">
      <c r="A22" s="255" t="n"/>
      <c r="J22" s="256" t="n"/>
      <c r="K22" s="75" t="inlineStr">
        <is>
          <t xml:space="preserve">１月当たりの通勤手当の額：　　　</t>
        </is>
      </c>
      <c r="L22" s="75" t="n"/>
      <c r="M22" s="75" t="n"/>
      <c r="N22" s="75" t="n"/>
      <c r="O22" s="75" t="n"/>
      <c r="P22" s="75" t="n"/>
      <c r="Q22" s="75" t="n"/>
      <c r="R22" s="75" t="n"/>
      <c r="S22" s="75" t="n"/>
      <c r="T22" s="75" t="n"/>
      <c r="U22" s="75" t="n"/>
      <c r="V22" s="75" t="n"/>
      <c r="W22" s="75" t="n"/>
      <c r="X22" s="279">
        <f>IF(入力!C30="","",入力!C30)</f>
        <v/>
      </c>
      <c r="AC22" s="75" t="inlineStr">
        <is>
          <t>円</t>
        </is>
      </c>
      <c r="AD22" s="75" t="n"/>
      <c r="AE22" s="75" t="n"/>
      <c r="AF22" s="75" t="n"/>
      <c r="AG22" s="75" t="n"/>
      <c r="AH22" s="75" t="n"/>
      <c r="AI22" s="75" t="n"/>
      <c r="AJ22" s="75" t="n"/>
      <c r="AK22" s="75" t="n"/>
      <c r="AL22" s="75" t="n"/>
      <c r="AM22" s="76" t="n"/>
    </row>
    <row r="23" ht="3" customFormat="1" customHeight="1" s="73">
      <c r="A23" s="258" t="n"/>
      <c r="B23" s="257" t="n"/>
      <c r="C23" s="257" t="n"/>
      <c r="D23" s="257" t="n"/>
      <c r="E23" s="257" t="n"/>
      <c r="F23" s="257" t="n"/>
      <c r="G23" s="257" t="n"/>
      <c r="H23" s="257" t="n"/>
      <c r="I23" s="257" t="n"/>
      <c r="J23" s="259" t="n"/>
      <c r="K23" s="280" t="n"/>
      <c r="L23" s="257" t="n"/>
      <c r="M23" s="257" t="n"/>
      <c r="N23" s="257" t="n"/>
      <c r="O23" s="257" t="n"/>
      <c r="P23" s="257" t="n"/>
      <c r="Q23" s="257" t="n"/>
      <c r="R23" s="257" t="n"/>
      <c r="S23" s="257" t="n"/>
      <c r="T23" s="257" t="n"/>
      <c r="U23" s="257" t="n"/>
      <c r="V23" s="257" t="n"/>
      <c r="W23" s="257" t="n"/>
      <c r="X23" s="257" t="n"/>
      <c r="Y23" s="257" t="n"/>
      <c r="Z23" s="257" t="n"/>
      <c r="AA23" s="257" t="n"/>
      <c r="AB23" s="257" t="n"/>
      <c r="AC23" s="257" t="n"/>
      <c r="AD23" s="257" t="n"/>
      <c r="AE23" s="257" t="n"/>
      <c r="AF23" s="257" t="n"/>
      <c r="AG23" s="257" t="n"/>
      <c r="AH23" s="257" t="n"/>
      <c r="AI23" s="257" t="n"/>
      <c r="AJ23" s="257" t="n"/>
      <c r="AK23" s="257" t="n"/>
      <c r="AL23" s="257" t="n"/>
      <c r="AM23" s="259" t="n"/>
    </row>
    <row r="24" ht="3" customFormat="1" customHeight="1" s="21">
      <c r="A24" s="31"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c r="W24" s="24" t="n"/>
      <c r="X24" s="24" t="n"/>
      <c r="Y24" s="24" t="n"/>
      <c r="Z24" s="24" t="n"/>
      <c r="AA24" s="24" t="n"/>
      <c r="AB24" s="24" t="n"/>
      <c r="AC24" s="24" t="n"/>
      <c r="AD24" s="24" t="n"/>
      <c r="AE24" s="24" t="n"/>
      <c r="AF24" s="24" t="n"/>
      <c r="AG24" s="24" t="n"/>
      <c r="AH24" s="24" t="n"/>
      <c r="AI24" s="24" t="n"/>
      <c r="AJ24" s="24" t="n"/>
      <c r="AK24" s="24" t="n"/>
      <c r="AL24" s="24" t="n"/>
      <c r="AM24" s="25" t="n"/>
    </row>
    <row r="25" ht="18.75" customFormat="1" customHeight="1" s="21">
      <c r="A25" s="28" t="n"/>
      <c r="B25" s="21" t="inlineStr">
        <is>
          <t>上記のとおり、請求します。</t>
        </is>
      </c>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c r="W25" s="24" t="n"/>
      <c r="X25" s="24" t="n"/>
      <c r="Y25" s="29" t="inlineStr">
        <is>
          <t>庶務担当　氏名・℡</t>
        </is>
      </c>
      <c r="Z25" s="24" t="n"/>
      <c r="AB25" s="24" t="n"/>
      <c r="AC25" s="24" t="n"/>
      <c r="AE25" s="133">
        <f>IF(入力!C40="","",入力!C40)</f>
        <v/>
      </c>
      <c r="AH25" s="69" t="inlineStr">
        <is>
          <t>・</t>
        </is>
      </c>
      <c r="AI25" s="132">
        <f>IF(入力!C41="","",入力!C41)</f>
        <v/>
      </c>
      <c r="AM25" s="256" t="n"/>
    </row>
    <row r="26" ht="18.75" customFormat="1" customHeight="1" s="21">
      <c r="A26" s="28" t="n"/>
      <c r="B26" s="24" t="n"/>
      <c r="C26" s="21" t="inlineStr">
        <is>
          <t xml:space="preserve">広島市職員共済組合理事長　様　　　　　　</t>
        </is>
      </c>
      <c r="D26" s="24" t="n"/>
      <c r="E26" s="24" t="n"/>
      <c r="F26" s="24" t="n"/>
      <c r="G26" s="24" t="n"/>
      <c r="H26" s="24" t="n"/>
      <c r="I26" s="24" t="n"/>
      <c r="J26" s="24" t="n"/>
      <c r="K26" s="24" t="n"/>
      <c r="L26" s="24" t="n"/>
      <c r="M26" s="24" t="n"/>
      <c r="N26" s="24" t="n"/>
      <c r="O26" s="24" t="n"/>
      <c r="S26" s="24" t="n"/>
      <c r="V26" s="24" t="n"/>
      <c r="W26" s="24" t="n"/>
      <c r="X26" s="24" t="n"/>
      <c r="Y26" s="24" t="n"/>
      <c r="Z26" s="24" t="n"/>
      <c r="AA26" s="24" t="n"/>
      <c r="AB26" s="24" t="n"/>
      <c r="AC26" s="24" t="n"/>
      <c r="AD26" s="24" t="n"/>
      <c r="AE26" s="24" t="n"/>
      <c r="AF26" s="24" t="n"/>
      <c r="AG26" s="24" t="n"/>
      <c r="AH26" s="24" t="n"/>
      <c r="AI26" s="24" t="n"/>
      <c r="AJ26" s="24" t="n"/>
      <c r="AK26" s="24" t="n"/>
      <c r="AL26" s="24" t="n"/>
      <c r="AM26" s="25" t="n"/>
    </row>
    <row r="27" ht="18.75" customFormat="1" customHeight="1" s="21">
      <c r="A27" s="28" t="n"/>
      <c r="B27" s="24" t="n"/>
      <c r="C27" s="209" t="n"/>
      <c r="D27" s="209" t="n"/>
      <c r="E27" s="112" t="inlineStr">
        <is>
          <t>令和</t>
        </is>
      </c>
      <c r="G27" s="281">
        <f>IF(入力!D37="","",入力!D37)</f>
        <v/>
      </c>
      <c r="I27" s="56" t="inlineStr">
        <is>
          <t>年</t>
        </is>
      </c>
      <c r="J27" s="281">
        <f>IF(入力!F37="","",入力!F37)</f>
        <v/>
      </c>
      <c r="L27" s="56" t="inlineStr">
        <is>
          <t>月</t>
        </is>
      </c>
      <c r="M27" s="281">
        <f>IF(入力!H37="","",入力!H37)</f>
        <v/>
      </c>
      <c r="O27" s="56" t="inlineStr">
        <is>
          <t>日</t>
        </is>
      </c>
      <c r="W27" s="181">
        <f>IF(入力!C38="","",入力!C38)</f>
        <v/>
      </c>
      <c r="AM27" s="30" t="n"/>
    </row>
    <row r="28" ht="5.1" customFormat="1" customHeight="1" s="21">
      <c r="A28" s="28" t="n"/>
      <c r="B28" s="24" t="n"/>
      <c r="C28" s="209" t="n"/>
      <c r="D28" s="209" t="n"/>
      <c r="F28" s="24" t="n"/>
      <c r="G28" s="24" t="n"/>
      <c r="H28" s="24" t="n"/>
      <c r="I28" s="24" t="n"/>
      <c r="J28" s="24" t="n"/>
      <c r="K28" s="24" t="n"/>
      <c r="L28" s="24" t="n"/>
      <c r="M28" s="24" t="n"/>
      <c r="N28" s="24" t="n"/>
      <c r="O28" s="209" t="n"/>
      <c r="AM28" s="30" t="n"/>
    </row>
    <row r="29" ht="18.75" customFormat="1" customHeight="1" s="21">
      <c r="A29" s="28" t="n"/>
      <c r="B29" s="24" t="n"/>
      <c r="C29" s="209" t="n"/>
      <c r="D29" s="209" t="n"/>
      <c r="F29" s="24" t="n"/>
      <c r="G29" s="24" t="n"/>
      <c r="H29" s="24" t="n"/>
      <c r="I29" s="24" t="n"/>
      <c r="J29" s="24" t="n"/>
      <c r="K29" s="24" t="n"/>
      <c r="L29" s="24" t="n"/>
      <c r="M29" s="24" t="n"/>
      <c r="N29" s="24" t="n"/>
      <c r="O29" s="209" t="n"/>
      <c r="Q29" s="21" t="inlineStr">
        <is>
          <t>請求者</t>
        </is>
      </c>
      <c r="T29" s="21" t="inlineStr">
        <is>
          <t>氏名</t>
        </is>
      </c>
      <c r="AM29" s="30" t="n"/>
    </row>
    <row r="30" ht="5.1" customFormat="1" customHeight="1" s="21">
      <c r="A30" s="28" t="n"/>
      <c r="B30" s="24" t="n"/>
      <c r="C30" s="24" t="n"/>
      <c r="D30" s="24" t="n"/>
      <c r="AM30" s="30" t="n"/>
    </row>
    <row r="31" ht="18.75" customFormat="1" customHeight="1" s="21">
      <c r="A31" s="31" t="n"/>
      <c r="B31" s="24" t="n"/>
      <c r="C31" s="24" t="n"/>
      <c r="D31" s="24" t="n"/>
      <c r="E31" s="24" t="n"/>
      <c r="F31" s="24" t="n"/>
      <c r="G31" s="24" t="n"/>
      <c r="H31" s="24" t="n"/>
      <c r="I31" s="24" t="n"/>
      <c r="J31" s="24" t="n"/>
      <c r="K31" s="24" t="n"/>
      <c r="L31" s="24" t="n"/>
      <c r="M31" s="24" t="n"/>
      <c r="N31" s="24" t="n"/>
      <c r="T31" s="21" t="inlineStr">
        <is>
          <t>℡（連絡先）</t>
        </is>
      </c>
      <c r="Z31" s="281">
        <f>IF(入力!C39="","",入力!C39)</f>
        <v/>
      </c>
      <c r="AM31" s="30" t="n"/>
    </row>
    <row r="32" ht="2.25" customFormat="1" customHeight="1" s="21">
      <c r="A32" s="32" t="n"/>
      <c r="B32" s="27" t="n"/>
      <c r="C32" s="27" t="n"/>
      <c r="D32" s="27" t="n"/>
      <c r="E32" s="27" t="n"/>
      <c r="F32" s="27" t="n"/>
      <c r="G32" s="27" t="n"/>
      <c r="H32" s="27" t="n"/>
      <c r="I32" s="27" t="n"/>
      <c r="J32" s="27" t="n"/>
      <c r="K32" s="27" t="n"/>
      <c r="L32" s="27" t="n"/>
      <c r="M32" s="27" t="n"/>
      <c r="N32" s="27" t="n"/>
      <c r="O32" s="33" t="n"/>
      <c r="P32" s="33" t="n"/>
      <c r="Q32" s="33" t="n"/>
      <c r="R32" s="33" t="n"/>
      <c r="S32" s="33" t="n"/>
      <c r="T32" s="33" t="n"/>
      <c r="U32" s="33" t="n"/>
      <c r="V32" s="33" t="n"/>
      <c r="W32" s="33" t="n"/>
      <c r="X32" s="33" t="n"/>
      <c r="Y32" s="33" t="n"/>
      <c r="Z32" s="33" t="n"/>
      <c r="AA32" s="33" t="n"/>
      <c r="AB32" s="33" t="n"/>
      <c r="AC32" s="33" t="n"/>
      <c r="AD32" s="33" t="n"/>
      <c r="AE32" s="33" t="n"/>
      <c r="AF32" s="33" t="n"/>
      <c r="AG32" s="33" t="n"/>
      <c r="AH32" s="33" t="n"/>
      <c r="AI32" s="33" t="n"/>
      <c r="AJ32" s="33" t="n"/>
      <c r="AK32" s="26" t="n"/>
      <c r="AL32" s="26" t="n"/>
      <c r="AM32" s="34" t="n"/>
    </row>
    <row r="33" ht="3" customFormat="1" customHeight="1" s="21">
      <c r="A33" s="35" t="n"/>
      <c r="B33" s="36" t="n"/>
      <c r="C33" s="36"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c r="AA33" s="36" t="n"/>
      <c r="AB33" s="36" t="n"/>
      <c r="AC33" s="36" t="n"/>
      <c r="AD33" s="36" t="n"/>
      <c r="AE33" s="36" t="n"/>
      <c r="AF33" s="36" t="n"/>
      <c r="AG33" s="36" t="n"/>
      <c r="AH33" s="36" t="n"/>
      <c r="AI33" s="36" t="n"/>
      <c r="AJ33" s="36" t="n"/>
      <c r="AK33" s="36" t="n"/>
      <c r="AL33" s="36" t="n"/>
      <c r="AM33" s="37" t="n"/>
    </row>
    <row r="34" ht="16.15" customFormat="1" customHeight="1" s="21">
      <c r="A34" s="28" t="n"/>
      <c r="B34" s="209" t="inlineStr">
        <is>
          <t xml:space="preserve">　上記の記載事項（標準報酬の等級及び月額を除く）は、事実と相違ないことを確認しました。</t>
        </is>
      </c>
      <c r="AM34" s="25" t="n"/>
    </row>
    <row r="35" ht="16.15" customFormat="1" customHeight="1" s="21">
      <c r="A35" s="28" t="n"/>
      <c r="AM35" s="25" t="n"/>
    </row>
    <row r="36" ht="18.75" customFormat="1" customHeight="1" s="21">
      <c r="A36" s="28" t="n"/>
      <c r="B36" s="24" t="n"/>
      <c r="C36" s="24" t="n"/>
      <c r="D36" s="24" t="n"/>
      <c r="E36" s="21" t="inlineStr">
        <is>
          <t xml:space="preserve">令和　　年　　月　　日　　　　           </t>
        </is>
      </c>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c r="AA36" s="24" t="n"/>
      <c r="AB36" s="24" t="n"/>
      <c r="AC36" s="24" t="n"/>
      <c r="AD36" s="24" t="n"/>
      <c r="AE36" s="24" t="n"/>
      <c r="AF36" s="24" t="n"/>
      <c r="AG36" s="24" t="n"/>
      <c r="AH36" s="24" t="n"/>
      <c r="AI36" s="24" t="n"/>
      <c r="AJ36" s="24" t="n"/>
      <c r="AK36" s="24" t="n"/>
      <c r="AL36" s="24" t="n"/>
      <c r="AM36" s="25" t="n"/>
    </row>
    <row r="37" ht="18.75" customFormat="1" customHeight="1" s="21">
      <c r="A37" s="28" t="n"/>
      <c r="B37" s="24" t="n"/>
      <c r="C37" s="24" t="n"/>
      <c r="D37" s="24" t="n"/>
      <c r="E37" s="209" t="n"/>
      <c r="F37" s="209" t="n"/>
      <c r="G37" s="209" t="n"/>
      <c r="H37" s="209" t="n"/>
      <c r="I37" s="209" t="n"/>
      <c r="J37" s="209" t="n"/>
      <c r="K37" s="209" t="n"/>
      <c r="L37" s="209" t="n"/>
      <c r="M37" s="209" t="n"/>
      <c r="N37" s="209" t="n"/>
      <c r="O37" s="24" t="n"/>
      <c r="P37" s="24" t="n"/>
      <c r="Q37" s="21" t="inlineStr">
        <is>
          <t>所属機関の長</t>
        </is>
      </c>
      <c r="R37" s="24" t="n"/>
      <c r="S37" s="24" t="n"/>
      <c r="T37" s="24" t="n"/>
      <c r="U37" s="24" t="n"/>
      <c r="V37" s="24" t="n"/>
      <c r="W37" s="21" t="inlineStr">
        <is>
          <t>職名</t>
        </is>
      </c>
      <c r="X37" s="24" t="n"/>
      <c r="Y37" s="24" t="n"/>
      <c r="Z37" s="24" t="n"/>
      <c r="AA37" s="24" t="n"/>
      <c r="AB37" s="24" t="n"/>
      <c r="AC37" s="24" t="n"/>
      <c r="AD37" s="24" t="n"/>
      <c r="AE37" s="24" t="n"/>
      <c r="AF37" s="24" t="n"/>
      <c r="AG37" s="24" t="n"/>
      <c r="AH37" s="24" t="n"/>
      <c r="AI37" s="24" t="n"/>
      <c r="AJ37" s="24" t="n"/>
      <c r="AK37" s="24" t="n"/>
      <c r="AL37" s="24" t="n"/>
      <c r="AM37" s="25" t="n"/>
    </row>
    <row r="38" ht="5.1" customFormat="1" customHeight="1" s="21">
      <c r="A38" s="31" t="inlineStr">
        <is>
          <t xml:space="preserve">　　　　　　　　　　　　</t>
        </is>
      </c>
      <c r="B38" s="24" t="n"/>
      <c r="C38" s="24" t="n"/>
      <c r="D38" s="24" t="n"/>
      <c r="E38" s="24" t="n"/>
      <c r="F38" s="24" t="n"/>
      <c r="G38" s="24" t="n"/>
      <c r="H38" s="24" t="n"/>
      <c r="I38" s="24" t="n"/>
      <c r="J38" s="24" t="n"/>
      <c r="K38" s="24" t="n"/>
      <c r="L38" s="24" t="n"/>
      <c r="M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c r="AK38" s="24" t="n"/>
      <c r="AL38" s="24" t="n"/>
      <c r="AM38" s="25" t="n"/>
    </row>
    <row r="39" ht="18.75" customFormat="1" customHeight="1" s="21">
      <c r="A39" s="28" t="n"/>
      <c r="B39" s="24" t="n"/>
      <c r="C39" s="24" t="n"/>
      <c r="D39" s="24" t="n"/>
      <c r="E39" s="24" t="n"/>
      <c r="F39" s="24" t="n"/>
      <c r="G39" s="24" t="n"/>
      <c r="H39" s="24" t="n"/>
      <c r="I39" s="24" t="n"/>
      <c r="J39" s="24" t="n"/>
      <c r="K39" s="24" t="n"/>
      <c r="L39" s="24" t="n"/>
      <c r="M39" s="24" t="n"/>
      <c r="N39" s="24" t="n"/>
      <c r="O39" s="24" t="n"/>
      <c r="P39" s="24" t="n"/>
      <c r="Q39" s="21" t="inlineStr">
        <is>
          <t>（任命権者）</t>
        </is>
      </c>
      <c r="R39" s="24" t="n"/>
      <c r="S39" s="24" t="n"/>
      <c r="T39" s="24" t="n"/>
      <c r="U39" s="24" t="n"/>
      <c r="V39" s="24" t="n"/>
      <c r="W39" s="21" t="inlineStr">
        <is>
          <t>氏名</t>
        </is>
      </c>
      <c r="X39" s="24" t="n"/>
      <c r="Y39" s="24" t="n"/>
      <c r="Z39" s="24" t="n"/>
      <c r="AA39" s="24" t="n"/>
      <c r="AB39" s="24" t="n"/>
      <c r="AC39" s="24" t="n"/>
      <c r="AD39" s="24" t="n"/>
      <c r="AE39" s="24" t="n"/>
      <c r="AF39" s="24" t="n"/>
      <c r="AG39" s="24" t="n"/>
      <c r="AH39" s="24" t="n"/>
      <c r="AI39" s="24" t="n"/>
      <c r="AJ39" s="24" t="n"/>
      <c r="AK39" s="24" t="n"/>
      <c r="AL39" s="24" t="n"/>
      <c r="AM39" s="25" t="n"/>
    </row>
    <row r="40" ht="2.25" customFormat="1" customHeight="1" s="21">
      <c r="A40" s="28"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c r="AE40" s="24" t="n"/>
      <c r="AF40" s="24" t="n"/>
      <c r="AG40" s="24" t="n"/>
      <c r="AH40" s="24" t="n"/>
      <c r="AM40" s="25" t="n"/>
    </row>
    <row r="41" ht="3.75" customFormat="1" customHeight="1" s="21">
      <c r="A41" s="38" t="n"/>
      <c r="B41" s="33" t="n"/>
      <c r="C41" s="33" t="n"/>
      <c r="D41" s="33" t="n"/>
      <c r="E41" s="33" t="n"/>
      <c r="F41" s="33" t="n"/>
      <c r="G41" s="33" t="n"/>
      <c r="H41" s="33" t="n"/>
      <c r="I41" s="33" t="n"/>
      <c r="J41" s="33" t="n"/>
      <c r="K41" s="33" t="n"/>
      <c r="L41" s="33" t="n"/>
      <c r="M41" s="33" t="n"/>
      <c r="N41" s="33" t="n"/>
      <c r="O41" s="49" t="n"/>
      <c r="P41" s="49" t="n"/>
      <c r="Q41" s="49" t="n"/>
      <c r="R41" s="49" t="n"/>
      <c r="S41" s="49" t="n"/>
      <c r="T41" s="49" t="n"/>
      <c r="U41" s="49" t="n"/>
      <c r="V41" s="49" t="n"/>
      <c r="W41" s="49" t="n"/>
      <c r="X41" s="49" t="n"/>
      <c r="Y41" s="49" t="n"/>
      <c r="Z41" s="49" t="n"/>
      <c r="AA41" s="49" t="n"/>
      <c r="AB41" s="49" t="n"/>
      <c r="AC41" s="49" t="n"/>
      <c r="AD41" s="49" t="n"/>
      <c r="AE41" s="49" t="n"/>
      <c r="AF41" s="49" t="n"/>
      <c r="AG41" s="49" t="n"/>
      <c r="AH41" s="49" t="n"/>
      <c r="AI41" s="49" t="n"/>
      <c r="AJ41" s="49" t="n"/>
      <c r="AK41" s="49" t="n"/>
      <c r="AL41" s="49" t="n"/>
      <c r="AM41" s="50" t="n"/>
    </row>
    <row r="42" ht="11.25" customFormat="1" customHeight="1" s="29">
      <c r="A42" s="282" t="inlineStr">
        <is>
          <t>添付書類
(添付し請求者がチェック（✓）
してください。）</t>
        </is>
      </c>
      <c r="B42" s="248" t="n"/>
      <c r="C42" s="248" t="n"/>
      <c r="D42" s="248" t="n"/>
      <c r="E42" s="248" t="n"/>
      <c r="F42" s="248" t="n"/>
      <c r="G42" s="248" t="n"/>
      <c r="H42" s="248" t="n"/>
      <c r="I42" s="248" t="n"/>
      <c r="J42" s="252" t="n"/>
      <c r="K42" s="65" t="inlineStr">
        <is>
          <t>育児短時間勤務</t>
        </is>
      </c>
      <c r="L42" s="65" t="n"/>
      <c r="M42" s="65" t="n"/>
      <c r="N42" s="65" t="n"/>
      <c r="O42" s="65" t="n"/>
      <c r="P42" s="65" t="n"/>
      <c r="Q42" s="65" t="n"/>
      <c r="R42" s="65" t="n"/>
      <c r="S42" s="65" t="n"/>
      <c r="T42" s="65" t="n"/>
      <c r="U42" s="65" t="n"/>
      <c r="V42" s="65" t="n"/>
      <c r="W42" s="65" t="n"/>
      <c r="X42" s="66" t="n"/>
      <c r="Y42" s="64" t="inlineStr">
        <is>
          <t>部分休業</t>
        </is>
      </c>
      <c r="Z42" s="64" t="n"/>
      <c r="AA42" s="64" t="n"/>
      <c r="AB42" s="64" t="n"/>
      <c r="AC42" s="64" t="n"/>
      <c r="AD42" s="64" t="n"/>
      <c r="AE42" s="64" t="n"/>
      <c r="AF42" s="64" t="n"/>
      <c r="AG42" s="64" t="n"/>
      <c r="AH42" s="64" t="n"/>
      <c r="AI42" s="64" t="n"/>
      <c r="AJ42" s="64" t="n"/>
      <c r="AK42" s="64" t="n"/>
      <c r="AL42" s="64" t="n"/>
      <c r="AM42" s="67" t="n"/>
    </row>
    <row r="43" ht="11.25" customFormat="1" customHeight="1" s="29">
      <c r="A43" s="255" t="n"/>
      <c r="J43" s="256" t="n"/>
      <c r="K43" s="283">
        <f>IF(入力!C43="✓","☑","□")</f>
        <v/>
      </c>
      <c r="L43" s="88" t="inlineStr">
        <is>
          <t>育児短時間勤務承認書（写）</t>
        </is>
      </c>
      <c r="M43" s="90" t="n"/>
      <c r="N43" s="90" t="n"/>
      <c r="O43" s="90" t="n"/>
      <c r="P43" s="89" t="n"/>
      <c r="Q43" s="88" t="n"/>
      <c r="R43" s="90" t="n"/>
      <c r="S43" s="89" t="n"/>
      <c r="T43" s="88" t="n"/>
      <c r="U43" s="89" t="n"/>
      <c r="V43" s="89" t="n"/>
      <c r="W43" s="89" t="n"/>
      <c r="X43" s="59" t="n"/>
      <c r="Y43" s="284">
        <f>IF(入力!C48="✓","☑","□")</f>
        <v/>
      </c>
      <c r="Z43" s="83" t="inlineStr">
        <is>
          <t>部分休業承認請求書兼承認書（写）</t>
        </is>
      </c>
      <c r="AA43" s="84" t="n"/>
      <c r="AB43" s="83" t="n"/>
      <c r="AC43" s="85" t="n"/>
      <c r="AD43" s="85" t="n"/>
      <c r="AE43" s="85" t="n"/>
      <c r="AF43" s="84" t="n"/>
      <c r="AG43" s="83" t="n"/>
      <c r="AH43" s="85" t="n"/>
      <c r="AI43" s="84" t="n"/>
      <c r="AJ43" s="83" t="n"/>
      <c r="AK43" s="84" t="n"/>
      <c r="AL43" s="84" t="n"/>
      <c r="AM43" s="86" t="n"/>
    </row>
    <row r="44" ht="11.25" customFormat="1" customHeight="1" s="29">
      <c r="A44" s="255" t="n"/>
      <c r="J44" s="256" t="n"/>
      <c r="K44" s="283">
        <f>IF(入力!C44="✓","☑","□")</f>
        <v/>
      </c>
      <c r="L44" s="88" t="inlineStr">
        <is>
          <t>出勤簿（写）</t>
        </is>
      </c>
      <c r="M44" s="90" t="n"/>
      <c r="N44" s="90" t="n"/>
      <c r="O44" s="90" t="n"/>
      <c r="P44" s="89" t="n"/>
      <c r="Q44" s="88" t="n"/>
      <c r="R44" s="90" t="n"/>
      <c r="S44" s="89" t="n"/>
      <c r="T44" s="88" t="n"/>
      <c r="U44" s="89" t="n"/>
      <c r="V44" s="89" t="n"/>
      <c r="W44" s="89" t="n"/>
      <c r="X44" s="59" t="n"/>
      <c r="Y44" s="87" t="n"/>
      <c r="Z44" s="96" t="inlineStr">
        <is>
          <t>または庶務事務システム承認画面（ハードコピー）</t>
        </is>
      </c>
      <c r="AA44" s="89" t="n"/>
      <c r="AB44" s="88" t="n"/>
      <c r="AC44" s="90" t="n"/>
      <c r="AD44" s="90" t="n"/>
      <c r="AE44" s="90" t="n"/>
      <c r="AF44" s="89" t="n"/>
      <c r="AG44" s="88" t="n"/>
      <c r="AH44" s="90" t="n"/>
      <c r="AI44" s="89" t="n"/>
      <c r="AJ44" s="88" t="n"/>
      <c r="AK44" s="89" t="n"/>
      <c r="AL44" s="89" t="n"/>
      <c r="AM44" s="59" t="n"/>
    </row>
    <row r="45" ht="11.25" customFormat="1" customHeight="1" s="29">
      <c r="A45" s="255" t="n"/>
      <c r="J45" s="256" t="n"/>
      <c r="K45" s="283">
        <f>IF(入力!C45="✓","☑","□")</f>
        <v/>
      </c>
      <c r="L45" s="88" t="inlineStr">
        <is>
          <t>支給明細書（写）</t>
        </is>
      </c>
      <c r="M45" s="90" t="n"/>
      <c r="N45" s="90" t="n"/>
      <c r="O45" s="90" t="n"/>
      <c r="P45" s="89" t="n"/>
      <c r="Q45" s="88" t="n"/>
      <c r="R45" s="90" t="n"/>
      <c r="S45" s="89" t="n"/>
      <c r="T45" s="88" t="n"/>
      <c r="U45" s="89" t="n"/>
      <c r="V45" s="89" t="n"/>
      <c r="W45" s="89" t="n"/>
      <c r="X45" s="59" t="n"/>
      <c r="Y45" s="285">
        <f>IF(入力!C49="✓","☑","□")</f>
        <v/>
      </c>
      <c r="Z45" s="88" t="inlineStr">
        <is>
          <t>出勤簿（写）</t>
        </is>
      </c>
      <c r="AA45" s="89" t="n"/>
      <c r="AB45" s="88" t="n"/>
      <c r="AC45" s="90" t="n"/>
      <c r="AD45" s="90" t="n"/>
      <c r="AE45" s="90" t="n"/>
      <c r="AF45" s="89" t="n"/>
      <c r="AG45" s="88" t="n"/>
      <c r="AH45" s="90" t="n"/>
      <c r="AI45" s="89" t="n"/>
      <c r="AJ45" s="88" t="n"/>
      <c r="AK45" s="89" t="n"/>
      <c r="AL45" s="89" t="n"/>
      <c r="AM45" s="59" t="n"/>
    </row>
    <row r="46" ht="11.25" customFormat="1" customHeight="1" s="29">
      <c r="A46" s="255" t="n"/>
      <c r="J46" s="256" t="n"/>
      <c r="K46" s="283">
        <f>IF(入力!C46="✓","☑","□")</f>
        <v/>
      </c>
      <c r="L46" s="108" t="inlineStr">
        <is>
          <t>通勤手当が数か月分一括支給された場合、
その額のわかる支給明細書（写）</t>
        </is>
      </c>
      <c r="X46" s="62" t="n"/>
      <c r="Y46" s="285">
        <f>IF(入力!C50="✓","☑","□")</f>
        <v/>
      </c>
      <c r="Z46" s="88" t="inlineStr">
        <is>
          <t>支給明細書（写）</t>
        </is>
      </c>
      <c r="AA46" s="108" t="n"/>
      <c r="AB46" s="108" t="n"/>
      <c r="AC46" s="108" t="n"/>
      <c r="AD46" s="108" t="n"/>
      <c r="AE46" s="108" t="n"/>
      <c r="AF46" s="108" t="n"/>
      <c r="AG46" s="108" t="n"/>
      <c r="AH46" s="108" t="n"/>
      <c r="AI46" s="108" t="n"/>
      <c r="AJ46" s="108" t="n"/>
      <c r="AK46" s="108" t="n"/>
      <c r="AL46" s="108" t="n"/>
      <c r="AM46" s="62" t="n"/>
    </row>
    <row r="47" ht="11.25" customFormat="1" customHeight="1" s="29">
      <c r="A47" s="255" t="n"/>
      <c r="J47" s="256" t="n"/>
      <c r="K47" s="89" t="n"/>
      <c r="X47" s="62" t="n"/>
      <c r="Y47" s="285">
        <f>IF(入力!C51="✓","☑","□")</f>
        <v/>
      </c>
      <c r="Z47" s="108" t="inlineStr">
        <is>
          <t>通勤手当が数か月分一括支給された場合、
その額のわかる支給明細書（写）</t>
        </is>
      </c>
      <c r="AL47" s="108" t="n"/>
      <c r="AM47" s="62" t="n"/>
    </row>
    <row r="48" ht="11.25" customFormat="1" customHeight="1" s="29">
      <c r="A48" s="255" t="n"/>
      <c r="J48" s="256" t="n"/>
      <c r="K48" s="283">
        <f>IF(入力!C47="✓","☑","□")</f>
        <v/>
      </c>
      <c r="L48" s="107" t="inlineStr">
        <is>
          <t>母子手帳等（写）（※初回請求時のみ）</t>
        </is>
      </c>
      <c r="X48" s="68" t="n"/>
      <c r="Y48" s="87" t="n"/>
      <c r="AL48" s="107" t="n"/>
      <c r="AM48" s="68" t="n"/>
    </row>
    <row r="49" ht="11.25" customFormat="1" customHeight="1" s="29">
      <c r="A49" s="258" t="n"/>
      <c r="B49" s="257" t="n"/>
      <c r="C49" s="257" t="n"/>
      <c r="D49" s="257" t="n"/>
      <c r="E49" s="257" t="n"/>
      <c r="F49" s="257" t="n"/>
      <c r="G49" s="257" t="n"/>
      <c r="H49" s="257" t="n"/>
      <c r="I49" s="257" t="n"/>
      <c r="J49" s="259" t="n"/>
      <c r="K49" s="95" t="n"/>
      <c r="L49" s="16" t="n"/>
      <c r="M49" s="16" t="n"/>
      <c r="N49" s="16" t="n"/>
      <c r="O49" s="16" t="n"/>
      <c r="P49" s="49" t="n"/>
      <c r="Q49" s="49" t="n"/>
      <c r="R49" s="49" t="n"/>
      <c r="S49" s="49" t="n"/>
      <c r="T49" s="49" t="n"/>
      <c r="U49" s="49" t="n"/>
      <c r="V49" s="49" t="n"/>
      <c r="W49" s="49" t="n"/>
      <c r="X49" s="50" t="n"/>
      <c r="Y49" s="286">
        <f>IF(入力!C52="✓","☑","□")</f>
        <v/>
      </c>
      <c r="Z49" s="109" t="inlineStr">
        <is>
          <t>母子手帳等（写）（※初回請求時のみ）</t>
        </is>
      </c>
      <c r="AA49" s="257" t="n"/>
      <c r="AB49" s="257" t="n"/>
      <c r="AC49" s="257" t="n"/>
      <c r="AD49" s="257" t="n"/>
      <c r="AE49" s="257" t="n"/>
      <c r="AF49" s="257" t="n"/>
      <c r="AG49" s="257" t="n"/>
      <c r="AH49" s="257" t="n"/>
      <c r="AI49" s="257" t="n"/>
      <c r="AJ49" s="257" t="n"/>
      <c r="AK49" s="257" t="n"/>
      <c r="AL49" s="109" t="n"/>
      <c r="AM49" s="63" t="n"/>
    </row>
    <row r="50" ht="11.25" customHeight="1" s="225">
      <c r="B50" s="57" t="inlineStr">
        <is>
          <t>☆の項目は記入不要です。</t>
        </is>
      </c>
      <c r="K50" s="60" t="n"/>
      <c r="L50" s="60" t="n"/>
      <c r="M50" s="60" t="n"/>
      <c r="N50" s="60" t="n"/>
      <c r="O50" s="60" t="n"/>
      <c r="P50" s="60" t="n"/>
      <c r="Q50" s="60" t="n"/>
      <c r="R50" s="60" t="n"/>
      <c r="S50" s="60" t="n"/>
      <c r="T50" s="60" t="n"/>
      <c r="U50" s="60" t="n"/>
      <c r="V50" s="60" t="n"/>
      <c r="W50" s="60" t="n"/>
      <c r="X50" s="60" t="n"/>
      <c r="Y50" s="47" t="n"/>
      <c r="Z50" s="47" t="n"/>
      <c r="AA50" s="47" t="n"/>
      <c r="AB50" s="47" t="n"/>
      <c r="AC50" s="47" t="n"/>
      <c r="AD50" s="47" t="n"/>
      <c r="AE50" s="47" t="n"/>
      <c r="AF50" s="47" t="n"/>
      <c r="AG50" s="47" t="n"/>
      <c r="AH50" s="47" t="n"/>
      <c r="AI50" s="47" t="n"/>
      <c r="AJ50" s="47" t="n"/>
      <c r="AK50" s="47" t="n"/>
      <c r="AL50" s="21" t="inlineStr">
        <is>
          <t>R7.11</t>
        </is>
      </c>
      <c r="AM50" s="90" t="n"/>
    </row>
    <row r="51" ht="15" customHeight="1" s="225">
      <c r="A51" s="287">
        <f>IF(COUNTIF(入力!K6:K52,"✕*")&gt;0,"※入力エラーがあります。入力シートを直してから印刷してください（このまま提出しないでください）","")</f>
        <v/>
      </c>
    </row>
  </sheetData>
  <sheetProtection selectLockedCells="0" selectUnlockedCells="0" sheet="1" objects="0" insertRows="1" insertHyperlinks="1" autoFilter="1" scenarios="0" formatColumns="1" deleteColumns="1" insertColumns="1" pivotTables="1" deleteRows="1" formatCells="1" formatRows="1" sort="1"/>
  <mergeCells count="96">
    <mergeCell ref="V17:W17"/>
    <mergeCell ref="U15:V15"/>
    <mergeCell ref="W15:X15"/>
    <mergeCell ref="K17:T17"/>
    <mergeCell ref="O15:P15"/>
    <mergeCell ref="AE6:AE8"/>
    <mergeCell ref="U16:V16"/>
    <mergeCell ref="M16:N16"/>
    <mergeCell ref="O16:P16"/>
    <mergeCell ref="AH2:AM2"/>
    <mergeCell ref="H11:J12"/>
    <mergeCell ref="AF15:AG15"/>
    <mergeCell ref="AB6:AD8"/>
    <mergeCell ref="W27:AH29"/>
    <mergeCell ref="E27:F27"/>
    <mergeCell ref="L48:W48"/>
    <mergeCell ref="I6:Q6"/>
    <mergeCell ref="AE25:AG25"/>
    <mergeCell ref="AD16:AE16"/>
    <mergeCell ref="H13:J14"/>
    <mergeCell ref="Z15:AA15"/>
    <mergeCell ref="X22:AB22"/>
    <mergeCell ref="AA2:AB4"/>
    <mergeCell ref="K15:L15"/>
    <mergeCell ref="K11:AM12"/>
    <mergeCell ref="AA18:AM18"/>
    <mergeCell ref="Y19:AM19"/>
    <mergeCell ref="T9:T10"/>
    <mergeCell ref="L9:M10"/>
    <mergeCell ref="R8:U8"/>
    <mergeCell ref="K21:AM21"/>
    <mergeCell ref="AF16:AG16"/>
    <mergeCell ref="A15:J15"/>
    <mergeCell ref="J27:K27"/>
    <mergeCell ref="R9:S10"/>
    <mergeCell ref="W16:X16"/>
    <mergeCell ref="Q15:R15"/>
    <mergeCell ref="S15:T15"/>
    <mergeCell ref="A1:U4"/>
    <mergeCell ref="M27:N27"/>
    <mergeCell ref="A16:J16"/>
    <mergeCell ref="AF2:AG4"/>
    <mergeCell ref="X2:Z4"/>
    <mergeCell ref="A18:J18"/>
    <mergeCell ref="AA17:AB17"/>
    <mergeCell ref="K16:L16"/>
    <mergeCell ref="AB15:AC15"/>
    <mergeCell ref="AL15:AM15"/>
    <mergeCell ref="W10:AA10"/>
    <mergeCell ref="A7:G8"/>
    <mergeCell ref="L46:W47"/>
    <mergeCell ref="Z16:AA16"/>
    <mergeCell ref="AB16:AC16"/>
    <mergeCell ref="K18:Z18"/>
    <mergeCell ref="AL16:AM16"/>
    <mergeCell ref="K13:AM14"/>
    <mergeCell ref="AF6:AM8"/>
    <mergeCell ref="M15:N15"/>
    <mergeCell ref="A6:G6"/>
    <mergeCell ref="N9:N10"/>
    <mergeCell ref="N19:X19"/>
    <mergeCell ref="A42:J49"/>
    <mergeCell ref="W9:AA9"/>
    <mergeCell ref="AF17:AG17"/>
    <mergeCell ref="Z49:AK49"/>
    <mergeCell ref="A9:G10"/>
    <mergeCell ref="X17:Z17"/>
    <mergeCell ref="AH17:AJ17"/>
    <mergeCell ref="A51:AM51"/>
    <mergeCell ref="Q16:R16"/>
    <mergeCell ref="S16:T16"/>
    <mergeCell ref="AK17:AL17"/>
    <mergeCell ref="H9:K10"/>
    <mergeCell ref="AH1:AM1"/>
    <mergeCell ref="V2:W4"/>
    <mergeCell ref="A17:J17"/>
    <mergeCell ref="G27:H27"/>
    <mergeCell ref="A11:G14"/>
    <mergeCell ref="A19:J19"/>
    <mergeCell ref="Q9:Q10"/>
    <mergeCell ref="Z31:AL31"/>
    <mergeCell ref="AD15:AE15"/>
    <mergeCell ref="O9:P10"/>
    <mergeCell ref="I7:Q8"/>
    <mergeCell ref="Z47:AK48"/>
    <mergeCell ref="AH15:AI15"/>
    <mergeCell ref="AJ15:AK15"/>
    <mergeCell ref="AI25:AM25"/>
    <mergeCell ref="B34:AL35"/>
    <mergeCell ref="AC17:AE17"/>
    <mergeCell ref="A20:J23"/>
    <mergeCell ref="AC2:AE4"/>
    <mergeCell ref="K23:AM23"/>
    <mergeCell ref="AH16:AI16"/>
    <mergeCell ref="AJ16:AK16"/>
    <mergeCell ref="W5:AA8"/>
  </mergeCells>
  <printOptions horizontalCentered="1"/>
  <pageMargins left="0.7874015748031497" right="0.3937007874015748" top="0.5905511811023623" bottom="0" header="0.5118110236220472" footer="0.5118110236220472"/>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AK42"/>
  <sheetViews>
    <sheetView view="pageBreakPreview" topLeftCell="A22" zoomScale="130" zoomScaleNormal="100" zoomScaleSheetLayoutView="130" workbookViewId="0">
      <selection activeCell="B13" sqref="B13:AJ13"/>
    </sheetView>
  </sheetViews>
  <sheetFormatPr baseColWidth="8" defaultColWidth="2.625" defaultRowHeight="18" customHeight="1"/>
  <cols>
    <col width="2.375" customWidth="1" style="1" min="1" max="1"/>
    <col width="2.375" customWidth="1" style="43" min="2" max="2"/>
    <col width="2.375" customWidth="1" style="1" min="3" max="35"/>
    <col width="3" customWidth="1" style="1" min="36" max="36"/>
    <col width="1.375" customWidth="1" style="1" min="37" max="37"/>
    <col width="2.625" customWidth="1" style="1" min="38" max="16384"/>
  </cols>
  <sheetData>
    <row r="1" ht="10.9" customHeight="1" s="225">
      <c r="B1" s="47" t="n"/>
      <c r="C1" s="47" t="n"/>
      <c r="D1" s="47" t="n"/>
      <c r="E1" s="47" t="n"/>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2" t="n"/>
      <c r="AH1" s="42" t="n"/>
      <c r="AI1" s="42" t="n"/>
      <c r="AJ1" s="42" t="n"/>
      <c r="AK1" s="23" t="n"/>
    </row>
    <row r="2" ht="18" customHeight="1" s="225">
      <c r="B2" s="47" t="n"/>
      <c r="C2" s="223" t="inlineStr">
        <is>
          <t>注　意</t>
        </is>
      </c>
      <c r="F2" s="47" t="n"/>
      <c r="G2" s="47" t="n"/>
      <c r="H2" s="47" t="n"/>
      <c r="I2" s="47" t="n"/>
      <c r="J2" s="47" t="n"/>
      <c r="K2" s="47" t="n"/>
      <c r="L2" s="47" t="n"/>
      <c r="M2" s="47" t="n"/>
      <c r="N2" s="47" t="n"/>
      <c r="O2" s="47" t="n"/>
      <c r="P2" s="47" t="n"/>
      <c r="Q2" s="47" t="n"/>
      <c r="R2" s="47" t="n"/>
      <c r="S2" s="47" t="n"/>
      <c r="T2" s="47" t="n"/>
      <c r="U2" s="47" t="n"/>
      <c r="V2" s="47" t="n"/>
      <c r="W2" s="47" t="n"/>
      <c r="X2" s="47" t="n"/>
      <c r="Y2" s="47" t="n"/>
      <c r="Z2" s="47" t="n"/>
      <c r="AA2" s="47" t="n"/>
      <c r="AB2" s="47" t="n"/>
      <c r="AC2" s="47" t="n"/>
      <c r="AD2" s="47" t="n"/>
      <c r="AE2" s="47" t="n"/>
      <c r="AF2" s="47" t="n"/>
      <c r="AG2" s="42" t="n"/>
      <c r="AH2" s="42" t="n"/>
      <c r="AI2" s="42" t="n"/>
      <c r="AJ2" s="42" t="n"/>
      <c r="AK2" s="23" t="n"/>
    </row>
    <row r="3" ht="18" customHeight="1" s="225">
      <c r="B3" s="224" t="inlineStr">
        <is>
          <t>１　この請求書は、育児時短勤務を行った月経過後に、育児時短勤務を行った月ごと提出してください。</t>
        </is>
      </c>
      <c r="AK3" s="219" t="n"/>
    </row>
    <row r="4" ht="32.25" customHeight="1" s="225">
      <c r="A4" s="40" t="n"/>
      <c r="B4" s="219" t="inlineStr">
        <is>
          <t>２　「育児時短勤務手当金請求期間」欄の終期について、育児時短勤務に係る子が２歳に達することに
　より育児時短勤務手当金の支給が終了する場合には、当該子の２歳の誕生日の前々日を記載してくだ
　さい。新たに産前産後休業、介護休業又は育児休業を開始することにより支給が終了する場合には、
　当該開始した日の前日を記載してください。</t>
        </is>
      </c>
    </row>
    <row r="5" ht="32.25" customHeight="1" s="225">
      <c r="A5" s="40" t="n"/>
    </row>
    <row r="6" ht="18" customHeight="1" s="225">
      <c r="A6" s="219" t="n"/>
      <c r="B6" s="219" t="inlineStr">
        <is>
          <t>３　「支給対象月に支払われた報酬の額」欄は、支給対象月に支払われた報酬（期末勤勉手当及び給与
　改定差額を除く。）の額を記載してください。</t>
        </is>
      </c>
      <c r="AK6" s="219" t="n"/>
    </row>
    <row r="7" ht="18" customHeight="1" s="225">
      <c r="A7" s="219" t="n"/>
      <c r="AK7" s="219" t="n"/>
    </row>
    <row r="8" ht="18" customHeight="1" s="225">
      <c r="A8" s="219" t="n"/>
      <c r="B8" s="219" t="inlineStr">
        <is>
          <t xml:space="preserve">　　また、通勤手当が数か月分一括して支給される場合は、通勤手当額を支給月数で除して得た額を報
　酬額に含めてください（端数は最終月に加算）。</t>
        </is>
      </c>
      <c r="AK8" s="47" t="n"/>
    </row>
    <row r="9" ht="18" customHeight="1" s="225">
      <c r="A9" s="219" t="n"/>
      <c r="AK9" s="47" t="n"/>
    </row>
    <row r="10" ht="18" customHeight="1" s="225">
      <c r="A10" s="220" t="n"/>
      <c r="B10" s="220" t="inlineStr">
        <is>
          <t>４　「通勤手当に対する特記事項」欄には、「支給対象月に支払われた報酬の額」に含めた通勤手当に
　ついて記載してください。</t>
        </is>
      </c>
      <c r="AK10" s="22" t="n"/>
    </row>
    <row r="11" ht="18" customHeight="1" s="225">
      <c r="A11" s="220" t="n"/>
      <c r="AK11" s="22" t="n"/>
    </row>
    <row r="12" ht="18" customHeight="1" s="225">
      <c r="A12" s="220" t="n"/>
      <c r="B12" s="221" t="inlineStr">
        <is>
          <t>５　この請求には、次の書類を添付してください。</t>
        </is>
      </c>
      <c r="AK12" s="22" t="n"/>
    </row>
    <row r="13" ht="18" customHeight="1" s="225">
      <c r="A13" s="220" t="n"/>
      <c r="B13" s="221" t="inlineStr">
        <is>
          <t>（１）育児短時間勤務に関する所属機関の長の証明書の写し（育児短時間勤務をした場合）</t>
        </is>
      </c>
      <c r="AK13" s="22" t="n"/>
    </row>
    <row r="14" ht="18" customHeight="1" s="225">
      <c r="A14" s="220" t="n"/>
      <c r="B14" s="222" t="inlineStr">
        <is>
          <t>（２）部分休業承認請求書兼承認書（写）または庶務事務システム承認画面（ハードコピー）（部分休業をした場合）</t>
        </is>
      </c>
      <c r="AK14" s="22" t="n"/>
    </row>
    <row r="15" ht="18" customHeight="1" s="225">
      <c r="A15" s="220" t="n"/>
      <c r="B15" s="221" t="inlineStr">
        <is>
          <t>（３）支給対象月に育児時短勤務をしたことがわかる出勤簿の写し</t>
        </is>
      </c>
      <c r="AK15" s="22" t="n"/>
    </row>
    <row r="16" ht="18" customHeight="1" s="225">
      <c r="A16" s="220" t="n"/>
      <c r="B16" s="220" t="inlineStr">
        <is>
          <t>（４）支給対象月に支払われた報酬の額がわかる支給明細書の写し
　　（通勤手当が数か月分一括して支給された場合は、当該支給額がわかる支給明細書の写しを含む。）</t>
        </is>
      </c>
      <c r="AK16" s="22" t="n"/>
    </row>
    <row r="17" ht="18" customHeight="1" s="225">
      <c r="A17" s="220" t="n"/>
      <c r="AK17" s="22" t="n"/>
    </row>
    <row r="18" ht="18" customHeight="1" s="225">
      <c r="A18" s="220" t="n"/>
      <c r="B18" s="221" t="inlineStr">
        <is>
          <t>（５）母子健康手帳（出生届出済証明の部分）、住民票記載事項証明書、戸籍謄本等、子との関係と
　　年齢がわかる書類の写し（初回請求時のみ）</t>
        </is>
      </c>
      <c r="AK18" s="22" t="n"/>
    </row>
    <row r="19" ht="18" customHeight="1" s="225">
      <c r="A19" s="221" t="n"/>
      <c r="AK19" s="22" t="n"/>
    </row>
    <row r="20" ht="18" customHeight="1" s="225">
      <c r="A20" s="221" t="n"/>
      <c r="B20" s="221" t="n"/>
      <c r="C20" s="221" t="n"/>
      <c r="D20" s="79" t="n"/>
      <c r="E20" s="79" t="n"/>
      <c r="F20" s="79" t="n"/>
      <c r="G20" s="79" t="n"/>
      <c r="H20" s="24" t="n"/>
      <c r="I20" s="24" t="n"/>
      <c r="J20" s="24"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row>
    <row r="21" ht="18" customHeight="1" s="225">
      <c r="A21" s="221" t="n"/>
      <c r="B21" s="221" t="n"/>
      <c r="C21" s="221" t="n"/>
      <c r="D21" s="79" t="n"/>
      <c r="E21" s="79" t="n"/>
      <c r="F21" s="79" t="n"/>
      <c r="G21" s="79" t="n"/>
      <c r="H21" s="24" t="n"/>
      <c r="I21" s="24" t="n"/>
      <c r="J21" s="24"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row>
    <row r="22" ht="18" customHeight="1" s="225">
      <c r="A22" s="220" t="n"/>
      <c r="B22" s="221" t="n"/>
      <c r="C22" s="220" t="n"/>
      <c r="D22" s="220" t="n"/>
      <c r="E22" s="220" t="n"/>
      <c r="F22" s="220" t="n"/>
      <c r="G22" s="220" t="n"/>
      <c r="H22" s="24" t="n"/>
      <c r="I22" s="24" t="n"/>
      <c r="J22" s="24"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row>
    <row r="23" ht="18" customHeight="1" s="225">
      <c r="A23" s="221" t="n"/>
      <c r="B23" s="221" t="n"/>
      <c r="C23" s="79" t="n"/>
      <c r="D23" s="79" t="n"/>
      <c r="E23" s="79" t="n"/>
      <c r="F23" s="79" t="n"/>
      <c r="G23" s="79" t="n"/>
      <c r="H23" s="24" t="n"/>
      <c r="I23" s="24" t="n"/>
      <c r="J23" s="24" t="n"/>
      <c r="K23" s="24" t="n"/>
      <c r="L23" s="24" t="n"/>
      <c r="M23" s="24" t="n"/>
      <c r="N23" s="24" t="n"/>
      <c r="O23" s="24" t="n"/>
      <c r="P23" s="24" t="n"/>
      <c r="Q23" s="24" t="n"/>
      <c r="R23" s="24" t="n"/>
      <c r="S23" s="24" t="n"/>
      <c r="T23" s="24" t="n"/>
      <c r="U23" s="24" t="n"/>
      <c r="V23" s="24" t="n"/>
      <c r="W23" s="24" t="n"/>
      <c r="X23" s="24" t="n"/>
      <c r="Y23" s="24" t="n"/>
      <c r="Z23" s="24" t="n"/>
      <c r="AA23" s="24" t="n"/>
      <c r="AB23" s="24" t="n"/>
      <c r="AC23" s="24" t="n"/>
      <c r="AD23" s="24" t="n"/>
      <c r="AE23" s="24" t="n"/>
      <c r="AF23" s="24" t="n"/>
      <c r="AG23" s="24" t="n"/>
      <c r="AH23" s="24" t="n"/>
      <c r="AI23" s="24" t="n"/>
      <c r="AJ23" s="24" t="n"/>
      <c r="AK23" s="24" t="n"/>
    </row>
    <row r="24" ht="18" customHeight="1" s="225">
      <c r="A24" s="79" t="n"/>
      <c r="B24" s="80" t="n"/>
      <c r="C24" s="79" t="n"/>
      <c r="D24" s="79" t="n"/>
      <c r="E24" s="79" t="n"/>
      <c r="F24" s="79" t="n"/>
      <c r="G24" s="79" t="n"/>
      <c r="H24" s="24" t="n"/>
      <c r="I24" s="24" t="n"/>
      <c r="J24" s="24" t="n"/>
      <c r="K24" s="24" t="n"/>
      <c r="L24" s="24" t="n"/>
      <c r="M24" s="24" t="n"/>
      <c r="N24" s="24" t="n"/>
      <c r="O24" s="24" t="n"/>
      <c r="P24" s="24" t="n"/>
      <c r="Q24" s="24" t="n"/>
      <c r="R24" s="21" t="n"/>
      <c r="S24" s="21" t="n"/>
      <c r="T24" s="21" t="n"/>
      <c r="U24" s="21" t="n"/>
      <c r="V24" s="21" t="n"/>
      <c r="W24" s="21" t="n"/>
      <c r="X24" s="21" t="n"/>
      <c r="Y24" s="21" t="n"/>
      <c r="Z24" s="21" t="n"/>
      <c r="AA24" s="21" t="n"/>
      <c r="AB24" s="21" t="n"/>
      <c r="AC24" s="21" t="n"/>
      <c r="AD24" s="21" t="n"/>
      <c r="AE24" s="21" t="n"/>
      <c r="AF24" s="21" t="n"/>
      <c r="AG24" s="21" t="n"/>
      <c r="AH24" s="21" t="n"/>
      <c r="AI24" s="21" t="n"/>
      <c r="AJ24" s="22" t="n"/>
      <c r="AK24" s="22" t="n"/>
    </row>
    <row r="25" ht="18" customFormat="1" customHeight="1" s="23">
      <c r="A25" s="219" t="n"/>
      <c r="B25" s="224" t="n"/>
      <c r="C25" s="219" t="n"/>
      <c r="D25" s="219" t="n"/>
      <c r="E25" s="219" t="n"/>
      <c r="F25" s="219" t="n"/>
      <c r="G25" s="219" t="n"/>
      <c r="H25" s="219" t="n"/>
      <c r="I25" s="219" t="n"/>
      <c r="J25" s="47" t="n"/>
      <c r="K25" s="47" t="n"/>
      <c r="L25" s="47" t="n"/>
      <c r="M25" s="47" t="n"/>
      <c r="N25" s="47" t="n"/>
      <c r="O25" s="47" t="n"/>
      <c r="P25" s="47" t="n"/>
      <c r="Q25" s="47" t="n"/>
      <c r="R25" s="1" t="n"/>
      <c r="S25" s="1" t="n"/>
      <c r="T25" s="1" t="n"/>
      <c r="U25" s="1" t="n"/>
      <c r="V25" s="1" t="n"/>
      <c r="W25" s="1" t="n"/>
      <c r="X25" s="1" t="n"/>
      <c r="Y25" s="1" t="n"/>
      <c r="Z25" s="1" t="n"/>
      <c r="AA25" s="1" t="n"/>
      <c r="AB25" s="1" t="n"/>
      <c r="AC25" s="1" t="n"/>
      <c r="AD25" s="1" t="n"/>
      <c r="AE25" s="1" t="n"/>
      <c r="AF25" s="1" t="n"/>
      <c r="AG25" s="1" t="n"/>
      <c r="AH25" s="1" t="n"/>
      <c r="AI25" s="1" t="n"/>
      <c r="AJ25" s="1" t="n"/>
      <c r="AK25" s="1" t="n"/>
    </row>
    <row r="26" ht="18" customFormat="1" customHeight="1" s="21">
      <c r="A26" s="24" t="n"/>
      <c r="B26" s="209"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c r="W26" s="24" t="n"/>
      <c r="X26" s="24" t="n"/>
      <c r="Y26" s="24" t="n"/>
      <c r="Z26" s="24" t="n"/>
      <c r="AA26" s="24" t="n"/>
      <c r="AB26" s="24" t="n"/>
      <c r="AC26" s="24" t="n"/>
      <c r="AD26" s="24" t="n"/>
      <c r="AE26" s="24" t="n"/>
      <c r="AF26" s="24" t="n"/>
      <c r="AG26" s="24" t="n"/>
      <c r="AH26" s="24" t="n"/>
      <c r="AI26" s="24" t="n"/>
      <c r="AJ26" s="24" t="n"/>
      <c r="AK26" s="24" t="n"/>
    </row>
    <row r="27" ht="18" customFormat="1" customHeight="1" s="21">
      <c r="B27" s="209"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c r="W27" s="24" t="n"/>
      <c r="X27" s="29" t="n"/>
      <c r="Y27" s="24" t="n"/>
      <c r="AA27" s="24" t="n"/>
      <c r="AB27" s="24" t="n"/>
      <c r="AD27" s="24" t="n"/>
      <c r="AE27" s="24" t="n"/>
      <c r="AF27" s="24" t="n"/>
      <c r="AG27" s="24" t="n"/>
      <c r="AH27" s="24" t="n"/>
      <c r="AI27" s="24" t="n"/>
      <c r="AJ27" s="24" t="n"/>
      <c r="AK27" s="24" t="n"/>
    </row>
    <row r="28" ht="18" customFormat="1" customHeight="1" s="21">
      <c r="B28" s="46" t="n"/>
      <c r="C28" s="24" t="n"/>
      <c r="D28" s="24" t="n"/>
      <c r="E28" s="24" t="n"/>
      <c r="F28" s="24" t="n"/>
      <c r="G28" s="24" t="n"/>
      <c r="H28" s="24" t="n"/>
      <c r="I28" s="24" t="n"/>
      <c r="J28" s="24" t="n"/>
      <c r="K28" s="24" t="n"/>
      <c r="L28" s="24" t="n"/>
      <c r="M28" s="24" t="n"/>
      <c r="N28" s="24" t="n"/>
      <c r="R28" s="24" t="n"/>
      <c r="U28" s="24" t="n"/>
      <c r="V28" s="24" t="n"/>
      <c r="W28" s="24" t="n"/>
      <c r="X28" s="24" t="n"/>
      <c r="Y28" s="24" t="n"/>
      <c r="Z28" s="24" t="n"/>
      <c r="AA28" s="24" t="n"/>
      <c r="AB28" s="24" t="n"/>
      <c r="AC28" s="24" t="n"/>
      <c r="AD28" s="24" t="n"/>
      <c r="AE28" s="24" t="n"/>
      <c r="AF28" s="24" t="n"/>
      <c r="AG28" s="24" t="n"/>
      <c r="AH28" s="24" t="n"/>
      <c r="AI28" s="24" t="n"/>
      <c r="AJ28" s="24" t="n"/>
      <c r="AK28" s="24" t="n"/>
    </row>
    <row r="29" ht="18" customFormat="1" customHeight="1" s="21">
      <c r="B29" s="209" t="n"/>
      <c r="C29" s="209" t="n"/>
      <c r="E29" s="24" t="n"/>
      <c r="F29" s="24" t="n"/>
      <c r="G29" s="24" t="n"/>
      <c r="H29" s="24" t="n"/>
      <c r="I29" s="24" t="n"/>
      <c r="J29" s="24" t="n"/>
      <c r="K29" s="24" t="n"/>
      <c r="L29" s="24" t="n"/>
      <c r="M29" s="24" t="n"/>
      <c r="N29" s="209" t="n"/>
    </row>
    <row r="30" ht="18" customFormat="1" customHeight="1" s="21">
      <c r="B30" s="209" t="n"/>
      <c r="C30" s="209" t="n"/>
      <c r="E30" s="24" t="n"/>
      <c r="F30" s="24" t="n"/>
      <c r="G30" s="24" t="n"/>
      <c r="H30" s="24" t="n"/>
      <c r="I30" s="24" t="n"/>
      <c r="J30" s="24" t="n"/>
      <c r="K30" s="24" t="n"/>
      <c r="L30" s="24" t="n"/>
      <c r="M30" s="24" t="n"/>
      <c r="N30" s="209" t="n"/>
    </row>
    <row r="31" ht="18" customFormat="1" customHeight="1" s="21">
      <c r="B31" s="209" t="n"/>
      <c r="C31" s="209" t="n"/>
      <c r="E31" s="24" t="n"/>
      <c r="F31" s="24" t="n"/>
      <c r="G31" s="24" t="n"/>
      <c r="H31" s="24" t="n"/>
      <c r="I31" s="24" t="n"/>
      <c r="J31" s="24" t="n"/>
      <c r="K31" s="24" t="n"/>
      <c r="L31" s="24" t="n"/>
      <c r="M31" s="24" t="n"/>
      <c r="N31" s="209" t="n"/>
    </row>
    <row r="32" ht="18" customFormat="1" customHeight="1" s="21">
      <c r="B32" s="209" t="n"/>
      <c r="C32" s="209" t="n"/>
      <c r="E32" s="24" t="n"/>
      <c r="F32" s="24" t="n"/>
      <c r="G32" s="24" t="n"/>
      <c r="H32" s="24" t="n"/>
      <c r="I32" s="24" t="n"/>
      <c r="J32" s="24" t="n"/>
      <c r="K32" s="24" t="n"/>
      <c r="L32" s="24" t="n"/>
      <c r="M32" s="24" t="n"/>
      <c r="N32" s="209" t="n"/>
    </row>
    <row r="33" ht="18" customFormat="1" customHeight="1" s="21">
      <c r="B33" s="209" t="n"/>
      <c r="C33" s="24" t="n"/>
    </row>
    <row r="34" ht="18" customFormat="1" customHeight="1" s="21">
      <c r="A34" s="24" t="n"/>
      <c r="B34" s="209" t="n"/>
      <c r="C34" s="24" t="n"/>
      <c r="D34" s="24" t="n"/>
      <c r="E34" s="24" t="n"/>
      <c r="F34" s="24" t="n"/>
      <c r="G34" s="24" t="n"/>
      <c r="H34" s="24" t="n"/>
      <c r="I34" s="24" t="n"/>
      <c r="J34" s="24" t="n"/>
      <c r="K34" s="24" t="n"/>
      <c r="L34" s="24" t="n"/>
      <c r="M34" s="24" t="n"/>
    </row>
    <row r="35" ht="16.15" customFormat="1" customHeight="1" s="21">
      <c r="A35" s="22" t="n"/>
      <c r="B35" s="209" t="n"/>
      <c r="C35" s="22" t="n"/>
      <c r="D35" s="22" t="n"/>
      <c r="E35" s="22" t="n"/>
      <c r="F35" s="22" t="n"/>
      <c r="G35" s="22" t="n"/>
      <c r="H35" s="22" t="n"/>
      <c r="I35" s="22" t="n"/>
      <c r="J35" s="22" t="n"/>
      <c r="K35" s="22" t="n"/>
      <c r="L35" s="22" t="n"/>
      <c r="M35" s="22" t="n"/>
      <c r="N35" s="24" t="n"/>
      <c r="O35" s="24" t="n"/>
      <c r="P35" s="24" t="n"/>
      <c r="Q35" s="24" t="n"/>
      <c r="R35" s="24" t="n"/>
      <c r="S35" s="24" t="n"/>
      <c r="T35" s="24" t="n"/>
      <c r="U35" s="24" t="n"/>
      <c r="V35" s="24" t="n"/>
      <c r="W35" s="24" t="n"/>
      <c r="X35" s="24" t="n"/>
      <c r="Y35" s="24" t="n"/>
      <c r="Z35" s="24" t="n"/>
      <c r="AA35" s="24" t="n"/>
      <c r="AB35" s="24" t="n"/>
      <c r="AC35" s="24" t="n"/>
      <c r="AD35" s="24" t="n"/>
      <c r="AE35" s="24" t="n"/>
      <c r="AF35" s="24" t="n"/>
      <c r="AG35" s="24" t="n"/>
      <c r="AH35" s="24" t="n"/>
      <c r="AI35" s="24" t="n"/>
    </row>
    <row r="36" ht="16.15" customFormat="1" customHeight="1" s="21">
      <c r="A36" s="22" t="n"/>
      <c r="B36" s="209"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row>
    <row r="37" ht="18" customFormat="1" customHeight="1" s="21">
      <c r="B37" s="209"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c r="AK37" s="24" t="n"/>
    </row>
    <row r="38" ht="18" customHeight="1" s="225">
      <c r="O38" s="47" t="n"/>
      <c r="P38" s="47" t="n"/>
      <c r="Q38" s="47" t="n"/>
      <c r="R38" s="47" t="n"/>
      <c r="S38" s="47" t="n"/>
      <c r="T38" s="47" t="n"/>
      <c r="U38" s="47" t="n"/>
      <c r="V38" s="47" t="n"/>
      <c r="W38" s="47" t="n"/>
      <c r="X38" s="47" t="n"/>
      <c r="Y38" s="47" t="n"/>
      <c r="Z38" s="47" t="n"/>
      <c r="AA38" s="47" t="n"/>
      <c r="AB38" s="47" t="n"/>
      <c r="AC38" s="47" t="n"/>
      <c r="AD38" s="47" t="n"/>
      <c r="AE38" s="47" t="n"/>
      <c r="AF38" s="47" t="n"/>
      <c r="AG38" s="47" t="n"/>
      <c r="AH38" s="47" t="n"/>
      <c r="AI38" s="47" t="n"/>
      <c r="AJ38" s="47" t="n"/>
      <c r="AK38" s="47" t="n"/>
    </row>
    <row r="39" ht="18" customHeight="1" s="225">
      <c r="A39" s="40" t="n"/>
      <c r="B39" s="219" t="n"/>
    </row>
    <row r="40" ht="18" customHeight="1" s="225">
      <c r="A40" s="40" t="n"/>
    </row>
    <row r="41" ht="18" customHeight="1" s="225">
      <c r="A41" s="47" t="n"/>
      <c r="B41" s="219" t="n"/>
    </row>
    <row r="42" ht="16.5" customHeight="1" s="225">
      <c r="A42" s="47" t="n"/>
    </row>
  </sheetData>
  <sheetProtection selectLockedCells="0" selectUnlockedCells="0" sheet="1" objects="0" insertRows="1" insertHyperlinks="1" autoFilter="1" scenarios="0" formatColumns="1" deleteColumns="1" insertColumns="1" pivotTables="1" deleteRows="1" formatCells="1" formatRows="1" sort="1"/>
  <mergeCells count="14">
    <mergeCell ref="C2:E2"/>
    <mergeCell ref="B3:AJ3"/>
    <mergeCell ref="B41:AJ42"/>
    <mergeCell ref="B10:AJ11"/>
    <mergeCell ref="B6:AJ7"/>
    <mergeCell ref="B14:AJ14"/>
    <mergeCell ref="B39:AJ40"/>
    <mergeCell ref="B18:AJ19"/>
    <mergeCell ref="B4:AJ5"/>
    <mergeCell ref="B13:AJ13"/>
    <mergeCell ref="B12:AJ12"/>
    <mergeCell ref="B8:AJ9"/>
    <mergeCell ref="B15:AJ15"/>
    <mergeCell ref="B16:AJ17"/>
  </mergeCells>
  <pageMargins left="0.3937007874015748" right="0.3937007874015748" top="0.5905511811023623" bottom="0.1968503937007874" header="0.5118110236220472" footer="0.5118110236220472"/>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4" customWidth="1" style="225" min="1" max="1"/>
    <col width="14" customWidth="1" style="225" min="2" max="2"/>
    <col width="14" customWidth="1" style="225" min="3" max="3"/>
    <col width="14" customWidth="1" style="225" min="4" max="4"/>
    <col width="14" customWidth="1" style="225" min="5" max="5"/>
    <col width="14" customWidth="1" style="225" min="6" max="6"/>
    <col width="14" customWidth="1" style="225" min="7" max="7"/>
    <col width="14" customWidth="1" style="225" min="8" max="8"/>
    <col width="14" customWidth="1" style="225" min="9" max="9"/>
    <col width="14" customWidth="1" style="225" min="10" max="10"/>
    <col width="14" customWidth="1" style="225" min="11" max="11"/>
    <col width="14" customWidth="1" style="225" min="12" max="12"/>
    <col width="14" customWidth="1" style="225" min="13" max="13"/>
    <col width="14" customWidth="1" style="225" min="14" max="14"/>
    <col width="14" customWidth="1" style="225" min="15" max="15"/>
    <col width="14" customWidth="1" style="225" min="16" max="16"/>
    <col width="14" customWidth="1" style="225" min="17" max="17"/>
    <col width="14" customWidth="1" style="225" min="18" max="18"/>
    <col width="14" customWidth="1" style="225" min="19" max="19"/>
  </cols>
  <sheetData>
    <row r="1">
      <c r="A1" s="288" t="inlineStr">
        <is>
          <t>職員番号</t>
        </is>
      </c>
      <c r="B1" s="288" t="inlineStr">
        <is>
          <t>対象年(令和)</t>
        </is>
      </c>
      <c r="C1" s="288" t="inlineStr">
        <is>
          <t>対象月</t>
        </is>
      </c>
      <c r="D1" s="288" t="inlineStr">
        <is>
          <t>報酬額</t>
        </is>
      </c>
      <c r="E1" s="288" t="inlineStr">
        <is>
          <t>通勤手当有無</t>
        </is>
      </c>
      <c r="F1" s="288" t="inlineStr">
        <is>
          <t>通勤手当月額</t>
        </is>
      </c>
      <c r="G1" s="288" t="inlineStr">
        <is>
          <t>氏名</t>
        </is>
      </c>
      <c r="H1" s="288" t="inlineStr">
        <is>
          <t>組合員記号</t>
        </is>
      </c>
      <c r="I1" s="288" t="inlineStr">
        <is>
          <t>組合員番号</t>
        </is>
      </c>
      <c r="J1" s="288" t="inlineStr">
        <is>
          <t>勤務区分</t>
        </is>
      </c>
      <c r="K1" s="288" t="inlineStr">
        <is>
          <t>時短開始日</t>
        </is>
      </c>
      <c r="L1" s="288" t="inlineStr">
        <is>
          <t>時短終了日</t>
        </is>
      </c>
      <c r="M1" s="288" t="inlineStr">
        <is>
          <t>請求期間開始</t>
        </is>
      </c>
      <c r="N1" s="288" t="inlineStr">
        <is>
          <t>請求期間終了</t>
        </is>
      </c>
      <c r="O1" s="288" t="inlineStr">
        <is>
          <t>子の氏名</t>
        </is>
      </c>
      <c r="P1" s="288" t="inlineStr">
        <is>
          <t>子の生年月日</t>
        </is>
      </c>
      <c r="Q1" s="288" t="inlineStr">
        <is>
          <t>所属名称</t>
        </is>
      </c>
      <c r="R1" s="288" t="inlineStr">
        <is>
          <t>請求日</t>
        </is>
      </c>
      <c r="S1" s="288" t="inlineStr">
        <is>
          <t>初回請求</t>
        </is>
      </c>
      <c r="T1" s="288" t="inlineStr">
        <is>
          <t>入力エラー件数</t>
        </is>
      </c>
    </row>
    <row r="2">
      <c r="A2">
        <f>IF(入力!C6="","",入力!C6)</f>
        <v/>
      </c>
      <c r="B2">
        <f>IF(入力!D7="","",入力!D7)</f>
        <v/>
      </c>
      <c r="C2">
        <f>IF(入力!F7="","",入力!F7)</f>
        <v/>
      </c>
      <c r="D2">
        <f>IF(入力!C28="","",入力!C28)</f>
        <v/>
      </c>
      <c r="E2">
        <f>IF(入力!C29="","",入力!C29)</f>
        <v/>
      </c>
      <c r="F2">
        <f>IF(入力!C30="","",入力!C30)</f>
        <v/>
      </c>
      <c r="G2">
        <f>IF(入力!C11="","",入力!C11)</f>
        <v/>
      </c>
      <c r="H2">
        <f>IF(入力!C9="","",入力!C9)</f>
        <v/>
      </c>
      <c r="I2">
        <f>IF(入力!F9="","",入力!F9)</f>
        <v/>
      </c>
      <c r="J2">
        <f>IF(入力!C18="","",入力!C18)</f>
        <v/>
      </c>
      <c r="K2" s="289">
        <f>IF(入力!N20="","",入力!N20)</f>
        <v/>
      </c>
      <c r="L2" s="289">
        <f>IF(入力!N21="","",入力!N21)</f>
        <v/>
      </c>
      <c r="M2" s="289">
        <f>IF(入力!N23="","",入力!N23)</f>
        <v/>
      </c>
      <c r="N2" s="289">
        <f>IF(入力!N24="","",入力!N24)</f>
        <v/>
      </c>
      <c r="O2">
        <f>IF(入力!C25="","",入力!C25)</f>
        <v/>
      </c>
      <c r="P2" s="289">
        <f>IF(入力!N26="","",入力!N26)</f>
        <v/>
      </c>
      <c r="Q2">
        <f>IF(入力!C15="","",入力!C15)</f>
        <v/>
      </c>
      <c r="R2" s="289">
        <f>IF(入力!N37="","",入力!N37)</f>
        <v/>
      </c>
      <c r="S2">
        <f>IF(入力!C19="","",入力!C19)</f>
        <v/>
      </c>
      <c r="T2">
        <f>COUNTIF(入力!K6:K52,"✕*")</f>
        <v/>
      </c>
    </row>
    <row r="4">
      <c r="A4" s="290" t="inlineStr">
        <is>
          <t>【共済組合の方へ】2行目（A2:T2）をコピーし、管理台帳の「請求記録」へ『値のみ貼り付け』してください（職員の方は触らないでください）。</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松場 慶子</dc:creator>
  <dc:title xmlns:dc="http://purl.org/dc/elements/1.1/">育児休業手当金請求（変更請求）書</dc:title>
  <dcterms:created xmlns:dcterms="http://purl.org/dc/terms/" xmlns:xsi="http://www.w3.org/2001/XMLSchema-instance" xsi:type="dcterms:W3CDTF">2025-04-30T06:05:57Z</dcterms:created>
  <dcterms:modified xmlns:dcterms="http://purl.org/dc/terms/" xmlns:xsi="http://www.w3.org/2001/XMLSchema-instance" xsi:type="dcterms:W3CDTF">2026-10-21T02:19:15Z</dcterms:modified>
  <cp:lastModifiedBy>居倉 千恵</cp:lastModifiedBy>
  <cp:lastPrinted>2025-11-28T05:20:01Z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0x01010056F91AF671892245ABE09DBE21C4F1C2</vt:lpwstr>
  </property>
  <property name="MediaServiceImageTags" fmtid="{D5CDD505-2E9C-101B-9397-08002B2CF9AE}" pid="3">
    <vt:lpwstr xmlns:vt="http://schemas.openxmlformats.org/officeDocument/2006/docPropsVTypes"/>
  </property>
</Properties>
</file>